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1794" documentId="8_{D0CA4583-CE1E-45BC-80C4-D12D73EEE216}" xr6:coauthVersionLast="47" xr6:coauthVersionMax="47" xr10:uidLastSave="{87BCF570-4F16-469C-BA96-5FC58C3B3EBC}"/>
  <bookViews>
    <workbookView xWindow="-110" yWindow="-110" windowWidth="19420" windowHeight="11500" activeTab="3" xr2:uid="{AEC8D8B6-90F9-4419-8005-4C9ECD038162}"/>
  </bookViews>
  <sheets>
    <sheet name="BBT3" sheetId="2" r:id="rId1"/>
    <sheet name="QW_Close" sheetId="3" r:id="rId2"/>
    <sheet name="QW_CloseDL" sheetId="5" r:id="rId3"/>
    <sheet name="Comparaison" sheetId="1" r:id="rId4"/>
    <sheet name="Sheet2" sheetId="6" r:id="rId5"/>
  </sheets>
  <definedNames>
    <definedName name="_xlnm._FilterDatabase" localSheetId="3" hidden="1">Comparaison!$A$1:$J$2036</definedName>
    <definedName name="ExternalData_1" localSheetId="0" hidden="1">'BBT3'!$A$1:$M$2445</definedName>
    <definedName name="ExternalData_1" localSheetId="1" hidden="1">QW_Close!$A$1:$J$1719</definedName>
    <definedName name="ExternalData_1" localSheetId="2" hidden="1">QW_CloseDL!$A$1:$J$1354</definedName>
    <definedName name="TheDate">Comparaison!$Q$1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0" i="1" l="1" a="1"/>
  <c r="M130" i="1"/>
  <c r="M129" i="1" a="1"/>
  <c r="M129" i="1"/>
  <c r="Q1" i="1" a="1"/>
  <c r="Q1" i="1"/>
  <c r="P1" i="1" a="1"/>
  <c r="P1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B654" i="1"/>
  <c r="C654" i="1"/>
  <c r="D654" i="1"/>
  <c r="E654" i="1"/>
  <c r="F654" i="1"/>
  <c r="G654" i="1"/>
  <c r="H654" i="1" a="1"/>
  <c r="H654" i="1"/>
  <c r="I654" i="1"/>
  <c r="B655" i="1"/>
  <c r="C655" i="1"/>
  <c r="D655" i="1"/>
  <c r="E655" i="1"/>
  <c r="F655" i="1"/>
  <c r="G655" i="1"/>
  <c r="H655" i="1" a="1"/>
  <c r="H655" i="1"/>
  <c r="I655" i="1"/>
  <c r="B656" i="1"/>
  <c r="C656" i="1"/>
  <c r="D656" i="1"/>
  <c r="E656" i="1"/>
  <c r="F656" i="1"/>
  <c r="G656" i="1"/>
  <c r="H656" i="1" a="1"/>
  <c r="H656" i="1"/>
  <c r="I656" i="1"/>
  <c r="B657" i="1"/>
  <c r="C657" i="1"/>
  <c r="D657" i="1"/>
  <c r="E657" i="1"/>
  <c r="F657" i="1"/>
  <c r="G657" i="1"/>
  <c r="H657" i="1" a="1"/>
  <c r="H657" i="1"/>
  <c r="I657" i="1"/>
  <c r="B658" i="1"/>
  <c r="C658" i="1"/>
  <c r="D658" i="1"/>
  <c r="E658" i="1"/>
  <c r="F658" i="1"/>
  <c r="G658" i="1"/>
  <c r="H658" i="1" a="1"/>
  <c r="H658" i="1"/>
  <c r="I658" i="1"/>
  <c r="B659" i="1"/>
  <c r="C659" i="1"/>
  <c r="D659" i="1"/>
  <c r="E659" i="1"/>
  <c r="F659" i="1"/>
  <c r="G659" i="1"/>
  <c r="H659" i="1" a="1"/>
  <c r="H659" i="1"/>
  <c r="I659" i="1"/>
  <c r="B660" i="1"/>
  <c r="C660" i="1"/>
  <c r="D660" i="1"/>
  <c r="E660" i="1"/>
  <c r="F660" i="1"/>
  <c r="G660" i="1"/>
  <c r="H660" i="1" a="1"/>
  <c r="H660" i="1"/>
  <c r="I660" i="1"/>
  <c r="B661" i="1"/>
  <c r="C661" i="1"/>
  <c r="D661" i="1"/>
  <c r="E661" i="1"/>
  <c r="F661" i="1"/>
  <c r="G661" i="1"/>
  <c r="H661" i="1" a="1"/>
  <c r="H661" i="1"/>
  <c r="I661" i="1"/>
  <c r="B662" i="1"/>
  <c r="C662" i="1"/>
  <c r="D662" i="1"/>
  <c r="E662" i="1"/>
  <c r="F662" i="1"/>
  <c r="G662" i="1"/>
  <c r="H662" i="1" a="1"/>
  <c r="H662" i="1"/>
  <c r="I662" i="1"/>
  <c r="B663" i="1"/>
  <c r="C663" i="1"/>
  <c r="D663" i="1"/>
  <c r="E663" i="1"/>
  <c r="F663" i="1"/>
  <c r="G663" i="1"/>
  <c r="H663" i="1" a="1"/>
  <c r="H663" i="1"/>
  <c r="I663" i="1"/>
  <c r="B664" i="1"/>
  <c r="C664" i="1"/>
  <c r="D664" i="1"/>
  <c r="E664" i="1"/>
  <c r="F664" i="1"/>
  <c r="G664" i="1"/>
  <c r="H664" i="1" a="1"/>
  <c r="H664" i="1"/>
  <c r="I664" i="1"/>
  <c r="B665" i="1"/>
  <c r="C665" i="1"/>
  <c r="D665" i="1"/>
  <c r="E665" i="1"/>
  <c r="F665" i="1"/>
  <c r="G665" i="1"/>
  <c r="H665" i="1" a="1"/>
  <c r="H665" i="1"/>
  <c r="I665" i="1"/>
  <c r="B666" i="1"/>
  <c r="C666" i="1"/>
  <c r="D666" i="1"/>
  <c r="E666" i="1"/>
  <c r="F666" i="1"/>
  <c r="G666" i="1"/>
  <c r="H666" i="1" a="1"/>
  <c r="H666" i="1"/>
  <c r="I666" i="1"/>
  <c r="B667" i="1"/>
  <c r="C667" i="1"/>
  <c r="D667" i="1"/>
  <c r="E667" i="1"/>
  <c r="F667" i="1"/>
  <c r="G667" i="1"/>
  <c r="H667" i="1" a="1"/>
  <c r="H667" i="1"/>
  <c r="I667" i="1"/>
  <c r="B668" i="1"/>
  <c r="C668" i="1"/>
  <c r="D668" i="1"/>
  <c r="E668" i="1"/>
  <c r="F668" i="1"/>
  <c r="G668" i="1"/>
  <c r="H668" i="1" a="1"/>
  <c r="H668" i="1"/>
  <c r="I668" i="1"/>
  <c r="B669" i="1"/>
  <c r="C669" i="1"/>
  <c r="D669" i="1"/>
  <c r="E669" i="1"/>
  <c r="F669" i="1"/>
  <c r="G669" i="1"/>
  <c r="H669" i="1" a="1"/>
  <c r="H669" i="1"/>
  <c r="I669" i="1"/>
  <c r="B670" i="1"/>
  <c r="C670" i="1"/>
  <c r="D670" i="1"/>
  <c r="E670" i="1"/>
  <c r="F670" i="1"/>
  <c r="G670" i="1"/>
  <c r="H670" i="1" a="1"/>
  <c r="H670" i="1"/>
  <c r="I670" i="1"/>
  <c r="B671" i="1"/>
  <c r="C671" i="1"/>
  <c r="D671" i="1"/>
  <c r="E671" i="1"/>
  <c r="F671" i="1"/>
  <c r="G671" i="1"/>
  <c r="H671" i="1" a="1"/>
  <c r="H671" i="1"/>
  <c r="I671" i="1"/>
  <c r="B672" i="1"/>
  <c r="C672" i="1"/>
  <c r="D672" i="1"/>
  <c r="E672" i="1"/>
  <c r="F672" i="1"/>
  <c r="G672" i="1"/>
  <c r="H672" i="1" a="1"/>
  <c r="H672" i="1"/>
  <c r="I672" i="1"/>
  <c r="B673" i="1"/>
  <c r="C673" i="1"/>
  <c r="D673" i="1"/>
  <c r="E673" i="1"/>
  <c r="F673" i="1"/>
  <c r="G673" i="1"/>
  <c r="H673" i="1" a="1"/>
  <c r="H673" i="1"/>
  <c r="I673" i="1"/>
  <c r="B674" i="1"/>
  <c r="C674" i="1"/>
  <c r="D674" i="1"/>
  <c r="E674" i="1"/>
  <c r="F674" i="1"/>
  <c r="G674" i="1"/>
  <c r="H674" i="1" a="1"/>
  <c r="H674" i="1"/>
  <c r="I674" i="1"/>
  <c r="B675" i="1"/>
  <c r="C675" i="1"/>
  <c r="D675" i="1"/>
  <c r="E675" i="1"/>
  <c r="F675" i="1"/>
  <c r="G675" i="1"/>
  <c r="H675" i="1" a="1"/>
  <c r="H675" i="1"/>
  <c r="I675" i="1"/>
  <c r="B676" i="1"/>
  <c r="C676" i="1"/>
  <c r="D676" i="1"/>
  <c r="E676" i="1"/>
  <c r="F676" i="1"/>
  <c r="G676" i="1"/>
  <c r="H676" i="1" a="1"/>
  <c r="H676" i="1"/>
  <c r="I676" i="1"/>
  <c r="B677" i="1"/>
  <c r="C677" i="1"/>
  <c r="D677" i="1"/>
  <c r="E677" i="1"/>
  <c r="F677" i="1"/>
  <c r="G677" i="1"/>
  <c r="H677" i="1" a="1"/>
  <c r="H677" i="1"/>
  <c r="I677" i="1"/>
  <c r="B678" i="1"/>
  <c r="C678" i="1"/>
  <c r="D678" i="1"/>
  <c r="E678" i="1"/>
  <c r="F678" i="1"/>
  <c r="G678" i="1"/>
  <c r="H678" i="1" a="1"/>
  <c r="H678" i="1"/>
  <c r="I678" i="1"/>
  <c r="B679" i="1"/>
  <c r="C679" i="1"/>
  <c r="D679" i="1"/>
  <c r="E679" i="1"/>
  <c r="F679" i="1"/>
  <c r="G679" i="1"/>
  <c r="H679" i="1" a="1"/>
  <c r="H679" i="1"/>
  <c r="I679" i="1"/>
  <c r="B680" i="1"/>
  <c r="C680" i="1"/>
  <c r="D680" i="1"/>
  <c r="E680" i="1"/>
  <c r="F680" i="1"/>
  <c r="G680" i="1"/>
  <c r="H680" i="1" a="1"/>
  <c r="H680" i="1"/>
  <c r="I680" i="1"/>
  <c r="B681" i="1"/>
  <c r="C681" i="1"/>
  <c r="D681" i="1"/>
  <c r="E681" i="1"/>
  <c r="F681" i="1"/>
  <c r="G681" i="1"/>
  <c r="H681" i="1" a="1"/>
  <c r="H681" i="1"/>
  <c r="I681" i="1"/>
  <c r="B682" i="1"/>
  <c r="C682" i="1"/>
  <c r="D682" i="1"/>
  <c r="E682" i="1"/>
  <c r="F682" i="1"/>
  <c r="G682" i="1"/>
  <c r="H682" i="1" a="1"/>
  <c r="H682" i="1"/>
  <c r="I682" i="1"/>
  <c r="B683" i="1"/>
  <c r="C683" i="1"/>
  <c r="D683" i="1"/>
  <c r="E683" i="1"/>
  <c r="F683" i="1"/>
  <c r="G683" i="1"/>
  <c r="H683" i="1" a="1"/>
  <c r="H683" i="1"/>
  <c r="I683" i="1"/>
  <c r="B684" i="1"/>
  <c r="C684" i="1"/>
  <c r="D684" i="1"/>
  <c r="E684" i="1"/>
  <c r="F684" i="1"/>
  <c r="G684" i="1"/>
  <c r="H684" i="1" a="1"/>
  <c r="H684" i="1"/>
  <c r="I684" i="1"/>
  <c r="B685" i="1"/>
  <c r="C685" i="1"/>
  <c r="D685" i="1"/>
  <c r="E685" i="1"/>
  <c r="F685" i="1"/>
  <c r="G685" i="1"/>
  <c r="H685" i="1" a="1"/>
  <c r="H685" i="1"/>
  <c r="I685" i="1"/>
  <c r="B686" i="1"/>
  <c r="C686" i="1"/>
  <c r="D686" i="1"/>
  <c r="E686" i="1"/>
  <c r="F686" i="1"/>
  <c r="G686" i="1"/>
  <c r="H686" i="1" a="1"/>
  <c r="H686" i="1"/>
  <c r="I686" i="1"/>
  <c r="B687" i="1"/>
  <c r="C687" i="1"/>
  <c r="D687" i="1"/>
  <c r="E687" i="1"/>
  <c r="F687" i="1"/>
  <c r="G687" i="1"/>
  <c r="H687" i="1" a="1"/>
  <c r="H687" i="1"/>
  <c r="I687" i="1"/>
  <c r="B688" i="1"/>
  <c r="C688" i="1"/>
  <c r="D688" i="1"/>
  <c r="E688" i="1"/>
  <c r="F688" i="1"/>
  <c r="G688" i="1"/>
  <c r="H688" i="1" a="1"/>
  <c r="H688" i="1"/>
  <c r="I688" i="1"/>
  <c r="B689" i="1"/>
  <c r="C689" i="1"/>
  <c r="D689" i="1"/>
  <c r="E689" i="1"/>
  <c r="F689" i="1"/>
  <c r="G689" i="1"/>
  <c r="H689" i="1" a="1"/>
  <c r="H689" i="1"/>
  <c r="I689" i="1"/>
  <c r="B690" i="1"/>
  <c r="C690" i="1"/>
  <c r="D690" i="1"/>
  <c r="E690" i="1"/>
  <c r="F690" i="1"/>
  <c r="G690" i="1"/>
  <c r="H690" i="1" a="1"/>
  <c r="H690" i="1"/>
  <c r="I690" i="1"/>
  <c r="B691" i="1"/>
  <c r="C691" i="1"/>
  <c r="D691" i="1"/>
  <c r="E691" i="1"/>
  <c r="F691" i="1"/>
  <c r="G691" i="1"/>
  <c r="H691" i="1" a="1"/>
  <c r="H691" i="1"/>
  <c r="I691" i="1"/>
  <c r="B692" i="1"/>
  <c r="C692" i="1"/>
  <c r="D692" i="1"/>
  <c r="E692" i="1"/>
  <c r="F692" i="1"/>
  <c r="G692" i="1"/>
  <c r="H692" i="1" a="1"/>
  <c r="H692" i="1"/>
  <c r="I692" i="1"/>
  <c r="B693" i="1"/>
  <c r="C693" i="1"/>
  <c r="D693" i="1"/>
  <c r="E693" i="1"/>
  <c r="F693" i="1"/>
  <c r="G693" i="1"/>
  <c r="H693" i="1" a="1"/>
  <c r="H693" i="1"/>
  <c r="I693" i="1"/>
  <c r="B694" i="1"/>
  <c r="C694" i="1"/>
  <c r="D694" i="1"/>
  <c r="E694" i="1"/>
  <c r="F694" i="1"/>
  <c r="G694" i="1"/>
  <c r="H694" i="1" a="1"/>
  <c r="H694" i="1"/>
  <c r="I694" i="1"/>
  <c r="B695" i="1"/>
  <c r="C695" i="1"/>
  <c r="D695" i="1"/>
  <c r="E695" i="1"/>
  <c r="F695" i="1"/>
  <c r="G695" i="1"/>
  <c r="H695" i="1" a="1"/>
  <c r="H695" i="1"/>
  <c r="I695" i="1"/>
  <c r="B696" i="1"/>
  <c r="C696" i="1"/>
  <c r="D696" i="1"/>
  <c r="E696" i="1"/>
  <c r="F696" i="1"/>
  <c r="G696" i="1"/>
  <c r="H696" i="1" a="1"/>
  <c r="H696" i="1"/>
  <c r="I696" i="1"/>
  <c r="B697" i="1"/>
  <c r="C697" i="1"/>
  <c r="D697" i="1"/>
  <c r="E697" i="1"/>
  <c r="F697" i="1"/>
  <c r="G697" i="1"/>
  <c r="H697" i="1" a="1"/>
  <c r="H697" i="1"/>
  <c r="I697" i="1"/>
  <c r="B698" i="1"/>
  <c r="C698" i="1"/>
  <c r="D698" i="1"/>
  <c r="E698" i="1"/>
  <c r="F698" i="1"/>
  <c r="G698" i="1"/>
  <c r="H698" i="1" a="1"/>
  <c r="H698" i="1"/>
  <c r="I698" i="1"/>
  <c r="B699" i="1"/>
  <c r="C699" i="1"/>
  <c r="D699" i="1"/>
  <c r="E699" i="1"/>
  <c r="F699" i="1"/>
  <c r="G699" i="1"/>
  <c r="H699" i="1" a="1"/>
  <c r="H699" i="1"/>
  <c r="I699" i="1"/>
  <c r="B700" i="1"/>
  <c r="C700" i="1"/>
  <c r="D700" i="1"/>
  <c r="E700" i="1"/>
  <c r="F700" i="1"/>
  <c r="G700" i="1"/>
  <c r="H700" i="1" a="1"/>
  <c r="H700" i="1"/>
  <c r="I700" i="1"/>
  <c r="B701" i="1"/>
  <c r="C701" i="1"/>
  <c r="D701" i="1"/>
  <c r="E701" i="1"/>
  <c r="F701" i="1"/>
  <c r="G701" i="1"/>
  <c r="H701" i="1" a="1"/>
  <c r="H701" i="1"/>
  <c r="I701" i="1"/>
  <c r="B702" i="1"/>
  <c r="C702" i="1"/>
  <c r="D702" i="1"/>
  <c r="E702" i="1"/>
  <c r="F702" i="1"/>
  <c r="G702" i="1"/>
  <c r="H702" i="1" a="1"/>
  <c r="H702" i="1"/>
  <c r="I702" i="1"/>
  <c r="B703" i="1"/>
  <c r="C703" i="1"/>
  <c r="D703" i="1"/>
  <c r="E703" i="1"/>
  <c r="F703" i="1"/>
  <c r="G703" i="1"/>
  <c r="H703" i="1" a="1"/>
  <c r="H703" i="1"/>
  <c r="I703" i="1"/>
  <c r="B704" i="1"/>
  <c r="C704" i="1"/>
  <c r="D704" i="1"/>
  <c r="E704" i="1"/>
  <c r="F704" i="1"/>
  <c r="G704" i="1"/>
  <c r="H704" i="1" a="1"/>
  <c r="H704" i="1"/>
  <c r="I704" i="1"/>
  <c r="B705" i="1"/>
  <c r="C705" i="1"/>
  <c r="D705" i="1"/>
  <c r="E705" i="1"/>
  <c r="F705" i="1"/>
  <c r="G705" i="1"/>
  <c r="H705" i="1" a="1"/>
  <c r="H705" i="1"/>
  <c r="I705" i="1"/>
  <c r="B706" i="1"/>
  <c r="C706" i="1"/>
  <c r="D706" i="1"/>
  <c r="E706" i="1"/>
  <c r="F706" i="1"/>
  <c r="G706" i="1"/>
  <c r="H706" i="1" a="1"/>
  <c r="H706" i="1"/>
  <c r="I706" i="1"/>
  <c r="B707" i="1"/>
  <c r="C707" i="1"/>
  <c r="D707" i="1"/>
  <c r="E707" i="1"/>
  <c r="F707" i="1"/>
  <c r="G707" i="1"/>
  <c r="H707" i="1" a="1"/>
  <c r="H707" i="1"/>
  <c r="I707" i="1"/>
  <c r="B708" i="1"/>
  <c r="C708" i="1"/>
  <c r="D708" i="1"/>
  <c r="E708" i="1"/>
  <c r="F708" i="1"/>
  <c r="G708" i="1"/>
  <c r="H708" i="1" a="1"/>
  <c r="H708" i="1"/>
  <c r="I708" i="1"/>
  <c r="B709" i="1"/>
  <c r="C709" i="1"/>
  <c r="D709" i="1"/>
  <c r="E709" i="1"/>
  <c r="F709" i="1"/>
  <c r="G709" i="1"/>
  <c r="H709" i="1" a="1"/>
  <c r="H709" i="1"/>
  <c r="I709" i="1"/>
  <c r="B710" i="1"/>
  <c r="C710" i="1"/>
  <c r="D710" i="1"/>
  <c r="E710" i="1"/>
  <c r="F710" i="1"/>
  <c r="G710" i="1"/>
  <c r="H710" i="1" a="1"/>
  <c r="H710" i="1"/>
  <c r="I710" i="1"/>
  <c r="B711" i="1"/>
  <c r="C711" i="1"/>
  <c r="D711" i="1"/>
  <c r="E711" i="1"/>
  <c r="F711" i="1"/>
  <c r="G711" i="1"/>
  <c r="H711" i="1" a="1"/>
  <c r="H711" i="1"/>
  <c r="I711" i="1"/>
  <c r="B712" i="1"/>
  <c r="C712" i="1"/>
  <c r="D712" i="1"/>
  <c r="E712" i="1"/>
  <c r="F712" i="1"/>
  <c r="G712" i="1"/>
  <c r="H712" i="1" a="1"/>
  <c r="H712" i="1"/>
  <c r="I712" i="1"/>
  <c r="B713" i="1"/>
  <c r="C713" i="1"/>
  <c r="D713" i="1"/>
  <c r="E713" i="1"/>
  <c r="F713" i="1"/>
  <c r="G713" i="1"/>
  <c r="H713" i="1" a="1"/>
  <c r="H713" i="1"/>
  <c r="I713" i="1"/>
  <c r="B714" i="1"/>
  <c r="C714" i="1"/>
  <c r="D714" i="1"/>
  <c r="E714" i="1"/>
  <c r="F714" i="1"/>
  <c r="G714" i="1"/>
  <c r="H714" i="1" a="1"/>
  <c r="H714" i="1"/>
  <c r="I714" i="1"/>
  <c r="B715" i="1"/>
  <c r="C715" i="1"/>
  <c r="D715" i="1"/>
  <c r="E715" i="1"/>
  <c r="F715" i="1"/>
  <c r="G715" i="1"/>
  <c r="H715" i="1" a="1"/>
  <c r="H715" i="1"/>
  <c r="I715" i="1"/>
  <c r="B716" i="1"/>
  <c r="C716" i="1"/>
  <c r="D716" i="1"/>
  <c r="E716" i="1"/>
  <c r="F716" i="1"/>
  <c r="G716" i="1"/>
  <c r="H716" i="1" a="1"/>
  <c r="H716" i="1"/>
  <c r="I716" i="1"/>
  <c r="B717" i="1"/>
  <c r="C717" i="1"/>
  <c r="D717" i="1"/>
  <c r="E717" i="1"/>
  <c r="F717" i="1"/>
  <c r="G717" i="1"/>
  <c r="H717" i="1" a="1"/>
  <c r="H717" i="1"/>
  <c r="I717" i="1"/>
  <c r="B718" i="1"/>
  <c r="C718" i="1"/>
  <c r="D718" i="1"/>
  <c r="E718" i="1"/>
  <c r="F718" i="1"/>
  <c r="G718" i="1"/>
  <c r="H718" i="1" a="1"/>
  <c r="H718" i="1"/>
  <c r="I718" i="1"/>
  <c r="B719" i="1"/>
  <c r="C719" i="1"/>
  <c r="D719" i="1"/>
  <c r="E719" i="1"/>
  <c r="F719" i="1"/>
  <c r="G719" i="1"/>
  <c r="H719" i="1" a="1"/>
  <c r="H719" i="1"/>
  <c r="I719" i="1"/>
  <c r="B720" i="1"/>
  <c r="C720" i="1"/>
  <c r="D720" i="1"/>
  <c r="E720" i="1"/>
  <c r="F720" i="1"/>
  <c r="G720" i="1"/>
  <c r="H720" i="1" a="1"/>
  <c r="H720" i="1"/>
  <c r="I720" i="1"/>
  <c r="B721" i="1"/>
  <c r="C721" i="1"/>
  <c r="D721" i="1"/>
  <c r="E721" i="1"/>
  <c r="F721" i="1"/>
  <c r="G721" i="1"/>
  <c r="H721" i="1" a="1"/>
  <c r="H721" i="1"/>
  <c r="I721" i="1"/>
  <c r="B722" i="1"/>
  <c r="C722" i="1"/>
  <c r="D722" i="1"/>
  <c r="E722" i="1"/>
  <c r="F722" i="1"/>
  <c r="G722" i="1"/>
  <c r="H722" i="1" a="1"/>
  <c r="H722" i="1"/>
  <c r="I722" i="1"/>
  <c r="B723" i="1"/>
  <c r="C723" i="1"/>
  <c r="D723" i="1"/>
  <c r="E723" i="1"/>
  <c r="F723" i="1"/>
  <c r="G723" i="1"/>
  <c r="H723" i="1" a="1"/>
  <c r="H723" i="1"/>
  <c r="I723" i="1"/>
  <c r="B724" i="1"/>
  <c r="C724" i="1"/>
  <c r="D724" i="1"/>
  <c r="E724" i="1"/>
  <c r="F724" i="1"/>
  <c r="G724" i="1"/>
  <c r="H724" i="1" a="1"/>
  <c r="H724" i="1"/>
  <c r="I724" i="1"/>
  <c r="B725" i="1"/>
  <c r="C725" i="1"/>
  <c r="D725" i="1"/>
  <c r="E725" i="1"/>
  <c r="F725" i="1"/>
  <c r="G725" i="1"/>
  <c r="H725" i="1" a="1"/>
  <c r="H725" i="1"/>
  <c r="I725" i="1"/>
  <c r="B726" i="1"/>
  <c r="C726" i="1"/>
  <c r="D726" i="1"/>
  <c r="E726" i="1"/>
  <c r="F726" i="1"/>
  <c r="G726" i="1"/>
  <c r="H726" i="1" a="1"/>
  <c r="H726" i="1"/>
  <c r="I726" i="1"/>
  <c r="B727" i="1"/>
  <c r="C727" i="1"/>
  <c r="D727" i="1"/>
  <c r="E727" i="1"/>
  <c r="F727" i="1"/>
  <c r="G727" i="1"/>
  <c r="H727" i="1" a="1"/>
  <c r="H727" i="1"/>
  <c r="I727" i="1"/>
  <c r="B728" i="1"/>
  <c r="C728" i="1"/>
  <c r="D728" i="1"/>
  <c r="E728" i="1"/>
  <c r="F728" i="1"/>
  <c r="G728" i="1"/>
  <c r="H728" i="1" a="1"/>
  <c r="H728" i="1"/>
  <c r="I728" i="1"/>
  <c r="B729" i="1"/>
  <c r="C729" i="1"/>
  <c r="D729" i="1"/>
  <c r="E729" i="1"/>
  <c r="F729" i="1"/>
  <c r="G729" i="1"/>
  <c r="H729" i="1" a="1"/>
  <c r="H729" i="1"/>
  <c r="I729" i="1"/>
  <c r="B730" i="1"/>
  <c r="C730" i="1"/>
  <c r="D730" i="1"/>
  <c r="E730" i="1"/>
  <c r="F730" i="1"/>
  <c r="G730" i="1"/>
  <c r="H730" i="1" a="1"/>
  <c r="H730" i="1"/>
  <c r="I730" i="1"/>
  <c r="B731" i="1"/>
  <c r="C731" i="1"/>
  <c r="D731" i="1"/>
  <c r="E731" i="1"/>
  <c r="F731" i="1"/>
  <c r="G731" i="1"/>
  <c r="H731" i="1" a="1"/>
  <c r="H731" i="1"/>
  <c r="I731" i="1"/>
  <c r="B732" i="1"/>
  <c r="C732" i="1"/>
  <c r="D732" i="1"/>
  <c r="E732" i="1"/>
  <c r="F732" i="1"/>
  <c r="G732" i="1"/>
  <c r="H732" i="1" a="1"/>
  <c r="H732" i="1"/>
  <c r="I732" i="1"/>
  <c r="B733" i="1"/>
  <c r="C733" i="1"/>
  <c r="D733" i="1"/>
  <c r="E733" i="1"/>
  <c r="F733" i="1"/>
  <c r="G733" i="1"/>
  <c r="H733" i="1" a="1"/>
  <c r="H733" i="1"/>
  <c r="I733" i="1"/>
  <c r="B734" i="1"/>
  <c r="C734" i="1"/>
  <c r="D734" i="1"/>
  <c r="E734" i="1"/>
  <c r="F734" i="1"/>
  <c r="G734" i="1"/>
  <c r="H734" i="1" a="1"/>
  <c r="H734" i="1"/>
  <c r="I734" i="1"/>
  <c r="B735" i="1"/>
  <c r="C735" i="1"/>
  <c r="D735" i="1"/>
  <c r="E735" i="1"/>
  <c r="F735" i="1"/>
  <c r="G735" i="1"/>
  <c r="H735" i="1" a="1"/>
  <c r="H735" i="1"/>
  <c r="I735" i="1"/>
  <c r="B736" i="1"/>
  <c r="C736" i="1"/>
  <c r="D736" i="1"/>
  <c r="E736" i="1"/>
  <c r="F736" i="1"/>
  <c r="G736" i="1"/>
  <c r="H736" i="1" a="1"/>
  <c r="H736" i="1"/>
  <c r="I736" i="1"/>
  <c r="B737" i="1"/>
  <c r="C737" i="1"/>
  <c r="D737" i="1"/>
  <c r="E737" i="1"/>
  <c r="F737" i="1"/>
  <c r="G737" i="1"/>
  <c r="H737" i="1" a="1"/>
  <c r="H737" i="1"/>
  <c r="I737" i="1"/>
  <c r="B738" i="1"/>
  <c r="C738" i="1"/>
  <c r="D738" i="1"/>
  <c r="E738" i="1"/>
  <c r="F738" i="1"/>
  <c r="G738" i="1"/>
  <c r="H738" i="1" a="1"/>
  <c r="H738" i="1"/>
  <c r="I738" i="1"/>
  <c r="B739" i="1"/>
  <c r="C739" i="1"/>
  <c r="D739" i="1"/>
  <c r="E739" i="1"/>
  <c r="F739" i="1"/>
  <c r="G739" i="1"/>
  <c r="H739" i="1" a="1"/>
  <c r="H739" i="1"/>
  <c r="I739" i="1"/>
  <c r="B740" i="1"/>
  <c r="C740" i="1"/>
  <c r="D740" i="1"/>
  <c r="E740" i="1"/>
  <c r="F740" i="1"/>
  <c r="G740" i="1"/>
  <c r="H740" i="1" a="1"/>
  <c r="H740" i="1"/>
  <c r="I740" i="1"/>
  <c r="B741" i="1"/>
  <c r="C741" i="1"/>
  <c r="D741" i="1"/>
  <c r="E741" i="1"/>
  <c r="F741" i="1"/>
  <c r="G741" i="1"/>
  <c r="H741" i="1" a="1"/>
  <c r="H741" i="1"/>
  <c r="I741" i="1"/>
  <c r="B742" i="1"/>
  <c r="C742" i="1"/>
  <c r="D742" i="1"/>
  <c r="E742" i="1"/>
  <c r="F742" i="1"/>
  <c r="G742" i="1"/>
  <c r="H742" i="1" a="1"/>
  <c r="H742" i="1"/>
  <c r="I742" i="1"/>
  <c r="B743" i="1"/>
  <c r="C743" i="1"/>
  <c r="D743" i="1"/>
  <c r="E743" i="1"/>
  <c r="F743" i="1"/>
  <c r="G743" i="1"/>
  <c r="H743" i="1" a="1"/>
  <c r="H743" i="1"/>
  <c r="I743" i="1"/>
  <c r="B744" i="1"/>
  <c r="C744" i="1"/>
  <c r="D744" i="1"/>
  <c r="E744" i="1"/>
  <c r="F744" i="1"/>
  <c r="G744" i="1"/>
  <c r="H744" i="1" a="1"/>
  <c r="H744" i="1"/>
  <c r="I744" i="1"/>
  <c r="B745" i="1"/>
  <c r="C745" i="1"/>
  <c r="D745" i="1"/>
  <c r="E745" i="1"/>
  <c r="F745" i="1"/>
  <c r="G745" i="1"/>
  <c r="H745" i="1" a="1"/>
  <c r="H745" i="1"/>
  <c r="I745" i="1"/>
  <c r="B746" i="1"/>
  <c r="C746" i="1"/>
  <c r="D746" i="1"/>
  <c r="E746" i="1"/>
  <c r="F746" i="1"/>
  <c r="G746" i="1"/>
  <c r="H746" i="1" a="1"/>
  <c r="H746" i="1"/>
  <c r="I746" i="1"/>
  <c r="B747" i="1"/>
  <c r="C747" i="1"/>
  <c r="D747" i="1"/>
  <c r="E747" i="1"/>
  <c r="F747" i="1"/>
  <c r="G747" i="1"/>
  <c r="H747" i="1" a="1"/>
  <c r="H747" i="1"/>
  <c r="I747" i="1"/>
  <c r="B748" i="1"/>
  <c r="C748" i="1"/>
  <c r="D748" i="1"/>
  <c r="E748" i="1"/>
  <c r="F748" i="1"/>
  <c r="G748" i="1"/>
  <c r="H748" i="1" a="1"/>
  <c r="H748" i="1"/>
  <c r="I748" i="1"/>
  <c r="B749" i="1"/>
  <c r="C749" i="1"/>
  <c r="D749" i="1"/>
  <c r="E749" i="1"/>
  <c r="F749" i="1"/>
  <c r="G749" i="1"/>
  <c r="H749" i="1" a="1"/>
  <c r="H749" i="1"/>
  <c r="I749" i="1"/>
  <c r="B750" i="1"/>
  <c r="C750" i="1"/>
  <c r="D750" i="1"/>
  <c r="E750" i="1"/>
  <c r="F750" i="1"/>
  <c r="G750" i="1"/>
  <c r="H750" i="1" a="1"/>
  <c r="H750" i="1"/>
  <c r="I750" i="1"/>
  <c r="B751" i="1"/>
  <c r="C751" i="1"/>
  <c r="D751" i="1"/>
  <c r="E751" i="1"/>
  <c r="F751" i="1"/>
  <c r="G751" i="1"/>
  <c r="H751" i="1" a="1"/>
  <c r="H751" i="1"/>
  <c r="I751" i="1"/>
  <c r="B752" i="1"/>
  <c r="C752" i="1"/>
  <c r="D752" i="1"/>
  <c r="E752" i="1"/>
  <c r="F752" i="1"/>
  <c r="G752" i="1"/>
  <c r="H752" i="1" a="1"/>
  <c r="H752" i="1"/>
  <c r="I752" i="1"/>
  <c r="B753" i="1"/>
  <c r="C753" i="1"/>
  <c r="D753" i="1"/>
  <c r="E753" i="1"/>
  <c r="F753" i="1"/>
  <c r="G753" i="1"/>
  <c r="H753" i="1" a="1"/>
  <c r="H753" i="1"/>
  <c r="I753" i="1"/>
  <c r="B754" i="1"/>
  <c r="C754" i="1"/>
  <c r="D754" i="1"/>
  <c r="E754" i="1"/>
  <c r="F754" i="1"/>
  <c r="G754" i="1"/>
  <c r="H754" i="1" a="1"/>
  <c r="H754" i="1"/>
  <c r="I754" i="1"/>
  <c r="B755" i="1"/>
  <c r="C755" i="1"/>
  <c r="D755" i="1"/>
  <c r="E755" i="1"/>
  <c r="F755" i="1"/>
  <c r="G755" i="1"/>
  <c r="H755" i="1" a="1"/>
  <c r="H755" i="1"/>
  <c r="I755" i="1"/>
  <c r="B756" i="1"/>
  <c r="C756" i="1"/>
  <c r="D756" i="1"/>
  <c r="E756" i="1"/>
  <c r="F756" i="1"/>
  <c r="G756" i="1"/>
  <c r="H756" i="1" a="1"/>
  <c r="H756" i="1"/>
  <c r="I756" i="1"/>
  <c r="B757" i="1"/>
  <c r="C757" i="1"/>
  <c r="D757" i="1"/>
  <c r="E757" i="1"/>
  <c r="F757" i="1"/>
  <c r="G757" i="1"/>
  <c r="H757" i="1" a="1"/>
  <c r="H757" i="1"/>
  <c r="I757" i="1"/>
  <c r="B758" i="1"/>
  <c r="C758" i="1"/>
  <c r="D758" i="1"/>
  <c r="E758" i="1"/>
  <c r="F758" i="1"/>
  <c r="G758" i="1"/>
  <c r="H758" i="1" a="1"/>
  <c r="H758" i="1"/>
  <c r="I758" i="1"/>
  <c r="B759" i="1"/>
  <c r="C759" i="1"/>
  <c r="D759" i="1"/>
  <c r="E759" i="1"/>
  <c r="F759" i="1"/>
  <c r="G759" i="1"/>
  <c r="H759" i="1" a="1"/>
  <c r="H759" i="1"/>
  <c r="I759" i="1"/>
  <c r="B760" i="1"/>
  <c r="C760" i="1"/>
  <c r="D760" i="1"/>
  <c r="E760" i="1"/>
  <c r="F760" i="1"/>
  <c r="G760" i="1"/>
  <c r="H760" i="1" a="1"/>
  <c r="H760" i="1"/>
  <c r="I760" i="1"/>
  <c r="B761" i="1"/>
  <c r="C761" i="1"/>
  <c r="D761" i="1"/>
  <c r="E761" i="1"/>
  <c r="F761" i="1"/>
  <c r="G761" i="1"/>
  <c r="H761" i="1" a="1"/>
  <c r="H761" i="1"/>
  <c r="I761" i="1"/>
  <c r="B762" i="1"/>
  <c r="C762" i="1"/>
  <c r="D762" i="1"/>
  <c r="E762" i="1"/>
  <c r="F762" i="1"/>
  <c r="G762" i="1"/>
  <c r="H762" i="1" a="1"/>
  <c r="H762" i="1"/>
  <c r="I762" i="1"/>
  <c r="B763" i="1"/>
  <c r="C763" i="1"/>
  <c r="D763" i="1"/>
  <c r="E763" i="1"/>
  <c r="F763" i="1"/>
  <c r="G763" i="1"/>
  <c r="H763" i="1" a="1"/>
  <c r="H763" i="1"/>
  <c r="I763" i="1"/>
  <c r="B764" i="1"/>
  <c r="C764" i="1"/>
  <c r="D764" i="1"/>
  <c r="E764" i="1"/>
  <c r="F764" i="1"/>
  <c r="G764" i="1"/>
  <c r="H764" i="1" a="1"/>
  <c r="H764" i="1"/>
  <c r="I764" i="1"/>
  <c r="B765" i="1"/>
  <c r="C765" i="1"/>
  <c r="D765" i="1"/>
  <c r="E765" i="1"/>
  <c r="F765" i="1"/>
  <c r="G765" i="1"/>
  <c r="H765" i="1" a="1"/>
  <c r="H765" i="1"/>
  <c r="I765" i="1"/>
  <c r="B766" i="1"/>
  <c r="C766" i="1"/>
  <c r="D766" i="1"/>
  <c r="E766" i="1"/>
  <c r="F766" i="1"/>
  <c r="G766" i="1"/>
  <c r="H766" i="1" a="1"/>
  <c r="H766" i="1"/>
  <c r="I766" i="1"/>
  <c r="B767" i="1"/>
  <c r="C767" i="1"/>
  <c r="D767" i="1"/>
  <c r="E767" i="1"/>
  <c r="F767" i="1"/>
  <c r="G767" i="1"/>
  <c r="H767" i="1" a="1"/>
  <c r="H767" i="1"/>
  <c r="I767" i="1"/>
  <c r="B768" i="1"/>
  <c r="C768" i="1"/>
  <c r="D768" i="1"/>
  <c r="E768" i="1"/>
  <c r="F768" i="1"/>
  <c r="G768" i="1"/>
  <c r="H768" i="1" a="1"/>
  <c r="H768" i="1"/>
  <c r="I768" i="1"/>
  <c r="B769" i="1"/>
  <c r="C769" i="1"/>
  <c r="D769" i="1"/>
  <c r="E769" i="1"/>
  <c r="F769" i="1"/>
  <c r="G769" i="1"/>
  <c r="H769" i="1" a="1"/>
  <c r="H769" i="1"/>
  <c r="I769" i="1"/>
  <c r="B770" i="1"/>
  <c r="C770" i="1"/>
  <c r="D770" i="1"/>
  <c r="E770" i="1"/>
  <c r="F770" i="1"/>
  <c r="G770" i="1"/>
  <c r="H770" i="1" a="1"/>
  <c r="H770" i="1"/>
  <c r="I770" i="1"/>
  <c r="B771" i="1"/>
  <c r="C771" i="1"/>
  <c r="D771" i="1"/>
  <c r="E771" i="1"/>
  <c r="F771" i="1"/>
  <c r="G771" i="1"/>
  <c r="H771" i="1" a="1"/>
  <c r="H771" i="1"/>
  <c r="I771" i="1"/>
  <c r="B772" i="1"/>
  <c r="C772" i="1"/>
  <c r="D772" i="1"/>
  <c r="E772" i="1"/>
  <c r="F772" i="1"/>
  <c r="G772" i="1"/>
  <c r="H772" i="1" a="1"/>
  <c r="H772" i="1"/>
  <c r="I772" i="1"/>
  <c r="B773" i="1"/>
  <c r="C773" i="1"/>
  <c r="D773" i="1"/>
  <c r="E773" i="1"/>
  <c r="F773" i="1"/>
  <c r="G773" i="1"/>
  <c r="H773" i="1" a="1"/>
  <c r="H773" i="1"/>
  <c r="I773" i="1"/>
  <c r="B774" i="1"/>
  <c r="C774" i="1"/>
  <c r="D774" i="1"/>
  <c r="E774" i="1"/>
  <c r="F774" i="1"/>
  <c r="G774" i="1"/>
  <c r="H774" i="1" a="1"/>
  <c r="H774" i="1"/>
  <c r="I774" i="1"/>
  <c r="B775" i="1"/>
  <c r="C775" i="1"/>
  <c r="D775" i="1"/>
  <c r="E775" i="1"/>
  <c r="F775" i="1"/>
  <c r="G775" i="1"/>
  <c r="H775" i="1" a="1"/>
  <c r="H775" i="1"/>
  <c r="I775" i="1"/>
  <c r="B776" i="1"/>
  <c r="C776" i="1"/>
  <c r="D776" i="1"/>
  <c r="E776" i="1"/>
  <c r="F776" i="1"/>
  <c r="G776" i="1"/>
  <c r="H776" i="1" a="1"/>
  <c r="H776" i="1"/>
  <c r="I776" i="1"/>
  <c r="B777" i="1"/>
  <c r="C777" i="1"/>
  <c r="D777" i="1"/>
  <c r="E777" i="1"/>
  <c r="F777" i="1"/>
  <c r="G777" i="1"/>
  <c r="H777" i="1" a="1"/>
  <c r="H777" i="1"/>
  <c r="I777" i="1"/>
  <c r="B778" i="1"/>
  <c r="C778" i="1"/>
  <c r="D778" i="1"/>
  <c r="E778" i="1"/>
  <c r="F778" i="1"/>
  <c r="G778" i="1"/>
  <c r="H778" i="1" a="1"/>
  <c r="H778" i="1"/>
  <c r="I778" i="1"/>
  <c r="B779" i="1"/>
  <c r="C779" i="1"/>
  <c r="D779" i="1"/>
  <c r="E779" i="1"/>
  <c r="F779" i="1"/>
  <c r="G779" i="1"/>
  <c r="H779" i="1" a="1"/>
  <c r="H779" i="1"/>
  <c r="I779" i="1"/>
  <c r="B780" i="1"/>
  <c r="C780" i="1"/>
  <c r="D780" i="1"/>
  <c r="E780" i="1"/>
  <c r="F780" i="1"/>
  <c r="G780" i="1"/>
  <c r="H780" i="1" a="1"/>
  <c r="H780" i="1"/>
  <c r="I780" i="1"/>
  <c r="B781" i="1"/>
  <c r="C781" i="1"/>
  <c r="D781" i="1"/>
  <c r="E781" i="1"/>
  <c r="F781" i="1"/>
  <c r="G781" i="1"/>
  <c r="H781" i="1" a="1"/>
  <c r="H781" i="1"/>
  <c r="I781" i="1"/>
  <c r="B782" i="1"/>
  <c r="C782" i="1"/>
  <c r="D782" i="1"/>
  <c r="E782" i="1"/>
  <c r="F782" i="1"/>
  <c r="G782" i="1"/>
  <c r="H782" i="1" a="1"/>
  <c r="H782" i="1"/>
  <c r="I782" i="1"/>
  <c r="B783" i="1"/>
  <c r="C783" i="1"/>
  <c r="D783" i="1"/>
  <c r="E783" i="1"/>
  <c r="F783" i="1"/>
  <c r="G783" i="1"/>
  <c r="H783" i="1" a="1"/>
  <c r="H783" i="1"/>
  <c r="I783" i="1"/>
  <c r="B784" i="1"/>
  <c r="C784" i="1"/>
  <c r="D784" i="1"/>
  <c r="E784" i="1"/>
  <c r="F784" i="1"/>
  <c r="G784" i="1"/>
  <c r="H784" i="1" a="1"/>
  <c r="H784" i="1"/>
  <c r="I784" i="1"/>
  <c r="B785" i="1"/>
  <c r="C785" i="1"/>
  <c r="D785" i="1"/>
  <c r="E785" i="1"/>
  <c r="F785" i="1"/>
  <c r="G785" i="1"/>
  <c r="H785" i="1" a="1"/>
  <c r="H785" i="1"/>
  <c r="I785" i="1"/>
  <c r="B786" i="1"/>
  <c r="C786" i="1"/>
  <c r="D786" i="1"/>
  <c r="E786" i="1"/>
  <c r="F786" i="1"/>
  <c r="G786" i="1"/>
  <c r="H786" i="1" a="1"/>
  <c r="H786" i="1"/>
  <c r="I786" i="1"/>
  <c r="B787" i="1"/>
  <c r="C787" i="1"/>
  <c r="D787" i="1"/>
  <c r="E787" i="1"/>
  <c r="F787" i="1"/>
  <c r="G787" i="1"/>
  <c r="H787" i="1" a="1"/>
  <c r="H787" i="1"/>
  <c r="I787" i="1"/>
  <c r="B788" i="1"/>
  <c r="C788" i="1"/>
  <c r="D788" i="1"/>
  <c r="E788" i="1"/>
  <c r="F788" i="1"/>
  <c r="G788" i="1"/>
  <c r="H788" i="1" a="1"/>
  <c r="H788" i="1"/>
  <c r="I788" i="1"/>
  <c r="B789" i="1"/>
  <c r="C789" i="1"/>
  <c r="D789" i="1"/>
  <c r="E789" i="1"/>
  <c r="F789" i="1"/>
  <c r="G789" i="1"/>
  <c r="H789" i="1" a="1"/>
  <c r="H789" i="1"/>
  <c r="I789" i="1"/>
  <c r="B790" i="1"/>
  <c r="C790" i="1"/>
  <c r="D790" i="1"/>
  <c r="E790" i="1"/>
  <c r="F790" i="1"/>
  <c r="G790" i="1"/>
  <c r="H790" i="1" a="1"/>
  <c r="H790" i="1"/>
  <c r="I790" i="1"/>
  <c r="B791" i="1"/>
  <c r="C791" i="1"/>
  <c r="D791" i="1"/>
  <c r="E791" i="1"/>
  <c r="F791" i="1"/>
  <c r="G791" i="1"/>
  <c r="H791" i="1" a="1"/>
  <c r="H791" i="1"/>
  <c r="I791" i="1"/>
  <c r="B792" i="1"/>
  <c r="C792" i="1"/>
  <c r="D792" i="1"/>
  <c r="E792" i="1"/>
  <c r="F792" i="1"/>
  <c r="G792" i="1"/>
  <c r="H792" i="1" a="1"/>
  <c r="H792" i="1"/>
  <c r="I792" i="1"/>
  <c r="B793" i="1"/>
  <c r="C793" i="1"/>
  <c r="D793" i="1"/>
  <c r="E793" i="1"/>
  <c r="F793" i="1"/>
  <c r="G793" i="1"/>
  <c r="H793" i="1" a="1"/>
  <c r="H793" i="1"/>
  <c r="I793" i="1"/>
  <c r="B794" i="1"/>
  <c r="C794" i="1"/>
  <c r="D794" i="1"/>
  <c r="E794" i="1"/>
  <c r="F794" i="1"/>
  <c r="G794" i="1"/>
  <c r="H794" i="1" a="1"/>
  <c r="H794" i="1"/>
  <c r="I794" i="1"/>
  <c r="B795" i="1"/>
  <c r="C795" i="1"/>
  <c r="D795" i="1"/>
  <c r="E795" i="1"/>
  <c r="F795" i="1"/>
  <c r="G795" i="1"/>
  <c r="H795" i="1" a="1"/>
  <c r="H795" i="1"/>
  <c r="I795" i="1"/>
  <c r="B796" i="1"/>
  <c r="C796" i="1"/>
  <c r="D796" i="1"/>
  <c r="E796" i="1"/>
  <c r="F796" i="1"/>
  <c r="G796" i="1"/>
  <c r="H796" i="1" a="1"/>
  <c r="H796" i="1"/>
  <c r="I796" i="1"/>
  <c r="B797" i="1"/>
  <c r="C797" i="1"/>
  <c r="D797" i="1"/>
  <c r="E797" i="1"/>
  <c r="F797" i="1"/>
  <c r="G797" i="1"/>
  <c r="H797" i="1" a="1"/>
  <c r="H797" i="1"/>
  <c r="I797" i="1"/>
  <c r="B798" i="1"/>
  <c r="C798" i="1"/>
  <c r="D798" i="1"/>
  <c r="E798" i="1"/>
  <c r="F798" i="1"/>
  <c r="G798" i="1"/>
  <c r="H798" i="1" a="1"/>
  <c r="H798" i="1"/>
  <c r="I798" i="1"/>
  <c r="B799" i="1"/>
  <c r="C799" i="1"/>
  <c r="D799" i="1"/>
  <c r="E799" i="1"/>
  <c r="F799" i="1"/>
  <c r="G799" i="1"/>
  <c r="H799" i="1" a="1"/>
  <c r="H799" i="1"/>
  <c r="I799" i="1"/>
  <c r="B800" i="1"/>
  <c r="C800" i="1"/>
  <c r="D800" i="1"/>
  <c r="E800" i="1"/>
  <c r="F800" i="1"/>
  <c r="G800" i="1"/>
  <c r="H800" i="1" a="1"/>
  <c r="H800" i="1"/>
  <c r="I800" i="1"/>
  <c r="B801" i="1"/>
  <c r="C801" i="1"/>
  <c r="D801" i="1"/>
  <c r="E801" i="1"/>
  <c r="F801" i="1"/>
  <c r="G801" i="1"/>
  <c r="H801" i="1" a="1"/>
  <c r="H801" i="1"/>
  <c r="I801" i="1"/>
  <c r="B802" i="1"/>
  <c r="C802" i="1"/>
  <c r="D802" i="1"/>
  <c r="E802" i="1"/>
  <c r="F802" i="1"/>
  <c r="G802" i="1"/>
  <c r="H802" i="1" a="1"/>
  <c r="H802" i="1"/>
  <c r="I802" i="1"/>
  <c r="B803" i="1"/>
  <c r="C803" i="1"/>
  <c r="D803" i="1"/>
  <c r="E803" i="1"/>
  <c r="F803" i="1"/>
  <c r="G803" i="1"/>
  <c r="H803" i="1" a="1"/>
  <c r="H803" i="1"/>
  <c r="I803" i="1"/>
  <c r="B804" i="1"/>
  <c r="C804" i="1"/>
  <c r="D804" i="1"/>
  <c r="E804" i="1"/>
  <c r="F804" i="1"/>
  <c r="G804" i="1"/>
  <c r="H804" i="1" a="1"/>
  <c r="H804" i="1"/>
  <c r="I804" i="1"/>
  <c r="B805" i="1"/>
  <c r="C805" i="1"/>
  <c r="D805" i="1"/>
  <c r="E805" i="1"/>
  <c r="F805" i="1"/>
  <c r="G805" i="1"/>
  <c r="H805" i="1" a="1"/>
  <c r="H805" i="1"/>
  <c r="I805" i="1"/>
  <c r="B806" i="1"/>
  <c r="C806" i="1"/>
  <c r="D806" i="1"/>
  <c r="E806" i="1"/>
  <c r="F806" i="1"/>
  <c r="G806" i="1"/>
  <c r="H806" i="1" a="1"/>
  <c r="H806" i="1"/>
  <c r="I806" i="1"/>
  <c r="B807" i="1"/>
  <c r="C807" i="1"/>
  <c r="D807" i="1"/>
  <c r="E807" i="1"/>
  <c r="F807" i="1"/>
  <c r="G807" i="1"/>
  <c r="H807" i="1" a="1"/>
  <c r="H807" i="1"/>
  <c r="I807" i="1"/>
  <c r="B808" i="1"/>
  <c r="C808" i="1"/>
  <c r="D808" i="1"/>
  <c r="E808" i="1"/>
  <c r="F808" i="1"/>
  <c r="G808" i="1"/>
  <c r="H808" i="1" a="1"/>
  <c r="H808" i="1"/>
  <c r="I808" i="1"/>
  <c r="B809" i="1"/>
  <c r="C809" i="1"/>
  <c r="D809" i="1"/>
  <c r="E809" i="1"/>
  <c r="F809" i="1"/>
  <c r="G809" i="1"/>
  <c r="H809" i="1" a="1"/>
  <c r="H809" i="1"/>
  <c r="I809" i="1"/>
  <c r="B810" i="1"/>
  <c r="C810" i="1"/>
  <c r="D810" i="1"/>
  <c r="E810" i="1"/>
  <c r="F810" i="1"/>
  <c r="G810" i="1"/>
  <c r="H810" i="1" a="1"/>
  <c r="H810" i="1"/>
  <c r="I810" i="1"/>
  <c r="B811" i="1"/>
  <c r="C811" i="1"/>
  <c r="D811" i="1"/>
  <c r="E811" i="1"/>
  <c r="F811" i="1"/>
  <c r="G811" i="1"/>
  <c r="H811" i="1" a="1"/>
  <c r="H811" i="1"/>
  <c r="I811" i="1"/>
  <c r="B812" i="1"/>
  <c r="C812" i="1"/>
  <c r="D812" i="1"/>
  <c r="E812" i="1"/>
  <c r="F812" i="1"/>
  <c r="G812" i="1"/>
  <c r="H812" i="1" a="1"/>
  <c r="H812" i="1"/>
  <c r="I812" i="1"/>
  <c r="B813" i="1"/>
  <c r="C813" i="1"/>
  <c r="D813" i="1"/>
  <c r="E813" i="1"/>
  <c r="F813" i="1"/>
  <c r="G813" i="1"/>
  <c r="H813" i="1" a="1"/>
  <c r="H813" i="1"/>
  <c r="I813" i="1"/>
  <c r="B814" i="1"/>
  <c r="C814" i="1"/>
  <c r="D814" i="1"/>
  <c r="E814" i="1"/>
  <c r="F814" i="1"/>
  <c r="G814" i="1"/>
  <c r="H814" i="1" a="1"/>
  <c r="H814" i="1"/>
  <c r="I814" i="1"/>
  <c r="B815" i="1"/>
  <c r="C815" i="1"/>
  <c r="D815" i="1"/>
  <c r="E815" i="1"/>
  <c r="F815" i="1"/>
  <c r="G815" i="1"/>
  <c r="H815" i="1" a="1"/>
  <c r="H815" i="1"/>
  <c r="I815" i="1"/>
  <c r="B816" i="1"/>
  <c r="C816" i="1"/>
  <c r="D816" i="1"/>
  <c r="E816" i="1"/>
  <c r="F816" i="1"/>
  <c r="G816" i="1"/>
  <c r="H816" i="1" a="1"/>
  <c r="H816" i="1"/>
  <c r="I816" i="1"/>
  <c r="B817" i="1"/>
  <c r="C817" i="1"/>
  <c r="D817" i="1"/>
  <c r="E817" i="1"/>
  <c r="F817" i="1"/>
  <c r="G817" i="1"/>
  <c r="H817" i="1" a="1"/>
  <c r="H817" i="1"/>
  <c r="I817" i="1"/>
  <c r="B818" i="1"/>
  <c r="C818" i="1"/>
  <c r="D818" i="1"/>
  <c r="E818" i="1"/>
  <c r="F818" i="1"/>
  <c r="G818" i="1"/>
  <c r="H818" i="1" a="1"/>
  <c r="H818" i="1"/>
  <c r="I818" i="1"/>
  <c r="B819" i="1"/>
  <c r="C819" i="1"/>
  <c r="D819" i="1"/>
  <c r="E819" i="1"/>
  <c r="F819" i="1"/>
  <c r="G819" i="1"/>
  <c r="H819" i="1" a="1"/>
  <c r="H819" i="1"/>
  <c r="I819" i="1"/>
  <c r="B820" i="1"/>
  <c r="C820" i="1"/>
  <c r="D820" i="1"/>
  <c r="E820" i="1"/>
  <c r="F820" i="1"/>
  <c r="G820" i="1"/>
  <c r="H820" i="1" a="1"/>
  <c r="H820" i="1"/>
  <c r="I820" i="1"/>
  <c r="B821" i="1"/>
  <c r="C821" i="1"/>
  <c r="D821" i="1"/>
  <c r="E821" i="1"/>
  <c r="F821" i="1"/>
  <c r="G821" i="1"/>
  <c r="H821" i="1" a="1"/>
  <c r="H821" i="1"/>
  <c r="I821" i="1"/>
  <c r="B822" i="1"/>
  <c r="C822" i="1"/>
  <c r="D822" i="1"/>
  <c r="E822" i="1"/>
  <c r="F822" i="1"/>
  <c r="G822" i="1"/>
  <c r="H822" i="1" a="1"/>
  <c r="H822" i="1"/>
  <c r="I822" i="1"/>
  <c r="B823" i="1"/>
  <c r="C823" i="1"/>
  <c r="D823" i="1"/>
  <c r="E823" i="1"/>
  <c r="F823" i="1"/>
  <c r="G823" i="1"/>
  <c r="H823" i="1" a="1"/>
  <c r="H823" i="1"/>
  <c r="I823" i="1"/>
  <c r="B824" i="1"/>
  <c r="C824" i="1"/>
  <c r="D824" i="1"/>
  <c r="E824" i="1"/>
  <c r="F824" i="1"/>
  <c r="G824" i="1"/>
  <c r="H824" i="1" a="1"/>
  <c r="H824" i="1"/>
  <c r="I824" i="1"/>
  <c r="B825" i="1"/>
  <c r="C825" i="1"/>
  <c r="D825" i="1"/>
  <c r="E825" i="1"/>
  <c r="F825" i="1"/>
  <c r="G825" i="1"/>
  <c r="H825" i="1" a="1"/>
  <c r="H825" i="1"/>
  <c r="I825" i="1"/>
  <c r="B826" i="1"/>
  <c r="C826" i="1"/>
  <c r="D826" i="1"/>
  <c r="E826" i="1"/>
  <c r="F826" i="1"/>
  <c r="G826" i="1"/>
  <c r="H826" i="1" a="1"/>
  <c r="H826" i="1"/>
  <c r="I826" i="1"/>
  <c r="B827" i="1"/>
  <c r="C827" i="1"/>
  <c r="D827" i="1"/>
  <c r="E827" i="1"/>
  <c r="F827" i="1"/>
  <c r="G827" i="1"/>
  <c r="H827" i="1" a="1"/>
  <c r="H827" i="1"/>
  <c r="I827" i="1"/>
  <c r="B828" i="1"/>
  <c r="C828" i="1"/>
  <c r="D828" i="1"/>
  <c r="E828" i="1"/>
  <c r="F828" i="1"/>
  <c r="G828" i="1"/>
  <c r="H828" i="1" a="1"/>
  <c r="H828" i="1"/>
  <c r="I828" i="1"/>
  <c r="B829" i="1"/>
  <c r="C829" i="1"/>
  <c r="D829" i="1"/>
  <c r="E829" i="1"/>
  <c r="F829" i="1"/>
  <c r="G829" i="1"/>
  <c r="H829" i="1" a="1"/>
  <c r="H829" i="1"/>
  <c r="I829" i="1"/>
  <c r="B830" i="1"/>
  <c r="C830" i="1"/>
  <c r="D830" i="1"/>
  <c r="E830" i="1"/>
  <c r="F830" i="1"/>
  <c r="G830" i="1"/>
  <c r="H830" i="1" a="1"/>
  <c r="H830" i="1"/>
  <c r="I830" i="1"/>
  <c r="B831" i="1"/>
  <c r="C831" i="1"/>
  <c r="D831" i="1"/>
  <c r="E831" i="1"/>
  <c r="F831" i="1"/>
  <c r="G831" i="1"/>
  <c r="H831" i="1" a="1"/>
  <c r="H831" i="1"/>
  <c r="I831" i="1"/>
  <c r="B832" i="1"/>
  <c r="C832" i="1"/>
  <c r="D832" i="1"/>
  <c r="E832" i="1"/>
  <c r="F832" i="1"/>
  <c r="G832" i="1"/>
  <c r="H832" i="1" a="1"/>
  <c r="H832" i="1"/>
  <c r="I832" i="1"/>
  <c r="B833" i="1"/>
  <c r="C833" i="1"/>
  <c r="D833" i="1"/>
  <c r="E833" i="1"/>
  <c r="F833" i="1"/>
  <c r="G833" i="1"/>
  <c r="H833" i="1" a="1"/>
  <c r="H833" i="1"/>
  <c r="I833" i="1"/>
  <c r="B834" i="1"/>
  <c r="C834" i="1"/>
  <c r="D834" i="1"/>
  <c r="E834" i="1"/>
  <c r="F834" i="1"/>
  <c r="G834" i="1"/>
  <c r="H834" i="1" a="1"/>
  <c r="H834" i="1"/>
  <c r="I834" i="1"/>
  <c r="B835" i="1"/>
  <c r="C835" i="1"/>
  <c r="D835" i="1"/>
  <c r="E835" i="1"/>
  <c r="F835" i="1"/>
  <c r="G835" i="1"/>
  <c r="H835" i="1" a="1"/>
  <c r="H835" i="1"/>
  <c r="I835" i="1"/>
  <c r="B836" i="1"/>
  <c r="C836" i="1"/>
  <c r="D836" i="1"/>
  <c r="E836" i="1"/>
  <c r="F836" i="1"/>
  <c r="G836" i="1"/>
  <c r="H836" i="1" a="1"/>
  <c r="H836" i="1"/>
  <c r="I836" i="1"/>
  <c r="B837" i="1"/>
  <c r="C837" i="1"/>
  <c r="D837" i="1"/>
  <c r="E837" i="1"/>
  <c r="F837" i="1"/>
  <c r="G837" i="1"/>
  <c r="H837" i="1" a="1"/>
  <c r="H837" i="1"/>
  <c r="I837" i="1"/>
  <c r="B838" i="1"/>
  <c r="C838" i="1"/>
  <c r="D838" i="1"/>
  <c r="E838" i="1"/>
  <c r="F838" i="1"/>
  <c r="G838" i="1"/>
  <c r="H838" i="1" a="1"/>
  <c r="H838" i="1"/>
  <c r="I838" i="1"/>
  <c r="B839" i="1"/>
  <c r="C839" i="1"/>
  <c r="D839" i="1"/>
  <c r="E839" i="1"/>
  <c r="F839" i="1"/>
  <c r="G839" i="1"/>
  <c r="H839" i="1" a="1"/>
  <c r="H839" i="1"/>
  <c r="I839" i="1"/>
  <c r="B840" i="1"/>
  <c r="C840" i="1"/>
  <c r="D840" i="1"/>
  <c r="E840" i="1"/>
  <c r="F840" i="1"/>
  <c r="G840" i="1"/>
  <c r="H840" i="1" a="1"/>
  <c r="H840" i="1"/>
  <c r="I840" i="1"/>
  <c r="B841" i="1"/>
  <c r="C841" i="1"/>
  <c r="D841" i="1"/>
  <c r="E841" i="1"/>
  <c r="F841" i="1"/>
  <c r="G841" i="1"/>
  <c r="H841" i="1" a="1"/>
  <c r="H841" i="1"/>
  <c r="I841" i="1"/>
  <c r="B842" i="1"/>
  <c r="C842" i="1"/>
  <c r="D842" i="1"/>
  <c r="E842" i="1"/>
  <c r="F842" i="1"/>
  <c r="G842" i="1"/>
  <c r="H842" i="1" a="1"/>
  <c r="H842" i="1"/>
  <c r="I842" i="1"/>
  <c r="B843" i="1"/>
  <c r="C843" i="1"/>
  <c r="D843" i="1"/>
  <c r="E843" i="1"/>
  <c r="F843" i="1"/>
  <c r="G843" i="1"/>
  <c r="H843" i="1" a="1"/>
  <c r="H843" i="1"/>
  <c r="I843" i="1"/>
  <c r="B844" i="1"/>
  <c r="C844" i="1"/>
  <c r="D844" i="1"/>
  <c r="E844" i="1"/>
  <c r="F844" i="1"/>
  <c r="G844" i="1"/>
  <c r="H844" i="1" a="1"/>
  <c r="H844" i="1"/>
  <c r="I844" i="1"/>
  <c r="B845" i="1"/>
  <c r="C845" i="1"/>
  <c r="D845" i="1"/>
  <c r="E845" i="1"/>
  <c r="F845" i="1"/>
  <c r="G845" i="1"/>
  <c r="H845" i="1" a="1"/>
  <c r="H845" i="1"/>
  <c r="I845" i="1"/>
  <c r="B846" i="1"/>
  <c r="C846" i="1"/>
  <c r="D846" i="1"/>
  <c r="E846" i="1"/>
  <c r="F846" i="1"/>
  <c r="G846" i="1"/>
  <c r="H846" i="1" a="1"/>
  <c r="H846" i="1"/>
  <c r="I846" i="1"/>
  <c r="B847" i="1"/>
  <c r="C847" i="1"/>
  <c r="D847" i="1"/>
  <c r="E847" i="1"/>
  <c r="F847" i="1"/>
  <c r="G847" i="1"/>
  <c r="H847" i="1" a="1"/>
  <c r="H847" i="1"/>
  <c r="I847" i="1"/>
  <c r="B848" i="1"/>
  <c r="C848" i="1"/>
  <c r="D848" i="1"/>
  <c r="E848" i="1"/>
  <c r="F848" i="1"/>
  <c r="G848" i="1"/>
  <c r="H848" i="1" a="1"/>
  <c r="H848" i="1"/>
  <c r="I848" i="1"/>
  <c r="B849" i="1"/>
  <c r="C849" i="1"/>
  <c r="D849" i="1"/>
  <c r="E849" i="1"/>
  <c r="F849" i="1"/>
  <c r="G849" i="1"/>
  <c r="H849" i="1" a="1"/>
  <c r="H849" i="1"/>
  <c r="I849" i="1"/>
  <c r="B850" i="1"/>
  <c r="C850" i="1"/>
  <c r="D850" i="1"/>
  <c r="E850" i="1"/>
  <c r="F850" i="1"/>
  <c r="G850" i="1"/>
  <c r="H850" i="1" a="1"/>
  <c r="H850" i="1"/>
  <c r="I850" i="1"/>
  <c r="B851" i="1"/>
  <c r="C851" i="1"/>
  <c r="D851" i="1"/>
  <c r="E851" i="1"/>
  <c r="F851" i="1"/>
  <c r="G851" i="1"/>
  <c r="H851" i="1" a="1"/>
  <c r="H851" i="1"/>
  <c r="I851" i="1"/>
  <c r="B852" i="1"/>
  <c r="C852" i="1"/>
  <c r="D852" i="1"/>
  <c r="E852" i="1"/>
  <c r="F852" i="1"/>
  <c r="G852" i="1"/>
  <c r="H852" i="1" a="1"/>
  <c r="H852" i="1"/>
  <c r="I852" i="1"/>
  <c r="B853" i="1"/>
  <c r="C853" i="1"/>
  <c r="D853" i="1"/>
  <c r="E853" i="1"/>
  <c r="F853" i="1"/>
  <c r="G853" i="1"/>
  <c r="H853" i="1" a="1"/>
  <c r="H853" i="1"/>
  <c r="I853" i="1"/>
  <c r="B854" i="1"/>
  <c r="C854" i="1"/>
  <c r="D854" i="1"/>
  <c r="E854" i="1"/>
  <c r="F854" i="1"/>
  <c r="G854" i="1"/>
  <c r="H854" i="1" a="1"/>
  <c r="H854" i="1"/>
  <c r="I854" i="1"/>
  <c r="B855" i="1"/>
  <c r="C855" i="1"/>
  <c r="D855" i="1"/>
  <c r="E855" i="1"/>
  <c r="F855" i="1"/>
  <c r="G855" i="1"/>
  <c r="H855" i="1" a="1"/>
  <c r="H855" i="1"/>
  <c r="I855" i="1"/>
  <c r="B856" i="1"/>
  <c r="C856" i="1"/>
  <c r="D856" i="1"/>
  <c r="E856" i="1"/>
  <c r="F856" i="1"/>
  <c r="G856" i="1"/>
  <c r="H856" i="1" a="1"/>
  <c r="H856" i="1"/>
  <c r="I856" i="1"/>
  <c r="B857" i="1"/>
  <c r="C857" i="1"/>
  <c r="D857" i="1"/>
  <c r="E857" i="1"/>
  <c r="F857" i="1"/>
  <c r="G857" i="1"/>
  <c r="H857" i="1" a="1"/>
  <c r="H857" i="1"/>
  <c r="I857" i="1"/>
  <c r="B858" i="1"/>
  <c r="C858" i="1"/>
  <c r="D858" i="1"/>
  <c r="E858" i="1"/>
  <c r="F858" i="1"/>
  <c r="G858" i="1"/>
  <c r="H858" i="1" a="1"/>
  <c r="H858" i="1"/>
  <c r="I858" i="1"/>
  <c r="B859" i="1"/>
  <c r="C859" i="1"/>
  <c r="D859" i="1"/>
  <c r="E859" i="1"/>
  <c r="F859" i="1"/>
  <c r="G859" i="1"/>
  <c r="H859" i="1" a="1"/>
  <c r="H859" i="1"/>
  <c r="I859" i="1"/>
  <c r="B860" i="1"/>
  <c r="C860" i="1"/>
  <c r="D860" i="1"/>
  <c r="E860" i="1"/>
  <c r="F860" i="1"/>
  <c r="G860" i="1"/>
  <c r="H860" i="1" a="1"/>
  <c r="H860" i="1"/>
  <c r="I860" i="1"/>
  <c r="B861" i="1"/>
  <c r="C861" i="1"/>
  <c r="D861" i="1"/>
  <c r="E861" i="1"/>
  <c r="F861" i="1"/>
  <c r="G861" i="1"/>
  <c r="H861" i="1" a="1"/>
  <c r="H861" i="1"/>
  <c r="I861" i="1"/>
  <c r="B862" i="1"/>
  <c r="C862" i="1"/>
  <c r="D862" i="1"/>
  <c r="E862" i="1"/>
  <c r="F862" i="1"/>
  <c r="G862" i="1"/>
  <c r="H862" i="1" a="1"/>
  <c r="H862" i="1"/>
  <c r="I862" i="1"/>
  <c r="B863" i="1"/>
  <c r="C863" i="1"/>
  <c r="D863" i="1"/>
  <c r="E863" i="1"/>
  <c r="F863" i="1"/>
  <c r="G863" i="1"/>
  <c r="H863" i="1" a="1"/>
  <c r="H863" i="1"/>
  <c r="I863" i="1"/>
  <c r="B864" i="1"/>
  <c r="C864" i="1"/>
  <c r="D864" i="1"/>
  <c r="E864" i="1"/>
  <c r="F864" i="1"/>
  <c r="G864" i="1"/>
  <c r="H864" i="1" a="1"/>
  <c r="H864" i="1"/>
  <c r="I864" i="1"/>
  <c r="B865" i="1"/>
  <c r="C865" i="1"/>
  <c r="D865" i="1"/>
  <c r="E865" i="1"/>
  <c r="F865" i="1"/>
  <c r="G865" i="1"/>
  <c r="H865" i="1" a="1"/>
  <c r="H865" i="1"/>
  <c r="I865" i="1"/>
  <c r="B866" i="1"/>
  <c r="C866" i="1"/>
  <c r="D866" i="1"/>
  <c r="E866" i="1"/>
  <c r="F866" i="1"/>
  <c r="G866" i="1"/>
  <c r="H866" i="1" a="1"/>
  <c r="H866" i="1"/>
  <c r="I866" i="1"/>
  <c r="B867" i="1"/>
  <c r="C867" i="1"/>
  <c r="D867" i="1"/>
  <c r="E867" i="1"/>
  <c r="F867" i="1"/>
  <c r="G867" i="1"/>
  <c r="H867" i="1" a="1"/>
  <c r="H867" i="1"/>
  <c r="I867" i="1"/>
  <c r="B868" i="1"/>
  <c r="C868" i="1"/>
  <c r="D868" i="1"/>
  <c r="E868" i="1"/>
  <c r="F868" i="1"/>
  <c r="G868" i="1"/>
  <c r="H868" i="1" a="1"/>
  <c r="H868" i="1"/>
  <c r="I868" i="1"/>
  <c r="B869" i="1"/>
  <c r="C869" i="1"/>
  <c r="D869" i="1"/>
  <c r="E869" i="1"/>
  <c r="F869" i="1"/>
  <c r="G869" i="1"/>
  <c r="H869" i="1" a="1"/>
  <c r="H869" i="1"/>
  <c r="I869" i="1"/>
  <c r="B870" i="1"/>
  <c r="C870" i="1"/>
  <c r="D870" i="1"/>
  <c r="E870" i="1"/>
  <c r="F870" i="1"/>
  <c r="G870" i="1"/>
  <c r="H870" i="1" a="1"/>
  <c r="H870" i="1"/>
  <c r="I870" i="1"/>
  <c r="B871" i="1"/>
  <c r="C871" i="1"/>
  <c r="D871" i="1"/>
  <c r="E871" i="1"/>
  <c r="F871" i="1"/>
  <c r="G871" i="1"/>
  <c r="H871" i="1" a="1"/>
  <c r="H871" i="1"/>
  <c r="I871" i="1"/>
  <c r="B872" i="1"/>
  <c r="C872" i="1"/>
  <c r="D872" i="1"/>
  <c r="E872" i="1"/>
  <c r="F872" i="1"/>
  <c r="G872" i="1"/>
  <c r="H872" i="1" a="1"/>
  <c r="H872" i="1"/>
  <c r="I872" i="1"/>
  <c r="B873" i="1"/>
  <c r="C873" i="1"/>
  <c r="D873" i="1"/>
  <c r="E873" i="1"/>
  <c r="F873" i="1"/>
  <c r="G873" i="1"/>
  <c r="H873" i="1" a="1"/>
  <c r="H873" i="1"/>
  <c r="I873" i="1"/>
  <c r="B874" i="1"/>
  <c r="C874" i="1"/>
  <c r="D874" i="1"/>
  <c r="E874" i="1"/>
  <c r="F874" i="1"/>
  <c r="G874" i="1"/>
  <c r="H874" i="1" a="1"/>
  <c r="H874" i="1"/>
  <c r="I874" i="1"/>
  <c r="B875" i="1"/>
  <c r="C875" i="1"/>
  <c r="D875" i="1"/>
  <c r="E875" i="1"/>
  <c r="F875" i="1"/>
  <c r="G875" i="1"/>
  <c r="H875" i="1" a="1"/>
  <c r="H875" i="1"/>
  <c r="I875" i="1"/>
  <c r="B876" i="1"/>
  <c r="C876" i="1"/>
  <c r="D876" i="1"/>
  <c r="E876" i="1"/>
  <c r="F876" i="1"/>
  <c r="G876" i="1"/>
  <c r="H876" i="1" a="1"/>
  <c r="H876" i="1"/>
  <c r="I876" i="1"/>
  <c r="B877" i="1"/>
  <c r="C877" i="1"/>
  <c r="D877" i="1"/>
  <c r="E877" i="1"/>
  <c r="F877" i="1"/>
  <c r="G877" i="1"/>
  <c r="H877" i="1" a="1"/>
  <c r="H877" i="1"/>
  <c r="I877" i="1"/>
  <c r="B878" i="1"/>
  <c r="C878" i="1"/>
  <c r="D878" i="1"/>
  <c r="E878" i="1"/>
  <c r="F878" i="1"/>
  <c r="G878" i="1"/>
  <c r="H878" i="1" a="1"/>
  <c r="H878" i="1"/>
  <c r="I878" i="1"/>
  <c r="B879" i="1"/>
  <c r="C879" i="1"/>
  <c r="D879" i="1"/>
  <c r="E879" i="1"/>
  <c r="F879" i="1"/>
  <c r="G879" i="1"/>
  <c r="H879" i="1" a="1"/>
  <c r="H879" i="1"/>
  <c r="I879" i="1"/>
  <c r="B880" i="1"/>
  <c r="C880" i="1"/>
  <c r="D880" i="1"/>
  <c r="E880" i="1"/>
  <c r="F880" i="1"/>
  <c r="G880" i="1"/>
  <c r="H880" i="1" a="1"/>
  <c r="H880" i="1"/>
  <c r="I880" i="1"/>
  <c r="B881" i="1"/>
  <c r="C881" i="1"/>
  <c r="D881" i="1"/>
  <c r="E881" i="1"/>
  <c r="F881" i="1"/>
  <c r="G881" i="1"/>
  <c r="H881" i="1" a="1"/>
  <c r="H881" i="1"/>
  <c r="I881" i="1"/>
  <c r="B882" i="1"/>
  <c r="C882" i="1"/>
  <c r="D882" i="1"/>
  <c r="E882" i="1"/>
  <c r="F882" i="1"/>
  <c r="G882" i="1"/>
  <c r="H882" i="1" a="1"/>
  <c r="H882" i="1"/>
  <c r="I882" i="1"/>
  <c r="B883" i="1"/>
  <c r="C883" i="1"/>
  <c r="D883" i="1"/>
  <c r="E883" i="1"/>
  <c r="F883" i="1"/>
  <c r="G883" i="1"/>
  <c r="H883" i="1" a="1"/>
  <c r="H883" i="1"/>
  <c r="I883" i="1"/>
  <c r="B884" i="1"/>
  <c r="C884" i="1"/>
  <c r="D884" i="1"/>
  <c r="E884" i="1"/>
  <c r="F884" i="1"/>
  <c r="G884" i="1"/>
  <c r="H884" i="1" a="1"/>
  <c r="H884" i="1"/>
  <c r="I884" i="1"/>
  <c r="B885" i="1"/>
  <c r="C885" i="1"/>
  <c r="D885" i="1"/>
  <c r="E885" i="1"/>
  <c r="F885" i="1"/>
  <c r="G885" i="1"/>
  <c r="H885" i="1" a="1"/>
  <c r="H885" i="1"/>
  <c r="I885" i="1"/>
  <c r="B886" i="1"/>
  <c r="C886" i="1"/>
  <c r="D886" i="1"/>
  <c r="E886" i="1"/>
  <c r="F886" i="1"/>
  <c r="G886" i="1"/>
  <c r="H886" i="1" a="1"/>
  <c r="H886" i="1"/>
  <c r="I886" i="1"/>
  <c r="B887" i="1"/>
  <c r="C887" i="1"/>
  <c r="D887" i="1"/>
  <c r="E887" i="1"/>
  <c r="F887" i="1"/>
  <c r="G887" i="1"/>
  <c r="H887" i="1" a="1"/>
  <c r="H887" i="1"/>
  <c r="I887" i="1"/>
  <c r="B888" i="1"/>
  <c r="C888" i="1"/>
  <c r="D888" i="1"/>
  <c r="E888" i="1"/>
  <c r="F888" i="1"/>
  <c r="G888" i="1"/>
  <c r="H888" i="1" a="1"/>
  <c r="H888" i="1"/>
  <c r="I888" i="1"/>
  <c r="B889" i="1"/>
  <c r="C889" i="1"/>
  <c r="D889" i="1"/>
  <c r="E889" i="1"/>
  <c r="F889" i="1"/>
  <c r="G889" i="1"/>
  <c r="H889" i="1" a="1"/>
  <c r="H889" i="1"/>
  <c r="I889" i="1"/>
  <c r="B890" i="1"/>
  <c r="C890" i="1"/>
  <c r="D890" i="1"/>
  <c r="E890" i="1"/>
  <c r="F890" i="1"/>
  <c r="G890" i="1"/>
  <c r="H890" i="1" a="1"/>
  <c r="H890" i="1"/>
  <c r="I890" i="1"/>
  <c r="B891" i="1"/>
  <c r="C891" i="1"/>
  <c r="D891" i="1"/>
  <c r="E891" i="1"/>
  <c r="F891" i="1"/>
  <c r="G891" i="1"/>
  <c r="H891" i="1" a="1"/>
  <c r="H891" i="1"/>
  <c r="I891" i="1"/>
  <c r="B892" i="1"/>
  <c r="C892" i="1"/>
  <c r="D892" i="1"/>
  <c r="E892" i="1"/>
  <c r="F892" i="1"/>
  <c r="G892" i="1"/>
  <c r="H892" i="1" a="1"/>
  <c r="H892" i="1"/>
  <c r="I892" i="1"/>
  <c r="B893" i="1"/>
  <c r="C893" i="1"/>
  <c r="D893" i="1"/>
  <c r="E893" i="1"/>
  <c r="F893" i="1"/>
  <c r="G893" i="1"/>
  <c r="H893" i="1" a="1"/>
  <c r="H893" i="1"/>
  <c r="I893" i="1"/>
  <c r="B894" i="1"/>
  <c r="C894" i="1"/>
  <c r="D894" i="1"/>
  <c r="E894" i="1"/>
  <c r="F894" i="1"/>
  <c r="G894" i="1"/>
  <c r="H894" i="1" a="1"/>
  <c r="H894" i="1"/>
  <c r="I894" i="1"/>
  <c r="B895" i="1"/>
  <c r="C895" i="1"/>
  <c r="D895" i="1"/>
  <c r="E895" i="1"/>
  <c r="F895" i="1"/>
  <c r="G895" i="1"/>
  <c r="H895" i="1" a="1"/>
  <c r="H895" i="1"/>
  <c r="I895" i="1"/>
  <c r="B896" i="1"/>
  <c r="C896" i="1"/>
  <c r="D896" i="1"/>
  <c r="E896" i="1"/>
  <c r="F896" i="1"/>
  <c r="G896" i="1"/>
  <c r="H896" i="1" a="1"/>
  <c r="H896" i="1"/>
  <c r="I896" i="1"/>
  <c r="B897" i="1"/>
  <c r="C897" i="1"/>
  <c r="D897" i="1"/>
  <c r="E897" i="1"/>
  <c r="F897" i="1"/>
  <c r="G897" i="1"/>
  <c r="H897" i="1" a="1"/>
  <c r="H897" i="1"/>
  <c r="I897" i="1"/>
  <c r="B898" i="1"/>
  <c r="C898" i="1"/>
  <c r="D898" i="1"/>
  <c r="E898" i="1"/>
  <c r="F898" i="1"/>
  <c r="G898" i="1"/>
  <c r="H898" i="1" a="1"/>
  <c r="H898" i="1"/>
  <c r="I898" i="1"/>
  <c r="B899" i="1"/>
  <c r="C899" i="1"/>
  <c r="D899" i="1"/>
  <c r="E899" i="1"/>
  <c r="F899" i="1"/>
  <c r="G899" i="1"/>
  <c r="H899" i="1" a="1"/>
  <c r="H899" i="1"/>
  <c r="I899" i="1"/>
  <c r="B900" i="1"/>
  <c r="C900" i="1"/>
  <c r="D900" i="1"/>
  <c r="E900" i="1"/>
  <c r="F900" i="1"/>
  <c r="G900" i="1"/>
  <c r="H900" i="1" a="1"/>
  <c r="H900" i="1"/>
  <c r="I900" i="1"/>
  <c r="B901" i="1"/>
  <c r="C901" i="1"/>
  <c r="D901" i="1"/>
  <c r="E901" i="1"/>
  <c r="F901" i="1"/>
  <c r="G901" i="1"/>
  <c r="H901" i="1" a="1"/>
  <c r="H901" i="1"/>
  <c r="I901" i="1"/>
  <c r="B902" i="1"/>
  <c r="C902" i="1"/>
  <c r="D902" i="1"/>
  <c r="E902" i="1"/>
  <c r="F902" i="1"/>
  <c r="G902" i="1"/>
  <c r="H902" i="1" a="1"/>
  <c r="H902" i="1"/>
  <c r="I902" i="1"/>
  <c r="B903" i="1"/>
  <c r="C903" i="1"/>
  <c r="D903" i="1"/>
  <c r="E903" i="1"/>
  <c r="F903" i="1"/>
  <c r="G903" i="1"/>
  <c r="H903" i="1" a="1"/>
  <c r="H903" i="1"/>
  <c r="I903" i="1"/>
  <c r="B904" i="1"/>
  <c r="C904" i="1"/>
  <c r="D904" i="1"/>
  <c r="E904" i="1"/>
  <c r="F904" i="1"/>
  <c r="G904" i="1"/>
  <c r="H904" i="1" a="1"/>
  <c r="H904" i="1"/>
  <c r="I904" i="1"/>
  <c r="B905" i="1"/>
  <c r="C905" i="1"/>
  <c r="D905" i="1"/>
  <c r="E905" i="1"/>
  <c r="F905" i="1"/>
  <c r="G905" i="1"/>
  <c r="H905" i="1" a="1"/>
  <c r="H905" i="1"/>
  <c r="I905" i="1"/>
  <c r="B906" i="1"/>
  <c r="C906" i="1"/>
  <c r="D906" i="1"/>
  <c r="E906" i="1"/>
  <c r="F906" i="1"/>
  <c r="G906" i="1"/>
  <c r="H906" i="1" a="1"/>
  <c r="H906" i="1"/>
  <c r="I906" i="1"/>
  <c r="B907" i="1"/>
  <c r="C907" i="1"/>
  <c r="D907" i="1"/>
  <c r="E907" i="1"/>
  <c r="F907" i="1"/>
  <c r="G907" i="1"/>
  <c r="H907" i="1" a="1"/>
  <c r="H907" i="1"/>
  <c r="I907" i="1"/>
  <c r="B908" i="1"/>
  <c r="C908" i="1"/>
  <c r="D908" i="1"/>
  <c r="E908" i="1"/>
  <c r="F908" i="1"/>
  <c r="G908" i="1"/>
  <c r="H908" i="1" a="1"/>
  <c r="H908" i="1"/>
  <c r="I908" i="1"/>
  <c r="B909" i="1"/>
  <c r="C909" i="1"/>
  <c r="D909" i="1"/>
  <c r="E909" i="1"/>
  <c r="F909" i="1"/>
  <c r="G909" i="1"/>
  <c r="H909" i="1" a="1"/>
  <c r="H909" i="1"/>
  <c r="I909" i="1"/>
  <c r="B910" i="1"/>
  <c r="C910" i="1"/>
  <c r="D910" i="1"/>
  <c r="E910" i="1"/>
  <c r="F910" i="1"/>
  <c r="G910" i="1"/>
  <c r="H910" i="1" a="1"/>
  <c r="H910" i="1"/>
  <c r="I910" i="1"/>
  <c r="B911" i="1"/>
  <c r="C911" i="1"/>
  <c r="D911" i="1"/>
  <c r="E911" i="1"/>
  <c r="F911" i="1"/>
  <c r="G911" i="1"/>
  <c r="H911" i="1" a="1"/>
  <c r="H911" i="1"/>
  <c r="I911" i="1"/>
  <c r="B912" i="1"/>
  <c r="C912" i="1"/>
  <c r="D912" i="1"/>
  <c r="E912" i="1"/>
  <c r="F912" i="1"/>
  <c r="G912" i="1"/>
  <c r="H912" i="1" a="1"/>
  <c r="H912" i="1"/>
  <c r="I912" i="1"/>
  <c r="B913" i="1"/>
  <c r="C913" i="1"/>
  <c r="D913" i="1"/>
  <c r="E913" i="1"/>
  <c r="F913" i="1"/>
  <c r="G913" i="1"/>
  <c r="H913" i="1" a="1"/>
  <c r="H913" i="1"/>
  <c r="I913" i="1"/>
  <c r="B914" i="1"/>
  <c r="C914" i="1"/>
  <c r="D914" i="1"/>
  <c r="E914" i="1"/>
  <c r="F914" i="1"/>
  <c r="G914" i="1"/>
  <c r="H914" i="1" a="1"/>
  <c r="H914" i="1"/>
  <c r="I914" i="1"/>
  <c r="B915" i="1"/>
  <c r="C915" i="1"/>
  <c r="D915" i="1"/>
  <c r="E915" i="1"/>
  <c r="F915" i="1"/>
  <c r="G915" i="1"/>
  <c r="H915" i="1" a="1"/>
  <c r="H915" i="1"/>
  <c r="I915" i="1"/>
  <c r="B916" i="1"/>
  <c r="C916" i="1"/>
  <c r="D916" i="1"/>
  <c r="E916" i="1"/>
  <c r="F916" i="1"/>
  <c r="G916" i="1"/>
  <c r="H916" i="1" a="1"/>
  <c r="H916" i="1"/>
  <c r="I916" i="1"/>
  <c r="B917" i="1"/>
  <c r="C917" i="1"/>
  <c r="D917" i="1"/>
  <c r="E917" i="1"/>
  <c r="F917" i="1"/>
  <c r="G917" i="1"/>
  <c r="H917" i="1" a="1"/>
  <c r="H917" i="1"/>
  <c r="I917" i="1"/>
  <c r="B918" i="1"/>
  <c r="C918" i="1"/>
  <c r="D918" i="1"/>
  <c r="E918" i="1"/>
  <c r="F918" i="1"/>
  <c r="G918" i="1"/>
  <c r="H918" i="1" a="1"/>
  <c r="H918" i="1"/>
  <c r="I918" i="1"/>
  <c r="B919" i="1"/>
  <c r="C919" i="1"/>
  <c r="D919" i="1"/>
  <c r="E919" i="1"/>
  <c r="F919" i="1"/>
  <c r="G919" i="1"/>
  <c r="H919" i="1" a="1"/>
  <c r="H919" i="1"/>
  <c r="I919" i="1"/>
  <c r="B920" i="1"/>
  <c r="C920" i="1"/>
  <c r="D920" i="1"/>
  <c r="E920" i="1"/>
  <c r="F920" i="1"/>
  <c r="G920" i="1"/>
  <c r="H920" i="1" a="1"/>
  <c r="H920" i="1"/>
  <c r="I920" i="1"/>
  <c r="B921" i="1"/>
  <c r="C921" i="1"/>
  <c r="D921" i="1"/>
  <c r="E921" i="1"/>
  <c r="F921" i="1"/>
  <c r="G921" i="1"/>
  <c r="H921" i="1" a="1"/>
  <c r="H921" i="1"/>
  <c r="I921" i="1"/>
  <c r="B922" i="1"/>
  <c r="C922" i="1"/>
  <c r="D922" i="1"/>
  <c r="E922" i="1"/>
  <c r="F922" i="1"/>
  <c r="G922" i="1"/>
  <c r="H922" i="1" a="1"/>
  <c r="H922" i="1"/>
  <c r="I922" i="1"/>
  <c r="B923" i="1"/>
  <c r="C923" i="1"/>
  <c r="D923" i="1"/>
  <c r="E923" i="1"/>
  <c r="F923" i="1"/>
  <c r="G923" i="1"/>
  <c r="H923" i="1" a="1"/>
  <c r="H923" i="1"/>
  <c r="I923" i="1"/>
  <c r="B924" i="1"/>
  <c r="C924" i="1"/>
  <c r="D924" i="1"/>
  <c r="E924" i="1"/>
  <c r="F924" i="1"/>
  <c r="G924" i="1"/>
  <c r="H924" i="1" a="1"/>
  <c r="H924" i="1"/>
  <c r="I924" i="1"/>
  <c r="B925" i="1"/>
  <c r="C925" i="1"/>
  <c r="D925" i="1"/>
  <c r="E925" i="1"/>
  <c r="F925" i="1"/>
  <c r="G925" i="1"/>
  <c r="H925" i="1" a="1"/>
  <c r="H925" i="1"/>
  <c r="I925" i="1"/>
  <c r="B926" i="1"/>
  <c r="C926" i="1"/>
  <c r="D926" i="1"/>
  <c r="E926" i="1"/>
  <c r="F926" i="1"/>
  <c r="G926" i="1"/>
  <c r="H926" i="1" a="1"/>
  <c r="H926" i="1"/>
  <c r="I926" i="1"/>
  <c r="B927" i="1"/>
  <c r="C927" i="1"/>
  <c r="D927" i="1"/>
  <c r="E927" i="1"/>
  <c r="F927" i="1"/>
  <c r="G927" i="1"/>
  <c r="H927" i="1" a="1"/>
  <c r="H927" i="1"/>
  <c r="I927" i="1"/>
  <c r="B928" i="1"/>
  <c r="C928" i="1"/>
  <c r="D928" i="1"/>
  <c r="E928" i="1"/>
  <c r="F928" i="1"/>
  <c r="G928" i="1"/>
  <c r="H928" i="1" a="1"/>
  <c r="H928" i="1"/>
  <c r="I928" i="1"/>
  <c r="B929" i="1"/>
  <c r="C929" i="1"/>
  <c r="D929" i="1"/>
  <c r="E929" i="1"/>
  <c r="F929" i="1"/>
  <c r="G929" i="1"/>
  <c r="H929" i="1" a="1"/>
  <c r="H929" i="1"/>
  <c r="I929" i="1"/>
  <c r="B930" i="1"/>
  <c r="C930" i="1"/>
  <c r="D930" i="1"/>
  <c r="E930" i="1"/>
  <c r="F930" i="1"/>
  <c r="G930" i="1"/>
  <c r="H930" i="1" a="1"/>
  <c r="H930" i="1"/>
  <c r="I930" i="1"/>
  <c r="B931" i="1"/>
  <c r="C931" i="1"/>
  <c r="D931" i="1"/>
  <c r="E931" i="1"/>
  <c r="F931" i="1"/>
  <c r="G931" i="1"/>
  <c r="H931" i="1" a="1"/>
  <c r="H931" i="1"/>
  <c r="I931" i="1"/>
  <c r="B932" i="1"/>
  <c r="C932" i="1"/>
  <c r="D932" i="1"/>
  <c r="E932" i="1"/>
  <c r="F932" i="1"/>
  <c r="G932" i="1"/>
  <c r="H932" i="1" a="1"/>
  <c r="H932" i="1"/>
  <c r="I932" i="1"/>
  <c r="B933" i="1"/>
  <c r="C933" i="1"/>
  <c r="D933" i="1"/>
  <c r="E933" i="1"/>
  <c r="F933" i="1"/>
  <c r="G933" i="1"/>
  <c r="H933" i="1" a="1"/>
  <c r="H933" i="1"/>
  <c r="I933" i="1"/>
  <c r="B934" i="1"/>
  <c r="C934" i="1"/>
  <c r="D934" i="1"/>
  <c r="E934" i="1"/>
  <c r="F934" i="1"/>
  <c r="G934" i="1"/>
  <c r="H934" i="1" a="1"/>
  <c r="H934" i="1"/>
  <c r="I934" i="1"/>
  <c r="B935" i="1"/>
  <c r="C935" i="1"/>
  <c r="D935" i="1"/>
  <c r="E935" i="1"/>
  <c r="F935" i="1"/>
  <c r="G935" i="1"/>
  <c r="H935" i="1" a="1"/>
  <c r="H935" i="1"/>
  <c r="I935" i="1"/>
  <c r="B936" i="1"/>
  <c r="C936" i="1"/>
  <c r="D936" i="1"/>
  <c r="E936" i="1"/>
  <c r="F936" i="1"/>
  <c r="G936" i="1"/>
  <c r="H936" i="1" a="1"/>
  <c r="H936" i="1"/>
  <c r="I936" i="1"/>
  <c r="B937" i="1"/>
  <c r="C937" i="1"/>
  <c r="D937" i="1"/>
  <c r="E937" i="1"/>
  <c r="F937" i="1"/>
  <c r="G937" i="1"/>
  <c r="H937" i="1" a="1"/>
  <c r="H937" i="1"/>
  <c r="I937" i="1"/>
  <c r="B938" i="1"/>
  <c r="C938" i="1"/>
  <c r="D938" i="1"/>
  <c r="E938" i="1"/>
  <c r="F938" i="1"/>
  <c r="G938" i="1"/>
  <c r="H938" i="1" a="1"/>
  <c r="H938" i="1"/>
  <c r="I938" i="1"/>
  <c r="B939" i="1"/>
  <c r="C939" i="1"/>
  <c r="D939" i="1"/>
  <c r="E939" i="1"/>
  <c r="F939" i="1"/>
  <c r="G939" i="1"/>
  <c r="H939" i="1" a="1"/>
  <c r="H939" i="1"/>
  <c r="I939" i="1"/>
  <c r="B940" i="1"/>
  <c r="C940" i="1"/>
  <c r="D940" i="1"/>
  <c r="E940" i="1"/>
  <c r="F940" i="1"/>
  <c r="G940" i="1"/>
  <c r="H940" i="1" a="1"/>
  <c r="H940" i="1"/>
  <c r="I940" i="1"/>
  <c r="B941" i="1"/>
  <c r="C941" i="1"/>
  <c r="D941" i="1"/>
  <c r="E941" i="1"/>
  <c r="F941" i="1"/>
  <c r="G941" i="1"/>
  <c r="H941" i="1" a="1"/>
  <c r="H941" i="1"/>
  <c r="I941" i="1"/>
  <c r="B942" i="1"/>
  <c r="C942" i="1"/>
  <c r="D942" i="1"/>
  <c r="E942" i="1"/>
  <c r="F942" i="1"/>
  <c r="G942" i="1"/>
  <c r="H942" i="1" a="1"/>
  <c r="H942" i="1"/>
  <c r="I942" i="1"/>
  <c r="B943" i="1"/>
  <c r="C943" i="1"/>
  <c r="D943" i="1"/>
  <c r="E943" i="1"/>
  <c r="F943" i="1"/>
  <c r="G943" i="1"/>
  <c r="H943" i="1" a="1"/>
  <c r="H943" i="1"/>
  <c r="I943" i="1"/>
  <c r="B944" i="1"/>
  <c r="C944" i="1"/>
  <c r="D944" i="1"/>
  <c r="E944" i="1"/>
  <c r="F944" i="1"/>
  <c r="G944" i="1"/>
  <c r="H944" i="1" a="1"/>
  <c r="H944" i="1"/>
  <c r="I944" i="1"/>
  <c r="B945" i="1"/>
  <c r="C945" i="1"/>
  <c r="D945" i="1"/>
  <c r="E945" i="1"/>
  <c r="F945" i="1"/>
  <c r="G945" i="1"/>
  <c r="H945" i="1" a="1"/>
  <c r="H945" i="1"/>
  <c r="I945" i="1"/>
  <c r="B946" i="1"/>
  <c r="C946" i="1"/>
  <c r="D946" i="1"/>
  <c r="E946" i="1"/>
  <c r="F946" i="1"/>
  <c r="G946" i="1"/>
  <c r="H946" i="1" a="1"/>
  <c r="H946" i="1"/>
  <c r="I946" i="1"/>
  <c r="B947" i="1"/>
  <c r="C947" i="1"/>
  <c r="D947" i="1"/>
  <c r="E947" i="1"/>
  <c r="F947" i="1"/>
  <c r="G947" i="1"/>
  <c r="H947" i="1" a="1"/>
  <c r="H947" i="1"/>
  <c r="I947" i="1"/>
  <c r="B948" i="1"/>
  <c r="C948" i="1"/>
  <c r="D948" i="1"/>
  <c r="E948" i="1"/>
  <c r="F948" i="1"/>
  <c r="G948" i="1"/>
  <c r="H948" i="1" a="1"/>
  <c r="H948" i="1"/>
  <c r="I948" i="1"/>
  <c r="B949" i="1"/>
  <c r="C949" i="1"/>
  <c r="D949" i="1"/>
  <c r="E949" i="1"/>
  <c r="F949" i="1"/>
  <c r="G949" i="1"/>
  <c r="H949" i="1" a="1"/>
  <c r="H949" i="1"/>
  <c r="I949" i="1"/>
  <c r="B950" i="1"/>
  <c r="C950" i="1"/>
  <c r="D950" i="1"/>
  <c r="E950" i="1"/>
  <c r="F950" i="1"/>
  <c r="G950" i="1"/>
  <c r="H950" i="1" a="1"/>
  <c r="H950" i="1"/>
  <c r="I950" i="1"/>
  <c r="B951" i="1"/>
  <c r="C951" i="1"/>
  <c r="D951" i="1"/>
  <c r="E951" i="1"/>
  <c r="F951" i="1"/>
  <c r="G951" i="1"/>
  <c r="H951" i="1" a="1"/>
  <c r="H951" i="1"/>
  <c r="I951" i="1"/>
  <c r="B952" i="1"/>
  <c r="C952" i="1"/>
  <c r="D952" i="1"/>
  <c r="E952" i="1"/>
  <c r="F952" i="1"/>
  <c r="G952" i="1"/>
  <c r="H952" i="1" a="1"/>
  <c r="H952" i="1"/>
  <c r="I952" i="1"/>
  <c r="B953" i="1"/>
  <c r="C953" i="1"/>
  <c r="D953" i="1"/>
  <c r="E953" i="1"/>
  <c r="F953" i="1"/>
  <c r="G953" i="1"/>
  <c r="H953" i="1" a="1"/>
  <c r="H953" i="1"/>
  <c r="I953" i="1"/>
  <c r="B954" i="1"/>
  <c r="C954" i="1"/>
  <c r="D954" i="1"/>
  <c r="E954" i="1"/>
  <c r="F954" i="1"/>
  <c r="G954" i="1"/>
  <c r="H954" i="1" a="1"/>
  <c r="H954" i="1"/>
  <c r="I954" i="1"/>
  <c r="B955" i="1"/>
  <c r="C955" i="1"/>
  <c r="D955" i="1"/>
  <c r="E955" i="1"/>
  <c r="F955" i="1"/>
  <c r="G955" i="1"/>
  <c r="H955" i="1" a="1"/>
  <c r="H955" i="1"/>
  <c r="I955" i="1"/>
  <c r="B956" i="1"/>
  <c r="C956" i="1"/>
  <c r="D956" i="1"/>
  <c r="E956" i="1"/>
  <c r="F956" i="1"/>
  <c r="G956" i="1"/>
  <c r="H956" i="1" a="1"/>
  <c r="H956" i="1"/>
  <c r="I956" i="1"/>
  <c r="B957" i="1"/>
  <c r="C957" i="1"/>
  <c r="D957" i="1"/>
  <c r="E957" i="1"/>
  <c r="F957" i="1"/>
  <c r="G957" i="1"/>
  <c r="H957" i="1" a="1"/>
  <c r="H957" i="1"/>
  <c r="I957" i="1"/>
  <c r="B958" i="1"/>
  <c r="C958" i="1"/>
  <c r="D958" i="1"/>
  <c r="E958" i="1"/>
  <c r="F958" i="1"/>
  <c r="G958" i="1"/>
  <c r="H958" i="1" a="1"/>
  <c r="H958" i="1"/>
  <c r="I958" i="1"/>
  <c r="B959" i="1"/>
  <c r="C959" i="1"/>
  <c r="D959" i="1"/>
  <c r="E959" i="1"/>
  <c r="F959" i="1"/>
  <c r="G959" i="1"/>
  <c r="H959" i="1" a="1"/>
  <c r="H959" i="1"/>
  <c r="I959" i="1"/>
  <c r="B960" i="1"/>
  <c r="C960" i="1"/>
  <c r="D960" i="1"/>
  <c r="E960" i="1"/>
  <c r="F960" i="1"/>
  <c r="G960" i="1"/>
  <c r="H960" i="1" a="1"/>
  <c r="H960" i="1"/>
  <c r="I960" i="1"/>
  <c r="B961" i="1"/>
  <c r="C961" i="1"/>
  <c r="D961" i="1"/>
  <c r="E961" i="1"/>
  <c r="F961" i="1"/>
  <c r="G961" i="1"/>
  <c r="H961" i="1" a="1"/>
  <c r="H961" i="1"/>
  <c r="I961" i="1"/>
  <c r="B962" i="1"/>
  <c r="C962" i="1"/>
  <c r="D962" i="1"/>
  <c r="E962" i="1"/>
  <c r="F962" i="1"/>
  <c r="G962" i="1"/>
  <c r="H962" i="1" a="1"/>
  <c r="H962" i="1"/>
  <c r="I962" i="1"/>
  <c r="B963" i="1"/>
  <c r="C963" i="1"/>
  <c r="D963" i="1"/>
  <c r="E963" i="1"/>
  <c r="F963" i="1"/>
  <c r="G963" i="1"/>
  <c r="H963" i="1" a="1"/>
  <c r="H963" i="1"/>
  <c r="I963" i="1"/>
  <c r="B964" i="1"/>
  <c r="C964" i="1"/>
  <c r="D964" i="1"/>
  <c r="E964" i="1"/>
  <c r="F964" i="1"/>
  <c r="G964" i="1"/>
  <c r="H964" i="1" a="1"/>
  <c r="H964" i="1"/>
  <c r="I964" i="1"/>
  <c r="B965" i="1"/>
  <c r="C965" i="1"/>
  <c r="D965" i="1"/>
  <c r="E965" i="1"/>
  <c r="F965" i="1"/>
  <c r="G965" i="1"/>
  <c r="H965" i="1" a="1"/>
  <c r="H965" i="1"/>
  <c r="I965" i="1"/>
  <c r="B966" i="1"/>
  <c r="C966" i="1"/>
  <c r="D966" i="1"/>
  <c r="E966" i="1"/>
  <c r="F966" i="1"/>
  <c r="G966" i="1"/>
  <c r="H966" i="1" a="1"/>
  <c r="H966" i="1"/>
  <c r="I966" i="1"/>
  <c r="B967" i="1"/>
  <c r="C967" i="1"/>
  <c r="D967" i="1"/>
  <c r="E967" i="1"/>
  <c r="F967" i="1"/>
  <c r="G967" i="1"/>
  <c r="H967" i="1" a="1"/>
  <c r="H967" i="1"/>
  <c r="I967" i="1"/>
  <c r="B968" i="1"/>
  <c r="C968" i="1"/>
  <c r="D968" i="1"/>
  <c r="E968" i="1"/>
  <c r="F968" i="1"/>
  <c r="G968" i="1"/>
  <c r="H968" i="1" a="1"/>
  <c r="H968" i="1"/>
  <c r="I968" i="1"/>
  <c r="B969" i="1"/>
  <c r="C969" i="1"/>
  <c r="D969" i="1"/>
  <c r="E969" i="1"/>
  <c r="F969" i="1"/>
  <c r="G969" i="1"/>
  <c r="H969" i="1" a="1"/>
  <c r="H969" i="1"/>
  <c r="I969" i="1"/>
  <c r="B970" i="1"/>
  <c r="C970" i="1"/>
  <c r="D970" i="1"/>
  <c r="E970" i="1"/>
  <c r="F970" i="1"/>
  <c r="G970" i="1"/>
  <c r="H970" i="1" a="1"/>
  <c r="H970" i="1"/>
  <c r="I970" i="1"/>
  <c r="B971" i="1"/>
  <c r="C971" i="1"/>
  <c r="D971" i="1"/>
  <c r="E971" i="1"/>
  <c r="F971" i="1"/>
  <c r="G971" i="1"/>
  <c r="H971" i="1" a="1"/>
  <c r="H971" i="1"/>
  <c r="I971" i="1"/>
  <c r="B972" i="1"/>
  <c r="C972" i="1"/>
  <c r="D972" i="1"/>
  <c r="E972" i="1"/>
  <c r="F972" i="1"/>
  <c r="G972" i="1"/>
  <c r="H972" i="1" a="1"/>
  <c r="H972" i="1"/>
  <c r="I972" i="1"/>
  <c r="B973" i="1"/>
  <c r="C973" i="1"/>
  <c r="D973" i="1"/>
  <c r="E973" i="1"/>
  <c r="F973" i="1"/>
  <c r="G973" i="1"/>
  <c r="H973" i="1" a="1"/>
  <c r="H973" i="1"/>
  <c r="I973" i="1"/>
  <c r="B974" i="1"/>
  <c r="C974" i="1"/>
  <c r="D974" i="1"/>
  <c r="E974" i="1"/>
  <c r="F974" i="1"/>
  <c r="G974" i="1"/>
  <c r="H974" i="1" a="1"/>
  <c r="H974" i="1"/>
  <c r="I974" i="1"/>
  <c r="B975" i="1"/>
  <c r="C975" i="1"/>
  <c r="D975" i="1"/>
  <c r="E975" i="1"/>
  <c r="F975" i="1"/>
  <c r="G975" i="1"/>
  <c r="H975" i="1" a="1"/>
  <c r="H975" i="1"/>
  <c r="I975" i="1"/>
  <c r="B976" i="1"/>
  <c r="C976" i="1"/>
  <c r="D976" i="1"/>
  <c r="E976" i="1"/>
  <c r="F976" i="1"/>
  <c r="G976" i="1"/>
  <c r="H976" i="1" a="1"/>
  <c r="H976" i="1"/>
  <c r="I976" i="1"/>
  <c r="B977" i="1"/>
  <c r="C977" i="1"/>
  <c r="D977" i="1"/>
  <c r="E977" i="1"/>
  <c r="F977" i="1"/>
  <c r="G977" i="1"/>
  <c r="H977" i="1" a="1"/>
  <c r="H977" i="1"/>
  <c r="I977" i="1"/>
  <c r="B978" i="1"/>
  <c r="C978" i="1"/>
  <c r="D978" i="1"/>
  <c r="E978" i="1"/>
  <c r="F978" i="1"/>
  <c r="G978" i="1"/>
  <c r="H978" i="1" a="1"/>
  <c r="H978" i="1"/>
  <c r="I978" i="1"/>
  <c r="B979" i="1"/>
  <c r="C979" i="1"/>
  <c r="D979" i="1"/>
  <c r="E979" i="1"/>
  <c r="F979" i="1"/>
  <c r="G979" i="1"/>
  <c r="H979" i="1" a="1"/>
  <c r="H979" i="1"/>
  <c r="I979" i="1"/>
  <c r="B980" i="1"/>
  <c r="C980" i="1"/>
  <c r="D980" i="1"/>
  <c r="E980" i="1"/>
  <c r="F980" i="1"/>
  <c r="G980" i="1"/>
  <c r="H980" i="1" a="1"/>
  <c r="H980" i="1"/>
  <c r="I980" i="1"/>
  <c r="B981" i="1"/>
  <c r="C981" i="1"/>
  <c r="D981" i="1"/>
  <c r="E981" i="1"/>
  <c r="F981" i="1"/>
  <c r="G981" i="1"/>
  <c r="H981" i="1" a="1"/>
  <c r="H981" i="1"/>
  <c r="I981" i="1"/>
  <c r="B982" i="1"/>
  <c r="C982" i="1"/>
  <c r="D982" i="1"/>
  <c r="E982" i="1"/>
  <c r="F982" i="1"/>
  <c r="G982" i="1"/>
  <c r="H982" i="1" a="1"/>
  <c r="H982" i="1"/>
  <c r="I982" i="1"/>
  <c r="B983" i="1"/>
  <c r="C983" i="1"/>
  <c r="D983" i="1"/>
  <c r="E983" i="1"/>
  <c r="F983" i="1"/>
  <c r="G983" i="1"/>
  <c r="H983" i="1" a="1"/>
  <c r="H983" i="1"/>
  <c r="I983" i="1"/>
  <c r="B984" i="1"/>
  <c r="C984" i="1"/>
  <c r="D984" i="1"/>
  <c r="E984" i="1"/>
  <c r="F984" i="1"/>
  <c r="G984" i="1"/>
  <c r="H984" i="1" a="1"/>
  <c r="H984" i="1"/>
  <c r="I984" i="1"/>
  <c r="B985" i="1"/>
  <c r="C985" i="1"/>
  <c r="D985" i="1"/>
  <c r="E985" i="1"/>
  <c r="F985" i="1"/>
  <c r="G985" i="1"/>
  <c r="H985" i="1" a="1"/>
  <c r="H985" i="1"/>
  <c r="I985" i="1"/>
  <c r="B986" i="1"/>
  <c r="C986" i="1"/>
  <c r="D986" i="1"/>
  <c r="E986" i="1"/>
  <c r="F986" i="1"/>
  <c r="G986" i="1"/>
  <c r="H986" i="1" a="1"/>
  <c r="H986" i="1"/>
  <c r="I986" i="1"/>
  <c r="B987" i="1"/>
  <c r="C987" i="1"/>
  <c r="D987" i="1"/>
  <c r="E987" i="1"/>
  <c r="F987" i="1"/>
  <c r="G987" i="1"/>
  <c r="H987" i="1" a="1"/>
  <c r="H987" i="1"/>
  <c r="I987" i="1"/>
  <c r="B988" i="1"/>
  <c r="C988" i="1"/>
  <c r="D988" i="1"/>
  <c r="E988" i="1"/>
  <c r="F988" i="1"/>
  <c r="G988" i="1"/>
  <c r="H988" i="1" a="1"/>
  <c r="H988" i="1"/>
  <c r="I988" i="1"/>
  <c r="B989" i="1"/>
  <c r="C989" i="1"/>
  <c r="D989" i="1"/>
  <c r="E989" i="1"/>
  <c r="F989" i="1"/>
  <c r="G989" i="1"/>
  <c r="H989" i="1" a="1"/>
  <c r="H989" i="1"/>
  <c r="I989" i="1"/>
  <c r="B990" i="1"/>
  <c r="C990" i="1"/>
  <c r="D990" i="1"/>
  <c r="E990" i="1"/>
  <c r="F990" i="1"/>
  <c r="G990" i="1"/>
  <c r="H990" i="1" a="1"/>
  <c r="H990" i="1"/>
  <c r="I990" i="1"/>
  <c r="B991" i="1"/>
  <c r="C991" i="1"/>
  <c r="D991" i="1"/>
  <c r="E991" i="1"/>
  <c r="F991" i="1"/>
  <c r="G991" i="1"/>
  <c r="H991" i="1" a="1"/>
  <c r="H991" i="1"/>
  <c r="I991" i="1"/>
  <c r="B992" i="1"/>
  <c r="C992" i="1"/>
  <c r="D992" i="1"/>
  <c r="E992" i="1"/>
  <c r="F992" i="1"/>
  <c r="G992" i="1"/>
  <c r="H992" i="1" a="1"/>
  <c r="H992" i="1"/>
  <c r="I992" i="1"/>
  <c r="B993" i="1"/>
  <c r="C993" i="1"/>
  <c r="D993" i="1"/>
  <c r="E993" i="1"/>
  <c r="F993" i="1"/>
  <c r="G993" i="1"/>
  <c r="H993" i="1" a="1"/>
  <c r="H993" i="1"/>
  <c r="I993" i="1"/>
  <c r="B994" i="1"/>
  <c r="C994" i="1"/>
  <c r="D994" i="1"/>
  <c r="E994" i="1"/>
  <c r="F994" i="1"/>
  <c r="G994" i="1"/>
  <c r="H994" i="1" a="1"/>
  <c r="H994" i="1"/>
  <c r="I994" i="1"/>
  <c r="B995" i="1"/>
  <c r="C995" i="1"/>
  <c r="D995" i="1"/>
  <c r="E995" i="1"/>
  <c r="F995" i="1"/>
  <c r="G995" i="1"/>
  <c r="H995" i="1" a="1"/>
  <c r="H995" i="1"/>
  <c r="I995" i="1"/>
  <c r="B996" i="1"/>
  <c r="C996" i="1"/>
  <c r="D996" i="1"/>
  <c r="E996" i="1"/>
  <c r="F996" i="1"/>
  <c r="G996" i="1"/>
  <c r="H996" i="1" a="1"/>
  <c r="H996" i="1"/>
  <c r="I996" i="1"/>
  <c r="B997" i="1"/>
  <c r="C997" i="1"/>
  <c r="D997" i="1"/>
  <c r="E997" i="1"/>
  <c r="F997" i="1"/>
  <c r="G997" i="1"/>
  <c r="H997" i="1" a="1"/>
  <c r="H997" i="1"/>
  <c r="I997" i="1"/>
  <c r="B998" i="1"/>
  <c r="C998" i="1"/>
  <c r="D998" i="1"/>
  <c r="E998" i="1"/>
  <c r="F998" i="1"/>
  <c r="G998" i="1"/>
  <c r="H998" i="1" a="1"/>
  <c r="H998" i="1"/>
  <c r="I998" i="1"/>
  <c r="B999" i="1"/>
  <c r="C999" i="1"/>
  <c r="D999" i="1"/>
  <c r="E999" i="1"/>
  <c r="F999" i="1"/>
  <c r="G999" i="1"/>
  <c r="H999" i="1" a="1"/>
  <c r="H999" i="1"/>
  <c r="I999" i="1"/>
  <c r="B1000" i="1"/>
  <c r="C1000" i="1"/>
  <c r="D1000" i="1"/>
  <c r="E1000" i="1"/>
  <c r="F1000" i="1"/>
  <c r="G1000" i="1"/>
  <c r="H1000" i="1" a="1"/>
  <c r="H1000" i="1"/>
  <c r="I1000" i="1"/>
  <c r="B1001" i="1"/>
  <c r="C1001" i="1"/>
  <c r="D1001" i="1"/>
  <c r="E1001" i="1"/>
  <c r="F1001" i="1"/>
  <c r="G1001" i="1"/>
  <c r="H1001" i="1" a="1"/>
  <c r="H1001" i="1"/>
  <c r="I1001" i="1"/>
  <c r="B1002" i="1"/>
  <c r="C1002" i="1"/>
  <c r="D1002" i="1"/>
  <c r="E1002" i="1"/>
  <c r="F1002" i="1"/>
  <c r="G1002" i="1"/>
  <c r="H1002" i="1" a="1"/>
  <c r="H1002" i="1"/>
  <c r="I1002" i="1"/>
  <c r="B1003" i="1"/>
  <c r="C1003" i="1"/>
  <c r="D1003" i="1"/>
  <c r="E1003" i="1"/>
  <c r="F1003" i="1"/>
  <c r="G1003" i="1"/>
  <c r="H1003" i="1" a="1"/>
  <c r="H1003" i="1"/>
  <c r="I1003" i="1"/>
  <c r="B1004" i="1"/>
  <c r="C1004" i="1"/>
  <c r="D1004" i="1"/>
  <c r="E1004" i="1"/>
  <c r="F1004" i="1"/>
  <c r="G1004" i="1"/>
  <c r="H1004" i="1" a="1"/>
  <c r="H1004" i="1"/>
  <c r="I1004" i="1"/>
  <c r="B1005" i="1"/>
  <c r="C1005" i="1"/>
  <c r="D1005" i="1"/>
  <c r="E1005" i="1"/>
  <c r="F1005" i="1"/>
  <c r="G1005" i="1"/>
  <c r="H1005" i="1" a="1"/>
  <c r="H1005" i="1"/>
  <c r="I1005" i="1"/>
  <c r="B1006" i="1"/>
  <c r="C1006" i="1"/>
  <c r="D1006" i="1"/>
  <c r="E1006" i="1"/>
  <c r="F1006" i="1"/>
  <c r="G1006" i="1"/>
  <c r="H1006" i="1" a="1"/>
  <c r="H1006" i="1"/>
  <c r="I1006" i="1"/>
  <c r="B1007" i="1"/>
  <c r="C1007" i="1"/>
  <c r="D1007" i="1"/>
  <c r="E1007" i="1"/>
  <c r="F1007" i="1"/>
  <c r="G1007" i="1"/>
  <c r="H1007" i="1" a="1"/>
  <c r="H1007" i="1"/>
  <c r="I1007" i="1"/>
  <c r="B1008" i="1"/>
  <c r="C1008" i="1"/>
  <c r="D1008" i="1"/>
  <c r="E1008" i="1"/>
  <c r="F1008" i="1"/>
  <c r="G1008" i="1"/>
  <c r="H1008" i="1" a="1"/>
  <c r="H1008" i="1"/>
  <c r="I1008" i="1"/>
  <c r="B1009" i="1"/>
  <c r="C1009" i="1"/>
  <c r="D1009" i="1"/>
  <c r="E1009" i="1"/>
  <c r="F1009" i="1"/>
  <c r="G1009" i="1"/>
  <c r="H1009" i="1" a="1"/>
  <c r="H1009" i="1"/>
  <c r="I1009" i="1"/>
  <c r="B1010" i="1"/>
  <c r="C1010" i="1"/>
  <c r="D1010" i="1"/>
  <c r="E1010" i="1"/>
  <c r="F1010" i="1"/>
  <c r="G1010" i="1"/>
  <c r="H1010" i="1" a="1"/>
  <c r="H1010" i="1"/>
  <c r="I1010" i="1"/>
  <c r="B1011" i="1"/>
  <c r="C1011" i="1"/>
  <c r="D1011" i="1"/>
  <c r="E1011" i="1"/>
  <c r="F1011" i="1"/>
  <c r="G1011" i="1"/>
  <c r="H1011" i="1" a="1"/>
  <c r="H1011" i="1"/>
  <c r="I1011" i="1"/>
  <c r="B1012" i="1"/>
  <c r="C1012" i="1"/>
  <c r="D1012" i="1"/>
  <c r="E1012" i="1"/>
  <c r="F1012" i="1"/>
  <c r="G1012" i="1"/>
  <c r="H1012" i="1" a="1"/>
  <c r="H1012" i="1"/>
  <c r="I1012" i="1"/>
  <c r="B1013" i="1"/>
  <c r="C1013" i="1"/>
  <c r="D1013" i="1"/>
  <c r="E1013" i="1"/>
  <c r="F1013" i="1"/>
  <c r="G1013" i="1"/>
  <c r="H1013" i="1" a="1"/>
  <c r="H1013" i="1"/>
  <c r="I1013" i="1"/>
  <c r="B1014" i="1"/>
  <c r="C1014" i="1"/>
  <c r="D1014" i="1"/>
  <c r="E1014" i="1"/>
  <c r="F1014" i="1"/>
  <c r="G1014" i="1"/>
  <c r="H1014" i="1" a="1"/>
  <c r="H1014" i="1"/>
  <c r="I1014" i="1"/>
  <c r="B1015" i="1"/>
  <c r="C1015" i="1"/>
  <c r="D1015" i="1"/>
  <c r="E1015" i="1"/>
  <c r="F1015" i="1"/>
  <c r="G1015" i="1"/>
  <c r="H1015" i="1" a="1"/>
  <c r="H1015" i="1"/>
  <c r="I1015" i="1"/>
  <c r="B1016" i="1"/>
  <c r="C1016" i="1"/>
  <c r="D1016" i="1"/>
  <c r="E1016" i="1"/>
  <c r="F1016" i="1"/>
  <c r="G1016" i="1"/>
  <c r="H1016" i="1" a="1"/>
  <c r="H1016" i="1"/>
  <c r="I1016" i="1"/>
  <c r="B1017" i="1"/>
  <c r="C1017" i="1"/>
  <c r="D1017" i="1"/>
  <c r="E1017" i="1"/>
  <c r="F1017" i="1"/>
  <c r="G1017" i="1"/>
  <c r="H1017" i="1" a="1"/>
  <c r="H1017" i="1"/>
  <c r="I1017" i="1"/>
  <c r="B1018" i="1"/>
  <c r="C1018" i="1"/>
  <c r="D1018" i="1"/>
  <c r="E1018" i="1"/>
  <c r="F1018" i="1"/>
  <c r="G1018" i="1"/>
  <c r="H1018" i="1" a="1"/>
  <c r="H1018" i="1"/>
  <c r="I1018" i="1"/>
  <c r="B1019" i="1"/>
  <c r="C1019" i="1"/>
  <c r="D1019" i="1"/>
  <c r="E1019" i="1"/>
  <c r="F1019" i="1"/>
  <c r="G1019" i="1"/>
  <c r="H1019" i="1" a="1"/>
  <c r="H1019" i="1"/>
  <c r="I1019" i="1"/>
  <c r="B1020" i="1"/>
  <c r="C1020" i="1"/>
  <c r="D1020" i="1"/>
  <c r="E1020" i="1"/>
  <c r="F1020" i="1"/>
  <c r="G1020" i="1"/>
  <c r="H1020" i="1" a="1"/>
  <c r="H1020" i="1"/>
  <c r="I1020" i="1"/>
  <c r="B1021" i="1"/>
  <c r="C1021" i="1"/>
  <c r="D1021" i="1"/>
  <c r="E1021" i="1"/>
  <c r="F1021" i="1"/>
  <c r="G1021" i="1"/>
  <c r="H1021" i="1" a="1"/>
  <c r="H1021" i="1"/>
  <c r="I1021" i="1"/>
  <c r="B1022" i="1"/>
  <c r="C1022" i="1"/>
  <c r="D1022" i="1"/>
  <c r="E1022" i="1"/>
  <c r="F1022" i="1"/>
  <c r="G1022" i="1"/>
  <c r="H1022" i="1" a="1"/>
  <c r="H1022" i="1"/>
  <c r="I1022" i="1"/>
  <c r="B1023" i="1"/>
  <c r="C1023" i="1"/>
  <c r="D1023" i="1"/>
  <c r="E1023" i="1"/>
  <c r="F1023" i="1"/>
  <c r="G1023" i="1"/>
  <c r="H1023" i="1" a="1"/>
  <c r="H1023" i="1"/>
  <c r="I1023" i="1"/>
  <c r="B1024" i="1"/>
  <c r="C1024" i="1"/>
  <c r="D1024" i="1"/>
  <c r="E1024" i="1"/>
  <c r="F1024" i="1"/>
  <c r="G1024" i="1"/>
  <c r="H1024" i="1" a="1"/>
  <c r="H1024" i="1"/>
  <c r="I1024" i="1"/>
  <c r="B1025" i="1"/>
  <c r="C1025" i="1"/>
  <c r="D1025" i="1"/>
  <c r="E1025" i="1"/>
  <c r="F1025" i="1"/>
  <c r="G1025" i="1"/>
  <c r="H1025" i="1" a="1"/>
  <c r="H1025" i="1"/>
  <c r="I1025" i="1"/>
  <c r="B1026" i="1"/>
  <c r="C1026" i="1"/>
  <c r="D1026" i="1"/>
  <c r="E1026" i="1"/>
  <c r="F1026" i="1"/>
  <c r="G1026" i="1"/>
  <c r="H1026" i="1" a="1"/>
  <c r="H1026" i="1"/>
  <c r="I1026" i="1"/>
  <c r="B1027" i="1"/>
  <c r="C1027" i="1"/>
  <c r="D1027" i="1"/>
  <c r="E1027" i="1"/>
  <c r="F1027" i="1"/>
  <c r="G1027" i="1"/>
  <c r="H1027" i="1" a="1"/>
  <c r="H1027" i="1"/>
  <c r="I1027" i="1"/>
  <c r="B1028" i="1"/>
  <c r="C1028" i="1"/>
  <c r="D1028" i="1"/>
  <c r="E1028" i="1"/>
  <c r="F1028" i="1"/>
  <c r="G1028" i="1"/>
  <c r="H1028" i="1" a="1"/>
  <c r="H1028" i="1"/>
  <c r="I1028" i="1"/>
  <c r="B1029" i="1"/>
  <c r="C1029" i="1"/>
  <c r="D1029" i="1"/>
  <c r="E1029" i="1"/>
  <c r="F1029" i="1"/>
  <c r="G1029" i="1"/>
  <c r="H1029" i="1" a="1"/>
  <c r="H1029" i="1"/>
  <c r="I1029" i="1"/>
  <c r="B1030" i="1"/>
  <c r="C1030" i="1"/>
  <c r="D1030" i="1"/>
  <c r="E1030" i="1"/>
  <c r="F1030" i="1"/>
  <c r="G1030" i="1"/>
  <c r="H1030" i="1" a="1"/>
  <c r="H1030" i="1"/>
  <c r="I1030" i="1"/>
  <c r="B1031" i="1"/>
  <c r="C1031" i="1"/>
  <c r="D1031" i="1"/>
  <c r="E1031" i="1"/>
  <c r="F1031" i="1"/>
  <c r="G1031" i="1"/>
  <c r="H1031" i="1" a="1"/>
  <c r="H1031" i="1"/>
  <c r="I1031" i="1"/>
  <c r="B1032" i="1"/>
  <c r="C1032" i="1"/>
  <c r="D1032" i="1"/>
  <c r="E1032" i="1"/>
  <c r="F1032" i="1"/>
  <c r="G1032" i="1"/>
  <c r="H1032" i="1" a="1"/>
  <c r="H1032" i="1"/>
  <c r="I1032" i="1"/>
  <c r="B1033" i="1"/>
  <c r="C1033" i="1"/>
  <c r="D1033" i="1"/>
  <c r="E1033" i="1"/>
  <c r="F1033" i="1"/>
  <c r="G1033" i="1"/>
  <c r="H1033" i="1" a="1"/>
  <c r="H1033" i="1"/>
  <c r="I1033" i="1"/>
  <c r="B1034" i="1"/>
  <c r="C1034" i="1"/>
  <c r="D1034" i="1"/>
  <c r="E1034" i="1"/>
  <c r="F1034" i="1"/>
  <c r="G1034" i="1"/>
  <c r="H1034" i="1" a="1"/>
  <c r="H1034" i="1"/>
  <c r="I1034" i="1"/>
  <c r="B1035" i="1"/>
  <c r="C1035" i="1"/>
  <c r="D1035" i="1"/>
  <c r="E1035" i="1"/>
  <c r="F1035" i="1"/>
  <c r="G1035" i="1"/>
  <c r="H1035" i="1" a="1"/>
  <c r="H1035" i="1"/>
  <c r="I1035" i="1"/>
  <c r="B1036" i="1"/>
  <c r="C1036" i="1"/>
  <c r="D1036" i="1"/>
  <c r="E1036" i="1"/>
  <c r="F1036" i="1"/>
  <c r="G1036" i="1"/>
  <c r="H1036" i="1" a="1"/>
  <c r="H1036" i="1"/>
  <c r="I1036" i="1"/>
  <c r="B1037" i="1"/>
  <c r="C1037" i="1"/>
  <c r="D1037" i="1"/>
  <c r="E1037" i="1"/>
  <c r="F1037" i="1"/>
  <c r="G1037" i="1"/>
  <c r="H1037" i="1" a="1"/>
  <c r="H1037" i="1"/>
  <c r="I1037" i="1"/>
  <c r="B1038" i="1"/>
  <c r="C1038" i="1"/>
  <c r="D1038" i="1"/>
  <c r="E1038" i="1"/>
  <c r="F1038" i="1"/>
  <c r="G1038" i="1"/>
  <c r="H1038" i="1" a="1"/>
  <c r="H1038" i="1"/>
  <c r="I1038" i="1"/>
  <c r="B1039" i="1"/>
  <c r="C1039" i="1"/>
  <c r="D1039" i="1"/>
  <c r="E1039" i="1"/>
  <c r="F1039" i="1"/>
  <c r="G1039" i="1"/>
  <c r="H1039" i="1" a="1"/>
  <c r="H1039" i="1"/>
  <c r="I1039" i="1"/>
  <c r="B1040" i="1"/>
  <c r="C1040" i="1"/>
  <c r="D1040" i="1"/>
  <c r="E1040" i="1"/>
  <c r="F1040" i="1"/>
  <c r="G1040" i="1"/>
  <c r="H1040" i="1" a="1"/>
  <c r="H1040" i="1"/>
  <c r="I1040" i="1"/>
  <c r="B1041" i="1"/>
  <c r="C1041" i="1"/>
  <c r="D1041" i="1"/>
  <c r="E1041" i="1"/>
  <c r="F1041" i="1"/>
  <c r="G1041" i="1"/>
  <c r="H1041" i="1" a="1"/>
  <c r="H1041" i="1"/>
  <c r="I1041" i="1"/>
  <c r="B1042" i="1"/>
  <c r="C1042" i="1"/>
  <c r="D1042" i="1"/>
  <c r="E1042" i="1"/>
  <c r="F1042" i="1"/>
  <c r="G1042" i="1"/>
  <c r="H1042" i="1" a="1"/>
  <c r="H1042" i="1"/>
  <c r="I1042" i="1"/>
  <c r="B1043" i="1"/>
  <c r="C1043" i="1"/>
  <c r="D1043" i="1"/>
  <c r="E1043" i="1"/>
  <c r="F1043" i="1"/>
  <c r="G1043" i="1"/>
  <c r="H1043" i="1" a="1"/>
  <c r="H1043" i="1"/>
  <c r="I1043" i="1"/>
  <c r="B1044" i="1"/>
  <c r="C1044" i="1"/>
  <c r="D1044" i="1"/>
  <c r="E1044" i="1"/>
  <c r="F1044" i="1"/>
  <c r="G1044" i="1"/>
  <c r="H1044" i="1" a="1"/>
  <c r="H1044" i="1"/>
  <c r="I1044" i="1"/>
  <c r="B1045" i="1"/>
  <c r="C1045" i="1"/>
  <c r="D1045" i="1"/>
  <c r="E1045" i="1"/>
  <c r="F1045" i="1"/>
  <c r="G1045" i="1"/>
  <c r="H1045" i="1" a="1"/>
  <c r="H1045" i="1"/>
  <c r="I1045" i="1"/>
  <c r="B1046" i="1"/>
  <c r="C1046" i="1"/>
  <c r="D1046" i="1"/>
  <c r="E1046" i="1"/>
  <c r="F1046" i="1"/>
  <c r="G1046" i="1"/>
  <c r="H1046" i="1" a="1"/>
  <c r="H1046" i="1"/>
  <c r="I1046" i="1"/>
  <c r="B1047" i="1"/>
  <c r="C1047" i="1"/>
  <c r="D1047" i="1"/>
  <c r="E1047" i="1"/>
  <c r="F1047" i="1"/>
  <c r="G1047" i="1"/>
  <c r="H1047" i="1" a="1"/>
  <c r="H1047" i="1"/>
  <c r="I1047" i="1"/>
  <c r="B1048" i="1"/>
  <c r="C1048" i="1"/>
  <c r="D1048" i="1"/>
  <c r="E1048" i="1"/>
  <c r="F1048" i="1"/>
  <c r="G1048" i="1"/>
  <c r="H1048" i="1" a="1"/>
  <c r="H1048" i="1"/>
  <c r="I1048" i="1"/>
  <c r="B1049" i="1"/>
  <c r="C1049" i="1"/>
  <c r="D1049" i="1"/>
  <c r="E1049" i="1"/>
  <c r="F1049" i="1"/>
  <c r="G1049" i="1"/>
  <c r="H1049" i="1" a="1"/>
  <c r="H1049" i="1"/>
  <c r="I1049" i="1"/>
  <c r="B1050" i="1"/>
  <c r="C1050" i="1"/>
  <c r="D1050" i="1"/>
  <c r="E1050" i="1"/>
  <c r="F1050" i="1"/>
  <c r="G1050" i="1"/>
  <c r="H1050" i="1" a="1"/>
  <c r="H1050" i="1"/>
  <c r="I1050" i="1"/>
  <c r="B1051" i="1"/>
  <c r="C1051" i="1"/>
  <c r="D1051" i="1"/>
  <c r="E1051" i="1"/>
  <c r="F1051" i="1"/>
  <c r="G1051" i="1"/>
  <c r="H1051" i="1" a="1"/>
  <c r="H1051" i="1"/>
  <c r="I1051" i="1"/>
  <c r="B1052" i="1"/>
  <c r="C1052" i="1"/>
  <c r="D1052" i="1"/>
  <c r="E1052" i="1"/>
  <c r="F1052" i="1"/>
  <c r="G1052" i="1"/>
  <c r="H1052" i="1" a="1"/>
  <c r="H1052" i="1"/>
  <c r="I1052" i="1"/>
  <c r="B1053" i="1"/>
  <c r="C1053" i="1"/>
  <c r="D1053" i="1"/>
  <c r="E1053" i="1"/>
  <c r="F1053" i="1"/>
  <c r="G1053" i="1"/>
  <c r="H1053" i="1" a="1"/>
  <c r="H1053" i="1"/>
  <c r="I1053" i="1"/>
  <c r="B1054" i="1"/>
  <c r="C1054" i="1"/>
  <c r="D1054" i="1"/>
  <c r="E1054" i="1"/>
  <c r="F1054" i="1"/>
  <c r="G1054" i="1"/>
  <c r="H1054" i="1" a="1"/>
  <c r="H1054" i="1"/>
  <c r="I1054" i="1"/>
  <c r="B1055" i="1"/>
  <c r="C1055" i="1"/>
  <c r="D1055" i="1"/>
  <c r="E1055" i="1"/>
  <c r="F1055" i="1"/>
  <c r="G1055" i="1"/>
  <c r="H1055" i="1" a="1"/>
  <c r="H1055" i="1"/>
  <c r="I1055" i="1"/>
  <c r="B1056" i="1"/>
  <c r="C1056" i="1"/>
  <c r="D1056" i="1"/>
  <c r="E1056" i="1"/>
  <c r="F1056" i="1"/>
  <c r="G1056" i="1"/>
  <c r="H1056" i="1" a="1"/>
  <c r="H1056" i="1"/>
  <c r="I1056" i="1"/>
  <c r="B1057" i="1"/>
  <c r="C1057" i="1"/>
  <c r="D1057" i="1"/>
  <c r="E1057" i="1"/>
  <c r="F1057" i="1"/>
  <c r="G1057" i="1"/>
  <c r="H1057" i="1" a="1"/>
  <c r="H1057" i="1"/>
  <c r="I1057" i="1"/>
  <c r="B1058" i="1"/>
  <c r="C1058" i="1"/>
  <c r="D1058" i="1"/>
  <c r="E1058" i="1"/>
  <c r="F1058" i="1"/>
  <c r="G1058" i="1"/>
  <c r="H1058" i="1" a="1"/>
  <c r="H1058" i="1"/>
  <c r="I1058" i="1"/>
  <c r="B1059" i="1"/>
  <c r="C1059" i="1"/>
  <c r="D1059" i="1"/>
  <c r="E1059" i="1"/>
  <c r="F1059" i="1"/>
  <c r="G1059" i="1"/>
  <c r="H1059" i="1" a="1"/>
  <c r="H1059" i="1"/>
  <c r="I1059" i="1"/>
  <c r="B1060" i="1"/>
  <c r="C1060" i="1"/>
  <c r="D1060" i="1"/>
  <c r="E1060" i="1"/>
  <c r="F1060" i="1"/>
  <c r="G1060" i="1"/>
  <c r="H1060" i="1" a="1"/>
  <c r="H1060" i="1"/>
  <c r="I1060" i="1"/>
  <c r="B1061" i="1"/>
  <c r="C1061" i="1"/>
  <c r="D1061" i="1"/>
  <c r="E1061" i="1"/>
  <c r="F1061" i="1"/>
  <c r="G1061" i="1"/>
  <c r="H1061" i="1" a="1"/>
  <c r="H1061" i="1"/>
  <c r="I1061" i="1"/>
  <c r="B1062" i="1"/>
  <c r="C1062" i="1"/>
  <c r="D1062" i="1"/>
  <c r="E1062" i="1"/>
  <c r="F1062" i="1"/>
  <c r="G1062" i="1"/>
  <c r="H1062" i="1" a="1"/>
  <c r="H1062" i="1"/>
  <c r="I1062" i="1"/>
  <c r="B1063" i="1"/>
  <c r="C1063" i="1"/>
  <c r="D1063" i="1"/>
  <c r="E1063" i="1"/>
  <c r="F1063" i="1"/>
  <c r="G1063" i="1"/>
  <c r="H1063" i="1" a="1"/>
  <c r="H1063" i="1"/>
  <c r="I1063" i="1"/>
  <c r="B1064" i="1"/>
  <c r="C1064" i="1"/>
  <c r="D1064" i="1"/>
  <c r="E1064" i="1"/>
  <c r="F1064" i="1"/>
  <c r="G1064" i="1"/>
  <c r="H1064" i="1" a="1"/>
  <c r="H1064" i="1"/>
  <c r="I1064" i="1"/>
  <c r="B1065" i="1"/>
  <c r="C1065" i="1"/>
  <c r="D1065" i="1"/>
  <c r="E1065" i="1"/>
  <c r="F1065" i="1"/>
  <c r="G1065" i="1"/>
  <c r="H1065" i="1" a="1"/>
  <c r="H1065" i="1"/>
  <c r="I1065" i="1"/>
  <c r="B1066" i="1"/>
  <c r="C1066" i="1"/>
  <c r="D1066" i="1"/>
  <c r="E1066" i="1"/>
  <c r="F1066" i="1"/>
  <c r="G1066" i="1"/>
  <c r="H1066" i="1" a="1"/>
  <c r="H1066" i="1"/>
  <c r="I1066" i="1"/>
  <c r="B1067" i="1"/>
  <c r="C1067" i="1"/>
  <c r="D1067" i="1"/>
  <c r="E1067" i="1"/>
  <c r="F1067" i="1"/>
  <c r="G1067" i="1"/>
  <c r="H1067" i="1" a="1"/>
  <c r="H1067" i="1"/>
  <c r="I1067" i="1"/>
  <c r="B1068" i="1"/>
  <c r="C1068" i="1"/>
  <c r="D1068" i="1"/>
  <c r="E1068" i="1"/>
  <c r="F1068" i="1"/>
  <c r="G1068" i="1"/>
  <c r="H1068" i="1" a="1"/>
  <c r="H1068" i="1"/>
  <c r="I1068" i="1"/>
  <c r="B1069" i="1"/>
  <c r="C1069" i="1"/>
  <c r="D1069" i="1"/>
  <c r="E1069" i="1"/>
  <c r="F1069" i="1"/>
  <c r="G1069" i="1"/>
  <c r="H1069" i="1" a="1"/>
  <c r="H1069" i="1"/>
  <c r="I1069" i="1"/>
  <c r="B1070" i="1"/>
  <c r="C1070" i="1"/>
  <c r="D1070" i="1"/>
  <c r="E1070" i="1"/>
  <c r="F1070" i="1"/>
  <c r="G1070" i="1"/>
  <c r="H1070" i="1" a="1"/>
  <c r="H1070" i="1"/>
  <c r="I1070" i="1"/>
  <c r="B1071" i="1"/>
  <c r="C1071" i="1"/>
  <c r="D1071" i="1"/>
  <c r="E1071" i="1"/>
  <c r="F1071" i="1"/>
  <c r="G1071" i="1"/>
  <c r="H1071" i="1" a="1"/>
  <c r="H1071" i="1"/>
  <c r="I1071" i="1"/>
  <c r="B1072" i="1"/>
  <c r="C1072" i="1"/>
  <c r="D1072" i="1"/>
  <c r="E1072" i="1"/>
  <c r="F1072" i="1"/>
  <c r="G1072" i="1"/>
  <c r="H1072" i="1" a="1"/>
  <c r="H1072" i="1"/>
  <c r="I1072" i="1"/>
  <c r="B1073" i="1"/>
  <c r="C1073" i="1"/>
  <c r="D1073" i="1"/>
  <c r="E1073" i="1"/>
  <c r="F1073" i="1"/>
  <c r="G1073" i="1"/>
  <c r="H1073" i="1" a="1"/>
  <c r="H1073" i="1"/>
  <c r="I1073" i="1"/>
  <c r="B1074" i="1"/>
  <c r="C1074" i="1"/>
  <c r="D1074" i="1"/>
  <c r="E1074" i="1"/>
  <c r="F1074" i="1"/>
  <c r="G1074" i="1"/>
  <c r="H1074" i="1" a="1"/>
  <c r="H1074" i="1"/>
  <c r="I1074" i="1"/>
  <c r="B1075" i="1"/>
  <c r="C1075" i="1"/>
  <c r="D1075" i="1"/>
  <c r="E1075" i="1"/>
  <c r="F1075" i="1"/>
  <c r="G1075" i="1"/>
  <c r="H1075" i="1" a="1"/>
  <c r="H1075" i="1"/>
  <c r="I1075" i="1"/>
  <c r="B1076" i="1"/>
  <c r="C1076" i="1"/>
  <c r="D1076" i="1"/>
  <c r="E1076" i="1"/>
  <c r="F1076" i="1"/>
  <c r="G1076" i="1"/>
  <c r="H1076" i="1" a="1"/>
  <c r="H1076" i="1"/>
  <c r="I1076" i="1"/>
  <c r="B1077" i="1"/>
  <c r="C1077" i="1"/>
  <c r="D1077" i="1"/>
  <c r="E1077" i="1"/>
  <c r="F1077" i="1"/>
  <c r="G1077" i="1"/>
  <c r="H1077" i="1" a="1"/>
  <c r="H1077" i="1"/>
  <c r="I1077" i="1"/>
  <c r="B1078" i="1"/>
  <c r="C1078" i="1"/>
  <c r="D1078" i="1"/>
  <c r="E1078" i="1"/>
  <c r="F1078" i="1"/>
  <c r="G1078" i="1"/>
  <c r="H1078" i="1" a="1"/>
  <c r="H1078" i="1"/>
  <c r="I1078" i="1"/>
  <c r="B1079" i="1"/>
  <c r="C1079" i="1"/>
  <c r="D1079" i="1"/>
  <c r="E1079" i="1"/>
  <c r="F1079" i="1"/>
  <c r="G1079" i="1"/>
  <c r="H1079" i="1" a="1"/>
  <c r="H1079" i="1"/>
  <c r="I1079" i="1"/>
  <c r="B1080" i="1"/>
  <c r="C1080" i="1"/>
  <c r="D1080" i="1"/>
  <c r="E1080" i="1"/>
  <c r="F1080" i="1"/>
  <c r="G1080" i="1"/>
  <c r="H1080" i="1" a="1"/>
  <c r="H1080" i="1"/>
  <c r="I1080" i="1"/>
  <c r="B1081" i="1"/>
  <c r="C1081" i="1"/>
  <c r="D1081" i="1"/>
  <c r="E1081" i="1"/>
  <c r="F1081" i="1"/>
  <c r="G1081" i="1"/>
  <c r="H1081" i="1" a="1"/>
  <c r="H1081" i="1"/>
  <c r="I1081" i="1"/>
  <c r="B1082" i="1"/>
  <c r="C1082" i="1"/>
  <c r="D1082" i="1"/>
  <c r="E1082" i="1"/>
  <c r="F1082" i="1"/>
  <c r="G1082" i="1"/>
  <c r="H1082" i="1" a="1"/>
  <c r="H1082" i="1"/>
  <c r="I1082" i="1"/>
  <c r="B1083" i="1"/>
  <c r="C1083" i="1"/>
  <c r="D1083" i="1"/>
  <c r="E1083" i="1"/>
  <c r="F1083" i="1"/>
  <c r="G1083" i="1"/>
  <c r="H1083" i="1" a="1"/>
  <c r="H1083" i="1"/>
  <c r="I1083" i="1"/>
  <c r="B1084" i="1"/>
  <c r="C1084" i="1"/>
  <c r="D1084" i="1"/>
  <c r="E1084" i="1"/>
  <c r="F1084" i="1"/>
  <c r="G1084" i="1"/>
  <c r="H1084" i="1" a="1"/>
  <c r="H1084" i="1"/>
  <c r="I1084" i="1"/>
  <c r="B1085" i="1"/>
  <c r="C1085" i="1"/>
  <c r="D1085" i="1"/>
  <c r="E1085" i="1"/>
  <c r="F1085" i="1"/>
  <c r="G1085" i="1"/>
  <c r="H1085" i="1" a="1"/>
  <c r="H1085" i="1"/>
  <c r="I1085" i="1"/>
  <c r="B1086" i="1"/>
  <c r="C1086" i="1"/>
  <c r="D1086" i="1"/>
  <c r="E1086" i="1"/>
  <c r="F1086" i="1"/>
  <c r="G1086" i="1"/>
  <c r="H1086" i="1" a="1"/>
  <c r="H1086" i="1"/>
  <c r="I1086" i="1"/>
  <c r="B1087" i="1"/>
  <c r="C1087" i="1"/>
  <c r="D1087" i="1"/>
  <c r="E1087" i="1"/>
  <c r="F1087" i="1"/>
  <c r="G1087" i="1"/>
  <c r="H1087" i="1" a="1"/>
  <c r="H1087" i="1"/>
  <c r="I1087" i="1"/>
  <c r="B1088" i="1"/>
  <c r="C1088" i="1"/>
  <c r="D1088" i="1"/>
  <c r="E1088" i="1"/>
  <c r="F1088" i="1"/>
  <c r="G1088" i="1"/>
  <c r="H1088" i="1" a="1"/>
  <c r="H1088" i="1"/>
  <c r="I1088" i="1"/>
  <c r="B1089" i="1"/>
  <c r="C1089" i="1"/>
  <c r="D1089" i="1"/>
  <c r="E1089" i="1"/>
  <c r="F1089" i="1"/>
  <c r="G1089" i="1"/>
  <c r="H1089" i="1" a="1"/>
  <c r="H1089" i="1"/>
  <c r="I1089" i="1"/>
  <c r="B1090" i="1"/>
  <c r="C1090" i="1"/>
  <c r="D1090" i="1"/>
  <c r="E1090" i="1"/>
  <c r="F1090" i="1"/>
  <c r="G1090" i="1"/>
  <c r="H1090" i="1" a="1"/>
  <c r="H1090" i="1"/>
  <c r="I1090" i="1"/>
  <c r="B1091" i="1"/>
  <c r="C1091" i="1"/>
  <c r="D1091" i="1"/>
  <c r="E1091" i="1"/>
  <c r="F1091" i="1"/>
  <c r="G1091" i="1"/>
  <c r="H1091" i="1" a="1"/>
  <c r="H1091" i="1"/>
  <c r="I1091" i="1"/>
  <c r="B1092" i="1"/>
  <c r="C1092" i="1"/>
  <c r="D1092" i="1"/>
  <c r="E1092" i="1"/>
  <c r="F1092" i="1"/>
  <c r="G1092" i="1"/>
  <c r="H1092" i="1" a="1"/>
  <c r="H1092" i="1"/>
  <c r="I1092" i="1"/>
  <c r="B1093" i="1"/>
  <c r="C1093" i="1"/>
  <c r="D1093" i="1"/>
  <c r="E1093" i="1"/>
  <c r="F1093" i="1"/>
  <c r="G1093" i="1"/>
  <c r="H1093" i="1" a="1"/>
  <c r="H1093" i="1"/>
  <c r="I1093" i="1"/>
  <c r="B1094" i="1"/>
  <c r="C1094" i="1"/>
  <c r="D1094" i="1"/>
  <c r="E1094" i="1"/>
  <c r="F1094" i="1"/>
  <c r="G1094" i="1"/>
  <c r="H1094" i="1" a="1"/>
  <c r="H1094" i="1"/>
  <c r="I1094" i="1"/>
  <c r="B1095" i="1"/>
  <c r="C1095" i="1"/>
  <c r="D1095" i="1"/>
  <c r="E1095" i="1"/>
  <c r="F1095" i="1"/>
  <c r="G1095" i="1"/>
  <c r="H1095" i="1" a="1"/>
  <c r="H1095" i="1"/>
  <c r="I1095" i="1"/>
  <c r="B1096" i="1"/>
  <c r="C1096" i="1"/>
  <c r="D1096" i="1"/>
  <c r="E1096" i="1"/>
  <c r="F1096" i="1"/>
  <c r="G1096" i="1"/>
  <c r="H1096" i="1" a="1"/>
  <c r="H1096" i="1"/>
  <c r="I1096" i="1"/>
  <c r="B1097" i="1"/>
  <c r="C1097" i="1"/>
  <c r="D1097" i="1"/>
  <c r="E1097" i="1"/>
  <c r="F1097" i="1"/>
  <c r="G1097" i="1"/>
  <c r="H1097" i="1" a="1"/>
  <c r="H1097" i="1"/>
  <c r="I1097" i="1"/>
  <c r="B1098" i="1"/>
  <c r="C1098" i="1"/>
  <c r="D1098" i="1"/>
  <c r="E1098" i="1"/>
  <c r="F1098" i="1"/>
  <c r="G1098" i="1"/>
  <c r="H1098" i="1" a="1"/>
  <c r="H1098" i="1"/>
  <c r="I1098" i="1"/>
  <c r="B1099" i="1"/>
  <c r="C1099" i="1"/>
  <c r="D1099" i="1"/>
  <c r="E1099" i="1"/>
  <c r="F1099" i="1"/>
  <c r="G1099" i="1"/>
  <c r="H1099" i="1" a="1"/>
  <c r="H1099" i="1"/>
  <c r="I1099" i="1"/>
  <c r="B1100" i="1"/>
  <c r="C1100" i="1"/>
  <c r="D1100" i="1"/>
  <c r="E1100" i="1"/>
  <c r="F1100" i="1"/>
  <c r="G1100" i="1"/>
  <c r="H1100" i="1" a="1"/>
  <c r="H1100" i="1"/>
  <c r="I1100" i="1"/>
  <c r="B1101" i="1"/>
  <c r="C1101" i="1"/>
  <c r="D1101" i="1"/>
  <c r="E1101" i="1"/>
  <c r="F1101" i="1"/>
  <c r="G1101" i="1"/>
  <c r="H1101" i="1" a="1"/>
  <c r="H1101" i="1"/>
  <c r="I1101" i="1"/>
  <c r="B1102" i="1"/>
  <c r="C1102" i="1"/>
  <c r="D1102" i="1"/>
  <c r="E1102" i="1"/>
  <c r="F1102" i="1"/>
  <c r="G1102" i="1"/>
  <c r="H1102" i="1" a="1"/>
  <c r="H1102" i="1"/>
  <c r="I1102" i="1"/>
  <c r="B1103" i="1"/>
  <c r="C1103" i="1"/>
  <c r="D1103" i="1"/>
  <c r="E1103" i="1"/>
  <c r="F1103" i="1"/>
  <c r="G1103" i="1"/>
  <c r="H1103" i="1" a="1"/>
  <c r="H1103" i="1"/>
  <c r="I1103" i="1"/>
  <c r="B1104" i="1"/>
  <c r="C1104" i="1"/>
  <c r="D1104" i="1"/>
  <c r="E1104" i="1"/>
  <c r="F1104" i="1"/>
  <c r="G1104" i="1"/>
  <c r="H1104" i="1" a="1"/>
  <c r="H1104" i="1"/>
  <c r="I1104" i="1"/>
  <c r="B1105" i="1"/>
  <c r="C1105" i="1"/>
  <c r="D1105" i="1"/>
  <c r="E1105" i="1"/>
  <c r="F1105" i="1"/>
  <c r="G1105" i="1"/>
  <c r="H1105" i="1" a="1"/>
  <c r="H1105" i="1"/>
  <c r="I1105" i="1"/>
  <c r="B1106" i="1"/>
  <c r="C1106" i="1"/>
  <c r="D1106" i="1"/>
  <c r="E1106" i="1"/>
  <c r="F1106" i="1"/>
  <c r="G1106" i="1"/>
  <c r="H1106" i="1" a="1"/>
  <c r="H1106" i="1"/>
  <c r="I1106" i="1"/>
  <c r="B1107" i="1"/>
  <c r="C1107" i="1"/>
  <c r="D1107" i="1"/>
  <c r="E1107" i="1"/>
  <c r="F1107" i="1"/>
  <c r="G1107" i="1"/>
  <c r="H1107" i="1" a="1"/>
  <c r="H1107" i="1"/>
  <c r="I1107" i="1"/>
  <c r="B1108" i="1"/>
  <c r="C1108" i="1"/>
  <c r="D1108" i="1"/>
  <c r="E1108" i="1"/>
  <c r="F1108" i="1"/>
  <c r="G1108" i="1"/>
  <c r="H1108" i="1" a="1"/>
  <c r="H1108" i="1"/>
  <c r="I1108" i="1"/>
  <c r="B1109" i="1"/>
  <c r="C1109" i="1"/>
  <c r="D1109" i="1"/>
  <c r="E1109" i="1"/>
  <c r="F1109" i="1"/>
  <c r="G1109" i="1"/>
  <c r="H1109" i="1" a="1"/>
  <c r="H1109" i="1"/>
  <c r="I1109" i="1"/>
  <c r="B1110" i="1"/>
  <c r="C1110" i="1"/>
  <c r="D1110" i="1"/>
  <c r="E1110" i="1"/>
  <c r="F1110" i="1"/>
  <c r="G1110" i="1"/>
  <c r="H1110" i="1" a="1"/>
  <c r="H1110" i="1"/>
  <c r="I1110" i="1"/>
  <c r="B1111" i="1"/>
  <c r="C1111" i="1"/>
  <c r="D1111" i="1"/>
  <c r="E1111" i="1"/>
  <c r="F1111" i="1"/>
  <c r="G1111" i="1"/>
  <c r="H1111" i="1" a="1"/>
  <c r="H1111" i="1"/>
  <c r="I1111" i="1"/>
  <c r="B1112" i="1"/>
  <c r="C1112" i="1"/>
  <c r="D1112" i="1"/>
  <c r="E1112" i="1"/>
  <c r="F1112" i="1"/>
  <c r="G1112" i="1"/>
  <c r="H1112" i="1" a="1"/>
  <c r="H1112" i="1"/>
  <c r="I1112" i="1"/>
  <c r="B1113" i="1"/>
  <c r="C1113" i="1"/>
  <c r="D1113" i="1"/>
  <c r="E1113" i="1"/>
  <c r="F1113" i="1"/>
  <c r="G1113" i="1"/>
  <c r="H1113" i="1" a="1"/>
  <c r="H1113" i="1"/>
  <c r="I1113" i="1"/>
  <c r="B1114" i="1"/>
  <c r="C1114" i="1"/>
  <c r="D1114" i="1"/>
  <c r="E1114" i="1"/>
  <c r="F1114" i="1"/>
  <c r="G1114" i="1"/>
  <c r="H1114" i="1" a="1"/>
  <c r="H1114" i="1"/>
  <c r="I1114" i="1"/>
  <c r="B1115" i="1"/>
  <c r="C1115" i="1"/>
  <c r="D1115" i="1"/>
  <c r="E1115" i="1"/>
  <c r="F1115" i="1"/>
  <c r="G1115" i="1"/>
  <c r="H1115" i="1" a="1"/>
  <c r="H1115" i="1"/>
  <c r="I1115" i="1"/>
  <c r="B1116" i="1"/>
  <c r="C1116" i="1"/>
  <c r="D1116" i="1"/>
  <c r="E1116" i="1"/>
  <c r="F1116" i="1"/>
  <c r="G1116" i="1"/>
  <c r="H1116" i="1" a="1"/>
  <c r="H1116" i="1"/>
  <c r="I1116" i="1"/>
  <c r="B1117" i="1"/>
  <c r="C1117" i="1"/>
  <c r="D1117" i="1"/>
  <c r="E1117" i="1"/>
  <c r="F1117" i="1"/>
  <c r="G1117" i="1"/>
  <c r="H1117" i="1" a="1"/>
  <c r="H1117" i="1"/>
  <c r="I1117" i="1"/>
  <c r="B1118" i="1"/>
  <c r="C1118" i="1"/>
  <c r="D1118" i="1"/>
  <c r="E1118" i="1"/>
  <c r="F1118" i="1"/>
  <c r="G1118" i="1"/>
  <c r="H1118" i="1" a="1"/>
  <c r="H1118" i="1"/>
  <c r="I1118" i="1"/>
  <c r="B1119" i="1"/>
  <c r="C1119" i="1"/>
  <c r="D1119" i="1"/>
  <c r="E1119" i="1"/>
  <c r="F1119" i="1"/>
  <c r="G1119" i="1"/>
  <c r="H1119" i="1" a="1"/>
  <c r="H1119" i="1"/>
  <c r="I1119" i="1"/>
  <c r="B1120" i="1"/>
  <c r="C1120" i="1"/>
  <c r="D1120" i="1"/>
  <c r="E1120" i="1"/>
  <c r="F1120" i="1"/>
  <c r="G1120" i="1"/>
  <c r="H1120" i="1" a="1"/>
  <c r="H1120" i="1"/>
  <c r="I1120" i="1"/>
  <c r="B1121" i="1"/>
  <c r="C1121" i="1"/>
  <c r="D1121" i="1"/>
  <c r="E1121" i="1"/>
  <c r="F1121" i="1"/>
  <c r="G1121" i="1"/>
  <c r="H1121" i="1" a="1"/>
  <c r="H1121" i="1"/>
  <c r="I1121" i="1"/>
  <c r="B1122" i="1"/>
  <c r="C1122" i="1"/>
  <c r="D1122" i="1"/>
  <c r="E1122" i="1"/>
  <c r="F1122" i="1"/>
  <c r="G1122" i="1"/>
  <c r="H1122" i="1" a="1"/>
  <c r="H1122" i="1"/>
  <c r="I1122" i="1"/>
  <c r="B1123" i="1"/>
  <c r="C1123" i="1"/>
  <c r="D1123" i="1"/>
  <c r="E1123" i="1"/>
  <c r="F1123" i="1"/>
  <c r="G1123" i="1"/>
  <c r="H1123" i="1" a="1"/>
  <c r="H1123" i="1"/>
  <c r="I1123" i="1"/>
  <c r="B1124" i="1"/>
  <c r="C1124" i="1"/>
  <c r="D1124" i="1"/>
  <c r="E1124" i="1"/>
  <c r="F1124" i="1"/>
  <c r="G1124" i="1"/>
  <c r="H1124" i="1" a="1"/>
  <c r="H1124" i="1"/>
  <c r="I1124" i="1"/>
  <c r="B1125" i="1"/>
  <c r="C1125" i="1"/>
  <c r="D1125" i="1"/>
  <c r="E1125" i="1"/>
  <c r="F1125" i="1"/>
  <c r="G1125" i="1"/>
  <c r="H1125" i="1" a="1"/>
  <c r="H1125" i="1"/>
  <c r="I1125" i="1"/>
  <c r="B1126" i="1"/>
  <c r="C1126" i="1"/>
  <c r="D1126" i="1"/>
  <c r="E1126" i="1"/>
  <c r="F1126" i="1"/>
  <c r="G1126" i="1"/>
  <c r="H1126" i="1" a="1"/>
  <c r="H1126" i="1"/>
  <c r="I1126" i="1"/>
  <c r="B1127" i="1"/>
  <c r="C1127" i="1"/>
  <c r="D1127" i="1"/>
  <c r="E1127" i="1"/>
  <c r="F1127" i="1"/>
  <c r="G1127" i="1"/>
  <c r="H1127" i="1" a="1"/>
  <c r="H1127" i="1"/>
  <c r="I1127" i="1"/>
  <c r="B1128" i="1"/>
  <c r="C1128" i="1"/>
  <c r="D1128" i="1"/>
  <c r="E1128" i="1"/>
  <c r="F1128" i="1"/>
  <c r="G1128" i="1"/>
  <c r="H1128" i="1" a="1"/>
  <c r="H1128" i="1"/>
  <c r="I1128" i="1"/>
  <c r="B1129" i="1"/>
  <c r="C1129" i="1"/>
  <c r="D1129" i="1"/>
  <c r="E1129" i="1"/>
  <c r="F1129" i="1"/>
  <c r="G1129" i="1"/>
  <c r="H1129" i="1" a="1"/>
  <c r="H1129" i="1"/>
  <c r="I1129" i="1"/>
  <c r="B1130" i="1"/>
  <c r="C1130" i="1"/>
  <c r="D1130" i="1"/>
  <c r="E1130" i="1"/>
  <c r="F1130" i="1"/>
  <c r="G1130" i="1"/>
  <c r="H1130" i="1" a="1"/>
  <c r="H1130" i="1"/>
  <c r="I1130" i="1"/>
  <c r="B1131" i="1"/>
  <c r="C1131" i="1"/>
  <c r="D1131" i="1"/>
  <c r="E1131" i="1"/>
  <c r="F1131" i="1"/>
  <c r="G1131" i="1"/>
  <c r="H1131" i="1" a="1"/>
  <c r="H1131" i="1"/>
  <c r="I1131" i="1"/>
  <c r="B1132" i="1"/>
  <c r="C1132" i="1"/>
  <c r="D1132" i="1"/>
  <c r="E1132" i="1"/>
  <c r="F1132" i="1"/>
  <c r="G1132" i="1"/>
  <c r="H1132" i="1" a="1"/>
  <c r="H1132" i="1"/>
  <c r="I1132" i="1"/>
  <c r="B1133" i="1"/>
  <c r="C1133" i="1"/>
  <c r="D1133" i="1"/>
  <c r="E1133" i="1"/>
  <c r="F1133" i="1"/>
  <c r="G1133" i="1"/>
  <c r="H1133" i="1" a="1"/>
  <c r="H1133" i="1"/>
  <c r="I1133" i="1"/>
  <c r="B1134" i="1"/>
  <c r="C1134" i="1"/>
  <c r="D1134" i="1"/>
  <c r="E1134" i="1"/>
  <c r="F1134" i="1"/>
  <c r="G1134" i="1"/>
  <c r="H1134" i="1" a="1"/>
  <c r="H1134" i="1"/>
  <c r="I1134" i="1"/>
  <c r="B1135" i="1"/>
  <c r="C1135" i="1"/>
  <c r="D1135" i="1"/>
  <c r="E1135" i="1"/>
  <c r="F1135" i="1"/>
  <c r="G1135" i="1"/>
  <c r="H1135" i="1" a="1"/>
  <c r="H1135" i="1"/>
  <c r="I1135" i="1"/>
  <c r="B1136" i="1"/>
  <c r="C1136" i="1"/>
  <c r="D1136" i="1"/>
  <c r="E1136" i="1"/>
  <c r="F1136" i="1"/>
  <c r="G1136" i="1"/>
  <c r="H1136" i="1" a="1"/>
  <c r="H1136" i="1"/>
  <c r="I1136" i="1"/>
  <c r="B1137" i="1"/>
  <c r="C1137" i="1"/>
  <c r="D1137" i="1"/>
  <c r="E1137" i="1"/>
  <c r="F1137" i="1"/>
  <c r="G1137" i="1"/>
  <c r="H1137" i="1" a="1"/>
  <c r="H1137" i="1"/>
  <c r="I1137" i="1"/>
  <c r="B1138" i="1"/>
  <c r="C1138" i="1"/>
  <c r="D1138" i="1"/>
  <c r="E1138" i="1"/>
  <c r="F1138" i="1"/>
  <c r="G1138" i="1"/>
  <c r="H1138" i="1" a="1"/>
  <c r="H1138" i="1"/>
  <c r="I1138" i="1"/>
  <c r="B1139" i="1"/>
  <c r="C1139" i="1"/>
  <c r="D1139" i="1"/>
  <c r="E1139" i="1"/>
  <c r="F1139" i="1"/>
  <c r="G1139" i="1"/>
  <c r="H1139" i="1" a="1"/>
  <c r="H1139" i="1"/>
  <c r="I1139" i="1"/>
  <c r="B1140" i="1"/>
  <c r="C1140" i="1"/>
  <c r="D1140" i="1"/>
  <c r="E1140" i="1"/>
  <c r="F1140" i="1"/>
  <c r="G1140" i="1"/>
  <c r="H1140" i="1" a="1"/>
  <c r="H1140" i="1"/>
  <c r="I1140" i="1"/>
  <c r="B1141" i="1"/>
  <c r="C1141" i="1"/>
  <c r="D1141" i="1"/>
  <c r="E1141" i="1"/>
  <c r="F1141" i="1"/>
  <c r="G1141" i="1"/>
  <c r="H1141" i="1" a="1"/>
  <c r="H1141" i="1"/>
  <c r="I1141" i="1"/>
  <c r="B1142" i="1"/>
  <c r="C1142" i="1"/>
  <c r="D1142" i="1"/>
  <c r="E1142" i="1"/>
  <c r="F1142" i="1"/>
  <c r="G1142" i="1"/>
  <c r="H1142" i="1" a="1"/>
  <c r="H1142" i="1"/>
  <c r="I1142" i="1"/>
  <c r="B1143" i="1"/>
  <c r="C1143" i="1"/>
  <c r="D1143" i="1"/>
  <c r="E1143" i="1"/>
  <c r="F1143" i="1"/>
  <c r="G1143" i="1"/>
  <c r="H1143" i="1" a="1"/>
  <c r="H1143" i="1"/>
  <c r="I1143" i="1"/>
  <c r="B1144" i="1"/>
  <c r="C1144" i="1"/>
  <c r="D1144" i="1"/>
  <c r="E1144" i="1"/>
  <c r="F1144" i="1"/>
  <c r="G1144" i="1"/>
  <c r="H1144" i="1" a="1"/>
  <c r="H1144" i="1"/>
  <c r="I1144" i="1"/>
  <c r="B1145" i="1"/>
  <c r="C1145" i="1"/>
  <c r="D1145" i="1"/>
  <c r="E1145" i="1"/>
  <c r="F1145" i="1"/>
  <c r="G1145" i="1"/>
  <c r="H1145" i="1" a="1"/>
  <c r="H1145" i="1"/>
  <c r="I1145" i="1"/>
  <c r="B1146" i="1"/>
  <c r="C1146" i="1"/>
  <c r="D1146" i="1"/>
  <c r="E1146" i="1"/>
  <c r="F1146" i="1"/>
  <c r="G1146" i="1"/>
  <c r="H1146" i="1" a="1"/>
  <c r="H1146" i="1"/>
  <c r="I1146" i="1"/>
  <c r="B1147" i="1"/>
  <c r="C1147" i="1"/>
  <c r="D1147" i="1"/>
  <c r="E1147" i="1"/>
  <c r="F1147" i="1"/>
  <c r="G1147" i="1"/>
  <c r="H1147" i="1" a="1"/>
  <c r="H1147" i="1"/>
  <c r="I1147" i="1"/>
  <c r="B1148" i="1"/>
  <c r="C1148" i="1"/>
  <c r="D1148" i="1"/>
  <c r="E1148" i="1"/>
  <c r="F1148" i="1"/>
  <c r="G1148" i="1"/>
  <c r="H1148" i="1" a="1"/>
  <c r="H1148" i="1"/>
  <c r="I1148" i="1"/>
  <c r="B1149" i="1"/>
  <c r="C1149" i="1"/>
  <c r="D1149" i="1"/>
  <c r="E1149" i="1"/>
  <c r="F1149" i="1"/>
  <c r="G1149" i="1"/>
  <c r="H1149" i="1" a="1"/>
  <c r="H1149" i="1"/>
  <c r="I1149" i="1"/>
  <c r="B1150" i="1"/>
  <c r="C1150" i="1"/>
  <c r="D1150" i="1"/>
  <c r="E1150" i="1"/>
  <c r="F1150" i="1"/>
  <c r="G1150" i="1"/>
  <c r="H1150" i="1" a="1"/>
  <c r="H1150" i="1"/>
  <c r="I1150" i="1"/>
  <c r="B1151" i="1"/>
  <c r="C1151" i="1"/>
  <c r="D1151" i="1"/>
  <c r="E1151" i="1"/>
  <c r="F1151" i="1"/>
  <c r="G1151" i="1"/>
  <c r="H1151" i="1" a="1"/>
  <c r="H1151" i="1"/>
  <c r="I1151" i="1"/>
  <c r="B1152" i="1"/>
  <c r="C1152" i="1"/>
  <c r="D1152" i="1"/>
  <c r="E1152" i="1"/>
  <c r="F1152" i="1"/>
  <c r="G1152" i="1"/>
  <c r="H1152" i="1" a="1"/>
  <c r="H1152" i="1"/>
  <c r="I1152" i="1"/>
  <c r="B1153" i="1"/>
  <c r="C1153" i="1"/>
  <c r="D1153" i="1"/>
  <c r="E1153" i="1"/>
  <c r="F1153" i="1"/>
  <c r="G1153" i="1"/>
  <c r="H1153" i="1" a="1"/>
  <c r="H1153" i="1"/>
  <c r="I1153" i="1"/>
  <c r="B1154" i="1"/>
  <c r="C1154" i="1"/>
  <c r="D1154" i="1"/>
  <c r="E1154" i="1"/>
  <c r="F1154" i="1"/>
  <c r="G1154" i="1"/>
  <c r="H1154" i="1" a="1"/>
  <c r="H1154" i="1"/>
  <c r="I1154" i="1"/>
  <c r="B1155" i="1"/>
  <c r="C1155" i="1"/>
  <c r="D1155" i="1"/>
  <c r="E1155" i="1"/>
  <c r="F1155" i="1"/>
  <c r="G1155" i="1"/>
  <c r="H1155" i="1" a="1"/>
  <c r="H1155" i="1"/>
  <c r="I1155" i="1"/>
  <c r="B1156" i="1"/>
  <c r="C1156" i="1"/>
  <c r="D1156" i="1"/>
  <c r="E1156" i="1"/>
  <c r="F1156" i="1"/>
  <c r="G1156" i="1"/>
  <c r="H1156" i="1" a="1"/>
  <c r="H1156" i="1"/>
  <c r="I1156" i="1"/>
  <c r="B1157" i="1"/>
  <c r="C1157" i="1"/>
  <c r="D1157" i="1"/>
  <c r="E1157" i="1"/>
  <c r="F1157" i="1"/>
  <c r="G1157" i="1"/>
  <c r="H1157" i="1" a="1"/>
  <c r="H1157" i="1"/>
  <c r="I1157" i="1"/>
  <c r="B1158" i="1"/>
  <c r="C1158" i="1"/>
  <c r="D1158" i="1"/>
  <c r="E1158" i="1"/>
  <c r="F1158" i="1"/>
  <c r="G1158" i="1"/>
  <c r="H1158" i="1" a="1"/>
  <c r="H1158" i="1"/>
  <c r="I1158" i="1"/>
  <c r="B1159" i="1"/>
  <c r="C1159" i="1"/>
  <c r="D1159" i="1"/>
  <c r="E1159" i="1"/>
  <c r="F1159" i="1"/>
  <c r="G1159" i="1"/>
  <c r="H1159" i="1" a="1"/>
  <c r="H1159" i="1"/>
  <c r="I1159" i="1"/>
  <c r="B1160" i="1"/>
  <c r="C1160" i="1"/>
  <c r="D1160" i="1"/>
  <c r="E1160" i="1"/>
  <c r="F1160" i="1"/>
  <c r="G1160" i="1"/>
  <c r="H1160" i="1" a="1"/>
  <c r="H1160" i="1"/>
  <c r="I1160" i="1"/>
  <c r="B1161" i="1"/>
  <c r="C1161" i="1"/>
  <c r="D1161" i="1"/>
  <c r="E1161" i="1"/>
  <c r="F1161" i="1"/>
  <c r="G1161" i="1"/>
  <c r="H1161" i="1" a="1"/>
  <c r="H1161" i="1"/>
  <c r="I1161" i="1"/>
  <c r="B1162" i="1"/>
  <c r="C1162" i="1"/>
  <c r="D1162" i="1"/>
  <c r="E1162" i="1"/>
  <c r="F1162" i="1"/>
  <c r="G1162" i="1"/>
  <c r="H1162" i="1" a="1"/>
  <c r="H1162" i="1"/>
  <c r="I1162" i="1"/>
  <c r="B1163" i="1"/>
  <c r="C1163" i="1"/>
  <c r="D1163" i="1"/>
  <c r="E1163" i="1"/>
  <c r="F1163" i="1"/>
  <c r="G1163" i="1"/>
  <c r="H1163" i="1" a="1"/>
  <c r="H1163" i="1"/>
  <c r="I1163" i="1"/>
  <c r="B1164" i="1"/>
  <c r="C1164" i="1"/>
  <c r="D1164" i="1"/>
  <c r="E1164" i="1"/>
  <c r="F1164" i="1"/>
  <c r="G1164" i="1"/>
  <c r="H1164" i="1" a="1"/>
  <c r="H1164" i="1"/>
  <c r="I1164" i="1"/>
  <c r="B1165" i="1"/>
  <c r="C1165" i="1"/>
  <c r="D1165" i="1"/>
  <c r="E1165" i="1"/>
  <c r="F1165" i="1"/>
  <c r="G1165" i="1"/>
  <c r="H1165" i="1" a="1"/>
  <c r="H1165" i="1"/>
  <c r="I1165" i="1"/>
  <c r="B1166" i="1"/>
  <c r="C1166" i="1"/>
  <c r="D1166" i="1"/>
  <c r="E1166" i="1"/>
  <c r="F1166" i="1"/>
  <c r="G1166" i="1"/>
  <c r="H1166" i="1" a="1"/>
  <c r="H1166" i="1"/>
  <c r="I1166" i="1"/>
  <c r="B1167" i="1"/>
  <c r="C1167" i="1"/>
  <c r="D1167" i="1"/>
  <c r="E1167" i="1"/>
  <c r="F1167" i="1"/>
  <c r="G1167" i="1"/>
  <c r="H1167" i="1" a="1"/>
  <c r="H1167" i="1"/>
  <c r="I1167" i="1"/>
  <c r="B1168" i="1"/>
  <c r="C1168" i="1"/>
  <c r="D1168" i="1"/>
  <c r="E1168" i="1"/>
  <c r="F1168" i="1"/>
  <c r="G1168" i="1"/>
  <c r="H1168" i="1" a="1"/>
  <c r="H1168" i="1"/>
  <c r="I1168" i="1"/>
  <c r="B1169" i="1"/>
  <c r="C1169" i="1"/>
  <c r="D1169" i="1"/>
  <c r="E1169" i="1"/>
  <c r="F1169" i="1"/>
  <c r="G1169" i="1"/>
  <c r="H1169" i="1" a="1"/>
  <c r="H1169" i="1"/>
  <c r="I1169" i="1"/>
  <c r="B1170" i="1"/>
  <c r="C1170" i="1"/>
  <c r="D1170" i="1"/>
  <c r="E1170" i="1"/>
  <c r="F1170" i="1"/>
  <c r="G1170" i="1"/>
  <c r="H1170" i="1" a="1"/>
  <c r="H1170" i="1"/>
  <c r="I1170" i="1"/>
  <c r="B1171" i="1"/>
  <c r="C1171" i="1"/>
  <c r="D1171" i="1"/>
  <c r="E1171" i="1"/>
  <c r="F1171" i="1"/>
  <c r="G1171" i="1"/>
  <c r="H1171" i="1" a="1"/>
  <c r="H1171" i="1"/>
  <c r="I1171" i="1"/>
  <c r="B1172" i="1"/>
  <c r="C1172" i="1"/>
  <c r="D1172" i="1"/>
  <c r="E1172" i="1"/>
  <c r="F1172" i="1"/>
  <c r="G1172" i="1"/>
  <c r="H1172" i="1" a="1"/>
  <c r="H1172" i="1"/>
  <c r="I1172" i="1"/>
  <c r="B1173" i="1"/>
  <c r="C1173" i="1"/>
  <c r="D1173" i="1"/>
  <c r="E1173" i="1"/>
  <c r="F1173" i="1"/>
  <c r="G1173" i="1"/>
  <c r="H1173" i="1" a="1"/>
  <c r="H1173" i="1"/>
  <c r="I1173" i="1"/>
  <c r="B1174" i="1"/>
  <c r="C1174" i="1"/>
  <c r="D1174" i="1"/>
  <c r="E1174" i="1"/>
  <c r="F1174" i="1"/>
  <c r="G1174" i="1"/>
  <c r="H1174" i="1" a="1"/>
  <c r="H1174" i="1"/>
  <c r="I1174" i="1"/>
  <c r="B1175" i="1"/>
  <c r="C1175" i="1"/>
  <c r="D1175" i="1"/>
  <c r="E1175" i="1"/>
  <c r="F1175" i="1"/>
  <c r="G1175" i="1"/>
  <c r="H1175" i="1" a="1"/>
  <c r="H1175" i="1"/>
  <c r="I1175" i="1"/>
  <c r="B1176" i="1"/>
  <c r="C1176" i="1"/>
  <c r="D1176" i="1"/>
  <c r="E1176" i="1"/>
  <c r="F1176" i="1"/>
  <c r="G1176" i="1"/>
  <c r="H1176" i="1" a="1"/>
  <c r="H1176" i="1"/>
  <c r="I1176" i="1"/>
  <c r="B1177" i="1"/>
  <c r="C1177" i="1"/>
  <c r="D1177" i="1"/>
  <c r="E1177" i="1"/>
  <c r="F1177" i="1"/>
  <c r="G1177" i="1"/>
  <c r="H1177" i="1" a="1"/>
  <c r="H1177" i="1"/>
  <c r="I1177" i="1"/>
  <c r="B1178" i="1"/>
  <c r="C1178" i="1"/>
  <c r="D1178" i="1"/>
  <c r="E1178" i="1"/>
  <c r="F1178" i="1"/>
  <c r="G1178" i="1"/>
  <c r="H1178" i="1" a="1"/>
  <c r="H1178" i="1"/>
  <c r="I1178" i="1"/>
  <c r="B1179" i="1"/>
  <c r="C1179" i="1"/>
  <c r="D1179" i="1"/>
  <c r="E1179" i="1"/>
  <c r="F1179" i="1"/>
  <c r="G1179" i="1"/>
  <c r="H1179" i="1" a="1"/>
  <c r="H1179" i="1"/>
  <c r="I1179" i="1"/>
  <c r="B1180" i="1"/>
  <c r="C1180" i="1"/>
  <c r="D1180" i="1"/>
  <c r="E1180" i="1"/>
  <c r="F1180" i="1"/>
  <c r="G1180" i="1"/>
  <c r="H1180" i="1" a="1"/>
  <c r="H1180" i="1"/>
  <c r="I1180" i="1"/>
  <c r="B1181" i="1"/>
  <c r="C1181" i="1"/>
  <c r="D1181" i="1"/>
  <c r="E1181" i="1"/>
  <c r="F1181" i="1"/>
  <c r="G1181" i="1"/>
  <c r="H1181" i="1" a="1"/>
  <c r="H1181" i="1"/>
  <c r="I1181" i="1"/>
  <c r="B1182" i="1"/>
  <c r="C1182" i="1"/>
  <c r="D1182" i="1"/>
  <c r="E1182" i="1"/>
  <c r="F1182" i="1"/>
  <c r="G1182" i="1"/>
  <c r="H1182" i="1" a="1"/>
  <c r="H1182" i="1"/>
  <c r="I1182" i="1"/>
  <c r="B1183" i="1"/>
  <c r="C1183" i="1"/>
  <c r="D1183" i="1"/>
  <c r="E1183" i="1"/>
  <c r="F1183" i="1"/>
  <c r="G1183" i="1"/>
  <c r="H1183" i="1" a="1"/>
  <c r="H1183" i="1"/>
  <c r="I1183" i="1"/>
  <c r="B1184" i="1"/>
  <c r="C1184" i="1"/>
  <c r="D1184" i="1"/>
  <c r="E1184" i="1"/>
  <c r="F1184" i="1"/>
  <c r="G1184" i="1"/>
  <c r="H1184" i="1" a="1"/>
  <c r="H1184" i="1"/>
  <c r="I1184" i="1"/>
  <c r="B1185" i="1"/>
  <c r="C1185" i="1"/>
  <c r="D1185" i="1"/>
  <c r="E1185" i="1"/>
  <c r="F1185" i="1"/>
  <c r="G1185" i="1"/>
  <c r="H1185" i="1" a="1"/>
  <c r="H1185" i="1"/>
  <c r="I1185" i="1"/>
  <c r="B1186" i="1"/>
  <c r="C1186" i="1"/>
  <c r="D1186" i="1"/>
  <c r="E1186" i="1"/>
  <c r="F1186" i="1"/>
  <c r="G1186" i="1"/>
  <c r="H1186" i="1" a="1"/>
  <c r="H1186" i="1"/>
  <c r="I1186" i="1"/>
  <c r="B1187" i="1"/>
  <c r="C1187" i="1"/>
  <c r="D1187" i="1"/>
  <c r="E1187" i="1"/>
  <c r="F1187" i="1"/>
  <c r="G1187" i="1"/>
  <c r="H1187" i="1" a="1"/>
  <c r="H1187" i="1"/>
  <c r="I1187" i="1"/>
  <c r="B1188" i="1"/>
  <c r="C1188" i="1"/>
  <c r="D1188" i="1"/>
  <c r="E1188" i="1"/>
  <c r="F1188" i="1"/>
  <c r="G1188" i="1"/>
  <c r="H1188" i="1" a="1"/>
  <c r="H1188" i="1"/>
  <c r="I1188" i="1"/>
  <c r="B1189" i="1"/>
  <c r="C1189" i="1"/>
  <c r="D1189" i="1"/>
  <c r="E1189" i="1"/>
  <c r="F1189" i="1"/>
  <c r="G1189" i="1"/>
  <c r="H1189" i="1" a="1"/>
  <c r="H1189" i="1"/>
  <c r="I1189" i="1"/>
  <c r="B1190" i="1"/>
  <c r="C1190" i="1"/>
  <c r="D1190" i="1"/>
  <c r="E1190" i="1"/>
  <c r="F1190" i="1"/>
  <c r="G1190" i="1"/>
  <c r="H1190" i="1" a="1"/>
  <c r="H1190" i="1"/>
  <c r="I1190" i="1"/>
  <c r="B1191" i="1"/>
  <c r="C1191" i="1"/>
  <c r="D1191" i="1"/>
  <c r="E1191" i="1"/>
  <c r="F1191" i="1"/>
  <c r="G1191" i="1"/>
  <c r="H1191" i="1" a="1"/>
  <c r="H1191" i="1"/>
  <c r="I1191" i="1"/>
  <c r="B1192" i="1"/>
  <c r="C1192" i="1"/>
  <c r="D1192" i="1"/>
  <c r="E1192" i="1"/>
  <c r="F1192" i="1"/>
  <c r="G1192" i="1"/>
  <c r="H1192" i="1" a="1"/>
  <c r="H1192" i="1"/>
  <c r="I1192" i="1"/>
  <c r="B1193" i="1"/>
  <c r="C1193" i="1"/>
  <c r="D1193" i="1"/>
  <c r="E1193" i="1"/>
  <c r="F1193" i="1"/>
  <c r="G1193" i="1"/>
  <c r="H1193" i="1" a="1"/>
  <c r="H1193" i="1"/>
  <c r="I1193" i="1"/>
  <c r="B1194" i="1"/>
  <c r="C1194" i="1"/>
  <c r="D1194" i="1"/>
  <c r="E1194" i="1"/>
  <c r="F1194" i="1"/>
  <c r="G1194" i="1"/>
  <c r="H1194" i="1" a="1"/>
  <c r="H1194" i="1"/>
  <c r="I1194" i="1"/>
  <c r="B1195" i="1"/>
  <c r="C1195" i="1"/>
  <c r="D1195" i="1"/>
  <c r="E1195" i="1"/>
  <c r="F1195" i="1"/>
  <c r="G1195" i="1"/>
  <c r="H1195" i="1" a="1"/>
  <c r="H1195" i="1"/>
  <c r="I1195" i="1"/>
  <c r="B1196" i="1"/>
  <c r="C1196" i="1"/>
  <c r="D1196" i="1"/>
  <c r="E1196" i="1"/>
  <c r="F1196" i="1"/>
  <c r="G1196" i="1"/>
  <c r="H1196" i="1" a="1"/>
  <c r="H1196" i="1"/>
  <c r="I1196" i="1"/>
  <c r="B1197" i="1"/>
  <c r="C1197" i="1"/>
  <c r="D1197" i="1"/>
  <c r="E1197" i="1"/>
  <c r="F1197" i="1"/>
  <c r="G1197" i="1"/>
  <c r="H1197" i="1" a="1"/>
  <c r="H1197" i="1"/>
  <c r="I1197" i="1"/>
  <c r="B1198" i="1"/>
  <c r="C1198" i="1"/>
  <c r="D1198" i="1"/>
  <c r="E1198" i="1"/>
  <c r="F1198" i="1"/>
  <c r="G1198" i="1"/>
  <c r="H1198" i="1" a="1"/>
  <c r="H1198" i="1"/>
  <c r="I1198" i="1"/>
  <c r="B1199" i="1"/>
  <c r="C1199" i="1"/>
  <c r="D1199" i="1"/>
  <c r="E1199" i="1"/>
  <c r="F1199" i="1"/>
  <c r="G1199" i="1"/>
  <c r="H1199" i="1" a="1"/>
  <c r="H1199" i="1"/>
  <c r="I1199" i="1"/>
  <c r="B1200" i="1"/>
  <c r="C1200" i="1"/>
  <c r="D1200" i="1"/>
  <c r="E1200" i="1"/>
  <c r="F1200" i="1"/>
  <c r="G1200" i="1"/>
  <c r="H1200" i="1" a="1"/>
  <c r="H1200" i="1"/>
  <c r="I1200" i="1"/>
  <c r="B1201" i="1"/>
  <c r="C1201" i="1"/>
  <c r="D1201" i="1"/>
  <c r="E1201" i="1"/>
  <c r="F1201" i="1"/>
  <c r="G1201" i="1"/>
  <c r="H1201" i="1" a="1"/>
  <c r="H1201" i="1"/>
  <c r="I1201" i="1"/>
  <c r="B1202" i="1"/>
  <c r="C1202" i="1"/>
  <c r="D1202" i="1"/>
  <c r="E1202" i="1"/>
  <c r="F1202" i="1"/>
  <c r="G1202" i="1"/>
  <c r="H1202" i="1" a="1"/>
  <c r="H1202" i="1"/>
  <c r="I1202" i="1"/>
  <c r="B1203" i="1"/>
  <c r="C1203" i="1"/>
  <c r="D1203" i="1"/>
  <c r="E1203" i="1"/>
  <c r="F1203" i="1"/>
  <c r="G1203" i="1"/>
  <c r="H1203" i="1" a="1"/>
  <c r="H1203" i="1"/>
  <c r="I1203" i="1"/>
  <c r="B1204" i="1"/>
  <c r="C1204" i="1"/>
  <c r="D1204" i="1"/>
  <c r="E1204" i="1"/>
  <c r="F1204" i="1"/>
  <c r="G1204" i="1"/>
  <c r="H1204" i="1" a="1"/>
  <c r="H1204" i="1"/>
  <c r="I1204" i="1"/>
  <c r="B1205" i="1"/>
  <c r="C1205" i="1"/>
  <c r="D1205" i="1"/>
  <c r="E1205" i="1"/>
  <c r="F1205" i="1"/>
  <c r="G1205" i="1"/>
  <c r="H1205" i="1" a="1"/>
  <c r="H1205" i="1"/>
  <c r="I1205" i="1"/>
  <c r="B1206" i="1"/>
  <c r="C1206" i="1"/>
  <c r="D1206" i="1"/>
  <c r="E1206" i="1"/>
  <c r="F1206" i="1"/>
  <c r="G1206" i="1"/>
  <c r="H1206" i="1" a="1"/>
  <c r="H1206" i="1"/>
  <c r="I1206" i="1"/>
  <c r="B1207" i="1"/>
  <c r="C1207" i="1"/>
  <c r="D1207" i="1"/>
  <c r="E1207" i="1"/>
  <c r="F1207" i="1"/>
  <c r="G1207" i="1"/>
  <c r="H1207" i="1" a="1"/>
  <c r="H1207" i="1"/>
  <c r="I1207" i="1"/>
  <c r="B1208" i="1"/>
  <c r="C1208" i="1"/>
  <c r="D1208" i="1"/>
  <c r="E1208" i="1"/>
  <c r="F1208" i="1"/>
  <c r="G1208" i="1"/>
  <c r="H1208" i="1" a="1"/>
  <c r="H1208" i="1"/>
  <c r="I1208" i="1"/>
  <c r="B1209" i="1"/>
  <c r="C1209" i="1"/>
  <c r="D1209" i="1"/>
  <c r="E1209" i="1"/>
  <c r="F1209" i="1"/>
  <c r="G1209" i="1"/>
  <c r="H1209" i="1" a="1"/>
  <c r="H1209" i="1"/>
  <c r="I1209" i="1"/>
  <c r="B1210" i="1"/>
  <c r="C1210" i="1"/>
  <c r="D1210" i="1"/>
  <c r="E1210" i="1"/>
  <c r="F1210" i="1"/>
  <c r="G1210" i="1"/>
  <c r="H1210" i="1" a="1"/>
  <c r="H1210" i="1"/>
  <c r="I1210" i="1"/>
  <c r="B1211" i="1"/>
  <c r="C1211" i="1"/>
  <c r="D1211" i="1"/>
  <c r="E1211" i="1"/>
  <c r="F1211" i="1"/>
  <c r="G1211" i="1"/>
  <c r="H1211" i="1" a="1"/>
  <c r="H1211" i="1"/>
  <c r="I1211" i="1"/>
  <c r="B1212" i="1"/>
  <c r="C1212" i="1"/>
  <c r="D1212" i="1"/>
  <c r="E1212" i="1"/>
  <c r="F1212" i="1"/>
  <c r="G1212" i="1"/>
  <c r="H1212" i="1" a="1"/>
  <c r="H1212" i="1"/>
  <c r="I1212" i="1"/>
  <c r="B1213" i="1"/>
  <c r="C1213" i="1"/>
  <c r="D1213" i="1"/>
  <c r="E1213" i="1"/>
  <c r="F1213" i="1"/>
  <c r="G1213" i="1"/>
  <c r="H1213" i="1" a="1"/>
  <c r="H1213" i="1"/>
  <c r="I1213" i="1"/>
  <c r="B1214" i="1"/>
  <c r="C1214" i="1"/>
  <c r="D1214" i="1"/>
  <c r="E1214" i="1"/>
  <c r="F1214" i="1"/>
  <c r="G1214" i="1"/>
  <c r="H1214" i="1" a="1"/>
  <c r="H1214" i="1"/>
  <c r="I1214" i="1"/>
  <c r="B1215" i="1"/>
  <c r="C1215" i="1"/>
  <c r="D1215" i="1"/>
  <c r="E1215" i="1"/>
  <c r="F1215" i="1"/>
  <c r="G1215" i="1"/>
  <c r="H1215" i="1" a="1"/>
  <c r="H1215" i="1"/>
  <c r="I1215" i="1"/>
  <c r="B1216" i="1"/>
  <c r="C1216" i="1"/>
  <c r="D1216" i="1"/>
  <c r="E1216" i="1"/>
  <c r="F1216" i="1"/>
  <c r="G1216" i="1"/>
  <c r="H1216" i="1" a="1"/>
  <c r="H1216" i="1"/>
  <c r="I1216" i="1"/>
  <c r="B1217" i="1"/>
  <c r="C1217" i="1"/>
  <c r="D1217" i="1"/>
  <c r="E1217" i="1"/>
  <c r="F1217" i="1"/>
  <c r="G1217" i="1"/>
  <c r="H1217" i="1" a="1"/>
  <c r="H1217" i="1"/>
  <c r="I1217" i="1"/>
  <c r="B1218" i="1"/>
  <c r="C1218" i="1"/>
  <c r="D1218" i="1"/>
  <c r="E1218" i="1"/>
  <c r="F1218" i="1"/>
  <c r="G1218" i="1"/>
  <c r="H1218" i="1" a="1"/>
  <c r="H1218" i="1"/>
  <c r="I1218" i="1"/>
  <c r="B1219" i="1"/>
  <c r="C1219" i="1"/>
  <c r="D1219" i="1"/>
  <c r="E1219" i="1"/>
  <c r="F1219" i="1"/>
  <c r="G1219" i="1"/>
  <c r="H1219" i="1" a="1"/>
  <c r="H1219" i="1"/>
  <c r="I1219" i="1"/>
  <c r="B1220" i="1"/>
  <c r="C1220" i="1"/>
  <c r="D1220" i="1"/>
  <c r="E1220" i="1"/>
  <c r="F1220" i="1"/>
  <c r="G1220" i="1"/>
  <c r="H1220" i="1" a="1"/>
  <c r="H1220" i="1"/>
  <c r="I1220" i="1"/>
  <c r="B1221" i="1"/>
  <c r="C1221" i="1"/>
  <c r="D1221" i="1"/>
  <c r="E1221" i="1"/>
  <c r="F1221" i="1"/>
  <c r="G1221" i="1"/>
  <c r="H1221" i="1" a="1"/>
  <c r="H1221" i="1"/>
  <c r="I1221" i="1"/>
  <c r="B1222" i="1"/>
  <c r="C1222" i="1"/>
  <c r="D1222" i="1"/>
  <c r="E1222" i="1"/>
  <c r="F1222" i="1"/>
  <c r="G1222" i="1"/>
  <c r="H1222" i="1" a="1"/>
  <c r="H1222" i="1"/>
  <c r="I1222" i="1"/>
  <c r="B1223" i="1"/>
  <c r="C1223" i="1"/>
  <c r="D1223" i="1"/>
  <c r="E1223" i="1"/>
  <c r="F1223" i="1"/>
  <c r="G1223" i="1"/>
  <c r="H1223" i="1" a="1"/>
  <c r="H1223" i="1"/>
  <c r="I1223" i="1"/>
  <c r="B1224" i="1"/>
  <c r="C1224" i="1"/>
  <c r="D1224" i="1"/>
  <c r="E1224" i="1"/>
  <c r="F1224" i="1"/>
  <c r="G1224" i="1"/>
  <c r="H1224" i="1" a="1"/>
  <c r="H1224" i="1"/>
  <c r="I1224" i="1"/>
  <c r="B1225" i="1"/>
  <c r="C1225" i="1"/>
  <c r="D1225" i="1"/>
  <c r="E1225" i="1"/>
  <c r="F1225" i="1"/>
  <c r="G1225" i="1"/>
  <c r="H1225" i="1" a="1"/>
  <c r="H1225" i="1"/>
  <c r="I1225" i="1"/>
  <c r="B1226" i="1"/>
  <c r="C1226" i="1"/>
  <c r="D1226" i="1"/>
  <c r="E1226" i="1"/>
  <c r="F1226" i="1"/>
  <c r="G1226" i="1"/>
  <c r="H1226" i="1" a="1"/>
  <c r="H1226" i="1"/>
  <c r="I1226" i="1"/>
  <c r="B1227" i="1"/>
  <c r="C1227" i="1"/>
  <c r="D1227" i="1"/>
  <c r="E1227" i="1"/>
  <c r="F1227" i="1"/>
  <c r="G1227" i="1"/>
  <c r="H1227" i="1" a="1"/>
  <c r="H1227" i="1"/>
  <c r="I1227" i="1"/>
  <c r="B1228" i="1"/>
  <c r="C1228" i="1"/>
  <c r="D1228" i="1"/>
  <c r="E1228" i="1"/>
  <c r="F1228" i="1"/>
  <c r="G1228" i="1"/>
  <c r="H1228" i="1" a="1"/>
  <c r="H1228" i="1"/>
  <c r="I1228" i="1"/>
  <c r="B1229" i="1"/>
  <c r="C1229" i="1"/>
  <c r="D1229" i="1"/>
  <c r="E1229" i="1"/>
  <c r="F1229" i="1"/>
  <c r="G1229" i="1"/>
  <c r="H1229" i="1" a="1"/>
  <c r="H1229" i="1"/>
  <c r="I1229" i="1"/>
  <c r="B1230" i="1"/>
  <c r="C1230" i="1"/>
  <c r="D1230" i="1"/>
  <c r="E1230" i="1"/>
  <c r="F1230" i="1"/>
  <c r="G1230" i="1"/>
  <c r="H1230" i="1" a="1"/>
  <c r="H1230" i="1"/>
  <c r="I1230" i="1"/>
  <c r="B1231" i="1"/>
  <c r="C1231" i="1"/>
  <c r="D1231" i="1"/>
  <c r="E1231" i="1"/>
  <c r="F1231" i="1"/>
  <c r="G1231" i="1"/>
  <c r="H1231" i="1" a="1"/>
  <c r="H1231" i="1"/>
  <c r="I1231" i="1"/>
  <c r="B1232" i="1"/>
  <c r="C1232" i="1"/>
  <c r="D1232" i="1"/>
  <c r="E1232" i="1"/>
  <c r="F1232" i="1"/>
  <c r="G1232" i="1"/>
  <c r="H1232" i="1" a="1"/>
  <c r="H1232" i="1"/>
  <c r="I1232" i="1"/>
  <c r="B1233" i="1"/>
  <c r="C1233" i="1"/>
  <c r="D1233" i="1"/>
  <c r="E1233" i="1"/>
  <c r="F1233" i="1"/>
  <c r="G1233" i="1"/>
  <c r="H1233" i="1" a="1"/>
  <c r="H1233" i="1"/>
  <c r="I1233" i="1"/>
  <c r="B1234" i="1"/>
  <c r="C1234" i="1"/>
  <c r="D1234" i="1"/>
  <c r="E1234" i="1"/>
  <c r="F1234" i="1"/>
  <c r="G1234" i="1"/>
  <c r="H1234" i="1" a="1"/>
  <c r="H1234" i="1"/>
  <c r="I1234" i="1"/>
  <c r="B1235" i="1"/>
  <c r="C1235" i="1"/>
  <c r="D1235" i="1"/>
  <c r="E1235" i="1"/>
  <c r="F1235" i="1"/>
  <c r="G1235" i="1"/>
  <c r="H1235" i="1" a="1"/>
  <c r="H1235" i="1"/>
  <c r="I1235" i="1"/>
  <c r="B1236" i="1"/>
  <c r="C1236" i="1"/>
  <c r="D1236" i="1"/>
  <c r="E1236" i="1"/>
  <c r="F1236" i="1"/>
  <c r="G1236" i="1"/>
  <c r="H1236" i="1" a="1"/>
  <c r="H1236" i="1"/>
  <c r="I1236" i="1"/>
  <c r="B1237" i="1"/>
  <c r="C1237" i="1"/>
  <c r="D1237" i="1"/>
  <c r="E1237" i="1"/>
  <c r="F1237" i="1"/>
  <c r="G1237" i="1"/>
  <c r="H1237" i="1" a="1"/>
  <c r="H1237" i="1"/>
  <c r="I1237" i="1"/>
  <c r="B1238" i="1"/>
  <c r="C1238" i="1"/>
  <c r="D1238" i="1"/>
  <c r="E1238" i="1"/>
  <c r="F1238" i="1"/>
  <c r="G1238" i="1"/>
  <c r="H1238" i="1" a="1"/>
  <c r="H1238" i="1"/>
  <c r="I1238" i="1"/>
  <c r="B1239" i="1"/>
  <c r="C1239" i="1"/>
  <c r="D1239" i="1"/>
  <c r="E1239" i="1"/>
  <c r="F1239" i="1"/>
  <c r="G1239" i="1"/>
  <c r="H1239" i="1" a="1"/>
  <c r="H1239" i="1"/>
  <c r="I1239" i="1"/>
  <c r="B1240" i="1"/>
  <c r="C1240" i="1"/>
  <c r="D1240" i="1"/>
  <c r="E1240" i="1"/>
  <c r="F1240" i="1"/>
  <c r="G1240" i="1"/>
  <c r="H1240" i="1" a="1"/>
  <c r="H1240" i="1"/>
  <c r="I1240" i="1"/>
  <c r="B1241" i="1"/>
  <c r="C1241" i="1"/>
  <c r="D1241" i="1"/>
  <c r="E1241" i="1"/>
  <c r="F1241" i="1"/>
  <c r="G1241" i="1"/>
  <c r="H1241" i="1" a="1"/>
  <c r="H1241" i="1"/>
  <c r="I1241" i="1"/>
  <c r="B1242" i="1"/>
  <c r="C1242" i="1"/>
  <c r="D1242" i="1"/>
  <c r="E1242" i="1"/>
  <c r="F1242" i="1"/>
  <c r="G1242" i="1"/>
  <c r="H1242" i="1" a="1"/>
  <c r="H1242" i="1"/>
  <c r="I1242" i="1"/>
  <c r="B1243" i="1"/>
  <c r="C1243" i="1"/>
  <c r="D1243" i="1"/>
  <c r="E1243" i="1"/>
  <c r="F1243" i="1"/>
  <c r="G1243" i="1"/>
  <c r="H1243" i="1" a="1"/>
  <c r="H1243" i="1"/>
  <c r="I1243" i="1"/>
  <c r="B1244" i="1"/>
  <c r="C1244" i="1"/>
  <c r="D1244" i="1"/>
  <c r="E1244" i="1"/>
  <c r="F1244" i="1"/>
  <c r="G1244" i="1"/>
  <c r="H1244" i="1" a="1"/>
  <c r="H1244" i="1"/>
  <c r="I1244" i="1"/>
  <c r="B1245" i="1"/>
  <c r="C1245" i="1"/>
  <c r="D1245" i="1"/>
  <c r="E1245" i="1"/>
  <c r="F1245" i="1"/>
  <c r="G1245" i="1"/>
  <c r="H1245" i="1" a="1"/>
  <c r="H1245" i="1"/>
  <c r="I1245" i="1"/>
  <c r="B1246" i="1"/>
  <c r="C1246" i="1"/>
  <c r="D1246" i="1"/>
  <c r="E1246" i="1"/>
  <c r="F1246" i="1"/>
  <c r="G1246" i="1"/>
  <c r="H1246" i="1" a="1"/>
  <c r="H1246" i="1"/>
  <c r="I1246" i="1"/>
  <c r="B1247" i="1"/>
  <c r="C1247" i="1"/>
  <c r="D1247" i="1"/>
  <c r="E1247" i="1"/>
  <c r="F1247" i="1"/>
  <c r="G1247" i="1"/>
  <c r="H1247" i="1" a="1"/>
  <c r="H1247" i="1"/>
  <c r="I1247" i="1"/>
  <c r="B1248" i="1"/>
  <c r="C1248" i="1"/>
  <c r="D1248" i="1"/>
  <c r="E1248" i="1"/>
  <c r="F1248" i="1"/>
  <c r="G1248" i="1"/>
  <c r="H1248" i="1" a="1"/>
  <c r="H1248" i="1"/>
  <c r="I1248" i="1"/>
  <c r="B1249" i="1"/>
  <c r="C1249" i="1"/>
  <c r="D1249" i="1"/>
  <c r="E1249" i="1"/>
  <c r="F1249" i="1"/>
  <c r="G1249" i="1"/>
  <c r="H1249" i="1" a="1"/>
  <c r="H1249" i="1"/>
  <c r="I1249" i="1"/>
  <c r="B1250" i="1"/>
  <c r="C1250" i="1"/>
  <c r="D1250" i="1"/>
  <c r="E1250" i="1"/>
  <c r="F1250" i="1"/>
  <c r="G1250" i="1"/>
  <c r="H1250" i="1" a="1"/>
  <c r="H1250" i="1"/>
  <c r="I1250" i="1"/>
  <c r="B1251" i="1"/>
  <c r="C1251" i="1"/>
  <c r="D1251" i="1"/>
  <c r="E1251" i="1"/>
  <c r="F1251" i="1"/>
  <c r="G1251" i="1"/>
  <c r="H1251" i="1" a="1"/>
  <c r="H1251" i="1"/>
  <c r="I1251" i="1"/>
  <c r="B1252" i="1"/>
  <c r="C1252" i="1"/>
  <c r="D1252" i="1"/>
  <c r="E1252" i="1"/>
  <c r="F1252" i="1"/>
  <c r="G1252" i="1"/>
  <c r="H1252" i="1" a="1"/>
  <c r="H1252" i="1"/>
  <c r="I1252" i="1"/>
  <c r="B1253" i="1"/>
  <c r="C1253" i="1"/>
  <c r="D1253" i="1"/>
  <c r="E1253" i="1"/>
  <c r="F1253" i="1"/>
  <c r="G1253" i="1"/>
  <c r="H1253" i="1" a="1"/>
  <c r="H1253" i="1"/>
  <c r="I1253" i="1"/>
  <c r="B1254" i="1"/>
  <c r="C1254" i="1"/>
  <c r="D1254" i="1"/>
  <c r="E1254" i="1"/>
  <c r="F1254" i="1"/>
  <c r="G1254" i="1"/>
  <c r="H1254" i="1" a="1"/>
  <c r="H1254" i="1"/>
  <c r="I1254" i="1"/>
  <c r="B1255" i="1"/>
  <c r="C1255" i="1"/>
  <c r="D1255" i="1"/>
  <c r="E1255" i="1"/>
  <c r="F1255" i="1"/>
  <c r="G1255" i="1"/>
  <c r="H1255" i="1" a="1"/>
  <c r="H1255" i="1"/>
  <c r="I1255" i="1"/>
  <c r="B1256" i="1"/>
  <c r="C1256" i="1"/>
  <c r="D1256" i="1"/>
  <c r="E1256" i="1"/>
  <c r="F1256" i="1"/>
  <c r="G1256" i="1"/>
  <c r="H1256" i="1" a="1"/>
  <c r="H1256" i="1"/>
  <c r="I1256" i="1"/>
  <c r="B1257" i="1"/>
  <c r="C1257" i="1"/>
  <c r="D1257" i="1"/>
  <c r="E1257" i="1"/>
  <c r="F1257" i="1"/>
  <c r="G1257" i="1"/>
  <c r="H1257" i="1" a="1"/>
  <c r="H1257" i="1"/>
  <c r="I1257" i="1"/>
  <c r="B1258" i="1"/>
  <c r="C1258" i="1"/>
  <c r="D1258" i="1"/>
  <c r="E1258" i="1"/>
  <c r="F1258" i="1"/>
  <c r="G1258" i="1"/>
  <c r="H1258" i="1" a="1"/>
  <c r="H1258" i="1"/>
  <c r="I1258" i="1"/>
  <c r="B1259" i="1"/>
  <c r="C1259" i="1"/>
  <c r="D1259" i="1"/>
  <c r="E1259" i="1"/>
  <c r="F1259" i="1"/>
  <c r="G1259" i="1"/>
  <c r="H1259" i="1" a="1"/>
  <c r="H1259" i="1"/>
  <c r="I1259" i="1"/>
  <c r="B1260" i="1"/>
  <c r="C1260" i="1"/>
  <c r="D1260" i="1"/>
  <c r="E1260" i="1"/>
  <c r="F1260" i="1"/>
  <c r="G1260" i="1"/>
  <c r="H1260" i="1" a="1"/>
  <c r="H1260" i="1"/>
  <c r="I1260" i="1"/>
  <c r="B1261" i="1"/>
  <c r="C1261" i="1"/>
  <c r="D1261" i="1"/>
  <c r="E1261" i="1"/>
  <c r="F1261" i="1"/>
  <c r="G1261" i="1"/>
  <c r="H1261" i="1" a="1"/>
  <c r="H1261" i="1"/>
  <c r="I1261" i="1"/>
  <c r="B1262" i="1"/>
  <c r="C1262" i="1"/>
  <c r="D1262" i="1"/>
  <c r="E1262" i="1"/>
  <c r="F1262" i="1"/>
  <c r="G1262" i="1"/>
  <c r="H1262" i="1" a="1"/>
  <c r="H1262" i="1"/>
  <c r="I1262" i="1"/>
  <c r="B1263" i="1"/>
  <c r="C1263" i="1"/>
  <c r="D1263" i="1"/>
  <c r="E1263" i="1"/>
  <c r="F1263" i="1"/>
  <c r="G1263" i="1"/>
  <c r="H1263" i="1" a="1"/>
  <c r="H1263" i="1"/>
  <c r="I1263" i="1"/>
  <c r="B1264" i="1"/>
  <c r="C1264" i="1"/>
  <c r="D1264" i="1"/>
  <c r="E1264" i="1"/>
  <c r="F1264" i="1"/>
  <c r="G1264" i="1"/>
  <c r="H1264" i="1" a="1"/>
  <c r="H1264" i="1"/>
  <c r="I1264" i="1"/>
  <c r="B1265" i="1"/>
  <c r="C1265" i="1"/>
  <c r="D1265" i="1"/>
  <c r="E1265" i="1"/>
  <c r="F1265" i="1"/>
  <c r="G1265" i="1"/>
  <c r="H1265" i="1" a="1"/>
  <c r="H1265" i="1"/>
  <c r="I1265" i="1"/>
  <c r="B1266" i="1"/>
  <c r="C1266" i="1"/>
  <c r="D1266" i="1"/>
  <c r="E1266" i="1"/>
  <c r="F1266" i="1"/>
  <c r="G1266" i="1"/>
  <c r="H1266" i="1" a="1"/>
  <c r="H1266" i="1"/>
  <c r="I1266" i="1"/>
  <c r="B1267" i="1"/>
  <c r="C1267" i="1"/>
  <c r="D1267" i="1"/>
  <c r="E1267" i="1"/>
  <c r="F1267" i="1"/>
  <c r="G1267" i="1"/>
  <c r="H1267" i="1" a="1"/>
  <c r="H1267" i="1"/>
  <c r="I1267" i="1"/>
  <c r="B1268" i="1"/>
  <c r="C1268" i="1"/>
  <c r="D1268" i="1"/>
  <c r="E1268" i="1"/>
  <c r="F1268" i="1"/>
  <c r="G1268" i="1"/>
  <c r="H1268" i="1" a="1"/>
  <c r="H1268" i="1"/>
  <c r="I1268" i="1"/>
  <c r="B1269" i="1"/>
  <c r="C1269" i="1"/>
  <c r="D1269" i="1"/>
  <c r="E1269" i="1"/>
  <c r="F1269" i="1"/>
  <c r="G1269" i="1"/>
  <c r="H1269" i="1" a="1"/>
  <c r="H1269" i="1"/>
  <c r="I1269" i="1"/>
  <c r="B1270" i="1"/>
  <c r="C1270" i="1"/>
  <c r="D1270" i="1"/>
  <c r="E1270" i="1"/>
  <c r="F1270" i="1"/>
  <c r="G1270" i="1"/>
  <c r="H1270" i="1" a="1"/>
  <c r="H1270" i="1"/>
  <c r="I1270" i="1"/>
  <c r="B1271" i="1"/>
  <c r="C1271" i="1"/>
  <c r="D1271" i="1"/>
  <c r="E1271" i="1"/>
  <c r="F1271" i="1"/>
  <c r="G1271" i="1"/>
  <c r="H1271" i="1" a="1"/>
  <c r="H1271" i="1"/>
  <c r="I1271" i="1"/>
  <c r="B1272" i="1"/>
  <c r="C1272" i="1"/>
  <c r="D1272" i="1"/>
  <c r="E1272" i="1"/>
  <c r="F1272" i="1"/>
  <c r="G1272" i="1"/>
  <c r="H1272" i="1" a="1"/>
  <c r="H1272" i="1"/>
  <c r="I1272" i="1"/>
  <c r="B1273" i="1"/>
  <c r="C1273" i="1"/>
  <c r="D1273" i="1"/>
  <c r="E1273" i="1"/>
  <c r="F1273" i="1"/>
  <c r="G1273" i="1"/>
  <c r="H1273" i="1" a="1"/>
  <c r="H1273" i="1"/>
  <c r="I1273" i="1"/>
  <c r="B1274" i="1"/>
  <c r="C1274" i="1"/>
  <c r="D1274" i="1"/>
  <c r="E1274" i="1"/>
  <c r="F1274" i="1"/>
  <c r="G1274" i="1"/>
  <c r="H1274" i="1" a="1"/>
  <c r="H1274" i="1"/>
  <c r="I1274" i="1"/>
  <c r="B1275" i="1"/>
  <c r="C1275" i="1"/>
  <c r="D1275" i="1"/>
  <c r="E1275" i="1"/>
  <c r="F1275" i="1"/>
  <c r="G1275" i="1"/>
  <c r="H1275" i="1" a="1"/>
  <c r="H1275" i="1"/>
  <c r="I1275" i="1"/>
  <c r="B1276" i="1"/>
  <c r="C1276" i="1"/>
  <c r="D1276" i="1"/>
  <c r="E1276" i="1"/>
  <c r="F1276" i="1"/>
  <c r="G1276" i="1"/>
  <c r="H1276" i="1" a="1"/>
  <c r="H1276" i="1"/>
  <c r="I1276" i="1"/>
  <c r="B1277" i="1"/>
  <c r="C1277" i="1"/>
  <c r="D1277" i="1"/>
  <c r="E1277" i="1"/>
  <c r="F1277" i="1"/>
  <c r="G1277" i="1"/>
  <c r="H1277" i="1" a="1"/>
  <c r="H1277" i="1"/>
  <c r="I1277" i="1"/>
  <c r="B1278" i="1"/>
  <c r="C1278" i="1"/>
  <c r="D1278" i="1"/>
  <c r="E1278" i="1"/>
  <c r="F1278" i="1"/>
  <c r="G1278" i="1"/>
  <c r="H1278" i="1" a="1"/>
  <c r="H1278" i="1"/>
  <c r="I1278" i="1"/>
  <c r="B1279" i="1"/>
  <c r="C1279" i="1"/>
  <c r="D1279" i="1"/>
  <c r="E1279" i="1"/>
  <c r="F1279" i="1"/>
  <c r="G1279" i="1"/>
  <c r="H1279" i="1" a="1"/>
  <c r="H1279" i="1"/>
  <c r="I1279" i="1"/>
  <c r="B1280" i="1"/>
  <c r="C1280" i="1"/>
  <c r="D1280" i="1"/>
  <c r="E1280" i="1"/>
  <c r="F1280" i="1"/>
  <c r="G1280" i="1"/>
  <c r="H1280" i="1" a="1"/>
  <c r="H1280" i="1"/>
  <c r="I1280" i="1"/>
  <c r="B1281" i="1"/>
  <c r="C1281" i="1"/>
  <c r="D1281" i="1"/>
  <c r="E1281" i="1"/>
  <c r="F1281" i="1"/>
  <c r="G1281" i="1"/>
  <c r="H1281" i="1" a="1"/>
  <c r="H1281" i="1"/>
  <c r="I1281" i="1"/>
  <c r="B1282" i="1"/>
  <c r="C1282" i="1"/>
  <c r="D1282" i="1"/>
  <c r="E1282" i="1"/>
  <c r="F1282" i="1"/>
  <c r="G1282" i="1"/>
  <c r="H1282" i="1" a="1"/>
  <c r="H1282" i="1"/>
  <c r="I1282" i="1"/>
  <c r="B1283" i="1"/>
  <c r="C1283" i="1"/>
  <c r="D1283" i="1"/>
  <c r="E1283" i="1"/>
  <c r="F1283" i="1"/>
  <c r="G1283" i="1"/>
  <c r="H1283" i="1" a="1"/>
  <c r="H1283" i="1"/>
  <c r="I1283" i="1"/>
  <c r="B1284" i="1"/>
  <c r="C1284" i="1"/>
  <c r="D1284" i="1"/>
  <c r="E1284" i="1"/>
  <c r="F1284" i="1"/>
  <c r="G1284" i="1"/>
  <c r="H1284" i="1" a="1"/>
  <c r="H1284" i="1"/>
  <c r="I1284" i="1"/>
  <c r="B1285" i="1"/>
  <c r="C1285" i="1"/>
  <c r="D1285" i="1"/>
  <c r="E1285" i="1"/>
  <c r="F1285" i="1"/>
  <c r="G1285" i="1"/>
  <c r="H1285" i="1" a="1"/>
  <c r="H1285" i="1"/>
  <c r="I1285" i="1"/>
  <c r="B1286" i="1"/>
  <c r="C1286" i="1"/>
  <c r="D1286" i="1"/>
  <c r="E1286" i="1"/>
  <c r="F1286" i="1"/>
  <c r="G1286" i="1"/>
  <c r="H1286" i="1" a="1"/>
  <c r="H1286" i="1"/>
  <c r="I1286" i="1"/>
  <c r="B1287" i="1"/>
  <c r="C1287" i="1"/>
  <c r="D1287" i="1"/>
  <c r="E1287" i="1"/>
  <c r="F1287" i="1"/>
  <c r="G1287" i="1"/>
  <c r="H1287" i="1" a="1"/>
  <c r="H1287" i="1"/>
  <c r="I1287" i="1"/>
  <c r="B1288" i="1"/>
  <c r="C1288" i="1"/>
  <c r="D1288" i="1"/>
  <c r="E1288" i="1"/>
  <c r="F1288" i="1"/>
  <c r="G1288" i="1"/>
  <c r="H1288" i="1" a="1"/>
  <c r="H1288" i="1"/>
  <c r="I1288" i="1"/>
  <c r="B1289" i="1"/>
  <c r="C1289" i="1"/>
  <c r="D1289" i="1"/>
  <c r="E1289" i="1"/>
  <c r="F1289" i="1"/>
  <c r="G1289" i="1"/>
  <c r="H1289" i="1" a="1"/>
  <c r="H1289" i="1"/>
  <c r="I1289" i="1"/>
  <c r="B1290" i="1"/>
  <c r="C1290" i="1"/>
  <c r="D1290" i="1"/>
  <c r="E1290" i="1"/>
  <c r="F1290" i="1"/>
  <c r="G1290" i="1"/>
  <c r="H1290" i="1" a="1"/>
  <c r="H1290" i="1"/>
  <c r="I1290" i="1"/>
  <c r="B1291" i="1"/>
  <c r="C1291" i="1"/>
  <c r="D1291" i="1"/>
  <c r="E1291" i="1"/>
  <c r="F1291" i="1"/>
  <c r="G1291" i="1"/>
  <c r="H1291" i="1" a="1"/>
  <c r="H1291" i="1"/>
  <c r="I1291" i="1"/>
  <c r="B1292" i="1"/>
  <c r="C1292" i="1"/>
  <c r="D1292" i="1"/>
  <c r="E1292" i="1"/>
  <c r="F1292" i="1"/>
  <c r="G1292" i="1"/>
  <c r="H1292" i="1" a="1"/>
  <c r="H1292" i="1"/>
  <c r="I1292" i="1"/>
  <c r="B1293" i="1"/>
  <c r="C1293" i="1"/>
  <c r="D1293" i="1"/>
  <c r="E1293" i="1"/>
  <c r="F1293" i="1"/>
  <c r="G1293" i="1"/>
  <c r="H1293" i="1" a="1"/>
  <c r="H1293" i="1"/>
  <c r="I1293" i="1"/>
  <c r="B1294" i="1"/>
  <c r="C1294" i="1"/>
  <c r="D1294" i="1"/>
  <c r="E1294" i="1"/>
  <c r="F1294" i="1"/>
  <c r="G1294" i="1"/>
  <c r="H1294" i="1" a="1"/>
  <c r="H1294" i="1"/>
  <c r="I1294" i="1"/>
  <c r="B1295" i="1"/>
  <c r="C1295" i="1"/>
  <c r="D1295" i="1"/>
  <c r="E1295" i="1"/>
  <c r="F1295" i="1"/>
  <c r="G1295" i="1"/>
  <c r="H1295" i="1" a="1"/>
  <c r="H1295" i="1"/>
  <c r="I1295" i="1"/>
  <c r="B1296" i="1"/>
  <c r="C1296" i="1"/>
  <c r="D1296" i="1"/>
  <c r="E1296" i="1"/>
  <c r="F1296" i="1"/>
  <c r="G1296" i="1"/>
  <c r="H1296" i="1" a="1"/>
  <c r="H1296" i="1"/>
  <c r="I1296" i="1"/>
  <c r="B1297" i="1"/>
  <c r="C1297" i="1"/>
  <c r="D1297" i="1"/>
  <c r="E1297" i="1"/>
  <c r="F1297" i="1"/>
  <c r="G1297" i="1"/>
  <c r="H1297" i="1" a="1"/>
  <c r="H1297" i="1"/>
  <c r="I1297" i="1"/>
  <c r="B1298" i="1"/>
  <c r="C1298" i="1"/>
  <c r="D1298" i="1"/>
  <c r="E1298" i="1"/>
  <c r="F1298" i="1"/>
  <c r="G1298" i="1"/>
  <c r="H1298" i="1" a="1"/>
  <c r="H1298" i="1"/>
  <c r="I1298" i="1"/>
  <c r="B1299" i="1"/>
  <c r="C1299" i="1"/>
  <c r="D1299" i="1"/>
  <c r="E1299" i="1"/>
  <c r="F1299" i="1"/>
  <c r="G1299" i="1"/>
  <c r="H1299" i="1" a="1"/>
  <c r="H1299" i="1"/>
  <c r="I1299" i="1"/>
  <c r="B1300" i="1"/>
  <c r="C1300" i="1"/>
  <c r="D1300" i="1"/>
  <c r="E1300" i="1"/>
  <c r="F1300" i="1"/>
  <c r="G1300" i="1"/>
  <c r="H1300" i="1" a="1"/>
  <c r="H1300" i="1"/>
  <c r="I1300" i="1"/>
  <c r="B1301" i="1"/>
  <c r="C1301" i="1"/>
  <c r="D1301" i="1"/>
  <c r="E1301" i="1"/>
  <c r="F1301" i="1"/>
  <c r="G1301" i="1"/>
  <c r="H1301" i="1" a="1"/>
  <c r="H1301" i="1"/>
  <c r="I1301" i="1"/>
  <c r="B1302" i="1"/>
  <c r="C1302" i="1"/>
  <c r="D1302" i="1"/>
  <c r="E1302" i="1"/>
  <c r="F1302" i="1"/>
  <c r="G1302" i="1"/>
  <c r="H1302" i="1" a="1"/>
  <c r="H1302" i="1"/>
  <c r="I1302" i="1"/>
  <c r="B1303" i="1"/>
  <c r="C1303" i="1"/>
  <c r="D1303" i="1"/>
  <c r="E1303" i="1"/>
  <c r="F1303" i="1"/>
  <c r="G1303" i="1"/>
  <c r="H1303" i="1" a="1"/>
  <c r="H1303" i="1"/>
  <c r="I1303" i="1"/>
  <c r="B1304" i="1"/>
  <c r="C1304" i="1"/>
  <c r="D1304" i="1"/>
  <c r="E1304" i="1"/>
  <c r="F1304" i="1"/>
  <c r="G1304" i="1"/>
  <c r="H1304" i="1" a="1"/>
  <c r="H1304" i="1"/>
  <c r="I1304" i="1"/>
  <c r="B1305" i="1"/>
  <c r="C1305" i="1"/>
  <c r="D1305" i="1"/>
  <c r="E1305" i="1"/>
  <c r="F1305" i="1"/>
  <c r="G1305" i="1"/>
  <c r="H1305" i="1" a="1"/>
  <c r="H1305" i="1"/>
  <c r="I1305" i="1"/>
  <c r="B1306" i="1"/>
  <c r="C1306" i="1"/>
  <c r="D1306" i="1"/>
  <c r="E1306" i="1"/>
  <c r="F1306" i="1"/>
  <c r="G1306" i="1"/>
  <c r="H1306" i="1" a="1"/>
  <c r="H1306" i="1"/>
  <c r="I1306" i="1"/>
  <c r="B1307" i="1"/>
  <c r="C1307" i="1"/>
  <c r="D1307" i="1"/>
  <c r="E1307" i="1"/>
  <c r="F1307" i="1"/>
  <c r="G1307" i="1"/>
  <c r="H1307" i="1" a="1"/>
  <c r="H1307" i="1"/>
  <c r="I1307" i="1"/>
  <c r="B1308" i="1"/>
  <c r="C1308" i="1"/>
  <c r="D1308" i="1"/>
  <c r="E1308" i="1"/>
  <c r="F1308" i="1"/>
  <c r="G1308" i="1"/>
  <c r="H1308" i="1" a="1"/>
  <c r="H1308" i="1"/>
  <c r="I1308" i="1"/>
  <c r="B1309" i="1"/>
  <c r="C1309" i="1"/>
  <c r="D1309" i="1"/>
  <c r="E1309" i="1"/>
  <c r="F1309" i="1"/>
  <c r="G1309" i="1"/>
  <c r="H1309" i="1" a="1"/>
  <c r="H1309" i="1"/>
  <c r="I1309" i="1"/>
  <c r="B1310" i="1"/>
  <c r="C1310" i="1"/>
  <c r="D1310" i="1"/>
  <c r="E1310" i="1"/>
  <c r="F1310" i="1"/>
  <c r="G1310" i="1"/>
  <c r="H1310" i="1" a="1"/>
  <c r="H1310" i="1"/>
  <c r="I1310" i="1"/>
  <c r="B1311" i="1"/>
  <c r="C1311" i="1"/>
  <c r="D1311" i="1"/>
  <c r="E1311" i="1"/>
  <c r="F1311" i="1"/>
  <c r="G1311" i="1"/>
  <c r="H1311" i="1" a="1"/>
  <c r="H1311" i="1"/>
  <c r="I1311" i="1"/>
  <c r="B1312" i="1"/>
  <c r="C1312" i="1"/>
  <c r="D1312" i="1"/>
  <c r="E1312" i="1"/>
  <c r="F1312" i="1"/>
  <c r="G1312" i="1"/>
  <c r="H1312" i="1" a="1"/>
  <c r="H1312" i="1"/>
  <c r="I1312" i="1"/>
  <c r="B1313" i="1"/>
  <c r="C1313" i="1"/>
  <c r="D1313" i="1"/>
  <c r="E1313" i="1"/>
  <c r="F1313" i="1"/>
  <c r="G1313" i="1"/>
  <c r="H1313" i="1" a="1"/>
  <c r="H1313" i="1"/>
  <c r="I1313" i="1"/>
  <c r="B1314" i="1"/>
  <c r="C1314" i="1"/>
  <c r="D1314" i="1"/>
  <c r="E1314" i="1"/>
  <c r="F1314" i="1"/>
  <c r="G1314" i="1"/>
  <c r="H1314" i="1" a="1"/>
  <c r="H1314" i="1"/>
  <c r="I1314" i="1"/>
  <c r="B1315" i="1"/>
  <c r="C1315" i="1"/>
  <c r="D1315" i="1"/>
  <c r="E1315" i="1"/>
  <c r="F1315" i="1"/>
  <c r="G1315" i="1"/>
  <c r="H1315" i="1" a="1"/>
  <c r="H1315" i="1"/>
  <c r="I1315" i="1"/>
  <c r="B1316" i="1"/>
  <c r="C1316" i="1"/>
  <c r="D1316" i="1"/>
  <c r="E1316" i="1"/>
  <c r="F1316" i="1"/>
  <c r="G1316" i="1"/>
  <c r="H1316" i="1" a="1"/>
  <c r="H1316" i="1"/>
  <c r="I1316" i="1"/>
  <c r="B1317" i="1"/>
  <c r="C1317" i="1"/>
  <c r="D1317" i="1"/>
  <c r="E1317" i="1"/>
  <c r="F1317" i="1"/>
  <c r="G1317" i="1"/>
  <c r="H1317" i="1" a="1"/>
  <c r="H1317" i="1"/>
  <c r="I1317" i="1"/>
  <c r="B1318" i="1"/>
  <c r="C1318" i="1"/>
  <c r="D1318" i="1"/>
  <c r="E1318" i="1"/>
  <c r="F1318" i="1"/>
  <c r="G1318" i="1"/>
  <c r="H1318" i="1" a="1"/>
  <c r="H1318" i="1"/>
  <c r="I1318" i="1"/>
  <c r="B1319" i="1"/>
  <c r="C1319" i="1"/>
  <c r="D1319" i="1"/>
  <c r="E1319" i="1"/>
  <c r="F1319" i="1"/>
  <c r="G1319" i="1"/>
  <c r="H1319" i="1" a="1"/>
  <c r="H1319" i="1"/>
  <c r="I1319" i="1"/>
  <c r="B1320" i="1"/>
  <c r="C1320" i="1"/>
  <c r="D1320" i="1"/>
  <c r="E1320" i="1"/>
  <c r="F1320" i="1"/>
  <c r="G1320" i="1"/>
  <c r="H1320" i="1" a="1"/>
  <c r="H1320" i="1"/>
  <c r="I1320" i="1"/>
  <c r="B1321" i="1"/>
  <c r="C1321" i="1"/>
  <c r="D1321" i="1"/>
  <c r="E1321" i="1"/>
  <c r="F1321" i="1"/>
  <c r="G1321" i="1"/>
  <c r="H1321" i="1" a="1"/>
  <c r="H1321" i="1"/>
  <c r="I1321" i="1"/>
  <c r="B1322" i="1"/>
  <c r="C1322" i="1"/>
  <c r="D1322" i="1"/>
  <c r="E1322" i="1"/>
  <c r="F1322" i="1"/>
  <c r="G1322" i="1"/>
  <c r="H1322" i="1" a="1"/>
  <c r="H1322" i="1"/>
  <c r="I1322" i="1"/>
  <c r="B1323" i="1"/>
  <c r="C1323" i="1"/>
  <c r="D1323" i="1"/>
  <c r="E1323" i="1"/>
  <c r="F1323" i="1"/>
  <c r="G1323" i="1"/>
  <c r="H1323" i="1" a="1"/>
  <c r="H1323" i="1"/>
  <c r="I1323" i="1"/>
  <c r="B1324" i="1"/>
  <c r="C1324" i="1"/>
  <c r="D1324" i="1"/>
  <c r="E1324" i="1"/>
  <c r="F1324" i="1"/>
  <c r="G1324" i="1"/>
  <c r="H1324" i="1" a="1"/>
  <c r="H1324" i="1"/>
  <c r="I1324" i="1"/>
  <c r="B1325" i="1"/>
  <c r="C1325" i="1"/>
  <c r="D1325" i="1"/>
  <c r="E1325" i="1"/>
  <c r="F1325" i="1"/>
  <c r="G1325" i="1"/>
  <c r="H1325" i="1" a="1"/>
  <c r="H1325" i="1"/>
  <c r="I1325" i="1"/>
  <c r="B1326" i="1"/>
  <c r="C1326" i="1"/>
  <c r="D1326" i="1"/>
  <c r="E1326" i="1"/>
  <c r="F1326" i="1"/>
  <c r="G1326" i="1"/>
  <c r="H1326" i="1" a="1"/>
  <c r="H1326" i="1"/>
  <c r="I1326" i="1"/>
  <c r="B1327" i="1"/>
  <c r="C1327" i="1"/>
  <c r="D1327" i="1"/>
  <c r="E1327" i="1"/>
  <c r="F1327" i="1"/>
  <c r="G1327" i="1"/>
  <c r="H1327" i="1" a="1"/>
  <c r="H1327" i="1"/>
  <c r="I1327" i="1"/>
  <c r="B1328" i="1"/>
  <c r="C1328" i="1"/>
  <c r="D1328" i="1"/>
  <c r="E1328" i="1"/>
  <c r="F1328" i="1"/>
  <c r="G1328" i="1"/>
  <c r="H1328" i="1" a="1"/>
  <c r="H1328" i="1"/>
  <c r="I1328" i="1"/>
  <c r="B1329" i="1"/>
  <c r="C1329" i="1"/>
  <c r="D1329" i="1"/>
  <c r="E1329" i="1"/>
  <c r="F1329" i="1"/>
  <c r="G1329" i="1"/>
  <c r="H1329" i="1" a="1"/>
  <c r="H1329" i="1"/>
  <c r="I1329" i="1"/>
  <c r="B1330" i="1"/>
  <c r="C1330" i="1"/>
  <c r="D1330" i="1"/>
  <c r="E1330" i="1"/>
  <c r="F1330" i="1"/>
  <c r="G1330" i="1"/>
  <c r="H1330" i="1" a="1"/>
  <c r="H1330" i="1"/>
  <c r="I1330" i="1"/>
  <c r="B1331" i="1"/>
  <c r="C1331" i="1"/>
  <c r="D1331" i="1"/>
  <c r="E1331" i="1"/>
  <c r="F1331" i="1"/>
  <c r="G1331" i="1"/>
  <c r="H1331" i="1" a="1"/>
  <c r="H1331" i="1"/>
  <c r="I1331" i="1"/>
  <c r="B1332" i="1"/>
  <c r="C1332" i="1"/>
  <c r="D1332" i="1"/>
  <c r="E1332" i="1"/>
  <c r="F1332" i="1"/>
  <c r="G1332" i="1"/>
  <c r="H1332" i="1" a="1"/>
  <c r="H1332" i="1"/>
  <c r="I1332" i="1"/>
  <c r="B1333" i="1"/>
  <c r="C1333" i="1"/>
  <c r="D1333" i="1"/>
  <c r="E1333" i="1"/>
  <c r="F1333" i="1"/>
  <c r="G1333" i="1"/>
  <c r="H1333" i="1" a="1"/>
  <c r="H1333" i="1"/>
  <c r="I1333" i="1"/>
  <c r="B1334" i="1"/>
  <c r="C1334" i="1"/>
  <c r="D1334" i="1"/>
  <c r="E1334" i="1"/>
  <c r="F1334" i="1"/>
  <c r="G1334" i="1"/>
  <c r="H1334" i="1" a="1"/>
  <c r="H1334" i="1"/>
  <c r="I1334" i="1"/>
  <c r="B1335" i="1"/>
  <c r="C1335" i="1"/>
  <c r="D1335" i="1"/>
  <c r="E1335" i="1"/>
  <c r="F1335" i="1"/>
  <c r="G1335" i="1"/>
  <c r="H1335" i="1" a="1"/>
  <c r="H1335" i="1"/>
  <c r="I1335" i="1"/>
  <c r="B1336" i="1"/>
  <c r="C1336" i="1"/>
  <c r="D1336" i="1"/>
  <c r="E1336" i="1"/>
  <c r="F1336" i="1"/>
  <c r="G1336" i="1"/>
  <c r="H1336" i="1" a="1"/>
  <c r="H1336" i="1"/>
  <c r="I1336" i="1"/>
  <c r="B1337" i="1"/>
  <c r="C1337" i="1"/>
  <c r="D1337" i="1"/>
  <c r="E1337" i="1"/>
  <c r="F1337" i="1"/>
  <c r="G1337" i="1"/>
  <c r="H1337" i="1" a="1"/>
  <c r="H1337" i="1"/>
  <c r="I1337" i="1"/>
  <c r="B1338" i="1"/>
  <c r="C1338" i="1"/>
  <c r="D1338" i="1"/>
  <c r="E1338" i="1"/>
  <c r="F1338" i="1"/>
  <c r="G1338" i="1"/>
  <c r="H1338" i="1" a="1"/>
  <c r="H1338" i="1"/>
  <c r="I1338" i="1"/>
  <c r="B1339" i="1"/>
  <c r="C1339" i="1"/>
  <c r="D1339" i="1"/>
  <c r="E1339" i="1"/>
  <c r="F1339" i="1"/>
  <c r="G1339" i="1"/>
  <c r="H1339" i="1" a="1"/>
  <c r="H1339" i="1"/>
  <c r="I1339" i="1"/>
  <c r="B1340" i="1"/>
  <c r="C1340" i="1"/>
  <c r="D1340" i="1"/>
  <c r="E1340" i="1"/>
  <c r="F1340" i="1"/>
  <c r="G1340" i="1"/>
  <c r="H1340" i="1" a="1"/>
  <c r="H1340" i="1"/>
  <c r="I1340" i="1"/>
  <c r="B1341" i="1"/>
  <c r="C1341" i="1"/>
  <c r="D1341" i="1"/>
  <c r="E1341" i="1"/>
  <c r="F1341" i="1"/>
  <c r="G1341" i="1"/>
  <c r="H1341" i="1" a="1"/>
  <c r="H1341" i="1"/>
  <c r="I1341" i="1"/>
  <c r="B1342" i="1"/>
  <c r="C1342" i="1"/>
  <c r="D1342" i="1"/>
  <c r="E1342" i="1"/>
  <c r="F1342" i="1"/>
  <c r="G1342" i="1"/>
  <c r="H1342" i="1" a="1"/>
  <c r="H1342" i="1"/>
  <c r="I1342" i="1"/>
  <c r="B1343" i="1"/>
  <c r="C1343" i="1"/>
  <c r="D1343" i="1"/>
  <c r="E1343" i="1"/>
  <c r="F1343" i="1"/>
  <c r="G1343" i="1"/>
  <c r="H1343" i="1" a="1"/>
  <c r="H1343" i="1"/>
  <c r="I1343" i="1"/>
  <c r="B1344" i="1"/>
  <c r="C1344" i="1"/>
  <c r="D1344" i="1"/>
  <c r="E1344" i="1"/>
  <c r="F1344" i="1"/>
  <c r="G1344" i="1"/>
  <c r="H1344" i="1" a="1"/>
  <c r="H1344" i="1"/>
  <c r="I1344" i="1"/>
  <c r="B1345" i="1"/>
  <c r="C1345" i="1"/>
  <c r="D1345" i="1"/>
  <c r="E1345" i="1"/>
  <c r="F1345" i="1"/>
  <c r="G1345" i="1"/>
  <c r="H1345" i="1" a="1"/>
  <c r="H1345" i="1"/>
  <c r="I1345" i="1"/>
  <c r="B1346" i="1"/>
  <c r="C1346" i="1"/>
  <c r="D1346" i="1"/>
  <c r="E1346" i="1"/>
  <c r="F1346" i="1"/>
  <c r="G1346" i="1"/>
  <c r="H1346" i="1" a="1"/>
  <c r="H1346" i="1"/>
  <c r="I1346" i="1"/>
  <c r="B1347" i="1"/>
  <c r="C1347" i="1"/>
  <c r="D1347" i="1"/>
  <c r="E1347" i="1"/>
  <c r="F1347" i="1"/>
  <c r="G1347" i="1"/>
  <c r="H1347" i="1" a="1"/>
  <c r="H1347" i="1"/>
  <c r="I1347" i="1"/>
  <c r="B1348" i="1"/>
  <c r="C1348" i="1"/>
  <c r="D1348" i="1"/>
  <c r="E1348" i="1"/>
  <c r="F1348" i="1"/>
  <c r="G1348" i="1"/>
  <c r="H1348" i="1" a="1"/>
  <c r="H1348" i="1"/>
  <c r="I1348" i="1"/>
  <c r="B1349" i="1"/>
  <c r="C1349" i="1"/>
  <c r="D1349" i="1"/>
  <c r="E1349" i="1"/>
  <c r="F1349" i="1"/>
  <c r="G1349" i="1"/>
  <c r="H1349" i="1" a="1"/>
  <c r="H1349" i="1"/>
  <c r="I1349" i="1"/>
  <c r="B1350" i="1"/>
  <c r="C1350" i="1"/>
  <c r="D1350" i="1"/>
  <c r="E1350" i="1"/>
  <c r="F1350" i="1"/>
  <c r="G1350" i="1"/>
  <c r="H1350" i="1" a="1"/>
  <c r="H1350" i="1"/>
  <c r="I1350" i="1"/>
  <c r="B1351" i="1"/>
  <c r="C1351" i="1"/>
  <c r="D1351" i="1"/>
  <c r="E1351" i="1"/>
  <c r="F1351" i="1"/>
  <c r="G1351" i="1"/>
  <c r="H1351" i="1" a="1"/>
  <c r="H1351" i="1"/>
  <c r="I1351" i="1"/>
  <c r="B1352" i="1"/>
  <c r="C1352" i="1"/>
  <c r="D1352" i="1"/>
  <c r="E1352" i="1"/>
  <c r="F1352" i="1"/>
  <c r="G1352" i="1"/>
  <c r="H1352" i="1" a="1"/>
  <c r="H1352" i="1"/>
  <c r="I1352" i="1"/>
  <c r="B1353" i="1"/>
  <c r="C1353" i="1"/>
  <c r="D1353" i="1"/>
  <c r="E1353" i="1"/>
  <c r="F1353" i="1"/>
  <c r="G1353" i="1"/>
  <c r="H1353" i="1" a="1"/>
  <c r="H1353" i="1"/>
  <c r="I1353" i="1"/>
  <c r="B1354" i="1"/>
  <c r="C1354" i="1"/>
  <c r="D1354" i="1"/>
  <c r="E1354" i="1"/>
  <c r="F1354" i="1"/>
  <c r="G1354" i="1"/>
  <c r="H1354" i="1" a="1"/>
  <c r="H1354" i="1"/>
  <c r="I1354" i="1"/>
  <c r="B1355" i="1"/>
  <c r="C1355" i="1"/>
  <c r="D1355" i="1"/>
  <c r="E1355" i="1"/>
  <c r="F1355" i="1"/>
  <c r="G1355" i="1"/>
  <c r="H1355" i="1" a="1"/>
  <c r="H1355" i="1"/>
  <c r="I1355" i="1"/>
  <c r="B1356" i="1"/>
  <c r="C1356" i="1"/>
  <c r="D1356" i="1"/>
  <c r="E1356" i="1"/>
  <c r="F1356" i="1"/>
  <c r="G1356" i="1"/>
  <c r="H1356" i="1" a="1"/>
  <c r="H1356" i="1"/>
  <c r="I1356" i="1"/>
  <c r="B1357" i="1"/>
  <c r="C1357" i="1"/>
  <c r="D1357" i="1"/>
  <c r="E1357" i="1"/>
  <c r="F1357" i="1"/>
  <c r="G1357" i="1"/>
  <c r="H1357" i="1" a="1"/>
  <c r="H1357" i="1"/>
  <c r="I1357" i="1"/>
  <c r="B1358" i="1"/>
  <c r="C1358" i="1"/>
  <c r="D1358" i="1"/>
  <c r="E1358" i="1"/>
  <c r="F1358" i="1"/>
  <c r="G1358" i="1"/>
  <c r="H1358" i="1" a="1"/>
  <c r="H1358" i="1"/>
  <c r="I1358" i="1"/>
  <c r="B1359" i="1"/>
  <c r="C1359" i="1"/>
  <c r="D1359" i="1"/>
  <c r="E1359" i="1"/>
  <c r="F1359" i="1"/>
  <c r="G1359" i="1"/>
  <c r="H1359" i="1" a="1"/>
  <c r="H1359" i="1"/>
  <c r="I1359" i="1"/>
  <c r="B1360" i="1"/>
  <c r="C1360" i="1"/>
  <c r="D1360" i="1"/>
  <c r="E1360" i="1"/>
  <c r="F1360" i="1"/>
  <c r="G1360" i="1"/>
  <c r="H1360" i="1" a="1"/>
  <c r="H1360" i="1"/>
  <c r="I1360" i="1"/>
  <c r="B1361" i="1"/>
  <c r="C1361" i="1"/>
  <c r="D1361" i="1"/>
  <c r="E1361" i="1"/>
  <c r="F1361" i="1"/>
  <c r="G1361" i="1"/>
  <c r="H1361" i="1" a="1"/>
  <c r="H1361" i="1"/>
  <c r="I1361" i="1"/>
  <c r="B1362" i="1"/>
  <c r="C1362" i="1"/>
  <c r="D1362" i="1"/>
  <c r="E1362" i="1"/>
  <c r="F1362" i="1"/>
  <c r="G1362" i="1"/>
  <c r="H1362" i="1" a="1"/>
  <c r="H1362" i="1"/>
  <c r="I1362" i="1"/>
  <c r="B1363" i="1"/>
  <c r="C1363" i="1"/>
  <c r="D1363" i="1"/>
  <c r="E1363" i="1"/>
  <c r="F1363" i="1"/>
  <c r="G1363" i="1"/>
  <c r="H1363" i="1" a="1"/>
  <c r="H1363" i="1"/>
  <c r="I1363" i="1"/>
  <c r="B1364" i="1"/>
  <c r="C1364" i="1"/>
  <c r="D1364" i="1"/>
  <c r="E1364" i="1"/>
  <c r="F1364" i="1"/>
  <c r="G1364" i="1"/>
  <c r="H1364" i="1" a="1"/>
  <c r="H1364" i="1"/>
  <c r="I1364" i="1"/>
  <c r="B1365" i="1"/>
  <c r="C1365" i="1"/>
  <c r="D1365" i="1"/>
  <c r="E1365" i="1"/>
  <c r="F1365" i="1"/>
  <c r="G1365" i="1"/>
  <c r="H1365" i="1" a="1"/>
  <c r="H1365" i="1"/>
  <c r="I1365" i="1"/>
  <c r="B1366" i="1"/>
  <c r="C1366" i="1"/>
  <c r="D1366" i="1"/>
  <c r="E1366" i="1"/>
  <c r="F1366" i="1"/>
  <c r="G1366" i="1"/>
  <c r="H1366" i="1" a="1"/>
  <c r="H1366" i="1"/>
  <c r="I1366" i="1"/>
  <c r="B1367" i="1"/>
  <c r="C1367" i="1"/>
  <c r="D1367" i="1"/>
  <c r="E1367" i="1"/>
  <c r="F1367" i="1"/>
  <c r="G1367" i="1"/>
  <c r="H1367" i="1" a="1"/>
  <c r="H1367" i="1"/>
  <c r="I1367" i="1"/>
  <c r="B1368" i="1"/>
  <c r="C1368" i="1"/>
  <c r="D1368" i="1"/>
  <c r="E1368" i="1"/>
  <c r="F1368" i="1"/>
  <c r="G1368" i="1"/>
  <c r="H1368" i="1" a="1"/>
  <c r="H1368" i="1"/>
  <c r="I1368" i="1"/>
  <c r="B1369" i="1"/>
  <c r="C1369" i="1"/>
  <c r="D1369" i="1"/>
  <c r="E1369" i="1"/>
  <c r="F1369" i="1"/>
  <c r="G1369" i="1"/>
  <c r="H1369" i="1" a="1"/>
  <c r="H1369" i="1"/>
  <c r="I1369" i="1"/>
  <c r="B1370" i="1"/>
  <c r="C1370" i="1"/>
  <c r="D1370" i="1"/>
  <c r="E1370" i="1"/>
  <c r="F1370" i="1"/>
  <c r="G1370" i="1"/>
  <c r="H1370" i="1" a="1"/>
  <c r="H1370" i="1"/>
  <c r="I1370" i="1"/>
  <c r="B1371" i="1"/>
  <c r="C1371" i="1"/>
  <c r="D1371" i="1"/>
  <c r="E1371" i="1"/>
  <c r="F1371" i="1"/>
  <c r="G1371" i="1"/>
  <c r="H1371" i="1" a="1"/>
  <c r="H1371" i="1"/>
  <c r="I1371" i="1"/>
  <c r="B1372" i="1"/>
  <c r="C1372" i="1"/>
  <c r="D1372" i="1"/>
  <c r="E1372" i="1"/>
  <c r="F1372" i="1"/>
  <c r="G1372" i="1"/>
  <c r="H1372" i="1" a="1"/>
  <c r="H1372" i="1"/>
  <c r="I1372" i="1"/>
  <c r="B1373" i="1"/>
  <c r="C1373" i="1"/>
  <c r="D1373" i="1"/>
  <c r="E1373" i="1"/>
  <c r="F1373" i="1"/>
  <c r="G1373" i="1"/>
  <c r="H1373" i="1" a="1"/>
  <c r="H1373" i="1"/>
  <c r="I1373" i="1"/>
  <c r="B1374" i="1"/>
  <c r="C1374" i="1"/>
  <c r="D1374" i="1"/>
  <c r="E1374" i="1"/>
  <c r="F1374" i="1"/>
  <c r="G1374" i="1"/>
  <c r="H1374" i="1" a="1"/>
  <c r="H1374" i="1"/>
  <c r="I1374" i="1"/>
  <c r="B1375" i="1"/>
  <c r="C1375" i="1"/>
  <c r="D1375" i="1"/>
  <c r="E1375" i="1"/>
  <c r="F1375" i="1"/>
  <c r="G1375" i="1"/>
  <c r="H1375" i="1" a="1"/>
  <c r="H1375" i="1"/>
  <c r="I1375" i="1"/>
  <c r="B1376" i="1"/>
  <c r="C1376" i="1"/>
  <c r="D1376" i="1"/>
  <c r="E1376" i="1"/>
  <c r="F1376" i="1"/>
  <c r="G1376" i="1"/>
  <c r="H1376" i="1" a="1"/>
  <c r="H1376" i="1"/>
  <c r="I1376" i="1"/>
  <c r="B1377" i="1"/>
  <c r="C1377" i="1"/>
  <c r="D1377" i="1"/>
  <c r="E1377" i="1"/>
  <c r="F1377" i="1"/>
  <c r="G1377" i="1"/>
  <c r="H1377" i="1" a="1"/>
  <c r="H1377" i="1"/>
  <c r="I1377" i="1"/>
  <c r="B1378" i="1"/>
  <c r="C1378" i="1"/>
  <c r="D1378" i="1"/>
  <c r="E1378" i="1"/>
  <c r="F1378" i="1"/>
  <c r="G1378" i="1"/>
  <c r="H1378" i="1" a="1"/>
  <c r="H1378" i="1"/>
  <c r="I1378" i="1"/>
  <c r="B1379" i="1"/>
  <c r="C1379" i="1"/>
  <c r="D1379" i="1"/>
  <c r="E1379" i="1"/>
  <c r="F1379" i="1"/>
  <c r="G1379" i="1"/>
  <c r="H1379" i="1" a="1"/>
  <c r="H1379" i="1"/>
  <c r="I1379" i="1"/>
  <c r="B1380" i="1"/>
  <c r="C1380" i="1"/>
  <c r="D1380" i="1"/>
  <c r="E1380" i="1"/>
  <c r="F1380" i="1"/>
  <c r="G1380" i="1"/>
  <c r="H1380" i="1" a="1"/>
  <c r="H1380" i="1"/>
  <c r="I1380" i="1"/>
  <c r="B1381" i="1"/>
  <c r="C1381" i="1"/>
  <c r="D1381" i="1"/>
  <c r="E1381" i="1"/>
  <c r="F1381" i="1"/>
  <c r="G1381" i="1"/>
  <c r="H1381" i="1" a="1"/>
  <c r="H1381" i="1"/>
  <c r="I1381" i="1"/>
  <c r="B1382" i="1"/>
  <c r="C1382" i="1"/>
  <c r="D1382" i="1"/>
  <c r="E1382" i="1"/>
  <c r="F1382" i="1"/>
  <c r="G1382" i="1"/>
  <c r="H1382" i="1" a="1"/>
  <c r="H1382" i="1"/>
  <c r="I1382" i="1"/>
  <c r="B1383" i="1"/>
  <c r="C1383" i="1"/>
  <c r="D1383" i="1"/>
  <c r="E1383" i="1"/>
  <c r="F1383" i="1"/>
  <c r="G1383" i="1"/>
  <c r="H1383" i="1" a="1"/>
  <c r="H1383" i="1"/>
  <c r="I1383" i="1"/>
  <c r="B1384" i="1"/>
  <c r="C1384" i="1"/>
  <c r="D1384" i="1"/>
  <c r="E1384" i="1"/>
  <c r="F1384" i="1"/>
  <c r="G1384" i="1"/>
  <c r="H1384" i="1" a="1"/>
  <c r="H1384" i="1"/>
  <c r="I1384" i="1"/>
  <c r="B1385" i="1"/>
  <c r="C1385" i="1"/>
  <c r="D1385" i="1"/>
  <c r="E1385" i="1"/>
  <c r="F1385" i="1"/>
  <c r="G1385" i="1"/>
  <c r="H1385" i="1" a="1"/>
  <c r="H1385" i="1"/>
  <c r="I1385" i="1"/>
  <c r="B1386" i="1"/>
  <c r="C1386" i="1"/>
  <c r="D1386" i="1"/>
  <c r="E1386" i="1"/>
  <c r="F1386" i="1"/>
  <c r="G1386" i="1"/>
  <c r="H1386" i="1" a="1"/>
  <c r="H1386" i="1"/>
  <c r="I1386" i="1"/>
  <c r="B1387" i="1"/>
  <c r="C1387" i="1"/>
  <c r="D1387" i="1"/>
  <c r="E1387" i="1"/>
  <c r="F1387" i="1"/>
  <c r="G1387" i="1"/>
  <c r="H1387" i="1" a="1"/>
  <c r="H1387" i="1"/>
  <c r="I1387" i="1"/>
  <c r="B1388" i="1"/>
  <c r="C1388" i="1"/>
  <c r="D1388" i="1"/>
  <c r="E1388" i="1"/>
  <c r="F1388" i="1"/>
  <c r="G1388" i="1"/>
  <c r="H1388" i="1" a="1"/>
  <c r="H1388" i="1"/>
  <c r="I1388" i="1"/>
  <c r="B1389" i="1"/>
  <c r="C1389" i="1"/>
  <c r="D1389" i="1"/>
  <c r="E1389" i="1"/>
  <c r="F1389" i="1"/>
  <c r="G1389" i="1"/>
  <c r="H1389" i="1" a="1"/>
  <c r="H1389" i="1"/>
  <c r="I1389" i="1"/>
  <c r="B1390" i="1"/>
  <c r="C1390" i="1"/>
  <c r="D1390" i="1"/>
  <c r="E1390" i="1"/>
  <c r="F1390" i="1"/>
  <c r="G1390" i="1"/>
  <c r="H1390" i="1" a="1"/>
  <c r="H1390" i="1"/>
  <c r="I1390" i="1"/>
  <c r="B1391" i="1"/>
  <c r="C1391" i="1"/>
  <c r="D1391" i="1"/>
  <c r="E1391" i="1"/>
  <c r="F1391" i="1"/>
  <c r="G1391" i="1"/>
  <c r="H1391" i="1" a="1"/>
  <c r="H1391" i="1"/>
  <c r="I1391" i="1"/>
  <c r="B1392" i="1"/>
  <c r="C1392" i="1"/>
  <c r="D1392" i="1"/>
  <c r="E1392" i="1"/>
  <c r="F1392" i="1"/>
  <c r="G1392" i="1"/>
  <c r="H1392" i="1" a="1"/>
  <c r="H1392" i="1"/>
  <c r="I1392" i="1"/>
  <c r="B1393" i="1"/>
  <c r="C1393" i="1"/>
  <c r="D1393" i="1"/>
  <c r="E1393" i="1"/>
  <c r="F1393" i="1"/>
  <c r="G1393" i="1"/>
  <c r="H1393" i="1" a="1"/>
  <c r="H1393" i="1"/>
  <c r="I1393" i="1"/>
  <c r="B1394" i="1"/>
  <c r="C1394" i="1"/>
  <c r="D1394" i="1"/>
  <c r="E1394" i="1"/>
  <c r="F1394" i="1"/>
  <c r="G1394" i="1"/>
  <c r="H1394" i="1" a="1"/>
  <c r="H1394" i="1"/>
  <c r="I1394" i="1"/>
  <c r="B1395" i="1"/>
  <c r="C1395" i="1"/>
  <c r="D1395" i="1"/>
  <c r="E1395" i="1"/>
  <c r="F1395" i="1"/>
  <c r="G1395" i="1"/>
  <c r="H1395" i="1" a="1"/>
  <c r="H1395" i="1"/>
  <c r="I1395" i="1"/>
  <c r="B1396" i="1"/>
  <c r="C1396" i="1"/>
  <c r="D1396" i="1"/>
  <c r="E1396" i="1"/>
  <c r="F1396" i="1"/>
  <c r="G1396" i="1"/>
  <c r="H1396" i="1" a="1"/>
  <c r="H1396" i="1"/>
  <c r="I1396" i="1"/>
  <c r="B1397" i="1"/>
  <c r="C1397" i="1"/>
  <c r="D1397" i="1"/>
  <c r="E1397" i="1"/>
  <c r="F1397" i="1"/>
  <c r="G1397" i="1"/>
  <c r="H1397" i="1" a="1"/>
  <c r="H1397" i="1"/>
  <c r="I1397" i="1"/>
  <c r="B1398" i="1"/>
  <c r="C1398" i="1"/>
  <c r="D1398" i="1"/>
  <c r="E1398" i="1"/>
  <c r="F1398" i="1"/>
  <c r="G1398" i="1"/>
  <c r="H1398" i="1" a="1"/>
  <c r="H1398" i="1"/>
  <c r="I1398" i="1"/>
  <c r="B1399" i="1"/>
  <c r="C1399" i="1"/>
  <c r="D1399" i="1"/>
  <c r="E1399" i="1"/>
  <c r="F1399" i="1"/>
  <c r="G1399" i="1"/>
  <c r="H1399" i="1" a="1"/>
  <c r="H1399" i="1"/>
  <c r="I1399" i="1"/>
  <c r="B1400" i="1"/>
  <c r="C1400" i="1"/>
  <c r="D1400" i="1"/>
  <c r="E1400" i="1"/>
  <c r="F1400" i="1"/>
  <c r="G1400" i="1"/>
  <c r="H1400" i="1" a="1"/>
  <c r="H1400" i="1"/>
  <c r="I1400" i="1"/>
  <c r="B1401" i="1"/>
  <c r="C1401" i="1"/>
  <c r="D1401" i="1"/>
  <c r="E1401" i="1"/>
  <c r="F1401" i="1"/>
  <c r="G1401" i="1"/>
  <c r="H1401" i="1" a="1"/>
  <c r="H1401" i="1"/>
  <c r="I1401" i="1"/>
  <c r="B1402" i="1"/>
  <c r="C1402" i="1"/>
  <c r="D1402" i="1"/>
  <c r="E1402" i="1"/>
  <c r="F1402" i="1"/>
  <c r="G1402" i="1"/>
  <c r="H1402" i="1" a="1"/>
  <c r="H1402" i="1"/>
  <c r="I1402" i="1"/>
  <c r="B1403" i="1"/>
  <c r="C1403" i="1"/>
  <c r="D1403" i="1"/>
  <c r="E1403" i="1"/>
  <c r="F1403" i="1"/>
  <c r="G1403" i="1"/>
  <c r="H1403" i="1" a="1"/>
  <c r="H1403" i="1"/>
  <c r="I1403" i="1"/>
  <c r="B1404" i="1"/>
  <c r="C1404" i="1"/>
  <c r="D1404" i="1"/>
  <c r="E1404" i="1"/>
  <c r="F1404" i="1"/>
  <c r="G1404" i="1"/>
  <c r="H1404" i="1" a="1"/>
  <c r="H1404" i="1"/>
  <c r="I1404" i="1"/>
  <c r="B1405" i="1"/>
  <c r="C1405" i="1"/>
  <c r="D1405" i="1"/>
  <c r="E1405" i="1"/>
  <c r="F1405" i="1"/>
  <c r="G1405" i="1"/>
  <c r="H1405" i="1" a="1"/>
  <c r="H1405" i="1"/>
  <c r="I1405" i="1"/>
  <c r="B1406" i="1"/>
  <c r="C1406" i="1"/>
  <c r="D1406" i="1"/>
  <c r="E1406" i="1"/>
  <c r="F1406" i="1"/>
  <c r="G1406" i="1"/>
  <c r="H1406" i="1" a="1"/>
  <c r="H1406" i="1"/>
  <c r="I1406" i="1"/>
  <c r="B1407" i="1"/>
  <c r="C1407" i="1"/>
  <c r="D1407" i="1"/>
  <c r="E1407" i="1"/>
  <c r="F1407" i="1"/>
  <c r="G1407" i="1"/>
  <c r="H1407" i="1" a="1"/>
  <c r="H1407" i="1"/>
  <c r="I1407" i="1"/>
  <c r="B1408" i="1"/>
  <c r="C1408" i="1"/>
  <c r="D1408" i="1"/>
  <c r="E1408" i="1"/>
  <c r="F1408" i="1"/>
  <c r="G1408" i="1"/>
  <c r="H1408" i="1" a="1"/>
  <c r="H1408" i="1"/>
  <c r="I1408" i="1"/>
  <c r="B1409" i="1"/>
  <c r="C1409" i="1"/>
  <c r="D1409" i="1"/>
  <c r="E1409" i="1"/>
  <c r="F1409" i="1"/>
  <c r="G1409" i="1"/>
  <c r="H1409" i="1" a="1"/>
  <c r="H1409" i="1"/>
  <c r="I1409" i="1"/>
  <c r="B1410" i="1"/>
  <c r="C1410" i="1"/>
  <c r="D1410" i="1"/>
  <c r="E1410" i="1"/>
  <c r="F1410" i="1"/>
  <c r="G1410" i="1"/>
  <c r="H1410" i="1" a="1"/>
  <c r="H1410" i="1"/>
  <c r="I1410" i="1"/>
  <c r="B1411" i="1"/>
  <c r="C1411" i="1"/>
  <c r="D1411" i="1"/>
  <c r="E1411" i="1"/>
  <c r="F1411" i="1"/>
  <c r="G1411" i="1"/>
  <c r="H1411" i="1" a="1"/>
  <c r="H1411" i="1"/>
  <c r="I1411" i="1"/>
  <c r="B1412" i="1"/>
  <c r="C1412" i="1"/>
  <c r="D1412" i="1"/>
  <c r="E1412" i="1"/>
  <c r="F1412" i="1"/>
  <c r="G1412" i="1"/>
  <c r="H1412" i="1" a="1"/>
  <c r="H1412" i="1"/>
  <c r="I1412" i="1"/>
  <c r="B1413" i="1"/>
  <c r="C1413" i="1"/>
  <c r="D1413" i="1"/>
  <c r="E1413" i="1"/>
  <c r="F1413" i="1"/>
  <c r="G1413" i="1"/>
  <c r="H1413" i="1" a="1"/>
  <c r="H1413" i="1"/>
  <c r="I1413" i="1"/>
  <c r="B1414" i="1"/>
  <c r="C1414" i="1"/>
  <c r="D1414" i="1"/>
  <c r="E1414" i="1"/>
  <c r="F1414" i="1"/>
  <c r="G1414" i="1"/>
  <c r="H1414" i="1" a="1"/>
  <c r="H1414" i="1"/>
  <c r="I1414" i="1"/>
  <c r="B1415" i="1"/>
  <c r="C1415" i="1"/>
  <c r="D1415" i="1"/>
  <c r="E1415" i="1"/>
  <c r="F1415" i="1"/>
  <c r="G1415" i="1"/>
  <c r="H1415" i="1" a="1"/>
  <c r="H1415" i="1"/>
  <c r="I1415" i="1"/>
  <c r="B1416" i="1"/>
  <c r="C1416" i="1"/>
  <c r="D1416" i="1"/>
  <c r="E1416" i="1"/>
  <c r="F1416" i="1"/>
  <c r="G1416" i="1"/>
  <c r="H1416" i="1" a="1"/>
  <c r="H1416" i="1"/>
  <c r="I1416" i="1"/>
  <c r="B1417" i="1"/>
  <c r="C1417" i="1"/>
  <c r="D1417" i="1"/>
  <c r="E1417" i="1"/>
  <c r="F1417" i="1"/>
  <c r="G1417" i="1"/>
  <c r="H1417" i="1" a="1"/>
  <c r="H1417" i="1"/>
  <c r="I1417" i="1"/>
  <c r="B1418" i="1"/>
  <c r="C1418" i="1"/>
  <c r="D1418" i="1"/>
  <c r="E1418" i="1"/>
  <c r="F1418" i="1"/>
  <c r="G1418" i="1"/>
  <c r="H1418" i="1" a="1"/>
  <c r="H1418" i="1"/>
  <c r="I1418" i="1"/>
  <c r="B1419" i="1"/>
  <c r="C1419" i="1"/>
  <c r="D1419" i="1"/>
  <c r="E1419" i="1"/>
  <c r="F1419" i="1"/>
  <c r="G1419" i="1"/>
  <c r="H1419" i="1" a="1"/>
  <c r="H1419" i="1"/>
  <c r="I1419" i="1"/>
  <c r="B1420" i="1"/>
  <c r="C1420" i="1"/>
  <c r="D1420" i="1"/>
  <c r="E1420" i="1"/>
  <c r="F1420" i="1"/>
  <c r="G1420" i="1"/>
  <c r="H1420" i="1" a="1"/>
  <c r="H1420" i="1"/>
  <c r="I1420" i="1"/>
  <c r="B1421" i="1"/>
  <c r="C1421" i="1"/>
  <c r="D1421" i="1"/>
  <c r="E1421" i="1"/>
  <c r="F1421" i="1"/>
  <c r="G1421" i="1"/>
  <c r="H1421" i="1" a="1"/>
  <c r="H1421" i="1"/>
  <c r="I1421" i="1"/>
  <c r="B1422" i="1"/>
  <c r="C1422" i="1"/>
  <c r="D1422" i="1"/>
  <c r="E1422" i="1"/>
  <c r="F1422" i="1"/>
  <c r="G1422" i="1"/>
  <c r="H1422" i="1" a="1"/>
  <c r="H1422" i="1"/>
  <c r="I1422" i="1"/>
  <c r="B1423" i="1"/>
  <c r="C1423" i="1"/>
  <c r="D1423" i="1"/>
  <c r="E1423" i="1"/>
  <c r="F1423" i="1"/>
  <c r="G1423" i="1"/>
  <c r="H1423" i="1" a="1"/>
  <c r="H1423" i="1"/>
  <c r="I1423" i="1"/>
  <c r="B1424" i="1"/>
  <c r="C1424" i="1"/>
  <c r="D1424" i="1"/>
  <c r="E1424" i="1"/>
  <c r="F1424" i="1"/>
  <c r="G1424" i="1"/>
  <c r="H1424" i="1" a="1"/>
  <c r="H1424" i="1"/>
  <c r="I1424" i="1"/>
  <c r="B1425" i="1"/>
  <c r="C1425" i="1"/>
  <c r="D1425" i="1"/>
  <c r="E1425" i="1"/>
  <c r="F1425" i="1"/>
  <c r="G1425" i="1"/>
  <c r="H1425" i="1" a="1"/>
  <c r="H1425" i="1"/>
  <c r="I1425" i="1"/>
  <c r="B1426" i="1"/>
  <c r="C1426" i="1"/>
  <c r="D1426" i="1"/>
  <c r="E1426" i="1"/>
  <c r="F1426" i="1"/>
  <c r="G1426" i="1"/>
  <c r="H1426" i="1" a="1"/>
  <c r="H1426" i="1"/>
  <c r="I1426" i="1"/>
  <c r="B1427" i="1"/>
  <c r="C1427" i="1"/>
  <c r="D1427" i="1"/>
  <c r="E1427" i="1"/>
  <c r="F1427" i="1"/>
  <c r="G1427" i="1"/>
  <c r="H1427" i="1" a="1"/>
  <c r="H1427" i="1"/>
  <c r="I1427" i="1"/>
  <c r="B1428" i="1"/>
  <c r="C1428" i="1"/>
  <c r="D1428" i="1"/>
  <c r="E1428" i="1"/>
  <c r="F1428" i="1"/>
  <c r="G1428" i="1"/>
  <c r="H1428" i="1" a="1"/>
  <c r="H1428" i="1"/>
  <c r="I1428" i="1"/>
  <c r="B1429" i="1"/>
  <c r="C1429" i="1"/>
  <c r="D1429" i="1"/>
  <c r="E1429" i="1"/>
  <c r="F1429" i="1"/>
  <c r="G1429" i="1"/>
  <c r="H1429" i="1" a="1"/>
  <c r="H1429" i="1"/>
  <c r="I1429" i="1"/>
  <c r="B1430" i="1"/>
  <c r="C1430" i="1"/>
  <c r="D1430" i="1"/>
  <c r="E1430" i="1"/>
  <c r="F1430" i="1"/>
  <c r="G1430" i="1"/>
  <c r="H1430" i="1" a="1"/>
  <c r="H1430" i="1"/>
  <c r="I1430" i="1"/>
  <c r="B1431" i="1"/>
  <c r="C1431" i="1"/>
  <c r="D1431" i="1"/>
  <c r="E1431" i="1"/>
  <c r="F1431" i="1"/>
  <c r="G1431" i="1"/>
  <c r="H1431" i="1" a="1"/>
  <c r="H1431" i="1"/>
  <c r="I1431" i="1"/>
  <c r="B1432" i="1"/>
  <c r="C1432" i="1"/>
  <c r="D1432" i="1"/>
  <c r="E1432" i="1"/>
  <c r="F1432" i="1"/>
  <c r="G1432" i="1"/>
  <c r="H1432" i="1" a="1"/>
  <c r="H1432" i="1"/>
  <c r="I1432" i="1"/>
  <c r="B1433" i="1"/>
  <c r="C1433" i="1"/>
  <c r="D1433" i="1"/>
  <c r="E1433" i="1"/>
  <c r="F1433" i="1"/>
  <c r="G1433" i="1"/>
  <c r="H1433" i="1" a="1"/>
  <c r="H1433" i="1"/>
  <c r="I1433" i="1"/>
  <c r="B1434" i="1"/>
  <c r="C1434" i="1"/>
  <c r="D1434" i="1"/>
  <c r="E1434" i="1"/>
  <c r="F1434" i="1"/>
  <c r="G1434" i="1"/>
  <c r="H1434" i="1" a="1"/>
  <c r="H1434" i="1"/>
  <c r="I1434" i="1"/>
  <c r="B1435" i="1"/>
  <c r="C1435" i="1"/>
  <c r="D1435" i="1"/>
  <c r="E1435" i="1"/>
  <c r="F1435" i="1"/>
  <c r="G1435" i="1"/>
  <c r="H1435" i="1" a="1"/>
  <c r="H1435" i="1"/>
  <c r="I1435" i="1"/>
  <c r="B1436" i="1"/>
  <c r="C1436" i="1"/>
  <c r="D1436" i="1"/>
  <c r="E1436" i="1"/>
  <c r="F1436" i="1"/>
  <c r="G1436" i="1"/>
  <c r="H1436" i="1" a="1"/>
  <c r="H1436" i="1"/>
  <c r="I1436" i="1"/>
  <c r="B1437" i="1"/>
  <c r="C1437" i="1"/>
  <c r="D1437" i="1"/>
  <c r="E1437" i="1"/>
  <c r="F1437" i="1"/>
  <c r="G1437" i="1"/>
  <c r="H1437" i="1" a="1"/>
  <c r="H1437" i="1"/>
  <c r="I1437" i="1"/>
  <c r="B1438" i="1"/>
  <c r="C1438" i="1"/>
  <c r="D1438" i="1"/>
  <c r="E1438" i="1"/>
  <c r="F1438" i="1"/>
  <c r="G1438" i="1"/>
  <c r="H1438" i="1" a="1"/>
  <c r="H1438" i="1"/>
  <c r="I1438" i="1"/>
  <c r="B1439" i="1"/>
  <c r="C1439" i="1"/>
  <c r="D1439" i="1"/>
  <c r="E1439" i="1"/>
  <c r="F1439" i="1"/>
  <c r="G1439" i="1"/>
  <c r="H1439" i="1" a="1"/>
  <c r="H1439" i="1"/>
  <c r="I1439" i="1"/>
  <c r="B1440" i="1"/>
  <c r="C1440" i="1"/>
  <c r="D1440" i="1"/>
  <c r="E1440" i="1"/>
  <c r="F1440" i="1"/>
  <c r="G1440" i="1"/>
  <c r="H1440" i="1" a="1"/>
  <c r="H1440" i="1"/>
  <c r="I1440" i="1"/>
  <c r="B1441" i="1"/>
  <c r="C1441" i="1"/>
  <c r="D1441" i="1"/>
  <c r="E1441" i="1"/>
  <c r="F1441" i="1"/>
  <c r="G1441" i="1"/>
  <c r="H1441" i="1" a="1"/>
  <c r="H1441" i="1"/>
  <c r="I1441" i="1"/>
  <c r="B1442" i="1"/>
  <c r="C1442" i="1"/>
  <c r="D1442" i="1"/>
  <c r="E1442" i="1"/>
  <c r="F1442" i="1"/>
  <c r="G1442" i="1"/>
  <c r="H1442" i="1" a="1"/>
  <c r="H1442" i="1"/>
  <c r="I1442" i="1"/>
  <c r="B1443" i="1"/>
  <c r="C1443" i="1"/>
  <c r="D1443" i="1"/>
  <c r="E1443" i="1"/>
  <c r="F1443" i="1"/>
  <c r="G1443" i="1"/>
  <c r="H1443" i="1" a="1"/>
  <c r="H1443" i="1"/>
  <c r="I1443" i="1"/>
  <c r="B1444" i="1"/>
  <c r="C1444" i="1"/>
  <c r="D1444" i="1"/>
  <c r="E1444" i="1"/>
  <c r="F1444" i="1"/>
  <c r="G1444" i="1"/>
  <c r="H1444" i="1" a="1"/>
  <c r="H1444" i="1"/>
  <c r="I1444" i="1"/>
  <c r="B1445" i="1"/>
  <c r="C1445" i="1"/>
  <c r="D1445" i="1"/>
  <c r="E1445" i="1"/>
  <c r="F1445" i="1"/>
  <c r="G1445" i="1"/>
  <c r="H1445" i="1" a="1"/>
  <c r="H1445" i="1"/>
  <c r="I1445" i="1"/>
  <c r="B1446" i="1"/>
  <c r="C1446" i="1"/>
  <c r="D1446" i="1"/>
  <c r="E1446" i="1"/>
  <c r="F1446" i="1"/>
  <c r="G1446" i="1"/>
  <c r="H1446" i="1" a="1"/>
  <c r="H1446" i="1"/>
  <c r="I1446" i="1"/>
  <c r="B1447" i="1"/>
  <c r="C1447" i="1"/>
  <c r="D1447" i="1"/>
  <c r="E1447" i="1"/>
  <c r="F1447" i="1"/>
  <c r="G1447" i="1"/>
  <c r="H1447" i="1" a="1"/>
  <c r="H1447" i="1"/>
  <c r="I1447" i="1"/>
  <c r="B1448" i="1"/>
  <c r="C1448" i="1"/>
  <c r="D1448" i="1"/>
  <c r="E1448" i="1"/>
  <c r="F1448" i="1"/>
  <c r="G1448" i="1"/>
  <c r="H1448" i="1" a="1"/>
  <c r="H1448" i="1"/>
  <c r="I1448" i="1"/>
  <c r="B1449" i="1"/>
  <c r="C1449" i="1"/>
  <c r="D1449" i="1"/>
  <c r="E1449" i="1"/>
  <c r="F1449" i="1"/>
  <c r="G1449" i="1"/>
  <c r="H1449" i="1" a="1"/>
  <c r="H1449" i="1"/>
  <c r="I1449" i="1"/>
  <c r="B1450" i="1"/>
  <c r="C1450" i="1"/>
  <c r="D1450" i="1"/>
  <c r="E1450" i="1"/>
  <c r="F1450" i="1"/>
  <c r="G1450" i="1"/>
  <c r="H1450" i="1" a="1"/>
  <c r="H1450" i="1"/>
  <c r="I1450" i="1"/>
  <c r="B1451" i="1"/>
  <c r="C1451" i="1"/>
  <c r="D1451" i="1"/>
  <c r="E1451" i="1"/>
  <c r="F1451" i="1"/>
  <c r="G1451" i="1"/>
  <c r="H1451" i="1" a="1"/>
  <c r="H1451" i="1"/>
  <c r="I1451" i="1"/>
  <c r="B1452" i="1"/>
  <c r="C1452" i="1"/>
  <c r="D1452" i="1"/>
  <c r="E1452" i="1"/>
  <c r="F1452" i="1"/>
  <c r="G1452" i="1"/>
  <c r="H1452" i="1" a="1"/>
  <c r="H1452" i="1"/>
  <c r="I1452" i="1"/>
  <c r="B1453" i="1"/>
  <c r="C1453" i="1"/>
  <c r="D1453" i="1"/>
  <c r="E1453" i="1"/>
  <c r="F1453" i="1"/>
  <c r="G1453" i="1"/>
  <c r="H1453" i="1" a="1"/>
  <c r="H1453" i="1"/>
  <c r="I1453" i="1"/>
  <c r="B1454" i="1"/>
  <c r="C1454" i="1"/>
  <c r="D1454" i="1"/>
  <c r="E1454" i="1"/>
  <c r="F1454" i="1"/>
  <c r="G1454" i="1"/>
  <c r="H1454" i="1" a="1"/>
  <c r="H1454" i="1"/>
  <c r="I1454" i="1"/>
  <c r="B1455" i="1"/>
  <c r="C1455" i="1"/>
  <c r="D1455" i="1"/>
  <c r="E1455" i="1"/>
  <c r="F1455" i="1"/>
  <c r="G1455" i="1"/>
  <c r="H1455" i="1" a="1"/>
  <c r="H1455" i="1"/>
  <c r="I1455" i="1"/>
  <c r="B1456" i="1"/>
  <c r="C1456" i="1"/>
  <c r="D1456" i="1"/>
  <c r="E1456" i="1"/>
  <c r="F1456" i="1"/>
  <c r="G1456" i="1"/>
  <c r="H1456" i="1" a="1"/>
  <c r="H1456" i="1"/>
  <c r="I1456" i="1"/>
  <c r="B1457" i="1"/>
  <c r="C1457" i="1"/>
  <c r="D1457" i="1"/>
  <c r="E1457" i="1"/>
  <c r="F1457" i="1"/>
  <c r="G1457" i="1"/>
  <c r="H1457" i="1" a="1"/>
  <c r="H1457" i="1"/>
  <c r="I1457" i="1"/>
  <c r="B1458" i="1"/>
  <c r="C1458" i="1"/>
  <c r="D1458" i="1"/>
  <c r="E1458" i="1"/>
  <c r="F1458" i="1"/>
  <c r="G1458" i="1"/>
  <c r="H1458" i="1" a="1"/>
  <c r="H1458" i="1"/>
  <c r="I1458" i="1"/>
  <c r="B1459" i="1"/>
  <c r="C1459" i="1"/>
  <c r="D1459" i="1"/>
  <c r="E1459" i="1"/>
  <c r="F1459" i="1"/>
  <c r="G1459" i="1"/>
  <c r="H1459" i="1" a="1"/>
  <c r="H1459" i="1"/>
  <c r="I1459" i="1"/>
  <c r="B1460" i="1"/>
  <c r="C1460" i="1"/>
  <c r="D1460" i="1"/>
  <c r="E1460" i="1"/>
  <c r="F1460" i="1"/>
  <c r="G1460" i="1"/>
  <c r="H1460" i="1" a="1"/>
  <c r="H1460" i="1"/>
  <c r="I1460" i="1"/>
  <c r="B1461" i="1"/>
  <c r="C1461" i="1"/>
  <c r="D1461" i="1"/>
  <c r="E1461" i="1"/>
  <c r="F1461" i="1"/>
  <c r="G1461" i="1"/>
  <c r="H1461" i="1" a="1"/>
  <c r="H1461" i="1"/>
  <c r="I1461" i="1"/>
  <c r="B1462" i="1"/>
  <c r="C1462" i="1"/>
  <c r="D1462" i="1"/>
  <c r="E1462" i="1"/>
  <c r="F1462" i="1"/>
  <c r="G1462" i="1"/>
  <c r="H1462" i="1" a="1"/>
  <c r="H1462" i="1"/>
  <c r="I1462" i="1"/>
  <c r="B1463" i="1"/>
  <c r="C1463" i="1"/>
  <c r="D1463" i="1"/>
  <c r="E1463" i="1"/>
  <c r="F1463" i="1"/>
  <c r="G1463" i="1"/>
  <c r="H1463" i="1" a="1"/>
  <c r="H1463" i="1"/>
  <c r="I1463" i="1"/>
  <c r="B1464" i="1"/>
  <c r="C1464" i="1"/>
  <c r="D1464" i="1"/>
  <c r="E1464" i="1"/>
  <c r="F1464" i="1"/>
  <c r="G1464" i="1"/>
  <c r="H1464" i="1" a="1"/>
  <c r="H1464" i="1"/>
  <c r="I1464" i="1"/>
  <c r="B1465" i="1"/>
  <c r="C1465" i="1"/>
  <c r="D1465" i="1"/>
  <c r="E1465" i="1"/>
  <c r="F1465" i="1"/>
  <c r="G1465" i="1"/>
  <c r="H1465" i="1" a="1"/>
  <c r="H1465" i="1"/>
  <c r="I1465" i="1"/>
  <c r="B1466" i="1"/>
  <c r="C1466" i="1"/>
  <c r="D1466" i="1"/>
  <c r="E1466" i="1"/>
  <c r="F1466" i="1"/>
  <c r="G1466" i="1"/>
  <c r="H1466" i="1" a="1"/>
  <c r="H1466" i="1"/>
  <c r="I1466" i="1"/>
  <c r="B1467" i="1"/>
  <c r="C1467" i="1"/>
  <c r="D1467" i="1"/>
  <c r="E1467" i="1"/>
  <c r="F1467" i="1"/>
  <c r="G1467" i="1"/>
  <c r="H1467" i="1" a="1"/>
  <c r="H1467" i="1"/>
  <c r="I1467" i="1"/>
  <c r="B1468" i="1"/>
  <c r="C1468" i="1"/>
  <c r="D1468" i="1"/>
  <c r="E1468" i="1"/>
  <c r="F1468" i="1"/>
  <c r="G1468" i="1"/>
  <c r="H1468" i="1" a="1"/>
  <c r="H1468" i="1"/>
  <c r="I1468" i="1"/>
  <c r="B1469" i="1"/>
  <c r="C1469" i="1"/>
  <c r="D1469" i="1"/>
  <c r="E1469" i="1"/>
  <c r="F1469" i="1"/>
  <c r="G1469" i="1"/>
  <c r="H1469" i="1" a="1"/>
  <c r="H1469" i="1"/>
  <c r="I1469" i="1"/>
  <c r="B1470" i="1"/>
  <c r="C1470" i="1"/>
  <c r="D1470" i="1"/>
  <c r="E1470" i="1"/>
  <c r="F1470" i="1"/>
  <c r="G1470" i="1"/>
  <c r="H1470" i="1" a="1"/>
  <c r="H1470" i="1"/>
  <c r="I1470" i="1"/>
  <c r="B1471" i="1"/>
  <c r="C1471" i="1"/>
  <c r="D1471" i="1"/>
  <c r="E1471" i="1"/>
  <c r="F1471" i="1"/>
  <c r="G1471" i="1"/>
  <c r="H1471" i="1" a="1"/>
  <c r="H1471" i="1"/>
  <c r="I1471" i="1"/>
  <c r="B1472" i="1"/>
  <c r="C1472" i="1"/>
  <c r="D1472" i="1"/>
  <c r="E1472" i="1"/>
  <c r="F1472" i="1"/>
  <c r="G1472" i="1"/>
  <c r="H1472" i="1" a="1"/>
  <c r="H1472" i="1"/>
  <c r="I1472" i="1"/>
  <c r="B1473" i="1"/>
  <c r="C1473" i="1"/>
  <c r="D1473" i="1"/>
  <c r="E1473" i="1"/>
  <c r="F1473" i="1"/>
  <c r="G1473" i="1"/>
  <c r="H1473" i="1" a="1"/>
  <c r="H1473" i="1"/>
  <c r="I1473" i="1"/>
  <c r="B1474" i="1"/>
  <c r="C1474" i="1"/>
  <c r="D1474" i="1"/>
  <c r="E1474" i="1"/>
  <c r="F1474" i="1"/>
  <c r="G1474" i="1"/>
  <c r="H1474" i="1" a="1"/>
  <c r="H1474" i="1"/>
  <c r="I1474" i="1"/>
  <c r="B1475" i="1"/>
  <c r="C1475" i="1"/>
  <c r="D1475" i="1"/>
  <c r="E1475" i="1"/>
  <c r="F1475" i="1"/>
  <c r="G1475" i="1"/>
  <c r="H1475" i="1" a="1"/>
  <c r="H1475" i="1"/>
  <c r="I1475" i="1"/>
  <c r="B1476" i="1"/>
  <c r="C1476" i="1"/>
  <c r="D1476" i="1"/>
  <c r="E1476" i="1"/>
  <c r="F1476" i="1"/>
  <c r="G1476" i="1"/>
  <c r="H1476" i="1" a="1"/>
  <c r="H1476" i="1"/>
  <c r="I1476" i="1"/>
  <c r="B1477" i="1"/>
  <c r="C1477" i="1"/>
  <c r="D1477" i="1"/>
  <c r="E1477" i="1"/>
  <c r="F1477" i="1"/>
  <c r="G1477" i="1"/>
  <c r="H1477" i="1" a="1"/>
  <c r="H1477" i="1"/>
  <c r="I1477" i="1"/>
  <c r="B1478" i="1"/>
  <c r="C1478" i="1"/>
  <c r="D1478" i="1"/>
  <c r="E1478" i="1"/>
  <c r="F1478" i="1"/>
  <c r="G1478" i="1"/>
  <c r="H1478" i="1" a="1"/>
  <c r="H1478" i="1"/>
  <c r="I1478" i="1"/>
  <c r="B1479" i="1"/>
  <c r="C1479" i="1"/>
  <c r="D1479" i="1"/>
  <c r="E1479" i="1"/>
  <c r="F1479" i="1"/>
  <c r="G1479" i="1"/>
  <c r="H1479" i="1" a="1"/>
  <c r="H1479" i="1"/>
  <c r="I1479" i="1"/>
  <c r="B1480" i="1"/>
  <c r="C1480" i="1"/>
  <c r="D1480" i="1"/>
  <c r="E1480" i="1"/>
  <c r="F1480" i="1"/>
  <c r="G1480" i="1"/>
  <c r="H1480" i="1" a="1"/>
  <c r="H1480" i="1"/>
  <c r="I1480" i="1"/>
  <c r="B1481" i="1"/>
  <c r="C1481" i="1"/>
  <c r="D1481" i="1"/>
  <c r="E1481" i="1"/>
  <c r="F1481" i="1"/>
  <c r="G1481" i="1"/>
  <c r="H1481" i="1" a="1"/>
  <c r="H1481" i="1"/>
  <c r="I1481" i="1"/>
  <c r="B1482" i="1"/>
  <c r="C1482" i="1"/>
  <c r="D1482" i="1"/>
  <c r="E1482" i="1"/>
  <c r="F1482" i="1"/>
  <c r="G1482" i="1"/>
  <c r="H1482" i="1" a="1"/>
  <c r="H1482" i="1"/>
  <c r="I1482" i="1"/>
  <c r="B1483" i="1"/>
  <c r="C1483" i="1"/>
  <c r="D1483" i="1"/>
  <c r="E1483" i="1"/>
  <c r="F1483" i="1"/>
  <c r="G1483" i="1"/>
  <c r="H1483" i="1" a="1"/>
  <c r="H1483" i="1"/>
  <c r="I1483" i="1"/>
  <c r="B1484" i="1"/>
  <c r="C1484" i="1"/>
  <c r="D1484" i="1"/>
  <c r="E1484" i="1"/>
  <c r="F1484" i="1"/>
  <c r="G1484" i="1"/>
  <c r="H1484" i="1" a="1"/>
  <c r="H1484" i="1"/>
  <c r="I1484" i="1"/>
  <c r="B1485" i="1"/>
  <c r="C1485" i="1"/>
  <c r="D1485" i="1"/>
  <c r="E1485" i="1"/>
  <c r="F1485" i="1"/>
  <c r="G1485" i="1"/>
  <c r="H1485" i="1" a="1"/>
  <c r="H1485" i="1"/>
  <c r="I1485" i="1"/>
  <c r="B1486" i="1"/>
  <c r="C1486" i="1"/>
  <c r="D1486" i="1"/>
  <c r="E1486" i="1"/>
  <c r="F1486" i="1"/>
  <c r="G1486" i="1"/>
  <c r="H1486" i="1" a="1"/>
  <c r="H1486" i="1"/>
  <c r="I1486" i="1"/>
  <c r="B1487" i="1"/>
  <c r="C1487" i="1"/>
  <c r="D1487" i="1"/>
  <c r="E1487" i="1"/>
  <c r="F1487" i="1"/>
  <c r="G1487" i="1"/>
  <c r="H1487" i="1" a="1"/>
  <c r="H1487" i="1"/>
  <c r="I1487" i="1"/>
  <c r="B1488" i="1"/>
  <c r="C1488" i="1"/>
  <c r="D1488" i="1"/>
  <c r="E1488" i="1"/>
  <c r="F1488" i="1"/>
  <c r="G1488" i="1"/>
  <c r="H1488" i="1" a="1"/>
  <c r="H1488" i="1"/>
  <c r="I1488" i="1"/>
  <c r="B1489" i="1"/>
  <c r="C1489" i="1"/>
  <c r="D1489" i="1"/>
  <c r="E1489" i="1"/>
  <c r="F1489" i="1"/>
  <c r="G1489" i="1"/>
  <c r="H1489" i="1" a="1"/>
  <c r="H1489" i="1"/>
  <c r="I1489" i="1"/>
  <c r="B1490" i="1"/>
  <c r="C1490" i="1"/>
  <c r="D1490" i="1"/>
  <c r="E1490" i="1"/>
  <c r="F1490" i="1"/>
  <c r="G1490" i="1"/>
  <c r="H1490" i="1" a="1"/>
  <c r="H1490" i="1"/>
  <c r="I1490" i="1"/>
  <c r="B1491" i="1"/>
  <c r="C1491" i="1"/>
  <c r="D1491" i="1"/>
  <c r="E1491" i="1"/>
  <c r="F1491" i="1"/>
  <c r="G1491" i="1"/>
  <c r="H1491" i="1" a="1"/>
  <c r="H1491" i="1"/>
  <c r="I1491" i="1"/>
  <c r="B1492" i="1"/>
  <c r="C1492" i="1"/>
  <c r="D1492" i="1"/>
  <c r="E1492" i="1"/>
  <c r="F1492" i="1"/>
  <c r="G1492" i="1"/>
  <c r="H1492" i="1" a="1"/>
  <c r="H1492" i="1"/>
  <c r="I1492" i="1"/>
  <c r="B1493" i="1"/>
  <c r="C1493" i="1"/>
  <c r="D1493" i="1"/>
  <c r="E1493" i="1"/>
  <c r="F1493" i="1"/>
  <c r="G1493" i="1"/>
  <c r="H1493" i="1" a="1"/>
  <c r="H1493" i="1"/>
  <c r="I1493" i="1"/>
  <c r="B1494" i="1"/>
  <c r="C1494" i="1"/>
  <c r="D1494" i="1"/>
  <c r="E1494" i="1"/>
  <c r="F1494" i="1"/>
  <c r="G1494" i="1"/>
  <c r="H1494" i="1" a="1"/>
  <c r="H1494" i="1"/>
  <c r="I1494" i="1"/>
  <c r="B1495" i="1"/>
  <c r="C1495" i="1"/>
  <c r="D1495" i="1"/>
  <c r="E1495" i="1"/>
  <c r="F1495" i="1"/>
  <c r="G1495" i="1"/>
  <c r="H1495" i="1" a="1"/>
  <c r="H1495" i="1"/>
  <c r="I1495" i="1"/>
  <c r="B1496" i="1"/>
  <c r="C1496" i="1"/>
  <c r="D1496" i="1"/>
  <c r="E1496" i="1"/>
  <c r="F1496" i="1"/>
  <c r="G1496" i="1"/>
  <c r="H1496" i="1" a="1"/>
  <c r="H1496" i="1"/>
  <c r="I1496" i="1"/>
  <c r="B1497" i="1"/>
  <c r="C1497" i="1"/>
  <c r="D1497" i="1"/>
  <c r="E1497" i="1"/>
  <c r="F1497" i="1"/>
  <c r="G1497" i="1"/>
  <c r="H1497" i="1" a="1"/>
  <c r="H1497" i="1"/>
  <c r="I1497" i="1"/>
  <c r="B1498" i="1"/>
  <c r="C1498" i="1"/>
  <c r="D1498" i="1"/>
  <c r="E1498" i="1"/>
  <c r="F1498" i="1"/>
  <c r="G1498" i="1"/>
  <c r="H1498" i="1" a="1"/>
  <c r="H1498" i="1"/>
  <c r="I1498" i="1"/>
  <c r="B1499" i="1"/>
  <c r="C1499" i="1"/>
  <c r="D1499" i="1"/>
  <c r="E1499" i="1"/>
  <c r="F1499" i="1"/>
  <c r="G1499" i="1"/>
  <c r="H1499" i="1" a="1"/>
  <c r="H1499" i="1"/>
  <c r="I1499" i="1"/>
  <c r="B1500" i="1"/>
  <c r="C1500" i="1"/>
  <c r="D1500" i="1"/>
  <c r="E1500" i="1"/>
  <c r="F1500" i="1"/>
  <c r="G1500" i="1"/>
  <c r="H1500" i="1" a="1"/>
  <c r="H1500" i="1"/>
  <c r="I1500" i="1"/>
  <c r="B1501" i="1"/>
  <c r="C1501" i="1"/>
  <c r="D1501" i="1"/>
  <c r="E1501" i="1"/>
  <c r="F1501" i="1"/>
  <c r="G1501" i="1"/>
  <c r="H1501" i="1" a="1"/>
  <c r="H1501" i="1"/>
  <c r="I1501" i="1"/>
  <c r="B1502" i="1"/>
  <c r="C1502" i="1"/>
  <c r="D1502" i="1"/>
  <c r="E1502" i="1"/>
  <c r="F1502" i="1"/>
  <c r="G1502" i="1"/>
  <c r="H1502" i="1" a="1"/>
  <c r="H1502" i="1"/>
  <c r="I1502" i="1"/>
  <c r="B1503" i="1"/>
  <c r="C1503" i="1"/>
  <c r="D1503" i="1"/>
  <c r="E1503" i="1"/>
  <c r="F1503" i="1"/>
  <c r="G1503" i="1"/>
  <c r="H1503" i="1" a="1"/>
  <c r="H1503" i="1"/>
  <c r="I1503" i="1"/>
  <c r="B1504" i="1"/>
  <c r="C1504" i="1"/>
  <c r="D1504" i="1"/>
  <c r="E1504" i="1"/>
  <c r="F1504" i="1"/>
  <c r="G1504" i="1"/>
  <c r="H1504" i="1" a="1"/>
  <c r="H1504" i="1"/>
  <c r="I1504" i="1"/>
  <c r="B1505" i="1"/>
  <c r="C1505" i="1"/>
  <c r="D1505" i="1"/>
  <c r="E1505" i="1"/>
  <c r="F1505" i="1"/>
  <c r="G1505" i="1"/>
  <c r="H1505" i="1" a="1"/>
  <c r="H1505" i="1"/>
  <c r="I1505" i="1"/>
  <c r="B1506" i="1"/>
  <c r="C1506" i="1"/>
  <c r="D1506" i="1"/>
  <c r="E1506" i="1"/>
  <c r="F1506" i="1"/>
  <c r="G1506" i="1"/>
  <c r="H1506" i="1" a="1"/>
  <c r="H1506" i="1"/>
  <c r="I1506" i="1"/>
  <c r="B1507" i="1"/>
  <c r="C1507" i="1"/>
  <c r="D1507" i="1"/>
  <c r="E1507" i="1"/>
  <c r="F1507" i="1"/>
  <c r="G1507" i="1"/>
  <c r="H1507" i="1" a="1"/>
  <c r="H1507" i="1"/>
  <c r="I1507" i="1"/>
  <c r="B1508" i="1"/>
  <c r="C1508" i="1"/>
  <c r="D1508" i="1"/>
  <c r="E1508" i="1"/>
  <c r="F1508" i="1"/>
  <c r="G1508" i="1"/>
  <c r="H1508" i="1" a="1"/>
  <c r="H1508" i="1"/>
  <c r="I1508" i="1"/>
  <c r="B1509" i="1"/>
  <c r="C1509" i="1"/>
  <c r="D1509" i="1"/>
  <c r="E1509" i="1"/>
  <c r="F1509" i="1"/>
  <c r="G1509" i="1"/>
  <c r="H1509" i="1" a="1"/>
  <c r="H1509" i="1"/>
  <c r="I1509" i="1"/>
  <c r="B1510" i="1"/>
  <c r="C1510" i="1"/>
  <c r="D1510" i="1"/>
  <c r="E1510" i="1"/>
  <c r="F1510" i="1"/>
  <c r="G1510" i="1"/>
  <c r="H1510" i="1" a="1"/>
  <c r="H1510" i="1"/>
  <c r="I1510" i="1"/>
  <c r="B1511" i="1"/>
  <c r="C1511" i="1"/>
  <c r="D1511" i="1"/>
  <c r="E1511" i="1"/>
  <c r="F1511" i="1"/>
  <c r="G1511" i="1"/>
  <c r="H1511" i="1" a="1"/>
  <c r="H1511" i="1"/>
  <c r="I1511" i="1"/>
  <c r="B1512" i="1"/>
  <c r="C1512" i="1"/>
  <c r="D1512" i="1"/>
  <c r="E1512" i="1"/>
  <c r="F1512" i="1"/>
  <c r="G1512" i="1"/>
  <c r="H1512" i="1" a="1"/>
  <c r="H1512" i="1"/>
  <c r="I1512" i="1"/>
  <c r="B1513" i="1"/>
  <c r="C1513" i="1"/>
  <c r="D1513" i="1"/>
  <c r="E1513" i="1"/>
  <c r="F1513" i="1"/>
  <c r="G1513" i="1"/>
  <c r="H1513" i="1" a="1"/>
  <c r="H1513" i="1"/>
  <c r="I1513" i="1"/>
  <c r="B1514" i="1"/>
  <c r="C1514" i="1"/>
  <c r="D1514" i="1"/>
  <c r="E1514" i="1"/>
  <c r="F1514" i="1"/>
  <c r="G1514" i="1"/>
  <c r="H1514" i="1" a="1"/>
  <c r="H1514" i="1"/>
  <c r="I1514" i="1"/>
  <c r="B1515" i="1"/>
  <c r="C1515" i="1"/>
  <c r="D1515" i="1"/>
  <c r="E1515" i="1"/>
  <c r="F1515" i="1"/>
  <c r="G1515" i="1"/>
  <c r="H1515" i="1" a="1"/>
  <c r="H1515" i="1"/>
  <c r="I1515" i="1"/>
  <c r="B1516" i="1"/>
  <c r="C1516" i="1"/>
  <c r="D1516" i="1"/>
  <c r="E1516" i="1"/>
  <c r="F1516" i="1"/>
  <c r="G1516" i="1"/>
  <c r="H1516" i="1" a="1"/>
  <c r="H1516" i="1"/>
  <c r="I1516" i="1"/>
  <c r="B1517" i="1"/>
  <c r="C1517" i="1"/>
  <c r="D1517" i="1"/>
  <c r="E1517" i="1"/>
  <c r="F1517" i="1"/>
  <c r="G1517" i="1"/>
  <c r="H1517" i="1" a="1"/>
  <c r="H1517" i="1"/>
  <c r="I1517" i="1"/>
  <c r="B1518" i="1"/>
  <c r="C1518" i="1"/>
  <c r="D1518" i="1"/>
  <c r="E1518" i="1"/>
  <c r="F1518" i="1"/>
  <c r="G1518" i="1"/>
  <c r="H1518" i="1" a="1"/>
  <c r="H1518" i="1"/>
  <c r="I1518" i="1"/>
  <c r="B1519" i="1"/>
  <c r="C1519" i="1"/>
  <c r="D1519" i="1"/>
  <c r="E1519" i="1"/>
  <c r="F1519" i="1"/>
  <c r="G1519" i="1"/>
  <c r="H1519" i="1" a="1"/>
  <c r="H1519" i="1"/>
  <c r="I1519" i="1"/>
  <c r="B1520" i="1"/>
  <c r="C1520" i="1"/>
  <c r="D1520" i="1"/>
  <c r="E1520" i="1"/>
  <c r="F1520" i="1"/>
  <c r="G1520" i="1"/>
  <c r="H1520" i="1" a="1"/>
  <c r="H1520" i="1"/>
  <c r="I1520" i="1"/>
  <c r="B1521" i="1"/>
  <c r="C1521" i="1"/>
  <c r="D1521" i="1"/>
  <c r="E1521" i="1"/>
  <c r="F1521" i="1"/>
  <c r="G1521" i="1"/>
  <c r="H1521" i="1" a="1"/>
  <c r="H1521" i="1"/>
  <c r="I1521" i="1"/>
  <c r="B1522" i="1"/>
  <c r="C1522" i="1"/>
  <c r="D1522" i="1"/>
  <c r="E1522" i="1"/>
  <c r="F1522" i="1"/>
  <c r="G1522" i="1"/>
  <c r="H1522" i="1" a="1"/>
  <c r="H1522" i="1"/>
  <c r="I1522" i="1"/>
  <c r="B1523" i="1"/>
  <c r="C1523" i="1"/>
  <c r="D1523" i="1"/>
  <c r="E1523" i="1"/>
  <c r="F1523" i="1"/>
  <c r="G1523" i="1"/>
  <c r="H1523" i="1" a="1"/>
  <c r="H1523" i="1"/>
  <c r="I1523" i="1"/>
  <c r="B1524" i="1"/>
  <c r="C1524" i="1"/>
  <c r="D1524" i="1"/>
  <c r="E1524" i="1"/>
  <c r="F1524" i="1"/>
  <c r="G1524" i="1"/>
  <c r="H1524" i="1" a="1"/>
  <c r="H1524" i="1"/>
  <c r="I1524" i="1"/>
  <c r="B1525" i="1"/>
  <c r="C1525" i="1"/>
  <c r="D1525" i="1"/>
  <c r="E1525" i="1"/>
  <c r="F1525" i="1"/>
  <c r="G1525" i="1"/>
  <c r="H1525" i="1" a="1"/>
  <c r="H1525" i="1"/>
  <c r="I1525" i="1"/>
  <c r="B1526" i="1"/>
  <c r="C1526" i="1"/>
  <c r="D1526" i="1"/>
  <c r="E1526" i="1"/>
  <c r="F1526" i="1"/>
  <c r="G1526" i="1"/>
  <c r="H1526" i="1" a="1"/>
  <c r="H1526" i="1"/>
  <c r="I1526" i="1"/>
  <c r="B1527" i="1"/>
  <c r="C1527" i="1"/>
  <c r="D1527" i="1"/>
  <c r="E1527" i="1"/>
  <c r="F1527" i="1"/>
  <c r="G1527" i="1"/>
  <c r="H1527" i="1" a="1"/>
  <c r="H1527" i="1"/>
  <c r="I1527" i="1"/>
  <c r="B1528" i="1"/>
  <c r="C1528" i="1"/>
  <c r="D1528" i="1"/>
  <c r="E1528" i="1"/>
  <c r="F1528" i="1"/>
  <c r="G1528" i="1"/>
  <c r="H1528" i="1" a="1"/>
  <c r="H1528" i="1"/>
  <c r="I1528" i="1"/>
  <c r="B1529" i="1"/>
  <c r="C1529" i="1"/>
  <c r="D1529" i="1"/>
  <c r="E1529" i="1"/>
  <c r="F1529" i="1"/>
  <c r="G1529" i="1"/>
  <c r="H1529" i="1" a="1"/>
  <c r="H1529" i="1"/>
  <c r="I1529" i="1"/>
  <c r="B1530" i="1"/>
  <c r="C1530" i="1"/>
  <c r="D1530" i="1"/>
  <c r="E1530" i="1"/>
  <c r="F1530" i="1"/>
  <c r="G1530" i="1"/>
  <c r="H1530" i="1" a="1"/>
  <c r="H1530" i="1"/>
  <c r="I1530" i="1"/>
  <c r="B1531" i="1"/>
  <c r="C1531" i="1"/>
  <c r="D1531" i="1"/>
  <c r="E1531" i="1"/>
  <c r="F1531" i="1"/>
  <c r="G1531" i="1"/>
  <c r="H1531" i="1" a="1"/>
  <c r="H1531" i="1"/>
  <c r="I1531" i="1"/>
  <c r="B1532" i="1"/>
  <c r="C1532" i="1"/>
  <c r="D1532" i="1"/>
  <c r="E1532" i="1"/>
  <c r="F1532" i="1"/>
  <c r="G1532" i="1"/>
  <c r="H1532" i="1" a="1"/>
  <c r="H1532" i="1"/>
  <c r="I1532" i="1"/>
  <c r="B1533" i="1"/>
  <c r="C1533" i="1"/>
  <c r="D1533" i="1"/>
  <c r="E1533" i="1"/>
  <c r="F1533" i="1"/>
  <c r="G1533" i="1"/>
  <c r="H1533" i="1" a="1"/>
  <c r="H1533" i="1"/>
  <c r="I1533" i="1"/>
  <c r="B1534" i="1"/>
  <c r="C1534" i="1"/>
  <c r="D1534" i="1"/>
  <c r="E1534" i="1"/>
  <c r="F1534" i="1"/>
  <c r="G1534" i="1"/>
  <c r="H1534" i="1" a="1"/>
  <c r="H1534" i="1"/>
  <c r="I1534" i="1"/>
  <c r="B1535" i="1"/>
  <c r="C1535" i="1"/>
  <c r="D1535" i="1"/>
  <c r="E1535" i="1"/>
  <c r="F1535" i="1"/>
  <c r="G1535" i="1"/>
  <c r="H1535" i="1" a="1"/>
  <c r="H1535" i="1"/>
  <c r="I1535" i="1"/>
  <c r="B1536" i="1"/>
  <c r="C1536" i="1"/>
  <c r="D1536" i="1"/>
  <c r="E1536" i="1"/>
  <c r="F1536" i="1"/>
  <c r="G1536" i="1"/>
  <c r="H1536" i="1" a="1"/>
  <c r="H1536" i="1"/>
  <c r="I1536" i="1"/>
  <c r="B1537" i="1"/>
  <c r="C1537" i="1"/>
  <c r="D1537" i="1"/>
  <c r="E1537" i="1"/>
  <c r="F1537" i="1"/>
  <c r="G1537" i="1"/>
  <c r="H1537" i="1" a="1"/>
  <c r="H1537" i="1"/>
  <c r="I1537" i="1"/>
  <c r="B1538" i="1"/>
  <c r="C1538" i="1"/>
  <c r="D1538" i="1"/>
  <c r="E1538" i="1"/>
  <c r="F1538" i="1"/>
  <c r="G1538" i="1"/>
  <c r="H1538" i="1" a="1"/>
  <c r="H1538" i="1"/>
  <c r="I1538" i="1"/>
  <c r="B1539" i="1"/>
  <c r="C1539" i="1"/>
  <c r="D1539" i="1"/>
  <c r="E1539" i="1"/>
  <c r="F1539" i="1"/>
  <c r="G1539" i="1"/>
  <c r="H1539" i="1" a="1"/>
  <c r="H1539" i="1"/>
  <c r="I1539" i="1"/>
  <c r="B1540" i="1"/>
  <c r="C1540" i="1"/>
  <c r="D1540" i="1"/>
  <c r="E1540" i="1"/>
  <c r="F1540" i="1"/>
  <c r="G1540" i="1"/>
  <c r="H1540" i="1" a="1"/>
  <c r="H1540" i="1"/>
  <c r="I1540" i="1"/>
  <c r="B1541" i="1"/>
  <c r="C1541" i="1"/>
  <c r="D1541" i="1"/>
  <c r="E1541" i="1"/>
  <c r="F1541" i="1"/>
  <c r="G1541" i="1"/>
  <c r="H1541" i="1" a="1"/>
  <c r="H1541" i="1"/>
  <c r="I1541" i="1"/>
  <c r="B1542" i="1"/>
  <c r="C1542" i="1"/>
  <c r="D1542" i="1"/>
  <c r="E1542" i="1"/>
  <c r="F1542" i="1"/>
  <c r="G1542" i="1"/>
  <c r="H1542" i="1" a="1"/>
  <c r="H1542" i="1"/>
  <c r="I1542" i="1"/>
  <c r="B1543" i="1"/>
  <c r="C1543" i="1"/>
  <c r="D1543" i="1"/>
  <c r="E1543" i="1"/>
  <c r="F1543" i="1"/>
  <c r="G1543" i="1"/>
  <c r="H1543" i="1" a="1"/>
  <c r="H1543" i="1"/>
  <c r="I1543" i="1"/>
  <c r="B1544" i="1"/>
  <c r="C1544" i="1"/>
  <c r="D1544" i="1"/>
  <c r="E1544" i="1"/>
  <c r="F1544" i="1"/>
  <c r="G1544" i="1"/>
  <c r="H1544" i="1" a="1"/>
  <c r="H1544" i="1"/>
  <c r="I1544" i="1"/>
  <c r="B1545" i="1"/>
  <c r="C1545" i="1"/>
  <c r="D1545" i="1"/>
  <c r="E1545" i="1"/>
  <c r="F1545" i="1"/>
  <c r="G1545" i="1"/>
  <c r="H1545" i="1" a="1"/>
  <c r="H1545" i="1"/>
  <c r="I1545" i="1"/>
  <c r="B1546" i="1"/>
  <c r="C1546" i="1"/>
  <c r="D1546" i="1"/>
  <c r="E1546" i="1"/>
  <c r="F1546" i="1"/>
  <c r="G1546" i="1"/>
  <c r="H1546" i="1" a="1"/>
  <c r="H1546" i="1"/>
  <c r="I1546" i="1"/>
  <c r="B1547" i="1"/>
  <c r="C1547" i="1"/>
  <c r="D1547" i="1"/>
  <c r="E1547" i="1"/>
  <c r="F1547" i="1"/>
  <c r="G1547" i="1"/>
  <c r="H1547" i="1" a="1"/>
  <c r="H1547" i="1"/>
  <c r="I1547" i="1"/>
  <c r="B1548" i="1"/>
  <c r="C1548" i="1"/>
  <c r="D1548" i="1"/>
  <c r="E1548" i="1"/>
  <c r="F1548" i="1"/>
  <c r="G1548" i="1"/>
  <c r="H1548" i="1" a="1"/>
  <c r="H1548" i="1"/>
  <c r="I1548" i="1"/>
  <c r="B1549" i="1"/>
  <c r="C1549" i="1"/>
  <c r="D1549" i="1"/>
  <c r="E1549" i="1"/>
  <c r="F1549" i="1"/>
  <c r="G1549" i="1"/>
  <c r="H1549" i="1" a="1"/>
  <c r="H1549" i="1"/>
  <c r="I1549" i="1"/>
  <c r="B1550" i="1"/>
  <c r="C1550" i="1"/>
  <c r="D1550" i="1"/>
  <c r="E1550" i="1"/>
  <c r="F1550" i="1"/>
  <c r="G1550" i="1"/>
  <c r="H1550" i="1" a="1"/>
  <c r="H1550" i="1"/>
  <c r="I1550" i="1"/>
  <c r="B1551" i="1"/>
  <c r="C1551" i="1"/>
  <c r="D1551" i="1"/>
  <c r="E1551" i="1"/>
  <c r="F1551" i="1"/>
  <c r="G1551" i="1"/>
  <c r="H1551" i="1" a="1"/>
  <c r="H1551" i="1"/>
  <c r="I1551" i="1"/>
  <c r="B1552" i="1"/>
  <c r="C1552" i="1"/>
  <c r="D1552" i="1"/>
  <c r="E1552" i="1"/>
  <c r="F1552" i="1"/>
  <c r="G1552" i="1"/>
  <c r="H1552" i="1" a="1"/>
  <c r="H1552" i="1"/>
  <c r="I1552" i="1"/>
  <c r="B1553" i="1"/>
  <c r="C1553" i="1"/>
  <c r="D1553" i="1"/>
  <c r="E1553" i="1"/>
  <c r="F1553" i="1"/>
  <c r="G1553" i="1"/>
  <c r="H1553" i="1" a="1"/>
  <c r="H1553" i="1"/>
  <c r="I1553" i="1"/>
  <c r="B1554" i="1"/>
  <c r="C1554" i="1"/>
  <c r="D1554" i="1"/>
  <c r="E1554" i="1"/>
  <c r="F1554" i="1"/>
  <c r="G1554" i="1"/>
  <c r="H1554" i="1" a="1"/>
  <c r="H1554" i="1"/>
  <c r="I1554" i="1"/>
  <c r="B1555" i="1"/>
  <c r="C1555" i="1"/>
  <c r="D1555" i="1"/>
  <c r="E1555" i="1"/>
  <c r="F1555" i="1"/>
  <c r="G1555" i="1"/>
  <c r="H1555" i="1" a="1"/>
  <c r="H1555" i="1"/>
  <c r="I1555" i="1"/>
  <c r="B1556" i="1"/>
  <c r="C1556" i="1"/>
  <c r="D1556" i="1"/>
  <c r="E1556" i="1"/>
  <c r="F1556" i="1"/>
  <c r="G1556" i="1"/>
  <c r="H1556" i="1" a="1"/>
  <c r="H1556" i="1"/>
  <c r="I1556" i="1"/>
  <c r="B1557" i="1"/>
  <c r="C1557" i="1"/>
  <c r="D1557" i="1"/>
  <c r="E1557" i="1"/>
  <c r="F1557" i="1"/>
  <c r="G1557" i="1"/>
  <c r="H1557" i="1" a="1"/>
  <c r="H1557" i="1"/>
  <c r="I1557" i="1"/>
  <c r="B1558" i="1"/>
  <c r="C1558" i="1"/>
  <c r="D1558" i="1"/>
  <c r="E1558" i="1"/>
  <c r="F1558" i="1"/>
  <c r="G1558" i="1"/>
  <c r="H1558" i="1" a="1"/>
  <c r="H1558" i="1"/>
  <c r="I1558" i="1"/>
  <c r="B1559" i="1"/>
  <c r="C1559" i="1"/>
  <c r="D1559" i="1"/>
  <c r="E1559" i="1"/>
  <c r="F1559" i="1"/>
  <c r="G1559" i="1"/>
  <c r="H1559" i="1" a="1"/>
  <c r="H1559" i="1"/>
  <c r="I1559" i="1"/>
  <c r="B1560" i="1"/>
  <c r="C1560" i="1"/>
  <c r="D1560" i="1"/>
  <c r="E1560" i="1"/>
  <c r="F1560" i="1"/>
  <c r="G1560" i="1"/>
  <c r="H1560" i="1" a="1"/>
  <c r="H1560" i="1"/>
  <c r="I1560" i="1"/>
  <c r="B1561" i="1"/>
  <c r="C1561" i="1"/>
  <c r="D1561" i="1"/>
  <c r="E1561" i="1"/>
  <c r="F1561" i="1"/>
  <c r="G1561" i="1"/>
  <c r="H1561" i="1" a="1"/>
  <c r="H1561" i="1"/>
  <c r="I1561" i="1"/>
  <c r="B1562" i="1"/>
  <c r="C1562" i="1"/>
  <c r="D1562" i="1"/>
  <c r="E1562" i="1"/>
  <c r="F1562" i="1"/>
  <c r="G1562" i="1"/>
  <c r="H1562" i="1" a="1"/>
  <c r="H1562" i="1"/>
  <c r="I1562" i="1"/>
  <c r="B1563" i="1"/>
  <c r="C1563" i="1"/>
  <c r="D1563" i="1"/>
  <c r="E1563" i="1"/>
  <c r="F1563" i="1"/>
  <c r="G1563" i="1"/>
  <c r="H1563" i="1" a="1"/>
  <c r="H1563" i="1"/>
  <c r="I1563" i="1"/>
  <c r="B1564" i="1"/>
  <c r="C1564" i="1"/>
  <c r="D1564" i="1"/>
  <c r="E1564" i="1"/>
  <c r="F1564" i="1"/>
  <c r="G1564" i="1"/>
  <c r="H1564" i="1" a="1"/>
  <c r="H1564" i="1"/>
  <c r="I1564" i="1"/>
  <c r="B1565" i="1"/>
  <c r="C1565" i="1"/>
  <c r="D1565" i="1"/>
  <c r="E1565" i="1"/>
  <c r="F1565" i="1"/>
  <c r="G1565" i="1"/>
  <c r="H1565" i="1" a="1"/>
  <c r="H1565" i="1"/>
  <c r="I1565" i="1"/>
  <c r="B1566" i="1"/>
  <c r="C1566" i="1"/>
  <c r="D1566" i="1"/>
  <c r="E1566" i="1"/>
  <c r="F1566" i="1"/>
  <c r="G1566" i="1"/>
  <c r="H1566" i="1" a="1"/>
  <c r="H1566" i="1"/>
  <c r="I1566" i="1"/>
  <c r="B1567" i="1"/>
  <c r="C1567" i="1"/>
  <c r="D1567" i="1"/>
  <c r="E1567" i="1"/>
  <c r="F1567" i="1"/>
  <c r="G1567" i="1"/>
  <c r="H1567" i="1" a="1"/>
  <c r="H1567" i="1"/>
  <c r="I1567" i="1"/>
  <c r="B1568" i="1"/>
  <c r="C1568" i="1"/>
  <c r="D1568" i="1"/>
  <c r="E1568" i="1"/>
  <c r="F1568" i="1"/>
  <c r="G1568" i="1"/>
  <c r="H1568" i="1" a="1"/>
  <c r="H1568" i="1"/>
  <c r="I1568" i="1"/>
  <c r="B1569" i="1"/>
  <c r="C1569" i="1"/>
  <c r="D1569" i="1"/>
  <c r="E1569" i="1"/>
  <c r="F1569" i="1"/>
  <c r="G1569" i="1"/>
  <c r="H1569" i="1" a="1"/>
  <c r="H1569" i="1"/>
  <c r="I1569" i="1"/>
  <c r="B1570" i="1"/>
  <c r="C1570" i="1"/>
  <c r="D1570" i="1"/>
  <c r="E1570" i="1"/>
  <c r="F1570" i="1"/>
  <c r="G1570" i="1"/>
  <c r="H1570" i="1" a="1"/>
  <c r="H1570" i="1"/>
  <c r="I1570" i="1"/>
  <c r="B1571" i="1"/>
  <c r="C1571" i="1"/>
  <c r="D1571" i="1"/>
  <c r="E1571" i="1"/>
  <c r="F1571" i="1"/>
  <c r="G1571" i="1"/>
  <c r="H1571" i="1" a="1"/>
  <c r="H1571" i="1"/>
  <c r="I1571" i="1"/>
  <c r="B1572" i="1"/>
  <c r="C1572" i="1"/>
  <c r="D1572" i="1"/>
  <c r="E1572" i="1"/>
  <c r="F1572" i="1"/>
  <c r="G1572" i="1"/>
  <c r="H1572" i="1" a="1"/>
  <c r="H1572" i="1"/>
  <c r="I1572" i="1"/>
  <c r="B1573" i="1"/>
  <c r="C1573" i="1"/>
  <c r="D1573" i="1"/>
  <c r="E1573" i="1"/>
  <c r="F1573" i="1"/>
  <c r="G1573" i="1"/>
  <c r="H1573" i="1" a="1"/>
  <c r="H1573" i="1"/>
  <c r="I1573" i="1"/>
  <c r="B1574" i="1"/>
  <c r="C1574" i="1"/>
  <c r="D1574" i="1"/>
  <c r="E1574" i="1"/>
  <c r="F1574" i="1"/>
  <c r="G1574" i="1"/>
  <c r="H1574" i="1" a="1"/>
  <c r="H1574" i="1"/>
  <c r="I1574" i="1"/>
  <c r="B1575" i="1"/>
  <c r="C1575" i="1"/>
  <c r="D1575" i="1"/>
  <c r="E1575" i="1"/>
  <c r="F1575" i="1"/>
  <c r="G1575" i="1"/>
  <c r="H1575" i="1" a="1"/>
  <c r="H1575" i="1"/>
  <c r="I1575" i="1"/>
  <c r="B1576" i="1"/>
  <c r="C1576" i="1"/>
  <c r="D1576" i="1"/>
  <c r="E1576" i="1"/>
  <c r="F1576" i="1"/>
  <c r="G1576" i="1"/>
  <c r="H1576" i="1" a="1"/>
  <c r="H1576" i="1"/>
  <c r="I1576" i="1"/>
  <c r="B1577" i="1"/>
  <c r="C1577" i="1"/>
  <c r="D1577" i="1"/>
  <c r="E1577" i="1"/>
  <c r="F1577" i="1"/>
  <c r="G1577" i="1"/>
  <c r="H1577" i="1" a="1"/>
  <c r="H1577" i="1"/>
  <c r="I1577" i="1"/>
  <c r="B1578" i="1"/>
  <c r="C1578" i="1"/>
  <c r="D1578" i="1"/>
  <c r="E1578" i="1"/>
  <c r="F1578" i="1"/>
  <c r="G1578" i="1"/>
  <c r="H1578" i="1" a="1"/>
  <c r="H1578" i="1"/>
  <c r="I1578" i="1"/>
  <c r="B1579" i="1"/>
  <c r="C1579" i="1"/>
  <c r="D1579" i="1"/>
  <c r="E1579" i="1"/>
  <c r="F1579" i="1"/>
  <c r="G1579" i="1"/>
  <c r="H1579" i="1" a="1"/>
  <c r="H1579" i="1"/>
  <c r="I1579" i="1"/>
  <c r="B1580" i="1"/>
  <c r="C1580" i="1"/>
  <c r="D1580" i="1"/>
  <c r="E1580" i="1"/>
  <c r="F1580" i="1"/>
  <c r="G1580" i="1"/>
  <c r="H1580" i="1" a="1"/>
  <c r="H1580" i="1"/>
  <c r="I1580" i="1"/>
  <c r="B1581" i="1"/>
  <c r="C1581" i="1"/>
  <c r="D1581" i="1"/>
  <c r="E1581" i="1"/>
  <c r="F1581" i="1"/>
  <c r="G1581" i="1"/>
  <c r="H1581" i="1" a="1"/>
  <c r="H1581" i="1"/>
  <c r="I1581" i="1"/>
  <c r="B1582" i="1"/>
  <c r="C1582" i="1"/>
  <c r="D1582" i="1"/>
  <c r="E1582" i="1"/>
  <c r="F1582" i="1"/>
  <c r="G1582" i="1"/>
  <c r="H1582" i="1" a="1"/>
  <c r="H1582" i="1"/>
  <c r="I1582" i="1"/>
  <c r="B1583" i="1"/>
  <c r="C1583" i="1"/>
  <c r="D1583" i="1"/>
  <c r="E1583" i="1"/>
  <c r="F1583" i="1"/>
  <c r="G1583" i="1"/>
  <c r="H1583" i="1" a="1"/>
  <c r="H1583" i="1"/>
  <c r="I1583" i="1"/>
  <c r="B1584" i="1"/>
  <c r="C1584" i="1"/>
  <c r="D1584" i="1"/>
  <c r="E1584" i="1"/>
  <c r="F1584" i="1"/>
  <c r="G1584" i="1"/>
  <c r="H1584" i="1" a="1"/>
  <c r="H1584" i="1"/>
  <c r="I1584" i="1"/>
  <c r="B1585" i="1"/>
  <c r="C1585" i="1"/>
  <c r="D1585" i="1"/>
  <c r="E1585" i="1"/>
  <c r="F1585" i="1"/>
  <c r="G1585" i="1"/>
  <c r="H1585" i="1" a="1"/>
  <c r="H1585" i="1"/>
  <c r="I1585" i="1"/>
  <c r="B1586" i="1"/>
  <c r="C1586" i="1"/>
  <c r="D1586" i="1"/>
  <c r="E1586" i="1"/>
  <c r="F1586" i="1"/>
  <c r="G1586" i="1"/>
  <c r="H1586" i="1" a="1"/>
  <c r="H1586" i="1"/>
  <c r="I1586" i="1"/>
  <c r="B1587" i="1"/>
  <c r="C1587" i="1"/>
  <c r="D1587" i="1"/>
  <c r="E1587" i="1"/>
  <c r="F1587" i="1"/>
  <c r="G1587" i="1"/>
  <c r="H1587" i="1" a="1"/>
  <c r="H1587" i="1"/>
  <c r="I1587" i="1"/>
  <c r="B1588" i="1"/>
  <c r="C1588" i="1"/>
  <c r="D1588" i="1"/>
  <c r="E1588" i="1"/>
  <c r="F1588" i="1"/>
  <c r="G1588" i="1"/>
  <c r="H1588" i="1" a="1"/>
  <c r="H1588" i="1"/>
  <c r="I1588" i="1"/>
  <c r="B1589" i="1"/>
  <c r="C1589" i="1"/>
  <c r="D1589" i="1"/>
  <c r="E1589" i="1"/>
  <c r="F1589" i="1"/>
  <c r="G1589" i="1"/>
  <c r="H1589" i="1" a="1"/>
  <c r="H1589" i="1"/>
  <c r="I1589" i="1"/>
  <c r="B1590" i="1"/>
  <c r="C1590" i="1"/>
  <c r="D1590" i="1"/>
  <c r="E1590" i="1"/>
  <c r="F1590" i="1"/>
  <c r="G1590" i="1"/>
  <c r="H1590" i="1" a="1"/>
  <c r="H1590" i="1"/>
  <c r="I1590" i="1"/>
  <c r="B1591" i="1"/>
  <c r="C1591" i="1"/>
  <c r="D1591" i="1"/>
  <c r="E1591" i="1"/>
  <c r="F1591" i="1"/>
  <c r="G1591" i="1"/>
  <c r="H1591" i="1" a="1"/>
  <c r="H1591" i="1"/>
  <c r="I1591" i="1"/>
  <c r="B1592" i="1"/>
  <c r="C1592" i="1"/>
  <c r="D1592" i="1"/>
  <c r="E1592" i="1"/>
  <c r="F1592" i="1"/>
  <c r="G1592" i="1"/>
  <c r="H1592" i="1" a="1"/>
  <c r="H1592" i="1"/>
  <c r="I1592" i="1"/>
  <c r="B1593" i="1"/>
  <c r="C1593" i="1"/>
  <c r="D1593" i="1"/>
  <c r="E1593" i="1"/>
  <c r="F1593" i="1"/>
  <c r="G1593" i="1"/>
  <c r="H1593" i="1" a="1"/>
  <c r="H1593" i="1"/>
  <c r="I1593" i="1"/>
  <c r="B1594" i="1"/>
  <c r="C1594" i="1"/>
  <c r="D1594" i="1"/>
  <c r="E1594" i="1"/>
  <c r="F1594" i="1"/>
  <c r="G1594" i="1"/>
  <c r="H1594" i="1" a="1"/>
  <c r="H1594" i="1"/>
  <c r="I1594" i="1"/>
  <c r="B1595" i="1"/>
  <c r="C1595" i="1"/>
  <c r="D1595" i="1"/>
  <c r="E1595" i="1"/>
  <c r="F1595" i="1"/>
  <c r="G1595" i="1"/>
  <c r="H1595" i="1" a="1"/>
  <c r="H1595" i="1"/>
  <c r="I1595" i="1"/>
  <c r="B1596" i="1"/>
  <c r="C1596" i="1"/>
  <c r="D1596" i="1"/>
  <c r="E1596" i="1"/>
  <c r="F1596" i="1"/>
  <c r="G1596" i="1"/>
  <c r="H1596" i="1" a="1"/>
  <c r="H1596" i="1"/>
  <c r="I1596" i="1"/>
  <c r="B1597" i="1"/>
  <c r="C1597" i="1"/>
  <c r="D1597" i="1"/>
  <c r="E1597" i="1"/>
  <c r="F1597" i="1"/>
  <c r="G1597" i="1"/>
  <c r="H1597" i="1" a="1"/>
  <c r="H1597" i="1"/>
  <c r="I1597" i="1"/>
  <c r="B1598" i="1"/>
  <c r="C1598" i="1"/>
  <c r="D1598" i="1"/>
  <c r="E1598" i="1"/>
  <c r="F1598" i="1"/>
  <c r="G1598" i="1"/>
  <c r="H1598" i="1" a="1"/>
  <c r="H1598" i="1"/>
  <c r="I1598" i="1"/>
  <c r="B1599" i="1"/>
  <c r="C1599" i="1"/>
  <c r="D1599" i="1"/>
  <c r="E1599" i="1"/>
  <c r="F1599" i="1"/>
  <c r="G1599" i="1"/>
  <c r="H1599" i="1" a="1"/>
  <c r="H1599" i="1"/>
  <c r="I1599" i="1"/>
  <c r="B1600" i="1"/>
  <c r="C1600" i="1"/>
  <c r="D1600" i="1"/>
  <c r="E1600" i="1"/>
  <c r="F1600" i="1"/>
  <c r="G1600" i="1"/>
  <c r="H1600" i="1" a="1"/>
  <c r="H1600" i="1"/>
  <c r="I1600" i="1"/>
  <c r="B1601" i="1"/>
  <c r="C1601" i="1"/>
  <c r="D1601" i="1"/>
  <c r="E1601" i="1"/>
  <c r="F1601" i="1"/>
  <c r="G1601" i="1"/>
  <c r="H1601" i="1" a="1"/>
  <c r="H1601" i="1"/>
  <c r="I1601" i="1"/>
  <c r="B1602" i="1"/>
  <c r="C1602" i="1"/>
  <c r="D1602" i="1"/>
  <c r="E1602" i="1"/>
  <c r="F1602" i="1"/>
  <c r="G1602" i="1"/>
  <c r="H1602" i="1" a="1"/>
  <c r="H1602" i="1"/>
  <c r="I1602" i="1"/>
  <c r="B1603" i="1"/>
  <c r="C1603" i="1"/>
  <c r="D1603" i="1"/>
  <c r="E1603" i="1"/>
  <c r="F1603" i="1"/>
  <c r="G1603" i="1"/>
  <c r="H1603" i="1" a="1"/>
  <c r="H1603" i="1"/>
  <c r="I1603" i="1"/>
  <c r="B1604" i="1"/>
  <c r="C1604" i="1"/>
  <c r="D1604" i="1"/>
  <c r="E1604" i="1"/>
  <c r="F1604" i="1"/>
  <c r="G1604" i="1"/>
  <c r="H1604" i="1" a="1"/>
  <c r="H1604" i="1"/>
  <c r="I1604" i="1"/>
  <c r="B1605" i="1"/>
  <c r="C1605" i="1"/>
  <c r="D1605" i="1"/>
  <c r="E1605" i="1"/>
  <c r="F1605" i="1"/>
  <c r="G1605" i="1"/>
  <c r="H1605" i="1" a="1"/>
  <c r="H1605" i="1"/>
  <c r="I1605" i="1"/>
  <c r="B1606" i="1"/>
  <c r="C1606" i="1"/>
  <c r="D1606" i="1"/>
  <c r="E1606" i="1"/>
  <c r="F1606" i="1"/>
  <c r="G1606" i="1"/>
  <c r="H1606" i="1" a="1"/>
  <c r="H1606" i="1"/>
  <c r="I1606" i="1"/>
  <c r="B1607" i="1"/>
  <c r="C1607" i="1"/>
  <c r="D1607" i="1"/>
  <c r="E1607" i="1"/>
  <c r="F1607" i="1"/>
  <c r="G1607" i="1"/>
  <c r="H1607" i="1" a="1"/>
  <c r="H1607" i="1"/>
  <c r="I1607" i="1"/>
  <c r="B1608" i="1"/>
  <c r="C1608" i="1"/>
  <c r="D1608" i="1"/>
  <c r="E1608" i="1"/>
  <c r="F1608" i="1"/>
  <c r="G1608" i="1"/>
  <c r="H1608" i="1" a="1"/>
  <c r="H1608" i="1"/>
  <c r="I1608" i="1"/>
  <c r="B1609" i="1"/>
  <c r="C1609" i="1"/>
  <c r="D1609" i="1"/>
  <c r="E1609" i="1"/>
  <c r="F1609" i="1"/>
  <c r="G1609" i="1"/>
  <c r="H1609" i="1" a="1"/>
  <c r="H1609" i="1"/>
  <c r="I1609" i="1"/>
  <c r="B1610" i="1"/>
  <c r="C1610" i="1"/>
  <c r="D1610" i="1"/>
  <c r="E1610" i="1"/>
  <c r="F1610" i="1"/>
  <c r="G1610" i="1"/>
  <c r="H1610" i="1" a="1"/>
  <c r="H1610" i="1"/>
  <c r="I1610" i="1"/>
  <c r="B1611" i="1"/>
  <c r="C1611" i="1"/>
  <c r="D1611" i="1"/>
  <c r="E1611" i="1"/>
  <c r="F1611" i="1"/>
  <c r="G1611" i="1"/>
  <c r="H1611" i="1" a="1"/>
  <c r="H1611" i="1"/>
  <c r="I1611" i="1"/>
  <c r="B1612" i="1"/>
  <c r="C1612" i="1"/>
  <c r="D1612" i="1"/>
  <c r="E1612" i="1"/>
  <c r="F1612" i="1"/>
  <c r="G1612" i="1"/>
  <c r="H1612" i="1" a="1"/>
  <c r="H1612" i="1"/>
  <c r="I1612" i="1"/>
  <c r="B1613" i="1"/>
  <c r="C1613" i="1"/>
  <c r="D1613" i="1"/>
  <c r="E1613" i="1"/>
  <c r="F1613" i="1"/>
  <c r="G1613" i="1"/>
  <c r="H1613" i="1" a="1"/>
  <c r="H1613" i="1"/>
  <c r="I1613" i="1"/>
  <c r="B1614" i="1"/>
  <c r="C1614" i="1"/>
  <c r="D1614" i="1"/>
  <c r="E1614" i="1"/>
  <c r="F1614" i="1"/>
  <c r="G1614" i="1"/>
  <c r="H1614" i="1" a="1"/>
  <c r="H1614" i="1"/>
  <c r="I1614" i="1"/>
  <c r="B1615" i="1"/>
  <c r="C1615" i="1"/>
  <c r="D1615" i="1"/>
  <c r="E1615" i="1"/>
  <c r="F1615" i="1"/>
  <c r="G1615" i="1"/>
  <c r="H1615" i="1" a="1"/>
  <c r="H1615" i="1"/>
  <c r="I1615" i="1"/>
  <c r="B1616" i="1"/>
  <c r="C1616" i="1"/>
  <c r="D1616" i="1"/>
  <c r="E1616" i="1"/>
  <c r="F1616" i="1"/>
  <c r="G1616" i="1"/>
  <c r="H1616" i="1" a="1"/>
  <c r="H1616" i="1"/>
  <c r="I1616" i="1"/>
  <c r="B1617" i="1"/>
  <c r="C1617" i="1"/>
  <c r="D1617" i="1"/>
  <c r="E1617" i="1"/>
  <c r="F1617" i="1"/>
  <c r="G1617" i="1"/>
  <c r="H1617" i="1" a="1"/>
  <c r="H1617" i="1"/>
  <c r="I1617" i="1"/>
  <c r="B1618" i="1"/>
  <c r="C1618" i="1"/>
  <c r="D1618" i="1"/>
  <c r="E1618" i="1"/>
  <c r="F1618" i="1"/>
  <c r="G1618" i="1"/>
  <c r="H1618" i="1" a="1"/>
  <c r="H1618" i="1"/>
  <c r="I1618" i="1"/>
  <c r="B1619" i="1"/>
  <c r="C1619" i="1"/>
  <c r="D1619" i="1"/>
  <c r="E1619" i="1"/>
  <c r="F1619" i="1"/>
  <c r="G1619" i="1"/>
  <c r="H1619" i="1" a="1"/>
  <c r="H1619" i="1"/>
  <c r="I1619" i="1"/>
  <c r="B1620" i="1"/>
  <c r="C1620" i="1"/>
  <c r="D1620" i="1"/>
  <c r="E1620" i="1"/>
  <c r="F1620" i="1"/>
  <c r="G1620" i="1"/>
  <c r="H1620" i="1" a="1"/>
  <c r="H1620" i="1"/>
  <c r="I1620" i="1"/>
  <c r="B1621" i="1"/>
  <c r="C1621" i="1"/>
  <c r="D1621" i="1"/>
  <c r="E1621" i="1"/>
  <c r="F1621" i="1"/>
  <c r="G1621" i="1"/>
  <c r="H1621" i="1" a="1"/>
  <c r="H1621" i="1"/>
  <c r="I1621" i="1"/>
  <c r="B1622" i="1"/>
  <c r="C1622" i="1"/>
  <c r="D1622" i="1"/>
  <c r="E1622" i="1"/>
  <c r="F1622" i="1"/>
  <c r="G1622" i="1"/>
  <c r="H1622" i="1" a="1"/>
  <c r="H1622" i="1"/>
  <c r="I1622" i="1"/>
  <c r="B1623" i="1"/>
  <c r="C1623" i="1"/>
  <c r="D1623" i="1"/>
  <c r="E1623" i="1"/>
  <c r="F1623" i="1"/>
  <c r="G1623" i="1"/>
  <c r="H1623" i="1" a="1"/>
  <c r="H1623" i="1"/>
  <c r="I1623" i="1"/>
  <c r="B1624" i="1"/>
  <c r="C1624" i="1"/>
  <c r="D1624" i="1"/>
  <c r="E1624" i="1"/>
  <c r="F1624" i="1"/>
  <c r="G1624" i="1"/>
  <c r="H1624" i="1" a="1"/>
  <c r="H1624" i="1"/>
  <c r="I1624" i="1"/>
  <c r="B1625" i="1"/>
  <c r="C1625" i="1"/>
  <c r="D1625" i="1"/>
  <c r="E1625" i="1"/>
  <c r="F1625" i="1"/>
  <c r="G1625" i="1"/>
  <c r="H1625" i="1" a="1"/>
  <c r="H1625" i="1"/>
  <c r="I1625" i="1"/>
  <c r="B1626" i="1"/>
  <c r="C1626" i="1"/>
  <c r="D1626" i="1"/>
  <c r="E1626" i="1"/>
  <c r="F1626" i="1"/>
  <c r="G1626" i="1"/>
  <c r="H1626" i="1" a="1"/>
  <c r="H1626" i="1"/>
  <c r="I1626" i="1"/>
  <c r="B1627" i="1"/>
  <c r="C1627" i="1"/>
  <c r="D1627" i="1"/>
  <c r="E1627" i="1"/>
  <c r="F1627" i="1"/>
  <c r="G1627" i="1"/>
  <c r="H1627" i="1" a="1"/>
  <c r="H1627" i="1"/>
  <c r="I1627" i="1"/>
  <c r="B1628" i="1"/>
  <c r="C1628" i="1"/>
  <c r="D1628" i="1"/>
  <c r="E1628" i="1"/>
  <c r="F1628" i="1"/>
  <c r="G1628" i="1"/>
  <c r="H1628" i="1" a="1"/>
  <c r="H1628" i="1"/>
  <c r="I1628" i="1"/>
  <c r="B1629" i="1"/>
  <c r="C1629" i="1"/>
  <c r="D1629" i="1"/>
  <c r="E1629" i="1"/>
  <c r="F1629" i="1"/>
  <c r="G1629" i="1"/>
  <c r="H1629" i="1" a="1"/>
  <c r="H1629" i="1"/>
  <c r="I1629" i="1"/>
  <c r="B1630" i="1"/>
  <c r="C1630" i="1"/>
  <c r="D1630" i="1"/>
  <c r="E1630" i="1"/>
  <c r="F1630" i="1"/>
  <c r="G1630" i="1"/>
  <c r="H1630" i="1" a="1"/>
  <c r="H1630" i="1"/>
  <c r="I1630" i="1"/>
  <c r="B1631" i="1"/>
  <c r="C1631" i="1"/>
  <c r="D1631" i="1"/>
  <c r="E1631" i="1"/>
  <c r="F1631" i="1"/>
  <c r="G1631" i="1"/>
  <c r="H1631" i="1" a="1"/>
  <c r="H1631" i="1"/>
  <c r="I1631" i="1"/>
  <c r="B1632" i="1"/>
  <c r="C1632" i="1"/>
  <c r="D1632" i="1"/>
  <c r="E1632" i="1"/>
  <c r="F1632" i="1"/>
  <c r="G1632" i="1"/>
  <c r="H1632" i="1" a="1"/>
  <c r="H1632" i="1"/>
  <c r="I1632" i="1"/>
  <c r="B1633" i="1"/>
  <c r="C1633" i="1"/>
  <c r="D1633" i="1"/>
  <c r="E1633" i="1"/>
  <c r="F1633" i="1"/>
  <c r="G1633" i="1"/>
  <c r="H1633" i="1" a="1"/>
  <c r="H1633" i="1"/>
  <c r="I1633" i="1"/>
  <c r="B1634" i="1"/>
  <c r="C1634" i="1"/>
  <c r="D1634" i="1"/>
  <c r="E1634" i="1"/>
  <c r="F1634" i="1"/>
  <c r="G1634" i="1"/>
  <c r="H1634" i="1" a="1"/>
  <c r="H1634" i="1"/>
  <c r="I1634" i="1"/>
  <c r="B1635" i="1"/>
  <c r="C1635" i="1"/>
  <c r="D1635" i="1"/>
  <c r="E1635" i="1"/>
  <c r="F1635" i="1"/>
  <c r="G1635" i="1"/>
  <c r="H1635" i="1" a="1"/>
  <c r="H1635" i="1"/>
  <c r="I1635" i="1"/>
  <c r="B1636" i="1"/>
  <c r="C1636" i="1"/>
  <c r="D1636" i="1"/>
  <c r="E1636" i="1"/>
  <c r="F1636" i="1"/>
  <c r="G1636" i="1"/>
  <c r="H1636" i="1" a="1"/>
  <c r="H1636" i="1"/>
  <c r="I1636" i="1"/>
  <c r="B1637" i="1"/>
  <c r="C1637" i="1"/>
  <c r="D1637" i="1"/>
  <c r="E1637" i="1"/>
  <c r="F1637" i="1"/>
  <c r="G1637" i="1"/>
  <c r="H1637" i="1" a="1"/>
  <c r="H1637" i="1"/>
  <c r="I1637" i="1"/>
  <c r="B1638" i="1"/>
  <c r="C1638" i="1"/>
  <c r="D1638" i="1"/>
  <c r="E1638" i="1"/>
  <c r="F1638" i="1"/>
  <c r="G1638" i="1"/>
  <c r="H1638" i="1" a="1"/>
  <c r="H1638" i="1"/>
  <c r="I1638" i="1"/>
  <c r="B1639" i="1"/>
  <c r="C1639" i="1"/>
  <c r="D1639" i="1"/>
  <c r="E1639" i="1"/>
  <c r="F1639" i="1"/>
  <c r="G1639" i="1"/>
  <c r="H1639" i="1" a="1"/>
  <c r="H1639" i="1"/>
  <c r="I1639" i="1"/>
  <c r="B1640" i="1"/>
  <c r="C1640" i="1"/>
  <c r="D1640" i="1"/>
  <c r="E1640" i="1"/>
  <c r="F1640" i="1"/>
  <c r="G1640" i="1"/>
  <c r="H1640" i="1" a="1"/>
  <c r="H1640" i="1"/>
  <c r="I1640" i="1"/>
  <c r="B1641" i="1"/>
  <c r="C1641" i="1"/>
  <c r="D1641" i="1"/>
  <c r="E1641" i="1"/>
  <c r="F1641" i="1"/>
  <c r="G1641" i="1"/>
  <c r="H1641" i="1" a="1"/>
  <c r="H1641" i="1"/>
  <c r="I1641" i="1"/>
  <c r="B1642" i="1"/>
  <c r="C1642" i="1"/>
  <c r="D1642" i="1"/>
  <c r="E1642" i="1"/>
  <c r="F1642" i="1"/>
  <c r="G1642" i="1"/>
  <c r="H1642" i="1" a="1"/>
  <c r="H1642" i="1"/>
  <c r="I1642" i="1"/>
  <c r="B1643" i="1"/>
  <c r="C1643" i="1"/>
  <c r="D1643" i="1"/>
  <c r="E1643" i="1"/>
  <c r="F1643" i="1"/>
  <c r="G1643" i="1"/>
  <c r="H1643" i="1" a="1"/>
  <c r="H1643" i="1"/>
  <c r="I1643" i="1"/>
  <c r="B1644" i="1"/>
  <c r="C1644" i="1"/>
  <c r="D1644" i="1"/>
  <c r="E1644" i="1"/>
  <c r="F1644" i="1"/>
  <c r="G1644" i="1"/>
  <c r="H1644" i="1" a="1"/>
  <c r="H1644" i="1"/>
  <c r="I1644" i="1"/>
  <c r="B1645" i="1"/>
  <c r="C1645" i="1"/>
  <c r="D1645" i="1"/>
  <c r="E1645" i="1"/>
  <c r="F1645" i="1"/>
  <c r="G1645" i="1"/>
  <c r="H1645" i="1" a="1"/>
  <c r="H1645" i="1"/>
  <c r="I1645" i="1"/>
  <c r="B1646" i="1"/>
  <c r="C1646" i="1"/>
  <c r="D1646" i="1"/>
  <c r="E1646" i="1"/>
  <c r="F1646" i="1"/>
  <c r="G1646" i="1"/>
  <c r="H1646" i="1" a="1"/>
  <c r="H1646" i="1"/>
  <c r="I1646" i="1"/>
  <c r="B1647" i="1"/>
  <c r="C1647" i="1"/>
  <c r="D1647" i="1"/>
  <c r="E1647" i="1"/>
  <c r="F1647" i="1"/>
  <c r="G1647" i="1"/>
  <c r="H1647" i="1" a="1"/>
  <c r="H1647" i="1"/>
  <c r="I1647" i="1"/>
  <c r="B1648" i="1"/>
  <c r="C1648" i="1"/>
  <c r="D1648" i="1"/>
  <c r="E1648" i="1"/>
  <c r="F1648" i="1"/>
  <c r="G1648" i="1"/>
  <c r="H1648" i="1" a="1"/>
  <c r="H1648" i="1"/>
  <c r="I1648" i="1"/>
  <c r="B1649" i="1"/>
  <c r="C1649" i="1"/>
  <c r="D1649" i="1"/>
  <c r="E1649" i="1"/>
  <c r="F1649" i="1"/>
  <c r="G1649" i="1"/>
  <c r="H1649" i="1" a="1"/>
  <c r="H1649" i="1"/>
  <c r="I1649" i="1"/>
  <c r="B1650" i="1"/>
  <c r="C1650" i="1"/>
  <c r="D1650" i="1"/>
  <c r="E1650" i="1"/>
  <c r="F1650" i="1"/>
  <c r="G1650" i="1"/>
  <c r="H1650" i="1" a="1"/>
  <c r="H1650" i="1"/>
  <c r="I1650" i="1"/>
  <c r="B1651" i="1"/>
  <c r="C1651" i="1"/>
  <c r="D1651" i="1"/>
  <c r="E1651" i="1"/>
  <c r="F1651" i="1"/>
  <c r="G1651" i="1"/>
  <c r="H1651" i="1" a="1"/>
  <c r="H1651" i="1"/>
  <c r="I1651" i="1"/>
  <c r="B1652" i="1"/>
  <c r="C1652" i="1"/>
  <c r="D1652" i="1"/>
  <c r="E1652" i="1"/>
  <c r="F1652" i="1"/>
  <c r="G1652" i="1"/>
  <c r="H1652" i="1" a="1"/>
  <c r="H1652" i="1"/>
  <c r="I1652" i="1"/>
  <c r="B1653" i="1"/>
  <c r="C1653" i="1"/>
  <c r="D1653" i="1"/>
  <c r="E1653" i="1"/>
  <c r="F1653" i="1"/>
  <c r="G1653" i="1"/>
  <c r="H1653" i="1" a="1"/>
  <c r="H1653" i="1"/>
  <c r="I1653" i="1"/>
  <c r="B1654" i="1"/>
  <c r="C1654" i="1"/>
  <c r="D1654" i="1"/>
  <c r="E1654" i="1"/>
  <c r="F1654" i="1"/>
  <c r="G1654" i="1"/>
  <c r="H1654" i="1" a="1"/>
  <c r="H1654" i="1"/>
  <c r="I1654" i="1"/>
  <c r="B1655" i="1"/>
  <c r="C1655" i="1"/>
  <c r="D1655" i="1"/>
  <c r="E1655" i="1"/>
  <c r="F1655" i="1"/>
  <c r="G1655" i="1"/>
  <c r="H1655" i="1" a="1"/>
  <c r="H1655" i="1"/>
  <c r="I1655" i="1"/>
  <c r="B1656" i="1"/>
  <c r="C1656" i="1"/>
  <c r="D1656" i="1"/>
  <c r="E1656" i="1"/>
  <c r="F1656" i="1"/>
  <c r="G1656" i="1"/>
  <c r="H1656" i="1" a="1"/>
  <c r="H1656" i="1"/>
  <c r="I1656" i="1"/>
  <c r="B1657" i="1"/>
  <c r="C1657" i="1"/>
  <c r="D1657" i="1"/>
  <c r="E1657" i="1"/>
  <c r="F1657" i="1"/>
  <c r="G1657" i="1"/>
  <c r="H1657" i="1" a="1"/>
  <c r="H1657" i="1"/>
  <c r="I1657" i="1"/>
  <c r="B1658" i="1"/>
  <c r="C1658" i="1"/>
  <c r="D1658" i="1"/>
  <c r="E1658" i="1"/>
  <c r="F1658" i="1"/>
  <c r="G1658" i="1"/>
  <c r="H1658" i="1" a="1"/>
  <c r="H1658" i="1"/>
  <c r="I1658" i="1"/>
  <c r="B1659" i="1"/>
  <c r="C1659" i="1"/>
  <c r="D1659" i="1"/>
  <c r="E1659" i="1"/>
  <c r="F1659" i="1"/>
  <c r="G1659" i="1"/>
  <c r="H1659" i="1" a="1"/>
  <c r="H1659" i="1"/>
  <c r="I1659" i="1"/>
  <c r="B1660" i="1"/>
  <c r="C1660" i="1"/>
  <c r="D1660" i="1"/>
  <c r="E1660" i="1"/>
  <c r="F1660" i="1"/>
  <c r="G1660" i="1"/>
  <c r="H1660" i="1" a="1"/>
  <c r="H1660" i="1"/>
  <c r="I1660" i="1"/>
  <c r="B1661" i="1"/>
  <c r="C1661" i="1"/>
  <c r="D1661" i="1"/>
  <c r="E1661" i="1"/>
  <c r="F1661" i="1"/>
  <c r="G1661" i="1"/>
  <c r="H1661" i="1" a="1"/>
  <c r="H1661" i="1"/>
  <c r="I1661" i="1"/>
  <c r="B1662" i="1"/>
  <c r="C1662" i="1"/>
  <c r="D1662" i="1"/>
  <c r="E1662" i="1"/>
  <c r="F1662" i="1"/>
  <c r="G1662" i="1"/>
  <c r="H1662" i="1" a="1"/>
  <c r="H1662" i="1"/>
  <c r="I1662" i="1"/>
  <c r="B1663" i="1"/>
  <c r="C1663" i="1"/>
  <c r="D1663" i="1"/>
  <c r="E1663" i="1"/>
  <c r="F1663" i="1"/>
  <c r="G1663" i="1"/>
  <c r="H1663" i="1" a="1"/>
  <c r="H1663" i="1"/>
  <c r="I1663" i="1"/>
  <c r="B1664" i="1"/>
  <c r="C1664" i="1"/>
  <c r="D1664" i="1"/>
  <c r="E1664" i="1"/>
  <c r="F1664" i="1"/>
  <c r="G1664" i="1"/>
  <c r="H1664" i="1" a="1"/>
  <c r="H1664" i="1"/>
  <c r="I1664" i="1"/>
  <c r="B1665" i="1"/>
  <c r="C1665" i="1"/>
  <c r="D1665" i="1"/>
  <c r="E1665" i="1"/>
  <c r="F1665" i="1"/>
  <c r="G1665" i="1"/>
  <c r="H1665" i="1" a="1"/>
  <c r="H1665" i="1"/>
  <c r="I1665" i="1"/>
  <c r="B1666" i="1"/>
  <c r="C1666" i="1"/>
  <c r="D1666" i="1"/>
  <c r="E1666" i="1"/>
  <c r="F1666" i="1"/>
  <c r="G1666" i="1"/>
  <c r="H1666" i="1" a="1"/>
  <c r="H1666" i="1"/>
  <c r="I1666" i="1"/>
  <c r="B1667" i="1"/>
  <c r="C1667" i="1"/>
  <c r="D1667" i="1"/>
  <c r="E1667" i="1"/>
  <c r="F1667" i="1"/>
  <c r="G1667" i="1"/>
  <c r="H1667" i="1" a="1"/>
  <c r="H1667" i="1"/>
  <c r="I1667" i="1"/>
  <c r="B1668" i="1"/>
  <c r="C1668" i="1"/>
  <c r="D1668" i="1"/>
  <c r="E1668" i="1"/>
  <c r="F1668" i="1"/>
  <c r="G1668" i="1"/>
  <c r="H1668" i="1" a="1"/>
  <c r="H1668" i="1"/>
  <c r="I1668" i="1"/>
  <c r="B1669" i="1"/>
  <c r="C1669" i="1"/>
  <c r="D1669" i="1"/>
  <c r="E1669" i="1"/>
  <c r="F1669" i="1"/>
  <c r="G1669" i="1"/>
  <c r="H1669" i="1" a="1"/>
  <c r="H1669" i="1"/>
  <c r="I1669" i="1"/>
  <c r="B1670" i="1"/>
  <c r="C1670" i="1"/>
  <c r="D1670" i="1"/>
  <c r="E1670" i="1"/>
  <c r="F1670" i="1"/>
  <c r="G1670" i="1"/>
  <c r="H1670" i="1" a="1"/>
  <c r="H1670" i="1"/>
  <c r="I1670" i="1"/>
  <c r="B1671" i="1"/>
  <c r="C1671" i="1"/>
  <c r="D1671" i="1"/>
  <c r="E1671" i="1"/>
  <c r="F1671" i="1"/>
  <c r="G1671" i="1"/>
  <c r="H1671" i="1" a="1"/>
  <c r="H1671" i="1"/>
  <c r="I1671" i="1"/>
  <c r="B1672" i="1"/>
  <c r="C1672" i="1"/>
  <c r="D1672" i="1"/>
  <c r="E1672" i="1"/>
  <c r="F1672" i="1"/>
  <c r="G1672" i="1"/>
  <c r="H1672" i="1" a="1"/>
  <c r="H1672" i="1"/>
  <c r="I1672" i="1"/>
  <c r="B1673" i="1"/>
  <c r="C1673" i="1"/>
  <c r="D1673" i="1"/>
  <c r="E1673" i="1"/>
  <c r="F1673" i="1"/>
  <c r="G1673" i="1"/>
  <c r="H1673" i="1" a="1"/>
  <c r="H1673" i="1"/>
  <c r="I1673" i="1"/>
  <c r="B1674" i="1"/>
  <c r="C1674" i="1"/>
  <c r="D1674" i="1"/>
  <c r="E1674" i="1"/>
  <c r="F1674" i="1"/>
  <c r="G1674" i="1"/>
  <c r="H1674" i="1" a="1"/>
  <c r="H1674" i="1"/>
  <c r="I1674" i="1"/>
  <c r="B1675" i="1"/>
  <c r="C1675" i="1"/>
  <c r="D1675" i="1"/>
  <c r="E1675" i="1"/>
  <c r="F1675" i="1"/>
  <c r="G1675" i="1"/>
  <c r="H1675" i="1" a="1"/>
  <c r="H1675" i="1"/>
  <c r="I1675" i="1"/>
  <c r="B1676" i="1"/>
  <c r="C1676" i="1"/>
  <c r="D1676" i="1"/>
  <c r="E1676" i="1"/>
  <c r="F1676" i="1"/>
  <c r="G1676" i="1"/>
  <c r="H1676" i="1" a="1"/>
  <c r="H1676" i="1"/>
  <c r="I1676" i="1"/>
  <c r="B1677" i="1"/>
  <c r="C1677" i="1"/>
  <c r="D1677" i="1"/>
  <c r="E1677" i="1"/>
  <c r="F1677" i="1"/>
  <c r="G1677" i="1"/>
  <c r="H1677" i="1" a="1"/>
  <c r="H1677" i="1"/>
  <c r="I1677" i="1"/>
  <c r="B1678" i="1"/>
  <c r="C1678" i="1"/>
  <c r="D1678" i="1"/>
  <c r="E1678" i="1"/>
  <c r="F1678" i="1"/>
  <c r="G1678" i="1"/>
  <c r="H1678" i="1" a="1"/>
  <c r="H1678" i="1"/>
  <c r="I1678" i="1"/>
  <c r="B1679" i="1"/>
  <c r="C1679" i="1"/>
  <c r="D1679" i="1"/>
  <c r="E1679" i="1"/>
  <c r="F1679" i="1"/>
  <c r="G1679" i="1"/>
  <c r="H1679" i="1" a="1"/>
  <c r="H1679" i="1"/>
  <c r="I1679" i="1"/>
  <c r="B1680" i="1"/>
  <c r="C1680" i="1"/>
  <c r="D1680" i="1"/>
  <c r="E1680" i="1"/>
  <c r="F1680" i="1"/>
  <c r="G1680" i="1"/>
  <c r="H1680" i="1" a="1"/>
  <c r="H1680" i="1"/>
  <c r="I1680" i="1"/>
  <c r="B1681" i="1"/>
  <c r="C1681" i="1"/>
  <c r="D1681" i="1"/>
  <c r="E1681" i="1"/>
  <c r="F1681" i="1"/>
  <c r="G1681" i="1"/>
  <c r="H1681" i="1" a="1"/>
  <c r="H1681" i="1"/>
  <c r="I1681" i="1"/>
  <c r="B1682" i="1"/>
  <c r="C1682" i="1"/>
  <c r="D1682" i="1"/>
  <c r="E1682" i="1"/>
  <c r="F1682" i="1"/>
  <c r="G1682" i="1"/>
  <c r="H1682" i="1" a="1"/>
  <c r="H1682" i="1"/>
  <c r="I1682" i="1"/>
  <c r="B1683" i="1"/>
  <c r="C1683" i="1"/>
  <c r="D1683" i="1"/>
  <c r="E1683" i="1"/>
  <c r="F1683" i="1"/>
  <c r="G1683" i="1"/>
  <c r="H1683" i="1" a="1"/>
  <c r="H1683" i="1"/>
  <c r="I1683" i="1"/>
  <c r="B1684" i="1"/>
  <c r="C1684" i="1"/>
  <c r="D1684" i="1"/>
  <c r="E1684" i="1"/>
  <c r="F1684" i="1"/>
  <c r="G1684" i="1"/>
  <c r="H1684" i="1" a="1"/>
  <c r="H1684" i="1"/>
  <c r="I1684" i="1"/>
  <c r="B1685" i="1"/>
  <c r="C1685" i="1"/>
  <c r="D1685" i="1"/>
  <c r="E1685" i="1"/>
  <c r="F1685" i="1"/>
  <c r="G1685" i="1"/>
  <c r="H1685" i="1" a="1"/>
  <c r="H1685" i="1"/>
  <c r="I1685" i="1"/>
  <c r="B1686" i="1"/>
  <c r="C1686" i="1"/>
  <c r="D1686" i="1"/>
  <c r="E1686" i="1"/>
  <c r="F1686" i="1"/>
  <c r="G1686" i="1"/>
  <c r="H1686" i="1" a="1"/>
  <c r="H1686" i="1"/>
  <c r="I1686" i="1"/>
  <c r="B1687" i="1"/>
  <c r="C1687" i="1"/>
  <c r="D1687" i="1"/>
  <c r="E1687" i="1"/>
  <c r="F1687" i="1"/>
  <c r="G1687" i="1"/>
  <c r="H1687" i="1" a="1"/>
  <c r="H1687" i="1"/>
  <c r="I1687" i="1"/>
  <c r="B1688" i="1"/>
  <c r="C1688" i="1"/>
  <c r="D1688" i="1"/>
  <c r="E1688" i="1"/>
  <c r="F1688" i="1"/>
  <c r="G1688" i="1"/>
  <c r="H1688" i="1" a="1"/>
  <c r="H1688" i="1"/>
  <c r="I1688" i="1"/>
  <c r="B1689" i="1"/>
  <c r="C1689" i="1"/>
  <c r="D1689" i="1"/>
  <c r="E1689" i="1"/>
  <c r="F1689" i="1"/>
  <c r="G1689" i="1"/>
  <c r="H1689" i="1" a="1"/>
  <c r="H1689" i="1"/>
  <c r="I1689" i="1"/>
  <c r="B1690" i="1"/>
  <c r="C1690" i="1"/>
  <c r="D1690" i="1"/>
  <c r="E1690" i="1"/>
  <c r="F1690" i="1"/>
  <c r="G1690" i="1"/>
  <c r="H1690" i="1" a="1"/>
  <c r="H1690" i="1"/>
  <c r="I1690" i="1"/>
  <c r="B1691" i="1"/>
  <c r="C1691" i="1"/>
  <c r="D1691" i="1"/>
  <c r="E1691" i="1"/>
  <c r="F1691" i="1"/>
  <c r="G1691" i="1"/>
  <c r="H1691" i="1" a="1"/>
  <c r="H1691" i="1"/>
  <c r="I1691" i="1"/>
  <c r="B1692" i="1"/>
  <c r="C1692" i="1"/>
  <c r="D1692" i="1"/>
  <c r="E1692" i="1"/>
  <c r="F1692" i="1"/>
  <c r="G1692" i="1"/>
  <c r="H1692" i="1" a="1"/>
  <c r="H1692" i="1"/>
  <c r="I1692" i="1"/>
  <c r="B1693" i="1"/>
  <c r="C1693" i="1"/>
  <c r="D1693" i="1"/>
  <c r="E1693" i="1"/>
  <c r="F1693" i="1"/>
  <c r="G1693" i="1"/>
  <c r="H1693" i="1" a="1"/>
  <c r="H1693" i="1"/>
  <c r="I1693" i="1"/>
  <c r="B1694" i="1"/>
  <c r="C1694" i="1"/>
  <c r="D1694" i="1"/>
  <c r="E1694" i="1"/>
  <c r="F1694" i="1"/>
  <c r="G1694" i="1"/>
  <c r="H1694" i="1" a="1"/>
  <c r="H1694" i="1"/>
  <c r="I1694" i="1"/>
  <c r="B1695" i="1"/>
  <c r="C1695" i="1"/>
  <c r="D1695" i="1"/>
  <c r="E1695" i="1"/>
  <c r="F1695" i="1"/>
  <c r="G1695" i="1"/>
  <c r="H1695" i="1" a="1"/>
  <c r="H1695" i="1"/>
  <c r="I1695" i="1"/>
  <c r="B1696" i="1"/>
  <c r="C1696" i="1"/>
  <c r="D1696" i="1"/>
  <c r="E1696" i="1"/>
  <c r="F1696" i="1"/>
  <c r="G1696" i="1"/>
  <c r="H1696" i="1" a="1"/>
  <c r="H1696" i="1"/>
  <c r="I1696" i="1"/>
  <c r="B1697" i="1"/>
  <c r="C1697" i="1"/>
  <c r="D1697" i="1"/>
  <c r="E1697" i="1"/>
  <c r="F1697" i="1"/>
  <c r="G1697" i="1"/>
  <c r="H1697" i="1" a="1"/>
  <c r="H1697" i="1"/>
  <c r="I1697" i="1"/>
  <c r="B1698" i="1"/>
  <c r="C1698" i="1"/>
  <c r="D1698" i="1"/>
  <c r="E1698" i="1"/>
  <c r="F1698" i="1"/>
  <c r="G1698" i="1"/>
  <c r="H1698" i="1" a="1"/>
  <c r="H1698" i="1"/>
  <c r="I1698" i="1"/>
  <c r="B1699" i="1"/>
  <c r="C1699" i="1"/>
  <c r="D1699" i="1"/>
  <c r="E1699" i="1"/>
  <c r="F1699" i="1"/>
  <c r="G1699" i="1"/>
  <c r="H1699" i="1" a="1"/>
  <c r="H1699" i="1"/>
  <c r="I1699" i="1"/>
  <c r="B1700" i="1"/>
  <c r="C1700" i="1"/>
  <c r="D1700" i="1"/>
  <c r="E1700" i="1"/>
  <c r="F1700" i="1"/>
  <c r="G1700" i="1"/>
  <c r="H1700" i="1" a="1"/>
  <c r="H1700" i="1"/>
  <c r="I1700" i="1"/>
  <c r="B1701" i="1"/>
  <c r="C1701" i="1"/>
  <c r="D1701" i="1"/>
  <c r="E1701" i="1"/>
  <c r="F1701" i="1"/>
  <c r="G1701" i="1"/>
  <c r="H1701" i="1" a="1"/>
  <c r="H1701" i="1"/>
  <c r="I1701" i="1"/>
  <c r="B1702" i="1"/>
  <c r="C1702" i="1"/>
  <c r="D1702" i="1"/>
  <c r="E1702" i="1"/>
  <c r="F1702" i="1"/>
  <c r="G1702" i="1"/>
  <c r="H1702" i="1" a="1"/>
  <c r="H1702" i="1"/>
  <c r="I1702" i="1"/>
  <c r="B1703" i="1"/>
  <c r="C1703" i="1"/>
  <c r="D1703" i="1"/>
  <c r="E1703" i="1"/>
  <c r="F1703" i="1"/>
  <c r="G1703" i="1"/>
  <c r="H1703" i="1" a="1"/>
  <c r="H1703" i="1"/>
  <c r="I1703" i="1"/>
  <c r="B1704" i="1"/>
  <c r="C1704" i="1"/>
  <c r="D1704" i="1"/>
  <c r="E1704" i="1"/>
  <c r="F1704" i="1"/>
  <c r="G1704" i="1"/>
  <c r="H1704" i="1" a="1"/>
  <c r="H1704" i="1"/>
  <c r="I1704" i="1"/>
  <c r="B1705" i="1"/>
  <c r="C1705" i="1"/>
  <c r="D1705" i="1"/>
  <c r="E1705" i="1"/>
  <c r="F1705" i="1"/>
  <c r="G1705" i="1"/>
  <c r="H1705" i="1" a="1"/>
  <c r="H1705" i="1"/>
  <c r="I1705" i="1"/>
  <c r="B1706" i="1"/>
  <c r="C1706" i="1"/>
  <c r="D1706" i="1"/>
  <c r="E1706" i="1"/>
  <c r="F1706" i="1"/>
  <c r="G1706" i="1"/>
  <c r="H1706" i="1" a="1"/>
  <c r="H1706" i="1"/>
  <c r="I1706" i="1"/>
  <c r="B1707" i="1"/>
  <c r="C1707" i="1"/>
  <c r="D1707" i="1"/>
  <c r="E1707" i="1"/>
  <c r="F1707" i="1"/>
  <c r="G1707" i="1"/>
  <c r="H1707" i="1" a="1"/>
  <c r="H1707" i="1"/>
  <c r="I1707" i="1"/>
  <c r="B1708" i="1"/>
  <c r="C1708" i="1"/>
  <c r="D1708" i="1"/>
  <c r="E1708" i="1"/>
  <c r="F1708" i="1"/>
  <c r="G1708" i="1"/>
  <c r="H1708" i="1" a="1"/>
  <c r="H1708" i="1"/>
  <c r="I1708" i="1"/>
  <c r="B1709" i="1"/>
  <c r="C1709" i="1"/>
  <c r="D1709" i="1"/>
  <c r="E1709" i="1"/>
  <c r="F1709" i="1"/>
  <c r="G1709" i="1"/>
  <c r="H1709" i="1" a="1"/>
  <c r="H1709" i="1"/>
  <c r="I1709" i="1"/>
  <c r="B1710" i="1"/>
  <c r="C1710" i="1"/>
  <c r="D1710" i="1"/>
  <c r="E1710" i="1"/>
  <c r="F1710" i="1"/>
  <c r="G1710" i="1"/>
  <c r="H1710" i="1" a="1"/>
  <c r="H1710" i="1"/>
  <c r="I1710" i="1"/>
  <c r="B1711" i="1"/>
  <c r="C1711" i="1"/>
  <c r="D1711" i="1"/>
  <c r="E1711" i="1"/>
  <c r="F1711" i="1"/>
  <c r="G1711" i="1"/>
  <c r="H1711" i="1" a="1"/>
  <c r="H1711" i="1"/>
  <c r="I1711" i="1"/>
  <c r="B1712" i="1"/>
  <c r="C1712" i="1"/>
  <c r="D1712" i="1"/>
  <c r="E1712" i="1"/>
  <c r="F1712" i="1"/>
  <c r="G1712" i="1"/>
  <c r="H1712" i="1" a="1"/>
  <c r="H1712" i="1"/>
  <c r="I1712" i="1"/>
  <c r="B1713" i="1"/>
  <c r="C1713" i="1"/>
  <c r="D1713" i="1"/>
  <c r="E1713" i="1"/>
  <c r="F1713" i="1"/>
  <c r="G1713" i="1"/>
  <c r="H1713" i="1" a="1"/>
  <c r="H1713" i="1"/>
  <c r="I1713" i="1"/>
  <c r="B1714" i="1"/>
  <c r="C1714" i="1"/>
  <c r="D1714" i="1"/>
  <c r="E1714" i="1"/>
  <c r="F1714" i="1"/>
  <c r="G1714" i="1"/>
  <c r="H1714" i="1" a="1"/>
  <c r="H1714" i="1"/>
  <c r="I1714" i="1"/>
  <c r="B1715" i="1"/>
  <c r="C1715" i="1"/>
  <c r="D1715" i="1"/>
  <c r="E1715" i="1"/>
  <c r="F1715" i="1"/>
  <c r="G1715" i="1"/>
  <c r="H1715" i="1" a="1"/>
  <c r="H1715" i="1"/>
  <c r="I1715" i="1"/>
  <c r="B1716" i="1"/>
  <c r="C1716" i="1"/>
  <c r="D1716" i="1"/>
  <c r="E1716" i="1"/>
  <c r="F1716" i="1"/>
  <c r="G1716" i="1"/>
  <c r="H1716" i="1" a="1"/>
  <c r="H1716" i="1"/>
  <c r="I1716" i="1"/>
  <c r="B1717" i="1"/>
  <c r="C1717" i="1"/>
  <c r="D1717" i="1"/>
  <c r="E1717" i="1"/>
  <c r="F1717" i="1"/>
  <c r="G1717" i="1"/>
  <c r="H1717" i="1" a="1"/>
  <c r="H1717" i="1"/>
  <c r="I1717" i="1"/>
  <c r="B1718" i="1"/>
  <c r="C1718" i="1"/>
  <c r="D1718" i="1"/>
  <c r="E1718" i="1"/>
  <c r="F1718" i="1"/>
  <c r="G1718" i="1"/>
  <c r="H1718" i="1" a="1"/>
  <c r="H1718" i="1"/>
  <c r="I1718" i="1"/>
  <c r="B1719" i="1"/>
  <c r="C1719" i="1"/>
  <c r="D1719" i="1"/>
  <c r="E1719" i="1"/>
  <c r="F1719" i="1"/>
  <c r="G1719" i="1"/>
  <c r="H1719" i="1" a="1"/>
  <c r="H1719" i="1"/>
  <c r="I1719" i="1"/>
  <c r="B1720" i="1"/>
  <c r="C1720" i="1"/>
  <c r="D1720" i="1"/>
  <c r="E1720" i="1"/>
  <c r="F1720" i="1"/>
  <c r="G1720" i="1"/>
  <c r="H1720" i="1" a="1"/>
  <c r="H1720" i="1"/>
  <c r="I1720" i="1"/>
  <c r="B1721" i="1"/>
  <c r="C1721" i="1"/>
  <c r="D1721" i="1"/>
  <c r="E1721" i="1"/>
  <c r="F1721" i="1"/>
  <c r="G1721" i="1"/>
  <c r="H1721" i="1" a="1"/>
  <c r="H1721" i="1"/>
  <c r="I1721" i="1"/>
  <c r="B1722" i="1"/>
  <c r="C1722" i="1"/>
  <c r="D1722" i="1"/>
  <c r="E1722" i="1"/>
  <c r="F1722" i="1"/>
  <c r="G1722" i="1"/>
  <c r="H1722" i="1" a="1"/>
  <c r="H1722" i="1"/>
  <c r="I1722" i="1"/>
  <c r="B1723" i="1"/>
  <c r="C1723" i="1"/>
  <c r="D1723" i="1"/>
  <c r="E1723" i="1"/>
  <c r="F1723" i="1"/>
  <c r="G1723" i="1"/>
  <c r="H1723" i="1" a="1"/>
  <c r="H1723" i="1"/>
  <c r="I1723" i="1"/>
  <c r="B1724" i="1"/>
  <c r="C1724" i="1"/>
  <c r="D1724" i="1"/>
  <c r="E1724" i="1"/>
  <c r="F1724" i="1"/>
  <c r="G1724" i="1"/>
  <c r="H1724" i="1" a="1"/>
  <c r="H1724" i="1"/>
  <c r="I1724" i="1"/>
  <c r="B1725" i="1"/>
  <c r="C1725" i="1"/>
  <c r="D1725" i="1"/>
  <c r="E1725" i="1"/>
  <c r="F1725" i="1"/>
  <c r="G1725" i="1"/>
  <c r="H1725" i="1" a="1"/>
  <c r="H1725" i="1"/>
  <c r="I1725" i="1"/>
  <c r="B1726" i="1"/>
  <c r="C1726" i="1"/>
  <c r="D1726" i="1"/>
  <c r="E1726" i="1"/>
  <c r="F1726" i="1"/>
  <c r="G1726" i="1"/>
  <c r="H1726" i="1" a="1"/>
  <c r="H1726" i="1"/>
  <c r="I1726" i="1"/>
  <c r="B1727" i="1"/>
  <c r="C1727" i="1"/>
  <c r="D1727" i="1"/>
  <c r="E1727" i="1"/>
  <c r="F1727" i="1"/>
  <c r="G1727" i="1"/>
  <c r="H1727" i="1" a="1"/>
  <c r="H1727" i="1"/>
  <c r="I1727" i="1"/>
  <c r="B1728" i="1"/>
  <c r="C1728" i="1"/>
  <c r="D1728" i="1"/>
  <c r="E1728" i="1"/>
  <c r="F1728" i="1"/>
  <c r="G1728" i="1"/>
  <c r="H1728" i="1" a="1"/>
  <c r="H1728" i="1"/>
  <c r="I1728" i="1"/>
  <c r="B1729" i="1"/>
  <c r="C1729" i="1"/>
  <c r="D1729" i="1"/>
  <c r="E1729" i="1"/>
  <c r="F1729" i="1"/>
  <c r="G1729" i="1"/>
  <c r="H1729" i="1" a="1"/>
  <c r="H1729" i="1"/>
  <c r="I1729" i="1"/>
  <c r="B1730" i="1"/>
  <c r="C1730" i="1"/>
  <c r="D1730" i="1"/>
  <c r="E1730" i="1"/>
  <c r="F1730" i="1"/>
  <c r="G1730" i="1"/>
  <c r="H1730" i="1" a="1"/>
  <c r="H1730" i="1"/>
  <c r="I1730" i="1"/>
  <c r="B1731" i="1"/>
  <c r="C1731" i="1"/>
  <c r="D1731" i="1"/>
  <c r="E1731" i="1"/>
  <c r="F1731" i="1"/>
  <c r="G1731" i="1"/>
  <c r="H1731" i="1" a="1"/>
  <c r="H1731" i="1"/>
  <c r="I1731" i="1"/>
  <c r="B1732" i="1"/>
  <c r="C1732" i="1"/>
  <c r="D1732" i="1"/>
  <c r="E1732" i="1"/>
  <c r="F1732" i="1"/>
  <c r="G1732" i="1"/>
  <c r="H1732" i="1" a="1"/>
  <c r="H1732" i="1"/>
  <c r="I1732" i="1"/>
  <c r="B1733" i="1"/>
  <c r="C1733" i="1"/>
  <c r="D1733" i="1"/>
  <c r="E1733" i="1"/>
  <c r="F1733" i="1"/>
  <c r="G1733" i="1"/>
  <c r="H1733" i="1" a="1"/>
  <c r="H1733" i="1"/>
  <c r="I1733" i="1"/>
  <c r="B1734" i="1"/>
  <c r="C1734" i="1"/>
  <c r="D1734" i="1"/>
  <c r="E1734" i="1"/>
  <c r="F1734" i="1"/>
  <c r="G1734" i="1"/>
  <c r="H1734" i="1" a="1"/>
  <c r="H1734" i="1"/>
  <c r="I1734" i="1"/>
  <c r="B1735" i="1"/>
  <c r="C1735" i="1"/>
  <c r="D1735" i="1"/>
  <c r="E1735" i="1"/>
  <c r="F1735" i="1"/>
  <c r="G1735" i="1"/>
  <c r="H1735" i="1" a="1"/>
  <c r="H1735" i="1"/>
  <c r="I1735" i="1"/>
  <c r="B1736" i="1"/>
  <c r="C1736" i="1"/>
  <c r="D1736" i="1"/>
  <c r="E1736" i="1"/>
  <c r="F1736" i="1"/>
  <c r="G1736" i="1"/>
  <c r="H1736" i="1" a="1"/>
  <c r="H1736" i="1"/>
  <c r="I1736" i="1"/>
  <c r="B1737" i="1"/>
  <c r="C1737" i="1"/>
  <c r="D1737" i="1"/>
  <c r="E1737" i="1"/>
  <c r="F1737" i="1"/>
  <c r="G1737" i="1"/>
  <c r="H1737" i="1" a="1"/>
  <c r="H1737" i="1"/>
  <c r="I1737" i="1"/>
  <c r="B1738" i="1"/>
  <c r="C1738" i="1"/>
  <c r="D1738" i="1"/>
  <c r="E1738" i="1"/>
  <c r="F1738" i="1"/>
  <c r="G1738" i="1"/>
  <c r="H1738" i="1" a="1"/>
  <c r="H1738" i="1"/>
  <c r="I1738" i="1"/>
  <c r="B1739" i="1"/>
  <c r="C1739" i="1"/>
  <c r="D1739" i="1"/>
  <c r="E1739" i="1"/>
  <c r="F1739" i="1"/>
  <c r="G1739" i="1"/>
  <c r="H1739" i="1" a="1"/>
  <c r="H1739" i="1"/>
  <c r="I1739" i="1"/>
  <c r="B1740" i="1"/>
  <c r="C1740" i="1"/>
  <c r="D1740" i="1"/>
  <c r="E1740" i="1"/>
  <c r="F1740" i="1"/>
  <c r="G1740" i="1"/>
  <c r="H1740" i="1" a="1"/>
  <c r="H1740" i="1"/>
  <c r="I1740" i="1"/>
  <c r="B1741" i="1"/>
  <c r="C1741" i="1"/>
  <c r="D1741" i="1"/>
  <c r="E1741" i="1"/>
  <c r="F1741" i="1"/>
  <c r="G1741" i="1"/>
  <c r="H1741" i="1" a="1"/>
  <c r="H1741" i="1"/>
  <c r="I1741" i="1"/>
  <c r="B1742" i="1"/>
  <c r="C1742" i="1"/>
  <c r="D1742" i="1"/>
  <c r="E1742" i="1"/>
  <c r="F1742" i="1"/>
  <c r="G1742" i="1"/>
  <c r="H1742" i="1" a="1"/>
  <c r="H1742" i="1"/>
  <c r="I1742" i="1"/>
  <c r="B1743" i="1"/>
  <c r="C1743" i="1"/>
  <c r="D1743" i="1"/>
  <c r="E1743" i="1"/>
  <c r="F1743" i="1"/>
  <c r="G1743" i="1"/>
  <c r="H1743" i="1" a="1"/>
  <c r="H1743" i="1"/>
  <c r="I1743" i="1"/>
  <c r="B1744" i="1"/>
  <c r="C1744" i="1"/>
  <c r="D1744" i="1"/>
  <c r="E1744" i="1"/>
  <c r="F1744" i="1"/>
  <c r="G1744" i="1"/>
  <c r="H1744" i="1" a="1"/>
  <c r="H1744" i="1"/>
  <c r="I1744" i="1"/>
  <c r="B1745" i="1"/>
  <c r="C1745" i="1"/>
  <c r="D1745" i="1"/>
  <c r="E1745" i="1"/>
  <c r="F1745" i="1"/>
  <c r="G1745" i="1"/>
  <c r="H1745" i="1" a="1"/>
  <c r="H1745" i="1"/>
  <c r="I1745" i="1"/>
  <c r="B1746" i="1"/>
  <c r="C1746" i="1"/>
  <c r="D1746" i="1"/>
  <c r="E1746" i="1"/>
  <c r="F1746" i="1"/>
  <c r="G1746" i="1"/>
  <c r="H1746" i="1" a="1"/>
  <c r="H1746" i="1"/>
  <c r="I1746" i="1"/>
  <c r="B1747" i="1"/>
  <c r="C1747" i="1"/>
  <c r="D1747" i="1"/>
  <c r="E1747" i="1"/>
  <c r="F1747" i="1"/>
  <c r="G1747" i="1"/>
  <c r="H1747" i="1" a="1"/>
  <c r="H1747" i="1"/>
  <c r="I1747" i="1"/>
  <c r="B1748" i="1"/>
  <c r="C1748" i="1"/>
  <c r="D1748" i="1"/>
  <c r="E1748" i="1"/>
  <c r="F1748" i="1"/>
  <c r="G1748" i="1"/>
  <c r="H1748" i="1" a="1"/>
  <c r="H1748" i="1"/>
  <c r="I1748" i="1"/>
  <c r="B1749" i="1"/>
  <c r="C1749" i="1"/>
  <c r="D1749" i="1"/>
  <c r="E1749" i="1"/>
  <c r="F1749" i="1"/>
  <c r="G1749" i="1"/>
  <c r="H1749" i="1" a="1"/>
  <c r="H1749" i="1"/>
  <c r="I1749" i="1"/>
  <c r="B1750" i="1"/>
  <c r="C1750" i="1"/>
  <c r="D1750" i="1"/>
  <c r="E1750" i="1"/>
  <c r="F1750" i="1"/>
  <c r="G1750" i="1"/>
  <c r="H1750" i="1" a="1"/>
  <c r="H1750" i="1"/>
  <c r="I1750" i="1"/>
  <c r="B1751" i="1"/>
  <c r="C1751" i="1"/>
  <c r="D1751" i="1"/>
  <c r="E1751" i="1"/>
  <c r="F1751" i="1"/>
  <c r="G1751" i="1"/>
  <c r="H1751" i="1" a="1"/>
  <c r="H1751" i="1"/>
  <c r="I1751" i="1"/>
  <c r="B1752" i="1"/>
  <c r="C1752" i="1"/>
  <c r="D1752" i="1"/>
  <c r="E1752" i="1"/>
  <c r="F1752" i="1"/>
  <c r="G1752" i="1"/>
  <c r="H1752" i="1" a="1"/>
  <c r="H1752" i="1"/>
  <c r="I1752" i="1"/>
  <c r="B1753" i="1"/>
  <c r="C1753" i="1"/>
  <c r="D1753" i="1"/>
  <c r="E1753" i="1"/>
  <c r="F1753" i="1"/>
  <c r="G1753" i="1"/>
  <c r="H1753" i="1" a="1"/>
  <c r="H1753" i="1"/>
  <c r="I1753" i="1"/>
  <c r="B1754" i="1"/>
  <c r="C1754" i="1"/>
  <c r="D1754" i="1"/>
  <c r="E1754" i="1"/>
  <c r="F1754" i="1"/>
  <c r="G1754" i="1"/>
  <c r="H1754" i="1" a="1"/>
  <c r="H1754" i="1"/>
  <c r="I1754" i="1"/>
  <c r="B1755" i="1"/>
  <c r="C1755" i="1"/>
  <c r="D1755" i="1"/>
  <c r="E1755" i="1"/>
  <c r="F1755" i="1"/>
  <c r="G1755" i="1"/>
  <c r="H1755" i="1" a="1"/>
  <c r="H1755" i="1"/>
  <c r="I1755" i="1"/>
  <c r="B1756" i="1"/>
  <c r="C1756" i="1"/>
  <c r="D1756" i="1"/>
  <c r="E1756" i="1"/>
  <c r="F1756" i="1"/>
  <c r="G1756" i="1"/>
  <c r="H1756" i="1" a="1"/>
  <c r="H1756" i="1"/>
  <c r="I1756" i="1"/>
  <c r="B1757" i="1"/>
  <c r="C1757" i="1"/>
  <c r="D1757" i="1"/>
  <c r="E1757" i="1"/>
  <c r="F1757" i="1"/>
  <c r="G1757" i="1"/>
  <c r="H1757" i="1" a="1"/>
  <c r="H1757" i="1"/>
  <c r="I1757" i="1"/>
  <c r="B1758" i="1"/>
  <c r="C1758" i="1"/>
  <c r="D1758" i="1"/>
  <c r="E1758" i="1"/>
  <c r="F1758" i="1"/>
  <c r="G1758" i="1"/>
  <c r="H1758" i="1" a="1"/>
  <c r="H1758" i="1"/>
  <c r="I1758" i="1"/>
  <c r="B1759" i="1"/>
  <c r="C1759" i="1"/>
  <c r="D1759" i="1"/>
  <c r="E1759" i="1"/>
  <c r="F1759" i="1"/>
  <c r="G1759" i="1"/>
  <c r="H1759" i="1" a="1"/>
  <c r="H1759" i="1"/>
  <c r="I1759" i="1"/>
  <c r="B1760" i="1"/>
  <c r="C1760" i="1"/>
  <c r="D1760" i="1"/>
  <c r="E1760" i="1"/>
  <c r="F1760" i="1"/>
  <c r="G1760" i="1"/>
  <c r="H1760" i="1" a="1"/>
  <c r="H1760" i="1"/>
  <c r="I1760" i="1"/>
  <c r="B1761" i="1"/>
  <c r="C1761" i="1"/>
  <c r="D1761" i="1"/>
  <c r="E1761" i="1"/>
  <c r="F1761" i="1"/>
  <c r="G1761" i="1"/>
  <c r="H1761" i="1" a="1"/>
  <c r="H1761" i="1"/>
  <c r="I1761" i="1"/>
  <c r="B1762" i="1"/>
  <c r="C1762" i="1"/>
  <c r="D1762" i="1"/>
  <c r="E1762" i="1"/>
  <c r="F1762" i="1"/>
  <c r="G1762" i="1"/>
  <c r="H1762" i="1" a="1"/>
  <c r="H1762" i="1"/>
  <c r="I1762" i="1"/>
  <c r="B1763" i="1"/>
  <c r="C1763" i="1"/>
  <c r="D1763" i="1"/>
  <c r="E1763" i="1"/>
  <c r="F1763" i="1"/>
  <c r="G1763" i="1"/>
  <c r="H1763" i="1" a="1"/>
  <c r="H1763" i="1"/>
  <c r="I1763" i="1"/>
  <c r="B1764" i="1"/>
  <c r="C1764" i="1"/>
  <c r="D1764" i="1"/>
  <c r="E1764" i="1"/>
  <c r="F1764" i="1"/>
  <c r="G1764" i="1"/>
  <c r="H1764" i="1" a="1"/>
  <c r="H1764" i="1"/>
  <c r="I1764" i="1"/>
  <c r="B1765" i="1"/>
  <c r="C1765" i="1"/>
  <c r="D1765" i="1"/>
  <c r="E1765" i="1"/>
  <c r="F1765" i="1"/>
  <c r="G1765" i="1"/>
  <c r="H1765" i="1" a="1"/>
  <c r="H1765" i="1"/>
  <c r="I1765" i="1"/>
  <c r="B1766" i="1"/>
  <c r="C1766" i="1"/>
  <c r="D1766" i="1"/>
  <c r="E1766" i="1"/>
  <c r="F1766" i="1"/>
  <c r="G1766" i="1"/>
  <c r="H1766" i="1" a="1"/>
  <c r="H1766" i="1"/>
  <c r="I1766" i="1"/>
  <c r="B1767" i="1"/>
  <c r="C1767" i="1"/>
  <c r="D1767" i="1"/>
  <c r="E1767" i="1"/>
  <c r="F1767" i="1"/>
  <c r="G1767" i="1"/>
  <c r="H1767" i="1" a="1"/>
  <c r="H1767" i="1"/>
  <c r="I1767" i="1"/>
  <c r="B1768" i="1"/>
  <c r="C1768" i="1"/>
  <c r="D1768" i="1"/>
  <c r="E1768" i="1"/>
  <c r="F1768" i="1"/>
  <c r="G1768" i="1"/>
  <c r="H1768" i="1" a="1"/>
  <c r="H1768" i="1"/>
  <c r="I1768" i="1"/>
  <c r="B1769" i="1"/>
  <c r="C1769" i="1"/>
  <c r="D1769" i="1"/>
  <c r="E1769" i="1"/>
  <c r="F1769" i="1"/>
  <c r="G1769" i="1"/>
  <c r="H1769" i="1" a="1"/>
  <c r="H1769" i="1"/>
  <c r="I1769" i="1"/>
  <c r="B1770" i="1"/>
  <c r="C1770" i="1"/>
  <c r="D1770" i="1"/>
  <c r="E1770" i="1"/>
  <c r="F1770" i="1"/>
  <c r="G1770" i="1"/>
  <c r="H1770" i="1" a="1"/>
  <c r="H1770" i="1"/>
  <c r="I1770" i="1"/>
  <c r="B1771" i="1"/>
  <c r="C1771" i="1"/>
  <c r="D1771" i="1"/>
  <c r="E1771" i="1"/>
  <c r="F1771" i="1"/>
  <c r="G1771" i="1"/>
  <c r="H1771" i="1" a="1"/>
  <c r="H1771" i="1"/>
  <c r="I1771" i="1"/>
  <c r="B1772" i="1"/>
  <c r="C1772" i="1"/>
  <c r="D1772" i="1"/>
  <c r="E1772" i="1"/>
  <c r="F1772" i="1"/>
  <c r="G1772" i="1"/>
  <c r="H1772" i="1" a="1"/>
  <c r="H1772" i="1"/>
  <c r="I1772" i="1"/>
  <c r="B1773" i="1"/>
  <c r="C1773" i="1"/>
  <c r="D1773" i="1"/>
  <c r="E1773" i="1"/>
  <c r="F1773" i="1"/>
  <c r="G1773" i="1"/>
  <c r="H1773" i="1" a="1"/>
  <c r="H1773" i="1"/>
  <c r="I1773" i="1"/>
  <c r="B1774" i="1"/>
  <c r="C1774" i="1"/>
  <c r="D1774" i="1"/>
  <c r="E1774" i="1"/>
  <c r="F1774" i="1"/>
  <c r="G1774" i="1"/>
  <c r="H1774" i="1" a="1"/>
  <c r="H1774" i="1"/>
  <c r="I1774" i="1"/>
  <c r="B1775" i="1"/>
  <c r="C1775" i="1"/>
  <c r="D1775" i="1"/>
  <c r="E1775" i="1"/>
  <c r="F1775" i="1"/>
  <c r="G1775" i="1"/>
  <c r="H1775" i="1" a="1"/>
  <c r="H1775" i="1"/>
  <c r="I1775" i="1"/>
  <c r="B1776" i="1"/>
  <c r="C1776" i="1"/>
  <c r="D1776" i="1"/>
  <c r="E1776" i="1"/>
  <c r="F1776" i="1"/>
  <c r="G1776" i="1"/>
  <c r="H1776" i="1" a="1"/>
  <c r="H1776" i="1"/>
  <c r="I1776" i="1"/>
  <c r="B1777" i="1"/>
  <c r="C1777" i="1"/>
  <c r="D1777" i="1"/>
  <c r="E1777" i="1"/>
  <c r="F1777" i="1"/>
  <c r="G1777" i="1"/>
  <c r="H1777" i="1" a="1"/>
  <c r="H1777" i="1"/>
  <c r="I1777" i="1"/>
  <c r="B1778" i="1"/>
  <c r="C1778" i="1"/>
  <c r="D1778" i="1"/>
  <c r="E1778" i="1"/>
  <c r="F1778" i="1"/>
  <c r="G1778" i="1"/>
  <c r="H1778" i="1" a="1"/>
  <c r="H1778" i="1"/>
  <c r="I1778" i="1"/>
  <c r="B1779" i="1"/>
  <c r="C1779" i="1"/>
  <c r="D1779" i="1"/>
  <c r="E1779" i="1"/>
  <c r="F1779" i="1"/>
  <c r="G1779" i="1"/>
  <c r="H1779" i="1" a="1"/>
  <c r="H1779" i="1"/>
  <c r="I1779" i="1"/>
  <c r="B1780" i="1"/>
  <c r="C1780" i="1"/>
  <c r="D1780" i="1"/>
  <c r="E1780" i="1"/>
  <c r="F1780" i="1"/>
  <c r="G1780" i="1"/>
  <c r="H1780" i="1" a="1"/>
  <c r="H1780" i="1"/>
  <c r="I1780" i="1"/>
  <c r="B1781" i="1"/>
  <c r="C1781" i="1"/>
  <c r="D1781" i="1"/>
  <c r="E1781" i="1"/>
  <c r="F1781" i="1"/>
  <c r="G1781" i="1"/>
  <c r="H1781" i="1" a="1"/>
  <c r="H1781" i="1"/>
  <c r="I1781" i="1"/>
  <c r="B1782" i="1"/>
  <c r="C1782" i="1"/>
  <c r="D1782" i="1"/>
  <c r="E1782" i="1"/>
  <c r="F1782" i="1"/>
  <c r="G1782" i="1"/>
  <c r="H1782" i="1" a="1"/>
  <c r="H1782" i="1"/>
  <c r="I1782" i="1"/>
  <c r="B1783" i="1"/>
  <c r="C1783" i="1"/>
  <c r="D1783" i="1"/>
  <c r="E1783" i="1"/>
  <c r="F1783" i="1"/>
  <c r="G1783" i="1"/>
  <c r="H1783" i="1" a="1"/>
  <c r="H1783" i="1"/>
  <c r="I1783" i="1"/>
  <c r="B1784" i="1"/>
  <c r="C1784" i="1"/>
  <c r="D1784" i="1"/>
  <c r="E1784" i="1"/>
  <c r="F1784" i="1"/>
  <c r="G1784" i="1"/>
  <c r="H1784" i="1" a="1"/>
  <c r="H1784" i="1"/>
  <c r="I1784" i="1"/>
  <c r="B1785" i="1"/>
  <c r="C1785" i="1"/>
  <c r="D1785" i="1"/>
  <c r="E1785" i="1"/>
  <c r="F1785" i="1"/>
  <c r="G1785" i="1"/>
  <c r="H1785" i="1" a="1"/>
  <c r="H1785" i="1"/>
  <c r="I1785" i="1"/>
  <c r="B1786" i="1"/>
  <c r="C1786" i="1"/>
  <c r="D1786" i="1"/>
  <c r="E1786" i="1"/>
  <c r="F1786" i="1"/>
  <c r="G1786" i="1"/>
  <c r="H1786" i="1" a="1"/>
  <c r="H1786" i="1"/>
  <c r="I1786" i="1"/>
  <c r="B1787" i="1"/>
  <c r="C1787" i="1"/>
  <c r="D1787" i="1"/>
  <c r="E1787" i="1"/>
  <c r="F1787" i="1"/>
  <c r="G1787" i="1"/>
  <c r="H1787" i="1" a="1"/>
  <c r="H1787" i="1"/>
  <c r="I1787" i="1"/>
  <c r="B1788" i="1"/>
  <c r="C1788" i="1"/>
  <c r="D1788" i="1"/>
  <c r="E1788" i="1"/>
  <c r="F1788" i="1"/>
  <c r="G1788" i="1"/>
  <c r="H1788" i="1" a="1"/>
  <c r="H1788" i="1"/>
  <c r="I1788" i="1"/>
  <c r="B1789" i="1"/>
  <c r="C1789" i="1"/>
  <c r="D1789" i="1"/>
  <c r="E1789" i="1"/>
  <c r="F1789" i="1"/>
  <c r="G1789" i="1"/>
  <c r="H1789" i="1" a="1"/>
  <c r="H1789" i="1"/>
  <c r="I1789" i="1"/>
  <c r="B1790" i="1"/>
  <c r="C1790" i="1"/>
  <c r="D1790" i="1"/>
  <c r="E1790" i="1"/>
  <c r="F1790" i="1"/>
  <c r="G1790" i="1"/>
  <c r="H1790" i="1" a="1"/>
  <c r="H1790" i="1"/>
  <c r="I1790" i="1"/>
  <c r="B1791" i="1"/>
  <c r="C1791" i="1"/>
  <c r="D1791" i="1"/>
  <c r="E1791" i="1"/>
  <c r="F1791" i="1"/>
  <c r="G1791" i="1"/>
  <c r="H1791" i="1" a="1"/>
  <c r="H1791" i="1"/>
  <c r="I1791" i="1"/>
  <c r="B1792" i="1"/>
  <c r="C1792" i="1"/>
  <c r="D1792" i="1"/>
  <c r="E1792" i="1"/>
  <c r="F1792" i="1"/>
  <c r="G1792" i="1"/>
  <c r="H1792" i="1" a="1"/>
  <c r="H1792" i="1"/>
  <c r="I1792" i="1"/>
  <c r="B1793" i="1"/>
  <c r="C1793" i="1"/>
  <c r="D1793" i="1"/>
  <c r="E1793" i="1"/>
  <c r="F1793" i="1"/>
  <c r="G1793" i="1"/>
  <c r="H1793" i="1" a="1"/>
  <c r="H1793" i="1"/>
  <c r="I1793" i="1"/>
  <c r="B1794" i="1"/>
  <c r="C1794" i="1"/>
  <c r="D1794" i="1"/>
  <c r="E1794" i="1"/>
  <c r="F1794" i="1"/>
  <c r="G1794" i="1"/>
  <c r="H1794" i="1" a="1"/>
  <c r="H1794" i="1"/>
  <c r="I1794" i="1"/>
  <c r="B1795" i="1"/>
  <c r="C1795" i="1"/>
  <c r="D1795" i="1"/>
  <c r="E1795" i="1"/>
  <c r="F1795" i="1"/>
  <c r="G1795" i="1"/>
  <c r="H1795" i="1" a="1"/>
  <c r="H1795" i="1"/>
  <c r="I1795" i="1"/>
  <c r="B1796" i="1"/>
  <c r="C1796" i="1"/>
  <c r="D1796" i="1"/>
  <c r="E1796" i="1"/>
  <c r="F1796" i="1"/>
  <c r="G1796" i="1"/>
  <c r="H1796" i="1" a="1"/>
  <c r="H1796" i="1"/>
  <c r="I1796" i="1"/>
  <c r="B1797" i="1"/>
  <c r="C1797" i="1"/>
  <c r="D1797" i="1"/>
  <c r="E1797" i="1"/>
  <c r="F1797" i="1"/>
  <c r="G1797" i="1"/>
  <c r="H1797" i="1" a="1"/>
  <c r="H1797" i="1"/>
  <c r="I1797" i="1"/>
  <c r="B1798" i="1"/>
  <c r="C1798" i="1"/>
  <c r="D1798" i="1"/>
  <c r="E1798" i="1"/>
  <c r="F1798" i="1"/>
  <c r="G1798" i="1"/>
  <c r="H1798" i="1" a="1"/>
  <c r="H1798" i="1"/>
  <c r="I1798" i="1"/>
  <c r="B1799" i="1"/>
  <c r="C1799" i="1"/>
  <c r="D1799" i="1"/>
  <c r="E1799" i="1"/>
  <c r="F1799" i="1"/>
  <c r="G1799" i="1"/>
  <c r="H1799" i="1" a="1"/>
  <c r="H1799" i="1"/>
  <c r="I1799" i="1"/>
  <c r="B1800" i="1"/>
  <c r="C1800" i="1"/>
  <c r="D1800" i="1"/>
  <c r="E1800" i="1"/>
  <c r="F1800" i="1"/>
  <c r="G1800" i="1"/>
  <c r="H1800" i="1" a="1"/>
  <c r="H1800" i="1"/>
  <c r="I1800" i="1"/>
  <c r="B1801" i="1"/>
  <c r="C1801" i="1"/>
  <c r="D1801" i="1"/>
  <c r="E1801" i="1"/>
  <c r="F1801" i="1"/>
  <c r="G1801" i="1"/>
  <c r="H1801" i="1" a="1"/>
  <c r="H1801" i="1"/>
  <c r="I1801" i="1"/>
  <c r="B1802" i="1"/>
  <c r="C1802" i="1"/>
  <c r="D1802" i="1"/>
  <c r="E1802" i="1"/>
  <c r="F1802" i="1"/>
  <c r="G1802" i="1"/>
  <c r="H1802" i="1" a="1"/>
  <c r="H1802" i="1"/>
  <c r="I1802" i="1"/>
  <c r="B1803" i="1"/>
  <c r="C1803" i="1"/>
  <c r="D1803" i="1"/>
  <c r="E1803" i="1"/>
  <c r="F1803" i="1"/>
  <c r="G1803" i="1"/>
  <c r="H1803" i="1" a="1"/>
  <c r="H1803" i="1"/>
  <c r="I1803" i="1"/>
  <c r="B1804" i="1"/>
  <c r="C1804" i="1"/>
  <c r="D1804" i="1"/>
  <c r="E1804" i="1"/>
  <c r="F1804" i="1"/>
  <c r="G1804" i="1"/>
  <c r="H1804" i="1" a="1"/>
  <c r="H1804" i="1"/>
  <c r="I1804" i="1"/>
  <c r="B1805" i="1"/>
  <c r="C1805" i="1"/>
  <c r="D1805" i="1"/>
  <c r="E1805" i="1"/>
  <c r="F1805" i="1"/>
  <c r="G1805" i="1"/>
  <c r="H1805" i="1" a="1"/>
  <c r="H1805" i="1"/>
  <c r="I1805" i="1"/>
  <c r="B1806" i="1"/>
  <c r="C1806" i="1"/>
  <c r="D1806" i="1"/>
  <c r="E1806" i="1"/>
  <c r="F1806" i="1"/>
  <c r="G1806" i="1"/>
  <c r="H1806" i="1" a="1"/>
  <c r="H1806" i="1"/>
  <c r="I1806" i="1"/>
  <c r="B1807" i="1"/>
  <c r="C1807" i="1"/>
  <c r="D1807" i="1"/>
  <c r="E1807" i="1"/>
  <c r="F1807" i="1"/>
  <c r="G1807" i="1"/>
  <c r="H1807" i="1" a="1"/>
  <c r="H1807" i="1"/>
  <c r="I1807" i="1"/>
  <c r="B1808" i="1"/>
  <c r="C1808" i="1"/>
  <c r="D1808" i="1"/>
  <c r="E1808" i="1"/>
  <c r="F1808" i="1"/>
  <c r="G1808" i="1"/>
  <c r="H1808" i="1" a="1"/>
  <c r="H1808" i="1"/>
  <c r="I1808" i="1"/>
  <c r="B1809" i="1"/>
  <c r="C1809" i="1"/>
  <c r="D1809" i="1"/>
  <c r="E1809" i="1"/>
  <c r="F1809" i="1"/>
  <c r="G1809" i="1"/>
  <c r="H1809" i="1" a="1"/>
  <c r="H1809" i="1"/>
  <c r="I1809" i="1"/>
  <c r="B1810" i="1"/>
  <c r="C1810" i="1"/>
  <c r="D1810" i="1"/>
  <c r="E1810" i="1"/>
  <c r="F1810" i="1"/>
  <c r="G1810" i="1"/>
  <c r="H1810" i="1" a="1"/>
  <c r="H1810" i="1"/>
  <c r="I1810" i="1"/>
  <c r="B1811" i="1"/>
  <c r="C1811" i="1"/>
  <c r="D1811" i="1"/>
  <c r="E1811" i="1"/>
  <c r="F1811" i="1"/>
  <c r="G1811" i="1"/>
  <c r="H1811" i="1" a="1"/>
  <c r="H1811" i="1"/>
  <c r="I1811" i="1"/>
  <c r="B1812" i="1"/>
  <c r="C1812" i="1"/>
  <c r="D1812" i="1"/>
  <c r="E1812" i="1"/>
  <c r="F1812" i="1"/>
  <c r="G1812" i="1"/>
  <c r="H1812" i="1" a="1"/>
  <c r="H1812" i="1"/>
  <c r="I1812" i="1"/>
  <c r="B1813" i="1"/>
  <c r="C1813" i="1"/>
  <c r="D1813" i="1"/>
  <c r="E1813" i="1"/>
  <c r="F1813" i="1"/>
  <c r="G1813" i="1"/>
  <c r="H1813" i="1" a="1"/>
  <c r="H1813" i="1"/>
  <c r="I1813" i="1"/>
  <c r="B1814" i="1"/>
  <c r="C1814" i="1"/>
  <c r="D1814" i="1"/>
  <c r="E1814" i="1"/>
  <c r="F1814" i="1"/>
  <c r="G1814" i="1"/>
  <c r="H1814" i="1" a="1"/>
  <c r="H1814" i="1"/>
  <c r="I1814" i="1"/>
  <c r="B1815" i="1"/>
  <c r="C1815" i="1"/>
  <c r="D1815" i="1"/>
  <c r="E1815" i="1"/>
  <c r="F1815" i="1"/>
  <c r="G1815" i="1"/>
  <c r="H1815" i="1" a="1"/>
  <c r="H1815" i="1"/>
  <c r="I1815" i="1"/>
  <c r="B1816" i="1"/>
  <c r="C1816" i="1"/>
  <c r="D1816" i="1"/>
  <c r="E1816" i="1"/>
  <c r="F1816" i="1"/>
  <c r="G1816" i="1"/>
  <c r="H1816" i="1" a="1"/>
  <c r="H1816" i="1"/>
  <c r="I1816" i="1"/>
  <c r="B1817" i="1"/>
  <c r="C1817" i="1"/>
  <c r="D1817" i="1"/>
  <c r="E1817" i="1"/>
  <c r="F1817" i="1"/>
  <c r="G1817" i="1"/>
  <c r="H1817" i="1" a="1"/>
  <c r="H1817" i="1"/>
  <c r="I1817" i="1"/>
  <c r="B1818" i="1"/>
  <c r="C1818" i="1"/>
  <c r="D1818" i="1"/>
  <c r="E1818" i="1"/>
  <c r="F1818" i="1"/>
  <c r="G1818" i="1"/>
  <c r="H1818" i="1" a="1"/>
  <c r="H1818" i="1"/>
  <c r="I1818" i="1"/>
  <c r="B1819" i="1"/>
  <c r="C1819" i="1"/>
  <c r="D1819" i="1"/>
  <c r="E1819" i="1"/>
  <c r="F1819" i="1"/>
  <c r="G1819" i="1"/>
  <c r="H1819" i="1" a="1"/>
  <c r="H1819" i="1"/>
  <c r="I1819" i="1"/>
  <c r="B1820" i="1"/>
  <c r="C1820" i="1"/>
  <c r="D1820" i="1"/>
  <c r="E1820" i="1"/>
  <c r="F1820" i="1"/>
  <c r="G1820" i="1"/>
  <c r="H1820" i="1" a="1"/>
  <c r="H1820" i="1"/>
  <c r="I1820" i="1"/>
  <c r="B1821" i="1"/>
  <c r="C1821" i="1"/>
  <c r="D1821" i="1"/>
  <c r="E1821" i="1"/>
  <c r="F1821" i="1"/>
  <c r="G1821" i="1"/>
  <c r="H1821" i="1" a="1"/>
  <c r="H1821" i="1"/>
  <c r="I1821" i="1"/>
  <c r="B1822" i="1"/>
  <c r="C1822" i="1"/>
  <c r="D1822" i="1"/>
  <c r="E1822" i="1"/>
  <c r="F1822" i="1"/>
  <c r="G1822" i="1"/>
  <c r="H1822" i="1" a="1"/>
  <c r="H1822" i="1"/>
  <c r="I1822" i="1"/>
  <c r="B1823" i="1"/>
  <c r="C1823" i="1"/>
  <c r="D1823" i="1"/>
  <c r="E1823" i="1"/>
  <c r="F1823" i="1"/>
  <c r="G1823" i="1"/>
  <c r="H1823" i="1" a="1"/>
  <c r="H1823" i="1"/>
  <c r="I1823" i="1"/>
  <c r="B1824" i="1"/>
  <c r="C1824" i="1"/>
  <c r="D1824" i="1"/>
  <c r="E1824" i="1"/>
  <c r="F1824" i="1"/>
  <c r="G1824" i="1"/>
  <c r="H1824" i="1" a="1"/>
  <c r="H1824" i="1"/>
  <c r="I1824" i="1"/>
  <c r="B1825" i="1"/>
  <c r="C1825" i="1"/>
  <c r="D1825" i="1"/>
  <c r="E1825" i="1"/>
  <c r="F1825" i="1"/>
  <c r="G1825" i="1"/>
  <c r="H1825" i="1" a="1"/>
  <c r="H1825" i="1"/>
  <c r="I1825" i="1"/>
  <c r="B1826" i="1"/>
  <c r="C1826" i="1"/>
  <c r="D1826" i="1"/>
  <c r="E1826" i="1"/>
  <c r="F1826" i="1"/>
  <c r="G1826" i="1"/>
  <c r="H1826" i="1" a="1"/>
  <c r="H1826" i="1"/>
  <c r="I1826" i="1"/>
  <c r="B1827" i="1"/>
  <c r="C1827" i="1"/>
  <c r="D1827" i="1"/>
  <c r="E1827" i="1"/>
  <c r="F1827" i="1"/>
  <c r="G1827" i="1"/>
  <c r="H1827" i="1" a="1"/>
  <c r="H1827" i="1"/>
  <c r="I1827" i="1"/>
  <c r="B1828" i="1"/>
  <c r="C1828" i="1"/>
  <c r="D1828" i="1"/>
  <c r="E1828" i="1"/>
  <c r="F1828" i="1"/>
  <c r="G1828" i="1"/>
  <c r="H1828" i="1" a="1"/>
  <c r="H1828" i="1"/>
  <c r="I1828" i="1"/>
  <c r="B1829" i="1"/>
  <c r="C1829" i="1"/>
  <c r="D1829" i="1"/>
  <c r="E1829" i="1"/>
  <c r="F1829" i="1"/>
  <c r="G1829" i="1"/>
  <c r="H1829" i="1" a="1"/>
  <c r="H1829" i="1"/>
  <c r="I1829" i="1"/>
  <c r="B1830" i="1"/>
  <c r="C1830" i="1"/>
  <c r="D1830" i="1"/>
  <c r="E1830" i="1"/>
  <c r="F1830" i="1"/>
  <c r="G1830" i="1"/>
  <c r="H1830" i="1" a="1"/>
  <c r="H1830" i="1"/>
  <c r="I1830" i="1"/>
  <c r="B1831" i="1"/>
  <c r="C1831" i="1"/>
  <c r="D1831" i="1"/>
  <c r="E1831" i="1"/>
  <c r="F1831" i="1"/>
  <c r="G1831" i="1"/>
  <c r="H1831" i="1" a="1"/>
  <c r="H1831" i="1"/>
  <c r="I1831" i="1"/>
  <c r="B1832" i="1"/>
  <c r="C1832" i="1"/>
  <c r="D1832" i="1"/>
  <c r="E1832" i="1"/>
  <c r="F1832" i="1"/>
  <c r="G1832" i="1"/>
  <c r="H1832" i="1" a="1"/>
  <c r="H1832" i="1"/>
  <c r="I1832" i="1"/>
  <c r="B1833" i="1"/>
  <c r="C1833" i="1"/>
  <c r="D1833" i="1"/>
  <c r="E1833" i="1"/>
  <c r="F1833" i="1"/>
  <c r="G1833" i="1"/>
  <c r="H1833" i="1" a="1"/>
  <c r="H1833" i="1"/>
  <c r="I1833" i="1"/>
  <c r="B1834" i="1"/>
  <c r="C1834" i="1"/>
  <c r="D1834" i="1"/>
  <c r="E1834" i="1"/>
  <c r="F1834" i="1"/>
  <c r="G1834" i="1"/>
  <c r="H1834" i="1" a="1"/>
  <c r="H1834" i="1"/>
  <c r="I1834" i="1"/>
  <c r="B1835" i="1"/>
  <c r="C1835" i="1"/>
  <c r="D1835" i="1"/>
  <c r="E1835" i="1"/>
  <c r="F1835" i="1"/>
  <c r="G1835" i="1"/>
  <c r="H1835" i="1" a="1"/>
  <c r="H1835" i="1"/>
  <c r="I1835" i="1"/>
  <c r="B1836" i="1"/>
  <c r="C1836" i="1"/>
  <c r="D1836" i="1"/>
  <c r="E1836" i="1"/>
  <c r="F1836" i="1"/>
  <c r="G1836" i="1"/>
  <c r="H1836" i="1" a="1"/>
  <c r="H1836" i="1"/>
  <c r="I1836" i="1"/>
  <c r="B1837" i="1"/>
  <c r="C1837" i="1"/>
  <c r="D1837" i="1"/>
  <c r="E1837" i="1"/>
  <c r="F1837" i="1"/>
  <c r="G1837" i="1"/>
  <c r="H1837" i="1" a="1"/>
  <c r="H1837" i="1"/>
  <c r="I1837" i="1"/>
  <c r="B1838" i="1"/>
  <c r="C1838" i="1"/>
  <c r="D1838" i="1"/>
  <c r="E1838" i="1"/>
  <c r="F1838" i="1"/>
  <c r="G1838" i="1"/>
  <c r="H1838" i="1" a="1"/>
  <c r="H1838" i="1"/>
  <c r="I1838" i="1"/>
  <c r="B1839" i="1"/>
  <c r="C1839" i="1"/>
  <c r="D1839" i="1"/>
  <c r="E1839" i="1"/>
  <c r="F1839" i="1"/>
  <c r="G1839" i="1"/>
  <c r="H1839" i="1" a="1"/>
  <c r="H1839" i="1"/>
  <c r="I1839" i="1"/>
  <c r="B1840" i="1"/>
  <c r="C1840" i="1"/>
  <c r="D1840" i="1"/>
  <c r="E1840" i="1"/>
  <c r="F1840" i="1"/>
  <c r="G1840" i="1"/>
  <c r="H1840" i="1" a="1"/>
  <c r="H1840" i="1"/>
  <c r="I1840" i="1"/>
  <c r="B1841" i="1"/>
  <c r="C1841" i="1"/>
  <c r="D1841" i="1"/>
  <c r="E1841" i="1"/>
  <c r="F1841" i="1"/>
  <c r="G1841" i="1"/>
  <c r="H1841" i="1" a="1"/>
  <c r="H1841" i="1"/>
  <c r="I1841" i="1"/>
  <c r="B1842" i="1"/>
  <c r="C1842" i="1"/>
  <c r="D1842" i="1"/>
  <c r="E1842" i="1"/>
  <c r="F1842" i="1"/>
  <c r="G1842" i="1"/>
  <c r="H1842" i="1" a="1"/>
  <c r="H1842" i="1"/>
  <c r="I1842" i="1"/>
  <c r="B1843" i="1"/>
  <c r="C1843" i="1"/>
  <c r="D1843" i="1"/>
  <c r="E1843" i="1"/>
  <c r="F1843" i="1"/>
  <c r="G1843" i="1"/>
  <c r="H1843" i="1" a="1"/>
  <c r="H1843" i="1"/>
  <c r="I1843" i="1"/>
  <c r="B1844" i="1"/>
  <c r="C1844" i="1"/>
  <c r="D1844" i="1"/>
  <c r="E1844" i="1"/>
  <c r="F1844" i="1"/>
  <c r="G1844" i="1"/>
  <c r="H1844" i="1" a="1"/>
  <c r="H1844" i="1"/>
  <c r="I1844" i="1"/>
  <c r="B1845" i="1"/>
  <c r="C1845" i="1"/>
  <c r="D1845" i="1"/>
  <c r="E1845" i="1"/>
  <c r="F1845" i="1"/>
  <c r="G1845" i="1"/>
  <c r="H1845" i="1" a="1"/>
  <c r="H1845" i="1"/>
  <c r="I1845" i="1"/>
  <c r="B1846" i="1"/>
  <c r="C1846" i="1"/>
  <c r="D1846" i="1"/>
  <c r="E1846" i="1"/>
  <c r="F1846" i="1"/>
  <c r="G1846" i="1"/>
  <c r="H1846" i="1" a="1"/>
  <c r="H1846" i="1"/>
  <c r="I1846" i="1"/>
  <c r="B1847" i="1"/>
  <c r="C1847" i="1"/>
  <c r="D1847" i="1"/>
  <c r="E1847" i="1"/>
  <c r="F1847" i="1"/>
  <c r="G1847" i="1"/>
  <c r="H1847" i="1" a="1"/>
  <c r="H1847" i="1"/>
  <c r="I1847" i="1"/>
  <c r="B1848" i="1"/>
  <c r="C1848" i="1"/>
  <c r="D1848" i="1"/>
  <c r="E1848" i="1"/>
  <c r="F1848" i="1"/>
  <c r="G1848" i="1"/>
  <c r="H1848" i="1" a="1"/>
  <c r="H1848" i="1"/>
  <c r="I1848" i="1"/>
  <c r="B1849" i="1"/>
  <c r="C1849" i="1"/>
  <c r="D1849" i="1"/>
  <c r="E1849" i="1"/>
  <c r="F1849" i="1"/>
  <c r="G1849" i="1"/>
  <c r="H1849" i="1" a="1"/>
  <c r="H1849" i="1"/>
  <c r="I1849" i="1"/>
  <c r="B1850" i="1"/>
  <c r="C1850" i="1"/>
  <c r="D1850" i="1"/>
  <c r="E1850" i="1"/>
  <c r="F1850" i="1"/>
  <c r="G1850" i="1"/>
  <c r="H1850" i="1" a="1"/>
  <c r="H1850" i="1"/>
  <c r="I1850" i="1"/>
  <c r="B1851" i="1"/>
  <c r="C1851" i="1"/>
  <c r="D1851" i="1"/>
  <c r="E1851" i="1"/>
  <c r="F1851" i="1"/>
  <c r="G1851" i="1"/>
  <c r="H1851" i="1" a="1"/>
  <c r="H1851" i="1"/>
  <c r="I1851" i="1"/>
  <c r="B1852" i="1"/>
  <c r="C1852" i="1"/>
  <c r="D1852" i="1"/>
  <c r="E1852" i="1"/>
  <c r="F1852" i="1"/>
  <c r="G1852" i="1"/>
  <c r="H1852" i="1" a="1"/>
  <c r="H1852" i="1"/>
  <c r="I1852" i="1"/>
  <c r="B1853" i="1"/>
  <c r="C1853" i="1"/>
  <c r="D1853" i="1"/>
  <c r="E1853" i="1"/>
  <c r="F1853" i="1"/>
  <c r="G1853" i="1"/>
  <c r="H1853" i="1" a="1"/>
  <c r="H1853" i="1"/>
  <c r="I1853" i="1"/>
  <c r="B1854" i="1"/>
  <c r="C1854" i="1"/>
  <c r="D1854" i="1"/>
  <c r="E1854" i="1"/>
  <c r="F1854" i="1"/>
  <c r="G1854" i="1"/>
  <c r="H1854" i="1" a="1"/>
  <c r="H1854" i="1"/>
  <c r="I1854" i="1"/>
  <c r="B1855" i="1"/>
  <c r="C1855" i="1"/>
  <c r="D1855" i="1"/>
  <c r="E1855" i="1"/>
  <c r="F1855" i="1"/>
  <c r="G1855" i="1"/>
  <c r="H1855" i="1" a="1"/>
  <c r="H1855" i="1"/>
  <c r="I1855" i="1"/>
  <c r="B1856" i="1"/>
  <c r="C1856" i="1"/>
  <c r="D1856" i="1"/>
  <c r="E1856" i="1"/>
  <c r="F1856" i="1"/>
  <c r="G1856" i="1"/>
  <c r="H1856" i="1" a="1"/>
  <c r="H1856" i="1"/>
  <c r="I1856" i="1"/>
  <c r="B1857" i="1"/>
  <c r="C1857" i="1"/>
  <c r="D1857" i="1"/>
  <c r="E1857" i="1"/>
  <c r="F1857" i="1"/>
  <c r="G1857" i="1"/>
  <c r="H1857" i="1" a="1"/>
  <c r="H1857" i="1"/>
  <c r="I1857" i="1"/>
  <c r="B1858" i="1"/>
  <c r="C1858" i="1"/>
  <c r="D1858" i="1"/>
  <c r="E1858" i="1"/>
  <c r="F1858" i="1"/>
  <c r="G1858" i="1"/>
  <c r="H1858" i="1" a="1"/>
  <c r="H1858" i="1"/>
  <c r="I1858" i="1"/>
  <c r="B1859" i="1"/>
  <c r="C1859" i="1"/>
  <c r="D1859" i="1"/>
  <c r="E1859" i="1"/>
  <c r="F1859" i="1"/>
  <c r="G1859" i="1"/>
  <c r="H1859" i="1" a="1"/>
  <c r="H1859" i="1"/>
  <c r="I1859" i="1"/>
  <c r="B1860" i="1"/>
  <c r="C1860" i="1"/>
  <c r="D1860" i="1"/>
  <c r="E1860" i="1"/>
  <c r="F1860" i="1"/>
  <c r="G1860" i="1"/>
  <c r="H1860" i="1" a="1"/>
  <c r="H1860" i="1"/>
  <c r="I1860" i="1"/>
  <c r="B1861" i="1"/>
  <c r="C1861" i="1"/>
  <c r="D1861" i="1"/>
  <c r="E1861" i="1"/>
  <c r="F1861" i="1"/>
  <c r="G1861" i="1"/>
  <c r="H1861" i="1" a="1"/>
  <c r="H1861" i="1"/>
  <c r="I1861" i="1"/>
  <c r="B1862" i="1"/>
  <c r="C1862" i="1"/>
  <c r="D1862" i="1"/>
  <c r="E1862" i="1"/>
  <c r="F1862" i="1"/>
  <c r="G1862" i="1"/>
  <c r="H1862" i="1" a="1"/>
  <c r="H1862" i="1"/>
  <c r="I1862" i="1"/>
  <c r="B1863" i="1"/>
  <c r="C1863" i="1"/>
  <c r="D1863" i="1"/>
  <c r="E1863" i="1"/>
  <c r="F1863" i="1"/>
  <c r="G1863" i="1"/>
  <c r="H1863" i="1" a="1"/>
  <c r="H1863" i="1"/>
  <c r="I1863" i="1"/>
  <c r="B1864" i="1"/>
  <c r="C1864" i="1"/>
  <c r="D1864" i="1"/>
  <c r="E1864" i="1"/>
  <c r="F1864" i="1"/>
  <c r="G1864" i="1"/>
  <c r="H1864" i="1" a="1"/>
  <c r="H1864" i="1"/>
  <c r="I1864" i="1"/>
  <c r="B1865" i="1"/>
  <c r="C1865" i="1"/>
  <c r="D1865" i="1"/>
  <c r="E1865" i="1"/>
  <c r="F1865" i="1"/>
  <c r="G1865" i="1"/>
  <c r="H1865" i="1" a="1"/>
  <c r="H1865" i="1"/>
  <c r="I1865" i="1"/>
  <c r="B1866" i="1"/>
  <c r="C1866" i="1"/>
  <c r="D1866" i="1"/>
  <c r="E1866" i="1"/>
  <c r="F1866" i="1"/>
  <c r="G1866" i="1"/>
  <c r="H1866" i="1" a="1"/>
  <c r="H1866" i="1"/>
  <c r="I1866" i="1"/>
  <c r="B1867" i="1"/>
  <c r="C1867" i="1"/>
  <c r="D1867" i="1"/>
  <c r="E1867" i="1"/>
  <c r="F1867" i="1"/>
  <c r="G1867" i="1"/>
  <c r="H1867" i="1" a="1"/>
  <c r="H1867" i="1"/>
  <c r="I1867" i="1"/>
  <c r="B1868" i="1"/>
  <c r="C1868" i="1"/>
  <c r="D1868" i="1"/>
  <c r="E1868" i="1"/>
  <c r="F1868" i="1"/>
  <c r="G1868" i="1"/>
  <c r="H1868" i="1" a="1"/>
  <c r="H1868" i="1"/>
  <c r="I1868" i="1"/>
  <c r="B1869" i="1"/>
  <c r="C1869" i="1"/>
  <c r="D1869" i="1"/>
  <c r="E1869" i="1"/>
  <c r="F1869" i="1"/>
  <c r="G1869" i="1"/>
  <c r="H1869" i="1" a="1"/>
  <c r="H1869" i="1"/>
  <c r="I1869" i="1"/>
  <c r="B1870" i="1"/>
  <c r="C1870" i="1"/>
  <c r="D1870" i="1"/>
  <c r="E1870" i="1"/>
  <c r="F1870" i="1"/>
  <c r="G1870" i="1"/>
  <c r="H1870" i="1" a="1"/>
  <c r="H1870" i="1"/>
  <c r="I1870" i="1"/>
  <c r="B1871" i="1"/>
  <c r="C1871" i="1"/>
  <c r="D1871" i="1"/>
  <c r="E1871" i="1"/>
  <c r="F1871" i="1"/>
  <c r="G1871" i="1"/>
  <c r="H1871" i="1" a="1"/>
  <c r="H1871" i="1"/>
  <c r="I1871" i="1"/>
  <c r="B1872" i="1"/>
  <c r="C1872" i="1"/>
  <c r="D1872" i="1"/>
  <c r="E1872" i="1"/>
  <c r="F1872" i="1"/>
  <c r="G1872" i="1"/>
  <c r="H1872" i="1" a="1"/>
  <c r="H1872" i="1"/>
  <c r="I1872" i="1"/>
  <c r="B1873" i="1"/>
  <c r="C1873" i="1"/>
  <c r="D1873" i="1"/>
  <c r="E1873" i="1"/>
  <c r="F1873" i="1"/>
  <c r="G1873" i="1"/>
  <c r="H1873" i="1" a="1"/>
  <c r="H1873" i="1"/>
  <c r="I1873" i="1"/>
  <c r="B1874" i="1"/>
  <c r="C1874" i="1"/>
  <c r="D1874" i="1"/>
  <c r="E1874" i="1"/>
  <c r="F1874" i="1"/>
  <c r="G1874" i="1"/>
  <c r="H1874" i="1" a="1"/>
  <c r="H1874" i="1"/>
  <c r="I1874" i="1"/>
  <c r="B1875" i="1"/>
  <c r="C1875" i="1"/>
  <c r="D1875" i="1"/>
  <c r="E1875" i="1"/>
  <c r="F1875" i="1"/>
  <c r="G1875" i="1"/>
  <c r="H1875" i="1" a="1"/>
  <c r="H1875" i="1"/>
  <c r="I1875" i="1"/>
  <c r="B1876" i="1"/>
  <c r="C1876" i="1"/>
  <c r="D1876" i="1"/>
  <c r="E1876" i="1"/>
  <c r="F1876" i="1"/>
  <c r="G1876" i="1"/>
  <c r="H1876" i="1" a="1"/>
  <c r="H1876" i="1"/>
  <c r="I1876" i="1"/>
  <c r="B1877" i="1"/>
  <c r="C1877" i="1"/>
  <c r="D1877" i="1"/>
  <c r="E1877" i="1"/>
  <c r="F1877" i="1"/>
  <c r="G1877" i="1"/>
  <c r="H1877" i="1" a="1"/>
  <c r="H1877" i="1"/>
  <c r="I1877" i="1"/>
  <c r="B1878" i="1"/>
  <c r="C1878" i="1"/>
  <c r="D1878" i="1"/>
  <c r="E1878" i="1"/>
  <c r="F1878" i="1"/>
  <c r="G1878" i="1"/>
  <c r="H1878" i="1" a="1"/>
  <c r="H1878" i="1"/>
  <c r="I1878" i="1"/>
  <c r="B1879" i="1"/>
  <c r="C1879" i="1"/>
  <c r="D1879" i="1"/>
  <c r="E1879" i="1"/>
  <c r="F1879" i="1"/>
  <c r="G1879" i="1"/>
  <c r="H1879" i="1" a="1"/>
  <c r="H1879" i="1"/>
  <c r="I1879" i="1"/>
  <c r="B1880" i="1"/>
  <c r="C1880" i="1"/>
  <c r="D1880" i="1"/>
  <c r="E1880" i="1"/>
  <c r="F1880" i="1"/>
  <c r="G1880" i="1"/>
  <c r="H1880" i="1" a="1"/>
  <c r="H1880" i="1"/>
  <c r="I1880" i="1"/>
  <c r="B1881" i="1"/>
  <c r="C1881" i="1"/>
  <c r="D1881" i="1"/>
  <c r="E1881" i="1"/>
  <c r="F1881" i="1"/>
  <c r="G1881" i="1"/>
  <c r="H1881" i="1" a="1"/>
  <c r="H1881" i="1"/>
  <c r="I1881" i="1"/>
  <c r="B1882" i="1"/>
  <c r="C1882" i="1"/>
  <c r="D1882" i="1"/>
  <c r="E1882" i="1"/>
  <c r="F1882" i="1"/>
  <c r="G1882" i="1"/>
  <c r="H1882" i="1" a="1"/>
  <c r="H1882" i="1"/>
  <c r="I1882" i="1"/>
  <c r="B1883" i="1"/>
  <c r="C1883" i="1"/>
  <c r="D1883" i="1"/>
  <c r="E1883" i="1"/>
  <c r="F1883" i="1"/>
  <c r="G1883" i="1"/>
  <c r="H1883" i="1" a="1"/>
  <c r="H1883" i="1"/>
  <c r="I1883" i="1"/>
  <c r="B1884" i="1"/>
  <c r="C1884" i="1"/>
  <c r="D1884" i="1"/>
  <c r="E1884" i="1"/>
  <c r="F1884" i="1"/>
  <c r="G1884" i="1"/>
  <c r="H1884" i="1" a="1"/>
  <c r="H1884" i="1"/>
  <c r="I1884" i="1"/>
  <c r="B1885" i="1"/>
  <c r="C1885" i="1"/>
  <c r="D1885" i="1"/>
  <c r="E1885" i="1"/>
  <c r="F1885" i="1"/>
  <c r="G1885" i="1"/>
  <c r="H1885" i="1" a="1"/>
  <c r="H1885" i="1"/>
  <c r="I1885" i="1"/>
  <c r="B1886" i="1"/>
  <c r="C1886" i="1"/>
  <c r="D1886" i="1"/>
  <c r="E1886" i="1"/>
  <c r="F1886" i="1"/>
  <c r="G1886" i="1"/>
  <c r="H1886" i="1" a="1"/>
  <c r="H1886" i="1"/>
  <c r="I1886" i="1"/>
  <c r="B1887" i="1"/>
  <c r="C1887" i="1"/>
  <c r="D1887" i="1"/>
  <c r="E1887" i="1"/>
  <c r="F1887" i="1"/>
  <c r="G1887" i="1"/>
  <c r="H1887" i="1" a="1"/>
  <c r="H1887" i="1"/>
  <c r="I1887" i="1"/>
  <c r="B1888" i="1"/>
  <c r="C1888" i="1"/>
  <c r="D1888" i="1"/>
  <c r="E1888" i="1"/>
  <c r="F1888" i="1"/>
  <c r="G1888" i="1"/>
  <c r="H1888" i="1" a="1"/>
  <c r="H1888" i="1"/>
  <c r="I1888" i="1"/>
  <c r="B1889" i="1"/>
  <c r="C1889" i="1"/>
  <c r="D1889" i="1"/>
  <c r="E1889" i="1"/>
  <c r="F1889" i="1"/>
  <c r="G1889" i="1"/>
  <c r="H1889" i="1" a="1"/>
  <c r="H1889" i="1"/>
  <c r="I1889" i="1"/>
  <c r="B1890" i="1"/>
  <c r="C1890" i="1"/>
  <c r="D1890" i="1"/>
  <c r="E1890" i="1"/>
  <c r="F1890" i="1"/>
  <c r="G1890" i="1"/>
  <c r="H1890" i="1" a="1"/>
  <c r="H1890" i="1"/>
  <c r="I1890" i="1"/>
  <c r="B1891" i="1"/>
  <c r="C1891" i="1"/>
  <c r="D1891" i="1"/>
  <c r="E1891" i="1"/>
  <c r="F1891" i="1"/>
  <c r="G1891" i="1"/>
  <c r="H1891" i="1" a="1"/>
  <c r="H1891" i="1"/>
  <c r="I1891" i="1"/>
  <c r="B1892" i="1"/>
  <c r="C1892" i="1"/>
  <c r="D1892" i="1"/>
  <c r="E1892" i="1"/>
  <c r="F1892" i="1"/>
  <c r="G1892" i="1"/>
  <c r="H1892" i="1" a="1"/>
  <c r="H1892" i="1"/>
  <c r="I1892" i="1"/>
  <c r="B1893" i="1"/>
  <c r="C1893" i="1"/>
  <c r="D1893" i="1"/>
  <c r="E1893" i="1"/>
  <c r="F1893" i="1"/>
  <c r="G1893" i="1"/>
  <c r="H1893" i="1" a="1"/>
  <c r="H1893" i="1"/>
  <c r="I1893" i="1"/>
  <c r="B1894" i="1"/>
  <c r="C1894" i="1"/>
  <c r="D1894" i="1"/>
  <c r="E1894" i="1"/>
  <c r="F1894" i="1"/>
  <c r="G1894" i="1"/>
  <c r="H1894" i="1" a="1"/>
  <c r="H1894" i="1"/>
  <c r="I1894" i="1"/>
  <c r="B1895" i="1"/>
  <c r="C1895" i="1"/>
  <c r="D1895" i="1"/>
  <c r="E1895" i="1"/>
  <c r="F1895" i="1"/>
  <c r="G1895" i="1"/>
  <c r="H1895" i="1" a="1"/>
  <c r="H1895" i="1"/>
  <c r="I1895" i="1"/>
  <c r="B1896" i="1"/>
  <c r="C1896" i="1"/>
  <c r="D1896" i="1"/>
  <c r="E1896" i="1"/>
  <c r="F1896" i="1"/>
  <c r="G1896" i="1"/>
  <c r="H1896" i="1" a="1"/>
  <c r="H1896" i="1"/>
  <c r="I1896" i="1"/>
  <c r="B1897" i="1"/>
  <c r="C1897" i="1"/>
  <c r="D1897" i="1"/>
  <c r="E1897" i="1"/>
  <c r="F1897" i="1"/>
  <c r="G1897" i="1"/>
  <c r="H1897" i="1" a="1"/>
  <c r="H1897" i="1"/>
  <c r="I1897" i="1"/>
  <c r="B1898" i="1"/>
  <c r="C1898" i="1"/>
  <c r="D1898" i="1"/>
  <c r="E1898" i="1"/>
  <c r="F1898" i="1"/>
  <c r="G1898" i="1"/>
  <c r="H1898" i="1" a="1"/>
  <c r="H1898" i="1"/>
  <c r="I1898" i="1"/>
  <c r="B1899" i="1"/>
  <c r="C1899" i="1"/>
  <c r="D1899" i="1"/>
  <c r="E1899" i="1"/>
  <c r="F1899" i="1"/>
  <c r="G1899" i="1"/>
  <c r="H1899" i="1" a="1"/>
  <c r="H1899" i="1"/>
  <c r="I1899" i="1"/>
  <c r="B1900" i="1"/>
  <c r="C1900" i="1"/>
  <c r="D1900" i="1"/>
  <c r="E1900" i="1"/>
  <c r="F1900" i="1"/>
  <c r="G1900" i="1"/>
  <c r="H1900" i="1" a="1"/>
  <c r="H1900" i="1"/>
  <c r="I1900" i="1"/>
  <c r="B1901" i="1"/>
  <c r="C1901" i="1"/>
  <c r="D1901" i="1"/>
  <c r="E1901" i="1"/>
  <c r="F1901" i="1"/>
  <c r="G1901" i="1"/>
  <c r="H1901" i="1" a="1"/>
  <c r="H1901" i="1"/>
  <c r="I1901" i="1"/>
  <c r="B1902" i="1"/>
  <c r="C1902" i="1"/>
  <c r="D1902" i="1"/>
  <c r="E1902" i="1"/>
  <c r="F1902" i="1"/>
  <c r="G1902" i="1"/>
  <c r="H1902" i="1" a="1"/>
  <c r="H1902" i="1"/>
  <c r="I1902" i="1"/>
  <c r="B1903" i="1"/>
  <c r="C1903" i="1"/>
  <c r="D1903" i="1"/>
  <c r="E1903" i="1"/>
  <c r="F1903" i="1"/>
  <c r="G1903" i="1"/>
  <c r="H1903" i="1" a="1"/>
  <c r="H1903" i="1"/>
  <c r="I1903" i="1"/>
  <c r="B1904" i="1"/>
  <c r="C1904" i="1"/>
  <c r="D1904" i="1"/>
  <c r="E1904" i="1"/>
  <c r="F1904" i="1"/>
  <c r="G1904" i="1"/>
  <c r="H1904" i="1" a="1"/>
  <c r="H1904" i="1"/>
  <c r="I1904" i="1"/>
  <c r="B1905" i="1"/>
  <c r="C1905" i="1"/>
  <c r="D1905" i="1"/>
  <c r="E1905" i="1"/>
  <c r="F1905" i="1"/>
  <c r="G1905" i="1"/>
  <c r="H1905" i="1" a="1"/>
  <c r="H1905" i="1"/>
  <c r="I1905" i="1"/>
  <c r="B1906" i="1"/>
  <c r="C1906" i="1"/>
  <c r="D1906" i="1"/>
  <c r="E1906" i="1"/>
  <c r="F1906" i="1"/>
  <c r="G1906" i="1"/>
  <c r="H1906" i="1" a="1"/>
  <c r="H1906" i="1"/>
  <c r="I1906" i="1"/>
  <c r="B1907" i="1"/>
  <c r="C1907" i="1"/>
  <c r="D1907" i="1"/>
  <c r="E1907" i="1"/>
  <c r="F1907" i="1"/>
  <c r="G1907" i="1"/>
  <c r="H1907" i="1" a="1"/>
  <c r="H1907" i="1"/>
  <c r="I1907" i="1"/>
  <c r="B1908" i="1"/>
  <c r="C1908" i="1"/>
  <c r="D1908" i="1"/>
  <c r="E1908" i="1"/>
  <c r="F1908" i="1"/>
  <c r="G1908" i="1"/>
  <c r="H1908" i="1" a="1"/>
  <c r="H1908" i="1"/>
  <c r="I1908" i="1"/>
  <c r="B1909" i="1"/>
  <c r="C1909" i="1"/>
  <c r="D1909" i="1"/>
  <c r="E1909" i="1"/>
  <c r="F1909" i="1"/>
  <c r="G1909" i="1"/>
  <c r="H1909" i="1" a="1"/>
  <c r="H1909" i="1"/>
  <c r="I1909" i="1"/>
  <c r="B1910" i="1"/>
  <c r="C1910" i="1"/>
  <c r="D1910" i="1"/>
  <c r="E1910" i="1"/>
  <c r="F1910" i="1"/>
  <c r="G1910" i="1"/>
  <c r="H1910" i="1" a="1"/>
  <c r="H1910" i="1"/>
  <c r="I1910" i="1"/>
  <c r="B1911" i="1"/>
  <c r="C1911" i="1"/>
  <c r="D1911" i="1"/>
  <c r="E1911" i="1"/>
  <c r="F1911" i="1"/>
  <c r="G1911" i="1"/>
  <c r="H1911" i="1" a="1"/>
  <c r="H1911" i="1"/>
  <c r="I1911" i="1"/>
  <c r="B1912" i="1"/>
  <c r="C1912" i="1"/>
  <c r="D1912" i="1"/>
  <c r="E1912" i="1"/>
  <c r="F1912" i="1"/>
  <c r="G1912" i="1"/>
  <c r="H1912" i="1" a="1"/>
  <c r="H1912" i="1"/>
  <c r="I1912" i="1"/>
  <c r="B1913" i="1"/>
  <c r="C1913" i="1"/>
  <c r="D1913" i="1"/>
  <c r="E1913" i="1"/>
  <c r="F1913" i="1"/>
  <c r="G1913" i="1"/>
  <c r="H1913" i="1" a="1"/>
  <c r="H1913" i="1"/>
  <c r="I1913" i="1"/>
  <c r="B1914" i="1"/>
  <c r="C1914" i="1"/>
  <c r="D1914" i="1"/>
  <c r="E1914" i="1"/>
  <c r="F1914" i="1"/>
  <c r="G1914" i="1"/>
  <c r="H1914" i="1" a="1"/>
  <c r="H1914" i="1"/>
  <c r="I1914" i="1"/>
  <c r="B1915" i="1"/>
  <c r="C1915" i="1"/>
  <c r="D1915" i="1"/>
  <c r="E1915" i="1"/>
  <c r="F1915" i="1"/>
  <c r="G1915" i="1"/>
  <c r="H1915" i="1" a="1"/>
  <c r="H1915" i="1"/>
  <c r="I1915" i="1"/>
  <c r="B1916" i="1"/>
  <c r="C1916" i="1"/>
  <c r="D1916" i="1"/>
  <c r="E1916" i="1"/>
  <c r="F1916" i="1"/>
  <c r="G1916" i="1"/>
  <c r="H1916" i="1" a="1"/>
  <c r="H1916" i="1"/>
  <c r="I1916" i="1"/>
  <c r="B1917" i="1"/>
  <c r="C1917" i="1"/>
  <c r="D1917" i="1"/>
  <c r="E1917" i="1"/>
  <c r="F1917" i="1"/>
  <c r="G1917" i="1"/>
  <c r="H1917" i="1" a="1"/>
  <c r="H1917" i="1"/>
  <c r="I1917" i="1"/>
  <c r="B1918" i="1"/>
  <c r="C1918" i="1"/>
  <c r="D1918" i="1"/>
  <c r="E1918" i="1"/>
  <c r="F1918" i="1"/>
  <c r="G1918" i="1"/>
  <c r="H1918" i="1" a="1"/>
  <c r="H1918" i="1"/>
  <c r="I1918" i="1"/>
  <c r="B1919" i="1"/>
  <c r="C1919" i="1"/>
  <c r="D1919" i="1"/>
  <c r="E1919" i="1"/>
  <c r="F1919" i="1"/>
  <c r="G1919" i="1"/>
  <c r="H1919" i="1" a="1"/>
  <c r="H1919" i="1"/>
  <c r="I1919" i="1"/>
  <c r="B1920" i="1"/>
  <c r="C1920" i="1"/>
  <c r="D1920" i="1"/>
  <c r="E1920" i="1"/>
  <c r="F1920" i="1"/>
  <c r="G1920" i="1"/>
  <c r="H1920" i="1" a="1"/>
  <c r="H1920" i="1"/>
  <c r="I1920" i="1"/>
  <c r="B1921" i="1"/>
  <c r="C1921" i="1"/>
  <c r="D1921" i="1"/>
  <c r="E1921" i="1"/>
  <c r="F1921" i="1"/>
  <c r="G1921" i="1"/>
  <c r="H1921" i="1" a="1"/>
  <c r="H1921" i="1"/>
  <c r="I1921" i="1"/>
  <c r="B1922" i="1"/>
  <c r="C1922" i="1"/>
  <c r="D1922" i="1"/>
  <c r="E1922" i="1"/>
  <c r="F1922" i="1"/>
  <c r="G1922" i="1"/>
  <c r="H1922" i="1" a="1"/>
  <c r="H1922" i="1"/>
  <c r="I1922" i="1"/>
  <c r="B1923" i="1"/>
  <c r="C1923" i="1"/>
  <c r="D1923" i="1"/>
  <c r="E1923" i="1"/>
  <c r="F1923" i="1"/>
  <c r="G1923" i="1"/>
  <c r="H1923" i="1" a="1"/>
  <c r="H1923" i="1"/>
  <c r="I1923" i="1"/>
  <c r="B1924" i="1"/>
  <c r="C1924" i="1"/>
  <c r="D1924" i="1"/>
  <c r="E1924" i="1"/>
  <c r="F1924" i="1"/>
  <c r="G1924" i="1"/>
  <c r="H1924" i="1" a="1"/>
  <c r="H1924" i="1"/>
  <c r="I1924" i="1"/>
  <c r="B1925" i="1"/>
  <c r="C1925" i="1"/>
  <c r="D1925" i="1"/>
  <c r="E1925" i="1"/>
  <c r="F1925" i="1"/>
  <c r="G1925" i="1"/>
  <c r="H1925" i="1" a="1"/>
  <c r="H1925" i="1"/>
  <c r="I1925" i="1"/>
  <c r="B1926" i="1"/>
  <c r="C1926" i="1"/>
  <c r="D1926" i="1"/>
  <c r="E1926" i="1"/>
  <c r="F1926" i="1"/>
  <c r="G1926" i="1"/>
  <c r="H1926" i="1" a="1"/>
  <c r="H1926" i="1"/>
  <c r="I1926" i="1"/>
  <c r="B1927" i="1"/>
  <c r="C1927" i="1"/>
  <c r="D1927" i="1"/>
  <c r="E1927" i="1"/>
  <c r="F1927" i="1"/>
  <c r="G1927" i="1"/>
  <c r="H1927" i="1" a="1"/>
  <c r="H1927" i="1"/>
  <c r="I1927" i="1"/>
  <c r="B1928" i="1"/>
  <c r="C1928" i="1"/>
  <c r="D1928" i="1"/>
  <c r="E1928" i="1"/>
  <c r="F1928" i="1"/>
  <c r="G1928" i="1"/>
  <c r="H1928" i="1" a="1"/>
  <c r="H1928" i="1"/>
  <c r="I1928" i="1"/>
  <c r="B1929" i="1"/>
  <c r="C1929" i="1"/>
  <c r="D1929" i="1"/>
  <c r="E1929" i="1"/>
  <c r="F1929" i="1"/>
  <c r="G1929" i="1"/>
  <c r="H1929" i="1" a="1"/>
  <c r="H1929" i="1"/>
  <c r="I1929" i="1"/>
  <c r="B1930" i="1"/>
  <c r="C1930" i="1"/>
  <c r="D1930" i="1"/>
  <c r="E1930" i="1"/>
  <c r="F1930" i="1"/>
  <c r="G1930" i="1"/>
  <c r="H1930" i="1" a="1"/>
  <c r="H1930" i="1"/>
  <c r="I1930" i="1"/>
  <c r="B1931" i="1"/>
  <c r="C1931" i="1"/>
  <c r="D1931" i="1"/>
  <c r="E1931" i="1"/>
  <c r="F1931" i="1"/>
  <c r="G1931" i="1"/>
  <c r="H1931" i="1" a="1"/>
  <c r="H1931" i="1"/>
  <c r="I1931" i="1"/>
  <c r="B1932" i="1"/>
  <c r="C1932" i="1"/>
  <c r="D1932" i="1"/>
  <c r="E1932" i="1"/>
  <c r="F1932" i="1"/>
  <c r="G1932" i="1"/>
  <c r="H1932" i="1" a="1"/>
  <c r="H1932" i="1"/>
  <c r="I1932" i="1"/>
  <c r="B1933" i="1"/>
  <c r="C1933" i="1"/>
  <c r="D1933" i="1"/>
  <c r="E1933" i="1"/>
  <c r="F1933" i="1"/>
  <c r="G1933" i="1"/>
  <c r="H1933" i="1" a="1"/>
  <c r="H1933" i="1"/>
  <c r="I1933" i="1"/>
  <c r="B1934" i="1"/>
  <c r="C1934" i="1"/>
  <c r="D1934" i="1"/>
  <c r="E1934" i="1"/>
  <c r="F1934" i="1"/>
  <c r="G1934" i="1"/>
  <c r="H1934" i="1" a="1"/>
  <c r="H1934" i="1"/>
  <c r="I1934" i="1"/>
  <c r="B1935" i="1"/>
  <c r="C1935" i="1"/>
  <c r="D1935" i="1"/>
  <c r="E1935" i="1"/>
  <c r="F1935" i="1"/>
  <c r="G1935" i="1"/>
  <c r="H1935" i="1" a="1"/>
  <c r="H1935" i="1"/>
  <c r="I1935" i="1"/>
  <c r="B1936" i="1"/>
  <c r="C1936" i="1"/>
  <c r="D1936" i="1"/>
  <c r="E1936" i="1"/>
  <c r="F1936" i="1"/>
  <c r="G1936" i="1"/>
  <c r="H1936" i="1" a="1"/>
  <c r="H1936" i="1"/>
  <c r="I1936" i="1"/>
  <c r="B1937" i="1"/>
  <c r="C1937" i="1"/>
  <c r="D1937" i="1"/>
  <c r="E1937" i="1"/>
  <c r="F1937" i="1"/>
  <c r="G1937" i="1"/>
  <c r="H1937" i="1" a="1"/>
  <c r="H1937" i="1"/>
  <c r="I1937" i="1"/>
  <c r="B1938" i="1"/>
  <c r="C1938" i="1"/>
  <c r="D1938" i="1"/>
  <c r="E1938" i="1"/>
  <c r="F1938" i="1"/>
  <c r="G1938" i="1"/>
  <c r="H1938" i="1" a="1"/>
  <c r="H1938" i="1"/>
  <c r="I1938" i="1"/>
  <c r="B1939" i="1"/>
  <c r="C1939" i="1"/>
  <c r="D1939" i="1"/>
  <c r="E1939" i="1"/>
  <c r="F1939" i="1"/>
  <c r="G1939" i="1"/>
  <c r="H1939" i="1" a="1"/>
  <c r="H1939" i="1"/>
  <c r="I1939" i="1"/>
  <c r="B1940" i="1"/>
  <c r="C1940" i="1"/>
  <c r="D1940" i="1"/>
  <c r="E1940" i="1"/>
  <c r="F1940" i="1"/>
  <c r="G1940" i="1"/>
  <c r="H1940" i="1" a="1"/>
  <c r="H1940" i="1"/>
  <c r="I1940" i="1"/>
  <c r="B1941" i="1"/>
  <c r="C1941" i="1"/>
  <c r="D1941" i="1"/>
  <c r="E1941" i="1"/>
  <c r="F1941" i="1"/>
  <c r="G1941" i="1"/>
  <c r="H1941" i="1" a="1"/>
  <c r="H1941" i="1"/>
  <c r="I1941" i="1"/>
  <c r="B1942" i="1"/>
  <c r="C1942" i="1"/>
  <c r="D1942" i="1"/>
  <c r="E1942" i="1"/>
  <c r="F1942" i="1"/>
  <c r="G1942" i="1"/>
  <c r="H1942" i="1" a="1"/>
  <c r="H1942" i="1"/>
  <c r="I1942" i="1"/>
  <c r="B1943" i="1"/>
  <c r="C1943" i="1"/>
  <c r="D1943" i="1"/>
  <c r="E1943" i="1"/>
  <c r="F1943" i="1"/>
  <c r="G1943" i="1"/>
  <c r="H1943" i="1" a="1"/>
  <c r="H1943" i="1"/>
  <c r="I1943" i="1"/>
  <c r="B1944" i="1"/>
  <c r="C1944" i="1"/>
  <c r="D1944" i="1"/>
  <c r="E1944" i="1"/>
  <c r="F1944" i="1"/>
  <c r="G1944" i="1"/>
  <c r="H1944" i="1" a="1"/>
  <c r="H1944" i="1"/>
  <c r="I1944" i="1"/>
  <c r="B1945" i="1"/>
  <c r="C1945" i="1"/>
  <c r="D1945" i="1"/>
  <c r="E1945" i="1"/>
  <c r="F1945" i="1"/>
  <c r="G1945" i="1"/>
  <c r="H1945" i="1" a="1"/>
  <c r="H1945" i="1"/>
  <c r="I1945" i="1"/>
  <c r="B1946" i="1"/>
  <c r="C1946" i="1"/>
  <c r="D1946" i="1"/>
  <c r="E1946" i="1"/>
  <c r="F1946" i="1"/>
  <c r="G1946" i="1"/>
  <c r="H1946" i="1" a="1"/>
  <c r="H1946" i="1"/>
  <c r="I1946" i="1"/>
  <c r="B1947" i="1"/>
  <c r="C1947" i="1"/>
  <c r="D1947" i="1"/>
  <c r="E1947" i="1"/>
  <c r="F1947" i="1"/>
  <c r="G1947" i="1"/>
  <c r="H1947" i="1" a="1"/>
  <c r="H1947" i="1"/>
  <c r="I1947" i="1"/>
  <c r="B1948" i="1"/>
  <c r="C1948" i="1"/>
  <c r="D1948" i="1"/>
  <c r="E1948" i="1"/>
  <c r="F1948" i="1"/>
  <c r="G1948" i="1"/>
  <c r="H1948" i="1" a="1"/>
  <c r="H1948" i="1"/>
  <c r="I1948" i="1"/>
  <c r="B1949" i="1"/>
  <c r="C1949" i="1"/>
  <c r="D1949" i="1"/>
  <c r="E1949" i="1"/>
  <c r="F1949" i="1"/>
  <c r="G1949" i="1"/>
  <c r="H1949" i="1" a="1"/>
  <c r="H1949" i="1"/>
  <c r="I1949" i="1"/>
  <c r="B1950" i="1"/>
  <c r="C1950" i="1"/>
  <c r="D1950" i="1"/>
  <c r="E1950" i="1"/>
  <c r="F1950" i="1"/>
  <c r="G1950" i="1"/>
  <c r="H1950" i="1" a="1"/>
  <c r="H1950" i="1"/>
  <c r="I1950" i="1"/>
  <c r="B1951" i="1"/>
  <c r="C1951" i="1"/>
  <c r="D1951" i="1"/>
  <c r="E1951" i="1"/>
  <c r="F1951" i="1"/>
  <c r="G1951" i="1"/>
  <c r="H1951" i="1" a="1"/>
  <c r="H1951" i="1"/>
  <c r="I1951" i="1"/>
  <c r="B1952" i="1"/>
  <c r="C1952" i="1"/>
  <c r="D1952" i="1"/>
  <c r="E1952" i="1"/>
  <c r="F1952" i="1"/>
  <c r="G1952" i="1"/>
  <c r="H1952" i="1" a="1"/>
  <c r="H1952" i="1"/>
  <c r="I1952" i="1"/>
  <c r="B1953" i="1"/>
  <c r="C1953" i="1"/>
  <c r="D1953" i="1"/>
  <c r="E1953" i="1"/>
  <c r="F1953" i="1"/>
  <c r="G1953" i="1"/>
  <c r="H1953" i="1" a="1"/>
  <c r="H1953" i="1"/>
  <c r="I1953" i="1"/>
  <c r="B1954" i="1"/>
  <c r="C1954" i="1"/>
  <c r="D1954" i="1"/>
  <c r="E1954" i="1"/>
  <c r="F1954" i="1"/>
  <c r="G1954" i="1"/>
  <c r="H1954" i="1" a="1"/>
  <c r="H1954" i="1"/>
  <c r="I1954" i="1"/>
  <c r="B1955" i="1"/>
  <c r="C1955" i="1"/>
  <c r="D1955" i="1"/>
  <c r="E1955" i="1"/>
  <c r="F1955" i="1"/>
  <c r="G1955" i="1"/>
  <c r="H1955" i="1" a="1"/>
  <c r="H1955" i="1"/>
  <c r="I1955" i="1"/>
  <c r="B1956" i="1"/>
  <c r="C1956" i="1"/>
  <c r="D1956" i="1"/>
  <c r="E1956" i="1"/>
  <c r="F1956" i="1"/>
  <c r="G1956" i="1"/>
  <c r="H1956" i="1" a="1"/>
  <c r="H1956" i="1"/>
  <c r="I1956" i="1"/>
  <c r="B1957" i="1"/>
  <c r="C1957" i="1"/>
  <c r="D1957" i="1"/>
  <c r="E1957" i="1"/>
  <c r="F1957" i="1"/>
  <c r="G1957" i="1"/>
  <c r="H1957" i="1" a="1"/>
  <c r="H1957" i="1"/>
  <c r="I1957" i="1"/>
  <c r="B1958" i="1"/>
  <c r="C1958" i="1"/>
  <c r="D1958" i="1"/>
  <c r="E1958" i="1"/>
  <c r="F1958" i="1"/>
  <c r="G1958" i="1"/>
  <c r="H1958" i="1" a="1"/>
  <c r="H1958" i="1"/>
  <c r="I1958" i="1"/>
  <c r="B1959" i="1"/>
  <c r="C1959" i="1"/>
  <c r="D1959" i="1"/>
  <c r="E1959" i="1"/>
  <c r="F1959" i="1"/>
  <c r="G1959" i="1"/>
  <c r="H1959" i="1" a="1"/>
  <c r="H1959" i="1"/>
  <c r="I1959" i="1"/>
  <c r="B1960" i="1"/>
  <c r="C1960" i="1"/>
  <c r="D1960" i="1"/>
  <c r="E1960" i="1"/>
  <c r="F1960" i="1"/>
  <c r="G1960" i="1"/>
  <c r="H1960" i="1" a="1"/>
  <c r="H1960" i="1"/>
  <c r="I1960" i="1"/>
  <c r="B1961" i="1"/>
  <c r="C1961" i="1"/>
  <c r="D1961" i="1"/>
  <c r="E1961" i="1"/>
  <c r="F1961" i="1"/>
  <c r="G1961" i="1"/>
  <c r="H1961" i="1" a="1"/>
  <c r="H1961" i="1"/>
  <c r="I1961" i="1"/>
  <c r="B1962" i="1"/>
  <c r="C1962" i="1"/>
  <c r="D1962" i="1"/>
  <c r="E1962" i="1"/>
  <c r="F1962" i="1"/>
  <c r="G1962" i="1"/>
  <c r="H1962" i="1" a="1"/>
  <c r="H1962" i="1"/>
  <c r="I1962" i="1"/>
  <c r="B1963" i="1"/>
  <c r="C1963" i="1"/>
  <c r="D1963" i="1"/>
  <c r="E1963" i="1"/>
  <c r="F1963" i="1"/>
  <c r="G1963" i="1"/>
  <c r="H1963" i="1" a="1"/>
  <c r="H1963" i="1"/>
  <c r="I1963" i="1"/>
  <c r="B1964" i="1"/>
  <c r="C1964" i="1"/>
  <c r="D1964" i="1"/>
  <c r="E1964" i="1"/>
  <c r="F1964" i="1"/>
  <c r="G1964" i="1"/>
  <c r="H1964" i="1" a="1"/>
  <c r="H1964" i="1"/>
  <c r="I1964" i="1"/>
  <c r="B1965" i="1"/>
  <c r="C1965" i="1"/>
  <c r="D1965" i="1"/>
  <c r="E1965" i="1"/>
  <c r="F1965" i="1"/>
  <c r="G1965" i="1"/>
  <c r="H1965" i="1" a="1"/>
  <c r="H1965" i="1"/>
  <c r="I1965" i="1"/>
  <c r="B1966" i="1"/>
  <c r="C1966" i="1"/>
  <c r="D1966" i="1"/>
  <c r="E1966" i="1"/>
  <c r="F1966" i="1"/>
  <c r="G1966" i="1"/>
  <c r="H1966" i="1" a="1"/>
  <c r="H1966" i="1"/>
  <c r="I1966" i="1"/>
  <c r="B1967" i="1"/>
  <c r="C1967" i="1"/>
  <c r="D1967" i="1"/>
  <c r="E1967" i="1"/>
  <c r="F1967" i="1"/>
  <c r="G1967" i="1"/>
  <c r="H1967" i="1" a="1"/>
  <c r="H1967" i="1"/>
  <c r="I1967" i="1"/>
  <c r="B1968" i="1"/>
  <c r="C1968" i="1"/>
  <c r="D1968" i="1"/>
  <c r="E1968" i="1"/>
  <c r="F1968" i="1"/>
  <c r="G1968" i="1"/>
  <c r="H1968" i="1" a="1"/>
  <c r="H1968" i="1"/>
  <c r="I1968" i="1"/>
  <c r="B1969" i="1"/>
  <c r="C1969" i="1"/>
  <c r="D1969" i="1"/>
  <c r="E1969" i="1"/>
  <c r="F1969" i="1"/>
  <c r="G1969" i="1"/>
  <c r="H1969" i="1" a="1"/>
  <c r="H1969" i="1"/>
  <c r="I1969" i="1"/>
  <c r="B1970" i="1"/>
  <c r="C1970" i="1"/>
  <c r="D1970" i="1"/>
  <c r="E1970" i="1"/>
  <c r="F1970" i="1"/>
  <c r="G1970" i="1"/>
  <c r="H1970" i="1" a="1"/>
  <c r="H1970" i="1"/>
  <c r="I1970" i="1"/>
  <c r="B1971" i="1"/>
  <c r="C1971" i="1"/>
  <c r="D1971" i="1"/>
  <c r="E1971" i="1"/>
  <c r="F1971" i="1"/>
  <c r="G1971" i="1"/>
  <c r="H1971" i="1" a="1"/>
  <c r="H1971" i="1"/>
  <c r="I1971" i="1"/>
  <c r="B1972" i="1"/>
  <c r="C1972" i="1"/>
  <c r="D1972" i="1"/>
  <c r="E1972" i="1"/>
  <c r="F1972" i="1"/>
  <c r="G1972" i="1"/>
  <c r="H1972" i="1" a="1"/>
  <c r="H1972" i="1"/>
  <c r="I1972" i="1"/>
  <c r="B1973" i="1"/>
  <c r="C1973" i="1"/>
  <c r="D1973" i="1"/>
  <c r="E1973" i="1"/>
  <c r="F1973" i="1"/>
  <c r="G1973" i="1"/>
  <c r="H1973" i="1" a="1"/>
  <c r="H1973" i="1"/>
  <c r="I1973" i="1"/>
  <c r="B1974" i="1"/>
  <c r="C1974" i="1"/>
  <c r="D1974" i="1"/>
  <c r="E1974" i="1"/>
  <c r="F1974" i="1"/>
  <c r="G1974" i="1"/>
  <c r="H1974" i="1" a="1"/>
  <c r="H1974" i="1"/>
  <c r="I1974" i="1"/>
  <c r="B1975" i="1"/>
  <c r="C1975" i="1"/>
  <c r="D1975" i="1"/>
  <c r="E1975" i="1"/>
  <c r="F1975" i="1"/>
  <c r="G1975" i="1"/>
  <c r="H1975" i="1" a="1"/>
  <c r="H1975" i="1"/>
  <c r="I1975" i="1"/>
  <c r="B1976" i="1"/>
  <c r="C1976" i="1"/>
  <c r="D1976" i="1"/>
  <c r="E1976" i="1"/>
  <c r="F1976" i="1"/>
  <c r="G1976" i="1"/>
  <c r="H1976" i="1" a="1"/>
  <c r="H1976" i="1"/>
  <c r="I1976" i="1"/>
  <c r="B1977" i="1"/>
  <c r="C1977" i="1"/>
  <c r="D1977" i="1"/>
  <c r="E1977" i="1"/>
  <c r="F1977" i="1"/>
  <c r="G1977" i="1"/>
  <c r="H1977" i="1" a="1"/>
  <c r="H1977" i="1"/>
  <c r="I1977" i="1"/>
  <c r="B1978" i="1"/>
  <c r="C1978" i="1"/>
  <c r="D1978" i="1"/>
  <c r="E1978" i="1"/>
  <c r="F1978" i="1"/>
  <c r="G1978" i="1"/>
  <c r="H1978" i="1" a="1"/>
  <c r="H1978" i="1"/>
  <c r="I1978" i="1"/>
  <c r="B1979" i="1"/>
  <c r="C1979" i="1"/>
  <c r="D1979" i="1"/>
  <c r="E1979" i="1"/>
  <c r="F1979" i="1"/>
  <c r="G1979" i="1"/>
  <c r="H1979" i="1" a="1"/>
  <c r="H1979" i="1"/>
  <c r="I1979" i="1"/>
  <c r="B1980" i="1"/>
  <c r="C1980" i="1"/>
  <c r="D1980" i="1"/>
  <c r="E1980" i="1"/>
  <c r="F1980" i="1"/>
  <c r="G1980" i="1"/>
  <c r="H1980" i="1" a="1"/>
  <c r="H1980" i="1"/>
  <c r="I1980" i="1"/>
  <c r="B1981" i="1"/>
  <c r="C1981" i="1"/>
  <c r="D1981" i="1"/>
  <c r="E1981" i="1"/>
  <c r="F1981" i="1"/>
  <c r="G1981" i="1"/>
  <c r="H1981" i="1" a="1"/>
  <c r="H1981" i="1"/>
  <c r="I1981" i="1"/>
  <c r="B1982" i="1"/>
  <c r="C1982" i="1"/>
  <c r="D1982" i="1"/>
  <c r="E1982" i="1"/>
  <c r="F1982" i="1"/>
  <c r="G1982" i="1"/>
  <c r="H1982" i="1" a="1"/>
  <c r="H1982" i="1"/>
  <c r="I1982" i="1"/>
  <c r="B1983" i="1"/>
  <c r="C1983" i="1"/>
  <c r="D1983" i="1"/>
  <c r="E1983" i="1"/>
  <c r="F1983" i="1"/>
  <c r="G1983" i="1"/>
  <c r="H1983" i="1" a="1"/>
  <c r="H1983" i="1"/>
  <c r="I1983" i="1"/>
  <c r="B1984" i="1"/>
  <c r="C1984" i="1"/>
  <c r="D1984" i="1"/>
  <c r="E1984" i="1"/>
  <c r="F1984" i="1"/>
  <c r="G1984" i="1"/>
  <c r="H1984" i="1" a="1"/>
  <c r="H1984" i="1"/>
  <c r="I1984" i="1"/>
  <c r="B1985" i="1"/>
  <c r="C1985" i="1"/>
  <c r="D1985" i="1"/>
  <c r="E1985" i="1"/>
  <c r="F1985" i="1"/>
  <c r="G1985" i="1"/>
  <c r="H1985" i="1" a="1"/>
  <c r="H1985" i="1"/>
  <c r="I1985" i="1"/>
  <c r="B1986" i="1"/>
  <c r="C1986" i="1"/>
  <c r="D1986" i="1"/>
  <c r="E1986" i="1"/>
  <c r="F1986" i="1"/>
  <c r="G1986" i="1"/>
  <c r="H1986" i="1" a="1"/>
  <c r="H1986" i="1"/>
  <c r="I1986" i="1"/>
  <c r="B1987" i="1"/>
  <c r="C1987" i="1"/>
  <c r="D1987" i="1"/>
  <c r="E1987" i="1"/>
  <c r="F1987" i="1"/>
  <c r="G1987" i="1"/>
  <c r="H1987" i="1" a="1"/>
  <c r="H1987" i="1"/>
  <c r="I1987" i="1"/>
  <c r="B1988" i="1"/>
  <c r="C1988" i="1"/>
  <c r="D1988" i="1"/>
  <c r="E1988" i="1"/>
  <c r="F1988" i="1"/>
  <c r="G1988" i="1"/>
  <c r="H1988" i="1" a="1"/>
  <c r="H1988" i="1"/>
  <c r="I1988" i="1"/>
  <c r="B1989" i="1"/>
  <c r="C1989" i="1"/>
  <c r="D1989" i="1"/>
  <c r="E1989" i="1"/>
  <c r="F1989" i="1"/>
  <c r="G1989" i="1"/>
  <c r="H1989" i="1" a="1"/>
  <c r="H1989" i="1"/>
  <c r="I1989" i="1"/>
  <c r="B1990" i="1"/>
  <c r="C1990" i="1"/>
  <c r="D1990" i="1"/>
  <c r="E1990" i="1"/>
  <c r="F1990" i="1"/>
  <c r="G1990" i="1"/>
  <c r="H1990" i="1" a="1"/>
  <c r="H1990" i="1"/>
  <c r="I1990" i="1"/>
  <c r="B1991" i="1"/>
  <c r="C1991" i="1"/>
  <c r="D1991" i="1"/>
  <c r="E1991" i="1"/>
  <c r="F1991" i="1"/>
  <c r="G1991" i="1"/>
  <c r="H1991" i="1" a="1"/>
  <c r="H1991" i="1"/>
  <c r="I1991" i="1"/>
  <c r="B1992" i="1"/>
  <c r="C1992" i="1"/>
  <c r="D1992" i="1"/>
  <c r="E1992" i="1"/>
  <c r="F1992" i="1"/>
  <c r="G1992" i="1"/>
  <c r="H1992" i="1" a="1"/>
  <c r="H1992" i="1"/>
  <c r="I1992" i="1"/>
  <c r="B1993" i="1"/>
  <c r="C1993" i="1"/>
  <c r="D1993" i="1"/>
  <c r="E1993" i="1"/>
  <c r="F1993" i="1"/>
  <c r="G1993" i="1"/>
  <c r="H1993" i="1" a="1"/>
  <c r="H1993" i="1"/>
  <c r="I1993" i="1"/>
  <c r="B1994" i="1"/>
  <c r="C1994" i="1"/>
  <c r="D1994" i="1"/>
  <c r="E1994" i="1"/>
  <c r="F1994" i="1"/>
  <c r="G1994" i="1"/>
  <c r="H1994" i="1" a="1"/>
  <c r="H1994" i="1"/>
  <c r="I1994" i="1"/>
  <c r="B1995" i="1"/>
  <c r="C1995" i="1"/>
  <c r="D1995" i="1"/>
  <c r="E1995" i="1"/>
  <c r="F1995" i="1"/>
  <c r="G1995" i="1"/>
  <c r="H1995" i="1" a="1"/>
  <c r="H1995" i="1"/>
  <c r="I1995" i="1"/>
  <c r="B1996" i="1"/>
  <c r="C1996" i="1"/>
  <c r="D1996" i="1"/>
  <c r="E1996" i="1"/>
  <c r="F1996" i="1"/>
  <c r="G1996" i="1"/>
  <c r="H1996" i="1" a="1"/>
  <c r="H1996" i="1"/>
  <c r="I1996" i="1"/>
  <c r="B1997" i="1"/>
  <c r="C1997" i="1"/>
  <c r="D1997" i="1"/>
  <c r="E1997" i="1"/>
  <c r="F1997" i="1"/>
  <c r="G1997" i="1"/>
  <c r="H1997" i="1" a="1"/>
  <c r="H1997" i="1"/>
  <c r="I1997" i="1"/>
  <c r="B1998" i="1"/>
  <c r="C1998" i="1"/>
  <c r="D1998" i="1"/>
  <c r="E1998" i="1"/>
  <c r="F1998" i="1"/>
  <c r="G1998" i="1"/>
  <c r="H1998" i="1" a="1"/>
  <c r="H1998" i="1"/>
  <c r="I1998" i="1"/>
  <c r="B1999" i="1"/>
  <c r="C1999" i="1"/>
  <c r="D1999" i="1"/>
  <c r="E1999" i="1"/>
  <c r="F1999" i="1"/>
  <c r="G1999" i="1"/>
  <c r="H1999" i="1" a="1"/>
  <c r="H1999" i="1"/>
  <c r="I1999" i="1"/>
  <c r="B2000" i="1"/>
  <c r="C2000" i="1"/>
  <c r="D2000" i="1"/>
  <c r="E2000" i="1"/>
  <c r="F2000" i="1"/>
  <c r="G2000" i="1"/>
  <c r="H2000" i="1" a="1"/>
  <c r="H2000" i="1"/>
  <c r="I2000" i="1"/>
  <c r="B2001" i="1"/>
  <c r="C2001" i="1"/>
  <c r="D2001" i="1"/>
  <c r="E2001" i="1"/>
  <c r="F2001" i="1"/>
  <c r="G2001" i="1"/>
  <c r="H2001" i="1" a="1"/>
  <c r="H2001" i="1"/>
  <c r="I2001" i="1"/>
  <c r="B2002" i="1"/>
  <c r="C2002" i="1"/>
  <c r="D2002" i="1"/>
  <c r="E2002" i="1"/>
  <c r="F2002" i="1"/>
  <c r="G2002" i="1"/>
  <c r="H2002" i="1" a="1"/>
  <c r="H2002" i="1"/>
  <c r="I2002" i="1"/>
  <c r="B2003" i="1"/>
  <c r="C2003" i="1"/>
  <c r="D2003" i="1"/>
  <c r="E2003" i="1"/>
  <c r="F2003" i="1"/>
  <c r="G2003" i="1"/>
  <c r="H2003" i="1" a="1"/>
  <c r="H2003" i="1"/>
  <c r="I2003" i="1"/>
  <c r="B2004" i="1"/>
  <c r="C2004" i="1"/>
  <c r="D2004" i="1"/>
  <c r="E2004" i="1"/>
  <c r="F2004" i="1"/>
  <c r="G2004" i="1"/>
  <c r="H2004" i="1" a="1"/>
  <c r="H2004" i="1"/>
  <c r="I2004" i="1"/>
  <c r="B2005" i="1"/>
  <c r="C2005" i="1"/>
  <c r="D2005" i="1"/>
  <c r="E2005" i="1"/>
  <c r="F2005" i="1"/>
  <c r="G2005" i="1"/>
  <c r="H2005" i="1" a="1"/>
  <c r="H2005" i="1"/>
  <c r="I2005" i="1"/>
  <c r="B2006" i="1"/>
  <c r="C2006" i="1"/>
  <c r="D2006" i="1"/>
  <c r="E2006" i="1"/>
  <c r="F2006" i="1"/>
  <c r="G2006" i="1"/>
  <c r="H2006" i="1" a="1"/>
  <c r="H2006" i="1"/>
  <c r="I2006" i="1"/>
  <c r="B2007" i="1"/>
  <c r="C2007" i="1"/>
  <c r="D2007" i="1"/>
  <c r="E2007" i="1"/>
  <c r="F2007" i="1"/>
  <c r="G2007" i="1"/>
  <c r="H2007" i="1" a="1"/>
  <c r="H2007" i="1"/>
  <c r="I2007" i="1"/>
  <c r="B2008" i="1"/>
  <c r="C2008" i="1"/>
  <c r="D2008" i="1"/>
  <c r="E2008" i="1"/>
  <c r="F2008" i="1"/>
  <c r="G2008" i="1"/>
  <c r="H2008" i="1" a="1"/>
  <c r="H2008" i="1"/>
  <c r="I2008" i="1"/>
  <c r="B2009" i="1"/>
  <c r="C2009" i="1"/>
  <c r="D2009" i="1"/>
  <c r="E2009" i="1"/>
  <c r="F2009" i="1"/>
  <c r="G2009" i="1"/>
  <c r="H2009" i="1" a="1"/>
  <c r="H2009" i="1"/>
  <c r="I2009" i="1"/>
  <c r="B2010" i="1"/>
  <c r="C2010" i="1"/>
  <c r="D2010" i="1"/>
  <c r="E2010" i="1"/>
  <c r="F2010" i="1"/>
  <c r="G2010" i="1"/>
  <c r="H2010" i="1" a="1"/>
  <c r="H2010" i="1"/>
  <c r="I2010" i="1"/>
  <c r="B2011" i="1"/>
  <c r="C2011" i="1"/>
  <c r="D2011" i="1"/>
  <c r="E2011" i="1"/>
  <c r="F2011" i="1"/>
  <c r="G2011" i="1"/>
  <c r="H2011" i="1" a="1"/>
  <c r="H2011" i="1"/>
  <c r="I2011" i="1"/>
  <c r="B2012" i="1"/>
  <c r="C2012" i="1"/>
  <c r="D2012" i="1"/>
  <c r="E2012" i="1"/>
  <c r="F2012" i="1"/>
  <c r="G2012" i="1"/>
  <c r="H2012" i="1" a="1"/>
  <c r="H2012" i="1"/>
  <c r="I2012" i="1"/>
  <c r="B2013" i="1"/>
  <c r="C2013" i="1"/>
  <c r="D2013" i="1"/>
  <c r="E2013" i="1"/>
  <c r="F2013" i="1"/>
  <c r="G2013" i="1"/>
  <c r="H2013" i="1" a="1"/>
  <c r="H2013" i="1"/>
  <c r="I2013" i="1"/>
  <c r="B2014" i="1"/>
  <c r="C2014" i="1"/>
  <c r="D2014" i="1"/>
  <c r="E2014" i="1"/>
  <c r="F2014" i="1"/>
  <c r="G2014" i="1"/>
  <c r="H2014" i="1" a="1"/>
  <c r="H2014" i="1"/>
  <c r="I2014" i="1"/>
  <c r="B2015" i="1"/>
  <c r="C2015" i="1"/>
  <c r="D2015" i="1"/>
  <c r="E2015" i="1"/>
  <c r="F2015" i="1"/>
  <c r="G2015" i="1"/>
  <c r="H2015" i="1" a="1"/>
  <c r="H2015" i="1"/>
  <c r="I2015" i="1"/>
  <c r="B2016" i="1"/>
  <c r="C2016" i="1"/>
  <c r="D2016" i="1"/>
  <c r="E2016" i="1"/>
  <c r="F2016" i="1"/>
  <c r="G2016" i="1"/>
  <c r="H2016" i="1" a="1"/>
  <c r="H2016" i="1"/>
  <c r="I2016" i="1"/>
  <c r="B2017" i="1"/>
  <c r="C2017" i="1"/>
  <c r="D2017" i="1"/>
  <c r="E2017" i="1"/>
  <c r="F2017" i="1"/>
  <c r="G2017" i="1"/>
  <c r="H2017" i="1" a="1"/>
  <c r="H2017" i="1"/>
  <c r="I2017" i="1"/>
  <c r="B2018" i="1"/>
  <c r="C2018" i="1"/>
  <c r="D2018" i="1"/>
  <c r="E2018" i="1"/>
  <c r="F2018" i="1"/>
  <c r="G2018" i="1"/>
  <c r="H2018" i="1" a="1"/>
  <c r="H2018" i="1"/>
  <c r="I2018" i="1"/>
  <c r="B2019" i="1"/>
  <c r="C2019" i="1"/>
  <c r="D2019" i="1"/>
  <c r="E2019" i="1"/>
  <c r="F2019" i="1"/>
  <c r="G2019" i="1"/>
  <c r="H2019" i="1" a="1"/>
  <c r="H2019" i="1"/>
  <c r="I2019" i="1"/>
  <c r="B2020" i="1"/>
  <c r="C2020" i="1"/>
  <c r="D2020" i="1"/>
  <c r="E2020" i="1"/>
  <c r="F2020" i="1"/>
  <c r="G2020" i="1"/>
  <c r="H2020" i="1" a="1"/>
  <c r="H2020" i="1"/>
  <c r="I2020" i="1"/>
  <c r="B2021" i="1"/>
  <c r="C2021" i="1"/>
  <c r="D2021" i="1"/>
  <c r="E2021" i="1"/>
  <c r="F2021" i="1"/>
  <c r="G2021" i="1"/>
  <c r="H2021" i="1" a="1"/>
  <c r="H2021" i="1"/>
  <c r="I2021" i="1"/>
  <c r="B2022" i="1"/>
  <c r="C2022" i="1"/>
  <c r="D2022" i="1"/>
  <c r="E2022" i="1"/>
  <c r="F2022" i="1"/>
  <c r="G2022" i="1"/>
  <c r="H2022" i="1" a="1"/>
  <c r="H2022" i="1"/>
  <c r="I2022" i="1"/>
  <c r="B2023" i="1"/>
  <c r="C2023" i="1"/>
  <c r="D2023" i="1"/>
  <c r="E2023" i="1"/>
  <c r="F2023" i="1"/>
  <c r="G2023" i="1"/>
  <c r="H2023" i="1" a="1"/>
  <c r="H2023" i="1"/>
  <c r="I2023" i="1"/>
  <c r="B2024" i="1"/>
  <c r="C2024" i="1"/>
  <c r="D2024" i="1"/>
  <c r="E2024" i="1"/>
  <c r="F2024" i="1"/>
  <c r="G2024" i="1"/>
  <c r="H2024" i="1" a="1"/>
  <c r="H2024" i="1"/>
  <c r="I2024" i="1"/>
  <c r="B2025" i="1"/>
  <c r="C2025" i="1"/>
  <c r="D2025" i="1"/>
  <c r="E2025" i="1"/>
  <c r="F2025" i="1"/>
  <c r="G2025" i="1"/>
  <c r="H2025" i="1" a="1"/>
  <c r="H2025" i="1"/>
  <c r="I2025" i="1"/>
  <c r="B2026" i="1"/>
  <c r="C2026" i="1"/>
  <c r="D2026" i="1"/>
  <c r="E2026" i="1"/>
  <c r="F2026" i="1"/>
  <c r="G2026" i="1"/>
  <c r="H2026" i="1" a="1"/>
  <c r="H2026" i="1"/>
  <c r="I2026" i="1"/>
  <c r="B2027" i="1"/>
  <c r="C2027" i="1"/>
  <c r="D2027" i="1"/>
  <c r="E2027" i="1"/>
  <c r="F2027" i="1"/>
  <c r="G2027" i="1"/>
  <c r="H2027" i="1" a="1"/>
  <c r="H2027" i="1"/>
  <c r="I2027" i="1"/>
  <c r="B2028" i="1"/>
  <c r="C2028" i="1"/>
  <c r="D2028" i="1"/>
  <c r="E2028" i="1"/>
  <c r="F2028" i="1"/>
  <c r="G2028" i="1"/>
  <c r="H2028" i="1" a="1"/>
  <c r="H2028" i="1"/>
  <c r="I2028" i="1"/>
  <c r="B2029" i="1"/>
  <c r="C2029" i="1"/>
  <c r="D2029" i="1"/>
  <c r="E2029" i="1"/>
  <c r="F2029" i="1"/>
  <c r="G2029" i="1"/>
  <c r="H2029" i="1" a="1"/>
  <c r="H2029" i="1"/>
  <c r="I2029" i="1"/>
  <c r="B2030" i="1"/>
  <c r="C2030" i="1"/>
  <c r="D2030" i="1"/>
  <c r="E2030" i="1"/>
  <c r="F2030" i="1"/>
  <c r="G2030" i="1"/>
  <c r="H2030" i="1" a="1"/>
  <c r="H2030" i="1"/>
  <c r="I2030" i="1"/>
  <c r="B2031" i="1"/>
  <c r="C2031" i="1"/>
  <c r="D2031" i="1"/>
  <c r="E2031" i="1"/>
  <c r="F2031" i="1"/>
  <c r="G2031" i="1"/>
  <c r="H2031" i="1" a="1"/>
  <c r="H2031" i="1"/>
  <c r="I2031" i="1"/>
  <c r="B2032" i="1"/>
  <c r="C2032" i="1"/>
  <c r="D2032" i="1"/>
  <c r="E2032" i="1"/>
  <c r="F2032" i="1"/>
  <c r="G2032" i="1"/>
  <c r="H2032" i="1" a="1"/>
  <c r="H2032" i="1"/>
  <c r="I2032" i="1"/>
  <c r="B2033" i="1"/>
  <c r="C2033" i="1"/>
  <c r="D2033" i="1"/>
  <c r="E2033" i="1"/>
  <c r="F2033" i="1"/>
  <c r="G2033" i="1"/>
  <c r="H2033" i="1" a="1"/>
  <c r="H2033" i="1"/>
  <c r="I2033" i="1"/>
  <c r="B2034" i="1"/>
  <c r="C2034" i="1"/>
  <c r="D2034" i="1"/>
  <c r="E2034" i="1"/>
  <c r="F2034" i="1"/>
  <c r="G2034" i="1"/>
  <c r="H2034" i="1" a="1"/>
  <c r="H2034" i="1"/>
  <c r="I2034" i="1"/>
  <c r="B2035" i="1"/>
  <c r="I2035" i="1"/>
  <c r="A1" i="1" a="1"/>
  <c r="G121" i="1" s="1"/>
  <c r="A1" i="1"/>
  <c r="B608" i="1" l="1"/>
  <c r="C608" i="1"/>
  <c r="D608" i="1"/>
  <c r="E608" i="1"/>
  <c r="F608" i="1"/>
  <c r="G608" i="1"/>
  <c r="H608" i="1" a="1"/>
  <c r="H608" i="1" s="1"/>
  <c r="I608" i="1"/>
  <c r="B609" i="1"/>
  <c r="C609" i="1"/>
  <c r="D609" i="1"/>
  <c r="E609" i="1"/>
  <c r="F609" i="1"/>
  <c r="G609" i="1"/>
  <c r="H609" i="1" a="1"/>
  <c r="H609" i="1" s="1"/>
  <c r="I609" i="1"/>
  <c r="B610" i="1"/>
  <c r="C610" i="1"/>
  <c r="D610" i="1"/>
  <c r="E610" i="1"/>
  <c r="F610" i="1"/>
  <c r="G610" i="1"/>
  <c r="H610" i="1" a="1"/>
  <c r="H610" i="1" s="1"/>
  <c r="I610" i="1"/>
  <c r="B611" i="1"/>
  <c r="C611" i="1"/>
  <c r="D611" i="1"/>
  <c r="E611" i="1"/>
  <c r="F611" i="1"/>
  <c r="G611" i="1"/>
  <c r="H611" i="1" a="1"/>
  <c r="H611" i="1" s="1"/>
  <c r="I611" i="1"/>
  <c r="B612" i="1"/>
  <c r="C612" i="1"/>
  <c r="D612" i="1"/>
  <c r="E612" i="1"/>
  <c r="F612" i="1"/>
  <c r="G612" i="1"/>
  <c r="H612" i="1" a="1"/>
  <c r="H612" i="1" s="1"/>
  <c r="I612" i="1"/>
  <c r="B613" i="1"/>
  <c r="C613" i="1"/>
  <c r="D613" i="1"/>
  <c r="E613" i="1"/>
  <c r="F613" i="1"/>
  <c r="G613" i="1"/>
  <c r="H613" i="1" a="1"/>
  <c r="H613" i="1" s="1"/>
  <c r="I613" i="1"/>
  <c r="B614" i="1"/>
  <c r="C614" i="1"/>
  <c r="D614" i="1"/>
  <c r="E614" i="1"/>
  <c r="F614" i="1"/>
  <c r="G614" i="1"/>
  <c r="H614" i="1" a="1"/>
  <c r="H614" i="1" s="1"/>
  <c r="I614" i="1"/>
  <c r="B615" i="1"/>
  <c r="C615" i="1"/>
  <c r="D615" i="1"/>
  <c r="E615" i="1"/>
  <c r="F615" i="1"/>
  <c r="G615" i="1"/>
  <c r="H615" i="1" a="1"/>
  <c r="H615" i="1" s="1"/>
  <c r="I615" i="1"/>
  <c r="B616" i="1"/>
  <c r="C616" i="1"/>
  <c r="D616" i="1"/>
  <c r="E616" i="1"/>
  <c r="F616" i="1"/>
  <c r="G616" i="1"/>
  <c r="H616" i="1" a="1"/>
  <c r="H616" i="1" s="1"/>
  <c r="I616" i="1"/>
  <c r="B617" i="1"/>
  <c r="C617" i="1"/>
  <c r="D617" i="1"/>
  <c r="E617" i="1"/>
  <c r="F617" i="1"/>
  <c r="G617" i="1"/>
  <c r="H617" i="1" a="1"/>
  <c r="H617" i="1" s="1"/>
  <c r="I617" i="1"/>
  <c r="B618" i="1"/>
  <c r="C618" i="1"/>
  <c r="D618" i="1"/>
  <c r="E618" i="1"/>
  <c r="F618" i="1"/>
  <c r="G618" i="1"/>
  <c r="H618" i="1" a="1"/>
  <c r="H618" i="1" s="1"/>
  <c r="I618" i="1"/>
  <c r="B619" i="1"/>
  <c r="C619" i="1"/>
  <c r="D619" i="1"/>
  <c r="E619" i="1"/>
  <c r="F619" i="1"/>
  <c r="G619" i="1"/>
  <c r="H619" i="1" a="1"/>
  <c r="H619" i="1" s="1"/>
  <c r="I619" i="1"/>
  <c r="B620" i="1"/>
  <c r="C620" i="1"/>
  <c r="D620" i="1"/>
  <c r="E620" i="1"/>
  <c r="F620" i="1"/>
  <c r="G620" i="1"/>
  <c r="H620" i="1" a="1"/>
  <c r="H620" i="1" s="1"/>
  <c r="I620" i="1"/>
  <c r="B621" i="1"/>
  <c r="C621" i="1"/>
  <c r="D621" i="1"/>
  <c r="E621" i="1"/>
  <c r="F621" i="1"/>
  <c r="G621" i="1"/>
  <c r="H621" i="1" a="1"/>
  <c r="H621" i="1" s="1"/>
  <c r="I621" i="1"/>
  <c r="B622" i="1"/>
  <c r="C622" i="1"/>
  <c r="D622" i="1"/>
  <c r="E622" i="1"/>
  <c r="F622" i="1"/>
  <c r="G622" i="1"/>
  <c r="H622" i="1" a="1"/>
  <c r="H622" i="1" s="1"/>
  <c r="I622" i="1"/>
  <c r="B623" i="1"/>
  <c r="C623" i="1"/>
  <c r="D623" i="1"/>
  <c r="E623" i="1"/>
  <c r="F623" i="1"/>
  <c r="G623" i="1"/>
  <c r="H623" i="1" a="1"/>
  <c r="H623" i="1" s="1"/>
  <c r="I623" i="1"/>
  <c r="B624" i="1"/>
  <c r="C624" i="1"/>
  <c r="D624" i="1"/>
  <c r="E624" i="1"/>
  <c r="F624" i="1"/>
  <c r="G624" i="1"/>
  <c r="H624" i="1" a="1"/>
  <c r="H624" i="1" s="1"/>
  <c r="I624" i="1"/>
  <c r="B625" i="1"/>
  <c r="C625" i="1"/>
  <c r="D625" i="1"/>
  <c r="E625" i="1"/>
  <c r="F625" i="1"/>
  <c r="G625" i="1"/>
  <c r="H625" i="1" a="1"/>
  <c r="H625" i="1" s="1"/>
  <c r="I625" i="1"/>
  <c r="B626" i="1"/>
  <c r="C626" i="1"/>
  <c r="D626" i="1"/>
  <c r="E626" i="1"/>
  <c r="F626" i="1"/>
  <c r="G626" i="1"/>
  <c r="H626" i="1" a="1"/>
  <c r="H626" i="1" s="1"/>
  <c r="I626" i="1"/>
  <c r="B627" i="1"/>
  <c r="C627" i="1"/>
  <c r="D627" i="1"/>
  <c r="E627" i="1"/>
  <c r="F627" i="1"/>
  <c r="G627" i="1"/>
  <c r="H627" i="1" a="1"/>
  <c r="H627" i="1" s="1"/>
  <c r="I627" i="1"/>
  <c r="B628" i="1"/>
  <c r="C628" i="1"/>
  <c r="D628" i="1"/>
  <c r="E628" i="1"/>
  <c r="F628" i="1"/>
  <c r="G628" i="1"/>
  <c r="H628" i="1" a="1"/>
  <c r="H628" i="1" s="1"/>
  <c r="I628" i="1"/>
  <c r="B629" i="1"/>
  <c r="C629" i="1"/>
  <c r="D629" i="1"/>
  <c r="E629" i="1"/>
  <c r="F629" i="1"/>
  <c r="G629" i="1"/>
  <c r="H629" i="1" a="1"/>
  <c r="H629" i="1" s="1"/>
  <c r="I629" i="1"/>
  <c r="B630" i="1"/>
  <c r="C630" i="1"/>
  <c r="D630" i="1"/>
  <c r="E630" i="1"/>
  <c r="F630" i="1"/>
  <c r="G630" i="1"/>
  <c r="H630" i="1" a="1"/>
  <c r="H630" i="1" s="1"/>
  <c r="I630" i="1"/>
  <c r="B631" i="1"/>
  <c r="C631" i="1"/>
  <c r="D631" i="1"/>
  <c r="E631" i="1"/>
  <c r="F631" i="1"/>
  <c r="G631" i="1"/>
  <c r="H631" i="1" a="1"/>
  <c r="H631" i="1" s="1"/>
  <c r="I631" i="1"/>
  <c r="B632" i="1"/>
  <c r="C632" i="1"/>
  <c r="D632" i="1"/>
  <c r="E632" i="1"/>
  <c r="F632" i="1"/>
  <c r="G632" i="1"/>
  <c r="H632" i="1" a="1"/>
  <c r="H632" i="1" s="1"/>
  <c r="I632" i="1"/>
  <c r="B633" i="1"/>
  <c r="C633" i="1"/>
  <c r="D633" i="1"/>
  <c r="E633" i="1"/>
  <c r="F633" i="1"/>
  <c r="G633" i="1"/>
  <c r="H633" i="1" a="1"/>
  <c r="H633" i="1" s="1"/>
  <c r="I633" i="1"/>
  <c r="B634" i="1"/>
  <c r="C634" i="1"/>
  <c r="D634" i="1"/>
  <c r="E634" i="1"/>
  <c r="F634" i="1"/>
  <c r="G634" i="1"/>
  <c r="H634" i="1" a="1"/>
  <c r="H634" i="1" s="1"/>
  <c r="I634" i="1"/>
  <c r="B635" i="1"/>
  <c r="C635" i="1"/>
  <c r="D635" i="1"/>
  <c r="E635" i="1"/>
  <c r="F635" i="1"/>
  <c r="G635" i="1"/>
  <c r="H635" i="1" a="1"/>
  <c r="H635" i="1" s="1"/>
  <c r="I635" i="1"/>
  <c r="B636" i="1"/>
  <c r="C636" i="1"/>
  <c r="D636" i="1"/>
  <c r="E636" i="1"/>
  <c r="F636" i="1"/>
  <c r="G636" i="1"/>
  <c r="H636" i="1" a="1"/>
  <c r="H636" i="1" s="1"/>
  <c r="I636" i="1"/>
  <c r="B637" i="1"/>
  <c r="C637" i="1"/>
  <c r="D637" i="1"/>
  <c r="E637" i="1"/>
  <c r="F637" i="1"/>
  <c r="G637" i="1"/>
  <c r="H637" i="1" a="1"/>
  <c r="H637" i="1" s="1"/>
  <c r="I637" i="1"/>
  <c r="B638" i="1"/>
  <c r="C638" i="1"/>
  <c r="D638" i="1"/>
  <c r="E638" i="1"/>
  <c r="F638" i="1"/>
  <c r="G638" i="1"/>
  <c r="H638" i="1" a="1"/>
  <c r="H638" i="1" s="1"/>
  <c r="I638" i="1"/>
  <c r="B639" i="1"/>
  <c r="C639" i="1"/>
  <c r="D639" i="1"/>
  <c r="E639" i="1"/>
  <c r="F639" i="1"/>
  <c r="G639" i="1"/>
  <c r="H639" i="1" a="1"/>
  <c r="H639" i="1" s="1"/>
  <c r="I639" i="1"/>
  <c r="B640" i="1"/>
  <c r="C640" i="1"/>
  <c r="D640" i="1"/>
  <c r="E640" i="1"/>
  <c r="F640" i="1"/>
  <c r="G640" i="1"/>
  <c r="H640" i="1" a="1"/>
  <c r="H640" i="1" s="1"/>
  <c r="I640" i="1"/>
  <c r="B641" i="1"/>
  <c r="C641" i="1"/>
  <c r="D641" i="1"/>
  <c r="E641" i="1"/>
  <c r="F641" i="1"/>
  <c r="G641" i="1"/>
  <c r="H641" i="1" a="1"/>
  <c r="H641" i="1" s="1"/>
  <c r="I641" i="1"/>
  <c r="B642" i="1"/>
  <c r="C642" i="1"/>
  <c r="D642" i="1"/>
  <c r="E642" i="1"/>
  <c r="F642" i="1"/>
  <c r="G642" i="1"/>
  <c r="H642" i="1" a="1"/>
  <c r="H642" i="1" s="1"/>
  <c r="I642" i="1"/>
  <c r="B643" i="1"/>
  <c r="C643" i="1"/>
  <c r="D643" i="1"/>
  <c r="E643" i="1"/>
  <c r="F643" i="1"/>
  <c r="G643" i="1"/>
  <c r="H643" i="1" a="1"/>
  <c r="H643" i="1" s="1"/>
  <c r="I643" i="1"/>
  <c r="B644" i="1"/>
  <c r="C644" i="1"/>
  <c r="D644" i="1"/>
  <c r="E644" i="1"/>
  <c r="F644" i="1"/>
  <c r="G644" i="1"/>
  <c r="H644" i="1" a="1"/>
  <c r="H644" i="1" s="1"/>
  <c r="I644" i="1"/>
  <c r="B645" i="1"/>
  <c r="C645" i="1"/>
  <c r="D645" i="1"/>
  <c r="E645" i="1"/>
  <c r="F645" i="1"/>
  <c r="G645" i="1"/>
  <c r="H645" i="1" a="1"/>
  <c r="H645" i="1" s="1"/>
  <c r="I645" i="1"/>
  <c r="B646" i="1"/>
  <c r="C646" i="1"/>
  <c r="D646" i="1"/>
  <c r="E646" i="1"/>
  <c r="F646" i="1"/>
  <c r="G646" i="1"/>
  <c r="H646" i="1" a="1"/>
  <c r="H646" i="1" s="1"/>
  <c r="I646" i="1"/>
  <c r="B647" i="1"/>
  <c r="C647" i="1"/>
  <c r="D647" i="1"/>
  <c r="E647" i="1"/>
  <c r="F647" i="1"/>
  <c r="G647" i="1"/>
  <c r="H647" i="1" a="1"/>
  <c r="H647" i="1" s="1"/>
  <c r="I647" i="1"/>
  <c r="B648" i="1"/>
  <c r="C648" i="1"/>
  <c r="D648" i="1"/>
  <c r="E648" i="1"/>
  <c r="F648" i="1"/>
  <c r="G648" i="1"/>
  <c r="H648" i="1" a="1"/>
  <c r="H648" i="1" s="1"/>
  <c r="I648" i="1"/>
  <c r="B649" i="1"/>
  <c r="C649" i="1"/>
  <c r="D649" i="1"/>
  <c r="E649" i="1"/>
  <c r="F649" i="1"/>
  <c r="G649" i="1"/>
  <c r="H649" i="1" a="1"/>
  <c r="H649" i="1" s="1"/>
  <c r="I649" i="1"/>
  <c r="B650" i="1"/>
  <c r="C650" i="1"/>
  <c r="D650" i="1"/>
  <c r="E650" i="1"/>
  <c r="F650" i="1"/>
  <c r="G650" i="1"/>
  <c r="H650" i="1" a="1"/>
  <c r="H650" i="1" s="1"/>
  <c r="I650" i="1"/>
  <c r="B651" i="1"/>
  <c r="C651" i="1"/>
  <c r="D651" i="1"/>
  <c r="E651" i="1"/>
  <c r="F651" i="1"/>
  <c r="G651" i="1"/>
  <c r="H651" i="1" a="1"/>
  <c r="H651" i="1" s="1"/>
  <c r="I651" i="1"/>
  <c r="B652" i="1"/>
  <c r="C652" i="1"/>
  <c r="D652" i="1"/>
  <c r="E652" i="1"/>
  <c r="F652" i="1"/>
  <c r="G652" i="1"/>
  <c r="H652" i="1" a="1"/>
  <c r="H652" i="1" s="1"/>
  <c r="I652" i="1"/>
  <c r="B653" i="1"/>
  <c r="C653" i="1"/>
  <c r="D653" i="1"/>
  <c r="E653" i="1"/>
  <c r="F653" i="1"/>
  <c r="G653" i="1"/>
  <c r="H653" i="1" a="1"/>
  <c r="H653" i="1" s="1"/>
  <c r="I653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2" i="1"/>
  <c r="R2" i="1"/>
  <c r="H2" i="1" a="1"/>
  <c r="H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2" i="1"/>
  <c r="G2" i="1"/>
  <c r="J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2" i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 s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 s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 s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 s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 s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G3" i="1"/>
  <c r="J3" i="1" s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J121" i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J263" i="1" s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J280" i="1" s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2" i="1"/>
  <c r="J292" i="1" s="1"/>
  <c r="G293" i="1"/>
  <c r="J293" i="1" s="1"/>
  <c r="G294" i="1"/>
  <c r="J294" i="1" s="1"/>
  <c r="G295" i="1"/>
  <c r="J295" i="1" s="1"/>
  <c r="G296" i="1"/>
  <c r="J296" i="1" s="1"/>
  <c r="G297" i="1"/>
  <c r="J297" i="1" s="1"/>
  <c r="G298" i="1"/>
  <c r="J298" i="1" s="1"/>
  <c r="G299" i="1"/>
  <c r="J299" i="1" s="1"/>
  <c r="G300" i="1"/>
  <c r="J300" i="1" s="1"/>
  <c r="G301" i="1"/>
  <c r="J301" i="1" s="1"/>
  <c r="G302" i="1"/>
  <c r="J302" i="1" s="1"/>
  <c r="G303" i="1"/>
  <c r="J303" i="1" s="1"/>
  <c r="G304" i="1"/>
  <c r="J304" i="1" s="1"/>
  <c r="G305" i="1"/>
  <c r="J305" i="1" s="1"/>
  <c r="G306" i="1"/>
  <c r="J306" i="1" s="1"/>
  <c r="G307" i="1"/>
  <c r="J307" i="1" s="1"/>
  <c r="G308" i="1"/>
  <c r="J308" i="1" s="1"/>
  <c r="G309" i="1"/>
  <c r="J309" i="1" s="1"/>
  <c r="G310" i="1"/>
  <c r="J310" i="1" s="1"/>
  <c r="G311" i="1"/>
  <c r="J311" i="1" s="1"/>
  <c r="G312" i="1"/>
  <c r="J312" i="1" s="1"/>
  <c r="G313" i="1"/>
  <c r="J313" i="1" s="1"/>
  <c r="G314" i="1"/>
  <c r="J314" i="1" s="1"/>
  <c r="G315" i="1"/>
  <c r="J315" i="1" s="1"/>
  <c r="G316" i="1"/>
  <c r="J316" i="1" s="1"/>
  <c r="G317" i="1"/>
  <c r="J317" i="1" s="1"/>
  <c r="G318" i="1"/>
  <c r="J318" i="1" s="1"/>
  <c r="G319" i="1"/>
  <c r="J319" i="1" s="1"/>
  <c r="G320" i="1"/>
  <c r="J320" i="1" s="1"/>
  <c r="G321" i="1"/>
  <c r="J321" i="1" s="1"/>
  <c r="G322" i="1"/>
  <c r="J322" i="1" s="1"/>
  <c r="G323" i="1"/>
  <c r="J323" i="1" s="1"/>
  <c r="G324" i="1"/>
  <c r="J324" i="1" s="1"/>
  <c r="G325" i="1"/>
  <c r="J325" i="1" s="1"/>
  <c r="G326" i="1"/>
  <c r="J326" i="1" s="1"/>
  <c r="G327" i="1"/>
  <c r="J327" i="1" s="1"/>
  <c r="G328" i="1"/>
  <c r="J328" i="1" s="1"/>
  <c r="G329" i="1"/>
  <c r="J329" i="1" s="1"/>
  <c r="G330" i="1"/>
  <c r="J330" i="1" s="1"/>
  <c r="G331" i="1"/>
  <c r="J331" i="1" s="1"/>
  <c r="G332" i="1"/>
  <c r="J332" i="1" s="1"/>
  <c r="G333" i="1"/>
  <c r="J333" i="1" s="1"/>
  <c r="G334" i="1"/>
  <c r="J334" i="1" s="1"/>
  <c r="G335" i="1"/>
  <c r="J335" i="1" s="1"/>
  <c r="G336" i="1"/>
  <c r="J336" i="1" s="1"/>
  <c r="G337" i="1"/>
  <c r="J337" i="1" s="1"/>
  <c r="G338" i="1"/>
  <c r="J338" i="1" s="1"/>
  <c r="G339" i="1"/>
  <c r="J339" i="1" s="1"/>
  <c r="G340" i="1"/>
  <c r="J340" i="1" s="1"/>
  <c r="G341" i="1"/>
  <c r="J341" i="1" s="1"/>
  <c r="G342" i="1"/>
  <c r="J342" i="1" s="1"/>
  <c r="G343" i="1"/>
  <c r="J343" i="1" s="1"/>
  <c r="G344" i="1"/>
  <c r="J344" i="1" s="1"/>
  <c r="G345" i="1"/>
  <c r="J345" i="1" s="1"/>
  <c r="G346" i="1"/>
  <c r="J346" i="1" s="1"/>
  <c r="G347" i="1"/>
  <c r="J347" i="1" s="1"/>
  <c r="G348" i="1"/>
  <c r="J348" i="1" s="1"/>
  <c r="G349" i="1"/>
  <c r="J349" i="1" s="1"/>
  <c r="G350" i="1"/>
  <c r="J350" i="1" s="1"/>
  <c r="G351" i="1"/>
  <c r="J351" i="1" s="1"/>
  <c r="G352" i="1"/>
  <c r="J352" i="1" s="1"/>
  <c r="G353" i="1"/>
  <c r="J353" i="1" s="1"/>
  <c r="G354" i="1"/>
  <c r="J354" i="1" s="1"/>
  <c r="G355" i="1"/>
  <c r="J355" i="1" s="1"/>
  <c r="G356" i="1"/>
  <c r="J356" i="1" s="1"/>
  <c r="G357" i="1"/>
  <c r="J357" i="1" s="1"/>
  <c r="G358" i="1"/>
  <c r="J358" i="1" s="1"/>
  <c r="G359" i="1"/>
  <c r="J359" i="1" s="1"/>
  <c r="G360" i="1"/>
  <c r="J360" i="1" s="1"/>
  <c r="G361" i="1"/>
  <c r="J361" i="1" s="1"/>
  <c r="G362" i="1"/>
  <c r="J362" i="1" s="1"/>
  <c r="G363" i="1"/>
  <c r="J363" i="1" s="1"/>
  <c r="G364" i="1"/>
  <c r="J364" i="1" s="1"/>
  <c r="G365" i="1"/>
  <c r="J365" i="1" s="1"/>
  <c r="G366" i="1"/>
  <c r="J366" i="1" s="1"/>
  <c r="G367" i="1"/>
  <c r="J367" i="1" s="1"/>
  <c r="G368" i="1"/>
  <c r="J368" i="1" s="1"/>
  <c r="G369" i="1"/>
  <c r="J369" i="1" s="1"/>
  <c r="G370" i="1"/>
  <c r="J370" i="1" s="1"/>
  <c r="G371" i="1"/>
  <c r="J371" i="1" s="1"/>
  <c r="G372" i="1"/>
  <c r="J372" i="1" s="1"/>
  <c r="G373" i="1"/>
  <c r="J373" i="1" s="1"/>
  <c r="G374" i="1"/>
  <c r="J374" i="1" s="1"/>
  <c r="G375" i="1"/>
  <c r="J375" i="1" s="1"/>
  <c r="G376" i="1"/>
  <c r="J376" i="1" s="1"/>
  <c r="G377" i="1"/>
  <c r="J377" i="1" s="1"/>
  <c r="G378" i="1"/>
  <c r="J378" i="1" s="1"/>
  <c r="G379" i="1"/>
  <c r="J379" i="1" s="1"/>
  <c r="G380" i="1"/>
  <c r="J380" i="1" s="1"/>
  <c r="G381" i="1"/>
  <c r="J381" i="1" s="1"/>
  <c r="G382" i="1"/>
  <c r="J382" i="1" s="1"/>
  <c r="G383" i="1"/>
  <c r="J383" i="1" s="1"/>
  <c r="G384" i="1"/>
  <c r="J384" i="1" s="1"/>
  <c r="G385" i="1"/>
  <c r="J385" i="1" s="1"/>
  <c r="G386" i="1"/>
  <c r="J386" i="1" s="1"/>
  <c r="G387" i="1"/>
  <c r="J387" i="1" s="1"/>
  <c r="G388" i="1"/>
  <c r="J388" i="1" s="1"/>
  <c r="G389" i="1"/>
  <c r="J389" i="1" s="1"/>
  <c r="G390" i="1"/>
  <c r="J390" i="1" s="1"/>
  <c r="G391" i="1"/>
  <c r="J391" i="1" s="1"/>
  <c r="G392" i="1"/>
  <c r="J392" i="1" s="1"/>
  <c r="G393" i="1"/>
  <c r="J393" i="1" s="1"/>
  <c r="G394" i="1"/>
  <c r="J394" i="1" s="1"/>
  <c r="G395" i="1"/>
  <c r="J395" i="1" s="1"/>
  <c r="G396" i="1"/>
  <c r="J396" i="1" s="1"/>
  <c r="G397" i="1"/>
  <c r="J397" i="1" s="1"/>
  <c r="G398" i="1"/>
  <c r="J398" i="1" s="1"/>
  <c r="G399" i="1"/>
  <c r="J399" i="1" s="1"/>
  <c r="G400" i="1"/>
  <c r="J400" i="1" s="1"/>
  <c r="G401" i="1"/>
  <c r="J401" i="1" s="1"/>
  <c r="G402" i="1"/>
  <c r="J402" i="1" s="1"/>
  <c r="G403" i="1"/>
  <c r="J403" i="1" s="1"/>
  <c r="G404" i="1"/>
  <c r="J404" i="1" s="1"/>
  <c r="G405" i="1"/>
  <c r="J405" i="1" s="1"/>
  <c r="G406" i="1"/>
  <c r="J406" i="1" s="1"/>
  <c r="G407" i="1"/>
  <c r="J407" i="1" s="1"/>
  <c r="G408" i="1"/>
  <c r="J408" i="1" s="1"/>
  <c r="G409" i="1"/>
  <c r="J409" i="1" s="1"/>
  <c r="G410" i="1"/>
  <c r="J410" i="1" s="1"/>
  <c r="G411" i="1"/>
  <c r="J411" i="1" s="1"/>
  <c r="G412" i="1"/>
  <c r="J412" i="1" s="1"/>
  <c r="G413" i="1"/>
  <c r="J413" i="1" s="1"/>
  <c r="G414" i="1"/>
  <c r="J414" i="1" s="1"/>
  <c r="G415" i="1"/>
  <c r="J415" i="1" s="1"/>
  <c r="G416" i="1"/>
  <c r="J416" i="1" s="1"/>
  <c r="G417" i="1"/>
  <c r="J417" i="1" s="1"/>
  <c r="G418" i="1"/>
  <c r="J418" i="1" s="1"/>
  <c r="G419" i="1"/>
  <c r="J419" i="1" s="1"/>
  <c r="G420" i="1"/>
  <c r="J420" i="1" s="1"/>
  <c r="G421" i="1"/>
  <c r="J421" i="1" s="1"/>
  <c r="G422" i="1"/>
  <c r="J422" i="1" s="1"/>
  <c r="G423" i="1"/>
  <c r="J423" i="1" s="1"/>
  <c r="G424" i="1"/>
  <c r="J424" i="1" s="1"/>
  <c r="G425" i="1"/>
  <c r="J425" i="1" s="1"/>
  <c r="G426" i="1"/>
  <c r="J426" i="1" s="1"/>
  <c r="G427" i="1"/>
  <c r="J427" i="1" s="1"/>
  <c r="G428" i="1"/>
  <c r="J428" i="1" s="1"/>
  <c r="G429" i="1"/>
  <c r="J429" i="1" s="1"/>
  <c r="G430" i="1"/>
  <c r="J430" i="1" s="1"/>
  <c r="G431" i="1"/>
  <c r="J431" i="1" s="1"/>
  <c r="G432" i="1"/>
  <c r="J432" i="1" s="1"/>
  <c r="G433" i="1"/>
  <c r="J433" i="1" s="1"/>
  <c r="G434" i="1"/>
  <c r="J434" i="1" s="1"/>
  <c r="G435" i="1"/>
  <c r="J435" i="1" s="1"/>
  <c r="G436" i="1"/>
  <c r="J436" i="1" s="1"/>
  <c r="G437" i="1"/>
  <c r="J437" i="1" s="1"/>
  <c r="G438" i="1"/>
  <c r="J438" i="1" s="1"/>
  <c r="G439" i="1"/>
  <c r="J439" i="1" s="1"/>
  <c r="G440" i="1"/>
  <c r="J440" i="1" s="1"/>
  <c r="G441" i="1"/>
  <c r="J441" i="1" s="1"/>
  <c r="G442" i="1"/>
  <c r="J442" i="1" s="1"/>
  <c r="G443" i="1"/>
  <c r="J443" i="1" s="1"/>
  <c r="G444" i="1"/>
  <c r="J444" i="1" s="1"/>
  <c r="G445" i="1"/>
  <c r="J445" i="1" s="1"/>
  <c r="G446" i="1"/>
  <c r="J446" i="1" s="1"/>
  <c r="G447" i="1"/>
  <c r="J447" i="1" s="1"/>
  <c r="G448" i="1"/>
  <c r="J448" i="1" s="1"/>
  <c r="G449" i="1"/>
  <c r="J449" i="1" s="1"/>
  <c r="G450" i="1"/>
  <c r="J450" i="1" s="1"/>
  <c r="G451" i="1"/>
  <c r="J451" i="1" s="1"/>
  <c r="G452" i="1"/>
  <c r="J452" i="1" s="1"/>
  <c r="G453" i="1"/>
  <c r="J453" i="1" s="1"/>
  <c r="G454" i="1"/>
  <c r="J454" i="1" s="1"/>
  <c r="G455" i="1"/>
  <c r="J455" i="1" s="1"/>
  <c r="G456" i="1"/>
  <c r="J456" i="1" s="1"/>
  <c r="G457" i="1"/>
  <c r="J457" i="1" s="1"/>
  <c r="G458" i="1"/>
  <c r="J458" i="1" s="1"/>
  <c r="G459" i="1"/>
  <c r="J459" i="1" s="1"/>
  <c r="G460" i="1"/>
  <c r="J460" i="1" s="1"/>
  <c r="G461" i="1"/>
  <c r="J461" i="1" s="1"/>
  <c r="G462" i="1"/>
  <c r="J462" i="1" s="1"/>
  <c r="G463" i="1"/>
  <c r="J463" i="1" s="1"/>
  <c r="G464" i="1"/>
  <c r="J464" i="1" s="1"/>
  <c r="G465" i="1"/>
  <c r="J465" i="1" s="1"/>
  <c r="G466" i="1"/>
  <c r="J466" i="1" s="1"/>
  <c r="G467" i="1"/>
  <c r="J467" i="1" s="1"/>
  <c r="G468" i="1"/>
  <c r="J468" i="1" s="1"/>
  <c r="G469" i="1"/>
  <c r="J469" i="1" s="1"/>
  <c r="G470" i="1"/>
  <c r="J470" i="1" s="1"/>
  <c r="G471" i="1"/>
  <c r="J471" i="1" s="1"/>
  <c r="G472" i="1"/>
  <c r="J472" i="1" s="1"/>
  <c r="G473" i="1"/>
  <c r="J473" i="1" s="1"/>
  <c r="G474" i="1"/>
  <c r="J474" i="1" s="1"/>
  <c r="G475" i="1"/>
  <c r="J475" i="1" s="1"/>
  <c r="G476" i="1"/>
  <c r="J476" i="1" s="1"/>
  <c r="G477" i="1"/>
  <c r="J477" i="1" s="1"/>
  <c r="G478" i="1"/>
  <c r="J478" i="1" s="1"/>
  <c r="G479" i="1"/>
  <c r="J479" i="1" s="1"/>
  <c r="G480" i="1"/>
  <c r="J480" i="1" s="1"/>
  <c r="G481" i="1"/>
  <c r="J481" i="1" s="1"/>
  <c r="G482" i="1"/>
  <c r="J482" i="1" s="1"/>
  <c r="G483" i="1"/>
  <c r="J483" i="1" s="1"/>
  <c r="G484" i="1"/>
  <c r="J484" i="1" s="1"/>
  <c r="G485" i="1"/>
  <c r="J485" i="1" s="1"/>
  <c r="G486" i="1"/>
  <c r="J486" i="1" s="1"/>
  <c r="G487" i="1"/>
  <c r="J487" i="1" s="1"/>
  <c r="G488" i="1"/>
  <c r="J488" i="1" s="1"/>
  <c r="G489" i="1"/>
  <c r="J489" i="1" s="1"/>
  <c r="G490" i="1"/>
  <c r="J490" i="1" s="1"/>
  <c r="G491" i="1"/>
  <c r="J491" i="1" s="1"/>
  <c r="G492" i="1"/>
  <c r="J492" i="1" s="1"/>
  <c r="G493" i="1"/>
  <c r="J493" i="1" s="1"/>
  <c r="G494" i="1"/>
  <c r="J494" i="1" s="1"/>
  <c r="G495" i="1"/>
  <c r="J495" i="1" s="1"/>
  <c r="G496" i="1"/>
  <c r="J496" i="1" s="1"/>
  <c r="G497" i="1"/>
  <c r="J497" i="1" s="1"/>
  <c r="G498" i="1"/>
  <c r="J498" i="1" s="1"/>
  <c r="G499" i="1"/>
  <c r="J499" i="1" s="1"/>
  <c r="G500" i="1"/>
  <c r="J500" i="1" s="1"/>
  <c r="G501" i="1"/>
  <c r="J501" i="1" s="1"/>
  <c r="G502" i="1"/>
  <c r="J502" i="1" s="1"/>
  <c r="G503" i="1"/>
  <c r="J503" i="1" s="1"/>
  <c r="G504" i="1"/>
  <c r="J504" i="1" s="1"/>
  <c r="G505" i="1"/>
  <c r="J505" i="1" s="1"/>
  <c r="G506" i="1"/>
  <c r="J506" i="1" s="1"/>
  <c r="G507" i="1"/>
  <c r="J507" i="1" s="1"/>
  <c r="G508" i="1"/>
  <c r="J508" i="1" s="1"/>
  <c r="G509" i="1"/>
  <c r="J509" i="1" s="1"/>
  <c r="G510" i="1"/>
  <c r="J510" i="1" s="1"/>
  <c r="G511" i="1"/>
  <c r="J511" i="1" s="1"/>
  <c r="G512" i="1"/>
  <c r="J512" i="1" s="1"/>
  <c r="G513" i="1"/>
  <c r="J513" i="1" s="1"/>
  <c r="G514" i="1"/>
  <c r="J514" i="1" s="1"/>
  <c r="G515" i="1"/>
  <c r="J515" i="1" s="1"/>
  <c r="G516" i="1"/>
  <c r="J516" i="1" s="1"/>
  <c r="G517" i="1"/>
  <c r="J517" i="1" s="1"/>
  <c r="G518" i="1"/>
  <c r="J518" i="1" s="1"/>
  <c r="G519" i="1"/>
  <c r="J519" i="1" s="1"/>
  <c r="G520" i="1"/>
  <c r="J520" i="1" s="1"/>
  <c r="G521" i="1"/>
  <c r="J521" i="1" s="1"/>
  <c r="G522" i="1"/>
  <c r="J522" i="1" s="1"/>
  <c r="G523" i="1"/>
  <c r="J523" i="1" s="1"/>
  <c r="G524" i="1"/>
  <c r="J524" i="1" s="1"/>
  <c r="G525" i="1"/>
  <c r="J525" i="1" s="1"/>
  <c r="G526" i="1"/>
  <c r="J526" i="1" s="1"/>
  <c r="G527" i="1"/>
  <c r="J527" i="1" s="1"/>
  <c r="G528" i="1"/>
  <c r="J528" i="1" s="1"/>
  <c r="G529" i="1"/>
  <c r="J529" i="1" s="1"/>
  <c r="G530" i="1"/>
  <c r="J530" i="1" s="1"/>
  <c r="G531" i="1"/>
  <c r="J531" i="1" s="1"/>
  <c r="G532" i="1"/>
  <c r="J532" i="1" s="1"/>
  <c r="G533" i="1"/>
  <c r="J533" i="1" s="1"/>
  <c r="G534" i="1"/>
  <c r="J534" i="1" s="1"/>
  <c r="G535" i="1"/>
  <c r="J535" i="1" s="1"/>
  <c r="G536" i="1"/>
  <c r="J536" i="1" s="1"/>
  <c r="G537" i="1"/>
  <c r="J537" i="1" s="1"/>
  <c r="G538" i="1"/>
  <c r="J538" i="1" s="1"/>
  <c r="G539" i="1"/>
  <c r="J539" i="1" s="1"/>
  <c r="G540" i="1"/>
  <c r="J540" i="1" s="1"/>
  <c r="G541" i="1"/>
  <c r="J541" i="1" s="1"/>
  <c r="G542" i="1"/>
  <c r="J542" i="1" s="1"/>
  <c r="G543" i="1"/>
  <c r="J543" i="1" s="1"/>
  <c r="G544" i="1"/>
  <c r="J544" i="1" s="1"/>
  <c r="G545" i="1"/>
  <c r="J545" i="1" s="1"/>
  <c r="G546" i="1"/>
  <c r="J546" i="1" s="1"/>
  <c r="G547" i="1"/>
  <c r="J547" i="1" s="1"/>
  <c r="G548" i="1"/>
  <c r="J548" i="1" s="1"/>
  <c r="G549" i="1"/>
  <c r="J549" i="1" s="1"/>
  <c r="G550" i="1"/>
  <c r="J550" i="1" s="1"/>
  <c r="G551" i="1"/>
  <c r="J551" i="1" s="1"/>
  <c r="G552" i="1"/>
  <c r="J552" i="1" s="1"/>
  <c r="G553" i="1"/>
  <c r="J553" i="1" s="1"/>
  <c r="G554" i="1"/>
  <c r="J554" i="1" s="1"/>
  <c r="G555" i="1"/>
  <c r="J555" i="1" s="1"/>
  <c r="G556" i="1"/>
  <c r="J556" i="1" s="1"/>
  <c r="G557" i="1"/>
  <c r="J557" i="1" s="1"/>
  <c r="G558" i="1"/>
  <c r="J558" i="1" s="1"/>
  <c r="G559" i="1"/>
  <c r="J559" i="1" s="1"/>
  <c r="G560" i="1"/>
  <c r="J560" i="1" s="1"/>
  <c r="G561" i="1"/>
  <c r="J561" i="1" s="1"/>
  <c r="G562" i="1"/>
  <c r="J562" i="1" s="1"/>
  <c r="G563" i="1"/>
  <c r="J563" i="1" s="1"/>
  <c r="G564" i="1"/>
  <c r="J564" i="1" s="1"/>
  <c r="G565" i="1"/>
  <c r="J565" i="1" s="1"/>
  <c r="G566" i="1"/>
  <c r="J566" i="1" s="1"/>
  <c r="G567" i="1"/>
  <c r="J567" i="1" s="1"/>
  <c r="G568" i="1"/>
  <c r="J568" i="1" s="1"/>
  <c r="G569" i="1"/>
  <c r="J569" i="1" s="1"/>
  <c r="G570" i="1"/>
  <c r="J570" i="1" s="1"/>
  <c r="G571" i="1"/>
  <c r="J571" i="1" s="1"/>
  <c r="G572" i="1"/>
  <c r="J572" i="1" s="1"/>
  <c r="G573" i="1"/>
  <c r="J573" i="1" s="1"/>
  <c r="G574" i="1"/>
  <c r="J574" i="1" s="1"/>
  <c r="G575" i="1"/>
  <c r="J575" i="1" s="1"/>
  <c r="G576" i="1"/>
  <c r="J576" i="1" s="1"/>
  <c r="G577" i="1"/>
  <c r="J577" i="1" s="1"/>
  <c r="G578" i="1"/>
  <c r="J578" i="1" s="1"/>
  <c r="G579" i="1"/>
  <c r="J579" i="1" s="1"/>
  <c r="G580" i="1"/>
  <c r="J580" i="1" s="1"/>
  <c r="G581" i="1"/>
  <c r="J581" i="1" s="1"/>
  <c r="G582" i="1"/>
  <c r="J582" i="1" s="1"/>
  <c r="G583" i="1"/>
  <c r="J583" i="1" s="1"/>
  <c r="G584" i="1"/>
  <c r="J584" i="1" s="1"/>
  <c r="G585" i="1"/>
  <c r="J585" i="1" s="1"/>
  <c r="G586" i="1"/>
  <c r="J586" i="1" s="1"/>
  <c r="G587" i="1"/>
  <c r="J587" i="1" s="1"/>
  <c r="G588" i="1"/>
  <c r="J588" i="1" s="1"/>
  <c r="G589" i="1"/>
  <c r="J589" i="1" s="1"/>
  <c r="G590" i="1"/>
  <c r="J590" i="1" s="1"/>
  <c r="G591" i="1"/>
  <c r="J591" i="1" s="1"/>
  <c r="G592" i="1"/>
  <c r="J592" i="1" s="1"/>
  <c r="G593" i="1"/>
  <c r="J593" i="1" s="1"/>
  <c r="G594" i="1"/>
  <c r="J594" i="1" s="1"/>
  <c r="G595" i="1"/>
  <c r="J595" i="1" s="1"/>
  <c r="G596" i="1"/>
  <c r="J596" i="1" s="1"/>
  <c r="G597" i="1"/>
  <c r="J597" i="1" s="1"/>
  <c r="G598" i="1"/>
  <c r="J598" i="1" s="1"/>
  <c r="G599" i="1"/>
  <c r="J599" i="1" s="1"/>
  <c r="G600" i="1"/>
  <c r="J600" i="1" s="1"/>
  <c r="G601" i="1"/>
  <c r="J601" i="1" s="1"/>
  <c r="G602" i="1"/>
  <c r="J602" i="1" s="1"/>
  <c r="G603" i="1"/>
  <c r="J603" i="1" s="1"/>
  <c r="G604" i="1"/>
  <c r="J604" i="1" s="1"/>
  <c r="G605" i="1"/>
  <c r="J605" i="1" s="1"/>
  <c r="G606" i="1"/>
  <c r="J606" i="1" s="1"/>
  <c r="G607" i="1"/>
  <c r="J607" i="1" s="1"/>
  <c r="R3" i="1" l="1" a="1"/>
  <c r="R3" i="1" s="1"/>
  <c r="P13" i="1" a="1"/>
  <c r="P13" i="1" s="1"/>
  <c r="T1444" i="1" l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38" i="1"/>
  <c r="T1439" i="1"/>
  <c r="T1440" i="1"/>
  <c r="T1441" i="1"/>
  <c r="T1442" i="1"/>
  <c r="T1443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R13" i="1" l="1"/>
  <c r="Q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8276E5-19B1-449B-8ECF-CB85728FFAE0}" keepAlive="1" name="Query - bbt3" description="Connection to the 'bbt3' query in the workbook." type="5" refreshedVersion="8" background="1" saveData="1">
    <dbPr connection="Provider=Microsoft.Mashup.OleDb.1;Data Source=$Workbook$;Location=bbt3;Extended Properties=&quot;&quot;" command="SELECT * FROM [bbt3]"/>
  </connection>
  <connection id="2" xr16:uid="{A816067D-5115-4B71-89A2-E9D8125E0044}" keepAlive="1" name="Query - Close" description="Connection to the 'Close' query in the workbook." type="5" refreshedVersion="8" background="1" saveData="1">
    <dbPr connection="Provider=Microsoft.Mashup.OleDb.1;Data Source=$Workbook$;Location=Close;Extended Properties=&quot;&quot;" command="SELECT * FROM [Close]"/>
  </connection>
  <connection id="3" xr16:uid="{53A0F2AC-822E-405A-8798-16286428C26C}" keepAlive="1" name="Query - CloseDL" description="Connection to the 'CloseDL' query in the workbook." type="5" refreshedVersion="8" background="1" saveData="1">
    <dbPr connection="Provider=Microsoft.Mashup.OleDb.1;Data Source=$Workbook$;Location=CloseDL;Extended Properties=&quot;&quot;" command="SELECT * FROM [CloseDL]"/>
  </connection>
  <connection id="4" xr16:uid="{71FF51A8-D21C-4383-BB8A-301E1628814F}" keepAlive="1" name="Query - TheDate" description="Connection to the 'TheDate' query in the workbook." type="5" refreshedVersion="0" background="1" saveData="1">
    <dbPr connection="Provider=Microsoft.Mashup.OleDb.1;Data Source=$Workbook$;Location=TheDate;Extended Properties=&quot;&quot;" command="SELECT * FROM [TheDat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<sst xmlns="http://schemas.openxmlformats.org/spreadsheetml/2006/main" count="38059" uniqueCount="6939">
  <si>
    <t>Column1</t>
  </si>
  <si>
    <t>ID</t>
  </si>
  <si>
    <t>ISIN</t>
  </si>
  <si>
    <t>Coupon</t>
  </si>
  <si>
    <t>Maturity</t>
  </si>
  <si>
    <t>InflationLinked</t>
  </si>
  <si>
    <t>MASTER_FIXED_INCOME_INSTRUMENT_ID</t>
  </si>
  <si>
    <t>MASTER_FIXED_INCOME_ID_TYPE</t>
  </si>
  <si>
    <t>DATE</t>
  </si>
  <si>
    <t>METRIC_NAME</t>
  </si>
  <si>
    <t>METRIC_VALUE</t>
  </si>
  <si>
    <t>CR_TIME</t>
  </si>
  <si>
    <t>REPLICA_TIME</t>
  </si>
  <si>
    <t>Bond</t>
  </si>
  <si>
    <t>912803BM4</t>
  </si>
  <si>
    <t>US912803BM40</t>
  </si>
  <si>
    <t>N</t>
  </si>
  <si>
    <t>PX_ASK</t>
  </si>
  <si>
    <t>PX_BID</t>
  </si>
  <si>
    <t>912803BP7</t>
  </si>
  <si>
    <t>US912803BP70</t>
  </si>
  <si>
    <t>912803CK7</t>
  </si>
  <si>
    <t>US912803CK74</t>
  </si>
  <si>
    <t>912803DA8</t>
  </si>
  <si>
    <t>US912803DA83</t>
  </si>
  <si>
    <t>912803DF7</t>
  </si>
  <si>
    <t>US912803DF70</t>
  </si>
  <si>
    <t>912803DT7</t>
  </si>
  <si>
    <t>US912803DT74</t>
  </si>
  <si>
    <t>912803DU4</t>
  </si>
  <si>
    <t>US912803DU48</t>
  </si>
  <si>
    <t>912803DV2</t>
  </si>
  <si>
    <t>US912803DV21</t>
  </si>
  <si>
    <t>912803EL3</t>
  </si>
  <si>
    <t>US912803EL30</t>
  </si>
  <si>
    <t>912803EQ2</t>
  </si>
  <si>
    <t>US912803EQ27</t>
  </si>
  <si>
    <t>912803ET6</t>
  </si>
  <si>
    <t>US912803ET65</t>
  </si>
  <si>
    <t>912803FF5</t>
  </si>
  <si>
    <t>US912803FF52</t>
  </si>
  <si>
    <t>912803FG3</t>
  </si>
  <si>
    <t>US912803FG36</t>
  </si>
  <si>
    <t>912803FJ7</t>
  </si>
  <si>
    <t>US912803FJ74</t>
  </si>
  <si>
    <t>912803FL2</t>
  </si>
  <si>
    <t>US912803FL21</t>
  </si>
  <si>
    <t>912803FM0</t>
  </si>
  <si>
    <t>US912803FM04</t>
  </si>
  <si>
    <t>912803GC1</t>
  </si>
  <si>
    <t>US912803GC13</t>
  </si>
  <si>
    <t>912803GS6</t>
  </si>
  <si>
    <t>US912803GS64</t>
  </si>
  <si>
    <t>912810EY0</t>
  </si>
  <si>
    <t>US912810EY02</t>
  </si>
  <si>
    <t>912810FB9</t>
  </si>
  <si>
    <t>US912810FB99</t>
  </si>
  <si>
    <t>912810PW2</t>
  </si>
  <si>
    <t>US912810PW27</t>
  </si>
  <si>
    <t>912810QH4</t>
  </si>
  <si>
    <t>US912810QH41</t>
  </si>
  <si>
    <t>96.1406250000</t>
  </si>
  <si>
    <t>912810QP6</t>
  </si>
  <si>
    <t>US912810QP66</t>
  </si>
  <si>
    <t>Y</t>
  </si>
  <si>
    <t>912810QQ4</t>
  </si>
  <si>
    <t>US912810QQ40</t>
  </si>
  <si>
    <t>YLD_CNV_BID</t>
  </si>
  <si>
    <t>912810QY7</t>
  </si>
  <si>
    <t>US912810QY73</t>
  </si>
  <si>
    <t>912810RD2</t>
  </si>
  <si>
    <t>US912810RD28</t>
  </si>
  <si>
    <t>912803BJ1</t>
  </si>
  <si>
    <t>912803BL6</t>
  </si>
  <si>
    <t>US912803BL66</t>
  </si>
  <si>
    <t>912803BW2</t>
  </si>
  <si>
    <t>US912803BW22</t>
  </si>
  <si>
    <t>912803DJ9</t>
  </si>
  <si>
    <t>US912803DJ92</t>
  </si>
  <si>
    <t>912803DK6</t>
  </si>
  <si>
    <t>US912803DK65</t>
  </si>
  <si>
    <t>912803DN0</t>
  </si>
  <si>
    <t>US912803DN05</t>
  </si>
  <si>
    <t>912803DX8</t>
  </si>
  <si>
    <t>US912803DX86</t>
  </si>
  <si>
    <t>912803DZ3</t>
  </si>
  <si>
    <t>US912803DZ35</t>
  </si>
  <si>
    <t>912803ED1</t>
  </si>
  <si>
    <t>US912803ED14</t>
  </si>
  <si>
    <t>912803EY5</t>
  </si>
  <si>
    <t>US912803EY50</t>
  </si>
  <si>
    <t>912803FY4</t>
  </si>
  <si>
    <t>US912803FY42</t>
  </si>
  <si>
    <t>912803GE7</t>
  </si>
  <si>
    <t>US912803GE78</t>
  </si>
  <si>
    <t>912803GM9</t>
  </si>
  <si>
    <t>US912803GM94</t>
  </si>
  <si>
    <t>912810FJ2</t>
  </si>
  <si>
    <t>US912810FJ26</t>
  </si>
  <si>
    <t>912810FM5</t>
  </si>
  <si>
    <t>US912810FM54</t>
  </si>
  <si>
    <t>912810PS1</t>
  </si>
  <si>
    <t>US912810PS15</t>
  </si>
  <si>
    <t>98.5781250000</t>
  </si>
  <si>
    <t>912810PZ5</t>
  </si>
  <si>
    <t>US912810PZ57</t>
  </si>
  <si>
    <t>912810QC5</t>
  </si>
  <si>
    <t>US912810QC53</t>
  </si>
  <si>
    <t>912810QK7</t>
  </si>
  <si>
    <t>US912810QK79</t>
  </si>
  <si>
    <t>912810QL5</t>
  </si>
  <si>
    <t>US912810QL52</t>
  </si>
  <si>
    <t>912810QT8</t>
  </si>
  <si>
    <t>US912810QT88</t>
  </si>
  <si>
    <t>912810QU5</t>
  </si>
  <si>
    <t>US912810QU51</t>
  </si>
  <si>
    <t>912803BV4</t>
  </si>
  <si>
    <t>US912803BV49</t>
  </si>
  <si>
    <t>912803CX9</t>
  </si>
  <si>
    <t>US912803CX95</t>
  </si>
  <si>
    <t>912803DC4</t>
  </si>
  <si>
    <t>US912803DC40</t>
  </si>
  <si>
    <t>912803DG5</t>
  </si>
  <si>
    <t>US912803DG53</t>
  </si>
  <si>
    <t>912803DH3</t>
  </si>
  <si>
    <t>US912803DH37</t>
  </si>
  <si>
    <t>912803EK5</t>
  </si>
  <si>
    <t>US912803EK56</t>
  </si>
  <si>
    <t>912803ER0</t>
  </si>
  <si>
    <t>US912803ER00</t>
  </si>
  <si>
    <t>912803EU3</t>
  </si>
  <si>
    <t>US912803EU39</t>
  </si>
  <si>
    <t>912803EZ2</t>
  </si>
  <si>
    <t>US912803EZ26</t>
  </si>
  <si>
    <t>912803GK3</t>
  </si>
  <si>
    <t>US912803GK39</t>
  </si>
  <si>
    <t>912803GP2</t>
  </si>
  <si>
    <t>US912803GP26</t>
  </si>
  <si>
    <t>912810FA1</t>
  </si>
  <si>
    <t>US912810FA17</t>
  </si>
  <si>
    <t>912810FG8</t>
  </si>
  <si>
    <t>US912810FG86</t>
  </si>
  <si>
    <t>912810FH6</t>
  </si>
  <si>
    <t>US912810FH69</t>
  </si>
  <si>
    <t>912810FP8</t>
  </si>
  <si>
    <t>US912810FP85</t>
  </si>
  <si>
    <t>912810FQ6</t>
  </si>
  <si>
    <t>US912810FQ68</t>
  </si>
  <si>
    <t>912810PU6</t>
  </si>
  <si>
    <t>US912810PU60</t>
  </si>
  <si>
    <t>912810QD3</t>
  </si>
  <si>
    <t>US912810QD37</t>
  </si>
  <si>
    <t>912803CH4</t>
  </si>
  <si>
    <t>US912803CH46</t>
  </si>
  <si>
    <t>912803CZ4</t>
  </si>
  <si>
    <t>US912803CZ44</t>
  </si>
  <si>
    <t>912803EA7</t>
  </si>
  <si>
    <t>US912803EA74</t>
  </si>
  <si>
    <t>912803EC3</t>
  </si>
  <si>
    <t>US912803EC31</t>
  </si>
  <si>
    <t>912803EE9</t>
  </si>
  <si>
    <t>US912803EE96</t>
  </si>
  <si>
    <t>912803EF6</t>
  </si>
  <si>
    <t>US912803EF61</t>
  </si>
  <si>
    <t>912803EN9</t>
  </si>
  <si>
    <t>US912803EN95</t>
  </si>
  <si>
    <t>912803EP4</t>
  </si>
  <si>
    <t>US912803EP44</t>
  </si>
  <si>
    <t>912803EV1</t>
  </si>
  <si>
    <t>US912803EV12</t>
  </si>
  <si>
    <t>912803EW9</t>
  </si>
  <si>
    <t>US912803EW94</t>
  </si>
  <si>
    <t>912803FB4</t>
  </si>
  <si>
    <t>US912803FB49</t>
  </si>
  <si>
    <t>912803FK4</t>
  </si>
  <si>
    <t>US912803FK48</t>
  </si>
  <si>
    <t>912803FV0</t>
  </si>
  <si>
    <t>US912803FV03</t>
  </si>
  <si>
    <t>912803GH0</t>
  </si>
  <si>
    <t>US912803GH00</t>
  </si>
  <si>
    <t>912810EZ7</t>
  </si>
  <si>
    <t>US912810EZ76</t>
  </si>
  <si>
    <t>912810FE3</t>
  </si>
  <si>
    <t>US912810FE39</t>
  </si>
  <si>
    <t>912810FF0</t>
  </si>
  <si>
    <t>US912810FF04</t>
  </si>
  <si>
    <t>912810PT9</t>
  </si>
  <si>
    <t>US912810PT97</t>
  </si>
  <si>
    <t>912810RK6</t>
  </si>
  <si>
    <t>US912810RK60</t>
  </si>
  <si>
    <t>912810RM2</t>
  </si>
  <si>
    <t>US912810RM27</t>
  </si>
  <si>
    <t>912810RR1</t>
  </si>
  <si>
    <t>US912810RR14</t>
  </si>
  <si>
    <t>912810RS9</t>
  </si>
  <si>
    <t>US912810RS96</t>
  </si>
  <si>
    <t>912810SD1</t>
  </si>
  <si>
    <t>US912810SD19</t>
  </si>
  <si>
    <t>912810SK5</t>
  </si>
  <si>
    <t>US912810SK51</t>
  </si>
  <si>
    <t>912810SV1</t>
  </si>
  <si>
    <t>US912810SV17</t>
  </si>
  <si>
    <t>912810TC2</t>
  </si>
  <si>
    <t>US912810TC27</t>
  </si>
  <si>
    <t>912810TV0</t>
  </si>
  <si>
    <t>US912810TV08</t>
  </si>
  <si>
    <t>912810UC0</t>
  </si>
  <si>
    <t>US912810UC08</t>
  </si>
  <si>
    <t>912810UE6</t>
  </si>
  <si>
    <t>US912810UE63</t>
  </si>
  <si>
    <t>912810UG1</t>
  </si>
  <si>
    <t>US912810UG12</t>
  </si>
  <si>
    <t>912810UL0</t>
  </si>
  <si>
    <t>US912810UL07</t>
  </si>
  <si>
    <t>YLD_CNV_ASK</t>
  </si>
  <si>
    <t>YLD_YTM_BID</t>
  </si>
  <si>
    <t>912810UM8</t>
  </si>
  <si>
    <t>US912810UM89</t>
  </si>
  <si>
    <t>912810UP1</t>
  </si>
  <si>
    <t>US912810UP11</t>
  </si>
  <si>
    <t>912810UR7</t>
  </si>
  <si>
    <t>US912810UR76</t>
  </si>
  <si>
    <t>912810UT3</t>
  </si>
  <si>
    <t>US912810UT33</t>
  </si>
  <si>
    <t>YLD_YTM_ASK</t>
  </si>
  <si>
    <t>912803BK8</t>
  </si>
  <si>
    <t>US912803BK83</t>
  </si>
  <si>
    <t>912803CG6</t>
  </si>
  <si>
    <t>US912803CG62</t>
  </si>
  <si>
    <t>912803DD2</t>
  </si>
  <si>
    <t>US912803DD23</t>
  </si>
  <si>
    <t>912803DS9</t>
  </si>
  <si>
    <t>US912803DS91</t>
  </si>
  <si>
    <t>912803EH2</t>
  </si>
  <si>
    <t>US912803EH28</t>
  </si>
  <si>
    <t>912803EJ8</t>
  </si>
  <si>
    <t>US912803EJ83</t>
  </si>
  <si>
    <t>912803FD0</t>
  </si>
  <si>
    <t>US912803FD05</t>
  </si>
  <si>
    <t>912803FP3</t>
  </si>
  <si>
    <t>US912803FP35</t>
  </si>
  <si>
    <t>912810EX2</t>
  </si>
  <si>
    <t>US912810EX29</t>
  </si>
  <si>
    <t>912810FD5</t>
  </si>
  <si>
    <t>US912810FD55</t>
  </si>
  <si>
    <t>912810QA9</t>
  </si>
  <si>
    <t>US912810QA97</t>
  </si>
  <si>
    <t>912810QN1</t>
  </si>
  <si>
    <t>US912810QN19</t>
  </si>
  <si>
    <t>912803DM2</t>
  </si>
  <si>
    <t>US912803DM22</t>
  </si>
  <si>
    <t>912803DP5</t>
  </si>
  <si>
    <t>US912803DP52</t>
  </si>
  <si>
    <t>912803DY6</t>
  </si>
  <si>
    <t>US912803DY69</t>
  </si>
  <si>
    <t>912803FT5</t>
  </si>
  <si>
    <t>US912803FT56</t>
  </si>
  <si>
    <t>912810PV4</t>
  </si>
  <si>
    <t>US912810PV44</t>
  </si>
  <si>
    <t>912810PX0</t>
  </si>
  <si>
    <t>US912810PX00</t>
  </si>
  <si>
    <t>912810QB7</t>
  </si>
  <si>
    <t>US912810QB70</t>
  </si>
  <si>
    <t>912810QF8</t>
  </si>
  <si>
    <t>US912810QF84</t>
  </si>
  <si>
    <t>912810QV3</t>
  </si>
  <si>
    <t>US912810QV35</t>
  </si>
  <si>
    <t>912810QZ4</t>
  </si>
  <si>
    <t>US912810QZ49</t>
  </si>
  <si>
    <t>912810RC4</t>
  </si>
  <si>
    <t>US912810RC45</t>
  </si>
  <si>
    <t>912810RE0</t>
  </si>
  <si>
    <t>US912810RE01</t>
  </si>
  <si>
    <t>912803FA6</t>
  </si>
  <si>
    <t>US912803FA65</t>
  </si>
  <si>
    <t>912803FR9</t>
  </si>
  <si>
    <t>US912803FR90</t>
  </si>
  <si>
    <t>912810FT0</t>
  </si>
  <si>
    <t>US912810FT08</t>
  </si>
  <si>
    <t>912810QS0</t>
  </si>
  <si>
    <t>US912810QS06</t>
  </si>
  <si>
    <t>912810RB6</t>
  </si>
  <si>
    <t>US912810RB61</t>
  </si>
  <si>
    <t>912810RT7</t>
  </si>
  <si>
    <t>US912810RT79</t>
  </si>
  <si>
    <t>912810SH2</t>
  </si>
  <si>
    <t>US912810SH23</t>
  </si>
  <si>
    <t>912810SJ8</t>
  </si>
  <si>
    <t>US912810SJ88</t>
  </si>
  <si>
    <t>912810SR0</t>
  </si>
  <si>
    <t>US912810SR05</t>
  </si>
  <si>
    <t>912810SZ2</t>
  </si>
  <si>
    <t>US912810SZ21</t>
  </si>
  <si>
    <t>912810TA6</t>
  </si>
  <si>
    <t>US912810TA60</t>
  </si>
  <si>
    <t>912810TM0</t>
  </si>
  <si>
    <t>US912810TM09</t>
  </si>
  <si>
    <t>912810TN8</t>
  </si>
  <si>
    <t>US912810TN81</t>
  </si>
  <si>
    <t>912810TP3</t>
  </si>
  <si>
    <t>US912810TP30</t>
  </si>
  <si>
    <t>912810TY4</t>
  </si>
  <si>
    <t>US912810TY47</t>
  </si>
  <si>
    <t>912810UK2</t>
  </si>
  <si>
    <t>US912810UK24</t>
  </si>
  <si>
    <t>912810UN6</t>
  </si>
  <si>
    <t>US912810UN62</t>
  </si>
  <si>
    <t>912810UQ9</t>
  </si>
  <si>
    <t>US912810UQ93</t>
  </si>
  <si>
    <t>9128205B9</t>
  </si>
  <si>
    <t>US9128205B99</t>
  </si>
  <si>
    <t>912821DV4</t>
  </si>
  <si>
    <t>US912821DV45</t>
  </si>
  <si>
    <t>912821HY4</t>
  </si>
  <si>
    <t>US912821HY48</t>
  </si>
  <si>
    <t>912821MX0</t>
  </si>
  <si>
    <t>US912821MX00</t>
  </si>
  <si>
    <t>9128282A7</t>
  </si>
  <si>
    <t>US9128282A70</t>
  </si>
  <si>
    <t>912810QE1</t>
  </si>
  <si>
    <t>US912810QE10</t>
  </si>
  <si>
    <t>912810QW1</t>
  </si>
  <si>
    <t>US912810QW18</t>
  </si>
  <si>
    <t>912810QX9</t>
  </si>
  <si>
    <t>US912810QX90</t>
  </si>
  <si>
    <t>912810RA8</t>
  </si>
  <si>
    <t>US912810RA88</t>
  </si>
  <si>
    <t>912810SA7</t>
  </si>
  <si>
    <t>US912810SA79</t>
  </si>
  <si>
    <t>912810SC3</t>
  </si>
  <si>
    <t>US912810SC36</t>
  </si>
  <si>
    <t>912810SF6</t>
  </si>
  <si>
    <t>US912810SF66</t>
  </si>
  <si>
    <t>912810SL3</t>
  </si>
  <si>
    <t>US912810SL35</t>
  </si>
  <si>
    <t>912810SM1</t>
  </si>
  <si>
    <t>US912810SM18</t>
  </si>
  <si>
    <t>912810SP4</t>
  </si>
  <si>
    <t>US912810SP49</t>
  </si>
  <si>
    <t>912810ST6</t>
  </si>
  <si>
    <t>US912810ST60</t>
  </si>
  <si>
    <t>912810SX7</t>
  </si>
  <si>
    <t>US912810SX72</t>
  </si>
  <si>
    <t>912810TB4</t>
  </si>
  <si>
    <t>US912810TB44</t>
  </si>
  <si>
    <t>912810TG3</t>
  </si>
  <si>
    <t>US912810TG31</t>
  </si>
  <si>
    <t>912810TJ7</t>
  </si>
  <si>
    <t>US912810TJ79</t>
  </si>
  <si>
    <t>912810TQ1</t>
  </si>
  <si>
    <t>US912810TQ13</t>
  </si>
  <si>
    <t>912810TR9</t>
  </si>
  <si>
    <t>US912810TR95</t>
  </si>
  <si>
    <t>912810TW8</t>
  </si>
  <si>
    <t>US912810TW80</t>
  </si>
  <si>
    <t>912810RL4</t>
  </si>
  <si>
    <t>US912810RL44</t>
  </si>
  <si>
    <t>912810RN0</t>
  </si>
  <si>
    <t>US912810RN00</t>
  </si>
  <si>
    <t>912810RP5</t>
  </si>
  <si>
    <t>US912810RP57</t>
  </si>
  <si>
    <t>912810RQ3</t>
  </si>
  <si>
    <t>US912810RQ31</t>
  </si>
  <si>
    <t>912810RU4</t>
  </si>
  <si>
    <t>US912810RU43</t>
  </si>
  <si>
    <t>912810RX8</t>
  </si>
  <si>
    <t>US912810RX81</t>
  </si>
  <si>
    <t>912810SB5</t>
  </si>
  <si>
    <t>US912810SB52</t>
  </si>
  <si>
    <t>912810SG4</t>
  </si>
  <si>
    <t>US912810SG40</t>
  </si>
  <si>
    <t>912810TF5</t>
  </si>
  <si>
    <t>US912810TF57</t>
  </si>
  <si>
    <t>912810TK4</t>
  </si>
  <si>
    <t>US912810TK43</t>
  </si>
  <si>
    <t>912810TZ1</t>
  </si>
  <si>
    <t>US912810TZ12</t>
  </si>
  <si>
    <t>912810UA4</t>
  </si>
  <si>
    <t>US912810UA42</t>
  </si>
  <si>
    <t>912810UH9</t>
  </si>
  <si>
    <t>US912810UH94</t>
  </si>
  <si>
    <t>100.2187500000</t>
  </si>
  <si>
    <t>912821FP5</t>
  </si>
  <si>
    <t>US912821FP58</t>
  </si>
  <si>
    <t>912821JN6</t>
  </si>
  <si>
    <t>US912821JN64</t>
  </si>
  <si>
    <t>912821LG8</t>
  </si>
  <si>
    <t>US912821LG85</t>
  </si>
  <si>
    <t>912821MH5</t>
  </si>
  <si>
    <t>US912821MH59</t>
  </si>
  <si>
    <t>9128282L3</t>
  </si>
  <si>
    <t>US9128282L36</t>
  </si>
  <si>
    <t>9128282R0</t>
  </si>
  <si>
    <t>US9128282R06</t>
  </si>
  <si>
    <t>9128283F5</t>
  </si>
  <si>
    <t>US9128283F58</t>
  </si>
  <si>
    <t>9128284N7</t>
  </si>
  <si>
    <t>US9128284N73</t>
  </si>
  <si>
    <t>9128284V9</t>
  </si>
  <si>
    <t>US9128284V99</t>
  </si>
  <si>
    <t>9128285M8</t>
  </si>
  <si>
    <t>US9128285M81</t>
  </si>
  <si>
    <t>9128285W6</t>
  </si>
  <si>
    <t>US9128285W63</t>
  </si>
  <si>
    <t>9128286T2</t>
  </si>
  <si>
    <t>US9128286T26</t>
  </si>
  <si>
    <t>9128287D6</t>
  </si>
  <si>
    <t>US9128287D64</t>
  </si>
  <si>
    <t>912828X88</t>
  </si>
  <si>
    <t>US912828X885</t>
  </si>
  <si>
    <t>912828Y38</t>
  </si>
  <si>
    <t>US912828Y388</t>
  </si>
  <si>
    <t>912828Y95</t>
  </si>
  <si>
    <t>US912828Y958</t>
  </si>
  <si>
    <t>912828YX2</t>
  </si>
  <si>
    <t>US912828YX25</t>
  </si>
  <si>
    <t>912828Z78</t>
  </si>
  <si>
    <t>US912828Z781</t>
  </si>
  <si>
    <t>912810RJ9</t>
  </si>
  <si>
    <t>US912810RJ97</t>
  </si>
  <si>
    <t>912810RZ3</t>
  </si>
  <si>
    <t>US912810RZ30</t>
  </si>
  <si>
    <t>912810SN9</t>
  </si>
  <si>
    <t>US912810SN90</t>
  </si>
  <si>
    <t>912810SQ2</t>
  </si>
  <si>
    <t>US912810SQ22</t>
  </si>
  <si>
    <t>912810TH1</t>
  </si>
  <si>
    <t>US912810TH14</t>
  </si>
  <si>
    <t>912810TL2</t>
  </si>
  <si>
    <t>US912810TL26</t>
  </si>
  <si>
    <t>84.7812500000</t>
  </si>
  <si>
    <t>912810TT5</t>
  </si>
  <si>
    <t>US912810TT51</t>
  </si>
  <si>
    <t>912810TX6</t>
  </si>
  <si>
    <t>US912810TX63</t>
  </si>
  <si>
    <t>912810UB2</t>
  </si>
  <si>
    <t>US912810UB25</t>
  </si>
  <si>
    <t>912810UF3</t>
  </si>
  <si>
    <t>US912810UF39</t>
  </si>
  <si>
    <t>912810US5</t>
  </si>
  <si>
    <t>US912810US59</t>
  </si>
  <si>
    <t>912810RG5</t>
  </si>
  <si>
    <t>US912810RG58</t>
  </si>
  <si>
    <t>912810RH3</t>
  </si>
  <si>
    <t>US912810RH32</t>
  </si>
  <si>
    <t>912810RV2</t>
  </si>
  <si>
    <t>US912810RV26</t>
  </si>
  <si>
    <t>912810RW0</t>
  </si>
  <si>
    <t>US912810RW09</t>
  </si>
  <si>
    <t>912810RY6</t>
  </si>
  <si>
    <t>US912810RY64</t>
  </si>
  <si>
    <t>912810SE9</t>
  </si>
  <si>
    <t>US912810SE91</t>
  </si>
  <si>
    <t>912810SS8</t>
  </si>
  <si>
    <t>US912810SS87</t>
  </si>
  <si>
    <t>912810SU3</t>
  </si>
  <si>
    <t>US912810SU34</t>
  </si>
  <si>
    <t>912810TS7</t>
  </si>
  <si>
    <t>US912810TS78</t>
  </si>
  <si>
    <t>912810SW9</t>
  </si>
  <si>
    <t>US912810SW99</t>
  </si>
  <si>
    <t>912810TD0</t>
  </si>
  <si>
    <t>US912810TD00</t>
  </si>
  <si>
    <t>912810TE8</t>
  </si>
  <si>
    <t>US912810TE82</t>
  </si>
  <si>
    <t>912810TU2</t>
  </si>
  <si>
    <t>US912810TU25</t>
  </si>
  <si>
    <t>912810UJ5</t>
  </si>
  <si>
    <t>US912810UJ50</t>
  </si>
  <si>
    <t>9128207D3</t>
  </si>
  <si>
    <t>US9128207D38</t>
  </si>
  <si>
    <t>9128283R9</t>
  </si>
  <si>
    <t>US9128283R96</t>
  </si>
  <si>
    <t>9128286B1</t>
  </si>
  <si>
    <t>US9128286B18</t>
  </si>
  <si>
    <t>9128287B0</t>
  </si>
  <si>
    <t>US9128287B09</t>
  </si>
  <si>
    <t>912828S50</t>
  </si>
  <si>
    <t>US912828S505</t>
  </si>
  <si>
    <t>912828U24</t>
  </si>
  <si>
    <t>US912828U246</t>
  </si>
  <si>
    <t>912828V49</t>
  </si>
  <si>
    <t>US912828V491</t>
  </si>
  <si>
    <t>912828V98</t>
  </si>
  <si>
    <t>US912828V988</t>
  </si>
  <si>
    <t>912828YB0</t>
  </si>
  <si>
    <t>US912828YB05</t>
  </si>
  <si>
    <t>912828YG9</t>
  </si>
  <si>
    <t>US912828YG91</t>
  </si>
  <si>
    <t>912828YQ7</t>
  </si>
  <si>
    <t>US912828YQ73</t>
  </si>
  <si>
    <t>912828Z94</t>
  </si>
  <si>
    <t>US912828Z948</t>
  </si>
  <si>
    <t>912828ZB9</t>
  </si>
  <si>
    <t>US912828ZB95</t>
  </si>
  <si>
    <t>912828ZE3</t>
  </si>
  <si>
    <t>US912828ZE35</t>
  </si>
  <si>
    <t>912810UD8</t>
  </si>
  <si>
    <t>US912810UD80</t>
  </si>
  <si>
    <t>912821KC8</t>
  </si>
  <si>
    <t>US912821KC80</t>
  </si>
  <si>
    <t>9128283W8</t>
  </si>
  <si>
    <t>US9128283W81</t>
  </si>
  <si>
    <t>912821KS3</t>
  </si>
  <si>
    <t>US912821KS33</t>
  </si>
  <si>
    <t>912828YS3</t>
  </si>
  <si>
    <t>US912828YS30</t>
  </si>
  <si>
    <t>912828YU8</t>
  </si>
  <si>
    <t>US912828YU85</t>
  </si>
  <si>
    <t>912828ZQ6</t>
  </si>
  <si>
    <t>US912828ZQ64</t>
  </si>
  <si>
    <t>912828ZS2</t>
  </si>
  <si>
    <t>US912828ZS21</t>
  </si>
  <si>
    <t>912828ZZ6</t>
  </si>
  <si>
    <t>US912828ZZ63</t>
  </si>
  <si>
    <t>91282CAD3</t>
  </si>
  <si>
    <t>US91282CAD39</t>
  </si>
  <si>
    <t>91282CAE1</t>
  </si>
  <si>
    <t>US91282CAE12</t>
  </si>
  <si>
    <t>91282CAL5</t>
  </si>
  <si>
    <t>US91282CAL54</t>
  </si>
  <si>
    <t>91282CBP5</t>
  </si>
  <si>
    <t>US91282CBP59</t>
  </si>
  <si>
    <t>91282CCB5</t>
  </si>
  <si>
    <t>US91282CCB54</t>
  </si>
  <si>
    <t>91282CCE9</t>
  </si>
  <si>
    <t>US91282CCE93</t>
  </si>
  <si>
    <t>91282CCP4</t>
  </si>
  <si>
    <t>US91282CCP41</t>
  </si>
  <si>
    <t>91282CCS8</t>
  </si>
  <si>
    <t>US91282CCS89</t>
  </si>
  <si>
    <t>91282CCY5</t>
  </si>
  <si>
    <t>US91282CCY57</t>
  </si>
  <si>
    <t>91282CCZ2</t>
  </si>
  <si>
    <t>US91282CCZ23</t>
  </si>
  <si>
    <t>91282CDF5</t>
  </si>
  <si>
    <t>US91282CDF59</t>
  </si>
  <si>
    <t>91282CDJ7</t>
  </si>
  <si>
    <t>US91282CDJ71</t>
  </si>
  <si>
    <t>91282CDK4</t>
  </si>
  <si>
    <t>US91282CDK45</t>
  </si>
  <si>
    <t>912821CA1</t>
  </si>
  <si>
    <t>US912821CA17</t>
  </si>
  <si>
    <t>912821EZ4</t>
  </si>
  <si>
    <t>US912821EZ40</t>
  </si>
  <si>
    <t>912821HJ7</t>
  </si>
  <si>
    <t>US912821HJ70</t>
  </si>
  <si>
    <t>912828YD6</t>
  </si>
  <si>
    <t>US912828YD60</t>
  </si>
  <si>
    <t>9128204M6</t>
  </si>
  <si>
    <t>US9128204M63</t>
  </si>
  <si>
    <t>912821DF9</t>
  </si>
  <si>
    <t>US912821DF94</t>
  </si>
  <si>
    <t>912821GU3</t>
  </si>
  <si>
    <t>US912821GU35</t>
  </si>
  <si>
    <t>912828ZN3</t>
  </si>
  <si>
    <t>US912828ZN34</t>
  </si>
  <si>
    <t>91282CAH4</t>
  </si>
  <si>
    <t>US91282CAH43</t>
  </si>
  <si>
    <t>91282CAY7</t>
  </si>
  <si>
    <t>US91282CAY75</t>
  </si>
  <si>
    <t>91282CDL2</t>
  </si>
  <si>
    <t>US91282CDL28</t>
  </si>
  <si>
    <t>91282CDY4</t>
  </si>
  <si>
    <t>US91282CDY49</t>
  </si>
  <si>
    <t>91282CEC1</t>
  </si>
  <si>
    <t>US91282CEC10</t>
  </si>
  <si>
    <t>91282CEE7</t>
  </si>
  <si>
    <t>US91282CEE75</t>
  </si>
  <si>
    <t>91282CEF4</t>
  </si>
  <si>
    <t>US91282CEF41</t>
  </si>
  <si>
    <t>91282CEJ6</t>
  </si>
  <si>
    <t>US91282CEJ62</t>
  </si>
  <si>
    <t>91282CEM9</t>
  </si>
  <si>
    <t>US91282CEM91</t>
  </si>
  <si>
    <t>91282CEP2</t>
  </si>
  <si>
    <t>US91282CEP23</t>
  </si>
  <si>
    <t>91282CES6</t>
  </si>
  <si>
    <t>US91282CES61</t>
  </si>
  <si>
    <t>91282CEW7</t>
  </si>
  <si>
    <t>US91282CEW73</t>
  </si>
  <si>
    <t>91282CFB2</t>
  </si>
  <si>
    <t>US91282CFB28</t>
  </si>
  <si>
    <t>91282CFF3</t>
  </si>
  <si>
    <t>US91282CFF32</t>
  </si>
  <si>
    <t>91282CFJ5</t>
  </si>
  <si>
    <t>US91282CFJ53</t>
  </si>
  <si>
    <t>91282CFL0</t>
  </si>
  <si>
    <t>US91282CFL00</t>
  </si>
  <si>
    <t>91282CFR7</t>
  </si>
  <si>
    <t>US91282CFR79</t>
  </si>
  <si>
    <t>91282CFT3</t>
  </si>
  <si>
    <t>US91282CFT36</t>
  </si>
  <si>
    <t>91282CFV8</t>
  </si>
  <si>
    <t>US91282CFV81</t>
  </si>
  <si>
    <t>91282CFY2</t>
  </si>
  <si>
    <t>US91282CFY21</t>
  </si>
  <si>
    <t>91282CGB1</t>
  </si>
  <si>
    <t>US91282CGB19</t>
  </si>
  <si>
    <t>91282CGC9</t>
  </si>
  <si>
    <t>US91282CGC91</t>
  </si>
  <si>
    <t>91282CGJ4</t>
  </si>
  <si>
    <t>US91282CGJ45</t>
  </si>
  <si>
    <t>91282CGK1</t>
  </si>
  <si>
    <t>US91282CGK18</t>
  </si>
  <si>
    <t>91282CGM7</t>
  </si>
  <si>
    <t>US91282CGM73</t>
  </si>
  <si>
    <t>912828ZV5</t>
  </si>
  <si>
    <t>US912828ZV59</t>
  </si>
  <si>
    <t>91282CAU5</t>
  </si>
  <si>
    <t>US91282CAU53</t>
  </si>
  <si>
    <t>91282CAV3</t>
  </si>
  <si>
    <t>US91282CAV37</t>
  </si>
  <si>
    <t>91282CBB6</t>
  </si>
  <si>
    <t>US91282CBB63</t>
  </si>
  <si>
    <t>91282CBF7</t>
  </si>
  <si>
    <t>US91282CBF77</t>
  </si>
  <si>
    <t>91282CBL4</t>
  </si>
  <si>
    <t>US91282CBL46</t>
  </si>
  <si>
    <t>91282CBS9</t>
  </si>
  <si>
    <t>US91282CBS98</t>
  </si>
  <si>
    <t>91282CCH2</t>
  </si>
  <si>
    <t>US91282CCH25</t>
  </si>
  <si>
    <t>91282CCV1</t>
  </si>
  <si>
    <t>US91282CCV19</t>
  </si>
  <si>
    <t>91282CCW9</t>
  </si>
  <si>
    <t>US91282CCW91</t>
  </si>
  <si>
    <t>91282CBZ3</t>
  </si>
  <si>
    <t>US91282CBZ32</t>
  </si>
  <si>
    <t>91282CCR0</t>
  </si>
  <si>
    <t>US91282CCR07</t>
  </si>
  <si>
    <t>91282CDG3</t>
  </si>
  <si>
    <t>US91282CDG33</t>
  </si>
  <si>
    <t>91282CDP3</t>
  </si>
  <si>
    <t>US91282CDP32</t>
  </si>
  <si>
    <t>91282CDQ1</t>
  </si>
  <si>
    <t>US91282CDQ15</t>
  </si>
  <si>
    <t>91282CDW8</t>
  </si>
  <si>
    <t>US91282CDW82</t>
  </si>
  <si>
    <t>912828Z37</t>
  </si>
  <si>
    <t>US912828Z377</t>
  </si>
  <si>
    <t>91282CBJ9</t>
  </si>
  <si>
    <t>US91282CBJ99</t>
  </si>
  <si>
    <t>91282CCJ8</t>
  </si>
  <si>
    <t>US91282CCJ80</t>
  </si>
  <si>
    <t>91282CCM1</t>
  </si>
  <si>
    <t>US91282CCM10</t>
  </si>
  <si>
    <t>91282CDX6</t>
  </si>
  <si>
    <t>US91282CDX65</t>
  </si>
  <si>
    <t>91282CEB3</t>
  </si>
  <si>
    <t>US91282CEB37</t>
  </si>
  <si>
    <t>91282CEN7</t>
  </si>
  <si>
    <t>US91282CEN74</t>
  </si>
  <si>
    <t>91282CEV9</t>
  </si>
  <si>
    <t>US91282CEV90</t>
  </si>
  <si>
    <t>91282CFC0</t>
  </si>
  <si>
    <t>US91282CFC01</t>
  </si>
  <si>
    <t>91282CFH9</t>
  </si>
  <si>
    <t>US91282CFH97</t>
  </si>
  <si>
    <t>91282CFM8</t>
  </si>
  <si>
    <t>US91282CFM82</t>
  </si>
  <si>
    <t>91282CGH8</t>
  </si>
  <si>
    <t>US91282CGH88</t>
  </si>
  <si>
    <t>91282CGP0</t>
  </si>
  <si>
    <t>US91282CGP05</t>
  </si>
  <si>
    <t>91282CGQ8</t>
  </si>
  <si>
    <t>US91282CGQ87</t>
  </si>
  <si>
    <t>91282CDC2</t>
  </si>
  <si>
    <t>US91282CDC29</t>
  </si>
  <si>
    <t>98.5937500000</t>
  </si>
  <si>
    <t>91282CET4</t>
  </si>
  <si>
    <t>US91282CET45</t>
  </si>
  <si>
    <t>91282CEZ0</t>
  </si>
  <si>
    <t>US91282CEZ05</t>
  </si>
  <si>
    <t>91282CFU0</t>
  </si>
  <si>
    <t>US91282CFU09</t>
  </si>
  <si>
    <t>91282CFZ9</t>
  </si>
  <si>
    <t>US91282CFZ95</t>
  </si>
  <si>
    <t>99.4062500000</t>
  </si>
  <si>
    <t>91282CGZ8</t>
  </si>
  <si>
    <t>US91282CGZ86</t>
  </si>
  <si>
    <t>91282CHC8</t>
  </si>
  <si>
    <t>US91282CHC82</t>
  </si>
  <si>
    <t>91282CHE4</t>
  </si>
  <si>
    <t>US91282CHE49</t>
  </si>
  <si>
    <t>91282CHF1</t>
  </si>
  <si>
    <t>US91282CHF14</t>
  </si>
  <si>
    <t>91282CHM6</t>
  </si>
  <si>
    <t>US91282CHM64</t>
  </si>
  <si>
    <t>91282CGW5</t>
  </si>
  <si>
    <t>US91282CGW55</t>
  </si>
  <si>
    <t>91282CHA2</t>
  </si>
  <si>
    <t>US91282CHA27</t>
  </si>
  <si>
    <t>91282CHH7</t>
  </si>
  <si>
    <t>US91282CHH79</t>
  </si>
  <si>
    <t>91282CHP9</t>
  </si>
  <si>
    <t>US91282CHP95</t>
  </si>
  <si>
    <t>91282CHT1</t>
  </si>
  <si>
    <t>US91282CHT18</t>
  </si>
  <si>
    <t>91282CHX2</t>
  </si>
  <si>
    <t>US91282CHX20</t>
  </si>
  <si>
    <t>91282CHY0</t>
  </si>
  <si>
    <t>US91282CHY03</t>
  </si>
  <si>
    <t>91282CJC6</t>
  </si>
  <si>
    <t>US91282CJC64</t>
  </si>
  <si>
    <t>91282CJF9</t>
  </si>
  <si>
    <t>US91282CJF95</t>
  </si>
  <si>
    <t>91282CJG7</t>
  </si>
  <si>
    <t>US91282CJG78</t>
  </si>
  <si>
    <t>91282CJH5</t>
  </si>
  <si>
    <t>US91282CJH51</t>
  </si>
  <si>
    <t>91282CJJ1</t>
  </si>
  <si>
    <t>US91282CJJ18</t>
  </si>
  <si>
    <t>91282CJK8</t>
  </si>
  <si>
    <t>US91282CJK80</t>
  </si>
  <si>
    <t>91282CJN2</t>
  </si>
  <si>
    <t>US91282CJN20</t>
  </si>
  <si>
    <t>91282CJP7</t>
  </si>
  <si>
    <t>US91282CJP77</t>
  </si>
  <si>
    <t>91282CJQ5</t>
  </si>
  <si>
    <t>US91282CJQ50</t>
  </si>
  <si>
    <t>91282CJR3</t>
  </si>
  <si>
    <t>US91282CJR34</t>
  </si>
  <si>
    <t>91282CJT9</t>
  </si>
  <si>
    <t>US91282CJT99</t>
  </si>
  <si>
    <t>91282CHQ7</t>
  </si>
  <si>
    <t>US91282CHQ78</t>
  </si>
  <si>
    <t>91282CHU8</t>
  </si>
  <si>
    <t>US91282CHU80</t>
  </si>
  <si>
    <t>91282CHW4</t>
  </si>
  <si>
    <t>US91282CHW47</t>
  </si>
  <si>
    <t>91282CHZ7</t>
  </si>
  <si>
    <t>US91282CHZ77</t>
  </si>
  <si>
    <t>91282CJA0</t>
  </si>
  <si>
    <t>US91282CJA09</t>
  </si>
  <si>
    <t>91282CJW2</t>
  </si>
  <si>
    <t>US91282CJW29</t>
  </si>
  <si>
    <t>91282CJX0</t>
  </si>
  <si>
    <t>US91282CJX02</t>
  </si>
  <si>
    <t>91282CJY8</t>
  </si>
  <si>
    <t>US91282CJY84</t>
  </si>
  <si>
    <t>91282CJZ5</t>
  </si>
  <si>
    <t>US91282CJZ59</t>
  </si>
  <si>
    <t>91282CKC4</t>
  </si>
  <si>
    <t>US91282CKC46</t>
  </si>
  <si>
    <t>91282CKE0</t>
  </si>
  <si>
    <t>US91282CKE02</t>
  </si>
  <si>
    <t>91282CKN0</t>
  </si>
  <si>
    <t>US91282CKN01</t>
  </si>
  <si>
    <t>91282CKQ3</t>
  </si>
  <si>
    <t>US91282CKQ32</t>
  </si>
  <si>
    <t>91282CKR1</t>
  </si>
  <si>
    <t>US91282CKR15</t>
  </si>
  <si>
    <t>91282CKU4</t>
  </si>
  <si>
    <t>US91282CKU44</t>
  </si>
  <si>
    <t>91282CKW0</t>
  </si>
  <si>
    <t>US91282CKW00</t>
  </si>
  <si>
    <t>91282CKY6</t>
  </si>
  <si>
    <t>US91282CKY65</t>
  </si>
  <si>
    <t>91282CKZ3</t>
  </si>
  <si>
    <t>US91282CKZ31</t>
  </si>
  <si>
    <t>912803DQ3</t>
  </si>
  <si>
    <t>US912803DQ36</t>
  </si>
  <si>
    <t>912803FE8</t>
  </si>
  <si>
    <t>US912803FE87</t>
  </si>
  <si>
    <t>912803GA5</t>
  </si>
  <si>
    <t>US912803GA56</t>
  </si>
  <si>
    <t>91282CGS4</t>
  </si>
  <si>
    <t>US91282CGS44</t>
  </si>
  <si>
    <t>91282CGT2</t>
  </si>
  <si>
    <t>US91282CGT27</t>
  </si>
  <si>
    <t>91282CHK0</t>
  </si>
  <si>
    <t>US91282CHK09</t>
  </si>
  <si>
    <t>91282CJM4</t>
  </si>
  <si>
    <t>US91282CJM47</t>
  </si>
  <si>
    <t>91282CHJ3</t>
  </si>
  <si>
    <t>US91282CHJ36</t>
  </si>
  <si>
    <t>91282CHR5</t>
  </si>
  <si>
    <t>US91282CHR51</t>
  </si>
  <si>
    <t>91282CKA8</t>
  </si>
  <si>
    <t>US91282CKA89</t>
  </si>
  <si>
    <t>91282CLB5</t>
  </si>
  <si>
    <t>US91282CLB53</t>
  </si>
  <si>
    <t>91282CLE9</t>
  </si>
  <si>
    <t>US91282CLE92</t>
  </si>
  <si>
    <t>91282CLG4</t>
  </si>
  <si>
    <t>US91282CLG41</t>
  </si>
  <si>
    <t>91282CLJ8</t>
  </si>
  <si>
    <t>US91282CLJ89</t>
  </si>
  <si>
    <t>91282CLN9</t>
  </si>
  <si>
    <t>US91282CLN91</t>
  </si>
  <si>
    <t>91282CLP4</t>
  </si>
  <si>
    <t>US91282CLP40</t>
  </si>
  <si>
    <t>91282CLQ2</t>
  </si>
  <si>
    <t>US91282CLQ23</t>
  </si>
  <si>
    <t>91282CLS8</t>
  </si>
  <si>
    <t>US91282CLS88</t>
  </si>
  <si>
    <t>91282CMB4</t>
  </si>
  <si>
    <t>US91282CMB45</t>
  </si>
  <si>
    <t>91282CMD0</t>
  </si>
  <si>
    <t>US91282CMD01</t>
  </si>
  <si>
    <t>91282CME8</t>
  </si>
  <si>
    <t>US91282CME83</t>
  </si>
  <si>
    <t>91282CMF5</t>
  </si>
  <si>
    <t>US91282CMF58</t>
  </si>
  <si>
    <t>91282CMG3</t>
  </si>
  <si>
    <t>US91282CMG32</t>
  </si>
  <si>
    <t>91282CMH1</t>
  </si>
  <si>
    <t>US91282CMH15</t>
  </si>
  <si>
    <t>91282CMK4</t>
  </si>
  <si>
    <t>US91282CMK44</t>
  </si>
  <si>
    <t>91282CMM0</t>
  </si>
  <si>
    <t>US91282CMM00</t>
  </si>
  <si>
    <t>91282CMN8</t>
  </si>
  <si>
    <t>US91282CMN82</t>
  </si>
  <si>
    <t>91282CMP3</t>
  </si>
  <si>
    <t>US91282CMP31</t>
  </si>
  <si>
    <t>91282CMS7</t>
  </si>
  <si>
    <t>US91282CMS79</t>
  </si>
  <si>
    <t>91282CNA5</t>
  </si>
  <si>
    <t>US91282CNA52</t>
  </si>
  <si>
    <t>91282CNB3</t>
  </si>
  <si>
    <t>US91282CNB36</t>
  </si>
  <si>
    <t>91282CKD2</t>
  </si>
  <si>
    <t>US91282CKD29</t>
  </si>
  <si>
    <t>91282CKF7</t>
  </si>
  <si>
    <t>US91282CKF76</t>
  </si>
  <si>
    <t>91282CKP5</t>
  </si>
  <si>
    <t>US91282CKP58</t>
  </si>
  <si>
    <t>91282CLC3</t>
  </si>
  <si>
    <t>US91282CLC37</t>
  </si>
  <si>
    <t>99.5312500000</t>
  </si>
  <si>
    <t>91282CLL3</t>
  </si>
  <si>
    <t>US91282CLL36</t>
  </si>
  <si>
    <t>91282CKG5</t>
  </si>
  <si>
    <t>US91282CKG59</t>
  </si>
  <si>
    <t>91282CKJ9</t>
  </si>
  <si>
    <t>US91282CKJ98</t>
  </si>
  <si>
    <t>91282CKL4</t>
  </si>
  <si>
    <t>US91282CKL45</t>
  </si>
  <si>
    <t>91282CKT7</t>
  </si>
  <si>
    <t>US91282CKT70</t>
  </si>
  <si>
    <t>91282CKV2</t>
  </si>
  <si>
    <t>US91282CKV27</t>
  </si>
  <si>
    <t>91282CKX8</t>
  </si>
  <si>
    <t>US91282CKX82</t>
  </si>
  <si>
    <t>91282CLD1</t>
  </si>
  <si>
    <t>US91282CLD10</t>
  </si>
  <si>
    <t>91282CLF6</t>
  </si>
  <si>
    <t>US91282CLF67</t>
  </si>
  <si>
    <t>91282CLH2</t>
  </si>
  <si>
    <t>US91282CLH24</t>
  </si>
  <si>
    <t>91282CLK5</t>
  </si>
  <si>
    <t>US91282CLK52</t>
  </si>
  <si>
    <t>91282CLM1</t>
  </si>
  <si>
    <t>US91282CLM19</t>
  </si>
  <si>
    <t>91282CLU3</t>
  </si>
  <si>
    <t>US91282CLU35</t>
  </si>
  <si>
    <t>91282CLW9</t>
  </si>
  <si>
    <t>US91282CLW90</t>
  </si>
  <si>
    <t>91282CMA6</t>
  </si>
  <si>
    <t>US91282CMA61</t>
  </si>
  <si>
    <t>91282CMC2</t>
  </si>
  <si>
    <t>US91282CMC28</t>
  </si>
  <si>
    <t>91282CLV1</t>
  </si>
  <si>
    <t>US91282CLV18</t>
  </si>
  <si>
    <t>91282CLY5</t>
  </si>
  <si>
    <t>US91282CLY56</t>
  </si>
  <si>
    <t>91282CLZ2</t>
  </si>
  <si>
    <t>US91282CLZ22</t>
  </si>
  <si>
    <t>91282CML2</t>
  </si>
  <si>
    <t>US91282CML27</t>
  </si>
  <si>
    <t>91282CMR9</t>
  </si>
  <si>
    <t>US91282CMR96</t>
  </si>
  <si>
    <t>91282CMT5</t>
  </si>
  <si>
    <t>US91282CMT52</t>
  </si>
  <si>
    <t>91282CMU2</t>
  </si>
  <si>
    <t>US91282CMU26</t>
  </si>
  <si>
    <t>91282CMW8</t>
  </si>
  <si>
    <t>US91282CMW81</t>
  </si>
  <si>
    <t>91282CNC1</t>
  </si>
  <si>
    <t>US91282CNC19</t>
  </si>
  <si>
    <t>91282CNG2</t>
  </si>
  <si>
    <t>US91282CNG23</t>
  </si>
  <si>
    <t>91282CLR0</t>
  </si>
  <si>
    <t>US91282CLR06</t>
  </si>
  <si>
    <t>91282CLX7</t>
  </si>
  <si>
    <t>US91282CLX73</t>
  </si>
  <si>
    <t>91282CMV0</t>
  </si>
  <si>
    <t>US91282CMV09</t>
  </si>
  <si>
    <t>91282CMY4</t>
  </si>
  <si>
    <t>US91282CMY48</t>
  </si>
  <si>
    <t>91282CMZ1</t>
  </si>
  <si>
    <t>US91282CMZ13</t>
  </si>
  <si>
    <t>91282CND9</t>
  </si>
  <si>
    <t>US91282CND91</t>
  </si>
  <si>
    <t>91282CNF4</t>
  </si>
  <si>
    <t>US91282CNF40</t>
  </si>
  <si>
    <t>91282CNH0</t>
  </si>
  <si>
    <t>US91282CNH06</t>
  </si>
  <si>
    <t>91282CNJ6</t>
  </si>
  <si>
    <t>US91282CNJ61</t>
  </si>
  <si>
    <t>91282CNK3</t>
  </si>
  <si>
    <t>US91282CNK35</t>
  </si>
  <si>
    <t>91282CNL1</t>
  </si>
  <si>
    <t>US91282CNL18</t>
  </si>
  <si>
    <t>91282CNM9</t>
  </si>
  <si>
    <t>US91282CNM90</t>
  </si>
  <si>
    <t>91282CNN7</t>
  </si>
  <si>
    <t>US91282CNN73</t>
  </si>
  <si>
    <t>91282CNP2</t>
  </si>
  <si>
    <t>US91282CNP22</t>
  </si>
  <si>
    <t>91282CNR8</t>
  </si>
  <si>
    <t>US91282CNR87</t>
  </si>
  <si>
    <t>91282CNE7</t>
  </si>
  <si>
    <t>US91282CNE74</t>
  </si>
  <si>
    <t>91282CNS6</t>
  </si>
  <si>
    <t>US91282CNS60</t>
  </si>
  <si>
    <t>91282CNT4</t>
  </si>
  <si>
    <t>US91282CNT44</t>
  </si>
  <si>
    <t>91282CNV9</t>
  </si>
  <si>
    <t>US91282CNV99</t>
  </si>
  <si>
    <t>91282CNW7</t>
  </si>
  <si>
    <t>US91282CNW72</t>
  </si>
  <si>
    <t>91282CNZ0</t>
  </si>
  <si>
    <t>US91282CNZ04</t>
  </si>
  <si>
    <t>91282CPA3</t>
  </si>
  <si>
    <t>US91282CPA35</t>
  </si>
  <si>
    <t>91282CPB1</t>
  </si>
  <si>
    <t>US91282CPB18</t>
  </si>
  <si>
    <t>91282CPC9</t>
  </si>
  <si>
    <t>US91282CPC90</t>
  </si>
  <si>
    <t>91282CPJ4</t>
  </si>
  <si>
    <t>US91282CPJ44</t>
  </si>
  <si>
    <t>91282CPN5</t>
  </si>
  <si>
    <t>US91282CPN55</t>
  </si>
  <si>
    <t>91282CNU1</t>
  </si>
  <si>
    <t>US91282CNU17</t>
  </si>
  <si>
    <t>91282CNX5</t>
  </si>
  <si>
    <t>US91282CNX55</t>
  </si>
  <si>
    <t>91282CPE5</t>
  </si>
  <si>
    <t>US91282CPE56</t>
  </si>
  <si>
    <t>91282CPF2</t>
  </si>
  <si>
    <t>US91282CPF22</t>
  </si>
  <si>
    <t>91282CPH8</t>
  </si>
  <si>
    <t>US91282CPH87</t>
  </si>
  <si>
    <t>91282CPK1</t>
  </si>
  <si>
    <t>US91282CPK17</t>
  </si>
  <si>
    <t>91282CPL9</t>
  </si>
  <si>
    <t>US91282CPL99</t>
  </si>
  <si>
    <t>91282CPM7</t>
  </si>
  <si>
    <t>US91282CPM72</t>
  </si>
  <si>
    <t>91282CPQ8</t>
  </si>
  <si>
    <t>US91282CPQ86</t>
  </si>
  <si>
    <t>91282CPS4</t>
  </si>
  <si>
    <t>US91282CPS43</t>
  </si>
  <si>
    <t>91282CNY3</t>
  </si>
  <si>
    <t>US91282CNY39</t>
  </si>
  <si>
    <t>91282CPU9</t>
  </si>
  <si>
    <t>US91282CPU98</t>
  </si>
  <si>
    <t>91282CPW5</t>
  </si>
  <si>
    <t>US91282CPW54</t>
  </si>
  <si>
    <t>91282CPY1</t>
  </si>
  <si>
    <t>US91282CPY11</t>
  </si>
  <si>
    <t>91282CPZ8</t>
  </si>
  <si>
    <t>US91282CPZ85</t>
  </si>
  <si>
    <t>91282CQB0</t>
  </si>
  <si>
    <t>US91282CQB09</t>
  </si>
  <si>
    <t>91282CQD6</t>
  </si>
  <si>
    <t>US91282CQD64</t>
  </si>
  <si>
    <t>91282CQF1</t>
  </si>
  <si>
    <t>US91282CQF13</t>
  </si>
  <si>
    <t>91282CQH7</t>
  </si>
  <si>
    <t>US91282CQH78</t>
  </si>
  <si>
    <t>91282CQN4</t>
  </si>
  <si>
    <t>US91282CQN47</t>
  </si>
  <si>
    <t>91282CQA2</t>
  </si>
  <si>
    <t>US91282CQA26</t>
  </si>
  <si>
    <t>91282CQG9</t>
  </si>
  <si>
    <t>US91282CQG95</t>
  </si>
  <si>
    <t>91282CQJ3</t>
  </si>
  <si>
    <t>US91282CQJ35</t>
  </si>
  <si>
    <t>91282CQK0</t>
  </si>
  <si>
    <t>US91282CQK08</t>
  </si>
  <si>
    <t>9128334S6</t>
  </si>
  <si>
    <t>US9128334S60</t>
  </si>
  <si>
    <t>9128337F1</t>
  </si>
  <si>
    <t>US9128337F13</t>
  </si>
  <si>
    <t>9128337Q7</t>
  </si>
  <si>
    <t>US9128337Q77</t>
  </si>
  <si>
    <t>9128337V6</t>
  </si>
  <si>
    <t>US9128337V62</t>
  </si>
  <si>
    <t>912833X96</t>
  </si>
  <si>
    <t>US912833X968</t>
  </si>
  <si>
    <t>912833Y20</t>
  </si>
  <si>
    <t>US912833Y206</t>
  </si>
  <si>
    <t>912834AT5</t>
  </si>
  <si>
    <t>US912834AT54</t>
  </si>
  <si>
    <t>912834JB5</t>
  </si>
  <si>
    <t>US912834JB55</t>
  </si>
  <si>
    <t>912834JH2</t>
  </si>
  <si>
    <t>US912834JH26</t>
  </si>
  <si>
    <t>9128334Y3</t>
  </si>
  <si>
    <t>US9128334Y39</t>
  </si>
  <si>
    <t>9128337R5</t>
  </si>
  <si>
    <t>US9128337R50</t>
  </si>
  <si>
    <t>912833Y46</t>
  </si>
  <si>
    <t>US912833Y461</t>
  </si>
  <si>
    <t>912833Z60</t>
  </si>
  <si>
    <t>US912833Z609</t>
  </si>
  <si>
    <t>912834AE8</t>
  </si>
  <si>
    <t>US912834AE85</t>
  </si>
  <si>
    <t>912834AU2</t>
  </si>
  <si>
    <t>US912834AU28</t>
  </si>
  <si>
    <t>912834EP9</t>
  </si>
  <si>
    <t>US912834EP96</t>
  </si>
  <si>
    <t>912834FB9</t>
  </si>
  <si>
    <t>US912834FB91</t>
  </si>
  <si>
    <t>912834KH0</t>
  </si>
  <si>
    <t>US912834KH07</t>
  </si>
  <si>
    <t>912834NF1</t>
  </si>
  <si>
    <t>US912834NF14</t>
  </si>
  <si>
    <t>912834PT9</t>
  </si>
  <si>
    <t>US912834PT99</t>
  </si>
  <si>
    <t>912834PZ5</t>
  </si>
  <si>
    <t>US912834PZ59</t>
  </si>
  <si>
    <t>912834QP6</t>
  </si>
  <si>
    <t>US912834QP68</t>
  </si>
  <si>
    <t>912834QV3</t>
  </si>
  <si>
    <t>US912834QV37</t>
  </si>
  <si>
    <t>91282CPD7</t>
  </si>
  <si>
    <t>US91282CPD73</t>
  </si>
  <si>
    <t>91282CPP0</t>
  </si>
  <si>
    <t>US91282CPP04</t>
  </si>
  <si>
    <t>91282CPT2</t>
  </si>
  <si>
    <t>US91282CPT26</t>
  </si>
  <si>
    <t>91282CQC8</t>
  </si>
  <si>
    <t>US91282CQC81</t>
  </si>
  <si>
    <t>91282CQE4</t>
  </si>
  <si>
    <t>US91282CQE48</t>
  </si>
  <si>
    <t>912834JP4</t>
  </si>
  <si>
    <t>US912834JP42</t>
  </si>
  <si>
    <t>912834LK2</t>
  </si>
  <si>
    <t>US912834LK27</t>
  </si>
  <si>
    <t>912834QH4</t>
  </si>
  <si>
    <t>US912834QH43</t>
  </si>
  <si>
    <t>91282CPR6</t>
  </si>
  <si>
    <t>US91282CPR69</t>
  </si>
  <si>
    <t>91282CQL8</t>
  </si>
  <si>
    <t>US91282CQL80</t>
  </si>
  <si>
    <t>9128334U1</t>
  </si>
  <si>
    <t>US9128334U17</t>
  </si>
  <si>
    <t>9128334W7</t>
  </si>
  <si>
    <t>US9128334W72</t>
  </si>
  <si>
    <t>9128334X5</t>
  </si>
  <si>
    <t>US9128334X55</t>
  </si>
  <si>
    <t>9128337S3</t>
  </si>
  <si>
    <t>US9128337S34</t>
  </si>
  <si>
    <t>9128337T1</t>
  </si>
  <si>
    <t>US9128337T17</t>
  </si>
  <si>
    <t>9128337U8</t>
  </si>
  <si>
    <t>US9128337U89</t>
  </si>
  <si>
    <t>912834HV3</t>
  </si>
  <si>
    <t>US912834HV38</t>
  </si>
  <si>
    <t>91282CQP9</t>
  </si>
  <si>
    <t>US91282CQP94</t>
  </si>
  <si>
    <t>9128334Z0</t>
  </si>
  <si>
    <t>US9128334Z04</t>
  </si>
  <si>
    <t>9128335A4</t>
  </si>
  <si>
    <t>US9128335A44</t>
  </si>
  <si>
    <t>912833X88</t>
  </si>
  <si>
    <t>US912833X885</t>
  </si>
  <si>
    <t>912834AD0</t>
  </si>
  <si>
    <t>US912834AD03</t>
  </si>
  <si>
    <t>912834KV9</t>
  </si>
  <si>
    <t>US912834KV90</t>
  </si>
  <si>
    <t>9128334V9</t>
  </si>
  <si>
    <t>US9128334V99</t>
  </si>
  <si>
    <t>9128335B2</t>
  </si>
  <si>
    <t>US9128335B27</t>
  </si>
  <si>
    <t>9128337W4</t>
  </si>
  <si>
    <t>US9128337W46</t>
  </si>
  <si>
    <t>912834DU9</t>
  </si>
  <si>
    <t>US912834DU90</t>
  </si>
  <si>
    <t>912834MM7</t>
  </si>
  <si>
    <t>US912834MM73</t>
  </si>
  <si>
    <t>912834MT2</t>
  </si>
  <si>
    <t>US912834MT27</t>
  </si>
  <si>
    <t>912834MZ8</t>
  </si>
  <si>
    <t>US912834MZ86</t>
  </si>
  <si>
    <t>912834NP9</t>
  </si>
  <si>
    <t>US912834NP95</t>
  </si>
  <si>
    <t>912834PB8</t>
  </si>
  <si>
    <t>US912834PB81</t>
  </si>
  <si>
    <t>912834PH5</t>
  </si>
  <si>
    <t>US912834PH51</t>
  </si>
  <si>
    <t>912834KB3</t>
  </si>
  <si>
    <t>US912834KB37</t>
  </si>
  <si>
    <t>912834LX4</t>
  </si>
  <si>
    <t>US912834LX48</t>
  </si>
  <si>
    <t>912834NV6</t>
  </si>
  <si>
    <t>US912834NV63</t>
  </si>
  <si>
    <t>912834PM4</t>
  </si>
  <si>
    <t>US912834PM47</t>
  </si>
  <si>
    <t>9128334T4</t>
  </si>
  <si>
    <t>US9128334T44</t>
  </si>
  <si>
    <t>912833Z52</t>
  </si>
  <si>
    <t>US912833Z526</t>
  </si>
  <si>
    <t>912834DV7</t>
  </si>
  <si>
    <t>US912834DV73</t>
  </si>
  <si>
    <t>912834EV6</t>
  </si>
  <si>
    <t>US912834EV64</t>
  </si>
  <si>
    <t>912834KP2</t>
  </si>
  <si>
    <t>US912834KP23</t>
  </si>
  <si>
    <t>912834LB2</t>
  </si>
  <si>
    <t>US912834LB28</t>
  </si>
  <si>
    <t>912834LR7</t>
  </si>
  <si>
    <t>US912834LR79</t>
  </si>
  <si>
    <t>912834MD7</t>
  </si>
  <si>
    <t>US912834MD74</t>
  </si>
  <si>
    <t>912810RF7</t>
  </si>
  <si>
    <t>US912810RF75</t>
  </si>
  <si>
    <t>912810SY5</t>
  </si>
  <si>
    <t>US912810SY55</t>
  </si>
  <si>
    <t>912833Y38</t>
  </si>
  <si>
    <t>US912833Y388</t>
  </si>
  <si>
    <t>Bill</t>
  </si>
  <si>
    <t>912797QX8</t>
  </si>
  <si>
    <t>US912797QX89</t>
  </si>
  <si>
    <t>912797RS8</t>
  </si>
  <si>
    <t>US912797RS85</t>
  </si>
  <si>
    <t>912797TC1</t>
  </si>
  <si>
    <t>US912797TC16</t>
  </si>
  <si>
    <t>912797TE7</t>
  </si>
  <si>
    <t>US912797TE71</t>
  </si>
  <si>
    <t>912797TN7</t>
  </si>
  <si>
    <t>US912797TN70</t>
  </si>
  <si>
    <t>912797TW7</t>
  </si>
  <si>
    <t>US912797TW79</t>
  </si>
  <si>
    <t>912797UB1</t>
  </si>
  <si>
    <t>US912797UB14</t>
  </si>
  <si>
    <t>912797UC9</t>
  </si>
  <si>
    <t>US912797UC96</t>
  </si>
  <si>
    <t>912797UD7</t>
  </si>
  <si>
    <t>US912797UD79</t>
  </si>
  <si>
    <t>912797UE5</t>
  </si>
  <si>
    <t>US912797UE52</t>
  </si>
  <si>
    <t>912797UH8</t>
  </si>
  <si>
    <t>US912797UH83</t>
  </si>
  <si>
    <t>912797UJ4</t>
  </si>
  <si>
    <t>US912797UJ40</t>
  </si>
  <si>
    <t>912797UK1</t>
  </si>
  <si>
    <t>US912797UK13</t>
  </si>
  <si>
    <t>912797UR6</t>
  </si>
  <si>
    <t>912797RF6</t>
  </si>
  <si>
    <t>US912797RF64</t>
  </si>
  <si>
    <t>912797RG4</t>
  </si>
  <si>
    <t>US912797RG48</t>
  </si>
  <si>
    <t>912797SA6</t>
  </si>
  <si>
    <t>US912797SA68</t>
  </si>
  <si>
    <t>912797SK4</t>
  </si>
  <si>
    <t>US912797SK41</t>
  </si>
  <si>
    <t>912797SU2</t>
  </si>
  <si>
    <t>US912797SU23</t>
  </si>
  <si>
    <t>912797TM9</t>
  </si>
  <si>
    <t>US912797TM97</t>
  </si>
  <si>
    <t>912797TP2</t>
  </si>
  <si>
    <t>US912797TP29</t>
  </si>
  <si>
    <t>912797TV9</t>
  </si>
  <si>
    <t>US912797TV96</t>
  </si>
  <si>
    <t>912797TX5</t>
  </si>
  <si>
    <t>US912797TX52</t>
  </si>
  <si>
    <t>912797UF2</t>
  </si>
  <si>
    <t>US912797UF28</t>
  </si>
  <si>
    <t>912797UG0</t>
  </si>
  <si>
    <t>US912797UG01</t>
  </si>
  <si>
    <t>912797UL9</t>
  </si>
  <si>
    <t>US912797UL95</t>
  </si>
  <si>
    <t>912797TD9</t>
  </si>
  <si>
    <t>US912797TD98</t>
  </si>
  <si>
    <t>912797TY3</t>
  </si>
  <si>
    <t>US912797TY36</t>
  </si>
  <si>
    <t>912797UA3</t>
  </si>
  <si>
    <t>US912797UA31</t>
  </si>
  <si>
    <t>912797UN5</t>
  </si>
  <si>
    <t>US912797UN51</t>
  </si>
  <si>
    <t>912797UQ8</t>
  </si>
  <si>
    <t>US912797UQ82</t>
  </si>
  <si>
    <t>912797UT2</t>
  </si>
  <si>
    <t>912797UU9</t>
  </si>
  <si>
    <t>912797TF4</t>
  </si>
  <si>
    <t>US912797TF47</t>
  </si>
  <si>
    <t>912797TQ0</t>
  </si>
  <si>
    <t>US912797TQ02</t>
  </si>
  <si>
    <t>912797UP0</t>
  </si>
  <si>
    <t>US912797UP00</t>
  </si>
  <si>
    <t>912797UV7</t>
  </si>
  <si>
    <t>912797TZ0</t>
  </si>
  <si>
    <t>US912797TZ01</t>
  </si>
  <si>
    <t>912797US4</t>
  </si>
  <si>
    <t>Date</t>
  </si>
  <si>
    <t>Att</t>
  </si>
  <si>
    <t>Src</t>
  </si>
  <si>
    <t>Value</t>
  </si>
  <si>
    <t>Notes</t>
  </si>
  <si>
    <t>CreatedDate</t>
  </si>
  <si>
    <t>CreatedBy</t>
  </si>
  <si>
    <t>ModifiedTime</t>
  </si>
  <si>
    <t>ModifiedBy</t>
  </si>
  <si>
    <t>Yield</t>
  </si>
  <si>
    <t>QW</t>
  </si>
  <si>
    <t>MARINER\SilverAdm</t>
  </si>
  <si>
    <t>MARINERCAPITAL\jmannion</t>
  </si>
  <si>
    <t>BBT3 Yield</t>
  </si>
  <si>
    <t>.TWI2 5/28</t>
  </si>
  <si>
    <t>.TWI2 6/28</t>
  </si>
  <si>
    <t>.TWI2 7/28</t>
  </si>
  <si>
    <t>.TWI2 8/28</t>
  </si>
  <si>
    <t>.TWI2 9/28</t>
  </si>
  <si>
    <t>.TWI7 5/33</t>
  </si>
  <si>
    <t>.TWI7 6/33</t>
  </si>
  <si>
    <t>.TWI7 7/33</t>
  </si>
  <si>
    <t>.TWI7 8/33</t>
  </si>
  <si>
    <t>3YM6</t>
  </si>
  <si>
    <t>Price</t>
  </si>
  <si>
    <t>3YU6</t>
  </si>
  <si>
    <t>3YZ6</t>
  </si>
  <si>
    <t>912803BH5</t>
  </si>
  <si>
    <t>AT0000A0VRQ6</t>
  </si>
  <si>
    <t>AT0000A1VGK0</t>
  </si>
  <si>
    <t>AT0000A1ZGE4</t>
  </si>
  <si>
    <t>AT0000A2CQD2</t>
  </si>
  <si>
    <t>AT0000A2EJ08</t>
  </si>
  <si>
    <t>AT0000A2KQ43</t>
  </si>
  <si>
    <t>AT0000A2NW83</t>
  </si>
  <si>
    <t>AT0000A2T198</t>
  </si>
  <si>
    <t>AT0000A2WSC8</t>
  </si>
  <si>
    <t>AT0000A2Y8G4</t>
  </si>
  <si>
    <t>AT0000A308C5</t>
  </si>
  <si>
    <t>AT0000A324S8</t>
  </si>
  <si>
    <t>AT0000A33SK7</t>
  </si>
  <si>
    <t>AT0000A38239</t>
  </si>
  <si>
    <t>AT0000A39UW5</t>
  </si>
  <si>
    <t>AT0000A3D3Q8</t>
  </si>
  <si>
    <t>AT0000A3EPP2</t>
  </si>
  <si>
    <t>AU0000075681</t>
  </si>
  <si>
    <t>AU0000101792</t>
  </si>
  <si>
    <t>AU0000106411</t>
  </si>
  <si>
    <t>AU0000143901</t>
  </si>
  <si>
    <t>AU0000217101</t>
  </si>
  <si>
    <t>AU0000274706</t>
  </si>
  <si>
    <t>AU0000345241</t>
  </si>
  <si>
    <t>AU000XCLWAF4</t>
  </si>
  <si>
    <t>AU000XCLWAG2</t>
  </si>
  <si>
    <t>AU000XCLWAM0</t>
  </si>
  <si>
    <t>AU000XCLWAO6</t>
  </si>
  <si>
    <t>AU000XCLWAQ1</t>
  </si>
  <si>
    <t>AU000XCLWAR9</t>
  </si>
  <si>
    <t>AU000XCLWAS7</t>
  </si>
  <si>
    <t>AU000XCLWAU3</t>
  </si>
  <si>
    <t>AU3TB0000135</t>
  </si>
  <si>
    <t>AU3TB0000150</t>
  </si>
  <si>
    <t>AU3TB0000192</t>
  </si>
  <si>
    <t>BE0000291972</t>
  </si>
  <si>
    <t>BE0000304130</t>
  </si>
  <si>
    <t>BE0000320292</t>
  </si>
  <si>
    <t>BE0000326356</t>
  </si>
  <si>
    <t>BE0000331406</t>
  </si>
  <si>
    <t>BE0000333428</t>
  </si>
  <si>
    <t>BE0000335449</t>
  </si>
  <si>
    <t>BE0000336454</t>
  </si>
  <si>
    <t>BE0000337460</t>
  </si>
  <si>
    <t>BE0000338476</t>
  </si>
  <si>
    <t>BE0000340498</t>
  </si>
  <si>
    <t>BE0000341504</t>
  </si>
  <si>
    <t>BE0000343526</t>
  </si>
  <si>
    <t>BE0000344532</t>
  </si>
  <si>
    <t>BE0000345547</t>
  </si>
  <si>
    <t>BE0000346552</t>
  </si>
  <si>
    <t>BE0000347568</t>
  </si>
  <si>
    <t>BE0000348574</t>
  </si>
  <si>
    <t>BE0000349580</t>
  </si>
  <si>
    <t>BE0000350596</t>
  </si>
  <si>
    <t>BE0000351602</t>
  </si>
  <si>
    <t>BE0000352618</t>
  </si>
  <si>
    <t>BE0000353624</t>
  </si>
  <si>
    <t>BE0000354630</t>
  </si>
  <si>
    <t>BE0000355645</t>
  </si>
  <si>
    <t>BE0000356650</t>
  </si>
  <si>
    <t>BE0000357666</t>
  </si>
  <si>
    <t>BE0000358672</t>
  </si>
  <si>
    <t>BE0000359688</t>
  </si>
  <si>
    <t>BE0000360694</t>
  </si>
  <si>
    <t>BE0000361700</t>
  </si>
  <si>
    <t>BE0000362716</t>
  </si>
  <si>
    <t>BE0000363722</t>
  </si>
  <si>
    <t>BE0000365743</t>
  </si>
  <si>
    <t>BE0000366758</t>
  </si>
  <si>
    <t>BE0000367764</t>
  </si>
  <si>
    <t>BFEM6</t>
  </si>
  <si>
    <t>BPSWS1</t>
  </si>
  <si>
    <t>BPSWS10</t>
  </si>
  <si>
    <t>BPSWS12</t>
  </si>
  <si>
    <t>BPSWS15</t>
  </si>
  <si>
    <t>BPSWS1F</t>
  </si>
  <si>
    <t>BPSWS1Z</t>
  </si>
  <si>
    <t>BPSWS2</t>
  </si>
  <si>
    <t>BPSWS20</t>
  </si>
  <si>
    <t>BPSWS25</t>
  </si>
  <si>
    <t>BPSWS2Z</t>
  </si>
  <si>
    <t>BPSWS3</t>
  </si>
  <si>
    <t>BPSWS30</t>
  </si>
  <si>
    <t>BPSWS4</t>
  </si>
  <si>
    <t>BPSWS40</t>
  </si>
  <si>
    <t>BPSWS5</t>
  </si>
  <si>
    <t>BPSWS50</t>
  </si>
  <si>
    <t>BPSWS6</t>
  </si>
  <si>
    <t>BPSWS7</t>
  </si>
  <si>
    <t>BPSWS8</t>
  </si>
  <si>
    <t>BPSWS9</t>
  </si>
  <si>
    <t>BPSWSA</t>
  </si>
  <si>
    <t>BPSWSB</t>
  </si>
  <si>
    <t>BPSWSC</t>
  </si>
  <si>
    <t>BPSWSD</t>
  </si>
  <si>
    <t>BPSWSE</t>
  </si>
  <si>
    <t>BPSWSF</t>
  </si>
  <si>
    <t>BPSWSG</t>
  </si>
  <si>
    <t>BPSWSH</t>
  </si>
  <si>
    <t>BPSWSI</t>
  </si>
  <si>
    <t>BPSWSJ</t>
  </si>
  <si>
    <t>BPSWSK</t>
  </si>
  <si>
    <t>BTSM6</t>
  </si>
  <si>
    <t>BTSU6</t>
  </si>
  <si>
    <t>BTSZ6</t>
  </si>
  <si>
    <t>CA013051DY00</t>
  </si>
  <si>
    <t>CA013051ED53</t>
  </si>
  <si>
    <t>CA135087B949</t>
  </si>
  <si>
    <t>CA135087C939</t>
  </si>
  <si>
    <t>CA135087D358</t>
  </si>
  <si>
    <t>CA135087F825</t>
  </si>
  <si>
    <t>CA135087G997</t>
  </si>
  <si>
    <t>CA135087H235</t>
  </si>
  <si>
    <t>CA135087H722</t>
  </si>
  <si>
    <t>CA135087J397</t>
  </si>
  <si>
    <t>CA135087K379</t>
  </si>
  <si>
    <t>CA135087L443</t>
  </si>
  <si>
    <t>CA135087L930</t>
  </si>
  <si>
    <t>CA135087M276</t>
  </si>
  <si>
    <t>CA135087M433</t>
  </si>
  <si>
    <t>CA135087M680</t>
  </si>
  <si>
    <t>CA135087M847</t>
  </si>
  <si>
    <t>CA135087N266</t>
  </si>
  <si>
    <t>CA135087N597</t>
  </si>
  <si>
    <t>CA135087N670</t>
  </si>
  <si>
    <t>CA135087N837</t>
  </si>
  <si>
    <t>CA135087P329</t>
  </si>
  <si>
    <t>CA135087P576</t>
  </si>
  <si>
    <t>CA135087P733</t>
  </si>
  <si>
    <t>CA135087P998</t>
  </si>
  <si>
    <t>CA135087Q236</t>
  </si>
  <si>
    <t>CA135087Q491</t>
  </si>
  <si>
    <t>CA135087Q723</t>
  </si>
  <si>
    <t>CA135087Q988</t>
  </si>
  <si>
    <t>CA135087R481</t>
  </si>
  <si>
    <t>CA135087R713</t>
  </si>
  <si>
    <t>CA135087R895</t>
  </si>
  <si>
    <t>CA135087R978</t>
  </si>
  <si>
    <t>CA135087S216</t>
  </si>
  <si>
    <t>CA135087S398</t>
  </si>
  <si>
    <t>CA135087S471</t>
  </si>
  <si>
    <t>CA135087S547</t>
  </si>
  <si>
    <t>CA135087S620</t>
  </si>
  <si>
    <t>CA135087S703</t>
  </si>
  <si>
    <t>CA135087S885</t>
  </si>
  <si>
    <t>CA135087S968</t>
  </si>
  <si>
    <t>CA135087T388</t>
  </si>
  <si>
    <t>CA135087T461</t>
  </si>
  <si>
    <t>CA135087T537</t>
  </si>
  <si>
    <t>CA135087T610</t>
  </si>
  <si>
    <t>CA135087T792</t>
  </si>
  <si>
    <t>CA135087T875</t>
  </si>
  <si>
    <t>CA135087T958</t>
  </si>
  <si>
    <t>CA135087U287</t>
  </si>
  <si>
    <t>CA135087U360</t>
  </si>
  <si>
    <t>CA135087U444</t>
  </si>
  <si>
    <t>CA135087U691</t>
  </si>
  <si>
    <t>CA135087VS05</t>
  </si>
  <si>
    <t>CA135087VW17</t>
  </si>
  <si>
    <t>CA135087WL43</t>
  </si>
  <si>
    <t>CA135087WV25</t>
  </si>
  <si>
    <t>CA135087XG49</t>
  </si>
  <si>
    <t>CA135087XQ21</t>
  </si>
  <si>
    <t>CA135087XW98</t>
  </si>
  <si>
    <t>CA135087YK42</t>
  </si>
  <si>
    <t>CA135087YQ12</t>
  </si>
  <si>
    <t>CA135087ZH04</t>
  </si>
  <si>
    <t>CA135087ZS68</t>
  </si>
  <si>
    <t>CA13509PFL28</t>
  </si>
  <si>
    <t>CA13509PFX65</t>
  </si>
  <si>
    <t>CA13509PGF41</t>
  </si>
  <si>
    <t>CA13509PGL19</t>
  </si>
  <si>
    <t>CA13509PGS61</t>
  </si>
  <si>
    <t>CA13509PHD83</t>
  </si>
  <si>
    <t>CA13509PHM82</t>
  </si>
  <si>
    <t>CA13509PHQ96</t>
  </si>
  <si>
    <t>CA13509PHS52</t>
  </si>
  <si>
    <t>CA13509PHT36</t>
  </si>
  <si>
    <t>CA13509PHU09</t>
  </si>
  <si>
    <t>CA13509PHW64</t>
  </si>
  <si>
    <t>CA13509PHX48</t>
  </si>
  <si>
    <t>CA13509PHZ95</t>
  </si>
  <si>
    <t>CA13509PJA27</t>
  </si>
  <si>
    <t>CA13509PJB00</t>
  </si>
  <si>
    <t>CA13509PJC82</t>
  </si>
  <si>
    <t>CA13509PJE49</t>
  </si>
  <si>
    <t>CA13509PJF14</t>
  </si>
  <si>
    <t>CA13509PJK09</t>
  </si>
  <si>
    <t>CA13509PJL81</t>
  </si>
  <si>
    <t>CA13509PJN48</t>
  </si>
  <si>
    <t>CA458182EC20</t>
  </si>
  <si>
    <t>CA45950KCY43</t>
  </si>
  <si>
    <t>CA614853EV72</t>
  </si>
  <si>
    <t>CA683234B984</t>
  </si>
  <si>
    <t>CA683234YD42</t>
  </si>
  <si>
    <t>CA68323ADZ45</t>
  </si>
  <si>
    <t>CA68323AEE07</t>
  </si>
  <si>
    <t>CA68329AAE88</t>
  </si>
  <si>
    <t>CA68329AAF53</t>
  </si>
  <si>
    <t>CA68333ZAC10</t>
  </si>
  <si>
    <t>CA68333ZAE75</t>
  </si>
  <si>
    <t>CA68333ZAG24</t>
  </si>
  <si>
    <t>CA68333ZAH07</t>
  </si>
  <si>
    <t>CA68333ZAL19</t>
  </si>
  <si>
    <t>CA68333ZAT45</t>
  </si>
  <si>
    <t>CA68333ZAU18</t>
  </si>
  <si>
    <t>CA68333ZAV90</t>
  </si>
  <si>
    <t>CA68333ZAY30</t>
  </si>
  <si>
    <t>CA68333ZAZ05</t>
  </si>
  <si>
    <t>CA68333ZBF32</t>
  </si>
  <si>
    <t>CADUSD CURNCY</t>
  </si>
  <si>
    <t>CAONREPO</t>
  </si>
  <si>
    <t>CDSO1</t>
  </si>
  <si>
    <t>CDSO10</t>
  </si>
  <si>
    <t>CDSO12</t>
  </si>
  <si>
    <t>CDSO15</t>
  </si>
  <si>
    <t>CDSO2</t>
  </si>
  <si>
    <t>CDSO20</t>
  </si>
  <si>
    <t>CDSO25</t>
  </si>
  <si>
    <t>CDSO3</t>
  </si>
  <si>
    <t>CDSO30</t>
  </si>
  <si>
    <t>CDSO4</t>
  </si>
  <si>
    <t>CDSO40</t>
  </si>
  <si>
    <t>CDSO5</t>
  </si>
  <si>
    <t>CDSO6</t>
  </si>
  <si>
    <t>CDSO7</t>
  </si>
  <si>
    <t>CDSO8</t>
  </si>
  <si>
    <t>CDSO9</t>
  </si>
  <si>
    <t>CDSOA</t>
  </si>
  <si>
    <t>CDSOB</t>
  </si>
  <si>
    <t>CDSOC</t>
  </si>
  <si>
    <t>CDSOD</t>
  </si>
  <si>
    <t>CDSOE</t>
  </si>
  <si>
    <t>CDSOF</t>
  </si>
  <si>
    <t>CDSOG</t>
  </si>
  <si>
    <t>CDSOH</t>
  </si>
  <si>
    <t>CDSOI</t>
  </si>
  <si>
    <t>CDSOJ</t>
  </si>
  <si>
    <t>CDSOK</t>
  </si>
  <si>
    <t>CNM6</t>
  </si>
  <si>
    <t>CORH6</t>
  </si>
  <si>
    <t>CORH7</t>
  </si>
  <si>
    <t>CORM6</t>
  </si>
  <si>
    <t>CORM7</t>
  </si>
  <si>
    <t>CORU6</t>
  </si>
  <si>
    <t>CORU7</t>
  </si>
  <si>
    <t>CORZ6</t>
  </si>
  <si>
    <t>CORZ7</t>
  </si>
  <si>
    <t>CVM6</t>
  </si>
  <si>
    <t>CVU6</t>
  </si>
  <si>
    <t>DE0001030708</t>
  </si>
  <si>
    <t>DE0001030724</t>
  </si>
  <si>
    <t>DE0001030732</t>
  </si>
  <si>
    <t>DE0001030740</t>
  </si>
  <si>
    <t>DE0001030757</t>
  </si>
  <si>
    <t>DE0001102341</t>
  </si>
  <si>
    <t>DE0001102408</t>
  </si>
  <si>
    <t>DE0001102416</t>
  </si>
  <si>
    <t>DE0001102424</t>
  </si>
  <si>
    <t>DE0001102432</t>
  </si>
  <si>
    <t>DE0001102440</t>
  </si>
  <si>
    <t>DE0001102457</t>
  </si>
  <si>
    <t>DE0001102465</t>
  </si>
  <si>
    <t>DE0001102473</t>
  </si>
  <si>
    <t>DE0001102481</t>
  </si>
  <si>
    <t>DE0001102499</t>
  </si>
  <si>
    <t>DE0001102507</t>
  </si>
  <si>
    <t>DE0001102515</t>
  </si>
  <si>
    <t>DE0001102523</t>
  </si>
  <si>
    <t>DE0001102531</t>
  </si>
  <si>
    <t>DE0001102549</t>
  </si>
  <si>
    <t>DE0001102556</t>
  </si>
  <si>
    <t>DE0001102564</t>
  </si>
  <si>
    <t>DE0001102572</t>
  </si>
  <si>
    <t>DE0001102580</t>
  </si>
  <si>
    <t>DE0001102598</t>
  </si>
  <si>
    <t>DE0001102606</t>
  </si>
  <si>
    <t>DE0001102614</t>
  </si>
  <si>
    <t>DE0001102622</t>
  </si>
  <si>
    <t>DE0001135044</t>
  </si>
  <si>
    <t>DE0001135069</t>
  </si>
  <si>
    <t>DE0001135085</t>
  </si>
  <si>
    <t>DE0001135143</t>
  </si>
  <si>
    <t>DE0001135176</t>
  </si>
  <si>
    <t>DE0001135226</t>
  </si>
  <si>
    <t>DE0001135275</t>
  </si>
  <si>
    <t>DE0001135325</t>
  </si>
  <si>
    <t>DE0001135366</t>
  </si>
  <si>
    <t>DE0001135432</t>
  </si>
  <si>
    <t>DE0001135481</t>
  </si>
  <si>
    <t>DE0001141844</t>
  </si>
  <si>
    <t>DE0001141851</t>
  </si>
  <si>
    <t>DE0001141869</t>
  </si>
  <si>
    <t>DE000A2SBDF7</t>
  </si>
  <si>
    <t>DE000BU22056</t>
  </si>
  <si>
    <t>DE000BU22064</t>
  </si>
  <si>
    <t>DE000BU22072</t>
  </si>
  <si>
    <t>DE000BU22080</t>
  </si>
  <si>
    <t>DE000BU22098</t>
  </si>
  <si>
    <t>DE000BU22106</t>
  </si>
  <si>
    <t>DE000BU22114</t>
  </si>
  <si>
    <t>DE000BU22122</t>
  </si>
  <si>
    <t>DE000BU22130</t>
  </si>
  <si>
    <t>DE000BU25000</t>
  </si>
  <si>
    <t>DE000BU25018</t>
  </si>
  <si>
    <t>DE000BU25026</t>
  </si>
  <si>
    <t>DE000BU25034</t>
  </si>
  <si>
    <t>DE000BU25042</t>
  </si>
  <si>
    <t>DE000BU25059</t>
  </si>
  <si>
    <t>DE000BU25067</t>
  </si>
  <si>
    <t>DE000BU27006</t>
  </si>
  <si>
    <t>DE000BU27014</t>
  </si>
  <si>
    <t>DE000BU2D004</t>
  </si>
  <si>
    <t>DE000BU2D012</t>
  </si>
  <si>
    <t>DE000BU2F009</t>
  </si>
  <si>
    <t>DE000BU2T000</t>
  </si>
  <si>
    <t>DE000BU2Z007</t>
  </si>
  <si>
    <t>DE000BU2Z015</t>
  </si>
  <si>
    <t>DE000BU2Z023</t>
  </si>
  <si>
    <t>DE000BU2Z031</t>
  </si>
  <si>
    <t>DE000BU2Z049</t>
  </si>
  <si>
    <t>DE000BU2Z056</t>
  </si>
  <si>
    <t>DE000BU2Z064</t>
  </si>
  <si>
    <t>DE000BU35025</t>
  </si>
  <si>
    <t>DE000BU3F007</t>
  </si>
  <si>
    <t>DE000BU3Z005</t>
  </si>
  <si>
    <t>DE000BU3Z047</t>
  </si>
  <si>
    <t>DUM6</t>
  </si>
  <si>
    <t>DUU6</t>
  </si>
  <si>
    <t>DUZ6</t>
  </si>
  <si>
    <t>EESWE1</t>
  </si>
  <si>
    <t>EESWE10</t>
  </si>
  <si>
    <t>EESWE11</t>
  </si>
  <si>
    <t>EESWE12</t>
  </si>
  <si>
    <t>EESWE13</t>
  </si>
  <si>
    <t>EESWE14</t>
  </si>
  <si>
    <t>EESWE15</t>
  </si>
  <si>
    <t>EESWE16</t>
  </si>
  <si>
    <t>EESWE17</t>
  </si>
  <si>
    <t>EESWE18</t>
  </si>
  <si>
    <t>EESWE19</t>
  </si>
  <si>
    <t>EESWE1C</t>
  </si>
  <si>
    <t>EESWE1F</t>
  </si>
  <si>
    <t>EESWE1I</t>
  </si>
  <si>
    <t>EESWE1Z</t>
  </si>
  <si>
    <t>EESWE2</t>
  </si>
  <si>
    <t>EESWE20</t>
  </si>
  <si>
    <t>EESWE25</t>
  </si>
  <si>
    <t>EESWE2Z</t>
  </si>
  <si>
    <t>EESWE3</t>
  </si>
  <si>
    <t>EESWE30</t>
  </si>
  <si>
    <t>EESWE35</t>
  </si>
  <si>
    <t>EESWE3Z</t>
  </si>
  <si>
    <t>EESWE4</t>
  </si>
  <si>
    <t>EESWE40</t>
  </si>
  <si>
    <t>EESWE5</t>
  </si>
  <si>
    <t>EESWE50</t>
  </si>
  <si>
    <t>EESWE6</t>
  </si>
  <si>
    <t>EESWE7</t>
  </si>
  <si>
    <t>EESWE8</t>
  </si>
  <si>
    <t>EESWE9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</si>
  <si>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</si>
  <si>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</si>
  <si>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</si>
  <si>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</si>
  <si>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</si>
  <si>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</si>
  <si>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</si>
  <si>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</si>
  <si>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</si>
  <si>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</si>
  <si>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</si>
  <si>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ERH0</t>
  </si>
  <si>
    <t>ERH1</t>
  </si>
  <si>
    <t>ERH7</t>
  </si>
  <si>
    <t>ERH8</t>
  </si>
  <si>
    <t>ERH9</t>
  </si>
  <si>
    <t>ERM0</t>
  </si>
  <si>
    <t>ERM1</t>
  </si>
  <si>
    <t>ERM6</t>
  </si>
  <si>
    <t>ERM7</t>
  </si>
  <si>
    <t>ERM8</t>
  </si>
  <si>
    <t>ERM9</t>
  </si>
  <si>
    <t>ERU0</t>
  </si>
  <si>
    <t>ERU1</t>
  </si>
  <si>
    <t>ERU6</t>
  </si>
  <si>
    <t>ERU7</t>
  </si>
  <si>
    <t>ERU8</t>
  </si>
  <si>
    <t>ERU9</t>
  </si>
  <si>
    <t>ERZ0</t>
  </si>
  <si>
    <t>ERZ1</t>
  </si>
  <si>
    <t>ERZ6</t>
  </si>
  <si>
    <t>ERZ7</t>
  </si>
  <si>
    <t>ERZ8</t>
  </si>
  <si>
    <t>ERZ9</t>
  </si>
  <si>
    <t>ES0000011868</t>
  </si>
  <si>
    <t>ES00000120N0</t>
  </si>
  <si>
    <t>ES00000121S7</t>
  </si>
  <si>
    <t>ES00000123C7</t>
  </si>
  <si>
    <t>ES0000012411</t>
  </si>
  <si>
    <t>ES00000124C5</t>
  </si>
  <si>
    <t>ES00000124H4</t>
  </si>
  <si>
    <t>ES00000127A2</t>
  </si>
  <si>
    <t>ES00000128C6</t>
  </si>
  <si>
    <t>ES00000128E2</t>
  </si>
  <si>
    <t>ES00000128H5</t>
  </si>
  <si>
    <t>ES00000128P8</t>
  </si>
  <si>
    <t>ES00000128Q6</t>
  </si>
  <si>
    <t>ES0000012932</t>
  </si>
  <si>
    <t>ES0000012A89</t>
  </si>
  <si>
    <t>ES0000012B39</t>
  </si>
  <si>
    <t>ES0000012B47</t>
  </si>
  <si>
    <t>ES0000012B88</t>
  </si>
  <si>
    <t>ES0000012E51</t>
  </si>
  <si>
    <t>ES0000012E69</t>
  </si>
  <si>
    <t>ES0000012F43</t>
  </si>
  <si>
    <t>ES0000012F76</t>
  </si>
  <si>
    <t>ES0000012G00</t>
  </si>
  <si>
    <t>ES0000012G26</t>
  </si>
  <si>
    <t>ES0000012G34</t>
  </si>
  <si>
    <t>ES0000012G42</t>
  </si>
  <si>
    <t>ES0000012H41</t>
  </si>
  <si>
    <t>ES0000012H58</t>
  </si>
  <si>
    <t>ES0000012I08</t>
  </si>
  <si>
    <t>ES0000012I24</t>
  </si>
  <si>
    <t>ES0000012I32</t>
  </si>
  <si>
    <t>ES0000012J07</t>
  </si>
  <si>
    <t>ES0000012J15</t>
  </si>
  <si>
    <t>ES0000012K20</t>
  </si>
  <si>
    <t>ES0000012K46</t>
  </si>
  <si>
    <t>ES0000012K53</t>
  </si>
  <si>
    <t>ES0000012K61</t>
  </si>
  <si>
    <t>ES0000012K95</t>
  </si>
  <si>
    <t>ES0000012L52</t>
  </si>
  <si>
    <t>ES0000012L60</t>
  </si>
  <si>
    <t>ES0000012L78</t>
  </si>
  <si>
    <t>ES0000012M51</t>
  </si>
  <si>
    <t>ES0000012M77</t>
  </si>
  <si>
    <t>ES0000012M85</t>
  </si>
  <si>
    <t>ES0000012M93</t>
  </si>
  <si>
    <t>ES0000012N35</t>
  </si>
  <si>
    <t>ES0000012N43</t>
  </si>
  <si>
    <t>ES0000012O00</t>
  </si>
  <si>
    <t>ES0000012O59</t>
  </si>
  <si>
    <t>ES0000012O67</t>
  </si>
  <si>
    <t>ES0000012O75</t>
  </si>
  <si>
    <t>ES0000012P33</t>
  </si>
  <si>
    <t>ES0000012P74</t>
  </si>
  <si>
    <t>ES0000012P90</t>
  </si>
  <si>
    <t>ES0000012Q08</t>
  </si>
  <si>
    <t>ES0000012Q16</t>
  </si>
  <si>
    <t>ES0000012R56</t>
  </si>
  <si>
    <t>EU000A1G1Q17</t>
  </si>
  <si>
    <t>EU000A3K4C42</t>
  </si>
  <si>
    <t>EU000A3K4D41</t>
  </si>
  <si>
    <t>EU000A3K4D74</t>
  </si>
  <si>
    <t>EU000A3K4D82</t>
  </si>
  <si>
    <t>EU000A3K4DD8</t>
  </si>
  <si>
    <t>EU000A3K4DG1</t>
  </si>
  <si>
    <t>EU000A3K4DM9</t>
  </si>
  <si>
    <t>EU000A3K4DS6</t>
  </si>
  <si>
    <t>EU000A3K4DT4</t>
  </si>
  <si>
    <t>EU000A3K4DV0</t>
  </si>
  <si>
    <t>EU000A3K4DW8</t>
  </si>
  <si>
    <t>EU000A3K4DY4</t>
  </si>
  <si>
    <t>EU000A3K4EL9</t>
  </si>
  <si>
    <t>EU000A3K4EN5</t>
  </si>
  <si>
    <t>EU000A3K4ES4</t>
  </si>
  <si>
    <t>EU000A3K4EU0</t>
  </si>
  <si>
    <t>EU000A3K4EW6</t>
  </si>
  <si>
    <t>EU000A3K4EY2</t>
  </si>
  <si>
    <t>EU000A3K7MW2</t>
  </si>
  <si>
    <t>EU000A3KSXE1</t>
  </si>
  <si>
    <t>EU000A3KT6B1</t>
  </si>
  <si>
    <t>EU000A3KTGV8</t>
  </si>
  <si>
    <t>EU000A3KTGW6</t>
  </si>
  <si>
    <t>EU000A3KWCF4</t>
  </si>
  <si>
    <t>EU000A3L1CN4</t>
  </si>
  <si>
    <t>EU000A3L1DJ0</t>
  </si>
  <si>
    <t>EU000A3LNF05</t>
  </si>
  <si>
    <t>EU000A3LZ0X9</t>
  </si>
  <si>
    <t>EU000A4D8KD2</t>
  </si>
  <si>
    <t>EU000A4EA8Y7</t>
  </si>
  <si>
    <t>EURUSD CURNCY</t>
  </si>
  <si>
    <t>FFF7</t>
  </si>
  <si>
    <t>FFG7</t>
  </si>
  <si>
    <t>FFH7</t>
  </si>
  <si>
    <t>FFJ7</t>
  </si>
  <si>
    <t>FFK7</t>
  </si>
  <si>
    <t>FFM6</t>
  </si>
  <si>
    <t>FFM7</t>
  </si>
  <si>
    <t>FFN6</t>
  </si>
  <si>
    <t>FFN7</t>
  </si>
  <si>
    <t>FFQ6</t>
  </si>
  <si>
    <t>FFQ7</t>
  </si>
  <si>
    <t>FFU6</t>
  </si>
  <si>
    <t>FFV6</t>
  </si>
  <si>
    <t>FFX6</t>
  </si>
  <si>
    <t>FFZ6</t>
  </si>
  <si>
    <t>FI4000348727</t>
  </si>
  <si>
    <t>FI4000415153</t>
  </si>
  <si>
    <t>FI4000546528</t>
  </si>
  <si>
    <t>FR0000186413</t>
  </si>
  <si>
    <t>FR0000187635</t>
  </si>
  <si>
    <t>FR0000188799</t>
  </si>
  <si>
    <t>FR0000571218</t>
  </si>
  <si>
    <t>FR0010070060</t>
  </si>
  <si>
    <t>FR0010171975</t>
  </si>
  <si>
    <t>FR0010371401</t>
  </si>
  <si>
    <t>FR0010447367</t>
  </si>
  <si>
    <t>FR0010773192</t>
  </si>
  <si>
    <t>FR0010870956</t>
  </si>
  <si>
    <t>FR0011008705</t>
  </si>
  <si>
    <t>FR0011317783</t>
  </si>
  <si>
    <t>FR0011461037</t>
  </si>
  <si>
    <t>FR0011883966</t>
  </si>
  <si>
    <t>FR0012993103</t>
  </si>
  <si>
    <t>FR0013154028</t>
  </si>
  <si>
    <t>FR0013154044</t>
  </si>
  <si>
    <t>FR0013154200</t>
  </si>
  <si>
    <t>FR0013200813</t>
  </si>
  <si>
    <t>FR0013209871</t>
  </si>
  <si>
    <t>FR0013234333</t>
  </si>
  <si>
    <t>FR0013238268</t>
  </si>
  <si>
    <t>FR0013250560</t>
  </si>
  <si>
    <t>FR0013257524</t>
  </si>
  <si>
    <t>FR0013286192</t>
  </si>
  <si>
    <t>FR0013313582</t>
  </si>
  <si>
    <t>FR0013341682</t>
  </si>
  <si>
    <t>FR0013404969</t>
  </si>
  <si>
    <t>FR0013407236</t>
  </si>
  <si>
    <t>FR0013451507</t>
  </si>
  <si>
    <t>FR0013480613</t>
  </si>
  <si>
    <t>FR0013515806</t>
  </si>
  <si>
    <t>FR0013516549</t>
  </si>
  <si>
    <t>FR0014001NN8</t>
  </si>
  <si>
    <t>FR0014002JM6</t>
  </si>
  <si>
    <t>FR0014002WK3</t>
  </si>
  <si>
    <t>FR0014003513</t>
  </si>
  <si>
    <t>FR0014003N51</t>
  </si>
  <si>
    <t>FR0014004J31</t>
  </si>
  <si>
    <t>FR0014007L00</t>
  </si>
  <si>
    <t>FR0014009O62</t>
  </si>
  <si>
    <t>FR001400AIN5</t>
  </si>
  <si>
    <t>FR001400BKZ3</t>
  </si>
  <si>
    <t>FR001400CMX2</t>
  </si>
  <si>
    <t>FR001400FTH3</t>
  </si>
  <si>
    <t>FR001400FYQ4</t>
  </si>
  <si>
    <t>FR001400H7V7</t>
  </si>
  <si>
    <t>FR001400HI98</t>
  </si>
  <si>
    <t>FR001400L834</t>
  </si>
  <si>
    <t>FR001400NBC6</t>
  </si>
  <si>
    <t>FR001400NEF3</t>
  </si>
  <si>
    <t>FR001400O9D2</t>
  </si>
  <si>
    <t>FR001400OHF4</t>
  </si>
  <si>
    <t>FR001400PM68</t>
  </si>
  <si>
    <t>FR001400QMF9</t>
  </si>
  <si>
    <t>FR001400WYO4</t>
  </si>
  <si>
    <t>FR001400X8V5</t>
  </si>
  <si>
    <t>FR001400XJJ3</t>
  </si>
  <si>
    <t>FR001400XLW2</t>
  </si>
  <si>
    <t>FR001400Z2L7</t>
  </si>
  <si>
    <t>FR0014012II5</t>
  </si>
  <si>
    <t>FR0014015MU5</t>
  </si>
  <si>
    <t>FR0014016CV2</t>
  </si>
  <si>
    <t>FR0014016G71</t>
  </si>
  <si>
    <t>FVM6</t>
  </si>
  <si>
    <t>FVU6</t>
  </si>
  <si>
    <t>FVZ6</t>
  </si>
  <si>
    <t>G M6</t>
  </si>
  <si>
    <t>G U6</t>
  </si>
  <si>
    <t>G Z6</t>
  </si>
  <si>
    <t>GB0002404191</t>
  </si>
  <si>
    <t>GB0004893086</t>
  </si>
  <si>
    <t>GB0008932666</t>
  </si>
  <si>
    <t>GB0031790826</t>
  </si>
  <si>
    <t>GB0032452392</t>
  </si>
  <si>
    <t>GB00B00NY175</t>
  </si>
  <si>
    <t>GB00B06YGN05</t>
  </si>
  <si>
    <t>GB00B0CNHZ09</t>
  </si>
  <si>
    <t>GB00B128DH60</t>
  </si>
  <si>
    <t>GB00B128DP45</t>
  </si>
  <si>
    <t>GB00B16NNR78</t>
  </si>
  <si>
    <t>GB00B1L6W962</t>
  </si>
  <si>
    <t>GB00B1VWPJ53</t>
  </si>
  <si>
    <t>GB00B24FF097</t>
  </si>
  <si>
    <t>GB00B24FFM16</t>
  </si>
  <si>
    <t>GB00B39R3707</t>
  </si>
  <si>
    <t>GB00B3D4VD98</t>
  </si>
  <si>
    <t>GB00B3KJDS62</t>
  </si>
  <si>
    <t>GB00B3LZBF68</t>
  </si>
  <si>
    <t>GB00B3MYD345</t>
  </si>
  <si>
    <t>GB00B3Y1JG82</t>
  </si>
  <si>
    <t>GB00B421JZ66</t>
  </si>
  <si>
    <t>GB00B46CGH68</t>
  </si>
  <si>
    <t>GB00B4PTCY75</t>
  </si>
  <si>
    <t>GB00B52WS153</t>
  </si>
  <si>
    <t>GB00B54QLM75</t>
  </si>
  <si>
    <t>GB00B6460505</t>
  </si>
  <si>
    <t>GB00B6RNH572</t>
  </si>
  <si>
    <t>GB00B73ZYW09</t>
  </si>
  <si>
    <t>GB00B7RN0G65</t>
  </si>
  <si>
    <t>GB00B84Z9V04</t>
  </si>
  <si>
    <t>GB00BBJNQY21</t>
  </si>
  <si>
    <t>GB00BD0XH204</t>
  </si>
  <si>
    <t>GB00BD9MZZ71</t>
  </si>
  <si>
    <t>GB00BDCHBW80</t>
  </si>
  <si>
    <t>GB00BDRHNP05</t>
  </si>
  <si>
    <t>GB00BDX8CX86</t>
  </si>
  <si>
    <t>GB00BFMCN652</t>
  </si>
  <si>
    <t>GB00BFWFPP71</t>
  </si>
  <si>
    <t>GB00BFX0ZL78</t>
  </si>
  <si>
    <t>GB00BJLR0J16</t>
  </si>
  <si>
    <t>GB00BJMHB534</t>
  </si>
  <si>
    <t>GB00BJQWYH73</t>
  </si>
  <si>
    <t>GB00BL68HH02</t>
  </si>
  <si>
    <t>GB00BL6C7720</t>
  </si>
  <si>
    <t>GB00BLBDX619</t>
  </si>
  <si>
    <t>GB00BLH38158</t>
  </si>
  <si>
    <t>GB00BLPK7227</t>
  </si>
  <si>
    <t>GB00BLPK7334</t>
  </si>
  <si>
    <t>GB00BM8Z2S21</t>
  </si>
  <si>
    <t>GB00BM8Z2T38</t>
  </si>
  <si>
    <t>GB00BM8Z2V59</t>
  </si>
  <si>
    <t>GB00BM8Z2W66</t>
  </si>
  <si>
    <t>GB00BMBL1D50</t>
  </si>
  <si>
    <t>GB00BMBL1F74</t>
  </si>
  <si>
    <t>GB00BMBL1G81</t>
  </si>
  <si>
    <t>GB00BMF9LF76</t>
  </si>
  <si>
    <t>GB00BMF9LG83</t>
  </si>
  <si>
    <t>GB00BMGR2809</t>
  </si>
  <si>
    <t>GB00BMGR2916</t>
  </si>
  <si>
    <t>GB00BMV7TC88</t>
  </si>
  <si>
    <t>GB00BN65R313</t>
  </si>
  <si>
    <t>GB00BNNGP551</t>
  </si>
  <si>
    <t>GB00BNNGP668</t>
  </si>
  <si>
    <t>GB00BNNGP775</t>
  </si>
  <si>
    <t>GB00BP9DLZ64</t>
  </si>
  <si>
    <t>GB00BPCJD997</t>
  </si>
  <si>
    <t>GB00BPJJKN53</t>
  </si>
  <si>
    <t>GB00BPJJKP77</t>
  </si>
  <si>
    <t>GB00BPSNB460</t>
  </si>
  <si>
    <t>GB00BPSNBB36</t>
  </si>
  <si>
    <t>GB00BPSNBF73</t>
  </si>
  <si>
    <t>GB00BQC4R999</t>
  </si>
  <si>
    <t>GB00BQC82B83</t>
  </si>
  <si>
    <t>GB00BQC82C90</t>
  </si>
  <si>
    <t>GB00BQC82D08</t>
  </si>
  <si>
    <t>GB00BSQNRC93</t>
  </si>
  <si>
    <t>GB00BSQNRD01</t>
  </si>
  <si>
    <t>GB00BT7J0027</t>
  </si>
  <si>
    <t>GB00BT7J0241</t>
  </si>
  <si>
    <t>GB00BTXS1K06</t>
  </si>
  <si>
    <t>GB00BVP99566</t>
  </si>
  <si>
    <t>GB00BVP99673</t>
  </si>
  <si>
    <t>GB00BVP99780</t>
  </si>
  <si>
    <t>GB00BVP99897</t>
  </si>
  <si>
    <t>GB00BVP99905</t>
  </si>
  <si>
    <t>GB00BWBR1N39</t>
  </si>
  <si>
    <t>GB00BYMWG366</t>
  </si>
  <si>
    <t>GB00BYVP4K94</t>
  </si>
  <si>
    <t>GB00BYYMZX75</t>
  </si>
  <si>
    <t>GB00BYZW3G56</t>
  </si>
  <si>
    <t>GB00BYZW3J87</t>
  </si>
  <si>
    <t>GB00BZ13DV40</t>
  </si>
  <si>
    <t>GB00BZB26Y51</t>
  </si>
  <si>
    <t>GBPUSD CURNCY</t>
  </si>
  <si>
    <t>GCFRTSY</t>
  </si>
  <si>
    <t>IE000GVLBXU6</t>
  </si>
  <si>
    <t>IE00BKFVC345</t>
  </si>
  <si>
    <t>IE00BKFVC899</t>
  </si>
  <si>
    <t>IE00BMD03L28</t>
  </si>
  <si>
    <t>IE00BMQ5JL65</t>
  </si>
  <si>
    <t>IE00BMQ5JM72</t>
  </si>
  <si>
    <t>IKM6</t>
  </si>
  <si>
    <t>IKU6</t>
  </si>
  <si>
    <t>IT0001086567</t>
  </si>
  <si>
    <t>IT0001174611</t>
  </si>
  <si>
    <t>IT0001278511</t>
  </si>
  <si>
    <t>IT0001444378</t>
  </si>
  <si>
    <t>IT0003256820</t>
  </si>
  <si>
    <t>IT0003535157</t>
  </si>
  <si>
    <t>IT0003745541</t>
  </si>
  <si>
    <t>IT0003934657</t>
  </si>
  <si>
    <t>IT0004286966</t>
  </si>
  <si>
    <t>IT0004532559</t>
  </si>
  <si>
    <t>IT0004545890</t>
  </si>
  <si>
    <t>IT0004735152</t>
  </si>
  <si>
    <t>IT0004889033</t>
  </si>
  <si>
    <t>IT0004923998</t>
  </si>
  <si>
    <t>IT0005024234</t>
  </si>
  <si>
    <t>IT0005083057</t>
  </si>
  <si>
    <t>IT0005094088</t>
  </si>
  <si>
    <t>IT0005138828</t>
  </si>
  <si>
    <t>IT0005162828</t>
  </si>
  <si>
    <t>IT0005177909</t>
  </si>
  <si>
    <t>IT0005210650</t>
  </si>
  <si>
    <t>IT0005217390</t>
  </si>
  <si>
    <t>IT0005240350</t>
  </si>
  <si>
    <t>IT0005240830</t>
  </si>
  <si>
    <t>IT0005273013</t>
  </si>
  <si>
    <t>IT0005274805</t>
  </si>
  <si>
    <t>IT0005321325</t>
  </si>
  <si>
    <t>IT0005323032</t>
  </si>
  <si>
    <t>IT0005340929</t>
  </si>
  <si>
    <t>IT0005358806</t>
  </si>
  <si>
    <t>IT0005363111</t>
  </si>
  <si>
    <t>IT0005365165</t>
  </si>
  <si>
    <t>IT0005370306</t>
  </si>
  <si>
    <t>IT0005377152</t>
  </si>
  <si>
    <t>IT0005383309</t>
  </si>
  <si>
    <t>IT0005390874</t>
  </si>
  <si>
    <t>IT0005398406</t>
  </si>
  <si>
    <t>IT0005402117</t>
  </si>
  <si>
    <t>IT0005403396</t>
  </si>
  <si>
    <t>IT0005413171</t>
  </si>
  <si>
    <t>IT0005416570</t>
  </si>
  <si>
    <t>IT0005421703</t>
  </si>
  <si>
    <t>IT0005422891</t>
  </si>
  <si>
    <t>IT0005425233</t>
  </si>
  <si>
    <t>IT0005433195</t>
  </si>
  <si>
    <t>IT0005433690</t>
  </si>
  <si>
    <t>IT0005436693</t>
  </si>
  <si>
    <t>IT0005436701</t>
  </si>
  <si>
    <t>IT0005438004</t>
  </si>
  <si>
    <t>IT0005441883</t>
  </si>
  <si>
    <t>IT0005445306</t>
  </si>
  <si>
    <t>IT0005449969</t>
  </si>
  <si>
    <t>IT0005454241</t>
  </si>
  <si>
    <t>IT0005466013</t>
  </si>
  <si>
    <t>IT0005467482</t>
  </si>
  <si>
    <t>IT0005480980</t>
  </si>
  <si>
    <t>IT0005484552</t>
  </si>
  <si>
    <t>IT0005494239</t>
  </si>
  <si>
    <t>IT0005495731</t>
  </si>
  <si>
    <t>IT0005496770</t>
  </si>
  <si>
    <t>IT0005500068</t>
  </si>
  <si>
    <t>IT0005508590</t>
  </si>
  <si>
    <t>IT0005518128</t>
  </si>
  <si>
    <t>IT0005519787</t>
  </si>
  <si>
    <t>IT0005521981</t>
  </si>
  <si>
    <t>IT0005530032</t>
  </si>
  <si>
    <t>IT0005534141</t>
  </si>
  <si>
    <t>IT0005542359</t>
  </si>
  <si>
    <t>IT0005542797</t>
  </si>
  <si>
    <t>IT0005543803</t>
  </si>
  <si>
    <t>IT0005544082</t>
  </si>
  <si>
    <t>IT0005548315</t>
  </si>
  <si>
    <t>IT0005556011</t>
  </si>
  <si>
    <t>IT0005560948</t>
  </si>
  <si>
    <t>IT0005561888</t>
  </si>
  <si>
    <t>IT0005566408</t>
  </si>
  <si>
    <t>IT0005580045</t>
  </si>
  <si>
    <t>IT0005580094</t>
  </si>
  <si>
    <t>IT0005582421</t>
  </si>
  <si>
    <t>IT0005584849</t>
  </si>
  <si>
    <t>IT0005584856</t>
  </si>
  <si>
    <t>IT0005595803</t>
  </si>
  <si>
    <t>IT0005596470</t>
  </si>
  <si>
    <t>IT0005599904</t>
  </si>
  <si>
    <t>IT0005607269</t>
  </si>
  <si>
    <t>IT0005607970</t>
  </si>
  <si>
    <t>IT0005611055</t>
  </si>
  <si>
    <t>IT0005611741</t>
  </si>
  <si>
    <t>IT0005619546</t>
  </si>
  <si>
    <t>IT0005622128</t>
  </si>
  <si>
    <t>IT0005631590</t>
  </si>
  <si>
    <t>IT0005631608</t>
  </si>
  <si>
    <t>IT0005633794</t>
  </si>
  <si>
    <t>IT0005635583</t>
  </si>
  <si>
    <t>IT0005637399</t>
  </si>
  <si>
    <t>IT0005641029</t>
  </si>
  <si>
    <t>IT0005647265</t>
  </si>
  <si>
    <t>IT0005647273</t>
  </si>
  <si>
    <t>IT0005648149</t>
  </si>
  <si>
    <t>IT0005654642</t>
  </si>
  <si>
    <t>IT0005657330</t>
  </si>
  <si>
    <t>IT0005660052</t>
  </si>
  <si>
    <t>IT0005668220</t>
  </si>
  <si>
    <t>IT0005668238</t>
  </si>
  <si>
    <t>IT0005671273</t>
  </si>
  <si>
    <t>IT0005676504</t>
  </si>
  <si>
    <t>IT0005689960</t>
  </si>
  <si>
    <t>IT0005689994</t>
  </si>
  <si>
    <t>IT0005692410</t>
  </si>
  <si>
    <t>IT0005694630</t>
  </si>
  <si>
    <t>IT0005704868</t>
  </si>
  <si>
    <t>IT0005706285</t>
  </si>
  <si>
    <t>IT0005706293</t>
  </si>
  <si>
    <t>JP1024821S35</t>
  </si>
  <si>
    <t>JP1024831S41</t>
  </si>
  <si>
    <t>JP1051491MA0</t>
  </si>
  <si>
    <t>JP1051831S10</t>
  </si>
  <si>
    <t>JP1051841S42</t>
  </si>
  <si>
    <t>JP1103431G66</t>
  </si>
  <si>
    <t>JP1103441G98</t>
  </si>
  <si>
    <t>JP1103451GC0</t>
  </si>
  <si>
    <t>JP1103461H35</t>
  </si>
  <si>
    <t>JP1103471H66</t>
  </si>
  <si>
    <t>JP1103481H98</t>
  </si>
  <si>
    <t>JP1103491HC4</t>
  </si>
  <si>
    <t>JP1103501J35</t>
  </si>
  <si>
    <t>JP1103511J74</t>
  </si>
  <si>
    <t>JP1103541K42</t>
  </si>
  <si>
    <t>JP1103551K72</t>
  </si>
  <si>
    <t>JP1103561KA2</t>
  </si>
  <si>
    <t>JP1103571L10</t>
  </si>
  <si>
    <t>JP1103581L42</t>
  </si>
  <si>
    <t>JP1103591L73</t>
  </si>
  <si>
    <t>JP1103601LA4</t>
  </si>
  <si>
    <t>JP1103611M11</t>
  </si>
  <si>
    <t>JP1103621M43</t>
  </si>
  <si>
    <t>JP1103631M74</t>
  </si>
  <si>
    <t>JP1103641MA8</t>
  </si>
  <si>
    <t>JP1103741Q44</t>
  </si>
  <si>
    <t>JP1103811S13</t>
  </si>
  <si>
    <t>JP1103821S45</t>
  </si>
  <si>
    <t>JP1200881660</t>
  </si>
  <si>
    <t>JP1200891685</t>
  </si>
  <si>
    <t>JP1200901690</t>
  </si>
  <si>
    <t>JP12009116A6</t>
  </si>
  <si>
    <t>JP12009216C0</t>
  </si>
  <si>
    <t>JP1200931739</t>
  </si>
  <si>
    <t>JP1200941746</t>
  </si>
  <si>
    <t>JP1200951760</t>
  </si>
  <si>
    <t>JP1200961785</t>
  </si>
  <si>
    <t>JP1200971792</t>
  </si>
  <si>
    <t>JP12009817B7</t>
  </si>
  <si>
    <t>JP12009917C3</t>
  </si>
  <si>
    <t>JP1201001839</t>
  </si>
  <si>
    <t>JP1201011853</t>
  </si>
  <si>
    <t>JP1201021860</t>
  </si>
  <si>
    <t>JP1201031877</t>
  </si>
  <si>
    <t>JP1201041884</t>
  </si>
  <si>
    <t>JP1201051891</t>
  </si>
  <si>
    <t>JP12010618A8</t>
  </si>
  <si>
    <t>JP12010718C2</t>
  </si>
  <si>
    <t>JP1201081914</t>
  </si>
  <si>
    <t>JP1201091939</t>
  </si>
  <si>
    <t>JP1201101944</t>
  </si>
  <si>
    <t>JP1201111968</t>
  </si>
  <si>
    <t>JP1201121975</t>
  </si>
  <si>
    <t>JP1201131990</t>
  </si>
  <si>
    <t>JP12011419C6</t>
  </si>
  <si>
    <t>JP1201151A21</t>
  </si>
  <si>
    <t>JP1201161A37</t>
  </si>
  <si>
    <t>JP1201171A43</t>
  </si>
  <si>
    <t>JP1201181A66</t>
  </si>
  <si>
    <t>JP1201191A72</t>
  </si>
  <si>
    <t>JP1201201A88</t>
  </si>
  <si>
    <t>JP1201211A94</t>
  </si>
  <si>
    <t>JP1201221AA5</t>
  </si>
  <si>
    <t>JP1201231AC0</t>
  </si>
  <si>
    <t>JP1201241B22</t>
  </si>
  <si>
    <t>JP1201251B37</t>
  </si>
  <si>
    <t>JP1201261B43</t>
  </si>
  <si>
    <t>JP1201271B58</t>
  </si>
  <si>
    <t>JP1201281B64</t>
  </si>
  <si>
    <t>JP1201291B88</t>
  </si>
  <si>
    <t>JP1201301B94</t>
  </si>
  <si>
    <t>JP1201311BB0</t>
  </si>
  <si>
    <t>JP1201321BC7</t>
  </si>
  <si>
    <t>JP1201331C14</t>
  </si>
  <si>
    <t>JP1201341C38</t>
  </si>
  <si>
    <t>JP1201351C43</t>
  </si>
  <si>
    <t>JP1201361C58</t>
  </si>
  <si>
    <t>JP1201371C64</t>
  </si>
  <si>
    <t>JP1201381C70</t>
  </si>
  <si>
    <t>JP1201391C86</t>
  </si>
  <si>
    <t>JP1201401C92</t>
  </si>
  <si>
    <t>JP1201411CC4</t>
  </si>
  <si>
    <t>JP1201421D22</t>
  </si>
  <si>
    <t>JP1201431D38</t>
  </si>
  <si>
    <t>JP1201441D44</t>
  </si>
  <si>
    <t>JP1201451D66</t>
  </si>
  <si>
    <t>JP1201461D98</t>
  </si>
  <si>
    <t>JP1201471DC6</t>
  </si>
  <si>
    <t>JP1201481E36</t>
  </si>
  <si>
    <t>JP1201491E67</t>
  </si>
  <si>
    <t>JP1201501E99</t>
  </si>
  <si>
    <t>JP1201511EC7</t>
  </si>
  <si>
    <t>JP1201521F37</t>
  </si>
  <si>
    <t>JP1201531F68</t>
  </si>
  <si>
    <t>JP1201541F90</t>
  </si>
  <si>
    <t>JP1201551FC0</t>
  </si>
  <si>
    <t>JP1201561G37</t>
  </si>
  <si>
    <t>JP1201571G68</t>
  </si>
  <si>
    <t>JP1201581G90</t>
  </si>
  <si>
    <t>JP1201591GC4</t>
  </si>
  <si>
    <t>JP1201601H38</t>
  </si>
  <si>
    <t>JP1201611H69</t>
  </si>
  <si>
    <t>JP1201621H91</t>
  </si>
  <si>
    <t>JP1201631HC6</t>
  </si>
  <si>
    <t>JP1201701KA5</t>
  </si>
  <si>
    <t>JP1201771M76</t>
  </si>
  <si>
    <t>JP1201951S15</t>
  </si>
  <si>
    <t>JP1201961S47</t>
  </si>
  <si>
    <t>JP1300011W09</t>
  </si>
  <si>
    <t>JP1300021001</t>
  </si>
  <si>
    <t>JP1300031000</t>
  </si>
  <si>
    <t>JP1300041009</t>
  </si>
  <si>
    <t>JP1300051156</t>
  </si>
  <si>
    <t>JP13000611B1</t>
  </si>
  <si>
    <t>JP1300071253</t>
  </si>
  <si>
    <t>JP1300091319</t>
  </si>
  <si>
    <t>JP1300101357</t>
  </si>
  <si>
    <t>JP1300111372</t>
  </si>
  <si>
    <t>JP13001213B5</t>
  </si>
  <si>
    <t>JP1300131420</t>
  </si>
  <si>
    <t>JP1300141445</t>
  </si>
  <si>
    <t>JP1300151485</t>
  </si>
  <si>
    <t>JP13001614A6</t>
  </si>
  <si>
    <t>JP1300171525</t>
  </si>
  <si>
    <t>JP1300181540</t>
  </si>
  <si>
    <t>JP1300191572</t>
  </si>
  <si>
    <t>JP13002015A5</t>
  </si>
  <si>
    <t>JP1300211610</t>
  </si>
  <si>
    <t>JP1300221643</t>
  </si>
  <si>
    <t>JP1300231675</t>
  </si>
  <si>
    <t>JP13002416A5</t>
  </si>
  <si>
    <t>JP1300251715</t>
  </si>
  <si>
    <t>JP1300261748</t>
  </si>
  <si>
    <t>JP13002717A6</t>
  </si>
  <si>
    <t>JP1300281845</t>
  </si>
  <si>
    <t>JP13002918A0</t>
  </si>
  <si>
    <t>JP1300301940</t>
  </si>
  <si>
    <t>JP13003119A4</t>
  </si>
  <si>
    <t>JP1300321A34</t>
  </si>
  <si>
    <t>JP1300331A99</t>
  </si>
  <si>
    <t>JP1300341B39</t>
  </si>
  <si>
    <t>JP1300351B93</t>
  </si>
  <si>
    <t>JP1300361C33</t>
  </si>
  <si>
    <t>JP1300371C98</t>
  </si>
  <si>
    <t>JP1300381D38</t>
  </si>
  <si>
    <t>JP1300391D69</t>
  </si>
  <si>
    <t>JP1300401D91</t>
  </si>
  <si>
    <t>JP1300411DC2</t>
  </si>
  <si>
    <t>JP1300421E39</t>
  </si>
  <si>
    <t>JP1300431E60</t>
  </si>
  <si>
    <t>JP1300441E92</t>
  </si>
  <si>
    <t>JP1300451EC6</t>
  </si>
  <si>
    <t>JP1300461F39</t>
  </si>
  <si>
    <t>JP1300471F60</t>
  </si>
  <si>
    <t>JP1300481F92</t>
  </si>
  <si>
    <t>JP1300491FC9</t>
  </si>
  <si>
    <t>JP1300501G30</t>
  </si>
  <si>
    <t>JP1300511G61</t>
  </si>
  <si>
    <t>JP1300521G93</t>
  </si>
  <si>
    <t>JP1300531GC0</t>
  </si>
  <si>
    <t>JP1300541H31</t>
  </si>
  <si>
    <t>JP1300551H61</t>
  </si>
  <si>
    <t>JP1300561H93</t>
  </si>
  <si>
    <t>JP1300571HC4</t>
  </si>
  <si>
    <t>JP1300721MA9</t>
  </si>
  <si>
    <t>JP1300891S18</t>
  </si>
  <si>
    <t>JP1300901S40</t>
  </si>
  <si>
    <t>JP14000117B7</t>
  </si>
  <si>
    <t>JP1400021950</t>
  </si>
  <si>
    <t>JP1400031A58</t>
  </si>
  <si>
    <t>JP1400041B55</t>
  </si>
  <si>
    <t>JP1400051C51</t>
  </si>
  <si>
    <t>JP1400061D58</t>
  </si>
  <si>
    <t>JP1400071E55</t>
  </si>
  <si>
    <t>JP1400081F45</t>
  </si>
  <si>
    <t>JP1400091G59</t>
  </si>
  <si>
    <t>JP1400101H56</t>
  </si>
  <si>
    <t>JP1400181R57</t>
  </si>
  <si>
    <t>NL0000102234</t>
  </si>
  <si>
    <t>NL0000102317</t>
  </si>
  <si>
    <t>NL0009446418</t>
  </si>
  <si>
    <t>NL0010071189</t>
  </si>
  <si>
    <t>NL0010721999</t>
  </si>
  <si>
    <t>NL0011819040</t>
  </si>
  <si>
    <t>NL0012171458</t>
  </si>
  <si>
    <t>NL0012818504</t>
  </si>
  <si>
    <t>NL0013332430</t>
  </si>
  <si>
    <t>NL0013552060</t>
  </si>
  <si>
    <t>NL0014555419</t>
  </si>
  <si>
    <t>NL00150006U0</t>
  </si>
  <si>
    <t>NL0015000B11</t>
  </si>
  <si>
    <t>NL0015000LS8</t>
  </si>
  <si>
    <t>NL0015000RP1</t>
  </si>
  <si>
    <t>NL00150012X2</t>
  </si>
  <si>
    <t>NL0015001AM2</t>
  </si>
  <si>
    <t>NL0015001DQ7</t>
  </si>
  <si>
    <t>NL0015001RG8</t>
  </si>
  <si>
    <t>NL0015001XZ6</t>
  </si>
  <si>
    <t>NL0015002F72</t>
  </si>
  <si>
    <t>NL0015002P70</t>
  </si>
  <si>
    <t>NL0015031501</t>
  </si>
  <si>
    <t>NL0015073TQ2</t>
  </si>
  <si>
    <t>NL0015073VV8</t>
  </si>
  <si>
    <t>NL0015614579</t>
  </si>
  <si>
    <t>NO0012837642</t>
  </si>
  <si>
    <t>OATM6</t>
  </si>
  <si>
    <t>OEM6</t>
  </si>
  <si>
    <t>OEU6</t>
  </si>
  <si>
    <t>OEZ6</t>
  </si>
  <si>
    <t>PTOTEAOE0005</t>
  </si>
  <si>
    <t>PTOTELOE0028</t>
  </si>
  <si>
    <t>PTOTENOE0034</t>
  </si>
  <si>
    <t>PTOTEOOE0033</t>
  </si>
  <si>
    <t>PTOTETOE0012</t>
  </si>
  <si>
    <t>RXM6</t>
  </si>
  <si>
    <t>RXU6</t>
  </si>
  <si>
    <t>RXZ6</t>
  </si>
  <si>
    <t>SERF7</t>
  </si>
  <si>
    <t>SERF8</t>
  </si>
  <si>
    <t>SERG7</t>
  </si>
  <si>
    <t>SERG8</t>
  </si>
  <si>
    <t>SERH7</t>
  </si>
  <si>
    <t>SERH8</t>
  </si>
  <si>
    <t>SERJ7</t>
  </si>
  <si>
    <t>SERK7</t>
  </si>
  <si>
    <t>SERM6</t>
  </si>
  <si>
    <t>SERM7</t>
  </si>
  <si>
    <t>SERN6</t>
  </si>
  <si>
    <t>SERN7</t>
  </si>
  <si>
    <t>SERQ6</t>
  </si>
  <si>
    <t>SERQ7</t>
  </si>
  <si>
    <t>SERU6</t>
  </si>
  <si>
    <t>SERU7</t>
  </si>
  <si>
    <t>SERV6</t>
  </si>
  <si>
    <t>SERV7</t>
  </si>
  <si>
    <t>SERX6</t>
  </si>
  <si>
    <t>SERX7</t>
  </si>
  <si>
    <t>SERZ6</t>
  </si>
  <si>
    <t>SERZ7</t>
  </si>
  <si>
    <t>SFRH6</t>
  </si>
  <si>
    <t>SFRH7</t>
  </si>
  <si>
    <t>SFRM6</t>
  </si>
  <si>
    <t>SFRM7</t>
  </si>
  <si>
    <t>SFRU6</t>
  </si>
  <si>
    <t>SFRU7</t>
  </si>
  <si>
    <t>SFRZ6</t>
  </si>
  <si>
    <t>SFRZ7</t>
  </si>
  <si>
    <t>TUM6</t>
  </si>
  <si>
    <t>TUU6</t>
  </si>
  <si>
    <t>TUZ6</t>
  </si>
  <si>
    <t>TYM6</t>
  </si>
  <si>
    <t>TYU6</t>
  </si>
  <si>
    <t>TYZ6</t>
  </si>
  <si>
    <t>UBM6</t>
  </si>
  <si>
    <t>UBU6</t>
  </si>
  <si>
    <t>UBZ6</t>
  </si>
  <si>
    <t>USM6</t>
  </si>
  <si>
    <t>USSO1</t>
  </si>
  <si>
    <t>USSO10</t>
  </si>
  <si>
    <t>USSO12</t>
  </si>
  <si>
    <t>USSO15</t>
  </si>
  <si>
    <t>USSO2</t>
  </si>
  <si>
    <t>USSO20</t>
  </si>
  <si>
    <t>USSO25</t>
  </si>
  <si>
    <t>USSO3</t>
  </si>
  <si>
    <t>USSO30</t>
  </si>
  <si>
    <t>USSO3F</t>
  </si>
  <si>
    <t>USSO4</t>
  </si>
  <si>
    <t>USSO40</t>
  </si>
  <si>
    <t>USSO4F</t>
  </si>
  <si>
    <t>USSO5</t>
  </si>
  <si>
    <t>USSO6</t>
  </si>
  <si>
    <t>USSO7</t>
  </si>
  <si>
    <t>USSO8</t>
  </si>
  <si>
    <t>USSO9</t>
  </si>
  <si>
    <t>USSOA</t>
  </si>
  <si>
    <t>USSOB</t>
  </si>
  <si>
    <t>USSOC</t>
  </si>
  <si>
    <t>USSOD</t>
  </si>
  <si>
    <t>USSOE</t>
  </si>
  <si>
    <t>USSOF</t>
  </si>
  <si>
    <t>USSOG</t>
  </si>
  <si>
    <t>USSOH</t>
  </si>
  <si>
    <t>USSOI</t>
  </si>
  <si>
    <t>USU6</t>
  </si>
  <si>
    <t>USZ6</t>
  </si>
  <si>
    <t>UXYM6</t>
  </si>
  <si>
    <t>UXYU6</t>
  </si>
  <si>
    <t>WNM6</t>
  </si>
  <si>
    <t>WNU6</t>
  </si>
  <si>
    <t>WNZ6</t>
  </si>
  <si>
    <t>XQM6</t>
  </si>
  <si>
    <t>XS2289822376</t>
  </si>
  <si>
    <t>Type</t>
  </si>
  <si>
    <t>99.3750000000</t>
  </si>
  <si>
    <t>98.4765625000</t>
  </si>
  <si>
    <t>99.7500000000</t>
  </si>
  <si>
    <t>98.0000000000</t>
  </si>
  <si>
    <t>70.3593750000</t>
  </si>
  <si>
    <t>103.4609375000</t>
  </si>
  <si>
    <t>75.9843750000</t>
  </si>
  <si>
    <t>US912803BJ11</t>
  </si>
  <si>
    <t>US912803BH54</t>
  </si>
  <si>
    <t>72.5000000000</t>
  </si>
  <si>
    <t>77.7968750000</t>
  </si>
  <si>
    <t>99.6640625000</t>
  </si>
  <si>
    <t>99.5937500000</t>
  </si>
  <si>
    <t>99.2031250000</t>
  </si>
  <si>
    <t>68.6562500000</t>
  </si>
  <si>
    <t>75.5781250000</t>
  </si>
  <si>
    <t>96.2500000000</t>
  </si>
  <si>
    <t>75.4843750000</t>
  </si>
  <si>
    <t>73.6718750000</t>
  </si>
  <si>
    <t>79.3593750000</t>
  </si>
  <si>
    <t>94.2812500000</t>
  </si>
  <si>
    <t>79.2812500000</t>
  </si>
  <si>
    <t>88.5937500000</t>
  </si>
  <si>
    <t>72.4375000000</t>
  </si>
  <si>
    <t>94.3125000000</t>
  </si>
  <si>
    <t>79.3281250000</t>
  </si>
  <si>
    <t>3.6107000000</t>
  </si>
  <si>
    <t>69.5625000000</t>
  </si>
  <si>
    <t>81.0937500000</t>
  </si>
  <si>
    <t>89.8593750000</t>
  </si>
  <si>
    <t>72.3593750000</t>
  </si>
  <si>
    <t>88.6250000000</t>
  </si>
  <si>
    <t>95.6406250000</t>
  </si>
  <si>
    <t>101.8750000000</t>
  </si>
  <si>
    <t>96.4531250000</t>
  </si>
  <si>
    <t>Total</t>
  </si>
  <si>
    <t>75.0312500000</t>
  </si>
  <si>
    <t>77.7187500000</t>
  </si>
  <si>
    <t>84.9687500000</t>
  </si>
  <si>
    <t>81.9062500000</t>
  </si>
  <si>
    <t>96.0000000000</t>
  </si>
  <si>
    <t>93.0312500000</t>
  </si>
  <si>
    <t>84.2812500000</t>
  </si>
  <si>
    <t>100.5937500000</t>
  </si>
  <si>
    <t>84.2187500000</t>
  </si>
  <si>
    <t>82.9687500000</t>
  </si>
  <si>
    <t>92.9453125000</t>
  </si>
  <si>
    <t>62.0781250000</t>
  </si>
  <si>
    <t>3.5921000000</t>
  </si>
  <si>
    <t>3.6145000000</t>
  </si>
  <si>
    <t>Diff absolue</t>
  </si>
  <si>
    <t>103.2656250000</t>
  </si>
  <si>
    <t>99.0703125000</t>
  </si>
  <si>
    <t>105.7890625000</t>
  </si>
  <si>
    <t>100.1875000000</t>
  </si>
  <si>
    <t>72.5468750000</t>
  </si>
  <si>
    <t>70.3281250000</t>
  </si>
  <si>
    <t>96.6718750000</t>
  </si>
  <si>
    <t>104.0156250000</t>
  </si>
  <si>
    <t>96.5312500000</t>
  </si>
  <si>
    <t>98.9218750000</t>
  </si>
  <si>
    <t>56.4687500000</t>
  </si>
  <si>
    <t>88.4687500000</t>
  </si>
  <si>
    <t>88.1562500000</t>
  </si>
  <si>
    <t>98.2500000000</t>
  </si>
  <si>
    <t>912821CP8</t>
  </si>
  <si>
    <t>US912821CP85</t>
  </si>
  <si>
    <t>81.1406250000</t>
  </si>
  <si>
    <t>66.5937500000</t>
  </si>
  <si>
    <t>68.7500000000</t>
  </si>
  <si>
    <t>96.4687500000</t>
  </si>
  <si>
    <t>79.4218750000</t>
  </si>
  <si>
    <t>74.6250000000</t>
  </si>
  <si>
    <t>94.7031250000</t>
  </si>
  <si>
    <t>95.8281250000</t>
  </si>
  <si>
    <t>97.6875000000</t>
  </si>
  <si>
    <t>96.4375000000</t>
  </si>
  <si>
    <t>97.7187500000</t>
  </si>
  <si>
    <t>98.0742187500</t>
  </si>
  <si>
    <t>99.2421875000</t>
  </si>
  <si>
    <t>99.1484375000</t>
  </si>
  <si>
    <t>55.0937500000</t>
  </si>
  <si>
    <t>98.2187500000</t>
  </si>
  <si>
    <t>93.7500000000</t>
  </si>
  <si>
    <t>48.5937500000</t>
  </si>
  <si>
    <t>68.9531250000</t>
  </si>
  <si>
    <t>79.5156250000</t>
  </si>
  <si>
    <t>93.8593750000</t>
  </si>
  <si>
    <t>99.7187500000</t>
  </si>
  <si>
    <t>97.2656250000</t>
  </si>
  <si>
    <t>87.1718750000</t>
  </si>
  <si>
    <t>98.8085937500</t>
  </si>
  <si>
    <t>98.8789062500</t>
  </si>
  <si>
    <t>100.1093750000</t>
  </si>
  <si>
    <t>99.7343750000</t>
  </si>
  <si>
    <t>93.7031250000</t>
  </si>
  <si>
    <t>100.2226562500</t>
  </si>
  <si>
    <t>98.7421875000</t>
  </si>
  <si>
    <t>98.8046875000</t>
  </si>
  <si>
    <t>100.1796875000</t>
  </si>
  <si>
    <t>100.3085937500</t>
  </si>
  <si>
    <t>98.0156250000</t>
  </si>
  <si>
    <t>97.7734375000</t>
  </si>
  <si>
    <t>98.5859375000</t>
  </si>
  <si>
    <t>99.5859375000</t>
  </si>
  <si>
    <t>99.5390625000</t>
  </si>
  <si>
    <t>98.7187500000</t>
  </si>
  <si>
    <t>98.9101562500</t>
  </si>
  <si>
    <t>97.5000000000</t>
  </si>
  <si>
    <t>99.7031250000</t>
  </si>
  <si>
    <t>100.1328125000</t>
  </si>
  <si>
    <t>98.2343750000</t>
  </si>
  <si>
    <t>99.2500000000</t>
  </si>
  <si>
    <t>101.0625000000</t>
  </si>
  <si>
    <t>100.5546875000</t>
  </si>
  <si>
    <t>100.6875000000</t>
  </si>
  <si>
    <t>97.1484375000</t>
  </si>
  <si>
    <t>100.2421875000</t>
  </si>
  <si>
    <t>96.6250000000</t>
  </si>
  <si>
    <t>99.2539062500</t>
  </si>
  <si>
    <t>98.7539062500</t>
  </si>
  <si>
    <t>99.7968750000</t>
  </si>
  <si>
    <t>100.3437500000</t>
  </si>
  <si>
    <t>99.7578125000</t>
  </si>
  <si>
    <t>100.3632812500</t>
  </si>
  <si>
    <t>100.0078125000</t>
  </si>
  <si>
    <t>99.2929687500</t>
  </si>
  <si>
    <t>93.8281250000</t>
  </si>
  <si>
    <t>100.2812500000</t>
  </si>
  <si>
    <t>99.7109375000</t>
  </si>
  <si>
    <t>100.0507812500</t>
  </si>
  <si>
    <t>99.1328125000</t>
  </si>
  <si>
    <t>100.2500000000</t>
  </si>
  <si>
    <t>100.0703125000</t>
  </si>
  <si>
    <t>99.1015625000</t>
  </si>
  <si>
    <t>97.8828125000</t>
  </si>
  <si>
    <t>101.6796875000</t>
  </si>
  <si>
    <t>97.9062500000</t>
  </si>
  <si>
    <t>97.8359375000</t>
  </si>
  <si>
    <t>100.3515625000</t>
  </si>
  <si>
    <t>99.3437500000</t>
  </si>
  <si>
    <t>97.6406250000</t>
  </si>
  <si>
    <t>97.7812500000</t>
  </si>
  <si>
    <t>98.7031250000</t>
  </si>
  <si>
    <t>98.0468750000</t>
  </si>
  <si>
    <t>99.9687500000</t>
  </si>
  <si>
    <t>99.3906250000</t>
  </si>
  <si>
    <t>102.6640625000</t>
  </si>
  <si>
    <t>86.7187500000</t>
  </si>
  <si>
    <t>101.0937500000</t>
  </si>
  <si>
    <t>98.6289062500</t>
  </si>
  <si>
    <t>94.4062500000</t>
  </si>
  <si>
    <t>99.4531250000</t>
  </si>
  <si>
    <t>98.5312500000</t>
  </si>
  <si>
    <t>99.0156250000</t>
  </si>
  <si>
    <t>97.8593750000</t>
  </si>
  <si>
    <t>100.2343750000</t>
  </si>
  <si>
    <t>100.3203125000</t>
  </si>
  <si>
    <t>98.4609375000</t>
  </si>
  <si>
    <t>98.5000000000</t>
  </si>
  <si>
    <t>99.4687500000</t>
  </si>
  <si>
    <t>99.9062500000</t>
  </si>
  <si>
    <t>99.9218750000</t>
  </si>
  <si>
    <t>99.4296875000</t>
  </si>
  <si>
    <t>99.9296875000</t>
  </si>
  <si>
    <t>99.1562500000</t>
  </si>
  <si>
    <t>100.0351562500</t>
  </si>
  <si>
    <t>100.1835937500</t>
  </si>
  <si>
    <t>100.2109375000</t>
  </si>
  <si>
    <t>100.6718750000</t>
  </si>
  <si>
    <t>100.1015625000</t>
  </si>
  <si>
    <t>99.9531250000</t>
  </si>
  <si>
    <t>99.5703125000</t>
  </si>
  <si>
    <t>100.6171875000</t>
  </si>
  <si>
    <t>99.7382812500</t>
  </si>
  <si>
    <t>98.4375000000</t>
  </si>
  <si>
    <t>98.4921875000</t>
  </si>
  <si>
    <t>98.9296875000</t>
  </si>
  <si>
    <t>99.5546875000</t>
  </si>
  <si>
    <t>100.0546875000</t>
  </si>
  <si>
    <t>99.8984375000</t>
  </si>
  <si>
    <t>99.6171875000</t>
  </si>
  <si>
    <t>99.8906250000</t>
  </si>
  <si>
    <t>100.2265625000</t>
  </si>
  <si>
    <t>100.1523437500</t>
  </si>
  <si>
    <t>101.4062500000</t>
  </si>
  <si>
    <t>99.3671875000</t>
  </si>
  <si>
    <t>99.6015625000</t>
  </si>
  <si>
    <t>98.5156250000</t>
  </si>
  <si>
    <t>99.6992187500</t>
  </si>
  <si>
    <t>99.4570312500</t>
  </si>
  <si>
    <t>99.0000000000</t>
  </si>
  <si>
    <t>100.3671875000</t>
  </si>
  <si>
    <t>100.3125000000</t>
  </si>
  <si>
    <t>99.9453125000</t>
  </si>
  <si>
    <t>97.8046875000</t>
  </si>
  <si>
    <t>98.5234375000</t>
  </si>
  <si>
    <t>98.8125000000</t>
  </si>
  <si>
    <t>98.4531250000</t>
  </si>
  <si>
    <t>99.9609375000</t>
  </si>
  <si>
    <t>99.2812500000</t>
  </si>
  <si>
    <t>98.8437500000</t>
  </si>
  <si>
    <t>98.5078125000</t>
  </si>
  <si>
    <t>99.6875000000</t>
  </si>
  <si>
    <t>99.3828125000</t>
  </si>
  <si>
    <t>99.7656250000</t>
  </si>
  <si>
    <t>99.2695312500</t>
  </si>
  <si>
    <t>98.8750000000</t>
  </si>
  <si>
    <t>102.4921875000</t>
  </si>
  <si>
    <t>98.8593750000</t>
  </si>
  <si>
    <t>100.0937500000</t>
  </si>
  <si>
    <t>US912797UR65</t>
  </si>
  <si>
    <t>US912797US49</t>
  </si>
  <si>
    <t>US912797UU94</t>
  </si>
  <si>
    <t>3.6042000000</t>
  </si>
  <si>
    <t>3.6114000000</t>
  </si>
  <si>
    <t>3.6012000000</t>
  </si>
  <si>
    <t>3.5808000000</t>
  </si>
  <si>
    <t>3.5854000000</t>
  </si>
  <si>
    <t>US912797UT22</t>
  </si>
  <si>
    <t>3.6008000000</t>
  </si>
  <si>
    <t>US912797UV77</t>
  </si>
  <si>
    <t>JP1024841S56</t>
  </si>
  <si>
    <t>101.7578125000</t>
  </si>
  <si>
    <t>98.6875000000</t>
  </si>
  <si>
    <t>97.8906250000</t>
  </si>
  <si>
    <t>96.3281250000</t>
  </si>
  <si>
    <t>75.5312500000</t>
  </si>
  <si>
    <t>99.5468750000</t>
  </si>
  <si>
    <t>76.6484375000</t>
  </si>
  <si>
    <t>95.4531250000</t>
  </si>
  <si>
    <t>96.9218750000</t>
  </si>
  <si>
    <t>73.1406250000</t>
  </si>
  <si>
    <t>99.9765625000</t>
  </si>
  <si>
    <t>92.7734375000</t>
  </si>
  <si>
    <t>92.6796875000</t>
  </si>
  <si>
    <t>87.2656250000</t>
  </si>
  <si>
    <t>99.5156250000</t>
  </si>
  <si>
    <t>96.4296875000</t>
  </si>
  <si>
    <t>92.7812500000</t>
  </si>
  <si>
    <t>94.6992187500</t>
  </si>
  <si>
    <t>99.2617187500</t>
  </si>
  <si>
    <t>95.8593750000</t>
  </si>
  <si>
    <t>99.3203125000</t>
  </si>
  <si>
    <t>99.8671875000</t>
  </si>
  <si>
    <t>99.4609375000</t>
  </si>
  <si>
    <t>99.6406250000</t>
  </si>
  <si>
    <t>71.8906250000</t>
  </si>
  <si>
    <t>99.3125000000</t>
  </si>
  <si>
    <t>100.1406250000</t>
  </si>
  <si>
    <t>100.1601562500</t>
  </si>
  <si>
    <t>99.9882812500</t>
  </si>
  <si>
    <t>99.8437500000</t>
  </si>
  <si>
    <t>86.3203125000</t>
  </si>
  <si>
    <t>98.8515625000</t>
  </si>
  <si>
    <t>99.7265625000</t>
  </si>
  <si>
    <t>95.1406250000</t>
  </si>
  <si>
    <t>99.1875000000</t>
  </si>
  <si>
    <t>98.8476562500</t>
  </si>
  <si>
    <t>94.7890625000</t>
  </si>
  <si>
    <t>103.0312500000</t>
  </si>
  <si>
    <t>100.8437500000</t>
  </si>
  <si>
    <t>100.7578125000</t>
  </si>
  <si>
    <t>100.1914062500</t>
  </si>
  <si>
    <t>99.6093750000</t>
  </si>
  <si>
    <t>98.0859375000</t>
  </si>
  <si>
    <t>98.5546875000</t>
  </si>
  <si>
    <t>97.8203125000</t>
  </si>
  <si>
    <t>98.9609375000</t>
  </si>
  <si>
    <t>99.8945312500</t>
  </si>
  <si>
    <t>99.4453125000</t>
  </si>
  <si>
    <t>101.1875000000</t>
  </si>
  <si>
    <t>100.7109375000</t>
  </si>
  <si>
    <t>100.6796875000</t>
  </si>
  <si>
    <t>100.3593750000</t>
  </si>
  <si>
    <t>97.5546875000</t>
  </si>
  <si>
    <t>94.4609375000</t>
  </si>
  <si>
    <t>53.2734375000</t>
  </si>
  <si>
    <t>95.4609375000</t>
  </si>
  <si>
    <t>92.6328125000</t>
  </si>
  <si>
    <t>96.6484375000</t>
  </si>
  <si>
    <t>97.1875000000</t>
  </si>
  <si>
    <t>98.6015625000</t>
  </si>
  <si>
    <t>100.8984375000</t>
  </si>
  <si>
    <t>100.9843750000</t>
  </si>
  <si>
    <t>101.7968750000</t>
  </si>
  <si>
    <t>98.1953125000</t>
  </si>
  <si>
    <t>100.1562500000</t>
  </si>
  <si>
    <t>102.3906250000</t>
  </si>
  <si>
    <t>99.7812500000</t>
  </si>
  <si>
    <t>98.0703125000</t>
  </si>
  <si>
    <t>98.6718750000</t>
  </si>
  <si>
    <t>98.1796875000</t>
  </si>
  <si>
    <t>97.5937500000</t>
  </si>
  <si>
    <t>98.4843750000</t>
  </si>
  <si>
    <t>100.4804687500</t>
  </si>
  <si>
    <t>100.0000000000</t>
  </si>
  <si>
    <t>97.7890625000</t>
  </si>
  <si>
    <t>98.1250000000</t>
  </si>
  <si>
    <t>100.3906250000</t>
  </si>
  <si>
    <t>100.6640625000</t>
  </si>
  <si>
    <t>100.6015625000</t>
  </si>
  <si>
    <t>96.6875000000</t>
  </si>
  <si>
    <t>100.2617187500</t>
  </si>
  <si>
    <t>99.8046875000</t>
  </si>
  <si>
    <t>99.0039062500</t>
  </si>
  <si>
    <t>99.0312500000</t>
  </si>
  <si>
    <t>99.8359375000</t>
  </si>
  <si>
    <t>99.9414062500</t>
  </si>
  <si>
    <t>99.4218750000</t>
  </si>
  <si>
    <t>99.1367187500</t>
  </si>
  <si>
    <t>94.4375000000</t>
  </si>
  <si>
    <t>100.3359375000</t>
  </si>
  <si>
    <t>100.3281250000</t>
  </si>
  <si>
    <t>98.6484375000</t>
  </si>
  <si>
    <t>97.0156250000</t>
  </si>
  <si>
    <t>99.6328125000</t>
  </si>
  <si>
    <t>3.5915000000</t>
  </si>
  <si>
    <t>3.5973000000</t>
  </si>
  <si>
    <t>3.5822000000</t>
  </si>
  <si>
    <t>3.6118000000</t>
  </si>
  <si>
    <t>3.6075000000</t>
  </si>
  <si>
    <t>3.6030000000</t>
  </si>
  <si>
    <t>912797UW5</t>
  </si>
  <si>
    <t>102.7656250000</t>
  </si>
  <si>
    <t>94.4687500000</t>
  </si>
  <si>
    <t>95.4375000000</t>
  </si>
  <si>
    <t>76.2343750000</t>
  </si>
  <si>
    <t>84.7187500000</t>
  </si>
  <si>
    <t>89.5156250000</t>
  </si>
  <si>
    <t>99.0625000000</t>
  </si>
  <si>
    <t>74.1718750000</t>
  </si>
  <si>
    <t>99.6562500000</t>
  </si>
  <si>
    <t>95.5156250000</t>
  </si>
  <si>
    <t>96.2968750000</t>
  </si>
  <si>
    <t>70.1562500000</t>
  </si>
  <si>
    <t>88.1250000000</t>
  </si>
  <si>
    <t>72.4062500000</t>
  </si>
  <si>
    <t>77.6250000000</t>
  </si>
  <si>
    <t>94.3437500000</t>
  </si>
  <si>
    <t>73.8906250000</t>
  </si>
  <si>
    <t>72.6875000000</t>
  </si>
  <si>
    <t>68.8437500000</t>
  </si>
  <si>
    <t>96.1250000000</t>
  </si>
  <si>
    <t>99.3984375000</t>
  </si>
  <si>
    <t>97.5625000000</t>
  </si>
  <si>
    <t>68.6093750000</t>
  </si>
  <si>
    <t>96.1562500000</t>
  </si>
  <si>
    <t>89.9062500000</t>
  </si>
  <si>
    <t>97.5312500000</t>
  </si>
  <si>
    <t>97.9882812500</t>
  </si>
  <si>
    <t>94.5156250000</t>
  </si>
  <si>
    <t>96.3750000000</t>
  </si>
  <si>
    <t>97.9609375000</t>
  </si>
  <si>
    <t>86.4843750000</t>
  </si>
  <si>
    <t>96.9765625000</t>
  </si>
  <si>
    <t>96.9687500000</t>
  </si>
  <si>
    <t>95.0546875000</t>
  </si>
  <si>
    <t>96.3437500000</t>
  </si>
  <si>
    <t>98.7812500000</t>
  </si>
  <si>
    <t>97.6562500000</t>
  </si>
  <si>
    <t>101.3203125000</t>
  </si>
  <si>
    <t>99.5664062500</t>
  </si>
  <si>
    <t>100.1367187500</t>
  </si>
  <si>
    <t>99.1914062500</t>
  </si>
  <si>
    <t>98.8984375000</t>
  </si>
  <si>
    <t>94.7734375000</t>
  </si>
  <si>
    <t>93.7421875000</t>
  </si>
  <si>
    <t>98.6132812500</t>
  </si>
  <si>
    <t>98.9453125000</t>
  </si>
  <si>
    <t>88.3750000000</t>
  </si>
  <si>
    <t>99.6523437500</t>
  </si>
  <si>
    <t>97.7031250000</t>
  </si>
  <si>
    <t>98.6562500000</t>
  </si>
  <si>
    <t>99.4375000000</t>
  </si>
  <si>
    <t>100.0390625000</t>
  </si>
  <si>
    <t>100.7812500000</t>
  </si>
  <si>
    <t>99.3046875000</t>
  </si>
  <si>
    <t>100.0742187500</t>
  </si>
  <si>
    <t>100.8125000000</t>
  </si>
  <si>
    <t>98.7968750000</t>
  </si>
  <si>
    <t>101.8984375000</t>
  </si>
  <si>
    <t>98.6953125000</t>
  </si>
  <si>
    <t>97.7109375000</t>
  </si>
  <si>
    <t>95.0000000000</t>
  </si>
  <si>
    <t>100.1132812500</t>
  </si>
  <si>
    <t>102.8125000000</t>
  </si>
  <si>
    <t>101.9062500000</t>
  </si>
  <si>
    <t>99.6367187500</t>
  </si>
  <si>
    <t>3.5839000000</t>
  </si>
  <si>
    <t>3.5928000000</t>
  </si>
  <si>
    <t>3.5778000000</t>
  </si>
  <si>
    <t>912797UM7</t>
  </si>
  <si>
    <t>US912797UM78</t>
  </si>
  <si>
    <t>3.6047000000</t>
  </si>
  <si>
    <t>3.5999000000</t>
  </si>
  <si>
    <t>3.5983000000</t>
  </si>
  <si>
    <t>3.5998000000</t>
  </si>
  <si>
    <t>3.5958000000</t>
  </si>
  <si>
    <t>3.5970000000</t>
  </si>
  <si>
    <t>JP1024821S35 GOVT:&lt;YieldBid=0|YieldAsk=0&gt;</t>
  </si>
  <si>
    <t>JP1024831S41 GOVT:&lt;YieldBid=0|YieldAsk=0&gt;</t>
  </si>
  <si>
    <t>JP1024841S56 GOVT:&lt;YieldBid=0|YieldAsk=0&gt;</t>
  </si>
  <si>
    <t>JP1051491MA0 GOVT:&lt;YieldBid=0|YieldAsk=0&gt;</t>
  </si>
  <si>
    <t>JP1051831S10 GOVT:&lt;YieldBid=0|YieldAsk=0&gt;</t>
  </si>
  <si>
    <t>JP1051841S42 GOVT:&lt;YieldBid=0|YieldAsk=0&gt;</t>
  </si>
  <si>
    <t>JP1103431G66 GOVT:&lt;YieldBid=0|YieldAsk=0&gt;</t>
  </si>
  <si>
    <t>JP1103441G98 GOVT:&lt;YieldBid=0|YieldAsk=0&gt;</t>
  </si>
  <si>
    <t>JP1103451GC0 GOVT:&lt;YieldBid=0|YieldAsk=0&gt;</t>
  </si>
  <si>
    <t>JP1103461H35 GOVT:&lt;YieldBid=0|YieldAsk=0&gt;</t>
  </si>
  <si>
    <t>JP1103471H66 GOVT:&lt;YieldBid=0|YieldAsk=0&gt;</t>
  </si>
  <si>
    <t>JP1103481H98 GOVT:&lt;YieldBid=0|YieldAsk=0&gt;</t>
  </si>
  <si>
    <t>JP1103491HC4 GOVT:&lt;YieldBid=0|YieldAsk=0&gt;</t>
  </si>
  <si>
    <t>JP1103501J35 GOVT:&lt;YieldBid=0|YieldAsk=0&gt;</t>
  </si>
  <si>
    <t>JP1103511J74 GOVT:&lt;YieldBid=0|YieldAsk=0&gt;</t>
  </si>
  <si>
    <t>JP1103541K42 GOVT:&lt;YieldBid=0|YieldAsk=0&gt;</t>
  </si>
  <si>
    <t>JP1103551K72 GOVT:&lt;YieldBid=0|YieldAsk=0&gt;</t>
  </si>
  <si>
    <t>JP1103561KA2 GOVT:&lt;YieldBid=0|YieldAsk=0&gt;</t>
  </si>
  <si>
    <t>JP1103571L10 GOVT:&lt;YieldBid=0|YieldAsk=0&gt;</t>
  </si>
  <si>
    <t>JP1103581L42 GOVT:&lt;YieldBid=0|YieldAsk=0&gt;</t>
  </si>
  <si>
    <t>JP1103591L73 GOVT:&lt;YieldBid=0|YieldAsk=0&gt;</t>
  </si>
  <si>
    <t>JP1103601LA4 GOVT:&lt;YieldBid=0|YieldAsk=0&gt;</t>
  </si>
  <si>
    <t>JP1103611M11 GOVT:&lt;YieldBid=0|YieldAsk=0&gt;</t>
  </si>
  <si>
    <t>JP1103621M43 GOVT:&lt;YieldBid=0|YieldAsk=0&gt;</t>
  </si>
  <si>
    <t>JP1103631M74 GOVT:&lt;YieldBid=0|YieldAsk=0&gt;</t>
  </si>
  <si>
    <t>JP1103641MA8 GOVT:&lt;YieldBid=0|YieldAsk=0&gt;</t>
  </si>
  <si>
    <t>JP1103741Q44 GOVT:&lt;YieldBid=0|YieldAsk=0&gt;</t>
  </si>
  <si>
    <t>JP1103811S13 GOVT:&lt;YieldBid=0|YieldAsk=0&gt;</t>
  </si>
  <si>
    <t>JP1103821S45 GOVT:&lt;YieldBid=0|YieldAsk=0&gt;</t>
  </si>
  <si>
    <t>JP1200881660 GOVT:&lt;YieldBid=0|YieldAsk=0&gt;</t>
  </si>
  <si>
    <t>JP1200891685 GOVT:&lt;YieldBid=0|YieldAsk=0&gt;</t>
  </si>
  <si>
    <t>JP1200901690 GOVT:&lt;YieldBid=0|YieldAsk=0&gt;</t>
  </si>
  <si>
    <t>JP12009116A6 GOVT:&lt;YieldBid=0|YieldAsk=0&gt;</t>
  </si>
  <si>
    <t>JP12009216C0 GOVT:&lt;YieldBid=0|YieldAsk=0&gt;</t>
  </si>
  <si>
    <t>JP1200931739 GOVT:&lt;YieldBid=0|YieldAsk=0&gt;</t>
  </si>
  <si>
    <t>JP1200941746 GOVT:&lt;YieldBid=0|YieldAsk=0&gt;</t>
  </si>
  <si>
    <t>JP1200951760 GOVT:&lt;YieldBid=0|YieldAsk=0&gt;</t>
  </si>
  <si>
    <t>JP1200961785 GOVT:&lt;YieldBid=0|YieldAsk=0&gt;</t>
  </si>
  <si>
    <t>JP1200971792 GOVT:&lt;YieldBid=0|YieldAsk=0&gt;</t>
  </si>
  <si>
    <t>JP12009817B7 GOVT:&lt;YieldBid=0|YieldAsk=0&gt;</t>
  </si>
  <si>
    <t>JP12009917C3 GOVT:&lt;YieldBid=0|YieldAsk=0&gt;</t>
  </si>
  <si>
    <t>JP1201001839 GOVT:&lt;YieldBid=0|YieldAsk=0&gt;</t>
  </si>
  <si>
    <t>JP1201011853 GOVT:&lt;YieldBid=0|YieldAsk=0&gt;</t>
  </si>
  <si>
    <t>JP1201021860 GOVT:&lt;YieldBid=0|YieldAsk=0&gt;</t>
  </si>
  <si>
    <t>JP1201031877 GOVT:&lt;YieldBid=0|YieldAsk=0&gt;</t>
  </si>
  <si>
    <t>JP1201041884 GOVT:&lt;YieldBid=0|YieldAsk=0&gt;</t>
  </si>
  <si>
    <t>JP1201051891 GOVT:&lt;YieldBid=0|YieldAsk=0&gt;</t>
  </si>
  <si>
    <t>JP12010618A8 GOVT:&lt;YieldBid=0|YieldAsk=0&gt;</t>
  </si>
  <si>
    <t>JP12010718C2 GOVT:&lt;YieldBid=0|YieldAsk=0&gt;</t>
  </si>
  <si>
    <t>JP1201081914 GOVT:&lt;YieldBid=0|YieldAsk=0&gt;</t>
  </si>
  <si>
    <t>JP1201091939 GOVT:&lt;YieldBid=0|YieldAsk=0&gt;</t>
  </si>
  <si>
    <t>JP1201101944 GOVT:&lt;YieldBid=0|YieldAsk=0&gt;</t>
  </si>
  <si>
    <t>JP1201111968 GOVT:&lt;YieldBid=0|YieldAsk=0&gt;</t>
  </si>
  <si>
    <t>JP1201121975 GOVT:&lt;YieldBid=0|YieldAsk=0&gt;</t>
  </si>
  <si>
    <t>JP1201131990 GOVT:&lt;YieldBid=0|YieldAsk=0&gt;</t>
  </si>
  <si>
    <t>JP12011419C6 GOVT:&lt;YieldBid=0|YieldAsk=0&gt;</t>
  </si>
  <si>
    <t>JP1201151A21 GOVT:&lt;YieldBid=0|YieldAsk=0&gt;</t>
  </si>
  <si>
    <t>JP1201161A37 GOVT:&lt;YieldBid=0|YieldAsk=0&gt;</t>
  </si>
  <si>
    <t>JP1201171A43 GOVT:&lt;YieldBid=0|YieldAsk=0&gt;</t>
  </si>
  <si>
    <t>JP1201181A66 GOVT:&lt;YieldBid=0|YieldAsk=0&gt;</t>
  </si>
  <si>
    <t>JP1201191A72 GOVT:&lt;YieldBid=0|YieldAsk=0&gt;</t>
  </si>
  <si>
    <t>JP1201201A88 GOVT:&lt;YieldBid=0|YieldAsk=0&gt;</t>
  </si>
  <si>
    <t>JP1201211A94 GOVT:&lt;YieldBid=0|YieldAsk=0&gt;</t>
  </si>
  <si>
    <t>JP1201221AA5 GOVT:&lt;YieldBid=0|YieldAsk=0&gt;</t>
  </si>
  <si>
    <t>JP1201231AC0 GOVT:&lt;YieldBid=0|YieldAsk=0&gt;</t>
  </si>
  <si>
    <t>JP1201241B22 GOVT:&lt;YieldBid=0|YieldAsk=0&gt;</t>
  </si>
  <si>
    <t>JP1201251B37 GOVT:&lt;YieldBid=0|YieldAsk=0&gt;</t>
  </si>
  <si>
    <t>JP1201261B43 GOVT:&lt;YieldBid=0|YieldAsk=0&gt;</t>
  </si>
  <si>
    <t>JP1201271B58 GOVT:&lt;YieldBid=0|YieldAsk=0&gt;</t>
  </si>
  <si>
    <t>JP1201281B64 GOVT:&lt;YieldBid=0|YieldAsk=0&gt;</t>
  </si>
  <si>
    <t>JP1201291B88 GOVT:&lt;YieldBid=0|YieldAsk=0&gt;</t>
  </si>
  <si>
    <t>JP1201301B94 GOVT:&lt;YieldBid=0|YieldAsk=0&gt;</t>
  </si>
  <si>
    <t>JP1201311BB0 GOVT:&lt;YieldBid=0|YieldAsk=0&gt;</t>
  </si>
  <si>
    <t>JP1201321BC7 GOVT:&lt;YieldBid=0|YieldAsk=0&gt;</t>
  </si>
  <si>
    <t>JP1201331C14 GOVT:&lt;YieldBid=0|YieldAsk=0&gt;</t>
  </si>
  <si>
    <t>JP1201341C38 GOVT:&lt;YieldBid=0|YieldAsk=0&gt;</t>
  </si>
  <si>
    <t>JP1201351C43 GOVT:&lt;YieldBid=0|YieldAsk=0&gt;</t>
  </si>
  <si>
    <t>JP1201361C58 GOVT:&lt;YieldBid=0|YieldAsk=0&gt;</t>
  </si>
  <si>
    <t>JP1201371C64 GOVT:&lt;YieldBid=0|YieldAsk=0&gt;</t>
  </si>
  <si>
    <t>JP1201381C70 GOVT:&lt;YieldBid=0|YieldAsk=0&gt;</t>
  </si>
  <si>
    <t>JP1201391C86 GOVT:&lt;YieldBid=0|YieldAsk=0&gt;</t>
  </si>
  <si>
    <t>JP1201401C92 GOVT:&lt;YieldBid=0|YieldAsk=0&gt;</t>
  </si>
  <si>
    <t>JP1201411CC4 GOVT:&lt;YieldBid=0|YieldAsk=0&gt;</t>
  </si>
  <si>
    <t>JP1201421D22 GOVT:&lt;YieldBid=0|YieldAsk=0&gt;</t>
  </si>
  <si>
    <t>JP1201431D38 GOVT:&lt;YieldBid=0|YieldAsk=0&gt;</t>
  </si>
  <si>
    <t>JP1201441D44 GOVT:&lt;YieldBid=0|YieldAsk=0&gt;</t>
  </si>
  <si>
    <t>JP1201451D66 GOVT:&lt;YieldBid=0|YieldAsk=0&gt;</t>
  </si>
  <si>
    <t>JP1201461D98 GOVT:&lt;YieldBid=0|YieldAsk=0&gt;</t>
  </si>
  <si>
    <t>JP1201471DC6 GOVT:&lt;YieldBid=0|YieldAsk=0&gt;</t>
  </si>
  <si>
    <t>JP1201481E36 GOVT:&lt;YieldBid=0|YieldAsk=0&gt;</t>
  </si>
  <si>
    <t>JP1201491E67 GOVT:&lt;YieldBid=0|YieldAsk=0&gt;</t>
  </si>
  <si>
    <t>JP1201501E99 GOVT:&lt;YieldBid=0|YieldAsk=0&gt;</t>
  </si>
  <si>
    <t>JP1201511EC7 GOVT:&lt;YieldBid=0|YieldAsk=0&gt;</t>
  </si>
  <si>
    <t>JP1201521F37 GOVT:&lt;YieldBid=0|YieldAsk=0&gt;</t>
  </si>
  <si>
    <t>JP1201531F68 GOVT:&lt;YieldBid=0|YieldAsk=0&gt;</t>
  </si>
  <si>
    <t>JP1201541F90 GOVT:&lt;YieldBid=0|YieldAsk=0&gt;</t>
  </si>
  <si>
    <t>JP1201551FC0 GOVT:&lt;YieldBid=0|YieldAsk=0&gt;</t>
  </si>
  <si>
    <t>JP1201561G37 GOVT:&lt;YieldBid=0|YieldAsk=0&gt;</t>
  </si>
  <si>
    <t>JP1201571G68 GOVT:&lt;YieldBid=0|YieldAsk=0&gt;</t>
  </si>
  <si>
    <t>JP1201581G90 GOVT:&lt;YieldBid=0|YieldAsk=0&gt;</t>
  </si>
  <si>
    <t>JP1201591GC4 GOVT:&lt;YieldBid=0|YieldAsk=0&gt;</t>
  </si>
  <si>
    <t>JP1201601H38 GOVT:&lt;YieldBid=0|YieldAsk=0&gt;</t>
  </si>
  <si>
    <t>JP1201611H69 GOVT:&lt;YieldBid=0|YieldAsk=0&gt;</t>
  </si>
  <si>
    <t>JP1201621H91 GOVT:&lt;YieldBid=0|YieldAsk=0&gt;</t>
  </si>
  <si>
    <t>JP1201631HC6 GOVT:&lt;YieldBid=0|YieldAsk=0&gt;</t>
  </si>
  <si>
    <t>JP1201701KA5 GOVT:&lt;YieldBid=0|YieldAsk=0&gt;</t>
  </si>
  <si>
    <t>JP1201771M76 GOVT:&lt;YieldBid=0|YieldAsk=0&gt;</t>
  </si>
  <si>
    <t>JP1201951S15 GOVT:&lt;YieldBid=0|YieldAsk=0&gt;</t>
  </si>
  <si>
    <t>JP1201961S47 GOVT:&lt;YieldBid=0|YieldAsk=0&gt;</t>
  </si>
  <si>
    <t>JP1300011W09 GOVT:&lt;YieldBid=0|YieldAsk=0&gt;</t>
  </si>
  <si>
    <t>JP1300021001 GOVT:&lt;YieldBid=0|YieldAsk=0&gt;</t>
  </si>
  <si>
    <t>JP1300031000 GOVT:&lt;YieldBid=0|YieldAsk=0&gt;</t>
  </si>
  <si>
    <t>JP1300041009 GOVT:&lt;YieldBid=0|YieldAsk=0&gt;</t>
  </si>
  <si>
    <t>JP1300051156 GOVT:&lt;YieldBid=0|YieldAsk=0&gt;</t>
  </si>
  <si>
    <t>JP13000611B1 GOVT:&lt;YieldBid=0|YieldAsk=0&gt;</t>
  </si>
  <si>
    <t>JP1300071253 GOVT:&lt;YieldBid=0|YieldAsk=0&gt;</t>
  </si>
  <si>
    <t>JP1300091319 GOVT:&lt;YieldBid=0|YieldAsk=0&gt;</t>
  </si>
  <si>
    <t>JP1300101357 GOVT:&lt;YieldBid=0|YieldAsk=0&gt;</t>
  </si>
  <si>
    <t>JP1300111372 GOVT:&lt;YieldBid=0|YieldAsk=0&gt;</t>
  </si>
  <si>
    <t>JP13001213B5 GOVT:&lt;YieldBid=0|YieldAsk=0&gt;</t>
  </si>
  <si>
    <t>JP1300131420 GOVT:&lt;YieldBid=0|YieldAsk=0&gt;</t>
  </si>
  <si>
    <t>JP1300141445 GOVT:&lt;YieldBid=0|YieldAsk=0&gt;</t>
  </si>
  <si>
    <t>JP1300151485 GOVT:&lt;YieldBid=0|YieldAsk=0&gt;</t>
  </si>
  <si>
    <t>JP13001614A6 GOVT:&lt;YieldBid=0|YieldAsk=0&gt;</t>
  </si>
  <si>
    <t>JP1300171525 GOVT:&lt;YieldBid=0|YieldAsk=0&gt;</t>
  </si>
  <si>
    <t>JP1300181540 GOVT:&lt;YieldBid=0|YieldAsk=0&gt;</t>
  </si>
  <si>
    <t>JP1300191572 GOVT:&lt;YieldBid=0|YieldAsk=0&gt;</t>
  </si>
  <si>
    <t>JP13002015A5 GOVT:&lt;YieldBid=0|YieldAsk=0&gt;</t>
  </si>
  <si>
    <t>JP1300211610 GOVT:&lt;YieldBid=0|YieldAsk=0&gt;</t>
  </si>
  <si>
    <t>JP1300221643 GOVT:&lt;YieldBid=0|YieldAsk=0&gt;</t>
  </si>
  <si>
    <t>JP1300231675 GOVT:&lt;YieldBid=0|YieldAsk=0&gt;</t>
  </si>
  <si>
    <t>JP13002416A5 GOVT:&lt;YieldBid=0|YieldAsk=0&gt;</t>
  </si>
  <si>
    <t>JP1300251715 GOVT:&lt;YieldBid=0|YieldAsk=0&gt;</t>
  </si>
  <si>
    <t>JP1300261748 GOVT:&lt;YieldBid=0|YieldAsk=0&gt;</t>
  </si>
  <si>
    <t>JP13002717A6 GOVT:&lt;YieldBid=0|YieldAsk=0&gt;</t>
  </si>
  <si>
    <t>JP1300281845 GOVT:&lt;YieldBid=0|YieldAsk=0&gt;</t>
  </si>
  <si>
    <t>JP13002918A0 GOVT:&lt;YieldBid=0|YieldAsk=0&gt;</t>
  </si>
  <si>
    <t>JP1300301940 GOVT:&lt;YieldBid=0|YieldAsk=0&gt;</t>
  </si>
  <si>
    <t>JP13003119A4 GOVT:&lt;YieldBid=0|YieldAsk=0&gt;</t>
  </si>
  <si>
    <t>JP1300321A34 GOVT:&lt;YieldBid=0|YieldAsk=0&gt;</t>
  </si>
  <si>
    <t>JP1300331A99 GOVT:&lt;YieldBid=0|YieldAsk=0&gt;</t>
  </si>
  <si>
    <t>JP1300341B39 GOVT:&lt;YieldBid=0|YieldAsk=0&gt;</t>
  </si>
  <si>
    <t>JP1300351B93 GOVT:&lt;YieldBid=0|YieldAsk=0&gt;</t>
  </si>
  <si>
    <t>JP1300361C33 GOVT:&lt;YieldBid=0|YieldAsk=0&gt;</t>
  </si>
  <si>
    <t>JP1300371C98 GOVT:&lt;YieldBid=0|YieldAsk=0&gt;</t>
  </si>
  <si>
    <t>JP1300381D38 GOVT:&lt;YieldBid=0|YieldAsk=0&gt;</t>
  </si>
  <si>
    <t>JP1300391D69 GOVT:&lt;YieldBid=0|YieldAsk=0&gt;</t>
  </si>
  <si>
    <t>JP1300401D91 GOVT:&lt;YieldBid=0|YieldAsk=0&gt;</t>
  </si>
  <si>
    <t>JP1300411DC2 GOVT:&lt;YieldBid=0|YieldAsk=0&gt;</t>
  </si>
  <si>
    <t>JP1300421E39 GOVT:&lt;YieldBid=0|YieldAsk=0&gt;</t>
  </si>
  <si>
    <t>JP1300431E60 GOVT:&lt;YieldBid=0|YieldAsk=0&gt;</t>
  </si>
  <si>
    <t>JP1300441E92 GOVT:&lt;YieldBid=0|YieldAsk=0&gt;</t>
  </si>
  <si>
    <t>JP1300451EC6 GOVT:&lt;YieldBid=0|YieldAsk=0&gt;</t>
  </si>
  <si>
    <t>JP1300461F39 GOVT:&lt;YieldBid=0|YieldAsk=0&gt;</t>
  </si>
  <si>
    <t>JP1300471F60 GOVT:&lt;YieldBid=0|YieldAsk=0&gt;</t>
  </si>
  <si>
    <t>JP1300481F92 GOVT:&lt;YieldBid=0|YieldAsk=0&gt;</t>
  </si>
  <si>
    <t>JP1300491FC9 GOVT:&lt;YieldBid=0|YieldAsk=0&gt;</t>
  </si>
  <si>
    <t>JP1300501G30 GOVT:&lt;YieldBid=0|YieldAsk=0&gt;</t>
  </si>
  <si>
    <t>JP1300511G61 GOVT:&lt;YieldBid=0|YieldAsk=0&gt;</t>
  </si>
  <si>
    <t>JP1300521G93 GOVT:&lt;YieldBid=0|YieldAsk=0&gt;</t>
  </si>
  <si>
    <t>JP1300531GC0 GOVT:&lt;YieldBid=0|YieldAsk=0&gt;</t>
  </si>
  <si>
    <t>JP1300541H31 GOVT:&lt;YieldBid=0|YieldAsk=0&gt;</t>
  </si>
  <si>
    <t>JP1300551H61 GOVT:&lt;YieldBid=0|YieldAsk=0&gt;</t>
  </si>
  <si>
    <t>JP1300561H93 GOVT:&lt;YieldBid=0|YieldAsk=0&gt;</t>
  </si>
  <si>
    <t>JP1300571HC4 GOVT:&lt;YieldBid=0|YieldAsk=0&gt;</t>
  </si>
  <si>
    <t>JP1300721MA9 GOVT:&lt;YieldBid=0|YieldAsk=0&gt;</t>
  </si>
  <si>
    <t>JP1300891S18 GOVT:&lt;YieldBid=0|YieldAsk=0&gt;</t>
  </si>
  <si>
    <t>JP1300901S40 GOVT:&lt;YieldBid=0|YieldAsk=0&gt;</t>
  </si>
  <si>
    <t>JP14000117B7 GOVT:&lt;YieldBid=0|YieldAsk=0&gt;</t>
  </si>
  <si>
    <t>JP1400021950 GOVT:&lt;YieldBid=0|YieldAsk=0&gt;</t>
  </si>
  <si>
    <t>JP1400031A58 GOVT:&lt;YieldBid=0|YieldAsk=0&gt;</t>
  </si>
  <si>
    <t>JP1400041B55 GOVT:&lt;YieldBid=0|YieldAsk=0&gt;</t>
  </si>
  <si>
    <t>JP1400051C51 GOVT:&lt;YieldBid=0|YieldAsk=0&gt;</t>
  </si>
  <si>
    <t>JP1400061D58 GOVT:&lt;YieldBid=0|YieldAsk=0&gt;</t>
  </si>
  <si>
    <t>JP1400071E55 GOVT:&lt;YieldBid=0|YieldAsk=0&gt;</t>
  </si>
  <si>
    <t>JP1400081F45 GOVT:&lt;YieldBid=0|YieldAsk=0&gt;</t>
  </si>
  <si>
    <t>JP1400091G59 GOVT:&lt;YieldBid=0|YieldAsk=0&gt;</t>
  </si>
  <si>
    <t>JP1400101H56 GOVT:&lt;YieldBid=0|YieldAsk=0&gt;</t>
  </si>
  <si>
    <t>JP1400181R57 GOVT:&lt;YieldBid=0|YieldAsk=0&gt;</t>
  </si>
  <si>
    <t>97.5156250000</t>
  </si>
  <si>
    <t>100.2968750000</t>
  </si>
  <si>
    <t>96.2812500000</t>
  </si>
  <si>
    <t>104.1015625000</t>
  </si>
  <si>
    <t>94.9218750000</t>
  </si>
  <si>
    <t>96.1093750000</t>
  </si>
  <si>
    <t>97.0000000000</t>
  </si>
  <si>
    <t>76.0156250000</t>
  </si>
  <si>
    <t>70.0312500000</t>
  </si>
  <si>
    <t>98.0781250000</t>
  </si>
  <si>
    <t>98.6250000000</t>
  </si>
  <si>
    <t>96.0156250000</t>
  </si>
  <si>
    <t>94.1328125000</t>
  </si>
  <si>
    <t>88.6718750000</t>
  </si>
  <si>
    <t>95.8359375000</t>
  </si>
  <si>
    <t>93.4296875000</t>
  </si>
  <si>
    <t>92.4375000000</t>
  </si>
  <si>
    <t>98.7773437500</t>
  </si>
  <si>
    <t>92.9218750000</t>
  </si>
  <si>
    <t>99.2851562500</t>
  </si>
  <si>
    <t>98.5703125000</t>
  </si>
  <si>
    <t>100.4609375000</t>
  </si>
  <si>
    <t>95.6093750000</t>
  </si>
  <si>
    <t>100.3242187500</t>
  </si>
  <si>
    <t>99.1093750000</t>
  </si>
  <si>
    <t>95.3046875000</t>
  </si>
  <si>
    <t>96.7187500000</t>
  </si>
  <si>
    <t>94.6796875000</t>
  </si>
  <si>
    <t>93.7265625000</t>
  </si>
  <si>
    <t>100.2148437500</t>
  </si>
  <si>
    <t>100.0273437500</t>
  </si>
  <si>
    <t>100.3867187500</t>
  </si>
  <si>
    <t>100.6093750000</t>
  </si>
  <si>
    <t>98.4687500000</t>
  </si>
  <si>
    <t>101.8671875000</t>
  </si>
  <si>
    <t>101.4531250000</t>
  </si>
  <si>
    <t>99.4726562500</t>
  </si>
  <si>
    <t>99.2109375000</t>
  </si>
  <si>
    <t>97.7656250000</t>
  </si>
  <si>
    <t>99.5234375000</t>
  </si>
  <si>
    <t>100.5429687500</t>
  </si>
  <si>
    <t>101.6250000000</t>
  </si>
  <si>
    <t>96.9531250000</t>
  </si>
  <si>
    <t>94.8789062500</t>
  </si>
  <si>
    <t>100.1171875000</t>
  </si>
  <si>
    <t>3.5925000000</t>
  </si>
  <si>
    <t>3.6036000000</t>
  </si>
  <si>
    <t>3.5992000000</t>
  </si>
  <si>
    <t>912810UU0</t>
  </si>
  <si>
    <t>91282CQQ7</t>
  </si>
  <si>
    <t>91282CQR5</t>
  </si>
  <si>
    <t>CAONREPO INDEX:&lt;Price=2.28&gt;</t>
  </si>
  <si>
    <t>ERU6 COMDTY:&lt;Price=97.405&gt;</t>
  </si>
  <si>
    <t>101.3906250000</t>
  </si>
  <si>
    <t>62.1718750000</t>
  </si>
  <si>
    <t>64.2031250000</t>
  </si>
  <si>
    <t>US912810UU06</t>
  </si>
  <si>
    <t>93.9218750000</t>
  </si>
  <si>
    <t>81.0312500000</t>
  </si>
  <si>
    <t>93.4609375000</t>
  </si>
  <si>
    <t>98.9882812500</t>
  </si>
  <si>
    <t>99.1718750000</t>
  </si>
  <si>
    <t>98.6328125000</t>
  </si>
  <si>
    <t>96.2890625000</t>
  </si>
  <si>
    <t>86.7734375000</t>
  </si>
  <si>
    <t>100.8671875000</t>
  </si>
  <si>
    <t>102.5625000000</t>
  </si>
  <si>
    <t>100.3984375000</t>
  </si>
  <si>
    <t>98.2109375000</t>
  </si>
  <si>
    <t>100.8906250000</t>
  </si>
  <si>
    <t>US91282CQQ77</t>
  </si>
  <si>
    <t>100.6484375000</t>
  </si>
  <si>
    <t>99.4921875000</t>
  </si>
  <si>
    <t>100.5625000000</t>
  </si>
  <si>
    <t>97.5390625000</t>
  </si>
  <si>
    <t>100.8203125000</t>
  </si>
  <si>
    <t>98.9921875000</t>
  </si>
  <si>
    <t>101.4218750000</t>
  </si>
  <si>
    <t>US91282CQR50</t>
  </si>
  <si>
    <t>101.2890625000</t>
  </si>
  <si>
    <t>99.6796875000</t>
  </si>
  <si>
    <t>72.7500000000</t>
  </si>
  <si>
    <t>97.2968750000</t>
  </si>
  <si>
    <t>93.8046875000</t>
  </si>
  <si>
    <t>93.6484375000</t>
  </si>
  <si>
    <t>98.6406250000</t>
  </si>
  <si>
    <t>97.7421875000</t>
  </si>
  <si>
    <t>102.5312500000</t>
  </si>
  <si>
    <t>3.5882000000</t>
  </si>
  <si>
    <t>3.5718000000</t>
  </si>
  <si>
    <t>101.7304687500</t>
  </si>
  <si>
    <t>63.2187500000</t>
  </si>
  <si>
    <t>95.2500000000</t>
  </si>
  <si>
    <t>62.0312500000</t>
  </si>
  <si>
    <t>75.9531250000</t>
  </si>
  <si>
    <t>88.6406250000</t>
  </si>
  <si>
    <t>98.9023437500</t>
  </si>
  <si>
    <t>91.4687500000</t>
  </si>
  <si>
    <t>102.5468750000</t>
  </si>
  <si>
    <t>101.0078125000</t>
  </si>
  <si>
    <t>99.7304687500</t>
  </si>
  <si>
    <t>97.8125000000</t>
  </si>
  <si>
    <t>97.2812500000</t>
  </si>
  <si>
    <t>71.8046875000</t>
  </si>
  <si>
    <t>94.8554687500</t>
  </si>
  <si>
    <t>3.5963000000</t>
  </si>
  <si>
    <t>95.4218750000</t>
  </si>
  <si>
    <t>91.7343750000</t>
  </si>
  <si>
    <t>70.2187500000</t>
  </si>
  <si>
    <t>56.8437500000</t>
  </si>
  <si>
    <t>68.5000000000</t>
  </si>
  <si>
    <t>75.8593750000</t>
  </si>
  <si>
    <t>55.0468750000</t>
  </si>
  <si>
    <t>93.9531250000</t>
  </si>
  <si>
    <t>76.3125000000</t>
  </si>
  <si>
    <t>97.2187500000</t>
  </si>
  <si>
    <t>73.0781250000</t>
  </si>
  <si>
    <t>71.0156250000</t>
  </si>
  <si>
    <t>69.6250000000</t>
  </si>
  <si>
    <t>64.0937500000</t>
  </si>
  <si>
    <t>62.8437500000</t>
  </si>
  <si>
    <t>71.1562500000</t>
  </si>
  <si>
    <t>91.0781250000</t>
  </si>
  <si>
    <t>81.8437500000</t>
  </si>
  <si>
    <t>64.6718750000</t>
  </si>
  <si>
    <t>89.7812500000</t>
  </si>
  <si>
    <t>98.6093750000</t>
  </si>
  <si>
    <t>95.3437500000</t>
  </si>
  <si>
    <t>96.4218750000</t>
  </si>
  <si>
    <t>101.0781250000</t>
  </si>
  <si>
    <t>91.0312500000</t>
  </si>
  <si>
    <t>93.5625000000</t>
  </si>
  <si>
    <t>73.9531250000</t>
  </si>
  <si>
    <t>94.7500000000</t>
  </si>
  <si>
    <t>75.4687500000</t>
  </si>
  <si>
    <t>62.7187500000</t>
  </si>
  <si>
    <t>97.8437500000</t>
  </si>
  <si>
    <t>80.7812500000</t>
  </si>
  <si>
    <t>86.5312500000</t>
  </si>
  <si>
    <t>79.1875000000</t>
  </si>
  <si>
    <t>54.4375000000</t>
  </si>
  <si>
    <t>3.6066000000</t>
  </si>
  <si>
    <t>3.6168000000</t>
  </si>
  <si>
    <t>73.7343750000</t>
  </si>
  <si>
    <t>82.6093750000</t>
  </si>
  <si>
    <t>89.3437500000</t>
  </si>
  <si>
    <t>70.5156250000</t>
  </si>
  <si>
    <t>90.8437500000</t>
  </si>
  <si>
    <t>98.1718750000</t>
  </si>
  <si>
    <t>76.7656250000</t>
  </si>
  <si>
    <t>73.6562500000</t>
  </si>
  <si>
    <t>71.9375000000</t>
  </si>
  <si>
    <t>95.1640625000</t>
  </si>
  <si>
    <t>3.5995000000</t>
  </si>
  <si>
    <t>92.4531250000</t>
  </si>
  <si>
    <t>79.0625000000</t>
  </si>
  <si>
    <t>92.7187500000</t>
  </si>
  <si>
    <t>3.6029000000</t>
  </si>
  <si>
    <t>3.5976000000</t>
  </si>
  <si>
    <t>3.5744000000</t>
  </si>
  <si>
    <t>DL CANVAS_FUTURES_MASTER Date=6/4/2026 PX_SETTLE = no sttl dt</t>
  </si>
  <si>
    <t>DL Bill input Discount = 3.57270000  PX_ASK = 3.56320000 PX_BID = 3.58220000</t>
  </si>
  <si>
    <t>DL Bill input Discount = 3.60350000  PX_ASK = 3.59250000 PX_BID = 3.61450000</t>
  </si>
  <si>
    <t>DL Bill input Discount = 3.61090000  PX_ASK = 3.59860000 PX_BID = 3.62320000</t>
  </si>
  <si>
    <t>DL Bill input Discount = 3.62325000  PX_ASK = 3.61980000 PX_BID = 3.62670000</t>
  </si>
  <si>
    <t>DL Bill input Discount = 3.62180000  PX_ASK = 3.61600000 PX_BID = 3.62760000</t>
  </si>
  <si>
    <t>DL Bill input Discount = 3.62160000  PX_ASK = 3.61420000 PX_BID = 3.62900000</t>
  </si>
  <si>
    <t>DL Bill input Discount = 3.63645000  PX_ASK = 3.63290000 PX_BID = 3.64000000</t>
  </si>
  <si>
    <t>DL Bill input Discount = 3.60705000  PX_ASK = 3.58820000 PX_BID = 3.62590000</t>
  </si>
  <si>
    <t>DL Bill input Discount = 3.58580000  PX_ASK = 3.57580000 PX_BID = 3.59580000</t>
  </si>
  <si>
    <t>DL Bill input Discount = 3.58325000  PX_ASK = 3.57440000 PX_BID = 3.59210000</t>
  </si>
  <si>
    <t>DL Bill input Discount = 3.59645000  PX_ASK = 3.59150000 PX_BID = 3.60140000</t>
  </si>
  <si>
    <t>DL Bill input Discount = 3.58825000  PX_ASK = 3.57180000 PX_BID = 3.60470000</t>
  </si>
  <si>
    <t>DL Bill input Discount = 3.60875000  PX_ASK = 3.60360000 PX_BID = 3.61390000</t>
  </si>
  <si>
    <t>DL Bill input Discount = 3.60880000  PX_ASK = 3.60080000 PX_BID = 3.61680000</t>
  </si>
  <si>
    <t>DL Bill input Discount = 3.60935000  PX_ASK = 3.59980000 PX_BID = 3.61890000</t>
  </si>
  <si>
    <t>DL Bill input Discount = 3.60225000  PX_ASK = 3.58540000 PX_BID = 3.61910000</t>
  </si>
  <si>
    <t>DL Bill input Discount = 3.61620000  PX_ASK = 3.60910000 PX_BID = 3.62330000</t>
  </si>
  <si>
    <t>DL Bill input Discount = 3.61315000  PX_ASK = 3.60750000 PX_BID = 3.61880000</t>
  </si>
  <si>
    <t>DL Bill input Discount = 3.61520000  PX_ASK = 3.60660000 PX_BID = 3.62380000</t>
  </si>
  <si>
    <t>DL Bill input Discount = 3.58865000  PX_ASK = 3.57780000 PX_BID = 3.59950000</t>
  </si>
  <si>
    <t>DL Bill input Discount = 3.58955000  PX_ASK = 3.58080000 PX_BID = 3.59830000</t>
  </si>
  <si>
    <t>DL Bill input Discount = 3.59060000  PX_ASK = 3.58390000 PX_BID = 3.59730000</t>
  </si>
  <si>
    <t>DL Bill input Discount = 3.60310000  PX_ASK = 3.59760000 PX_BID = 3.60860000</t>
  </si>
  <si>
    <t>DL Bill input Discount = 3.60860000  PX_ASK = 3.59630000 PX_BID = 3.62090000</t>
  </si>
  <si>
    <t>DL Bill input Discount = 3.64805000  PX_ASK = 3.64290000 PX_BID = 3.65320000</t>
  </si>
  <si>
    <t>DL Bill input Discount = 3.61160000  PX_ASK = 3.60400000 PX_BID = 3.61920000</t>
  </si>
  <si>
    <t>DL Bill input Discount = 3.62165000  PX_ASK = 3.61600000 PX_BID = 3.62730000</t>
  </si>
  <si>
    <t>DL Bill input Discount = 3.62165000  PX_ASK = 3.61230000 PX_BID = 3.63100000</t>
  </si>
  <si>
    <t>DL Bill input Discount = 3.60740000  PX_ASK = 3.60300000 PX_BID = 3.61180000</t>
  </si>
  <si>
    <t>DL Bill input Discount = 3.61135000  PX_ASK = 3.60290000 PX_BID = 3.61980000</t>
  </si>
  <si>
    <t>DL Bill input Discount = 3.61845000  PX_ASK = 3.61010000 PX_BID = 3.62680000</t>
  </si>
  <si>
    <t>DL Bill input Discount = 3.62700000  PX_ASK = 3.61980000 PX_BID = 3.63420000</t>
  </si>
  <si>
    <t>DL Bill input Discount = 3.60160000  PX_ASK = 3.59330000 PX_BID = 3.60990000</t>
  </si>
  <si>
    <t>DL Bill input Discount = 3.59690000  PX_ASK = 3.59080000 PX_BID = 3.60300000</t>
  </si>
  <si>
    <t>DL Bill input Discount = 3.60385000  PX_ASK = 3.59700000 PX_BID = 3.61070000</t>
  </si>
  <si>
    <t>DL Bill input Discount = 3.60775000  PX_ASK = 3.60120000 PX_BID = 3.61430000</t>
  </si>
  <si>
    <t>DL Bill input Discount = 3.60575000  PX_ASK = 3.59920000 PX_BID = 3.61230000</t>
  </si>
  <si>
    <t>DL Bill input Discount = 3.59850000  PX_ASK = 3.59280000 PX_BID = 3.60420000</t>
  </si>
  <si>
    <t>DL Bill input Discount = 3.61015000  PX_ASK = 3.59990000 PX_BID = 3.62040000</t>
  </si>
  <si>
    <t>DL Bill input Discount = 3.61730000  PX_ASK = 3.61140000 PX_BID = 3.62320000</t>
  </si>
  <si>
    <t>912797UX3</t>
  </si>
  <si>
    <t>DL Bill input Discount = 3.64680000  PX_ASK = 3.64210000 PX_BID = 3.65150000</t>
  </si>
  <si>
    <t>912797UY1</t>
  </si>
  <si>
    <t>DL Bill input Discount = 3.63060000  PX_ASK = 3.62560000 PX_BID = 3.63560000</t>
  </si>
  <si>
    <t>912797UZ8</t>
  </si>
  <si>
    <t>DL Bill input Discount = 3.63600000  PX_ASK = 3.63210000 PX_BID = 3.63990000</t>
  </si>
  <si>
    <t>912797VA2</t>
  </si>
  <si>
    <t>DL Bill input Discount = 3.64015000  PX_ASK = 3.63670000 PX_BID = 3.64360000</t>
  </si>
  <si>
    <t>912797VB0</t>
  </si>
  <si>
    <t>DL Bill input Discount = 3.61405000  PX_ASK = 3.60900000 PX_BID = 3.61910000</t>
  </si>
  <si>
    <t>912797VC8</t>
  </si>
  <si>
    <t>DL Bill input Discount = 3.62090000  PX_ASK = 3.61500000 PX_BID = 3.62680000</t>
  </si>
  <si>
    <t>912797VD6</t>
  </si>
  <si>
    <t>DL Bill input Discount = 3.61980000  PX_ASK = 3.61450000 PX_BID = 3.62510000</t>
  </si>
  <si>
    <t>912797VE4</t>
  </si>
  <si>
    <t>DL Bill input Discount = 3.62180000  PX_ASK = 3.61810000 PX_BID = 3.62550000</t>
  </si>
  <si>
    <t>DL input prc = 99.30080765  PX_ASK = 99.30815683 PX_BID = 99.29345847</t>
  </si>
  <si>
    <t>DL input prc = 98.41094717  PX_ASK = 98.43732880 PX_BID = 98.38456554</t>
  </si>
  <si>
    <t>DL input prc = 97.51513739  PX_ASK = 97.55013788 PX_BID = 97.48013689</t>
  </si>
  <si>
    <t>DL input prc = 95.49238180  PX_ASK = 95.54223977 PX_BID = 95.44252382</t>
  </si>
  <si>
    <t>DL input prc = 94.49159142  PX_ASK = 94.56178095 PX_BID = 94.42140188</t>
  </si>
  <si>
    <t>DL input prc = 91.57504604  PX_ASK = 91.64600966 PX_BID = 91.50408242</t>
  </si>
  <si>
    <t>DL input prc = 90.64010929  PX_ASK = 90.70412977 PX_BID = 90.57608881</t>
  </si>
  <si>
    <t>DL input prc = 89.94476955  PX_ASK = 90.01729353 PX_BID = 89.87224556</t>
  </si>
  <si>
    <t>DL input prc = 87.78362311  PX_ASK = 87.86472067 PX_BID = 87.70252554</t>
  </si>
  <si>
    <t>DL input prc = 85.04454985  PX_ASK = 85.15295708 PX_BID = 84.93614261</t>
  </si>
  <si>
    <t>DL input prc = 82.43039195  PX_ASK = 82.54795067 PX_BID = 82.31283323</t>
  </si>
  <si>
    <t>DL input prc = 65.66033808  PX_ASK = 65.76001627 PX_BID = 65.56065988</t>
  </si>
  <si>
    <t>DL input prc = 62.26036501  PX_ASK = 62.35481161 PX_BID = 62.16591841</t>
  </si>
  <si>
    <t>DL input prc = 61.60970320  PX_ASK = 61.69213246 PX_BID = 61.52727394</t>
  </si>
  <si>
    <t>DL input prc = 59.19225587  PX_ASK = 59.29380179 PX_BID = 59.09070994</t>
  </si>
  <si>
    <t>DL input prc = 58.31912755  PX_ASK = 58.40424670 PX_BID = 58.23400840</t>
  </si>
  <si>
    <t>DL input prc = 55.81228682  PX_ASK = 55.89885067 PX_BID = 55.72572296</t>
  </si>
  <si>
    <t>DL input prc = 54.71059979  PX_ASK = 54.79015766 PX_BID = 54.63104191</t>
  </si>
  <si>
    <t>DL input prc = 53.73538289  PX_ASK = 53.82195863 PX_BID = 53.64880714</t>
  </si>
  <si>
    <t>DL input prc = 52.89557651  PX_ASK = 52.97890760 PX_BID = 52.81224541</t>
  </si>
  <si>
    <t>DL input prc = 52.13572466  PX_ASK = 52.22288451 PX_BID = 52.04856480</t>
  </si>
  <si>
    <t>DL input prc = 51.39077974  PX_ASK = 51.47473587 PX_BID = 51.30682360</t>
  </si>
  <si>
    <t>DL input prc = 50.59412607  PX_ASK = 50.68177727 PX_BID = 50.50647487</t>
  </si>
  <si>
    <t>DL input prc = 49.86459234  PX_ASK = 49.94544290 PX_BID = 49.78374178</t>
  </si>
  <si>
    <t>DL input prc = 49.18584888  PX_ASK = 49.27052084 PX_BID = 49.10117691</t>
  </si>
  <si>
    <t>DL input prc = 48.44750911  PX_ASK = 48.53230155 PX_BID = 48.36271667</t>
  </si>
  <si>
    <t>DL input prc = 47.74281324  PX_ASK = 47.82778154 PX_BID = 47.65784494</t>
  </si>
  <si>
    <t>DL input prc = 46.95307349  PX_ASK = 47.03090500 PX_BID = 46.87524197</t>
  </si>
  <si>
    <t>DL input prc = 46.22574362  PX_ASK = 46.30361784 PX_BID = 46.14786940</t>
  </si>
  <si>
    <t>DL input prc = 45.57247015  PX_ASK = 45.64690152 PX_BID = 45.49803878</t>
  </si>
  <si>
    <t>DL input prc = 44.87230903  PX_ASK = 44.94675388 PX_BID = 44.79786418</t>
  </si>
  <si>
    <t>DL input prc = 44.18217993  PX_ASK = 44.26013265 PX_BID = 44.10422720</t>
  </si>
  <si>
    <t>DL input prc = 43.51283446  PX_ASK = 43.58723906 PX_BID = 43.43842986</t>
  </si>
  <si>
    <t>DL input prc = 42.89929412  PX_ASK = 42.97727431 PX_BID = 42.82131393</t>
  </si>
  <si>
    <t>DL input prc = 42.27497743  PX_ASK = 42.35296659 PX_BID = 42.19698827</t>
  </si>
  <si>
    <t>DL input prc = 41.66001716  PX_ASK = 41.73442644 PX_BID = 41.58560787</t>
  </si>
  <si>
    <t>DL input prc = 41.05229450  PX_ASK = 41.12313641 PX_BID = 40.98145258</t>
  </si>
  <si>
    <t>DL input prc = 40.50670550  PX_ASK = 40.58112255 PX_BID = 40.43228844</t>
  </si>
  <si>
    <t>DL input prc = 39.91899556  PX_ASK = 39.99690532 PX_BID = 39.84108580</t>
  </si>
  <si>
    <t>DL input prc = 39.36109721  PX_ASK = 39.43187854 PX_BID = 39.29031587</t>
  </si>
  <si>
    <t>DL input prc = 38.84278086  PX_ASK = 38.92420928 PX_BID = 38.76135244</t>
  </si>
  <si>
    <t>DL input prc = 38.31486566  PX_ASK = 38.38563041 PX_BID = 38.24410090</t>
  </si>
  <si>
    <t>DL input prc = 37.79484895  PX_ASK = 37.86204796 PX_BID = 37.72764993</t>
  </si>
  <si>
    <t>DL input prc = 37.27549791  PX_ASK = 37.34262332 PX_BID = 37.20837249</t>
  </si>
  <si>
    <t>DL input prc = 36.79246459  PX_ASK = 36.85958265 PX_BID = 36.72534652</t>
  </si>
  <si>
    <t>DL input prc = 36.30258749  PX_ASK = 36.36611117 PX_BID = 36.23906380</t>
  </si>
  <si>
    <t>DL input prc = 35.81739332  PX_ASK = 35.88086278 PX_BID = 35.75392386</t>
  </si>
  <si>
    <t>DL input prc = 35.34965926  PX_ASK = 35.41306444 PX_BID = 35.28625408</t>
  </si>
  <si>
    <t>DL input prc = 34.87266391  PX_ASK = 34.93950511 PX_BID = 34.80582271</t>
  </si>
  <si>
    <t>DL input prc = 34.42676091  PX_ASK = 34.49001948 PX_BID = 34.36350233</t>
  </si>
  <si>
    <t>DL input prc = 33.93669220  PX_ASK = 34.01382639 PX_BID = 33.85955801</t>
  </si>
  <si>
    <t>DL input prc = 33.52632399  PX_ASK = 33.58939724 PX_BID = 33.46325074</t>
  </si>
  <si>
    <t>DL input prc = 33.07547965  PX_ASK = 33.13843855 PX_BID = 33.01252074</t>
  </si>
  <si>
    <t>DL input prc = 32.66531821  PX_ASK = 32.73169746 PX_BID = 32.59893895</t>
  </si>
  <si>
    <t>DL input prc = 32.22188933  PX_ASK = 32.28463599 PX_BID = 32.15914266</t>
  </si>
  <si>
    <t>DL input prc = 31.83608825  PX_ASK = 31.90225624 PX_BID = 31.76992025</t>
  </si>
  <si>
    <t>DL input prc = 31.42067016  PX_ASK = 31.47975951 PX_BID = 31.36158080</t>
  </si>
  <si>
    <t>DL input prc = 31.01371659  PX_ASK = 31.07267428 PX_BID = 30.95475889</t>
  </si>
  <si>
    <t>DL input prc = 30.62596835  PX_ASK = 30.68136932 PX_BID = 30.57056737</t>
  </si>
  <si>
    <t>DL input prc = 30.22206924  PX_ASK = 30.27732045 PX_BID = 30.16681803</t>
  </si>
  <si>
    <t>DL input prc = 29.85467502  PX_ASK = 29.90984487 PX_BID = 29.79950517</t>
  </si>
  <si>
    <t>DL input prc = 29.58455032  PX_ASK = 29.63979444 PX_BID = 29.52930620</t>
  </si>
  <si>
    <t>DL input prc = 29.18187809  PX_ASK = 29.24727073 PX_BID = 29.11648544</t>
  </si>
  <si>
    <t>DL input prc = 28.75924099  PX_ASK = 28.81406225 PX_BID = 28.70441972</t>
  </si>
  <si>
    <t>DL input prc = 28.38012627  PX_ASK = 28.43820101 PX_BID = 28.32205153</t>
  </si>
  <si>
    <t>DL input prc = 28.03536992  PX_ASK = 28.08990451 PX_BID = 27.98083532</t>
  </si>
  <si>
    <t>DL input prc = 27.69278982  PX_ASK = 27.75060648 PX_BID = 27.63497315</t>
  </si>
  <si>
    <t>DL input prc = 27.38400135  PX_ASK = 27.43833880 PX_BID = 27.32966389</t>
  </si>
  <si>
    <t>DL input prc = 27.03669633  PX_ASK = 27.09426504 PX_BID = 26.97912762</t>
  </si>
  <si>
    <t>DL input prc = 26.73632717  PX_ASK = 26.79042361 PX_BID = 26.68223073</t>
  </si>
  <si>
    <t>DL input prc = 26.42803985  PX_ASK = 26.48203572 PX_BID = 26.37404397</t>
  </si>
  <si>
    <t>DL input prc = 26.14927494  PX_ASK = 26.19983586 PX_BID = 26.09871402</t>
  </si>
  <si>
    <t>DL input prc = 25.85927389  PX_ASK = 25.90638907 PX_BID = 25.81215870</t>
  </si>
  <si>
    <t>DL input prc = 25.57151625  PX_ASK = 25.61853902 PX_BID = 25.52449348</t>
  </si>
  <si>
    <t>DL input prc = 100.63671875  PX_ASK = 100.87109375 PX_BID = 100.40234375</t>
  </si>
  <si>
    <t>DL input prc = 101.24414063  PX_ASK = 101.48046875 PX_BID = 101.00781250</t>
  </si>
  <si>
    <t>DL input prc = 101.97265625  PX_ASK = 102.21484375 PX_BID = 101.73046875</t>
  </si>
  <si>
    <t>DL input prc = 102.82812500  PX_ASK = 103.03125000 PX_BID = 102.62500000</t>
  </si>
  <si>
    <t>DL input prc = 102.99218750  PX_ASK = 103.21875000 PX_BID = 102.76562500</t>
  </si>
  <si>
    <t>DL input prc = 104.05859375  PX_ASK = 104.10156250 PX_BID = 104.01562500</t>
  </si>
  <si>
    <t>DL input prc = 103.02734375  PX_ASK = 103.26562500 PX_BID = 102.78906250</t>
  </si>
  <si>
    <t>DL input prc = 102.71484375  PX_ASK = 102.89843750 PX_BID = 102.53125000</t>
  </si>
  <si>
    <t>DL input prc = 103.24218750  PX_ASK = 103.46093750 PX_BID = 103.02343750</t>
  </si>
  <si>
    <t>DL input prc = 106.54687500  PX_ASK = 106.58593750 PX_BID = 106.50781250</t>
  </si>
  <si>
    <t>DL input prc = 105.98046875  PX_ASK = 106.17187500 PX_BID = 105.78906250</t>
  </si>
  <si>
    <t>DL input prc = 107.58593750  PX_ASK = 107.76562500 PX_BID = 107.40625000</t>
  </si>
  <si>
    <t>DL input prc = 105.17578125  PX_ASK = 105.35156250 PX_BID = 105.00000000</t>
  </si>
  <si>
    <t>DL input prc = 109.00781250  PX_ASK = 109.05468750 PX_BID = 108.96093750</t>
  </si>
  <si>
    <t>DL input prc = 100.96093750  PX_ASK = 101.07812500 PX_BID = 100.84375000</t>
  </si>
  <si>
    <t>DL input prc = 100.94140625  PX_ASK = 100.98437500 PX_BID = 100.89843750</t>
  </si>
  <si>
    <t>DL input prc = 102.47656250  PX_ASK = 102.56250000 PX_BID = 102.39062500</t>
  </si>
  <si>
    <t>DL input prc = 104.67187500  PX_ASK = 104.76562500 PX_BID = 104.57812500</t>
  </si>
  <si>
    <t>DL input prc = 100.64453125  PX_ASK = 100.67968750 PX_BID = 100.60937500</t>
  </si>
  <si>
    <t>DL input prc = 98.78125000  PX_ASK = 98.85937500 PX_BID = 98.70312500</t>
  </si>
  <si>
    <t>DL input prc = 99.66406250  PX_ASK = 99.73437500 PX_BID = 99.59375000</t>
  </si>
  <si>
    <t>DL input prc = 102.70312500  PX_ASK = 102.74218750 PX_BID = 102.66406250</t>
  </si>
  <si>
    <t>DL input prc = 89.42968750  PX_ASK = 89.51562500 PX_BID = 89.34375000</t>
  </si>
  <si>
    <t>DL input prc = 96.07812500  PX_ASK = 96.14062500 PX_BID = 96.01562500</t>
  </si>
  <si>
    <t>DL input prc = 98.14843750  PX_ASK = 98.21875000 PX_BID = 98.07812500</t>
  </si>
  <si>
    <t>DL input prc = 96.60156250  PX_ASK = 96.67187500 PX_BID = 96.53125000</t>
  </si>
  <si>
    <t>DL input prc = 98.95312500  PX_ASK = 99.03125000 PX_BID = 98.87500000</t>
  </si>
  <si>
    <t>DL input prc = 97.71875000  PX_ASK = 97.78125000 PX_BID = 97.65625000</t>
  </si>
  <si>
    <t>DL input prc = 96.21875000  PX_ASK = 96.28125000 PX_BID = 96.15625000</t>
  </si>
  <si>
    <t>DL input prc = 90.78125000  PX_ASK = 90.84375000 PX_BID = 90.71875000</t>
  </si>
  <si>
    <t>DL input prc = 94.45312500  PX_ASK = 94.51562500 PX_BID = 94.39062500</t>
  </si>
  <si>
    <t>DL input prc = 99.60156250  PX_ASK = 99.65625000 PX_BID = 99.54687500</t>
  </si>
  <si>
    <t>DL input prc = 96.68750000  PX_ASK = 96.75000000 PX_BID = 96.62500000</t>
  </si>
  <si>
    <t>DL input prc = 95.39062500  PX_ASK = 95.43750000 PX_BID = 95.34375000</t>
  </si>
  <si>
    <t>DL input prc = 88.42187500  PX_ASK = 88.46875000 PX_BID = 88.37500000</t>
  </si>
  <si>
    <t>DL input prc = 79.12500000  PX_ASK = 79.18750000 PX_BID = 79.06250000</t>
  </si>
  <si>
    <t>DL input prc = 81.19531250  PX_ASK = 81.25000000 PX_BID = 81.14062500</t>
  </si>
  <si>
    <t>DL input prc = 80.83593750  PX_ASK = 80.89062500 PX_BID = 80.78125000</t>
  </si>
  <si>
    <t>DL input prc = 77.16406250  PX_ASK = 77.22656250 PX_BID = 77.10156250</t>
  </si>
  <si>
    <t>DL input prc = 75.92187500  PX_ASK = 75.98437500 PX_BID = 75.85937500</t>
  </si>
  <si>
    <t>DL input prc = 75.53125000  PX_ASK = 75.57812500 PX_BID = 75.48437500</t>
  </si>
  <si>
    <t>DL input prc = 79.46875000  PX_ASK = 79.51562500 PX_BID = 79.42187500</t>
  </si>
  <si>
    <t>DL input prc = 73.82031250  PX_ASK = 73.88281250 PX_BID = 73.75781250</t>
  </si>
  <si>
    <t>DL input prc = 76.27343750  PX_ASK = 76.31250000 PX_BID = 76.23437500</t>
  </si>
  <si>
    <t>DL input prc = 84.75000000  PX_ASK = 84.78125000 PX_BID = 84.71875000</t>
  </si>
  <si>
    <t>DL input prc = 85.96875000  PX_ASK = 86.00000000 PX_BID = 85.93750000</t>
  </si>
  <si>
    <t>DL input prc = 84.25000000  PX_ASK = 84.28125000 PX_BID = 84.21875000</t>
  </si>
  <si>
    <t>DL input prc = 82.67187500  PX_ASK = 82.73437500 PX_BID = 82.60937500</t>
  </si>
  <si>
    <t>DL input prc = 81.06250000  PX_ASK = 81.09375000 PX_BID = 81.03125000</t>
  </si>
  <si>
    <t>DL input prc = 75.98437500  PX_ASK = 76.01562500 PX_BID = 75.95312500</t>
  </si>
  <si>
    <t>DL input prc = 77.75781250  PX_ASK = 77.79687500 PX_BID = 77.71875000</t>
  </si>
  <si>
    <t>DL input prc = 69.59375000  PX_ASK = 69.62500000 PX_BID = 69.56250000</t>
  </si>
  <si>
    <t>DL input prc = 71.87109375  PX_ASK = 71.93750000 PX_BID = 71.80468750</t>
  </si>
  <si>
    <t>DL input prc = 75.50000000  PX_ASK = 75.53125000 PX_BID = 75.46875000</t>
  </si>
  <si>
    <t>DL input prc = 73.69531250  PX_ASK = 73.73437500 PX_BID = 73.65625000</t>
  </si>
  <si>
    <t>DL input prc = 75.00000000  PX_ASK = 75.03125000 PX_BID = 74.96875000</t>
  </si>
  <si>
    <t>DL input prc = 68.46093750  PX_ASK = 68.50000000 PX_BID = 68.42187500</t>
  </si>
  <si>
    <t>DL input prc = 74.23828125  PX_ASK = 74.30468750 PX_BID = 74.17187500</t>
  </si>
  <si>
    <t>DL input prc = 68.17968750  PX_ASK = 68.21875000 PX_BID = 68.14062500</t>
  </si>
  <si>
    <t>DL input prc = 64.70312500  PX_ASK = 64.73437500 PX_BID = 64.67187500</t>
  </si>
  <si>
    <t>DL input prc = 72.45312500  PX_ASK = 72.50000000 PX_BID = 72.40625000</t>
  </si>
  <si>
    <t>DL input prc = 72.52343750  PX_ASK = 72.54687500 PX_BID = 72.50000000</t>
  </si>
  <si>
    <t>DL input prc = 73.92187500  PX_ASK = 73.95312500 PX_BID = 73.89062500</t>
  </si>
  <si>
    <t>DL input prc = 71.08984375  PX_ASK = 71.15625000 PX_BID = 71.02343750</t>
  </si>
  <si>
    <t>DL input prc = 73.70312500  PX_ASK = 73.73437500 PX_BID = 73.67187500</t>
  </si>
  <si>
    <t>DL input prc = 68.79687500  PX_ASK = 68.84375000 PX_BID = 68.75000000</t>
  </si>
  <si>
    <t>DL input prc = 70.18750000  PX_ASK = 70.21875000 PX_BID = 70.15625000</t>
  </si>
  <si>
    <t>DL input prc = 70.00000000  PX_ASK = 70.03125000 PX_BID = 69.96875000</t>
  </si>
  <si>
    <t>DL input prc = 73.10937500  PX_ASK = 73.14062500 PX_BID = 73.07812500</t>
  </si>
  <si>
    <t>DL input prc = 71.95703125  PX_ASK = 72.02343750 PX_BID = 71.89062500</t>
  </si>
  <si>
    <t>DL input prc = 74.59375000  PX_ASK = 74.62500000 PX_BID = 74.56250000</t>
  </si>
  <si>
    <t>DL input prc = 72.71875000  PX_ASK = 72.75000000 PX_BID = 72.68750000</t>
  </si>
  <si>
    <t>DL input prc = 77.65625000  PX_ASK = 77.68750000 PX_BID = 77.62500000</t>
  </si>
  <si>
    <t>DL input prc = 72.38281250  PX_ASK = 72.40625000 PX_BID = 72.35937500</t>
  </si>
  <si>
    <t>DL input prc = 70.94921875  PX_ASK = 71.01562500 PX_BID = 70.88281250</t>
  </si>
  <si>
    <t>DL input prc = 68.63281250  PX_ASK = 68.65625000 PX_BID = 68.60937500</t>
  </si>
  <si>
    <t>DL input prc = 70.48437500  PX_ASK = 70.51562500 PX_BID = 70.45312500</t>
  </si>
  <si>
    <t>DL input prc = 61.68750000  PX_ASK = 61.71875000 PX_BID = 61.65625000</t>
  </si>
  <si>
    <t>DL input prc = 63.18750000  PX_ASK = 63.21875000 PX_BID = 63.15625000</t>
  </si>
  <si>
    <t>DL input prc = 57.75000000  PX_ASK = 57.78125000 PX_BID = 57.71875000</t>
  </si>
  <si>
    <t>DL input prc = 56.90625000  PX_ASK = 56.96875000 PX_BID = 56.84375000</t>
  </si>
  <si>
    <t>DL input prc = 47.12500000  PX_ASK = 47.15625000 PX_BID = 47.09375000</t>
  </si>
  <si>
    <t>DL input prc = 48.56250000  PX_ASK = 48.59375000 PX_BID = 48.53125000</t>
  </si>
  <si>
    <t>DL input prc = 62.12500000  PX_ASK = 62.17187500 PX_BID = 62.07812500</t>
  </si>
  <si>
    <t>DL input prc = 62.78125000  PX_ASK = 62.84375000 PX_BID = 62.71875000</t>
  </si>
  <si>
    <t>DL input prc = 51.78125000  PX_ASK = 51.81250000 PX_BID = 51.75000000</t>
  </si>
  <si>
    <t>DL input prc = 64.14843750  PX_ASK = 64.20312500 PX_BID = 64.09375000</t>
  </si>
  <si>
    <t>DL input prc = 55.07031250  PX_ASK = 55.09375000 PX_BID = 55.04687500</t>
  </si>
  <si>
    <t>DL input prc = 53.33593750  PX_ASK = 53.39843750 PX_BID = 53.27343750</t>
  </si>
  <si>
    <t>DL input prc = 68.89843750  PX_ASK = 68.95312500 PX_BID = 68.84375000</t>
  </si>
  <si>
    <t>DL input prc = 62.00781250  PX_ASK = 62.03125000 PX_BID = 61.98437500</t>
  </si>
  <si>
    <t>DL input prc = 56.44531250  PX_ASK = 56.46875000 PX_BID = 56.42187500</t>
  </si>
  <si>
    <t>DL input prc = 66.55468750  PX_ASK = 66.59375000 PX_BID = 66.51562500</t>
  </si>
  <si>
    <t>DL input prc = 54.45312500  PX_ASK = 54.46875000 PX_BID = 54.43750000</t>
  </si>
  <si>
    <t>DL input prc = 59.67968750  PX_ASK = 59.70312500 PX_BID = 59.65625000</t>
  </si>
  <si>
    <t>DL input prc = 52.25000000  PX_ASK = 52.31250000 PX_BID = 52.18750000</t>
  </si>
  <si>
    <t>DL input prc = 72.46875000  PX_ASK = 72.50000000 PX_BID = 72.43750000</t>
  </si>
  <si>
    <t>DL input prc = 81.87500000  PX_ASK = 81.90625000 PX_BID = 81.84375000</t>
  </si>
  <si>
    <t>DL input prc = 70.34375000  PX_ASK = 70.35937500 PX_BID = 70.32812500</t>
  </si>
  <si>
    <t>DL input prc = 83.00000000  PX_ASK = 83.03125000 PX_BID = 82.96875000</t>
  </si>
  <si>
    <t>DL input prc = 84.95312500  PX_ASK = 84.96875000 PX_BID = 84.93750000</t>
  </si>
  <si>
    <t>DL input prc = 89.82031250  PX_ASK = 89.85937500 PX_BID = 89.78125000</t>
  </si>
  <si>
    <t>DL input prc = 79.38281250  PX_ASK = 79.40625000 PX_BID = 79.35937500</t>
  </si>
  <si>
    <t>DL input prc = 76.70703125  PX_ASK = 76.76562500 PX_BID = 76.64843750</t>
  </si>
  <si>
    <t>DL input prc = 88.14062500  PX_ASK = 88.15625000 PX_BID = 88.12500000</t>
  </si>
  <si>
    <t>DL input prc = 79.30468750  PX_ASK = 79.32812500 PX_BID = 79.28125000</t>
  </si>
  <si>
    <t>DL input prc = 87.92968750  PX_ASK = 87.95312500 PX_BID = 87.90625000</t>
  </si>
  <si>
    <t>DL input prc = 86.75781250  PX_ASK = 86.78125000 PX_BID = 86.73437500</t>
  </si>
  <si>
    <t>DL input prc = 93.53906250  PX_ASK = 93.56250000 PX_BID = 93.51562500</t>
  </si>
  <si>
    <t>DL input prc = 96.31250000  PX_ASK = 96.32812500 PX_BID = 96.29687500</t>
  </si>
  <si>
    <t>DL input prc = 96.12500000  PX_ASK = 96.14062500 PX_BID = 96.10937500</t>
  </si>
  <si>
    <t>DL input prc = 97.86718750  PX_ASK = 97.89062500 PX_BID = 97.84375000</t>
  </si>
  <si>
    <t>DL input prc = 88.60937500  PX_ASK = 88.62500000 PX_BID = 88.59375000</t>
  </si>
  <si>
    <t>DL input prc = 88.18750000  PX_ASK = 88.24218750 PX_BID = 88.13281250</t>
  </si>
  <si>
    <t>DL input prc = 94.72656250  PX_ASK = 94.75000000 PX_BID = 94.70312500</t>
  </si>
  <si>
    <t>DL input prc = 94.32812500  PX_ASK = 94.34375000 PX_BID = 94.31250000</t>
  </si>
  <si>
    <t>DL input prc = 96.10156250  PX_ASK = 96.12500000 PX_BID = 96.07812500</t>
  </si>
  <si>
    <t>DL input prc = 88.65625000  PX_ASK = 88.67187500 PX_BID = 88.64062500</t>
  </si>
  <si>
    <t>DL input prc = 89.89062500  PX_ASK = 89.90625000 PX_BID = 89.87500000</t>
  </si>
  <si>
    <t>DL input prc = 92.43750000  PX_ASK = 92.45312500 PX_BID = 92.42187500</t>
  </si>
  <si>
    <t>DL input prc = 95.84375000  PX_ASK = 95.85937500 PX_BID = 95.82812500</t>
  </si>
  <si>
    <t>DL input prc = 94.38281250  PX_ASK = 94.40625000 PX_BID = 94.35937500</t>
  </si>
  <si>
    <t>DL input prc = 92.97656250  PX_ASK = 93.03125000 PX_BID = 92.92187500</t>
  </si>
  <si>
    <t>DL input prc = 97.28125000  PX_ASK = 97.29687500 PX_BID = 97.26562500</t>
  </si>
  <si>
    <t>DL input prc = 93.84375000  PX_ASK = 93.85937500 PX_BID = 93.82812500</t>
  </si>
  <si>
    <t>DL input prc = 98.69531250  PX_ASK = 98.71875000 PX_BID = 98.67187500</t>
  </si>
  <si>
    <t>DL input prc = 100.26562500  PX_ASK = 100.28125000 PX_BID = 100.25000000</t>
  </si>
  <si>
    <t>DL input prc = 100.33593750  PX_ASK = 100.35937500 PX_BID = 100.31250000</t>
  </si>
  <si>
    <t>DL input prc = 95.62500000  PX_ASK = 95.64062500 PX_BID = 95.60937500</t>
  </si>
  <si>
    <t>DL input prc = 96.35937500  PX_ASK = 96.37500000 PX_BID = 96.34375000</t>
  </si>
  <si>
    <t>DL input prc = 98.60937500  PX_ASK = 98.62500000 PX_BID = 98.59375000</t>
  </si>
  <si>
    <t>DL input prc = 94.45312500  PX_ASK = 94.46875000 PX_BID = 94.43750000</t>
  </si>
  <si>
    <t>DL input prc = 95.50000000  PX_ASK = 95.51562500 PX_BID = 95.48437500</t>
  </si>
  <si>
    <t>DL input prc = 96.44531250  PX_ASK = 96.45312500 PX_BID = 96.43750000</t>
  </si>
  <si>
    <t>DL input prc = 92.98828125  PX_ASK = 93.03125000 PX_BID = 92.94531250</t>
  </si>
  <si>
    <t>DL input prc = 95.43750000  PX_ASK = 95.45312500 PX_BID = 95.42187500</t>
  </si>
  <si>
    <t>DL input prc = 100.35156250  PX_ASK = 100.35937500 PX_BID = 100.34375000</t>
  </si>
  <si>
    <t>912810UV8</t>
  </si>
  <si>
    <t>DL input prc = 98.53906250  PX_ASK = 98.54687500 PX_BID = 98.53125000</t>
  </si>
  <si>
    <t>DL input prc = 100.22656250  PX_ASK = 100.23437500 PX_BID = 100.21875000</t>
  </si>
  <si>
    <t>DL input prc = 93.44405129  PX_ASK = 93.50619402 PX_BID = 93.38190856</t>
  </si>
  <si>
    <t>DL input prc = 92.49315444  PX_ASK = 92.57417664 PX_BID = 92.41213223</t>
  </si>
  <si>
    <t>DL input prc = 96.42706197  PX_ASK = 96.47700672 PX_BID = 96.37711721</t>
  </si>
  <si>
    <t>DL input prc = 88.74300841  PX_ASK = 88.80059022 PX_BID = 88.68542660</t>
  </si>
  <si>
    <t>DL input prc = 99.43363481  PX_ASK = 99.43363481 PX_BID = 99.43363481</t>
  </si>
  <si>
    <t>DL input prc = 86.89603883  PX_ASK = 86.97665136 PX_BID = 86.81542629</t>
  </si>
  <si>
    <t>DL input prc = 85.96882120  PX_ASK = 86.05443404 PX_BID = 85.88320836</t>
  </si>
  <si>
    <t>DL input prc = 84.11944317  PX_ASK = 84.19551414 PX_BID = 84.04337219</t>
  </si>
  <si>
    <t>DL input prc = 83.22832758  PX_ASK = 83.31163741 PX_BID = 83.14501775</t>
  </si>
  <si>
    <t>DL input prc = 79.59375715  PX_ASK = 79.66375593 PX_BID = 79.52375836</t>
  </si>
  <si>
    <t>DL input prc = 78.68071817  PX_ASK = 78.74654440 PX_BID = 78.61489193</t>
  </si>
  <si>
    <t>DL input prc = 77.78377162  PX_ASK = 77.85392387 PX_BID = 77.71361936</t>
  </si>
  <si>
    <t>DL input prc = 76.86001762  PX_ASK = 76.96258756 PX_BID = 76.75744768</t>
  </si>
  <si>
    <t>DL input prc = 75.99611904  PX_ASK = 76.06801676 PX_BID = 75.92422131</t>
  </si>
  <si>
    <t>DL input prc = 75.06505176  PX_ASK = 75.14623092 PX_BID = 74.98387260</t>
  </si>
  <si>
    <t>DL input prc = 74.19497380  PX_ASK = 74.26807935 PX_BID = 74.12186825</t>
  </si>
  <si>
    <t>DL input prc = 81.42391163  PX_ASK = 81.51457599 PX_BID = 81.33324726</t>
  </si>
  <si>
    <t>DL input prc = 80.50982005  PX_ASK = 80.61224578 PX_BID = 80.40739431</t>
  </si>
  <si>
    <t>DL input prc = 99.55664063  PX_ASK = 99.56640625 PX_BID = 99.54687500</t>
  </si>
  <si>
    <t>DL input prc = 99.50000000  PX_ASK = 99.53125000 PX_BID = 99.46875000</t>
  </si>
  <si>
    <t>DL input prc = 98.00195313  PX_ASK = 98.01562500 PX_BID = 97.98828125</t>
  </si>
  <si>
    <t>DL input prc = 97.54687500  PX_ASK = 97.56250000 PX_BID = 97.53125000</t>
  </si>
  <si>
    <t>DL input prc = 97.54882813  PX_ASK = 97.56250000 PX_BID = 97.53515625</t>
  </si>
  <si>
    <t>DL input prc = 98.66406250  PX_ASK = 98.69531250 PX_BID = 98.63281250</t>
  </si>
  <si>
    <t>DL input prc = 97.90429688  PX_ASK = 97.91796875 PX_BID = 97.89062500</t>
  </si>
  <si>
    <t>DL input prc = 97.81054688  PX_ASK = 97.82031250 PX_BID = 97.80078125</t>
  </si>
  <si>
    <t>DL input prc = 97.51953125  PX_ASK = 97.53906250 PX_BID = 97.50000000</t>
  </si>
  <si>
    <t>DL input prc = 97.79296875  PX_ASK = 97.81250000 PX_BID = 97.77343750</t>
  </si>
  <si>
    <t>DL input prc = 98.54296875  PX_ASK = 98.57031250 PX_BID = 98.51562500</t>
  </si>
  <si>
    <t>DL input prc = 96.26953125  PX_ASK = 96.28906250 PX_BID = 96.25000000</t>
  </si>
  <si>
    <t>DL input prc = 95.26953125  PX_ASK = 95.28906250 PX_BID = 95.25000000</t>
  </si>
  <si>
    <t>DL input prc = 99.88085938  PX_ASK = 99.89453125 PX_BID = 99.86718750</t>
  </si>
  <si>
    <t>DL input prc = 96.53125000  PX_ASK = 96.55468750 PX_BID = 96.50781250</t>
  </si>
  <si>
    <t>DL input prc = 100.63671875  PX_ASK = 100.67968750 PX_BID = 100.59375000</t>
  </si>
  <si>
    <t>DL input prc = 99.22851563  PX_ASK = 99.24218750 PX_BID = 99.21484375</t>
  </si>
  <si>
    <t>DL input prc = 99.71484375  PX_ASK = 99.75000000 PX_BID = 99.67968750</t>
  </si>
  <si>
    <t>DL input prc = 98.85937500  PX_ASK = 98.87500000 PX_BID = 98.84375000</t>
  </si>
  <si>
    <t>DL input prc = 98.91015625  PX_ASK = 98.92187500 PX_BID = 98.89843750</t>
  </si>
  <si>
    <t>DL input prc = 98.92187500  PX_ASK = 98.93359375 PX_BID = 98.91015625</t>
  </si>
  <si>
    <t>DL input prc = 98.56640625  PX_ASK = 98.57812500 PX_BID = 98.55468750</t>
  </si>
  <si>
    <t>DL input prc = 98.59960938  PX_ASK = 98.61328125 PX_BID = 98.58593750</t>
  </si>
  <si>
    <t>DL input prc = 99.04296875  PX_ASK = 99.07031250 PX_BID = 99.01562500</t>
  </si>
  <si>
    <t>DL input prc = 99.72070313  PX_ASK = 99.73046875 PX_BID = 99.71093750</t>
  </si>
  <si>
    <t>DL input prc = 92.65625000  PX_ASK = 92.67968750 PX_BID = 92.63281250</t>
  </si>
  <si>
    <t>DL input prc = 99.44531250  PX_ASK = 99.46093750 PX_BID = 99.42968750</t>
  </si>
  <si>
    <t>DL input prc = 99.26562500  PX_ASK = 99.28125000 PX_BID = 99.25000000</t>
  </si>
  <si>
    <t>DL input prc = 99.29687500  PX_ASK = 99.31250000 PX_BID = 99.28125000</t>
  </si>
  <si>
    <t>DL input prc = 99.33203125  PX_ASK = 99.34375000 PX_BID = 99.32031250</t>
  </si>
  <si>
    <t>DL input prc = 99.05078125  PX_ASK = 99.07031250 PX_BID = 99.03125000</t>
  </si>
  <si>
    <t>DL input prc = 99.14453125  PX_ASK = 99.15625000 PX_BID = 99.13281250</t>
  </si>
  <si>
    <t>DL input prc = 92.46484375  PX_ASK = 92.49218750 PX_BID = 92.43750000</t>
  </si>
  <si>
    <t>DL input prc = 98.97656250  PX_ASK = 98.99218750 PX_BID = 98.96093750</t>
  </si>
  <si>
    <t>DL input prc = 98.86328125  PX_ASK = 98.87890625 PX_BID = 98.84765625</t>
  </si>
  <si>
    <t>DL input prc = 95.02734375  PX_ASK = 95.05468750 PX_BID = 95.00000000</t>
  </si>
  <si>
    <t>DL input prc = 98.51171875  PX_ASK = 98.52343750 PX_BID = 98.50000000</t>
  </si>
  <si>
    <t>DL input prc = 91.05468750  PX_ASK = 91.07812500 PX_BID = 91.03125000</t>
  </si>
  <si>
    <t>DL input prc = 98.06054688  PX_ASK = 98.07421875 PX_BID = 98.04687500</t>
  </si>
  <si>
    <t>DL input prc = 97.43750000  PX_ASK = 97.44921875 PX_BID = 97.42578125</t>
  </si>
  <si>
    <t>DL input prc = 97.02929688  PX_ASK = 97.04296875 PX_BID = 97.01562500</t>
  </si>
  <si>
    <t>DL input prc = 87.28515625  PX_ASK = 87.30468750 PX_BID = 87.26562500</t>
  </si>
  <si>
    <t>DL input prc = 96.72656250  PX_ASK = 96.73828125 PX_BID = 96.71484375</t>
  </si>
  <si>
    <t>DL input prc = 96.44335938  PX_ASK = 96.45703125 PX_BID = 96.42968750</t>
  </si>
  <si>
    <t>DL input prc = 94.48437500  PX_ASK = 94.50781250 PX_BID = 94.46093750</t>
  </si>
  <si>
    <t>DL input prc = 95.98632813  PX_ASK = 96.00000000 PX_BID = 95.97265625</t>
  </si>
  <si>
    <t>DL input prc = 86.50781250  PX_ASK = 86.53125000 PX_BID = 86.48437500</t>
  </si>
  <si>
    <t>DL input prc = 95.84960938  PX_ASK = 95.86328125 PX_BID = 95.83593750</t>
  </si>
  <si>
    <t>DL input prc = 95.40625000  PX_ASK = 95.41796875 PX_BID = 95.39453125</t>
  </si>
  <si>
    <t>DL input prc = 95.25976563  PX_ASK = 95.26953125 PX_BID = 95.25000000</t>
  </si>
  <si>
    <t>DL input prc = 86.74609375  PX_ASK = 86.77343750 PX_BID = 86.71875000</t>
  </si>
  <si>
    <t>DL input prc = 95.15234375  PX_ASK = 95.16406250 PX_BID = 95.14062500</t>
  </si>
  <si>
    <t>DL input prc = 94.86718750  PX_ASK = 94.87890625 PX_BID = 94.85546875</t>
  </si>
  <si>
    <t>DL input prc = 93.67578125  PX_ASK = 93.70312500 PX_BID = 93.64843750</t>
  </si>
  <si>
    <t>DL input prc = 93.34375000  PX_ASK = 93.36718750 PX_BID = 93.32031250</t>
  </si>
  <si>
    <t>DL input prc = 94.78125000  PX_ASK = 94.78906250 PX_BID = 94.77343750</t>
  </si>
  <si>
    <t>DL input prc = 87.15234375  PX_ASK = 87.17187500 PX_BID = 87.13281250</t>
  </si>
  <si>
    <t>DL input prc = 95.13085938  PX_ASK = 95.14062500 PX_BID = 95.12109375</t>
  </si>
  <si>
    <t>DL input prc = 94.91015625  PX_ASK = 94.92187500 PX_BID = 94.89843750</t>
  </si>
  <si>
    <t>DL input prc = 88.61328125  PX_ASK = 88.63281250 PX_BID = 88.59375000</t>
  </si>
  <si>
    <t>DL input prc = 94.68945313  PX_ASK = 94.69921875 PX_BID = 94.67968750</t>
  </si>
  <si>
    <t>DL input prc = 94.47656250  PX_ASK = 94.49218750 PX_BID = 94.46093750</t>
  </si>
  <si>
    <t>DL input prc = 99.74609375  PX_ASK = 99.75781250 PX_BID = 99.73437500</t>
  </si>
  <si>
    <t>DL input prc = 99.79101563  PX_ASK = 99.80078125 PX_BID = 99.78125000</t>
  </si>
  <si>
    <t>DL input prc = 99.80664063  PX_ASK = 99.81640625 PX_BID = 99.79687500</t>
  </si>
  <si>
    <t>DL input prc = 92.74609375  PX_ASK = 92.77343750 PX_BID = 92.71875000</t>
  </si>
  <si>
    <t>DL input prc = 99.53515625  PX_ASK = 99.54687500 PX_BID = 99.52343750</t>
  </si>
  <si>
    <t>DL input prc = 93.73828125  PX_ASK = 93.75000000 PX_BID = 93.72656250</t>
  </si>
  <si>
    <t>DL input prc = 86.29687500  PX_ASK = 86.32031250 PX_BID = 86.27343750</t>
  </si>
  <si>
    <t>DL input prc = 93.75781250  PX_ASK = 93.77343750 PX_BID = 93.74218750</t>
  </si>
  <si>
    <t>DL input prc = 99.29492188  PX_ASK = 99.30468750 PX_BID = 99.28515625</t>
  </si>
  <si>
    <t>DL input prc = 93.78906250  PX_ASK = 93.80468750 PX_BID = 93.77343750</t>
  </si>
  <si>
    <t>DL input prc = 99.09765625  PX_ASK = 99.10937500 PX_BID = 99.08593750</t>
  </si>
  <si>
    <t>DL input prc = 100.25781250  PX_ASK = 100.29687500 PX_BID = 100.21875000</t>
  </si>
  <si>
    <t>DL input prc = 98.93945313  PX_ASK = 98.94921875 PX_BID = 98.92968750</t>
  </si>
  <si>
    <t>DL input prc = 86.21875000  PX_ASK = 86.24218750 PX_BID = 86.19531250</t>
  </si>
  <si>
    <t>DL input prc = 98.79492188  PX_ASK = 98.80859375 PX_BID = 98.78125000</t>
  </si>
  <si>
    <t>DL input prc = 93.93750000  PX_ASK = 93.95312500 PX_BID = 93.92187500</t>
  </si>
  <si>
    <t>DL input prc = 93.44531250  PX_ASK = 93.46093750 PX_BID = 93.42968750</t>
  </si>
  <si>
    <t>DL input prc = 98.58789063  PX_ASK = 98.59765625 PX_BID = 98.57812500</t>
  </si>
  <si>
    <t>DL input prc = 94.15234375  PX_ASK = 94.17187500 PX_BID = 94.13281250</t>
  </si>
  <si>
    <t>DL input prc = 91.44140625  PX_ASK = 91.46875000 PX_BID = 91.41406250</t>
  </si>
  <si>
    <t>DL input prc = 88.07812500  PX_ASK = 88.10156250 PX_BID = 88.05468750</t>
  </si>
  <si>
    <t>DL input prc = 94.30078125  PX_ASK = 94.32031250 PX_BID = 94.28125000</t>
  </si>
  <si>
    <t>DL input prc = 98.59179688  PX_ASK = 98.60156250 PX_BID = 98.58203125</t>
  </si>
  <si>
    <t>DL input prc = 95.44531250  PX_ASK = 95.46093750 PX_BID = 95.42968750</t>
  </si>
  <si>
    <t>DL input prc = 98.93359375  PX_ASK = 98.94531250 PX_BID = 98.92187500</t>
  </si>
  <si>
    <t>DL input prc = 99.11718750  PX_ASK = 99.14843750 PX_BID = 99.08593750</t>
  </si>
  <si>
    <t>DL input prc = 96.66796875  PX_ASK = 96.68750000 PX_BID = 96.64843750</t>
  </si>
  <si>
    <t>DL input prc = 99.00195313  PX_ASK = 99.01171875 PX_BID = 98.99218750</t>
  </si>
  <si>
    <t>DL input prc = 92.75781250  PX_ASK = 92.78125000 PX_BID = 92.73437500</t>
  </si>
  <si>
    <t>DL input prc = 96.22656250  PX_ASK = 96.24218750 PX_BID = 96.21093750</t>
  </si>
  <si>
    <t>DL input prc = 98.76562500  PX_ASK = 98.77734375 PX_BID = 98.75390625</t>
  </si>
  <si>
    <t>DL input prc = 97.57812500  PX_ASK = 97.59375000 PX_BID = 97.56250000</t>
  </si>
  <si>
    <t>DL input prc = 97.53515625  PX_ASK = 97.55468750 PX_BID = 97.51562500</t>
  </si>
  <si>
    <t>DL input prc = 99.22656250  PX_ASK = 99.24218750 PX_BID = 99.21093750</t>
  </si>
  <si>
    <t>DL input prc = 98.63671875  PX_ASK = 98.64843750 PX_BID = 98.62500000</t>
  </si>
  <si>
    <t>DL input prc = 98.63867188  PX_ASK = 98.64843750 PX_BID = 98.62890625</t>
  </si>
  <si>
    <t>DL input prc = 91.71093750  PX_ASK = 91.73437500 PX_BID = 91.68750000</t>
  </si>
  <si>
    <t>DL input prc = 98.99023438  PX_ASK = 99.00000000 PX_BID = 98.98046875</t>
  </si>
  <si>
    <t>DL input prc = 96.98437500  PX_ASK = 97.00000000 PX_BID = 96.96875000</t>
  </si>
  <si>
    <t>DL input prc = 99.22265625  PX_ASK = 99.24218750 PX_BID = 99.20312500</t>
  </si>
  <si>
    <t>DL input prc = 100.16796875  PX_ASK = 100.17968750 PX_BID = 100.15625000</t>
  </si>
  <si>
    <t>DL input prc = 100.83984375  PX_ASK = 100.86718750 PX_BID = 100.81250000</t>
  </si>
  <si>
    <t>DL input prc = 99.35937500  PX_ASK = 99.37500000 PX_BID = 99.34375000</t>
  </si>
  <si>
    <t>DL input prc = 99.57812500  PX_ASK = 99.60156250 PX_BID = 99.55468750</t>
  </si>
  <si>
    <t>DL input prc = 100.12109375  PX_ASK = 100.13281250 PX_BID = 100.10937500</t>
  </si>
  <si>
    <t>DL input prc = 100.19921875  PX_ASK = 100.21093750 PX_BID = 100.18750000</t>
  </si>
  <si>
    <t>DL input prc = 100.15039063  PX_ASK = 100.16015625 PX_BID = 100.14062500</t>
  </si>
  <si>
    <t>DL input prc = 99.16796875  PX_ASK = 99.18750000 PX_BID = 99.14843750</t>
  </si>
  <si>
    <t>DL input prc = 99.53125000  PX_ASK = 99.54687500 PX_BID = 99.51562500</t>
  </si>
  <si>
    <t>DL input prc = 99.11718750  PX_ASK = 99.13281250 PX_BID = 99.10156250</t>
  </si>
  <si>
    <t>DL input prc = 99.75781250  PX_ASK = 99.76562500 PX_BID = 99.75000000</t>
  </si>
  <si>
    <t>DL input prc = 99.14257813  PX_ASK = 99.14843750 PX_BID = 99.13671875</t>
  </si>
  <si>
    <t>DL input prc = 97.82031250  PX_ASK = 97.83593750 PX_BID = 97.80468750</t>
  </si>
  <si>
    <t>DL input prc = 95.61718750  PX_ASK = 95.64843750 PX_BID = 95.58593750</t>
  </si>
  <si>
    <t>DL input prc = 95.28906250  PX_ASK = 95.30468750 PX_BID = 95.27343750</t>
  </si>
  <si>
    <t>DL input prc = 99.93164063  PX_ASK = 99.94140625 PX_BID = 99.92187500</t>
  </si>
  <si>
    <t>DL input prc = 99.50390625  PX_ASK = 99.51562500 PX_BID = 99.49218750</t>
  </si>
  <si>
    <t>DL input prc = 98.15234375  PX_ASK = 98.17187500 PX_BID = 98.13281250</t>
  </si>
  <si>
    <t>DL input prc = 99.18164063  PX_ASK = 99.19140625 PX_BID = 99.17187500</t>
  </si>
  <si>
    <t>DL input prc = 99.25390625  PX_ASK = 99.26171875 PX_BID = 99.24609375</t>
  </si>
  <si>
    <t>DL input prc = 99.29882813  PX_ASK = 99.30468750 PX_BID = 99.29296875</t>
  </si>
  <si>
    <t>DL input prc = 99.26171875  PX_ASK = 99.26953125 PX_BID = 99.25390625</t>
  </si>
  <si>
    <t>DL input prc = 99.68750000  PX_ASK = 99.71875000 PX_BID = 99.65625000</t>
  </si>
  <si>
    <t>DL input prc = 97.66406250  PX_ASK = 97.68750000 PX_BID = 97.64062500</t>
  </si>
  <si>
    <t>DL input prc = 98.99609375  PX_ASK = 99.00390625 PX_BID = 98.98828125</t>
  </si>
  <si>
    <t>DL input prc = 98.21484375  PX_ASK = 98.23437500 PX_BID = 98.19531250</t>
  </si>
  <si>
    <t>DL input prc = 98.53125000  PX_ASK = 98.54687500 PX_BID = 98.51562500</t>
  </si>
  <si>
    <t>DL input prc = 100.01367188  PX_ASK = 100.02734375 PX_BID = 100.00000000</t>
  </si>
  <si>
    <t>DL input prc = 98.47656250  PX_ASK = 98.49218750 PX_BID = 98.46093750</t>
  </si>
  <si>
    <t>DL input prc = 99.82031250  PX_ASK = 99.83593750 PX_BID = 99.80468750</t>
  </si>
  <si>
    <t>DL input prc = 99.96093750  PX_ASK = 99.97656250 PX_BID = 99.94531250</t>
  </si>
  <si>
    <t>DL input prc = 99.88281250  PX_ASK = 99.89843750 PX_BID = 99.86718750</t>
  </si>
  <si>
    <t>DL input prc = 100.09179688  PX_ASK = 100.10156250 PX_BID = 100.08203125</t>
  </si>
  <si>
    <t>DL input prc = 96.98437500  PX_ASK = 97.01562500 PX_BID = 96.95312500</t>
  </si>
  <si>
    <t>DL input prc = 100.05468750  PX_ASK = 100.07031250 PX_BID = 100.03906250</t>
  </si>
  <si>
    <t>DL input prc = 99.38671875  PX_ASK = 99.40625000 PX_BID = 99.36718750</t>
  </si>
  <si>
    <t>DL input prc = 97.13281250  PX_ASK = 97.14843750 PX_BID = 97.11718750</t>
  </si>
  <si>
    <t>DL input prc = 100.10546875  PX_ASK = 100.11718750 PX_BID = 100.09375000</t>
  </si>
  <si>
    <t>DL input prc = 99.70312500  PX_ASK = 99.71875000 PX_BID = 99.68750000</t>
  </si>
  <si>
    <t>DL input prc = 100.69921875  PX_ASK = 100.71093750 PX_BID = 100.68750000</t>
  </si>
  <si>
    <t>DL input prc = 100.63281250  PX_ASK = 100.64843750 PX_BID = 100.61718750</t>
  </si>
  <si>
    <t>DL input prc = 100.24414063  PX_ASK = 100.26171875 PX_BID = 100.22656250</t>
  </si>
  <si>
    <t>DL input prc = 101.77734375  PX_ASK = 101.79687500 PX_BID = 101.75781250</t>
  </si>
  <si>
    <t>DL input prc = 101.19921875  PX_ASK = 101.21093750 PX_BID = 101.18750000</t>
  </si>
  <si>
    <t>DL input prc = 100.31054688  PX_ASK = 100.32421875 PX_BID = 100.29687500</t>
  </si>
  <si>
    <t>DL input prc = 101.88281250  PX_ASK = 101.89843750 PX_BID = 101.86718750</t>
  </si>
  <si>
    <t>DL input prc = 101.78515625  PX_ASK = 101.79687500 PX_BID = 101.77343750</t>
  </si>
  <si>
    <t>DL input prc = 102.79296875  PX_ASK = 102.81250000 PX_BID = 102.77343750</t>
  </si>
  <si>
    <t>DL input prc = 102.51953125  PX_ASK = 102.54687500 PX_BID = 102.49218750</t>
  </si>
  <si>
    <t>DL input prc = 100.90625000  PX_ASK = 100.92187500 PX_BID = 100.89062500</t>
  </si>
  <si>
    <t>DL input prc = 100.37890625  PX_ASK = 100.39062500 PX_BID = 100.36718750</t>
  </si>
  <si>
    <t>DL input prc = 100.37500000  PX_ASK = 100.38671875 PX_BID = 100.36328125</t>
  </si>
  <si>
    <t>DL input prc = 100.80078125  PX_ASK = 100.82031250 PX_BID = 100.78125000</t>
  </si>
  <si>
    <t>DL input prc = 100.76953125  PX_ASK = 100.78125000 PX_BID = 100.75781250</t>
  </si>
  <si>
    <t>DL input prc = 100.67578125  PX_ASK = 100.68750000 PX_BID = 100.66406250</t>
  </si>
  <si>
    <t>DL input prc = 100.33984375  PX_ASK = 100.35156250 PX_BID = 100.32812500</t>
  </si>
  <si>
    <t>DL input prc = 98.10546875  PX_ASK = 98.12500000 PX_BID = 98.08593750</t>
  </si>
  <si>
    <t>DL input prc = 99.00390625  PX_ASK = 99.01562500 PX_BID = 98.99218750</t>
  </si>
  <si>
    <t>DL input prc = 99.16406250  PX_ASK = 99.17968750 PX_BID = 99.14843750</t>
  </si>
  <si>
    <t>DL input prc = 100.13476563  PX_ASK = 100.15234375 PX_BID = 100.11718750</t>
  </si>
  <si>
    <t>DL input prc = 98.71875000  PX_ASK = 98.74218750 PX_BID = 98.69531250</t>
  </si>
  <si>
    <t>DL input prc = 98.05859375  PX_ASK = 98.07031250 PX_BID = 98.04687500</t>
  </si>
  <si>
    <t>DL input prc = 100.19726563  PX_ASK = 100.21093750 PX_BID = 100.18359375</t>
  </si>
  <si>
    <t>DL input prc = 100.33203125  PX_ASK = 100.34375000 PX_BID = 100.32031250</t>
  </si>
  <si>
    <t>DL input prc = 99.96484375  PX_ASK = 99.97656250 PX_BID = 99.95312500</t>
  </si>
  <si>
    <t>DL input prc = 100.53125000  PX_ASK = 100.54296875 PX_BID = 100.51953125</t>
  </si>
  <si>
    <t>DL input prc = 101.65234375  PX_ASK = 101.67968750 PX_BID = 101.62500000</t>
  </si>
  <si>
    <t>DL input prc = 101.89062500  PX_ASK = 101.90625000 PX_BID = 101.87500000</t>
  </si>
  <si>
    <t>DL input prc = 101.40625000  PX_ASK = 101.42187500 PX_BID = 101.39062500</t>
  </si>
  <si>
    <t>DL input prc = 99.94531250  PX_ASK = 99.96875000 PX_BID = 99.92187500</t>
  </si>
  <si>
    <t>DL input prc = 100.54492188  PX_ASK = 100.55468750 PX_BID = 100.53515625</t>
  </si>
  <si>
    <t>DL input prc = 101.07812500  PX_ASK = 101.09375000 PX_BID = 101.06250000</t>
  </si>
  <si>
    <t>DL input prc = 100.22656250  PX_ASK = 100.24218750 PX_BID = 100.21093750</t>
  </si>
  <si>
    <t>DL input prc = 100.38281250  PX_ASK = 100.39843750 PX_BID = 100.36718750</t>
  </si>
  <si>
    <t>DL input prc = 100.06250000  PX_ASK = 100.07421875 PX_BID = 100.05078125</t>
  </si>
  <si>
    <t>DL input prc = 100.47070313  PX_ASK = 100.48046875 PX_BID = 100.46093750</t>
  </si>
  <si>
    <t>DL input prc = 100.10351563  PX_ASK = 100.11328125 PX_BID = 100.09375000</t>
  </si>
  <si>
    <t>DL input prc = 99.64843750  PX_ASK = 99.66406250 PX_BID = 99.63281250</t>
  </si>
  <si>
    <t>DL input prc = 99.50781250  PX_ASK = 99.52343750 PX_BID = 99.49218750</t>
  </si>
  <si>
    <t>DL input prc = 99.62890625  PX_ASK = 99.64062500 PX_BID = 99.61718750</t>
  </si>
  <si>
    <t>DL input prc = 99.61328125  PX_ASK = 99.64062500 PX_BID = 99.58593750</t>
  </si>
  <si>
    <t>DL input prc = 96.43750000  PX_ASK = 96.45312500 PX_BID = 96.42187500</t>
  </si>
  <si>
    <t>DL input prc = 99.74804688  PX_ASK = 99.75781250 PX_BID = 99.73828125</t>
  </si>
  <si>
    <t>DL input prc = 99.99804688  PX_ASK = 100.00781250 PX_BID = 99.98828125</t>
  </si>
  <si>
    <t>DL input prc = 98.49218750  PX_ASK = 98.50781250 PX_BID = 98.47656250</t>
  </si>
  <si>
    <t>DL input prc = 97.20312500  PX_ASK = 97.21875000 PX_BID = 97.18750000</t>
  </si>
  <si>
    <t>DL input prc = 99.91796875  PX_ASK = 99.92968750 PX_BID = 99.90625000</t>
  </si>
  <si>
    <t>DL input prc = 99.83398438  PX_ASK = 99.84375000 PX_BID = 99.82421875</t>
  </si>
  <si>
    <t>DL input prc = 100.58203125  PX_ASK = 100.60156250 PX_BID = 100.56250000</t>
  </si>
  <si>
    <t>DL input prc = 100.14648438  PX_ASK = 100.15625000 PX_BID = 100.13671875</t>
  </si>
  <si>
    <t>DL input prc = 100.23242188  PX_ASK = 100.24218750 PX_BID = 100.22265625</t>
  </si>
  <si>
    <t>DL input prc = 99.38281250  PX_ASK = 99.39843750 PX_BID = 99.36718750</t>
  </si>
  <si>
    <t>DL input prc = 99.96875000  PX_ASK = 99.97656250 PX_BID = 99.96093750</t>
  </si>
  <si>
    <t>DL input prc = 101.30468750  PX_ASK = 101.32031250 PX_BID = 101.28906250</t>
  </si>
  <si>
    <t>DL input prc = 100.25195313  PX_ASK = 100.26171875 PX_BID = 100.24218750</t>
  </si>
  <si>
    <t>DL input prc = 100.31640625  PX_ASK = 100.32421875 PX_BID = 100.30859375</t>
  </si>
  <si>
    <t>DL input prc = 100.34375000  PX_ASK = 100.35156250 PX_BID = 100.33593750</t>
  </si>
  <si>
    <t>DL input prc = 100.20312500  PX_ASK = 100.21484375 PX_BID = 100.19140625</t>
  </si>
  <si>
    <t>DL input prc = 100.66015625  PX_ASK = 100.67187500 PX_BID = 100.64843750</t>
  </si>
  <si>
    <t>DL input prc = 100.84375000  PX_ASK = 100.86718750 PX_BID = 100.82031250</t>
  </si>
  <si>
    <t>DL input prc = 101.42968750  PX_ASK = 101.45312500 PX_BID = 101.40625000</t>
  </si>
  <si>
    <t>DL input prc = 100.33593750  PX_ASK = 100.34375000 PX_BID = 100.32812500</t>
  </si>
  <si>
    <t>DL input prc = 99.71093750  PX_ASK = 99.71875000 PX_BID = 99.70312500</t>
  </si>
  <si>
    <t>DL input prc = 99.37500000  PX_ASK = 99.38281250 PX_BID = 99.36718750</t>
  </si>
  <si>
    <t>DL input prc = 99.47656250  PX_ASK = 99.49218750 PX_BID = 99.46093750</t>
  </si>
  <si>
    <t>DL input prc = 100.02148438  PX_ASK = 100.03515625 PX_BID = 100.00781250</t>
  </si>
  <si>
    <t>DL input prc = 99.46484375  PX_ASK = 99.47265625 PX_BID = 99.45703125</t>
  </si>
  <si>
    <t>DL input prc = 99.88085938  PX_ASK = 99.89062500 PX_BID = 99.87109375</t>
  </si>
  <si>
    <t>DL input prc = 98.67187500  PX_ASK = 98.68750000 PX_BID = 98.65625000</t>
  </si>
  <si>
    <t>DL input prc = 100.02734375  PX_ASK = 100.05468750 PX_BID = 100.00000000</t>
  </si>
  <si>
    <t>DL input prc = 97.25390625  PX_ASK = 97.26562500 PX_BID = 97.24218750</t>
  </si>
  <si>
    <t>DL input prc = 99.42968750  PX_ASK = 99.43750000 PX_BID = 99.42187500</t>
  </si>
  <si>
    <t>DL input prc = 99.42773438  PX_ASK = 99.43359375 PX_BID = 99.42187500</t>
  </si>
  <si>
    <t>DL input prc = 99.64453125  PX_ASK = 99.65234375 PX_BID = 99.63671875</t>
  </si>
  <si>
    <t>DL input prc = 99.81445313  PX_ASK = 99.82421875 PX_BID = 99.80468750</t>
  </si>
  <si>
    <t>DL input prc = 99.60156250  PX_ASK = 99.60937500 PX_BID = 99.59375000</t>
  </si>
  <si>
    <t>DL input prc = 99.60937500  PX_ASK = 99.61718750 PX_BID = 99.60156250</t>
  </si>
  <si>
    <t>DL input prc = 98.63281250  PX_ASK = 98.64062500 PX_BID = 98.62500000</t>
  </si>
  <si>
    <t>DL input prc = 99.90039063  PX_ASK = 99.91015625 PX_BID = 99.89062500</t>
  </si>
  <si>
    <t>DL input prc = 98.50390625  PX_ASK = 98.51562500 PX_BID = 98.49218750</t>
  </si>
  <si>
    <t>DL input prc = 98.82812500  PX_ASK = 98.85156250 PX_BID = 98.80468750</t>
  </si>
  <si>
    <t>DL input prc = 97.71093750  PX_ASK = 97.71875000 PX_BID = 97.70312500</t>
  </si>
  <si>
    <t>DL input prc = 98.49218750  PX_ASK = 98.50000000 PX_BID = 98.48437500</t>
  </si>
  <si>
    <t>DL input prc = 99.07421875  PX_ASK = 99.08593750 PX_BID = 99.06250000</t>
  </si>
  <si>
    <t>DL input prc = 99.57617188  PX_ASK = 99.58203125 PX_BID = 99.57031250</t>
  </si>
  <si>
    <t>DL input prc = 97.78125000  PX_ASK = 97.79687500 PX_BID = 97.76562500</t>
  </si>
  <si>
    <t>DL input prc = 97.89453125  PX_ASK = 97.90625000 PX_BID = 97.88281250</t>
  </si>
  <si>
    <t>DL input prc = 98.48437500  PX_ASK = 98.49218750 PX_BID = 98.47656250</t>
  </si>
  <si>
    <t>DL input prc = 98.48046875  PX_ASK = 98.49218750 PX_BID = 98.46875000</t>
  </si>
  <si>
    <t>DL input prc = 97.72656250  PX_ASK = 97.74218750 PX_BID = 97.71093750</t>
  </si>
  <si>
    <t>DL input prc = 97.87109375  PX_ASK = 97.88281250 PX_BID = 97.85937500</t>
  </si>
  <si>
    <t>DL input prc = 98.69531250  PX_ASK = 98.70312500 PX_BID = 98.68750000</t>
  </si>
  <si>
    <t>DL input prc = 97.80078125  PX_ASK = 97.81250000 PX_BID = 97.78906250</t>
  </si>
  <si>
    <t>DL input prc = 96.96484375  PX_ASK = 96.97656250 PX_BID = 96.95312500</t>
  </si>
  <si>
    <t>DL input prc = 98.23046875  PX_ASK = 98.25000000 PX_BID = 98.21093750</t>
  </si>
  <si>
    <t>DL input prc = 96.46093750  PX_ASK = 96.46875000 PX_BID = 96.45312500</t>
  </si>
  <si>
    <t>DL input prc = 99.08007813  PX_ASK = 99.08593750 PX_BID = 99.07421875</t>
  </si>
  <si>
    <t>DL input prc = 96.91015625  PX_ASK = 96.92187500 PX_BID = 96.89843750</t>
  </si>
  <si>
    <t>DL input prc = 98.60156250  PX_ASK = 98.60937500 PX_BID = 98.59375000</t>
  </si>
  <si>
    <t>DL input prc = 99.00585938  PX_ASK = 99.01171875 PX_BID = 99.00000000</t>
  </si>
  <si>
    <t>DL input prc = 98.18750000  PX_ASK = 98.19531250 PX_BID = 98.17968750</t>
  </si>
  <si>
    <t>DL input prc = 98.20703125  PX_ASK = 98.21875000 PX_BID = 98.19531250</t>
  </si>
  <si>
    <t>DL input prc = 97.28906250  PX_ASK = 97.29687500 PX_BID = 97.28125000</t>
  </si>
  <si>
    <t>DL input prc = 98.90625000  PX_ASK = 98.91015625 PX_BID = 98.90234375</t>
  </si>
  <si>
    <t>DL input prc = 96.73046875  PX_ASK = 96.74218750 PX_BID = 96.71875000</t>
  </si>
  <si>
    <t>DL input prc = 97.10937500  PX_ASK = 97.11718750 PX_BID = 97.10156250</t>
  </si>
  <si>
    <t>DL input prc = 98.44531250  PX_ASK = 98.45312500 PX_BID = 98.43750000</t>
  </si>
  <si>
    <t>DL input prc = 98.64843750  PX_ASK = 98.65625000 PX_BID = 98.64062500</t>
  </si>
  <si>
    <t>DL input prc = 99.69531250  PX_ASK = 99.69921875 PX_BID = 99.69140625</t>
  </si>
  <si>
    <t>DL input prc = 99.39453125  PX_ASK = 99.39843750 PX_BID = 99.39062500</t>
  </si>
  <si>
    <t>DL input prc = 98.80468750  PX_ASK = 98.81250000 PX_BID = 98.79687500</t>
  </si>
  <si>
    <t>DL input prc = 99.44921875  PX_ASK = 99.45312500 PX_BID = 99.44531250</t>
  </si>
  <si>
    <t>DL input prc = 97.98046875  PX_ASK = 98.00000000 PX_BID = 97.96093750</t>
  </si>
  <si>
    <t>DL input prc = 99.19531250  PX_ASK = 99.20312500 PX_BID = 99.18750000</t>
  </si>
  <si>
    <t>DL input prc = 99.37890625  PX_ASK = 99.38281250 PX_BID = 99.37500000</t>
  </si>
  <si>
    <t>91282CQS3</t>
  </si>
  <si>
    <t>DL input prc = 99.90820313  PX_ASK = 99.91015625 PX_BID = 99.90625000</t>
  </si>
  <si>
    <t>91282CQT1</t>
  </si>
  <si>
    <t>DL input prc = 99.53515625  PX_ASK = 99.53906250 PX_BID = 99.53125000</t>
  </si>
  <si>
    <t>91282CQU8</t>
  </si>
  <si>
    <t>DL input prc = 99.72265625  PX_ASK = 99.72656250 PX_BID = 99.71875000</t>
  </si>
  <si>
    <t>DL input prc = 80.37883196  PX_ASK = 80.48107503 PX_BID = 80.27658889</t>
  </si>
  <si>
    <t>DL input prc = 78.55579984  PX_ASK = 78.65874947 PX_BID = 78.45285021</t>
  </si>
  <si>
    <t>DL input prc = 76.80875797  PX_ASK = 76.91591289 PX_BID = 76.70160304</t>
  </si>
  <si>
    <t>DL input prc = 74.98642534  PX_ASK = 75.10191394 PX_BID = 74.87093673</t>
  </si>
  <si>
    <t>DL input prc = 73.18018857  PX_ASK = 73.28582751 PX_BID = 73.07454963</t>
  </si>
  <si>
    <t>DL input prc = 71.38618448  PX_ASK = 71.49368387 PX_BID = 71.27868509</t>
  </si>
  <si>
    <t>DL input prc = 69.66657209  PX_ASK = 69.78386616 PX_BID = 69.54927802</t>
  </si>
  <si>
    <t>DL input prc = 67.91867508  PX_ASK = 68.04286696 PX_BID = 67.79448319</t>
  </si>
  <si>
    <t>DL input prc = 66.22779482  PX_ASK = 66.35583705 PX_BID = 66.09975258</t>
  </si>
  <si>
    <t>DL input prc = 64.53067910  PX_ASK = 64.66525801 PX_BID = 64.39610019</t>
  </si>
  <si>
    <t>DL input prc = 61.07716276  PX_ASK = 61.22399563 PX_BID = 60.93032988</t>
  </si>
  <si>
    <t>DL input prc = 79.46452364  PX_ASK = 79.57039435 PX_BID = 79.35865293</t>
  </si>
  <si>
    <t>DL input prc = 77.71821648  PX_ASK = 77.82221822 PX_BID = 77.61421473</t>
  </si>
  <si>
    <t>DL input prc = 75.92907486  PX_ASK = 76.02484733 PX_BID = 75.83330238</t>
  </si>
  <si>
    <t>DL input prc = 74.07412336  PX_ASK = 74.18233193 PX_BID = 73.96591478</t>
  </si>
  <si>
    <t>DL input prc = 72.27690904  PX_ASK = 72.39796859 PX_BID = 72.15584948</t>
  </si>
  <si>
    <t>DL input prc = 70.53371872  PX_ASK = 70.64607257 PX_BID = 70.42136487</t>
  </si>
  <si>
    <t>DL input prc = 68.78452386  PX_ASK = 68.91232719 PX_BID = 68.65672053</t>
  </si>
  <si>
    <t>DL input prc = 67.06844697  PX_ASK = 67.19162059 PX_BID = 66.94527335</t>
  </si>
  <si>
    <t>DL input prc = 65.34840460  PX_ASK = 65.47812151 PX_BID = 65.21868769</t>
  </si>
  <si>
    <t>DL input prc = 63.65413668  PX_ASK = 63.79643616 PX_BID = 63.51183720</t>
  </si>
  <si>
    <t>DL input prc = 61.92988130  PX_ASK = 62.06577423 PX_BID = 61.79398837</t>
  </si>
  <si>
    <t>DL input prc = 60.24758472  PX_ASK = 60.38608676 PX_BID = 60.10908267</t>
  </si>
  <si>
    <t>DL input prc = 59.38599100  PX_ASK = 59.52890242 PX_BID = 59.24307957</t>
  </si>
  <si>
    <t>DL input prc = 57.69602265  PX_ASK = 57.84762436 PX_BID = 57.54442093</t>
  </si>
  <si>
    <t>DL input prc = 58.51116640  PX_ASK = 58.65505533 PX_BID = 58.36727746</t>
  </si>
  <si>
    <t>DL input prc = 56.85096942  PX_ASK = 56.99685169 PX_BID = 56.70508714</t>
  </si>
  <si>
    <t>DL input prc = 56.05408225  PX_ASK = 56.20763224 PX_BID = 55.90053225</t>
  </si>
  <si>
    <t>DL input prc = 54.45521561  PX_ASK = 54.59696914 PX_BID = 54.31346208</t>
  </si>
  <si>
    <t>DL input prc = 55.26682789  PX_ASK = 55.41455502 PX_BID = 55.11910075</t>
  </si>
  <si>
    <t>DL input prc = 53.63232829  PX_ASK = 53.77463490 PX_BID = 53.49002167</t>
  </si>
  <si>
    <t>DL input prc = 52.84293597  PX_ASK = 52.99608662 PX_BID = 52.68978532</t>
  </si>
  <si>
    <t>DL input prc = 52.06234137  PX_ASK = 52.20578862 PX_BID = 51.91889412</t>
  </si>
  <si>
    <t>DL input prc = 51.25807289  PX_ASK = 51.40537257 PX_BID = 51.11077320</t>
  </si>
  <si>
    <t>DL input prc = 50.51718828  PX_ASK = 50.66839806 PX_BID = 50.36597850</t>
  </si>
  <si>
    <t>DL input prc = 49.71866806  PX_ASK = 49.85984160 PX_BID = 49.57749451</t>
  </si>
  <si>
    <t>DL input prc = 48.99735038  PX_ASK = 49.14233438 PX_BID = 48.85236637</t>
  </si>
  <si>
    <t>DL input prc = 48.22214786  PX_ASK = 48.36040946 PX_BID = 48.08388625</t>
  </si>
  <si>
    <t>DL input prc = 37.55520498  PX_ASK = 37.71811801 PX_BID = 37.39229195</t>
  </si>
  <si>
    <t>DL input prc = 47.51033252  PX_ASK = 47.66267822 PX_BID = 47.35798681</t>
  </si>
  <si>
    <t>DL input prc = 46.82814744  PX_ASK = 46.98431094 PX_BID = 46.67198394</t>
  </si>
  <si>
    <t>DL input prc = 46.11551061  PX_ASK = 46.25788949 PX_BID = 45.97313173</t>
  </si>
  <si>
    <t>DL input prc = 45.40518492  PX_ASK = 45.53723161 PX_BID = 45.27313823</t>
  </si>
  <si>
    <t>DL input prc = 44.79625326  PX_ASK = 44.94250125 PX_BID = 44.65000526</t>
  </si>
  <si>
    <t>DL input prc = 44.10996553  PX_ASK = 44.24928211 PX_BID = 43.97064895</t>
  </si>
  <si>
    <t>DL input prc = 43.44121707  PX_ASK = 43.59094652 PX_BID = 43.29148762</t>
  </si>
  <si>
    <t>DL input prc = 42.79642415  PX_ASK = 42.95315900 PX_BID = 42.63968929</t>
  </si>
  <si>
    <t>DL input prc = 42.16175963  PX_ASK = 42.31495974 PX_BID = 42.00855951</t>
  </si>
  <si>
    <t>DL input prc = 41.55485347  PX_ASK = 41.70461489 PX_BID = 41.40509204</t>
  </si>
  <si>
    <t>DL input prc = 40.95077085  PX_ASK = 41.10046458 PX_BID = 40.80107712</t>
  </si>
  <si>
    <t>DL input prc = 40.33993429  PX_ASK = 40.49648460 PX_BID = 40.18338398</t>
  </si>
  <si>
    <t>DL input prc = 39.76280841  PX_ASK = 39.91926349 PX_BID = 39.60635332</t>
  </si>
  <si>
    <t>DL input prc = 39.17915156  PX_ASK = 39.33547786 PX_BID = 39.02282526</t>
  </si>
  <si>
    <t>DL input prc = 38.62878309  PX_ASK = 38.78499782 PX_BID = 38.47256835</t>
  </si>
  <si>
    <t>DL input prc = 38.07550307  PX_ASK = 38.21424586 PX_BID = 37.93676028</t>
  </si>
  <si>
    <t>DL input prc = 37.02863804  PX_ASK = 37.18101992 PX_BID = 36.87625615</t>
  </si>
  <si>
    <t>DL input prc = 36.55526498  PX_ASK = 36.71802110 PX_BID = 36.39250886</t>
  </si>
  <si>
    <t>DL input prc = 36.06539306  PX_ASK = 36.20729214 PX_BID = 35.92349397</t>
  </si>
  <si>
    <t>DL input prc = 35.57975214  PX_ASK = 35.71457775 PX_BID = 35.44492652</t>
  </si>
  <si>
    <t>DL input prc = 35.10570282  PX_ASK = 35.25769126 PX_BID = 34.95371437</t>
  </si>
  <si>
    <t>DL input prc = 34.66298611  PX_ASK = 34.82524917 PX_BID = 34.50072304</t>
  </si>
  <si>
    <t>DL input prc = 93.54200000  PX_ASK = 93.58000000 PX_BID = 93.50400000</t>
  </si>
  <si>
    <t>DL input prc = 98.27200000  PX_ASK = 98.30600000 PX_BID = 98.23800000</t>
  </si>
  <si>
    <t>DL input prc = 96.85700000  PX_ASK = 96.88000000 PX_BID = 96.83400000</t>
  </si>
  <si>
    <t>DL input prc = 90.36650000  PX_ASK = 90.38300000 PX_BID = 90.35000000</t>
  </si>
  <si>
    <t>DL input prc = 51.76700000  PX_ASK = 51.79800000 PX_BID = 51.73600000</t>
  </si>
  <si>
    <t>DL input prc = 60.39950000  PX_ASK = 60.43100000 PX_BID = 60.36800000</t>
  </si>
  <si>
    <t>DL input prc = 87.58200000  PX_ASK = 87.60000000 PX_BID = 87.56400000</t>
  </si>
  <si>
    <t>DL input prc = 73.60600000  PX_ASK = 73.63000000 PX_BID = 73.58200000</t>
  </si>
  <si>
    <t>DL input prc = 89.47250000  PX_ASK = 89.48900000 PX_BID = 89.45600000</t>
  </si>
  <si>
    <t>DL input prc = 71.41650000  PX_ASK = 71.45000000 PX_BID = 71.38300000</t>
  </si>
  <si>
    <t>DL input prc = 99.98600000  PX_ASK = 100.01700000 PX_BID = 99.95500000</t>
  </si>
  <si>
    <t>DL input prc = 99.32950000  PX_ASK = 99.35200000 PX_BID = 99.30700000</t>
  </si>
  <si>
    <t>DL input prc = 89.26050000  PX_ASK = 89.33100000 PX_BID = 89.19000000</t>
  </si>
  <si>
    <t>DL input prc = 102.50450000  PX_ASK = 102.52500000 PX_BID = 102.48400000</t>
  </si>
  <si>
    <t>DL input prc = 98.74400000  PX_ASK = 98.76500000 PX_BID = 98.72300000</t>
  </si>
  <si>
    <t>DL input prc = 97.08550000  PX_ASK = 97.14800000 PX_BID = 97.02300000</t>
  </si>
  <si>
    <t>DL input prc = 99.17050000  PX_ASK = 99.18800000 PX_BID = 99.15300000</t>
  </si>
  <si>
    <t>DL input prc = 104.84200000  PX_ASK = 104.85600000 PX_BID = 104.82800000</t>
  </si>
  <si>
    <t>DL input prc = 111.89100000  PX_ASK = 111.91100000 PX_BID = 111.87100000</t>
  </si>
  <si>
    <t>DL input prc = 103.68900000  PX_ASK = 103.73400000 PX_BID = 103.64400000</t>
  </si>
  <si>
    <t>DL input prc = 104.94000000  PX_ASK = 104.95500000 PX_BID = 104.92500000</t>
  </si>
  <si>
    <t>DL input prc = 95.20400000  PX_ASK = 95.24400000 PX_BID = 95.16400000</t>
  </si>
  <si>
    <t>DL input prc = 97.79150000  PX_ASK = 97.80700000 PX_BID = 97.77600000</t>
  </si>
  <si>
    <t>DL input prc = 90.74200000  PX_ASK = 90.75500000 PX_BID = 90.72900000</t>
  </si>
  <si>
    <t>DL input prc = 82.29650000  PX_ASK = 82.33400000 PX_BID = 82.25900000</t>
  </si>
  <si>
    <t>DL input prc = 99.95950000  PX_ASK = 99.97900000 PX_BID = 99.94000000</t>
  </si>
  <si>
    <t>DL input prc = 63.97000000  PX_ASK = 64.02100000 PX_BID = 63.91900000</t>
  </si>
  <si>
    <t>DL input prc = 58.44400000  PX_ASK = 58.49300000 PX_BID = 58.39500000</t>
  </si>
  <si>
    <t>DL input prc = 98.17000000  PX_ASK = 98.18900000 PX_BID = 98.15100000</t>
  </si>
  <si>
    <t>DL input prc = 64.08650000  PX_ASK = 64.14900000 PX_BID = 64.02400000</t>
  </si>
  <si>
    <t>DL input prc = 80.24500000  PX_ASK = 80.28000000 PX_BID = 80.21000000</t>
  </si>
  <si>
    <t>DL input prc = 96.24600000  PX_ASK = 96.25600000 PX_BID = 96.23600000</t>
  </si>
  <si>
    <t>DL input prc = 88.38550000  PX_ASK = 88.40100000 PX_BID = 88.37000000</t>
  </si>
  <si>
    <t>DL input prc = 94.54550000  PX_ASK = 94.55500000 PX_BID = 94.53600000</t>
  </si>
  <si>
    <t>DL input prc = 61.58650000  PX_ASK = 61.64100000 PX_BID = 61.53200000</t>
  </si>
  <si>
    <t>DL input prc = 89.47900000  PX_ASK = 89.49000000 PX_BID = 89.46800000</t>
  </si>
  <si>
    <t>DL input prc = 62.48600000  PX_ASK = 62.52600000 PX_BID = 62.44600000</t>
  </si>
  <si>
    <t>DL input prc = 96.44550000  PX_ASK = 96.46200000 PX_BID = 96.42900000</t>
  </si>
  <si>
    <t>DL input prc = 85.13550000  PX_ASK = 85.14900000 PX_BID = 85.12200000</t>
  </si>
  <si>
    <t>DL input prc = 30.14700000  PX_ASK = 30.18800000 PX_BID = 30.10600000</t>
  </si>
  <si>
    <t>DL input prc = 84.98850000  PX_ASK = 85.00200000 PX_BID = 84.97500000</t>
  </si>
  <si>
    <t>DL input prc = 53.63250000  PX_ASK = 53.68400000 PX_BID = 53.58100000</t>
  </si>
  <si>
    <t>DL input prc = 89.54050000  PX_ASK = 89.57600000 PX_BID = 89.50500000</t>
  </si>
  <si>
    <t>DL input prc = 98.68350000  PX_ASK = 98.69600000 PX_BID = 98.67100000</t>
  </si>
  <si>
    <t>DL input prc = 83.14800000  PX_ASK = 83.17900000 PX_BID = 83.11700000</t>
  </si>
  <si>
    <t>DL input prc = 92.56800000  PX_ASK = 92.60700000 PX_BID = 92.52900000</t>
  </si>
  <si>
    <t>DL input prc = 96.24000000  PX_ASK = 96.25300000 PX_BID = 96.22700000</t>
  </si>
  <si>
    <t>DL input prc = 85.66650000  PX_ASK = 85.69800000 PX_BID = 85.63500000</t>
  </si>
  <si>
    <t>DL input prc = 99.54800000  PX_ASK = 99.55700000 PX_BID = 99.53900000</t>
  </si>
  <si>
    <t>DL input prc = 97.26250000  PX_ASK = 97.27700000 PX_BID = 97.24800000</t>
  </si>
  <si>
    <t>DL input prc = 98.57150000  PX_ASK = 98.58400000 PX_BID = 98.55900000</t>
  </si>
  <si>
    <t>DL input prc = 98.63050000  PX_ASK = 98.64700000 PX_BID = 98.61400000</t>
  </si>
  <si>
    <t>DL input prc = 99.16450000  PX_ASK = 99.20000000 PX_BID = 99.12900000</t>
  </si>
  <si>
    <t>BE0000368770</t>
  </si>
  <si>
    <t>DL input prc = 100.30100000  PX_ASK = 100.31500000 PX_BID = 100.28700000</t>
  </si>
  <si>
    <t>DL input prc = 79.15050000  PX_ASK = 79.22700000 PX_BID = 79.07400000</t>
  </si>
  <si>
    <t>DL input prc = 79.16250000  PX_ASK = 79.22600000 PX_BID = 79.09900000</t>
  </si>
  <si>
    <t>DL input prc = 91.92150000  PX_ASK = 92.13500000 PX_BID = 91.70800000</t>
  </si>
  <si>
    <t>DL input prc = 78.82050000  PX_ASK = 78.85900000 PX_BID = 78.78200000</t>
  </si>
  <si>
    <t>DL input prc = 85.04550000  PX_ASK = 85.07400000 PX_BID = 85.01700000</t>
  </si>
  <si>
    <t>DL input prc = 98.45900000  PX_ASK = 98.46500000 PX_BID = 98.45300000</t>
  </si>
  <si>
    <t>DL input prc = 75.70400000  PX_ASK = 75.92100000 PX_BID = 75.48700000</t>
  </si>
  <si>
    <t>DL input prc = 98.48200000  PX_ASK = 98.48800000 PX_BID = 98.47600000</t>
  </si>
  <si>
    <t>DL input prc = 70.84150000  PX_ASK = 70.86800000 PX_BID = 70.81500000</t>
  </si>
  <si>
    <t>DL input prc = 98.17550000  PX_ASK = 98.18400000 PX_BID = 98.16700000</t>
  </si>
  <si>
    <t>DL input prc = 93.42050000  PX_ASK = 93.42800000 PX_BID = 93.41300000</t>
  </si>
  <si>
    <t>DL input prc = 89.43900000  PX_ASK = 89.44700000 PX_BID = 89.43100000</t>
  </si>
  <si>
    <t>DL input prc = 99.68800000  PX_ASK = 99.69200000 PX_BID = 99.68400000</t>
  </si>
  <si>
    <t>DL input prc = 92.68300000  PX_ASK = 92.69200000 PX_BID = 92.67400000</t>
  </si>
  <si>
    <t>DL input prc = 67.77400000  PX_ASK = 68.04700000 PX_BID = 67.50100000</t>
  </si>
  <si>
    <t>DL input prc = 65.18800000  PX_ASK = 65.21700000 PX_BID = 65.15900000</t>
  </si>
  <si>
    <t>DL input prc = 99.09050000  PX_ASK = 99.09500000 PX_BID = 99.08600000</t>
  </si>
  <si>
    <t>DL input prc = 91.78450000  PX_ASK = 91.79400000 PX_BID = 91.77500000</t>
  </si>
  <si>
    <t>DL input prc = 93.60350000  PX_ASK = 93.61500000 PX_BID = 93.59200000</t>
  </si>
  <si>
    <t>DL input prc = 97.71200000  PX_ASK = 97.72400000 PX_BID = 97.70000000</t>
  </si>
  <si>
    <t>DL input prc = 100.09400000  PX_ASK = 100.09900000 PX_BID = 100.08900000</t>
  </si>
  <si>
    <t>DL input prc = 95.82700000  PX_ASK = 95.83600000 PX_BID = 95.81800000</t>
  </si>
  <si>
    <t>DL input prc = 101.22050000  PX_ASK = 101.22500000 PX_BID = 101.21600000</t>
  </si>
  <si>
    <t>DL input prc = 100.67900000  PX_ASK = 100.69200000 PX_BID = 100.66600000</t>
  </si>
  <si>
    <t>DL input prc = 81.44650000  PX_ASK = 81.47400000 PX_BID = 81.41900000</t>
  </si>
  <si>
    <t>DL input prc = 96.90050000  PX_ASK = 96.90900000 PX_BID = 96.89200000</t>
  </si>
  <si>
    <t>DL input prc = 100.87900000  PX_ASK = 100.88500000 PX_BID = 100.87300000</t>
  </si>
  <si>
    <t>DL input prc = 99.77350000  PX_ASK = 99.78300000 PX_BID = 99.76400000</t>
  </si>
  <si>
    <t>DL input prc = 102.89200000  PX_ASK = 102.89800000 PX_BID = 102.88600000</t>
  </si>
  <si>
    <t>DL input prc = 97.77750000  PX_ASK = 97.78800000 PX_BID = 97.76700000</t>
  </si>
  <si>
    <t>DL input prc = 101.38300000  PX_ASK = 101.40300000 PX_BID = 101.36300000</t>
  </si>
  <si>
    <t>DL input prc = 101.69800000  PX_ASK = 101.70400000 PX_BID = 101.69200000</t>
  </si>
  <si>
    <t>DL input prc = 100.26500000  PX_ASK = 100.26800000 PX_BID = 100.26200000</t>
  </si>
  <si>
    <t>DL input prc = 99.27250000  PX_ASK = 99.28300000 PX_BID = 99.26200000</t>
  </si>
  <si>
    <t>DL input prc = 100.35150000  PX_ASK = 100.35400000 PX_BID = 100.34900000</t>
  </si>
  <si>
    <t>DL input prc = 99.13950000  PX_ASK = 99.14700000 PX_BID = 99.13200000</t>
  </si>
  <si>
    <t>DL input prc = 100.34600000  PX_ASK = 100.34900000 PX_BID = 100.34300000</t>
  </si>
  <si>
    <t>DL input prc = 98.95950000  PX_ASK = 98.97100000 PX_BID = 98.94800000</t>
  </si>
  <si>
    <t>DL input prc = 94.55150000  PX_ASK = 94.58100000 PX_BID = 94.52200000</t>
  </si>
  <si>
    <t>DL input prc = 100.17050000  PX_ASK = 100.17400000 PX_BID = 100.16700000</t>
  </si>
  <si>
    <t>DL input prc = 99.24300000  PX_ASK = 99.26200000 PX_BID = 99.22400000</t>
  </si>
  <si>
    <t>DL input prc = 98.85800000  PX_ASK = 98.86600000 PX_BID = 98.85000000</t>
  </si>
  <si>
    <t>DL input prc = 99.82500000  PX_ASK = 99.82800000 PX_BID = 99.82200000</t>
  </si>
  <si>
    <t>DL input prc = 98.61900000  PX_ASK = 98.63100000 PX_BID = 98.60700000</t>
  </si>
  <si>
    <t>DL input prc = 99.70300000  PX_ASK = 99.70700000 PX_BID = 99.69900000</t>
  </si>
  <si>
    <t>DL input prc = 98.56600000  PX_ASK = 98.57400000 PX_BID = 98.55800000</t>
  </si>
  <si>
    <t>DL input prc = 94.65550000  PX_ASK = 94.68900000 PX_BID = 94.62200000</t>
  </si>
  <si>
    <t>DL input prc = 99.17450000  PX_ASK = 99.17800000 PX_BID = 99.17100000</t>
  </si>
  <si>
    <t>DL input prc = 98.26600000  PX_ASK = 98.27700000 PX_BID = 98.25500000</t>
  </si>
  <si>
    <t>DL input prc = 98.47350000  PX_ASK = 98.48800000 PX_BID = 98.45900000</t>
  </si>
  <si>
    <t>DL input prc = 99.44600000  PX_ASK = 99.44900000 PX_BID = 99.44300000</t>
  </si>
  <si>
    <t>DL input prc = 99.44500000  PX_ASK = 99.45300000 PX_BID = 99.43700000</t>
  </si>
  <si>
    <t>CA135087U774</t>
  </si>
  <si>
    <t>DL input prc = 99.82150000  PX_ASK = 99.82700000 PX_BID = 99.81600000</t>
  </si>
  <si>
    <t>DL input prc = 102.10700000  PX_ASK = 102.15700000 PX_BID = 102.05700000</t>
  </si>
  <si>
    <t>DL input prc = 105.24300000  PX_ASK = 105.26200000 PX_BID = 105.22400000</t>
  </si>
  <si>
    <t>DL input prc = 108.07950000  PX_ASK = 108.09900000 PX_BID = 108.06000000</t>
  </si>
  <si>
    <t>DL input prc = 116.79750000  PX_ASK = 116.93500000 PX_BID = 116.66000000</t>
  </si>
  <si>
    <t>DL input prc = 115.48200000  PX_ASK = 115.50200000 PX_BID = 115.46200000</t>
  </si>
  <si>
    <t>DL input prc = 117.25200000  PX_ASK = 117.48800000 PX_BID = 117.01600000</t>
  </si>
  <si>
    <t>DL input prc = 113.65550000  PX_ASK = 113.67800000 PX_BID = 113.63300000</t>
  </si>
  <si>
    <t>DL input prc = 104.47950000  PX_ASK = 104.50600000 PX_BID = 104.45300000</t>
  </si>
  <si>
    <t>DL input prc = 97.82850000  PX_ASK = 98.04600000 PX_BID = 97.61100000</t>
  </si>
  <si>
    <t>DL input prc = 97.51200000  PX_ASK = 97.54000000 PX_BID = 97.48400000</t>
  </si>
  <si>
    <t>DL input prc = 99.88300000  PX_ASK = 99.88800000 PX_BID = 99.87800000</t>
  </si>
  <si>
    <t>DL input prc = 99.73450000  PX_ASK = 99.73900000 PX_BID = 99.73000000</t>
  </si>
  <si>
    <t>DL input prc = 99.24350000  PX_ASK = 99.25000000 PX_BID = 99.23700000</t>
  </si>
  <si>
    <t>DL input prc = 99.75800000  PX_ASK = 99.76400000 PX_BID = 99.75200000</t>
  </si>
  <si>
    <t>DL input prc = 99.35150000  PX_ASK = 99.35800000 PX_BID = 99.34500000</t>
  </si>
  <si>
    <t>DL input prc = 97.17850000  PX_ASK = 97.18900000 PX_BID = 97.16800000</t>
  </si>
  <si>
    <t>DL input prc = 94.96450000  PX_ASK = 94.97500000 PX_BID = 94.95400000</t>
  </si>
  <si>
    <t>DL input prc = 90.89400000  PX_ASK = 90.90600000 PX_BID = 90.88200000</t>
  </si>
  <si>
    <t>DL input prc = 92.21500000  PX_ASK = 92.22800000 PX_BID = 92.20200000</t>
  </si>
  <si>
    <t>DL input prc = 94.42800000  PX_ASK = 94.44100000 PX_BID = 94.41500000</t>
  </si>
  <si>
    <t>DL input prc = 91.73900000  PX_ASK = 91.75800000 PX_BID = 91.72000000</t>
  </si>
  <si>
    <t>DL input prc = 99.34900000  PX_ASK = 99.35100000 PX_BID = 99.34700000</t>
  </si>
  <si>
    <t>DL input prc = 94.49800000  PX_ASK = 94.51200000 PX_BID = 94.48400000</t>
  </si>
  <si>
    <t>DL input prc = 99.58350000  PX_ASK = 99.58600000 PX_BID = 99.58100000</t>
  </si>
  <si>
    <t>DL input prc = 96.01850000  PX_ASK = 96.03300000 PX_BID = 96.00400000</t>
  </si>
  <si>
    <t>DL input prc = 101.21450000  PX_ASK = 101.22700000 PX_BID = 101.20200000</t>
  </si>
  <si>
    <t>DL input prc = 101.19300000  PX_ASK = 101.19800000 PX_BID = 101.18800000</t>
  </si>
  <si>
    <t>DL input prc = 101.27700000  PX_ASK = 101.28300000 PX_BID = 101.27100000</t>
  </si>
  <si>
    <t>DL input prc = 101.48750000  PX_ASK = 101.50400000 PX_BID = 101.47100000</t>
  </si>
  <si>
    <t>DL input prc = 100.49150000  PX_ASK = 100.49700000 PX_BID = 100.48600000</t>
  </si>
  <si>
    <t>DL input prc = 102.15550000  PX_ASK = 102.16100000 PX_BID = 102.15000000</t>
  </si>
  <si>
    <t>CA13509PKN29</t>
  </si>
  <si>
    <t>DL input prc = 101.03300000  PX_ASK = 101.05600000 PX_BID = 101.01000000</t>
  </si>
  <si>
    <t>DL input prc = 103.50300000  PX_ASK = 103.56200000 PX_BID = 103.44400000</t>
  </si>
  <si>
    <t>DL input prc = 104.20200000  PX_ASK = 104.24700000 PX_BID = 104.15700000</t>
  </si>
  <si>
    <t>DL input prc = 106.42200000  PX_ASK = 106.46600000 PX_BID = 106.37800000</t>
  </si>
  <si>
    <t>DL input prc = 76.13950000  PX_ASK = 76.18700000 PX_BID = 76.09200000</t>
  </si>
  <si>
    <t>DL input prc = 99.99350000  PX_ASK = 100.00100000 PX_BID = 99.98600000</t>
  </si>
  <si>
    <t>DL input prc = 97.80300000  PX_ASK = 97.83500000 PX_BID = 97.77100000</t>
  </si>
  <si>
    <t>DL input prc = 97.79300000  PX_ASK = 97.82600000 PX_BID = 97.76000000</t>
  </si>
  <si>
    <t>DL input prc = 100.06800000  PX_ASK = 100.07900000 PX_BID = 100.05700000</t>
  </si>
  <si>
    <t>DL input prc = 99.07950000  PX_ASK = 99.09400000 PX_BID = 99.06500000</t>
  </si>
  <si>
    <t>DL input prc = 72.51900000  PX_ASK = 72.56500000 PX_BID = 72.47300000</t>
  </si>
  <si>
    <t>DL input prc = 95.93000000  PX_ASK = 95.94900000 PX_BID = 95.91100000</t>
  </si>
  <si>
    <t>DL input prc = 60.73050000  PX_ASK = 60.77600000 PX_BID = 60.68500000</t>
  </si>
  <si>
    <t>DL input prc = 94.70800000  PX_ASK = 94.72900000 PX_BID = 94.68700000</t>
  </si>
  <si>
    <t>DL input prc = 102.05300000  PX_ASK = 102.08000000 PX_BID = 102.02600000</t>
  </si>
  <si>
    <t>DL input prc = 87.93250000  PX_ASK = 87.99100000 PX_BID = 87.87400000</t>
  </si>
  <si>
    <t>DL input prc = 100.92450000  PX_ASK = 100.95000000 PX_BID = 100.89900000</t>
  </si>
  <si>
    <t>DL input prc = 101.04100000  PX_ASK = 101.05400000 PX_BID = 101.02800000</t>
  </si>
  <si>
    <t>DL input prc = 101.40000000  PX_ASK = 101.45600000 PX_BID = 101.34400000</t>
  </si>
  <si>
    <t>CNU6</t>
  </si>
  <si>
    <t>DL input prc = 89.56550000  PX_ASK = 89.58100000 PX_BID = 89.55000000</t>
  </si>
  <si>
    <t>DL input prc = 43.20950000  PX_ASK = 43.23600000 PX_BID = 43.18300000</t>
  </si>
  <si>
    <t>DL input prc = 86.99950000  PX_ASK = 87.01800000 PX_BID = 86.98100000</t>
  </si>
  <si>
    <t>DL input prc = 98.31650000  PX_ASK = 98.33800000 PX_BID = 98.29500000</t>
  </si>
  <si>
    <t>DL input prc = 69.97300000  PX_ASK = 69.99900000 PX_BID = 69.94700000</t>
  </si>
  <si>
    <t>DL input prc = 85.98150000  PX_ASK = 86.00900000 PX_BID = 85.95400000</t>
  </si>
  <si>
    <t>DL input prc = 99.59500000  PX_ASK = 99.60800000 PX_BID = 99.58200000</t>
  </si>
  <si>
    <t>DL input prc = 98.49500000  PX_ASK = 98.50900000 PX_BID = 98.48100000</t>
  </si>
  <si>
    <t>DL input prc = 97.59300000  PX_ASK = 97.61000000 PX_BID = 97.57600000</t>
  </si>
  <si>
    <t>DL input prc = 65.41750000  PX_ASK = 65.44500000 PX_BID = 65.39000000</t>
  </si>
  <si>
    <t>DL input prc = 96.55300000  PX_ASK = 96.56400000 PX_BID = 96.54200000</t>
  </si>
  <si>
    <t>DL input prc = 95.05400000  PX_ASK = 95.06300000 PX_BID = 95.04500000</t>
  </si>
  <si>
    <t>DL input prc = 93.91900000  PX_ASK = 93.92800000 PX_BID = 93.91000000</t>
  </si>
  <si>
    <t>DL input prc = 92.03450000  PX_ASK = 92.04400000 PX_BID = 92.02500000</t>
  </si>
  <si>
    <t>DL input prc = 43.04800000  PX_ASK = 43.07200000 PX_BID = 43.02400000</t>
  </si>
  <si>
    <t>DL input prc = 90.75600000  PX_ASK = 90.76600000 PX_BID = 90.74600000</t>
  </si>
  <si>
    <t>DL input prc = 89.54500000  PX_ASK = 89.55400000 PX_BID = 89.53600000</t>
  </si>
  <si>
    <t>DL input prc = 76.87750000  PX_ASK = 76.89200000 PX_BID = 76.86300000</t>
  </si>
  <si>
    <t>DL input prc = 96.39700000  PX_ASK = 96.41000000 PX_BID = 96.38400000</t>
  </si>
  <si>
    <t>DL input prc = 88.26700000  PX_ASK = 88.27600000 PX_BID = 88.25800000</t>
  </si>
  <si>
    <t>DL input prc = 74.15400000  PX_ASK = 74.17500000 PX_BID = 74.13300000</t>
  </si>
  <si>
    <t>DL input prc = 93.89850000  PX_ASK = 93.90800000 PX_BID = 93.88900000</t>
  </si>
  <si>
    <t>DL input prc = 86.97950000  PX_ASK = 86.99200000 PX_BID = 86.96700000</t>
  </si>
  <si>
    <t>DL input prc = 40.13650000  PX_ASK = 40.16000000 PX_BID = 40.11300000</t>
  </si>
  <si>
    <t>DL input prc = 85.64350000  PX_ASK = 85.65300000 PX_BID = 85.63400000</t>
  </si>
  <si>
    <t>DL input prc = 78.33750000  PX_ASK = 78.35800000 PX_BID = 78.31700000</t>
  </si>
  <si>
    <t>DL input prc = 93.90850000  PX_ASK = 93.92000000 PX_BID = 93.89700000</t>
  </si>
  <si>
    <t>DL input prc = 69.76500000  PX_ASK = 69.78600000 PX_BID = 69.74400000</t>
  </si>
  <si>
    <t>DL input prc = 98.13800000  PX_ASK = 98.14900000 PX_BID = 98.12700000</t>
  </si>
  <si>
    <t>DL input prc = 104.10950000  PX_ASK = 104.14200000 PX_BID = 104.07700000</t>
  </si>
  <si>
    <t>DL input prc = 104.57050000  PX_ASK = 104.59800000 PX_BID = 104.54300000</t>
  </si>
  <si>
    <t>DL input prc = 104.23000000  PX_ASK = 104.25400000 PX_BID = 104.20600000</t>
  </si>
  <si>
    <t>DL input prc = 112.05500000  PX_ASK = 112.08500000 PX_BID = 112.02500000</t>
  </si>
  <si>
    <t>DL input prc = 111.83650000  PX_ASK = 111.86600000 PX_BID = 111.80700000</t>
  </si>
  <si>
    <t>DL input prc = 113.24650000  PX_ASK = 113.27600000 PX_BID = 113.21700000</t>
  </si>
  <si>
    <t>DL input prc = 108.28700000  PX_ASK = 108.30800000 PX_BID = 108.26600000</t>
  </si>
  <si>
    <t>DL input prc = 110.68350000  PX_ASK = 110.70500000 PX_BID = 110.66200000</t>
  </si>
  <si>
    <t>DL input prc = 116.32600000  PX_ASK = 116.35000000 PX_BID = 116.30200000</t>
  </si>
  <si>
    <t>DL input prc = 98.35550000  PX_ASK = 98.38000000 PX_BID = 98.33100000</t>
  </si>
  <si>
    <t>DL input prc = 87.46000000  PX_ASK = 87.48400000 PX_BID = 87.43600000</t>
  </si>
  <si>
    <t>DL input prc = 99.23150000  PX_ASK = 99.24600000 PX_BID = 99.21700000</t>
  </si>
  <si>
    <t>DL input prc = 97.88900000  PX_ASK = 97.90500000 PX_BID = 97.87300000</t>
  </si>
  <si>
    <t>DL input prc = 98.29800000  PX_ASK = 98.31500000 PX_BID = 98.28100000</t>
  </si>
  <si>
    <t>DL input prc = 78.74550000  PX_ASK = 79.06600000 PX_BID = 78.42500000</t>
  </si>
  <si>
    <t>DL input prc = 100.02050000  PX_ASK = 100.03600000 PX_BID = 100.00500000</t>
  </si>
  <si>
    <t>DL input prc = 100.10700000  PX_ASK = 100.11800000 PX_BID = 100.09600000</t>
  </si>
  <si>
    <t>DL input prc = 99.79250000  PX_ASK = 99.80700000 PX_BID = 99.77800000</t>
  </si>
  <si>
    <t>DL input prc = 99.76650000  PX_ASK = 99.77900000 PX_BID = 99.75400000</t>
  </si>
  <si>
    <t>DL input prc = 99.12850000  PX_ASK = 99.14400000 PX_BID = 99.11300000</t>
  </si>
  <si>
    <t>DL input prc = 99.10050000  PX_ASK = 99.11100000 PX_BID = 99.09000000</t>
  </si>
  <si>
    <t>DL input prc = 99.03100000  PX_ASK = 99.04300000 PX_BID = 99.01900000</t>
  </si>
  <si>
    <t>DL input prc = 99.04200000  PX_ASK = 99.04700000 PX_BID = 99.03700000</t>
  </si>
  <si>
    <t>DL input prc = 99.69250000  PX_ASK = 99.69700000 PX_BID = 99.68800000</t>
  </si>
  <si>
    <t>DL input prc = 99.20950000  PX_ASK = 99.22000000 PX_BID = 99.19900000</t>
  </si>
  <si>
    <t>DL input prc = 99.44150000  PX_ASK = 99.45100000 PX_BID = 99.43200000</t>
  </si>
  <si>
    <t>DL input prc = 98.50600000  PX_ASK = 98.51600000 PX_BID = 98.49600000</t>
  </si>
  <si>
    <t>DL input prc = 99.47150000  PX_ASK = 99.48100000 PX_BID = 99.46200000</t>
  </si>
  <si>
    <t>DL input prc = 98.94400000  PX_ASK = 98.95400000 PX_BID = 98.93400000</t>
  </si>
  <si>
    <t>DL input prc = 97.92600000  PX_ASK = 97.93400000 PX_BID = 97.91800000</t>
  </si>
  <si>
    <t>DL input prc = 98.93200000  PX_ASK = 98.93800000 PX_BID = 98.92600000</t>
  </si>
  <si>
    <t>DL input prc = 98.69350000  PX_ASK = 98.70400000 PX_BID = 98.68300000</t>
  </si>
  <si>
    <t>DL input prc = 98.10150000  PX_ASK = 98.11200000 PX_BID = 98.09100000</t>
  </si>
  <si>
    <t>DL input prc = 81.39800000  PX_ASK = 81.41400000 PX_BID = 81.38200000</t>
  </si>
  <si>
    <t>DL input prc = 87.91850000  PX_ASK = 87.92700000 PX_BID = 87.91000000</t>
  </si>
  <si>
    <t>DL input prc = 91.19650000  PX_ASK = 91.21300000 PX_BID = 91.18000000</t>
  </si>
  <si>
    <t>DL input prc = 98.74650000  PX_ASK = 98.77000000 PX_BID = 98.72300000</t>
  </si>
  <si>
    <t>DL input prc = 96.75200000  PX_ASK = 96.76500000 PX_BID = 96.73900000</t>
  </si>
  <si>
    <t>DL input prc = 98.26100000  PX_ASK = 98.27100000 PX_BID = 98.25100000</t>
  </si>
  <si>
    <t>DL input prc = 95.19650000  PX_ASK = 95.20800000 PX_BID = 95.18500000</t>
  </si>
  <si>
    <t>DL input prc = 97.60650000  PX_ASK = 97.61700000 PX_BID = 97.59600000</t>
  </si>
  <si>
    <t>DL input prc = 96.50200000  PX_ASK = 96.51300000 PX_BID = 96.49100000</t>
  </si>
  <si>
    <t>DL input prc = 96.89450000  PX_ASK = 96.90300000 PX_BID = 96.88600000</t>
  </si>
  <si>
    <t>DL input prc = 98.99850000  PX_ASK = 99.00700000 PX_BID = 98.99000000</t>
  </si>
  <si>
    <t>DL input prc = 98.53200000  PX_ASK = 98.54600000 PX_BID = 98.51800000</t>
  </si>
  <si>
    <t>DL input prc = 91.32450000  PX_ASK = 91.35900000 PX_BID = 91.29000000</t>
  </si>
  <si>
    <t>DL input prc = 96.77200000  PX_ASK = 96.79600000 PX_BID = 96.74800000</t>
  </si>
  <si>
    <t>DL input prc = 96.55850000  PX_ASK = 96.58200000 PX_BID = 96.53500000</t>
  </si>
  <si>
    <t>DL input prc = 108.27000000  PX_ASK = 108.27800000 PX_BID = 108.26200000</t>
  </si>
  <si>
    <t>DL input prc = 112.40100000  PX_ASK = 112.42400000 PX_BID = 112.37800000</t>
  </si>
  <si>
    <t>DL input prc = 110.09400000  PX_ASK = 110.11800000 PX_BID = 110.07000000</t>
  </si>
  <si>
    <t>DL input prc = 100.49400000  PX_ASK = 100.50800000 PX_BID = 100.48000000</t>
  </si>
  <si>
    <t>DL input prc = 115.04600000  PX_ASK = 115.05500000 PX_BID = 115.03700000</t>
  </si>
  <si>
    <t>DL input prc = 105.55100000  PX_ASK = 105.55900000 PX_BID = 105.54300000</t>
  </si>
  <si>
    <t>DL input prc = 115.92650000  PX_ASK = 115.95600000 PX_BID = 115.89700000</t>
  </si>
  <si>
    <t>DL input prc = 96.57050000  PX_ASK = 96.57900000 PX_BID = 96.56200000</t>
  </si>
  <si>
    <t>DL input prc = 85.00750000  PX_ASK = 85.02800000 PX_BID = 84.98700000</t>
  </si>
  <si>
    <t>DL input prc = 85.93200000  PX_ASK = 86.04500000 PX_BID = 85.81900000</t>
  </si>
  <si>
    <t>DL input prc = 99.54100000  PX_ASK = 99.55400000 PX_BID = 99.52800000</t>
  </si>
  <si>
    <t>DL input prc = 99.03450000  PX_ASK = 99.04800000 PX_BID = 99.02100000</t>
  </si>
  <si>
    <t>DL input prc = 94.86300000  PX_ASK = 94.87100000 PX_BID = 94.85500000</t>
  </si>
  <si>
    <t>DL input prc = 105.97450000  PX_ASK = 105.99300000 PX_BID = 105.95600000</t>
  </si>
  <si>
    <t>DL input prc = 98.34200000  PX_ASK = 98.35800000 PX_BID = 98.32600000</t>
  </si>
  <si>
    <t>DL input prc = 97.66400000  PX_ASK = 97.67500000 PX_BID = 97.65300000</t>
  </si>
  <si>
    <t>DL input prc = 80.65600000  PX_ASK = 80.68000000 PX_BID = 80.63200000</t>
  </si>
  <si>
    <t>DL input prc = 97.32500000  PX_ASK = 97.33300000 PX_BID = 97.31700000</t>
  </si>
  <si>
    <t>DL input prc = 96.45800000  PX_ASK = 96.46600000 PX_BID = 96.45000000</t>
  </si>
  <si>
    <t>DL input prc = 88.26300000  PX_ASK = 88.27200000 PX_BID = 88.25400000</t>
  </si>
  <si>
    <t>DL input prc = 92.99050000  PX_ASK = 92.99900000 PX_BID = 92.98200000</t>
  </si>
  <si>
    <t>DL input prc = 91.52650000  PX_ASK = 91.53400000 PX_BID = 91.51900000</t>
  </si>
  <si>
    <t>DL input prc = 52.96750000  PX_ASK = 52.99100000 PX_BID = 52.94400000</t>
  </si>
  <si>
    <t>DL input prc = 97.94650000  PX_ASK = 97.96000000 PX_BID = 97.93300000</t>
  </si>
  <si>
    <t>DL input prc = 93.39550000  PX_ASK = 93.40400000 PX_BID = 93.38700000</t>
  </si>
  <si>
    <t>DL input prc = 71.60900000  PX_ASK = 71.62800000 PX_BID = 71.59000000</t>
  </si>
  <si>
    <t>DL input prc = 87.33000000  PX_ASK = 87.33800000 PX_BID = 87.32200000</t>
  </si>
  <si>
    <t>DL input prc = 45.89250000  PX_ASK = 46.00400000 PX_BID = 45.78100000</t>
  </si>
  <si>
    <t>DL input prc = 95.76800000  PX_ASK = 95.78100000 PX_BID = 95.75500000</t>
  </si>
  <si>
    <t>DL input prc = 75.14600000  PX_ASK = 75.16300000 PX_BID = 75.12900000</t>
  </si>
  <si>
    <t>DL input prc = 87.85650000  PX_ASK = 87.86400000 PX_BID = 87.84900000</t>
  </si>
  <si>
    <t>DL input prc = 65.81500000  PX_ASK = 65.84500000 PX_BID = 65.78500000</t>
  </si>
  <si>
    <t>DL input prc = 98.39100000  PX_ASK = 98.40400000 PX_BID = 98.37800000</t>
  </si>
  <si>
    <t>DL input prc = 87.59150000  PX_ASK = 87.60000000 PX_BID = 87.58300000</t>
  </si>
  <si>
    <t>DL input prc = 64.74900000  PX_ASK = 64.77200000 PX_BID = 64.72600000</t>
  </si>
  <si>
    <t>DL input prc = 94.07350000  PX_ASK = 94.08300000 PX_BID = 94.06400000</t>
  </si>
  <si>
    <t>DL input prc = 96.94350000  PX_ASK = 96.95300000 PX_BID = 96.93400000</t>
  </si>
  <si>
    <t>DL input prc = 94.16800000  PX_ASK = 94.18800000 PX_BID = 94.14800000</t>
  </si>
  <si>
    <t>DL input prc = 99.61200000  PX_ASK = 99.62000000 PX_BID = 99.60400000</t>
  </si>
  <si>
    <t>DL input prc = 100.01100000  PX_ASK = 100.02000000 PX_BID = 100.00200000</t>
  </si>
  <si>
    <t>DL input prc = 101.87150000  PX_ASK = 101.89000000 PX_BID = 101.85300000</t>
  </si>
  <si>
    <t>DL input prc = 102.22300000  PX_ASK = 102.23100000 PX_BID = 102.21500000</t>
  </si>
  <si>
    <t>DL input prc = 102.05400000  PX_ASK = 102.06000000 PX_BID = 102.04800000</t>
  </si>
  <si>
    <t>DL input prc = 99.83950000  PX_ASK = 99.85400000 PX_BID = 99.82500000</t>
  </si>
  <si>
    <t>DL input prc = 99.88950000  PX_ASK = 99.89700000 PX_BID = 99.88200000</t>
  </si>
  <si>
    <t>DL input prc = 97.57500000  PX_ASK = 97.60700000 PX_BID = 97.54300000</t>
  </si>
  <si>
    <t>DL input prc = 101.00950000  PX_ASK = 101.01800000 PX_BID = 101.00100000</t>
  </si>
  <si>
    <t>DL input prc = 100.66900000  PX_ASK = 100.67800000 PX_BID = 100.66000000</t>
  </si>
  <si>
    <t>DL input prc = 99.52050000  PX_ASK = 99.52700000 PX_BID = 99.51400000</t>
  </si>
  <si>
    <t>DL input prc = 99.40350000  PX_ASK = 99.41700000 PX_BID = 99.39000000</t>
  </si>
  <si>
    <t>DL input prc = 98.42550000  PX_ASK = 98.43400000 PX_BID = 98.41700000</t>
  </si>
  <si>
    <t>DL input prc = 96.38000000  PX_ASK = 96.40600000 PX_BID = 96.35400000</t>
  </si>
  <si>
    <t>DL input prc = 98.40550000  PX_ASK = 98.41400000 PX_BID = 98.39700000</t>
  </si>
  <si>
    <t>DL input prc = 99.20100000  PX_ASK = 99.21100000 PX_BID = 99.19100000</t>
  </si>
  <si>
    <t>DL input prc = 98.81900000  PX_ASK = 98.82800000 PX_BID = 98.81000000</t>
  </si>
  <si>
    <t>DL input prc = 98.75950000  PX_ASK = 98.76800000 PX_BID = 98.75100000</t>
  </si>
  <si>
    <t>DL input prc = 95.82950000  PX_ASK = 95.86400000 PX_BID = 95.79500000</t>
  </si>
  <si>
    <t>DL input prc = 101.91200000  PX_ASK = 102.02000000 PX_BID = 101.80400000</t>
  </si>
  <si>
    <t>DL input prc = 73.20500000  PX_ASK = 73.25800000 PX_BID = 73.15200000</t>
  </si>
  <si>
    <t>DL input prc = 100.27800000  PX_ASK = 100.31000000 PX_BID = 100.24600000</t>
  </si>
  <si>
    <t>DL input prc = 97.72650000  PX_ASK = 97.79100000 PX_BID = 97.66200000</t>
  </si>
  <si>
    <t>DL input prc = 100.10400000  PX_ASK = 100.11200000 PX_BID = 100.09600000</t>
  </si>
  <si>
    <t>DL input prc = 88.90700000  PX_ASK = 88.94200000 PX_BID = 88.87200000</t>
  </si>
  <si>
    <t>DL input prc = 68.54300000  PX_ASK = 68.63500000 PX_BID = 68.45100000</t>
  </si>
  <si>
    <t>DL input prc = 80.20600000  PX_ASK = 80.31900000 PX_BID = 80.09300000</t>
  </si>
  <si>
    <t>DL input prc = 99.08950000  PX_ASK = 99.10300000 PX_BID = 99.07600000</t>
  </si>
  <si>
    <t>DL input prc = 74.37800000  PX_ASK = 74.51300000 PX_BID = 74.24300000</t>
  </si>
  <si>
    <t>DL input prc = 94.27400000  PX_ASK = 94.37600000 PX_BID = 94.17200000</t>
  </si>
  <si>
    <t>DL input prc = 98.04100000  PX_ASK = 98.07900000 PX_BID = 98.00300000</t>
  </si>
  <si>
    <t>DL input prc = 82.08700000  PX_ASK = 82.22000000 PX_BID = 81.95400000</t>
  </si>
  <si>
    <t>DL input prc = 101.13350000  PX_ASK = 101.21600000 PX_BID = 101.05100000</t>
  </si>
  <si>
    <t>DL input prc = 100.80500000  PX_ASK = 100.82200000 PX_BID = 100.78800000</t>
  </si>
  <si>
    <t>DL input prc = 98.23300000  PX_ASK = 98.26600000 PX_BID = 98.20000000</t>
  </si>
  <si>
    <t>DL input prc = 87.73000000  PX_ASK = 87.82000000 PX_BID = 87.64000000</t>
  </si>
  <si>
    <t>DL input prc = 100.19100000  PX_ASK = 100.20400000 PX_BID = 100.17800000</t>
  </si>
  <si>
    <t>DL input prc = 87.63550000  PX_ASK = 87.73800000 PX_BID = 87.53300000</t>
  </si>
  <si>
    <t>DL input prc = 96.02500000  PX_ASK = 96.04800000 PX_BID = 96.00200000</t>
  </si>
  <si>
    <t>DL input prc = 86.38500000  PX_ASK = 86.41700000 PX_BID = 86.35300000</t>
  </si>
  <si>
    <t>DL input prc = 62.29200000  PX_ASK = 62.36200000 PX_BID = 62.22200000</t>
  </si>
  <si>
    <t>DL input prc = 99.83400000  PX_ASK = 99.84000000 PX_BID = 99.82800000</t>
  </si>
  <si>
    <t>DL input prc = 47.92300000  PX_ASK = 48.02800000 PX_BID = 47.81800000</t>
  </si>
  <si>
    <t>DL input prc = 93.84750000  PX_ASK = 93.86500000 PX_BID = 93.83000000</t>
  </si>
  <si>
    <t>DL input prc = 100.13450000  PX_ASK = 100.15400000 PX_BID = 100.11500000</t>
  </si>
  <si>
    <t>DL input prc = 97.55400000  PX_ASK = 97.57900000 PX_BID = 97.52900000</t>
  </si>
  <si>
    <t>DL input prc = 100.92350000  PX_ASK = 100.94600000 PX_BID = 100.90100000</t>
  </si>
  <si>
    <t>DL input prc = 96.74650000  PX_ASK = 96.80600000 PX_BID = 96.68700000</t>
  </si>
  <si>
    <t>DL input prc = 100.27100000  PX_ASK = 100.30900000 PX_BID = 100.23300000</t>
  </si>
  <si>
    <t>DL input prc = 97.16900000  PX_ASK = 97.25700000 PX_BID = 97.08100000</t>
  </si>
  <si>
    <t>FFU7</t>
  </si>
  <si>
    <t>DL input prc = 95.23500000  PX_ASK = 95.25100000 PX_BID = 95.21900000</t>
  </si>
  <si>
    <t>DL input prc = 73.28150000  PX_ASK = 73.30200000 PX_BID = 73.26100000</t>
  </si>
  <si>
    <t>DL input prc = 93.03250000  PX_ASK = 93.09700000 PX_BID = 92.96800000</t>
  </si>
  <si>
    <t>DL input prc = 106.58050000  PX_ASK = 106.62200000 PX_BID = 106.53900000</t>
  </si>
  <si>
    <t>DL input prc = 114.11050000  PX_ASK = 114.12800000 PX_BID = 114.09300000</t>
  </si>
  <si>
    <t>DL input prc = 112.90850000  PX_ASK = 112.94500000 PX_BID = 112.87200000</t>
  </si>
  <si>
    <t>DL input prc = 107.16450000  PX_ASK = 107.18200000 PX_BID = 107.14700000</t>
  </si>
  <si>
    <t>DL input prc = 108.79850000  PX_ASK = 108.82000000 PX_BID = 108.77700000</t>
  </si>
  <si>
    <t>DL input prc = 92.35950000  PX_ASK = 92.39600000 PX_BID = 92.32300000</t>
  </si>
  <si>
    <t>DL input prc = 100.91800000  PX_ASK = 100.94900000 PX_BID = 100.88700000</t>
  </si>
  <si>
    <t>DL input prc = 100.51950000  PX_ASK = 100.58900000 PX_BID = 100.45000000</t>
  </si>
  <si>
    <t>DL input prc = 105.01750000  PX_ASK = 105.04700000 PX_BID = 104.98800000</t>
  </si>
  <si>
    <t>DL input prc = 91.05450000  PX_ASK = 91.10900000 PX_BID = 91.00000000</t>
  </si>
  <si>
    <t>DL input prc = 102.46000000  PX_ASK = 102.48400000 PX_BID = 102.43600000</t>
  </si>
  <si>
    <t>DL input prc = 99.96050000  PX_ASK = 99.97500000 PX_BID = 99.94600000</t>
  </si>
  <si>
    <t>DL input prc = 87.42500000  PX_ASK = 87.45800000 PX_BID = 87.39200000</t>
  </si>
  <si>
    <t>DL input prc = 98.24550000  PX_ASK = 98.25600000 PX_BID = 98.23500000</t>
  </si>
  <si>
    <t>DL input prc = 92.77300000  PX_ASK = 92.78500000 PX_BID = 92.76100000</t>
  </si>
  <si>
    <t>DL input prc = 50.11200000  PX_ASK = 50.18700000 PX_BID = 50.03700000</t>
  </si>
  <si>
    <t>DL input prc = 79.70900000  PX_ASK = 79.73500000 PX_BID = 79.68300000</t>
  </si>
  <si>
    <t>DL input prc = 27.56850000  PX_ASK = 27.76400000 PX_BID = 27.37300000</t>
  </si>
  <si>
    <t>DL input prc = 98.98050000  PX_ASK = 98.99400000 PX_BID = 98.96700000</t>
  </si>
  <si>
    <t>DL input prc = 67.34950000  PX_ASK = 67.42300000 PX_BID = 67.27600000</t>
  </si>
  <si>
    <t>DL input prc = 77.79850000  PX_ASK = 77.83200000 PX_BID = 77.76500000</t>
  </si>
  <si>
    <t>DL input prc = 98.01100000  PX_ASK = 98.04300000 PX_BID = 97.97900000</t>
  </si>
  <si>
    <t>DL input prc = 98.42700000  PX_ASK = 98.44100000 PX_BID = 98.41300000</t>
  </si>
  <si>
    <t>DL input prc = 67.21050000  PX_ASK = 67.24300000 PX_BID = 67.17800000</t>
  </si>
  <si>
    <t>DL input prc = 96.11650000  PX_ASK = 96.12900000 PX_BID = 96.10400000</t>
  </si>
  <si>
    <t>DL input prc = 84.58750000  PX_ASK = 84.60100000 PX_BID = 84.57400000</t>
  </si>
  <si>
    <t>DL input prc = 95.08300000  PX_ASK = 95.09400000 PX_BID = 95.07200000</t>
  </si>
  <si>
    <t>DL input prc = 57.64050000  PX_ASK = 57.67400000 PX_BID = 57.60700000</t>
  </si>
  <si>
    <t>DL input prc = 93.32250000  PX_ASK = 93.33500000 PX_BID = 93.31000000</t>
  </si>
  <si>
    <t>DL input prc = 90.47100000  PX_ASK = 90.48300000 PX_BID = 90.45900000</t>
  </si>
  <si>
    <t>DL input prc = 43.90250000  PX_ASK = 43.94000000 PX_BID = 43.86500000</t>
  </si>
  <si>
    <t>DL input prc = 62.56050000  PX_ASK = 62.59100000 PX_BID = 62.53000000</t>
  </si>
  <si>
    <t>DL input prc = 87.50300000  PX_ASK = 87.51400000 PX_BID = 87.49200000</t>
  </si>
  <si>
    <t>DL input prc = 25.72050000  PX_ASK = 25.76900000 PX_BID = 25.67200000</t>
  </si>
  <si>
    <t>DL input prc = 53.67950000  PX_ASK = 53.71000000 PX_BID = 53.64900000</t>
  </si>
  <si>
    <t>DL input prc = 84.35350000  PX_ASK = 84.36700000 PX_BID = 84.34000000</t>
  </si>
  <si>
    <t>DL input prc = 98.17850000  PX_ASK = 98.19200000 PX_BID = 98.16500000</t>
  </si>
  <si>
    <t>DL input prc = 91.88950000  PX_ASK = 91.93000000 PX_BID = 91.84900000</t>
  </si>
  <si>
    <t>DL input prc = 42.49850000  PX_ASK = 42.53300000 PX_BID = 42.46400000</t>
  </si>
  <si>
    <t>DL input prc = 82.70800000  PX_ASK = 82.72000000 PX_BID = 82.69600000</t>
  </si>
  <si>
    <t>DL input prc = 74.85800000  PX_ASK = 74.88900000 PX_BID = 74.82700000</t>
  </si>
  <si>
    <t>DL input prc = 96.60700000  PX_ASK = 96.61900000 PX_BID = 96.59500000</t>
  </si>
  <si>
    <t>DL input prc = 92.53350000  PX_ASK = 92.54700000 PX_BID = 92.52000000</t>
  </si>
  <si>
    <t>DL input prc = 79.81650000  PX_ASK = 79.83800000 PX_BID = 79.79500000</t>
  </si>
  <si>
    <t>DL input prc = 76.70350000  PX_ASK = 76.73100000 PX_BID = 76.67600000</t>
  </si>
  <si>
    <t>DL input prc = 100.03650000  PX_ASK = 100.05200000 PX_BID = 100.02100000</t>
  </si>
  <si>
    <t>DL input prc = 97.74300000  PX_ASK = 97.75700000 PX_BID = 97.72900000</t>
  </si>
  <si>
    <t>DL input prc = 99.68950000  PX_ASK = 99.70100000 PX_BID = 99.67800000</t>
  </si>
  <si>
    <t>DL input prc = 100.44000000  PX_ASK = 100.45400000 PX_BID = 100.42600000</t>
  </si>
  <si>
    <t>DL input prc = 99.67950000  PX_ASK = 99.69400000 PX_BID = 99.66500000</t>
  </si>
  <si>
    <t>DL input prc = 80.60000000  PX_ASK = 80.62800000 PX_BID = 80.57200000</t>
  </si>
  <si>
    <t>DL input prc = 101.36700000  PX_ASK = 101.57500000 PX_BID = 101.15900000</t>
  </si>
  <si>
    <t>DL input prc = 80.09350000  PX_ASK = 80.12200000 PX_BID = 80.06500000</t>
  </si>
  <si>
    <t>DL input prc = 99.25350000  PX_ASK = 99.26400000 PX_BID = 99.24300000</t>
  </si>
  <si>
    <t>DL input prc = 96.05800000  PX_ASK = 96.07000000 PX_BID = 96.04600000</t>
  </si>
  <si>
    <t>DL input prc = 93.77750000  PX_ASK = 93.80500000 PX_BID = 93.75000000</t>
  </si>
  <si>
    <t>DL input prc = 96.96000000  PX_ASK = 96.96700000 PX_BID = 96.95300000</t>
  </si>
  <si>
    <t>DL input prc = 87.61200000  PX_ASK = 87.64100000 PX_BID = 87.58300000</t>
  </si>
  <si>
    <t>DL input prc = 99.04050000  PX_ASK = 99.05300000 PX_BID = 99.02800000</t>
  </si>
  <si>
    <t>DL input prc = 98.35450000  PX_ASK = 98.36700000 PX_BID = 98.34200000</t>
  </si>
  <si>
    <t>DL input prc = 98.70800000  PX_ASK = 98.71700000 PX_BID = 98.69900000</t>
  </si>
  <si>
    <t>DL input prc = 97.72000000  PX_ASK = 97.75200000 PX_BID = 97.68800000</t>
  </si>
  <si>
    <t>DL input prc = 97.85300000  PX_ASK = 97.88400000 PX_BID = 97.82200000</t>
  </si>
  <si>
    <t>DL input prc = 98.38350000  PX_ASK = 98.39600000 PX_BID = 98.37100000</t>
  </si>
  <si>
    <t>DL input prc = 104.12100000  PX_ASK = 104.14600000 PX_BID = 104.09600000</t>
  </si>
  <si>
    <t>DL input prc = 98.67050000  PX_ASK = 98.67800000 PX_BID = 98.66300000</t>
  </si>
  <si>
    <t>DL input prc = 342.45050000  PX_ASK = 342.56200000 PX_BID = 342.33900000</t>
  </si>
  <si>
    <t>DL input prc = 242.47550000  PX_ASK = 242.63100000 PX_BID = 242.32000000</t>
  </si>
  <si>
    <t>DL input prc = 94.77150000  PX_ASK = 94.77500000 PX_BID = 94.76800000</t>
  </si>
  <si>
    <t>DL input prc = 96.38950000  PX_ASK = 96.39600000 PX_BID = 96.38300000</t>
  </si>
  <si>
    <t>DL input prc = 80.72600000  PX_ASK = 80.73200000 PX_BID = 80.72000000</t>
  </si>
  <si>
    <t>DL input prc = 77.14300000  PX_ASK = 77.20200000 PX_BID = 77.08400000</t>
  </si>
  <si>
    <t>DL input prc = 102.19700000  PX_ASK = 102.26000000 PX_BID = 102.13400000</t>
  </si>
  <si>
    <t>DL input prc = 84.44350000  PX_ASK = 84.45100000 PX_BID = 84.43600000</t>
  </si>
  <si>
    <t>DL input prc = 100.00850000  PX_ASK = 100.01600000 PX_BID = 100.00100000</t>
  </si>
  <si>
    <t>DL input prc = 93.04450000  PX_ASK = 93.07700000 PX_BID = 93.01200000</t>
  </si>
  <si>
    <t>DL input prc = 90.34050000  PX_ASK = 90.34700000 PX_BID = 90.33400000</t>
  </si>
  <si>
    <t>DL input prc = 101.61650000  PX_ASK = 101.62400000 PX_BID = 101.60900000</t>
  </si>
  <si>
    <t>DL input prc = 73.78000000  PX_ASK = 73.82700000 PX_BID = 73.73300000</t>
  </si>
  <si>
    <t>DL input prc = 82.93400000  PX_ASK = 82.94100000 PX_BID = 82.92700000</t>
  </si>
  <si>
    <t>DL input prc = 101.16250000  PX_ASK = 101.19100000 PX_BID = 101.13400000</t>
  </si>
  <si>
    <t>DL input prc = 90.94350000  PX_ASK = 90.94800000 PX_BID = 90.93900000</t>
  </si>
  <si>
    <t>DL input prc = 83.04700000  PX_ASK = 83.08000000 PX_BID = 83.01400000</t>
  </si>
  <si>
    <t>DL input prc = 78.84000000  PX_ASK = 78.88100000 PX_BID = 78.79900000</t>
  </si>
  <si>
    <t>DL input prc = 99.09750000  PX_ASK = 99.14200000 PX_BID = 99.05300000</t>
  </si>
  <si>
    <t>DL input prc = 66.26200000  PX_ASK = 66.30500000 PX_BID = 66.21900000</t>
  </si>
  <si>
    <t>DL input prc = 95.30600000  PX_ASK = 95.33400000 PX_BID = 95.27800000</t>
  </si>
  <si>
    <t>DL input prc = 54.24650000  PX_ASK = 54.31300000 PX_BID = 54.18000000</t>
  </si>
  <si>
    <t>DL input prc = 98.19200000  PX_ASK = 98.19800000 PX_BID = 98.18600000</t>
  </si>
  <si>
    <t>DL input prc = 76.43050000  PX_ASK = 76.43800000 PX_BID = 76.42300000</t>
  </si>
  <si>
    <t>DL input prc = 89.63350000  PX_ASK = 89.63800000 PX_BID = 89.62900000</t>
  </si>
  <si>
    <t>DL input prc = 74.88550000  PX_ASK = 74.89100000 PX_BID = 74.88000000</t>
  </si>
  <si>
    <t>DL input prc = 59.48250000  PX_ASK = 59.50700000 PX_BID = 59.45800000</t>
  </si>
  <si>
    <t>DL input prc = 68.83700000  PX_ASK = 68.87300000 PX_BID = 68.80100000</t>
  </si>
  <si>
    <t>DL input prc = 74.98850000  PX_ASK = 74.99500000 PX_BID = 74.98200000</t>
  </si>
  <si>
    <t>DL input prc = 67.50700000  PX_ASK = 67.51700000 PX_BID = 67.49700000</t>
  </si>
  <si>
    <t>DL input prc = 43.76400000  PX_ASK = 43.77400000 PX_BID = 43.75400000</t>
  </si>
  <si>
    <t>DL input prc = 45.90800000  PX_ASK = 45.97800000 PX_BID = 45.83800000</t>
  </si>
  <si>
    <t>DL input prc = 49.86350000  PX_ASK = 49.87200000 PX_BID = 49.85500000</t>
  </si>
  <si>
    <t>DL input prc = 96.77350000  PX_ASK = 96.78100000 PX_BID = 96.76600000</t>
  </si>
  <si>
    <t>DL input prc = 44.98250000  PX_ASK = 45.06400000 PX_BID = 44.90100000</t>
  </si>
  <si>
    <t>DL input prc = 37.22900000  PX_ASK = 37.24700000 PX_BID = 37.21100000</t>
  </si>
  <si>
    <t>DL input prc = 51.18700000  PX_ASK = 51.19800000 PX_BID = 51.17600000</t>
  </si>
  <si>
    <t>DL input prc = 94.11200000  PX_ASK = 94.12300000 PX_BID = 94.10100000</t>
  </si>
  <si>
    <t>DL input prc = 43.81750000  PX_ASK = 43.82700000 PX_BID = 43.80800000</t>
  </si>
  <si>
    <t>DL input prc = 89.34050000  PX_ASK = 89.34700000 PX_BID = 89.33400000</t>
  </si>
  <si>
    <t>DL input prc = 57.72500000  PX_ASK = 57.73100000 PX_BID = 57.71900000</t>
  </si>
  <si>
    <t>DL input prc = 84.36000000  PX_ASK = 84.36800000 PX_BID = 84.35200000</t>
  </si>
  <si>
    <t>DL input prc = 99.99450000  PX_ASK = 99.99900000 PX_BID = 99.99000000</t>
  </si>
  <si>
    <t>DL input prc = 28.86600000  PX_ASK = 28.88600000 PX_BID = 28.84600000</t>
  </si>
  <si>
    <t>DL input prc = 41.53950000  PX_ASK = 41.54900000 PX_BID = 41.53000000</t>
  </si>
  <si>
    <t>DL input prc = 90.66800000  PX_ASK = 90.67300000 PX_BID = 90.66300000</t>
  </si>
  <si>
    <t>DL input prc = 62.96800000  PX_ASK = 62.97100000 PX_BID = 62.96500000</t>
  </si>
  <si>
    <t>DL input prc = 77.08300000  PX_ASK = 77.09100000 PX_BID = 77.07500000</t>
  </si>
  <si>
    <t>DL input prc = 82.58200000  PX_ASK = 82.58900000 PX_BID = 82.57500000</t>
  </si>
  <si>
    <t>DL input prc = 42.93100000  PX_ASK = 42.94200000 PX_BID = 42.92000000</t>
  </si>
  <si>
    <t>DL input prc = 46.98950000  PX_ASK = 47.08500000 PX_BID = 46.89400000</t>
  </si>
  <si>
    <t>DL input prc = 23.57550000  PX_ASK = 23.60400000 PX_BID = 23.54700000</t>
  </si>
  <si>
    <t>DL input prc = 34.52100000  PX_ASK = 34.54100000 PX_BID = 34.50100000</t>
  </si>
  <si>
    <t>DL input prc = 93.65050000  PX_ASK = 93.66000000 PX_BID = 93.64100000</t>
  </si>
  <si>
    <t>DL input prc = 75.59700000  PX_ASK = 75.60500000 PX_BID = 75.58900000</t>
  </si>
  <si>
    <t>DL input prc = 100.30250000  PX_ASK = 100.30700000 PX_BID = 100.29800000</t>
  </si>
  <si>
    <t>DL input prc = 81.12300000  PX_ASK = 81.12900000 PX_BID = 81.11700000</t>
  </si>
  <si>
    <t>DL input prc = 69.03850000  PX_ASK = 69.04400000 PX_BID = 69.03300000</t>
  </si>
  <si>
    <t>DL input prc = 92.10050000  PX_ASK = 92.10600000 PX_BID = 92.09500000</t>
  </si>
  <si>
    <t>DL input prc = 92.18150000  PX_ASK = 92.18700000 PX_BID = 92.17600000</t>
  </si>
  <si>
    <t>DL input prc = 76.87950000  PX_ASK = 76.88700000 PX_BID = 76.87200000</t>
  </si>
  <si>
    <t>DL input prc = 96.66200000  PX_ASK = 96.69500000 PX_BID = 96.62900000</t>
  </si>
  <si>
    <t>DL input prc = 98.75050000  PX_ASK = 98.75600000 PX_BID = 98.74500000</t>
  </si>
  <si>
    <t>DL input prc = 44.65350000  PX_ASK = 44.66200000 PX_BID = 44.64500000</t>
  </si>
  <si>
    <t>DL input prc = 51.43850000  PX_ASK = 51.50500000 PX_BID = 51.37200000</t>
  </si>
  <si>
    <t>DL input prc = 74.06800000  PX_ASK = 74.07300000 PX_BID = 74.06300000</t>
  </si>
  <si>
    <t>DL input prc = 99.31050000  PX_ASK = 99.31500000 PX_BID = 99.30600000</t>
  </si>
  <si>
    <t>DL input prc = 99.68000000  PX_ASK = 99.68500000 PX_BID = 99.67500000</t>
  </si>
  <si>
    <t>DL input prc = 82.56700000  PX_ASK = 82.57300000 PX_BID = 82.56100000</t>
  </si>
  <si>
    <t>DL input prc = 97.63650000  PX_ASK = 97.64100000 PX_BID = 97.63200000</t>
  </si>
  <si>
    <t>DL input prc = 88.10000000  PX_ASK = 88.10400000 PX_BID = 88.09600000</t>
  </si>
  <si>
    <t>DL input prc = 99.25350000  PX_ASK = 99.25900000 PX_BID = 99.24800000</t>
  </si>
  <si>
    <t>DL input prc = 96.45350000  PX_ASK = 96.45800000 PX_BID = 96.44900000</t>
  </si>
  <si>
    <t>DL input prc = 91.59000000  PX_ASK = 91.59500000 PX_BID = 91.58500000</t>
  </si>
  <si>
    <t>DL input prc = 100.05850000  PX_ASK = 100.06200000 PX_BID = 100.05500000</t>
  </si>
  <si>
    <t>DL input prc = 99.88800000  PX_ASK = 99.89300000 PX_BID = 99.88300000</t>
  </si>
  <si>
    <t>DL input prc = 97.56950000  PX_ASK = 97.57300000 PX_BID = 97.56600000</t>
  </si>
  <si>
    <t>DL input prc = 96.85400000  PX_ASK = 96.86000000 PX_BID = 96.84800000</t>
  </si>
  <si>
    <t>DL input prc = 98.84800000  PX_ASK = 98.85100000 PX_BID = 98.84500000</t>
  </si>
  <si>
    <t>DL input prc = 98.94900000  PX_ASK = 98.95400000 PX_BID = 98.94400000</t>
  </si>
  <si>
    <t>DL input prc = 98.58700000  PX_ASK = 98.59300000 PX_BID = 98.58100000</t>
  </si>
  <si>
    <t>DL input prc = 97.05650000  PX_ASK = 97.06200000 PX_BID = 97.05100000</t>
  </si>
  <si>
    <t>DL input prc = 99.46050000  PX_ASK = 99.46500000 PX_BID = 99.45600000</t>
  </si>
  <si>
    <t>DL input prc = 96.58950000  PX_ASK = 96.59400000 PX_BID = 96.58500000</t>
  </si>
  <si>
    <t>DL input prc = 99.18900000  PX_ASK = 99.19400000 PX_BID = 99.18400000</t>
  </si>
  <si>
    <t>DL input prc = 65.30500000  PX_ASK = 65.34700000 PX_BID = 65.26300000</t>
  </si>
  <si>
    <t>DL input prc = 52.55850000  PX_ASK = 52.61900000 PX_BID = 52.49800000</t>
  </si>
  <si>
    <t>DL input prc = 52.01500000  PX_ASK = 52.02700000 PX_BID = 52.00300000</t>
  </si>
  <si>
    <t>DL input prc = 99.71000000  PX_ASK = 99.71500000 PX_BID = 99.70500000</t>
  </si>
  <si>
    <t>DL input prc = 84.98550000  PX_ASK = 85.01500000 PX_BID = 84.95600000</t>
  </si>
  <si>
    <t>DL input prc = 61.83750000  PX_ASK = 61.87800000 PX_BID = 61.79700000</t>
  </si>
  <si>
    <t>DL input prc = 71.97600000  PX_ASK = 71.98000000 PX_BID = 71.97200000</t>
  </si>
  <si>
    <t>DL input prc = 93.57100000  PX_ASK = 93.66700000 PX_BID = 93.47500000</t>
  </si>
  <si>
    <t>DL input prc = 79.20150000  PX_ASK = 79.24800000 PX_BID = 79.15500000</t>
  </si>
  <si>
    <t>DL input prc = 89.71200000  PX_ASK = 89.73600000 PX_BID = 89.68800000</t>
  </si>
  <si>
    <t>DL input prc = 85.32200000  PX_ASK = 85.35300000 PX_BID = 85.29100000</t>
  </si>
  <si>
    <t>DL input prc = 86.32150000  PX_ASK = 86.34500000 PX_BID = 86.29800000</t>
  </si>
  <si>
    <t>DL input prc = 66.69500000  PX_ASK = 66.76600000 PX_BID = 66.62400000</t>
  </si>
  <si>
    <t>DL input prc = 101.87200000  PX_ASK = 101.87600000 PX_BID = 101.86800000</t>
  </si>
  <si>
    <t>DL input prc = 105.11050000  PX_ASK = 105.11400000 PX_BID = 105.10700000</t>
  </si>
  <si>
    <t>DL input prc = 107.42500000  PX_ASK = 107.43000000 PX_BID = 107.42000000</t>
  </si>
  <si>
    <t>DL input prc = 112.96100000  PX_ASK = 112.96800000 PX_BID = 112.95400000</t>
  </si>
  <si>
    <t>DL input prc = 114.06450000  PX_ASK = 114.07400000 PX_BID = 114.05500000</t>
  </si>
  <si>
    <t>DL input prc = 110.20000000  PX_ASK = 110.21100000 PX_BID = 110.18900000</t>
  </si>
  <si>
    <t>DL input prc = 107.81100000  PX_ASK = 107.85200000 PX_BID = 107.77000000</t>
  </si>
  <si>
    <t>DL input prc = 101.98100000  PX_ASK = 101.99800000 PX_BID = 101.96400000</t>
  </si>
  <si>
    <t>DL input prc = 110.27750000  PX_ASK = 110.29000000 PX_BID = 110.26500000</t>
  </si>
  <si>
    <t>DL input prc = 110.16850000  PX_ASK = 110.18800000 PX_BID = 110.14900000</t>
  </si>
  <si>
    <t>DL input prc = 107.80450000  PX_ASK = 107.84900000 PX_BID = 107.76000000</t>
  </si>
  <si>
    <t>DL input prc = 101.35800000  PX_ASK = 101.37600000 PX_BID = 101.34000000</t>
  </si>
  <si>
    <t>DL input prc = 104.13850000  PX_ASK = 104.14400000 PX_BID = 104.13300000</t>
  </si>
  <si>
    <t>DL input prc = 106.39350000  PX_ASK = 106.40800000 PX_BID = 106.37900000</t>
  </si>
  <si>
    <t>DL input prc = 101.83050000  PX_ASK = 101.83800000 PX_BID = 101.82300000</t>
  </si>
  <si>
    <t>DL input prc = 85.47250000  PX_ASK = 85.48700000 PX_BID = 85.45800000</t>
  </si>
  <si>
    <t>DL input prc = 91.77050000  PX_ASK = 91.78000000 PX_BID = 91.76100000</t>
  </si>
  <si>
    <t>DL input prc = 101.21350000  PX_ASK = 101.23800000 PX_BID = 101.18900000</t>
  </si>
  <si>
    <t>DL input prc = 77.68150000  PX_ASK = 77.69800000 PX_BID = 77.66500000</t>
  </si>
  <si>
    <t>DL input prc = 87.29650000  PX_ASK = 87.31100000 PX_BID = 87.28200000</t>
  </si>
  <si>
    <t>DL input prc = 99.47300000  PX_ASK = 99.47800000 PX_BID = 99.46800000</t>
  </si>
  <si>
    <t>DL input prc = 69.59800000  PX_ASK = 69.66600000 PX_BID = 69.53000000</t>
  </si>
  <si>
    <t>DL input prc = 93.83850000  PX_ASK = 93.84700000 PX_BID = 93.83000000</t>
  </si>
  <si>
    <t>DL input prc = 99.60950000  PX_ASK = 99.61400000 PX_BID = 99.60500000</t>
  </si>
  <si>
    <t>DL input prc = 87.27300000  PX_ASK = 87.29200000 PX_BID = 87.25400000</t>
  </si>
  <si>
    <t>DL input prc = 99.30850000  PX_ASK = 99.31200000 PX_BID = 99.30500000</t>
  </si>
  <si>
    <t>DL input prc = 90.53200000  PX_ASK = 90.54700000 PX_BID = 90.51700000</t>
  </si>
  <si>
    <t>DL input prc = 98.80050000  PX_ASK = 98.80500000 PX_BID = 98.79600000</t>
  </si>
  <si>
    <t>DL input prc = 99.96150000  PX_ASK = 99.96800000 PX_BID = 99.95500000</t>
  </si>
  <si>
    <t>DL input prc = 98.10550000  PX_ASK = 98.11700000 PX_BID = 98.09400000</t>
  </si>
  <si>
    <t>DL input prc = 92.19450000  PX_ASK = 92.22900000 PX_BID = 92.16000000</t>
  </si>
  <si>
    <t>DL input prc = 100.30550000  PX_ASK = 100.31400000 PX_BID = 100.29700000</t>
  </si>
  <si>
    <t>DL input prc = 99.98700000  PX_ASK = 99.99200000 PX_BID = 99.98200000</t>
  </si>
  <si>
    <t>DL input prc = 90.14600000  PX_ASK = 90.16000000 PX_BID = 90.13200000</t>
  </si>
  <si>
    <t>DL input prc = 94.16100000  PX_ASK = 94.16900000 PX_BID = 94.15300000</t>
  </si>
  <si>
    <t>DL input prc = 99.05300000  PX_ASK = 99.05800000 PX_BID = 99.04800000</t>
  </si>
  <si>
    <t>DL input prc = 70.77300000  PX_ASK = 70.79400000 PX_BID = 70.75200000</t>
  </si>
  <si>
    <t>DL input prc = 81.60400000  PX_ASK = 81.61300000 PX_BID = 81.59500000</t>
  </si>
  <si>
    <t>DL input prc = 91.92050000  PX_ASK = 91.93000000 PX_BID = 91.91100000</t>
  </si>
  <si>
    <t>DL input prc = 94.03500000  PX_ASK = 94.04200000 PX_BID = 94.02800000</t>
  </si>
  <si>
    <t>IT0005415291</t>
  </si>
  <si>
    <t>DL input prc = 93.26200000  PX_ASK = 93.52400000 PX_BID = 93.00000000</t>
  </si>
  <si>
    <t>DL input prc = 97.84450000  PX_ASK = 97.84900000 PX_BID = 97.84000000</t>
  </si>
  <si>
    <t>DL input prc = 74.52900000  PX_ASK = 74.54400000 PX_BID = 74.51400000</t>
  </si>
  <si>
    <t>DL input prc = 90.14000000  PX_ASK = 90.14600000 PX_BID = 90.13400000</t>
  </si>
  <si>
    <t>DL input prc = 58.74900000  PX_ASK = 58.76700000 PX_BID = 58.73100000</t>
  </si>
  <si>
    <t>DL input prc = 74.92600000  PX_ASK = 74.93900000 PX_BID = 74.91300000</t>
  </si>
  <si>
    <t>DL input prc = 95.69500000  PX_ASK = 95.70100000 PX_BID = 95.68900000</t>
  </si>
  <si>
    <t>DL input prc = 87.93300000  PX_ASK = 87.94100000 PX_BID = 87.92500000</t>
  </si>
  <si>
    <t>DL input prc = 59.92750000  PX_ASK = 59.99300000 PX_BID = 59.86200000</t>
  </si>
  <si>
    <t>DL input prc = 64.10800000  PX_ASK = 64.12400000 PX_BID = 64.09200000</t>
  </si>
  <si>
    <t>DL input prc = 58.56150000  PX_ASK = 58.61100000 PX_BID = 58.51200000</t>
  </si>
  <si>
    <t>DL input prc = 95.35650000  PX_ASK = 95.36300000 PX_BID = 95.35000000</t>
  </si>
  <si>
    <t>DL input prc = 88.75000000  PX_ASK = 88.75900000 PX_BID = 88.74100000</t>
  </si>
  <si>
    <t>DL input prc = 99.66400000  PX_ASK = 99.67100000 PX_BID = 99.65700000</t>
  </si>
  <si>
    <t>DL input prc = 87.52750000  PX_ASK = 87.53900000 PX_BID = 87.51600000</t>
  </si>
  <si>
    <t>DL input prc = 93.80400000  PX_ASK = 93.81200000 PX_BID = 93.79600000</t>
  </si>
  <si>
    <t>DL input prc = 64.58800000  PX_ASK = 64.60600000 PX_BID = 64.57000000</t>
  </si>
  <si>
    <t>DL input prc = 98.80400000  PX_ASK = 98.81000000 PX_BID = 98.79800000</t>
  </si>
  <si>
    <t>DL input prc = 95.20600000  PX_ASK = 95.21400000 PX_BID = 95.19800000</t>
  </si>
  <si>
    <t>DL input prc = 99.66900000  PX_ASK = 99.67700000 PX_BID = 99.66100000</t>
  </si>
  <si>
    <t>DL input prc = 93.88000000  PX_ASK = 93.89000000 PX_BID = 93.87000000</t>
  </si>
  <si>
    <t>DL input prc = 102.84750000  PX_ASK = 102.85700000 PX_BID = 102.83800000</t>
  </si>
  <si>
    <t>DL input prc = 106.12250000  PX_ASK = 106.13200000 PX_BID = 106.11300000</t>
  </si>
  <si>
    <t>DL input prc = 102.87650000  PX_ASK = 102.88500000 PX_BID = 102.86800000</t>
  </si>
  <si>
    <t>DL input prc = 101.07100000  PX_ASK = 101.07600000 PX_BID = 101.06600000</t>
  </si>
  <si>
    <t>DL input prc = 102.52200000  PX_ASK = 102.53800000 PX_BID = 102.50600000</t>
  </si>
  <si>
    <t>DL input prc = 99.88700000  PX_ASK = 99.90300000 PX_BID = 99.87100000</t>
  </si>
  <si>
    <t>DL input prc = 103.98100000  PX_ASK = 103.98900000 PX_BID = 103.97300000</t>
  </si>
  <si>
    <t>DL input prc = 102.43700000  PX_ASK = 102.44500000 PX_BID = 102.42900000</t>
  </si>
  <si>
    <t>DL input prc = 102.11900000  PX_ASK = 102.14400000 PX_BID = 102.09400000</t>
  </si>
  <si>
    <t>DL input prc = 105.65850000  PX_ASK = 105.66900000 PX_BID = 105.64800000</t>
  </si>
  <si>
    <t>DL input prc = 102.00500000  PX_ASK = 102.01100000 PX_BID = 101.99900000</t>
  </si>
  <si>
    <t>DL input prc = 100.38450000  PX_ASK = 100.38900000 PX_BID = 100.38000000</t>
  </si>
  <si>
    <t>DL input prc = 104.57900000  PX_ASK = 104.58700000 PX_BID = 104.57100000</t>
  </si>
  <si>
    <t>DL input prc = 103.67550000  PX_ASK = 103.68400000 PX_BID = 103.66700000</t>
  </si>
  <si>
    <t>DL input prc = 103.06550000  PX_ASK = 103.07400000 PX_BID = 103.05700000</t>
  </si>
  <si>
    <t>DL input prc = 100.24100000  PX_ASK = 100.24600000 PX_BID = 100.23600000</t>
  </si>
  <si>
    <t>DL input prc = 101.59100000  PX_ASK = 101.60000000 PX_BID = 101.58200000</t>
  </si>
  <si>
    <t>DL input prc = 101.25100000  PX_ASK = 101.26200000 PX_BID = 101.24000000</t>
  </si>
  <si>
    <t>DL input prc = 101.19400000  PX_ASK = 101.20200000 PX_BID = 101.18600000</t>
  </si>
  <si>
    <t>DL input prc = 102.00400000  PX_ASK = 102.01400000 PX_BID = 101.99400000</t>
  </si>
  <si>
    <t>DL input prc = 101.27550000  PX_ASK = 101.28500000 PX_BID = 101.26600000</t>
  </si>
  <si>
    <t>DL input prc = 101.70950000  PX_ASK = 101.72200000 PX_BID = 101.69700000</t>
  </si>
  <si>
    <t>DL input prc = 100.80000000  PX_ASK = 100.80400000 PX_BID = 100.79600000</t>
  </si>
  <si>
    <t>DL input prc = 100.16400000  PX_ASK = 100.16900000 PX_BID = 100.15900000</t>
  </si>
  <si>
    <t>DL input prc = 101.65250000  PX_ASK = 101.66000000 PX_BID = 101.64500000</t>
  </si>
  <si>
    <t>DL input prc = 100.11400000  PX_ASK = 100.12100000 PX_BID = 100.10700000</t>
  </si>
  <si>
    <t>DL input prc = 96.54100000  PX_ASK = 96.56200000 PX_BID = 96.52000000</t>
  </si>
  <si>
    <t>DL input prc = 99.65400000  PX_ASK = 99.66300000 PX_BID = 99.64500000</t>
  </si>
  <si>
    <t>DL input prc = 99.91500000  PX_ASK = 99.91900000 PX_BID = 99.91100000</t>
  </si>
  <si>
    <t>DL input prc = 99.75900000  PX_ASK = 99.76700000 PX_BID = 99.75100000</t>
  </si>
  <si>
    <t>DL input prc = 97.00550000  PX_ASK = 97.03000000 PX_BID = 96.98100000</t>
  </si>
  <si>
    <t>DL input prc = 99.96200000  PX_ASK = 99.96800000 PX_BID = 99.95600000</t>
  </si>
  <si>
    <t>DL input prc = 97.28650000  PX_ASK = 97.30200000 PX_BID = 97.27100000</t>
  </si>
  <si>
    <t>DL input prc = 99.65200000  PX_ASK = 99.65700000 PX_BID = 99.64700000</t>
  </si>
  <si>
    <t>DL input prc = 99.64700000  PX_ASK = 99.65800000 PX_BID = 99.63600000</t>
  </si>
  <si>
    <t>DL input prc = 101.66450000  PX_ASK = 101.73200000 PX_BID = 101.59700000</t>
  </si>
  <si>
    <t>DL input prc = 99.19850000  PX_ASK = 99.20800000 PX_BID = 99.18900000</t>
  </si>
  <si>
    <t>DL input prc = 99.22500000  PX_ASK = 99.23300000 PX_BID = 99.21700000</t>
  </si>
  <si>
    <t>DL input prc = 98.44900000  PX_ASK = 98.45700000 PX_BID = 98.44100000</t>
  </si>
  <si>
    <t>DL input prc = 99.24300000  PX_ASK = 99.24700000 PX_BID = 99.23900000</t>
  </si>
  <si>
    <t>DL input prc = 98.65050000  PX_ASK = 98.65700000 PX_BID = 98.64400000</t>
  </si>
  <si>
    <t>DL input prc = 99.35250000  PX_ASK = 99.36100000 PX_BID = 99.34400000</t>
  </si>
  <si>
    <t>DL input prc = 101.58150000  PX_ASK = 101.60400000 PX_BID = 101.55900000</t>
  </si>
  <si>
    <t>DL input prc = 98.77000000  PX_ASK = 98.78000000 PX_BID = 98.76000000</t>
  </si>
  <si>
    <t>DL input prc = 97.72750000  PX_ASK = 97.74100000 PX_BID = 97.71400000</t>
  </si>
  <si>
    <t>DL input prc = 98.66000000  PX_ASK = 98.66900000 PX_BID = 98.65100000</t>
  </si>
  <si>
    <t>DL input prc = 98.46250000  PX_ASK = 98.47300000 PX_BID = 98.45200000</t>
  </si>
  <si>
    <t>DL input prc = 98.99900000  PX_ASK = 99.00400000 PX_BID = 98.99400000</t>
  </si>
  <si>
    <t>DL input prc = 97.55500000  PX_ASK = 97.56900000 PX_BID = 97.54100000</t>
  </si>
  <si>
    <t>DL input prc = 99.11900000  PX_ASK = 99.13300000 PX_BID = 99.10500000</t>
  </si>
  <si>
    <t>DL input prc = 100.19050000  PX_ASK = 100.19800000 PX_BID = 100.18300000</t>
  </si>
  <si>
    <t>DL input prc = 99.66950000  PX_ASK = 99.73000000 PX_BID = 99.60900000</t>
  </si>
  <si>
    <t>JP1051851S56</t>
  </si>
  <si>
    <t>DL input prc = 107.31600000  PX_ASK = 107.35000000 PX_BID = 107.28200000</t>
  </si>
  <si>
    <t>DL input prc = 104.47850000  PX_ASK = 104.49400000 PX_BID = 104.46300000</t>
  </si>
  <si>
    <t>DL input prc = 103.87150000  PX_ASK = 103.91500000 PX_BID = 103.82800000</t>
  </si>
  <si>
    <t>DL input prc = 97.61800000  PX_ASK = 97.63100000 PX_BID = 97.60500000</t>
  </si>
  <si>
    <t>DL input prc = 88.95400000  PX_ASK = 89.00700000 PX_BID = 88.90100000</t>
  </si>
  <si>
    <t>DL input prc = 99.83500000  PX_ASK = 99.84800000 PX_BID = 99.82200000</t>
  </si>
  <si>
    <t>DL input prc = 98.04000000  PX_ASK = 98.05300000 PX_BID = 98.02700000</t>
  </si>
  <si>
    <t>DL input prc = 96.17700000  PX_ASK = 96.18700000 PX_BID = 96.16700000</t>
  </si>
  <si>
    <t>DL input prc = 92.81200000  PX_ASK = 92.82200000 PX_BID = 92.80200000</t>
  </si>
  <si>
    <t>DL input prc = 69.12500000  PX_ASK = 69.16700000 PX_BID = 69.08300000</t>
  </si>
  <si>
    <t>DL input prc = 89.45300000  PX_ASK = 89.46400000 PX_BID = 89.44200000</t>
  </si>
  <si>
    <t>DL input prc = 86.79150000  PX_ASK = 86.80200000 PX_BID = 86.78100000</t>
  </si>
  <si>
    <t>DL input prc = 68.69500000  PX_ASK = 68.73400000 PX_BID = 68.65600000</t>
  </si>
  <si>
    <t>DL input prc = 93.34650000  PX_ASK = 93.35600000 PX_BID = 93.33700000</t>
  </si>
  <si>
    <t>DL input prc = 86.85800000  PX_ASK = 86.86900000 PX_BID = 86.84700000</t>
  </si>
  <si>
    <t>DL input prc = 72.86950000  PX_ASK = 72.90600000 PX_BID = 72.83300000</t>
  </si>
  <si>
    <t>DL input prc = 97.17100000  PX_ASK = 97.18300000 PX_BID = 97.15900000</t>
  </si>
  <si>
    <t>DL input prc = 97.22900000  PX_ASK = 97.26500000 PX_BID = 97.19300000</t>
  </si>
  <si>
    <t>DL input prc = 96.40650000  PX_ASK = 96.42000000 PX_BID = 96.39300000</t>
  </si>
  <si>
    <t>DL input prc = 95.52100000  PX_ASK = 95.53300000 PX_BID = 95.50900000</t>
  </si>
  <si>
    <t>DL input prc = 98.63200000  PX_ASK = 98.66700000 PX_BID = 98.59700000</t>
  </si>
  <si>
    <t>DL input prc = 98.56750000  PX_ASK = 98.58500000 PX_BID = 98.55000000</t>
  </si>
  <si>
    <t>DL input prc = 98.77900000  PX_ASK = 98.79000000 PX_BID = 98.76800000</t>
  </si>
  <si>
    <t>DL input prc = 96.70200000  PX_ASK = 96.71400000 PX_BID = 96.69000000</t>
  </si>
  <si>
    <t>DL input prc = 40.75950000  PX_ASK = 40.80500000 PX_BID = 40.71400000</t>
  </si>
  <si>
    <t>DL input prc = 92.00900000  PX_ASK = 92.10300000 PX_BID = 91.91500000</t>
  </si>
  <si>
    <t>OATU6</t>
  </si>
  <si>
    <t>DL input prc = 97.87750000  PX_ASK = 97.90600000 PX_BID = 97.84900000</t>
  </si>
  <si>
    <t>DL input prc = 90.64700000  PX_ASK = 90.66800000 PX_BID = 90.62600000</t>
  </si>
  <si>
    <t>DL input prc = 80.93700000  PX_ASK = 80.96500000 PX_BID = 80.90900000</t>
  </si>
  <si>
    <t>DL input prc = 87.33950000  PX_ASK = 87.36200000 PX_BID = 87.31700000</t>
  </si>
  <si>
    <t>DL input prc = 100.08250000  PX_ASK = 100.11200000 PX_BID = 100.05300000</t>
  </si>
  <si>
    <t>UXYZ6</t>
  </si>
  <si>
    <t>XQU6</t>
  </si>
  <si>
    <t>Close Yield</t>
  </si>
  <si>
    <t>ClodeDL Yield</t>
  </si>
  <si>
    <t>87.8647206700</t>
  </si>
  <si>
    <t>87.7025255400</t>
  </si>
  <si>
    <t>85.1529570800</t>
  </si>
  <si>
    <t>62.1659184100</t>
  </si>
  <si>
    <t>59.0907099400</t>
  </si>
  <si>
    <t>58.4042467000</t>
  </si>
  <si>
    <t>55.8988506700</t>
  </si>
  <si>
    <t>54.6310419100</t>
  </si>
  <si>
    <t>50.5064748700</t>
  </si>
  <si>
    <t>46.1478694000</t>
  </si>
  <si>
    <t>44.1042272000</t>
  </si>
  <si>
    <t>35.4130644400</t>
  </si>
  <si>
    <t>34.4900194800</t>
  </si>
  <si>
    <t>34.3635023300</t>
  </si>
  <si>
    <t>32.1591426600</t>
  </si>
  <si>
    <t>31.4797595100</t>
  </si>
  <si>
    <t>30.9547588900</t>
  </si>
  <si>
    <t>30.6813693200</t>
  </si>
  <si>
    <t>30.1668180300</t>
  </si>
  <si>
    <t>29.5293062000</t>
  </si>
  <si>
    <t>29.1164854400</t>
  </si>
  <si>
    <t>27.0942650400</t>
  </si>
  <si>
    <t>25.9063890700</t>
  </si>
  <si>
    <t>103.0234375000</t>
  </si>
  <si>
    <t>80.8906250000</t>
  </si>
  <si>
    <t>77.1015625000</t>
  </si>
  <si>
    <t>94.4214018800</t>
  </si>
  <si>
    <t>50.6817772700</t>
  </si>
  <si>
    <t>46.8752419700</t>
  </si>
  <si>
    <t>45.6469015200</t>
  </si>
  <si>
    <t>42.8213139300</t>
  </si>
  <si>
    <t>41.1231364100</t>
  </si>
  <si>
    <t>40.4322884400</t>
  </si>
  <si>
    <t>35.8808627800</t>
  </si>
  <si>
    <t>34.0138263900</t>
  </si>
  <si>
    <t>33.4632507400</t>
  </si>
  <si>
    <t>28.3220515300</t>
  </si>
  <si>
    <t>27.9808353200</t>
  </si>
  <si>
    <t>106.5078125000</t>
  </si>
  <si>
    <t>4.80623840</t>
  </si>
  <si>
    <t>85.9375000000</t>
  </si>
  <si>
    <t>99.2934584700</t>
  </si>
  <si>
    <t>53.8219586300</t>
  </si>
  <si>
    <t>44.2601326500</t>
  </si>
  <si>
    <t>43.5872390600</t>
  </si>
  <si>
    <t>40.5811225500</t>
  </si>
  <si>
    <t>39.9969053200</t>
  </si>
  <si>
    <t>37.8620479600</t>
  </si>
  <si>
    <t>32.5989389500</t>
  </si>
  <si>
    <t>26.7904236100</t>
  </si>
  <si>
    <t>26.4820357200</t>
  </si>
  <si>
    <t>25.6185390200</t>
  </si>
  <si>
    <t>101.4804687500</t>
  </si>
  <si>
    <t>102.6250000000</t>
  </si>
  <si>
    <t>106.1718750000</t>
  </si>
  <si>
    <t>81.2500000000</t>
  </si>
  <si>
    <t>98.4373288000</t>
  </si>
  <si>
    <t>98.3845655400</t>
  </si>
  <si>
    <t>65.7600162700</t>
  </si>
  <si>
    <t>59.2938017900</t>
  </si>
  <si>
    <t>52.8122454100</t>
  </si>
  <si>
    <t>47.8277815400</t>
  </si>
  <si>
    <t>47.6578449400</t>
  </si>
  <si>
    <t>47.0309050000</t>
  </si>
  <si>
    <t>42.1969882700</t>
  </si>
  <si>
    <t>40.9814525800</t>
  </si>
  <si>
    <t>38.9242092800</t>
  </si>
  <si>
    <t>36.7253465200</t>
  </si>
  <si>
    <t>34.8058227100</t>
  </si>
  <si>
    <t>33.0125207400</t>
  </si>
  <si>
    <t>31.7699202500</t>
  </si>
  <si>
    <t>31.0726742800</t>
  </si>
  <si>
    <t>27.6349731500</t>
  </si>
  <si>
    <t>25.5244934800</t>
  </si>
  <si>
    <t>107.7656250000</t>
  </si>
  <si>
    <t>73.7578125000</t>
  </si>
  <si>
    <t>97.5501378800</t>
  </si>
  <si>
    <t>95.4425238200</t>
  </si>
  <si>
    <t>94.5617809500</t>
  </si>
  <si>
    <t>90.7041297700</t>
  </si>
  <si>
    <t>90.5760888100</t>
  </si>
  <si>
    <t>90.0172935300</t>
  </si>
  <si>
    <t>58.2340084000</t>
  </si>
  <si>
    <t>52.9789076000</t>
  </si>
  <si>
    <t>52.2228845100</t>
  </si>
  <si>
    <t>51.4747358700</t>
  </si>
  <si>
    <t>49.7837417800</t>
  </si>
  <si>
    <t>49.2705208400</t>
  </si>
  <si>
    <t>44.9467538800</t>
  </si>
  <si>
    <t>44.7978641800</t>
  </si>
  <si>
    <t>43.4384298600</t>
  </si>
  <si>
    <t>42.9772743100</t>
  </si>
  <si>
    <t>41.7344264400</t>
  </si>
  <si>
    <t>39.4318785400</t>
  </si>
  <si>
    <t>38.7613524400</t>
  </si>
  <si>
    <t>38.2441009000</t>
  </si>
  <si>
    <t>35.7539238600</t>
  </si>
  <si>
    <t>32.2846359900</t>
  </si>
  <si>
    <t>31.3615808000</t>
  </si>
  <si>
    <t>30.5705673700</t>
  </si>
  <si>
    <t>30.2773204500</t>
  </si>
  <si>
    <t>27.7506064800</t>
  </si>
  <si>
    <t>26.3740439700</t>
  </si>
  <si>
    <t>99.3081568300</t>
  </si>
  <si>
    <t>91.6460096600</t>
  </si>
  <si>
    <t>82.5479506700</t>
  </si>
  <si>
    <t>82.3128332300</t>
  </si>
  <si>
    <t>54.7901576600</t>
  </si>
  <si>
    <t>53.6488071400</t>
  </si>
  <si>
    <t>51.3068236000</t>
  </si>
  <si>
    <t>49.9454429000</t>
  </si>
  <si>
    <t>48.3627166700</t>
  </si>
  <si>
    <t>42.3529665900</t>
  </si>
  <si>
    <t>39.8410858000</t>
  </si>
  <si>
    <t>37.3426233200</t>
  </si>
  <si>
    <t>34.9395051100</t>
  </si>
  <si>
    <t>33.5893972400</t>
  </si>
  <si>
    <t>31.9022562400</t>
  </si>
  <si>
    <t>29.6397944400</t>
  </si>
  <si>
    <t>28.0899045100</t>
  </si>
  <si>
    <t>27.4383388000</t>
  </si>
  <si>
    <t>26.1998358600</t>
  </si>
  <si>
    <t>26.0987140200</t>
  </si>
  <si>
    <t>25.8121587000</t>
  </si>
  <si>
    <t>100.4023437500</t>
  </si>
  <si>
    <t>102.7890625000</t>
  </si>
  <si>
    <t>107.4062500000</t>
  </si>
  <si>
    <t>90.7187500000</t>
  </si>
  <si>
    <t>97.4801368900</t>
  </si>
  <si>
    <t>91.5040824200</t>
  </si>
  <si>
    <t>84.9361426100</t>
  </si>
  <si>
    <t>62.3548116100</t>
  </si>
  <si>
    <t>61.5272739400</t>
  </si>
  <si>
    <t>55.7257229600</t>
  </si>
  <si>
    <t>46.3036178400</t>
  </si>
  <si>
    <t>41.5856078700</t>
  </si>
  <si>
    <t>39.2903158700</t>
  </si>
  <si>
    <t>38.3856304100</t>
  </si>
  <si>
    <t>37.7276499300</t>
  </si>
  <si>
    <t>36.3661111700</t>
  </si>
  <si>
    <t>36.2390638000</t>
  </si>
  <si>
    <t>35.2862540800</t>
  </si>
  <si>
    <t>29.9098448700</t>
  </si>
  <si>
    <t>29.7995051700</t>
  </si>
  <si>
    <t>28.8140622500</t>
  </si>
  <si>
    <t>100.8710937500</t>
  </si>
  <si>
    <t>106.5859375000</t>
  </si>
  <si>
    <t>105.0000000000</t>
  </si>
  <si>
    <t>108.9609375000</t>
  </si>
  <si>
    <t>104.7656250000</t>
  </si>
  <si>
    <t>104.5781250000</t>
  </si>
  <si>
    <t>95.5422397700</t>
  </si>
  <si>
    <t>89.8722455600</t>
  </si>
  <si>
    <t>65.5606598800</t>
  </si>
  <si>
    <t>61.6921324600</t>
  </si>
  <si>
    <t>52.0485648000</t>
  </si>
  <si>
    <t>49.1011769100</t>
  </si>
  <si>
    <t>48.5323015500</t>
  </si>
  <si>
    <t>45.4980387800</t>
  </si>
  <si>
    <t>37.2083724900</t>
  </si>
  <si>
    <t>36.8595826500</t>
  </si>
  <si>
    <t>33.8595580100</t>
  </si>
  <si>
    <t>33.1384385500</t>
  </si>
  <si>
    <t>32.7316974600</t>
  </si>
  <si>
    <t>29.2472707300</t>
  </si>
  <si>
    <t>28.7044197200</t>
  </si>
  <si>
    <t>28.4382010100</t>
  </si>
  <si>
    <t>27.3296638900</t>
  </si>
  <si>
    <t>26.9791276200</t>
  </si>
  <si>
    <t>26.6822307300</t>
  </si>
  <si>
    <t>102.2148437500</t>
  </si>
  <si>
    <t>103.2187500000</t>
  </si>
  <si>
    <t>102.8984375000</t>
  </si>
  <si>
    <t>109.0546875000</t>
  </si>
  <si>
    <t>102.7421875000</t>
  </si>
  <si>
    <t>96.7500000000</t>
  </si>
  <si>
    <t>86.0000000000</t>
  </si>
  <si>
    <t>71.0234375000</t>
  </si>
  <si>
    <t>70.8828125000</t>
  </si>
  <si>
    <t>59.7031250000</t>
  </si>
  <si>
    <t>87.9531250000</t>
  </si>
  <si>
    <t>86.7812500000</t>
  </si>
  <si>
    <t>4.99307369</t>
  </si>
  <si>
    <t>4.98719980</t>
  </si>
  <si>
    <t>4.98769450</t>
  </si>
  <si>
    <t>4.97954730</t>
  </si>
  <si>
    <t>74.5625000000</t>
  </si>
  <si>
    <t>47.1562500000</t>
  </si>
  <si>
    <t>66.5156250000</t>
  </si>
  <si>
    <t>93.5156250000</t>
  </si>
  <si>
    <t>94.3593750000</t>
  </si>
  <si>
    <t>4.97024430</t>
  </si>
  <si>
    <t>4.97408410</t>
  </si>
  <si>
    <t>4.98657757</t>
  </si>
  <si>
    <t>4.98867681</t>
  </si>
  <si>
    <t>4.97883100</t>
  </si>
  <si>
    <t>4.98058750</t>
  </si>
  <si>
    <t>US912810UV88</t>
  </si>
  <si>
    <t>4.98107820</t>
  </si>
  <si>
    <t>3.68200000</t>
  </si>
  <si>
    <t>4.16000000</t>
  </si>
  <si>
    <t>77.7136193600</t>
  </si>
  <si>
    <t>63.1562500000</t>
  </si>
  <si>
    <t>57.7187500000</t>
  </si>
  <si>
    <t>56.9687500000</t>
  </si>
  <si>
    <t>53.3984375000</t>
  </si>
  <si>
    <t>52.1875000000</t>
  </si>
  <si>
    <t>86.7343750000</t>
  </si>
  <si>
    <t>4.99096438</t>
  </si>
  <si>
    <t>4.98232130</t>
  </si>
  <si>
    <t>74.9687500000</t>
  </si>
  <si>
    <t>69.9687500000</t>
  </si>
  <si>
    <t>61.7187500000</t>
  </si>
  <si>
    <t>47.0937500000</t>
  </si>
  <si>
    <t>48.5312500000</t>
  </si>
  <si>
    <t>51.7500000000</t>
  </si>
  <si>
    <t>88.2421875000</t>
  </si>
  <si>
    <t>96.0781250000</t>
  </si>
  <si>
    <t>92.4218750000</t>
  </si>
  <si>
    <t>4.98507800</t>
  </si>
  <si>
    <t>95.4843750000</t>
  </si>
  <si>
    <t>105.3515625000</t>
  </si>
  <si>
    <t>77.2265625000</t>
  </si>
  <si>
    <t>73.8828125000</t>
  </si>
  <si>
    <t>68.4218750000</t>
  </si>
  <si>
    <t>68.1406250000</t>
  </si>
  <si>
    <t>64.7343750000</t>
  </si>
  <si>
    <t>51.8125000000</t>
  </si>
  <si>
    <t>79.4062500000</t>
  </si>
  <si>
    <t>82.7343750000</t>
  </si>
  <si>
    <t>74.3046875000</t>
  </si>
  <si>
    <t>72.0234375000</t>
  </si>
  <si>
    <t>61.6562500000</t>
  </si>
  <si>
    <t>56.4218750000</t>
  </si>
  <si>
    <t>59.6562500000</t>
  </si>
  <si>
    <t>84.9375000000</t>
  </si>
  <si>
    <t>4.98268440</t>
  </si>
  <si>
    <t>4.99226980</t>
  </si>
  <si>
    <t>4.97759521</t>
  </si>
  <si>
    <t>88.6854266000</t>
  </si>
  <si>
    <t>99.4336348100</t>
  </si>
  <si>
    <t>4.10500000</t>
  </si>
  <si>
    <t>84.0433721900</t>
  </si>
  <si>
    <t>94.3906250000</t>
  </si>
  <si>
    <t>4.81537290</t>
  </si>
  <si>
    <t>68.2187500000</t>
  </si>
  <si>
    <t>77.6875000000</t>
  </si>
  <si>
    <t>70.4531250000</t>
  </si>
  <si>
    <t>61.9843750000</t>
  </si>
  <si>
    <t>54.4687500000</t>
  </si>
  <si>
    <t>52.3125000000</t>
  </si>
  <si>
    <t>83.0312500000</t>
  </si>
  <si>
    <t>87.9062500000</t>
  </si>
  <si>
    <t>57.7812500000</t>
  </si>
  <si>
    <t>88.1328125000</t>
  </si>
  <si>
    <t>89.8750000000</t>
  </si>
  <si>
    <t>93.3819085600</t>
  </si>
  <si>
    <t>96.3771172100</t>
  </si>
  <si>
    <t>88.8005902200</t>
  </si>
  <si>
    <t>4.97658863</t>
  </si>
  <si>
    <t>86.0544340400</t>
  </si>
  <si>
    <t>76.7574476800</t>
  </si>
  <si>
    <t>4.22400000</t>
  </si>
  <si>
    <t>.85662953</t>
  </si>
  <si>
    <t>97.9179687500</t>
  </si>
  <si>
    <t>4.03025726</t>
  </si>
  <si>
    <t>4.09132634</t>
  </si>
  <si>
    <t>1.45645639</t>
  </si>
  <si>
    <t>4.10452276</t>
  </si>
  <si>
    <t>3.77265211</t>
  </si>
  <si>
    <t>-5.21493479</t>
  </si>
  <si>
    <t>3.79810899</t>
  </si>
  <si>
    <t>3.73493065</t>
  </si>
  <si>
    <t>74.2680793500</t>
  </si>
  <si>
    <t>80.6122457800</t>
  </si>
  <si>
    <t>4.24100000</t>
  </si>
  <si>
    <t>4.19100000</t>
  </si>
  <si>
    <t>.79977046</t>
  </si>
  <si>
    <t>3.98668658</t>
  </si>
  <si>
    <t>4.00458299</t>
  </si>
  <si>
    <t>4.07494930</t>
  </si>
  <si>
    <t>4.08988100</t>
  </si>
  <si>
    <t>3.37845244</t>
  </si>
  <si>
    <t>-5.98259612</t>
  </si>
  <si>
    <t>3.91586213</t>
  </si>
  <si>
    <t>1.19731990</t>
  </si>
  <si>
    <t>4.12861066</t>
  </si>
  <si>
    <t>1.55443653</t>
  </si>
  <si>
    <t>3.84451898</t>
  </si>
  <si>
    <t>4.16009850</t>
  </si>
  <si>
    <t>4.15574310</t>
  </si>
  <si>
    <t>3.96083846</t>
  </si>
  <si>
    <t>92.5741766400</t>
  </si>
  <si>
    <t>86.8154262900</t>
  </si>
  <si>
    <t>83.3116374100</t>
  </si>
  <si>
    <t>79.5237583600</t>
  </si>
  <si>
    <t>78.7465444000</t>
  </si>
  <si>
    <t>74.9838726000</t>
  </si>
  <si>
    <t>3.70989356</t>
  </si>
  <si>
    <t>3.96272389</t>
  </si>
  <si>
    <t>4.05212974</t>
  </si>
  <si>
    <t>4.06283322</t>
  </si>
  <si>
    <t>1.43484606</t>
  </si>
  <si>
    <t>4.10727357</t>
  </si>
  <si>
    <t>.90218386</t>
  </si>
  <si>
    <t>.78618591</t>
  </si>
  <si>
    <t>3.60370811</t>
  </si>
  <si>
    <t>3.79524590</t>
  </si>
  <si>
    <t>3.76576242</t>
  </si>
  <si>
    <t>92.4921875000</t>
  </si>
  <si>
    <t>4.98968090</t>
  </si>
  <si>
    <t>96.4770067200</t>
  </si>
  <si>
    <t>84.1955141400</t>
  </si>
  <si>
    <t>77.8539238700</t>
  </si>
  <si>
    <t>75.1462309200</t>
  </si>
  <si>
    <t>4.17800000</t>
  </si>
  <si>
    <t>3.81019733</t>
  </si>
  <si>
    <t>4.05588777</t>
  </si>
  <si>
    <t>98.9335937500</t>
  </si>
  <si>
    <t>3.88573034</t>
  </si>
  <si>
    <t>3.69129202</t>
  </si>
  <si>
    <t>3.73404693</t>
  </si>
  <si>
    <t>3.80014153</t>
  </si>
  <si>
    <t>4.02543261</t>
  </si>
  <si>
    <t>87.1328125000</t>
  </si>
  <si>
    <t>4.17003650</t>
  </si>
  <si>
    <t>95.1210937500</t>
  </si>
  <si>
    <t>4.04606026</t>
  </si>
  <si>
    <t>4.06354817</t>
  </si>
  <si>
    <t>4.19510900</t>
  </si>
  <si>
    <t>4.20457180</t>
  </si>
  <si>
    <t>4.06507020</t>
  </si>
  <si>
    <t>4.06807443</t>
  </si>
  <si>
    <t>3.52661427</t>
  </si>
  <si>
    <t>4.05808900</t>
  </si>
  <si>
    <t>4.21915360</t>
  </si>
  <si>
    <t>3.79332421</t>
  </si>
  <si>
    <t>4.07544020</t>
  </si>
  <si>
    <t>4.23124962</t>
  </si>
  <si>
    <t>3.74370892</t>
  </si>
  <si>
    <t>4.08161236</t>
  </si>
  <si>
    <t>3.76265184</t>
  </si>
  <si>
    <t>4.08827226</t>
  </si>
  <si>
    <t>4.25837093</t>
  </si>
  <si>
    <t>94.3203125000</t>
  </si>
  <si>
    <t>93.5061940200</t>
  </si>
  <si>
    <t>75.9242213100</t>
  </si>
  <si>
    <t>81.5145759900</t>
  </si>
  <si>
    <t>4.02460717</t>
  </si>
  <si>
    <t>4.04732557</t>
  </si>
  <si>
    <t>95.2890625000</t>
  </si>
  <si>
    <t>1.38548606</t>
  </si>
  <si>
    <t>3.81315585</t>
  </si>
  <si>
    <t>3.84788435</t>
  </si>
  <si>
    <t>4.11060434</t>
  </si>
  <si>
    <t>4.12684850</t>
  </si>
  <si>
    <t>97.4492187500</t>
  </si>
  <si>
    <t>97.4257812500</t>
  </si>
  <si>
    <t>3.81458811</t>
  </si>
  <si>
    <t>3.86631868</t>
  </si>
  <si>
    <t>3.89819045</t>
  </si>
  <si>
    <t>96.7382812500</t>
  </si>
  <si>
    <t>95.9726562500</t>
  </si>
  <si>
    <t>3.95252812</t>
  </si>
  <si>
    <t>3.97771704</t>
  </si>
  <si>
    <t>3.98441078</t>
  </si>
  <si>
    <t>3.99196014</t>
  </si>
  <si>
    <t>95.2695312500</t>
  </si>
  <si>
    <t>4.16674780</t>
  </si>
  <si>
    <t>4.18150740</t>
  </si>
  <si>
    <t>4.03668370</t>
  </si>
  <si>
    <t>4.16004220</t>
  </si>
  <si>
    <t>4.05766658</t>
  </si>
  <si>
    <t>88.6328125000</t>
  </si>
  <si>
    <t>4.05437400</t>
  </si>
  <si>
    <t>94.4921875000</t>
  </si>
  <si>
    <t>83.1450177500</t>
  </si>
  <si>
    <t>79.6637559300</t>
  </si>
  <si>
    <t>80.4073943100</t>
  </si>
  <si>
    <t>97.8007812500</t>
  </si>
  <si>
    <t>4.09146727</t>
  </si>
  <si>
    <t>96.5546875000</t>
  </si>
  <si>
    <t>96.5078125000</t>
  </si>
  <si>
    <t>1.40125843</t>
  </si>
  <si>
    <t>99.2148437500</t>
  </si>
  <si>
    <t>4.09101713</t>
  </si>
  <si>
    <t>95.4296875000</t>
  </si>
  <si>
    <t>4.10704341</t>
  </si>
  <si>
    <t>96.2109375000</t>
  </si>
  <si>
    <t>4.11112545</t>
  </si>
  <si>
    <t>3.95639240</t>
  </si>
  <si>
    <t>3.97497509</t>
  </si>
  <si>
    <t>4.13396442</t>
  </si>
  <si>
    <t>4.12570598</t>
  </si>
  <si>
    <t>4.14065064</t>
  </si>
  <si>
    <t>4.29834168</t>
  </si>
  <si>
    <t>4.01405464</t>
  </si>
  <si>
    <t>4.15247221</t>
  </si>
  <si>
    <t>95.2734375000</t>
  </si>
  <si>
    <t>4.31963320</t>
  </si>
  <si>
    <t>4.03228200</t>
  </si>
  <si>
    <t>4.14661853</t>
  </si>
  <si>
    <t>4.15750065</t>
  </si>
  <si>
    <t>4.33064295</t>
  </si>
  <si>
    <t>1.22379846</t>
  </si>
  <si>
    <t>3.66163998</t>
  </si>
  <si>
    <t>3.74864303</t>
  </si>
  <si>
    <t>3.80822058</t>
  </si>
  <si>
    <t>3.81453120</t>
  </si>
  <si>
    <t>1.53834176</t>
  </si>
  <si>
    <t>4.14142490</t>
  </si>
  <si>
    <t>3.79976940</t>
  </si>
  <si>
    <t>96.7148437500</t>
  </si>
  <si>
    <t>3.92812700</t>
  </si>
  <si>
    <t>95.3945312500</t>
  </si>
  <si>
    <t>4.00257350</t>
  </si>
  <si>
    <t>4.02587905</t>
  </si>
  <si>
    <t>4.00892096</t>
  </si>
  <si>
    <t>1.62398305</t>
  </si>
  <si>
    <t>4.05046590</t>
  </si>
  <si>
    <t>3.75792593</t>
  </si>
  <si>
    <t>3.80254330</t>
  </si>
  <si>
    <t>3.83839010</t>
  </si>
  <si>
    <t>87.3046875000</t>
  </si>
  <si>
    <t>4.14837692</t>
  </si>
  <si>
    <t>3.91600690</t>
  </si>
  <si>
    <t>3.97294605</t>
  </si>
  <si>
    <t>4.04689170</t>
  </si>
  <si>
    <t>3.71532378</t>
  </si>
  <si>
    <t>4.06516606</t>
  </si>
  <si>
    <t>3.70955151</t>
  </si>
  <si>
    <t>4.09026773</t>
  </si>
  <si>
    <t>3.83959685</t>
  </si>
  <si>
    <t>3.94308567</t>
  </si>
  <si>
    <t>94.5078125000</t>
  </si>
  <si>
    <t>95.4179687500</t>
  </si>
  <si>
    <t>4.01752240</t>
  </si>
  <si>
    <t>4.04154976</t>
  </si>
  <si>
    <t>93.3203125000</t>
  </si>
  <si>
    <t>1.63499322</t>
  </si>
  <si>
    <t>3.90304930</t>
  </si>
  <si>
    <t>96.4570312500</t>
  </si>
  <si>
    <t>4.05018509</t>
  </si>
  <si>
    <t>3.80962328</t>
  </si>
  <si>
    <t>4.20813420</t>
  </si>
  <si>
    <t>93.7734375000</t>
  </si>
  <si>
    <t>3.68808539</t>
  </si>
  <si>
    <t>99.8164062500</t>
  </si>
  <si>
    <t>3.56258383</t>
  </si>
  <si>
    <t>4.08052458</t>
  </si>
  <si>
    <t>3.82302851</t>
  </si>
  <si>
    <t>3.77324935</t>
  </si>
  <si>
    <t>98.5976562500</t>
  </si>
  <si>
    <t>3.79812665</t>
  </si>
  <si>
    <t>88.1015625000</t>
  </si>
  <si>
    <t>4.09486079</t>
  </si>
  <si>
    <t>99.0859375000</t>
  </si>
  <si>
    <t>4.09636720</t>
  </si>
  <si>
    <t>3.87290660</t>
  </si>
  <si>
    <t>4.09963857</t>
  </si>
  <si>
    <t>3.90028309</t>
  </si>
  <si>
    <t>3.92496708</t>
  </si>
  <si>
    <t>4.12253570</t>
  </si>
  <si>
    <t>3.95852758</t>
  </si>
  <si>
    <t>4.12010543</t>
  </si>
  <si>
    <t>4.33744455</t>
  </si>
  <si>
    <t>3.06902757</t>
  </si>
  <si>
    <t>4.15597758</t>
  </si>
  <si>
    <t>4.16448015</t>
  </si>
  <si>
    <t>4.06635576</t>
  </si>
  <si>
    <t>4.16628495</t>
  </si>
  <si>
    <t>3.72364232</t>
  </si>
  <si>
    <t>4.16626799</t>
  </si>
  <si>
    <t>4.06614409</t>
  </si>
  <si>
    <t>3.63380058</t>
  </si>
  <si>
    <t>4.16477940</t>
  </si>
  <si>
    <t>4.17464830</t>
  </si>
  <si>
    <t>101.2109375000</t>
  </si>
  <si>
    <t>3.78111583</t>
  </si>
  <si>
    <t>4.08868050</t>
  </si>
  <si>
    <t>4.37076142</t>
  </si>
  <si>
    <t>3.84829817</t>
  </si>
  <si>
    <t>4.09555134</t>
  </si>
  <si>
    <t>4.10466730</t>
  </si>
  <si>
    <t>4.19615020</t>
  </si>
  <si>
    <t>4.03589370</t>
  </si>
  <si>
    <t>4.05159991</t>
  </si>
  <si>
    <t>3.76283238</t>
  </si>
  <si>
    <t>4.09857460</t>
  </si>
  <si>
    <t>4.09604348</t>
  </si>
  <si>
    <t>4.08217918</t>
  </si>
  <si>
    <t>91.4140625000</t>
  </si>
  <si>
    <t>3.81577791</t>
  </si>
  <si>
    <t>4.11107510</t>
  </si>
  <si>
    <t>4.27196470</t>
  </si>
  <si>
    <t>4.10546153</t>
  </si>
  <si>
    <t>3.91108224</t>
  </si>
  <si>
    <t>98.9492187500</t>
  </si>
  <si>
    <t>86.2421875000</t>
  </si>
  <si>
    <t>4.24183379</t>
  </si>
  <si>
    <t>4.09509130</t>
  </si>
  <si>
    <t>94.1718750000</t>
  </si>
  <si>
    <t>3.81577717</t>
  </si>
  <si>
    <t>92.7343750000</t>
  </si>
  <si>
    <t>96.2421875000</t>
  </si>
  <si>
    <t>3.94136026</t>
  </si>
  <si>
    <t>4.29143340</t>
  </si>
  <si>
    <t>4.13287193</t>
  </si>
  <si>
    <t>86.9766513600</t>
  </si>
  <si>
    <t>76.9625875600</t>
  </si>
  <si>
    <t>97.5351562500</t>
  </si>
  <si>
    <t>3.73021416</t>
  </si>
  <si>
    <t>4.10753878</t>
  </si>
  <si>
    <t>97.0429687500</t>
  </si>
  <si>
    <t>4.28229841</t>
  </si>
  <si>
    <t>4.12336225</t>
  </si>
  <si>
    <t>3.99857464</t>
  </si>
  <si>
    <t>3.98020532</t>
  </si>
  <si>
    <t>4.12745180</t>
  </si>
  <si>
    <t>4.13965806</t>
  </si>
  <si>
    <t>4.02774145</t>
  </si>
  <si>
    <t>4.02911210</t>
  </si>
  <si>
    <t>4.04224805</t>
  </si>
  <si>
    <t>4.03481780</t>
  </si>
  <si>
    <t>1.82675362</t>
  </si>
  <si>
    <t>4.31405716</t>
  </si>
  <si>
    <t>98.1328125000</t>
  </si>
  <si>
    <t>4.04301365</t>
  </si>
  <si>
    <t>4.16050000</t>
  </si>
  <si>
    <t>4.14912244</t>
  </si>
  <si>
    <t>3.51566748</t>
  </si>
  <si>
    <t>4.08423830</t>
  </si>
  <si>
    <t>3.80165255</t>
  </si>
  <si>
    <t>4.10452940</t>
  </si>
  <si>
    <t>4.24832015</t>
  </si>
  <si>
    <t>3.89530760</t>
  </si>
  <si>
    <t>4.11934307</t>
  </si>
  <si>
    <t>4.11158650</t>
  </si>
  <si>
    <t>98.9804687500</t>
  </si>
  <si>
    <t>4.00402705</t>
  </si>
  <si>
    <t>4.01846719</t>
  </si>
  <si>
    <t>4.05651030</t>
  </si>
  <si>
    <t>4.04613374</t>
  </si>
  <si>
    <t>3.68991486</t>
  </si>
  <si>
    <t>4.09651520</t>
  </si>
  <si>
    <t>4.10835510</t>
  </si>
  <si>
    <t>3.87523421</t>
  </si>
  <si>
    <t>4.18993783</t>
  </si>
  <si>
    <t>4.38639495</t>
  </si>
  <si>
    <t>4.37934137</t>
  </si>
  <si>
    <t>100.5351562500</t>
  </si>
  <si>
    <t>4.10686985</t>
  </si>
  <si>
    <t>3.91116360</t>
  </si>
  <si>
    <t>3.93453080</t>
  </si>
  <si>
    <t>3.81177949</t>
  </si>
  <si>
    <t>4.20738377</t>
  </si>
  <si>
    <t>3.97240718</t>
  </si>
  <si>
    <t>4.13118530</t>
  </si>
  <si>
    <t>3.97023500</t>
  </si>
  <si>
    <t>99.8242187500</t>
  </si>
  <si>
    <t>4.13140194</t>
  </si>
  <si>
    <t>3.77451907</t>
  </si>
  <si>
    <t>4.29129862</t>
  </si>
  <si>
    <t>4.03950160</t>
  </si>
  <si>
    <t>1.83708767</t>
  </si>
  <si>
    <t>4.04403840</t>
  </si>
  <si>
    <t>4.13976565</t>
  </si>
  <si>
    <t>4.14621644</t>
  </si>
  <si>
    <t>4.05204470</t>
  </si>
  <si>
    <t>4.06292229</t>
  </si>
  <si>
    <t>98.5468750000</t>
  </si>
  <si>
    <t>4.06929146</t>
  </si>
  <si>
    <t>4.34498305</t>
  </si>
  <si>
    <t>4.33979405</t>
  </si>
  <si>
    <t>4.08083725</t>
  </si>
  <si>
    <t>4.17774372</t>
  </si>
  <si>
    <t>4.35327406</t>
  </si>
  <si>
    <t>4.35820841</t>
  </si>
  <si>
    <t>99.8007812500</t>
  </si>
  <si>
    <t>4.13813800</t>
  </si>
  <si>
    <t>4.14304996</t>
  </si>
  <si>
    <t>4.14718270</t>
  </si>
  <si>
    <t>4.05253498</t>
  </si>
  <si>
    <t>4.15778420</t>
  </si>
  <si>
    <t>4.05044983</t>
  </si>
  <si>
    <t>100.0820312500</t>
  </si>
  <si>
    <t>4.16909160</t>
  </si>
  <si>
    <t>95.8632812500</t>
  </si>
  <si>
    <t>93.3671875000</t>
  </si>
  <si>
    <t>94.8984375000</t>
  </si>
  <si>
    <t>4.07002880</t>
  </si>
  <si>
    <t>86.2734375000</t>
  </si>
  <si>
    <t>86.1953125000</t>
  </si>
  <si>
    <t>1.83392697</t>
  </si>
  <si>
    <t>97.1171875000</t>
  </si>
  <si>
    <t>3.84232424</t>
  </si>
  <si>
    <t>3.76032574</t>
  </si>
  <si>
    <t>4.08080650</t>
  </si>
  <si>
    <t>4.16809879</t>
  </si>
  <si>
    <t>4.18205646</t>
  </si>
  <si>
    <t>3.73894054</t>
  </si>
  <si>
    <t>3.79856740</t>
  </si>
  <si>
    <t>1.92838910</t>
  </si>
  <si>
    <t>4.37565587</t>
  </si>
  <si>
    <t>3.80825890</t>
  </si>
  <si>
    <t>1.54184835</t>
  </si>
  <si>
    <t>3.72766331</t>
  </si>
  <si>
    <t>4.09113070</t>
  </si>
  <si>
    <t>4.17793560</t>
  </si>
  <si>
    <t>4.10168310</t>
  </si>
  <si>
    <t>4.10488679</t>
  </si>
  <si>
    <t>4.17979077</t>
  </si>
  <si>
    <t>3.82122873</t>
  </si>
  <si>
    <t>1.52243061</t>
  </si>
  <si>
    <t>4.09898954</t>
  </si>
  <si>
    <t>3.91398650</t>
  </si>
  <si>
    <t>3.89279032</t>
  </si>
  <si>
    <t>4.20278030</t>
  </si>
  <si>
    <t>4.19588190</t>
  </si>
  <si>
    <t>3.47840303</t>
  </si>
  <si>
    <t>3.58450577</t>
  </si>
  <si>
    <t>4.20226922</t>
  </si>
  <si>
    <t>1.93029486</t>
  </si>
  <si>
    <t>3.76281632</t>
  </si>
  <si>
    <t>4.12068070</t>
  </si>
  <si>
    <t>3.98295940</t>
  </si>
  <si>
    <t>4.21897114</t>
  </si>
  <si>
    <t>1.44080675</t>
  </si>
  <si>
    <t>4.41070687</t>
  </si>
  <si>
    <t>4.02502883</t>
  </si>
  <si>
    <t>3.81144267</t>
  </si>
  <si>
    <t>4.03767113</t>
  </si>
  <si>
    <t>4.42755990</t>
  </si>
  <si>
    <t>4.04475840</t>
  </si>
  <si>
    <t>4.15272062</t>
  </si>
  <si>
    <t>3.82573483</t>
  </si>
  <si>
    <t>4.04494994</t>
  </si>
  <si>
    <t>3.87131961</t>
  </si>
  <si>
    <t>4.25315859</t>
  </si>
  <si>
    <t>1.62482283</t>
  </si>
  <si>
    <t>1.61015737</t>
  </si>
  <si>
    <t>4.44193743</t>
  </si>
  <si>
    <t>4.43763029</t>
  </si>
  <si>
    <t>4.06142924</t>
  </si>
  <si>
    <t>1.82435284</t>
  </si>
  <si>
    <t>4.07020090</t>
  </si>
  <si>
    <t>3.69028258</t>
  </si>
  <si>
    <t>4.08041621</t>
  </si>
  <si>
    <t>4.09064129</t>
  </si>
  <si>
    <t>102.7734375000</t>
  </si>
  <si>
    <t>4.17246317</t>
  </si>
  <si>
    <t>4.18751540</t>
  </si>
  <si>
    <t>4.09546838</t>
  </si>
  <si>
    <t>4.18263894</t>
  </si>
  <si>
    <t>4.18996721</t>
  </si>
  <si>
    <t>4.19697724</t>
  </si>
  <si>
    <t>4.11802380</t>
  </si>
  <si>
    <t>4.19891440</t>
  </si>
  <si>
    <t>4.12050180</t>
  </si>
  <si>
    <t>3.70945667</t>
  </si>
  <si>
    <t>4.39897738</t>
  </si>
  <si>
    <t>4.22061450</t>
  </si>
  <si>
    <t>4.21314257</t>
  </si>
  <si>
    <t>4.12664057</t>
  </si>
  <si>
    <t>3.99119313</t>
  </si>
  <si>
    <t>3.74078734</t>
  </si>
  <si>
    <t>4.01526730</t>
  </si>
  <si>
    <t>4.23083495</t>
  </si>
  <si>
    <t>4.23714381</t>
  </si>
  <si>
    <t>4.10486694</t>
  </si>
  <si>
    <t>98.5820312500</t>
  </si>
  <si>
    <t>3.84323201</t>
  </si>
  <si>
    <t>99.0117187500</t>
  </si>
  <si>
    <t>3.97402600</t>
  </si>
  <si>
    <t>4.08908709</t>
  </si>
  <si>
    <t>4.26255460</t>
  </si>
  <si>
    <t>91.6875000000</t>
  </si>
  <si>
    <t>4.05482380</t>
  </si>
  <si>
    <t>4.06443336</t>
  </si>
  <si>
    <t>3.96920235</t>
  </si>
  <si>
    <t>3.95173495</t>
  </si>
  <si>
    <t>2.01920074</t>
  </si>
  <si>
    <t>2.01350579</t>
  </si>
  <si>
    <t>4.44979267</t>
  </si>
  <si>
    <t>4.07350065</t>
  </si>
  <si>
    <t>3.98087040</t>
  </si>
  <si>
    <t>4.08406944</t>
  </si>
  <si>
    <t>4.29153273</t>
  </si>
  <si>
    <t>4.16450635</t>
  </si>
  <si>
    <t>4.29460234</t>
  </si>
  <si>
    <t>4.29890432</t>
  </si>
  <si>
    <t>4.46206100</t>
  </si>
  <si>
    <t>4.02259560</t>
  </si>
  <si>
    <t>4.17454600</t>
  </si>
  <si>
    <t>2.09127908</t>
  </si>
  <si>
    <t>4.18345330</t>
  </si>
  <si>
    <t>4.09471490</t>
  </si>
  <si>
    <t>4.03335630</t>
  </si>
  <si>
    <t>4.31153580</t>
  </si>
  <si>
    <t>4.17981180</t>
  </si>
  <si>
    <t>4.13648444</t>
  </si>
  <si>
    <t>3.77654686</t>
  </si>
  <si>
    <t>4.23913940</t>
  </si>
  <si>
    <t>4.03516320</t>
  </si>
  <si>
    <t>4.24939648</t>
  </si>
  <si>
    <t>4.25250264</t>
  </si>
  <si>
    <t>3.85988795</t>
  </si>
  <si>
    <t>3.89356145</t>
  </si>
  <si>
    <t>4.26219090</t>
  </si>
  <si>
    <t>4.26818660</t>
  </si>
  <si>
    <t>4.15911478</t>
  </si>
  <si>
    <t>4.28042364</t>
  </si>
  <si>
    <t>3.97104350</t>
  </si>
  <si>
    <t>4.28615250</t>
  </si>
  <si>
    <t>4.07308853</t>
  </si>
  <si>
    <t>3.98159531</t>
  </si>
  <si>
    <t>4.21987003</t>
  </si>
  <si>
    <t>3.77299326</t>
  </si>
  <si>
    <t>4.01098076</t>
  </si>
  <si>
    <t>4.22310680</t>
  </si>
  <si>
    <t>4.22956670</t>
  </si>
  <si>
    <t>4.02591670</t>
  </si>
  <si>
    <t>4.14859853</t>
  </si>
  <si>
    <t>2.01467747</t>
  </si>
  <si>
    <t>4.24318046</t>
  </si>
  <si>
    <t>4.24636369</t>
  </si>
  <si>
    <t>4.14376507</t>
  </si>
  <si>
    <t>4.15657243</t>
  </si>
  <si>
    <t>95.5859375000</t>
  </si>
  <si>
    <t>4.04783990</t>
  </si>
  <si>
    <t>4.15591533</t>
  </si>
  <si>
    <t>1.27601948</t>
  </si>
  <si>
    <t>1.29925057</t>
  </si>
  <si>
    <t>4.08116352</t>
  </si>
  <si>
    <t>4.05783597</t>
  </si>
  <si>
    <t>4.17439742</t>
  </si>
  <si>
    <t>3.76639195</t>
  </si>
  <si>
    <t>3.69383270</t>
  </si>
  <si>
    <t>99.1796875000</t>
  </si>
  <si>
    <t>3.79047480</t>
  </si>
  <si>
    <t>4.18891140</t>
  </si>
  <si>
    <t>3.84743991</t>
  </si>
  <si>
    <t>4.11042015</t>
  </si>
  <si>
    <t>4.15872930</t>
  </si>
  <si>
    <t>4.27239625</t>
  </si>
  <si>
    <t>3.91740546</t>
  </si>
  <si>
    <t>4.16535431</t>
  </si>
  <si>
    <t>4.27601438</t>
  </si>
  <si>
    <t>4.28575971</t>
  </si>
  <si>
    <t>4.17056531</t>
  </si>
  <si>
    <t>4.08730734</t>
  </si>
  <si>
    <t>4.17933068</t>
  </si>
  <si>
    <t>4.08617960</t>
  </si>
  <si>
    <t>101.7734375000</t>
  </si>
  <si>
    <t>100.9218750000</t>
  </si>
  <si>
    <t>1.93508928</t>
  </si>
  <si>
    <t>4.20584990</t>
  </si>
  <si>
    <t>4.09324530</t>
  </si>
  <si>
    <t>4.31584019</t>
  </si>
  <si>
    <t>99.6914062500</t>
  </si>
  <si>
    <t>4.18745888</t>
  </si>
  <si>
    <t>4.47486434</t>
  </si>
  <si>
    <t>US91282CQT17</t>
  </si>
  <si>
    <t>4.32836750</t>
  </si>
  <si>
    <t>80.2765888900</t>
  </si>
  <si>
    <t>74.8709367300</t>
  </si>
  <si>
    <t>66.0997525800</t>
  </si>
  <si>
    <t>60.9303298800</t>
  </si>
  <si>
    <t>59.5289024200</t>
  </si>
  <si>
    <t>55.4145550200</t>
  </si>
  <si>
    <t>55.1191007500</t>
  </si>
  <si>
    <t>53.7746349000</t>
  </si>
  <si>
    <t>53.4900216700</t>
  </si>
  <si>
    <t>52.6897853200</t>
  </si>
  <si>
    <t>37.7181180100</t>
  </si>
  <si>
    <t>37.3922919500</t>
  </si>
  <si>
    <t>45.2731382300</t>
  </si>
  <si>
    <t>44.9425012500</t>
  </si>
  <si>
    <t>40.8010771200</t>
  </si>
  <si>
    <t>38.2142458600</t>
  </si>
  <si>
    <t>36.8762561500</t>
  </si>
  <si>
    <t>4.39429785</t>
  </si>
  <si>
    <t>3.95551319</t>
  </si>
  <si>
    <t>4.21381650</t>
  </si>
  <si>
    <t>3.69920548</t>
  </si>
  <si>
    <t>4.01434380</t>
  </si>
  <si>
    <t>4.30299720</t>
  </si>
  <si>
    <t>4.08429775</t>
  </si>
  <si>
    <t>4.03779945</t>
  </si>
  <si>
    <t>2.09583545</t>
  </si>
  <si>
    <t>4.30994460</t>
  </si>
  <si>
    <t>4.10095030</t>
  </si>
  <si>
    <t>4.31566000</t>
  </si>
  <si>
    <t>4.17607950</t>
  </si>
  <si>
    <t>4.09930960</t>
  </si>
  <si>
    <t>4.18469394</t>
  </si>
  <si>
    <t>4.18833538</t>
  </si>
  <si>
    <t>4.05004877</t>
  </si>
  <si>
    <t>4.09852639</t>
  </si>
  <si>
    <t>4.10145820</t>
  </si>
  <si>
    <t>4.05431061</t>
  </si>
  <si>
    <t>4.32791955</t>
  </si>
  <si>
    <t>4.32525854</t>
  </si>
  <si>
    <t>4.08024259</t>
  </si>
  <si>
    <t>4.17337123</t>
  </si>
  <si>
    <t>1.54139471</t>
  </si>
  <si>
    <t>4.46415070</t>
  </si>
  <si>
    <t>99.0742187500</t>
  </si>
  <si>
    <t>4.18042370</t>
  </si>
  <si>
    <t>4.17968530</t>
  </si>
  <si>
    <t>4.47092290</t>
  </si>
  <si>
    <t>4.47295910</t>
  </si>
  <si>
    <t>4.02862170</t>
  </si>
  <si>
    <t>4.47683790</t>
  </si>
  <si>
    <t>4.09903953</t>
  </si>
  <si>
    <t>4.14358208</t>
  </si>
  <si>
    <t>3.82574960</t>
  </si>
  <si>
    <t>3.78929002</t>
  </si>
  <si>
    <t>4.42106400</t>
  </si>
  <si>
    <t>3.81959653</t>
  </si>
  <si>
    <t>3.91524030</t>
  </si>
  <si>
    <t>4.26793484</t>
  </si>
  <si>
    <t>4.16514363</t>
  </si>
  <si>
    <t>3.93625547</t>
  </si>
  <si>
    <t>4.07225014</t>
  </si>
  <si>
    <t>99.9101562500</t>
  </si>
  <si>
    <t>4.06217686</t>
  </si>
  <si>
    <t>4.10189486</t>
  </si>
  <si>
    <t>4.32705620</t>
  </si>
  <si>
    <t>US91282CQU89</t>
  </si>
  <si>
    <t>4.18620260</t>
  </si>
  <si>
    <t>4.18795770</t>
  </si>
  <si>
    <t>78.4528502100</t>
  </si>
  <si>
    <t>66.3558370500</t>
  </si>
  <si>
    <t>61.2239956300</t>
  </si>
  <si>
    <t>59.2430795700</t>
  </si>
  <si>
    <t>56.2076322400</t>
  </si>
  <si>
    <t>55.9005322500</t>
  </si>
  <si>
    <t>54.5969691400</t>
  </si>
  <si>
    <t>46.6719839400</t>
  </si>
  <si>
    <t>45.9731317300</t>
  </si>
  <si>
    <t>43.2914876200</t>
  </si>
  <si>
    <t>42.6396892900</t>
  </si>
  <si>
    <t>38.4725683500</t>
  </si>
  <si>
    <t>35.4449265200</t>
  </si>
  <si>
    <t>4.10958640</t>
  </si>
  <si>
    <t>3.94327239</t>
  </si>
  <si>
    <t>4.12383306</t>
  </si>
  <si>
    <t>1.92296382</t>
  </si>
  <si>
    <t>3.68028865</t>
  </si>
  <si>
    <t>4.13435519</t>
  </si>
  <si>
    <t>4.00609033</t>
  </si>
  <si>
    <t>4.14134283</t>
  </si>
  <si>
    <t>4.22551791</t>
  </si>
  <si>
    <t>3.78156326</t>
  </si>
  <si>
    <t>4.13940320</t>
  </si>
  <si>
    <t>4.13211390</t>
  </si>
  <si>
    <t>4.04776270</t>
  </si>
  <si>
    <t>4.24382542</t>
  </si>
  <si>
    <t>97.7968750000</t>
  </si>
  <si>
    <t>4.28031530</t>
  </si>
  <si>
    <t>4.16805250</t>
  </si>
  <si>
    <t>3.99391102</t>
  </si>
  <si>
    <t>4.01289900</t>
  </si>
  <si>
    <t>4.18387224</t>
  </si>
  <si>
    <t>76.7016030400</t>
  </si>
  <si>
    <t>75.1019139400</t>
  </si>
  <si>
    <t>3.92520336</t>
  </si>
  <si>
    <t>3.83337885</t>
  </si>
  <si>
    <t>4.41521058</t>
  </si>
  <si>
    <t>2.02060705</t>
  </si>
  <si>
    <t>71.4936838700</t>
  </si>
  <si>
    <t>71.2786850900</t>
  </si>
  <si>
    <t>68.0428669600</t>
  </si>
  <si>
    <t>79.5703943500</t>
  </si>
  <si>
    <t>73.9659147800</t>
  </si>
  <si>
    <t>65.2186876900</t>
  </si>
  <si>
    <t>60.3860867600</t>
  </si>
  <si>
    <t>54.3134620800</t>
  </si>
  <si>
    <t>52.9960866200</t>
  </si>
  <si>
    <t>35.2576912600</t>
  </si>
  <si>
    <t>34.8252491700</t>
  </si>
  <si>
    <t>3.73993190</t>
  </si>
  <si>
    <t>4.11314982</t>
  </si>
  <si>
    <t>99.2460937500</t>
  </si>
  <si>
    <t>4.04698980</t>
  </si>
  <si>
    <t>4.05507427</t>
  </si>
  <si>
    <t>3.89893580</t>
  </si>
  <si>
    <t>4.06294710</t>
  </si>
  <si>
    <t>69.7838661600</t>
  </si>
  <si>
    <t>67.7944831900</t>
  </si>
  <si>
    <t>63.7964361600</t>
  </si>
  <si>
    <t>63.5118372000</t>
  </si>
  <si>
    <t>52.2057886200</t>
  </si>
  <si>
    <t>48.3604094600</t>
  </si>
  <si>
    <t>46.2578894900</t>
  </si>
  <si>
    <t>45.5372316100</t>
  </si>
  <si>
    <t>44.2492821100</t>
  </si>
  <si>
    <t>43.9706489500</t>
  </si>
  <si>
    <t>40.1833839800</t>
  </si>
  <si>
    <t>39.6063533200</t>
  </si>
  <si>
    <t>39.3354778600</t>
  </si>
  <si>
    <t>36.3925088600</t>
  </si>
  <si>
    <t>3.85206514</t>
  </si>
  <si>
    <t>4.03777900</t>
  </si>
  <si>
    <t>4.05377825</t>
  </si>
  <si>
    <t>4.14996696</t>
  </si>
  <si>
    <t>4.25924809</t>
  </si>
  <si>
    <t>4.15442120</t>
  </si>
  <si>
    <t>4.15878376</t>
  </si>
  <si>
    <t>4.45190016</t>
  </si>
  <si>
    <t>99.5820312500</t>
  </si>
  <si>
    <t>4.17421980</t>
  </si>
  <si>
    <t>4.14395814</t>
  </si>
  <si>
    <t>99.8710937500</t>
  </si>
  <si>
    <t>99.4335937500</t>
  </si>
  <si>
    <t>1.55078639</t>
  </si>
  <si>
    <t>4.09644320</t>
  </si>
  <si>
    <t>4.29874130</t>
  </si>
  <si>
    <t>4.30450635</t>
  </si>
  <si>
    <t>4.31009840</t>
  </si>
  <si>
    <t>4.09775214</t>
  </si>
  <si>
    <t>96.7421875000</t>
  </si>
  <si>
    <t>4.31851523</t>
  </si>
  <si>
    <t>4.04554614</t>
  </si>
  <si>
    <t>4.04998819</t>
  </si>
  <si>
    <t>US91282CQS34</t>
  </si>
  <si>
    <t>4.17809264</t>
  </si>
  <si>
    <t>4.18193581</t>
  </si>
  <si>
    <t>4.02996753</t>
  </si>
  <si>
    <t>4.09132464</t>
  </si>
  <si>
    <t>4.31407600</t>
  </si>
  <si>
    <t>97.1015625000</t>
  </si>
  <si>
    <t>4.04724840</t>
  </si>
  <si>
    <t>4.02161524</t>
  </si>
  <si>
    <t>97.2421875000</t>
  </si>
  <si>
    <t>4.09092390</t>
  </si>
  <si>
    <t>76.9159128900</t>
  </si>
  <si>
    <t>64.6652580100</t>
  </si>
  <si>
    <t>70.4213648700</t>
  </si>
  <si>
    <t>56.9968516900</t>
  </si>
  <si>
    <t>51.4053725700</t>
  </si>
  <si>
    <t>50.3659785000</t>
  </si>
  <si>
    <t>49.8598416000</t>
  </si>
  <si>
    <t>46.9843109400</t>
  </si>
  <si>
    <t>42.3149597400</t>
  </si>
  <si>
    <t>41.7046148900</t>
  </si>
  <si>
    <t>39.9192634900</t>
  </si>
  <si>
    <t>37.1810199200</t>
  </si>
  <si>
    <t>35.7145777500</t>
  </si>
  <si>
    <t>4.04931600</t>
  </si>
  <si>
    <t>80.4810750300</t>
  </si>
  <si>
    <t>78.6587494700</t>
  </si>
  <si>
    <t>64.3961001900</t>
  </si>
  <si>
    <t>79.3586529300</t>
  </si>
  <si>
    <t>77.8222182200</t>
  </si>
  <si>
    <t>74.1823319300</t>
  </si>
  <si>
    <t>72.1558494800</t>
  </si>
  <si>
    <t>70.6460725700</t>
  </si>
  <si>
    <t>60.1090826700</t>
  </si>
  <si>
    <t>58.3672774600</t>
  </si>
  <si>
    <t>51.1107732000</t>
  </si>
  <si>
    <t>48.8523663700</t>
  </si>
  <si>
    <t>44.6500052600</t>
  </si>
  <si>
    <t>42.9531590000</t>
  </si>
  <si>
    <t>41.4050920400</t>
  </si>
  <si>
    <t>39.0228252600</t>
  </si>
  <si>
    <t>38.7849978200</t>
  </si>
  <si>
    <t>37.9367602800</t>
  </si>
  <si>
    <t>35.9234939700</t>
  </si>
  <si>
    <t>69.5492780200</t>
  </si>
  <si>
    <t>68.6567205300</t>
  </si>
  <si>
    <t>67.1916205900</t>
  </si>
  <si>
    <t>66.9452733500</t>
  </si>
  <si>
    <t>65.4781215100</t>
  </si>
  <si>
    <t>61.7939883700</t>
  </si>
  <si>
    <t>57.8476243600</t>
  </si>
  <si>
    <t>56.7050871400</t>
  </si>
  <si>
    <t>51.9188941200</t>
  </si>
  <si>
    <t>50.6683980600</t>
  </si>
  <si>
    <t>49.1423343800</t>
  </si>
  <si>
    <t>48.0838862500</t>
  </si>
  <si>
    <t>47.3579868100</t>
  </si>
  <si>
    <t>43.5909465200</t>
  </si>
  <si>
    <t>42.0085595100</t>
  </si>
  <si>
    <t>41.1004645800</t>
  </si>
  <si>
    <t>40.4964846000</t>
  </si>
  <si>
    <t>36.2072921400</t>
  </si>
  <si>
    <t>34.9537143700</t>
  </si>
  <si>
    <t>4.99030190</t>
  </si>
  <si>
    <t>92.4121322300</t>
  </si>
  <si>
    <t>85.8832083600</t>
  </si>
  <si>
    <t>78.6148919300</t>
  </si>
  <si>
    <t>76.0680167600</t>
  </si>
  <si>
    <t>74.1218682500</t>
  </si>
  <si>
    <t>81.3332472600</t>
  </si>
  <si>
    <t>4.07413168</t>
  </si>
  <si>
    <t>88.0546875000</t>
  </si>
  <si>
    <t>3.84532302</t>
  </si>
  <si>
    <t>4.14769560</t>
  </si>
  <si>
    <t>95.6484375000</t>
  </si>
  <si>
    <t>4.18728089</t>
  </si>
  <si>
    <t>100.5195312500</t>
  </si>
  <si>
    <t>1.45271519</t>
  </si>
  <si>
    <t>96.8984375000</t>
  </si>
  <si>
    <t>73.2858275100</t>
  </si>
  <si>
    <t>73.0745496300</t>
  </si>
  <si>
    <t>77.6142147300</t>
  </si>
  <si>
    <t>76.0248473300</t>
  </si>
  <si>
    <t>75.8333023800</t>
  </si>
  <si>
    <t>72.3979685900</t>
  </si>
  <si>
    <t>68.9123271900</t>
  </si>
  <si>
    <t>62.0657742300</t>
  </si>
  <si>
    <t>57.5444209300</t>
  </si>
  <si>
    <t>58.6550553300</t>
  </si>
  <si>
    <t>49.5774945100</t>
  </si>
  <si>
    <t>47.6626782200</t>
  </si>
  <si>
    <t>36.7180211000</t>
  </si>
  <si>
    <t>34.5007230400</t>
  </si>
  <si>
    <t>3.61483562</t>
  </si>
  <si>
    <t>3.71071496</t>
  </si>
  <si>
    <t>3.73436369</t>
  </si>
  <si>
    <t>3.6329000000</t>
  </si>
  <si>
    <t>3.75703419</t>
  </si>
  <si>
    <t>3.6259000000</t>
  </si>
  <si>
    <t>3.64927281</t>
  </si>
  <si>
    <t>3.66870674</t>
  </si>
  <si>
    <t>3.66998099</t>
  </si>
  <si>
    <t>3.6191000000</t>
  </si>
  <si>
    <t>3.68471519</t>
  </si>
  <si>
    <t>3.62893429</t>
  </si>
  <si>
    <t>3.65095323</t>
  </si>
  <si>
    <t>3.64019944</t>
  </si>
  <si>
    <t>3.72833593</t>
  </si>
  <si>
    <t>3.79567784</t>
  </si>
  <si>
    <t>3.78471116</t>
  </si>
  <si>
    <t>3.72311298</t>
  </si>
  <si>
    <t>3.71944166</t>
  </si>
  <si>
    <t>3.74247890</t>
  </si>
  <si>
    <t>3.6099000000</t>
  </si>
  <si>
    <t>3.67181963</t>
  </si>
  <si>
    <t>3.6143000000</t>
  </si>
  <si>
    <t>US912797UX34</t>
  </si>
  <si>
    <t>3.80155765</t>
  </si>
  <si>
    <t>3.5632000000</t>
  </si>
  <si>
    <t>3.5986000000</t>
  </si>
  <si>
    <t>3.71890744</t>
  </si>
  <si>
    <t>3.74957416</t>
  </si>
  <si>
    <t>3.63125531</t>
  </si>
  <si>
    <t>3.68480292</t>
  </si>
  <si>
    <t>3.65383447</t>
  </si>
  <si>
    <t>3.6086000000</t>
  </si>
  <si>
    <t>3.6160000000</t>
  </si>
  <si>
    <t>3.69932172</t>
  </si>
  <si>
    <t>3.70847173</t>
  </si>
  <si>
    <t>3.70184398</t>
  </si>
  <si>
    <t>3.6198000000</t>
  </si>
  <si>
    <t>3.5933000000</t>
  </si>
  <si>
    <t>3.65488986</t>
  </si>
  <si>
    <t>3.66735627</t>
  </si>
  <si>
    <t>3.67067774</t>
  </si>
  <si>
    <t>3.79150868</t>
  </si>
  <si>
    <t>US912797UZ81</t>
  </si>
  <si>
    <t>3.75383807</t>
  </si>
  <si>
    <t>US912797VA22</t>
  </si>
  <si>
    <t>3.75588426</t>
  </si>
  <si>
    <t>US912797VD60</t>
  </si>
  <si>
    <t>3.63412247</t>
  </si>
  <si>
    <t>3.70359064</t>
  </si>
  <si>
    <t>3.6142000000</t>
  </si>
  <si>
    <t>3.6290000000</t>
  </si>
  <si>
    <t>3.69931408</t>
  </si>
  <si>
    <t>3.6192000000</t>
  </si>
  <si>
    <t>3.70492469</t>
  </si>
  <si>
    <t>3.71662519</t>
  </si>
  <si>
    <t>3.72939675</t>
  </si>
  <si>
    <t>3.72741816</t>
  </si>
  <si>
    <t>3.67781685</t>
  </si>
  <si>
    <t>3.6123000000</t>
  </si>
  <si>
    <t>3.6421000000</t>
  </si>
  <si>
    <t>US912797UY17</t>
  </si>
  <si>
    <t>3.73615919</t>
  </si>
  <si>
    <t>3.6367000000</t>
  </si>
  <si>
    <t>3.6232000000</t>
  </si>
  <si>
    <t>3.6276000000</t>
  </si>
  <si>
    <t>3.71019713</t>
  </si>
  <si>
    <t>3.74583523</t>
  </si>
  <si>
    <t>3.66842345</t>
  </si>
  <si>
    <t>3.6189000000</t>
  </si>
  <si>
    <t>3.6091000000</t>
  </si>
  <si>
    <t>3.6188000000</t>
  </si>
  <si>
    <t>3.65670233</t>
  </si>
  <si>
    <t>3.70560272</t>
  </si>
  <si>
    <t>3.70372262</t>
  </si>
  <si>
    <t>3.6101000000</t>
  </si>
  <si>
    <t>3.66379776</t>
  </si>
  <si>
    <t>3.6256000000</t>
  </si>
  <si>
    <t>3.74565605</t>
  </si>
  <si>
    <t>3.6436000000</t>
  </si>
  <si>
    <t>US912797VB05</t>
  </si>
  <si>
    <t>US912797VE44</t>
  </si>
  <si>
    <t>3.6181000000</t>
  </si>
  <si>
    <t>3.72224253</t>
  </si>
  <si>
    <t>3.70615880</t>
  </si>
  <si>
    <t>3.6014000000</t>
  </si>
  <si>
    <t>3.67923617</t>
  </si>
  <si>
    <t>3.68956162</t>
  </si>
  <si>
    <t>3.6238000000</t>
  </si>
  <si>
    <t>3.66791113</t>
  </si>
  <si>
    <t>3.75441846</t>
  </si>
  <si>
    <t>3.71198158</t>
  </si>
  <si>
    <t>3.6342000000</t>
  </si>
  <si>
    <t>3.68410191</t>
  </si>
  <si>
    <t>3.6204000000</t>
  </si>
  <si>
    <t>3.6399000000</t>
  </si>
  <si>
    <t>3.76314337</t>
  </si>
  <si>
    <t>3.6400000000</t>
  </si>
  <si>
    <t>3.6139000000</t>
  </si>
  <si>
    <t>3.6429000000</t>
  </si>
  <si>
    <t>3.6273000000</t>
  </si>
  <si>
    <t>3.65488080</t>
  </si>
  <si>
    <t>3.6356000000</t>
  </si>
  <si>
    <t>3.74663338</t>
  </si>
  <si>
    <t>3.6090000000</t>
  </si>
  <si>
    <t>3.6251000000</t>
  </si>
  <si>
    <t>US912797VC87</t>
  </si>
  <si>
    <t>3.6268000000</t>
  </si>
  <si>
    <t>3.6255000000</t>
  </si>
  <si>
    <t>3.6267000000</t>
  </si>
  <si>
    <t>3.5758000000</t>
  </si>
  <si>
    <t>3.71091908</t>
  </si>
  <si>
    <t>3.74653345</t>
  </si>
  <si>
    <t>3.6233000000</t>
  </si>
  <si>
    <t>3.6209000000</t>
  </si>
  <si>
    <t>3.6040000000</t>
  </si>
  <si>
    <t>3.68988723</t>
  </si>
  <si>
    <t>3.6310000000</t>
  </si>
  <si>
    <t>3.6532000000</t>
  </si>
  <si>
    <t>3.5908000000</t>
  </si>
  <si>
    <t>3.6321000000</t>
  </si>
  <si>
    <t>3.6150000000</t>
  </si>
  <si>
    <t>3.6515000000</t>
  </si>
  <si>
    <t>.TWI10 8/36</t>
  </si>
  <si>
    <t>.TWI30 8/56</t>
  </si>
  <si>
    <t>3YM6 COMDTY:&lt;Price=104.984375&gt;</t>
  </si>
  <si>
    <t>3YU6 COMDTY:&lt;Price=104.828125&gt;</t>
  </si>
  <si>
    <t>3YZ6 COMDTY:&lt;Price=104.796875&gt;</t>
  </si>
  <si>
    <t>912797QX8 @BBT3 GOVT:&lt;DiscountAsk=0.035632|DiscountBid=0.035822&gt;</t>
  </si>
  <si>
    <t>912797RF6 @BBT3 GOVT:&lt;DiscountAsk=0.035925|DiscountBid=0.036145&gt;</t>
  </si>
  <si>
    <t>912797RG4 @BBT3 GOVT:&lt;DiscountAsk=0.035986|DiscountBid=0.036232&gt;</t>
  </si>
  <si>
    <t>912797RS8 @BBT3 GOVT:&lt;DiscountAsk=0.036198|DiscountBid=0.036267&gt;</t>
  </si>
  <si>
    <t>912797SA6 @BBT3 GOVT:&lt;DiscountAsk=0.03616|DiscountBid=0.036276&gt;</t>
  </si>
  <si>
    <t>912797SK4 @BBT3 GOVT:&lt;DiscountAsk=0.036142|DiscountBid=0.03629&gt;</t>
  </si>
  <si>
    <t>912797SU2 @BBT3 GOVT:&lt;DiscountAsk=0.036329|DiscountBid=0.0364&gt;</t>
  </si>
  <si>
    <t>912797TC1 @BBT3 GOVT:&lt;DiscountAsk=0.035882|DiscountBid=0.036259&gt;</t>
  </si>
  <si>
    <t>912797TD9 @BBT3 GOVT:&lt;DiscountAsk=0.035758|DiscountBid=0.035958&gt;</t>
  </si>
  <si>
    <t>912797TE7 @BBT3 GOVT:&lt;DiscountAsk=0.035744|DiscountBid=0.035921&gt;</t>
  </si>
  <si>
    <t>912797TF4 @BBT3 GOVT:&lt;DiscountAsk=0.035915|DiscountBid=0.036014&gt;</t>
  </si>
  <si>
    <t>912797TM9 @BBT3 GOVT:&lt;DiscountAsk=0.035718|DiscountBid=0.036047&gt;</t>
  </si>
  <si>
    <t>912797TN7 @BBT3 GOVT:&lt;DiscountAsk=0.036036|DiscountBid=0.036139&gt;</t>
  </si>
  <si>
    <t>912797TP2 @BBT3 GOVT:&lt;DiscountAsk=0.036008|DiscountBid=0.036168&gt;</t>
  </si>
  <si>
    <t>912797TQ0 @BBT3 GOVT:&lt;DiscountAsk=0.035998|DiscountBid=0.036189&gt;</t>
  </si>
  <si>
    <t>912797TV9 @BBT3 GOVT:&lt;DiscountAsk=0.035854|DiscountBid=0.036191&gt;</t>
  </si>
  <si>
    <t>912797TW7 @BBT3 GOVT:&lt;DiscountAsk=0.036091|DiscountBid=0.036233&gt;</t>
  </si>
  <si>
    <t>912797TX5 @BBT3 GOVT:&lt;DiscountAsk=0.036075|DiscountBid=0.036188&gt;</t>
  </si>
  <si>
    <t>912797TY3 @BBT3 GOVT:&lt;DiscountAsk=0.036066|DiscountBid=0.036238&gt;</t>
  </si>
  <si>
    <t>912797TZ0 @BBT3 GOVT:&lt;DiscountAsk=0.035778|DiscountBid=0.035995&gt;</t>
  </si>
  <si>
    <t>912797UA3 @BBT3 GOVT:&lt;DiscountAsk=0.035808|DiscountBid=0.035983&gt;</t>
  </si>
  <si>
    <t>912797UB1 @BBT3 GOVT:&lt;DiscountAsk=0.035839|DiscountBid=0.035973&gt;</t>
  </si>
  <si>
    <t>912797UC9 @BBT3 GOVT:&lt;DiscountAsk=0.035976|DiscountBid=0.036086&gt;</t>
  </si>
  <si>
    <t>912797UD7 @BBT3 GOVT:&lt;DiscountAsk=0.035963|DiscountBid=0.036209&gt;</t>
  </si>
  <si>
    <t>912797UE5 @BBT3 GOVT:&lt;DiscountAsk=0.036429|DiscountBid=0.036532&gt;</t>
  </si>
  <si>
    <t>912797UF2 @BBT3 GOVT:&lt;DiscountAsk=0.03604|DiscountBid=0.036192&gt;</t>
  </si>
  <si>
    <t>912797UG0 @BBT3 GOVT:&lt;DiscountAsk=0.03616|DiscountBid=0.036273&gt;</t>
  </si>
  <si>
    <t>912797UH8 @BBT3 GOVT:&lt;DiscountAsk=0.036123|DiscountBid=0.03631&gt;</t>
  </si>
  <si>
    <t>912797UJ4 @BBT3 GOVT:&lt;DiscountAsk=0.03603|DiscountBid=0.036118&gt;</t>
  </si>
  <si>
    <t>912797UK1 @BBT3 GOVT:&lt;DiscountAsk=0.036029|DiscountBid=0.036198&gt;</t>
  </si>
  <si>
    <t>912797UL9 @BBT3 GOVT:&lt;DiscountAsk=0.036101|DiscountBid=0.036268&gt;</t>
  </si>
  <si>
    <t>912797UM7 @BBT3 GOVT:&lt;DiscountAsk=0.036198|DiscountBid=0.036342&gt;</t>
  </si>
  <si>
    <t>912797UN5 @BBT3 GOVT:&lt;DiscountAsk=0.035933|DiscountBid=0.036099&gt;</t>
  </si>
  <si>
    <t>912797UP0 @BBT3 GOVT:&lt;DiscountAsk=0.035908|DiscountBid=0.03603&gt;</t>
  </si>
  <si>
    <t>912797UQ8 @BBT3 GOVT:&lt;DiscountAsk=0.03597|DiscountBid=0.036107&gt;</t>
  </si>
  <si>
    <t>912797UR6 @BBT3 GOVT:&lt;DiscountAsk=0.036012|DiscountBid=0.036143&gt;</t>
  </si>
  <si>
    <t>912797US4 @BBT3 GOVT:&lt;DiscountAsk=0.035992|DiscountBid=0.036123&gt;</t>
  </si>
  <si>
    <t>912797UT2 @BBT3 GOVT:&lt;DiscountAsk=0.035928|DiscountBid=0.036042&gt;</t>
  </si>
  <si>
    <t>912797UU9 @BBT3 GOVT:&lt;DiscountAsk=0.035999|DiscountBid=0.036204&gt;</t>
  </si>
  <si>
    <t>912797UV7 @BBT3 GOVT:&lt;DiscountAsk=0.036114|DiscountBid=0.036232&gt;</t>
  </si>
  <si>
    <t>912797UW5 @BBT3 GOVT:&lt;DiscountAsk=0.036052|DiscountBid=0.036221&gt;</t>
  </si>
  <si>
    <t>912797UX3 @BBT3 GOVT:&lt;DiscountAsk=0.036421|DiscountBid=0.036515&gt;</t>
  </si>
  <si>
    <t>912797UY1 @BBT3 GOVT:&lt;DiscountAsk=0.036256|DiscountBid=0.036356&gt;</t>
  </si>
  <si>
    <t>912797UZ8 @BBT3 GOVT:&lt;DiscountAsk=0.036321|DiscountBid=0.036399&gt;</t>
  </si>
  <si>
    <t>912797VA2 @BBT3 GOVT:&lt;DiscountAsk=0.036367|DiscountBid=0.036436&gt;</t>
  </si>
  <si>
    <t>912797VB0 @BBT3 GOVT:&lt;DiscountAsk=0.03609|DiscountBid=0.036191&gt;</t>
  </si>
  <si>
    <t>912797VC8 @BBT3 GOVT:&lt;DiscountAsk=0.03615|DiscountBid=0.036268&gt;</t>
  </si>
  <si>
    <t>912797VD6 @BBT3 GOVT:&lt;DiscountAsk=0.036145|DiscountBid=0.036251&gt;</t>
  </si>
  <si>
    <t>912797VE4 @BBT3 GOVT:&lt;DiscountAsk=0.036181|DiscountBid=0.036255&gt;</t>
  </si>
  <si>
    <t>912803BH5 @BBT3 GOVT:&lt;PriceAsk=99.308|PriceBid=99.293&gt;</t>
  </si>
  <si>
    <t>912803BJ1 @BBT3 GOVT:&lt;PriceAsk=98.437|PriceBid=98.385&gt;</t>
  </si>
  <si>
    <t>912803BK8 @BBT3 GOVT:&lt;PriceAsk=97.55|PriceBid=97.48&gt;</t>
  </si>
  <si>
    <t>912803BL6 @BBT3 GOVT:&lt;PriceAsk=95.542|PriceBid=95.443&gt;</t>
  </si>
  <si>
    <t>912803BM4 @BBT3 GOVT:&lt;PriceAsk=94.562|PriceBid=94.421&gt;</t>
  </si>
  <si>
    <t>912803BP7 @BBT3 GOVT:&lt;PriceAsk=91.646|PriceBid=91.504&gt;</t>
  </si>
  <si>
    <t>912803BV4 @BBT3 GOVT:&lt;PriceAsk=90.704|PriceBid=90.576&gt;</t>
  </si>
  <si>
    <t>912803BW2 @BBT3 GOVT:&lt;PriceAsk=90.017|PriceBid=89.872&gt;</t>
  </si>
  <si>
    <t>912803CG6 @BBT3 GOVT:&lt;PriceAsk=87.865|PriceBid=87.703&gt;</t>
  </si>
  <si>
    <t>912803CH4 @BBT3 GOVT:&lt;PriceAsk=85.153|PriceBid=84.936&gt;</t>
  </si>
  <si>
    <t>912803CK7 @BBT3 GOVT:&lt;PriceAsk=82.548|PriceBid=82.313&gt;</t>
  </si>
  <si>
    <t>912803CX9 @BBT3 GOVT:&lt;PriceAsk=65.76|PriceBid=65.561&gt;</t>
  </si>
  <si>
    <t>912803CZ4 @BBT3 GOVT:&lt;PriceAsk=62.355|PriceBid=62.166&gt;</t>
  </si>
  <si>
    <t>912803DA8 @BBT3 GOVT:&lt;PriceAsk=61.692|PriceBid=61.527&gt;</t>
  </si>
  <si>
    <t>912803DC4 @BBT3 GOVT:&lt;PriceAsk=59.294|PriceBid=59.091&gt;</t>
  </si>
  <si>
    <t>912803DD2 @BBT3 GOVT:&lt;PriceAsk=58.404|PriceBid=58.234&gt;</t>
  </si>
  <si>
    <t>912803DF7 @BBT3 GOVT:&lt;PriceAsk=55.899|PriceBid=55.726&gt;</t>
  </si>
  <si>
    <t>912803DG5 @BBT3 GOVT:&lt;PriceAsk=54.79|PriceBid=54.631&gt;</t>
  </si>
  <si>
    <t>912803DH3 @BBT3 GOVT:&lt;PriceAsk=53.822|PriceBid=53.649&gt;</t>
  </si>
  <si>
    <t>912803DJ9 @BBT3 GOVT:&lt;PriceAsk=52.979|PriceBid=52.812&gt;</t>
  </si>
  <si>
    <t>912803DK6 @BBT3 GOVT:&lt;PriceAsk=52.223|PriceBid=52.049&gt;</t>
  </si>
  <si>
    <t>912803DM2 @BBT3 GOVT:&lt;PriceAsk=51.475|PriceBid=51.307&gt;</t>
  </si>
  <si>
    <t>912803DN0 @BBT3 GOVT:&lt;PriceAsk=50.682|PriceBid=50.506&gt;</t>
  </si>
  <si>
    <t>912803DP5 @BBT3 GOVT:&lt;PriceAsk=49.945|PriceBid=49.784&gt;</t>
  </si>
  <si>
    <t>912803DQ3 @BBT3 GOVT:&lt;PriceAsk=49.271|PriceBid=49.101&gt;</t>
  </si>
  <si>
    <t>912803DS9 @BBT3 GOVT:&lt;PriceAsk=48.532|PriceBid=48.363&gt;</t>
  </si>
  <si>
    <t>912803DT7 @BBT3 GOVT:&lt;PriceAsk=47.828|PriceBid=47.658&gt;</t>
  </si>
  <si>
    <t>912803DU4 @BBT3 GOVT:&lt;PriceAsk=47.031|PriceBid=46.875&gt;</t>
  </si>
  <si>
    <t>912803DV2 @BBT3 GOVT:&lt;PriceAsk=46.304|PriceBid=46.148&gt;</t>
  </si>
  <si>
    <t>912803DX8 @BBT3 GOVT:&lt;PriceAsk=45.647|PriceBid=45.498&gt;</t>
  </si>
  <si>
    <t>912803DY6 @BBT3 GOVT:&lt;PriceAsk=44.947|PriceBid=44.798&gt;</t>
  </si>
  <si>
    <t>912803DZ3 @BBT3 GOVT:&lt;PriceAsk=44.26|PriceBid=44.104&gt;</t>
  </si>
  <si>
    <t>912803EA7 @BBT3 GOVT:&lt;PriceAsk=43.587|PriceBid=43.438&gt;</t>
  </si>
  <si>
    <t>912803EC3 @BBT3 GOVT:&lt;PriceAsk=42.977|PriceBid=42.821&gt;</t>
  </si>
  <si>
    <t>912803ED1 @BBT3 GOVT:&lt;PriceAsk=42.353|PriceBid=42.197&gt;</t>
  </si>
  <si>
    <t>912803EE9 @BBT3 GOVT:&lt;PriceAsk=41.734|PriceBid=41.586&gt;</t>
  </si>
  <si>
    <t>912803EF6 @BBT3 GOVT:&lt;PriceAsk=41.123|PriceBid=40.981&gt;</t>
  </si>
  <si>
    <t>912803EH2 @BBT3 GOVT:&lt;PriceAsk=40.581|PriceBid=40.432&gt;</t>
  </si>
  <si>
    <t>912803EJ8 @BBT3 GOVT:&lt;PriceAsk=39.997|PriceBid=39.841&gt;</t>
  </si>
  <si>
    <t>912803EK5 @BBT3 GOVT:&lt;PriceAsk=39.432|PriceBid=39.29&gt;</t>
  </si>
  <si>
    <t>912803EL3 @BBT3 GOVT:&lt;PriceAsk=38.924|PriceBid=38.761&gt;</t>
  </si>
  <si>
    <t>912803EN9 @BBT3 GOVT:&lt;PriceAsk=38.386|PriceBid=38.244&gt;</t>
  </si>
  <si>
    <t>912803EP4 @BBT3 GOVT:&lt;PriceAsk=37.862|PriceBid=37.728&gt;</t>
  </si>
  <si>
    <t>912803EQ2 @BBT3 GOVT:&lt;PriceAsk=37.343|PriceBid=37.208&gt;</t>
  </si>
  <si>
    <t>912803ER0 @BBT3 GOVT:&lt;PriceAsk=36.86|PriceBid=36.725&gt;</t>
  </si>
  <si>
    <t>912803ET6 @BBT3 GOVT:&lt;PriceAsk=36.366|PriceBid=36.239&gt;</t>
  </si>
  <si>
    <t>912803EU3 @BBT3 GOVT:&lt;PriceAsk=35.881|PriceBid=35.754&gt;</t>
  </si>
  <si>
    <t>912803EV1 @BBT3 GOVT:&lt;PriceAsk=35.413|PriceBid=35.286&gt;</t>
  </si>
  <si>
    <t>912803EW9 @BBT3 GOVT:&lt;PriceAsk=34.94|PriceBid=34.806&gt;</t>
  </si>
  <si>
    <t>912803EY5 @BBT3 GOVT:&lt;PriceAsk=34.49|PriceBid=34.364&gt;</t>
  </si>
  <si>
    <t>912803EZ2 @BBT3 GOVT:&lt;PriceAsk=34.014|PriceBid=33.86&gt;</t>
  </si>
  <si>
    <t>912803FA6 @BBT3 GOVT:&lt;PriceAsk=33.589|PriceBid=33.463&gt;</t>
  </si>
  <si>
    <t>912803FB4 @BBT3 GOVT:&lt;PriceAsk=33.138|PriceBid=33.013&gt;</t>
  </si>
  <si>
    <t>912803FD0 @BBT3 GOVT:&lt;PriceAsk=32.732|PriceBid=32.599&gt;</t>
  </si>
  <si>
    <t>912803FE8 @BBT3 GOVT:&lt;PriceAsk=32.285|PriceBid=32.159&gt;</t>
  </si>
  <si>
    <t>912803FF5 @BBT3 GOVT:&lt;PriceAsk=31.902|PriceBid=31.77&gt;</t>
  </si>
  <si>
    <t>912803FG3 @BBT3 GOVT:&lt;PriceAsk=31.48|PriceBid=31.362&gt;</t>
  </si>
  <si>
    <t>912803FJ7 @BBT3 GOVT:&lt;PriceAsk=31.073|PriceBid=30.955&gt;</t>
  </si>
  <si>
    <t>912803FK4 @BBT3 GOVT:&lt;PriceAsk=30.681|PriceBid=30.571&gt;</t>
  </si>
  <si>
    <t>912803FL2 @BBT3 GOVT:&lt;PriceAsk=30.277|PriceBid=30.167&gt;</t>
  </si>
  <si>
    <t>912803FM0 @BBT3 GOVT:&lt;PriceAsk=29.91|PriceBid=29.799&gt;</t>
  </si>
  <si>
    <t>912803FP3 @BBT3 GOVT:&lt;PriceAsk=29.64|PriceBid=29.529&gt;</t>
  </si>
  <si>
    <t>912803FR9 @BBT3 GOVT:&lt;PriceAsk=29.247|PriceBid=29.116&gt;</t>
  </si>
  <si>
    <t>912803FT5 @BBT3 GOVT:&lt;PriceAsk=28.814|PriceBid=28.704&gt;</t>
  </si>
  <si>
    <t>912803FV0 @BBT3 GOVT:&lt;PriceAsk=28.438|PriceBid=28.322&gt;</t>
  </si>
  <si>
    <t>912803FY4 @BBT3 GOVT:&lt;PriceAsk=28.09|PriceBid=27.981&gt;</t>
  </si>
  <si>
    <t>912803GA5 @BBT3 GOVT:&lt;PriceAsk=27.751|PriceBid=27.635&gt;</t>
  </si>
  <si>
    <t>912803GC1 @BBT3 GOVT:&lt;PriceAsk=27.438|PriceBid=27.33&gt;</t>
  </si>
  <si>
    <t>912803GE7 @BBT3 GOVT:&lt;PriceAsk=27.094|PriceBid=26.979&gt;</t>
  </si>
  <si>
    <t>912803GH0 @BBT3 GOVT:&lt;PriceAsk=26.79|PriceBid=26.682&gt;</t>
  </si>
  <si>
    <t>912803GK3 @BBT3 GOVT:&lt;PriceAsk=26.482|PriceBid=26.374&gt;</t>
  </si>
  <si>
    <t>912803GM9 @BBT3 GOVT:&lt;PriceAsk=26.2|PriceBid=26.099&gt;</t>
  </si>
  <si>
    <t>912803GP2 @BBT3 GOVT:&lt;PriceAsk=25.906|PriceBid=25.812&gt;</t>
  </si>
  <si>
    <t>912803GS6 @BBT3 GOVT:&lt;PriceAsk=25.619|PriceBid=25.524&gt;</t>
  </si>
  <si>
    <t>912810EX2 @BBT3 GOVT:&lt;PriceAsk=100.87109375|PriceBid=100.40234375&gt;</t>
  </si>
  <si>
    <t>912810EY0 @BBT3 GOVT:&lt;PriceAsk=101.48046875|PriceBid=101.0078125&gt;</t>
  </si>
  <si>
    <t>912810EZ7 @BBT3 GOVT:&lt;PriceAsk=102.21484375|PriceBid=101.73046875&gt;</t>
  </si>
  <si>
    <t>912810FA1 @BBT3 GOVT:&lt;PriceAsk=103.03125|PriceBid=102.625&gt;</t>
  </si>
  <si>
    <t>912810FB9 @BBT3 GOVT:&lt;PriceAsk=103.21875|PriceBid=102.765625&gt;</t>
  </si>
  <si>
    <t>912810FD5 @BBT3 GOVT:&lt;PriceBid=104.09375|PriceAsk=104.1796875&gt;</t>
  </si>
  <si>
    <t>912810FE3 @BBT3 GOVT:&lt;PriceAsk=103.265625|PriceBid=102.7890625&gt;</t>
  </si>
  <si>
    <t>912810FF0 @BBT3 GOVT:&lt;PriceAsk=102.8984375|PriceBid=102.53125&gt;</t>
  </si>
  <si>
    <t>912810FG8 @BBT3 GOVT:&lt;PriceAsk=103.4609375|PriceBid=103.0234375&gt;</t>
  </si>
  <si>
    <t>912810FH6 @BBT3 GOVT:&lt;PriceBid=106.609375|PriceAsk=106.6875&gt;</t>
  </si>
  <si>
    <t>912810FJ2 @BBT3 GOVT:&lt;PriceAsk=106.171875|PriceBid=105.7890625&gt;</t>
  </si>
  <si>
    <t>912810FM5 @BBT3 GOVT:&lt;PriceAsk=107.765625|PriceBid=107.40625&gt;</t>
  </si>
  <si>
    <t>912810FP8 @BBT3 GOVT:&lt;PriceAsk=105.3515625|PriceBid=105&gt;</t>
  </si>
  <si>
    <t>912810FQ6 @BBT3 GOVT:&lt;PriceBid=109.0234375|PriceAsk=109.1171875&gt;</t>
  </si>
  <si>
    <t>912810FT0 @BBT3 GOVT:&lt;PriceAsk=101.078125|PriceBid=100.84375&gt;</t>
  </si>
  <si>
    <t>912810PS1 @BBT3 GOVT:&lt;PriceAsk=100.9844|PriceBid=100.8984&gt;</t>
  </si>
  <si>
    <t>912810PT9 @BBT3 GOVT:&lt;PriceAsk=102.5625|PriceBid=102.390625&gt;</t>
  </si>
  <si>
    <t>912810PU6 @BBT3 GOVT:&lt;PriceAsk=104.765625|PriceBid=104.578125&gt;</t>
  </si>
  <si>
    <t>912810PV4 @BBT3 GOVT:&lt;PriceAsk=100.6797|PriceBid=100.6094&gt;</t>
  </si>
  <si>
    <t>912810PW2 @BBT3 GOVT:&lt;PriceAsk=98.859375|PriceBid=98.703125&gt;</t>
  </si>
  <si>
    <t>912810PX0 @BBT3 GOVT:&lt;PriceAsk=99.734375|PriceBid=99.59375&gt;</t>
  </si>
  <si>
    <t>912810PZ5 @BBT3 GOVT:&lt;PriceAsk=102.7422|PriceBid=102.6641&gt;</t>
  </si>
  <si>
    <t>912810QA9 @BBT3 GOVT:&lt;PriceAsk=89.515625|PriceBid=89.34375&gt;</t>
  </si>
  <si>
    <t>912810QB7 @BBT3 GOVT:&lt;PriceAsk=96.140625|PriceBid=96.015625&gt;</t>
  </si>
  <si>
    <t>912810QC5 @BBT3 GOVT:&lt;PriceAsk=98.21875|PriceBid=98.078125&gt;</t>
  </si>
  <si>
    <t>912810QD3 @BBT3 GOVT:&lt;PriceAsk=96.671875|PriceBid=96.53125&gt;</t>
  </si>
  <si>
    <t>912810QE1 @BBT3 GOVT:&lt;PriceAsk=99.03125|PriceBid=98.875&gt;</t>
  </si>
  <si>
    <t>912810QF8 @BBT3 GOVT:&lt;PriceAsk=97.78125|PriceBid=97.65625&gt;</t>
  </si>
  <si>
    <t>912810QH4 @BBT3 GOVT:&lt;PriceAsk=96.28125|PriceBid=96.15625&gt;</t>
  </si>
  <si>
    <t>912810QK7 @BBT3 GOVT:&lt;PriceAsk=90.84375|PriceBid=90.71875&gt;</t>
  </si>
  <si>
    <t>912810QL5 @BBT3 GOVT:&lt;PriceAsk=94.515625|PriceBid=94.390625&gt;</t>
  </si>
  <si>
    <t>912810QN1 @BBT3 GOVT:&lt;PriceAsk=99.65625|PriceBid=99.546875&gt;</t>
  </si>
  <si>
    <t>912810QP6 @BBT3 GOVT:&lt;PriceAsk=96.75|PriceBid=96.625&gt;</t>
  </si>
  <si>
    <t>912810QQ4 @BBT3 GOVT:&lt;PriceAsk=95.4375|PriceBid=95.34375&gt;</t>
  </si>
  <si>
    <t>912810QS0 @BBT3 GOVT:&lt;PriceAsk=88.46875|PriceBid=88.375&gt;</t>
  </si>
  <si>
    <t>912810QT8 @BBT3 GOVT:&lt;PriceAsk=81.25|PriceBid=81.140625&gt;</t>
  </si>
  <si>
    <t>912810QU5 @BBT3 GOVT:&lt;PriceAsk=80.890625|PriceBid=80.78125&gt;</t>
  </si>
  <si>
    <t>912810QV3 @BBT3 GOVT:&lt;PriceAsk=77.22656|PriceBid=77.10156&gt;</t>
  </si>
  <si>
    <t>912810QW1 @BBT3 GOVT:&lt;PriceAsk=79.1875|PriceBid=79.0625&gt;</t>
  </si>
  <si>
    <t>912810QX9 @BBT3 GOVT:&lt;PriceAsk=75.984375|PriceBid=75.859375&gt;</t>
  </si>
  <si>
    <t>912810QY7 @BBT3 GOVT:&lt;PriceAsk=75.578125|PriceBid=75.484375&gt;</t>
  </si>
  <si>
    <t>912810QZ4 @BBT3 GOVT:&lt;PriceAsk=79.515625|PriceBid=79.421875&gt;</t>
  </si>
  <si>
    <t>912810RA8 @BBT3 GOVT:&lt;PriceAsk=73.88281|PriceBid=73.75781&gt;</t>
  </si>
  <si>
    <t>912810RB6 @BBT3 GOVT:&lt;PriceAsk=76.3125|PriceBid=76.234375&gt;</t>
  </si>
  <si>
    <t>912810RC4 @BBT3 GOVT:&lt;PriceAsk=84.78125|PriceBid=84.71875&gt;</t>
  </si>
  <si>
    <t>912810RD2 @BBT3 GOVT:&lt;PriceAsk=86|PriceBid=85.9375&gt;</t>
  </si>
  <si>
    <t>912810RE0 @BBT3 GOVT:&lt;PriceAsk=84.28125|PriceBid=84.21875&gt;</t>
  </si>
  <si>
    <t>912810RF7 @BBT3 GOVT:&lt;PriceAsk=82.73438|PriceBid=82.60938&gt;</t>
  </si>
  <si>
    <t>912810RG5 @BBT3 GOVT:&lt;PriceAsk=81.09375|PriceBid=81.03125&gt;</t>
  </si>
  <si>
    <t>912810RH3 @BBT3 GOVT:&lt;PriceAsk=77.796875|PriceBid=77.71875&gt;</t>
  </si>
  <si>
    <t>912810RJ9 @BBT3 GOVT:&lt;PriceAsk=76.015625|PriceBid=75.953125&gt;</t>
  </si>
  <si>
    <t>912810RK6 @BBT3 GOVT:&lt;PriceAsk=69.625|PriceBid=69.5625&gt;</t>
  </si>
  <si>
    <t>912810RL4 @BBT3 GOVT:&lt;PriceAsk=71.9375|PriceBid=71.80469&gt;</t>
  </si>
  <si>
    <t>912810RM2 @BBT3 GOVT:&lt;PriceAsk=75.53125|PriceBid=75.46875&gt;</t>
  </si>
  <si>
    <t>912810RN0 @BBT3 GOVT:&lt;PriceAsk=73.734375|PriceBid=73.65625&gt;</t>
  </si>
  <si>
    <t>912810RP5 @BBT3 GOVT:&lt;PriceAsk=75.03125|PriceBid=74.96875&gt;</t>
  </si>
  <si>
    <t>912810RQ3 @BBT3 GOVT:&lt;PriceAsk=68.5|PriceBid=68.421875&gt;</t>
  </si>
  <si>
    <t>912810RR1 @BBT3 GOVT:&lt;PriceAsk=74.30469|PriceBid=74.17188&gt;</t>
  </si>
  <si>
    <t>912810RS9 @BBT3 GOVT:&lt;PriceAsk=68.21875|PriceBid=68.140625&gt;</t>
  </si>
  <si>
    <t>912810RT7 @BBT3 GOVT:&lt;PriceAsk=64.734375|PriceBid=64.671875&gt;</t>
  </si>
  <si>
    <t>912810RU4 @BBT3 GOVT:&lt;PriceAsk=72.546875|PriceBid=72.5&gt;</t>
  </si>
  <si>
    <t>912810RV2 @BBT3 GOVT:&lt;PriceAsk=73.953125|PriceBid=73.890625&gt;</t>
  </si>
  <si>
    <t>912810RW0 @BBT3 GOVT:&lt;PriceAsk=71.15625|PriceBid=71.02344&gt;</t>
  </si>
  <si>
    <t>912810RX8 @BBT3 GOVT:&lt;PriceAsk=73.734375|PriceBid=73.671875&gt;</t>
  </si>
  <si>
    <t>912810RY6 @BBT3 GOVT:&lt;PriceAsk=70.21875|PriceBid=70.15625&gt;</t>
  </si>
  <si>
    <t>912810RZ3 @BBT3 GOVT:&lt;PriceAsk=70.03125|PriceBid=69.96875&gt;</t>
  </si>
  <si>
    <t>912810SA7 @BBT3 GOVT:&lt;PriceAsk=73.140625|PriceBid=73.078125&gt;</t>
  </si>
  <si>
    <t>912810SB5 @BBT3 GOVT:&lt;PriceAsk=72.02344|PriceBid=71.89062&gt;</t>
  </si>
  <si>
    <t>912810SC3 @BBT3 GOVT:&lt;PriceAsk=74.625|PriceBid=74.5625&gt;</t>
  </si>
  <si>
    <t>912810SD1 @BBT3 GOVT:&lt;PriceAsk=72.75|PriceBid=72.6875&gt;</t>
  </si>
  <si>
    <t>912810SE9 @BBT3 GOVT:&lt;PriceAsk=77.6875|PriceBid=77.625&gt;</t>
  </si>
  <si>
    <t>912810SF6 @BBT3 GOVT:&lt;PriceAsk=72.40625|PriceBid=72.359375&gt;</t>
  </si>
  <si>
    <t>912810SG4 @BBT3 GOVT:&lt;PriceAsk=71.01562|PriceBid=70.88281&gt;</t>
  </si>
  <si>
    <t>912810SH2 @BBT3 GOVT:&lt;PriceAsk=70.515625|PriceBid=70.453125&gt;</t>
  </si>
  <si>
    <t>912810SJ8 @BBT3 GOVT:&lt;PriceAsk=61.71875|PriceBid=61.65625&gt;</t>
  </si>
  <si>
    <t>912810SK5 @BBT3 GOVT:&lt;PriceAsk=63.21875|PriceBid=63.15625&gt;</t>
  </si>
  <si>
    <t>912810SL3 @BBT3 GOVT:&lt;PriceAsk=57.78125|PriceBid=57.71875&gt;</t>
  </si>
  <si>
    <t>912810SM1 @BBT3 GOVT:&lt;PriceAsk=56.96875|PriceBid=56.84375&gt;</t>
  </si>
  <si>
    <t>912810SN9 @BBT3 GOVT:&lt;PriceAsk=47.15625|PriceBid=47.09375&gt;</t>
  </si>
  <si>
    <t>912810SP4 @BBT3 GOVT:&lt;PriceAsk=48.59375|PriceBid=48.53125&gt;</t>
  </si>
  <si>
    <t>912810SQ2 @BBT3 GOVT:&lt;PriceAsk=62.171875|PriceBid=62.078125&gt;</t>
  </si>
  <si>
    <t>912810SR0 @BBT3 GOVT:&lt;PriceAsk=62.84375|PriceBid=62.71875&gt;</t>
  </si>
  <si>
    <t>912810SS8 @BBT3 GOVT:&lt;PriceAsk=51.8125|PriceBid=51.75&gt;</t>
  </si>
  <si>
    <t>912810ST6 @BBT3 GOVT:&lt;PriceAsk=64.203125|PriceBid=64.09375&gt;</t>
  </si>
  <si>
    <t>912810SU3 @BBT3 GOVT:&lt;PriceAsk=55.09375|PriceBid=55.046875&gt;</t>
  </si>
  <si>
    <t>912810SV1 @BBT3 GOVT:&lt;PriceAsk=53.39844|PriceBid=53.27344&gt;</t>
  </si>
  <si>
    <t>912810SW9 @BBT3 GOVT:&lt;PriceAsk=68.953125|PriceBid=68.84375&gt;</t>
  </si>
  <si>
    <t>912810SX7 @BBT3 GOVT:&lt;PriceAsk=62.03125|PriceBid=61.984375&gt;</t>
  </si>
  <si>
    <t>912810SY5 @BBT3 GOVT:&lt;PriceAsk=72.5|PriceBid=72.40625&gt;</t>
  </si>
  <si>
    <t>912810SZ2 @BBT3 GOVT:&lt;PriceAsk=56.46875|PriceBid=56.421875&gt;</t>
  </si>
  <si>
    <t>912810TA6 @BBT3 GOVT:&lt;PriceAsk=66.59375|PriceBid=66.515625&gt;</t>
  </si>
  <si>
    <t>912810TB4 @BBT3 GOVT:&lt;PriceAsk=54.46875|PriceBid=54.4375&gt;</t>
  </si>
  <si>
    <t>912810TC2 @BBT3 GOVT:&lt;PriceAsk=68.84375|PriceBid=68.75&gt;</t>
  </si>
  <si>
    <t>912810TD0 @BBT3 GOVT:&lt;PriceAsk=59.703125|PriceBid=59.65625&gt;</t>
  </si>
  <si>
    <t>912810TE8 @BBT3 GOVT:&lt;PriceAsk=52.3125|PriceBid=52.1875&gt;</t>
  </si>
  <si>
    <t>912810TF5 @BBT3 GOVT:&lt;PriceAsk=72.5|PriceBid=72.4375&gt;</t>
  </si>
  <si>
    <t>912810TG3 @BBT3 GOVT:&lt;PriceAsk=68.65625|PriceBid=68.609375&gt;</t>
  </si>
  <si>
    <t>912810TH1 @BBT3 GOVT:&lt;PriceAsk=81.90625|PriceBid=81.84375&gt;</t>
  </si>
  <si>
    <t>912810TJ7 @BBT3 GOVT:&lt;PriceAsk=70.359375|PriceBid=70.328125&gt;</t>
  </si>
  <si>
    <t>912810TK4 @BBT3 GOVT:&lt;PriceAsk=83.03125|PriceBid=82.96875&gt;</t>
  </si>
  <si>
    <t>912810TL2 @BBT3 GOVT:&lt;PriceAsk=84.96875|PriceBid=84.9375&gt;</t>
  </si>
  <si>
    <t>912810TM0 @BBT3 GOVT:&lt;PriceAsk=89.859375|PriceBid=89.78125&gt;</t>
  </si>
  <si>
    <t>912810TN8 @BBT3 GOVT:&lt;PriceAsk=79.40625|PriceBid=79.359375&gt;</t>
  </si>
  <si>
    <t>912810TP3 @BBT3 GOVT:&lt;PriceAsk=76.76562|PriceBid=76.64844&gt;</t>
  </si>
  <si>
    <t>912810TQ1 @BBT3 GOVT:&lt;PriceAsk=88.15625|PriceBid=88.125&gt;</t>
  </si>
  <si>
    <t>912810TR9 @BBT3 GOVT:&lt;PriceAsk=79.328125|PriceBid=79.28125&gt;</t>
  </si>
  <si>
    <t>912810TS7 @BBT3 GOVT:&lt;PriceAsk=87.953125|PriceBid=87.90625&gt;</t>
  </si>
  <si>
    <t>912810TT5 @BBT3 GOVT:&lt;PriceAsk=86.78125|PriceBid=86.734375&gt;</t>
  </si>
  <si>
    <t>912810TU2 @BBT3 GOVT:&lt;PriceAsk=93.5625|PriceBid=93.515625&gt;</t>
  </si>
  <si>
    <t>912810TV0 @BBT3 GOVT:&lt;PriceAsk=96.140625|PriceBid=96.109375&gt;</t>
  </si>
  <si>
    <t>912810TW8 @BBT3 GOVT:&lt;PriceAsk=97.890625|PriceBid=97.84375&gt;</t>
  </si>
  <si>
    <t>912810TX6 @BBT3 GOVT:&lt;PriceAsk=88.625|PriceBid=88.59375&gt;</t>
  </si>
  <si>
    <t>912810TY4 @BBT3 GOVT:&lt;PriceAsk=88.24219|PriceBid=88.13281&gt;</t>
  </si>
  <si>
    <t>912810TZ1 @BBT3 GOVT:&lt;PriceAsk=94.75|PriceBid=94.703125&gt;</t>
  </si>
  <si>
    <t>912810UA4 @BBT3 GOVT:&lt;PriceAsk=94.34375|PriceBid=94.3125&gt;</t>
  </si>
  <si>
    <t>912810UB2 @BBT3 GOVT:&lt;PriceAsk=96.125|PriceBid=96.078125&gt;</t>
  </si>
  <si>
    <t>912810UC0 @BBT3 GOVT:&lt;PriceAsk=88.671875|PriceBid=88.640625&gt;</t>
  </si>
  <si>
    <t>912810UD8 @BBT3 GOVT:&lt;PriceAsk=89.90625|PriceBid=89.875&gt;</t>
  </si>
  <si>
    <t>912810UE6 @BBT3 GOVT:&lt;PriceAsk=92.453125|PriceBid=92.421875&gt;</t>
  </si>
  <si>
    <t>912810UF3 @BBT3 GOVT:&lt;PriceAsk=95.859375|PriceBid=95.828125&gt;</t>
  </si>
  <si>
    <t>912810UG1 @BBT3 GOVT:&lt;PriceAsk=94.40625|PriceBid=94.359375&gt;</t>
  </si>
  <si>
    <t>912810UH9 @BBT3 GOVT:&lt;PriceAsk=93.03125|PriceBid=92.92188&gt;</t>
  </si>
  <si>
    <t>912810UJ5 @BBT3 GOVT:&lt;PriceAsk=97.296875|PriceBid=97.265625&gt;</t>
  </si>
  <si>
    <t>912810UK2 @BBT3 GOVT:&lt;PriceAsk=96.328125|PriceBid=96.296875&gt;</t>
  </si>
  <si>
    <t>912810UL0 @BBT3 GOVT:&lt;PriceAsk=100.359375|PriceBid=100.3125&gt;</t>
  </si>
  <si>
    <t>912810UM8 @BBT3 GOVT:&lt;PriceAsk=96.375|PriceBid=96.34375&gt;</t>
  </si>
  <si>
    <t>912810UN6 @BBT3 GOVT:&lt;PriceAsk=98.71875|PriceBid=98.671875&gt;</t>
  </si>
  <si>
    <t>912810UP1 @BBT3 GOVT:&lt;PriceAsk=94.46875|PriceBid=94.4375&gt;</t>
  </si>
  <si>
    <t>912810UQ9 @BBT3 GOVT:&lt;PriceAsk=95.515625|PriceBid=95.484375&gt;</t>
  </si>
  <si>
    <t>912810UR7 @BBT3 GOVT:&lt;PriceAsk=96.453125|PriceBid=96.4375&gt;</t>
  </si>
  <si>
    <t>912810US5 @BBT3 GOVT:&lt;PriceAsk=93.03125|PriceBid=92.94531&gt;</t>
  </si>
  <si>
    <t>912810UT3 @BBT3 GOVT:&lt;PriceAsk=95.453125|PriceBid=95.421875&gt;</t>
  </si>
  <si>
    <t>912810UU0 @BBT3 GOVT:&lt;PriceAsk=100.359375|PriceBid=100.34375&gt;</t>
  </si>
  <si>
    <t>912810UV8 @BBT3 GOVT:&lt;PriceAsk=100.234375|PriceBid=100.21875&gt;</t>
  </si>
  <si>
    <t>9128204M6 @BBT3 GOVT:&lt;PriceAsk=93.506|PriceBid=93.382&gt;</t>
  </si>
  <si>
    <t>9128205B9 @BBT3 GOVT:&lt;PriceAsk=92.574|PriceBid=92.412&gt;</t>
  </si>
  <si>
    <t>9128207D3 @BBT3 GOVT:&lt;PriceAsk=96.477|PriceBid=96.377&gt;</t>
  </si>
  <si>
    <t>912821CA1 @BBT3 GOVT:&lt;PriceAsk=88.801|PriceBid=88.685&gt;</t>
  </si>
  <si>
    <t>912821DF9 @BBT3 GOVT:&lt;PriceAsk=86.977|PriceBid=86.815&gt;</t>
  </si>
  <si>
    <t>912821DV4 @BBT3 GOVT:&lt;PriceAsk=86.054|PriceBid=85.883&gt;</t>
  </si>
  <si>
    <t>912821EZ4 @BBT3 GOVT:&lt;PriceAsk=84.196|PriceBid=84.043&gt;</t>
  </si>
  <si>
    <t>912821FP5 @BBT3 GOVT:&lt;PriceAsk=83.312|PriceBid=83.145&gt;</t>
  </si>
  <si>
    <t>912821GU3 @BBT3 GOVT:&lt;PriceAsk=79.664|PriceBid=79.524&gt;</t>
  </si>
  <si>
    <t>912821HJ7 @BBT3 GOVT:&lt;PriceAsk=78.747|PriceBid=78.615&gt;</t>
  </si>
  <si>
    <t>912821HY4 @BBT3 GOVT:&lt;PriceAsk=77.854|PriceBid=77.714&gt;</t>
  </si>
  <si>
    <t>912821JN6 @BBT3 GOVT:&lt;PriceAsk=76.963|PriceBid=76.757&gt;</t>
  </si>
  <si>
    <t>912821KC8 @BBT3 GOVT:&lt;PriceAsk=76.068|PriceBid=75.924&gt;</t>
  </si>
  <si>
    <t>912821KS3 @BBT3 GOVT:&lt;PriceAsk=75.146|PriceBid=74.984&gt;</t>
  </si>
  <si>
    <t>912821LG8 @BBT3 GOVT:&lt;PriceAsk=74.268|PriceBid=74.122&gt;</t>
  </si>
  <si>
    <t>912821MH5 @BBT3 GOVT:&lt;PriceAsk=81.515|PriceBid=81.333&gt;</t>
  </si>
  <si>
    <t>912821MX0 @BBT3 GOVT:&lt;PriceAsk=80.612|PriceBid=80.407&gt;</t>
  </si>
  <si>
    <t>9128282A7 @BBT3 GOVT:&lt;PriceAsk=99.56640625|PriceBid=99.546875&gt;</t>
  </si>
  <si>
    <t>9128282L3 @BBT3 GOVT:&lt;PriceAsk=99.53125|PriceBid=99.46875&gt;</t>
  </si>
  <si>
    <t>9128282R0 @BBT3 GOVT:&lt;PriceAsk=98.015625|PriceBid=97.98828125&gt;</t>
  </si>
  <si>
    <t>9128283F5 @BBT3 GOVT:&lt;PriceAsk=97.5625|PriceBid=97.53515625&gt;</t>
  </si>
  <si>
    <t>9128283R9 @BBT3 GOVT:&lt;PriceAsk=98.69531|PriceBid=98.63281&gt;</t>
  </si>
  <si>
    <t>9128283W8 @BBT3 GOVT:&lt;PriceAsk=97.91796875|PriceBid=97.890625&gt;</t>
  </si>
  <si>
    <t>9128284N7 @BBT3 GOVT:&lt;PriceAsk=97.8203125|PriceBid=97.80078125&gt;</t>
  </si>
  <si>
    <t>9128284V9 @BBT3 GOVT:&lt;PriceAsk=97.5390625|PriceBid=97.5&gt;</t>
  </si>
  <si>
    <t>9128285M8 @BBT3 GOVT:&lt;PriceAsk=97.8125|PriceBid=97.7734375&gt;</t>
  </si>
  <si>
    <t>9128285W6 @BBT3 GOVT:&lt;PriceAsk=98.57031|PriceBid=98.51562&gt;</t>
  </si>
  <si>
    <t>9128286B1 @BBT3 GOVT:&lt;PriceAsk=96.2890625|PriceBid=96.25&gt;</t>
  </si>
  <si>
    <t>9128286T2 @BBT3 GOVT:&lt;PriceAsk=95.2890625|PriceBid=95.25&gt;</t>
  </si>
  <si>
    <t>9128287B0 @BBT3 GOVT:&lt;PriceAsk=99.89453125|PriceBid=99.8671875&gt;</t>
  </si>
  <si>
    <t>9128287D6 @BBT3 GOVT:&lt;PriceAsk=96.55469|PriceBid=96.50781&gt;</t>
  </si>
  <si>
    <t>912828S50 @BBT3 GOVT:&lt;PriceAsk=100.6797|PriceBid=100.5938&gt;</t>
  </si>
  <si>
    <t>912828U24 @BBT3 GOVT:&lt;PriceAsk=99.2421875|PriceBid=99.21484375&gt;</t>
  </si>
  <si>
    <t>912828V49 @BBT3 GOVT:&lt;PriceAsk=99.75|PriceBid=99.67969&gt;</t>
  </si>
  <si>
    <t>912828V98 @BBT3 GOVT:&lt;PriceAsk=98.93359375|PriceBid=98.91015625&gt;</t>
  </si>
  <si>
    <t>912828X88 @BBT3 GOVT:&lt;PriceAsk=98.61328125|PriceBid=98.5859375&gt;</t>
  </si>
  <si>
    <t>912828Y38 @BBT3 GOVT:&lt;PriceAsk=99.07031|PriceBid=99.01562&gt;</t>
  </si>
  <si>
    <t>912828Y95 @BBT3 GOVT:&lt;PriceAsk=99.73046875|PriceBid=99.7109375&gt;</t>
  </si>
  <si>
    <t>912828YB0 @BBT3 GOVT:&lt;PriceAsk=92.6796875|PriceBid=92.6328125&gt;</t>
  </si>
  <si>
    <t>912828YD6 @BBT3 GOVT:&lt;PriceAsk=99.4609375|PriceBid=99.4296875&gt;</t>
  </si>
  <si>
    <t>912828YG9 @BBT3 GOVT:&lt;PriceAsk=99.34375|PriceBid=99.3203125&gt;</t>
  </si>
  <si>
    <t>912828YQ7 @BBT3 GOVT:&lt;PriceAsk=99.15625|PriceBid=99.1328125&gt;</t>
  </si>
  <si>
    <t>912828YS3 @BBT3 GOVT:&lt;PriceAsk=92.4921875|PriceBid=92.4375&gt;</t>
  </si>
  <si>
    <t>912828YU8 @BBT3 GOVT:&lt;PriceAsk=98.9921875|PriceBid=98.9609375&gt;</t>
  </si>
  <si>
    <t>912828YX2 @BBT3 GOVT:&lt;PriceAsk=98.87890625|PriceBid=98.84765625&gt;</t>
  </si>
  <si>
    <t>912828Z37 @BBT3 GOVT:&lt;PriceAsk=95.05469|PriceBid=95&gt;</t>
  </si>
  <si>
    <t>912828Z78 @BBT3 GOVT:&lt;PriceAsk=98.5234375|PriceBid=98.5&gt;</t>
  </si>
  <si>
    <t>912828Z94 @BBT3 GOVT:&lt;PriceAsk=91.078125|PriceBid=91.03125&gt;</t>
  </si>
  <si>
    <t>912828ZB9 @BBT3 GOVT:&lt;PriceAsk=98.07421875|PriceBid=98.046875&gt;</t>
  </si>
  <si>
    <t>912828ZE3 @BBT3 GOVT:&lt;PriceAsk=97.44921875|PriceBid=97.42578125&gt;</t>
  </si>
  <si>
    <t>912828ZN3 @BBT3 GOVT:&lt;PriceAsk=97.04296875|PriceBid=97.015625&gt;</t>
  </si>
  <si>
    <t>912828ZQ6 @BBT3 GOVT:&lt;PriceAsk=87.3046875|PriceBid=87.265625&gt;</t>
  </si>
  <si>
    <t>912828ZS2 @BBT3 GOVT:&lt;PriceAsk=96.73828125|PriceBid=96.71484375&gt;</t>
  </si>
  <si>
    <t>912828ZV5 @BBT3 GOVT:&lt;PriceAsk=96.45703125|PriceBid=96.4296875&gt;</t>
  </si>
  <si>
    <t>912828ZZ6 @BBT3 GOVT:&lt;PriceAsk=94.50781|PriceBid=94.46094&gt;</t>
  </si>
  <si>
    <t>91282CAD3 @BBT3 GOVT:&lt;PriceAsk=96|PriceBid=95.97265625&gt;</t>
  </si>
  <si>
    <t>91282CAE1 @BBT3 GOVT:&lt;PriceAsk=86.53125|PriceBid=86.484375&gt;</t>
  </si>
  <si>
    <t>91282CAH4 @BBT3 GOVT:&lt;PriceAsk=95.86328125|PriceBid=95.8359375&gt;</t>
  </si>
  <si>
    <t>91282CAL5 @BBT3 GOVT:&lt;PriceAsk=95.41796875|PriceBid=95.39453125&gt;</t>
  </si>
  <si>
    <t>91282CAU5 @BBT3 GOVT:&lt;PriceAsk=95.26953125|PriceBid=95.25&gt;</t>
  </si>
  <si>
    <t>91282CAV3 @BBT3 GOVT:&lt;PriceAsk=86.7734375|PriceBid=86.71875&gt;</t>
  </si>
  <si>
    <t>91282CAY7 @BBT3 GOVT:&lt;PriceAsk=95.1640625|PriceBid=95.140625&gt;</t>
  </si>
  <si>
    <t>91282CBB6 @BBT3 GOVT:&lt;PriceAsk=94.87890625|PriceBid=94.85546875&gt;</t>
  </si>
  <si>
    <t>91282CBF7 @BBT3 GOVT:&lt;PriceAsk=93.36719|PriceBid=93.32031&gt;</t>
  </si>
  <si>
    <t>91282CBJ9 @BBT3 GOVT:&lt;PriceAsk=94.7890625|PriceBid=94.7734375&gt;</t>
  </si>
  <si>
    <t>91282CBL4 @BBT3 GOVT:&lt;PriceAsk=87.171875|PriceBid=87.1328125&gt;</t>
  </si>
  <si>
    <t>91282CBP5 @BBT3 GOVT:&lt;PriceAsk=95.1640625|PriceBid=95.140625&gt;</t>
  </si>
  <si>
    <t>91282CBS9 @BBT3 GOVT:&lt;PriceAsk=95.140625|PriceBid=95.12109375&gt;</t>
  </si>
  <si>
    <t>91282CBZ3 @BBT3 GOVT:&lt;PriceAsk=94.921875|PriceBid=94.8984375&gt;</t>
  </si>
  <si>
    <t>91282CCB5 @BBT3 GOVT:&lt;PriceAsk=88.6328125|PriceBid=88.59375&gt;</t>
  </si>
  <si>
    <t>91282CCE9 @BBT3 GOVT:&lt;PriceAsk=94.69921875|PriceBid=94.6796875&gt;</t>
  </si>
  <si>
    <t>91282CCH2 @BBT3 GOVT:&lt;PriceAsk=94.4921875|PriceBid=94.4609375&gt;</t>
  </si>
  <si>
    <t>91282CCJ8 @BBT3 GOVT:&lt;PriceAsk=99.81640625|PriceBid=99.796875&gt;</t>
  </si>
  <si>
    <t>91282CCM1 @BBT3 GOVT:&lt;PriceAsk=92.77344|PriceBid=92.71875&gt;</t>
  </si>
  <si>
    <t>91282CCP4 @BBT3 GOVT:&lt;PriceAsk=99.546875|PriceBid=99.5234375&gt;</t>
  </si>
  <si>
    <t>91282CCR0 @BBT3 GOVT:&lt;PriceAsk=93.75|PriceBid=93.7265625&gt;</t>
  </si>
  <si>
    <t>91282CCS8 @BBT3 GOVT:&lt;PriceAsk=86.3203125|PriceBid=86.2734375&gt;</t>
  </si>
  <si>
    <t>91282CCV1 @BBT3 GOVT:&lt;PriceAsk=93.7734375|PriceBid=93.7421875&gt;</t>
  </si>
  <si>
    <t>91282CCW9 @BBT3 GOVT:&lt;PriceAsk=99.3046875|PriceBid=99.28515625&gt;</t>
  </si>
  <si>
    <t>91282CCY5 @BBT3 GOVT:&lt;PriceAsk=93.8046875|PriceBid=93.7734375&gt;</t>
  </si>
  <si>
    <t>91282CCZ2 @BBT3 GOVT:&lt;PriceAsk=99.109375|PriceBid=99.0859375&gt;</t>
  </si>
  <si>
    <t>91282CDC2 @BBT3 GOVT:&lt;PriceAsk=100.2969|PriceBid=100.2188&gt;</t>
  </si>
  <si>
    <t>91282CDF5 @BBT3 GOVT:&lt;PriceAsk=93.859375|PriceBid=93.828125&gt;</t>
  </si>
  <si>
    <t>91282CDG3 @BBT3 GOVT:&lt;PriceAsk=98.94921875|PriceBid=98.9296875&gt;</t>
  </si>
  <si>
    <t>91282CDJ7 @BBT3 GOVT:&lt;PriceAsk=86.2421875|PriceBid=86.1953125&gt;</t>
  </si>
  <si>
    <t>91282CDK4 @BBT3 GOVT:&lt;PriceAsk=98.80859375|PriceBid=98.78125&gt;</t>
  </si>
  <si>
    <t>91282CDL2 @BBT3 GOVT:&lt;PriceAsk=93.953125|PriceBid=93.921875&gt;</t>
  </si>
  <si>
    <t>91282CDP3 @BBT3 GOVT:&lt;PriceAsk=93.4609375|PriceBid=93.4296875&gt;</t>
  </si>
  <si>
    <t>91282CDQ1 @BBT3 GOVT:&lt;PriceAsk=98.59765625|PriceBid=98.578125&gt;</t>
  </si>
  <si>
    <t>91282CDW8 @BBT3 GOVT:&lt;PriceAsk=94.171875|PriceBid=94.1328125&gt;</t>
  </si>
  <si>
    <t>91282CDX6 @BBT3 GOVT:&lt;PriceAsk=91.46875|PriceBid=91.41406&gt;</t>
  </si>
  <si>
    <t>91282CDY4 @BBT3 GOVT:&lt;PriceAsk=88.1015625|PriceBid=88.0546875&gt;</t>
  </si>
  <si>
    <t>91282CEB3 @BBT3 GOVT:&lt;PriceAsk=94.3203125|PriceBid=94.28125&gt;</t>
  </si>
  <si>
    <t>91282CEC1 @BBT3 GOVT:&lt;PriceAsk=98.6015625|PriceBid=98.58203125&gt;</t>
  </si>
  <si>
    <t>91282CEE7 @BBT3 GOVT:&lt;PriceAsk=95.4609375|PriceBid=95.4296875&gt;</t>
  </si>
  <si>
    <t>91282CEF4 @BBT3 GOVT:&lt;PriceAsk=98.9453125|PriceBid=98.921875&gt;</t>
  </si>
  <si>
    <t>91282CEJ6 @BBT3 GOVT:&lt;PriceAsk=99.14844|PriceBid=99.08594&gt;</t>
  </si>
  <si>
    <t>91282CEM9 @BBT3 GOVT:&lt;PriceAsk=96.6875|PriceBid=96.6484375&gt;</t>
  </si>
  <si>
    <t>91282CEN7 @BBT3 GOVT:&lt;PriceAsk=99.01171875|PriceBid=98.9921875&gt;</t>
  </si>
  <si>
    <t>91282CEP2 @BBT3 GOVT:&lt;PriceAsk=92.78125|PriceBid=92.734375&gt;</t>
  </si>
  <si>
    <t>91282CES6 @BBT3 GOVT:&lt;PriceAsk=96.2421875|PriceBid=96.2109375&gt;</t>
  </si>
  <si>
    <t>91282CET4 @BBT3 GOVT:&lt;PriceAsk=98.77734375|PriceBid=98.75390625&gt;</t>
  </si>
  <si>
    <t>91282CEV9 @BBT3 GOVT:&lt;PriceAsk=97.5546875|PriceBid=97.515625&gt;</t>
  </si>
  <si>
    <t>91282CEW7 @BBT3 GOVT:&lt;PriceAsk=99.3125|PriceBid=99.28125&gt;</t>
  </si>
  <si>
    <t>91282CEZ0 @BBT3 GOVT:&lt;PriceAsk=93.70312|PriceBid=93.64844&gt;</t>
  </si>
  <si>
    <t>91282CFB2 @BBT3 GOVT:&lt;PriceAsk=98.6484375|PriceBid=98.62890625&gt;</t>
  </si>
  <si>
    <t>91282CFC0 @BBT3 GOVT:&lt;PriceAsk=95.640625|PriceBid=95.609375&gt;</t>
  </si>
  <si>
    <t>91282CFF3 @BBT3 GOVT:&lt;PriceAsk=91.734375|PriceBid=91.6875&gt;</t>
  </si>
  <si>
    <t>91282CFH9 @BBT3 GOVT:&lt;PriceAsk=99|PriceBid=98.98046875&gt;</t>
  </si>
  <si>
    <t>91282CFJ5 @BBT3 GOVT:&lt;PriceAsk=97|PriceBid=96.96875&gt;</t>
  </si>
  <si>
    <t>91282CFL0 @BBT3 GOVT:&lt;PriceAsk=99.2421875|PriceBid=99.203125&gt;</t>
  </si>
  <si>
    <t>91282CFM8 @BBT3 GOVT:&lt;PriceAsk=100.1796875|PriceBid=100.15625&gt;</t>
  </si>
  <si>
    <t>91282CFR7 @BBT3 GOVT:&lt;PriceAsk=100.8672|PriceBid=100.8125&gt;</t>
  </si>
  <si>
    <t>91282CFT3 @BBT3 GOVT:&lt;PriceAsk=99.6015625|PriceBid=99.5546875&gt;</t>
  </si>
  <si>
    <t>91282CFU0 @BBT3 GOVT:&lt;PriceAsk=100.16015625|PriceBid=100.140625&gt;</t>
  </si>
  <si>
    <t>91282CFV8 @BBT3 GOVT:&lt;PriceAsk=99.0703125|PriceBid=99.03125&gt;</t>
  </si>
  <si>
    <t>91282CFY2 @BBT3 GOVT:&lt;PriceAsk=99.1875|PriceBid=99.1484375&gt;</t>
  </si>
  <si>
    <t>91282CFZ9 @BBT3 GOVT:&lt;PriceAsk=99.80078125|PriceBid=99.78125&gt;</t>
  </si>
  <si>
    <t>91282CGB1 @BBT3 GOVT:&lt;PriceAsk=99.1328125|PriceBid=99.1015625&gt;</t>
  </si>
  <si>
    <t>91282CGC9 @BBT3 GOVT:&lt;PriceAsk=99.765625|PriceBid=99.75&gt;</t>
  </si>
  <si>
    <t>91282CGH8 @BBT3 GOVT:&lt;PriceAsk=99.1484375|PriceBid=99.13671875&gt;</t>
  </si>
  <si>
    <t>91282CGJ4 @BBT3 GOVT:&lt;PriceAsk=97.8359375|PriceBid=97.8046875&gt;</t>
  </si>
  <si>
    <t>91282CGK1 @BBT3 GOVT:&lt;PriceAsk=95.64844|PriceBid=95.58594&gt;</t>
  </si>
  <si>
    <t>91282CGM7 @BBT3 GOVT:&lt;PriceAsk=95.3046875|PriceBid=95.2734375&gt;</t>
  </si>
  <si>
    <t>91282CGP0 @BBT3 GOVT:&lt;PriceAsk=99.94140625|PriceBid=99.921875&gt;</t>
  </si>
  <si>
    <t>91282CGQ8 @BBT3 GOVT:&lt;PriceAsk=99.515625|PriceBid=99.4921875&gt;</t>
  </si>
  <si>
    <t>91282CGS4 @BBT3 GOVT:&lt;PriceAsk=98.171875|PriceBid=98.1328125&gt;</t>
  </si>
  <si>
    <t>91282CGT2 @BBT3 GOVT:&lt;PriceAsk=99.26953125|PriceBid=99.25390625&gt;</t>
  </si>
  <si>
    <t>91282CGW5 @BBT3 GOVT:&lt;PriceAsk=99.71875|PriceBid=99.65625&gt;</t>
  </si>
  <si>
    <t>91282CGZ8 @BBT3 GOVT:&lt;PriceAsk=97.6875|PriceBid=97.640625&gt;</t>
  </si>
  <si>
    <t>91282CHA2 @BBT3 GOVT:&lt;PriceAsk=99.00390625|PriceBid=98.98828125&gt;</t>
  </si>
  <si>
    <t>91282CHC8 @BBT3 GOVT:&lt;PriceAsk=94.3203125|PriceBid=94.28125&gt;</t>
  </si>
  <si>
    <t>91282CHE4 @BBT3 GOVT:&lt;PriceAsk=99.19140625|PriceBid=99.171875&gt;</t>
  </si>
  <si>
    <t>91282CHF1 @BBT3 GOVT:&lt;PriceAsk=98.546875|PriceBid=98.515625&gt;</t>
  </si>
  <si>
    <t>91282CHH7 @BBT3 GOVT:&lt;PriceAsk=100.02734375|PriceBid=100&gt;</t>
  </si>
  <si>
    <t>91282CHJ3 @BBT3 GOVT:&lt;PriceAsk=98.4921875|PriceBid=98.4609375&gt;</t>
  </si>
  <si>
    <t>91282CHK0 @BBT3 GOVT:&lt;PriceAsk=99.8984375|PriceBid=99.8671875&gt;</t>
  </si>
  <si>
    <t>91282CHM6 @BBT3 GOVT:&lt;PriceAsk=100.1015625|PriceBid=100.08203125&gt;</t>
  </si>
  <si>
    <t>91282CHP9 @BBT3 GOVT:&lt;PriceAsk=97.01562|PriceBid=96.95312&gt;</t>
  </si>
  <si>
    <t>91282CHQ7 @BBT3 GOVT:&lt;PriceAsk=100.1328125|PriceBid=100.109375&gt;</t>
  </si>
  <si>
    <t>91282CHR5 @BBT3 GOVT:&lt;PriceAsk=99.40625|PriceBid=99.3671875&gt;</t>
  </si>
  <si>
    <t>91282CHT1 @BBT3 GOVT:&lt;PriceAsk=97.1484375|PriceBid=97.1171875&gt;</t>
  </si>
  <si>
    <t>91282CHU8 @BBT3 GOVT:&lt;PriceAsk=100.1171875|PriceBid=100.09375&gt;</t>
  </si>
  <si>
    <t>91282CHW4 @BBT3 GOVT:&lt;PriceAsk=99.8359375|PriceBid=99.8046875&gt;</t>
  </si>
  <si>
    <t>91282CHX2 @BBT3 GOVT:&lt;PriceAsk=100.6484375|PriceBid=100.6171875&gt;</t>
  </si>
  <si>
    <t>91282CHY0 @BBT3 GOVT:&lt;PriceAsk=100.26171875|PriceBid=100.2265625&gt;</t>
  </si>
  <si>
    <t>91282CHZ7 @BBT3 GOVT:&lt;PriceAsk=101.796875|PriceBid=101.7578125&gt;</t>
  </si>
  <si>
    <t>91282CJA0 @BBT3 GOVT:&lt;PriceAsk=101.2109375|PriceBid=101.1875&gt;</t>
  </si>
  <si>
    <t>91282CJC6 @BBT3 GOVT:&lt;PriceAsk=100.32421875|PriceBid=100.296875&gt;</t>
  </si>
  <si>
    <t>91282CJF9 @BBT3 GOVT:&lt;PriceAsk=101.796875|PriceBid=101.7734375&gt;</t>
  </si>
  <si>
    <t>91282CJG7 @BBT3 GOVT:&lt;PriceAsk=102.8125|PriceBid=102.7734375&gt;</t>
  </si>
  <si>
    <t>91282CJH5 @BBT3 GOVT:&lt;PriceAsk=102.5469|PriceBid=102.4922&gt;</t>
  </si>
  <si>
    <t>91282CJJ1 @BBT3 GOVT:&lt;PriceAsk=100.921875|PriceBid=100.890625&gt;</t>
  </si>
  <si>
    <t>91282CJK8 @BBT3 GOVT:&lt;PriceAsk=100.38671875|PriceBid=100.36328125&gt;</t>
  </si>
  <si>
    <t>91282CJM4 @BBT3 GOVT:&lt;PriceAsk=100.8203125|PriceBid=100.78125&gt;</t>
  </si>
  <si>
    <t>91282CJN2 @BBT3 GOVT:&lt;PriceAsk=100.6875|PriceBid=100.6640625&gt;</t>
  </si>
  <si>
    <t>91282CJP7 @BBT3 GOVT:&lt;PriceAsk=100.3515625|PriceBid=100.328125&gt;</t>
  </si>
  <si>
    <t>91282CJQ5 @BBT3 GOVT:&lt;PriceAsk=98.234375|PriceBid=98.1953125&gt;</t>
  </si>
  <si>
    <t>91282CJR3 @BBT3 GOVT:&lt;PriceAsk=99.1796875|PriceBid=99.1484375&gt;</t>
  </si>
  <si>
    <t>91282CJT9 @BBT3 GOVT:&lt;PriceAsk=100.15234375|PriceBid=100.1171875&gt;</t>
  </si>
  <si>
    <t>91282CJW2 @BBT3 GOVT:&lt;PriceAsk=99.7578125|PriceBid=99.734375&gt;</t>
  </si>
  <si>
    <t>91282CJX0 @BBT3 GOVT:&lt;PriceAsk=99.2421875|PriceBid=99.2109375&gt;</t>
  </si>
  <si>
    <t>91282CJY8 @BBT3 GOVT:&lt;PriceAsk=98.74219|PriceBid=98.69531&gt;</t>
  </si>
  <si>
    <t>91282CJZ5 @BBT3 GOVT:&lt;PriceAsk=97.59375|PriceBid=97.5625&gt;</t>
  </si>
  <si>
    <t>91282CKA8 @BBT3 GOVT:&lt;PriceAsk=100.2109375|PriceBid=100.18359375&gt;</t>
  </si>
  <si>
    <t>91282CKC4 @BBT3 GOVT:&lt;PriceAsk=100.28125|PriceBid=100.25&gt;</t>
  </si>
  <si>
    <t>91282CKD2 @BBT3 GOVT:&lt;PriceAsk=100.390625|PriceBid=100.3671875&gt;</t>
  </si>
  <si>
    <t>91282CKE0 @BBT3 GOVT:&lt;PriceAsk=100.34375|PriceBid=100.3203125&gt;</t>
  </si>
  <si>
    <t>91282CKF7 @BBT3 GOVT:&lt;PriceAsk=99.71875|PriceBid=99.6875&gt;</t>
  </si>
  <si>
    <t>91282CKG5 @BBT3 GOVT:&lt;PriceAsk=100.0703125|PriceBid=100.0390625&gt;</t>
  </si>
  <si>
    <t>91282CKJ9 @BBT3 GOVT:&lt;PriceAsk=100.54296875|PriceBid=100.51953125&gt;</t>
  </si>
  <si>
    <t>91282CKL4 @BBT3 GOVT:&lt;PriceAsk=101.6797|PriceBid=101.625&gt;</t>
  </si>
  <si>
    <t>91282CKN0 @BBT3 GOVT:&lt;PriceAsk=101.90625|PriceBid=101.875&gt;</t>
  </si>
  <si>
    <t>91282CKP5 @BBT3 GOVT:&lt;PriceAsk=101.421875|PriceBid=101.390625&gt;</t>
  </si>
  <si>
    <t>91282CKQ3 @BBT3 GOVT:&lt;PriceAsk=99.96875|PriceBid=99.921875&gt;</t>
  </si>
  <si>
    <t>91282CKR1 @BBT3 GOVT:&lt;PriceAsk=100.5546875|PriceBid=100.53515625&gt;</t>
  </si>
  <si>
    <t>91282CKT7 @BBT3 GOVT:&lt;PriceAsk=101.09375|PriceBid=101.0625&gt;</t>
  </si>
  <si>
    <t>91282CKU4 @BBT3 GOVT:&lt;PriceAsk=101.8984375|PriceBid=101.8671875&gt;</t>
  </si>
  <si>
    <t>91282CKV2 @BBT3 GOVT:&lt;PriceAsk=100.7109375|PriceBid=100.6875&gt;</t>
  </si>
  <si>
    <t>91282CKW0 @BBT3 GOVT:&lt;PriceAsk=100.2421875|PriceBid=100.2109375&gt;</t>
  </si>
  <si>
    <t>91282CKX8 @BBT3 GOVT:&lt;PriceAsk=100.3984375|PriceBid=100.3671875&gt;</t>
  </si>
  <si>
    <t>91282CKY6 @BBT3 GOVT:&lt;PriceAsk=100.07421875|PriceBid=100.05078125&gt;</t>
  </si>
  <si>
    <t>91282CKZ3 @BBT3 GOVT:&lt;PriceAsk=100.48046875|PriceBid=100.4609375&gt;</t>
  </si>
  <si>
    <t>91282CLB5 @BBT3 GOVT:&lt;PriceAsk=100.11328125|PriceBid=100.09375&gt;</t>
  </si>
  <si>
    <t>91282CLC3 @BBT3 GOVT:&lt;PriceAsk=99.6640625|PriceBid=99.6328125&gt;</t>
  </si>
  <si>
    <t>91282CLD1 @BBT3 GOVT:&lt;PriceAsk=99.640625|PriceBid=99.6171875&gt;</t>
  </si>
  <si>
    <t>91282CLE9 @BBT3 GOVT:&lt;PriceAsk=99.64062|PriceBid=99.58594&gt;</t>
  </si>
  <si>
    <t>91282CLF6 @BBT3 GOVT:&lt;PriceAsk=96.453125|PriceBid=96.421875&gt;</t>
  </si>
  <si>
    <t>91282CLG4 @BBT3 GOVT:&lt;PriceAsk=99.7578125|PriceBid=99.73828125&gt;</t>
  </si>
  <si>
    <t>91282CLH2 @BBT3 GOVT:&lt;PriceAsk=100.0078125|PriceBid=99.98828125&gt;</t>
  </si>
  <si>
    <t>91282CLJ8 @BBT3 GOVT:&lt;PriceAsk=97.8359375|PriceBid=97.8046875&gt;</t>
  </si>
  <si>
    <t>91282CLK5 @BBT3 GOVT:&lt;PriceAsk=98.5078125|PriceBid=98.4765625&gt;</t>
  </si>
  <si>
    <t>91282CLL3 @BBT3 GOVT:&lt;PriceAsk=99.26171875|PriceBid=99.24609375&gt;</t>
  </si>
  <si>
    <t>91282CLM1 @BBT3 GOVT:&lt;PriceAsk=97.21875|PriceBid=97.1875&gt;</t>
  </si>
  <si>
    <t>91282CLN9 @BBT3 GOVT:&lt;PriceAsk=98.0703125|PriceBid=98.046875&gt;</t>
  </si>
  <si>
    <t>91282CLP4 @BBT3 GOVT:&lt;PriceAsk=99.9296875|PriceBid=99.90625&gt;</t>
  </si>
  <si>
    <t>91282CLQ2 @BBT3 GOVT:&lt;PriceAsk=99.84375|PriceBid=99.82421875&gt;</t>
  </si>
  <si>
    <t>91282CLR0 @BBT3 GOVT:&lt;PriceAsk=99.9765625|PriceBid=99.9453125&gt;</t>
  </si>
  <si>
    <t>91282CLS8 @BBT3 GOVT:&lt;PriceAsk=100.1328125|PriceBid=100.109375&gt;</t>
  </si>
  <si>
    <t>91282CLU3 @BBT3 GOVT:&lt;PriceAsk=99.546875|PriceBid=99.515625&gt;</t>
  </si>
  <si>
    <t>91282CLV1 @BBT3 GOVT:&lt;PriceAsk=100.6016|PriceBid=100.5625&gt;</t>
  </si>
  <si>
    <t>91282CLW9 @BBT3 GOVT:&lt;PriceAsk=98.875|PriceBid=98.84375&gt;</t>
  </si>
  <si>
    <t>91282CLX7 @BBT3 GOVT:&lt;PriceAsk=100.15625|PriceBid=100.13671875&gt;</t>
  </si>
  <si>
    <t>91282CLY5 @BBT3 GOVT:&lt;PriceAsk=100.2421875|PriceBid=100.22265625&gt;</t>
  </si>
  <si>
    <t>91282CLZ2 @BBT3 GOVT:&lt;PriceAsk=99.5234375|PriceBid=99.4921875&gt;</t>
  </si>
  <si>
    <t>91282CMA6 @BBT3 GOVT:&lt;PriceAsk=99.9765625|PriceBid=99.953125&gt;</t>
  </si>
  <si>
    <t>91282CMB4 @BBT3 GOVT:&lt;PriceAsk=99.9765625|PriceBid=99.9609375&gt;</t>
  </si>
  <si>
    <t>91282CMC2 @BBT3 GOVT:&lt;PriceAsk=101.3203125|PriceBid=101.2890625&gt;</t>
  </si>
  <si>
    <t>91282CMD0 @BBT3 GOVT:&lt;PriceAsk=100.78125|PriceBid=100.7578125&gt;</t>
  </si>
  <si>
    <t>91282CME8 @BBT3 GOVT:&lt;PriceAsk=100.26171875|PriceBid=100.2421875&gt;</t>
  </si>
  <si>
    <t>91282CMF5 @BBT3 GOVT:&lt;PriceAsk=100.32421875|PriceBid=100.30859375&gt;</t>
  </si>
  <si>
    <t>91282CMG3 @BBT3 GOVT:&lt;PriceAsk=100.3515625|PriceBid=100.3359375&gt;</t>
  </si>
  <si>
    <t>91282CMH1 @BBT3 GOVT:&lt;PriceAsk=100.2109375|PriceBid=100.1875&gt;</t>
  </si>
  <si>
    <t>91282CMK4 @BBT3 GOVT:&lt;PriceAsk=100.671875|PriceBid=100.6484375&gt;</t>
  </si>
  <si>
    <t>91282CML2 @BBT3 GOVT:&lt;PriceAsk=100.8672|PriceBid=100.8203&gt;</t>
  </si>
  <si>
    <t>91282CMM0 @BBT3 GOVT:&lt;PriceAsk=101.453125|PriceBid=101.40625&gt;</t>
  </si>
  <si>
    <t>91282CMN8 @BBT3 GOVT:&lt;PriceAsk=100.34375|PriceBid=100.328125&gt;</t>
  </si>
  <si>
    <t>91282CMP3 @BBT3 GOVT:&lt;PriceAsk=100.21484375|PriceBid=100.19140625&gt;</t>
  </si>
  <si>
    <t>91282CMR9 @BBT3 GOVT:&lt;PriceAsk=99.3984375|PriceBid=99.3671875&gt;</t>
  </si>
  <si>
    <t>91282CMS7 @BBT3 GOVT:&lt;PriceAsk=99.71875|PriceBid=99.703125&gt;</t>
  </si>
  <si>
    <t>91282CMT5 @BBT3 GOVT:&lt;PriceAsk=99.375|PriceBid=99.34375&gt;</t>
  </si>
  <si>
    <t>91282CMU2 @BBT3 GOVT:&lt;PriceAsk=99.4921875|PriceBid=99.4609375&gt;</t>
  </si>
  <si>
    <t>91282CMV0 @BBT3 GOVT:&lt;PriceAsk=100.03515625|PriceBid=100.0078125&gt;</t>
  </si>
  <si>
    <t>91282CMW8 @BBT3 GOVT:&lt;PriceAsk=99.47265625|PriceBid=99.45703125&gt;</t>
  </si>
  <si>
    <t>91282CMY4 @BBT3 GOVT:&lt;PriceAsk=99.890625|PriceBid=99.87109375&gt;</t>
  </si>
  <si>
    <t>91282CMZ1 @BBT3 GOVT:&lt;PriceAsk=99.015625|PriceBid=98.9921875&gt;</t>
  </si>
  <si>
    <t>91282CNA5 @BBT3 GOVT:&lt;PriceAsk=98.6875|PriceBid=98.65625&gt;</t>
  </si>
  <si>
    <t>91282CNB3 @BBT3 GOVT:&lt;PriceAsk=100.0547|PriceBid=100&gt;</t>
  </si>
  <si>
    <t>91282CNC1 @BBT3 GOVT:&lt;PriceAsk=98.625|PriceBid=98.59375&gt;</t>
  </si>
  <si>
    <t>91282CND9 @BBT3 GOVT:&lt;PriceAsk=99.43359375|PriceBid=99.421875&gt;</t>
  </si>
  <si>
    <t>91282CNE7 @BBT3 GOVT:&lt;PriceAsk=99.9765625|PriceBid=99.9609375&gt;</t>
  </si>
  <si>
    <t>91282CNF4 @BBT3 GOVT:&lt;PriceAsk=99.28125|PriceBid=99.25&gt;</t>
  </si>
  <si>
    <t>91282CNG2 @BBT3 GOVT:&lt;PriceAsk=99.4375|PriceBid=99.421875&gt;</t>
  </si>
  <si>
    <t>91282CNH0 @BBT3 GOVT:&lt;PriceAsk=99.65234375|PriceBid=99.63671875&gt;</t>
  </si>
  <si>
    <t>91282CNJ6 @BBT3 GOVT:&lt;PriceAsk=98.578125|PriceBid=98.5546875&gt;</t>
  </si>
  <si>
    <t>91282CNK3 @BBT3 GOVT:&lt;PriceAsk=98.9453125|PriceBid=98.921875&gt;</t>
  </si>
  <si>
    <t>91282CNL1 @BBT3 GOVT:&lt;PriceAsk=99.82421875|PriceBid=99.8046875&gt;</t>
  </si>
  <si>
    <t>91282CNM9 @BBT3 GOVT:&lt;PriceAsk=99.6171875|PriceBid=99.6015625&gt;</t>
  </si>
  <si>
    <t>91282CNN7 @BBT3 GOVT:&lt;PriceAsk=98.921875|PriceBid=98.8984375&gt;</t>
  </si>
  <si>
    <t>91282CNP2 @BBT3 GOVT:&lt;PriceAsk=99.91015625|PriceBid=99.890625&gt;</t>
  </si>
  <si>
    <t>91282CNR8 @BBT3 GOVT:&lt;PriceAsk=98.515625|PriceBid=98.4921875&gt;</t>
  </si>
  <si>
    <t>91282CNS6 @BBT3 GOVT:&lt;PriceAsk=98.85156|PriceBid=98.80469&gt;</t>
  </si>
  <si>
    <t>91282CNT4 @BBT3 GOVT:&lt;PriceAsk=98.5|PriceBid=98.484375&gt;</t>
  </si>
  <si>
    <t>91282CNU1 @BBT3 GOVT:&lt;PriceAsk=99.0859375|PriceBid=99.0625&gt;</t>
  </si>
  <si>
    <t>91282CNV9 @BBT3 GOVT:&lt;PriceAsk=99.58203125|PriceBid=99.5703125&gt;</t>
  </si>
  <si>
    <t>91282CNW7 @BBT3 GOVT:&lt;PriceAsk=97.796875|PriceBid=97.765625&gt;</t>
  </si>
  <si>
    <t>91282CNX5 @BBT3 GOVT:&lt;PriceAsk=97.90625|PriceBid=97.8828125&gt;</t>
  </si>
  <si>
    <t>91282CNY3 @BBT3 GOVT:&lt;PriceAsk=98.4921875|PriceBid=98.46875&gt;</t>
  </si>
  <si>
    <t>91282CNZ0 @BBT3 GOVT:&lt;PriceAsk=97.7421875|PriceBid=97.7109375&gt;</t>
  </si>
  <si>
    <t>91282CPA3 @BBT3 GOVT:&lt;PriceAsk=97.8828125|PriceBid=97.859375&gt;</t>
  </si>
  <si>
    <t>91282CPB1 @BBT3 GOVT:&lt;PriceAsk=99.3828125|PriceBid=99.3671875&gt;</t>
  </si>
  <si>
    <t>91282CPC9 @BBT3 GOVT:&lt;PriceAsk=98.703125|PriceBid=98.6875&gt;</t>
  </si>
  <si>
    <t>91282CPD7 @BBT3 GOVT:&lt;PriceAsk=97.8125|PriceBid=97.7890625&gt;</t>
  </si>
  <si>
    <t>91282CPE5 @BBT3 GOVT:&lt;PriceAsk=99.3046875|PriceBid=99.29296875&gt;</t>
  </si>
  <si>
    <t>91282CPF2 @BBT3 GOVT:&lt;PriceAsk=96.9765625|PriceBid=96.953125&gt;</t>
  </si>
  <si>
    <t>91282CPH8 @BBT3 GOVT:&lt;PriceAsk=98.25|PriceBid=98.2109375&gt;</t>
  </si>
  <si>
    <t>91282CPJ4 @BBT3 GOVT:&lt;PriceAsk=96.46875|PriceBid=96.453125&gt;</t>
  </si>
  <si>
    <t>91282CPK1 @BBT3 GOVT:&lt;PriceAsk=98.6484375|PriceBid=98.625&gt;</t>
  </si>
  <si>
    <t>91282CPL9 @BBT3 GOVT:&lt;PriceAsk=99.0859375|PriceBid=99.07421875&gt;</t>
  </si>
  <si>
    <t>91282CPM7 @BBT3 GOVT:&lt;PriceAsk=96.921875|PriceBid=96.8984375&gt;</t>
  </si>
  <si>
    <t>91282CPN5 @BBT3 GOVT:&lt;PriceAsk=97.265625|PriceBid=97.2421875&gt;</t>
  </si>
  <si>
    <t>91282CPP0 @BBT3 GOVT:&lt;PriceAsk=98.609375|PriceBid=98.59375&gt;</t>
  </si>
  <si>
    <t>91282CPQ8 @BBT3 GOVT:&lt;PriceAsk=97.5625|PriceBid=97.53125&gt;</t>
  </si>
  <si>
    <t>91282CPR6 @BBT3 GOVT:&lt;PriceAsk=97.71875|PriceBid=97.703125&gt;</t>
  </si>
  <si>
    <t>91282CPS4 @BBT3 GOVT:&lt;PriceAsk=99.01171875|PriceBid=99&gt;</t>
  </si>
  <si>
    <t>91282CPT2 @BBT3 GOVT:&lt;PriceAsk=98.546875|PriceBid=98.53125&gt;</t>
  </si>
  <si>
    <t>91282CPU9 @BBT3 GOVT:&lt;PriceAsk=98.125|PriceBid=98.0859375&gt;</t>
  </si>
  <si>
    <t>91282CPW5 @BBT3 GOVT:&lt;PriceAsk=98.1953125|PriceBid=98.1796875&gt;</t>
  </si>
  <si>
    <t>91282CPY1 @BBT3 GOVT:&lt;PriceAsk=98.21875|PriceBid=98.1953125&gt;</t>
  </si>
  <si>
    <t>91282CPZ8 @BBT3 GOVT:&lt;PriceAsk=97.296875|PriceBid=97.28125&gt;</t>
  </si>
  <si>
    <t>91282CQA2 @BBT3 GOVT:&lt;PriceAsk=98.4921875|PriceBid=98.4765625&gt;</t>
  </si>
  <si>
    <t>91282CQB0 @BBT3 GOVT:&lt;PriceAsk=98.91015625|PriceBid=98.90234375&gt;</t>
  </si>
  <si>
    <t>91282CQC8 @BBT3 GOVT:&lt;PriceAsk=96.7421875|PriceBid=96.71875&gt;</t>
  </si>
  <si>
    <t>91282CQD6 @BBT3 GOVT:&lt;PriceAsk=97.1171875|PriceBid=97.1015625&gt;</t>
  </si>
  <si>
    <t>91282CQE4 @BBT3 GOVT:&lt;PriceAsk=98.453125|PriceBid=98.4375&gt;</t>
  </si>
  <si>
    <t>91282CQF1 @BBT3 GOVT:&lt;PriceAsk=99.609375|PriceBid=99.59375&gt;</t>
  </si>
  <si>
    <t>91282CQG9 @BBT3 GOVT:&lt;PriceAsk=98.65625|PriceBid=98.640625&gt;</t>
  </si>
  <si>
    <t>91282CQH7 @BBT3 GOVT:&lt;PriceAsk=99.69921875|PriceBid=99.69140625&gt;</t>
  </si>
  <si>
    <t>91282CQJ3 @BBT3 GOVT:&lt;PriceAsk=99.3984375|PriceBid=99.390625&gt;</t>
  </si>
  <si>
    <t>91282CQK0 @BBT3 GOVT:&lt;PriceAsk=98.640625|PriceBid=98.625&gt;</t>
  </si>
  <si>
    <t>91282CQL8 @BBT3 GOVT:&lt;PriceAsk=99.453125|PriceBid=99.4453125&gt;</t>
  </si>
  <si>
    <t>91282CQN4 @BBT3 GOVT:&lt;PriceAsk=98.8125|PriceBid=98.796875&gt;</t>
  </si>
  <si>
    <t>91282CQP9 @BBT3 GOVT:&lt;PriceAsk=98|PriceBid=97.9609375&gt;</t>
  </si>
  <si>
    <t>91282CQQ7 @BBT3 GOVT:&lt;PriceAsk=99.203125|PriceBid=99.1875&gt;</t>
  </si>
  <si>
    <t>91282CQR5 @BBT3 GOVT:&lt;PriceAsk=99.3828125|PriceBid=99.375&gt;</t>
  </si>
  <si>
    <t>91282CQS3 @BBT3 GOVT:&lt;PriceAsk=99.91015625|PriceBid=99.90625&gt;</t>
  </si>
  <si>
    <t>91282CQT1 @BBT3 GOVT:&lt;PriceAsk=99.5390625|PriceBid=99.53125&gt;</t>
  </si>
  <si>
    <t>91282CQU8 @BBT3 GOVT:&lt;PriceAsk=99.7265625|PriceBid=99.71875&gt;</t>
  </si>
  <si>
    <t>91282CQV6</t>
  </si>
  <si>
    <t>9128334S6 @BBT3 GOVT:&lt;PriceAsk=80.481|PriceBid=80.277&gt;</t>
  </si>
  <si>
    <t>9128334T4 @BBT3 GOVT:&lt;PriceAsk=78.659|PriceBid=78.453&gt;</t>
  </si>
  <si>
    <t>9128334U1 @BBT3 GOVT:&lt;PriceAsk=76.916|PriceBid=76.702&gt;</t>
  </si>
  <si>
    <t>9128334V9 @BBT3 GOVT:&lt;PriceAsk=75.102|PriceBid=74.871&gt;</t>
  </si>
  <si>
    <t>9128334W7 @BBT3 GOVT:&lt;PriceAsk=73.286|PriceBid=73.075&gt;</t>
  </si>
  <si>
    <t>9128334X5 @BBT3 GOVT:&lt;PriceAsk=71.494|PriceBid=71.279&gt;</t>
  </si>
  <si>
    <t>9128334Y3 @BBT3 GOVT:&lt;PriceAsk=69.784|PriceBid=69.549&gt;</t>
  </si>
  <si>
    <t>9128334Z0 @BBT3 GOVT:&lt;PriceAsk=68.043|PriceBid=67.794&gt;</t>
  </si>
  <si>
    <t>9128335A4 @BBT3 GOVT:&lt;PriceAsk=66.356|PriceBid=66.1&gt;</t>
  </si>
  <si>
    <t>9128335B2 @BBT3 GOVT:&lt;PriceAsk=64.665|PriceBid=64.396&gt;</t>
  </si>
  <si>
    <t>9128337F1 @BBT3 GOVT:&lt;PriceAsk=61.224|PriceBid=60.93&gt;</t>
  </si>
  <si>
    <t>9128337Q7 @BBT3 GOVT:&lt;PriceAsk=79.57|PriceBid=79.359&gt;</t>
  </si>
  <si>
    <t>9128337R5 @BBT3 GOVT:&lt;PriceAsk=77.822|PriceBid=77.614&gt;</t>
  </si>
  <si>
    <t>9128337S3 @BBT3 GOVT:&lt;PriceAsk=76.025|PriceBid=75.833&gt;</t>
  </si>
  <si>
    <t>9128337T1 @BBT3 GOVT:&lt;PriceAsk=74.182|PriceBid=73.966&gt;</t>
  </si>
  <si>
    <t>9128337U8 @BBT3 GOVT:&lt;PriceAsk=72.398|PriceBid=72.156&gt;</t>
  </si>
  <si>
    <t>9128337V6 @BBT3 GOVT:&lt;PriceAsk=70.646|PriceBid=70.421&gt;</t>
  </si>
  <si>
    <t>9128337W4 @BBT3 GOVT:&lt;PriceAsk=68.912|PriceBid=68.657&gt;</t>
  </si>
  <si>
    <t>912833X88 @BBT3 GOVT:&lt;PriceAsk=67.192|PriceBid=66.945&gt;</t>
  </si>
  <si>
    <t>912833X96 @BBT3 GOVT:&lt;PriceAsk=65.478|PriceBid=65.219&gt;</t>
  </si>
  <si>
    <t>912833Y20 @BBT3 GOVT:&lt;PriceAsk=63.796|PriceBid=63.512&gt;</t>
  </si>
  <si>
    <t>912833Y38 @BBT3 GOVT:&lt;PriceAsk=62.066|PriceBid=61.794&gt;</t>
  </si>
  <si>
    <t>912833Y46 @BBT3 GOVT:&lt;PriceAsk=60.386|PriceBid=60.109&gt;</t>
  </si>
  <si>
    <t>912833Z52 @BBT3 GOVT:&lt;PriceAsk=59.529|PriceBid=59.243&gt;</t>
  </si>
  <si>
    <t>912833Z60 @BBT3 GOVT:&lt;PriceAsk=57.848|PriceBid=57.544&gt;</t>
  </si>
  <si>
    <t>912834AD0 @BBT3 GOVT:&lt;PriceAsk=58.655|PriceBid=58.367&gt;</t>
  </si>
  <si>
    <t>912834AE8 @BBT3 GOVT:&lt;PriceAsk=56.997|PriceBid=56.705&gt;</t>
  </si>
  <si>
    <t>912834AT5 @BBT3 GOVT:&lt;PriceAsk=56.208|PriceBid=55.901&gt;</t>
  </si>
  <si>
    <t>912834AU2 @BBT3 GOVT:&lt;PriceAsk=54.597|PriceBid=54.313&gt;</t>
  </si>
  <si>
    <t>912834DU9 @BBT3 GOVT:&lt;PriceAsk=55.415|PriceBid=55.119&gt;</t>
  </si>
  <si>
    <t>912834DV7 @BBT3 GOVT:&lt;PriceAsk=53.775|PriceBid=53.49&gt;</t>
  </si>
  <si>
    <t>912834EP9 @BBT3 GOVT:&lt;PriceAsk=52.996|PriceBid=52.69&gt;</t>
  </si>
  <si>
    <t>912834EV6 @BBT3 GOVT:&lt;PriceAsk=52.206|PriceBid=51.919&gt;</t>
  </si>
  <si>
    <t>912834FB9 @BBT3 GOVT:&lt;PriceAsk=51.405|PriceBid=51.111&gt;</t>
  </si>
  <si>
    <t>912834HV3 @BBT3 GOVT:&lt;PriceAsk=50.668|PriceBid=50.366&gt;</t>
  </si>
  <si>
    <t>912834JB5 @BBT3 GOVT:&lt;PriceAsk=49.86|PriceBid=49.577&gt;</t>
  </si>
  <si>
    <t>912834JH2 @BBT3 GOVT:&lt;PriceAsk=49.142|PriceBid=48.852&gt;</t>
  </si>
  <si>
    <t>912834JP4 @BBT3 GOVT:&lt;PriceAsk=48.36|PriceBid=48.084&gt;</t>
  </si>
  <si>
    <t>912834KB3 @BBT3 GOVT:&lt;PriceAsk=37.718|PriceBid=37.392&gt;</t>
  </si>
  <si>
    <t>912834KH0 @BBT3 GOVT:&lt;PriceAsk=47.663|PriceBid=47.358&gt;</t>
  </si>
  <si>
    <t>912834KP2 @BBT3 GOVT:&lt;PriceAsk=46.984|PriceBid=46.672&gt;</t>
  </si>
  <si>
    <t>912834KV9 @BBT3 GOVT:&lt;PriceAsk=46.258|PriceBid=45.973&gt;</t>
  </si>
  <si>
    <t>912834LB2 @BBT3 GOVT:&lt;PriceAsk=45.537|PriceBid=45.273&gt;</t>
  </si>
  <si>
    <t>912834LK2 @BBT3 GOVT:&lt;PriceAsk=44.943|PriceBid=44.65&gt;</t>
  </si>
  <si>
    <t>912834LR7 @BBT3 GOVT:&lt;PriceAsk=44.249|PriceBid=43.971&gt;</t>
  </si>
  <si>
    <t>912834LX4 @BBT3 GOVT:&lt;PriceAsk=43.591|PriceBid=43.291&gt;</t>
  </si>
  <si>
    <t>912834MD7 @BBT3 GOVT:&lt;PriceAsk=42.953|PriceBid=42.64&gt;</t>
  </si>
  <si>
    <t>912834MM7 @BBT3 GOVT:&lt;PriceAsk=42.315|PriceBid=42.009&gt;</t>
  </si>
  <si>
    <t>912834MT2 @BBT3 GOVT:&lt;PriceAsk=41.705|PriceBid=41.405&gt;</t>
  </si>
  <si>
    <t>912834MZ8 @BBT3 GOVT:&lt;PriceAsk=41.1|PriceBid=40.801&gt;</t>
  </si>
  <si>
    <t>912834NF1 @BBT3 GOVT:&lt;PriceAsk=40.496|PriceBid=40.183&gt;</t>
  </si>
  <si>
    <t>912834NP9 @BBT3 GOVT:&lt;PriceAsk=39.919|PriceBid=39.606&gt;</t>
  </si>
  <si>
    <t>912834NV6 @BBT3 GOVT:&lt;PriceAsk=39.335|PriceBid=39.023&gt;</t>
  </si>
  <si>
    <t>912834PB8 @BBT3 GOVT:&lt;PriceAsk=38.785|PriceBid=38.473&gt;</t>
  </si>
  <si>
    <t>912834PH5 @BBT3 GOVT:&lt;PriceAsk=38.214|PriceBid=37.937&gt;</t>
  </si>
  <si>
    <t>912834PM4 @BBT3 GOVT:&lt;PriceAsk=37.181|PriceBid=36.876&gt;</t>
  </si>
  <si>
    <t>912834PT9 @BBT3 GOVT:&lt;PriceAsk=36.718|PriceBid=36.393&gt;</t>
  </si>
  <si>
    <t>912834PZ5 @BBT3 GOVT:&lt;PriceAsk=36.207|PriceBid=35.923&gt;</t>
  </si>
  <si>
    <t>912834QH4 @BBT3 GOVT:&lt;PriceAsk=35.715|PriceBid=35.445&gt;</t>
  </si>
  <si>
    <t>912834QP6 @BBT3 GOVT:&lt;PriceAsk=35.258|PriceBid=34.954&gt;</t>
  </si>
  <si>
    <t>912834QV3 @BBT3 GOVT:&lt;PriceAsk=34.825|PriceBid=34.501&gt;</t>
  </si>
  <si>
    <t>AT0000A0VRQ6 GOVT:&lt;PriceBid=93.504|PriceAsk=93.58&gt;</t>
  </si>
  <si>
    <t>AT0000A1VGK0 GOVT:&lt;PriceBid=98.238|PriceAsk=98.306&gt;</t>
  </si>
  <si>
    <t>AT0000A1ZGE4 GOVT:&lt;PriceBid=96.834|PriceAsk=96.88&gt;</t>
  </si>
  <si>
    <t>AT0000A2CQD2 GOVT:&lt;PriceBid=90.35|PriceAsk=90.383&gt;</t>
  </si>
  <si>
    <t>AT0000A2EJ08 GOVT:&lt;PriceBid=51.736|PriceAsk=51.798&gt;</t>
  </si>
  <si>
    <t>AT0000A2KQ43 GOVT:&lt;PriceBid=60.368|PriceAsk=60.431&gt;</t>
  </si>
  <si>
    <t>AT0000A2NW83 GOVT:&lt;PriceAsk=87.581|PriceBid=87.542&gt;</t>
  </si>
  <si>
    <t>AT0000A2T198 GOVT:&lt;PriceBid=73.582|PriceAsk=73.63&gt;</t>
  </si>
  <si>
    <t>AT0000A2WSC8 GOVT:&lt;PriceBid=89.456|PriceAsk=89.489&gt;</t>
  </si>
  <si>
    <t>AT0000A2Y8G4 GOVT:&lt;PriceBid=71.383|PriceAsk=71.45&gt;</t>
  </si>
  <si>
    <t>AT0000A308C5 GOVT:&lt;PriceBid=99.955|PriceAsk=100.017&gt;</t>
  </si>
  <si>
    <t>AT0000A324S8 GOVT:&lt;PriceBid=99.307|PriceAsk=99.352&gt;</t>
  </si>
  <si>
    <t>AT0000A33SK7 GOVT:&lt;PriceBid=89.19|PriceAsk=89.331&gt;</t>
  </si>
  <si>
    <t>AT0000A38239 GOVT:&lt;PriceBid=102.484|PriceAsk=102.525&gt;</t>
  </si>
  <si>
    <t>AT0000A39UW5 GOVT:&lt;PriceBid=98.723|PriceAsk=98.765&gt;</t>
  </si>
  <si>
    <t>AT0000A3D3Q8 GOVT:&lt;PriceBid=97.023|PriceAsk=97.148&gt;</t>
  </si>
  <si>
    <t>AT0000A3EPP2 GOVT:&lt;PriceBid=99.153|PriceAsk=99.188&gt;</t>
  </si>
  <si>
    <t>AU0000075681 GOVT:&lt;YieldBid=0.046757|YieldAsk=0.046655&gt;</t>
  </si>
  <si>
    <t>AU0000101792 GOVT:&lt;YieldBid=0.046388|YieldAsk=0.046279&gt;</t>
  </si>
  <si>
    <t>AU0000106411 GOVT:&lt;YieldBid=0.044976|YieldAsk=0.044595&gt;</t>
  </si>
  <si>
    <t>AU0000143901 GOVT:&lt;YieldBid=0.047188|YieldAsk=0.047083&gt;</t>
  </si>
  <si>
    <t>AU0000217101 GOVT:&lt;YieldBid=0.047798|YieldAsk=0.047714&gt;</t>
  </si>
  <si>
    <t>AU0000274706 GOVT:&lt;YieldBid=0.048565|YieldAsk=0.048494&gt;</t>
  </si>
  <si>
    <t>AU0000345241 GOVT:&lt;YieldBid=0.049118|YieldAsk=0.049022&gt;</t>
  </si>
  <si>
    <t>AU000XCLWAF4 GOVT:&lt;YieldBid=0.025293|YieldAsk=0.024882&gt;</t>
  </si>
  <si>
    <t>AU000XCLWAG2 GOVT:&lt;YieldBid=0.047362|YieldAsk=0.047266&gt;</t>
  </si>
  <si>
    <t>AU000XCLWAM0 GOVT:&lt;YieldBid=0.048941|YieldAsk=0.048846&gt;</t>
  </si>
  <si>
    <t>AU000XCLWAO6 GOVT:&lt;YieldBid=0.028772|YieldAsk=0.028303&gt;</t>
  </si>
  <si>
    <t>AU000XCLWAQ1 GOVT:&lt;YieldBid=0.046449|YieldAsk=0.046227&gt;</t>
  </si>
  <si>
    <t>AU000XCLWAR9 GOVT:&lt;YieldBid=0.046081|YieldAsk=0.045946&gt;</t>
  </si>
  <si>
    <t>AU000XCLWAS7 GOVT:&lt;YieldBid=0.053503|YieldAsk=0.053204&gt;</t>
  </si>
  <si>
    <t>AU000XCLWAU3 GOVT:&lt;YieldBid=0.045803|YieldAsk=0.045706&gt;</t>
  </si>
  <si>
    <t>AU3TB0000135 GOVT:&lt;YieldBid=0.046404|YieldAsk=0.046141&gt;</t>
  </si>
  <si>
    <t>AU3TB0000150 GOVT:&lt;YieldBid=0.045674|YieldAsk=0.04558&gt;</t>
  </si>
  <si>
    <t>AU3TB0000192 GOVT:&lt;YieldBid=0.049745|YieldAsk=0.04964&gt;</t>
  </si>
  <si>
    <t>BE0000291972 GOVT:&lt;PriceBid=104.828|PriceAsk=104.856&gt;</t>
  </si>
  <si>
    <t>BE0000304130 GOVT:&lt;PriceBid=111.871|PriceAsk=111.911&gt;</t>
  </si>
  <si>
    <t>BE0000320292 GOVT:&lt;PriceBid=103.644|PriceAsk=103.734&gt;</t>
  </si>
  <si>
    <t>BE0000326356 GOVT:&lt;PriceBid=104.925|PriceAsk=104.955&gt;</t>
  </si>
  <si>
    <t>BE0000331406 GOVT:&lt;PriceBid=95.164|PriceAsk=95.244&gt;</t>
  </si>
  <si>
    <t>BE0000333428 GOVT:&lt;PriceBid=97.776|PriceAsk=97.807&gt;</t>
  </si>
  <si>
    <t>BE0000335449 GOVT:&lt;PriceBid=90.729|PriceAsk=90.755&gt;</t>
  </si>
  <si>
    <t>BE0000336454 GOVT:&lt;PriceBid=82.259|PriceAsk=82.334&gt;</t>
  </si>
  <si>
    <t>BE0000337460 GOVT:&lt;PriceBid=99.94|PriceAsk=99.979&gt;</t>
  </si>
  <si>
    <t>BE0000338476 GOVT:&lt;PriceBid=63.919|PriceAsk=64.021&gt;</t>
  </si>
  <si>
    <t>BE0000340498 GOVT:&lt;PriceBid=58.395|PriceAsk=58.493&gt;</t>
  </si>
  <si>
    <t>BE0000341504 GOVT:&lt;PriceBid=98.151|PriceAsk=98.189&gt;</t>
  </si>
  <si>
    <t>BE0000343526 GOVT:&lt;PriceBid=64.024|PriceAsk=64.149&gt;</t>
  </si>
  <si>
    <t>BE0000344532 GOVT:&lt;PriceBid=80.21|PriceAsk=80.28&gt;</t>
  </si>
  <si>
    <t>BE0000345547 GOVT:&lt;PriceBid=96.236|PriceAsk=96.256&gt;</t>
  </si>
  <si>
    <t>BE0000346552 GOVT:&lt;PriceBid=88.37|PriceAsk=88.401&gt;</t>
  </si>
  <si>
    <t>BE0000347568 GOVT:&lt;PriceBid=94.536|PriceAsk=94.555&gt;</t>
  </si>
  <si>
    <t>BE0000348574 GOVT:&lt;PriceBid=61.532|PriceAsk=61.641&gt;</t>
  </si>
  <si>
    <t>BE0000349580 GOVT:&lt;PriceBid=89.468|PriceAsk=89.49&gt;</t>
  </si>
  <si>
    <t>BE0000350596 GOVT:&lt;PriceBid=62.446|PriceAsk=62.526&gt;</t>
  </si>
  <si>
    <t>BE0000351602 GOVT:&lt;PriceBid=96.429|PriceAsk=96.462&gt;</t>
  </si>
  <si>
    <t>BE0000352618 GOVT:&lt;PriceBid=85.122|PriceAsk=85.149&gt;</t>
  </si>
  <si>
    <t>BE0000353624 GOVT:&lt;PriceBid=30.106|PriceAsk=30.188&gt;</t>
  </si>
  <si>
    <t>BE0000354630 GOVT:&lt;PriceBid=84.975|PriceAsk=85.002&gt;</t>
  </si>
  <si>
    <t>BE0000355645 GOVT:&lt;PriceBid=53.581|PriceAsk=53.684&gt;</t>
  </si>
  <si>
    <t>BE0000356650 GOVT:&lt;PriceBid=89.505|PriceAsk=89.576&gt;</t>
  </si>
  <si>
    <t>BE0000357666 GOVT:&lt;PriceBid=98.671|PriceAsk=98.696&gt;</t>
  </si>
  <si>
    <t>BE0000358672 GOVT:&lt;PriceBid=83.117|PriceAsk=83.179&gt;</t>
  </si>
  <si>
    <t>BE0000359688 GOVT:&lt;PriceBid=92.529|PriceAsk=92.607&gt;</t>
  </si>
  <si>
    <t>BE0000360694 GOVT:&lt;PriceBid=96.227|PriceAsk=96.253&gt;</t>
  </si>
  <si>
    <t>BE0000361700 GOVT:&lt;PriceBid=85.635|PriceAsk=85.698&gt;</t>
  </si>
  <si>
    <t>BE0000362716 GOVT:&lt;PriceBid=99.539|PriceAsk=99.557&gt;</t>
  </si>
  <si>
    <t>BE0000363722 GOVT:&lt;PriceBid=97.248|PriceAsk=97.277&gt;</t>
  </si>
  <si>
    <t>BE0000365743 GOVT:&lt;PriceBid=98.559|PriceAsk=98.584&gt;</t>
  </si>
  <si>
    <t>BE0000366758 GOVT:&lt;PriceBid=98.614|PriceAsk=98.647&gt;</t>
  </si>
  <si>
    <t>BE0000367764 GOVT:&lt;PriceBid=99.129|PriceAsk=99.2&gt;</t>
  </si>
  <si>
    <t>BE0000368770 GOVT:&lt;PriceBid=100.287|PriceAsk=100.315&gt;</t>
  </si>
  <si>
    <t>BFEM6 COMDTY:&lt;Price=121.01&gt;</t>
  </si>
  <si>
    <t>BPSWS1 CBBT CURNCY:&lt;PriceBid=0.0414354|PriceAsk=0.0414892&gt;</t>
  </si>
  <si>
    <t>BPSWS10 CBBT CURNCY:&lt;PriceBid=0.0448551|PriceAsk=0.044899&gt;</t>
  </si>
  <si>
    <t>BPSWS12 CBBT CURNCY:&lt;PriceBid=0.0458992|PriceAsk=0.0459457&gt;</t>
  </si>
  <si>
    <t>BPSWS15 CBBT CURNCY:&lt;PriceBid=0.0471815|PriceAsk=0.0472319&gt;</t>
  </si>
  <si>
    <t>BPSWS1F CBBT CURNCY:&lt;PriceBid=0.0419668|PriceAsk=0.0420301&gt;</t>
  </si>
  <si>
    <t>BPSWS1Z CBBT INDEX:&lt;PriceBid=3.72808|PriceAsk=3.7362&gt;</t>
  </si>
  <si>
    <t>BPSWS2 CBBT CURNCY:&lt;PriceBid=0.0421896|PriceAsk=0.042245&gt;</t>
  </si>
  <si>
    <t>BPSWS20 CBBT CURNCY:&lt;PriceBid=0.0484558|PriceAsk=0.0485031&gt;</t>
  </si>
  <si>
    <t>BPSWS25 CBBT CURNCY:&lt;PriceBid=0.0489434|PriceAsk=0.0489918&gt;</t>
  </si>
  <si>
    <t>BPSWS2Z CBBT INDEX:&lt;PriceBid=3.72995|PriceAsk=3.73785&gt;</t>
  </si>
  <si>
    <t>BPSWS3 CBBT CURNCY:&lt;PriceBid=0.0420745|PriceAsk=0.0421378&gt;</t>
  </si>
  <si>
    <t>BPSWS30 CBBT CURNCY:&lt;PriceBid=0.0489313|PriceAsk=0.0489749&gt;</t>
  </si>
  <si>
    <t>BPSWS4 CBBT CURNCY:&lt;PriceBid=0.0421305|PriceAsk=0.0421798&gt;</t>
  </si>
  <si>
    <t>BPSWS40 CBBT CURNCY:&lt;PriceBid=0.0482605|PriceAsk=0.0483068&gt;</t>
  </si>
  <si>
    <t>BPSWS5 CBBT CURNCY:&lt;PriceBid=0.0423616|PriceAsk=0.0424121&gt;</t>
  </si>
  <si>
    <t>BPSWS50 CBBT CURNCY:&lt;PriceBid=0.047323|PriceAsk=0.0473841&gt;</t>
  </si>
  <si>
    <t>BPSWS6 CBBT CURNCY:&lt;PriceBid=0.0427301|PriceAsk=0.0427789&gt;</t>
  </si>
  <si>
    <t>BPSWS7 CBBT CURNCY:&lt;PriceBid=0.0432066|PriceAsk=0.0432555&gt;</t>
  </si>
  <si>
    <t>BPSWS8 CBBT CURNCY:&lt;PriceBid=0.0437431|PriceAsk=0.0437877&gt;</t>
  </si>
  <si>
    <t>BPSWS9 CBBT CURNCY:&lt;PriceBid=0.0442989|PriceAsk=0.0443431&gt;</t>
  </si>
  <si>
    <t>BPSWSA CBBT INDEX:&lt;PriceBid=3.74341|PriceAsk=3.74912&gt;</t>
  </si>
  <si>
    <t>BPSWSB CBBT INDEX:&lt;PriceBid=3.7619|PriceAsk=3.76678&gt;</t>
  </si>
  <si>
    <t>BPSWSC CBBT INDEX:&lt;PriceBid=3.80281|PriceAsk=3.8095&gt;</t>
  </si>
  <si>
    <t>BPSWSD CBBT INDEX:&lt;PriceBid=3.84548|PriceAsk=3.85181&gt;</t>
  </si>
  <si>
    <t>BPSWSE CBBT INDEX:&lt;PriceBid=3.88347|PriceAsk=3.88982&gt;</t>
  </si>
  <si>
    <t>BPSWSF CBBT INDEX:&lt;PriceBid=3.93178|PriceAsk=3.93765&gt;</t>
  </si>
  <si>
    <t>BPSWSG CBBT INDEX:&lt;PriceBid=3.97666|PriceAsk=3.98216&gt;</t>
  </si>
  <si>
    <t>BPSWSH CBBT INDEX:&lt;PriceBid=4.01615|PriceAsk=4.02168&gt;</t>
  </si>
  <si>
    <t>BPSWSI CBBT INDEX:&lt;PriceBid=4.05098|PriceAsk=4.05656&gt;</t>
  </si>
  <si>
    <t>BPSWSJ CBBT INDEX:&lt;PriceBid=4.08598|PriceAsk=4.09163&gt;</t>
  </si>
  <si>
    <t>BPSWSK CBBT INDEX:&lt;PriceBid=4.11486|PriceAsk=4.12058&gt;</t>
  </si>
  <si>
    <t>BTSM6 COMDTY:&lt;Price=106.135&gt;</t>
  </si>
  <si>
    <t>BTSU6 COMDTY:&lt;Price=106.645&gt;</t>
  </si>
  <si>
    <t>BTSZ6 COMDTY:&lt;Price=106.09&gt;</t>
  </si>
  <si>
    <t>CA013051DY00 BGN GOVT:&lt;PriceBid=79.074|PriceAsk=79.227&gt;</t>
  </si>
  <si>
    <t>CA013051ED53 BGN GOVT:&lt;PriceBid=79.099|PriceAsk=79.226&gt;</t>
  </si>
  <si>
    <t>CA135087C939 @CBBT GOVT:&lt;PriceBid=78.782|PriceAsk=78.859&gt;</t>
  </si>
  <si>
    <t>CA135087D358 @CBBT GOVT:&lt;PriceBid=85.017|PriceAsk=85.074&gt;</t>
  </si>
  <si>
    <t>CA135087F825 @CBBT GOVT:&lt;PriceBid=98.453|PriceAsk=98.465&gt;</t>
  </si>
  <si>
    <t>CA135087H235 @CBBT GOVT:&lt;PriceBid=98.476|PriceAsk=98.488&gt;</t>
  </si>
  <si>
    <t>CA135087H722 @CBBT GOVT:&lt;PriceBid=70.815|PriceAsk=70.868&gt;</t>
  </si>
  <si>
    <t>CA135087J397 @CBBT GOVT:&lt;PriceBid=98.167|PriceAsk=98.184&gt;</t>
  </si>
  <si>
    <t>CA135087K379 @CBBT GOVT:&lt;PriceBid=93.413|PriceAsk=93.428&gt;</t>
  </si>
  <si>
    <t>CA135087L443 @CBBT GOVT:&lt;PriceBid=89.431|PriceAsk=89.447&gt;</t>
  </si>
  <si>
    <t>CA135087L930 @CBBT GOVT:&lt;PriceBid=99.684|PriceAsk=99.692&gt;</t>
  </si>
  <si>
    <t>CA135087M276 @CBBT GOVT:&lt;PriceBid=92.674|PriceAsk=92.692&gt;</t>
  </si>
  <si>
    <t>CA135087M680 @CBBT GOVT:&lt;PriceBid=65.159|PriceAsk=65.217&gt;</t>
  </si>
  <si>
    <t>CA135087M847 @CBBT GOVT:&lt;PriceBid=99.086|PriceAsk=99.095&gt;</t>
  </si>
  <si>
    <t>CA135087N266 @CBBT GOVT:&lt;PriceBid=91.775|PriceAsk=91.794&gt;</t>
  </si>
  <si>
    <t>CA135087N597 @CBBT GOVT:&lt;PriceBid=93.592|PriceAsk=93.615&gt;</t>
  </si>
  <si>
    <t>CA135087N670 @CBBT GOVT:&lt;PriceBid=97.7|PriceAsk=97.724&gt;</t>
  </si>
  <si>
    <t>CA135087N837 @CBBT GOVT:&lt;PriceBid=100.089|PriceAsk=100.099&gt;</t>
  </si>
  <si>
    <t>CA135087P329 @CBBT GOVT:&lt;PriceBid=95.818|PriceAsk=95.836&gt;</t>
  </si>
  <si>
    <t>CA135087P576 @CBBT GOVT:&lt;PriceBid=101.216|PriceAsk=101.225&gt;</t>
  </si>
  <si>
    <t>CA135087P733 @CBBT GOVT:&lt;PriceBid=100.666|PriceAsk=100.692&gt;</t>
  </si>
  <si>
    <t>CA135087P998 @CBBT GOVT:&lt;PriceBid=81.419|PriceAsk=81.474&gt;</t>
  </si>
  <si>
    <t>CA135087Q236 @CBBT GOVT:&lt;PriceBid=96.892|PriceAsk=96.909&gt;</t>
  </si>
  <si>
    <t>CA135087Q491 @CBBT GOVT:&lt;PriceBid=100.873|PriceAsk=100.885&gt;</t>
  </si>
  <si>
    <t>CA135087Q723 @CBBT GOVT:&lt;PriceBid=99.764|PriceAsk=99.783&gt;</t>
  </si>
  <si>
    <t>CA135087Q988 @CBBT GOVT:&lt;PriceBid=102.886|PriceAsk=102.898&gt;</t>
  </si>
  <si>
    <t>CA135087R481 @CBBT GOVT:&lt;PriceBid=97.767|PriceAsk=97.788&gt;</t>
  </si>
  <si>
    <t>CA135087R713 @CBBT GOVT:&lt;PriceBid=101.363|PriceAsk=101.403&gt;</t>
  </si>
  <si>
    <t>CA135087R895 @CBBT GOVT:&lt;PriceBid=101.692|PriceAsk=101.704&gt;</t>
  </si>
  <si>
    <t>CA135087R978 @CBBT GOVT:&lt;PriceBid=100.262|PriceAsk=100.268&gt;</t>
  </si>
  <si>
    <t>CA135087S216 @CBBT GOVT:&lt;PriceBid=99.262|PriceAsk=99.283&gt;</t>
  </si>
  <si>
    <t>CA135087S398 @CBBT GOVT:&lt;PriceBid=100.349|PriceAsk=100.354&gt;</t>
  </si>
  <si>
    <t>CA135087S471 @CBBT GOVT:&lt;PriceBid=99.132|PriceAsk=99.147&gt;</t>
  </si>
  <si>
    <t>CA135087S547 @CBBT GOVT:&lt;PriceBid=100.343|PriceAsk=100.349&gt;</t>
  </si>
  <si>
    <t>CA135087S620 @CBBT GOVT:&lt;PriceBid=98.948|PriceAsk=98.971&gt;</t>
  </si>
  <si>
    <t>CA135087S703 @CBBT GOVT:&lt;PriceBid=94.522|PriceAsk=94.581&gt;</t>
  </si>
  <si>
    <t>CA135087S885 @CBBT GOVT:&lt;PriceBid=100.167|PriceAsk=100.174&gt;</t>
  </si>
  <si>
    <t>CA135087S968 @CBBT GOVT:&lt;PriceBid=99.224|PriceAsk=99.262&gt;</t>
  </si>
  <si>
    <t>CA135087T388 @CBBT GOVT:&lt;PriceBid=98.851|PriceAsk=98.866&gt;</t>
  </si>
  <si>
    <t>CA135087T461 @CBBT GOVT:&lt;PriceBid=99.822|PriceAsk=99.828&gt;</t>
  </si>
  <si>
    <t>CA135087T537 @CBBT GOVT:&lt;PriceBid=98.607|PriceAsk=98.631&gt;</t>
  </si>
  <si>
    <t>CA135087T610 @CBBT GOVT:&lt;PriceBid=99.699|PriceAsk=99.707&gt;</t>
  </si>
  <si>
    <t>CA135087T792 @CBBT GOVT:&lt;PriceBid=98.558|PriceAsk=98.574&gt;</t>
  </si>
  <si>
    <t>CA135087T875 @CBBT GOVT:&lt;PriceBid=94.622|PriceAsk=94.689&gt;</t>
  </si>
  <si>
    <t>CA135087T958 @CBBT GOVT:&lt;PriceBid=99.171|PriceAsk=99.178&gt;</t>
  </si>
  <si>
    <t>CA135087U287 @CBBT GOVT:&lt;PriceBid=98.255|PriceAsk=98.277&gt;</t>
  </si>
  <si>
    <t>CA135087U360 @CBBT GOVT:&lt;PriceBid=98.459|PriceAsk=98.488&gt;</t>
  </si>
  <si>
    <t>CA135087U444 @CBBT GOVT:&lt;PriceBid=99.443|PriceAsk=99.449&gt;</t>
  </si>
  <si>
    <t>CA135087U691 @CBBT GOVT:&lt;PriceBid=99.437|PriceAsk=99.453&gt;</t>
  </si>
  <si>
    <t>CA135087U774 @CBBT GOVT:&lt;PriceBid=99.816|PriceAsk=99.827&gt;</t>
  </si>
  <si>
    <t>CA135087VW17 @CBBT GOVT:&lt;PriceBid=105.224|PriceAsk=105.262&gt;</t>
  </si>
  <si>
    <t>CA135087WL43 @CBBT GOVT:&lt;PriceBid=108.06|PriceAsk=108.099&gt;</t>
  </si>
  <si>
    <t>CA135087XG49 @CBBT GOVT:&lt;PriceBid=115.462|PriceAsk=115.502&gt;</t>
  </si>
  <si>
    <t>CA135087XW98 @CBBT GOVT:&lt;PriceBid=113.633|PriceAsk=113.678&gt;</t>
  </si>
  <si>
    <t>CA135087YQ12 @CBBT GOVT:&lt;PriceBid=104.453|PriceAsk=104.506&gt;</t>
  </si>
  <si>
    <t>CA135087ZS68 @CBBT GOVT:&lt;PriceBid=97.484|PriceAsk=97.54&gt;</t>
  </si>
  <si>
    <t>CA13509PFL28 @CBBT GOVT:&lt;PriceBid=99.878|PriceAsk=99.888&gt;</t>
  </si>
  <si>
    <t>CA13509PFX65 @CBBT GOVT:&lt;PriceBid=99.73|PriceAsk=99.739&gt;</t>
  </si>
  <si>
    <t>CA13509PGF41 @CBBT GOVT:&lt;PriceBid=99.237|PriceAsk=99.25&gt;</t>
  </si>
  <si>
    <t>CA13509PGL19 @CBBT GOVT:&lt;PriceBid=99.752|PriceAsk=99.764&gt;</t>
  </si>
  <si>
    <t>CA13509PGS61 @CBBT GOVT:&lt;PriceBid=99.345|PriceAsk=99.358&gt;</t>
  </si>
  <si>
    <t>CA13509PHD83 @CBBT GOVT:&lt;PriceBid=97.168|PriceAsk=97.189&gt;</t>
  </si>
  <si>
    <t>CA13509PHM82 @CBBT GOVT:&lt;PriceBid=94.954|PriceAsk=94.975&gt;</t>
  </si>
  <si>
    <t>CA13509PHQ96 @CBBT GOVT:&lt;PriceBid=90.882|PriceAsk=90.906&gt;</t>
  </si>
  <si>
    <t>CA13509PHS52 @CBBT GOVT:&lt;PriceBid=92.202|PriceAsk=92.228&gt;</t>
  </si>
  <si>
    <t>CA13509PHT36 @CBBT GOVT:&lt;PriceBid=99.965|PriceAsk=99.966&gt;</t>
  </si>
  <si>
    <t>CA13509PHU09 @CBBT GOVT:&lt;PriceBid=94.415|PriceAsk=94.441&gt;</t>
  </si>
  <si>
    <t>CA13509PHW64 @CBBT GOVT:&lt;PriceBid=91.72|PriceAsk=91.758&gt;</t>
  </si>
  <si>
    <t>CA13509PHX48 @CBBT GOVT:&lt;PriceBid=99.347|PriceAsk=99.351&gt;</t>
  </si>
  <si>
    <t>CA13509PHZ95 @CBBT GOVT:&lt;PriceBid=94.484|PriceAsk=94.512&gt;</t>
  </si>
  <si>
    <t>CA13509PJA27 @CBBT GOVT:&lt;PriceBid=99.581|PriceAsk=99.586&gt;</t>
  </si>
  <si>
    <t>CA13509PJB00 @CBBT GOVT:&lt;PriceBid=96.004|PriceAsk=96.033&gt;</t>
  </si>
  <si>
    <t>CA13509PJC82 @CBBT GOVT:&lt;PriceBid=101.202|PriceAsk=101.227&gt;</t>
  </si>
  <si>
    <t>CA13509PJE49 @CBBT GOVT:&lt;PriceBid=101.188|PriceAsk=101.198&gt;</t>
  </si>
  <si>
    <t>CA13509PJF14 @CBBT GOVT:&lt;PriceBid=101.271|PriceAsk=101.283&gt;</t>
  </si>
  <si>
    <t>CA13509PJK09 @CBBT GOVT:&lt;PriceBid=101.471|PriceAsk=101.504&gt;</t>
  </si>
  <si>
    <t>CA13509PJL81 @CBBT GOVT:&lt;PriceBid=100.486|PriceAsk=100.497&gt;</t>
  </si>
  <si>
    <t>CA13509PJN48 @CBBT GOVT:&lt;PriceBid=102.15|PriceAsk=102.161&gt;</t>
  </si>
  <si>
    <t>CA13509PKN29 @CBBT GOVT:&lt;PriceBid=101.01|PriceAsk=101.056&gt;</t>
  </si>
  <si>
    <t>CA458182EC20 BGN CORP:&lt;PriceBid=97.796|PriceAsk=97.827&gt;</t>
  </si>
  <si>
    <t>CA45950KCY43 BGN CORP:&lt;PriceBid=99.588|PriceAsk=99.642&gt;</t>
  </si>
  <si>
    <t>CA614853EV72 BGN GOVT:&lt;PriceBid=103.444|PriceAsk=103.562&gt;</t>
  </si>
  <si>
    <t>CA683234B984 BGN GOVT:&lt;PriceBid=104.157|PriceAsk=104.247&gt;</t>
  </si>
  <si>
    <t>CA683234YD42 BGN GOVT:&lt;PriceBid=106.378|PriceAsk=106.466&gt;</t>
  </si>
  <si>
    <t>CA68323ADZ45 BGN GOVT:&lt;PriceBid=76.092|PriceAsk=76.187&gt;</t>
  </si>
  <si>
    <t>CA68323AEE07 BGN GOVT:&lt;PriceBid=99.986|PriceAsk=100.001&gt;</t>
  </si>
  <si>
    <t>CA68329AAE88 BGN GOVT:&lt;PriceBid=97.771|PriceAsk=97.835&gt;</t>
  </si>
  <si>
    <t>CA68329AAF53 BGN GOVT:&lt;PriceBid=97.76|PriceAsk=97.826&gt;</t>
  </si>
  <si>
    <t>CA68333ZAC10 BGN GOVT:&lt;PriceBid=100.057|PriceAsk=100.079&gt;</t>
  </si>
  <si>
    <t>CA68333ZAE75 BGN GOVT:&lt;PriceBid=99.065|PriceAsk=99.094&gt;</t>
  </si>
  <si>
    <t>CA68333ZAG24 BGN GOVT:&lt;PriceBid=72.473|PriceAsk=72.565&gt;</t>
  </si>
  <si>
    <t>CA68333ZAH07 BGN GOVT:&lt;PriceBid=95.911|PriceAsk=95.949&gt;</t>
  </si>
  <si>
    <t>CA68333ZAL19 BGN GOVT:&lt;PriceBid=60.685|PriceAsk=60.776&gt;</t>
  </si>
  <si>
    <t>CA68333ZAT45 BGN GOVT:&lt;PriceBid=94.687|PriceAsk=94.716&gt;</t>
  </si>
  <si>
    <t>CA68333ZAU18 BGN GOVT:&lt;PriceBid=102.026|PriceAsk=102.08&gt;</t>
  </si>
  <si>
    <t>CA68333ZAV90 BGN GOVT:&lt;PriceBid=87.874|PriceAsk=87.991&gt;</t>
  </si>
  <si>
    <t>CA68333ZAY30 BGN GOVT:&lt;PriceBid=100.899|PriceAsk=100.923&gt;</t>
  </si>
  <si>
    <t>CA68333ZAZ05 BGN GOVT:&lt;PriceBid=101.028|PriceAsk=101.054&gt;</t>
  </si>
  <si>
    <t>CA68333ZBF32 BGN GOVT:&lt;PriceBid=101.344|PriceAsk=101.456&gt;</t>
  </si>
  <si>
    <t>CADUSD CURNCY:&lt;PriceBid=0.7194|PriceAsk=0.7195&gt;</t>
  </si>
  <si>
    <t>CDSO1 CURNCY:&lt;PriceBid=0.0251497|PriceAsk=0.0252514&gt;</t>
  </si>
  <si>
    <t>CDSO10 CURNCY:&lt;PriceBid=0.0319159|PriceAsk=0.0320061&gt;</t>
  </si>
  <si>
    <t>CDSO12 CURNCY:&lt;PriceBid=0.0329106|PriceAsk=0.0330094&gt;</t>
  </si>
  <si>
    <t>CDSO15 CURNCY:&lt;PriceBid=0.0341145|PriceAsk=0.0341935&gt;</t>
  </si>
  <si>
    <t>CDSO2 CURNCY:&lt;PriceBid=0.0270392|PriceAsk=0.0271408&gt;</t>
  </si>
  <si>
    <t>CDSO20 CURNCY:&lt;PriceBid=0.0352516|PriceAsk=0.0353384&gt;</t>
  </si>
  <si>
    <t>CDSO25 CURNCY:&lt;PriceBid=0.0352698|PriceAsk=0.0353602&gt;</t>
  </si>
  <si>
    <t>CDSO3 CURNCY:&lt;PriceBid=0.0279791|PriceAsk=0.0281209&gt;</t>
  </si>
  <si>
    <t>CDSO30 CURNCY:&lt;PriceBid=0.034812|PriceAsk=0.034908&gt;</t>
  </si>
  <si>
    <t>CDSO4 CURNCY:&lt;PriceBid=0.0285743|PriceAsk=0.0286657&gt;</t>
  </si>
  <si>
    <t>CDSO40 CIBR CURNCY:&lt;PriceBid=0.03339|PriceAsk=0.0335&gt;</t>
  </si>
  <si>
    <t>CDSO5 CURNCY:&lt;PriceBid=0.0290394|PriceAsk=0.0291206&gt;</t>
  </si>
  <si>
    <t>CDSO6 CURNCY:&lt;PriceBid=0.02956|PriceAsk=0.0296501&gt;</t>
  </si>
  <si>
    <t>CDSO7 CURNCY:&lt;PriceBid=0.030163|PriceAsk=0.030257&gt;</t>
  </si>
  <si>
    <t>CDSO8 CURNCY:&lt;PriceBid=0.0307737|PriceAsk=0.0308723&gt;</t>
  </si>
  <si>
    <t>CDSO9 CURNCY:&lt;PriceBid=0.0313714|PriceAsk=0.0314686&gt;</t>
  </si>
  <si>
    <t>CDSOA INDEX:&lt;PriceBid=2.25886|PriceAsk=2.26914&gt;</t>
  </si>
  <si>
    <t>CDSOB INDEX:&lt;PriceBid=2.27189|PriceAsk=2.28211&gt;</t>
  </si>
  <si>
    <t>CDSOC INDEX:&lt;PriceBid=2.27638|PriceAsk=2.28662&gt;</t>
  </si>
  <si>
    <t>CDSOD INDEX:&lt;PriceBid=2.29082|PriceAsk=2.30108&gt;</t>
  </si>
  <si>
    <t>CDSOE INDEX:&lt;PriceBid=2.30542|PriceAsk=2.31559&gt;</t>
  </si>
  <si>
    <t>CDSOF INDEX:&lt;PriceBid=2.33392|PriceAsk=2.34408&gt;</t>
  </si>
  <si>
    <t>CDSOG INDEX:&lt;PriceBid=2.35487|PriceAsk=2.36513&gt;</t>
  </si>
  <si>
    <t>CDSOH INDEX:&lt;PriceBid=2.38765|PriceAsk=2.39795&gt;</t>
  </si>
  <si>
    <t>CDSOI INDEX:&lt;PriceBid=2.41784|PriceAsk=2.42796&gt;</t>
  </si>
  <si>
    <t>CDSOJ INDEX:&lt;PriceBid=2.44987|PriceAsk=2.46013&gt;</t>
  </si>
  <si>
    <t>CDSOK INDEX:&lt;PriceBid=2.48064|PriceAsk=2.49086&gt;</t>
  </si>
  <si>
    <t>CNM6 COMDTY:&lt;Price=120.35&gt;</t>
  </si>
  <si>
    <t>CNU6 COMDTY:&lt;Price=120.25&gt;</t>
  </si>
  <si>
    <t>CORH6 COMDTY:&lt;Price=97.7175&gt;</t>
  </si>
  <si>
    <t>CORH7 COMDTY:&lt;Price=97.225&gt;</t>
  </si>
  <si>
    <t>CORM6 COMDTY:&lt;Price=97.715&gt;</t>
  </si>
  <si>
    <t>CORM7 COMDTY:&lt;Price=97.13&gt;</t>
  </si>
  <si>
    <t>CORU6 COMDTY:&lt;Price=97.61&gt;</t>
  </si>
  <si>
    <t>CORU7 COMDTY:&lt;Price=97.09&gt;</t>
  </si>
  <si>
    <t>CORZ6 COMDTY:&lt;Price=97.405&gt;</t>
  </si>
  <si>
    <t>CORZ7 COMDTY:&lt;Price=97.065&gt;</t>
  </si>
  <si>
    <t>CVM6 COMDTY:&lt;Price=105.36&gt;</t>
  </si>
  <si>
    <t>CVU6 COMDTY:&lt;Price=105.165&gt;</t>
  </si>
  <si>
    <t>DE0001030708 @CBBT GOVT:&lt;PriceBid=89.55|PriceAsk=89.581&gt;</t>
  </si>
  <si>
    <t>DE0001030724 @CBBT GOVT:&lt;PriceBid=43.183|PriceAsk=43.236&gt;</t>
  </si>
  <si>
    <t>DE0001030732 @CBBT GOVT:&lt;PriceBid=86.981|PriceAsk=87.018&gt;</t>
  </si>
  <si>
    <t>DE0001030740 @CBBT GOVT:&lt;PriceBid=98.295|PriceAsk=98.338&gt;</t>
  </si>
  <si>
    <t>DE0001030757 @CBBT GOVT:&lt;PriceBid=69.947|PriceAsk=69.999&gt;</t>
  </si>
  <si>
    <t>DE0001102341 @CBBT GOVT:&lt;PriceBid=85.954|PriceAsk=86.009&gt;</t>
  </si>
  <si>
    <t>DE0001102408 @CBBT GOVT:&lt;PriceBid=99.582|PriceAsk=99.608&gt;</t>
  </si>
  <si>
    <t>DE0001102416 @CBBT GOVT:&lt;PriceBid=98.481|PriceAsk=98.509&gt;</t>
  </si>
  <si>
    <t>DE0001102424 @CBBT GOVT:&lt;PriceBid=97.576|PriceAsk=97.61&gt;</t>
  </si>
  <si>
    <t>DE0001102432 @CBBT GOVT:&lt;PriceBid=65.39|PriceAsk=65.445&gt;</t>
  </si>
  <si>
    <t>DE0001102440 @CBBT GOVT:&lt;PriceBid=96.542|PriceAsk=96.564&gt;</t>
  </si>
  <si>
    <t>DE0001102457 @CBBT GOVT:&lt;PriceBid=95.045|PriceAsk=95.063&gt;</t>
  </si>
  <si>
    <t>DE0001102465 @CBBT GOVT:&lt;PriceBid=93.91|PriceAsk=93.928&gt;</t>
  </si>
  <si>
    <t>DE0001102473 @CBBT GOVT:&lt;PriceBid=92.025|PriceAsk=92.044&gt;</t>
  </si>
  <si>
    <t>DE0001102481 @CBBT GOVT:&lt;PriceBid=43.024|PriceAsk=43.072&gt;</t>
  </si>
  <si>
    <t>DE0001102499 @CBBT GOVT:&lt;PriceBid=90.746|PriceAsk=90.766&gt;</t>
  </si>
  <si>
    <t>DE0001102507 @CBBT GOVT:&lt;PriceBid=89.536|PriceAsk=89.554&gt;</t>
  </si>
  <si>
    <t>DE0001102515 @CBBT GOVT:&lt;PriceBid=76.863|PriceAsk=76.892&gt;</t>
  </si>
  <si>
    <t>DE0001102523 @CBBT GOVT:&lt;PriceBid=96.384|PriceAsk=96.41&gt;</t>
  </si>
  <si>
    <t>DE0001102531 @CBBT GOVT:&lt;PriceBid=88.258|PriceAsk=88.276&gt;</t>
  </si>
  <si>
    <t>DE0001102549 @CBBT GOVT:&lt;PriceBid=74.133|PriceAsk=74.175&gt;</t>
  </si>
  <si>
    <t>DE0001102556 @CBBT GOVT:&lt;PriceBid=93.889|PriceAsk=93.908&gt;</t>
  </si>
  <si>
    <t>DE0001102564 @CBBT GOVT:&lt;PriceBid=86.967|PriceAsk=86.992&gt;</t>
  </si>
  <si>
    <t>DE0001102572 @CBBT GOVT:&lt;PriceBid=40.113|PriceAsk=40.16&gt;</t>
  </si>
  <si>
    <t>DE0001102580 @CBBT GOVT:&lt;PriceBid=85.634|PriceAsk=85.653&gt;</t>
  </si>
  <si>
    <t>DE0001102598 @CBBT GOVT:&lt;PriceBid=78.317|PriceAsk=78.358&gt;</t>
  </si>
  <si>
    <t>DE0001102606 @CBBT GOVT:&lt;PriceBid=93.897|PriceAsk=93.92&gt;</t>
  </si>
  <si>
    <t>DE0001102614 @CBBT GOVT:&lt;PriceBid=69.744|PriceAsk=69.786&gt;</t>
  </si>
  <si>
    <t>DE0001102622 @CBBT GOVT:&lt;PriceBid=98.127|PriceAsk=98.149&gt;</t>
  </si>
  <si>
    <t>DE0001135044 @CBBT GOVT:&lt;PriceBid=104.077|PriceAsk=104.142&gt;</t>
  </si>
  <si>
    <t>DE0001135069 @CBBT GOVT:&lt;PriceBid=104.543|PriceAsk=104.598&gt;</t>
  </si>
  <si>
    <t>DE0001135085 @CBBT GOVT:&lt;PriceBid=104.206|PriceAsk=104.254&gt;</t>
  </si>
  <si>
    <t>DE0001135143 @CBBT GOVT:&lt;PriceBid=112.025|PriceAsk=112.085&gt;</t>
  </si>
  <si>
    <t>DE0001135176 @CBBT GOVT:&lt;PriceBid=111.807|PriceAsk=111.866&gt;</t>
  </si>
  <si>
    <t>DE0001135226 @CBBT GOVT:&lt;PriceBid=113.217|PriceAsk=113.276&gt;</t>
  </si>
  <si>
    <t>DE0001135275 @CBBT GOVT:&lt;PriceBid=108.266|PriceAsk=108.308&gt;</t>
  </si>
  <si>
    <t>DE0001135325 @CBBT GOVT:&lt;PriceBid=110.662|PriceAsk=110.705&gt;</t>
  </si>
  <si>
    <t>DE0001135366 @CBBT GOVT:&lt;PriceBid=116.302|PriceAsk=116.35&gt;</t>
  </si>
  <si>
    <t>DE0001135432 @CBBT GOVT:&lt;PriceBid=98.331|PriceAsk=98.38&gt;</t>
  </si>
  <si>
    <t>DE0001135481 @CBBT GOVT:&lt;PriceBid=87.436|PriceAsk=87.484&gt;</t>
  </si>
  <si>
    <t>DE0001141844 @CBBT GOVT:&lt;PriceBid=99.217|PriceAsk=99.246&gt;</t>
  </si>
  <si>
    <t>DE0001141851 @CBBT GOVT:&lt;PriceBid=97.873|PriceAsk=97.905&gt;</t>
  </si>
  <si>
    <t>DE0001141869 @CBBT GOVT:&lt;PriceBid=98.281|PriceAsk=98.315&gt;</t>
  </si>
  <si>
    <t>DE000A2SBDF7 @CBBT CORP:&lt;PriceBid=78.434|PriceAsk=79.066&gt;</t>
  </si>
  <si>
    <t>DE000BU22056 @CBBT GOVT:&lt;PriceBid=100.005|PriceAsk=100.036&gt;</t>
  </si>
  <si>
    <t>DE000BU22064 @CBBT GOVT:&lt;PriceBid=100.096|PriceAsk=100.118&gt;</t>
  </si>
  <si>
    <t>DE000BU22072 @CBBT GOVT:&lt;PriceBid=99.778|PriceAsk=99.807&gt;</t>
  </si>
  <si>
    <t>DE000BU22080 @CBBT GOVT:&lt;PriceBid=99.754|PriceAsk=99.779&gt;</t>
  </si>
  <si>
    <t>DE000BU22098 @CBBT GOVT:&lt;PriceBid=99.113|PriceAsk=99.144&gt;</t>
  </si>
  <si>
    <t>DE000BU22106 @CBBT GOVT:&lt;PriceBid=99.09|PriceAsk=99.111&gt;</t>
  </si>
  <si>
    <t>DE000BU22114 @CBBT GOVT:&lt;PriceBid=99.019|PriceAsk=99.043&gt;</t>
  </si>
  <si>
    <t>DE000BU22122 @CBBT GOVT:&lt;PriceBid=99.037|PriceAsk=99.047&gt;</t>
  </si>
  <si>
    <t>DE000BU22130 @CBBT GOVT:&lt;PriceBid=99.688|PriceAsk=99.697&gt;</t>
  </si>
  <si>
    <t>DE000BU25000 @CBBT GOVT:&lt;PriceBid=99.199|PriceAsk=99.22&gt;</t>
  </si>
  <si>
    <t>DE000BU25018 @CBBT GOVT:&lt;PriceBid=99.432|PriceAsk=99.451&gt;</t>
  </si>
  <si>
    <t>DE000BU25026 @CBBT GOVT:&lt;PriceBid=98.496|PriceAsk=98.516&gt;</t>
  </si>
  <si>
    <t>DE000BU25034 @CBBT GOVT:&lt;PriceBid=99.462|PriceAsk=99.481&gt;</t>
  </si>
  <si>
    <t>DE000BU25042 @CBBT GOVT:&lt;PriceBid=98.934|PriceAsk=98.954&gt;</t>
  </si>
  <si>
    <t>DE000BU25059 @CBBT GOVT:&lt;PriceBid=97.918|PriceAsk=97.934&gt;</t>
  </si>
  <si>
    <t>DE000BU25067 @CBBT GOVT:&lt;PriceBid=98.926|PriceAsk=98.938&gt;</t>
  </si>
  <si>
    <t>DE000BU27006 @CBBT GOVT:&lt;PriceBid=98.683|PriceAsk=98.704&gt;</t>
  </si>
  <si>
    <t>DE000BU27014 @CBBT GOVT:&lt;PriceBid=98.091|PriceAsk=98.112&gt;</t>
  </si>
  <si>
    <t>DE000BU2D004 @CBBT GOVT:&lt;PriceBid=81.382|PriceAsk=81.414&gt;</t>
  </si>
  <si>
    <t>DE000BU2D012 @CBBT GOVT:&lt;PriceBid=87.91|PriceAsk=87.927&gt;</t>
  </si>
  <si>
    <t>DE000BU2F009 @CBBT GOVT:&lt;PriceBid=91.18|PriceAsk=91.213&gt;</t>
  </si>
  <si>
    <t>DE000BU2T000 @CBBT GOVT:&lt;PriceBid=98.723|PriceAsk=98.77&gt;</t>
  </si>
  <si>
    <t>DE000BU2Z007 @CBBT GOVT:&lt;PriceBid=96.739|PriceAsk=96.765&gt;</t>
  </si>
  <si>
    <t>DE000BU2Z015 @CBBT GOVT:&lt;PriceBid=98.251|PriceAsk=98.271&gt;</t>
  </si>
  <si>
    <t>DE000BU2Z023 @CBBT GOVT:&lt;PriceBid=95.185|PriceAsk=95.208&gt;</t>
  </si>
  <si>
    <t>DE000BU2Z031 @CBBT GOVT:&lt;PriceBid=97.596|PriceAsk=97.617&gt;</t>
  </si>
  <si>
    <t>DE000BU2Z049 @CBBT GOVT:&lt;PriceBid=96.491|PriceAsk=96.513&gt;</t>
  </si>
  <si>
    <t>DE000BU2Z056 @CBBT GOVT:&lt;PriceBid=96.886|PriceAsk=96.903&gt;</t>
  </si>
  <si>
    <t>DE000BU2Z064 @CBBT GOVT:&lt;PriceBid=98.99|PriceAsk=99.007&gt;</t>
  </si>
  <si>
    <t>DE000BU35025 @CBBT GOVT:&lt;PriceBid=98.518|PriceAsk=98.546&gt;</t>
  </si>
  <si>
    <t>DE000BU3F007 @CBBT GOVT:&lt;PriceBid=91.29|PriceAsk=91.359&gt;</t>
  </si>
  <si>
    <t>DE000BU3Z005 @CBBT GOVT:&lt;PriceBid=96.748|PriceAsk=96.796&gt;</t>
  </si>
  <si>
    <t>DE000BU3Z047 @CBBT GOVT:&lt;PriceBid=96.535|PriceAsk=96.582&gt;</t>
  </si>
  <si>
    <t>DUM6 COMDTY:&lt;Price=105.775&gt;</t>
  </si>
  <si>
    <t>DUU6 COMDTY:&lt;Price=105.685&gt;</t>
  </si>
  <si>
    <t>DUZ6 COMDTY:&lt;Price=106.06&gt;</t>
  </si>
  <si>
    <t>EESWE1 CURNCY:&lt;PriceBid=0.024888|PriceAsk=0.024944&gt;</t>
  </si>
  <si>
    <t>EESWE10 CURNCY:&lt;PriceBid=0.0283774|PriceAsk=0.0284096&gt;</t>
  </si>
  <si>
    <t>EESWE11 CURNCY:&lt;PriceBid=0.028834|PriceAsk=0.028866&gt;</t>
  </si>
  <si>
    <t>EESWE12 CURNCY:&lt;PriceBid=0.02926|PriceAsk=0.029299&gt;</t>
  </si>
  <si>
    <t>EESWE13 CURNCY:&lt;PriceBid=0.0296606|PriceAsk=0.0296934&gt;</t>
  </si>
  <si>
    <t>EESWE14 CURNCY:&lt;PriceBid=0.0300091|PriceAsk=0.0300439&gt;</t>
  </si>
  <si>
    <t>EESWE15 CURNCY:&lt;PriceBid=0.0303005|PriceAsk=0.0303395&gt;</t>
  </si>
  <si>
    <t>EESWE16 CURNCY:&lt;PriceBid=0.0305438|PriceAsk=0.0305792&gt;</t>
  </si>
  <si>
    <t>EESWE17 CURNCY:&lt;PriceBid=0.0307253|PriceAsk=0.0307647&gt;</t>
  </si>
  <si>
    <t>EESWE18 CURNCY:&lt;PriceBid=0.030865|PriceAsk=0.030905&gt;</t>
  </si>
  <si>
    <t>EESWE19 CURNCY:&lt;PriceBid=0.0309708|PriceAsk=0.0310093&gt;</t>
  </si>
  <si>
    <t>EESWE1C CURNCY:&lt;PriceBid=NaN|PriceAsk=0.0252751&gt;</t>
  </si>
  <si>
    <t>EESWE1F CURNCY:&lt;PriceBid=0.025402|PriceAsk=0.025462&gt;</t>
  </si>
  <si>
    <t>EESWE1I CURNCY:&lt;PriceBid=0.0254777|PriceAsk=0.0255233&gt;</t>
  </si>
  <si>
    <t>EESWE1Z INDEX:&lt;PriceBid=1.92705|PriceAsk=1.94026&gt;</t>
  </si>
  <si>
    <t>EESWE2 CURNCY:&lt;PriceBid=0.0255091|PriceAsk=0.0255559&gt;</t>
  </si>
  <si>
    <t>EESWE20 CURNCY:&lt;PriceBid=0.0310286|PriceAsk=0.0310754&gt;</t>
  </si>
  <si>
    <t>EESWE25 CURNCY:&lt;PriceBid=0.0310034|PriceAsk=0.0310496&gt;</t>
  </si>
  <si>
    <t>EESWE2Z INDEX:&lt;PriceBid=2.01877|PriceAsk=2.02313&gt;</t>
  </si>
  <si>
    <t>EESWE3 CURNCY:&lt;PriceBid=0.0255114|PriceAsk=0.0255687&gt;</t>
  </si>
  <si>
    <t>EESWE30 CURNCY:&lt;PriceBid=0.0306969|PriceAsk=0.0307421&gt;</t>
  </si>
  <si>
    <t>EESWE35 CURNCY:&lt;PriceBid=0.0302434|PriceAsk=0.030311&gt;</t>
  </si>
  <si>
    <t>EESWE3Z INDEX:&lt;PriceBid=2.07209|PriceAsk=2.07591&gt;</t>
  </si>
  <si>
    <t>EESWE4 CURNCY:&lt;PriceBid=0.025724|PriceAsk=0.025769&gt;</t>
  </si>
  <si>
    <t>EESWE40 CURNCY:&lt;PriceBid=0.0297193|PriceAsk=0.0297797&gt;</t>
  </si>
  <si>
    <t>EESWE5 CURNCY:&lt;PriceBid=0.0260472|PriceAsk=0.0260868&gt;</t>
  </si>
  <si>
    <t>EESWE50 CURNCY:&lt;PriceBid=0.0285018|PriceAsk=0.0285572&gt;</t>
  </si>
  <si>
    <t>EESWE6 CURNCY:&lt;PriceBid=0.0264488|PriceAsk=0.0264832&gt;</t>
  </si>
  <si>
    <t>EESWE7 CURNCY:&lt;PriceBid=0.0269122|PriceAsk=0.0269469&gt;</t>
  </si>
  <si>
    <t>EESWE8 CURNCY:&lt;PriceBid=0.0274096|PriceAsk=0.0274444&gt;</t>
  </si>
  <si>
    <t>EESWE9 CURNCY:&lt;PriceBid=0.0278953|PriceAsk=0.0279297&gt;</t>
  </si>
  <si>
    <t>EESWEA INDEX:&lt;PriceBid=2.10354|PriceAsk=2.10807&gt;</t>
  </si>
  <si>
    <t>EESWEB INDEX:&lt;PriceBid=2.15943|PriceAsk=2.16457&gt;</t>
  </si>
  <si>
    <t>EESWEC INDEX:&lt;PriceBid=2.19354|PriceAsk=2.19786&gt;</t>
  </si>
  <si>
    <t>EESWED INDEX:&lt;PriceBid=2.24187|PriceAsk=2.25013&gt;</t>
  </si>
  <si>
    <t>EESWEE INDEX:&lt;PriceBid=2.28537|PriceAsk=2.29503&gt;</t>
  </si>
  <si>
    <t>EESWEF INDEX:&lt;PriceBid=2.32315|PriceAsk=2.32965&gt;</t>
  </si>
  <si>
    <t>EESWEG INDEX:&lt;PriceBid=2.35697|PriceAsk=2.36683&gt;</t>
  </si>
  <si>
    <t>EESWEH INDEX:&lt;PriceBid=2.39012|PriceAsk=2.39948&gt;</t>
  </si>
  <si>
    <t>EESWEI INDEX:&lt;PriceBid=2.41686|PriceAsk=2.42595&gt;</t>
  </si>
  <si>
    <t>EESWEJ INDEX:&lt;PriceBid=2.44483|PriceAsk=2.45067&gt;</t>
  </si>
  <si>
    <t>EESWEK INDEX:&lt;PriceBid=2.46875|PriceAsk=2.47485&gt;</t>
  </si>
  <si>
    <t>ERH0 COMDTY:&lt;Price=97.19&gt;</t>
  </si>
  <si>
    <t>ERH1 COMDTY:&lt;Price=97.065&gt;</t>
  </si>
  <si>
    <t>ERH7 COMDTY:&lt;Price=97.205&gt;</t>
  </si>
  <si>
    <t>ERH8 COMDTY:&lt;Price=97.33&gt;</t>
  </si>
  <si>
    <t>ERH9 COMDTY:&lt;Price=97.29&gt;</t>
  </si>
  <si>
    <t>ERM0 COMDTY:&lt;Price=97.155&gt;</t>
  </si>
  <si>
    <t>ERM1 COMDTY:&lt;Price=97.03&gt;</t>
  </si>
  <si>
    <t>ERM6 COMDTY:&lt;Price=97.65&gt;</t>
  </si>
  <si>
    <t>ERM7 COMDTY:&lt;Price=97.2&gt;</t>
  </si>
  <si>
    <t>ERM8 COMDTY:&lt;Price=97.34&gt;</t>
  </si>
  <si>
    <t>ERM9 COMDTY:&lt;Price=97.27&gt;</t>
  </si>
  <si>
    <t>ERU0 COMDTY:&lt;Price=97.125&gt;</t>
  </si>
  <si>
    <t>ERU1 COMDTY:&lt;Price=96.995&gt;</t>
  </si>
  <si>
    <t>ERU7 COMDTY:&lt;Price=97.24&gt;</t>
  </si>
  <si>
    <t>ERU8 COMDTY:&lt;Price=97.335&gt;</t>
  </si>
  <si>
    <t>ERU9 COMDTY:&lt;Price=97.245&gt;</t>
  </si>
  <si>
    <t>ERZ0 COMDTY:&lt;Price=97.095&gt;</t>
  </si>
  <si>
    <t>ERZ1 COMDTY:&lt;Price=96.96&gt;</t>
  </si>
  <si>
    <t>ERZ6 COMDTY:&lt;Price=97.27&gt;</t>
  </si>
  <si>
    <t>ERZ7 COMDTY:&lt;Price=97.295&gt;</t>
  </si>
  <si>
    <t>ERZ8 COMDTY:&lt;Price=97.315&gt;</t>
  </si>
  <si>
    <t>ERZ9 COMDTY:&lt;Price=97.22&gt;</t>
  </si>
  <si>
    <t>ES0000011868 @CBBT GOVT:&lt;PriceBid=108.262|PriceAsk=108.278&gt;</t>
  </si>
  <si>
    <t>ES00000120N0 @CBBT GOVT:&lt;PriceBid=112.378|PriceAsk=112.424&gt;</t>
  </si>
  <si>
    <t>ES00000121S7 @CBBT GOVT:&lt;PriceBid=110.07|PriceAsk=110.118&gt;</t>
  </si>
  <si>
    <t>ES00000123C7 @CBBT GOVT:&lt;PriceBid=100.48|PriceAsk=100.509&gt;</t>
  </si>
  <si>
    <t>ES0000012411 @CBBT GOVT:&lt;PriceBid=115.037|PriceAsk=115.055&gt;</t>
  </si>
  <si>
    <t>ES00000124C5 @CBBT GOVT:&lt;PriceBid=105.543|PriceAsk=105.559&gt;</t>
  </si>
  <si>
    <t>ES00000124H4 @CBBT GOVT:&lt;PriceBid=115.897|PriceAsk=115.956&gt;</t>
  </si>
  <si>
    <t>ES00000127A2 @CBBT GOVT:&lt;PriceBid=96.562|PriceAsk=96.579&gt;</t>
  </si>
  <si>
    <t>ES00000128C6 @CBBT GOVT:&lt;PriceBid=84.987|PriceAsk=85.028&gt;</t>
  </si>
  <si>
    <t>ES00000128E2 @CBBT GOVT:&lt;PriceBid=85.819|PriceAsk=86.045&gt;</t>
  </si>
  <si>
    <t>ES00000128H5 @CBBT GOVT:&lt;PriceBid=99.528|PriceAsk=99.554&gt;</t>
  </si>
  <si>
    <t>ES00000128P8 @CBBT GOVT:&lt;PriceBid=99.021|PriceAsk=99.048&gt;</t>
  </si>
  <si>
    <t>ES00000128Q6 @CBBT GOVT:&lt;PriceBid=94.855|PriceAsk=94.871&gt;</t>
  </si>
  <si>
    <t>ES0000012932 @CBBT GOVT:&lt;PriceBid=105.956|PriceAsk=105.993&gt;</t>
  </si>
  <si>
    <t>ES0000012A89 @CBBT GOVT:&lt;PriceBid=98.326|PriceAsk=98.358&gt;</t>
  </si>
  <si>
    <t>ES0000012B39 @CBBT GOVT:&lt;PriceBid=97.653|PriceAsk=97.675&gt;</t>
  </si>
  <si>
    <t>ES0000012B47 @CBBT GOVT:&lt;PriceBid=80.632|PriceAsk=80.68&gt;</t>
  </si>
  <si>
    <t>ES0000012B88 @CBBT GOVT:&lt;PriceBid=97.317|PriceAsk=97.333&gt;</t>
  </si>
  <si>
    <t>ES0000012E51 @CBBT GOVT:&lt;PriceBid=96.45|PriceAsk=96.466&gt;</t>
  </si>
  <si>
    <t>ES0000012E69 @CBBT GOVT:&lt;PriceBid=88.254|PriceAsk=88.272&gt;</t>
  </si>
  <si>
    <t>ES0000012F43 @CBBT GOVT:&lt;PriceBid=92.982|PriceAsk=92.999&gt;</t>
  </si>
  <si>
    <t>ES0000012F76 @CBBT GOVT:&lt;PriceBid=91.519|PriceAsk=91.534&gt;</t>
  </si>
  <si>
    <t>ES0000012G00 @CBBT GOVT:&lt;PriceBid=52.944|PriceAsk=52.991&gt;</t>
  </si>
  <si>
    <t>ES0000012G26 @CBBT GOVT:&lt;PriceBid=97.933|PriceAsk=97.96&gt;</t>
  </si>
  <si>
    <t>ES0000012G34 @CBBT GOVT:&lt;PriceBid=93.387|PriceAsk=93.404&gt;</t>
  </si>
  <si>
    <t>ES0000012G42 @CBBT GOVT:&lt;PriceBid=71.59|PriceAsk=71.628&gt;</t>
  </si>
  <si>
    <t>ES0000012H41 @CBBT GOVT:&lt;PriceBid=87.322|PriceAsk=87.338&gt;</t>
  </si>
  <si>
    <t>ES0000012H58 @CBBT GOVT:&lt;PriceBid=45.781|PriceAsk=46.004&gt;</t>
  </si>
  <si>
    <t>ES0000012I08 @CBBT GOVT:&lt;PriceBid=95.755|PriceAsk=95.781&gt;</t>
  </si>
  <si>
    <t>ES0000012I24 @CBBT GOVT:&lt;PriceBid=75.129|PriceAsk=75.163&gt;</t>
  </si>
  <si>
    <t>ES0000012I32 @CBBT GOVT:&lt;PriceBid=87.849|PriceAsk=87.864&gt;</t>
  </si>
  <si>
    <t>ES0000012J07 @CBBT GOVT:&lt;PriceBid=65.785|PriceAsk=65.845&gt;</t>
  </si>
  <si>
    <t>ES0000012J15 @CBBT GOVT:&lt;PriceBid=98.378|PriceAsk=98.404&gt;</t>
  </si>
  <si>
    <t>ES0000012K20 @CBBT GOVT:&lt;PriceBid=87.583|PriceAsk=87.601&gt;</t>
  </si>
  <si>
    <t>ES0000012K46 @CBBT GOVT:&lt;PriceBid=64.726|PriceAsk=64.772&gt;</t>
  </si>
  <si>
    <t>ES0000012K53 @CBBT GOVT:&lt;PriceBid=94.064|PriceAsk=94.083&gt;</t>
  </si>
  <si>
    <t>ES0000012K61 @CBBT GOVT:&lt;PriceBid=96.934|PriceAsk=96.953&gt;</t>
  </si>
  <si>
    <t>ES0000012K95 @CBBT GOVT:&lt;PriceBid=94.148|PriceAsk=94.188&gt;</t>
  </si>
  <si>
    <t>ES0000012L52 @CBBT GOVT:&lt;PriceBid=100.002|PriceAsk=100.02&gt;</t>
  </si>
  <si>
    <t>ES0000012L60 @CBBT GOVT:&lt;PriceBid=101.853|PriceAsk=101.89&gt;</t>
  </si>
  <si>
    <t>ES0000012L78 @CBBT GOVT:&lt;PriceBid=102.216|PriceAsk=102.231&gt;</t>
  </si>
  <si>
    <t>ES0000012M51 @CBBT GOVT:&lt;PriceBid=102.048|PriceAsk=102.06&gt;</t>
  </si>
  <si>
    <t>ES0000012M77 @CBBT GOVT:&lt;PriceBid=99.825|PriceAsk=99.854&gt;</t>
  </si>
  <si>
    <t>ES0000012M85 @CBBT GOVT:&lt;PriceBid=99.882|PriceAsk=99.897&gt;</t>
  </si>
  <si>
    <t>ES0000012M93 @CBBT GOVT:&lt;PriceBid=97.543|PriceAsk=97.607&gt;</t>
  </si>
  <si>
    <t>ES0000012N35 @CBBT GOVT:&lt;PriceBid=101.001|PriceAsk=101.018&gt;</t>
  </si>
  <si>
    <t>ES0000012N43 @CBBT GOVT:&lt;PriceBid=100.66|PriceAsk=100.678&gt;</t>
  </si>
  <si>
    <t>ES0000012O00 @CBBT GOVT:&lt;PriceBid=99.514|PriceAsk=99.527&gt;</t>
  </si>
  <si>
    <t>ES0000012O59 @CBBT GOVT:&lt;PriceBid=99.39|PriceAsk=99.417&gt;</t>
  </si>
  <si>
    <t>ES0000012O67 @CBBT GOVT:&lt;PriceBid=98.417|PriceAsk=98.434&gt;</t>
  </si>
  <si>
    <t>ES0000012O75 @CBBT GOVT:&lt;PriceBid=96.354|PriceAsk=96.406&gt;</t>
  </si>
  <si>
    <t>ES0000012P33 @CBBT GOVT:&lt;PriceBid=98.397|PriceAsk=98.414&gt;</t>
  </si>
  <si>
    <t>ES0000012P74 @CBBT GOVT:&lt;PriceBid=99.191|PriceAsk=99.211&gt;</t>
  </si>
  <si>
    <t>ES0000012P90 @CBBT GOVT:&lt;PriceBid=98.81|PriceAsk=98.828&gt;</t>
  </si>
  <si>
    <t>ES0000012Q08 @CBBT GOVT:&lt;PriceBid=98.751|PriceAsk=98.768&gt;</t>
  </si>
  <si>
    <t>ES0000012Q16 @CBBT GOVT:&lt;PriceBid=98.417|PriceAsk=98.434&gt;</t>
  </si>
  <si>
    <t>ES0000012R56 @CBBT GOVT:&lt;PriceBid=95.795|PriceAsk=95.864&gt;</t>
  </si>
  <si>
    <t>EU000A1G1Q17 GOVT:&lt;PriceBid=101.804|PriceAsk=102.02&gt;</t>
  </si>
  <si>
    <t>EU000A3K4C42 GOVT:&lt;PriceBid=73.152|PriceAsk=73.258&gt;</t>
  </si>
  <si>
    <t>EU000A3K4D41 GOVT:&lt;PriceBid=100.246|PriceAsk=100.31&gt;</t>
  </si>
  <si>
    <t>EU000A3K4D74 GOVT:&lt;PriceBid=97.662|PriceAsk=97.791&gt;</t>
  </si>
  <si>
    <t>EU000A3K4D82 GOVT:&lt;PriceBid=100.096|PriceAsk=100.112&gt;</t>
  </si>
  <si>
    <t>EU000A3K4DD8 GOVT:&lt;PriceBid=88.872|PriceAsk=88.942&gt;</t>
  </si>
  <si>
    <t>EU000A3K4DG1 GOVT:&lt;PriceBid=68.451|PriceAsk=68.635&gt;</t>
  </si>
  <si>
    <t>EU000A3K4DM9 GOVT:&lt;PriceBid=80.093|PriceAsk=80.319&gt;</t>
  </si>
  <si>
    <t>EU000A3K4DS6 GOVT:&lt;PriceBid=99.076|PriceAsk=99.103&gt;</t>
  </si>
  <si>
    <t>EU000A3K4DT4 GOVT:&lt;PriceBid=74.243|PriceAsk=74.513&gt;</t>
  </si>
  <si>
    <t>EU000A3K4DV0 GOVT:&lt;PriceBid=94.172|PriceAsk=94.376&gt;</t>
  </si>
  <si>
    <t>EU000A3K4DW8 GOVT:&lt;PriceBid=98.003|PriceAsk=98.079&gt;</t>
  </si>
  <si>
    <t>EU000A3K4DY4 GOVT:&lt;PriceBid=81.954|PriceAsk=82.22&gt;</t>
  </si>
  <si>
    <t>EU000A3K4EL9 GOVT:&lt;PriceBid=101.051|PriceAsk=101.216&gt;</t>
  </si>
  <si>
    <t>EU000A3K4EN5 GOVT:&lt;PriceBid=100.788|PriceAsk=100.822&gt;</t>
  </si>
  <si>
    <t>EU000A3K4ES4 GOVT:&lt;PriceBid=98.2|PriceAsk=98.266&gt;</t>
  </si>
  <si>
    <t>EU000A3K4EU0 GOVT:&lt;PriceBid=87.64|PriceAsk=87.82&gt;</t>
  </si>
  <si>
    <t>EU000A3K4EW6 GOVT:&lt;PriceBid=100.178|PriceAsk=100.204&gt;</t>
  </si>
  <si>
    <t>EU000A3K4EY2 GOVT:&lt;PriceBid=87.533|PriceAsk=87.738&gt;</t>
  </si>
  <si>
    <t>EU000A3K7MW2 GOVT:&lt;PriceBid=96.002|PriceAsk=96.048&gt;</t>
  </si>
  <si>
    <t>EU000A3KSXE1 GOVT:&lt;PriceBid=86.353|PriceAsk=86.417&gt;</t>
  </si>
  <si>
    <t>EU000A3KT6B1 GOVT:&lt;PriceBid=62.222|PriceAsk=62.362&gt;</t>
  </si>
  <si>
    <t>EU000A3KTGV8 GOVT:&lt;PriceBid=99.828|PriceAsk=99.84&gt;</t>
  </si>
  <si>
    <t>EU000A3KTGW6 GOVT:&lt;PriceBid=47.818|PriceAsk=48.028&gt;</t>
  </si>
  <si>
    <t>EU000A3KWCF4 GOVT:&lt;PriceBid=93.83|PriceAsk=93.865&gt;</t>
  </si>
  <si>
    <t>EU000A3L1CN4 GOVT:&lt;PriceBid=100.115|PriceAsk=100.154&gt;</t>
  </si>
  <si>
    <t>EU000A3L1DJ0 GOVT:&lt;PriceBid=97.529|PriceAsk=97.579&gt;</t>
  </si>
  <si>
    <t>EU000A3LNF05 GOVT:&lt;PriceBid=100.901|PriceAsk=100.946&gt;</t>
  </si>
  <si>
    <t>EU000A3LZ0X9 GOVT:&lt;PriceBid=96.687|PriceAsk=96.806&gt;</t>
  </si>
  <si>
    <t>EU000A4D8KD2 GOVT:&lt;PriceBid=100.233|PriceAsk=100.309&gt;</t>
  </si>
  <si>
    <t>EU000A4EA8Y7 GOVT:&lt;PriceBid=97.081|PriceAsk=97.257&gt;</t>
  </si>
  <si>
    <t>EURUSD CURNCY:&lt;PriceBid=1.1598|PriceAsk=1.16&gt;</t>
  </si>
  <si>
    <t>FFF7 COMDTY:&lt;Price=96.21&gt;</t>
  </si>
  <si>
    <t>FFG7 COMDTY:&lt;Price=96.175&gt;</t>
  </si>
  <si>
    <t>FFH7 COMDTY:&lt;Price=96.145&gt;</t>
  </si>
  <si>
    <t>FFJ7 COMDTY:&lt;Price=96.11&gt;</t>
  </si>
  <si>
    <t>FFK7 COMDTY:&lt;Price=96.08&gt;</t>
  </si>
  <si>
    <t>FFM6 COMDTY:&lt;Price=96.3825&gt;</t>
  </si>
  <si>
    <t>FFM7 COMDTY:&lt;Price=96.075&gt;</t>
  </si>
  <si>
    <t>FFN6 COMDTY:&lt;Price=96.38&gt;</t>
  </si>
  <si>
    <t>FFN7 COMDTY:&lt;Price=96.075&gt;</t>
  </si>
  <si>
    <t>FFQ6 COMDTY:&lt;Price=96.36&gt;</t>
  </si>
  <si>
    <t>FFQ7 COMDTY:&lt;Price=96.075&gt;</t>
  </si>
  <si>
    <t>FFU6 COMDTY:&lt;Price=96.335&gt;</t>
  </si>
  <si>
    <t>FFU7 COMDTY:&lt;Price=96.095&gt;</t>
  </si>
  <si>
    <t>FFV6 COMDTY:&lt;Price=96.31&gt;</t>
  </si>
  <si>
    <t>FFX6 COMDTY:&lt;Price=96.28&gt;</t>
  </si>
  <si>
    <t>FFZ6 COMDTY:&lt;Price=96.23&gt;</t>
  </si>
  <si>
    <t>FI4000348727 GOVT:&lt;PriceBid=95.219|PriceAsk=95.251&gt;</t>
  </si>
  <si>
    <t>FI4000415153 GOVT:&lt;PriceBid=73.261|PriceAsk=73.302&gt;</t>
  </si>
  <si>
    <t>FI4000546528 GOVT:&lt;PriceBid=92.968|PriceAsk=93.097&gt;</t>
  </si>
  <si>
    <t>FR0000186413 @CBBT GOVT:&lt;PriceBid=106.539|PriceAsk=106.622&gt;</t>
  </si>
  <si>
    <t>FR0000187635 @CBBT GOVT:&lt;PriceBid=114.093|PriceAsk=114.128&gt;</t>
  </si>
  <si>
    <t>FR0000188799 @CBBT GOVT:&lt;PriceBid=112.872|PriceAsk=112.945&gt;</t>
  </si>
  <si>
    <t>FR0000571218 @CBBT GOVT:&lt;PriceBid=107.147|PriceAsk=107.182&gt;</t>
  </si>
  <si>
    <t>FR0010070060 @CBBT GOVT:&lt;PriceBid=108.777|PriceAsk=108.82&gt;</t>
  </si>
  <si>
    <t>FR0010171975 @CBBT GOVT:&lt;PriceBid=92.323|PriceAsk=92.397&gt;</t>
  </si>
  <si>
    <t>FR0010371401 @CBBT GOVT:&lt;PriceBid=100.887|PriceAsk=100.949&gt;</t>
  </si>
  <si>
    <t>FR0010447367 @CBBT GOVT:&lt;PriceBid=100.45|PriceAsk=100.589&gt;</t>
  </si>
  <si>
    <t>FR0010773192 @CBBT GOVT:&lt;PriceBid=104.988|PriceAsk=105.047&gt;</t>
  </si>
  <si>
    <t>FR0010870956 @CBBT GOVT:&lt;PriceBid=91|PriceAsk=91.109&gt;</t>
  </si>
  <si>
    <t>FR0011008705 @CBBT GOVT:&lt;PriceBid=102.436|PriceAsk=102.484&gt;</t>
  </si>
  <si>
    <t>FR0011317783 @CBBT GOVT:&lt;PriceBid=99.946|PriceAsk=99.975&gt;</t>
  </si>
  <si>
    <t>FR0011461037 @CBBT GOVT:&lt;PriceBid=87.392|PriceAsk=87.458&gt;</t>
  </si>
  <si>
    <t>FR0011883966 @CBBT GOVT:&lt;PriceBid=98.235|PriceAsk=98.256&gt;</t>
  </si>
  <si>
    <t>FR0012993103 @CBBT GOVT:&lt;PriceBid=92.761|PriceAsk=92.785&gt;</t>
  </si>
  <si>
    <t>FR0013154028 @CBBT GOVT:&lt;PriceBid=50.037|PriceAsk=50.187&gt;</t>
  </si>
  <si>
    <t>FR0013154044 @CBBT GOVT:&lt;PriceBid=79.683|PriceAsk=79.735&gt;</t>
  </si>
  <si>
    <t>FR0013154200 @CBBT GOVT:&lt;PriceBid=27.365|PriceAsk=27.771&gt;</t>
  </si>
  <si>
    <t>FR0013200813 @CBBT GOVT:&lt;PriceBid=98.967|PriceAsk=98.994&gt;</t>
  </si>
  <si>
    <t>FR0013209871 @CBBT GOVT:&lt;PriceBid=67.276|PriceAsk=67.423&gt;</t>
  </si>
  <si>
    <t>FR0013234333 @CBBT GOVT:&lt;PriceBid=77.765|PriceAsk=77.832&gt;</t>
  </si>
  <si>
    <t>FR0013238268 @CBBT GOVT:&lt;PriceBid=97.979|PriceAsk=98.043&gt;</t>
  </si>
  <si>
    <t>FR0013250560 @CBBT GOVT:&lt;PriceBid=98.413|PriceAsk=98.441&gt;</t>
  </si>
  <si>
    <t>FR0013257524 @CBBT GOVT:&lt;PriceBid=67.178|PriceAsk=67.243&gt;</t>
  </si>
  <si>
    <t>FR0013286192 @CBBT GOVT:&lt;PriceBid=96.104|PriceAsk=96.129&gt;</t>
  </si>
  <si>
    <t>FR0013313582 @CBBT GOVT:&lt;PriceBid=84.574|PriceAsk=84.601&gt;</t>
  </si>
  <si>
    <t>FR0013341682 @CBBT GOVT:&lt;PriceBid=95.072|PriceAsk=95.094&gt;</t>
  </si>
  <si>
    <t>FR0013404969 @CBBT GOVT:&lt;PriceBid=57.607|PriceAsk=57.674&gt;</t>
  </si>
  <si>
    <t>FR0013407236 @CBBT GOVT:&lt;PriceBid=93.31|PriceAsk=93.335&gt;</t>
  </si>
  <si>
    <t>FR0013451507 @CBBT GOVT:&lt;PriceBid=90.459|PriceAsk=90.483&gt;</t>
  </si>
  <si>
    <t>FR0013480613 @CBBT GOVT:&lt;PriceBid=43.865|PriceAsk=43.94&gt;</t>
  </si>
  <si>
    <t>FR0013515806 @CBBT GOVT:&lt;PriceBid=62.53|PriceAsk=62.591&gt;</t>
  </si>
  <si>
    <t>FR0013516549 @CBBT GOVT:&lt;PriceBid=87.492|PriceAsk=87.514&gt;</t>
  </si>
  <si>
    <t>FR0014001NN8 @CBBT GOVT:&lt;PriceBid=25.672|PriceAsk=25.769&gt;</t>
  </si>
  <si>
    <t>FR0014002JM6 @CBBT GOVT:&lt;PriceBid=53.649|PriceAsk=53.71&gt;</t>
  </si>
  <si>
    <t>FR0014002WK3 @CBBT GOVT:&lt;PriceBid=84.34|PriceAsk=84.367&gt;</t>
  </si>
  <si>
    <t>FR0014003513 @CBBT GOVT:&lt;PriceBid=98.165|PriceAsk=98.192&gt;</t>
  </si>
  <si>
    <t>FR0014003N51 @CBBT GOVT:&lt;PriceBid=91.849|PriceAsk=91.93&gt;</t>
  </si>
  <si>
    <t>FR0014004J31 @CBBT GOVT:&lt;PriceBid=42.464|PriceAsk=42.533&gt;</t>
  </si>
  <si>
    <t>FR0014007L00 @CBBT GOVT:&lt;PriceBid=82.696|PriceAsk=82.72&gt;</t>
  </si>
  <si>
    <t>FR0014009O62 @CBBT GOVT:&lt;PriceBid=74.827|PriceAsk=74.889&gt;</t>
  </si>
  <si>
    <t>FR001400AIN5 @CBBT GOVT:&lt;PriceBid=96.595|PriceAsk=96.619&gt;</t>
  </si>
  <si>
    <t>FR001400BKZ3 @CBBT GOVT:&lt;PriceBid=92.52|PriceAsk=92.547&gt;</t>
  </si>
  <si>
    <t>FR001400CMX2 @CBBT GOVT:&lt;PriceBid=79.795|PriceAsk=79.838&gt;</t>
  </si>
  <si>
    <t>FR001400FTH3 @CBBT GOVT:&lt;PriceBid=76.676|PriceAsk=76.731&gt;</t>
  </si>
  <si>
    <t>FR001400FYQ4 @CBBT GOVT:&lt;PriceBid=100.021|PriceAsk=100.052&gt;</t>
  </si>
  <si>
    <t>FR001400H7V7 @CBBT GOVT:&lt;PriceBid=97.729|PriceAsk=97.757&gt;</t>
  </si>
  <si>
    <t>FR001400HI98 @CBBT GOVT:&lt;PriceBid=99.678|PriceAsk=99.701&gt;</t>
  </si>
  <si>
    <t>FR001400L834 @CBBT GOVT:&lt;PriceBid=100.426|PriceAsk=100.454&gt;</t>
  </si>
  <si>
    <t>FR001400NBC6 @CBBT GOVT:&lt;PriceBid=99.665|PriceAsk=99.694&gt;</t>
  </si>
  <si>
    <t>FR001400NEF3 @CBBT GOVT:&lt;PriceBid=80.572|PriceAsk=80.628&gt;</t>
  </si>
  <si>
    <t>FR001400O9D2 @CBBT CORP:&lt;PriceBid=101.161|PriceAsk=101.578&gt;</t>
  </si>
  <si>
    <t>FR001400OHF4 @CBBT GOVT:&lt;PriceBid=80.065|PriceAsk=80.122&gt;</t>
  </si>
  <si>
    <t>FR001400PM68 @CBBT GOVT:&lt;PriceBid=99.243|PriceAsk=99.264&gt;</t>
  </si>
  <si>
    <t>FR001400QMF9 @CBBT GOVT:&lt;PriceBid=96.046|PriceAsk=96.07&gt;</t>
  </si>
  <si>
    <t>FR001400WYO4 @CBBT GOVT:&lt;PriceBid=93.75|PriceAsk=93.805&gt;</t>
  </si>
  <si>
    <t>FR001400X8V5 @CBBT GOVT:&lt;PriceBid=96.953|PriceAsk=96.967&gt;</t>
  </si>
  <si>
    <t>FR001400XJJ3 @CBBT GOVT:&lt;PriceBid=87.583|PriceAsk=87.641&gt;</t>
  </si>
  <si>
    <t>FR001400XLW2 @CBBT GOVT:&lt;PriceBid=99.028|PriceAsk=99.053&gt;</t>
  </si>
  <si>
    <t>FR001400Z2L7 @CBBT GOVT:&lt;PriceBid=98.342|PriceAsk=98.367&gt;</t>
  </si>
  <si>
    <t>FR0014012II5 @CBBT GOVT:&lt;PriceBid=98.699|PriceAsk=98.717&gt;</t>
  </si>
  <si>
    <t>FR0014015MU5 @CBBT GOVT:&lt;PriceBid=97.688|PriceAsk=97.752&gt;</t>
  </si>
  <si>
    <t>FR0014016CV2 @CBBT GOVT:&lt;PriceBid=97.822|PriceAsk=97.884&gt;</t>
  </si>
  <si>
    <t>FR0014016G71 @CBBT GOVT:&lt;PriceBid=98.371|PriceAsk=98.396&gt;</t>
  </si>
  <si>
    <t>FR0014018YR0</t>
  </si>
  <si>
    <t>FR0014018YR0 @CBBT GOVT:&lt;PriceBid=99.318|PriceAsk=99.349&gt;</t>
  </si>
  <si>
    <t>FVM6 COMDTY:&lt;Price=107.15625&gt;</t>
  </si>
  <si>
    <t>FVU6 COMDTY:&lt;Price=107.03125&gt;</t>
  </si>
  <si>
    <t>FVZ6 COMDTY:&lt;Price=106.9921875&gt;</t>
  </si>
  <si>
    <t>G M6 COMDTY:&lt;Price=87.92&gt;</t>
  </si>
  <si>
    <t>G U6 COMDTY:&lt;Price=87.8&gt;</t>
  </si>
  <si>
    <t>G Z6 COMDTY:&lt;Price=87.72&gt;</t>
  </si>
  <si>
    <t>GB0002404191 @CBBT GOVT:&lt;PriceBid=104.096|PriceAsk=104.146&gt;</t>
  </si>
  <si>
    <t>GB0004893086 @CBBT GOVT:&lt;PriceBid=98.663|PriceAsk=98.678&gt;</t>
  </si>
  <si>
    <t>GB0008932666 @CBBT GOVT:&lt;PriceBid=342.339|PriceAsk=342.562&gt;</t>
  </si>
  <si>
    <t>GB0031790826 @CBBT GOVT:&lt;PriceBid=242.32|PriceAsk=242.631&gt;</t>
  </si>
  <si>
    <t>GB0032452392 @CBBT GOVT:&lt;PriceBid=94.768|PriceAsk=94.776&gt;</t>
  </si>
  <si>
    <t>GB00B00NY175 @CBBT GOVT:&lt;PriceBid=96.383|PriceAsk=96.396&gt;</t>
  </si>
  <si>
    <t>GB00B06YGN05 @CBBT GOVT:&lt;PriceBid=80.72|PriceAsk=80.732&gt;</t>
  </si>
  <si>
    <t>GB00B0CNHZ09 @CBBT GOVT:&lt;PriceBid=77.084|PriceAsk=77.202&gt;</t>
  </si>
  <si>
    <t>GB00B128DH60 @CBBT GOVT:&lt;PriceBid=102.134|PriceAsk=102.26&gt;</t>
  </si>
  <si>
    <t>GB00B128DP45 @CBBT GOVT:&lt;PriceBid=84.436|PriceAsk=84.451&gt;</t>
  </si>
  <si>
    <t>GB00B16NNR78 @CBBT GOVT:&lt;PriceBid=100.001|PriceAsk=100.016&gt;</t>
  </si>
  <si>
    <t>GB00B1L6W962 @CBBT GOVT:&lt;PriceBid=93.012|PriceAsk=93.077&gt;</t>
  </si>
  <si>
    <t>GB00B1VWPJ53 @CBBT GOVT:&lt;PriceBid=90.334|PriceAsk=90.347&gt;</t>
  </si>
  <si>
    <t>GB00B24FF097 @CBBT GOVT:&lt;PriceBid=101.609|PriceAsk=101.624&gt;</t>
  </si>
  <si>
    <t>GB00B24FFM16 @CBBT GOVT:&lt;PriceBid=73.733|PriceAsk=73.827&gt;</t>
  </si>
  <si>
    <t>GB00B39R3707 @CBBT GOVT:&lt;PriceBid=82.927|PriceAsk=82.941&gt;</t>
  </si>
  <si>
    <t>GB00B3D4VD98 @CBBT GOVT:&lt;PriceBid=101.134|PriceAsk=101.191&gt;</t>
  </si>
  <si>
    <t>GB00B3KJDS62 @CBBT GOVT:&lt;PriceBid=90.939|PriceAsk=90.948&gt;</t>
  </si>
  <si>
    <t>GB00B3LZBF68 @CBBT GOVT:&lt;PriceBid=83.014|PriceAsk=83.08&gt;</t>
  </si>
  <si>
    <t>GB00B3MYD345 @CBBT GOVT:&lt;PriceBid=78.799|PriceAsk=78.881&gt;</t>
  </si>
  <si>
    <t>GB00B3Y1JG82 @CBBT GOVT:&lt;PriceBid=99.053|PriceAsk=99.142&gt;</t>
  </si>
  <si>
    <t>GB00B421JZ66 @CBBT GOVT:&lt;PriceBid=66.219|PriceAsk=66.305&gt;</t>
  </si>
  <si>
    <t>GB00B46CGH68 @CBBT GOVT:&lt;PriceBid=95.278|PriceAsk=95.334&gt;</t>
  </si>
  <si>
    <t>GB00B4PTCY75 @CBBT GOVT:&lt;PriceBid=54.18|PriceAsk=54.313&gt;</t>
  </si>
  <si>
    <t>GB00B52WS153 @CBBT GOVT:&lt;PriceBid=98.186|PriceAsk=98.198&gt;</t>
  </si>
  <si>
    <t>GB00B54QLM75 @CBBT GOVT:&lt;PriceBid=76.423|PriceAsk=76.438&gt;</t>
  </si>
  <si>
    <t>GB00B6460505 @CBBT GOVT:&lt;PriceBid=89.629|PriceAsk=89.638&gt;</t>
  </si>
  <si>
    <t>GB00B6RNH572 @CBBT GOVT:&lt;PriceBid=74.88|PriceAsk=74.891&gt;</t>
  </si>
  <si>
    <t>GB00B73ZYW09 @CBBT GOVT:&lt;PriceBid=59.458|PriceAsk=59.507&gt;</t>
  </si>
  <si>
    <t>GB00B7RN0G65 @CBBT GOVT:&lt;PriceBid=68.801|PriceAsk=68.873&gt;</t>
  </si>
  <si>
    <t>GB00B84Z9V04 @CBBT GOVT:&lt;PriceBid=74.982|PriceAsk=74.995&gt;</t>
  </si>
  <si>
    <t>GB00BBJNQY21 @CBBT GOVT:&lt;PriceBid=67.497|PriceAsk=67.517&gt;</t>
  </si>
  <si>
    <t>GB00BD0XH204 @CBBT GOVT:&lt;PriceBid=43.754|PriceAsk=43.774&gt;</t>
  </si>
  <si>
    <t>GB00BD9MZZ71 @CBBT GOVT:&lt;PriceBid=45.838|PriceAsk=45.978&gt;</t>
  </si>
  <si>
    <t>GB00BDCHBW80 @CBBT GOVT:&lt;PriceBid=49.855|PriceAsk=49.872&gt;</t>
  </si>
  <si>
    <t>GB00BDRHNP05 @CBBT GOVT:&lt;PriceBid=96.766|PriceAsk=96.781&gt;</t>
  </si>
  <si>
    <t>GB00BDX8CX86 @CBBT GOVT:&lt;PriceBid=44.901|PriceAsk=45.064&gt;</t>
  </si>
  <si>
    <t>GB00BFMCN652 @CBBT GOVT:&lt;PriceBid=37.211|PriceAsk=37.248&gt;</t>
  </si>
  <si>
    <t>GB00BFWFPP71 @CBBT GOVT:&lt;PriceBid=51.176|PriceAsk=51.198&gt;</t>
  </si>
  <si>
    <t>GB00BFX0ZL78 @CBBT GOVT:&lt;PriceBid=94.101|PriceAsk=94.123&gt;</t>
  </si>
  <si>
    <t>GB00BJLR0J16 @CBBT GOVT:&lt;PriceBid=43.808|PriceAsk=43.827&gt;</t>
  </si>
  <si>
    <t>GB00BJMHB534 @CBBT GOVT:&lt;PriceBid=89.334|PriceAsk=89.347&gt;</t>
  </si>
  <si>
    <t>GB00BJQWYH73 @CBBT GOVT:&lt;PriceBid=57.719|PriceAsk=57.731&gt;</t>
  </si>
  <si>
    <t>GB00BL68HH02 @CBBT GOVT:&lt;PriceBid=84.352|PriceAsk=84.368&gt;</t>
  </si>
  <si>
    <t>GB00BL6C7720 @CBBT GOVT:&lt;PriceBid=99.99|PriceAsk=99.999&gt;</t>
  </si>
  <si>
    <t>GB00BLBDX619 @CBBT GOVT:&lt;PriceBid=28.846|PriceAsk=28.886&gt;</t>
  </si>
  <si>
    <t>GB00BLH38158 @CBBT GOVT:&lt;PriceBid=41.53|PriceAsk=41.549&gt;</t>
  </si>
  <si>
    <t>GB00BLPK7227 @CBBT GOVT:&lt;PriceBid=90.663|PriceAsk=90.673&gt;</t>
  </si>
  <si>
    <t>GB00BLPK7334 @CBBT GOVT:&lt;PriceBid=62.965|PriceAsk=62.971&gt;</t>
  </si>
  <si>
    <t>GB00BM8Z2S21 @CBBT GOVT:&lt;PriceBid=77.075|PriceAsk=77.091&gt;</t>
  </si>
  <si>
    <t>GB00BM8Z2T38 @CBBT GOVT:&lt;PriceBid=82.575|PriceAsk=82.589&gt;</t>
  </si>
  <si>
    <t>GB00BM8Z2V59 @CBBT GOVT:&lt;PriceBid=42.92|PriceAsk=42.942&gt;</t>
  </si>
  <si>
    <t>GB00BM8Z2W66 @CBBT GOVT:&lt;PriceBid=46.894|PriceAsk=47.085&gt;</t>
  </si>
  <si>
    <t>GB00BMBL1D50 @CBBT GOVT:&lt;PriceBid=23.547|PriceAsk=23.604&gt;</t>
  </si>
  <si>
    <t>GB00BMBL1F74 @CBBT GOVT:&lt;PriceBid=34.501|PriceAsk=34.541&gt;</t>
  </si>
  <si>
    <t>GB00BMBL1G81 @CBBT GOVT:&lt;PriceBid=93.641|PriceAsk=93.66&gt;</t>
  </si>
  <si>
    <t>GB00BMF9LF76 @CBBT GOVT:&lt;PriceBid=75.589|PriceAsk=75.605&gt;</t>
  </si>
  <si>
    <t>GB00BMF9LG83 @CBBT GOVT:&lt;PriceBid=100.298|PriceAsk=100.307&gt;</t>
  </si>
  <si>
    <t>GB00BMGR2809 @CBBT GOVT:&lt;PriceBid=81.117|PriceAsk=81.129&gt;</t>
  </si>
  <si>
    <t>GB00BMGR2916 @CBBT GOVT:&lt;PriceBid=69.033|PriceAsk=69.044&gt;</t>
  </si>
  <si>
    <t>GB00BMV7TC88 @CBBT GOVT:&lt;PriceBid=92.176|PriceAsk=92.187&gt;</t>
  </si>
  <si>
    <t>GB00BN65R313 @CBBT GOVT:&lt;PriceBid=76.872|PriceAsk=76.887&gt;</t>
  </si>
  <si>
    <t>GB00BNNGP551 @CBBT GOVT:&lt;PriceBid=96.629|PriceAsk=96.695&gt;</t>
  </si>
  <si>
    <t>GB00BNNGP668 @CBBT GOVT:&lt;PriceBid=98.745|PriceAsk=98.756&gt;</t>
  </si>
  <si>
    <t>GB00BNNGP775 @CBBT GOVT:&lt;PriceBid=44.645|PriceAsk=44.662&gt;</t>
  </si>
  <si>
    <t>GB00BP9DLZ64 @CBBT GOVT:&lt;PriceBid=51.372|PriceAsk=51.505&gt;</t>
  </si>
  <si>
    <t>GB00BPCJD997 @CBBT GOVT:&lt;PriceBid=74.063|PriceAsk=74.073&gt;</t>
  </si>
  <si>
    <t>GB00BPJJKN53 @CBBT GOVT:&lt;PriceBid=99.306|PriceAsk=99.315&gt;</t>
  </si>
  <si>
    <t>GB00BPJJKP77 @CBBT GOVT:&lt;PriceBid=92.095|PriceAsk=92.106&gt;</t>
  </si>
  <si>
    <t>GB00BPSNB460 @CBBT GOVT:&lt;PriceBid=99.675|PriceAsk=99.685&gt;</t>
  </si>
  <si>
    <t>GB00BPSNBB36 @CBBT GOVT:&lt;PriceBid=82.561|PriceAsk=82.573&gt;</t>
  </si>
  <si>
    <t>GB00BPSNBF73 @CBBT GOVT:&lt;PriceBid=97.632|PriceAsk=97.641&gt;</t>
  </si>
  <si>
    <t>GB00BQC4R999 @CBBT GOVT:&lt;PriceBid=88.096|PriceAsk=88.104&gt;</t>
  </si>
  <si>
    <t>GB00BQC82B83 @CBBT GOVT:&lt;PriceBid=99.248|PriceAsk=99.259&gt;</t>
  </si>
  <si>
    <t>GB00BQC82C90 @CBBT GOVT:&lt;PriceBid=96.449|PriceAsk=96.458&gt;</t>
  </si>
  <si>
    <t>GB00BQC82D08 @CBBT GOVT:&lt;PriceBid=91.585|PriceAsk=91.595&gt;</t>
  </si>
  <si>
    <t>GB00BSQNRC93 @CBBT GOVT:&lt;PriceBid=100.055|PriceAsk=100.062&gt;</t>
  </si>
  <si>
    <t>GB00BSQNRD01 @CBBT GOVT:&lt;PriceBid=99.883|PriceAsk=99.893&gt;</t>
  </si>
  <si>
    <t>GB00BT7J0027 @CBBT GOVT:&lt;PriceBid=97.566|PriceAsk=97.573&gt;</t>
  </si>
  <si>
    <t>GB00BT7J0241 @CBBT GOVT:&lt;PriceBid=96.848|PriceAsk=96.86&gt;</t>
  </si>
  <si>
    <t>GB00BTXS1K06 @CBBT GOVT:&lt;PriceBid=98.845|PriceAsk=98.851&gt;</t>
  </si>
  <si>
    <t>GB00BVP99566 @CBBT GOVT:&lt;PriceBid=98.944|PriceAsk=98.954&gt;</t>
  </si>
  <si>
    <t>GB00BVP99673 @CBBT GOVT:&lt;PriceBid=98.581|PriceAsk=98.593&gt;</t>
  </si>
  <si>
    <t>GB00BVP99780 @CBBT GOVT:&lt;PriceBid=97.051|PriceAsk=97.062&gt;</t>
  </si>
  <si>
    <t>GB00BVP99897 @CBBT GOVT:&lt;PriceBid=99.456|PriceAsk=99.465&gt;</t>
  </si>
  <si>
    <t>GB00BVP99905 @CBBT GOVT:&lt;PriceBid=96.585|PriceAsk=96.594&gt;</t>
  </si>
  <si>
    <t>GB00BWBR1N39 @CBBT GOVT:&lt;PriceBid=99.184|PriceAsk=99.194&gt;</t>
  </si>
  <si>
    <t>GB00BYMWG366 @CBBT GOVT:&lt;PriceBid=65.263|PriceAsk=65.347&gt;</t>
  </si>
  <si>
    <t>GB00BYVP4K94 @CBBT GOVT:&lt;PriceBid=52.498|PriceAsk=52.619&gt;</t>
  </si>
  <si>
    <t>GB00BYYMZX75 @CBBT GOVT:&lt;PriceBid=52.003|PriceAsk=52.027&gt;</t>
  </si>
  <si>
    <t>GB00BYZW3G56 @CBBT GOVT:&lt;PriceBid=99.705|PriceAsk=99.715&gt;</t>
  </si>
  <si>
    <t>GB00BYZW3J87 @CBBT GOVT:&lt;PriceBid=84.956|PriceAsk=85.015&gt;</t>
  </si>
  <si>
    <t>GB00BZ13DV40 @CBBT GOVT:&lt;PriceBid=61.797|PriceAsk=61.878&gt;</t>
  </si>
  <si>
    <t>GB00BZB26Y51 @CBBT GOVT:&lt;PriceBid=71.972|PriceAsk=71.98&gt;</t>
  </si>
  <si>
    <t>GBPUSD CURNCY:&lt;PriceBid=1.3416|PriceAsk=1.3418&gt;</t>
  </si>
  <si>
    <t>GCFRTSY INDEX:&lt;Price=3.672&gt;</t>
  </si>
  <si>
    <t>IE000GVLBXU6 GOVT:&lt;PriceBid=93.475|PriceAsk=93.667&gt;</t>
  </si>
  <si>
    <t>IE00BKFVC345 GOVT:&lt;PriceBid=79.155|PriceAsk=79.248&gt;</t>
  </si>
  <si>
    <t>IE00BKFVC899 GOVT:&lt;PriceBid=89.688|PriceAsk=89.736&gt;</t>
  </si>
  <si>
    <t>IE00BMD03L28 GOVT:&lt;PriceBid=85.291|PriceAsk=85.353&gt;</t>
  </si>
  <si>
    <t>IE00BMQ5JL65 GOVT:&lt;PriceBid=86.298|PriceAsk=86.345&gt;</t>
  </si>
  <si>
    <t>IE00BMQ5JM72 GOVT:&lt;PriceBid=66.624|PriceAsk=66.766&gt;</t>
  </si>
  <si>
    <t>IKM6 COMDTY:&lt;Price=117.92&gt;</t>
  </si>
  <si>
    <t>IKU6 COMDTY:&lt;Price=117.62&gt;</t>
  </si>
  <si>
    <t>IT0001086567 @CBBT GOVT:&lt;PriceBid=101.868|PriceAsk=101.876&gt;</t>
  </si>
  <si>
    <t>IT0001174611 @CBBT GOVT:&lt;PriceBid=105.107|PriceAsk=105.114&gt;</t>
  </si>
  <si>
    <t>IT0001278511 @CBBT GOVT:&lt;PriceBid=107.42|PriceAsk=107.43&gt;</t>
  </si>
  <si>
    <t>IT0001444378 @CBBT GOVT:&lt;PriceBid=112.954|PriceAsk=112.968&gt;</t>
  </si>
  <si>
    <t>IT0003256820 @CBBT GOVT:&lt;PriceBid=114.055|PriceAsk=114.074&gt;</t>
  </si>
  <si>
    <t>IT0003535157 @CBBT GOVT:&lt;PriceBid=110.189|PriceAsk=110.211&gt;</t>
  </si>
  <si>
    <t>IT0003745541 @CBBT GOVT:&lt;PriceBid=107.77|PriceAsk=107.852&gt;</t>
  </si>
  <si>
    <t>IT0003934657 @CBBT GOVT:&lt;PriceBid=101.964|PriceAsk=101.998&gt;</t>
  </si>
  <si>
    <t>IT0004286966 @CBBT GOVT:&lt;PriceBid=110.265|PriceAsk=110.29&gt;</t>
  </si>
  <si>
    <t>IT0004532559 @CBBT GOVT:&lt;PriceBid=110.149|PriceAsk=110.188&gt;</t>
  </si>
  <si>
    <t>IT0004545890 @CBBT GOVT:&lt;PriceBid=107.76|PriceAsk=107.849&gt;</t>
  </si>
  <si>
    <t>IT0004735152 @CBBT GOVT:&lt;PriceBid=101.34|PriceAsk=101.376&gt;</t>
  </si>
  <si>
    <t>IT0004889033 @CBBT GOVT:&lt;PriceBid=104.133|PriceAsk=104.144&gt;</t>
  </si>
  <si>
    <t>IT0004923998 @CBBT GOVT:&lt;PriceBid=106.379|PriceAsk=106.408&gt;</t>
  </si>
  <si>
    <t>IT0005024234 @CBBT GOVT:&lt;PriceBid=101.823|PriceAsk=101.838&gt;</t>
  </si>
  <si>
    <t>IT0005083057 @CBBT GOVT:&lt;PriceBid=85.458|PriceAsk=85.487&gt;</t>
  </si>
  <si>
    <t>IT0005094088 @CBBT GOVT:&lt;PriceBid=91.761|PriceAsk=91.78&gt;</t>
  </si>
  <si>
    <t>IT0005138828 @CBBT GOVT:&lt;PriceBid=101.189|PriceAsk=101.238&gt;</t>
  </si>
  <si>
    <t>IT0005162828 @CBBT GOVT:&lt;PriceBid=77.665|PriceAsk=77.698&gt;</t>
  </si>
  <si>
    <t>IT0005177909 @CBBT GOVT:&lt;PriceBid=87.282|PriceAsk=87.311&gt;</t>
  </si>
  <si>
    <t>IT0005210650 @CBBT GOVT:&lt;PriceBid=99.468|PriceAsk=99.478&gt;</t>
  </si>
  <si>
    <t>IT0005217390 @CBBT GOVT:&lt;PriceBid=69.53|PriceAsk=69.666&gt;</t>
  </si>
  <si>
    <t>IT0005240350 @CBBT GOVT:&lt;PriceBid=93.83|PriceAsk=93.847&gt;</t>
  </si>
  <si>
    <t>IT0005240830 @CBBT GOVT:&lt;PriceBid=99.605|PriceAsk=99.614&gt;</t>
  </si>
  <si>
    <t>IT0005273013 @CBBT GOVT:&lt;PriceBid=87.254|PriceAsk=87.292&gt;</t>
  </si>
  <si>
    <t>IT0005274805 @CBBT GOVT:&lt;PriceBid=99.305|PriceAsk=99.312&gt;</t>
  </si>
  <si>
    <t>IT0005321325 @CBBT GOVT:&lt;PriceBid=90.517|PriceAsk=90.547&gt;</t>
  </si>
  <si>
    <t>IT0005323032 @CBBT GOVT:&lt;PriceBid=98.796|PriceAsk=98.805&gt;</t>
  </si>
  <si>
    <t>IT0005340929 @CBBT GOVT:&lt;PriceBid=99.955|PriceAsk=99.968&gt;</t>
  </si>
  <si>
    <t>IT0005358806 @CBBT GOVT:&lt;PriceBid=98.094|PriceAsk=98.117&gt;</t>
  </si>
  <si>
    <t>IT0005363111 @CBBT GOVT:&lt;PriceBid=92.16|PriceAsk=92.229&gt;</t>
  </si>
  <si>
    <t>IT0005365165 @CBBT GOVT:&lt;PriceBid=100.297|PriceAsk=100.314&gt;</t>
  </si>
  <si>
    <t>IT0005370306 @CBBT GOVT:&lt;PriceBid=99.982|PriceAsk=99.992&gt;</t>
  </si>
  <si>
    <t>IT0005377152 @CBBT GOVT:&lt;PriceBid=90.132|PriceAsk=90.16&gt;</t>
  </si>
  <si>
    <t>IT0005383309 @CBBT GOVT:&lt;PriceBid=94.153|PriceAsk=94.169&gt;</t>
  </si>
  <si>
    <t>IT0005390874 @CBBT GOVT:&lt;PriceBid=99.048|PriceAsk=99.058&gt;</t>
  </si>
  <si>
    <t>IT0005398406 @CBBT GOVT:&lt;PriceBid=70.752|PriceAsk=70.794&gt;</t>
  </si>
  <si>
    <t>IT0005402117 @CBBT GOVT:&lt;PriceBid=81.595|PriceAsk=81.613&gt;</t>
  </si>
  <si>
    <t>IT0005403396 @CBBT GOVT:&lt;PriceBid=91.911|PriceAsk=91.93&gt;</t>
  </si>
  <si>
    <t>IT0005413171 @CBBT GOVT:&lt;PriceBid=94.028|PriceAsk=94.042&gt;</t>
  </si>
  <si>
    <t>IT0005416570 @CBBT GOVT:&lt;PriceBid=97.84|PriceAsk=97.849&gt;</t>
  </si>
  <si>
    <t>IT0005421703 @CBBT GOVT:&lt;PriceBid=74.514|PriceAsk=74.544&gt;</t>
  </si>
  <si>
    <t>IT0005422891 @CBBT GOVT:&lt;PriceBid=90.134|PriceAsk=90.146&gt;</t>
  </si>
  <si>
    <t>IT0005425233 @CBBT GOVT:&lt;PriceBid=58.731|PriceAsk=58.767&gt;</t>
  </si>
  <si>
    <t>IT0005433195 @CBBT GOVT:&lt;PriceBid=74.913|PriceAsk=74.939&gt;</t>
  </si>
  <si>
    <t>IT0005433690 @CBBT GOVT:&lt;PriceBid=95.689|PriceAsk=95.701&gt;</t>
  </si>
  <si>
    <t>IT0005436693 @CBBT GOVT:&lt;PriceBid=87.925|PriceAsk=87.941&gt;</t>
  </si>
  <si>
    <t>IT0005436701 @CBBT GOVT:&lt;PriceBid=59.862|PriceAsk=59.993&gt;</t>
  </si>
  <si>
    <t>IT0005438004 @CBBT GOVT:&lt;PriceBid=64.092|PriceAsk=64.124&gt;</t>
  </si>
  <si>
    <t>IT0005441883 @CBBT GOVT:&lt;PriceBid=58.512|PriceAsk=58.611&gt;</t>
  </si>
  <si>
    <t>IT0005445306 @CBBT GOVT:&lt;PriceBid=95.35|PriceAsk=95.363&gt;</t>
  </si>
  <si>
    <t>IT0005449969 @CBBT GOVT:&lt;PriceBid=88.741|PriceAsk=88.759&gt;</t>
  </si>
  <si>
    <t>IT0005454241 @CBBT GOVT:&lt;PriceBid=99.657|PriceAsk=99.671&gt;</t>
  </si>
  <si>
    <t>IT0005466013 @CBBT GOVT:&lt;PriceBid=87.516|PriceAsk=87.539&gt;</t>
  </si>
  <si>
    <t>IT0005467482 @CBBT GOVT:&lt;PriceBid=93.796|PriceAsk=93.812&gt;</t>
  </si>
  <si>
    <t>IT0005480980 @CBBT GOVT:&lt;PriceBid=64.57|PriceAsk=64.606&gt;</t>
  </si>
  <si>
    <t>IT0005484552 @CBBT GOVT:&lt;PriceBid=98.798|PriceAsk=98.81&gt;</t>
  </si>
  <si>
    <t>IT0005494239 @CBBT GOVT:&lt;PriceBid=95.198|PriceAsk=95.214&gt;</t>
  </si>
  <si>
    <t>IT0005495731 @CBBT GOVT:&lt;PriceBid=99.661|PriceAsk=99.677&gt;</t>
  </si>
  <si>
    <t>IT0005496770 @CBBT GOVT:&lt;PriceBid=93.87|PriceAsk=93.89&gt;</t>
  </si>
  <si>
    <t>IT0005500068 @CBBT GOVT:&lt;PriceBid=99.878|PriceAsk=99.888&gt;</t>
  </si>
  <si>
    <t>IT0005508590 @CBBT GOVT:&lt;PriceBid=102.838|PriceAsk=102.857&gt;</t>
  </si>
  <si>
    <t>IT0005518128 @CBBT GOVT:&lt;PriceBid=106.113|PriceAsk=106.132&gt;</t>
  </si>
  <si>
    <t>IT0005519787 @CBBT GOVT:&lt;PriceBid=102.868|PriceAsk=102.885&gt;</t>
  </si>
  <si>
    <t>IT0005521981 @CBBT GOVT:&lt;PriceBid=101.066|PriceAsk=101.076&gt;</t>
  </si>
  <si>
    <t>IT0005530032 @CBBT GOVT:&lt;PriceBid=102.506|PriceAsk=102.538&gt;</t>
  </si>
  <si>
    <t>IT0005534141 @CBBT GOVT:&lt;PriceBid=99.871|PriceAsk=99.903&gt;</t>
  </si>
  <si>
    <t>IT0005542359 @CBBT GOVT:&lt;PriceBid=103.973|PriceAsk=103.989&gt;</t>
  </si>
  <si>
    <t>IT0005542797 @CBBT GOVT:&lt;PriceBid=102.429|PriceAsk=102.445&gt;</t>
  </si>
  <si>
    <t>IT0005543803 @CBBT GOVT:&lt;PriceBid=102.094|PriceAsk=102.144&gt;</t>
  </si>
  <si>
    <t>IT0005544082 @CBBT GOVT:&lt;PriceBid=105.648|PriceAsk=105.669&gt;</t>
  </si>
  <si>
    <t>IT0005548315 @CBBT GOVT:&lt;PriceBid=101.999|PriceAsk=102.011&gt;</t>
  </si>
  <si>
    <t>IT0005556011 @CBBT GOVT:&lt;PriceBid=100.38|PriceAsk=100.389&gt;</t>
  </si>
  <si>
    <t>IT0005560948 @CBBT GOVT:&lt;PriceBid=104.571|PriceAsk=104.587&gt;</t>
  </si>
  <si>
    <t>IT0005561888 @CBBT GOVT:&lt;PriceBid=103.667|PriceAsk=103.684&gt;</t>
  </si>
  <si>
    <t>IT0005566408 @CBBT GOVT:&lt;PriceBid=103.057|PriceAsk=103.074&gt;</t>
  </si>
  <si>
    <t>IT0005580045 @CBBT GOVT:&lt;PriceBid=100.236|PriceAsk=100.246&gt;</t>
  </si>
  <si>
    <t>IT0005580094 @CBBT GOVT:&lt;PriceBid=101.582|PriceAsk=101.6&gt;</t>
  </si>
  <si>
    <t>IT0005582421 @CBBT GOVT:&lt;PriceBid=101.24|PriceAsk=101.262&gt;</t>
  </si>
  <si>
    <t>IT0005584849 @CBBT GOVT:&lt;PriceBid=101.186|PriceAsk=101.202&gt;</t>
  </si>
  <si>
    <t>IT0005584856 @CBBT GOVT:&lt;PriceBid=101.994|PriceAsk=102.014&gt;</t>
  </si>
  <si>
    <t>IT0005595803 @CBBT GOVT:&lt;PriceBid=101.266|PriceAsk=101.285&gt;</t>
  </si>
  <si>
    <t>IT0005596470 @CBBT GOVT:&lt;PriceBid=101.697|PriceAsk=101.722&gt;</t>
  </si>
  <si>
    <t>IT0005599904 @CBBT GOVT:&lt;PriceBid=100.796|PriceAsk=100.804&gt;</t>
  </si>
  <si>
    <t>IT0005607269 @CBBT GOVT:&lt;PriceBid=100.159|PriceAsk=100.169&gt;</t>
  </si>
  <si>
    <t>IT0005607970 @CBBT GOVT:&lt;PriceBid=101.645|PriceAsk=101.66&gt;</t>
  </si>
  <si>
    <t>IT0005611055 @CBBT GOVT:&lt;PriceBid=100.107|PriceAsk=100.121&gt;</t>
  </si>
  <si>
    <t>IT0005611741 @CBBT GOVT:&lt;PriceBid=96.52|PriceAsk=96.562&gt;</t>
  </si>
  <si>
    <t>IT0005619546 @CBBT GOVT:&lt;PriceBid=99.645|PriceAsk=99.663&gt;</t>
  </si>
  <si>
    <t>IT0005622128 @CBBT GOVT:&lt;PriceBid=99.911|PriceAsk=99.919&gt;</t>
  </si>
  <si>
    <t>IT0005631590 @CBBT GOVT:&lt;PriceBid=99.751|PriceAsk=99.767&gt;</t>
  </si>
  <si>
    <t>IT0005631608 @CBBT GOVT:&lt;PriceBid=96.981|PriceAsk=97.03&gt;</t>
  </si>
  <si>
    <t>IT0005633794 @CBBT GOVT:&lt;PriceBid=99.956|PriceAsk=99.968&gt;</t>
  </si>
  <si>
    <t>IT0005635583 @CBBT GOVT:&lt;PriceBid=97.271|PriceAsk=97.302&gt;</t>
  </si>
  <si>
    <t>IT0005637399 @CBBT GOVT:&lt;PriceBid=99.604|PriceAsk=99.62&gt;</t>
  </si>
  <si>
    <t>IT0005641029 @CBBT GOVT:&lt;PriceBid=99.647|PriceAsk=99.657&gt;</t>
  </si>
  <si>
    <t>IT0005647265 @CBBT GOVT:&lt;PriceBid=99.636|PriceAsk=99.658&gt;</t>
  </si>
  <si>
    <t>IT0005647273 @CBBT GOVT:&lt;PriceBid=101.597|PriceAsk=101.732&gt;</t>
  </si>
  <si>
    <t>IT0005648149 @CBBT GOVT:&lt;PriceBid=99.217|PriceAsk=99.233&gt;</t>
  </si>
  <si>
    <t>IT0005654642 @CBBT GOVT:&lt;PriceBid=98.441|PriceAsk=98.457&gt;</t>
  </si>
  <si>
    <t>IT0005657330 @CBBT GOVT:&lt;PriceBid=99.239|PriceAsk=99.247&gt;</t>
  </si>
  <si>
    <t>IT0005660052 @CBBT GOVT:&lt;PriceBid=98.644|PriceAsk=98.657&gt;</t>
  </si>
  <si>
    <t>IT0005668220 @CBBT GOVT:&lt;PriceBid=99.344|PriceAsk=99.361&gt;</t>
  </si>
  <si>
    <t>IT0005668238 @CBBT GOVT:&lt;PriceBid=101.559|PriceAsk=101.604&gt;</t>
  </si>
  <si>
    <t>IT0005671273 @CBBT GOVT:&lt;PriceBid=98.76|PriceAsk=98.78&gt;</t>
  </si>
  <si>
    <t>IT0005676504 @CBBT GOVT:&lt;PriceBid=97.714|PriceAsk=97.741&gt;</t>
  </si>
  <si>
    <t>IT0005689960 @CBBT GOVT:&lt;PriceBid=98.651|PriceAsk=98.669&gt;</t>
  </si>
  <si>
    <t>IT0005689994 @CBBT GOVT:&lt;PriceBid=98.452|PriceAsk=98.473&gt;</t>
  </si>
  <si>
    <t>IT0005692410 @CBBT GOVT:&lt;PriceBid=98.994|PriceAsk=99.004&gt;</t>
  </si>
  <si>
    <t>IT0005694630 @CBBT GOVT:&lt;PriceBid=97.541|PriceAsk=97.569&gt;</t>
  </si>
  <si>
    <t>IT0005704868 @CBBT GOVT:&lt;PriceBid=99.105|PriceAsk=99.133&gt;</t>
  </si>
  <si>
    <t>IT0005706285 @CBBT GOVT:&lt;PriceBid=100.183|PriceAsk=100.198&gt;</t>
  </si>
  <si>
    <t>IT0005706293 @CBBT GOVT:&lt;PriceBid=99.609|PriceAsk=99.73&gt;</t>
  </si>
  <si>
    <t>JP1024851S61</t>
  </si>
  <si>
    <t>JP1024851S61 GOVT:&lt;YieldBid=0|YieldAsk=0&gt;</t>
  </si>
  <si>
    <t>JP1051851S56 GOVT:&lt;YieldBid=0|YieldAsk=0&gt;</t>
  </si>
  <si>
    <t>JP1400191S54</t>
  </si>
  <si>
    <t>JP1400191S54 GOVT:&lt;YieldBid=0|YieldAsk=0&gt;</t>
  </si>
  <si>
    <t>NL0000102234 GOVT:&lt;PriceBid=107.282|PriceAsk=107.35&gt;</t>
  </si>
  <si>
    <t>NL0000102317 GOVT:&lt;PriceBid=104.463|PriceAsk=104.494&gt;</t>
  </si>
  <si>
    <t>NL0009446418 GOVT:&lt;PriceBid=103.828|PriceAsk=103.915&gt;</t>
  </si>
  <si>
    <t>NL0010071189 GOVT:&lt;PriceBid=97.605|PriceAsk=97.631&gt;</t>
  </si>
  <si>
    <t>NL0010721999 GOVT:&lt;PriceBid=88.901|PriceAsk=89.007&gt;</t>
  </si>
  <si>
    <t>NL0011819040 GOVT:&lt;PriceBid=99.822|PriceAsk=99.848&gt;</t>
  </si>
  <si>
    <t>NL0012171458 GOVT:&lt;PriceBid=98.027|PriceAsk=98.053&gt;</t>
  </si>
  <si>
    <t>NL0012818504 GOVT:&lt;PriceBid=96.167|PriceAsk=96.187&gt;</t>
  </si>
  <si>
    <t>NL0013332430 GOVT:&lt;PriceBid=92.802|PriceAsk=92.822&gt;</t>
  </si>
  <si>
    <t>NL0013552060 GOVT:&lt;PriceBid=69.083|PriceAsk=69.167&gt;</t>
  </si>
  <si>
    <t>NL0014555419 GOVT:&lt;PriceBid=89.442|PriceAsk=89.464&gt;</t>
  </si>
  <si>
    <t>NL00150006U0 GOVT:&lt;PriceBid=86.781|PriceAsk=86.802&gt;</t>
  </si>
  <si>
    <t>NL0015000B11 GOVT:&lt;PriceBid=68.656|PriceAsk=68.734&gt;</t>
  </si>
  <si>
    <t>NL0015000LS8 GOVT:&lt;PriceBid=93.337|PriceAsk=93.356&gt;</t>
  </si>
  <si>
    <t>NL0015000RP1 GOVT:&lt;PriceBid=86.847|PriceAsk=86.869&gt;</t>
  </si>
  <si>
    <t>NL00150012X2 GOVT:&lt;PriceBid=72.833|PriceAsk=72.906&gt;</t>
  </si>
  <si>
    <t>NL0015001AM2 GOVT:&lt;PriceBid=97.159|PriceAsk=97.183&gt;</t>
  </si>
  <si>
    <t>NL0015001DQ7 GOVT:&lt;PriceBid=99.189|PriceAsk=99.208&gt;</t>
  </si>
  <si>
    <t>NL0015001RG8 GOVT:&lt;PriceBid=97.193|PriceAsk=97.265&gt;</t>
  </si>
  <si>
    <t>NL0015001XZ6 GOVT:&lt;PriceBid=96.393|PriceAsk=96.42&gt;</t>
  </si>
  <si>
    <t>NL0015002F72 GOVT:&lt;PriceBid=95.509|PriceAsk=95.533&gt;</t>
  </si>
  <si>
    <t>NL0015002P70 GOVT:&lt;PriceBid=98.597|PriceAsk=98.667&gt;</t>
  </si>
  <si>
    <t>NL0015031501 GOVT:&lt;PriceBid=98.55|PriceAsk=98.585&gt;</t>
  </si>
  <si>
    <t>NL0015073TQ2 GOVT:&lt;PriceBid=98.768|PriceAsk=98.79&gt;</t>
  </si>
  <si>
    <t>NL0015073VV8 GOVT:&lt;PriceBid=96.69|PriceAsk=96.714&gt;</t>
  </si>
  <si>
    <t>NL0015614579 GOVT:&lt;PriceBid=40.714|PriceAsk=40.805&gt;</t>
  </si>
  <si>
    <t>NO0012837642 DNB GOVT:&lt;PriceAsk=92.155|PriceBid=91.867&gt;</t>
  </si>
  <si>
    <t>OATM6 COMDTY:&lt;Price=119.67&gt;</t>
  </si>
  <si>
    <t>OATU6 COMDTY:&lt;Price=118.8&gt;</t>
  </si>
  <si>
    <t>OEM6 COMDTY:&lt;Price=115.56&gt;</t>
  </si>
  <si>
    <t>OEU6 COMDTY:&lt;Price=114.62&gt;</t>
  </si>
  <si>
    <t>OEZ6 COMDTY:&lt;Price=115.75&gt;</t>
  </si>
  <si>
    <t>PTOTEAOE0005 GOVT:&lt;PriceBid=97.849|PriceAsk=97.906&gt;</t>
  </si>
  <si>
    <t>PTOTELOE0028 GOVT:&lt;PriceBid=90.626|PriceAsk=90.668&gt;</t>
  </si>
  <si>
    <t>PTOTENOE0034 GOVT:&lt;PriceBid=80.909|PriceAsk=80.965&gt;</t>
  </si>
  <si>
    <t>PTOTEOOE0033 GOVT:&lt;PriceBid=87.317|PriceAsk=87.362&gt;</t>
  </si>
  <si>
    <t>PTOTETOE0012 GOVT:&lt;PriceBid=100.053|PriceAsk=100.112&gt;</t>
  </si>
  <si>
    <t>RXM6 COMDTY:&lt;Price=125.61&gt;</t>
  </si>
  <si>
    <t>RXU6 COMDTY:&lt;Price=125.68&gt;</t>
  </si>
  <si>
    <t>RXZ6 COMDTY:&lt;Price=124.96&gt;</t>
  </si>
  <si>
    <t>SERJ8</t>
  </si>
  <si>
    <t>SFRH6 COMDTY:&lt;Price=96.37&gt;</t>
  </si>
  <si>
    <t>SFRH7 COMDTY:&lt;Price=96.055&gt;</t>
  </si>
  <si>
    <t>SFRM6 COMDTY:&lt;Price=96.3475&gt;</t>
  </si>
  <si>
    <t>SFRM7 COMDTY:&lt;Price=96.025&gt;</t>
  </si>
  <si>
    <t>SFRU6 COMDTY:&lt;Price=96.26&gt;</t>
  </si>
  <si>
    <t>SFRU7 COMDTY:&lt;Price=96.045&gt;</t>
  </si>
  <si>
    <t>SFRZ6 COMDTY:&lt;Price=96.145&gt;</t>
  </si>
  <si>
    <t>SFRZ7 COMDTY:&lt;Price=96.095&gt;</t>
  </si>
  <si>
    <t>TUM6 COMDTY:&lt;Price=103.296875&gt;</t>
  </si>
  <si>
    <t>TUU6 COMDTY:&lt;Price=103.203125&gt;</t>
  </si>
  <si>
    <t>TUZ6 COMDTY:&lt;Price=103.125&gt;</t>
  </si>
  <si>
    <t>TYM6 COMDTY:&lt;Price=109.84375&gt;</t>
  </si>
  <si>
    <t>TYU6 COMDTY:&lt;Price=109.59375&gt;</t>
  </si>
  <si>
    <t>TYZ6 COMDTY:&lt;Price=109.46875&gt;</t>
  </si>
  <si>
    <t>UBM6 COMDTY:&lt;Price=108.66&gt;</t>
  </si>
  <si>
    <t>UBU6 COMDTY:&lt;Price=108.16&gt;</t>
  </si>
  <si>
    <t>UBZ6 COMDTY:&lt;Price=108.02&gt;</t>
  </si>
  <si>
    <t>USM6 COMDTY:&lt;Price=112.78125&gt;</t>
  </si>
  <si>
    <t>USSO3F PREB CURNCY:&lt;PriceBid=0.03837|PriceAsk=0.03887&gt;</t>
  </si>
  <si>
    <t>USSO40 BGN CURNCY:&lt;PriceBid=0.0408871|PriceAsk=0.0409709&gt;</t>
  </si>
  <si>
    <t>USSO4F PREB CURNCY:&lt;PriceBid=0.03841|PriceAsk=0.03891&gt;</t>
  </si>
  <si>
    <t>USU6 COMDTY:&lt;Price=112.28125&gt;</t>
  </si>
  <si>
    <t>USZ6 COMDTY:&lt;Price=111.90625&gt;</t>
  </si>
  <si>
    <t>UXYM6 COMDTY:&lt;Price=112.171875&gt;</t>
  </si>
  <si>
    <t>UXYU6 COMDTY:&lt;Price=111.859375&gt;</t>
  </si>
  <si>
    <t>UXYZ6 COMDTY:&lt;Price=111.671875&gt;</t>
  </si>
  <si>
    <t>WNM6 COMDTY:&lt;Price=115.125&gt;</t>
  </si>
  <si>
    <t>WNU6 COMDTY:&lt;Price=114.65625&gt;</t>
  </si>
  <si>
    <t>WNZ6 COMDTY:&lt;Price=114.53125&gt;</t>
  </si>
  <si>
    <t>XQM6 COMDTY:&lt;Price=113.61&gt;</t>
  </si>
  <si>
    <t>XQU6 COMDTY:&lt;Price=112.7&gt;</t>
  </si>
  <si>
    <t>XS2289822376 CORP:&lt;PriceBid=97.135|PriceAsk=97.191&gt;</t>
  </si>
  <si>
    <t>8 avril</t>
  </si>
  <si>
    <t>7 avril</t>
  </si>
  <si>
    <t>9 avril</t>
  </si>
  <si>
    <t>10 avril</t>
  </si>
  <si>
    <t>13 avril</t>
  </si>
  <si>
    <t>14 avril</t>
  </si>
  <si>
    <t>16 avril</t>
  </si>
  <si>
    <t>17 avril</t>
  </si>
  <si>
    <t>24 avril</t>
  </si>
  <si>
    <t>29 avril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</si>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</sst>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000000"/>
    <numFmt numFmtId="165" formatCode="[$-F800]dddd\,\ mmmm\ dd\,\ yyyy"/>
    <numFmt numFmtId="166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43" fontId="0" fillId="0" borderId="0" xfId="1" applyFont="1"/>
    <xf numFmtId="165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2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43" fontId="0" fillId="3" borderId="0" xfId="1" applyFont="1" applyFill="1"/>
    <xf numFmtId="164" fontId="0" fillId="3" borderId="0" xfId="0" applyNumberFormat="1" applyFill="1"/>
    <xf numFmtId="10" fontId="0" fillId="3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30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1D6413-30F1-47FB-AEAB-641553FE34DA}" autoFormatId="16" applyNumberFormats="0" applyBorderFormats="0" applyFontFormats="0" applyPatternFormats="0" applyAlignmentFormats="0" applyWidthHeightFormats="0">
  <queryTableRefresh nextId="15">
    <queryTableFields count="13">
      <queryTableField id="2" name="ID" tableColumnId="2"/>
      <queryTableField id="1" name="Column1" tableColumnId="1"/>
      <queryTableField id="3" name="ISIN" tableColumnId="3"/>
      <queryTableField id="4" name="Coupon" tableColumnId="4"/>
      <queryTableField id="5" name="Maturity" tableColumnId="5"/>
      <queryTableField id="6" name="InflationLinked" tableColumnId="6"/>
      <queryTableField id="7" name="MASTER_FIXED_INCOME_INSTRUMENT_ID" tableColumnId="7"/>
      <queryTableField id="8" name="MASTER_FIXED_INCOME_ID_TYPE" tableColumnId="8"/>
      <queryTableField id="9" name="DATE" tableColumnId="9"/>
      <queryTableField id="10" name="METRIC_NAME" tableColumnId="10"/>
      <queryTableField id="11" name="METRIC_VALUE" tableColumnId="11"/>
      <queryTableField id="12" name="CR_TIME" tableColumnId="12"/>
      <queryTableField id="13" name="REPLICA_TIM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EF6D815-7623-4D5E-B398-2AB5FE97D338}" autoFormatId="16" applyNumberFormats="0" applyBorderFormats="0" applyFontFormats="0" applyPatternFormats="0" applyAlignmentFormats="0" applyWidthHeightFormats="0">
  <queryTableRefresh nextId="19">
    <queryTableFields count="10">
      <queryTableField id="6" name="ID" tableColumnId="6"/>
      <queryTableField id="7" name="Att" tableColumnId="7"/>
      <queryTableField id="8" name="Src" tableColumnId="8"/>
      <queryTableField id="3" name="Date" tableColumnId="3"/>
      <queryTableField id="10" name="Value" tableColumnId="10"/>
      <queryTableField id="11" name="Notes" tableColumnId="11"/>
      <queryTableField id="12" name="CreatedDate" tableColumnId="12"/>
      <queryTableField id="13" name="CreatedBy" tableColumnId="13"/>
      <queryTableField id="14" name="ModifiedTime" tableColumnId="14"/>
      <queryTableField id="15" name="ModifiedBy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2CC06D-A576-4F26-856A-B8A43C77F71C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tt" tableColumnId="2"/>
      <queryTableField id="3" name="Src" tableColumnId="3"/>
      <queryTableField id="4" name="Date" tableColumnId="4"/>
      <queryTableField id="5" name="Value" tableColumnId="5"/>
      <queryTableField id="6" name="CreatedDate" tableColumnId="6"/>
      <queryTableField id="7" name="CreatedBy" tableColumnId="7"/>
      <queryTableField id="8" name="ModifiedTime" tableColumnId="8"/>
      <queryTableField id="9" name="ModifiedBy" tableColumnId="9"/>
      <queryTableField id="10" name="Note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CCC7F7-2CFD-4802-BA5D-60FA4C7B9381}" name="_bbt3" displayName="_bbt3" ref="A1:M2445" tableType="queryTable" totalsRowShown="0">
  <autoFilter ref="A1:M2445" xr:uid="{CFCCC7F7-2CFD-4802-BA5D-60FA4C7B9381}"/>
  <sortState xmlns:xlrd2="http://schemas.microsoft.com/office/spreadsheetml/2017/richdata2" ref="A2:M2445">
    <sortCondition ref="C1:C2445"/>
  </sortState>
  <tableColumns count="13">
    <tableColumn id="2" xr3:uid="{D5EF21F6-2640-42E0-92AC-CE333201CAD9}" uniqueName="2" name="ID" queryTableFieldId="2" dataDxfId="29"/>
    <tableColumn id="1" xr3:uid="{618DEA4B-BF7E-4C34-8612-8381FB039814}" uniqueName="1" name="Column1" queryTableFieldId="1" dataDxfId="28"/>
    <tableColumn id="3" xr3:uid="{7F6809E7-6171-4F1C-ACE9-EDC3C2E7F253}" uniqueName="3" name="ISIN" queryTableFieldId="3" dataDxfId="27"/>
    <tableColumn id="4" xr3:uid="{2CCFA4B9-8766-46BB-8DF8-1770F1B7CC25}" uniqueName="4" name="Coupon" queryTableFieldId="4"/>
    <tableColumn id="5" xr3:uid="{7E15E1F6-98FA-408E-B4BC-6D57E1745DDA}" uniqueName="5" name="Maturity" queryTableFieldId="5" dataDxfId="26"/>
    <tableColumn id="6" xr3:uid="{2B04C0CC-CDA1-4AC1-BC1A-F0FCF73DEC25}" uniqueName="6" name="InflationLinked" queryTableFieldId="6" dataDxfId="25"/>
    <tableColumn id="7" xr3:uid="{A19B4917-BAE1-44FF-8504-5837658C0799}" uniqueName="7" name="MASTER_FIXED_INCOME_INSTRUMENT_ID" queryTableFieldId="7" dataDxfId="24"/>
    <tableColumn id="8" xr3:uid="{2C274DE4-70B4-4565-A2DD-3D5C0892B9AC}" uniqueName="8" name="MASTER_FIXED_INCOME_ID_TYPE" queryTableFieldId="8" dataDxfId="23"/>
    <tableColumn id="9" xr3:uid="{4058F153-396B-4174-8B63-79CD7E264FEB}" uniqueName="9" name="DATE" queryTableFieldId="9" dataDxfId="22"/>
    <tableColumn id="10" xr3:uid="{5612BFE7-07E2-46EE-B30B-1B4339212B6B}" uniqueName="10" name="METRIC_NAME" queryTableFieldId="10" dataDxfId="21"/>
    <tableColumn id="11" xr3:uid="{60701D0D-2034-4E8D-A498-A887EA710622}" uniqueName="11" name="METRIC_VALUE" queryTableFieldId="11" dataDxfId="20"/>
    <tableColumn id="12" xr3:uid="{379CFB54-05DC-47DD-BCA2-7BDCEF1D8B88}" uniqueName="12" name="CR_TIME" queryTableFieldId="12" dataDxfId="19"/>
    <tableColumn id="13" xr3:uid="{68F75806-FBDC-42BC-B229-6140F3D8D4E7}" uniqueName="13" name="REPLICA_TIME" queryTableFieldId="13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59C8E6-2FD3-433A-9FDD-1C6BCD5218F9}" name="Close" displayName="Close" ref="A1:J1719" tableType="queryTable" totalsRowShown="0">
  <autoFilter ref="A1:J1719" xr:uid="{2059C8E6-2FD3-433A-9FDD-1C6BCD5218F9}"/>
  <tableColumns count="10">
    <tableColumn id="6" xr3:uid="{1C316390-EB65-4945-82B8-7DCAB149BCBC}" uniqueName="6" name="ID" queryTableFieldId="6" dataDxfId="17"/>
    <tableColumn id="7" xr3:uid="{F36F1536-3AAA-4E87-850C-A4AE81F1F27E}" uniqueName="7" name="Att" queryTableFieldId="7" dataDxfId="16"/>
    <tableColumn id="8" xr3:uid="{05BAF1C6-17DA-4C05-9494-0A167D2E0EC5}" uniqueName="8" name="Src" queryTableFieldId="8" dataDxfId="15"/>
    <tableColumn id="3" xr3:uid="{D7519ED4-1CAC-4123-B673-DB0FD9143D2E}" uniqueName="3" name="Date" queryTableFieldId="3" dataDxfId="14"/>
    <tableColumn id="10" xr3:uid="{C02E4C78-3497-453C-91EE-35307E2AF3A0}" uniqueName="10" name="Value" queryTableFieldId="10"/>
    <tableColumn id="11" xr3:uid="{B667E55A-EA5F-47FD-89B4-EE87AEC9461E}" uniqueName="11" name="Notes" queryTableFieldId="11" dataDxfId="13"/>
    <tableColumn id="12" xr3:uid="{EC9B5F89-A482-47A0-B23C-23C09F94BF44}" uniqueName="12" name="CreatedDate" queryTableFieldId="12" dataDxfId="12"/>
    <tableColumn id="13" xr3:uid="{86BDD6D8-52EF-447F-8044-8E5AC75568CD}" uniqueName="13" name="CreatedBy" queryTableFieldId="13" dataDxfId="11"/>
    <tableColumn id="14" xr3:uid="{87025357-E1F5-4D25-98DA-D64AA294B9E2}" uniqueName="14" name="ModifiedTime" queryTableFieldId="14" dataDxfId="10"/>
    <tableColumn id="15" xr3:uid="{DAE0CAA6-AED9-4C10-B1DA-A8AB1C8188DC}" uniqueName="15" name="ModifiedBy" queryTableFieldId="15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ABDFC6-846F-45CA-8DFC-986422A185AB}" name="CloseDL" displayName="CloseDL" ref="A1:J1354" tableType="queryTable" totalsRowShown="0">
  <autoFilter ref="A1:J1354" xr:uid="{3AABDFC6-846F-45CA-8DFC-986422A185AB}"/>
  <tableColumns count="10">
    <tableColumn id="1" xr3:uid="{8E080BD4-8989-46EE-A4A2-98C9B4603E41}" uniqueName="1" name="ID" queryTableFieldId="1" dataDxfId="8"/>
    <tableColumn id="2" xr3:uid="{9C993105-2A1D-4557-9BA1-A4310A67A00E}" uniqueName="2" name="Att" queryTableFieldId="2" dataDxfId="7"/>
    <tableColumn id="3" xr3:uid="{CCC11A81-0E03-4ABC-90D3-E1A39686D7A8}" uniqueName="3" name="Src" queryTableFieldId="3" dataDxfId="6"/>
    <tableColumn id="4" xr3:uid="{F3ACE24E-BEE1-4E10-95AF-1AB43B96DBFD}" uniqueName="4" name="Date" queryTableFieldId="4" dataDxfId="5"/>
    <tableColumn id="5" xr3:uid="{9A1C5C8D-37F3-4D9A-B876-DA4F22769400}" uniqueName="5" name="Value" queryTableFieldId="5"/>
    <tableColumn id="6" xr3:uid="{C30293F5-E25E-4FE7-A0A2-B49F87260E90}" uniqueName="6" name="CreatedDate" queryTableFieldId="6" dataDxfId="4"/>
    <tableColumn id="7" xr3:uid="{0BF7230E-B2A0-4BFD-BDFF-CF2F84B29F43}" uniqueName="7" name="CreatedBy" queryTableFieldId="7" dataDxfId="3"/>
    <tableColumn id="8" xr3:uid="{4FFCC18A-5FAA-4735-A83E-8CA4D9AF1605}" uniqueName="8" name="ModifiedTime" queryTableFieldId="8" dataDxfId="2"/>
    <tableColumn id="9" xr3:uid="{0398C2A7-DD1D-42D6-B62E-4BD713A91E53}" uniqueName="9" name="ModifiedBy" queryTableFieldId="9" dataDxfId="1"/>
    <tableColumn id="10" xr3:uid="{D01A1300-02F4-43E5-8ADC-8309F0B9678E}" uniqueName="10" name="Note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4898-4376-4BC1-8FBB-2D872509C6EA}">
  <sheetPr codeName="Sheet1"/>
  <dimension ref="A1:M2445"/>
  <sheetViews>
    <sheetView workbookViewId="0">
      <selection activeCell="G4" sqref="G4"/>
    </sheetView>
  </sheetViews>
  <sheetFormatPr defaultRowHeight="14.5" x14ac:dyDescent="0.35"/>
  <cols>
    <col min="1" max="1" width="11.1796875" bestFit="1" customWidth="1"/>
    <col min="2" max="2" width="10.7265625" bestFit="1" customWidth="1"/>
    <col min="3" max="3" width="14.54296875" bestFit="1" customWidth="1"/>
    <col min="4" max="4" width="9.6328125" bestFit="1" customWidth="1"/>
    <col min="5" max="5" width="14.08984375" bestFit="1" customWidth="1"/>
    <col min="6" max="6" width="15.90625" bestFit="1" customWidth="1"/>
    <col min="7" max="7" width="38.08984375" bestFit="1" customWidth="1"/>
    <col min="8" max="8" width="31.08984375" bestFit="1" customWidth="1"/>
    <col min="9" max="9" width="12" bestFit="1" customWidth="1"/>
    <col min="10" max="10" width="15.1796875" bestFit="1" customWidth="1"/>
    <col min="11" max="11" width="15.7265625" bestFit="1" customWidth="1"/>
    <col min="12" max="12" width="13.08984375" bestFit="1" customWidth="1"/>
    <col min="13" max="13" width="14.90625" bestFit="1" customWidth="1"/>
    <col min="16" max="16" width="10.26953125" bestFit="1" customWidth="1"/>
    <col min="17" max="17" width="13.7265625" bestFit="1" customWidth="1"/>
  </cols>
  <sheetData>
    <row r="1" spans="1:13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1127</v>
      </c>
      <c r="B2" s="1" t="s">
        <v>1126</v>
      </c>
      <c r="C2" s="1" t="s">
        <v>1128</v>
      </c>
      <c r="D2">
        <v>0</v>
      </c>
      <c r="E2" s="2">
        <v>46184</v>
      </c>
      <c r="F2" s="1" t="s">
        <v>16</v>
      </c>
      <c r="G2" s="1" t="s">
        <v>1128</v>
      </c>
      <c r="H2" s="1" t="s">
        <v>2</v>
      </c>
      <c r="I2" s="2">
        <v>46177</v>
      </c>
      <c r="J2" s="1" t="s">
        <v>17</v>
      </c>
      <c r="K2" s="1" t="s">
        <v>5353</v>
      </c>
      <c r="L2" s="2">
        <v>46177.92087962963</v>
      </c>
      <c r="M2" s="2">
        <v>46177.921329212964</v>
      </c>
    </row>
    <row r="3" spans="1:13" x14ac:dyDescent="0.35">
      <c r="A3" s="1" t="s">
        <v>1127</v>
      </c>
      <c r="B3" s="1" t="s">
        <v>1126</v>
      </c>
      <c r="C3" s="1" t="s">
        <v>1128</v>
      </c>
      <c r="D3">
        <v>0</v>
      </c>
      <c r="E3" s="2">
        <v>46184</v>
      </c>
      <c r="F3" s="1" t="s">
        <v>16</v>
      </c>
      <c r="G3" s="1" t="s">
        <v>1128</v>
      </c>
      <c r="H3" s="1" t="s">
        <v>2</v>
      </c>
      <c r="I3" s="2">
        <v>46177</v>
      </c>
      <c r="J3" s="1" t="s">
        <v>214</v>
      </c>
      <c r="K3" s="1" t="s">
        <v>5328</v>
      </c>
      <c r="L3" s="2">
        <v>46177.918923611112</v>
      </c>
      <c r="M3" s="2">
        <v>46177.921329212964</v>
      </c>
    </row>
    <row r="4" spans="1:13" x14ac:dyDescent="0.35">
      <c r="A4" s="1" t="s">
        <v>1127</v>
      </c>
      <c r="B4" s="1" t="s">
        <v>1126</v>
      </c>
      <c r="C4" s="1" t="s">
        <v>1128</v>
      </c>
      <c r="D4">
        <v>0</v>
      </c>
      <c r="E4" s="2">
        <v>46184</v>
      </c>
      <c r="F4" s="1" t="s">
        <v>16</v>
      </c>
      <c r="G4" s="1" t="s">
        <v>1128</v>
      </c>
      <c r="H4" s="1" t="s">
        <v>2</v>
      </c>
      <c r="I4" s="2">
        <v>46177</v>
      </c>
      <c r="J4" s="1" t="s">
        <v>215</v>
      </c>
      <c r="K4" s="1" t="s">
        <v>5376</v>
      </c>
      <c r="L4" s="2">
        <v>46177.918923611112</v>
      </c>
      <c r="M4" s="2">
        <v>46177.921329212964</v>
      </c>
    </row>
    <row r="5" spans="1:13" x14ac:dyDescent="0.35">
      <c r="A5" s="1" t="s">
        <v>1127</v>
      </c>
      <c r="B5" s="1" t="s">
        <v>1126</v>
      </c>
      <c r="C5" s="1" t="s">
        <v>1128</v>
      </c>
      <c r="D5">
        <v>0</v>
      </c>
      <c r="E5" s="2">
        <v>46184</v>
      </c>
      <c r="F5" s="1" t="s">
        <v>16</v>
      </c>
      <c r="G5" s="1" t="s">
        <v>1128</v>
      </c>
      <c r="H5" s="1" t="s">
        <v>2</v>
      </c>
      <c r="I5" s="2">
        <v>46177</v>
      </c>
      <c r="J5" s="1" t="s">
        <v>18</v>
      </c>
      <c r="K5" s="1" t="s">
        <v>2631</v>
      </c>
      <c r="L5" s="2">
        <v>46177.92087962963</v>
      </c>
      <c r="M5" s="2">
        <v>46177.921329212964</v>
      </c>
    </row>
    <row r="6" spans="1:13" x14ac:dyDescent="0.35">
      <c r="A6" s="1" t="s">
        <v>1127</v>
      </c>
      <c r="B6" s="1" t="s">
        <v>1126</v>
      </c>
      <c r="C6" s="1" t="s">
        <v>1128</v>
      </c>
      <c r="D6">
        <v>0</v>
      </c>
      <c r="E6" s="2">
        <v>46184</v>
      </c>
      <c r="F6" s="1" t="s">
        <v>16</v>
      </c>
      <c r="G6" s="1" t="s">
        <v>1128</v>
      </c>
      <c r="H6" s="1" t="s">
        <v>2</v>
      </c>
      <c r="I6" s="2">
        <v>46177</v>
      </c>
      <c r="J6" s="1" t="s">
        <v>224</v>
      </c>
      <c r="K6" s="1" t="s">
        <v>5328</v>
      </c>
      <c r="L6" s="2">
        <v>46177.918923611112</v>
      </c>
      <c r="M6" s="2">
        <v>46177.921329212964</v>
      </c>
    </row>
    <row r="7" spans="1:13" x14ac:dyDescent="0.35">
      <c r="A7" s="1" t="s">
        <v>1127</v>
      </c>
      <c r="B7" s="1" t="s">
        <v>1126</v>
      </c>
      <c r="C7" s="1" t="s">
        <v>1128</v>
      </c>
      <c r="D7">
        <v>0</v>
      </c>
      <c r="E7" s="2">
        <v>46184</v>
      </c>
      <c r="F7" s="1" t="s">
        <v>16</v>
      </c>
      <c r="G7" s="1" t="s">
        <v>1128</v>
      </c>
      <c r="H7" s="1" t="s">
        <v>2</v>
      </c>
      <c r="I7" s="2">
        <v>46177</v>
      </c>
      <c r="J7" s="1" t="s">
        <v>67</v>
      </c>
      <c r="K7" s="1" t="s">
        <v>5376</v>
      </c>
      <c r="L7" s="2">
        <v>46177.918923611112</v>
      </c>
      <c r="M7" s="2">
        <v>46177.921329212964</v>
      </c>
    </row>
    <row r="8" spans="1:13" x14ac:dyDescent="0.35">
      <c r="A8" s="1" t="s">
        <v>1154</v>
      </c>
      <c r="B8" s="1" t="s">
        <v>1126</v>
      </c>
      <c r="C8" s="1" t="s">
        <v>1155</v>
      </c>
      <c r="D8">
        <v>0</v>
      </c>
      <c r="E8" s="2">
        <v>46212</v>
      </c>
      <c r="F8" s="1" t="s">
        <v>16</v>
      </c>
      <c r="G8" s="1" t="s">
        <v>1155</v>
      </c>
      <c r="H8" s="1" t="s">
        <v>2</v>
      </c>
      <c r="I8" s="2">
        <v>46177</v>
      </c>
      <c r="J8" s="1" t="s">
        <v>18</v>
      </c>
      <c r="K8" s="1" t="s">
        <v>2361</v>
      </c>
      <c r="L8" s="2">
        <v>46177.92087962963</v>
      </c>
      <c r="M8" s="2">
        <v>46177.921329212964</v>
      </c>
    </row>
    <row r="9" spans="1:13" x14ac:dyDescent="0.35">
      <c r="A9" s="1" t="s">
        <v>1154</v>
      </c>
      <c r="B9" s="1" t="s">
        <v>1126</v>
      </c>
      <c r="C9" s="1" t="s">
        <v>1155</v>
      </c>
      <c r="D9">
        <v>0</v>
      </c>
      <c r="E9" s="2">
        <v>46212</v>
      </c>
      <c r="F9" s="1" t="s">
        <v>16</v>
      </c>
      <c r="G9" s="1" t="s">
        <v>1155</v>
      </c>
      <c r="H9" s="1" t="s">
        <v>2</v>
      </c>
      <c r="I9" s="2">
        <v>46177</v>
      </c>
      <c r="J9" s="1" t="s">
        <v>17</v>
      </c>
      <c r="K9" s="1" t="s">
        <v>2936</v>
      </c>
      <c r="L9" s="2">
        <v>46177.92087962963</v>
      </c>
      <c r="M9" s="2">
        <v>46177.921329212964</v>
      </c>
    </row>
    <row r="10" spans="1:13" x14ac:dyDescent="0.35">
      <c r="A10" s="1" t="s">
        <v>1156</v>
      </c>
      <c r="B10" s="1" t="s">
        <v>1126</v>
      </c>
      <c r="C10" s="1" t="s">
        <v>1157</v>
      </c>
      <c r="D10">
        <v>0</v>
      </c>
      <c r="E10" s="2">
        <v>46240</v>
      </c>
      <c r="F10" s="1" t="s">
        <v>16</v>
      </c>
      <c r="G10" s="1" t="s">
        <v>1157</v>
      </c>
      <c r="H10" s="1" t="s">
        <v>2</v>
      </c>
      <c r="I10" s="2">
        <v>46177</v>
      </c>
      <c r="J10" s="1" t="s">
        <v>17</v>
      </c>
      <c r="K10" s="1" t="s">
        <v>5354</v>
      </c>
      <c r="L10" s="2">
        <v>46177.92087962963</v>
      </c>
      <c r="M10" s="2">
        <v>46177.921329212964</v>
      </c>
    </row>
    <row r="11" spans="1:13" x14ac:dyDescent="0.35">
      <c r="A11" s="1" t="s">
        <v>1156</v>
      </c>
      <c r="B11" s="1" t="s">
        <v>1126</v>
      </c>
      <c r="C11" s="1" t="s">
        <v>1157</v>
      </c>
      <c r="D11">
        <v>0</v>
      </c>
      <c r="E11" s="2">
        <v>46240</v>
      </c>
      <c r="F11" s="1" t="s">
        <v>16</v>
      </c>
      <c r="G11" s="1" t="s">
        <v>1157</v>
      </c>
      <c r="H11" s="1" t="s">
        <v>2</v>
      </c>
      <c r="I11" s="2">
        <v>46177</v>
      </c>
      <c r="J11" s="1" t="s">
        <v>18</v>
      </c>
      <c r="K11" s="1" t="s">
        <v>5392</v>
      </c>
      <c r="L11" s="2">
        <v>46177.92087962963</v>
      </c>
      <c r="M11" s="2">
        <v>46177.921329212964</v>
      </c>
    </row>
    <row r="12" spans="1:13" x14ac:dyDescent="0.35">
      <c r="A12" s="1" t="s">
        <v>1129</v>
      </c>
      <c r="B12" s="1" t="s">
        <v>1126</v>
      </c>
      <c r="C12" s="1" t="s">
        <v>1130</v>
      </c>
      <c r="D12">
        <v>0</v>
      </c>
      <c r="E12" s="2">
        <v>46268</v>
      </c>
      <c r="F12" s="1" t="s">
        <v>16</v>
      </c>
      <c r="G12" s="1" t="s">
        <v>1130</v>
      </c>
      <c r="H12" s="1" t="s">
        <v>2</v>
      </c>
      <c r="I12" s="2">
        <v>46177</v>
      </c>
      <c r="J12" s="1" t="s">
        <v>18</v>
      </c>
      <c r="K12" s="1" t="s">
        <v>5437</v>
      </c>
      <c r="L12" s="2">
        <v>46177.92087962963</v>
      </c>
      <c r="M12" s="2">
        <v>46177.921329212964</v>
      </c>
    </row>
    <row r="13" spans="1:13" x14ac:dyDescent="0.35">
      <c r="A13" s="1" t="s">
        <v>1129</v>
      </c>
      <c r="B13" s="1" t="s">
        <v>1126</v>
      </c>
      <c r="C13" s="1" t="s">
        <v>1130</v>
      </c>
      <c r="D13">
        <v>0</v>
      </c>
      <c r="E13" s="2">
        <v>46268</v>
      </c>
      <c r="F13" s="1" t="s">
        <v>16</v>
      </c>
      <c r="G13" s="1" t="s">
        <v>1130</v>
      </c>
      <c r="H13" s="1" t="s">
        <v>2</v>
      </c>
      <c r="I13" s="2">
        <v>46177</v>
      </c>
      <c r="J13" s="1" t="s">
        <v>214</v>
      </c>
      <c r="K13" s="1" t="s">
        <v>5377</v>
      </c>
      <c r="L13" s="2">
        <v>46177.918923611112</v>
      </c>
      <c r="M13" s="2">
        <v>46177.921329212964</v>
      </c>
    </row>
    <row r="14" spans="1:13" x14ac:dyDescent="0.35">
      <c r="A14" s="1" t="s">
        <v>1129</v>
      </c>
      <c r="B14" s="1" t="s">
        <v>1126</v>
      </c>
      <c r="C14" s="1" t="s">
        <v>1130</v>
      </c>
      <c r="D14">
        <v>0</v>
      </c>
      <c r="E14" s="2">
        <v>46268</v>
      </c>
      <c r="F14" s="1" t="s">
        <v>16</v>
      </c>
      <c r="G14" s="1" t="s">
        <v>1130</v>
      </c>
      <c r="H14" s="1" t="s">
        <v>2</v>
      </c>
      <c r="I14" s="2">
        <v>46177</v>
      </c>
      <c r="J14" s="1" t="s">
        <v>67</v>
      </c>
      <c r="K14" s="1" t="s">
        <v>5329</v>
      </c>
      <c r="L14" s="2">
        <v>46177.918923611112</v>
      </c>
      <c r="M14" s="2">
        <v>46177.921329212964</v>
      </c>
    </row>
    <row r="15" spans="1:13" x14ac:dyDescent="0.35">
      <c r="A15" s="1" t="s">
        <v>1129</v>
      </c>
      <c r="B15" s="1" t="s">
        <v>1126</v>
      </c>
      <c r="C15" s="1" t="s">
        <v>1130</v>
      </c>
      <c r="D15">
        <v>0</v>
      </c>
      <c r="E15" s="2">
        <v>46268</v>
      </c>
      <c r="F15" s="1" t="s">
        <v>16</v>
      </c>
      <c r="G15" s="1" t="s">
        <v>1130</v>
      </c>
      <c r="H15" s="1" t="s">
        <v>2</v>
      </c>
      <c r="I15" s="2">
        <v>46177</v>
      </c>
      <c r="J15" s="1" t="s">
        <v>215</v>
      </c>
      <c r="K15" s="1" t="s">
        <v>5329</v>
      </c>
      <c r="L15" s="2">
        <v>46177.918923611112</v>
      </c>
      <c r="M15" s="2">
        <v>46177.921329212964</v>
      </c>
    </row>
    <row r="16" spans="1:13" x14ac:dyDescent="0.35">
      <c r="A16" s="1" t="s">
        <v>1129</v>
      </c>
      <c r="B16" s="1" t="s">
        <v>1126</v>
      </c>
      <c r="C16" s="1" t="s">
        <v>1130</v>
      </c>
      <c r="D16">
        <v>0</v>
      </c>
      <c r="E16" s="2">
        <v>46268</v>
      </c>
      <c r="F16" s="1" t="s">
        <v>16</v>
      </c>
      <c r="G16" s="1" t="s">
        <v>1130</v>
      </c>
      <c r="H16" s="1" t="s">
        <v>2</v>
      </c>
      <c r="I16" s="2">
        <v>46177</v>
      </c>
      <c r="J16" s="1" t="s">
        <v>224</v>
      </c>
      <c r="K16" s="1" t="s">
        <v>5377</v>
      </c>
      <c r="L16" s="2">
        <v>46177.918923611112</v>
      </c>
      <c r="M16" s="2">
        <v>46177.921329212964</v>
      </c>
    </row>
    <row r="17" spans="1:13" x14ac:dyDescent="0.35">
      <c r="A17" s="1" t="s">
        <v>1129</v>
      </c>
      <c r="B17" s="1" t="s">
        <v>1126</v>
      </c>
      <c r="C17" s="1" t="s">
        <v>1130</v>
      </c>
      <c r="D17">
        <v>0</v>
      </c>
      <c r="E17" s="2">
        <v>46268</v>
      </c>
      <c r="F17" s="1" t="s">
        <v>16</v>
      </c>
      <c r="G17" s="1" t="s">
        <v>1130</v>
      </c>
      <c r="H17" s="1" t="s">
        <v>2</v>
      </c>
      <c r="I17" s="2">
        <v>46177</v>
      </c>
      <c r="J17" s="1" t="s">
        <v>17</v>
      </c>
      <c r="K17" s="1" t="s">
        <v>5365</v>
      </c>
      <c r="L17" s="2">
        <v>46177.92087962963</v>
      </c>
      <c r="M17" s="2">
        <v>46177.921329212964</v>
      </c>
    </row>
    <row r="18" spans="1:13" x14ac:dyDescent="0.35">
      <c r="A18" s="1" t="s">
        <v>1158</v>
      </c>
      <c r="B18" s="1" t="s">
        <v>1126</v>
      </c>
      <c r="C18" s="1" t="s">
        <v>1159</v>
      </c>
      <c r="D18">
        <v>0</v>
      </c>
      <c r="E18" s="2">
        <v>46296</v>
      </c>
      <c r="F18" s="1" t="s">
        <v>16</v>
      </c>
      <c r="G18" s="1" t="s">
        <v>1159</v>
      </c>
      <c r="H18" s="1" t="s">
        <v>2</v>
      </c>
      <c r="I18" s="2">
        <v>46177</v>
      </c>
      <c r="J18" s="1" t="s">
        <v>18</v>
      </c>
      <c r="K18" s="1" t="s">
        <v>5393</v>
      </c>
      <c r="L18" s="2">
        <v>46177.92087962963</v>
      </c>
      <c r="M18" s="2">
        <v>46177.921329212964</v>
      </c>
    </row>
    <row r="19" spans="1:13" x14ac:dyDescent="0.35">
      <c r="A19" s="1" t="s">
        <v>1158</v>
      </c>
      <c r="B19" s="1" t="s">
        <v>1126</v>
      </c>
      <c r="C19" s="1" t="s">
        <v>1159</v>
      </c>
      <c r="D19">
        <v>0</v>
      </c>
      <c r="E19" s="2">
        <v>46296</v>
      </c>
      <c r="F19" s="1" t="s">
        <v>16</v>
      </c>
      <c r="G19" s="1" t="s">
        <v>1159</v>
      </c>
      <c r="H19" s="1" t="s">
        <v>2</v>
      </c>
      <c r="I19" s="2">
        <v>46177</v>
      </c>
      <c r="J19" s="1" t="s">
        <v>224</v>
      </c>
      <c r="K19" s="1" t="s">
        <v>5394</v>
      </c>
      <c r="L19" s="2">
        <v>46177.918923611112</v>
      </c>
      <c r="M19" s="2">
        <v>46177.921329212964</v>
      </c>
    </row>
    <row r="20" spans="1:13" x14ac:dyDescent="0.35">
      <c r="A20" s="1" t="s">
        <v>1158</v>
      </c>
      <c r="B20" s="1" t="s">
        <v>1126</v>
      </c>
      <c r="C20" s="1" t="s">
        <v>1159</v>
      </c>
      <c r="D20">
        <v>0</v>
      </c>
      <c r="E20" s="2">
        <v>46296</v>
      </c>
      <c r="F20" s="1" t="s">
        <v>16</v>
      </c>
      <c r="G20" s="1" t="s">
        <v>1159</v>
      </c>
      <c r="H20" s="1" t="s">
        <v>2</v>
      </c>
      <c r="I20" s="2">
        <v>46177</v>
      </c>
      <c r="J20" s="1" t="s">
        <v>214</v>
      </c>
      <c r="K20" s="1" t="s">
        <v>5394</v>
      </c>
      <c r="L20" s="2">
        <v>46177.918923611112</v>
      </c>
      <c r="M20" s="2">
        <v>46177.921329212964</v>
      </c>
    </row>
    <row r="21" spans="1:13" x14ac:dyDescent="0.35">
      <c r="A21" s="1" t="s">
        <v>1158</v>
      </c>
      <c r="B21" s="1" t="s">
        <v>1126</v>
      </c>
      <c r="C21" s="1" t="s">
        <v>1159</v>
      </c>
      <c r="D21">
        <v>0</v>
      </c>
      <c r="E21" s="2">
        <v>46296</v>
      </c>
      <c r="F21" s="1" t="s">
        <v>16</v>
      </c>
      <c r="G21" s="1" t="s">
        <v>1159</v>
      </c>
      <c r="H21" s="1" t="s">
        <v>2</v>
      </c>
      <c r="I21" s="2">
        <v>46177</v>
      </c>
      <c r="J21" s="1" t="s">
        <v>17</v>
      </c>
      <c r="K21" s="1" t="s">
        <v>5361</v>
      </c>
      <c r="L21" s="2">
        <v>46177.92087962963</v>
      </c>
      <c r="M21" s="2">
        <v>46177.921329212964</v>
      </c>
    </row>
    <row r="22" spans="1:13" x14ac:dyDescent="0.35">
      <c r="A22" s="1" t="s">
        <v>1158</v>
      </c>
      <c r="B22" s="1" t="s">
        <v>1126</v>
      </c>
      <c r="C22" s="1" t="s">
        <v>1159</v>
      </c>
      <c r="D22">
        <v>0</v>
      </c>
      <c r="E22" s="2">
        <v>46296</v>
      </c>
      <c r="F22" s="1" t="s">
        <v>16</v>
      </c>
      <c r="G22" s="1" t="s">
        <v>1159</v>
      </c>
      <c r="H22" s="1" t="s">
        <v>2</v>
      </c>
      <c r="I22" s="2">
        <v>46177</v>
      </c>
      <c r="J22" s="1" t="s">
        <v>67</v>
      </c>
      <c r="K22" s="1" t="s">
        <v>5411</v>
      </c>
      <c r="L22" s="2">
        <v>46177.918923611112</v>
      </c>
      <c r="M22" s="2">
        <v>46177.921329212964</v>
      </c>
    </row>
    <row r="23" spans="1:13" x14ac:dyDescent="0.35">
      <c r="A23" s="1" t="s">
        <v>1158</v>
      </c>
      <c r="B23" s="1" t="s">
        <v>1126</v>
      </c>
      <c r="C23" s="1" t="s">
        <v>1159</v>
      </c>
      <c r="D23">
        <v>0</v>
      </c>
      <c r="E23" s="2">
        <v>46296</v>
      </c>
      <c r="F23" s="1" t="s">
        <v>16</v>
      </c>
      <c r="G23" s="1" t="s">
        <v>1159</v>
      </c>
      <c r="H23" s="1" t="s">
        <v>2</v>
      </c>
      <c r="I23" s="2">
        <v>46177</v>
      </c>
      <c r="J23" s="1" t="s">
        <v>215</v>
      </c>
      <c r="K23" s="1" t="s">
        <v>5411</v>
      </c>
      <c r="L23" s="2">
        <v>46177.918923611112</v>
      </c>
      <c r="M23" s="2">
        <v>46177.921329212964</v>
      </c>
    </row>
    <row r="24" spans="1:13" x14ac:dyDescent="0.35">
      <c r="A24" s="1" t="s">
        <v>1160</v>
      </c>
      <c r="B24" s="1" t="s">
        <v>1126</v>
      </c>
      <c r="C24" s="1" t="s">
        <v>1161</v>
      </c>
      <c r="D24">
        <v>0</v>
      </c>
      <c r="E24" s="2">
        <v>46324</v>
      </c>
      <c r="F24" s="1" t="s">
        <v>16</v>
      </c>
      <c r="G24" s="1" t="s">
        <v>1161</v>
      </c>
      <c r="H24" s="1" t="s">
        <v>2</v>
      </c>
      <c r="I24" s="2">
        <v>46177</v>
      </c>
      <c r="J24" s="1" t="s">
        <v>214</v>
      </c>
      <c r="K24" s="1" t="s">
        <v>5355</v>
      </c>
      <c r="L24" s="2">
        <v>46177.918923611112</v>
      </c>
      <c r="M24" s="2">
        <v>46177.921329212964</v>
      </c>
    </row>
    <row r="25" spans="1:13" x14ac:dyDescent="0.35">
      <c r="A25" s="1" t="s">
        <v>1160</v>
      </c>
      <c r="B25" s="1" t="s">
        <v>1126</v>
      </c>
      <c r="C25" s="1" t="s">
        <v>1161</v>
      </c>
      <c r="D25">
        <v>0</v>
      </c>
      <c r="E25" s="2">
        <v>46324</v>
      </c>
      <c r="F25" s="1" t="s">
        <v>16</v>
      </c>
      <c r="G25" s="1" t="s">
        <v>1161</v>
      </c>
      <c r="H25" s="1" t="s">
        <v>2</v>
      </c>
      <c r="I25" s="2">
        <v>46177</v>
      </c>
      <c r="J25" s="1" t="s">
        <v>17</v>
      </c>
      <c r="K25" s="1" t="s">
        <v>5378</v>
      </c>
      <c r="L25" s="2">
        <v>46177.92087962963</v>
      </c>
      <c r="M25" s="2">
        <v>46177.921329212964</v>
      </c>
    </row>
    <row r="26" spans="1:13" x14ac:dyDescent="0.35">
      <c r="A26" s="1" t="s">
        <v>1160</v>
      </c>
      <c r="B26" s="1" t="s">
        <v>1126</v>
      </c>
      <c r="C26" s="1" t="s">
        <v>1161</v>
      </c>
      <c r="D26">
        <v>0</v>
      </c>
      <c r="E26" s="2">
        <v>46324</v>
      </c>
      <c r="F26" s="1" t="s">
        <v>16</v>
      </c>
      <c r="G26" s="1" t="s">
        <v>1161</v>
      </c>
      <c r="H26" s="1" t="s">
        <v>2</v>
      </c>
      <c r="I26" s="2">
        <v>46177</v>
      </c>
      <c r="J26" s="1" t="s">
        <v>18</v>
      </c>
      <c r="K26" s="1" t="s">
        <v>5379</v>
      </c>
      <c r="L26" s="2">
        <v>46177.92087962963</v>
      </c>
      <c r="M26" s="2">
        <v>46177.921329212964</v>
      </c>
    </row>
    <row r="27" spans="1:13" x14ac:dyDescent="0.35">
      <c r="A27" s="1" t="s">
        <v>1160</v>
      </c>
      <c r="B27" s="1" t="s">
        <v>1126</v>
      </c>
      <c r="C27" s="1" t="s">
        <v>1161</v>
      </c>
      <c r="D27">
        <v>0</v>
      </c>
      <c r="E27" s="2">
        <v>46324</v>
      </c>
      <c r="F27" s="1" t="s">
        <v>16</v>
      </c>
      <c r="G27" s="1" t="s">
        <v>1161</v>
      </c>
      <c r="H27" s="1" t="s">
        <v>2</v>
      </c>
      <c r="I27" s="2">
        <v>46177</v>
      </c>
      <c r="J27" s="1" t="s">
        <v>224</v>
      </c>
      <c r="K27" s="1" t="s">
        <v>5355</v>
      </c>
      <c r="L27" s="2">
        <v>46177.918923611112</v>
      </c>
      <c r="M27" s="2">
        <v>46177.921329212964</v>
      </c>
    </row>
    <row r="28" spans="1:13" x14ac:dyDescent="0.35">
      <c r="A28" s="1" t="s">
        <v>1160</v>
      </c>
      <c r="B28" s="1" t="s">
        <v>1126</v>
      </c>
      <c r="C28" s="1" t="s">
        <v>1161</v>
      </c>
      <c r="D28">
        <v>0</v>
      </c>
      <c r="E28" s="2">
        <v>46324</v>
      </c>
      <c r="F28" s="1" t="s">
        <v>16</v>
      </c>
      <c r="G28" s="1" t="s">
        <v>1161</v>
      </c>
      <c r="H28" s="1" t="s">
        <v>2</v>
      </c>
      <c r="I28" s="2">
        <v>46177</v>
      </c>
      <c r="J28" s="1" t="s">
        <v>215</v>
      </c>
      <c r="K28" s="1" t="s">
        <v>5330</v>
      </c>
      <c r="L28" s="2">
        <v>46177.918923611112</v>
      </c>
      <c r="M28" s="2">
        <v>46177.921329212964</v>
      </c>
    </row>
    <row r="29" spans="1:13" x14ac:dyDescent="0.35">
      <c r="A29" s="1" t="s">
        <v>1160</v>
      </c>
      <c r="B29" s="1" t="s">
        <v>1126</v>
      </c>
      <c r="C29" s="1" t="s">
        <v>1161</v>
      </c>
      <c r="D29">
        <v>0</v>
      </c>
      <c r="E29" s="2">
        <v>46324</v>
      </c>
      <c r="F29" s="1" t="s">
        <v>16</v>
      </c>
      <c r="G29" s="1" t="s">
        <v>1161</v>
      </c>
      <c r="H29" s="1" t="s">
        <v>2</v>
      </c>
      <c r="I29" s="2">
        <v>46177</v>
      </c>
      <c r="J29" s="1" t="s">
        <v>67</v>
      </c>
      <c r="K29" s="1" t="s">
        <v>5330</v>
      </c>
      <c r="L29" s="2">
        <v>46177.918923611112</v>
      </c>
      <c r="M29" s="2">
        <v>46177.921329212964</v>
      </c>
    </row>
    <row r="30" spans="1:13" x14ac:dyDescent="0.35">
      <c r="A30" s="1" t="s">
        <v>1162</v>
      </c>
      <c r="B30" s="1" t="s">
        <v>1126</v>
      </c>
      <c r="C30" s="1" t="s">
        <v>1163</v>
      </c>
      <c r="D30">
        <v>0</v>
      </c>
      <c r="E30" s="2">
        <v>46353</v>
      </c>
      <c r="F30" s="1" t="s">
        <v>16</v>
      </c>
      <c r="G30" s="1" t="s">
        <v>1163</v>
      </c>
      <c r="H30" s="1" t="s">
        <v>2</v>
      </c>
      <c r="I30" s="2">
        <v>46177</v>
      </c>
      <c r="J30" s="1" t="s">
        <v>214</v>
      </c>
      <c r="K30" s="1" t="s">
        <v>5356</v>
      </c>
      <c r="L30" s="2">
        <v>46177.918923611112</v>
      </c>
      <c r="M30" s="2">
        <v>46177.921329212964</v>
      </c>
    </row>
    <row r="31" spans="1:13" x14ac:dyDescent="0.35">
      <c r="A31" s="1" t="s">
        <v>1162</v>
      </c>
      <c r="B31" s="1" t="s">
        <v>1126</v>
      </c>
      <c r="C31" s="1" t="s">
        <v>1163</v>
      </c>
      <c r="D31">
        <v>0</v>
      </c>
      <c r="E31" s="2">
        <v>46353</v>
      </c>
      <c r="F31" s="1" t="s">
        <v>16</v>
      </c>
      <c r="G31" s="1" t="s">
        <v>1163</v>
      </c>
      <c r="H31" s="1" t="s">
        <v>2</v>
      </c>
      <c r="I31" s="2">
        <v>46177</v>
      </c>
      <c r="J31" s="1" t="s">
        <v>215</v>
      </c>
      <c r="K31" s="1" t="s">
        <v>5332</v>
      </c>
      <c r="L31" s="2">
        <v>46177.918923611112</v>
      </c>
      <c r="M31" s="2">
        <v>46177.921329212964</v>
      </c>
    </row>
    <row r="32" spans="1:13" x14ac:dyDescent="0.35">
      <c r="A32" s="1" t="s">
        <v>1162</v>
      </c>
      <c r="B32" s="1" t="s">
        <v>1126</v>
      </c>
      <c r="C32" s="1" t="s">
        <v>1163</v>
      </c>
      <c r="D32">
        <v>0</v>
      </c>
      <c r="E32" s="2">
        <v>46353</v>
      </c>
      <c r="F32" s="1" t="s">
        <v>16</v>
      </c>
      <c r="G32" s="1" t="s">
        <v>1163</v>
      </c>
      <c r="H32" s="1" t="s">
        <v>2</v>
      </c>
      <c r="I32" s="2">
        <v>46177</v>
      </c>
      <c r="J32" s="1" t="s">
        <v>17</v>
      </c>
      <c r="K32" s="1" t="s">
        <v>5331</v>
      </c>
      <c r="L32" s="2">
        <v>46177.92087962963</v>
      </c>
      <c r="M32" s="2">
        <v>46177.921329212964</v>
      </c>
    </row>
    <row r="33" spans="1:13" x14ac:dyDescent="0.35">
      <c r="A33" s="1" t="s">
        <v>1162</v>
      </c>
      <c r="B33" s="1" t="s">
        <v>1126</v>
      </c>
      <c r="C33" s="1" t="s">
        <v>1163</v>
      </c>
      <c r="D33">
        <v>0</v>
      </c>
      <c r="E33" s="2">
        <v>46353</v>
      </c>
      <c r="F33" s="1" t="s">
        <v>16</v>
      </c>
      <c r="G33" s="1" t="s">
        <v>1163</v>
      </c>
      <c r="H33" s="1" t="s">
        <v>2</v>
      </c>
      <c r="I33" s="2">
        <v>46177</v>
      </c>
      <c r="J33" s="1" t="s">
        <v>67</v>
      </c>
      <c r="K33" s="1" t="s">
        <v>5332</v>
      </c>
      <c r="L33" s="2">
        <v>46177.918923611112</v>
      </c>
      <c r="M33" s="2">
        <v>46177.921329212964</v>
      </c>
    </row>
    <row r="34" spans="1:13" x14ac:dyDescent="0.35">
      <c r="A34" s="1" t="s">
        <v>1162</v>
      </c>
      <c r="B34" s="1" t="s">
        <v>1126</v>
      </c>
      <c r="C34" s="1" t="s">
        <v>1163</v>
      </c>
      <c r="D34">
        <v>0</v>
      </c>
      <c r="E34" s="2">
        <v>46353</v>
      </c>
      <c r="F34" s="1" t="s">
        <v>16</v>
      </c>
      <c r="G34" s="1" t="s">
        <v>1163</v>
      </c>
      <c r="H34" s="1" t="s">
        <v>2</v>
      </c>
      <c r="I34" s="2">
        <v>46177</v>
      </c>
      <c r="J34" s="1" t="s">
        <v>224</v>
      </c>
      <c r="K34" s="1" t="s">
        <v>5356</v>
      </c>
      <c r="L34" s="2">
        <v>46177.918923611112</v>
      </c>
      <c r="M34" s="2">
        <v>46177.921329212964</v>
      </c>
    </row>
    <row r="35" spans="1:13" x14ac:dyDescent="0.35">
      <c r="A35" s="1" t="s">
        <v>1162</v>
      </c>
      <c r="B35" s="1" t="s">
        <v>1126</v>
      </c>
      <c r="C35" s="1" t="s">
        <v>1163</v>
      </c>
      <c r="D35">
        <v>0</v>
      </c>
      <c r="E35" s="2">
        <v>46353</v>
      </c>
      <c r="F35" s="1" t="s">
        <v>16</v>
      </c>
      <c r="G35" s="1" t="s">
        <v>1163</v>
      </c>
      <c r="H35" s="1" t="s">
        <v>2</v>
      </c>
      <c r="I35" s="2">
        <v>46177</v>
      </c>
      <c r="J35" s="1" t="s">
        <v>18</v>
      </c>
      <c r="K35" s="1" t="s">
        <v>5425</v>
      </c>
      <c r="L35" s="2">
        <v>46177.92087962963</v>
      </c>
      <c r="M35" s="2">
        <v>46177.921329212964</v>
      </c>
    </row>
    <row r="36" spans="1:13" x14ac:dyDescent="0.35">
      <c r="A36" s="1" t="s">
        <v>1131</v>
      </c>
      <c r="B36" s="1" t="s">
        <v>1126</v>
      </c>
      <c r="C36" s="1" t="s">
        <v>1132</v>
      </c>
      <c r="D36">
        <v>0</v>
      </c>
      <c r="E36" s="2">
        <v>46380</v>
      </c>
      <c r="F36" s="1" t="s">
        <v>16</v>
      </c>
      <c r="G36" s="1" t="s">
        <v>1132</v>
      </c>
      <c r="H36" s="1" t="s">
        <v>2</v>
      </c>
      <c r="I36" s="2">
        <v>46177</v>
      </c>
      <c r="J36" s="1" t="s">
        <v>67</v>
      </c>
      <c r="K36" s="1" t="s">
        <v>5395</v>
      </c>
      <c r="L36" s="2">
        <v>46177.918923611112</v>
      </c>
      <c r="M36" s="2">
        <v>46177.921329212964</v>
      </c>
    </row>
    <row r="37" spans="1:13" x14ac:dyDescent="0.35">
      <c r="A37" s="1" t="s">
        <v>1131</v>
      </c>
      <c r="B37" s="1" t="s">
        <v>1126</v>
      </c>
      <c r="C37" s="1" t="s">
        <v>1132</v>
      </c>
      <c r="D37">
        <v>0</v>
      </c>
      <c r="E37" s="2">
        <v>46380</v>
      </c>
      <c r="F37" s="1" t="s">
        <v>16</v>
      </c>
      <c r="G37" s="1" t="s">
        <v>1132</v>
      </c>
      <c r="H37" s="1" t="s">
        <v>2</v>
      </c>
      <c r="I37" s="2">
        <v>46177</v>
      </c>
      <c r="J37" s="1" t="s">
        <v>18</v>
      </c>
      <c r="K37" s="1" t="s">
        <v>5333</v>
      </c>
      <c r="L37" s="2">
        <v>46177.92087962963</v>
      </c>
      <c r="M37" s="2">
        <v>46177.921329212964</v>
      </c>
    </row>
    <row r="38" spans="1:13" x14ac:dyDescent="0.35">
      <c r="A38" s="1" t="s">
        <v>1131</v>
      </c>
      <c r="B38" s="1" t="s">
        <v>1126</v>
      </c>
      <c r="C38" s="1" t="s">
        <v>1132</v>
      </c>
      <c r="D38">
        <v>0</v>
      </c>
      <c r="E38" s="2">
        <v>46380</v>
      </c>
      <c r="F38" s="1" t="s">
        <v>16</v>
      </c>
      <c r="G38" s="1" t="s">
        <v>1132</v>
      </c>
      <c r="H38" s="1" t="s">
        <v>2</v>
      </c>
      <c r="I38" s="2">
        <v>46177</v>
      </c>
      <c r="J38" s="1" t="s">
        <v>224</v>
      </c>
      <c r="K38" s="1" t="s">
        <v>5412</v>
      </c>
      <c r="L38" s="2">
        <v>46177.918923611112</v>
      </c>
      <c r="M38" s="2">
        <v>46177.921329212964</v>
      </c>
    </row>
    <row r="39" spans="1:13" x14ac:dyDescent="0.35">
      <c r="A39" s="1" t="s">
        <v>1131</v>
      </c>
      <c r="B39" s="1" t="s">
        <v>1126</v>
      </c>
      <c r="C39" s="1" t="s">
        <v>1132</v>
      </c>
      <c r="D39">
        <v>0</v>
      </c>
      <c r="E39" s="2">
        <v>46380</v>
      </c>
      <c r="F39" s="1" t="s">
        <v>16</v>
      </c>
      <c r="G39" s="1" t="s">
        <v>1132</v>
      </c>
      <c r="H39" s="1" t="s">
        <v>2</v>
      </c>
      <c r="I39" s="2">
        <v>46177</v>
      </c>
      <c r="J39" s="1" t="s">
        <v>214</v>
      </c>
      <c r="K39" s="1" t="s">
        <v>5412</v>
      </c>
      <c r="L39" s="2">
        <v>46177.918923611112</v>
      </c>
      <c r="M39" s="2">
        <v>46177.921329212964</v>
      </c>
    </row>
    <row r="40" spans="1:13" x14ac:dyDescent="0.35">
      <c r="A40" s="1" t="s">
        <v>1131</v>
      </c>
      <c r="B40" s="1" t="s">
        <v>1126</v>
      </c>
      <c r="C40" s="1" t="s">
        <v>1132</v>
      </c>
      <c r="D40">
        <v>0</v>
      </c>
      <c r="E40" s="2">
        <v>46380</v>
      </c>
      <c r="F40" s="1" t="s">
        <v>16</v>
      </c>
      <c r="G40" s="1" t="s">
        <v>1132</v>
      </c>
      <c r="H40" s="1" t="s">
        <v>2</v>
      </c>
      <c r="I40" s="2">
        <v>46177</v>
      </c>
      <c r="J40" s="1" t="s">
        <v>215</v>
      </c>
      <c r="K40" s="1" t="s">
        <v>5395</v>
      </c>
      <c r="L40" s="2">
        <v>46177.918923611112</v>
      </c>
      <c r="M40" s="2">
        <v>46177.921329212964</v>
      </c>
    </row>
    <row r="41" spans="1:13" x14ac:dyDescent="0.35">
      <c r="A41" s="1" t="s">
        <v>1131</v>
      </c>
      <c r="B41" s="1" t="s">
        <v>1126</v>
      </c>
      <c r="C41" s="1" t="s">
        <v>1132</v>
      </c>
      <c r="D41">
        <v>0</v>
      </c>
      <c r="E41" s="2">
        <v>46380</v>
      </c>
      <c r="F41" s="1" t="s">
        <v>16</v>
      </c>
      <c r="G41" s="1" t="s">
        <v>1132</v>
      </c>
      <c r="H41" s="1" t="s">
        <v>2</v>
      </c>
      <c r="I41" s="2">
        <v>46177</v>
      </c>
      <c r="J41" s="1" t="s">
        <v>17</v>
      </c>
      <c r="K41" s="1" t="s">
        <v>2979</v>
      </c>
      <c r="L41" s="2">
        <v>46177.92087962963</v>
      </c>
      <c r="M41" s="2">
        <v>46177.921329212964</v>
      </c>
    </row>
    <row r="42" spans="1:13" x14ac:dyDescent="0.35">
      <c r="A42" s="1" t="s">
        <v>1178</v>
      </c>
      <c r="B42" s="1" t="s">
        <v>1126</v>
      </c>
      <c r="C42" s="1" t="s">
        <v>1179</v>
      </c>
      <c r="D42">
        <v>0</v>
      </c>
      <c r="E42" s="2">
        <v>46191</v>
      </c>
      <c r="F42" s="1" t="s">
        <v>16</v>
      </c>
      <c r="G42" s="1" t="s">
        <v>1179</v>
      </c>
      <c r="H42" s="1" t="s">
        <v>2</v>
      </c>
      <c r="I42" s="2">
        <v>46177</v>
      </c>
      <c r="J42" s="1" t="s">
        <v>17</v>
      </c>
      <c r="K42" s="1" t="s">
        <v>5438</v>
      </c>
      <c r="L42" s="2">
        <v>46177.92087962963</v>
      </c>
      <c r="M42" s="2">
        <v>46177.921329212964</v>
      </c>
    </row>
    <row r="43" spans="1:13" x14ac:dyDescent="0.35">
      <c r="A43" s="1" t="s">
        <v>1178</v>
      </c>
      <c r="B43" s="1" t="s">
        <v>1126</v>
      </c>
      <c r="C43" s="1" t="s">
        <v>1179</v>
      </c>
      <c r="D43">
        <v>0</v>
      </c>
      <c r="E43" s="2">
        <v>46191</v>
      </c>
      <c r="F43" s="1" t="s">
        <v>16</v>
      </c>
      <c r="G43" s="1" t="s">
        <v>1179</v>
      </c>
      <c r="H43" s="1" t="s">
        <v>2</v>
      </c>
      <c r="I43" s="2">
        <v>46177</v>
      </c>
      <c r="J43" s="1" t="s">
        <v>18</v>
      </c>
      <c r="K43" s="1" t="s">
        <v>2710</v>
      </c>
      <c r="L43" s="2">
        <v>46177.92087962963</v>
      </c>
      <c r="M43" s="2">
        <v>46177.921329212964</v>
      </c>
    </row>
    <row r="44" spans="1:13" x14ac:dyDescent="0.35">
      <c r="A44" s="1" t="s">
        <v>1133</v>
      </c>
      <c r="B44" s="1" t="s">
        <v>1126</v>
      </c>
      <c r="C44" s="1" t="s">
        <v>1134</v>
      </c>
      <c r="D44">
        <v>0</v>
      </c>
      <c r="E44" s="2">
        <v>46198</v>
      </c>
      <c r="F44" s="1" t="s">
        <v>16</v>
      </c>
      <c r="G44" s="1" t="s">
        <v>1134</v>
      </c>
      <c r="H44" s="1" t="s">
        <v>2</v>
      </c>
      <c r="I44" s="2">
        <v>46177</v>
      </c>
      <c r="J44" s="1" t="s">
        <v>67</v>
      </c>
      <c r="K44" s="1" t="s">
        <v>5334</v>
      </c>
      <c r="L44" s="2">
        <v>46177.918923611112</v>
      </c>
      <c r="M44" s="2">
        <v>46177.921329212964</v>
      </c>
    </row>
    <row r="45" spans="1:13" x14ac:dyDescent="0.35">
      <c r="A45" s="1" t="s">
        <v>1133</v>
      </c>
      <c r="B45" s="1" t="s">
        <v>1126</v>
      </c>
      <c r="C45" s="1" t="s">
        <v>1134</v>
      </c>
      <c r="D45">
        <v>0</v>
      </c>
      <c r="E45" s="2">
        <v>46198</v>
      </c>
      <c r="F45" s="1" t="s">
        <v>16</v>
      </c>
      <c r="G45" s="1" t="s">
        <v>1134</v>
      </c>
      <c r="H45" s="1" t="s">
        <v>2</v>
      </c>
      <c r="I45" s="2">
        <v>46177</v>
      </c>
      <c r="J45" s="1" t="s">
        <v>224</v>
      </c>
      <c r="K45" s="1" t="s">
        <v>5357</v>
      </c>
      <c r="L45" s="2">
        <v>46177.918923611112</v>
      </c>
      <c r="M45" s="2">
        <v>46177.921329212964</v>
      </c>
    </row>
    <row r="46" spans="1:13" x14ac:dyDescent="0.35">
      <c r="A46" s="1" t="s">
        <v>1133</v>
      </c>
      <c r="B46" s="1" t="s">
        <v>1126</v>
      </c>
      <c r="C46" s="1" t="s">
        <v>1134</v>
      </c>
      <c r="D46">
        <v>0</v>
      </c>
      <c r="E46" s="2">
        <v>46198</v>
      </c>
      <c r="F46" s="1" t="s">
        <v>16</v>
      </c>
      <c r="G46" s="1" t="s">
        <v>1134</v>
      </c>
      <c r="H46" s="1" t="s">
        <v>2</v>
      </c>
      <c r="I46" s="2">
        <v>46177</v>
      </c>
      <c r="J46" s="1" t="s">
        <v>17</v>
      </c>
      <c r="K46" s="1" t="s">
        <v>3050</v>
      </c>
      <c r="L46" s="2">
        <v>46177.92087962963</v>
      </c>
      <c r="M46" s="2">
        <v>46177.921329212964</v>
      </c>
    </row>
    <row r="47" spans="1:13" x14ac:dyDescent="0.35">
      <c r="A47" s="1" t="s">
        <v>1133</v>
      </c>
      <c r="B47" s="1" t="s">
        <v>1126</v>
      </c>
      <c r="C47" s="1" t="s">
        <v>1134</v>
      </c>
      <c r="D47">
        <v>0</v>
      </c>
      <c r="E47" s="2">
        <v>46198</v>
      </c>
      <c r="F47" s="1" t="s">
        <v>16</v>
      </c>
      <c r="G47" s="1" t="s">
        <v>1134</v>
      </c>
      <c r="H47" s="1" t="s">
        <v>2</v>
      </c>
      <c r="I47" s="2">
        <v>46177</v>
      </c>
      <c r="J47" s="1" t="s">
        <v>18</v>
      </c>
      <c r="K47" s="1" t="s">
        <v>2360</v>
      </c>
      <c r="L47" s="2">
        <v>46177.92087962963</v>
      </c>
      <c r="M47" s="2">
        <v>46177.921329212964</v>
      </c>
    </row>
    <row r="48" spans="1:13" x14ac:dyDescent="0.35">
      <c r="A48" s="1" t="s">
        <v>1133</v>
      </c>
      <c r="B48" s="1" t="s">
        <v>1126</v>
      </c>
      <c r="C48" s="1" t="s">
        <v>1134</v>
      </c>
      <c r="D48">
        <v>0</v>
      </c>
      <c r="E48" s="2">
        <v>46198</v>
      </c>
      <c r="F48" s="1" t="s">
        <v>16</v>
      </c>
      <c r="G48" s="1" t="s">
        <v>1134</v>
      </c>
      <c r="H48" s="1" t="s">
        <v>2</v>
      </c>
      <c r="I48" s="2">
        <v>46177</v>
      </c>
      <c r="J48" s="1" t="s">
        <v>215</v>
      </c>
      <c r="K48" s="1" t="s">
        <v>5334</v>
      </c>
      <c r="L48" s="2">
        <v>46177.918923611112</v>
      </c>
      <c r="M48" s="2">
        <v>46177.921329212964</v>
      </c>
    </row>
    <row r="49" spans="1:13" x14ac:dyDescent="0.35">
      <c r="A49" s="1" t="s">
        <v>1133</v>
      </c>
      <c r="B49" s="1" t="s">
        <v>1126</v>
      </c>
      <c r="C49" s="1" t="s">
        <v>1134</v>
      </c>
      <c r="D49">
        <v>0</v>
      </c>
      <c r="E49" s="2">
        <v>46198</v>
      </c>
      <c r="F49" s="1" t="s">
        <v>16</v>
      </c>
      <c r="G49" s="1" t="s">
        <v>1134</v>
      </c>
      <c r="H49" s="1" t="s">
        <v>2</v>
      </c>
      <c r="I49" s="2">
        <v>46177</v>
      </c>
      <c r="J49" s="1" t="s">
        <v>214</v>
      </c>
      <c r="K49" s="1" t="s">
        <v>5357</v>
      </c>
      <c r="L49" s="2">
        <v>46177.918923611112</v>
      </c>
      <c r="M49" s="2">
        <v>46177.921329212964</v>
      </c>
    </row>
    <row r="50" spans="1:13" x14ac:dyDescent="0.35">
      <c r="A50" s="1" t="s">
        <v>1190</v>
      </c>
      <c r="B50" s="1" t="s">
        <v>1126</v>
      </c>
      <c r="C50" s="1" t="s">
        <v>1191</v>
      </c>
      <c r="D50">
        <v>0</v>
      </c>
      <c r="E50" s="2">
        <v>46205</v>
      </c>
      <c r="F50" s="1" t="s">
        <v>16</v>
      </c>
      <c r="G50" s="1" t="s">
        <v>1191</v>
      </c>
      <c r="H50" s="1" t="s">
        <v>2</v>
      </c>
      <c r="I50" s="2">
        <v>46177</v>
      </c>
      <c r="J50" s="1" t="s">
        <v>17</v>
      </c>
      <c r="K50" s="1" t="s">
        <v>2629</v>
      </c>
      <c r="L50" s="2">
        <v>46177.92087962963</v>
      </c>
      <c r="M50" s="2">
        <v>46177.921329212964</v>
      </c>
    </row>
    <row r="51" spans="1:13" x14ac:dyDescent="0.35">
      <c r="A51" s="1" t="s">
        <v>1190</v>
      </c>
      <c r="B51" s="1" t="s">
        <v>1126</v>
      </c>
      <c r="C51" s="1" t="s">
        <v>1191</v>
      </c>
      <c r="D51">
        <v>0</v>
      </c>
      <c r="E51" s="2">
        <v>46205</v>
      </c>
      <c r="F51" s="1" t="s">
        <v>16</v>
      </c>
      <c r="G51" s="1" t="s">
        <v>1191</v>
      </c>
      <c r="H51" s="1" t="s">
        <v>2</v>
      </c>
      <c r="I51" s="2">
        <v>46177</v>
      </c>
      <c r="J51" s="1" t="s">
        <v>18</v>
      </c>
      <c r="K51" s="1" t="s">
        <v>5413</v>
      </c>
      <c r="L51" s="2">
        <v>46177.92087962963</v>
      </c>
      <c r="M51" s="2">
        <v>46177.921329212964</v>
      </c>
    </row>
    <row r="52" spans="1:13" x14ac:dyDescent="0.35">
      <c r="A52" s="1" t="s">
        <v>1164</v>
      </c>
      <c r="B52" s="1" t="s">
        <v>1126</v>
      </c>
      <c r="C52" s="1" t="s">
        <v>1165</v>
      </c>
      <c r="D52">
        <v>0</v>
      </c>
      <c r="E52" s="2">
        <v>46408</v>
      </c>
      <c r="F52" s="1" t="s">
        <v>16</v>
      </c>
      <c r="G52" s="1" t="s">
        <v>1165</v>
      </c>
      <c r="H52" s="1" t="s">
        <v>2</v>
      </c>
      <c r="I52" s="2">
        <v>46177</v>
      </c>
      <c r="J52" s="1" t="s">
        <v>17</v>
      </c>
      <c r="K52" s="1" t="s">
        <v>2980</v>
      </c>
      <c r="L52" s="2">
        <v>46177.92087962963</v>
      </c>
      <c r="M52" s="2">
        <v>46177.921329212964</v>
      </c>
    </row>
    <row r="53" spans="1:13" x14ac:dyDescent="0.35">
      <c r="A53" s="1" t="s">
        <v>1164</v>
      </c>
      <c r="B53" s="1" t="s">
        <v>1126</v>
      </c>
      <c r="C53" s="1" t="s">
        <v>1165</v>
      </c>
      <c r="D53">
        <v>0</v>
      </c>
      <c r="E53" s="2">
        <v>46408</v>
      </c>
      <c r="F53" s="1" t="s">
        <v>16</v>
      </c>
      <c r="G53" s="1" t="s">
        <v>1165</v>
      </c>
      <c r="H53" s="1" t="s">
        <v>2</v>
      </c>
      <c r="I53" s="2">
        <v>46177</v>
      </c>
      <c r="J53" s="1" t="s">
        <v>18</v>
      </c>
      <c r="K53" s="1" t="s">
        <v>2706</v>
      </c>
      <c r="L53" s="2">
        <v>46177.92087962963</v>
      </c>
      <c r="M53" s="2">
        <v>46177.921329212964</v>
      </c>
    </row>
    <row r="54" spans="1:13" x14ac:dyDescent="0.35">
      <c r="A54" s="1" t="s">
        <v>1135</v>
      </c>
      <c r="B54" s="1" t="s">
        <v>1126</v>
      </c>
      <c r="C54" s="1" t="s">
        <v>1136</v>
      </c>
      <c r="D54">
        <v>0</v>
      </c>
      <c r="E54" s="2">
        <v>46219</v>
      </c>
      <c r="F54" s="1" t="s">
        <v>16</v>
      </c>
      <c r="G54" s="1" t="s">
        <v>1136</v>
      </c>
      <c r="H54" s="1" t="s">
        <v>2</v>
      </c>
      <c r="I54" s="2">
        <v>46177</v>
      </c>
      <c r="J54" s="1" t="s">
        <v>224</v>
      </c>
      <c r="K54" s="1" t="s">
        <v>5335</v>
      </c>
      <c r="L54" s="2">
        <v>46177.918923611112</v>
      </c>
      <c r="M54" s="2">
        <v>46177.921329212964</v>
      </c>
    </row>
    <row r="55" spans="1:13" x14ac:dyDescent="0.35">
      <c r="A55" s="1" t="s">
        <v>1135</v>
      </c>
      <c r="B55" s="1" t="s">
        <v>1126</v>
      </c>
      <c r="C55" s="1" t="s">
        <v>1136</v>
      </c>
      <c r="D55">
        <v>0</v>
      </c>
      <c r="E55" s="2">
        <v>46219</v>
      </c>
      <c r="F55" s="1" t="s">
        <v>16</v>
      </c>
      <c r="G55" s="1" t="s">
        <v>1136</v>
      </c>
      <c r="H55" s="1" t="s">
        <v>2</v>
      </c>
      <c r="I55" s="2">
        <v>46177</v>
      </c>
      <c r="J55" s="1" t="s">
        <v>215</v>
      </c>
      <c r="K55" s="1" t="s">
        <v>5414</v>
      </c>
      <c r="L55" s="2">
        <v>46177.918923611112</v>
      </c>
      <c r="M55" s="2">
        <v>46177.921329212964</v>
      </c>
    </row>
    <row r="56" spans="1:13" x14ac:dyDescent="0.35">
      <c r="A56" s="1" t="s">
        <v>1135</v>
      </c>
      <c r="B56" s="1" t="s">
        <v>1126</v>
      </c>
      <c r="C56" s="1" t="s">
        <v>1136</v>
      </c>
      <c r="D56">
        <v>0</v>
      </c>
      <c r="E56" s="2">
        <v>46219</v>
      </c>
      <c r="F56" s="1" t="s">
        <v>16</v>
      </c>
      <c r="G56" s="1" t="s">
        <v>1136</v>
      </c>
      <c r="H56" s="1" t="s">
        <v>2</v>
      </c>
      <c r="I56" s="2">
        <v>46177</v>
      </c>
      <c r="J56" s="1" t="s">
        <v>17</v>
      </c>
      <c r="K56" s="1" t="s">
        <v>2937</v>
      </c>
      <c r="L56" s="2">
        <v>46177.92087962963</v>
      </c>
      <c r="M56" s="2">
        <v>46177.921329212964</v>
      </c>
    </row>
    <row r="57" spans="1:13" x14ac:dyDescent="0.35">
      <c r="A57" s="1" t="s">
        <v>1135</v>
      </c>
      <c r="B57" s="1" t="s">
        <v>1126</v>
      </c>
      <c r="C57" s="1" t="s">
        <v>1136</v>
      </c>
      <c r="D57">
        <v>0</v>
      </c>
      <c r="E57" s="2">
        <v>46219</v>
      </c>
      <c r="F57" s="1" t="s">
        <v>16</v>
      </c>
      <c r="G57" s="1" t="s">
        <v>1136</v>
      </c>
      <c r="H57" s="1" t="s">
        <v>2</v>
      </c>
      <c r="I57" s="2">
        <v>46177</v>
      </c>
      <c r="J57" s="1" t="s">
        <v>18</v>
      </c>
      <c r="K57" s="1" t="s">
        <v>5426</v>
      </c>
      <c r="L57" s="2">
        <v>46177.92087962963</v>
      </c>
      <c r="M57" s="2">
        <v>46177.921329212964</v>
      </c>
    </row>
    <row r="58" spans="1:13" x14ac:dyDescent="0.35">
      <c r="A58" s="1" t="s">
        <v>1135</v>
      </c>
      <c r="B58" s="1" t="s">
        <v>1126</v>
      </c>
      <c r="C58" s="1" t="s">
        <v>1136</v>
      </c>
      <c r="D58">
        <v>0</v>
      </c>
      <c r="E58" s="2">
        <v>46219</v>
      </c>
      <c r="F58" s="1" t="s">
        <v>16</v>
      </c>
      <c r="G58" s="1" t="s">
        <v>1136</v>
      </c>
      <c r="H58" s="1" t="s">
        <v>2</v>
      </c>
      <c r="I58" s="2">
        <v>46177</v>
      </c>
      <c r="J58" s="1" t="s">
        <v>67</v>
      </c>
      <c r="K58" s="1" t="s">
        <v>5414</v>
      </c>
      <c r="L58" s="2">
        <v>46177.918923611112</v>
      </c>
      <c r="M58" s="2">
        <v>46177.921329212964</v>
      </c>
    </row>
    <row r="59" spans="1:13" x14ac:dyDescent="0.35">
      <c r="A59" s="1" t="s">
        <v>1135</v>
      </c>
      <c r="B59" s="1" t="s">
        <v>1126</v>
      </c>
      <c r="C59" s="1" t="s">
        <v>1136</v>
      </c>
      <c r="D59">
        <v>0</v>
      </c>
      <c r="E59" s="2">
        <v>46219</v>
      </c>
      <c r="F59" s="1" t="s">
        <v>16</v>
      </c>
      <c r="G59" s="1" t="s">
        <v>1136</v>
      </c>
      <c r="H59" s="1" t="s">
        <v>2</v>
      </c>
      <c r="I59" s="2">
        <v>46177</v>
      </c>
      <c r="J59" s="1" t="s">
        <v>214</v>
      </c>
      <c r="K59" s="1" t="s">
        <v>5335</v>
      </c>
      <c r="L59" s="2">
        <v>46177.918923611112</v>
      </c>
      <c r="M59" s="2">
        <v>46177.921329212964</v>
      </c>
    </row>
    <row r="60" spans="1:13" x14ac:dyDescent="0.35">
      <c r="A60" s="1" t="s">
        <v>1166</v>
      </c>
      <c r="B60" s="1" t="s">
        <v>1126</v>
      </c>
      <c r="C60" s="1" t="s">
        <v>1167</v>
      </c>
      <c r="D60">
        <v>0</v>
      </c>
      <c r="E60" s="2">
        <v>46226</v>
      </c>
      <c r="F60" s="1" t="s">
        <v>16</v>
      </c>
      <c r="G60" s="1" t="s">
        <v>1167</v>
      </c>
      <c r="H60" s="1" t="s">
        <v>2</v>
      </c>
      <c r="I60" s="2">
        <v>46177</v>
      </c>
      <c r="J60" s="1" t="s">
        <v>215</v>
      </c>
      <c r="K60" s="1" t="s">
        <v>5358</v>
      </c>
      <c r="L60" s="2">
        <v>46177.918923611112</v>
      </c>
      <c r="M60" s="2">
        <v>46177.921329212964</v>
      </c>
    </row>
    <row r="61" spans="1:13" x14ac:dyDescent="0.35">
      <c r="A61" s="1" t="s">
        <v>1166</v>
      </c>
      <c r="B61" s="1" t="s">
        <v>1126</v>
      </c>
      <c r="C61" s="1" t="s">
        <v>1167</v>
      </c>
      <c r="D61">
        <v>0</v>
      </c>
      <c r="E61" s="2">
        <v>46226</v>
      </c>
      <c r="F61" s="1" t="s">
        <v>16</v>
      </c>
      <c r="G61" s="1" t="s">
        <v>1167</v>
      </c>
      <c r="H61" s="1" t="s">
        <v>2</v>
      </c>
      <c r="I61" s="2">
        <v>46177</v>
      </c>
      <c r="J61" s="1" t="s">
        <v>224</v>
      </c>
      <c r="K61" s="1" t="s">
        <v>5396</v>
      </c>
      <c r="L61" s="2">
        <v>46177.918923611112</v>
      </c>
      <c r="M61" s="2">
        <v>46177.921329212964</v>
      </c>
    </row>
    <row r="62" spans="1:13" x14ac:dyDescent="0.35">
      <c r="A62" s="1" t="s">
        <v>1166</v>
      </c>
      <c r="B62" s="1" t="s">
        <v>1126</v>
      </c>
      <c r="C62" s="1" t="s">
        <v>1167</v>
      </c>
      <c r="D62">
        <v>0</v>
      </c>
      <c r="E62" s="2">
        <v>46226</v>
      </c>
      <c r="F62" s="1" t="s">
        <v>16</v>
      </c>
      <c r="G62" s="1" t="s">
        <v>1167</v>
      </c>
      <c r="H62" s="1" t="s">
        <v>2</v>
      </c>
      <c r="I62" s="2">
        <v>46177</v>
      </c>
      <c r="J62" s="1" t="s">
        <v>18</v>
      </c>
      <c r="K62" s="1" t="s">
        <v>3033</v>
      </c>
      <c r="L62" s="2">
        <v>46177.92087962963</v>
      </c>
      <c r="M62" s="2">
        <v>46177.921329212964</v>
      </c>
    </row>
    <row r="63" spans="1:13" x14ac:dyDescent="0.35">
      <c r="A63" s="1" t="s">
        <v>1166</v>
      </c>
      <c r="B63" s="1" t="s">
        <v>1126</v>
      </c>
      <c r="C63" s="1" t="s">
        <v>1167</v>
      </c>
      <c r="D63">
        <v>0</v>
      </c>
      <c r="E63" s="2">
        <v>46226</v>
      </c>
      <c r="F63" s="1" t="s">
        <v>16</v>
      </c>
      <c r="G63" s="1" t="s">
        <v>1167</v>
      </c>
      <c r="H63" s="1" t="s">
        <v>2</v>
      </c>
      <c r="I63" s="2">
        <v>46177</v>
      </c>
      <c r="J63" s="1" t="s">
        <v>214</v>
      </c>
      <c r="K63" s="1" t="s">
        <v>5396</v>
      </c>
      <c r="L63" s="2">
        <v>46177.918923611112</v>
      </c>
      <c r="M63" s="2">
        <v>46177.921329212964</v>
      </c>
    </row>
    <row r="64" spans="1:13" x14ac:dyDescent="0.35">
      <c r="A64" s="1" t="s">
        <v>1166</v>
      </c>
      <c r="B64" s="1" t="s">
        <v>1126</v>
      </c>
      <c r="C64" s="1" t="s">
        <v>1167</v>
      </c>
      <c r="D64">
        <v>0</v>
      </c>
      <c r="E64" s="2">
        <v>46226</v>
      </c>
      <c r="F64" s="1" t="s">
        <v>16</v>
      </c>
      <c r="G64" s="1" t="s">
        <v>1167</v>
      </c>
      <c r="H64" s="1" t="s">
        <v>2</v>
      </c>
      <c r="I64" s="2">
        <v>46177</v>
      </c>
      <c r="J64" s="1" t="s">
        <v>17</v>
      </c>
      <c r="K64" s="1" t="s">
        <v>2532</v>
      </c>
      <c r="L64" s="2">
        <v>46177.92087962963</v>
      </c>
      <c r="M64" s="2">
        <v>46177.921329212964</v>
      </c>
    </row>
    <row r="65" spans="1:13" x14ac:dyDescent="0.35">
      <c r="A65" s="1" t="s">
        <v>1166</v>
      </c>
      <c r="B65" s="1" t="s">
        <v>1126</v>
      </c>
      <c r="C65" s="1" t="s">
        <v>1167</v>
      </c>
      <c r="D65">
        <v>0</v>
      </c>
      <c r="E65" s="2">
        <v>46226</v>
      </c>
      <c r="F65" s="1" t="s">
        <v>16</v>
      </c>
      <c r="G65" s="1" t="s">
        <v>1167</v>
      </c>
      <c r="H65" s="1" t="s">
        <v>2</v>
      </c>
      <c r="I65" s="2">
        <v>46177</v>
      </c>
      <c r="J65" s="1" t="s">
        <v>67</v>
      </c>
      <c r="K65" s="1" t="s">
        <v>5358</v>
      </c>
      <c r="L65" s="2">
        <v>46177.918923611112</v>
      </c>
      <c r="M65" s="2">
        <v>46177.921329212964</v>
      </c>
    </row>
    <row r="66" spans="1:13" x14ac:dyDescent="0.35">
      <c r="A66" s="1" t="s">
        <v>1192</v>
      </c>
      <c r="B66" s="1" t="s">
        <v>1126</v>
      </c>
      <c r="C66" s="1" t="s">
        <v>1193</v>
      </c>
      <c r="D66">
        <v>0</v>
      </c>
      <c r="E66" s="2">
        <v>46233</v>
      </c>
      <c r="F66" s="1" t="s">
        <v>16</v>
      </c>
      <c r="G66" s="1" t="s">
        <v>1193</v>
      </c>
      <c r="H66" s="1" t="s">
        <v>2</v>
      </c>
      <c r="I66" s="2">
        <v>46177</v>
      </c>
      <c r="J66" s="1" t="s">
        <v>18</v>
      </c>
      <c r="K66" s="1" t="s">
        <v>5397</v>
      </c>
      <c r="L66" s="2">
        <v>46177.92087962963</v>
      </c>
      <c r="M66" s="2">
        <v>46177.921329212964</v>
      </c>
    </row>
    <row r="67" spans="1:13" x14ac:dyDescent="0.35">
      <c r="A67" s="1" t="s">
        <v>1192</v>
      </c>
      <c r="B67" s="1" t="s">
        <v>1126</v>
      </c>
      <c r="C67" s="1" t="s">
        <v>1193</v>
      </c>
      <c r="D67">
        <v>0</v>
      </c>
      <c r="E67" s="2">
        <v>46233</v>
      </c>
      <c r="F67" s="1" t="s">
        <v>16</v>
      </c>
      <c r="G67" s="1" t="s">
        <v>1193</v>
      </c>
      <c r="H67" s="1" t="s">
        <v>2</v>
      </c>
      <c r="I67" s="2">
        <v>46177</v>
      </c>
      <c r="J67" s="1" t="s">
        <v>67</v>
      </c>
      <c r="K67" s="1" t="s">
        <v>5415</v>
      </c>
      <c r="L67" s="2">
        <v>46177.918923611112</v>
      </c>
      <c r="M67" s="2">
        <v>46177.921329212964</v>
      </c>
    </row>
    <row r="68" spans="1:13" x14ac:dyDescent="0.35">
      <c r="A68" s="1" t="s">
        <v>1192</v>
      </c>
      <c r="B68" s="1" t="s">
        <v>1126</v>
      </c>
      <c r="C68" s="1" t="s">
        <v>1193</v>
      </c>
      <c r="D68">
        <v>0</v>
      </c>
      <c r="E68" s="2">
        <v>46233</v>
      </c>
      <c r="F68" s="1" t="s">
        <v>16</v>
      </c>
      <c r="G68" s="1" t="s">
        <v>1193</v>
      </c>
      <c r="H68" s="1" t="s">
        <v>2</v>
      </c>
      <c r="I68" s="2">
        <v>46177</v>
      </c>
      <c r="J68" s="1" t="s">
        <v>17</v>
      </c>
      <c r="K68" s="1" t="s">
        <v>2709</v>
      </c>
      <c r="L68" s="2">
        <v>46177.92087962963</v>
      </c>
      <c r="M68" s="2">
        <v>46177.921329212964</v>
      </c>
    </row>
    <row r="69" spans="1:13" x14ac:dyDescent="0.35">
      <c r="A69" s="1" t="s">
        <v>1192</v>
      </c>
      <c r="B69" s="1" t="s">
        <v>1126</v>
      </c>
      <c r="C69" s="1" t="s">
        <v>1193</v>
      </c>
      <c r="D69">
        <v>0</v>
      </c>
      <c r="E69" s="2">
        <v>46233</v>
      </c>
      <c r="F69" s="1" t="s">
        <v>16</v>
      </c>
      <c r="G69" s="1" t="s">
        <v>1193</v>
      </c>
      <c r="H69" s="1" t="s">
        <v>2</v>
      </c>
      <c r="I69" s="2">
        <v>46177</v>
      </c>
      <c r="J69" s="1" t="s">
        <v>214</v>
      </c>
      <c r="K69" s="1" t="s">
        <v>5336</v>
      </c>
      <c r="L69" s="2">
        <v>46177.918923611112</v>
      </c>
      <c r="M69" s="2">
        <v>46177.921329212964</v>
      </c>
    </row>
    <row r="70" spans="1:13" x14ac:dyDescent="0.35">
      <c r="A70" s="1" t="s">
        <v>1192</v>
      </c>
      <c r="B70" s="1" t="s">
        <v>1126</v>
      </c>
      <c r="C70" s="1" t="s">
        <v>1193</v>
      </c>
      <c r="D70">
        <v>0</v>
      </c>
      <c r="E70" s="2">
        <v>46233</v>
      </c>
      <c r="F70" s="1" t="s">
        <v>16</v>
      </c>
      <c r="G70" s="1" t="s">
        <v>1193</v>
      </c>
      <c r="H70" s="1" t="s">
        <v>2</v>
      </c>
      <c r="I70" s="2">
        <v>46177</v>
      </c>
      <c r="J70" s="1" t="s">
        <v>224</v>
      </c>
      <c r="K70" s="1" t="s">
        <v>5336</v>
      </c>
      <c r="L70" s="2">
        <v>46177.918923611112</v>
      </c>
      <c r="M70" s="2">
        <v>46177.921329212964</v>
      </c>
    </row>
    <row r="71" spans="1:13" x14ac:dyDescent="0.35">
      <c r="A71" s="1" t="s">
        <v>1192</v>
      </c>
      <c r="B71" s="1" t="s">
        <v>1126</v>
      </c>
      <c r="C71" s="1" t="s">
        <v>1193</v>
      </c>
      <c r="D71">
        <v>0</v>
      </c>
      <c r="E71" s="2">
        <v>46233</v>
      </c>
      <c r="F71" s="1" t="s">
        <v>16</v>
      </c>
      <c r="G71" s="1" t="s">
        <v>1193</v>
      </c>
      <c r="H71" s="1" t="s">
        <v>2</v>
      </c>
      <c r="I71" s="2">
        <v>46177</v>
      </c>
      <c r="J71" s="1" t="s">
        <v>215</v>
      </c>
      <c r="K71" s="1" t="s">
        <v>5415</v>
      </c>
      <c r="L71" s="2">
        <v>46177.918923611112</v>
      </c>
      <c r="M71" s="2">
        <v>46177.921329212964</v>
      </c>
    </row>
    <row r="72" spans="1:13" x14ac:dyDescent="0.35">
      <c r="A72" s="1" t="s">
        <v>1168</v>
      </c>
      <c r="B72" s="1" t="s">
        <v>1126</v>
      </c>
      <c r="C72" s="1" t="s">
        <v>1169</v>
      </c>
      <c r="D72">
        <v>0</v>
      </c>
      <c r="E72" s="2">
        <v>46436</v>
      </c>
      <c r="F72" s="1" t="s">
        <v>16</v>
      </c>
      <c r="G72" s="1" t="s">
        <v>1169</v>
      </c>
      <c r="H72" s="1" t="s">
        <v>2</v>
      </c>
      <c r="I72" s="2">
        <v>46177</v>
      </c>
      <c r="J72" s="1" t="s">
        <v>214</v>
      </c>
      <c r="K72" s="1" t="s">
        <v>5439</v>
      </c>
      <c r="L72" s="2">
        <v>46177.918923611112</v>
      </c>
      <c r="M72" s="2">
        <v>46177.921329212964</v>
      </c>
    </row>
    <row r="73" spans="1:13" x14ac:dyDescent="0.35">
      <c r="A73" s="1" t="s">
        <v>1168</v>
      </c>
      <c r="B73" s="1" t="s">
        <v>1126</v>
      </c>
      <c r="C73" s="1" t="s">
        <v>1169</v>
      </c>
      <c r="D73">
        <v>0</v>
      </c>
      <c r="E73" s="2">
        <v>46436</v>
      </c>
      <c r="F73" s="1" t="s">
        <v>16</v>
      </c>
      <c r="G73" s="1" t="s">
        <v>1169</v>
      </c>
      <c r="H73" s="1" t="s">
        <v>2</v>
      </c>
      <c r="I73" s="2">
        <v>46177</v>
      </c>
      <c r="J73" s="1" t="s">
        <v>67</v>
      </c>
      <c r="K73" s="1" t="s">
        <v>5440</v>
      </c>
      <c r="L73" s="2">
        <v>46177.918923611112</v>
      </c>
      <c r="M73" s="2">
        <v>46177.921329212964</v>
      </c>
    </row>
    <row r="74" spans="1:13" x14ac:dyDescent="0.35">
      <c r="A74" s="1" t="s">
        <v>1168</v>
      </c>
      <c r="B74" s="1" t="s">
        <v>1126</v>
      </c>
      <c r="C74" s="1" t="s">
        <v>1169</v>
      </c>
      <c r="D74">
        <v>0</v>
      </c>
      <c r="E74" s="2">
        <v>46436</v>
      </c>
      <c r="F74" s="1" t="s">
        <v>16</v>
      </c>
      <c r="G74" s="1" t="s">
        <v>1169</v>
      </c>
      <c r="H74" s="1" t="s">
        <v>2</v>
      </c>
      <c r="I74" s="2">
        <v>46177</v>
      </c>
      <c r="J74" s="1" t="s">
        <v>215</v>
      </c>
      <c r="K74" s="1" t="s">
        <v>5440</v>
      </c>
      <c r="L74" s="2">
        <v>46177.918923611112</v>
      </c>
      <c r="M74" s="2">
        <v>46177.921329212964</v>
      </c>
    </row>
    <row r="75" spans="1:13" x14ac:dyDescent="0.35">
      <c r="A75" s="1" t="s">
        <v>1168</v>
      </c>
      <c r="B75" s="1" t="s">
        <v>1126</v>
      </c>
      <c r="C75" s="1" t="s">
        <v>1169</v>
      </c>
      <c r="D75">
        <v>0</v>
      </c>
      <c r="E75" s="2">
        <v>46436</v>
      </c>
      <c r="F75" s="1" t="s">
        <v>16</v>
      </c>
      <c r="G75" s="1" t="s">
        <v>1169</v>
      </c>
      <c r="H75" s="1" t="s">
        <v>2</v>
      </c>
      <c r="I75" s="2">
        <v>46177</v>
      </c>
      <c r="J75" s="1" t="s">
        <v>18</v>
      </c>
      <c r="K75" s="1" t="s">
        <v>5337</v>
      </c>
      <c r="L75" s="2">
        <v>46177.92087962963</v>
      </c>
      <c r="M75" s="2">
        <v>46177.921329212964</v>
      </c>
    </row>
    <row r="76" spans="1:13" x14ac:dyDescent="0.35">
      <c r="A76" s="1" t="s">
        <v>1168</v>
      </c>
      <c r="B76" s="1" t="s">
        <v>1126</v>
      </c>
      <c r="C76" s="1" t="s">
        <v>1169</v>
      </c>
      <c r="D76">
        <v>0</v>
      </c>
      <c r="E76" s="2">
        <v>46436</v>
      </c>
      <c r="F76" s="1" t="s">
        <v>16</v>
      </c>
      <c r="G76" s="1" t="s">
        <v>1169</v>
      </c>
      <c r="H76" s="1" t="s">
        <v>2</v>
      </c>
      <c r="I76" s="2">
        <v>46177</v>
      </c>
      <c r="J76" s="1" t="s">
        <v>17</v>
      </c>
      <c r="K76" s="1" t="s">
        <v>2530</v>
      </c>
      <c r="L76" s="2">
        <v>46177.92087962963</v>
      </c>
      <c r="M76" s="2">
        <v>46177.921329212964</v>
      </c>
    </row>
    <row r="77" spans="1:13" x14ac:dyDescent="0.35">
      <c r="A77" s="1" t="s">
        <v>1168</v>
      </c>
      <c r="B77" s="1" t="s">
        <v>1126</v>
      </c>
      <c r="C77" s="1" t="s">
        <v>1169</v>
      </c>
      <c r="D77">
        <v>0</v>
      </c>
      <c r="E77" s="2">
        <v>46436</v>
      </c>
      <c r="F77" s="1" t="s">
        <v>16</v>
      </c>
      <c r="G77" s="1" t="s">
        <v>1169</v>
      </c>
      <c r="H77" s="1" t="s">
        <v>2</v>
      </c>
      <c r="I77" s="2">
        <v>46177</v>
      </c>
      <c r="J77" s="1" t="s">
        <v>224</v>
      </c>
      <c r="K77" s="1" t="s">
        <v>5439</v>
      </c>
      <c r="L77" s="2">
        <v>46177.918923611112</v>
      </c>
      <c r="M77" s="2">
        <v>46177.921329212964</v>
      </c>
    </row>
    <row r="78" spans="1:13" x14ac:dyDescent="0.35">
      <c r="A78" s="1" t="s">
        <v>1137</v>
      </c>
      <c r="B78" s="1" t="s">
        <v>1126</v>
      </c>
      <c r="C78" s="1" t="s">
        <v>1138</v>
      </c>
      <c r="D78">
        <v>0</v>
      </c>
      <c r="E78" s="2">
        <v>46247</v>
      </c>
      <c r="F78" s="1" t="s">
        <v>16</v>
      </c>
      <c r="G78" s="1" t="s">
        <v>1138</v>
      </c>
      <c r="H78" s="1" t="s">
        <v>2</v>
      </c>
      <c r="I78" s="2">
        <v>46177</v>
      </c>
      <c r="J78" s="1" t="s">
        <v>17</v>
      </c>
      <c r="K78" s="1" t="s">
        <v>5398</v>
      </c>
      <c r="L78" s="2">
        <v>46177.92087962963</v>
      </c>
      <c r="M78" s="2">
        <v>46177.921329212964</v>
      </c>
    </row>
    <row r="79" spans="1:13" x14ac:dyDescent="0.35">
      <c r="A79" s="1" t="s">
        <v>1137</v>
      </c>
      <c r="B79" s="1" t="s">
        <v>1126</v>
      </c>
      <c r="C79" s="1" t="s">
        <v>1138</v>
      </c>
      <c r="D79">
        <v>0</v>
      </c>
      <c r="E79" s="2">
        <v>46247</v>
      </c>
      <c r="F79" s="1" t="s">
        <v>16</v>
      </c>
      <c r="G79" s="1" t="s">
        <v>1138</v>
      </c>
      <c r="H79" s="1" t="s">
        <v>2</v>
      </c>
      <c r="I79" s="2">
        <v>46177</v>
      </c>
      <c r="J79" s="1" t="s">
        <v>215</v>
      </c>
      <c r="K79" s="1" t="s">
        <v>5380</v>
      </c>
      <c r="L79" s="2">
        <v>46177.918923611112</v>
      </c>
      <c r="M79" s="2">
        <v>46177.921329212964</v>
      </c>
    </row>
    <row r="80" spans="1:13" x14ac:dyDescent="0.35">
      <c r="A80" s="1" t="s">
        <v>1137</v>
      </c>
      <c r="B80" s="1" t="s">
        <v>1126</v>
      </c>
      <c r="C80" s="1" t="s">
        <v>1138</v>
      </c>
      <c r="D80">
        <v>0</v>
      </c>
      <c r="E80" s="2">
        <v>46247</v>
      </c>
      <c r="F80" s="1" t="s">
        <v>16</v>
      </c>
      <c r="G80" s="1" t="s">
        <v>1138</v>
      </c>
      <c r="H80" s="1" t="s">
        <v>2</v>
      </c>
      <c r="I80" s="2">
        <v>46177</v>
      </c>
      <c r="J80" s="1" t="s">
        <v>18</v>
      </c>
      <c r="K80" s="1" t="s">
        <v>5441</v>
      </c>
      <c r="L80" s="2">
        <v>46177.92087962963</v>
      </c>
      <c r="M80" s="2">
        <v>46177.921329212964</v>
      </c>
    </row>
    <row r="81" spans="1:13" x14ac:dyDescent="0.35">
      <c r="A81" s="1" t="s">
        <v>1137</v>
      </c>
      <c r="B81" s="1" t="s">
        <v>1126</v>
      </c>
      <c r="C81" s="1" t="s">
        <v>1138</v>
      </c>
      <c r="D81">
        <v>0</v>
      </c>
      <c r="E81" s="2">
        <v>46247</v>
      </c>
      <c r="F81" s="1" t="s">
        <v>16</v>
      </c>
      <c r="G81" s="1" t="s">
        <v>1138</v>
      </c>
      <c r="H81" s="1" t="s">
        <v>2</v>
      </c>
      <c r="I81" s="2">
        <v>46177</v>
      </c>
      <c r="J81" s="1" t="s">
        <v>67</v>
      </c>
      <c r="K81" s="1" t="s">
        <v>5380</v>
      </c>
      <c r="L81" s="2">
        <v>46177.918923611112</v>
      </c>
      <c r="M81" s="2">
        <v>46177.921329212964</v>
      </c>
    </row>
    <row r="82" spans="1:13" x14ac:dyDescent="0.35">
      <c r="A82" s="1" t="s">
        <v>1137</v>
      </c>
      <c r="B82" s="1" t="s">
        <v>1126</v>
      </c>
      <c r="C82" s="1" t="s">
        <v>1138</v>
      </c>
      <c r="D82">
        <v>0</v>
      </c>
      <c r="E82" s="2">
        <v>46247</v>
      </c>
      <c r="F82" s="1" t="s">
        <v>16</v>
      </c>
      <c r="G82" s="1" t="s">
        <v>1138</v>
      </c>
      <c r="H82" s="1" t="s">
        <v>2</v>
      </c>
      <c r="I82" s="2">
        <v>46177</v>
      </c>
      <c r="J82" s="1" t="s">
        <v>214</v>
      </c>
      <c r="K82" s="1" t="s">
        <v>5338</v>
      </c>
      <c r="L82" s="2">
        <v>46177.918923611112</v>
      </c>
      <c r="M82" s="2">
        <v>46177.921329212964</v>
      </c>
    </row>
    <row r="83" spans="1:13" x14ac:dyDescent="0.35">
      <c r="A83" s="1" t="s">
        <v>1137</v>
      </c>
      <c r="B83" s="1" t="s">
        <v>1126</v>
      </c>
      <c r="C83" s="1" t="s">
        <v>1138</v>
      </c>
      <c r="D83">
        <v>0</v>
      </c>
      <c r="E83" s="2">
        <v>46247</v>
      </c>
      <c r="F83" s="1" t="s">
        <v>16</v>
      </c>
      <c r="G83" s="1" t="s">
        <v>1138</v>
      </c>
      <c r="H83" s="1" t="s">
        <v>2</v>
      </c>
      <c r="I83" s="2">
        <v>46177</v>
      </c>
      <c r="J83" s="1" t="s">
        <v>224</v>
      </c>
      <c r="K83" s="1" t="s">
        <v>5338</v>
      </c>
      <c r="L83" s="2">
        <v>46177.918923611112</v>
      </c>
      <c r="M83" s="2">
        <v>46177.921329212964</v>
      </c>
    </row>
    <row r="84" spans="1:13" x14ac:dyDescent="0.35">
      <c r="A84" s="1" t="s">
        <v>1170</v>
      </c>
      <c r="B84" s="1" t="s">
        <v>1126</v>
      </c>
      <c r="C84" s="1" t="s">
        <v>1171</v>
      </c>
      <c r="D84">
        <v>0</v>
      </c>
      <c r="E84" s="2">
        <v>46254</v>
      </c>
      <c r="F84" s="1" t="s">
        <v>16</v>
      </c>
      <c r="G84" s="1" t="s">
        <v>1171</v>
      </c>
      <c r="H84" s="1" t="s">
        <v>2</v>
      </c>
      <c r="I84" s="2">
        <v>46177</v>
      </c>
      <c r="J84" s="1" t="s">
        <v>18</v>
      </c>
      <c r="K84" s="1" t="s">
        <v>5399</v>
      </c>
      <c r="L84" s="2">
        <v>46177.92087962963</v>
      </c>
      <c r="M84" s="2">
        <v>46177.921329212964</v>
      </c>
    </row>
    <row r="85" spans="1:13" x14ac:dyDescent="0.35">
      <c r="A85" s="1" t="s">
        <v>1170</v>
      </c>
      <c r="B85" s="1" t="s">
        <v>1126</v>
      </c>
      <c r="C85" s="1" t="s">
        <v>1171</v>
      </c>
      <c r="D85">
        <v>0</v>
      </c>
      <c r="E85" s="2">
        <v>46254</v>
      </c>
      <c r="F85" s="1" t="s">
        <v>16</v>
      </c>
      <c r="G85" s="1" t="s">
        <v>1171</v>
      </c>
      <c r="H85" s="1" t="s">
        <v>2</v>
      </c>
      <c r="I85" s="2">
        <v>46177</v>
      </c>
      <c r="J85" s="1" t="s">
        <v>17</v>
      </c>
      <c r="K85" s="1" t="s">
        <v>2633</v>
      </c>
      <c r="L85" s="2">
        <v>46177.92087962963</v>
      </c>
      <c r="M85" s="2">
        <v>46177.921329212964</v>
      </c>
    </row>
    <row r="86" spans="1:13" x14ac:dyDescent="0.35">
      <c r="A86" s="1" t="s">
        <v>1180</v>
      </c>
      <c r="B86" s="1" t="s">
        <v>1126</v>
      </c>
      <c r="C86" s="1" t="s">
        <v>1181</v>
      </c>
      <c r="D86">
        <v>0</v>
      </c>
      <c r="E86" s="2">
        <v>46261</v>
      </c>
      <c r="F86" s="1" t="s">
        <v>16</v>
      </c>
      <c r="G86" s="1" t="s">
        <v>1181</v>
      </c>
      <c r="H86" s="1" t="s">
        <v>2</v>
      </c>
      <c r="I86" s="2">
        <v>46177</v>
      </c>
      <c r="J86" s="1" t="s">
        <v>17</v>
      </c>
      <c r="K86" s="1" t="s">
        <v>3032</v>
      </c>
      <c r="L86" s="2">
        <v>46177.92087962963</v>
      </c>
      <c r="M86" s="2">
        <v>46177.921329212964</v>
      </c>
    </row>
    <row r="87" spans="1:13" x14ac:dyDescent="0.35">
      <c r="A87" s="1" t="s">
        <v>1180</v>
      </c>
      <c r="B87" s="1" t="s">
        <v>1126</v>
      </c>
      <c r="C87" s="1" t="s">
        <v>1181</v>
      </c>
      <c r="D87">
        <v>0</v>
      </c>
      <c r="E87" s="2">
        <v>46261</v>
      </c>
      <c r="F87" s="1" t="s">
        <v>16</v>
      </c>
      <c r="G87" s="1" t="s">
        <v>1181</v>
      </c>
      <c r="H87" s="1" t="s">
        <v>2</v>
      </c>
      <c r="I87" s="2">
        <v>46177</v>
      </c>
      <c r="J87" s="1" t="s">
        <v>18</v>
      </c>
      <c r="K87" s="1" t="s">
        <v>5416</v>
      </c>
      <c r="L87" s="2">
        <v>46177.92087962963</v>
      </c>
      <c r="M87" s="2">
        <v>46177.921329212964</v>
      </c>
    </row>
    <row r="88" spans="1:13" x14ac:dyDescent="0.35">
      <c r="A88" s="1" t="s">
        <v>1197</v>
      </c>
      <c r="B88" s="1" t="s">
        <v>1126</v>
      </c>
      <c r="C88" s="1" t="s">
        <v>1198</v>
      </c>
      <c r="D88">
        <v>0</v>
      </c>
      <c r="E88" s="2">
        <v>46182</v>
      </c>
      <c r="F88" s="1" t="s">
        <v>16</v>
      </c>
      <c r="G88" s="1" t="s">
        <v>1198</v>
      </c>
      <c r="H88" s="1" t="s">
        <v>2</v>
      </c>
      <c r="I88" s="2">
        <v>46177</v>
      </c>
      <c r="J88" s="1" t="s">
        <v>17</v>
      </c>
      <c r="K88" s="1" t="s">
        <v>2703</v>
      </c>
      <c r="L88" s="2">
        <v>46177.92087962963</v>
      </c>
      <c r="M88" s="2">
        <v>46177.921329212964</v>
      </c>
    </row>
    <row r="89" spans="1:13" x14ac:dyDescent="0.35">
      <c r="A89" s="1" t="s">
        <v>1197</v>
      </c>
      <c r="B89" s="1" t="s">
        <v>1126</v>
      </c>
      <c r="C89" s="1" t="s">
        <v>1198</v>
      </c>
      <c r="D89">
        <v>0</v>
      </c>
      <c r="E89" s="2">
        <v>46182</v>
      </c>
      <c r="F89" s="1" t="s">
        <v>16</v>
      </c>
      <c r="G89" s="1" t="s">
        <v>1198</v>
      </c>
      <c r="H89" s="1" t="s">
        <v>2</v>
      </c>
      <c r="I89" s="2">
        <v>46177</v>
      </c>
      <c r="J89" s="1" t="s">
        <v>67</v>
      </c>
      <c r="K89" s="1" t="s">
        <v>5340</v>
      </c>
      <c r="L89" s="2">
        <v>46177.918923611112</v>
      </c>
      <c r="M89" s="2">
        <v>46177.921329212964</v>
      </c>
    </row>
    <row r="90" spans="1:13" x14ac:dyDescent="0.35">
      <c r="A90" s="1" t="s">
        <v>1197</v>
      </c>
      <c r="B90" s="1" t="s">
        <v>1126</v>
      </c>
      <c r="C90" s="1" t="s">
        <v>1198</v>
      </c>
      <c r="D90">
        <v>0</v>
      </c>
      <c r="E90" s="2">
        <v>46182</v>
      </c>
      <c r="F90" s="1" t="s">
        <v>16</v>
      </c>
      <c r="G90" s="1" t="s">
        <v>1198</v>
      </c>
      <c r="H90" s="1" t="s">
        <v>2</v>
      </c>
      <c r="I90" s="2">
        <v>46177</v>
      </c>
      <c r="J90" s="1" t="s">
        <v>18</v>
      </c>
      <c r="K90" s="1" t="s">
        <v>3044</v>
      </c>
      <c r="L90" s="2">
        <v>46177.92087962963</v>
      </c>
      <c r="M90" s="2">
        <v>46177.921329212964</v>
      </c>
    </row>
    <row r="91" spans="1:13" x14ac:dyDescent="0.35">
      <c r="A91" s="1" t="s">
        <v>1197</v>
      </c>
      <c r="B91" s="1" t="s">
        <v>1126</v>
      </c>
      <c r="C91" s="1" t="s">
        <v>1198</v>
      </c>
      <c r="D91">
        <v>0</v>
      </c>
      <c r="E91" s="2">
        <v>46182</v>
      </c>
      <c r="F91" s="1" t="s">
        <v>16</v>
      </c>
      <c r="G91" s="1" t="s">
        <v>1198</v>
      </c>
      <c r="H91" s="1" t="s">
        <v>2</v>
      </c>
      <c r="I91" s="2">
        <v>46177</v>
      </c>
      <c r="J91" s="1" t="s">
        <v>224</v>
      </c>
      <c r="K91" s="1" t="s">
        <v>5339</v>
      </c>
      <c r="L91" s="2">
        <v>46177.918923611112</v>
      </c>
      <c r="M91" s="2">
        <v>46177.921329212964</v>
      </c>
    </row>
    <row r="92" spans="1:13" x14ac:dyDescent="0.35">
      <c r="A92" s="1" t="s">
        <v>1197</v>
      </c>
      <c r="B92" s="1" t="s">
        <v>1126</v>
      </c>
      <c r="C92" s="1" t="s">
        <v>1198</v>
      </c>
      <c r="D92">
        <v>0</v>
      </c>
      <c r="E92" s="2">
        <v>46182</v>
      </c>
      <c r="F92" s="1" t="s">
        <v>16</v>
      </c>
      <c r="G92" s="1" t="s">
        <v>1198</v>
      </c>
      <c r="H92" s="1" t="s">
        <v>2</v>
      </c>
      <c r="I92" s="2">
        <v>46177</v>
      </c>
      <c r="J92" s="1" t="s">
        <v>215</v>
      </c>
      <c r="K92" s="1" t="s">
        <v>5340</v>
      </c>
      <c r="L92" s="2">
        <v>46177.918923611112</v>
      </c>
      <c r="M92" s="2">
        <v>46177.921329212964</v>
      </c>
    </row>
    <row r="93" spans="1:13" x14ac:dyDescent="0.35">
      <c r="A93" s="1" t="s">
        <v>1197</v>
      </c>
      <c r="B93" s="1" t="s">
        <v>1126</v>
      </c>
      <c r="C93" s="1" t="s">
        <v>1198</v>
      </c>
      <c r="D93">
        <v>0</v>
      </c>
      <c r="E93" s="2">
        <v>46182</v>
      </c>
      <c r="F93" s="1" t="s">
        <v>16</v>
      </c>
      <c r="G93" s="1" t="s">
        <v>1198</v>
      </c>
      <c r="H93" s="1" t="s">
        <v>2</v>
      </c>
      <c r="I93" s="2">
        <v>46177</v>
      </c>
      <c r="J93" s="1" t="s">
        <v>214</v>
      </c>
      <c r="K93" s="1" t="s">
        <v>5339</v>
      </c>
      <c r="L93" s="2">
        <v>46177.918923611112</v>
      </c>
      <c r="M93" s="2">
        <v>46177.921329212964</v>
      </c>
    </row>
    <row r="94" spans="1:13" x14ac:dyDescent="0.35">
      <c r="A94" s="1" t="s">
        <v>1182</v>
      </c>
      <c r="B94" s="1" t="s">
        <v>1126</v>
      </c>
      <c r="C94" s="1" t="s">
        <v>1183</v>
      </c>
      <c r="D94">
        <v>0</v>
      </c>
      <c r="E94" s="2">
        <v>46189</v>
      </c>
      <c r="F94" s="1" t="s">
        <v>16</v>
      </c>
      <c r="G94" s="1" t="s">
        <v>1183</v>
      </c>
      <c r="H94" s="1" t="s">
        <v>2</v>
      </c>
      <c r="I94" s="2">
        <v>46177</v>
      </c>
      <c r="J94" s="1" t="s">
        <v>17</v>
      </c>
      <c r="K94" s="1" t="s">
        <v>2529</v>
      </c>
      <c r="L94" s="2">
        <v>46177.92087962963</v>
      </c>
      <c r="M94" s="2">
        <v>46177.921329212964</v>
      </c>
    </row>
    <row r="95" spans="1:13" x14ac:dyDescent="0.35">
      <c r="A95" s="1" t="s">
        <v>1182</v>
      </c>
      <c r="B95" s="1" t="s">
        <v>1126</v>
      </c>
      <c r="C95" s="1" t="s">
        <v>1183</v>
      </c>
      <c r="D95">
        <v>0</v>
      </c>
      <c r="E95" s="2">
        <v>46189</v>
      </c>
      <c r="F95" s="1" t="s">
        <v>16</v>
      </c>
      <c r="G95" s="1" t="s">
        <v>1183</v>
      </c>
      <c r="H95" s="1" t="s">
        <v>2</v>
      </c>
      <c r="I95" s="2">
        <v>46177</v>
      </c>
      <c r="J95" s="1" t="s">
        <v>18</v>
      </c>
      <c r="K95" s="1" t="s">
        <v>2708</v>
      </c>
      <c r="L95" s="2">
        <v>46177.92087962963</v>
      </c>
      <c r="M95" s="2">
        <v>46177.921329212964</v>
      </c>
    </row>
    <row r="96" spans="1:13" x14ac:dyDescent="0.35">
      <c r="A96" s="1" t="s">
        <v>1139</v>
      </c>
      <c r="B96" s="1" t="s">
        <v>1126</v>
      </c>
      <c r="C96" s="1" t="s">
        <v>1140</v>
      </c>
      <c r="D96">
        <v>0</v>
      </c>
      <c r="E96" s="2">
        <v>46196</v>
      </c>
      <c r="F96" s="1" t="s">
        <v>16</v>
      </c>
      <c r="G96" s="1" t="s">
        <v>1140</v>
      </c>
      <c r="H96" s="1" t="s">
        <v>2</v>
      </c>
      <c r="I96" s="2">
        <v>46177</v>
      </c>
      <c r="J96" s="1" t="s">
        <v>67</v>
      </c>
      <c r="K96" s="1" t="s">
        <v>5359</v>
      </c>
      <c r="L96" s="2">
        <v>46177.918923611112</v>
      </c>
      <c r="M96" s="2">
        <v>46177.921329212964</v>
      </c>
    </row>
    <row r="97" spans="1:13" x14ac:dyDescent="0.35">
      <c r="A97" s="1" t="s">
        <v>1139</v>
      </c>
      <c r="B97" s="1" t="s">
        <v>1126</v>
      </c>
      <c r="C97" s="1" t="s">
        <v>1140</v>
      </c>
      <c r="D97">
        <v>0</v>
      </c>
      <c r="E97" s="2">
        <v>46196</v>
      </c>
      <c r="F97" s="1" t="s">
        <v>16</v>
      </c>
      <c r="G97" s="1" t="s">
        <v>1140</v>
      </c>
      <c r="H97" s="1" t="s">
        <v>2</v>
      </c>
      <c r="I97" s="2">
        <v>46177</v>
      </c>
      <c r="J97" s="1" t="s">
        <v>224</v>
      </c>
      <c r="K97" s="1" t="s">
        <v>5341</v>
      </c>
      <c r="L97" s="2">
        <v>46177.918923611112</v>
      </c>
      <c r="M97" s="2">
        <v>46177.921329212964</v>
      </c>
    </row>
    <row r="98" spans="1:13" x14ac:dyDescent="0.35">
      <c r="A98" s="1" t="s">
        <v>1139</v>
      </c>
      <c r="B98" s="1" t="s">
        <v>1126</v>
      </c>
      <c r="C98" s="1" t="s">
        <v>1140</v>
      </c>
      <c r="D98">
        <v>0</v>
      </c>
      <c r="E98" s="2">
        <v>46196</v>
      </c>
      <c r="F98" s="1" t="s">
        <v>16</v>
      </c>
      <c r="G98" s="1" t="s">
        <v>1140</v>
      </c>
      <c r="H98" s="1" t="s">
        <v>2</v>
      </c>
      <c r="I98" s="2">
        <v>46177</v>
      </c>
      <c r="J98" s="1" t="s">
        <v>17</v>
      </c>
      <c r="K98" s="1" t="s">
        <v>2701</v>
      </c>
      <c r="L98" s="2">
        <v>46177.92087962963</v>
      </c>
      <c r="M98" s="2">
        <v>46177.921329212964</v>
      </c>
    </row>
    <row r="99" spans="1:13" x14ac:dyDescent="0.35">
      <c r="A99" s="1" t="s">
        <v>1139</v>
      </c>
      <c r="B99" s="1" t="s">
        <v>1126</v>
      </c>
      <c r="C99" s="1" t="s">
        <v>1140</v>
      </c>
      <c r="D99">
        <v>0</v>
      </c>
      <c r="E99" s="2">
        <v>46196</v>
      </c>
      <c r="F99" s="1" t="s">
        <v>16</v>
      </c>
      <c r="G99" s="1" t="s">
        <v>1140</v>
      </c>
      <c r="H99" s="1" t="s">
        <v>2</v>
      </c>
      <c r="I99" s="2">
        <v>46177</v>
      </c>
      <c r="J99" s="1" t="s">
        <v>18</v>
      </c>
      <c r="K99" s="1" t="s">
        <v>2630</v>
      </c>
      <c r="L99" s="2">
        <v>46177.92087962963</v>
      </c>
      <c r="M99" s="2">
        <v>46177.921329212964</v>
      </c>
    </row>
    <row r="100" spans="1:13" x14ac:dyDescent="0.35">
      <c r="A100" s="1" t="s">
        <v>1139</v>
      </c>
      <c r="B100" s="1" t="s">
        <v>1126</v>
      </c>
      <c r="C100" s="1" t="s">
        <v>1140</v>
      </c>
      <c r="D100">
        <v>0</v>
      </c>
      <c r="E100" s="2">
        <v>46196</v>
      </c>
      <c r="F100" s="1" t="s">
        <v>16</v>
      </c>
      <c r="G100" s="1" t="s">
        <v>1140</v>
      </c>
      <c r="H100" s="1" t="s">
        <v>2</v>
      </c>
      <c r="I100" s="2">
        <v>46177</v>
      </c>
      <c r="J100" s="1" t="s">
        <v>214</v>
      </c>
      <c r="K100" s="1" t="s">
        <v>5341</v>
      </c>
      <c r="L100" s="2">
        <v>46177.918923611112</v>
      </c>
      <c r="M100" s="2">
        <v>46177.921329212964</v>
      </c>
    </row>
    <row r="101" spans="1:13" x14ac:dyDescent="0.35">
      <c r="A101" s="1" t="s">
        <v>1139</v>
      </c>
      <c r="B101" s="1" t="s">
        <v>1126</v>
      </c>
      <c r="C101" s="1" t="s">
        <v>1140</v>
      </c>
      <c r="D101">
        <v>0</v>
      </c>
      <c r="E101" s="2">
        <v>46196</v>
      </c>
      <c r="F101" s="1" t="s">
        <v>16</v>
      </c>
      <c r="G101" s="1" t="s">
        <v>1140</v>
      </c>
      <c r="H101" s="1" t="s">
        <v>2</v>
      </c>
      <c r="I101" s="2">
        <v>46177</v>
      </c>
      <c r="J101" s="1" t="s">
        <v>215</v>
      </c>
      <c r="K101" s="1" t="s">
        <v>5359</v>
      </c>
      <c r="L101" s="2">
        <v>46177.918923611112</v>
      </c>
      <c r="M101" s="2">
        <v>46177.921329212964</v>
      </c>
    </row>
    <row r="102" spans="1:13" x14ac:dyDescent="0.35">
      <c r="A102" s="1" t="s">
        <v>1141</v>
      </c>
      <c r="B102" s="1" t="s">
        <v>1126</v>
      </c>
      <c r="C102" s="1" t="s">
        <v>1142</v>
      </c>
      <c r="D102">
        <v>0</v>
      </c>
      <c r="E102" s="2">
        <v>46203</v>
      </c>
      <c r="F102" s="1" t="s">
        <v>16</v>
      </c>
      <c r="G102" s="1" t="s">
        <v>1142</v>
      </c>
      <c r="H102" s="1" t="s">
        <v>2</v>
      </c>
      <c r="I102" s="2">
        <v>46177</v>
      </c>
      <c r="J102" s="1" t="s">
        <v>18</v>
      </c>
      <c r="K102" s="1" t="s">
        <v>5360</v>
      </c>
      <c r="L102" s="2">
        <v>46177.92087962963</v>
      </c>
      <c r="M102" s="2">
        <v>46177.921329212964</v>
      </c>
    </row>
    <row r="103" spans="1:13" x14ac:dyDescent="0.35">
      <c r="A103" s="1" t="s">
        <v>1141</v>
      </c>
      <c r="B103" s="1" t="s">
        <v>1126</v>
      </c>
      <c r="C103" s="1" t="s">
        <v>1142</v>
      </c>
      <c r="D103">
        <v>0</v>
      </c>
      <c r="E103" s="2">
        <v>46203</v>
      </c>
      <c r="F103" s="1" t="s">
        <v>16</v>
      </c>
      <c r="G103" s="1" t="s">
        <v>1142</v>
      </c>
      <c r="H103" s="1" t="s">
        <v>2</v>
      </c>
      <c r="I103" s="2">
        <v>46177</v>
      </c>
      <c r="J103" s="1" t="s">
        <v>17</v>
      </c>
      <c r="K103" s="1" t="s">
        <v>3049</v>
      </c>
      <c r="L103" s="2">
        <v>46177.92087962963</v>
      </c>
      <c r="M103" s="2">
        <v>46177.921329212964</v>
      </c>
    </row>
    <row r="104" spans="1:13" x14ac:dyDescent="0.35">
      <c r="A104" s="1" t="s">
        <v>1141</v>
      </c>
      <c r="B104" s="1" t="s">
        <v>1126</v>
      </c>
      <c r="C104" s="1" t="s">
        <v>1142</v>
      </c>
      <c r="D104">
        <v>0</v>
      </c>
      <c r="E104" s="2">
        <v>46203</v>
      </c>
      <c r="F104" s="1" t="s">
        <v>16</v>
      </c>
      <c r="G104" s="1" t="s">
        <v>1142</v>
      </c>
      <c r="H104" s="1" t="s">
        <v>2</v>
      </c>
      <c r="I104" s="2">
        <v>46177</v>
      </c>
      <c r="J104" s="1" t="s">
        <v>224</v>
      </c>
      <c r="K104" s="1" t="s">
        <v>5400</v>
      </c>
      <c r="L104" s="2">
        <v>46177.918923611112</v>
      </c>
      <c r="M104" s="2">
        <v>46177.921329212964</v>
      </c>
    </row>
    <row r="105" spans="1:13" x14ac:dyDescent="0.35">
      <c r="A105" s="1" t="s">
        <v>1141</v>
      </c>
      <c r="B105" s="1" t="s">
        <v>1126</v>
      </c>
      <c r="C105" s="1" t="s">
        <v>1142</v>
      </c>
      <c r="D105">
        <v>0</v>
      </c>
      <c r="E105" s="2">
        <v>46203</v>
      </c>
      <c r="F105" s="1" t="s">
        <v>16</v>
      </c>
      <c r="G105" s="1" t="s">
        <v>1142</v>
      </c>
      <c r="H105" s="1" t="s">
        <v>2</v>
      </c>
      <c r="I105" s="2">
        <v>46177</v>
      </c>
      <c r="J105" s="1" t="s">
        <v>215</v>
      </c>
      <c r="K105" s="1" t="s">
        <v>5417</v>
      </c>
      <c r="L105" s="2">
        <v>46177.918923611112</v>
      </c>
      <c r="M105" s="2">
        <v>46177.921329212964</v>
      </c>
    </row>
    <row r="106" spans="1:13" x14ac:dyDescent="0.35">
      <c r="A106" s="1" t="s">
        <v>1141</v>
      </c>
      <c r="B106" s="1" t="s">
        <v>1126</v>
      </c>
      <c r="C106" s="1" t="s">
        <v>1142</v>
      </c>
      <c r="D106">
        <v>0</v>
      </c>
      <c r="E106" s="2">
        <v>46203</v>
      </c>
      <c r="F106" s="1" t="s">
        <v>16</v>
      </c>
      <c r="G106" s="1" t="s">
        <v>1142</v>
      </c>
      <c r="H106" s="1" t="s">
        <v>2</v>
      </c>
      <c r="I106" s="2">
        <v>46177</v>
      </c>
      <c r="J106" s="1" t="s">
        <v>214</v>
      </c>
      <c r="K106" s="1" t="s">
        <v>5400</v>
      </c>
      <c r="L106" s="2">
        <v>46177.918923611112</v>
      </c>
      <c r="M106" s="2">
        <v>46177.921329212964</v>
      </c>
    </row>
    <row r="107" spans="1:13" x14ac:dyDescent="0.35">
      <c r="A107" s="1" t="s">
        <v>1141</v>
      </c>
      <c r="B107" s="1" t="s">
        <v>1126</v>
      </c>
      <c r="C107" s="1" t="s">
        <v>1142</v>
      </c>
      <c r="D107">
        <v>0</v>
      </c>
      <c r="E107" s="2">
        <v>46203</v>
      </c>
      <c r="F107" s="1" t="s">
        <v>16</v>
      </c>
      <c r="G107" s="1" t="s">
        <v>1142</v>
      </c>
      <c r="H107" s="1" t="s">
        <v>2</v>
      </c>
      <c r="I107" s="2">
        <v>46177</v>
      </c>
      <c r="J107" s="1" t="s">
        <v>67</v>
      </c>
      <c r="K107" s="1" t="s">
        <v>5417</v>
      </c>
      <c r="L107" s="2">
        <v>46177.918923611112</v>
      </c>
      <c r="M107" s="2">
        <v>46177.921329212964</v>
      </c>
    </row>
    <row r="108" spans="1:13" x14ac:dyDescent="0.35">
      <c r="A108" s="1" t="s">
        <v>1143</v>
      </c>
      <c r="B108" s="1" t="s">
        <v>1126</v>
      </c>
      <c r="C108" s="1" t="s">
        <v>1144</v>
      </c>
      <c r="D108">
        <v>0</v>
      </c>
      <c r="E108" s="2">
        <v>46464</v>
      </c>
      <c r="F108" s="1" t="s">
        <v>16</v>
      </c>
      <c r="G108" s="1" t="s">
        <v>1144</v>
      </c>
      <c r="H108" s="1" t="s">
        <v>2</v>
      </c>
      <c r="I108" s="2">
        <v>46177</v>
      </c>
      <c r="J108" s="1" t="s">
        <v>18</v>
      </c>
      <c r="K108" s="1" t="s">
        <v>5442</v>
      </c>
      <c r="L108" s="2">
        <v>46177.92087962963</v>
      </c>
      <c r="M108" s="2">
        <v>46177.921329212964</v>
      </c>
    </row>
    <row r="109" spans="1:13" x14ac:dyDescent="0.35">
      <c r="A109" s="1" t="s">
        <v>1143</v>
      </c>
      <c r="B109" s="1" t="s">
        <v>1126</v>
      </c>
      <c r="C109" s="1" t="s">
        <v>1144</v>
      </c>
      <c r="D109">
        <v>0</v>
      </c>
      <c r="E109" s="2">
        <v>46464</v>
      </c>
      <c r="F109" s="1" t="s">
        <v>16</v>
      </c>
      <c r="G109" s="1" t="s">
        <v>1144</v>
      </c>
      <c r="H109" s="1" t="s">
        <v>2</v>
      </c>
      <c r="I109" s="2">
        <v>46177</v>
      </c>
      <c r="J109" s="1" t="s">
        <v>224</v>
      </c>
      <c r="K109" s="1" t="s">
        <v>5342</v>
      </c>
      <c r="L109" s="2">
        <v>46177.918923611112</v>
      </c>
      <c r="M109" s="2">
        <v>46177.921329212964</v>
      </c>
    </row>
    <row r="110" spans="1:13" x14ac:dyDescent="0.35">
      <c r="A110" s="1" t="s">
        <v>1143</v>
      </c>
      <c r="B110" s="1" t="s">
        <v>1126</v>
      </c>
      <c r="C110" s="1" t="s">
        <v>1144</v>
      </c>
      <c r="D110">
        <v>0</v>
      </c>
      <c r="E110" s="2">
        <v>46464</v>
      </c>
      <c r="F110" s="1" t="s">
        <v>16</v>
      </c>
      <c r="G110" s="1" t="s">
        <v>1144</v>
      </c>
      <c r="H110" s="1" t="s">
        <v>2</v>
      </c>
      <c r="I110" s="2">
        <v>46177</v>
      </c>
      <c r="J110" s="1" t="s">
        <v>215</v>
      </c>
      <c r="K110" s="1" t="s">
        <v>5418</v>
      </c>
      <c r="L110" s="2">
        <v>46177.918923611112</v>
      </c>
      <c r="M110" s="2">
        <v>46177.921329212964</v>
      </c>
    </row>
    <row r="111" spans="1:13" x14ac:dyDescent="0.35">
      <c r="A111" s="1" t="s">
        <v>1143</v>
      </c>
      <c r="B111" s="1" t="s">
        <v>1126</v>
      </c>
      <c r="C111" s="1" t="s">
        <v>1144</v>
      </c>
      <c r="D111">
        <v>0</v>
      </c>
      <c r="E111" s="2">
        <v>46464</v>
      </c>
      <c r="F111" s="1" t="s">
        <v>16</v>
      </c>
      <c r="G111" s="1" t="s">
        <v>1144</v>
      </c>
      <c r="H111" s="1" t="s">
        <v>2</v>
      </c>
      <c r="I111" s="2">
        <v>46177</v>
      </c>
      <c r="J111" s="1" t="s">
        <v>214</v>
      </c>
      <c r="K111" s="1" t="s">
        <v>5342</v>
      </c>
      <c r="L111" s="2">
        <v>46177.918923611112</v>
      </c>
      <c r="M111" s="2">
        <v>46177.921329212964</v>
      </c>
    </row>
    <row r="112" spans="1:13" x14ac:dyDescent="0.35">
      <c r="A112" s="1" t="s">
        <v>1143</v>
      </c>
      <c r="B112" s="1" t="s">
        <v>1126</v>
      </c>
      <c r="C112" s="1" t="s">
        <v>1144</v>
      </c>
      <c r="D112">
        <v>0</v>
      </c>
      <c r="E112" s="2">
        <v>46464</v>
      </c>
      <c r="F112" s="1" t="s">
        <v>16</v>
      </c>
      <c r="G112" s="1" t="s">
        <v>1144</v>
      </c>
      <c r="H112" s="1" t="s">
        <v>2</v>
      </c>
      <c r="I112" s="2">
        <v>46177</v>
      </c>
      <c r="J112" s="1" t="s">
        <v>67</v>
      </c>
      <c r="K112" s="1" t="s">
        <v>5418</v>
      </c>
      <c r="L112" s="2">
        <v>46177.918923611112</v>
      </c>
      <c r="M112" s="2">
        <v>46177.921329212964</v>
      </c>
    </row>
    <row r="113" spans="1:13" x14ac:dyDescent="0.35">
      <c r="A113" s="1" t="s">
        <v>1143</v>
      </c>
      <c r="B113" s="1" t="s">
        <v>1126</v>
      </c>
      <c r="C113" s="1" t="s">
        <v>1144</v>
      </c>
      <c r="D113">
        <v>0</v>
      </c>
      <c r="E113" s="2">
        <v>46464</v>
      </c>
      <c r="F113" s="1" t="s">
        <v>16</v>
      </c>
      <c r="G113" s="1" t="s">
        <v>1144</v>
      </c>
      <c r="H113" s="1" t="s">
        <v>2</v>
      </c>
      <c r="I113" s="2">
        <v>46177</v>
      </c>
      <c r="J113" s="1" t="s">
        <v>17</v>
      </c>
      <c r="K113" s="1" t="s">
        <v>2996</v>
      </c>
      <c r="L113" s="2">
        <v>46177.92087962963</v>
      </c>
      <c r="M113" s="2">
        <v>46177.921329212964</v>
      </c>
    </row>
    <row r="114" spans="1:13" x14ac:dyDescent="0.35">
      <c r="A114" s="1" t="s">
        <v>1145</v>
      </c>
      <c r="B114" s="1" t="s">
        <v>1126</v>
      </c>
      <c r="C114" s="1" t="s">
        <v>1146</v>
      </c>
      <c r="D114">
        <v>0</v>
      </c>
      <c r="E114" s="2">
        <v>46492</v>
      </c>
      <c r="F114" s="1" t="s">
        <v>16</v>
      </c>
      <c r="G114" s="1" t="s">
        <v>1146</v>
      </c>
      <c r="H114" s="1" t="s">
        <v>2</v>
      </c>
      <c r="I114" s="2">
        <v>46177</v>
      </c>
      <c r="J114" s="1" t="s">
        <v>67</v>
      </c>
      <c r="K114" s="1" t="s">
        <v>5343</v>
      </c>
      <c r="L114" s="2">
        <v>46177.918923611112</v>
      </c>
      <c r="M114" s="2">
        <v>46177.921329212964</v>
      </c>
    </row>
    <row r="115" spans="1:13" x14ac:dyDescent="0.35">
      <c r="A115" s="1" t="s">
        <v>1145</v>
      </c>
      <c r="B115" s="1" t="s">
        <v>1126</v>
      </c>
      <c r="C115" s="1" t="s">
        <v>1146</v>
      </c>
      <c r="D115">
        <v>0</v>
      </c>
      <c r="E115" s="2">
        <v>46492</v>
      </c>
      <c r="F115" s="1" t="s">
        <v>16</v>
      </c>
      <c r="G115" s="1" t="s">
        <v>1146</v>
      </c>
      <c r="H115" s="1" t="s">
        <v>2</v>
      </c>
      <c r="I115" s="2">
        <v>46177</v>
      </c>
      <c r="J115" s="1" t="s">
        <v>224</v>
      </c>
      <c r="K115" s="1" t="s">
        <v>5344</v>
      </c>
      <c r="L115" s="2">
        <v>46177.918923611112</v>
      </c>
      <c r="M115" s="2">
        <v>46177.921329212964</v>
      </c>
    </row>
    <row r="116" spans="1:13" x14ac:dyDescent="0.35">
      <c r="A116" s="1" t="s">
        <v>1145</v>
      </c>
      <c r="B116" s="1" t="s">
        <v>1126</v>
      </c>
      <c r="C116" s="1" t="s">
        <v>1146</v>
      </c>
      <c r="D116">
        <v>0</v>
      </c>
      <c r="E116" s="2">
        <v>46492</v>
      </c>
      <c r="F116" s="1" t="s">
        <v>16</v>
      </c>
      <c r="G116" s="1" t="s">
        <v>1146</v>
      </c>
      <c r="H116" s="1" t="s">
        <v>2</v>
      </c>
      <c r="I116" s="2">
        <v>46177</v>
      </c>
      <c r="J116" s="1" t="s">
        <v>215</v>
      </c>
      <c r="K116" s="1" t="s">
        <v>5343</v>
      </c>
      <c r="L116" s="2">
        <v>46177.918923611112</v>
      </c>
      <c r="M116" s="2">
        <v>46177.921329212964</v>
      </c>
    </row>
    <row r="117" spans="1:13" x14ac:dyDescent="0.35">
      <c r="A117" s="1" t="s">
        <v>1145</v>
      </c>
      <c r="B117" s="1" t="s">
        <v>1126</v>
      </c>
      <c r="C117" s="1" t="s">
        <v>1146</v>
      </c>
      <c r="D117">
        <v>0</v>
      </c>
      <c r="E117" s="2">
        <v>46492</v>
      </c>
      <c r="F117" s="1" t="s">
        <v>16</v>
      </c>
      <c r="G117" s="1" t="s">
        <v>1146</v>
      </c>
      <c r="H117" s="1" t="s">
        <v>2</v>
      </c>
      <c r="I117" s="2">
        <v>46177</v>
      </c>
      <c r="J117" s="1" t="s">
        <v>214</v>
      </c>
      <c r="K117" s="1" t="s">
        <v>5344</v>
      </c>
      <c r="L117" s="2">
        <v>46177.918923611112</v>
      </c>
      <c r="M117" s="2">
        <v>46177.921329212964</v>
      </c>
    </row>
    <row r="118" spans="1:13" x14ac:dyDescent="0.35">
      <c r="A118" s="1" t="s">
        <v>1145</v>
      </c>
      <c r="B118" s="1" t="s">
        <v>1126</v>
      </c>
      <c r="C118" s="1" t="s">
        <v>1146</v>
      </c>
      <c r="D118">
        <v>0</v>
      </c>
      <c r="E118" s="2">
        <v>46492</v>
      </c>
      <c r="F118" s="1" t="s">
        <v>16</v>
      </c>
      <c r="G118" s="1" t="s">
        <v>1146</v>
      </c>
      <c r="H118" s="1" t="s">
        <v>2</v>
      </c>
      <c r="I118" s="2">
        <v>46177</v>
      </c>
      <c r="J118" s="1" t="s">
        <v>17</v>
      </c>
      <c r="K118" s="1" t="s">
        <v>5427</v>
      </c>
      <c r="L118" s="2">
        <v>46177.92087962963</v>
      </c>
      <c r="M118" s="2">
        <v>46177.921329212964</v>
      </c>
    </row>
    <row r="119" spans="1:13" x14ac:dyDescent="0.35">
      <c r="A119" s="1" t="s">
        <v>1145</v>
      </c>
      <c r="B119" s="1" t="s">
        <v>1126</v>
      </c>
      <c r="C119" s="1" t="s">
        <v>1146</v>
      </c>
      <c r="D119">
        <v>0</v>
      </c>
      <c r="E119" s="2">
        <v>46492</v>
      </c>
      <c r="F119" s="1" t="s">
        <v>16</v>
      </c>
      <c r="G119" s="1" t="s">
        <v>1146</v>
      </c>
      <c r="H119" s="1" t="s">
        <v>2</v>
      </c>
      <c r="I119" s="2">
        <v>46177</v>
      </c>
      <c r="J119" s="1" t="s">
        <v>18</v>
      </c>
      <c r="K119" s="1" t="s">
        <v>5446</v>
      </c>
      <c r="L119" s="2">
        <v>46177.92087962963</v>
      </c>
      <c r="M119" s="2">
        <v>46177.921329212964</v>
      </c>
    </row>
    <row r="120" spans="1:13" x14ac:dyDescent="0.35">
      <c r="A120" s="1" t="s">
        <v>1172</v>
      </c>
      <c r="B120" s="1" t="s">
        <v>1126</v>
      </c>
      <c r="C120" s="1" t="s">
        <v>1173</v>
      </c>
      <c r="D120">
        <v>0</v>
      </c>
      <c r="E120" s="2">
        <v>46275</v>
      </c>
      <c r="F120" s="1" t="s">
        <v>16</v>
      </c>
      <c r="G120" s="1" t="s">
        <v>1173</v>
      </c>
      <c r="H120" s="1" t="s">
        <v>2</v>
      </c>
      <c r="I120" s="2">
        <v>46177</v>
      </c>
      <c r="J120" s="1" t="s">
        <v>67</v>
      </c>
      <c r="K120" s="1" t="s">
        <v>5401</v>
      </c>
      <c r="L120" s="2">
        <v>46177.918923611112</v>
      </c>
      <c r="M120" s="2">
        <v>46177.921329212964</v>
      </c>
    </row>
    <row r="121" spans="1:13" x14ac:dyDescent="0.35">
      <c r="A121" s="1" t="s">
        <v>1172</v>
      </c>
      <c r="B121" s="1" t="s">
        <v>1126</v>
      </c>
      <c r="C121" s="1" t="s">
        <v>1173</v>
      </c>
      <c r="D121">
        <v>0</v>
      </c>
      <c r="E121" s="2">
        <v>46275</v>
      </c>
      <c r="F121" s="1" t="s">
        <v>16</v>
      </c>
      <c r="G121" s="1" t="s">
        <v>1173</v>
      </c>
      <c r="H121" s="1" t="s">
        <v>2</v>
      </c>
      <c r="I121" s="2">
        <v>46177</v>
      </c>
      <c r="J121" s="1" t="s">
        <v>17</v>
      </c>
      <c r="K121" s="1" t="s">
        <v>5443</v>
      </c>
      <c r="L121" s="2">
        <v>46177.92087962963</v>
      </c>
      <c r="M121" s="2">
        <v>46177.921329212964</v>
      </c>
    </row>
    <row r="122" spans="1:13" x14ac:dyDescent="0.35">
      <c r="A122" s="1" t="s">
        <v>1172</v>
      </c>
      <c r="B122" s="1" t="s">
        <v>1126</v>
      </c>
      <c r="C122" s="1" t="s">
        <v>1173</v>
      </c>
      <c r="D122">
        <v>0</v>
      </c>
      <c r="E122" s="2">
        <v>46275</v>
      </c>
      <c r="F122" s="1" t="s">
        <v>16</v>
      </c>
      <c r="G122" s="1" t="s">
        <v>1173</v>
      </c>
      <c r="H122" s="1" t="s">
        <v>2</v>
      </c>
      <c r="I122" s="2">
        <v>46177</v>
      </c>
      <c r="J122" s="1" t="s">
        <v>224</v>
      </c>
      <c r="K122" s="1" t="s">
        <v>5444</v>
      </c>
      <c r="L122" s="2">
        <v>46177.918923611112</v>
      </c>
      <c r="M122" s="2">
        <v>46177.921329212964</v>
      </c>
    </row>
    <row r="123" spans="1:13" x14ac:dyDescent="0.35">
      <c r="A123" s="1" t="s">
        <v>1172</v>
      </c>
      <c r="B123" s="1" t="s">
        <v>1126</v>
      </c>
      <c r="C123" s="1" t="s">
        <v>1173</v>
      </c>
      <c r="D123">
        <v>0</v>
      </c>
      <c r="E123" s="2">
        <v>46275</v>
      </c>
      <c r="F123" s="1" t="s">
        <v>16</v>
      </c>
      <c r="G123" s="1" t="s">
        <v>1173</v>
      </c>
      <c r="H123" s="1" t="s">
        <v>2</v>
      </c>
      <c r="I123" s="2">
        <v>46177</v>
      </c>
      <c r="J123" s="1" t="s">
        <v>18</v>
      </c>
      <c r="K123" s="1" t="s">
        <v>5381</v>
      </c>
      <c r="L123" s="2">
        <v>46177.92087962963</v>
      </c>
      <c r="M123" s="2">
        <v>46177.921329212964</v>
      </c>
    </row>
    <row r="124" spans="1:13" x14ac:dyDescent="0.35">
      <c r="A124" s="1" t="s">
        <v>1172</v>
      </c>
      <c r="B124" s="1" t="s">
        <v>1126</v>
      </c>
      <c r="C124" s="1" t="s">
        <v>1173</v>
      </c>
      <c r="D124">
        <v>0</v>
      </c>
      <c r="E124" s="2">
        <v>46275</v>
      </c>
      <c r="F124" s="1" t="s">
        <v>16</v>
      </c>
      <c r="G124" s="1" t="s">
        <v>1173</v>
      </c>
      <c r="H124" s="1" t="s">
        <v>2</v>
      </c>
      <c r="I124" s="2">
        <v>46177</v>
      </c>
      <c r="J124" s="1" t="s">
        <v>215</v>
      </c>
      <c r="K124" s="1" t="s">
        <v>5401</v>
      </c>
      <c r="L124" s="2">
        <v>46177.918923611112</v>
      </c>
      <c r="M124" s="2">
        <v>46177.921329212964</v>
      </c>
    </row>
    <row r="125" spans="1:13" x14ac:dyDescent="0.35">
      <c r="A125" s="1" t="s">
        <v>1172</v>
      </c>
      <c r="B125" s="1" t="s">
        <v>1126</v>
      </c>
      <c r="C125" s="1" t="s">
        <v>1173</v>
      </c>
      <c r="D125">
        <v>0</v>
      </c>
      <c r="E125" s="2">
        <v>46275</v>
      </c>
      <c r="F125" s="1" t="s">
        <v>16</v>
      </c>
      <c r="G125" s="1" t="s">
        <v>1173</v>
      </c>
      <c r="H125" s="1" t="s">
        <v>2</v>
      </c>
      <c r="I125" s="2">
        <v>46177</v>
      </c>
      <c r="J125" s="1" t="s">
        <v>214</v>
      </c>
      <c r="K125" s="1" t="s">
        <v>5444</v>
      </c>
      <c r="L125" s="2">
        <v>46177.918923611112</v>
      </c>
      <c r="M125" s="2">
        <v>46177.921329212964</v>
      </c>
    </row>
    <row r="126" spans="1:13" x14ac:dyDescent="0.35">
      <c r="A126" s="1" t="s">
        <v>1174</v>
      </c>
      <c r="B126" s="1" t="s">
        <v>1126</v>
      </c>
      <c r="C126" s="1" t="s">
        <v>1175</v>
      </c>
      <c r="D126">
        <v>0</v>
      </c>
      <c r="E126" s="2">
        <v>46282</v>
      </c>
      <c r="F126" s="1" t="s">
        <v>16</v>
      </c>
      <c r="G126" s="1" t="s">
        <v>1175</v>
      </c>
      <c r="H126" s="1" t="s">
        <v>2</v>
      </c>
      <c r="I126" s="2">
        <v>46177</v>
      </c>
      <c r="J126" s="1" t="s">
        <v>17</v>
      </c>
      <c r="K126" s="1" t="s">
        <v>5361</v>
      </c>
      <c r="L126" s="2">
        <v>46177.92087962963</v>
      </c>
      <c r="M126" s="2">
        <v>46177.921329212964</v>
      </c>
    </row>
    <row r="127" spans="1:13" x14ac:dyDescent="0.35">
      <c r="A127" s="1" t="s">
        <v>1174</v>
      </c>
      <c r="B127" s="1" t="s">
        <v>1126</v>
      </c>
      <c r="C127" s="1" t="s">
        <v>1175</v>
      </c>
      <c r="D127">
        <v>0</v>
      </c>
      <c r="E127" s="2">
        <v>46282</v>
      </c>
      <c r="F127" s="1" t="s">
        <v>16</v>
      </c>
      <c r="G127" s="1" t="s">
        <v>1175</v>
      </c>
      <c r="H127" s="1" t="s">
        <v>2</v>
      </c>
      <c r="I127" s="2">
        <v>46177</v>
      </c>
      <c r="J127" s="1" t="s">
        <v>67</v>
      </c>
      <c r="K127" s="1" t="s">
        <v>5383</v>
      </c>
      <c r="L127" s="2">
        <v>46177.918923611112</v>
      </c>
      <c r="M127" s="2">
        <v>46177.921329212964</v>
      </c>
    </row>
    <row r="128" spans="1:13" x14ac:dyDescent="0.35">
      <c r="A128" s="1" t="s">
        <v>1174</v>
      </c>
      <c r="B128" s="1" t="s">
        <v>1126</v>
      </c>
      <c r="C128" s="1" t="s">
        <v>1175</v>
      </c>
      <c r="D128">
        <v>0</v>
      </c>
      <c r="E128" s="2">
        <v>46282</v>
      </c>
      <c r="F128" s="1" t="s">
        <v>16</v>
      </c>
      <c r="G128" s="1" t="s">
        <v>1175</v>
      </c>
      <c r="H128" s="1" t="s">
        <v>2</v>
      </c>
      <c r="I128" s="2">
        <v>46177</v>
      </c>
      <c r="J128" s="1" t="s">
        <v>224</v>
      </c>
      <c r="K128" s="1" t="s">
        <v>5382</v>
      </c>
      <c r="L128" s="2">
        <v>46177.918923611112</v>
      </c>
      <c r="M128" s="2">
        <v>46177.921329212964</v>
      </c>
    </row>
    <row r="129" spans="1:13" x14ac:dyDescent="0.35">
      <c r="A129" s="1" t="s">
        <v>1174</v>
      </c>
      <c r="B129" s="1" t="s">
        <v>1126</v>
      </c>
      <c r="C129" s="1" t="s">
        <v>1175</v>
      </c>
      <c r="D129">
        <v>0</v>
      </c>
      <c r="E129" s="2">
        <v>46282</v>
      </c>
      <c r="F129" s="1" t="s">
        <v>16</v>
      </c>
      <c r="G129" s="1" t="s">
        <v>1175</v>
      </c>
      <c r="H129" s="1" t="s">
        <v>2</v>
      </c>
      <c r="I129" s="2">
        <v>46177</v>
      </c>
      <c r="J129" s="1" t="s">
        <v>214</v>
      </c>
      <c r="K129" s="1" t="s">
        <v>5382</v>
      </c>
      <c r="L129" s="2">
        <v>46177.918923611112</v>
      </c>
      <c r="M129" s="2">
        <v>46177.921329212964</v>
      </c>
    </row>
    <row r="130" spans="1:13" x14ac:dyDescent="0.35">
      <c r="A130" s="1" t="s">
        <v>1174</v>
      </c>
      <c r="B130" s="1" t="s">
        <v>1126</v>
      </c>
      <c r="C130" s="1" t="s">
        <v>1175</v>
      </c>
      <c r="D130">
        <v>0</v>
      </c>
      <c r="E130" s="2">
        <v>46282</v>
      </c>
      <c r="F130" s="1" t="s">
        <v>16</v>
      </c>
      <c r="G130" s="1" t="s">
        <v>1175</v>
      </c>
      <c r="H130" s="1" t="s">
        <v>2</v>
      </c>
      <c r="I130" s="2">
        <v>46177</v>
      </c>
      <c r="J130" s="1" t="s">
        <v>215</v>
      </c>
      <c r="K130" s="1" t="s">
        <v>5383</v>
      </c>
      <c r="L130" s="2">
        <v>46177.918923611112</v>
      </c>
      <c r="M130" s="2">
        <v>46177.921329212964</v>
      </c>
    </row>
    <row r="131" spans="1:13" x14ac:dyDescent="0.35">
      <c r="A131" s="1" t="s">
        <v>1174</v>
      </c>
      <c r="B131" s="1" t="s">
        <v>1126</v>
      </c>
      <c r="C131" s="1" t="s">
        <v>1175</v>
      </c>
      <c r="D131">
        <v>0</v>
      </c>
      <c r="E131" s="2">
        <v>46282</v>
      </c>
      <c r="F131" s="1" t="s">
        <v>16</v>
      </c>
      <c r="G131" s="1" t="s">
        <v>1175</v>
      </c>
      <c r="H131" s="1" t="s">
        <v>2</v>
      </c>
      <c r="I131" s="2">
        <v>46177</v>
      </c>
      <c r="J131" s="1" t="s">
        <v>18</v>
      </c>
      <c r="K131" s="1" t="s">
        <v>5428</v>
      </c>
      <c r="L131" s="2">
        <v>46177.92087962963</v>
      </c>
      <c r="M131" s="2">
        <v>46177.921329212964</v>
      </c>
    </row>
    <row r="132" spans="1:13" x14ac:dyDescent="0.35">
      <c r="A132" s="1" t="s">
        <v>1147</v>
      </c>
      <c r="B132" s="1" t="s">
        <v>1126</v>
      </c>
      <c r="C132" s="1" t="s">
        <v>1148</v>
      </c>
      <c r="D132">
        <v>0</v>
      </c>
      <c r="E132" s="2">
        <v>46289</v>
      </c>
      <c r="F132" s="1" t="s">
        <v>16</v>
      </c>
      <c r="G132" s="1" t="s">
        <v>1148</v>
      </c>
      <c r="H132" s="1" t="s">
        <v>2</v>
      </c>
      <c r="I132" s="2">
        <v>46177</v>
      </c>
      <c r="J132" s="1" t="s">
        <v>214</v>
      </c>
      <c r="K132" s="1" t="s">
        <v>5402</v>
      </c>
      <c r="L132" s="2">
        <v>46177.918923611112</v>
      </c>
      <c r="M132" s="2">
        <v>46177.921329212964</v>
      </c>
    </row>
    <row r="133" spans="1:13" x14ac:dyDescent="0.35">
      <c r="A133" s="1" t="s">
        <v>1147</v>
      </c>
      <c r="B133" s="1" t="s">
        <v>1126</v>
      </c>
      <c r="C133" s="1" t="s">
        <v>1148</v>
      </c>
      <c r="D133">
        <v>0</v>
      </c>
      <c r="E133" s="2">
        <v>46289</v>
      </c>
      <c r="F133" s="1" t="s">
        <v>16</v>
      </c>
      <c r="G133" s="1" t="s">
        <v>1148</v>
      </c>
      <c r="H133" s="1" t="s">
        <v>2</v>
      </c>
      <c r="I133" s="2">
        <v>46177</v>
      </c>
      <c r="J133" s="1" t="s">
        <v>18</v>
      </c>
      <c r="K133" s="1" t="s">
        <v>5445</v>
      </c>
      <c r="L133" s="2">
        <v>46177.92087962963</v>
      </c>
      <c r="M133" s="2">
        <v>46177.921329212964</v>
      </c>
    </row>
    <row r="134" spans="1:13" x14ac:dyDescent="0.35">
      <c r="A134" s="1" t="s">
        <v>1147</v>
      </c>
      <c r="B134" s="1" t="s">
        <v>1126</v>
      </c>
      <c r="C134" s="1" t="s">
        <v>1148</v>
      </c>
      <c r="D134">
        <v>0</v>
      </c>
      <c r="E134" s="2">
        <v>46289</v>
      </c>
      <c r="F134" s="1" t="s">
        <v>16</v>
      </c>
      <c r="G134" s="1" t="s">
        <v>1148</v>
      </c>
      <c r="H134" s="1" t="s">
        <v>2</v>
      </c>
      <c r="I134" s="2">
        <v>46177</v>
      </c>
      <c r="J134" s="1" t="s">
        <v>67</v>
      </c>
      <c r="K134" s="1" t="s">
        <v>5345</v>
      </c>
      <c r="L134" s="2">
        <v>46177.918923611112</v>
      </c>
      <c r="M134" s="2">
        <v>46177.921329212964</v>
      </c>
    </row>
    <row r="135" spans="1:13" x14ac:dyDescent="0.35">
      <c r="A135" s="1" t="s">
        <v>1147</v>
      </c>
      <c r="B135" s="1" t="s">
        <v>1126</v>
      </c>
      <c r="C135" s="1" t="s">
        <v>1148</v>
      </c>
      <c r="D135">
        <v>0</v>
      </c>
      <c r="E135" s="2">
        <v>46289</v>
      </c>
      <c r="F135" s="1" t="s">
        <v>16</v>
      </c>
      <c r="G135" s="1" t="s">
        <v>1148</v>
      </c>
      <c r="H135" s="1" t="s">
        <v>2</v>
      </c>
      <c r="I135" s="2">
        <v>46177</v>
      </c>
      <c r="J135" s="1" t="s">
        <v>17</v>
      </c>
      <c r="K135" s="1" t="s">
        <v>5387</v>
      </c>
      <c r="L135" s="2">
        <v>46177.92087962963</v>
      </c>
      <c r="M135" s="2">
        <v>46177.921329212964</v>
      </c>
    </row>
    <row r="136" spans="1:13" x14ac:dyDescent="0.35">
      <c r="A136" s="1" t="s">
        <v>1147</v>
      </c>
      <c r="B136" s="1" t="s">
        <v>1126</v>
      </c>
      <c r="C136" s="1" t="s">
        <v>1148</v>
      </c>
      <c r="D136">
        <v>0</v>
      </c>
      <c r="E136" s="2">
        <v>46289</v>
      </c>
      <c r="F136" s="1" t="s">
        <v>16</v>
      </c>
      <c r="G136" s="1" t="s">
        <v>1148</v>
      </c>
      <c r="H136" s="1" t="s">
        <v>2</v>
      </c>
      <c r="I136" s="2">
        <v>46177</v>
      </c>
      <c r="J136" s="1" t="s">
        <v>224</v>
      </c>
      <c r="K136" s="1" t="s">
        <v>5402</v>
      </c>
      <c r="L136" s="2">
        <v>46177.918923611112</v>
      </c>
      <c r="M136" s="2">
        <v>46177.921329212964</v>
      </c>
    </row>
    <row r="137" spans="1:13" x14ac:dyDescent="0.35">
      <c r="A137" s="1" t="s">
        <v>1147</v>
      </c>
      <c r="B137" s="1" t="s">
        <v>1126</v>
      </c>
      <c r="C137" s="1" t="s">
        <v>1148</v>
      </c>
      <c r="D137">
        <v>0</v>
      </c>
      <c r="E137" s="2">
        <v>46289</v>
      </c>
      <c r="F137" s="1" t="s">
        <v>16</v>
      </c>
      <c r="G137" s="1" t="s">
        <v>1148</v>
      </c>
      <c r="H137" s="1" t="s">
        <v>2</v>
      </c>
      <c r="I137" s="2">
        <v>46177</v>
      </c>
      <c r="J137" s="1" t="s">
        <v>215</v>
      </c>
      <c r="K137" s="1" t="s">
        <v>5345</v>
      </c>
      <c r="L137" s="2">
        <v>46177.918923611112</v>
      </c>
      <c r="M137" s="2">
        <v>46177.921329212964</v>
      </c>
    </row>
    <row r="138" spans="1:13" x14ac:dyDescent="0.35">
      <c r="A138" s="1" t="s">
        <v>1149</v>
      </c>
      <c r="B138" s="1" t="s">
        <v>1126</v>
      </c>
      <c r="C138" s="1" t="s">
        <v>1150</v>
      </c>
      <c r="D138">
        <v>0</v>
      </c>
      <c r="E138" s="2">
        <v>46303</v>
      </c>
      <c r="F138" s="1" t="s">
        <v>16</v>
      </c>
      <c r="G138" s="1" t="s">
        <v>1150</v>
      </c>
      <c r="H138" s="1" t="s">
        <v>2</v>
      </c>
      <c r="I138" s="2">
        <v>46177</v>
      </c>
      <c r="J138" s="1" t="s">
        <v>18</v>
      </c>
      <c r="K138" s="1" t="s">
        <v>2632</v>
      </c>
      <c r="L138" s="2">
        <v>46177.92087962963</v>
      </c>
      <c r="M138" s="2">
        <v>46177.921329212964</v>
      </c>
    </row>
    <row r="139" spans="1:13" x14ac:dyDescent="0.35">
      <c r="A139" s="1" t="s">
        <v>1149</v>
      </c>
      <c r="B139" s="1" t="s">
        <v>1126</v>
      </c>
      <c r="C139" s="1" t="s">
        <v>1150</v>
      </c>
      <c r="D139">
        <v>0</v>
      </c>
      <c r="E139" s="2">
        <v>46303</v>
      </c>
      <c r="F139" s="1" t="s">
        <v>16</v>
      </c>
      <c r="G139" s="1" t="s">
        <v>1150</v>
      </c>
      <c r="H139" s="1" t="s">
        <v>2</v>
      </c>
      <c r="I139" s="2">
        <v>46177</v>
      </c>
      <c r="J139" s="1" t="s">
        <v>214</v>
      </c>
      <c r="K139" s="1" t="s">
        <v>5362</v>
      </c>
      <c r="L139" s="2">
        <v>46177.918923611112</v>
      </c>
      <c r="M139" s="2">
        <v>46177.921329212964</v>
      </c>
    </row>
    <row r="140" spans="1:13" x14ac:dyDescent="0.35">
      <c r="A140" s="1" t="s">
        <v>1149</v>
      </c>
      <c r="B140" s="1" t="s">
        <v>1126</v>
      </c>
      <c r="C140" s="1" t="s">
        <v>1150</v>
      </c>
      <c r="D140">
        <v>0</v>
      </c>
      <c r="E140" s="2">
        <v>46303</v>
      </c>
      <c r="F140" s="1" t="s">
        <v>16</v>
      </c>
      <c r="G140" s="1" t="s">
        <v>1150</v>
      </c>
      <c r="H140" s="1" t="s">
        <v>2</v>
      </c>
      <c r="I140" s="2">
        <v>46177</v>
      </c>
      <c r="J140" s="1" t="s">
        <v>67</v>
      </c>
      <c r="K140" s="1" t="s">
        <v>5363</v>
      </c>
      <c r="L140" s="2">
        <v>46177.918923611112</v>
      </c>
      <c r="M140" s="2">
        <v>46177.921329212964</v>
      </c>
    </row>
    <row r="141" spans="1:13" x14ac:dyDescent="0.35">
      <c r="A141" s="1" t="s">
        <v>1149</v>
      </c>
      <c r="B141" s="1" t="s">
        <v>1126</v>
      </c>
      <c r="C141" s="1" t="s">
        <v>1150</v>
      </c>
      <c r="D141">
        <v>0</v>
      </c>
      <c r="E141" s="2">
        <v>46303</v>
      </c>
      <c r="F141" s="1" t="s">
        <v>16</v>
      </c>
      <c r="G141" s="1" t="s">
        <v>1150</v>
      </c>
      <c r="H141" s="1" t="s">
        <v>2</v>
      </c>
      <c r="I141" s="2">
        <v>46177</v>
      </c>
      <c r="J141" s="1" t="s">
        <v>224</v>
      </c>
      <c r="K141" s="1" t="s">
        <v>5362</v>
      </c>
      <c r="L141" s="2">
        <v>46177.918923611112</v>
      </c>
      <c r="M141" s="2">
        <v>46177.921329212964</v>
      </c>
    </row>
    <row r="142" spans="1:13" x14ac:dyDescent="0.35">
      <c r="A142" s="1" t="s">
        <v>1149</v>
      </c>
      <c r="B142" s="1" t="s">
        <v>1126</v>
      </c>
      <c r="C142" s="1" t="s">
        <v>1150</v>
      </c>
      <c r="D142">
        <v>0</v>
      </c>
      <c r="E142" s="2">
        <v>46303</v>
      </c>
      <c r="F142" s="1" t="s">
        <v>16</v>
      </c>
      <c r="G142" s="1" t="s">
        <v>1150</v>
      </c>
      <c r="H142" s="1" t="s">
        <v>2</v>
      </c>
      <c r="I142" s="2">
        <v>46177</v>
      </c>
      <c r="J142" s="1" t="s">
        <v>17</v>
      </c>
      <c r="K142" s="1" t="s">
        <v>2634</v>
      </c>
      <c r="L142" s="2">
        <v>46177.92087962963</v>
      </c>
      <c r="M142" s="2">
        <v>46177.921329212964</v>
      </c>
    </row>
    <row r="143" spans="1:13" x14ac:dyDescent="0.35">
      <c r="A143" s="1" t="s">
        <v>1149</v>
      </c>
      <c r="B143" s="1" t="s">
        <v>1126</v>
      </c>
      <c r="C143" s="1" t="s">
        <v>1150</v>
      </c>
      <c r="D143">
        <v>0</v>
      </c>
      <c r="E143" s="2">
        <v>46303</v>
      </c>
      <c r="F143" s="1" t="s">
        <v>16</v>
      </c>
      <c r="G143" s="1" t="s">
        <v>1150</v>
      </c>
      <c r="H143" s="1" t="s">
        <v>2</v>
      </c>
      <c r="I143" s="2">
        <v>46177</v>
      </c>
      <c r="J143" s="1" t="s">
        <v>215</v>
      </c>
      <c r="K143" s="1" t="s">
        <v>5363</v>
      </c>
      <c r="L143" s="2">
        <v>46177.918923611112</v>
      </c>
      <c r="M143" s="2">
        <v>46177.921329212964</v>
      </c>
    </row>
    <row r="144" spans="1:13" x14ac:dyDescent="0.35">
      <c r="A144" s="1" t="s">
        <v>1151</v>
      </c>
      <c r="B144" s="1" t="s">
        <v>1126</v>
      </c>
      <c r="C144" s="1" t="s">
        <v>1152</v>
      </c>
      <c r="D144">
        <v>0</v>
      </c>
      <c r="E144" s="2">
        <v>46310</v>
      </c>
      <c r="F144" s="1" t="s">
        <v>16</v>
      </c>
      <c r="G144" s="1" t="s">
        <v>1152</v>
      </c>
      <c r="H144" s="1" t="s">
        <v>2</v>
      </c>
      <c r="I144" s="2">
        <v>46177</v>
      </c>
      <c r="J144" s="1" t="s">
        <v>224</v>
      </c>
      <c r="K144" s="1" t="s">
        <v>5364</v>
      </c>
      <c r="L144" s="2">
        <v>46177.918923611112</v>
      </c>
      <c r="M144" s="2">
        <v>46177.921329212964</v>
      </c>
    </row>
    <row r="145" spans="1:13" x14ac:dyDescent="0.35">
      <c r="A145" s="1" t="s">
        <v>1151</v>
      </c>
      <c r="B145" s="1" t="s">
        <v>1126</v>
      </c>
      <c r="C145" s="1" t="s">
        <v>1152</v>
      </c>
      <c r="D145">
        <v>0</v>
      </c>
      <c r="E145" s="2">
        <v>46310</v>
      </c>
      <c r="F145" s="1" t="s">
        <v>16</v>
      </c>
      <c r="G145" s="1" t="s">
        <v>1152</v>
      </c>
      <c r="H145" s="1" t="s">
        <v>2</v>
      </c>
      <c r="I145" s="2">
        <v>46177</v>
      </c>
      <c r="J145" s="1" t="s">
        <v>17</v>
      </c>
      <c r="K145" s="1" t="s">
        <v>3048</v>
      </c>
      <c r="L145" s="2">
        <v>46177.92087962963</v>
      </c>
      <c r="M145" s="2">
        <v>46177.921329212964</v>
      </c>
    </row>
    <row r="146" spans="1:13" x14ac:dyDescent="0.35">
      <c r="A146" s="1" t="s">
        <v>1151</v>
      </c>
      <c r="B146" s="1" t="s">
        <v>1126</v>
      </c>
      <c r="C146" s="1" t="s">
        <v>1152</v>
      </c>
      <c r="D146">
        <v>0</v>
      </c>
      <c r="E146" s="2">
        <v>46310</v>
      </c>
      <c r="F146" s="1" t="s">
        <v>16</v>
      </c>
      <c r="G146" s="1" t="s">
        <v>1152</v>
      </c>
      <c r="H146" s="1" t="s">
        <v>2</v>
      </c>
      <c r="I146" s="2">
        <v>46177</v>
      </c>
      <c r="J146" s="1" t="s">
        <v>214</v>
      </c>
      <c r="K146" s="1" t="s">
        <v>5364</v>
      </c>
      <c r="L146" s="2">
        <v>46177.918923611112</v>
      </c>
      <c r="M146" s="2">
        <v>46177.921329212964</v>
      </c>
    </row>
    <row r="147" spans="1:13" x14ac:dyDescent="0.35">
      <c r="A147" s="1" t="s">
        <v>1151</v>
      </c>
      <c r="B147" s="1" t="s">
        <v>1126</v>
      </c>
      <c r="C147" s="1" t="s">
        <v>1152</v>
      </c>
      <c r="D147">
        <v>0</v>
      </c>
      <c r="E147" s="2">
        <v>46310</v>
      </c>
      <c r="F147" s="1" t="s">
        <v>16</v>
      </c>
      <c r="G147" s="1" t="s">
        <v>1152</v>
      </c>
      <c r="H147" s="1" t="s">
        <v>2</v>
      </c>
      <c r="I147" s="2">
        <v>46177</v>
      </c>
      <c r="J147" s="1" t="s">
        <v>67</v>
      </c>
      <c r="K147" s="1" t="s">
        <v>5346</v>
      </c>
      <c r="L147" s="2">
        <v>46177.918923611112</v>
      </c>
      <c r="M147" s="2">
        <v>46177.921329212964</v>
      </c>
    </row>
    <row r="148" spans="1:13" x14ac:dyDescent="0.35">
      <c r="A148" s="1" t="s">
        <v>1151</v>
      </c>
      <c r="B148" s="1" t="s">
        <v>1126</v>
      </c>
      <c r="C148" s="1" t="s">
        <v>1152</v>
      </c>
      <c r="D148">
        <v>0</v>
      </c>
      <c r="E148" s="2">
        <v>46310</v>
      </c>
      <c r="F148" s="1" t="s">
        <v>16</v>
      </c>
      <c r="G148" s="1" t="s">
        <v>1152</v>
      </c>
      <c r="H148" s="1" t="s">
        <v>2</v>
      </c>
      <c r="I148" s="2">
        <v>46177</v>
      </c>
      <c r="J148" s="1" t="s">
        <v>215</v>
      </c>
      <c r="K148" s="1" t="s">
        <v>5346</v>
      </c>
      <c r="L148" s="2">
        <v>46177.918923611112</v>
      </c>
      <c r="M148" s="2">
        <v>46177.921329212964</v>
      </c>
    </row>
    <row r="149" spans="1:13" x14ac:dyDescent="0.35">
      <c r="A149" s="1" t="s">
        <v>1151</v>
      </c>
      <c r="B149" s="1" t="s">
        <v>1126</v>
      </c>
      <c r="C149" s="1" t="s">
        <v>1152</v>
      </c>
      <c r="D149">
        <v>0</v>
      </c>
      <c r="E149" s="2">
        <v>46310</v>
      </c>
      <c r="F149" s="1" t="s">
        <v>16</v>
      </c>
      <c r="G149" s="1" t="s">
        <v>1152</v>
      </c>
      <c r="H149" s="1" t="s">
        <v>2</v>
      </c>
      <c r="I149" s="2">
        <v>46177</v>
      </c>
      <c r="J149" s="1" t="s">
        <v>18</v>
      </c>
      <c r="K149" s="1" t="s">
        <v>5365</v>
      </c>
      <c r="L149" s="2">
        <v>46177.92087962963</v>
      </c>
      <c r="M149" s="2">
        <v>46177.921329212964</v>
      </c>
    </row>
    <row r="150" spans="1:13" x14ac:dyDescent="0.35">
      <c r="A150" s="1" t="s">
        <v>1176</v>
      </c>
      <c r="B150" s="1" t="s">
        <v>1126</v>
      </c>
      <c r="C150" s="1" t="s">
        <v>1177</v>
      </c>
      <c r="D150">
        <v>0</v>
      </c>
      <c r="E150" s="2">
        <v>46317</v>
      </c>
      <c r="F150" s="1" t="s">
        <v>16</v>
      </c>
      <c r="G150" s="1" t="s">
        <v>1177</v>
      </c>
      <c r="H150" s="1" t="s">
        <v>2</v>
      </c>
      <c r="I150" s="2">
        <v>46177</v>
      </c>
      <c r="J150" s="1" t="s">
        <v>17</v>
      </c>
      <c r="K150" s="1" t="s">
        <v>5403</v>
      </c>
      <c r="L150" s="2">
        <v>46177.92087962963</v>
      </c>
      <c r="M150" s="2">
        <v>46177.921329212964</v>
      </c>
    </row>
    <row r="151" spans="1:13" x14ac:dyDescent="0.35">
      <c r="A151" s="1" t="s">
        <v>1176</v>
      </c>
      <c r="B151" s="1" t="s">
        <v>1126</v>
      </c>
      <c r="C151" s="1" t="s">
        <v>1177</v>
      </c>
      <c r="D151">
        <v>0</v>
      </c>
      <c r="E151" s="2">
        <v>46317</v>
      </c>
      <c r="F151" s="1" t="s">
        <v>16</v>
      </c>
      <c r="G151" s="1" t="s">
        <v>1177</v>
      </c>
      <c r="H151" s="1" t="s">
        <v>2</v>
      </c>
      <c r="I151" s="2">
        <v>46177</v>
      </c>
      <c r="J151" s="1" t="s">
        <v>67</v>
      </c>
      <c r="K151" s="1" t="s">
        <v>5384</v>
      </c>
      <c r="L151" s="2">
        <v>46177.918923611112</v>
      </c>
      <c r="M151" s="2">
        <v>46177.921329212964</v>
      </c>
    </row>
    <row r="152" spans="1:13" x14ac:dyDescent="0.35">
      <c r="A152" s="1" t="s">
        <v>1176</v>
      </c>
      <c r="B152" s="1" t="s">
        <v>1126</v>
      </c>
      <c r="C152" s="1" t="s">
        <v>1177</v>
      </c>
      <c r="D152">
        <v>0</v>
      </c>
      <c r="E152" s="2">
        <v>46317</v>
      </c>
      <c r="F152" s="1" t="s">
        <v>16</v>
      </c>
      <c r="G152" s="1" t="s">
        <v>1177</v>
      </c>
      <c r="H152" s="1" t="s">
        <v>2</v>
      </c>
      <c r="I152" s="2">
        <v>46177</v>
      </c>
      <c r="J152" s="1" t="s">
        <v>224</v>
      </c>
      <c r="K152" s="1" t="s">
        <v>5419</v>
      </c>
      <c r="L152" s="2">
        <v>46177.918923611112</v>
      </c>
      <c r="M152" s="2">
        <v>46177.921329212964</v>
      </c>
    </row>
    <row r="153" spans="1:13" x14ac:dyDescent="0.35">
      <c r="A153" s="1" t="s">
        <v>1176</v>
      </c>
      <c r="B153" s="1" t="s">
        <v>1126</v>
      </c>
      <c r="C153" s="1" t="s">
        <v>1177</v>
      </c>
      <c r="D153">
        <v>0</v>
      </c>
      <c r="E153" s="2">
        <v>46317</v>
      </c>
      <c r="F153" s="1" t="s">
        <v>16</v>
      </c>
      <c r="G153" s="1" t="s">
        <v>1177</v>
      </c>
      <c r="H153" s="1" t="s">
        <v>2</v>
      </c>
      <c r="I153" s="2">
        <v>46177</v>
      </c>
      <c r="J153" s="1" t="s">
        <v>214</v>
      </c>
      <c r="K153" s="1" t="s">
        <v>5419</v>
      </c>
      <c r="L153" s="2">
        <v>46177.918923611112</v>
      </c>
      <c r="M153" s="2">
        <v>46177.921329212964</v>
      </c>
    </row>
    <row r="154" spans="1:13" x14ac:dyDescent="0.35">
      <c r="A154" s="1" t="s">
        <v>1176</v>
      </c>
      <c r="B154" s="1" t="s">
        <v>1126</v>
      </c>
      <c r="C154" s="1" t="s">
        <v>1177</v>
      </c>
      <c r="D154">
        <v>0</v>
      </c>
      <c r="E154" s="2">
        <v>46317</v>
      </c>
      <c r="F154" s="1" t="s">
        <v>16</v>
      </c>
      <c r="G154" s="1" t="s">
        <v>1177</v>
      </c>
      <c r="H154" s="1" t="s">
        <v>2</v>
      </c>
      <c r="I154" s="2">
        <v>46177</v>
      </c>
      <c r="J154" s="1" t="s">
        <v>18</v>
      </c>
      <c r="K154" s="1" t="s">
        <v>5435</v>
      </c>
      <c r="L154" s="2">
        <v>46177.92087962963</v>
      </c>
      <c r="M154" s="2">
        <v>46177.921329212964</v>
      </c>
    </row>
    <row r="155" spans="1:13" x14ac:dyDescent="0.35">
      <c r="A155" s="1" t="s">
        <v>1176</v>
      </c>
      <c r="B155" s="1" t="s">
        <v>1126</v>
      </c>
      <c r="C155" s="1" t="s">
        <v>1177</v>
      </c>
      <c r="D155">
        <v>0</v>
      </c>
      <c r="E155" s="2">
        <v>46317</v>
      </c>
      <c r="F155" s="1" t="s">
        <v>16</v>
      </c>
      <c r="G155" s="1" t="s">
        <v>1177</v>
      </c>
      <c r="H155" s="1" t="s">
        <v>2</v>
      </c>
      <c r="I155" s="2">
        <v>46177</v>
      </c>
      <c r="J155" s="1" t="s">
        <v>215</v>
      </c>
      <c r="K155" s="1" t="s">
        <v>5384</v>
      </c>
      <c r="L155" s="2">
        <v>46177.918923611112</v>
      </c>
      <c r="M155" s="2">
        <v>46177.921329212964</v>
      </c>
    </row>
    <row r="156" spans="1:13" x14ac:dyDescent="0.35">
      <c r="A156" s="1" t="s">
        <v>2704</v>
      </c>
      <c r="B156" s="1" t="s">
        <v>1126</v>
      </c>
      <c r="C156" s="1" t="s">
        <v>2705</v>
      </c>
      <c r="D156">
        <v>0</v>
      </c>
      <c r="E156" s="2">
        <v>46331</v>
      </c>
      <c r="F156" s="1" t="s">
        <v>16</v>
      </c>
      <c r="G156" s="1" t="s">
        <v>2705</v>
      </c>
      <c r="H156" s="1" t="s">
        <v>2</v>
      </c>
      <c r="I156" s="2">
        <v>46177</v>
      </c>
      <c r="J156" s="1" t="s">
        <v>17</v>
      </c>
      <c r="K156" s="1" t="s">
        <v>5365</v>
      </c>
      <c r="L156" s="2">
        <v>46177.92087962963</v>
      </c>
      <c r="M156" s="2">
        <v>46177.921329212964</v>
      </c>
    </row>
    <row r="157" spans="1:13" x14ac:dyDescent="0.35">
      <c r="A157" s="1" t="s">
        <v>2704</v>
      </c>
      <c r="B157" s="1" t="s">
        <v>1126</v>
      </c>
      <c r="C157" s="1" t="s">
        <v>2705</v>
      </c>
      <c r="D157">
        <v>0</v>
      </c>
      <c r="E157" s="2">
        <v>46331</v>
      </c>
      <c r="F157" s="1" t="s">
        <v>16</v>
      </c>
      <c r="G157" s="1" t="s">
        <v>2705</v>
      </c>
      <c r="H157" s="1" t="s">
        <v>2</v>
      </c>
      <c r="I157" s="2">
        <v>46177</v>
      </c>
      <c r="J157" s="1" t="s">
        <v>67</v>
      </c>
      <c r="K157" s="1" t="s">
        <v>5347</v>
      </c>
      <c r="L157" s="2">
        <v>46177.918923611112</v>
      </c>
      <c r="M157" s="2">
        <v>46177.921329212964</v>
      </c>
    </row>
    <row r="158" spans="1:13" x14ac:dyDescent="0.35">
      <c r="A158" s="1" t="s">
        <v>2704</v>
      </c>
      <c r="B158" s="1" t="s">
        <v>1126</v>
      </c>
      <c r="C158" s="1" t="s">
        <v>2705</v>
      </c>
      <c r="D158">
        <v>0</v>
      </c>
      <c r="E158" s="2">
        <v>46331</v>
      </c>
      <c r="F158" s="1" t="s">
        <v>16</v>
      </c>
      <c r="G158" s="1" t="s">
        <v>2705</v>
      </c>
      <c r="H158" s="1" t="s">
        <v>2</v>
      </c>
      <c r="I158" s="2">
        <v>46177</v>
      </c>
      <c r="J158" s="1" t="s">
        <v>214</v>
      </c>
      <c r="K158" s="1" t="s">
        <v>5385</v>
      </c>
      <c r="L158" s="2">
        <v>46177.918923611112</v>
      </c>
      <c r="M158" s="2">
        <v>46177.921329212964</v>
      </c>
    </row>
    <row r="159" spans="1:13" x14ac:dyDescent="0.35">
      <c r="A159" s="1" t="s">
        <v>2704</v>
      </c>
      <c r="B159" s="1" t="s">
        <v>1126</v>
      </c>
      <c r="C159" s="1" t="s">
        <v>2705</v>
      </c>
      <c r="D159">
        <v>0</v>
      </c>
      <c r="E159" s="2">
        <v>46331</v>
      </c>
      <c r="F159" s="1" t="s">
        <v>16</v>
      </c>
      <c r="G159" s="1" t="s">
        <v>2705</v>
      </c>
      <c r="H159" s="1" t="s">
        <v>2</v>
      </c>
      <c r="I159" s="2">
        <v>46177</v>
      </c>
      <c r="J159" s="1" t="s">
        <v>224</v>
      </c>
      <c r="K159" s="1" t="s">
        <v>5385</v>
      </c>
      <c r="L159" s="2">
        <v>46177.918923611112</v>
      </c>
      <c r="M159" s="2">
        <v>46177.921329212964</v>
      </c>
    </row>
    <row r="160" spans="1:13" x14ac:dyDescent="0.35">
      <c r="A160" s="1" t="s">
        <v>2704</v>
      </c>
      <c r="B160" s="1" t="s">
        <v>1126</v>
      </c>
      <c r="C160" s="1" t="s">
        <v>2705</v>
      </c>
      <c r="D160">
        <v>0</v>
      </c>
      <c r="E160" s="2">
        <v>46331</v>
      </c>
      <c r="F160" s="1" t="s">
        <v>16</v>
      </c>
      <c r="G160" s="1" t="s">
        <v>2705</v>
      </c>
      <c r="H160" s="1" t="s">
        <v>2</v>
      </c>
      <c r="I160" s="2">
        <v>46177</v>
      </c>
      <c r="J160" s="1" t="s">
        <v>215</v>
      </c>
      <c r="K160" s="1" t="s">
        <v>5347</v>
      </c>
      <c r="L160" s="2">
        <v>46177.918923611112</v>
      </c>
      <c r="M160" s="2">
        <v>46177.921329212964</v>
      </c>
    </row>
    <row r="161" spans="1:13" x14ac:dyDescent="0.35">
      <c r="A161" s="1" t="s">
        <v>2704</v>
      </c>
      <c r="B161" s="1" t="s">
        <v>1126</v>
      </c>
      <c r="C161" s="1" t="s">
        <v>2705</v>
      </c>
      <c r="D161">
        <v>0</v>
      </c>
      <c r="E161" s="2">
        <v>46331</v>
      </c>
      <c r="F161" s="1" t="s">
        <v>16</v>
      </c>
      <c r="G161" s="1" t="s">
        <v>2705</v>
      </c>
      <c r="H161" s="1" t="s">
        <v>2</v>
      </c>
      <c r="I161" s="2">
        <v>46177</v>
      </c>
      <c r="J161" s="1" t="s">
        <v>18</v>
      </c>
      <c r="K161" s="1" t="s">
        <v>5420</v>
      </c>
      <c r="L161" s="2">
        <v>46177.92087962963</v>
      </c>
      <c r="M161" s="2">
        <v>46177.921329212964</v>
      </c>
    </row>
    <row r="162" spans="1:13" x14ac:dyDescent="0.35">
      <c r="A162" s="1" t="s">
        <v>1184</v>
      </c>
      <c r="B162" s="1" t="s">
        <v>1126</v>
      </c>
      <c r="C162" s="1" t="s">
        <v>1185</v>
      </c>
      <c r="D162">
        <v>0</v>
      </c>
      <c r="E162" s="2">
        <v>46210</v>
      </c>
      <c r="F162" s="1" t="s">
        <v>16</v>
      </c>
      <c r="G162" s="1" t="s">
        <v>1185</v>
      </c>
      <c r="H162" s="1" t="s">
        <v>2</v>
      </c>
      <c r="I162" s="2">
        <v>46177</v>
      </c>
      <c r="J162" s="1" t="s">
        <v>17</v>
      </c>
      <c r="K162" s="1" t="s">
        <v>5366</v>
      </c>
      <c r="L162" s="2">
        <v>46177.92087962963</v>
      </c>
      <c r="M162" s="2">
        <v>46177.921329212964</v>
      </c>
    </row>
    <row r="163" spans="1:13" x14ac:dyDescent="0.35">
      <c r="A163" s="1" t="s">
        <v>1184</v>
      </c>
      <c r="B163" s="1" t="s">
        <v>1126</v>
      </c>
      <c r="C163" s="1" t="s">
        <v>1185</v>
      </c>
      <c r="D163">
        <v>0</v>
      </c>
      <c r="E163" s="2">
        <v>46210</v>
      </c>
      <c r="F163" s="1" t="s">
        <v>16</v>
      </c>
      <c r="G163" s="1" t="s">
        <v>1185</v>
      </c>
      <c r="H163" s="1" t="s">
        <v>2</v>
      </c>
      <c r="I163" s="2">
        <v>46177</v>
      </c>
      <c r="J163" s="1" t="s">
        <v>67</v>
      </c>
      <c r="K163" s="1" t="s">
        <v>5349</v>
      </c>
      <c r="L163" s="2">
        <v>46177.918923611112</v>
      </c>
      <c r="M163" s="2">
        <v>46177.921329212964</v>
      </c>
    </row>
    <row r="164" spans="1:13" x14ac:dyDescent="0.35">
      <c r="A164" s="1" t="s">
        <v>1184</v>
      </c>
      <c r="B164" s="1" t="s">
        <v>1126</v>
      </c>
      <c r="C164" s="1" t="s">
        <v>1185</v>
      </c>
      <c r="D164">
        <v>0</v>
      </c>
      <c r="E164" s="2">
        <v>46210</v>
      </c>
      <c r="F164" s="1" t="s">
        <v>16</v>
      </c>
      <c r="G164" s="1" t="s">
        <v>1185</v>
      </c>
      <c r="H164" s="1" t="s">
        <v>2</v>
      </c>
      <c r="I164" s="2">
        <v>46177</v>
      </c>
      <c r="J164" s="1" t="s">
        <v>18</v>
      </c>
      <c r="K164" s="1" t="s">
        <v>5348</v>
      </c>
      <c r="L164" s="2">
        <v>46177.92087962963</v>
      </c>
      <c r="M164" s="2">
        <v>46177.921329212964</v>
      </c>
    </row>
    <row r="165" spans="1:13" x14ac:dyDescent="0.35">
      <c r="A165" s="1" t="s">
        <v>1184</v>
      </c>
      <c r="B165" s="1" t="s">
        <v>1126</v>
      </c>
      <c r="C165" s="1" t="s">
        <v>1185</v>
      </c>
      <c r="D165">
        <v>0</v>
      </c>
      <c r="E165" s="2">
        <v>46210</v>
      </c>
      <c r="F165" s="1" t="s">
        <v>16</v>
      </c>
      <c r="G165" s="1" t="s">
        <v>1185</v>
      </c>
      <c r="H165" s="1" t="s">
        <v>2</v>
      </c>
      <c r="I165" s="2">
        <v>46177</v>
      </c>
      <c r="J165" s="1" t="s">
        <v>215</v>
      </c>
      <c r="K165" s="1" t="s">
        <v>5349</v>
      </c>
      <c r="L165" s="2">
        <v>46177.918923611112</v>
      </c>
      <c r="M165" s="2">
        <v>46177.921329212964</v>
      </c>
    </row>
    <row r="166" spans="1:13" x14ac:dyDescent="0.35">
      <c r="A166" s="1" t="s">
        <v>1184</v>
      </c>
      <c r="B166" s="1" t="s">
        <v>1126</v>
      </c>
      <c r="C166" s="1" t="s">
        <v>1185</v>
      </c>
      <c r="D166">
        <v>0</v>
      </c>
      <c r="E166" s="2">
        <v>46210</v>
      </c>
      <c r="F166" s="1" t="s">
        <v>16</v>
      </c>
      <c r="G166" s="1" t="s">
        <v>1185</v>
      </c>
      <c r="H166" s="1" t="s">
        <v>2</v>
      </c>
      <c r="I166" s="2">
        <v>46177</v>
      </c>
      <c r="J166" s="1" t="s">
        <v>214</v>
      </c>
      <c r="K166" s="1" t="s">
        <v>5429</v>
      </c>
      <c r="L166" s="2">
        <v>46177.918923611112</v>
      </c>
      <c r="M166" s="2">
        <v>46177.921329212964</v>
      </c>
    </row>
    <row r="167" spans="1:13" x14ac:dyDescent="0.35">
      <c r="A167" s="1" t="s">
        <v>1184</v>
      </c>
      <c r="B167" s="1" t="s">
        <v>1126</v>
      </c>
      <c r="C167" s="1" t="s">
        <v>1185</v>
      </c>
      <c r="D167">
        <v>0</v>
      </c>
      <c r="E167" s="2">
        <v>46210</v>
      </c>
      <c r="F167" s="1" t="s">
        <v>16</v>
      </c>
      <c r="G167" s="1" t="s">
        <v>1185</v>
      </c>
      <c r="H167" s="1" t="s">
        <v>2</v>
      </c>
      <c r="I167" s="2">
        <v>46177</v>
      </c>
      <c r="J167" s="1" t="s">
        <v>224</v>
      </c>
      <c r="K167" s="1" t="s">
        <v>5429</v>
      </c>
      <c r="L167" s="2">
        <v>46177.918923611112</v>
      </c>
      <c r="M167" s="2">
        <v>46177.921329212964</v>
      </c>
    </row>
    <row r="168" spans="1:13" x14ac:dyDescent="0.35">
      <c r="A168" s="1" t="s">
        <v>1194</v>
      </c>
      <c r="B168" s="1" t="s">
        <v>1126</v>
      </c>
      <c r="C168" s="1" t="s">
        <v>1195</v>
      </c>
      <c r="D168">
        <v>0</v>
      </c>
      <c r="E168" s="2">
        <v>46217</v>
      </c>
      <c r="F168" s="1" t="s">
        <v>16</v>
      </c>
      <c r="G168" s="1" t="s">
        <v>1195</v>
      </c>
      <c r="H168" s="1" t="s">
        <v>2</v>
      </c>
      <c r="I168" s="2">
        <v>46177</v>
      </c>
      <c r="J168" s="1" t="s">
        <v>224</v>
      </c>
      <c r="K168" s="1" t="s">
        <v>5367</v>
      </c>
      <c r="L168" s="2">
        <v>46177.918923611112</v>
      </c>
      <c r="M168" s="2">
        <v>46177.921329212964</v>
      </c>
    </row>
    <row r="169" spans="1:13" x14ac:dyDescent="0.35">
      <c r="A169" s="1" t="s">
        <v>1194</v>
      </c>
      <c r="B169" s="1" t="s">
        <v>1126</v>
      </c>
      <c r="C169" s="1" t="s">
        <v>1195</v>
      </c>
      <c r="D169">
        <v>0</v>
      </c>
      <c r="E169" s="2">
        <v>46217</v>
      </c>
      <c r="F169" s="1" t="s">
        <v>16</v>
      </c>
      <c r="G169" s="1" t="s">
        <v>1195</v>
      </c>
      <c r="H169" s="1" t="s">
        <v>2</v>
      </c>
      <c r="I169" s="2">
        <v>46177</v>
      </c>
      <c r="J169" s="1" t="s">
        <v>215</v>
      </c>
      <c r="K169" s="1" t="s">
        <v>5368</v>
      </c>
      <c r="L169" s="2">
        <v>46177.918923611112</v>
      </c>
      <c r="M169" s="2">
        <v>46177.921329212964</v>
      </c>
    </row>
    <row r="170" spans="1:13" x14ac:dyDescent="0.35">
      <c r="A170" s="1" t="s">
        <v>1194</v>
      </c>
      <c r="B170" s="1" t="s">
        <v>1126</v>
      </c>
      <c r="C170" s="1" t="s">
        <v>1195</v>
      </c>
      <c r="D170">
        <v>0</v>
      </c>
      <c r="E170" s="2">
        <v>46217</v>
      </c>
      <c r="F170" s="1" t="s">
        <v>16</v>
      </c>
      <c r="G170" s="1" t="s">
        <v>1195</v>
      </c>
      <c r="H170" s="1" t="s">
        <v>2</v>
      </c>
      <c r="I170" s="2">
        <v>46177</v>
      </c>
      <c r="J170" s="1" t="s">
        <v>18</v>
      </c>
      <c r="K170" s="1" t="s">
        <v>2634</v>
      </c>
      <c r="L170" s="2">
        <v>46177.92087962963</v>
      </c>
      <c r="M170" s="2">
        <v>46177.921329212964</v>
      </c>
    </row>
    <row r="171" spans="1:13" x14ac:dyDescent="0.35">
      <c r="A171" s="1" t="s">
        <v>1194</v>
      </c>
      <c r="B171" s="1" t="s">
        <v>1126</v>
      </c>
      <c r="C171" s="1" t="s">
        <v>1195</v>
      </c>
      <c r="D171">
        <v>0</v>
      </c>
      <c r="E171" s="2">
        <v>46217</v>
      </c>
      <c r="F171" s="1" t="s">
        <v>16</v>
      </c>
      <c r="G171" s="1" t="s">
        <v>1195</v>
      </c>
      <c r="H171" s="1" t="s">
        <v>2</v>
      </c>
      <c r="I171" s="2">
        <v>46177</v>
      </c>
      <c r="J171" s="1" t="s">
        <v>214</v>
      </c>
      <c r="K171" s="1" t="s">
        <v>5367</v>
      </c>
      <c r="L171" s="2">
        <v>46177.918923611112</v>
      </c>
      <c r="M171" s="2">
        <v>46177.921329212964</v>
      </c>
    </row>
    <row r="172" spans="1:13" x14ac:dyDescent="0.35">
      <c r="A172" s="1" t="s">
        <v>1194</v>
      </c>
      <c r="B172" s="1" t="s">
        <v>1126</v>
      </c>
      <c r="C172" s="1" t="s">
        <v>1195</v>
      </c>
      <c r="D172">
        <v>0</v>
      </c>
      <c r="E172" s="2">
        <v>46217</v>
      </c>
      <c r="F172" s="1" t="s">
        <v>16</v>
      </c>
      <c r="G172" s="1" t="s">
        <v>1195</v>
      </c>
      <c r="H172" s="1" t="s">
        <v>2</v>
      </c>
      <c r="I172" s="2">
        <v>46177</v>
      </c>
      <c r="J172" s="1" t="s">
        <v>17</v>
      </c>
      <c r="K172" s="1" t="s">
        <v>5447</v>
      </c>
      <c r="L172" s="2">
        <v>46177.92087962963</v>
      </c>
      <c r="M172" s="2">
        <v>46177.921329212964</v>
      </c>
    </row>
    <row r="173" spans="1:13" x14ac:dyDescent="0.35">
      <c r="A173" s="1" t="s">
        <v>1194</v>
      </c>
      <c r="B173" s="1" t="s">
        <v>1126</v>
      </c>
      <c r="C173" s="1" t="s">
        <v>1195</v>
      </c>
      <c r="D173">
        <v>0</v>
      </c>
      <c r="E173" s="2">
        <v>46217</v>
      </c>
      <c r="F173" s="1" t="s">
        <v>16</v>
      </c>
      <c r="G173" s="1" t="s">
        <v>1195</v>
      </c>
      <c r="H173" s="1" t="s">
        <v>2</v>
      </c>
      <c r="I173" s="2">
        <v>46177</v>
      </c>
      <c r="J173" s="1" t="s">
        <v>67</v>
      </c>
      <c r="K173" s="1" t="s">
        <v>5368</v>
      </c>
      <c r="L173" s="2">
        <v>46177.918923611112</v>
      </c>
      <c r="M173" s="2">
        <v>46177.921329212964</v>
      </c>
    </row>
    <row r="174" spans="1:13" x14ac:dyDescent="0.35">
      <c r="A174" s="1" t="s">
        <v>1186</v>
      </c>
      <c r="B174" s="1" t="s">
        <v>1126</v>
      </c>
      <c r="C174" s="1" t="s">
        <v>1187</v>
      </c>
      <c r="D174">
        <v>0</v>
      </c>
      <c r="E174" s="2">
        <v>46224</v>
      </c>
      <c r="F174" s="1" t="s">
        <v>16</v>
      </c>
      <c r="G174" s="1" t="s">
        <v>1187</v>
      </c>
      <c r="H174" s="1" t="s">
        <v>2</v>
      </c>
      <c r="I174" s="2">
        <v>46177</v>
      </c>
      <c r="J174" s="1" t="s">
        <v>18</v>
      </c>
      <c r="K174" s="1" t="s">
        <v>2338</v>
      </c>
      <c r="L174" s="2">
        <v>46177.92087962963</v>
      </c>
      <c r="M174" s="2">
        <v>46177.921329212964</v>
      </c>
    </row>
    <row r="175" spans="1:13" x14ac:dyDescent="0.35">
      <c r="A175" s="1" t="s">
        <v>1186</v>
      </c>
      <c r="B175" s="1" t="s">
        <v>1126</v>
      </c>
      <c r="C175" s="1" t="s">
        <v>1187</v>
      </c>
      <c r="D175">
        <v>0</v>
      </c>
      <c r="E175" s="2">
        <v>46224</v>
      </c>
      <c r="F175" s="1" t="s">
        <v>16</v>
      </c>
      <c r="G175" s="1" t="s">
        <v>1187</v>
      </c>
      <c r="H175" s="1" t="s">
        <v>2</v>
      </c>
      <c r="I175" s="2">
        <v>46177</v>
      </c>
      <c r="J175" s="1" t="s">
        <v>17</v>
      </c>
      <c r="K175" s="1" t="s">
        <v>2711</v>
      </c>
      <c r="L175" s="2">
        <v>46177.92087962963</v>
      </c>
      <c r="M175" s="2">
        <v>46177.921329212964</v>
      </c>
    </row>
    <row r="176" spans="1:13" x14ac:dyDescent="0.35">
      <c r="A176" s="1" t="s">
        <v>1186</v>
      </c>
      <c r="B176" s="1" t="s">
        <v>1126</v>
      </c>
      <c r="C176" s="1" t="s">
        <v>1187</v>
      </c>
      <c r="D176">
        <v>0</v>
      </c>
      <c r="E176" s="2">
        <v>46224</v>
      </c>
      <c r="F176" s="1" t="s">
        <v>16</v>
      </c>
      <c r="G176" s="1" t="s">
        <v>1187</v>
      </c>
      <c r="H176" s="1" t="s">
        <v>2</v>
      </c>
      <c r="I176" s="2">
        <v>46177</v>
      </c>
      <c r="J176" s="1" t="s">
        <v>224</v>
      </c>
      <c r="K176" s="1" t="s">
        <v>5404</v>
      </c>
      <c r="L176" s="2">
        <v>46177.918923611112</v>
      </c>
      <c r="M176" s="2">
        <v>46177.921329212964</v>
      </c>
    </row>
    <row r="177" spans="1:13" x14ac:dyDescent="0.35">
      <c r="A177" s="1" t="s">
        <v>1186</v>
      </c>
      <c r="B177" s="1" t="s">
        <v>1126</v>
      </c>
      <c r="C177" s="1" t="s">
        <v>1187</v>
      </c>
      <c r="D177">
        <v>0</v>
      </c>
      <c r="E177" s="2">
        <v>46224</v>
      </c>
      <c r="F177" s="1" t="s">
        <v>16</v>
      </c>
      <c r="G177" s="1" t="s">
        <v>1187</v>
      </c>
      <c r="H177" s="1" t="s">
        <v>2</v>
      </c>
      <c r="I177" s="2">
        <v>46177</v>
      </c>
      <c r="J177" s="1" t="s">
        <v>215</v>
      </c>
      <c r="K177" s="1" t="s">
        <v>5386</v>
      </c>
      <c r="L177" s="2">
        <v>46177.918923611112</v>
      </c>
      <c r="M177" s="2">
        <v>46177.921329212964</v>
      </c>
    </row>
    <row r="178" spans="1:13" x14ac:dyDescent="0.35">
      <c r="A178" s="1" t="s">
        <v>1186</v>
      </c>
      <c r="B178" s="1" t="s">
        <v>1126</v>
      </c>
      <c r="C178" s="1" t="s">
        <v>1187</v>
      </c>
      <c r="D178">
        <v>0</v>
      </c>
      <c r="E178" s="2">
        <v>46224</v>
      </c>
      <c r="F178" s="1" t="s">
        <v>16</v>
      </c>
      <c r="G178" s="1" t="s">
        <v>1187</v>
      </c>
      <c r="H178" s="1" t="s">
        <v>2</v>
      </c>
      <c r="I178" s="2">
        <v>46177</v>
      </c>
      <c r="J178" s="1" t="s">
        <v>67</v>
      </c>
      <c r="K178" s="1" t="s">
        <v>5386</v>
      </c>
      <c r="L178" s="2">
        <v>46177.918923611112</v>
      </c>
      <c r="M178" s="2">
        <v>46177.921329212964</v>
      </c>
    </row>
    <row r="179" spans="1:13" x14ac:dyDescent="0.35">
      <c r="A179" s="1" t="s">
        <v>1186</v>
      </c>
      <c r="B179" s="1" t="s">
        <v>1126</v>
      </c>
      <c r="C179" s="1" t="s">
        <v>1187</v>
      </c>
      <c r="D179">
        <v>0</v>
      </c>
      <c r="E179" s="2">
        <v>46224</v>
      </c>
      <c r="F179" s="1" t="s">
        <v>16</v>
      </c>
      <c r="G179" s="1" t="s">
        <v>1187</v>
      </c>
      <c r="H179" s="1" t="s">
        <v>2</v>
      </c>
      <c r="I179" s="2">
        <v>46177</v>
      </c>
      <c r="J179" s="1" t="s">
        <v>214</v>
      </c>
      <c r="K179" s="1" t="s">
        <v>5404</v>
      </c>
      <c r="L179" s="2">
        <v>46177.918923611112</v>
      </c>
      <c r="M179" s="2">
        <v>46177.921329212964</v>
      </c>
    </row>
    <row r="180" spans="1:13" x14ac:dyDescent="0.35">
      <c r="A180" s="1" t="s">
        <v>1153</v>
      </c>
      <c r="B180" s="1" t="s">
        <v>1126</v>
      </c>
      <c r="C180" s="1" t="s">
        <v>2523</v>
      </c>
      <c r="D180">
        <v>0</v>
      </c>
      <c r="E180" s="2">
        <v>46231</v>
      </c>
      <c r="F180" s="1" t="s">
        <v>16</v>
      </c>
      <c r="G180" s="1" t="s">
        <v>2523</v>
      </c>
      <c r="H180" s="1" t="s">
        <v>2</v>
      </c>
      <c r="I180" s="2">
        <v>46177</v>
      </c>
      <c r="J180" s="1" t="s">
        <v>214</v>
      </c>
      <c r="K180" s="1" t="s">
        <v>5369</v>
      </c>
      <c r="L180" s="2">
        <v>46177.918923611112</v>
      </c>
      <c r="M180" s="2">
        <v>46177.921329212964</v>
      </c>
    </row>
    <row r="181" spans="1:13" x14ac:dyDescent="0.35">
      <c r="A181" s="1" t="s">
        <v>1153</v>
      </c>
      <c r="B181" s="1" t="s">
        <v>1126</v>
      </c>
      <c r="C181" s="1" t="s">
        <v>2523</v>
      </c>
      <c r="D181">
        <v>0</v>
      </c>
      <c r="E181" s="2">
        <v>46231</v>
      </c>
      <c r="F181" s="1" t="s">
        <v>16</v>
      </c>
      <c r="G181" s="1" t="s">
        <v>2523</v>
      </c>
      <c r="H181" s="1" t="s">
        <v>2</v>
      </c>
      <c r="I181" s="2">
        <v>46177</v>
      </c>
      <c r="J181" s="1" t="s">
        <v>17</v>
      </c>
      <c r="K181" s="1" t="s">
        <v>2528</v>
      </c>
      <c r="L181" s="2">
        <v>46177.92087962963</v>
      </c>
      <c r="M181" s="2">
        <v>46177.921329212964</v>
      </c>
    </row>
    <row r="182" spans="1:13" x14ac:dyDescent="0.35">
      <c r="A182" s="1" t="s">
        <v>1153</v>
      </c>
      <c r="B182" s="1" t="s">
        <v>1126</v>
      </c>
      <c r="C182" s="1" t="s">
        <v>2523</v>
      </c>
      <c r="D182">
        <v>0</v>
      </c>
      <c r="E182" s="2">
        <v>46231</v>
      </c>
      <c r="F182" s="1" t="s">
        <v>16</v>
      </c>
      <c r="G182" s="1" t="s">
        <v>2523</v>
      </c>
      <c r="H182" s="1" t="s">
        <v>2</v>
      </c>
      <c r="I182" s="2">
        <v>46177</v>
      </c>
      <c r="J182" s="1" t="s">
        <v>224</v>
      </c>
      <c r="K182" s="1" t="s">
        <v>5369</v>
      </c>
      <c r="L182" s="2">
        <v>46177.918923611112</v>
      </c>
      <c r="M182" s="2">
        <v>46177.921329212964</v>
      </c>
    </row>
    <row r="183" spans="1:13" x14ac:dyDescent="0.35">
      <c r="A183" s="1" t="s">
        <v>1153</v>
      </c>
      <c r="B183" s="1" t="s">
        <v>1126</v>
      </c>
      <c r="C183" s="1" t="s">
        <v>2523</v>
      </c>
      <c r="D183">
        <v>0</v>
      </c>
      <c r="E183" s="2">
        <v>46231</v>
      </c>
      <c r="F183" s="1" t="s">
        <v>16</v>
      </c>
      <c r="G183" s="1" t="s">
        <v>2523</v>
      </c>
      <c r="H183" s="1" t="s">
        <v>2</v>
      </c>
      <c r="I183" s="2">
        <v>46177</v>
      </c>
      <c r="J183" s="1" t="s">
        <v>18</v>
      </c>
      <c r="K183" s="1" t="s">
        <v>5350</v>
      </c>
      <c r="L183" s="2">
        <v>46177.92087962963</v>
      </c>
      <c r="M183" s="2">
        <v>46177.921329212964</v>
      </c>
    </row>
    <row r="184" spans="1:13" x14ac:dyDescent="0.35">
      <c r="A184" s="1" t="s">
        <v>1153</v>
      </c>
      <c r="B184" s="1" t="s">
        <v>1126</v>
      </c>
      <c r="C184" s="1" t="s">
        <v>2523</v>
      </c>
      <c r="D184">
        <v>0</v>
      </c>
      <c r="E184" s="2">
        <v>46231</v>
      </c>
      <c r="F184" s="1" t="s">
        <v>16</v>
      </c>
      <c r="G184" s="1" t="s">
        <v>2523</v>
      </c>
      <c r="H184" s="1" t="s">
        <v>2</v>
      </c>
      <c r="I184" s="2">
        <v>46177</v>
      </c>
      <c r="J184" s="1" t="s">
        <v>215</v>
      </c>
      <c r="K184" s="1" t="s">
        <v>5421</v>
      </c>
      <c r="L184" s="2">
        <v>46177.918923611112</v>
      </c>
      <c r="M184" s="2">
        <v>46177.921329212964</v>
      </c>
    </row>
    <row r="185" spans="1:13" x14ac:dyDescent="0.35">
      <c r="A185" s="1" t="s">
        <v>1153</v>
      </c>
      <c r="B185" s="1" t="s">
        <v>1126</v>
      </c>
      <c r="C185" s="1" t="s">
        <v>2523</v>
      </c>
      <c r="D185">
        <v>0</v>
      </c>
      <c r="E185" s="2">
        <v>46231</v>
      </c>
      <c r="F185" s="1" t="s">
        <v>16</v>
      </c>
      <c r="G185" s="1" t="s">
        <v>2523</v>
      </c>
      <c r="H185" s="1" t="s">
        <v>2</v>
      </c>
      <c r="I185" s="2">
        <v>46177</v>
      </c>
      <c r="J185" s="1" t="s">
        <v>67</v>
      </c>
      <c r="K185" s="1" t="s">
        <v>5421</v>
      </c>
      <c r="L185" s="2">
        <v>46177.918923611112</v>
      </c>
      <c r="M185" s="2">
        <v>46177.921329212964</v>
      </c>
    </row>
    <row r="186" spans="1:13" x14ac:dyDescent="0.35">
      <c r="A186" s="1" t="s">
        <v>1199</v>
      </c>
      <c r="B186" s="1" t="s">
        <v>1126</v>
      </c>
      <c r="C186" s="1" t="s">
        <v>2524</v>
      </c>
      <c r="D186">
        <v>0</v>
      </c>
      <c r="E186" s="2">
        <v>46238</v>
      </c>
      <c r="F186" s="1" t="s">
        <v>16</v>
      </c>
      <c r="G186" s="1" t="s">
        <v>2524</v>
      </c>
      <c r="H186" s="1" t="s">
        <v>2</v>
      </c>
      <c r="I186" s="2">
        <v>46177</v>
      </c>
      <c r="J186" s="1" t="s">
        <v>18</v>
      </c>
      <c r="K186" s="1" t="s">
        <v>5387</v>
      </c>
      <c r="L186" s="2">
        <v>46177.92087962963</v>
      </c>
      <c r="M186" s="2">
        <v>46177.921329212964</v>
      </c>
    </row>
    <row r="187" spans="1:13" x14ac:dyDescent="0.35">
      <c r="A187" s="1" t="s">
        <v>1199</v>
      </c>
      <c r="B187" s="1" t="s">
        <v>1126</v>
      </c>
      <c r="C187" s="1" t="s">
        <v>2524</v>
      </c>
      <c r="D187">
        <v>0</v>
      </c>
      <c r="E187" s="2">
        <v>46238</v>
      </c>
      <c r="F187" s="1" t="s">
        <v>16</v>
      </c>
      <c r="G187" s="1" t="s">
        <v>2524</v>
      </c>
      <c r="H187" s="1" t="s">
        <v>2</v>
      </c>
      <c r="I187" s="2">
        <v>46177</v>
      </c>
      <c r="J187" s="1" t="s">
        <v>17</v>
      </c>
      <c r="K187" s="1" t="s">
        <v>2938</v>
      </c>
      <c r="L187" s="2">
        <v>46177.92087962963</v>
      </c>
      <c r="M187" s="2">
        <v>46177.921329212964</v>
      </c>
    </row>
    <row r="188" spans="1:13" x14ac:dyDescent="0.35">
      <c r="A188" s="1" t="s">
        <v>1188</v>
      </c>
      <c r="B188" s="1" t="s">
        <v>1126</v>
      </c>
      <c r="C188" s="1" t="s">
        <v>2531</v>
      </c>
      <c r="D188">
        <v>0</v>
      </c>
      <c r="E188" s="2">
        <v>46245</v>
      </c>
      <c r="F188" s="1" t="s">
        <v>16</v>
      </c>
      <c r="G188" s="1" t="s">
        <v>2531</v>
      </c>
      <c r="H188" s="1" t="s">
        <v>2</v>
      </c>
      <c r="I188" s="2">
        <v>46177</v>
      </c>
      <c r="J188" s="1" t="s">
        <v>17</v>
      </c>
      <c r="K188" s="1" t="s">
        <v>2702</v>
      </c>
      <c r="L188" s="2">
        <v>46177.92087962963</v>
      </c>
      <c r="M188" s="2">
        <v>46177.921329212964</v>
      </c>
    </row>
    <row r="189" spans="1:13" x14ac:dyDescent="0.35">
      <c r="A189" s="1" t="s">
        <v>1188</v>
      </c>
      <c r="B189" s="1" t="s">
        <v>1126</v>
      </c>
      <c r="C189" s="1" t="s">
        <v>2531</v>
      </c>
      <c r="D189">
        <v>0</v>
      </c>
      <c r="E189" s="2">
        <v>46245</v>
      </c>
      <c r="F189" s="1" t="s">
        <v>16</v>
      </c>
      <c r="G189" s="1" t="s">
        <v>2531</v>
      </c>
      <c r="H189" s="1" t="s">
        <v>2</v>
      </c>
      <c r="I189" s="2">
        <v>46177</v>
      </c>
      <c r="J189" s="1" t="s">
        <v>18</v>
      </c>
      <c r="K189" s="1" t="s">
        <v>2526</v>
      </c>
      <c r="L189" s="2">
        <v>46177.92087962963</v>
      </c>
      <c r="M189" s="2">
        <v>46177.921329212964</v>
      </c>
    </row>
    <row r="190" spans="1:13" x14ac:dyDescent="0.35">
      <c r="A190" s="1" t="s">
        <v>1189</v>
      </c>
      <c r="B190" s="1" t="s">
        <v>1126</v>
      </c>
      <c r="C190" s="1" t="s">
        <v>2525</v>
      </c>
      <c r="D190">
        <v>0</v>
      </c>
      <c r="E190" s="2">
        <v>46252</v>
      </c>
      <c r="F190" s="1" t="s">
        <v>16</v>
      </c>
      <c r="G190" s="1" t="s">
        <v>2525</v>
      </c>
      <c r="H190" s="1" t="s">
        <v>2</v>
      </c>
      <c r="I190" s="2">
        <v>46177</v>
      </c>
      <c r="J190" s="1" t="s">
        <v>17</v>
      </c>
      <c r="K190" s="1" t="s">
        <v>2707</v>
      </c>
      <c r="L190" s="2">
        <v>46177.92087962963</v>
      </c>
      <c r="M190" s="2">
        <v>46177.921329212964</v>
      </c>
    </row>
    <row r="191" spans="1:13" x14ac:dyDescent="0.35">
      <c r="A191" s="1" t="s">
        <v>1189</v>
      </c>
      <c r="B191" s="1" t="s">
        <v>1126</v>
      </c>
      <c r="C191" s="1" t="s">
        <v>2525</v>
      </c>
      <c r="D191">
        <v>0</v>
      </c>
      <c r="E191" s="2">
        <v>46252</v>
      </c>
      <c r="F191" s="1" t="s">
        <v>16</v>
      </c>
      <c r="G191" s="1" t="s">
        <v>2525</v>
      </c>
      <c r="H191" s="1" t="s">
        <v>2</v>
      </c>
      <c r="I191" s="2">
        <v>46177</v>
      </c>
      <c r="J191" s="1" t="s">
        <v>18</v>
      </c>
      <c r="K191" s="1" t="s">
        <v>5422</v>
      </c>
      <c r="L191" s="2">
        <v>46177.92087962963</v>
      </c>
      <c r="M191" s="2">
        <v>46177.921329212964</v>
      </c>
    </row>
    <row r="192" spans="1:13" x14ac:dyDescent="0.35">
      <c r="A192" s="1" t="s">
        <v>1196</v>
      </c>
      <c r="B192" s="1" t="s">
        <v>1126</v>
      </c>
      <c r="C192" s="1" t="s">
        <v>2533</v>
      </c>
      <c r="D192">
        <v>0</v>
      </c>
      <c r="E192" s="2">
        <v>46259</v>
      </c>
      <c r="F192" s="1" t="s">
        <v>16</v>
      </c>
      <c r="G192" s="1" t="s">
        <v>2533</v>
      </c>
      <c r="H192" s="1" t="s">
        <v>2</v>
      </c>
      <c r="I192" s="2">
        <v>46177</v>
      </c>
      <c r="J192" s="1" t="s">
        <v>18</v>
      </c>
      <c r="K192" s="1" t="s">
        <v>5392</v>
      </c>
      <c r="L192" s="2">
        <v>46177.92087962963</v>
      </c>
      <c r="M192" s="2">
        <v>46177.921329212964</v>
      </c>
    </row>
    <row r="193" spans="1:13" x14ac:dyDescent="0.35">
      <c r="A193" s="1" t="s">
        <v>1196</v>
      </c>
      <c r="B193" s="1" t="s">
        <v>1126</v>
      </c>
      <c r="C193" s="1" t="s">
        <v>2533</v>
      </c>
      <c r="D193">
        <v>0</v>
      </c>
      <c r="E193" s="2">
        <v>46259</v>
      </c>
      <c r="F193" s="1" t="s">
        <v>16</v>
      </c>
      <c r="G193" s="1" t="s">
        <v>2533</v>
      </c>
      <c r="H193" s="1" t="s">
        <v>2</v>
      </c>
      <c r="I193" s="2">
        <v>46177</v>
      </c>
      <c r="J193" s="1" t="s">
        <v>17</v>
      </c>
      <c r="K193" s="1" t="s">
        <v>2527</v>
      </c>
      <c r="L193" s="2">
        <v>46177.92087962963</v>
      </c>
      <c r="M193" s="2">
        <v>46177.921329212964</v>
      </c>
    </row>
    <row r="194" spans="1:13" x14ac:dyDescent="0.35">
      <c r="A194" s="1" t="s">
        <v>3092</v>
      </c>
      <c r="B194" s="1" t="s">
        <v>1126</v>
      </c>
      <c r="C194" s="1" t="s">
        <v>5351</v>
      </c>
      <c r="D194">
        <v>0</v>
      </c>
      <c r="E194" s="2">
        <v>46520</v>
      </c>
      <c r="F194" s="1" t="s">
        <v>16</v>
      </c>
      <c r="G194" s="1" t="s">
        <v>5351</v>
      </c>
      <c r="H194" s="1" t="s">
        <v>2</v>
      </c>
      <c r="I194" s="2">
        <v>46177</v>
      </c>
      <c r="J194" s="1" t="s">
        <v>214</v>
      </c>
      <c r="K194" s="1" t="s">
        <v>5370</v>
      </c>
      <c r="L194" s="2">
        <v>46177.918923611112</v>
      </c>
      <c r="M194" s="2">
        <v>46177.921329212964</v>
      </c>
    </row>
    <row r="195" spans="1:13" x14ac:dyDescent="0.35">
      <c r="A195" s="1" t="s">
        <v>3092</v>
      </c>
      <c r="B195" s="1" t="s">
        <v>1126</v>
      </c>
      <c r="C195" s="1" t="s">
        <v>5351</v>
      </c>
      <c r="D195">
        <v>0</v>
      </c>
      <c r="E195" s="2">
        <v>46520</v>
      </c>
      <c r="F195" s="1" t="s">
        <v>16</v>
      </c>
      <c r="G195" s="1" t="s">
        <v>5351</v>
      </c>
      <c r="H195" s="1" t="s">
        <v>2</v>
      </c>
      <c r="I195" s="2">
        <v>46177</v>
      </c>
      <c r="J195" s="1" t="s">
        <v>224</v>
      </c>
      <c r="K195" s="1" t="s">
        <v>5370</v>
      </c>
      <c r="L195" s="2">
        <v>46177.918923611112</v>
      </c>
      <c r="M195" s="2">
        <v>46177.921329212964</v>
      </c>
    </row>
    <row r="196" spans="1:13" x14ac:dyDescent="0.35">
      <c r="A196" s="1" t="s">
        <v>3092</v>
      </c>
      <c r="B196" s="1" t="s">
        <v>1126</v>
      </c>
      <c r="C196" s="1" t="s">
        <v>5351</v>
      </c>
      <c r="D196">
        <v>0</v>
      </c>
      <c r="E196" s="2">
        <v>46520</v>
      </c>
      <c r="F196" s="1" t="s">
        <v>16</v>
      </c>
      <c r="G196" s="1" t="s">
        <v>5351</v>
      </c>
      <c r="H196" s="1" t="s">
        <v>2</v>
      </c>
      <c r="I196" s="2">
        <v>46177</v>
      </c>
      <c r="J196" s="1" t="s">
        <v>17</v>
      </c>
      <c r="K196" s="1" t="s">
        <v>5388</v>
      </c>
      <c r="L196" s="2">
        <v>46177.92087962963</v>
      </c>
      <c r="M196" s="2">
        <v>46177.921329212964</v>
      </c>
    </row>
    <row r="197" spans="1:13" x14ac:dyDescent="0.35">
      <c r="A197" s="1" t="s">
        <v>3092</v>
      </c>
      <c r="B197" s="1" t="s">
        <v>1126</v>
      </c>
      <c r="C197" s="1" t="s">
        <v>5351</v>
      </c>
      <c r="D197">
        <v>0</v>
      </c>
      <c r="E197" s="2">
        <v>46520</v>
      </c>
      <c r="F197" s="1" t="s">
        <v>16</v>
      </c>
      <c r="G197" s="1" t="s">
        <v>5351</v>
      </c>
      <c r="H197" s="1" t="s">
        <v>2</v>
      </c>
      <c r="I197" s="2">
        <v>46177</v>
      </c>
      <c r="J197" s="1" t="s">
        <v>67</v>
      </c>
      <c r="K197" s="1" t="s">
        <v>5352</v>
      </c>
      <c r="L197" s="2">
        <v>46177.918923611112</v>
      </c>
      <c r="M197" s="2">
        <v>46177.921329212964</v>
      </c>
    </row>
    <row r="198" spans="1:13" x14ac:dyDescent="0.35">
      <c r="A198" s="1" t="s">
        <v>3092</v>
      </c>
      <c r="B198" s="1" t="s">
        <v>1126</v>
      </c>
      <c r="C198" s="1" t="s">
        <v>5351</v>
      </c>
      <c r="D198">
        <v>0</v>
      </c>
      <c r="E198" s="2">
        <v>46520</v>
      </c>
      <c r="F198" s="1" t="s">
        <v>16</v>
      </c>
      <c r="G198" s="1" t="s">
        <v>5351</v>
      </c>
      <c r="H198" s="1" t="s">
        <v>2</v>
      </c>
      <c r="I198" s="2">
        <v>46177</v>
      </c>
      <c r="J198" s="1" t="s">
        <v>18</v>
      </c>
      <c r="K198" s="1" t="s">
        <v>5450</v>
      </c>
      <c r="L198" s="2">
        <v>46177.92087962963</v>
      </c>
      <c r="M198" s="2">
        <v>46177.921329212964</v>
      </c>
    </row>
    <row r="199" spans="1:13" x14ac:dyDescent="0.35">
      <c r="A199" s="1" t="s">
        <v>3092</v>
      </c>
      <c r="B199" s="1" t="s">
        <v>1126</v>
      </c>
      <c r="C199" s="1" t="s">
        <v>5351</v>
      </c>
      <c r="D199">
        <v>0</v>
      </c>
      <c r="E199" s="2">
        <v>46520</v>
      </c>
      <c r="F199" s="1" t="s">
        <v>16</v>
      </c>
      <c r="G199" s="1" t="s">
        <v>5351</v>
      </c>
      <c r="H199" s="1" t="s">
        <v>2</v>
      </c>
      <c r="I199" s="2">
        <v>46177</v>
      </c>
      <c r="J199" s="1" t="s">
        <v>215</v>
      </c>
      <c r="K199" s="1" t="s">
        <v>5352</v>
      </c>
      <c r="L199" s="2">
        <v>46177.918923611112</v>
      </c>
      <c r="M199" s="2">
        <v>46177.921329212964</v>
      </c>
    </row>
    <row r="200" spans="1:13" x14ac:dyDescent="0.35">
      <c r="A200" s="1" t="s">
        <v>3094</v>
      </c>
      <c r="B200" s="1" t="s">
        <v>1126</v>
      </c>
      <c r="C200" s="1" t="s">
        <v>5389</v>
      </c>
      <c r="D200">
        <v>0</v>
      </c>
      <c r="E200" s="2">
        <v>46338</v>
      </c>
      <c r="F200" s="1" t="s">
        <v>16</v>
      </c>
      <c r="G200" s="1" t="s">
        <v>5389</v>
      </c>
      <c r="H200" s="1" t="s">
        <v>2</v>
      </c>
      <c r="I200" s="2">
        <v>46177</v>
      </c>
      <c r="J200" s="1" t="s">
        <v>17</v>
      </c>
      <c r="K200" s="1" t="s">
        <v>5405</v>
      </c>
      <c r="L200" s="2">
        <v>46177.92087962963</v>
      </c>
      <c r="M200" s="2">
        <v>46177.921329212964</v>
      </c>
    </row>
    <row r="201" spans="1:13" x14ac:dyDescent="0.35">
      <c r="A201" s="1" t="s">
        <v>3094</v>
      </c>
      <c r="B201" s="1" t="s">
        <v>1126</v>
      </c>
      <c r="C201" s="1" t="s">
        <v>5389</v>
      </c>
      <c r="D201">
        <v>0</v>
      </c>
      <c r="E201" s="2">
        <v>46338</v>
      </c>
      <c r="F201" s="1" t="s">
        <v>16</v>
      </c>
      <c r="G201" s="1" t="s">
        <v>5389</v>
      </c>
      <c r="H201" s="1" t="s">
        <v>2</v>
      </c>
      <c r="I201" s="2">
        <v>46177</v>
      </c>
      <c r="J201" s="1" t="s">
        <v>224</v>
      </c>
      <c r="K201" s="1" t="s">
        <v>5390</v>
      </c>
      <c r="L201" s="2">
        <v>46177.918923611112</v>
      </c>
      <c r="M201" s="2">
        <v>46177.921329212964</v>
      </c>
    </row>
    <row r="202" spans="1:13" x14ac:dyDescent="0.35">
      <c r="A202" s="1" t="s">
        <v>3094</v>
      </c>
      <c r="B202" s="1" t="s">
        <v>1126</v>
      </c>
      <c r="C202" s="1" t="s">
        <v>5389</v>
      </c>
      <c r="D202">
        <v>0</v>
      </c>
      <c r="E202" s="2">
        <v>46338</v>
      </c>
      <c r="F202" s="1" t="s">
        <v>16</v>
      </c>
      <c r="G202" s="1" t="s">
        <v>5389</v>
      </c>
      <c r="H202" s="1" t="s">
        <v>2</v>
      </c>
      <c r="I202" s="2">
        <v>46177</v>
      </c>
      <c r="J202" s="1" t="s">
        <v>215</v>
      </c>
      <c r="K202" s="1" t="s">
        <v>5431</v>
      </c>
      <c r="L202" s="2">
        <v>46177.918923611112</v>
      </c>
      <c r="M202" s="2">
        <v>46177.921329212964</v>
      </c>
    </row>
    <row r="203" spans="1:13" x14ac:dyDescent="0.35">
      <c r="A203" s="1" t="s">
        <v>3094</v>
      </c>
      <c r="B203" s="1" t="s">
        <v>1126</v>
      </c>
      <c r="C203" s="1" t="s">
        <v>5389</v>
      </c>
      <c r="D203">
        <v>0</v>
      </c>
      <c r="E203" s="2">
        <v>46338</v>
      </c>
      <c r="F203" s="1" t="s">
        <v>16</v>
      </c>
      <c r="G203" s="1" t="s">
        <v>5389</v>
      </c>
      <c r="H203" s="1" t="s">
        <v>2</v>
      </c>
      <c r="I203" s="2">
        <v>46177</v>
      </c>
      <c r="J203" s="1" t="s">
        <v>214</v>
      </c>
      <c r="K203" s="1" t="s">
        <v>5390</v>
      </c>
      <c r="L203" s="2">
        <v>46177.918923611112</v>
      </c>
      <c r="M203" s="2">
        <v>46177.921329212964</v>
      </c>
    </row>
    <row r="204" spans="1:13" x14ac:dyDescent="0.35">
      <c r="A204" s="1" t="s">
        <v>3094</v>
      </c>
      <c r="B204" s="1" t="s">
        <v>1126</v>
      </c>
      <c r="C204" s="1" t="s">
        <v>5389</v>
      </c>
      <c r="D204">
        <v>0</v>
      </c>
      <c r="E204" s="2">
        <v>46338</v>
      </c>
      <c r="F204" s="1" t="s">
        <v>16</v>
      </c>
      <c r="G204" s="1" t="s">
        <v>5389</v>
      </c>
      <c r="H204" s="1" t="s">
        <v>2</v>
      </c>
      <c r="I204" s="2">
        <v>46177</v>
      </c>
      <c r="J204" s="1" t="s">
        <v>18</v>
      </c>
      <c r="K204" s="1" t="s">
        <v>5430</v>
      </c>
      <c r="L204" s="2">
        <v>46177.92087962963</v>
      </c>
      <c r="M204" s="2">
        <v>46177.921329212964</v>
      </c>
    </row>
    <row r="205" spans="1:13" x14ac:dyDescent="0.35">
      <c r="A205" s="1" t="s">
        <v>3094</v>
      </c>
      <c r="B205" s="1" t="s">
        <v>1126</v>
      </c>
      <c r="C205" s="1" t="s">
        <v>5389</v>
      </c>
      <c r="D205">
        <v>0</v>
      </c>
      <c r="E205" s="2">
        <v>46338</v>
      </c>
      <c r="F205" s="1" t="s">
        <v>16</v>
      </c>
      <c r="G205" s="1" t="s">
        <v>5389</v>
      </c>
      <c r="H205" s="1" t="s">
        <v>2</v>
      </c>
      <c r="I205" s="2">
        <v>46177</v>
      </c>
      <c r="J205" s="1" t="s">
        <v>67</v>
      </c>
      <c r="K205" s="1" t="s">
        <v>5431</v>
      </c>
      <c r="L205" s="2">
        <v>46177.918923611112</v>
      </c>
      <c r="M205" s="2">
        <v>46177.921329212964</v>
      </c>
    </row>
    <row r="206" spans="1:13" x14ac:dyDescent="0.35">
      <c r="A206" s="1" t="s">
        <v>3096</v>
      </c>
      <c r="B206" s="1" t="s">
        <v>1126</v>
      </c>
      <c r="C206" s="1" t="s">
        <v>5371</v>
      </c>
      <c r="D206">
        <v>0</v>
      </c>
      <c r="E206" s="2">
        <v>46345</v>
      </c>
      <c r="F206" s="1" t="s">
        <v>16</v>
      </c>
      <c r="G206" s="1" t="s">
        <v>5371</v>
      </c>
      <c r="H206" s="1" t="s">
        <v>2</v>
      </c>
      <c r="I206" s="2">
        <v>46177</v>
      </c>
      <c r="J206" s="1" t="s">
        <v>67</v>
      </c>
      <c r="K206" s="1" t="s">
        <v>5372</v>
      </c>
      <c r="L206" s="2">
        <v>46177.918923611112</v>
      </c>
      <c r="M206" s="2">
        <v>46177.921329212964</v>
      </c>
    </row>
    <row r="207" spans="1:13" x14ac:dyDescent="0.35">
      <c r="A207" s="1" t="s">
        <v>3096</v>
      </c>
      <c r="B207" s="1" t="s">
        <v>1126</v>
      </c>
      <c r="C207" s="1" t="s">
        <v>5371</v>
      </c>
      <c r="D207">
        <v>0</v>
      </c>
      <c r="E207" s="2">
        <v>46345</v>
      </c>
      <c r="F207" s="1" t="s">
        <v>16</v>
      </c>
      <c r="G207" s="1" t="s">
        <v>5371</v>
      </c>
      <c r="H207" s="1" t="s">
        <v>2</v>
      </c>
      <c r="I207" s="2">
        <v>46177</v>
      </c>
      <c r="J207" s="1" t="s">
        <v>214</v>
      </c>
      <c r="K207" s="1" t="s">
        <v>5406</v>
      </c>
      <c r="L207" s="2">
        <v>46177.918923611112</v>
      </c>
      <c r="M207" s="2">
        <v>46177.921329212964</v>
      </c>
    </row>
    <row r="208" spans="1:13" x14ac:dyDescent="0.35">
      <c r="A208" s="1" t="s">
        <v>3096</v>
      </c>
      <c r="B208" s="1" t="s">
        <v>1126</v>
      </c>
      <c r="C208" s="1" t="s">
        <v>5371</v>
      </c>
      <c r="D208">
        <v>0</v>
      </c>
      <c r="E208" s="2">
        <v>46345</v>
      </c>
      <c r="F208" s="1" t="s">
        <v>16</v>
      </c>
      <c r="G208" s="1" t="s">
        <v>5371</v>
      </c>
      <c r="H208" s="1" t="s">
        <v>2</v>
      </c>
      <c r="I208" s="2">
        <v>46177</v>
      </c>
      <c r="J208" s="1" t="s">
        <v>18</v>
      </c>
      <c r="K208" s="1" t="s">
        <v>5423</v>
      </c>
      <c r="L208" s="2">
        <v>46177.92087962963</v>
      </c>
      <c r="M208" s="2">
        <v>46177.921329212964</v>
      </c>
    </row>
    <row r="209" spans="1:13" x14ac:dyDescent="0.35">
      <c r="A209" s="1" t="s">
        <v>3096</v>
      </c>
      <c r="B209" s="1" t="s">
        <v>1126</v>
      </c>
      <c r="C209" s="1" t="s">
        <v>5371</v>
      </c>
      <c r="D209">
        <v>0</v>
      </c>
      <c r="E209" s="2">
        <v>46345</v>
      </c>
      <c r="F209" s="1" t="s">
        <v>16</v>
      </c>
      <c r="G209" s="1" t="s">
        <v>5371</v>
      </c>
      <c r="H209" s="1" t="s">
        <v>2</v>
      </c>
      <c r="I209" s="2">
        <v>46177</v>
      </c>
      <c r="J209" s="1" t="s">
        <v>224</v>
      </c>
      <c r="K209" s="1" t="s">
        <v>5406</v>
      </c>
      <c r="L209" s="2">
        <v>46177.918923611112</v>
      </c>
      <c r="M209" s="2">
        <v>46177.921329212964</v>
      </c>
    </row>
    <row r="210" spans="1:13" x14ac:dyDescent="0.35">
      <c r="A210" s="1" t="s">
        <v>3096</v>
      </c>
      <c r="B210" s="1" t="s">
        <v>1126</v>
      </c>
      <c r="C210" s="1" t="s">
        <v>5371</v>
      </c>
      <c r="D210">
        <v>0</v>
      </c>
      <c r="E210" s="2">
        <v>46345</v>
      </c>
      <c r="F210" s="1" t="s">
        <v>16</v>
      </c>
      <c r="G210" s="1" t="s">
        <v>5371</v>
      </c>
      <c r="H210" s="1" t="s">
        <v>2</v>
      </c>
      <c r="I210" s="2">
        <v>46177</v>
      </c>
      <c r="J210" s="1" t="s">
        <v>215</v>
      </c>
      <c r="K210" s="1" t="s">
        <v>5372</v>
      </c>
      <c r="L210" s="2">
        <v>46177.918923611112</v>
      </c>
      <c r="M210" s="2">
        <v>46177.921329212964</v>
      </c>
    </row>
    <row r="211" spans="1:13" x14ac:dyDescent="0.35">
      <c r="A211" s="1" t="s">
        <v>3096</v>
      </c>
      <c r="B211" s="1" t="s">
        <v>1126</v>
      </c>
      <c r="C211" s="1" t="s">
        <v>5371</v>
      </c>
      <c r="D211">
        <v>0</v>
      </c>
      <c r="E211" s="2">
        <v>46345</v>
      </c>
      <c r="F211" s="1" t="s">
        <v>16</v>
      </c>
      <c r="G211" s="1" t="s">
        <v>5371</v>
      </c>
      <c r="H211" s="1" t="s">
        <v>2</v>
      </c>
      <c r="I211" s="2">
        <v>46177</v>
      </c>
      <c r="J211" s="1" t="s">
        <v>17</v>
      </c>
      <c r="K211" s="1" t="s">
        <v>5448</v>
      </c>
      <c r="L211" s="2">
        <v>46177.92087962963</v>
      </c>
      <c r="M211" s="2">
        <v>46177.921329212964</v>
      </c>
    </row>
    <row r="212" spans="1:13" x14ac:dyDescent="0.35">
      <c r="A212" s="1" t="s">
        <v>3098</v>
      </c>
      <c r="B212" s="1" t="s">
        <v>1126</v>
      </c>
      <c r="C212" s="1" t="s">
        <v>5373</v>
      </c>
      <c r="D212">
        <v>0</v>
      </c>
      <c r="E212" s="2">
        <v>46359</v>
      </c>
      <c r="F212" s="1" t="s">
        <v>16</v>
      </c>
      <c r="G212" s="1" t="s">
        <v>5373</v>
      </c>
      <c r="H212" s="1" t="s">
        <v>2</v>
      </c>
      <c r="I212" s="2">
        <v>46177</v>
      </c>
      <c r="J212" s="1" t="s">
        <v>224</v>
      </c>
      <c r="K212" s="1" t="s">
        <v>5374</v>
      </c>
      <c r="L212" s="2">
        <v>46177.918923611112</v>
      </c>
      <c r="M212" s="2">
        <v>46177.921329212964</v>
      </c>
    </row>
    <row r="213" spans="1:13" x14ac:dyDescent="0.35">
      <c r="A213" s="1" t="s">
        <v>3098</v>
      </c>
      <c r="B213" s="1" t="s">
        <v>1126</v>
      </c>
      <c r="C213" s="1" t="s">
        <v>5373</v>
      </c>
      <c r="D213">
        <v>0</v>
      </c>
      <c r="E213" s="2">
        <v>46359</v>
      </c>
      <c r="F213" s="1" t="s">
        <v>16</v>
      </c>
      <c r="G213" s="1" t="s">
        <v>5373</v>
      </c>
      <c r="H213" s="1" t="s">
        <v>2</v>
      </c>
      <c r="I213" s="2">
        <v>46177</v>
      </c>
      <c r="J213" s="1" t="s">
        <v>18</v>
      </c>
      <c r="K213" s="1" t="s">
        <v>5407</v>
      </c>
      <c r="L213" s="2">
        <v>46177.92087962963</v>
      </c>
      <c r="M213" s="2">
        <v>46177.921329212964</v>
      </c>
    </row>
    <row r="214" spans="1:13" x14ac:dyDescent="0.35">
      <c r="A214" s="1" t="s">
        <v>3098</v>
      </c>
      <c r="B214" s="1" t="s">
        <v>1126</v>
      </c>
      <c r="C214" s="1" t="s">
        <v>5373</v>
      </c>
      <c r="D214">
        <v>0</v>
      </c>
      <c r="E214" s="2">
        <v>46359</v>
      </c>
      <c r="F214" s="1" t="s">
        <v>16</v>
      </c>
      <c r="G214" s="1" t="s">
        <v>5373</v>
      </c>
      <c r="H214" s="1" t="s">
        <v>2</v>
      </c>
      <c r="I214" s="2">
        <v>46177</v>
      </c>
      <c r="J214" s="1" t="s">
        <v>67</v>
      </c>
      <c r="K214" s="1" t="s">
        <v>5424</v>
      </c>
      <c r="L214" s="2">
        <v>46177.918923611112</v>
      </c>
      <c r="M214" s="2">
        <v>46177.921329212964</v>
      </c>
    </row>
    <row r="215" spans="1:13" x14ac:dyDescent="0.35">
      <c r="A215" s="1" t="s">
        <v>3098</v>
      </c>
      <c r="B215" s="1" t="s">
        <v>1126</v>
      </c>
      <c r="C215" s="1" t="s">
        <v>5373</v>
      </c>
      <c r="D215">
        <v>0</v>
      </c>
      <c r="E215" s="2">
        <v>46359</v>
      </c>
      <c r="F215" s="1" t="s">
        <v>16</v>
      </c>
      <c r="G215" s="1" t="s">
        <v>5373</v>
      </c>
      <c r="H215" s="1" t="s">
        <v>2</v>
      </c>
      <c r="I215" s="2">
        <v>46177</v>
      </c>
      <c r="J215" s="1" t="s">
        <v>215</v>
      </c>
      <c r="K215" s="1" t="s">
        <v>5424</v>
      </c>
      <c r="L215" s="2">
        <v>46177.918923611112</v>
      </c>
      <c r="M215" s="2">
        <v>46177.921329212964</v>
      </c>
    </row>
    <row r="216" spans="1:13" x14ac:dyDescent="0.35">
      <c r="A216" s="1" t="s">
        <v>3098</v>
      </c>
      <c r="B216" s="1" t="s">
        <v>1126</v>
      </c>
      <c r="C216" s="1" t="s">
        <v>5373</v>
      </c>
      <c r="D216">
        <v>0</v>
      </c>
      <c r="E216" s="2">
        <v>46359</v>
      </c>
      <c r="F216" s="1" t="s">
        <v>16</v>
      </c>
      <c r="G216" s="1" t="s">
        <v>5373</v>
      </c>
      <c r="H216" s="1" t="s">
        <v>2</v>
      </c>
      <c r="I216" s="2">
        <v>46177</v>
      </c>
      <c r="J216" s="1" t="s">
        <v>17</v>
      </c>
      <c r="K216" s="1" t="s">
        <v>5391</v>
      </c>
      <c r="L216" s="2">
        <v>46177.92087962963</v>
      </c>
      <c r="M216" s="2">
        <v>46177.921329212964</v>
      </c>
    </row>
    <row r="217" spans="1:13" x14ac:dyDescent="0.35">
      <c r="A217" s="1" t="s">
        <v>3098</v>
      </c>
      <c r="B217" s="1" t="s">
        <v>1126</v>
      </c>
      <c r="C217" s="1" t="s">
        <v>5373</v>
      </c>
      <c r="D217">
        <v>0</v>
      </c>
      <c r="E217" s="2">
        <v>46359</v>
      </c>
      <c r="F217" s="1" t="s">
        <v>16</v>
      </c>
      <c r="G217" s="1" t="s">
        <v>5373</v>
      </c>
      <c r="H217" s="1" t="s">
        <v>2</v>
      </c>
      <c r="I217" s="2">
        <v>46177</v>
      </c>
      <c r="J217" s="1" t="s">
        <v>214</v>
      </c>
      <c r="K217" s="1" t="s">
        <v>5374</v>
      </c>
      <c r="L217" s="2">
        <v>46177.918923611112</v>
      </c>
      <c r="M217" s="2">
        <v>46177.921329212964</v>
      </c>
    </row>
    <row r="218" spans="1:13" x14ac:dyDescent="0.35">
      <c r="A218" s="1" t="s">
        <v>3100</v>
      </c>
      <c r="B218" s="1" t="s">
        <v>1126</v>
      </c>
      <c r="C218" s="1" t="s">
        <v>5408</v>
      </c>
      <c r="D218">
        <v>0</v>
      </c>
      <c r="E218" s="2">
        <v>46273</v>
      </c>
      <c r="F218" s="1" t="s">
        <v>16</v>
      </c>
      <c r="G218" s="1" t="s">
        <v>5408</v>
      </c>
      <c r="H218" s="1" t="s">
        <v>2</v>
      </c>
      <c r="I218" s="2">
        <v>46177</v>
      </c>
      <c r="J218" s="1" t="s">
        <v>18</v>
      </c>
      <c r="K218" s="1" t="s">
        <v>5337</v>
      </c>
      <c r="L218" s="2">
        <v>46177.92087962963</v>
      </c>
      <c r="M218" s="2">
        <v>46177.921329212964</v>
      </c>
    </row>
    <row r="219" spans="1:13" x14ac:dyDescent="0.35">
      <c r="A219" s="1" t="s">
        <v>3100</v>
      </c>
      <c r="B219" s="1" t="s">
        <v>1126</v>
      </c>
      <c r="C219" s="1" t="s">
        <v>5408</v>
      </c>
      <c r="D219">
        <v>0</v>
      </c>
      <c r="E219" s="2">
        <v>46273</v>
      </c>
      <c r="F219" s="1" t="s">
        <v>16</v>
      </c>
      <c r="G219" s="1" t="s">
        <v>5408</v>
      </c>
      <c r="H219" s="1" t="s">
        <v>2</v>
      </c>
      <c r="I219" s="2">
        <v>46177</v>
      </c>
      <c r="J219" s="1" t="s">
        <v>17</v>
      </c>
      <c r="K219" s="1" t="s">
        <v>5432</v>
      </c>
      <c r="L219" s="2">
        <v>46177.92087962963</v>
      </c>
      <c r="M219" s="2">
        <v>46177.921329212964</v>
      </c>
    </row>
    <row r="220" spans="1:13" x14ac:dyDescent="0.35">
      <c r="A220" s="1" t="s">
        <v>3102</v>
      </c>
      <c r="B220" s="1" t="s">
        <v>1126</v>
      </c>
      <c r="C220" s="1" t="s">
        <v>5434</v>
      </c>
      <c r="D220">
        <v>0</v>
      </c>
      <c r="E220" s="2">
        <v>46280</v>
      </c>
      <c r="F220" s="1" t="s">
        <v>16</v>
      </c>
      <c r="G220" s="1" t="s">
        <v>5434</v>
      </c>
      <c r="H220" s="1" t="s">
        <v>2</v>
      </c>
      <c r="I220" s="2">
        <v>46177</v>
      </c>
      <c r="J220" s="1" t="s">
        <v>18</v>
      </c>
      <c r="K220" s="1" t="s">
        <v>5435</v>
      </c>
      <c r="L220" s="2">
        <v>46177.92087962963</v>
      </c>
      <c r="M220" s="2">
        <v>46177.921329212964</v>
      </c>
    </row>
    <row r="221" spans="1:13" x14ac:dyDescent="0.35">
      <c r="A221" s="1" t="s">
        <v>3102</v>
      </c>
      <c r="B221" s="1" t="s">
        <v>1126</v>
      </c>
      <c r="C221" s="1" t="s">
        <v>5434</v>
      </c>
      <c r="D221">
        <v>0</v>
      </c>
      <c r="E221" s="2">
        <v>46280</v>
      </c>
      <c r="F221" s="1" t="s">
        <v>16</v>
      </c>
      <c r="G221" s="1" t="s">
        <v>5434</v>
      </c>
      <c r="H221" s="1" t="s">
        <v>2</v>
      </c>
      <c r="I221" s="2">
        <v>46177</v>
      </c>
      <c r="J221" s="1" t="s">
        <v>17</v>
      </c>
      <c r="K221" s="1" t="s">
        <v>5449</v>
      </c>
      <c r="L221" s="2">
        <v>46177.92087962963</v>
      </c>
      <c r="M221" s="2">
        <v>46177.921329212964</v>
      </c>
    </row>
    <row r="222" spans="1:13" x14ac:dyDescent="0.35">
      <c r="A222" s="1" t="s">
        <v>3104</v>
      </c>
      <c r="B222" s="1" t="s">
        <v>1126</v>
      </c>
      <c r="C222" s="1" t="s">
        <v>5375</v>
      </c>
      <c r="D222">
        <v>0</v>
      </c>
      <c r="E222" s="2">
        <v>46287</v>
      </c>
      <c r="F222" s="1" t="s">
        <v>16</v>
      </c>
      <c r="G222" s="1" t="s">
        <v>5375</v>
      </c>
      <c r="H222" s="1" t="s">
        <v>2</v>
      </c>
      <c r="I222" s="2">
        <v>46177</v>
      </c>
      <c r="J222" s="1" t="s">
        <v>17</v>
      </c>
      <c r="K222" s="1" t="s">
        <v>2361</v>
      </c>
      <c r="L222" s="2">
        <v>46177.92087962963</v>
      </c>
      <c r="M222" s="2">
        <v>46177.921329212964</v>
      </c>
    </row>
    <row r="223" spans="1:13" x14ac:dyDescent="0.35">
      <c r="A223" s="1" t="s">
        <v>3104</v>
      </c>
      <c r="B223" s="1" t="s">
        <v>1126</v>
      </c>
      <c r="C223" s="1" t="s">
        <v>5375</v>
      </c>
      <c r="D223">
        <v>0</v>
      </c>
      <c r="E223" s="2">
        <v>46287</v>
      </c>
      <c r="F223" s="1" t="s">
        <v>16</v>
      </c>
      <c r="G223" s="1" t="s">
        <v>5375</v>
      </c>
      <c r="H223" s="1" t="s">
        <v>2</v>
      </c>
      <c r="I223" s="2">
        <v>46177</v>
      </c>
      <c r="J223" s="1" t="s">
        <v>18</v>
      </c>
      <c r="K223" s="1" t="s">
        <v>5433</v>
      </c>
      <c r="L223" s="2">
        <v>46177.92087962963</v>
      </c>
      <c r="M223" s="2">
        <v>46177.921329212964</v>
      </c>
    </row>
    <row r="224" spans="1:13" x14ac:dyDescent="0.35">
      <c r="A224" s="1" t="s">
        <v>3106</v>
      </c>
      <c r="B224" s="1" t="s">
        <v>1126</v>
      </c>
      <c r="C224" s="1" t="s">
        <v>5409</v>
      </c>
      <c r="D224">
        <v>0</v>
      </c>
      <c r="E224" s="2">
        <v>46294</v>
      </c>
      <c r="F224" s="1" t="s">
        <v>16</v>
      </c>
      <c r="G224" s="1" t="s">
        <v>5409</v>
      </c>
      <c r="H224" s="1" t="s">
        <v>2</v>
      </c>
      <c r="I224" s="2">
        <v>46177</v>
      </c>
      <c r="J224" s="1" t="s">
        <v>17</v>
      </c>
      <c r="K224" s="1" t="s">
        <v>5410</v>
      </c>
      <c r="L224" s="2">
        <v>46177.92087962963</v>
      </c>
      <c r="M224" s="2">
        <v>46177.921329212964</v>
      </c>
    </row>
    <row r="225" spans="1:13" x14ac:dyDescent="0.35">
      <c r="A225" s="1" t="s">
        <v>3106</v>
      </c>
      <c r="B225" s="1" t="s">
        <v>1126</v>
      </c>
      <c r="C225" s="1" t="s">
        <v>5409</v>
      </c>
      <c r="D225">
        <v>0</v>
      </c>
      <c r="E225" s="2">
        <v>46294</v>
      </c>
      <c r="F225" s="1" t="s">
        <v>16</v>
      </c>
      <c r="G225" s="1" t="s">
        <v>5409</v>
      </c>
      <c r="H225" s="1" t="s">
        <v>2</v>
      </c>
      <c r="I225" s="2">
        <v>46177</v>
      </c>
      <c r="J225" s="1" t="s">
        <v>18</v>
      </c>
      <c r="K225" s="1" t="s">
        <v>5436</v>
      </c>
      <c r="L225" s="2">
        <v>46177.92087962963</v>
      </c>
      <c r="M225" s="2">
        <v>46177.921329212964</v>
      </c>
    </row>
    <row r="226" spans="1:13" x14ac:dyDescent="0.35">
      <c r="A226" s="1" t="s">
        <v>1227</v>
      </c>
      <c r="B226" s="1" t="s">
        <v>13</v>
      </c>
      <c r="C226" s="1" t="s">
        <v>2320</v>
      </c>
      <c r="D226">
        <v>0</v>
      </c>
      <c r="E226" s="2">
        <v>46249</v>
      </c>
      <c r="F226" s="1" t="s">
        <v>16</v>
      </c>
      <c r="G226" s="1" t="s">
        <v>2320</v>
      </c>
      <c r="H226" s="1" t="s">
        <v>2</v>
      </c>
      <c r="I226" s="2">
        <v>46177</v>
      </c>
      <c r="J226" s="1" t="s">
        <v>18</v>
      </c>
      <c r="K226" s="1" t="s">
        <v>4350</v>
      </c>
      <c r="L226" s="2">
        <v>46177.92087962963</v>
      </c>
      <c r="M226" s="2">
        <v>46177.921329212964</v>
      </c>
    </row>
    <row r="227" spans="1:13" x14ac:dyDescent="0.35">
      <c r="A227" s="1" t="s">
        <v>1227</v>
      </c>
      <c r="B227" s="1" t="s">
        <v>13</v>
      </c>
      <c r="C227" s="1" t="s">
        <v>2320</v>
      </c>
      <c r="D227">
        <v>0</v>
      </c>
      <c r="E227" s="2">
        <v>46249</v>
      </c>
      <c r="F227" s="1" t="s">
        <v>16</v>
      </c>
      <c r="G227" s="1" t="s">
        <v>2320</v>
      </c>
      <c r="H227" s="1" t="s">
        <v>2</v>
      </c>
      <c r="I227" s="2">
        <v>46177</v>
      </c>
      <c r="J227" s="1" t="s">
        <v>17</v>
      </c>
      <c r="K227" s="1" t="s">
        <v>4412</v>
      </c>
      <c r="L227" s="2">
        <v>46177.92087962963</v>
      </c>
      <c r="M227" s="2">
        <v>46177.921329212964</v>
      </c>
    </row>
    <row r="228" spans="1:13" x14ac:dyDescent="0.35">
      <c r="A228" s="1" t="s">
        <v>72</v>
      </c>
      <c r="B228" s="1" t="s">
        <v>13</v>
      </c>
      <c r="C228" s="1" t="s">
        <v>2319</v>
      </c>
      <c r="D228">
        <v>0</v>
      </c>
      <c r="E228" s="2">
        <v>46341</v>
      </c>
      <c r="F228" s="1" t="s">
        <v>16</v>
      </c>
      <c r="G228" s="1" t="s">
        <v>2319</v>
      </c>
      <c r="H228" s="1" t="s">
        <v>2</v>
      </c>
      <c r="I228" s="2">
        <v>46177</v>
      </c>
      <c r="J228" s="1" t="s">
        <v>17</v>
      </c>
      <c r="K228" s="1" t="s">
        <v>4365</v>
      </c>
      <c r="L228" s="2">
        <v>46177.92087962963</v>
      </c>
      <c r="M228" s="2">
        <v>46177.921329212964</v>
      </c>
    </row>
    <row r="229" spans="1:13" x14ac:dyDescent="0.35">
      <c r="A229" s="1" t="s">
        <v>72</v>
      </c>
      <c r="B229" s="1" t="s">
        <v>13</v>
      </c>
      <c r="C229" s="1" t="s">
        <v>2319</v>
      </c>
      <c r="D229">
        <v>0</v>
      </c>
      <c r="E229" s="2">
        <v>46341</v>
      </c>
      <c r="F229" s="1" t="s">
        <v>16</v>
      </c>
      <c r="G229" s="1" t="s">
        <v>2319</v>
      </c>
      <c r="H229" s="1" t="s">
        <v>2</v>
      </c>
      <c r="I229" s="2">
        <v>46177</v>
      </c>
      <c r="J229" s="1" t="s">
        <v>18</v>
      </c>
      <c r="K229" s="1" t="s">
        <v>4366</v>
      </c>
      <c r="L229" s="2">
        <v>46177.92087962963</v>
      </c>
      <c r="M229" s="2">
        <v>46177.921329212964</v>
      </c>
    </row>
    <row r="230" spans="1:13" x14ac:dyDescent="0.35">
      <c r="A230" s="1" t="s">
        <v>225</v>
      </c>
      <c r="B230" s="1" t="s">
        <v>13</v>
      </c>
      <c r="C230" s="1" t="s">
        <v>226</v>
      </c>
      <c r="D230">
        <v>0</v>
      </c>
      <c r="E230" s="2">
        <v>46433</v>
      </c>
      <c r="F230" s="1" t="s">
        <v>16</v>
      </c>
      <c r="G230" s="1" t="s">
        <v>226</v>
      </c>
      <c r="H230" s="1" t="s">
        <v>2</v>
      </c>
      <c r="I230" s="2">
        <v>46177</v>
      </c>
      <c r="J230" s="1" t="s">
        <v>17</v>
      </c>
      <c r="K230" s="1" t="s">
        <v>4385</v>
      </c>
      <c r="L230" s="2">
        <v>46177.92087962963</v>
      </c>
      <c r="M230" s="2">
        <v>46177.921329212964</v>
      </c>
    </row>
    <row r="231" spans="1:13" x14ac:dyDescent="0.35">
      <c r="A231" s="1" t="s">
        <v>225</v>
      </c>
      <c r="B231" s="1" t="s">
        <v>13</v>
      </c>
      <c r="C231" s="1" t="s">
        <v>226</v>
      </c>
      <c r="D231">
        <v>0</v>
      </c>
      <c r="E231" s="2">
        <v>46433</v>
      </c>
      <c r="F231" s="1" t="s">
        <v>16</v>
      </c>
      <c r="G231" s="1" t="s">
        <v>226</v>
      </c>
      <c r="H231" s="1" t="s">
        <v>2</v>
      </c>
      <c r="I231" s="2">
        <v>46177</v>
      </c>
      <c r="J231" s="1" t="s">
        <v>18</v>
      </c>
      <c r="K231" s="1" t="s">
        <v>4437</v>
      </c>
      <c r="L231" s="2">
        <v>46177.92087962963</v>
      </c>
      <c r="M231" s="2">
        <v>46177.921329212964</v>
      </c>
    </row>
    <row r="232" spans="1:13" x14ac:dyDescent="0.35">
      <c r="A232" s="1" t="s">
        <v>73</v>
      </c>
      <c r="B232" s="1" t="s">
        <v>13</v>
      </c>
      <c r="C232" s="1" t="s">
        <v>74</v>
      </c>
      <c r="D232">
        <v>0</v>
      </c>
      <c r="E232" s="2">
        <v>46614</v>
      </c>
      <c r="F232" s="1" t="s">
        <v>16</v>
      </c>
      <c r="G232" s="1" t="s">
        <v>74</v>
      </c>
      <c r="H232" s="1" t="s">
        <v>2</v>
      </c>
      <c r="I232" s="2">
        <v>46177</v>
      </c>
      <c r="J232" s="1" t="s">
        <v>17</v>
      </c>
      <c r="K232" s="1" t="s">
        <v>4460</v>
      </c>
      <c r="L232" s="2">
        <v>46177.92087962963</v>
      </c>
      <c r="M232" s="2">
        <v>46177.921329212964</v>
      </c>
    </row>
    <row r="233" spans="1:13" x14ac:dyDescent="0.35">
      <c r="A233" s="1" t="s">
        <v>73</v>
      </c>
      <c r="B233" s="1" t="s">
        <v>13</v>
      </c>
      <c r="C233" s="1" t="s">
        <v>74</v>
      </c>
      <c r="D233">
        <v>0</v>
      </c>
      <c r="E233" s="2">
        <v>46614</v>
      </c>
      <c r="F233" s="1" t="s">
        <v>16</v>
      </c>
      <c r="G233" s="1" t="s">
        <v>74</v>
      </c>
      <c r="H233" s="1" t="s">
        <v>2</v>
      </c>
      <c r="I233" s="2">
        <v>46177</v>
      </c>
      <c r="J233" s="1" t="s">
        <v>18</v>
      </c>
      <c r="K233" s="1" t="s">
        <v>4386</v>
      </c>
      <c r="L233" s="2">
        <v>46177.92087962963</v>
      </c>
      <c r="M233" s="2">
        <v>46177.921329212964</v>
      </c>
    </row>
    <row r="234" spans="1:13" x14ac:dyDescent="0.35">
      <c r="A234" s="1" t="s">
        <v>14</v>
      </c>
      <c r="B234" s="1" t="s">
        <v>13</v>
      </c>
      <c r="C234" s="1" t="s">
        <v>15</v>
      </c>
      <c r="D234">
        <v>0</v>
      </c>
      <c r="E234" s="2">
        <v>46706</v>
      </c>
      <c r="F234" s="1" t="s">
        <v>16</v>
      </c>
      <c r="G234" s="1" t="s">
        <v>15</v>
      </c>
      <c r="H234" s="1" t="s">
        <v>2</v>
      </c>
      <c r="I234" s="2">
        <v>46177</v>
      </c>
      <c r="J234" s="1" t="s">
        <v>18</v>
      </c>
      <c r="K234" s="1" t="s">
        <v>4335</v>
      </c>
      <c r="L234" s="2">
        <v>46177.92087962963</v>
      </c>
      <c r="M234" s="2">
        <v>46177.921329212964</v>
      </c>
    </row>
    <row r="235" spans="1:13" x14ac:dyDescent="0.35">
      <c r="A235" s="1" t="s">
        <v>14</v>
      </c>
      <c r="B235" s="1" t="s">
        <v>13</v>
      </c>
      <c r="C235" s="1" t="s">
        <v>15</v>
      </c>
      <c r="D235">
        <v>0</v>
      </c>
      <c r="E235" s="2">
        <v>46706</v>
      </c>
      <c r="F235" s="1" t="s">
        <v>16</v>
      </c>
      <c r="G235" s="1" t="s">
        <v>15</v>
      </c>
      <c r="H235" s="1" t="s">
        <v>2</v>
      </c>
      <c r="I235" s="2">
        <v>46177</v>
      </c>
      <c r="J235" s="1" t="s">
        <v>17</v>
      </c>
      <c r="K235" s="1" t="s">
        <v>4387</v>
      </c>
      <c r="L235" s="2">
        <v>46177.92087962963</v>
      </c>
      <c r="M235" s="2">
        <v>46177.921329212964</v>
      </c>
    </row>
    <row r="236" spans="1:13" x14ac:dyDescent="0.35">
      <c r="A236" s="1" t="s">
        <v>19</v>
      </c>
      <c r="B236" s="1" t="s">
        <v>13</v>
      </c>
      <c r="C236" s="1" t="s">
        <v>20</v>
      </c>
      <c r="D236">
        <v>0</v>
      </c>
      <c r="E236" s="2">
        <v>46980</v>
      </c>
      <c r="F236" s="1" t="s">
        <v>16</v>
      </c>
      <c r="G236" s="1" t="s">
        <v>20</v>
      </c>
      <c r="H236" s="1" t="s">
        <v>2</v>
      </c>
      <c r="I236" s="2">
        <v>46177</v>
      </c>
      <c r="J236" s="1" t="s">
        <v>17</v>
      </c>
      <c r="K236" s="1" t="s">
        <v>4413</v>
      </c>
      <c r="L236" s="2">
        <v>46177.92087962963</v>
      </c>
      <c r="M236" s="2">
        <v>46177.921329212964</v>
      </c>
    </row>
    <row r="237" spans="1:13" x14ac:dyDescent="0.35">
      <c r="A237" s="1" t="s">
        <v>19</v>
      </c>
      <c r="B237" s="1" t="s">
        <v>13</v>
      </c>
      <c r="C237" s="1" t="s">
        <v>20</v>
      </c>
      <c r="D237">
        <v>0</v>
      </c>
      <c r="E237" s="2">
        <v>46980</v>
      </c>
      <c r="F237" s="1" t="s">
        <v>16</v>
      </c>
      <c r="G237" s="1" t="s">
        <v>20</v>
      </c>
      <c r="H237" s="1" t="s">
        <v>2</v>
      </c>
      <c r="I237" s="2">
        <v>46177</v>
      </c>
      <c r="J237" s="1" t="s">
        <v>18</v>
      </c>
      <c r="K237" s="1" t="s">
        <v>4438</v>
      </c>
      <c r="L237" s="2">
        <v>46177.92087962963</v>
      </c>
      <c r="M237" s="2">
        <v>46177.921329212964</v>
      </c>
    </row>
    <row r="238" spans="1:13" x14ac:dyDescent="0.35">
      <c r="A238" s="1" t="s">
        <v>116</v>
      </c>
      <c r="B238" s="1" t="s">
        <v>13</v>
      </c>
      <c r="C238" s="1" t="s">
        <v>117</v>
      </c>
      <c r="D238">
        <v>0</v>
      </c>
      <c r="E238" s="2">
        <v>47072</v>
      </c>
      <c r="F238" s="1" t="s">
        <v>16</v>
      </c>
      <c r="G238" s="1" t="s">
        <v>117</v>
      </c>
      <c r="H238" s="1" t="s">
        <v>2</v>
      </c>
      <c r="I238" s="2">
        <v>46177</v>
      </c>
      <c r="J238" s="1" t="s">
        <v>17</v>
      </c>
      <c r="K238" s="1" t="s">
        <v>4388</v>
      </c>
      <c r="L238" s="2">
        <v>46177.92087962963</v>
      </c>
      <c r="M238" s="2">
        <v>46177.921329212964</v>
      </c>
    </row>
    <row r="239" spans="1:13" x14ac:dyDescent="0.35">
      <c r="A239" s="1" t="s">
        <v>116</v>
      </c>
      <c r="B239" s="1" t="s">
        <v>13</v>
      </c>
      <c r="C239" s="1" t="s">
        <v>117</v>
      </c>
      <c r="D239">
        <v>0</v>
      </c>
      <c r="E239" s="2">
        <v>47072</v>
      </c>
      <c r="F239" s="1" t="s">
        <v>16</v>
      </c>
      <c r="G239" s="1" t="s">
        <v>117</v>
      </c>
      <c r="H239" s="1" t="s">
        <v>2</v>
      </c>
      <c r="I239" s="2">
        <v>46177</v>
      </c>
      <c r="J239" s="1" t="s">
        <v>18</v>
      </c>
      <c r="K239" s="1" t="s">
        <v>4389</v>
      </c>
      <c r="L239" s="2">
        <v>46177.92087962963</v>
      </c>
      <c r="M239" s="2">
        <v>46177.921329212964</v>
      </c>
    </row>
    <row r="240" spans="1:13" x14ac:dyDescent="0.35">
      <c r="A240" s="1" t="s">
        <v>75</v>
      </c>
      <c r="B240" s="1" t="s">
        <v>13</v>
      </c>
      <c r="C240" s="1" t="s">
        <v>76</v>
      </c>
      <c r="D240">
        <v>0</v>
      </c>
      <c r="E240" s="2">
        <v>47164</v>
      </c>
      <c r="F240" s="1" t="s">
        <v>16</v>
      </c>
      <c r="G240" s="1" t="s">
        <v>76</v>
      </c>
      <c r="H240" s="1" t="s">
        <v>2</v>
      </c>
      <c r="I240" s="2">
        <v>46177</v>
      </c>
      <c r="J240" s="1" t="s">
        <v>18</v>
      </c>
      <c r="K240" s="1" t="s">
        <v>4461</v>
      </c>
      <c r="L240" s="2">
        <v>46177.92087962963</v>
      </c>
      <c r="M240" s="2">
        <v>46177.921329212964</v>
      </c>
    </row>
    <row r="241" spans="1:13" x14ac:dyDescent="0.35">
      <c r="A241" s="1" t="s">
        <v>75</v>
      </c>
      <c r="B241" s="1" t="s">
        <v>13</v>
      </c>
      <c r="C241" s="1" t="s">
        <v>76</v>
      </c>
      <c r="D241">
        <v>0</v>
      </c>
      <c r="E241" s="2">
        <v>47164</v>
      </c>
      <c r="F241" s="1" t="s">
        <v>16</v>
      </c>
      <c r="G241" s="1" t="s">
        <v>76</v>
      </c>
      <c r="H241" s="1" t="s">
        <v>2</v>
      </c>
      <c r="I241" s="2">
        <v>46177</v>
      </c>
      <c r="J241" s="1" t="s">
        <v>17</v>
      </c>
      <c r="K241" s="1" t="s">
        <v>4390</v>
      </c>
      <c r="L241" s="2">
        <v>46177.92087962963</v>
      </c>
      <c r="M241" s="2">
        <v>46177.921329212964</v>
      </c>
    </row>
    <row r="242" spans="1:13" x14ac:dyDescent="0.35">
      <c r="A242" s="1" t="s">
        <v>227</v>
      </c>
      <c r="B242" s="1" t="s">
        <v>13</v>
      </c>
      <c r="C242" s="1" t="s">
        <v>228</v>
      </c>
      <c r="D242">
        <v>0</v>
      </c>
      <c r="E242" s="2">
        <v>47345</v>
      </c>
      <c r="F242" s="1" t="s">
        <v>16</v>
      </c>
      <c r="G242" s="1" t="s">
        <v>228</v>
      </c>
      <c r="H242" s="1" t="s">
        <v>2</v>
      </c>
      <c r="I242" s="2">
        <v>46177</v>
      </c>
      <c r="J242" s="1" t="s">
        <v>17</v>
      </c>
      <c r="K242" s="1" t="s">
        <v>4309</v>
      </c>
      <c r="L242" s="2">
        <v>46177.92087962963</v>
      </c>
      <c r="M242" s="2">
        <v>46177.921329212964</v>
      </c>
    </row>
    <row r="243" spans="1:13" x14ac:dyDescent="0.35">
      <c r="A243" s="1" t="s">
        <v>227</v>
      </c>
      <c r="B243" s="1" t="s">
        <v>13</v>
      </c>
      <c r="C243" s="1" t="s">
        <v>228</v>
      </c>
      <c r="D243">
        <v>0</v>
      </c>
      <c r="E243" s="2">
        <v>47345</v>
      </c>
      <c r="F243" s="1" t="s">
        <v>16</v>
      </c>
      <c r="G243" s="1" t="s">
        <v>228</v>
      </c>
      <c r="H243" s="1" t="s">
        <v>2</v>
      </c>
      <c r="I243" s="2">
        <v>46177</v>
      </c>
      <c r="J243" s="1" t="s">
        <v>18</v>
      </c>
      <c r="K243" s="1" t="s">
        <v>4310</v>
      </c>
      <c r="L243" s="2">
        <v>46177.92087962963</v>
      </c>
      <c r="M243" s="2">
        <v>46177.921329212964</v>
      </c>
    </row>
    <row r="244" spans="1:13" x14ac:dyDescent="0.35">
      <c r="A244" s="1" t="s">
        <v>152</v>
      </c>
      <c r="B244" s="1" t="s">
        <v>13</v>
      </c>
      <c r="C244" s="1" t="s">
        <v>153</v>
      </c>
      <c r="D244">
        <v>0</v>
      </c>
      <c r="E244" s="2">
        <v>47618</v>
      </c>
      <c r="F244" s="1" t="s">
        <v>16</v>
      </c>
      <c r="G244" s="1" t="s">
        <v>153</v>
      </c>
      <c r="H244" s="1" t="s">
        <v>2</v>
      </c>
      <c r="I244" s="2">
        <v>46177</v>
      </c>
      <c r="J244" s="1" t="s">
        <v>17</v>
      </c>
      <c r="K244" s="1" t="s">
        <v>4311</v>
      </c>
      <c r="L244" s="2">
        <v>46177.92087962963</v>
      </c>
      <c r="M244" s="2">
        <v>46177.921329212964</v>
      </c>
    </row>
    <row r="245" spans="1:13" x14ac:dyDescent="0.35">
      <c r="A245" s="1" t="s">
        <v>152</v>
      </c>
      <c r="B245" s="1" t="s">
        <v>13</v>
      </c>
      <c r="C245" s="1" t="s">
        <v>153</v>
      </c>
      <c r="D245">
        <v>0</v>
      </c>
      <c r="E245" s="2">
        <v>47618</v>
      </c>
      <c r="F245" s="1" t="s">
        <v>16</v>
      </c>
      <c r="G245" s="1" t="s">
        <v>153</v>
      </c>
      <c r="H245" s="1" t="s">
        <v>2</v>
      </c>
      <c r="I245" s="2">
        <v>46177</v>
      </c>
      <c r="J245" s="1" t="s">
        <v>18</v>
      </c>
      <c r="K245" s="1" t="s">
        <v>4439</v>
      </c>
      <c r="L245" s="2">
        <v>46177.92087962963</v>
      </c>
      <c r="M245" s="2">
        <v>46177.921329212964</v>
      </c>
    </row>
    <row r="246" spans="1:13" x14ac:dyDescent="0.35">
      <c r="A246" s="1" t="s">
        <v>21</v>
      </c>
      <c r="B246" s="1" t="s">
        <v>13</v>
      </c>
      <c r="C246" s="1" t="s">
        <v>22</v>
      </c>
      <c r="D246">
        <v>0</v>
      </c>
      <c r="E246" s="2">
        <v>47894</v>
      </c>
      <c r="F246" s="1" t="s">
        <v>16</v>
      </c>
      <c r="G246" s="1" t="s">
        <v>22</v>
      </c>
      <c r="H246" s="1" t="s">
        <v>2</v>
      </c>
      <c r="I246" s="2">
        <v>46177</v>
      </c>
      <c r="J246" s="1" t="s">
        <v>17</v>
      </c>
      <c r="K246" s="1" t="s">
        <v>4414</v>
      </c>
      <c r="L246" s="2">
        <v>46177.92087962963</v>
      </c>
      <c r="M246" s="2">
        <v>46177.921329212964</v>
      </c>
    </row>
    <row r="247" spans="1:13" x14ac:dyDescent="0.35">
      <c r="A247" s="1" t="s">
        <v>21</v>
      </c>
      <c r="B247" s="1" t="s">
        <v>13</v>
      </c>
      <c r="C247" s="1" t="s">
        <v>22</v>
      </c>
      <c r="D247">
        <v>0</v>
      </c>
      <c r="E247" s="2">
        <v>47894</v>
      </c>
      <c r="F247" s="1" t="s">
        <v>16</v>
      </c>
      <c r="G247" s="1" t="s">
        <v>22</v>
      </c>
      <c r="H247" s="1" t="s">
        <v>2</v>
      </c>
      <c r="I247" s="2">
        <v>46177</v>
      </c>
      <c r="J247" s="1" t="s">
        <v>18</v>
      </c>
      <c r="K247" s="1" t="s">
        <v>4415</v>
      </c>
      <c r="L247" s="2">
        <v>46177.92087962963</v>
      </c>
      <c r="M247" s="2">
        <v>46177.921329212964</v>
      </c>
    </row>
    <row r="248" spans="1:13" x14ac:dyDescent="0.35">
      <c r="A248" s="1" t="s">
        <v>118</v>
      </c>
      <c r="B248" s="1" t="s">
        <v>13</v>
      </c>
      <c r="C248" s="1" t="s">
        <v>119</v>
      </c>
      <c r="D248">
        <v>0</v>
      </c>
      <c r="E248" s="2">
        <v>49720</v>
      </c>
      <c r="F248" s="1" t="s">
        <v>16</v>
      </c>
      <c r="G248" s="1" t="s">
        <v>119</v>
      </c>
      <c r="H248" s="1" t="s">
        <v>2</v>
      </c>
      <c r="I248" s="2">
        <v>46177</v>
      </c>
      <c r="J248" s="1" t="s">
        <v>17</v>
      </c>
      <c r="K248" s="1" t="s">
        <v>4367</v>
      </c>
      <c r="L248" s="2">
        <v>46177.92087962963</v>
      </c>
      <c r="M248" s="2">
        <v>46177.921329212964</v>
      </c>
    </row>
    <row r="249" spans="1:13" x14ac:dyDescent="0.35">
      <c r="A249" s="1" t="s">
        <v>118</v>
      </c>
      <c r="B249" s="1" t="s">
        <v>13</v>
      </c>
      <c r="C249" s="1" t="s">
        <v>119</v>
      </c>
      <c r="D249">
        <v>0</v>
      </c>
      <c r="E249" s="2">
        <v>49720</v>
      </c>
      <c r="F249" s="1" t="s">
        <v>16</v>
      </c>
      <c r="G249" s="1" t="s">
        <v>119</v>
      </c>
      <c r="H249" s="1" t="s">
        <v>2</v>
      </c>
      <c r="I249" s="2">
        <v>46177</v>
      </c>
      <c r="J249" s="1" t="s">
        <v>18</v>
      </c>
      <c r="K249" s="1" t="s">
        <v>4462</v>
      </c>
      <c r="L249" s="2">
        <v>46177.92087962963</v>
      </c>
      <c r="M249" s="2">
        <v>46177.921329212964</v>
      </c>
    </row>
    <row r="250" spans="1:13" x14ac:dyDescent="0.35">
      <c r="A250" s="1" t="s">
        <v>154</v>
      </c>
      <c r="B250" s="1" t="s">
        <v>13</v>
      </c>
      <c r="C250" s="1" t="s">
        <v>155</v>
      </c>
      <c r="D250">
        <v>0</v>
      </c>
      <c r="E250" s="2">
        <v>50086</v>
      </c>
      <c r="F250" s="1" t="s">
        <v>16</v>
      </c>
      <c r="G250" s="1" t="s">
        <v>155</v>
      </c>
      <c r="H250" s="1" t="s">
        <v>2</v>
      </c>
      <c r="I250" s="2">
        <v>46177</v>
      </c>
      <c r="J250" s="1" t="s">
        <v>18</v>
      </c>
      <c r="K250" s="1" t="s">
        <v>4312</v>
      </c>
      <c r="L250" s="2">
        <v>46177.92087962963</v>
      </c>
      <c r="M250" s="2">
        <v>46177.921329212964</v>
      </c>
    </row>
    <row r="251" spans="1:13" x14ac:dyDescent="0.35">
      <c r="A251" s="1" t="s">
        <v>154</v>
      </c>
      <c r="B251" s="1" t="s">
        <v>13</v>
      </c>
      <c r="C251" s="1" t="s">
        <v>155</v>
      </c>
      <c r="D251">
        <v>0</v>
      </c>
      <c r="E251" s="2">
        <v>50086</v>
      </c>
      <c r="F251" s="1" t="s">
        <v>16</v>
      </c>
      <c r="G251" s="1" t="s">
        <v>155</v>
      </c>
      <c r="H251" s="1" t="s">
        <v>2</v>
      </c>
      <c r="I251" s="2">
        <v>46177</v>
      </c>
      <c r="J251" s="1" t="s">
        <v>17</v>
      </c>
      <c r="K251" s="1" t="s">
        <v>4440</v>
      </c>
      <c r="L251" s="2">
        <v>46177.92087962963</v>
      </c>
      <c r="M251" s="2">
        <v>46177.921329212964</v>
      </c>
    </row>
    <row r="252" spans="1:13" x14ac:dyDescent="0.35">
      <c r="A252" s="1" t="s">
        <v>23</v>
      </c>
      <c r="B252" s="1" t="s">
        <v>13</v>
      </c>
      <c r="C252" s="1" t="s">
        <v>24</v>
      </c>
      <c r="D252">
        <v>0</v>
      </c>
      <c r="E252" s="2">
        <v>50175</v>
      </c>
      <c r="F252" s="1" t="s">
        <v>16</v>
      </c>
      <c r="G252" s="1" t="s">
        <v>24</v>
      </c>
      <c r="H252" s="1" t="s">
        <v>2</v>
      </c>
      <c r="I252" s="2">
        <v>46177</v>
      </c>
      <c r="J252" s="1" t="s">
        <v>17</v>
      </c>
      <c r="K252" s="1" t="s">
        <v>4463</v>
      </c>
      <c r="L252" s="2">
        <v>46177.92087962963</v>
      </c>
      <c r="M252" s="2">
        <v>46177.921329212964</v>
      </c>
    </row>
    <row r="253" spans="1:13" x14ac:dyDescent="0.35">
      <c r="A253" s="1" t="s">
        <v>23</v>
      </c>
      <c r="B253" s="1" t="s">
        <v>13</v>
      </c>
      <c r="C253" s="1" t="s">
        <v>24</v>
      </c>
      <c r="D253">
        <v>0</v>
      </c>
      <c r="E253" s="2">
        <v>50175</v>
      </c>
      <c r="F253" s="1" t="s">
        <v>16</v>
      </c>
      <c r="G253" s="1" t="s">
        <v>24</v>
      </c>
      <c r="H253" s="1" t="s">
        <v>2</v>
      </c>
      <c r="I253" s="2">
        <v>46177</v>
      </c>
      <c r="J253" s="1" t="s">
        <v>18</v>
      </c>
      <c r="K253" s="1" t="s">
        <v>4441</v>
      </c>
      <c r="L253" s="2">
        <v>46177.92087962963</v>
      </c>
      <c r="M253" s="2">
        <v>46177.921329212964</v>
      </c>
    </row>
    <row r="254" spans="1:13" x14ac:dyDescent="0.35">
      <c r="A254" s="1" t="s">
        <v>120</v>
      </c>
      <c r="B254" s="1" t="s">
        <v>13</v>
      </c>
      <c r="C254" s="1" t="s">
        <v>121</v>
      </c>
      <c r="D254">
        <v>0</v>
      </c>
      <c r="E254" s="2">
        <v>50451</v>
      </c>
      <c r="F254" s="1" t="s">
        <v>16</v>
      </c>
      <c r="G254" s="1" t="s">
        <v>121</v>
      </c>
      <c r="H254" s="1" t="s">
        <v>2</v>
      </c>
      <c r="I254" s="2">
        <v>46177</v>
      </c>
      <c r="J254" s="1" t="s">
        <v>17</v>
      </c>
      <c r="K254" s="1" t="s">
        <v>4368</v>
      </c>
      <c r="L254" s="2">
        <v>46177.92087962963</v>
      </c>
      <c r="M254" s="2">
        <v>46177.921329212964</v>
      </c>
    </row>
    <row r="255" spans="1:13" x14ac:dyDescent="0.35">
      <c r="A255" s="1" t="s">
        <v>120</v>
      </c>
      <c r="B255" s="1" t="s">
        <v>13</v>
      </c>
      <c r="C255" s="1" t="s">
        <v>121</v>
      </c>
      <c r="D255">
        <v>0</v>
      </c>
      <c r="E255" s="2">
        <v>50451</v>
      </c>
      <c r="F255" s="1" t="s">
        <v>16</v>
      </c>
      <c r="G255" s="1" t="s">
        <v>121</v>
      </c>
      <c r="H255" s="1" t="s">
        <v>2</v>
      </c>
      <c r="I255" s="2">
        <v>46177</v>
      </c>
      <c r="J255" s="1" t="s">
        <v>18</v>
      </c>
      <c r="K255" s="1" t="s">
        <v>4313</v>
      </c>
      <c r="L255" s="2">
        <v>46177.92087962963</v>
      </c>
      <c r="M255" s="2">
        <v>46177.921329212964</v>
      </c>
    </row>
    <row r="256" spans="1:13" x14ac:dyDescent="0.35">
      <c r="A256" s="1" t="s">
        <v>229</v>
      </c>
      <c r="B256" s="1" t="s">
        <v>13</v>
      </c>
      <c r="C256" s="1" t="s">
        <v>230</v>
      </c>
      <c r="D256">
        <v>0</v>
      </c>
      <c r="E256" s="2">
        <v>50540</v>
      </c>
      <c r="F256" s="1" t="s">
        <v>16</v>
      </c>
      <c r="G256" s="1" t="s">
        <v>230</v>
      </c>
      <c r="H256" s="1" t="s">
        <v>2</v>
      </c>
      <c r="I256" s="2">
        <v>46177</v>
      </c>
      <c r="J256" s="1" t="s">
        <v>18</v>
      </c>
      <c r="K256" s="1" t="s">
        <v>4391</v>
      </c>
      <c r="L256" s="2">
        <v>46177.92087962963</v>
      </c>
      <c r="M256" s="2">
        <v>46177.921329212964</v>
      </c>
    </row>
    <row r="257" spans="1:13" x14ac:dyDescent="0.35">
      <c r="A257" s="1" t="s">
        <v>229</v>
      </c>
      <c r="B257" s="1" t="s">
        <v>13</v>
      </c>
      <c r="C257" s="1" t="s">
        <v>230</v>
      </c>
      <c r="D257">
        <v>0</v>
      </c>
      <c r="E257" s="2">
        <v>50540</v>
      </c>
      <c r="F257" s="1" t="s">
        <v>16</v>
      </c>
      <c r="G257" s="1" t="s">
        <v>230</v>
      </c>
      <c r="H257" s="1" t="s">
        <v>2</v>
      </c>
      <c r="I257" s="2">
        <v>46177</v>
      </c>
      <c r="J257" s="1" t="s">
        <v>17</v>
      </c>
      <c r="K257" s="1" t="s">
        <v>4314</v>
      </c>
      <c r="L257" s="2">
        <v>46177.92087962963</v>
      </c>
      <c r="M257" s="2">
        <v>46177.921329212964</v>
      </c>
    </row>
    <row r="258" spans="1:13" x14ac:dyDescent="0.35">
      <c r="A258" s="1" t="s">
        <v>25</v>
      </c>
      <c r="B258" s="1" t="s">
        <v>13</v>
      </c>
      <c r="C258" s="1" t="s">
        <v>26</v>
      </c>
      <c r="D258">
        <v>0</v>
      </c>
      <c r="E258" s="2">
        <v>50816</v>
      </c>
      <c r="F258" s="1" t="s">
        <v>16</v>
      </c>
      <c r="G258" s="1" t="s">
        <v>26</v>
      </c>
      <c r="H258" s="1" t="s">
        <v>2</v>
      </c>
      <c r="I258" s="2">
        <v>46177</v>
      </c>
      <c r="J258" s="1" t="s">
        <v>17</v>
      </c>
      <c r="K258" s="1" t="s">
        <v>4315</v>
      </c>
      <c r="L258" s="2">
        <v>46177.92087962963</v>
      </c>
      <c r="M258" s="2">
        <v>46177.921329212964</v>
      </c>
    </row>
    <row r="259" spans="1:13" x14ac:dyDescent="0.35">
      <c r="A259" s="1" t="s">
        <v>25</v>
      </c>
      <c r="B259" s="1" t="s">
        <v>13</v>
      </c>
      <c r="C259" s="1" t="s">
        <v>26</v>
      </c>
      <c r="D259">
        <v>0</v>
      </c>
      <c r="E259" s="2">
        <v>50816</v>
      </c>
      <c r="F259" s="1" t="s">
        <v>16</v>
      </c>
      <c r="G259" s="1" t="s">
        <v>26</v>
      </c>
      <c r="H259" s="1" t="s">
        <v>2</v>
      </c>
      <c r="I259" s="2">
        <v>46177</v>
      </c>
      <c r="J259" s="1" t="s">
        <v>18</v>
      </c>
      <c r="K259" s="1" t="s">
        <v>4442</v>
      </c>
      <c r="L259" s="2">
        <v>46177.92087962963</v>
      </c>
      <c r="M259" s="2">
        <v>46177.921329212964</v>
      </c>
    </row>
    <row r="260" spans="1:13" x14ac:dyDescent="0.35">
      <c r="A260" s="1" t="s">
        <v>122</v>
      </c>
      <c r="B260" s="1" t="s">
        <v>13</v>
      </c>
      <c r="C260" s="1" t="s">
        <v>123</v>
      </c>
      <c r="D260">
        <v>0</v>
      </c>
      <c r="E260" s="2">
        <v>50905</v>
      </c>
      <c r="F260" s="1" t="s">
        <v>16</v>
      </c>
      <c r="G260" s="1" t="s">
        <v>123</v>
      </c>
      <c r="H260" s="1" t="s">
        <v>2</v>
      </c>
      <c r="I260" s="2">
        <v>46177</v>
      </c>
      <c r="J260" s="1" t="s">
        <v>17</v>
      </c>
      <c r="K260" s="1" t="s">
        <v>4416</v>
      </c>
      <c r="L260" s="2">
        <v>46177.92087962963</v>
      </c>
      <c r="M260" s="2">
        <v>46177.921329212964</v>
      </c>
    </row>
    <row r="261" spans="1:13" x14ac:dyDescent="0.35">
      <c r="A261" s="1" t="s">
        <v>122</v>
      </c>
      <c r="B261" s="1" t="s">
        <v>13</v>
      </c>
      <c r="C261" s="1" t="s">
        <v>123</v>
      </c>
      <c r="D261">
        <v>0</v>
      </c>
      <c r="E261" s="2">
        <v>50905</v>
      </c>
      <c r="F261" s="1" t="s">
        <v>16</v>
      </c>
      <c r="G261" s="1" t="s">
        <v>123</v>
      </c>
      <c r="H261" s="1" t="s">
        <v>2</v>
      </c>
      <c r="I261" s="2">
        <v>46177</v>
      </c>
      <c r="J261" s="1" t="s">
        <v>18</v>
      </c>
      <c r="K261" s="1" t="s">
        <v>4316</v>
      </c>
      <c r="L261" s="2">
        <v>46177.92087962963</v>
      </c>
      <c r="M261" s="2">
        <v>46177.921329212964</v>
      </c>
    </row>
    <row r="262" spans="1:13" x14ac:dyDescent="0.35">
      <c r="A262" s="1" t="s">
        <v>124</v>
      </c>
      <c r="B262" s="1" t="s">
        <v>13</v>
      </c>
      <c r="C262" s="1" t="s">
        <v>125</v>
      </c>
      <c r="D262">
        <v>0</v>
      </c>
      <c r="E262" s="2">
        <v>50997</v>
      </c>
      <c r="F262" s="1" t="s">
        <v>16</v>
      </c>
      <c r="G262" s="1" t="s">
        <v>125</v>
      </c>
      <c r="H262" s="1" t="s">
        <v>2</v>
      </c>
      <c r="I262" s="2">
        <v>46177</v>
      </c>
      <c r="J262" s="1" t="s">
        <v>17</v>
      </c>
      <c r="K262" s="1" t="s">
        <v>4351</v>
      </c>
      <c r="L262" s="2">
        <v>46177.92087962963</v>
      </c>
      <c r="M262" s="2">
        <v>46177.921329212964</v>
      </c>
    </row>
    <row r="263" spans="1:13" x14ac:dyDescent="0.35">
      <c r="A263" s="1" t="s">
        <v>124</v>
      </c>
      <c r="B263" s="1" t="s">
        <v>13</v>
      </c>
      <c r="C263" s="1" t="s">
        <v>125</v>
      </c>
      <c r="D263">
        <v>0</v>
      </c>
      <c r="E263" s="2">
        <v>50997</v>
      </c>
      <c r="F263" s="1" t="s">
        <v>16</v>
      </c>
      <c r="G263" s="1" t="s">
        <v>125</v>
      </c>
      <c r="H263" s="1" t="s">
        <v>2</v>
      </c>
      <c r="I263" s="2">
        <v>46177</v>
      </c>
      <c r="J263" s="1" t="s">
        <v>18</v>
      </c>
      <c r="K263" s="1" t="s">
        <v>4417</v>
      </c>
      <c r="L263" s="2">
        <v>46177.92087962963</v>
      </c>
      <c r="M263" s="2">
        <v>46177.921329212964</v>
      </c>
    </row>
    <row r="264" spans="1:13" x14ac:dyDescent="0.35">
      <c r="A264" s="1" t="s">
        <v>77</v>
      </c>
      <c r="B264" s="1" t="s">
        <v>13</v>
      </c>
      <c r="C264" s="1" t="s">
        <v>78</v>
      </c>
      <c r="D264">
        <v>0</v>
      </c>
      <c r="E264" s="2">
        <v>51089</v>
      </c>
      <c r="F264" s="1" t="s">
        <v>16</v>
      </c>
      <c r="G264" s="1" t="s">
        <v>78</v>
      </c>
      <c r="H264" s="1" t="s">
        <v>2</v>
      </c>
      <c r="I264" s="2">
        <v>46177</v>
      </c>
      <c r="J264" s="1" t="s">
        <v>18</v>
      </c>
      <c r="K264" s="1" t="s">
        <v>4369</v>
      </c>
      <c r="L264" s="2">
        <v>46177.92087962963</v>
      </c>
      <c r="M264" s="2">
        <v>46177.921329212964</v>
      </c>
    </row>
    <row r="265" spans="1:13" x14ac:dyDescent="0.35">
      <c r="A265" s="1" t="s">
        <v>77</v>
      </c>
      <c r="B265" s="1" t="s">
        <v>13</v>
      </c>
      <c r="C265" s="1" t="s">
        <v>78</v>
      </c>
      <c r="D265">
        <v>0</v>
      </c>
      <c r="E265" s="2">
        <v>51089</v>
      </c>
      <c r="F265" s="1" t="s">
        <v>16</v>
      </c>
      <c r="G265" s="1" t="s">
        <v>78</v>
      </c>
      <c r="H265" s="1" t="s">
        <v>2</v>
      </c>
      <c r="I265" s="2">
        <v>46177</v>
      </c>
      <c r="J265" s="1" t="s">
        <v>17</v>
      </c>
      <c r="K265" s="1" t="s">
        <v>4392</v>
      </c>
      <c r="L265" s="2">
        <v>46177.92087962963</v>
      </c>
      <c r="M265" s="2">
        <v>46177.921329212964</v>
      </c>
    </row>
    <row r="266" spans="1:13" x14ac:dyDescent="0.35">
      <c r="A266" s="1" t="s">
        <v>79</v>
      </c>
      <c r="B266" s="1" t="s">
        <v>13</v>
      </c>
      <c r="C266" s="1" t="s">
        <v>80</v>
      </c>
      <c r="D266">
        <v>0</v>
      </c>
      <c r="E266" s="2">
        <v>51181</v>
      </c>
      <c r="F266" s="1" t="s">
        <v>16</v>
      </c>
      <c r="G266" s="1" t="s">
        <v>80</v>
      </c>
      <c r="H266" s="1" t="s">
        <v>2</v>
      </c>
      <c r="I266" s="2">
        <v>46177</v>
      </c>
      <c r="J266" s="1" t="s">
        <v>18</v>
      </c>
      <c r="K266" s="1" t="s">
        <v>4464</v>
      </c>
      <c r="L266" s="2">
        <v>46177.92087962963</v>
      </c>
      <c r="M266" s="2">
        <v>46177.921329212964</v>
      </c>
    </row>
    <row r="267" spans="1:13" x14ac:dyDescent="0.35">
      <c r="A267" s="1" t="s">
        <v>79</v>
      </c>
      <c r="B267" s="1" t="s">
        <v>13</v>
      </c>
      <c r="C267" s="1" t="s">
        <v>80</v>
      </c>
      <c r="D267">
        <v>0</v>
      </c>
      <c r="E267" s="2">
        <v>51181</v>
      </c>
      <c r="F267" s="1" t="s">
        <v>16</v>
      </c>
      <c r="G267" s="1" t="s">
        <v>80</v>
      </c>
      <c r="H267" s="1" t="s">
        <v>2</v>
      </c>
      <c r="I267" s="2">
        <v>46177</v>
      </c>
      <c r="J267" s="1" t="s">
        <v>17</v>
      </c>
      <c r="K267" s="1" t="s">
        <v>4393</v>
      </c>
      <c r="L267" s="2">
        <v>46177.92087962963</v>
      </c>
      <c r="M267" s="2">
        <v>46177.921329212964</v>
      </c>
    </row>
    <row r="268" spans="1:13" x14ac:dyDescent="0.35">
      <c r="A268" s="1" t="s">
        <v>249</v>
      </c>
      <c r="B268" s="1" t="s">
        <v>13</v>
      </c>
      <c r="C268" s="1" t="s">
        <v>250</v>
      </c>
      <c r="D268">
        <v>0</v>
      </c>
      <c r="E268" s="2">
        <v>51271</v>
      </c>
      <c r="F268" s="1" t="s">
        <v>16</v>
      </c>
      <c r="G268" s="1" t="s">
        <v>250</v>
      </c>
      <c r="H268" s="1" t="s">
        <v>2</v>
      </c>
      <c r="I268" s="2">
        <v>46177</v>
      </c>
      <c r="J268" s="1" t="s">
        <v>18</v>
      </c>
      <c r="K268" s="1" t="s">
        <v>4418</v>
      </c>
      <c r="L268" s="2">
        <v>46177.92087962963</v>
      </c>
      <c r="M268" s="2">
        <v>46177.921329212964</v>
      </c>
    </row>
    <row r="269" spans="1:13" x14ac:dyDescent="0.35">
      <c r="A269" s="1" t="s">
        <v>249</v>
      </c>
      <c r="B269" s="1" t="s">
        <v>13</v>
      </c>
      <c r="C269" s="1" t="s">
        <v>250</v>
      </c>
      <c r="D269">
        <v>0</v>
      </c>
      <c r="E269" s="2">
        <v>51271</v>
      </c>
      <c r="F269" s="1" t="s">
        <v>16</v>
      </c>
      <c r="G269" s="1" t="s">
        <v>250</v>
      </c>
      <c r="H269" s="1" t="s">
        <v>2</v>
      </c>
      <c r="I269" s="2">
        <v>46177</v>
      </c>
      <c r="J269" s="1" t="s">
        <v>17</v>
      </c>
      <c r="K269" s="1" t="s">
        <v>4394</v>
      </c>
      <c r="L269" s="2">
        <v>46177.92087962963</v>
      </c>
      <c r="M269" s="2">
        <v>46177.921329212964</v>
      </c>
    </row>
    <row r="270" spans="1:13" x14ac:dyDescent="0.35">
      <c r="A270" s="1" t="s">
        <v>81</v>
      </c>
      <c r="B270" s="1" t="s">
        <v>13</v>
      </c>
      <c r="C270" s="1" t="s">
        <v>82</v>
      </c>
      <c r="D270">
        <v>0</v>
      </c>
      <c r="E270" s="2">
        <v>51363</v>
      </c>
      <c r="F270" s="1" t="s">
        <v>16</v>
      </c>
      <c r="G270" s="1" t="s">
        <v>82</v>
      </c>
      <c r="H270" s="1" t="s">
        <v>2</v>
      </c>
      <c r="I270" s="2">
        <v>46177</v>
      </c>
      <c r="J270" s="1" t="s">
        <v>17</v>
      </c>
      <c r="K270" s="1" t="s">
        <v>4336</v>
      </c>
      <c r="L270" s="2">
        <v>46177.92087962963</v>
      </c>
      <c r="M270" s="2">
        <v>46177.921329212964</v>
      </c>
    </row>
    <row r="271" spans="1:13" x14ac:dyDescent="0.35">
      <c r="A271" s="1" t="s">
        <v>81</v>
      </c>
      <c r="B271" s="1" t="s">
        <v>13</v>
      </c>
      <c r="C271" s="1" t="s">
        <v>82</v>
      </c>
      <c r="D271">
        <v>0</v>
      </c>
      <c r="E271" s="2">
        <v>51363</v>
      </c>
      <c r="F271" s="1" t="s">
        <v>16</v>
      </c>
      <c r="G271" s="1" t="s">
        <v>82</v>
      </c>
      <c r="H271" s="1" t="s">
        <v>2</v>
      </c>
      <c r="I271" s="2">
        <v>46177</v>
      </c>
      <c r="J271" s="1" t="s">
        <v>18</v>
      </c>
      <c r="K271" s="1" t="s">
        <v>4317</v>
      </c>
      <c r="L271" s="2">
        <v>46177.92087962963</v>
      </c>
      <c r="M271" s="2">
        <v>46177.921329212964</v>
      </c>
    </row>
    <row r="272" spans="1:13" x14ac:dyDescent="0.35">
      <c r="A272" s="1" t="s">
        <v>251</v>
      </c>
      <c r="B272" s="1" t="s">
        <v>13</v>
      </c>
      <c r="C272" s="1" t="s">
        <v>252</v>
      </c>
      <c r="D272">
        <v>0</v>
      </c>
      <c r="E272" s="2">
        <v>51455</v>
      </c>
      <c r="F272" s="1" t="s">
        <v>16</v>
      </c>
      <c r="G272" s="1" t="s">
        <v>252</v>
      </c>
      <c r="H272" s="1" t="s">
        <v>2</v>
      </c>
      <c r="I272" s="2">
        <v>46177</v>
      </c>
      <c r="J272" s="1" t="s">
        <v>17</v>
      </c>
      <c r="K272" s="1" t="s">
        <v>4419</v>
      </c>
      <c r="L272" s="2">
        <v>46177.92087962963</v>
      </c>
      <c r="M272" s="2">
        <v>46177.921329212964</v>
      </c>
    </row>
    <row r="273" spans="1:13" x14ac:dyDescent="0.35">
      <c r="A273" s="1" t="s">
        <v>251</v>
      </c>
      <c r="B273" s="1" t="s">
        <v>13</v>
      </c>
      <c r="C273" s="1" t="s">
        <v>252</v>
      </c>
      <c r="D273">
        <v>0</v>
      </c>
      <c r="E273" s="2">
        <v>51455</v>
      </c>
      <c r="F273" s="1" t="s">
        <v>16</v>
      </c>
      <c r="G273" s="1" t="s">
        <v>252</v>
      </c>
      <c r="H273" s="1" t="s">
        <v>2</v>
      </c>
      <c r="I273" s="2">
        <v>46177</v>
      </c>
      <c r="J273" s="1" t="s">
        <v>18</v>
      </c>
      <c r="K273" s="1" t="s">
        <v>4395</v>
      </c>
      <c r="L273" s="2">
        <v>46177.92087962963</v>
      </c>
      <c r="M273" s="2">
        <v>46177.921329212964</v>
      </c>
    </row>
    <row r="274" spans="1:13" x14ac:dyDescent="0.35">
      <c r="A274" s="1" t="s">
        <v>761</v>
      </c>
      <c r="B274" s="1" t="s">
        <v>13</v>
      </c>
      <c r="C274" s="1" t="s">
        <v>762</v>
      </c>
      <c r="D274">
        <v>0</v>
      </c>
      <c r="E274" s="2">
        <v>51547</v>
      </c>
      <c r="F274" s="1" t="s">
        <v>16</v>
      </c>
      <c r="G274" s="1" t="s">
        <v>762</v>
      </c>
      <c r="H274" s="1" t="s">
        <v>2</v>
      </c>
      <c r="I274" s="2">
        <v>46177</v>
      </c>
      <c r="J274" s="1" t="s">
        <v>18</v>
      </c>
      <c r="K274" s="1" t="s">
        <v>4465</v>
      </c>
      <c r="L274" s="2">
        <v>46177.92087962963</v>
      </c>
      <c r="M274" s="2">
        <v>46177.921329212964</v>
      </c>
    </row>
    <row r="275" spans="1:13" x14ac:dyDescent="0.35">
      <c r="A275" s="1" t="s">
        <v>761</v>
      </c>
      <c r="B275" s="1" t="s">
        <v>13</v>
      </c>
      <c r="C275" s="1" t="s">
        <v>762</v>
      </c>
      <c r="D275">
        <v>0</v>
      </c>
      <c r="E275" s="2">
        <v>51547</v>
      </c>
      <c r="F275" s="1" t="s">
        <v>16</v>
      </c>
      <c r="G275" s="1" t="s">
        <v>762</v>
      </c>
      <c r="H275" s="1" t="s">
        <v>2</v>
      </c>
      <c r="I275" s="2">
        <v>46177</v>
      </c>
      <c r="J275" s="1" t="s">
        <v>17</v>
      </c>
      <c r="K275" s="1" t="s">
        <v>4396</v>
      </c>
      <c r="L275" s="2">
        <v>46177.92087962963</v>
      </c>
      <c r="M275" s="2">
        <v>46177.921329212964</v>
      </c>
    </row>
    <row r="276" spans="1:13" x14ac:dyDescent="0.35">
      <c r="A276" s="1" t="s">
        <v>231</v>
      </c>
      <c r="B276" s="1" t="s">
        <v>13</v>
      </c>
      <c r="C276" s="1" t="s">
        <v>232</v>
      </c>
      <c r="D276">
        <v>0</v>
      </c>
      <c r="E276" s="2">
        <v>51636</v>
      </c>
      <c r="F276" s="1" t="s">
        <v>16</v>
      </c>
      <c r="G276" s="1" t="s">
        <v>232</v>
      </c>
      <c r="H276" s="1" t="s">
        <v>2</v>
      </c>
      <c r="I276" s="2">
        <v>46177</v>
      </c>
      <c r="J276" s="1" t="s">
        <v>18</v>
      </c>
      <c r="K276" s="1" t="s">
        <v>4420</v>
      </c>
      <c r="L276" s="2">
        <v>46177.92087962963</v>
      </c>
      <c r="M276" s="2">
        <v>46177.921329212964</v>
      </c>
    </row>
    <row r="277" spans="1:13" x14ac:dyDescent="0.35">
      <c r="A277" s="1" t="s">
        <v>231</v>
      </c>
      <c r="B277" s="1" t="s">
        <v>13</v>
      </c>
      <c r="C277" s="1" t="s">
        <v>232</v>
      </c>
      <c r="D277">
        <v>0</v>
      </c>
      <c r="E277" s="2">
        <v>51636</v>
      </c>
      <c r="F277" s="1" t="s">
        <v>16</v>
      </c>
      <c r="G277" s="1" t="s">
        <v>232</v>
      </c>
      <c r="H277" s="1" t="s">
        <v>2</v>
      </c>
      <c r="I277" s="2">
        <v>46177</v>
      </c>
      <c r="J277" s="1" t="s">
        <v>17</v>
      </c>
      <c r="K277" s="1" t="s">
        <v>4466</v>
      </c>
      <c r="L277" s="2">
        <v>46177.92087962963</v>
      </c>
      <c r="M277" s="2">
        <v>46177.921329212964</v>
      </c>
    </row>
    <row r="278" spans="1:13" x14ac:dyDescent="0.35">
      <c r="A278" s="1" t="s">
        <v>27</v>
      </c>
      <c r="B278" s="1" t="s">
        <v>13</v>
      </c>
      <c r="C278" s="1" t="s">
        <v>28</v>
      </c>
      <c r="D278">
        <v>0</v>
      </c>
      <c r="E278" s="2">
        <v>51728</v>
      </c>
      <c r="F278" s="1" t="s">
        <v>16</v>
      </c>
      <c r="G278" s="1" t="s">
        <v>28</v>
      </c>
      <c r="H278" s="1" t="s">
        <v>2</v>
      </c>
      <c r="I278" s="2">
        <v>46177</v>
      </c>
      <c r="J278" s="1" t="s">
        <v>17</v>
      </c>
      <c r="K278" s="1" t="s">
        <v>4370</v>
      </c>
      <c r="L278" s="2">
        <v>46177.92087962963</v>
      </c>
      <c r="M278" s="2">
        <v>46177.921329212964</v>
      </c>
    </row>
    <row r="279" spans="1:13" x14ac:dyDescent="0.35">
      <c r="A279" s="1" t="s">
        <v>27</v>
      </c>
      <c r="B279" s="1" t="s">
        <v>13</v>
      </c>
      <c r="C279" s="1" t="s">
        <v>28</v>
      </c>
      <c r="D279">
        <v>0</v>
      </c>
      <c r="E279" s="2">
        <v>51728</v>
      </c>
      <c r="F279" s="1" t="s">
        <v>16</v>
      </c>
      <c r="G279" s="1" t="s">
        <v>28</v>
      </c>
      <c r="H279" s="1" t="s">
        <v>2</v>
      </c>
      <c r="I279" s="2">
        <v>46177</v>
      </c>
      <c r="J279" s="1" t="s">
        <v>18</v>
      </c>
      <c r="K279" s="1" t="s">
        <v>4371</v>
      </c>
      <c r="L279" s="2">
        <v>46177.92087962963</v>
      </c>
      <c r="M279" s="2">
        <v>46177.921329212964</v>
      </c>
    </row>
    <row r="280" spans="1:13" x14ac:dyDescent="0.35">
      <c r="A280" s="1" t="s">
        <v>29</v>
      </c>
      <c r="B280" s="1" t="s">
        <v>13</v>
      </c>
      <c r="C280" s="1" t="s">
        <v>30</v>
      </c>
      <c r="D280">
        <v>0</v>
      </c>
      <c r="E280" s="2">
        <v>51820</v>
      </c>
      <c r="F280" s="1" t="s">
        <v>16</v>
      </c>
      <c r="G280" s="1" t="s">
        <v>30</v>
      </c>
      <c r="H280" s="1" t="s">
        <v>2</v>
      </c>
      <c r="I280" s="2">
        <v>46177</v>
      </c>
      <c r="J280" s="1" t="s">
        <v>17</v>
      </c>
      <c r="K280" s="1" t="s">
        <v>4372</v>
      </c>
      <c r="L280" s="2">
        <v>46177.92087962963</v>
      </c>
      <c r="M280" s="2">
        <v>46177.921329212964</v>
      </c>
    </row>
    <row r="281" spans="1:13" x14ac:dyDescent="0.35">
      <c r="A281" s="1" t="s">
        <v>29</v>
      </c>
      <c r="B281" s="1" t="s">
        <v>13</v>
      </c>
      <c r="C281" s="1" t="s">
        <v>30</v>
      </c>
      <c r="D281">
        <v>0</v>
      </c>
      <c r="E281" s="2">
        <v>51820</v>
      </c>
      <c r="F281" s="1" t="s">
        <v>16</v>
      </c>
      <c r="G281" s="1" t="s">
        <v>30</v>
      </c>
      <c r="H281" s="1" t="s">
        <v>2</v>
      </c>
      <c r="I281" s="2">
        <v>46177</v>
      </c>
      <c r="J281" s="1" t="s">
        <v>18</v>
      </c>
      <c r="K281" s="1" t="s">
        <v>4337</v>
      </c>
      <c r="L281" s="2">
        <v>46177.92087962963</v>
      </c>
      <c r="M281" s="2">
        <v>46177.921329212964</v>
      </c>
    </row>
    <row r="282" spans="1:13" x14ac:dyDescent="0.35">
      <c r="A282" s="1" t="s">
        <v>31</v>
      </c>
      <c r="B282" s="1" t="s">
        <v>13</v>
      </c>
      <c r="C282" s="1" t="s">
        <v>32</v>
      </c>
      <c r="D282">
        <v>0</v>
      </c>
      <c r="E282" s="2">
        <v>51912</v>
      </c>
      <c r="F282" s="1" t="s">
        <v>16</v>
      </c>
      <c r="G282" s="1" t="s">
        <v>32</v>
      </c>
      <c r="H282" s="1" t="s">
        <v>2</v>
      </c>
      <c r="I282" s="2">
        <v>46177</v>
      </c>
      <c r="J282" s="1" t="s">
        <v>18</v>
      </c>
      <c r="K282" s="1" t="s">
        <v>4318</v>
      </c>
      <c r="L282" s="2">
        <v>46177.92087962963</v>
      </c>
      <c r="M282" s="2">
        <v>46177.921329212964</v>
      </c>
    </row>
    <row r="283" spans="1:13" x14ac:dyDescent="0.35">
      <c r="A283" s="1" t="s">
        <v>31</v>
      </c>
      <c r="B283" s="1" t="s">
        <v>13</v>
      </c>
      <c r="C283" s="1" t="s">
        <v>32</v>
      </c>
      <c r="D283">
        <v>0</v>
      </c>
      <c r="E283" s="2">
        <v>51912</v>
      </c>
      <c r="F283" s="1" t="s">
        <v>16</v>
      </c>
      <c r="G283" s="1" t="s">
        <v>32</v>
      </c>
      <c r="H283" s="1" t="s">
        <v>2</v>
      </c>
      <c r="I283" s="2">
        <v>46177</v>
      </c>
      <c r="J283" s="1" t="s">
        <v>17</v>
      </c>
      <c r="K283" s="1" t="s">
        <v>4443</v>
      </c>
      <c r="L283" s="2">
        <v>46177.92087962963</v>
      </c>
      <c r="M283" s="2">
        <v>46177.921329212964</v>
      </c>
    </row>
    <row r="284" spans="1:13" x14ac:dyDescent="0.35">
      <c r="A284" s="1" t="s">
        <v>83</v>
      </c>
      <c r="B284" s="1" t="s">
        <v>13</v>
      </c>
      <c r="C284" s="1" t="s">
        <v>84</v>
      </c>
      <c r="D284">
        <v>0</v>
      </c>
      <c r="E284" s="2">
        <v>52001</v>
      </c>
      <c r="F284" s="1" t="s">
        <v>16</v>
      </c>
      <c r="G284" s="1" t="s">
        <v>84</v>
      </c>
      <c r="H284" s="1" t="s">
        <v>2</v>
      </c>
      <c r="I284" s="2">
        <v>46177</v>
      </c>
      <c r="J284" s="1" t="s">
        <v>18</v>
      </c>
      <c r="K284" s="1" t="s">
        <v>4467</v>
      </c>
      <c r="L284" s="2">
        <v>46177.92087962963</v>
      </c>
      <c r="M284" s="2">
        <v>46177.921329212964</v>
      </c>
    </row>
    <row r="285" spans="1:13" x14ac:dyDescent="0.35">
      <c r="A285" s="1" t="s">
        <v>83</v>
      </c>
      <c r="B285" s="1" t="s">
        <v>13</v>
      </c>
      <c r="C285" s="1" t="s">
        <v>84</v>
      </c>
      <c r="D285">
        <v>0</v>
      </c>
      <c r="E285" s="2">
        <v>52001</v>
      </c>
      <c r="F285" s="1" t="s">
        <v>16</v>
      </c>
      <c r="G285" s="1" t="s">
        <v>84</v>
      </c>
      <c r="H285" s="1" t="s">
        <v>2</v>
      </c>
      <c r="I285" s="2">
        <v>46177</v>
      </c>
      <c r="J285" s="1" t="s">
        <v>17</v>
      </c>
      <c r="K285" s="1" t="s">
        <v>4338</v>
      </c>
      <c r="L285" s="2">
        <v>46177.92087962963</v>
      </c>
      <c r="M285" s="2">
        <v>46177.921329212964</v>
      </c>
    </row>
    <row r="286" spans="1:13" x14ac:dyDescent="0.35">
      <c r="A286" s="1" t="s">
        <v>253</v>
      </c>
      <c r="B286" s="1" t="s">
        <v>13</v>
      </c>
      <c r="C286" s="1" t="s">
        <v>254</v>
      </c>
      <c r="D286">
        <v>0</v>
      </c>
      <c r="E286" s="2">
        <v>52093</v>
      </c>
      <c r="F286" s="1" t="s">
        <v>16</v>
      </c>
      <c r="G286" s="1" t="s">
        <v>254</v>
      </c>
      <c r="H286" s="1" t="s">
        <v>2</v>
      </c>
      <c r="I286" s="2">
        <v>46177</v>
      </c>
      <c r="J286" s="1" t="s">
        <v>17</v>
      </c>
      <c r="K286" s="1" t="s">
        <v>4397</v>
      </c>
      <c r="L286" s="2">
        <v>46177.92087962963</v>
      </c>
      <c r="M286" s="2">
        <v>46177.921329212964</v>
      </c>
    </row>
    <row r="287" spans="1:13" x14ac:dyDescent="0.35">
      <c r="A287" s="1" t="s">
        <v>253</v>
      </c>
      <c r="B287" s="1" t="s">
        <v>13</v>
      </c>
      <c r="C287" s="1" t="s">
        <v>254</v>
      </c>
      <c r="D287">
        <v>0</v>
      </c>
      <c r="E287" s="2">
        <v>52093</v>
      </c>
      <c r="F287" s="1" t="s">
        <v>16</v>
      </c>
      <c r="G287" s="1" t="s">
        <v>254</v>
      </c>
      <c r="H287" s="1" t="s">
        <v>2</v>
      </c>
      <c r="I287" s="2">
        <v>46177</v>
      </c>
      <c r="J287" s="1" t="s">
        <v>18</v>
      </c>
      <c r="K287" s="1" t="s">
        <v>4398</v>
      </c>
      <c r="L287" s="2">
        <v>46177.92087962963</v>
      </c>
      <c r="M287" s="2">
        <v>46177.921329212964</v>
      </c>
    </row>
    <row r="288" spans="1:13" x14ac:dyDescent="0.35">
      <c r="A288" s="1" t="s">
        <v>85</v>
      </c>
      <c r="B288" s="1" t="s">
        <v>13</v>
      </c>
      <c r="C288" s="1" t="s">
        <v>86</v>
      </c>
      <c r="D288">
        <v>0</v>
      </c>
      <c r="E288" s="2">
        <v>52185</v>
      </c>
      <c r="F288" s="1" t="s">
        <v>16</v>
      </c>
      <c r="G288" s="1" t="s">
        <v>86</v>
      </c>
      <c r="H288" s="1" t="s">
        <v>2</v>
      </c>
      <c r="I288" s="2">
        <v>46177</v>
      </c>
      <c r="J288" s="1" t="s">
        <v>17</v>
      </c>
      <c r="K288" s="1" t="s">
        <v>4352</v>
      </c>
      <c r="L288" s="2">
        <v>46177.92087962963</v>
      </c>
      <c r="M288" s="2">
        <v>46177.921329212964</v>
      </c>
    </row>
    <row r="289" spans="1:13" x14ac:dyDescent="0.35">
      <c r="A289" s="1" t="s">
        <v>85</v>
      </c>
      <c r="B289" s="1" t="s">
        <v>13</v>
      </c>
      <c r="C289" s="1" t="s">
        <v>86</v>
      </c>
      <c r="D289">
        <v>0</v>
      </c>
      <c r="E289" s="2">
        <v>52185</v>
      </c>
      <c r="F289" s="1" t="s">
        <v>16</v>
      </c>
      <c r="G289" s="1" t="s">
        <v>86</v>
      </c>
      <c r="H289" s="1" t="s">
        <v>2</v>
      </c>
      <c r="I289" s="2">
        <v>46177</v>
      </c>
      <c r="J289" s="1" t="s">
        <v>18</v>
      </c>
      <c r="K289" s="1" t="s">
        <v>4319</v>
      </c>
      <c r="L289" s="2">
        <v>46177.92087962963</v>
      </c>
      <c r="M289" s="2">
        <v>46177.921329212964</v>
      </c>
    </row>
    <row r="290" spans="1:13" x14ac:dyDescent="0.35">
      <c r="A290" s="1" t="s">
        <v>156</v>
      </c>
      <c r="B290" s="1" t="s">
        <v>13</v>
      </c>
      <c r="C290" s="1" t="s">
        <v>157</v>
      </c>
      <c r="D290">
        <v>0</v>
      </c>
      <c r="E290" s="2">
        <v>52277</v>
      </c>
      <c r="F290" s="1" t="s">
        <v>16</v>
      </c>
      <c r="G290" s="1" t="s">
        <v>157</v>
      </c>
      <c r="H290" s="1" t="s">
        <v>2</v>
      </c>
      <c r="I290" s="2">
        <v>46177</v>
      </c>
      <c r="J290" s="1" t="s">
        <v>17</v>
      </c>
      <c r="K290" s="1" t="s">
        <v>4353</v>
      </c>
      <c r="L290" s="2">
        <v>46177.92087962963</v>
      </c>
      <c r="M290" s="2">
        <v>46177.921329212964</v>
      </c>
    </row>
    <row r="291" spans="1:13" x14ac:dyDescent="0.35">
      <c r="A291" s="1" t="s">
        <v>156</v>
      </c>
      <c r="B291" s="1" t="s">
        <v>13</v>
      </c>
      <c r="C291" s="1" t="s">
        <v>157</v>
      </c>
      <c r="D291">
        <v>0</v>
      </c>
      <c r="E291" s="2">
        <v>52277</v>
      </c>
      <c r="F291" s="1" t="s">
        <v>16</v>
      </c>
      <c r="G291" s="1" t="s">
        <v>157</v>
      </c>
      <c r="H291" s="1" t="s">
        <v>2</v>
      </c>
      <c r="I291" s="2">
        <v>46177</v>
      </c>
      <c r="J291" s="1" t="s">
        <v>18</v>
      </c>
      <c r="K291" s="1" t="s">
        <v>4399</v>
      </c>
      <c r="L291" s="2">
        <v>46177.92087962963</v>
      </c>
      <c r="M291" s="2">
        <v>46177.921329212964</v>
      </c>
    </row>
    <row r="292" spans="1:13" x14ac:dyDescent="0.35">
      <c r="A292" s="1" t="s">
        <v>158</v>
      </c>
      <c r="B292" s="1" t="s">
        <v>13</v>
      </c>
      <c r="C292" s="1" t="s">
        <v>159</v>
      </c>
      <c r="D292">
        <v>0</v>
      </c>
      <c r="E292" s="2">
        <v>52366</v>
      </c>
      <c r="F292" s="1" t="s">
        <v>16</v>
      </c>
      <c r="G292" s="1" t="s">
        <v>159</v>
      </c>
      <c r="H292" s="1" t="s">
        <v>2</v>
      </c>
      <c r="I292" s="2">
        <v>46177</v>
      </c>
      <c r="J292" s="1" t="s">
        <v>18</v>
      </c>
      <c r="K292" s="1" t="s">
        <v>4339</v>
      </c>
      <c r="L292" s="2">
        <v>46177.92087962963</v>
      </c>
      <c r="M292" s="2">
        <v>46177.921329212964</v>
      </c>
    </row>
    <row r="293" spans="1:13" x14ac:dyDescent="0.35">
      <c r="A293" s="1" t="s">
        <v>158</v>
      </c>
      <c r="B293" s="1" t="s">
        <v>13</v>
      </c>
      <c r="C293" s="1" t="s">
        <v>159</v>
      </c>
      <c r="D293">
        <v>0</v>
      </c>
      <c r="E293" s="2">
        <v>52366</v>
      </c>
      <c r="F293" s="1" t="s">
        <v>16</v>
      </c>
      <c r="G293" s="1" t="s">
        <v>159</v>
      </c>
      <c r="H293" s="1" t="s">
        <v>2</v>
      </c>
      <c r="I293" s="2">
        <v>46177</v>
      </c>
      <c r="J293" s="1" t="s">
        <v>17</v>
      </c>
      <c r="K293" s="1" t="s">
        <v>4400</v>
      </c>
      <c r="L293" s="2">
        <v>46177.92087962963</v>
      </c>
      <c r="M293" s="2">
        <v>46177.921329212964</v>
      </c>
    </row>
    <row r="294" spans="1:13" x14ac:dyDescent="0.35">
      <c r="A294" s="1" t="s">
        <v>87</v>
      </c>
      <c r="B294" s="1" t="s">
        <v>13</v>
      </c>
      <c r="C294" s="1" t="s">
        <v>88</v>
      </c>
      <c r="D294">
        <v>0</v>
      </c>
      <c r="E294" s="2">
        <v>52458</v>
      </c>
      <c r="F294" s="1" t="s">
        <v>16</v>
      </c>
      <c r="G294" s="1" t="s">
        <v>88</v>
      </c>
      <c r="H294" s="1" t="s">
        <v>2</v>
      </c>
      <c r="I294" s="2">
        <v>46177</v>
      </c>
      <c r="J294" s="1" t="s">
        <v>18</v>
      </c>
      <c r="K294" s="1" t="s">
        <v>4373</v>
      </c>
      <c r="L294" s="2">
        <v>46177.92087962963</v>
      </c>
      <c r="M294" s="2">
        <v>46177.921329212964</v>
      </c>
    </row>
    <row r="295" spans="1:13" x14ac:dyDescent="0.35">
      <c r="A295" s="1" t="s">
        <v>87</v>
      </c>
      <c r="B295" s="1" t="s">
        <v>13</v>
      </c>
      <c r="C295" s="1" t="s">
        <v>88</v>
      </c>
      <c r="D295">
        <v>0</v>
      </c>
      <c r="E295" s="2">
        <v>52458</v>
      </c>
      <c r="F295" s="1" t="s">
        <v>16</v>
      </c>
      <c r="G295" s="1" t="s">
        <v>88</v>
      </c>
      <c r="H295" s="1" t="s">
        <v>2</v>
      </c>
      <c r="I295" s="2">
        <v>46177</v>
      </c>
      <c r="J295" s="1" t="s">
        <v>17</v>
      </c>
      <c r="K295" s="1" t="s">
        <v>4421</v>
      </c>
      <c r="L295" s="2">
        <v>46177.92087962963</v>
      </c>
      <c r="M295" s="2">
        <v>46177.921329212964</v>
      </c>
    </row>
    <row r="296" spans="1:13" x14ac:dyDescent="0.35">
      <c r="A296" s="1" t="s">
        <v>160</v>
      </c>
      <c r="B296" s="1" t="s">
        <v>13</v>
      </c>
      <c r="C296" s="1" t="s">
        <v>161</v>
      </c>
      <c r="D296">
        <v>0</v>
      </c>
      <c r="E296" s="2">
        <v>52550</v>
      </c>
      <c r="F296" s="1" t="s">
        <v>16</v>
      </c>
      <c r="G296" s="1" t="s">
        <v>161</v>
      </c>
      <c r="H296" s="1" t="s">
        <v>2</v>
      </c>
      <c r="I296" s="2">
        <v>46177</v>
      </c>
      <c r="J296" s="1" t="s">
        <v>17</v>
      </c>
      <c r="K296" s="1" t="s">
        <v>4401</v>
      </c>
      <c r="L296" s="2">
        <v>46177.92087962963</v>
      </c>
      <c r="M296" s="2">
        <v>46177.921329212964</v>
      </c>
    </row>
    <row r="297" spans="1:13" x14ac:dyDescent="0.35">
      <c r="A297" s="1" t="s">
        <v>160</v>
      </c>
      <c r="B297" s="1" t="s">
        <v>13</v>
      </c>
      <c r="C297" s="1" t="s">
        <v>161</v>
      </c>
      <c r="D297">
        <v>0</v>
      </c>
      <c r="E297" s="2">
        <v>52550</v>
      </c>
      <c r="F297" s="1" t="s">
        <v>16</v>
      </c>
      <c r="G297" s="1" t="s">
        <v>161</v>
      </c>
      <c r="H297" s="1" t="s">
        <v>2</v>
      </c>
      <c r="I297" s="2">
        <v>46177</v>
      </c>
      <c r="J297" s="1" t="s">
        <v>18</v>
      </c>
      <c r="K297" s="1" t="s">
        <v>4444</v>
      </c>
      <c r="L297" s="2">
        <v>46177.92087962963</v>
      </c>
      <c r="M297" s="2">
        <v>46177.921329212964</v>
      </c>
    </row>
    <row r="298" spans="1:13" x14ac:dyDescent="0.35">
      <c r="A298" s="1" t="s">
        <v>162</v>
      </c>
      <c r="B298" s="1" t="s">
        <v>13</v>
      </c>
      <c r="C298" s="1" t="s">
        <v>163</v>
      </c>
      <c r="D298">
        <v>0</v>
      </c>
      <c r="E298" s="2">
        <v>52642</v>
      </c>
      <c r="F298" s="1" t="s">
        <v>16</v>
      </c>
      <c r="G298" s="1" t="s">
        <v>163</v>
      </c>
      <c r="H298" s="1" t="s">
        <v>2</v>
      </c>
      <c r="I298" s="2">
        <v>46177</v>
      </c>
      <c r="J298" s="1" t="s">
        <v>18</v>
      </c>
      <c r="K298" s="1" t="s">
        <v>4374</v>
      </c>
      <c r="L298" s="2">
        <v>46177.92087962963</v>
      </c>
      <c r="M298" s="2">
        <v>46177.921329212964</v>
      </c>
    </row>
    <row r="299" spans="1:13" x14ac:dyDescent="0.35">
      <c r="A299" s="1" t="s">
        <v>162</v>
      </c>
      <c r="B299" s="1" t="s">
        <v>13</v>
      </c>
      <c r="C299" s="1" t="s">
        <v>163</v>
      </c>
      <c r="D299">
        <v>0</v>
      </c>
      <c r="E299" s="2">
        <v>52642</v>
      </c>
      <c r="F299" s="1" t="s">
        <v>16</v>
      </c>
      <c r="G299" s="1" t="s">
        <v>163</v>
      </c>
      <c r="H299" s="1" t="s">
        <v>2</v>
      </c>
      <c r="I299" s="2">
        <v>46177</v>
      </c>
      <c r="J299" s="1" t="s">
        <v>17</v>
      </c>
      <c r="K299" s="1" t="s">
        <v>4340</v>
      </c>
      <c r="L299" s="2">
        <v>46177.92087962963</v>
      </c>
      <c r="M299" s="2">
        <v>46177.921329212964</v>
      </c>
    </row>
    <row r="300" spans="1:13" x14ac:dyDescent="0.35">
      <c r="A300" s="1" t="s">
        <v>233</v>
      </c>
      <c r="B300" s="1" t="s">
        <v>13</v>
      </c>
      <c r="C300" s="1" t="s">
        <v>234</v>
      </c>
      <c r="D300">
        <v>0</v>
      </c>
      <c r="E300" s="2">
        <v>52732</v>
      </c>
      <c r="F300" s="1" t="s">
        <v>16</v>
      </c>
      <c r="G300" s="1" t="s">
        <v>234</v>
      </c>
      <c r="H300" s="1" t="s">
        <v>2</v>
      </c>
      <c r="I300" s="2">
        <v>46177</v>
      </c>
      <c r="J300" s="1" t="s">
        <v>17</v>
      </c>
      <c r="K300" s="1" t="s">
        <v>4354</v>
      </c>
      <c r="L300" s="2">
        <v>46177.92087962963</v>
      </c>
      <c r="M300" s="2">
        <v>46177.921329212964</v>
      </c>
    </row>
    <row r="301" spans="1:13" x14ac:dyDescent="0.35">
      <c r="A301" s="1" t="s">
        <v>233</v>
      </c>
      <c r="B301" s="1" t="s">
        <v>13</v>
      </c>
      <c r="C301" s="1" t="s">
        <v>234</v>
      </c>
      <c r="D301">
        <v>0</v>
      </c>
      <c r="E301" s="2">
        <v>52732</v>
      </c>
      <c r="F301" s="1" t="s">
        <v>16</v>
      </c>
      <c r="G301" s="1" t="s">
        <v>234</v>
      </c>
      <c r="H301" s="1" t="s">
        <v>2</v>
      </c>
      <c r="I301" s="2">
        <v>46177</v>
      </c>
      <c r="J301" s="1" t="s">
        <v>18</v>
      </c>
      <c r="K301" s="1" t="s">
        <v>4341</v>
      </c>
      <c r="L301" s="2">
        <v>46177.92087962963</v>
      </c>
      <c r="M301" s="2">
        <v>46177.921329212964</v>
      </c>
    </row>
    <row r="302" spans="1:13" x14ac:dyDescent="0.35">
      <c r="A302" s="1" t="s">
        <v>235</v>
      </c>
      <c r="B302" s="1" t="s">
        <v>13</v>
      </c>
      <c r="C302" s="1" t="s">
        <v>236</v>
      </c>
      <c r="D302">
        <v>0</v>
      </c>
      <c r="E302" s="2">
        <v>52824</v>
      </c>
      <c r="F302" s="1" t="s">
        <v>16</v>
      </c>
      <c r="G302" s="1" t="s">
        <v>236</v>
      </c>
      <c r="H302" s="1" t="s">
        <v>2</v>
      </c>
      <c r="I302" s="2">
        <v>46177</v>
      </c>
      <c r="J302" s="1" t="s">
        <v>17</v>
      </c>
      <c r="K302" s="1" t="s">
        <v>4355</v>
      </c>
      <c r="L302" s="2">
        <v>46177.92087962963</v>
      </c>
      <c r="M302" s="2">
        <v>46177.921329212964</v>
      </c>
    </row>
    <row r="303" spans="1:13" x14ac:dyDescent="0.35">
      <c r="A303" s="1" t="s">
        <v>235</v>
      </c>
      <c r="B303" s="1" t="s">
        <v>13</v>
      </c>
      <c r="C303" s="1" t="s">
        <v>236</v>
      </c>
      <c r="D303">
        <v>0</v>
      </c>
      <c r="E303" s="2">
        <v>52824</v>
      </c>
      <c r="F303" s="1" t="s">
        <v>16</v>
      </c>
      <c r="G303" s="1" t="s">
        <v>236</v>
      </c>
      <c r="H303" s="1" t="s">
        <v>2</v>
      </c>
      <c r="I303" s="2">
        <v>46177</v>
      </c>
      <c r="J303" s="1" t="s">
        <v>18</v>
      </c>
      <c r="K303" s="1" t="s">
        <v>4422</v>
      </c>
      <c r="L303" s="2">
        <v>46177.92087962963</v>
      </c>
      <c r="M303" s="2">
        <v>46177.921329212964</v>
      </c>
    </row>
    <row r="304" spans="1:13" x14ac:dyDescent="0.35">
      <c r="A304" s="1" t="s">
        <v>126</v>
      </c>
      <c r="B304" s="1" t="s">
        <v>13</v>
      </c>
      <c r="C304" s="1" t="s">
        <v>127</v>
      </c>
      <c r="D304">
        <v>0</v>
      </c>
      <c r="E304" s="2">
        <v>52916</v>
      </c>
      <c r="F304" s="1" t="s">
        <v>16</v>
      </c>
      <c r="G304" s="1" t="s">
        <v>127</v>
      </c>
      <c r="H304" s="1" t="s">
        <v>2</v>
      </c>
      <c r="I304" s="2">
        <v>46177</v>
      </c>
      <c r="J304" s="1" t="s">
        <v>17</v>
      </c>
      <c r="K304" s="1" t="s">
        <v>4402</v>
      </c>
      <c r="L304" s="2">
        <v>46177.92087962963</v>
      </c>
      <c r="M304" s="2">
        <v>46177.921329212964</v>
      </c>
    </row>
    <row r="305" spans="1:13" x14ac:dyDescent="0.35">
      <c r="A305" s="1" t="s">
        <v>126</v>
      </c>
      <c r="B305" s="1" t="s">
        <v>13</v>
      </c>
      <c r="C305" s="1" t="s">
        <v>127</v>
      </c>
      <c r="D305">
        <v>0</v>
      </c>
      <c r="E305" s="2">
        <v>52916</v>
      </c>
      <c r="F305" s="1" t="s">
        <v>16</v>
      </c>
      <c r="G305" s="1" t="s">
        <v>127</v>
      </c>
      <c r="H305" s="1" t="s">
        <v>2</v>
      </c>
      <c r="I305" s="2">
        <v>46177</v>
      </c>
      <c r="J305" s="1" t="s">
        <v>18</v>
      </c>
      <c r="K305" s="1" t="s">
        <v>4445</v>
      </c>
      <c r="L305" s="2">
        <v>46177.92087962963</v>
      </c>
      <c r="M305" s="2">
        <v>46177.921329212964</v>
      </c>
    </row>
    <row r="306" spans="1:13" x14ac:dyDescent="0.35">
      <c r="A306" s="1" t="s">
        <v>33</v>
      </c>
      <c r="B306" s="1" t="s">
        <v>13</v>
      </c>
      <c r="C306" s="1" t="s">
        <v>34</v>
      </c>
      <c r="D306">
        <v>0</v>
      </c>
      <c r="E306" s="2">
        <v>53008</v>
      </c>
      <c r="F306" s="1" t="s">
        <v>16</v>
      </c>
      <c r="G306" s="1" t="s">
        <v>34</v>
      </c>
      <c r="H306" s="1" t="s">
        <v>2</v>
      </c>
      <c r="I306" s="2">
        <v>46177</v>
      </c>
      <c r="J306" s="1" t="s">
        <v>17</v>
      </c>
      <c r="K306" s="1" t="s">
        <v>4375</v>
      </c>
      <c r="L306" s="2">
        <v>46177.92087962963</v>
      </c>
      <c r="M306" s="2">
        <v>46177.921329212964</v>
      </c>
    </row>
    <row r="307" spans="1:13" x14ac:dyDescent="0.35">
      <c r="A307" s="1" t="s">
        <v>33</v>
      </c>
      <c r="B307" s="1" t="s">
        <v>13</v>
      </c>
      <c r="C307" s="1" t="s">
        <v>34</v>
      </c>
      <c r="D307">
        <v>0</v>
      </c>
      <c r="E307" s="2">
        <v>53008</v>
      </c>
      <c r="F307" s="1" t="s">
        <v>16</v>
      </c>
      <c r="G307" s="1" t="s">
        <v>34</v>
      </c>
      <c r="H307" s="1" t="s">
        <v>2</v>
      </c>
      <c r="I307" s="2">
        <v>46177</v>
      </c>
      <c r="J307" s="1" t="s">
        <v>18</v>
      </c>
      <c r="K307" s="1" t="s">
        <v>4403</v>
      </c>
      <c r="L307" s="2">
        <v>46177.92087962963</v>
      </c>
      <c r="M307" s="2">
        <v>46177.921329212964</v>
      </c>
    </row>
    <row r="308" spans="1:13" x14ac:dyDescent="0.35">
      <c r="A308" s="1" t="s">
        <v>164</v>
      </c>
      <c r="B308" s="1" t="s">
        <v>13</v>
      </c>
      <c r="C308" s="1" t="s">
        <v>165</v>
      </c>
      <c r="D308">
        <v>0</v>
      </c>
      <c r="E308" s="2">
        <v>53097</v>
      </c>
      <c r="F308" s="1" t="s">
        <v>16</v>
      </c>
      <c r="G308" s="1" t="s">
        <v>165</v>
      </c>
      <c r="H308" s="1" t="s">
        <v>2</v>
      </c>
      <c r="I308" s="2">
        <v>46177</v>
      </c>
      <c r="J308" s="1" t="s">
        <v>18</v>
      </c>
      <c r="K308" s="1" t="s">
        <v>4404</v>
      </c>
      <c r="L308" s="2">
        <v>46177.92087962963</v>
      </c>
      <c r="M308" s="2">
        <v>46177.921329212964</v>
      </c>
    </row>
    <row r="309" spans="1:13" x14ac:dyDescent="0.35">
      <c r="A309" s="1" t="s">
        <v>164</v>
      </c>
      <c r="B309" s="1" t="s">
        <v>13</v>
      </c>
      <c r="C309" s="1" t="s">
        <v>165</v>
      </c>
      <c r="D309">
        <v>0</v>
      </c>
      <c r="E309" s="2">
        <v>53097</v>
      </c>
      <c r="F309" s="1" t="s">
        <v>16</v>
      </c>
      <c r="G309" s="1" t="s">
        <v>165</v>
      </c>
      <c r="H309" s="1" t="s">
        <v>2</v>
      </c>
      <c r="I309" s="2">
        <v>46177</v>
      </c>
      <c r="J309" s="1" t="s">
        <v>17</v>
      </c>
      <c r="K309" s="1" t="s">
        <v>4446</v>
      </c>
      <c r="L309" s="2">
        <v>46177.92087962963</v>
      </c>
      <c r="M309" s="2">
        <v>46177.921329212964</v>
      </c>
    </row>
    <row r="310" spans="1:13" x14ac:dyDescent="0.35">
      <c r="A310" s="1" t="s">
        <v>166</v>
      </c>
      <c r="B310" s="1" t="s">
        <v>13</v>
      </c>
      <c r="C310" s="1" t="s">
        <v>167</v>
      </c>
      <c r="D310">
        <v>0</v>
      </c>
      <c r="E310" s="2">
        <v>53189</v>
      </c>
      <c r="F310" s="1" t="s">
        <v>16</v>
      </c>
      <c r="G310" s="1" t="s">
        <v>167</v>
      </c>
      <c r="H310" s="1" t="s">
        <v>2</v>
      </c>
      <c r="I310" s="2">
        <v>46177</v>
      </c>
      <c r="J310" s="1" t="s">
        <v>17</v>
      </c>
      <c r="K310" s="1" t="s">
        <v>4356</v>
      </c>
      <c r="L310" s="2">
        <v>46177.92087962963</v>
      </c>
      <c r="M310" s="2">
        <v>46177.921329212964</v>
      </c>
    </row>
    <row r="311" spans="1:13" x14ac:dyDescent="0.35">
      <c r="A311" s="1" t="s">
        <v>166</v>
      </c>
      <c r="B311" s="1" t="s">
        <v>13</v>
      </c>
      <c r="C311" s="1" t="s">
        <v>167</v>
      </c>
      <c r="D311">
        <v>0</v>
      </c>
      <c r="E311" s="2">
        <v>53189</v>
      </c>
      <c r="F311" s="1" t="s">
        <v>16</v>
      </c>
      <c r="G311" s="1" t="s">
        <v>167</v>
      </c>
      <c r="H311" s="1" t="s">
        <v>2</v>
      </c>
      <c r="I311" s="2">
        <v>46177</v>
      </c>
      <c r="J311" s="1" t="s">
        <v>18</v>
      </c>
      <c r="K311" s="1" t="s">
        <v>4447</v>
      </c>
      <c r="L311" s="2">
        <v>46177.92087962963</v>
      </c>
      <c r="M311" s="2">
        <v>46177.921329212964</v>
      </c>
    </row>
    <row r="312" spans="1:13" x14ac:dyDescent="0.35">
      <c r="A312" s="1" t="s">
        <v>35</v>
      </c>
      <c r="B312" s="1" t="s">
        <v>13</v>
      </c>
      <c r="C312" s="1" t="s">
        <v>36</v>
      </c>
      <c r="D312">
        <v>0</v>
      </c>
      <c r="E312" s="2">
        <v>53281</v>
      </c>
      <c r="F312" s="1" t="s">
        <v>16</v>
      </c>
      <c r="G312" s="1" t="s">
        <v>36</v>
      </c>
      <c r="H312" s="1" t="s">
        <v>2</v>
      </c>
      <c r="I312" s="2">
        <v>46177</v>
      </c>
      <c r="J312" s="1" t="s">
        <v>17</v>
      </c>
      <c r="K312" s="1" t="s">
        <v>4423</v>
      </c>
      <c r="L312" s="2">
        <v>46177.92087962963</v>
      </c>
      <c r="M312" s="2">
        <v>46177.921329212964</v>
      </c>
    </row>
    <row r="313" spans="1:13" x14ac:dyDescent="0.35">
      <c r="A313" s="1" t="s">
        <v>35</v>
      </c>
      <c r="B313" s="1" t="s">
        <v>13</v>
      </c>
      <c r="C313" s="1" t="s">
        <v>36</v>
      </c>
      <c r="D313">
        <v>0</v>
      </c>
      <c r="E313" s="2">
        <v>53281</v>
      </c>
      <c r="F313" s="1" t="s">
        <v>16</v>
      </c>
      <c r="G313" s="1" t="s">
        <v>36</v>
      </c>
      <c r="H313" s="1" t="s">
        <v>2</v>
      </c>
      <c r="I313" s="2">
        <v>46177</v>
      </c>
      <c r="J313" s="1" t="s">
        <v>18</v>
      </c>
      <c r="K313" s="1" t="s">
        <v>4468</v>
      </c>
      <c r="L313" s="2">
        <v>46177.92087962963</v>
      </c>
      <c r="M313" s="2">
        <v>46177.921329212964</v>
      </c>
    </row>
    <row r="314" spans="1:13" x14ac:dyDescent="0.35">
      <c r="A314" s="1" t="s">
        <v>128</v>
      </c>
      <c r="B314" s="1" t="s">
        <v>13</v>
      </c>
      <c r="C314" s="1" t="s">
        <v>129</v>
      </c>
      <c r="D314">
        <v>0</v>
      </c>
      <c r="E314" s="2">
        <v>53373</v>
      </c>
      <c r="F314" s="1" t="s">
        <v>16</v>
      </c>
      <c r="G314" s="1" t="s">
        <v>129</v>
      </c>
      <c r="H314" s="1" t="s">
        <v>2</v>
      </c>
      <c r="I314" s="2">
        <v>46177</v>
      </c>
      <c r="J314" s="1" t="s">
        <v>18</v>
      </c>
      <c r="K314" s="1" t="s">
        <v>4376</v>
      </c>
      <c r="L314" s="2">
        <v>46177.92087962963</v>
      </c>
      <c r="M314" s="2">
        <v>46177.921329212964</v>
      </c>
    </row>
    <row r="315" spans="1:13" x14ac:dyDescent="0.35">
      <c r="A315" s="1" t="s">
        <v>128</v>
      </c>
      <c r="B315" s="1" t="s">
        <v>13</v>
      </c>
      <c r="C315" s="1" t="s">
        <v>129</v>
      </c>
      <c r="D315">
        <v>0</v>
      </c>
      <c r="E315" s="2">
        <v>53373</v>
      </c>
      <c r="F315" s="1" t="s">
        <v>16</v>
      </c>
      <c r="G315" s="1" t="s">
        <v>129</v>
      </c>
      <c r="H315" s="1" t="s">
        <v>2</v>
      </c>
      <c r="I315" s="2">
        <v>46177</v>
      </c>
      <c r="J315" s="1" t="s">
        <v>17</v>
      </c>
      <c r="K315" s="1" t="s">
        <v>4469</v>
      </c>
      <c r="L315" s="2">
        <v>46177.92087962963</v>
      </c>
      <c r="M315" s="2">
        <v>46177.921329212964</v>
      </c>
    </row>
    <row r="316" spans="1:13" x14ac:dyDescent="0.35">
      <c r="A316" s="1" t="s">
        <v>37</v>
      </c>
      <c r="B316" s="1" t="s">
        <v>13</v>
      </c>
      <c r="C316" s="1" t="s">
        <v>38</v>
      </c>
      <c r="D316">
        <v>0</v>
      </c>
      <c r="E316" s="2">
        <v>53462</v>
      </c>
      <c r="F316" s="1" t="s">
        <v>16</v>
      </c>
      <c r="G316" s="1" t="s">
        <v>38</v>
      </c>
      <c r="H316" s="1" t="s">
        <v>2</v>
      </c>
      <c r="I316" s="2">
        <v>46177</v>
      </c>
      <c r="J316" s="1" t="s">
        <v>17</v>
      </c>
      <c r="K316" s="1" t="s">
        <v>4448</v>
      </c>
      <c r="L316" s="2">
        <v>46177.92087962963</v>
      </c>
      <c r="M316" s="2">
        <v>46177.921329212964</v>
      </c>
    </row>
    <row r="317" spans="1:13" x14ac:dyDescent="0.35">
      <c r="A317" s="1" t="s">
        <v>37</v>
      </c>
      <c r="B317" s="1" t="s">
        <v>13</v>
      </c>
      <c r="C317" s="1" t="s">
        <v>38</v>
      </c>
      <c r="D317">
        <v>0</v>
      </c>
      <c r="E317" s="2">
        <v>53462</v>
      </c>
      <c r="F317" s="1" t="s">
        <v>16</v>
      </c>
      <c r="G317" s="1" t="s">
        <v>38</v>
      </c>
      <c r="H317" s="1" t="s">
        <v>2</v>
      </c>
      <c r="I317" s="2">
        <v>46177</v>
      </c>
      <c r="J317" s="1" t="s">
        <v>18</v>
      </c>
      <c r="K317" s="1" t="s">
        <v>4449</v>
      </c>
      <c r="L317" s="2">
        <v>46177.92087962963</v>
      </c>
      <c r="M317" s="2">
        <v>46177.921329212964</v>
      </c>
    </row>
    <row r="318" spans="1:13" x14ac:dyDescent="0.35">
      <c r="A318" s="1" t="s">
        <v>130</v>
      </c>
      <c r="B318" s="1" t="s">
        <v>13</v>
      </c>
      <c r="C318" s="1" t="s">
        <v>131</v>
      </c>
      <c r="D318">
        <v>0</v>
      </c>
      <c r="E318" s="2">
        <v>53554</v>
      </c>
      <c r="F318" s="1" t="s">
        <v>16</v>
      </c>
      <c r="G318" s="1" t="s">
        <v>131</v>
      </c>
      <c r="H318" s="1" t="s">
        <v>2</v>
      </c>
      <c r="I318" s="2">
        <v>46177</v>
      </c>
      <c r="J318" s="1" t="s">
        <v>17</v>
      </c>
      <c r="K318" s="1" t="s">
        <v>4342</v>
      </c>
      <c r="L318" s="2">
        <v>46177.92087962963</v>
      </c>
      <c r="M318" s="2">
        <v>46177.921329212964</v>
      </c>
    </row>
    <row r="319" spans="1:13" x14ac:dyDescent="0.35">
      <c r="A319" s="1" t="s">
        <v>130</v>
      </c>
      <c r="B319" s="1" t="s">
        <v>13</v>
      </c>
      <c r="C319" s="1" t="s">
        <v>131</v>
      </c>
      <c r="D319">
        <v>0</v>
      </c>
      <c r="E319" s="2">
        <v>53554</v>
      </c>
      <c r="F319" s="1" t="s">
        <v>16</v>
      </c>
      <c r="G319" s="1" t="s">
        <v>131</v>
      </c>
      <c r="H319" s="1" t="s">
        <v>2</v>
      </c>
      <c r="I319" s="2">
        <v>46177</v>
      </c>
      <c r="J319" s="1" t="s">
        <v>18</v>
      </c>
      <c r="K319" s="1" t="s">
        <v>4405</v>
      </c>
      <c r="L319" s="2">
        <v>46177.92087962963</v>
      </c>
      <c r="M319" s="2">
        <v>46177.921329212964</v>
      </c>
    </row>
    <row r="320" spans="1:13" x14ac:dyDescent="0.35">
      <c r="A320" s="1" t="s">
        <v>168</v>
      </c>
      <c r="B320" s="1" t="s">
        <v>13</v>
      </c>
      <c r="C320" s="1" t="s">
        <v>169</v>
      </c>
      <c r="D320">
        <v>0</v>
      </c>
      <c r="E320" s="2">
        <v>53646</v>
      </c>
      <c r="F320" s="1" t="s">
        <v>16</v>
      </c>
      <c r="G320" s="1" t="s">
        <v>169</v>
      </c>
      <c r="H320" s="1" t="s">
        <v>2</v>
      </c>
      <c r="I320" s="2">
        <v>46177</v>
      </c>
      <c r="J320" s="1" t="s">
        <v>17</v>
      </c>
      <c r="K320" s="1" t="s">
        <v>4320</v>
      </c>
      <c r="L320" s="2">
        <v>46177.92087962963</v>
      </c>
      <c r="M320" s="2">
        <v>46177.921329212964</v>
      </c>
    </row>
    <row r="321" spans="1:13" x14ac:dyDescent="0.35">
      <c r="A321" s="1" t="s">
        <v>168</v>
      </c>
      <c r="B321" s="1" t="s">
        <v>13</v>
      </c>
      <c r="C321" s="1" t="s">
        <v>169</v>
      </c>
      <c r="D321">
        <v>0</v>
      </c>
      <c r="E321" s="2">
        <v>53646</v>
      </c>
      <c r="F321" s="1" t="s">
        <v>16</v>
      </c>
      <c r="G321" s="1" t="s">
        <v>169</v>
      </c>
      <c r="H321" s="1" t="s">
        <v>2</v>
      </c>
      <c r="I321" s="2">
        <v>46177</v>
      </c>
      <c r="J321" s="1" t="s">
        <v>18</v>
      </c>
      <c r="K321" s="1" t="s">
        <v>4450</v>
      </c>
      <c r="L321" s="2">
        <v>46177.92087962963</v>
      </c>
      <c r="M321" s="2">
        <v>46177.921329212964</v>
      </c>
    </row>
    <row r="322" spans="1:13" x14ac:dyDescent="0.35">
      <c r="A322" s="1" t="s">
        <v>170</v>
      </c>
      <c r="B322" s="1" t="s">
        <v>13</v>
      </c>
      <c r="C322" s="1" t="s">
        <v>171</v>
      </c>
      <c r="D322">
        <v>0</v>
      </c>
      <c r="E322" s="2">
        <v>53738</v>
      </c>
      <c r="F322" s="1" t="s">
        <v>16</v>
      </c>
      <c r="G322" s="1" t="s">
        <v>171</v>
      </c>
      <c r="H322" s="1" t="s">
        <v>2</v>
      </c>
      <c r="I322" s="2">
        <v>46177</v>
      </c>
      <c r="J322" s="1" t="s">
        <v>18</v>
      </c>
      <c r="K322" s="1" t="s">
        <v>4377</v>
      </c>
      <c r="L322" s="2">
        <v>46177.92087962963</v>
      </c>
      <c r="M322" s="2">
        <v>46177.921329212964</v>
      </c>
    </row>
    <row r="323" spans="1:13" x14ac:dyDescent="0.35">
      <c r="A323" s="1" t="s">
        <v>170</v>
      </c>
      <c r="B323" s="1" t="s">
        <v>13</v>
      </c>
      <c r="C323" s="1" t="s">
        <v>171</v>
      </c>
      <c r="D323">
        <v>0</v>
      </c>
      <c r="E323" s="2">
        <v>53738</v>
      </c>
      <c r="F323" s="1" t="s">
        <v>16</v>
      </c>
      <c r="G323" s="1" t="s">
        <v>171</v>
      </c>
      <c r="H323" s="1" t="s">
        <v>2</v>
      </c>
      <c r="I323" s="2">
        <v>46177</v>
      </c>
      <c r="J323" s="1" t="s">
        <v>17</v>
      </c>
      <c r="K323" s="1" t="s">
        <v>4424</v>
      </c>
      <c r="L323" s="2">
        <v>46177.92087962963</v>
      </c>
      <c r="M323" s="2">
        <v>46177.921329212964</v>
      </c>
    </row>
    <row r="324" spans="1:13" x14ac:dyDescent="0.35">
      <c r="A324" s="1" t="s">
        <v>89</v>
      </c>
      <c r="B324" s="1" t="s">
        <v>13</v>
      </c>
      <c r="C324" s="1" t="s">
        <v>90</v>
      </c>
      <c r="D324">
        <v>0</v>
      </c>
      <c r="E324" s="2">
        <v>53827</v>
      </c>
      <c r="F324" s="1" t="s">
        <v>16</v>
      </c>
      <c r="G324" s="1" t="s">
        <v>90</v>
      </c>
      <c r="H324" s="1" t="s">
        <v>2</v>
      </c>
      <c r="I324" s="2">
        <v>46177</v>
      </c>
      <c r="J324" s="1" t="s">
        <v>17</v>
      </c>
      <c r="K324" s="1" t="s">
        <v>4321</v>
      </c>
      <c r="L324" s="2">
        <v>46177.92087962963</v>
      </c>
      <c r="M324" s="2">
        <v>46177.921329212964</v>
      </c>
    </row>
    <row r="325" spans="1:13" x14ac:dyDescent="0.35">
      <c r="A325" s="1" t="s">
        <v>89</v>
      </c>
      <c r="B325" s="1" t="s">
        <v>13</v>
      </c>
      <c r="C325" s="1" t="s">
        <v>90</v>
      </c>
      <c r="D325">
        <v>0</v>
      </c>
      <c r="E325" s="2">
        <v>53827</v>
      </c>
      <c r="F325" s="1" t="s">
        <v>16</v>
      </c>
      <c r="G325" s="1" t="s">
        <v>90</v>
      </c>
      <c r="H325" s="1" t="s">
        <v>2</v>
      </c>
      <c r="I325" s="2">
        <v>46177</v>
      </c>
      <c r="J325" s="1" t="s">
        <v>18</v>
      </c>
      <c r="K325" s="1" t="s">
        <v>4322</v>
      </c>
      <c r="L325" s="2">
        <v>46177.92087962963</v>
      </c>
      <c r="M325" s="2">
        <v>46177.921329212964</v>
      </c>
    </row>
    <row r="326" spans="1:13" x14ac:dyDescent="0.35">
      <c r="A326" s="1" t="s">
        <v>132</v>
      </c>
      <c r="B326" s="1" t="s">
        <v>13</v>
      </c>
      <c r="C326" s="1" t="s">
        <v>133</v>
      </c>
      <c r="D326">
        <v>0</v>
      </c>
      <c r="E326" s="2">
        <v>53919</v>
      </c>
      <c r="F326" s="1" t="s">
        <v>16</v>
      </c>
      <c r="G326" s="1" t="s">
        <v>133</v>
      </c>
      <c r="H326" s="1" t="s">
        <v>2</v>
      </c>
      <c r="I326" s="2">
        <v>46177</v>
      </c>
      <c r="J326" s="1" t="s">
        <v>18</v>
      </c>
      <c r="K326" s="1" t="s">
        <v>4470</v>
      </c>
      <c r="L326" s="2">
        <v>46177.92087962963</v>
      </c>
      <c r="M326" s="2">
        <v>46177.921329212964</v>
      </c>
    </row>
    <row r="327" spans="1:13" x14ac:dyDescent="0.35">
      <c r="A327" s="1" t="s">
        <v>132</v>
      </c>
      <c r="B327" s="1" t="s">
        <v>13</v>
      </c>
      <c r="C327" s="1" t="s">
        <v>133</v>
      </c>
      <c r="D327">
        <v>0</v>
      </c>
      <c r="E327" s="2">
        <v>53919</v>
      </c>
      <c r="F327" s="1" t="s">
        <v>16</v>
      </c>
      <c r="G327" s="1" t="s">
        <v>133</v>
      </c>
      <c r="H327" s="1" t="s">
        <v>2</v>
      </c>
      <c r="I327" s="2">
        <v>46177</v>
      </c>
      <c r="J327" s="1" t="s">
        <v>17</v>
      </c>
      <c r="K327" s="1" t="s">
        <v>4343</v>
      </c>
      <c r="L327" s="2">
        <v>46177.92087962963</v>
      </c>
      <c r="M327" s="2">
        <v>46177.921329212964</v>
      </c>
    </row>
    <row r="328" spans="1:13" x14ac:dyDescent="0.35">
      <c r="A328" s="1" t="s">
        <v>273</v>
      </c>
      <c r="B328" s="1" t="s">
        <v>13</v>
      </c>
      <c r="C328" s="1" t="s">
        <v>274</v>
      </c>
      <c r="D328">
        <v>0</v>
      </c>
      <c r="E328" s="2">
        <v>54011</v>
      </c>
      <c r="F328" s="1" t="s">
        <v>16</v>
      </c>
      <c r="G328" s="1" t="s">
        <v>274</v>
      </c>
      <c r="H328" s="1" t="s">
        <v>2</v>
      </c>
      <c r="I328" s="2">
        <v>46177</v>
      </c>
      <c r="J328" s="1" t="s">
        <v>17</v>
      </c>
      <c r="K328" s="1" t="s">
        <v>4425</v>
      </c>
      <c r="L328" s="2">
        <v>46177.92087962963</v>
      </c>
      <c r="M328" s="2">
        <v>46177.921329212964</v>
      </c>
    </row>
    <row r="329" spans="1:13" x14ac:dyDescent="0.35">
      <c r="A329" s="1" t="s">
        <v>273</v>
      </c>
      <c r="B329" s="1" t="s">
        <v>13</v>
      </c>
      <c r="C329" s="1" t="s">
        <v>274</v>
      </c>
      <c r="D329">
        <v>0</v>
      </c>
      <c r="E329" s="2">
        <v>54011</v>
      </c>
      <c r="F329" s="1" t="s">
        <v>16</v>
      </c>
      <c r="G329" s="1" t="s">
        <v>274</v>
      </c>
      <c r="H329" s="1" t="s">
        <v>2</v>
      </c>
      <c r="I329" s="2">
        <v>46177</v>
      </c>
      <c r="J329" s="1" t="s">
        <v>18</v>
      </c>
      <c r="K329" s="1" t="s">
        <v>4344</v>
      </c>
      <c r="L329" s="2">
        <v>46177.92087962963</v>
      </c>
      <c r="M329" s="2">
        <v>46177.921329212964</v>
      </c>
    </row>
    <row r="330" spans="1:13" x14ac:dyDescent="0.35">
      <c r="A330" s="1" t="s">
        <v>172</v>
      </c>
      <c r="B330" s="1" t="s">
        <v>13</v>
      </c>
      <c r="C330" s="1" t="s">
        <v>173</v>
      </c>
      <c r="D330">
        <v>0</v>
      </c>
      <c r="E330" s="2">
        <v>54103</v>
      </c>
      <c r="F330" s="1" t="s">
        <v>16</v>
      </c>
      <c r="G330" s="1" t="s">
        <v>173</v>
      </c>
      <c r="H330" s="1" t="s">
        <v>2</v>
      </c>
      <c r="I330" s="2">
        <v>46177</v>
      </c>
      <c r="J330" s="1" t="s">
        <v>18</v>
      </c>
      <c r="K330" s="1" t="s">
        <v>4378</v>
      </c>
      <c r="L330" s="2">
        <v>46177.92087962963</v>
      </c>
      <c r="M330" s="2">
        <v>46177.921329212964</v>
      </c>
    </row>
    <row r="331" spans="1:13" x14ac:dyDescent="0.35">
      <c r="A331" s="1" t="s">
        <v>172</v>
      </c>
      <c r="B331" s="1" t="s">
        <v>13</v>
      </c>
      <c r="C331" s="1" t="s">
        <v>173</v>
      </c>
      <c r="D331">
        <v>0</v>
      </c>
      <c r="E331" s="2">
        <v>54103</v>
      </c>
      <c r="F331" s="1" t="s">
        <v>16</v>
      </c>
      <c r="G331" s="1" t="s">
        <v>173</v>
      </c>
      <c r="H331" s="1" t="s">
        <v>2</v>
      </c>
      <c r="I331" s="2">
        <v>46177</v>
      </c>
      <c r="J331" s="1" t="s">
        <v>17</v>
      </c>
      <c r="K331" s="1" t="s">
        <v>4471</v>
      </c>
      <c r="L331" s="2">
        <v>46177.92087962963</v>
      </c>
      <c r="M331" s="2">
        <v>46177.921329212964</v>
      </c>
    </row>
    <row r="332" spans="1:13" x14ac:dyDescent="0.35">
      <c r="A332" s="1" t="s">
        <v>237</v>
      </c>
      <c r="B332" s="1" t="s">
        <v>13</v>
      </c>
      <c r="C332" s="1" t="s">
        <v>238</v>
      </c>
      <c r="D332">
        <v>0</v>
      </c>
      <c r="E332" s="2">
        <v>54193</v>
      </c>
      <c r="F332" s="1" t="s">
        <v>16</v>
      </c>
      <c r="G332" s="1" t="s">
        <v>238</v>
      </c>
      <c r="H332" s="1" t="s">
        <v>2</v>
      </c>
      <c r="I332" s="2">
        <v>46177</v>
      </c>
      <c r="J332" s="1" t="s">
        <v>18</v>
      </c>
      <c r="K332" s="1" t="s">
        <v>4357</v>
      </c>
      <c r="L332" s="2">
        <v>46177.92087962963</v>
      </c>
      <c r="M332" s="2">
        <v>46177.921329212964</v>
      </c>
    </row>
    <row r="333" spans="1:13" x14ac:dyDescent="0.35">
      <c r="A333" s="1" t="s">
        <v>237</v>
      </c>
      <c r="B333" s="1" t="s">
        <v>13</v>
      </c>
      <c r="C333" s="1" t="s">
        <v>238</v>
      </c>
      <c r="D333">
        <v>0</v>
      </c>
      <c r="E333" s="2">
        <v>54193</v>
      </c>
      <c r="F333" s="1" t="s">
        <v>16</v>
      </c>
      <c r="G333" s="1" t="s">
        <v>238</v>
      </c>
      <c r="H333" s="1" t="s">
        <v>2</v>
      </c>
      <c r="I333" s="2">
        <v>46177</v>
      </c>
      <c r="J333" s="1" t="s">
        <v>17</v>
      </c>
      <c r="K333" s="1" t="s">
        <v>4472</v>
      </c>
      <c r="L333" s="2">
        <v>46177.92087962963</v>
      </c>
      <c r="M333" s="2">
        <v>46177.921329212964</v>
      </c>
    </row>
    <row r="334" spans="1:13" x14ac:dyDescent="0.35">
      <c r="A334" s="1" t="s">
        <v>763</v>
      </c>
      <c r="B334" s="1" t="s">
        <v>13</v>
      </c>
      <c r="C334" s="1" t="s">
        <v>764</v>
      </c>
      <c r="D334">
        <v>0</v>
      </c>
      <c r="E334" s="2">
        <v>54285</v>
      </c>
      <c r="F334" s="1" t="s">
        <v>16</v>
      </c>
      <c r="G334" s="1" t="s">
        <v>764</v>
      </c>
      <c r="H334" s="1" t="s">
        <v>2</v>
      </c>
      <c r="I334" s="2">
        <v>46177</v>
      </c>
      <c r="J334" s="1" t="s">
        <v>17</v>
      </c>
      <c r="K334" s="1" t="s">
        <v>4406</v>
      </c>
      <c r="L334" s="2">
        <v>46177.92087962963</v>
      </c>
      <c r="M334" s="2">
        <v>46177.921329212964</v>
      </c>
    </row>
    <row r="335" spans="1:13" x14ac:dyDescent="0.35">
      <c r="A335" s="1" t="s">
        <v>763</v>
      </c>
      <c r="B335" s="1" t="s">
        <v>13</v>
      </c>
      <c r="C335" s="1" t="s">
        <v>764</v>
      </c>
      <c r="D335">
        <v>0</v>
      </c>
      <c r="E335" s="2">
        <v>54285</v>
      </c>
      <c r="F335" s="1" t="s">
        <v>16</v>
      </c>
      <c r="G335" s="1" t="s">
        <v>764</v>
      </c>
      <c r="H335" s="1" t="s">
        <v>2</v>
      </c>
      <c r="I335" s="2">
        <v>46177</v>
      </c>
      <c r="J335" s="1" t="s">
        <v>18</v>
      </c>
      <c r="K335" s="1" t="s">
        <v>4323</v>
      </c>
      <c r="L335" s="2">
        <v>46177.92087962963</v>
      </c>
      <c r="M335" s="2">
        <v>46177.921329212964</v>
      </c>
    </row>
    <row r="336" spans="1:13" x14ac:dyDescent="0.35">
      <c r="A336" s="1" t="s">
        <v>39</v>
      </c>
      <c r="B336" s="1" t="s">
        <v>13</v>
      </c>
      <c r="C336" s="1" t="s">
        <v>40</v>
      </c>
      <c r="D336">
        <v>0</v>
      </c>
      <c r="E336" s="2">
        <v>54377</v>
      </c>
      <c r="F336" s="1" t="s">
        <v>16</v>
      </c>
      <c r="G336" s="1" t="s">
        <v>40</v>
      </c>
      <c r="H336" s="1" t="s">
        <v>2</v>
      </c>
      <c r="I336" s="2">
        <v>46177</v>
      </c>
      <c r="J336" s="1" t="s">
        <v>18</v>
      </c>
      <c r="K336" s="1" t="s">
        <v>4379</v>
      </c>
      <c r="L336" s="2">
        <v>46177.92087962963</v>
      </c>
      <c r="M336" s="2">
        <v>46177.921329212964</v>
      </c>
    </row>
    <row r="337" spans="1:13" x14ac:dyDescent="0.35">
      <c r="A337" s="1" t="s">
        <v>39</v>
      </c>
      <c r="B337" s="1" t="s">
        <v>13</v>
      </c>
      <c r="C337" s="1" t="s">
        <v>40</v>
      </c>
      <c r="D337">
        <v>0</v>
      </c>
      <c r="E337" s="2">
        <v>54377</v>
      </c>
      <c r="F337" s="1" t="s">
        <v>16</v>
      </c>
      <c r="G337" s="1" t="s">
        <v>40</v>
      </c>
      <c r="H337" s="1" t="s">
        <v>2</v>
      </c>
      <c r="I337" s="2">
        <v>46177</v>
      </c>
      <c r="J337" s="1" t="s">
        <v>17</v>
      </c>
      <c r="K337" s="1" t="s">
        <v>4426</v>
      </c>
      <c r="L337" s="2">
        <v>46177.92087962963</v>
      </c>
      <c r="M337" s="2">
        <v>46177.921329212964</v>
      </c>
    </row>
    <row r="338" spans="1:13" x14ac:dyDescent="0.35">
      <c r="A338" s="1" t="s">
        <v>41</v>
      </c>
      <c r="B338" s="1" t="s">
        <v>13</v>
      </c>
      <c r="C338" s="1" t="s">
        <v>42</v>
      </c>
      <c r="D338">
        <v>0</v>
      </c>
      <c r="E338" s="2">
        <v>54469</v>
      </c>
      <c r="F338" s="1" t="s">
        <v>16</v>
      </c>
      <c r="G338" s="1" t="s">
        <v>42</v>
      </c>
      <c r="H338" s="1" t="s">
        <v>2</v>
      </c>
      <c r="I338" s="2">
        <v>46177</v>
      </c>
      <c r="J338" s="1" t="s">
        <v>18</v>
      </c>
      <c r="K338" s="1" t="s">
        <v>4407</v>
      </c>
      <c r="L338" s="2">
        <v>46177.92087962963</v>
      </c>
      <c r="M338" s="2">
        <v>46177.921329212964</v>
      </c>
    </row>
    <row r="339" spans="1:13" x14ac:dyDescent="0.35">
      <c r="A339" s="1" t="s">
        <v>41</v>
      </c>
      <c r="B339" s="1" t="s">
        <v>13</v>
      </c>
      <c r="C339" s="1" t="s">
        <v>42</v>
      </c>
      <c r="D339">
        <v>0</v>
      </c>
      <c r="E339" s="2">
        <v>54469</v>
      </c>
      <c r="F339" s="1" t="s">
        <v>16</v>
      </c>
      <c r="G339" s="1" t="s">
        <v>42</v>
      </c>
      <c r="H339" s="1" t="s">
        <v>2</v>
      </c>
      <c r="I339" s="2">
        <v>46177</v>
      </c>
      <c r="J339" s="1" t="s">
        <v>17</v>
      </c>
      <c r="K339" s="1" t="s">
        <v>4324</v>
      </c>
      <c r="L339" s="2">
        <v>46177.92087962963</v>
      </c>
      <c r="M339" s="2">
        <v>46177.921329212964</v>
      </c>
    </row>
    <row r="340" spans="1:13" x14ac:dyDescent="0.35">
      <c r="A340" s="1" t="s">
        <v>43</v>
      </c>
      <c r="B340" s="1" t="s">
        <v>13</v>
      </c>
      <c r="C340" s="1" t="s">
        <v>44</v>
      </c>
      <c r="D340">
        <v>0</v>
      </c>
      <c r="E340" s="2">
        <v>54558</v>
      </c>
      <c r="F340" s="1" t="s">
        <v>16</v>
      </c>
      <c r="G340" s="1" t="s">
        <v>44</v>
      </c>
      <c r="H340" s="1" t="s">
        <v>2</v>
      </c>
      <c r="I340" s="2">
        <v>46177</v>
      </c>
      <c r="J340" s="1" t="s">
        <v>17</v>
      </c>
      <c r="K340" s="1" t="s">
        <v>4380</v>
      </c>
      <c r="L340" s="2">
        <v>46177.92087962963</v>
      </c>
      <c r="M340" s="2">
        <v>46177.921329212964</v>
      </c>
    </row>
    <row r="341" spans="1:13" x14ac:dyDescent="0.35">
      <c r="A341" s="1" t="s">
        <v>43</v>
      </c>
      <c r="B341" s="1" t="s">
        <v>13</v>
      </c>
      <c r="C341" s="1" t="s">
        <v>44</v>
      </c>
      <c r="D341">
        <v>0</v>
      </c>
      <c r="E341" s="2">
        <v>54558</v>
      </c>
      <c r="F341" s="1" t="s">
        <v>16</v>
      </c>
      <c r="G341" s="1" t="s">
        <v>44</v>
      </c>
      <c r="H341" s="1" t="s">
        <v>2</v>
      </c>
      <c r="I341" s="2">
        <v>46177</v>
      </c>
      <c r="J341" s="1" t="s">
        <v>18</v>
      </c>
      <c r="K341" s="1" t="s">
        <v>4325</v>
      </c>
      <c r="L341" s="2">
        <v>46177.92087962963</v>
      </c>
      <c r="M341" s="2">
        <v>46177.921329212964</v>
      </c>
    </row>
    <row r="342" spans="1:13" x14ac:dyDescent="0.35">
      <c r="A342" s="1" t="s">
        <v>174</v>
      </c>
      <c r="B342" s="1" t="s">
        <v>13</v>
      </c>
      <c r="C342" s="1" t="s">
        <v>175</v>
      </c>
      <c r="D342">
        <v>0</v>
      </c>
      <c r="E342" s="2">
        <v>54650</v>
      </c>
      <c r="F342" s="1" t="s">
        <v>16</v>
      </c>
      <c r="G342" s="1" t="s">
        <v>175</v>
      </c>
      <c r="H342" s="1" t="s">
        <v>2</v>
      </c>
      <c r="I342" s="2">
        <v>46177</v>
      </c>
      <c r="J342" s="1" t="s">
        <v>18</v>
      </c>
      <c r="K342" s="1" t="s">
        <v>4408</v>
      </c>
      <c r="L342" s="2">
        <v>46177.92087962963</v>
      </c>
      <c r="M342" s="2">
        <v>46177.921329212964</v>
      </c>
    </row>
    <row r="343" spans="1:13" x14ac:dyDescent="0.35">
      <c r="A343" s="1" t="s">
        <v>174</v>
      </c>
      <c r="B343" s="1" t="s">
        <v>13</v>
      </c>
      <c r="C343" s="1" t="s">
        <v>175</v>
      </c>
      <c r="D343">
        <v>0</v>
      </c>
      <c r="E343" s="2">
        <v>54650</v>
      </c>
      <c r="F343" s="1" t="s">
        <v>16</v>
      </c>
      <c r="G343" s="1" t="s">
        <v>175</v>
      </c>
      <c r="H343" s="1" t="s">
        <v>2</v>
      </c>
      <c r="I343" s="2">
        <v>46177</v>
      </c>
      <c r="J343" s="1" t="s">
        <v>17</v>
      </c>
      <c r="K343" s="1" t="s">
        <v>4326</v>
      </c>
      <c r="L343" s="2">
        <v>46177.92087962963</v>
      </c>
      <c r="M343" s="2">
        <v>46177.921329212964</v>
      </c>
    </row>
    <row r="344" spans="1:13" x14ac:dyDescent="0.35">
      <c r="A344" s="1" t="s">
        <v>45</v>
      </c>
      <c r="B344" s="1" t="s">
        <v>13</v>
      </c>
      <c r="C344" s="1" t="s">
        <v>46</v>
      </c>
      <c r="D344">
        <v>0</v>
      </c>
      <c r="E344" s="2">
        <v>54742</v>
      </c>
      <c r="F344" s="1" t="s">
        <v>16</v>
      </c>
      <c r="G344" s="1" t="s">
        <v>46</v>
      </c>
      <c r="H344" s="1" t="s">
        <v>2</v>
      </c>
      <c r="I344" s="2">
        <v>46177</v>
      </c>
      <c r="J344" s="1" t="s">
        <v>17</v>
      </c>
      <c r="K344" s="1" t="s">
        <v>4409</v>
      </c>
      <c r="L344" s="2">
        <v>46177.92087962963</v>
      </c>
      <c r="M344" s="2">
        <v>46177.921329212964</v>
      </c>
    </row>
    <row r="345" spans="1:13" x14ac:dyDescent="0.35">
      <c r="A345" s="1" t="s">
        <v>45</v>
      </c>
      <c r="B345" s="1" t="s">
        <v>13</v>
      </c>
      <c r="C345" s="1" t="s">
        <v>46</v>
      </c>
      <c r="D345">
        <v>0</v>
      </c>
      <c r="E345" s="2">
        <v>54742</v>
      </c>
      <c r="F345" s="1" t="s">
        <v>16</v>
      </c>
      <c r="G345" s="1" t="s">
        <v>46</v>
      </c>
      <c r="H345" s="1" t="s">
        <v>2</v>
      </c>
      <c r="I345" s="2">
        <v>46177</v>
      </c>
      <c r="J345" s="1" t="s">
        <v>18</v>
      </c>
      <c r="K345" s="1" t="s">
        <v>4327</v>
      </c>
      <c r="L345" s="2">
        <v>46177.92087962963</v>
      </c>
      <c r="M345" s="2">
        <v>46177.921329212964</v>
      </c>
    </row>
    <row r="346" spans="1:13" x14ac:dyDescent="0.35">
      <c r="A346" s="1" t="s">
        <v>47</v>
      </c>
      <c r="B346" s="1" t="s">
        <v>13</v>
      </c>
      <c r="C346" s="1" t="s">
        <v>48</v>
      </c>
      <c r="D346">
        <v>0</v>
      </c>
      <c r="E346" s="2">
        <v>54834</v>
      </c>
      <c r="F346" s="1" t="s">
        <v>16</v>
      </c>
      <c r="G346" s="1" t="s">
        <v>48</v>
      </c>
      <c r="H346" s="1" t="s">
        <v>2</v>
      </c>
      <c r="I346" s="2">
        <v>46177</v>
      </c>
      <c r="J346" s="1" t="s">
        <v>17</v>
      </c>
      <c r="K346" s="1" t="s">
        <v>4451</v>
      </c>
      <c r="L346" s="2">
        <v>46177.92087962963</v>
      </c>
      <c r="M346" s="2">
        <v>46177.921329212964</v>
      </c>
    </row>
    <row r="347" spans="1:13" x14ac:dyDescent="0.35">
      <c r="A347" s="1" t="s">
        <v>47</v>
      </c>
      <c r="B347" s="1" t="s">
        <v>13</v>
      </c>
      <c r="C347" s="1" t="s">
        <v>48</v>
      </c>
      <c r="D347">
        <v>0</v>
      </c>
      <c r="E347" s="2">
        <v>54834</v>
      </c>
      <c r="F347" s="1" t="s">
        <v>16</v>
      </c>
      <c r="G347" s="1" t="s">
        <v>48</v>
      </c>
      <c r="H347" s="1" t="s">
        <v>2</v>
      </c>
      <c r="I347" s="2">
        <v>46177</v>
      </c>
      <c r="J347" s="1" t="s">
        <v>18</v>
      </c>
      <c r="K347" s="1" t="s">
        <v>4452</v>
      </c>
      <c r="L347" s="2">
        <v>46177.92087962963</v>
      </c>
      <c r="M347" s="2">
        <v>46177.921329212964</v>
      </c>
    </row>
    <row r="348" spans="1:13" x14ac:dyDescent="0.35">
      <c r="A348" s="1" t="s">
        <v>239</v>
      </c>
      <c r="B348" s="1" t="s">
        <v>13</v>
      </c>
      <c r="C348" s="1" t="s">
        <v>240</v>
      </c>
      <c r="D348">
        <v>0</v>
      </c>
      <c r="E348" s="2">
        <v>54923</v>
      </c>
      <c r="F348" s="1" t="s">
        <v>16</v>
      </c>
      <c r="G348" s="1" t="s">
        <v>240</v>
      </c>
      <c r="H348" s="1" t="s">
        <v>2</v>
      </c>
      <c r="I348" s="2">
        <v>46177</v>
      </c>
      <c r="J348" s="1" t="s">
        <v>17</v>
      </c>
      <c r="K348" s="1" t="s">
        <v>4427</v>
      </c>
      <c r="L348" s="2">
        <v>46177.92087962963</v>
      </c>
      <c r="M348" s="2">
        <v>46177.921329212964</v>
      </c>
    </row>
    <row r="349" spans="1:13" x14ac:dyDescent="0.35">
      <c r="A349" s="1" t="s">
        <v>239</v>
      </c>
      <c r="B349" s="1" t="s">
        <v>13</v>
      </c>
      <c r="C349" s="1" t="s">
        <v>240</v>
      </c>
      <c r="D349">
        <v>0</v>
      </c>
      <c r="E349" s="2">
        <v>54923</v>
      </c>
      <c r="F349" s="1" t="s">
        <v>16</v>
      </c>
      <c r="G349" s="1" t="s">
        <v>240</v>
      </c>
      <c r="H349" s="1" t="s">
        <v>2</v>
      </c>
      <c r="I349" s="2">
        <v>46177</v>
      </c>
      <c r="J349" s="1" t="s">
        <v>18</v>
      </c>
      <c r="K349" s="1" t="s">
        <v>4328</v>
      </c>
      <c r="L349" s="2">
        <v>46177.92087962963</v>
      </c>
      <c r="M349" s="2">
        <v>46177.921329212964</v>
      </c>
    </row>
    <row r="350" spans="1:13" x14ac:dyDescent="0.35">
      <c r="A350" s="1" t="s">
        <v>275</v>
      </c>
      <c r="B350" s="1" t="s">
        <v>13</v>
      </c>
      <c r="C350" s="1" t="s">
        <v>276</v>
      </c>
      <c r="D350">
        <v>0</v>
      </c>
      <c r="E350" s="2">
        <v>55015</v>
      </c>
      <c r="F350" s="1" t="s">
        <v>16</v>
      </c>
      <c r="G350" s="1" t="s">
        <v>276</v>
      </c>
      <c r="H350" s="1" t="s">
        <v>2</v>
      </c>
      <c r="I350" s="2">
        <v>46177</v>
      </c>
      <c r="J350" s="1" t="s">
        <v>17</v>
      </c>
      <c r="K350" s="1" t="s">
        <v>4473</v>
      </c>
      <c r="L350" s="2">
        <v>46177.92087962963</v>
      </c>
      <c r="M350" s="2">
        <v>46177.921329212964</v>
      </c>
    </row>
    <row r="351" spans="1:13" x14ac:dyDescent="0.35">
      <c r="A351" s="1" t="s">
        <v>275</v>
      </c>
      <c r="B351" s="1" t="s">
        <v>13</v>
      </c>
      <c r="C351" s="1" t="s">
        <v>276</v>
      </c>
      <c r="D351">
        <v>0</v>
      </c>
      <c r="E351" s="2">
        <v>55015</v>
      </c>
      <c r="F351" s="1" t="s">
        <v>16</v>
      </c>
      <c r="G351" s="1" t="s">
        <v>276</v>
      </c>
      <c r="H351" s="1" t="s">
        <v>2</v>
      </c>
      <c r="I351" s="2">
        <v>46177</v>
      </c>
      <c r="J351" s="1" t="s">
        <v>18</v>
      </c>
      <c r="K351" s="1" t="s">
        <v>4329</v>
      </c>
      <c r="L351" s="2">
        <v>46177.92087962963</v>
      </c>
      <c r="M351" s="2">
        <v>46177.921329212964</v>
      </c>
    </row>
    <row r="352" spans="1:13" x14ac:dyDescent="0.35">
      <c r="A352" s="1" t="s">
        <v>255</v>
      </c>
      <c r="B352" s="1" t="s">
        <v>13</v>
      </c>
      <c r="C352" s="1" t="s">
        <v>256</v>
      </c>
      <c r="D352">
        <v>0</v>
      </c>
      <c r="E352" s="2">
        <v>55107</v>
      </c>
      <c r="F352" s="1" t="s">
        <v>16</v>
      </c>
      <c r="G352" s="1" t="s">
        <v>256</v>
      </c>
      <c r="H352" s="1" t="s">
        <v>2</v>
      </c>
      <c r="I352" s="2">
        <v>46177</v>
      </c>
      <c r="J352" s="1" t="s">
        <v>18</v>
      </c>
      <c r="K352" s="1" t="s">
        <v>4474</v>
      </c>
      <c r="L352" s="2">
        <v>46177.92087962963</v>
      </c>
      <c r="M352" s="2">
        <v>46177.921329212964</v>
      </c>
    </row>
    <row r="353" spans="1:13" x14ac:dyDescent="0.35">
      <c r="A353" s="1" t="s">
        <v>255</v>
      </c>
      <c r="B353" s="1" t="s">
        <v>13</v>
      </c>
      <c r="C353" s="1" t="s">
        <v>256</v>
      </c>
      <c r="D353">
        <v>0</v>
      </c>
      <c r="E353" s="2">
        <v>55107</v>
      </c>
      <c r="F353" s="1" t="s">
        <v>16</v>
      </c>
      <c r="G353" s="1" t="s">
        <v>256</v>
      </c>
      <c r="H353" s="1" t="s">
        <v>2</v>
      </c>
      <c r="I353" s="2">
        <v>46177</v>
      </c>
      <c r="J353" s="1" t="s">
        <v>17</v>
      </c>
      <c r="K353" s="1" t="s">
        <v>4453</v>
      </c>
      <c r="L353" s="2">
        <v>46177.92087962963</v>
      </c>
      <c r="M353" s="2">
        <v>46177.921329212964</v>
      </c>
    </row>
    <row r="354" spans="1:13" x14ac:dyDescent="0.35">
      <c r="A354" s="1" t="s">
        <v>176</v>
      </c>
      <c r="B354" s="1" t="s">
        <v>13</v>
      </c>
      <c r="C354" s="1" t="s">
        <v>177</v>
      </c>
      <c r="D354">
        <v>0</v>
      </c>
      <c r="E354" s="2">
        <v>55199</v>
      </c>
      <c r="F354" s="1" t="s">
        <v>16</v>
      </c>
      <c r="G354" s="1" t="s">
        <v>177</v>
      </c>
      <c r="H354" s="1" t="s">
        <v>2</v>
      </c>
      <c r="I354" s="2">
        <v>46177</v>
      </c>
      <c r="J354" s="1" t="s">
        <v>17</v>
      </c>
      <c r="K354" s="1" t="s">
        <v>4475</v>
      </c>
      <c r="L354" s="2">
        <v>46177.92087962963</v>
      </c>
      <c r="M354" s="2">
        <v>46177.921329212964</v>
      </c>
    </row>
    <row r="355" spans="1:13" x14ac:dyDescent="0.35">
      <c r="A355" s="1" t="s">
        <v>176</v>
      </c>
      <c r="B355" s="1" t="s">
        <v>13</v>
      </c>
      <c r="C355" s="1" t="s">
        <v>177</v>
      </c>
      <c r="D355">
        <v>0</v>
      </c>
      <c r="E355" s="2">
        <v>55199</v>
      </c>
      <c r="F355" s="1" t="s">
        <v>16</v>
      </c>
      <c r="G355" s="1" t="s">
        <v>177</v>
      </c>
      <c r="H355" s="1" t="s">
        <v>2</v>
      </c>
      <c r="I355" s="2">
        <v>46177</v>
      </c>
      <c r="J355" s="1" t="s">
        <v>18</v>
      </c>
      <c r="K355" s="1" t="s">
        <v>4345</v>
      </c>
      <c r="L355" s="2">
        <v>46177.92087962963</v>
      </c>
      <c r="M355" s="2">
        <v>46177.921329212964</v>
      </c>
    </row>
    <row r="356" spans="1:13" x14ac:dyDescent="0.35">
      <c r="A356" s="1" t="s">
        <v>91</v>
      </c>
      <c r="B356" s="1" t="s">
        <v>13</v>
      </c>
      <c r="C356" s="1" t="s">
        <v>92</v>
      </c>
      <c r="D356">
        <v>0</v>
      </c>
      <c r="E356" s="2">
        <v>55288</v>
      </c>
      <c r="F356" s="1" t="s">
        <v>16</v>
      </c>
      <c r="G356" s="1" t="s">
        <v>92</v>
      </c>
      <c r="H356" s="1" t="s">
        <v>2</v>
      </c>
      <c r="I356" s="2">
        <v>46177</v>
      </c>
      <c r="J356" s="1" t="s">
        <v>17</v>
      </c>
      <c r="K356" s="1" t="s">
        <v>4428</v>
      </c>
      <c r="L356" s="2">
        <v>46177.92087962963</v>
      </c>
      <c r="M356" s="2">
        <v>46177.921329212964</v>
      </c>
    </row>
    <row r="357" spans="1:13" x14ac:dyDescent="0.35">
      <c r="A357" s="1" t="s">
        <v>91</v>
      </c>
      <c r="B357" s="1" t="s">
        <v>13</v>
      </c>
      <c r="C357" s="1" t="s">
        <v>92</v>
      </c>
      <c r="D357">
        <v>0</v>
      </c>
      <c r="E357" s="2">
        <v>55288</v>
      </c>
      <c r="F357" s="1" t="s">
        <v>16</v>
      </c>
      <c r="G357" s="1" t="s">
        <v>92</v>
      </c>
      <c r="H357" s="1" t="s">
        <v>2</v>
      </c>
      <c r="I357" s="2">
        <v>46177</v>
      </c>
      <c r="J357" s="1" t="s">
        <v>18</v>
      </c>
      <c r="K357" s="1" t="s">
        <v>4346</v>
      </c>
      <c r="L357" s="2">
        <v>46177.92087962963</v>
      </c>
      <c r="M357" s="2">
        <v>46177.921329212964</v>
      </c>
    </row>
    <row r="358" spans="1:13" x14ac:dyDescent="0.35">
      <c r="A358" s="1" t="s">
        <v>765</v>
      </c>
      <c r="B358" s="1" t="s">
        <v>13</v>
      </c>
      <c r="C358" s="1" t="s">
        <v>766</v>
      </c>
      <c r="D358">
        <v>0</v>
      </c>
      <c r="E358" s="2">
        <v>55380</v>
      </c>
      <c r="F358" s="1" t="s">
        <v>16</v>
      </c>
      <c r="G358" s="1" t="s">
        <v>766</v>
      </c>
      <c r="H358" s="1" t="s">
        <v>2</v>
      </c>
      <c r="I358" s="2">
        <v>46177</v>
      </c>
      <c r="J358" s="1" t="s">
        <v>18</v>
      </c>
      <c r="K358" s="1" t="s">
        <v>4381</v>
      </c>
      <c r="L358" s="2">
        <v>46177.92087962963</v>
      </c>
      <c r="M358" s="2">
        <v>46177.921329212964</v>
      </c>
    </row>
    <row r="359" spans="1:13" x14ac:dyDescent="0.35">
      <c r="A359" s="1" t="s">
        <v>765</v>
      </c>
      <c r="B359" s="1" t="s">
        <v>13</v>
      </c>
      <c r="C359" s="1" t="s">
        <v>766</v>
      </c>
      <c r="D359">
        <v>0</v>
      </c>
      <c r="E359" s="2">
        <v>55380</v>
      </c>
      <c r="F359" s="1" t="s">
        <v>16</v>
      </c>
      <c r="G359" s="1" t="s">
        <v>766</v>
      </c>
      <c r="H359" s="1" t="s">
        <v>2</v>
      </c>
      <c r="I359" s="2">
        <v>46177</v>
      </c>
      <c r="J359" s="1" t="s">
        <v>17</v>
      </c>
      <c r="K359" s="1" t="s">
        <v>4410</v>
      </c>
      <c r="L359" s="2">
        <v>46177.92087962963</v>
      </c>
      <c r="M359" s="2">
        <v>46177.921329212964</v>
      </c>
    </row>
    <row r="360" spans="1:13" x14ac:dyDescent="0.35">
      <c r="A360" s="1" t="s">
        <v>49</v>
      </c>
      <c r="B360" s="1" t="s">
        <v>13</v>
      </c>
      <c r="C360" s="1" t="s">
        <v>50</v>
      </c>
      <c r="D360">
        <v>0</v>
      </c>
      <c r="E360" s="2">
        <v>55472</v>
      </c>
      <c r="F360" s="1" t="s">
        <v>16</v>
      </c>
      <c r="G360" s="1" t="s">
        <v>50</v>
      </c>
      <c r="H360" s="1" t="s">
        <v>2</v>
      </c>
      <c r="I360" s="2">
        <v>46177</v>
      </c>
      <c r="J360" s="1" t="s">
        <v>17</v>
      </c>
      <c r="K360" s="1" t="s">
        <v>4429</v>
      </c>
      <c r="L360" s="2">
        <v>46177.92087962963</v>
      </c>
      <c r="M360" s="2">
        <v>46177.921329212964</v>
      </c>
    </row>
    <row r="361" spans="1:13" x14ac:dyDescent="0.35">
      <c r="A361" s="1" t="s">
        <v>49</v>
      </c>
      <c r="B361" s="1" t="s">
        <v>13</v>
      </c>
      <c r="C361" s="1" t="s">
        <v>50</v>
      </c>
      <c r="D361">
        <v>0</v>
      </c>
      <c r="E361" s="2">
        <v>55472</v>
      </c>
      <c r="F361" s="1" t="s">
        <v>16</v>
      </c>
      <c r="G361" s="1" t="s">
        <v>50</v>
      </c>
      <c r="H361" s="1" t="s">
        <v>2</v>
      </c>
      <c r="I361" s="2">
        <v>46177</v>
      </c>
      <c r="J361" s="1" t="s">
        <v>18</v>
      </c>
      <c r="K361" s="1" t="s">
        <v>4476</v>
      </c>
      <c r="L361" s="2">
        <v>46177.92087962963</v>
      </c>
      <c r="M361" s="2">
        <v>46177.921329212964</v>
      </c>
    </row>
    <row r="362" spans="1:13" x14ac:dyDescent="0.35">
      <c r="A362" s="1" t="s">
        <v>93</v>
      </c>
      <c r="B362" s="1" t="s">
        <v>13</v>
      </c>
      <c r="C362" s="1" t="s">
        <v>94</v>
      </c>
      <c r="D362">
        <v>0</v>
      </c>
      <c r="E362" s="2">
        <v>55564</v>
      </c>
      <c r="F362" s="1" t="s">
        <v>16</v>
      </c>
      <c r="G362" s="1" t="s">
        <v>94</v>
      </c>
      <c r="H362" s="1" t="s">
        <v>2</v>
      </c>
      <c r="I362" s="2">
        <v>46177</v>
      </c>
      <c r="J362" s="1" t="s">
        <v>18</v>
      </c>
      <c r="K362" s="1" t="s">
        <v>4477</v>
      </c>
      <c r="L362" s="2">
        <v>46177.92087962963</v>
      </c>
      <c r="M362" s="2">
        <v>46177.921329212964</v>
      </c>
    </row>
    <row r="363" spans="1:13" x14ac:dyDescent="0.35">
      <c r="A363" s="1" t="s">
        <v>93</v>
      </c>
      <c r="B363" s="1" t="s">
        <v>13</v>
      </c>
      <c r="C363" s="1" t="s">
        <v>94</v>
      </c>
      <c r="D363">
        <v>0</v>
      </c>
      <c r="E363" s="2">
        <v>55564</v>
      </c>
      <c r="F363" s="1" t="s">
        <v>16</v>
      </c>
      <c r="G363" s="1" t="s">
        <v>94</v>
      </c>
      <c r="H363" s="1" t="s">
        <v>2</v>
      </c>
      <c r="I363" s="2">
        <v>46177</v>
      </c>
      <c r="J363" s="1" t="s">
        <v>17</v>
      </c>
      <c r="K363" s="1" t="s">
        <v>4330</v>
      </c>
      <c r="L363" s="2">
        <v>46177.92087962963</v>
      </c>
      <c r="M363" s="2">
        <v>46177.921329212964</v>
      </c>
    </row>
    <row r="364" spans="1:13" x14ac:dyDescent="0.35">
      <c r="A364" s="1" t="s">
        <v>178</v>
      </c>
      <c r="B364" s="1" t="s">
        <v>13</v>
      </c>
      <c r="C364" s="1" t="s">
        <v>179</v>
      </c>
      <c r="D364">
        <v>0</v>
      </c>
      <c r="E364" s="2">
        <v>55654</v>
      </c>
      <c r="F364" s="1" t="s">
        <v>16</v>
      </c>
      <c r="G364" s="1" t="s">
        <v>179</v>
      </c>
      <c r="H364" s="1" t="s">
        <v>2</v>
      </c>
      <c r="I364" s="2">
        <v>46177</v>
      </c>
      <c r="J364" s="1" t="s">
        <v>17</v>
      </c>
      <c r="K364" s="1" t="s">
        <v>4358</v>
      </c>
      <c r="L364" s="2">
        <v>46177.92087962963</v>
      </c>
      <c r="M364" s="2">
        <v>46177.921329212964</v>
      </c>
    </row>
    <row r="365" spans="1:13" x14ac:dyDescent="0.35">
      <c r="A365" s="1" t="s">
        <v>178</v>
      </c>
      <c r="B365" s="1" t="s">
        <v>13</v>
      </c>
      <c r="C365" s="1" t="s">
        <v>179</v>
      </c>
      <c r="D365">
        <v>0</v>
      </c>
      <c r="E365" s="2">
        <v>55654</v>
      </c>
      <c r="F365" s="1" t="s">
        <v>16</v>
      </c>
      <c r="G365" s="1" t="s">
        <v>179</v>
      </c>
      <c r="H365" s="1" t="s">
        <v>2</v>
      </c>
      <c r="I365" s="2">
        <v>46177</v>
      </c>
      <c r="J365" s="1" t="s">
        <v>18</v>
      </c>
      <c r="K365" s="1" t="s">
        <v>4478</v>
      </c>
      <c r="L365" s="2">
        <v>46177.92087962963</v>
      </c>
      <c r="M365" s="2">
        <v>46177.921329212964</v>
      </c>
    </row>
    <row r="366" spans="1:13" x14ac:dyDescent="0.35">
      <c r="A366" s="1" t="s">
        <v>134</v>
      </c>
      <c r="B366" s="1" t="s">
        <v>13</v>
      </c>
      <c r="C366" s="1" t="s">
        <v>135</v>
      </c>
      <c r="D366">
        <v>0</v>
      </c>
      <c r="E366" s="2">
        <v>55746</v>
      </c>
      <c r="F366" s="1" t="s">
        <v>16</v>
      </c>
      <c r="G366" s="1" t="s">
        <v>135</v>
      </c>
      <c r="H366" s="1" t="s">
        <v>2</v>
      </c>
      <c r="I366" s="2">
        <v>46177</v>
      </c>
      <c r="J366" s="1" t="s">
        <v>17</v>
      </c>
      <c r="K366" s="1" t="s">
        <v>4359</v>
      </c>
      <c r="L366" s="2">
        <v>46177.92087962963</v>
      </c>
      <c r="M366" s="2">
        <v>46177.921329212964</v>
      </c>
    </row>
    <row r="367" spans="1:13" x14ac:dyDescent="0.35">
      <c r="A367" s="1" t="s">
        <v>134</v>
      </c>
      <c r="B367" s="1" t="s">
        <v>13</v>
      </c>
      <c r="C367" s="1" t="s">
        <v>135</v>
      </c>
      <c r="D367">
        <v>0</v>
      </c>
      <c r="E367" s="2">
        <v>55746</v>
      </c>
      <c r="F367" s="1" t="s">
        <v>16</v>
      </c>
      <c r="G367" s="1" t="s">
        <v>135</v>
      </c>
      <c r="H367" s="1" t="s">
        <v>2</v>
      </c>
      <c r="I367" s="2">
        <v>46177</v>
      </c>
      <c r="J367" s="1" t="s">
        <v>18</v>
      </c>
      <c r="K367" s="1" t="s">
        <v>4411</v>
      </c>
      <c r="L367" s="2">
        <v>46177.92087962963</v>
      </c>
      <c r="M367" s="2">
        <v>46177.921329212964</v>
      </c>
    </row>
    <row r="368" spans="1:13" x14ac:dyDescent="0.35">
      <c r="A368" s="1" t="s">
        <v>95</v>
      </c>
      <c r="B368" s="1" t="s">
        <v>13</v>
      </c>
      <c r="C368" s="1" t="s">
        <v>96</v>
      </c>
      <c r="D368">
        <v>0</v>
      </c>
      <c r="E368" s="2">
        <v>55838</v>
      </c>
      <c r="F368" s="1" t="s">
        <v>16</v>
      </c>
      <c r="G368" s="1" t="s">
        <v>96</v>
      </c>
      <c r="H368" s="1" t="s">
        <v>2</v>
      </c>
      <c r="I368" s="2">
        <v>46177</v>
      </c>
      <c r="J368" s="1" t="s">
        <v>17</v>
      </c>
      <c r="K368" s="1" t="s">
        <v>4430</v>
      </c>
      <c r="L368" s="2">
        <v>46177.92087962963</v>
      </c>
      <c r="M368" s="2">
        <v>46177.921329212964</v>
      </c>
    </row>
    <row r="369" spans="1:13" x14ac:dyDescent="0.35">
      <c r="A369" s="1" t="s">
        <v>95</v>
      </c>
      <c r="B369" s="1" t="s">
        <v>13</v>
      </c>
      <c r="C369" s="1" t="s">
        <v>96</v>
      </c>
      <c r="D369">
        <v>0</v>
      </c>
      <c r="E369" s="2">
        <v>55838</v>
      </c>
      <c r="F369" s="1" t="s">
        <v>16</v>
      </c>
      <c r="G369" s="1" t="s">
        <v>96</v>
      </c>
      <c r="H369" s="1" t="s">
        <v>2</v>
      </c>
      <c r="I369" s="2">
        <v>46177</v>
      </c>
      <c r="J369" s="1" t="s">
        <v>18</v>
      </c>
      <c r="K369" s="1" t="s">
        <v>4431</v>
      </c>
      <c r="L369" s="2">
        <v>46177.92087962963</v>
      </c>
      <c r="M369" s="2">
        <v>46177.921329212964</v>
      </c>
    </row>
    <row r="370" spans="1:13" x14ac:dyDescent="0.35">
      <c r="A370" s="1" t="s">
        <v>136</v>
      </c>
      <c r="B370" s="1" t="s">
        <v>13</v>
      </c>
      <c r="C370" s="1" t="s">
        <v>137</v>
      </c>
      <c r="D370">
        <v>0</v>
      </c>
      <c r="E370" s="2">
        <v>55930</v>
      </c>
      <c r="F370" s="1" t="s">
        <v>16</v>
      </c>
      <c r="G370" s="1" t="s">
        <v>137</v>
      </c>
      <c r="H370" s="1" t="s">
        <v>2</v>
      </c>
      <c r="I370" s="2">
        <v>46177</v>
      </c>
      <c r="J370" s="1" t="s">
        <v>18</v>
      </c>
      <c r="K370" s="1" t="s">
        <v>4432</v>
      </c>
      <c r="L370" s="2">
        <v>46177.92087962963</v>
      </c>
      <c r="M370" s="2">
        <v>46177.921329212964</v>
      </c>
    </row>
    <row r="371" spans="1:13" x14ac:dyDescent="0.35">
      <c r="A371" s="1" t="s">
        <v>136</v>
      </c>
      <c r="B371" s="1" t="s">
        <v>13</v>
      </c>
      <c r="C371" s="1" t="s">
        <v>137</v>
      </c>
      <c r="D371">
        <v>0</v>
      </c>
      <c r="E371" s="2">
        <v>55930</v>
      </c>
      <c r="F371" s="1" t="s">
        <v>16</v>
      </c>
      <c r="G371" s="1" t="s">
        <v>137</v>
      </c>
      <c r="H371" s="1" t="s">
        <v>2</v>
      </c>
      <c r="I371" s="2">
        <v>46177</v>
      </c>
      <c r="J371" s="1" t="s">
        <v>17</v>
      </c>
      <c r="K371" s="1" t="s">
        <v>4331</v>
      </c>
      <c r="L371" s="2">
        <v>46177.92087962963</v>
      </c>
      <c r="M371" s="2">
        <v>46177.921329212964</v>
      </c>
    </row>
    <row r="372" spans="1:13" x14ac:dyDescent="0.35">
      <c r="A372" s="1" t="s">
        <v>51</v>
      </c>
      <c r="B372" s="1" t="s">
        <v>13</v>
      </c>
      <c r="C372" s="1" t="s">
        <v>52</v>
      </c>
      <c r="D372">
        <v>0</v>
      </c>
      <c r="E372" s="2">
        <v>56019</v>
      </c>
      <c r="F372" s="1" t="s">
        <v>16</v>
      </c>
      <c r="G372" s="1" t="s">
        <v>52</v>
      </c>
      <c r="H372" s="1" t="s">
        <v>2</v>
      </c>
      <c r="I372" s="2">
        <v>46177</v>
      </c>
      <c r="J372" s="1" t="s">
        <v>17</v>
      </c>
      <c r="K372" s="1" t="s">
        <v>4360</v>
      </c>
      <c r="L372" s="2">
        <v>46177.92087962963</v>
      </c>
      <c r="M372" s="2">
        <v>46177.921329212964</v>
      </c>
    </row>
    <row r="373" spans="1:13" x14ac:dyDescent="0.35">
      <c r="A373" s="1" t="s">
        <v>51</v>
      </c>
      <c r="B373" s="1" t="s">
        <v>13</v>
      </c>
      <c r="C373" s="1" t="s">
        <v>52</v>
      </c>
      <c r="D373">
        <v>0</v>
      </c>
      <c r="E373" s="2">
        <v>56019</v>
      </c>
      <c r="F373" s="1" t="s">
        <v>16</v>
      </c>
      <c r="G373" s="1" t="s">
        <v>52</v>
      </c>
      <c r="H373" s="1" t="s">
        <v>2</v>
      </c>
      <c r="I373" s="2">
        <v>46177</v>
      </c>
      <c r="J373" s="1" t="s">
        <v>18</v>
      </c>
      <c r="K373" s="1" t="s">
        <v>4382</v>
      </c>
      <c r="L373" s="2">
        <v>46177.92087962963</v>
      </c>
      <c r="M373" s="2">
        <v>46177.921329212964</v>
      </c>
    </row>
    <row r="374" spans="1:13" x14ac:dyDescent="0.35">
      <c r="A374" s="1" t="s">
        <v>241</v>
      </c>
      <c r="B374" s="1" t="s">
        <v>13</v>
      </c>
      <c r="C374" s="1" t="s">
        <v>242</v>
      </c>
      <c r="D374">
        <v>6.75</v>
      </c>
      <c r="E374" s="2">
        <v>46249</v>
      </c>
      <c r="F374" s="1" t="s">
        <v>16</v>
      </c>
      <c r="G374" s="1" t="s">
        <v>242</v>
      </c>
      <c r="H374" s="1" t="s">
        <v>2</v>
      </c>
      <c r="I374" s="2">
        <v>46177</v>
      </c>
      <c r="J374" s="1" t="s">
        <v>18</v>
      </c>
      <c r="K374" s="1" t="s">
        <v>4433</v>
      </c>
      <c r="L374" s="2">
        <v>46177.92087962963</v>
      </c>
      <c r="M374" s="2">
        <v>46177.921329212964</v>
      </c>
    </row>
    <row r="375" spans="1:13" x14ac:dyDescent="0.35">
      <c r="A375" s="1" t="s">
        <v>241</v>
      </c>
      <c r="B375" s="1" t="s">
        <v>13</v>
      </c>
      <c r="C375" s="1" t="s">
        <v>242</v>
      </c>
      <c r="D375">
        <v>6.75</v>
      </c>
      <c r="E375" s="2">
        <v>46249</v>
      </c>
      <c r="F375" s="1" t="s">
        <v>16</v>
      </c>
      <c r="G375" s="1" t="s">
        <v>242</v>
      </c>
      <c r="H375" s="1" t="s">
        <v>2</v>
      </c>
      <c r="I375" s="2">
        <v>46177</v>
      </c>
      <c r="J375" s="1" t="s">
        <v>17</v>
      </c>
      <c r="K375" s="1" t="s">
        <v>4454</v>
      </c>
      <c r="L375" s="2">
        <v>46177.92087962963</v>
      </c>
      <c r="M375" s="2">
        <v>46177.921329212964</v>
      </c>
    </row>
    <row r="376" spans="1:13" x14ac:dyDescent="0.35">
      <c r="A376" s="1" t="s">
        <v>53</v>
      </c>
      <c r="B376" s="1" t="s">
        <v>13</v>
      </c>
      <c r="C376" s="1" t="s">
        <v>54</v>
      </c>
      <c r="D376">
        <v>6.5</v>
      </c>
      <c r="E376" s="2">
        <v>46341</v>
      </c>
      <c r="F376" s="1" t="s">
        <v>16</v>
      </c>
      <c r="G376" s="1" t="s">
        <v>54</v>
      </c>
      <c r="H376" s="1" t="s">
        <v>2</v>
      </c>
      <c r="I376" s="2">
        <v>46177</v>
      </c>
      <c r="J376" s="1" t="s">
        <v>17</v>
      </c>
      <c r="K376" s="1" t="s">
        <v>4361</v>
      </c>
      <c r="L376" s="2">
        <v>46177.92087962963</v>
      </c>
      <c r="M376" s="2">
        <v>46177.921329212964</v>
      </c>
    </row>
    <row r="377" spans="1:13" x14ac:dyDescent="0.35">
      <c r="A377" s="1" t="s">
        <v>53</v>
      </c>
      <c r="B377" s="1" t="s">
        <v>13</v>
      </c>
      <c r="C377" s="1" t="s">
        <v>54</v>
      </c>
      <c r="D377">
        <v>6.5</v>
      </c>
      <c r="E377" s="2">
        <v>46341</v>
      </c>
      <c r="F377" s="1" t="s">
        <v>16</v>
      </c>
      <c r="G377" s="1" t="s">
        <v>54</v>
      </c>
      <c r="H377" s="1" t="s">
        <v>2</v>
      </c>
      <c r="I377" s="2">
        <v>46177</v>
      </c>
      <c r="J377" s="1" t="s">
        <v>18</v>
      </c>
      <c r="K377" s="1" t="s">
        <v>2990</v>
      </c>
      <c r="L377" s="2">
        <v>46177.92087962963</v>
      </c>
      <c r="M377" s="2">
        <v>46177.921329212964</v>
      </c>
    </row>
    <row r="378" spans="1:13" x14ac:dyDescent="0.35">
      <c r="A378" s="1" t="s">
        <v>180</v>
      </c>
      <c r="B378" s="1" t="s">
        <v>13</v>
      </c>
      <c r="C378" s="1" t="s">
        <v>181</v>
      </c>
      <c r="D378">
        <v>6.625</v>
      </c>
      <c r="E378" s="2">
        <v>46433</v>
      </c>
      <c r="F378" s="1" t="s">
        <v>16</v>
      </c>
      <c r="G378" s="1" t="s">
        <v>181</v>
      </c>
      <c r="H378" s="1" t="s">
        <v>2</v>
      </c>
      <c r="I378" s="2">
        <v>46177</v>
      </c>
      <c r="J378" s="1" t="s">
        <v>17</v>
      </c>
      <c r="K378" s="1" t="s">
        <v>4479</v>
      </c>
      <c r="L378" s="2">
        <v>46177.92087962963</v>
      </c>
      <c r="M378" s="2">
        <v>46177.921329212964</v>
      </c>
    </row>
    <row r="379" spans="1:13" x14ac:dyDescent="0.35">
      <c r="A379" s="1" t="s">
        <v>180</v>
      </c>
      <c r="B379" s="1" t="s">
        <v>13</v>
      </c>
      <c r="C379" s="1" t="s">
        <v>181</v>
      </c>
      <c r="D379">
        <v>6.625</v>
      </c>
      <c r="E379" s="2">
        <v>46433</v>
      </c>
      <c r="F379" s="1" t="s">
        <v>16</v>
      </c>
      <c r="G379" s="1" t="s">
        <v>181</v>
      </c>
      <c r="H379" s="1" t="s">
        <v>2</v>
      </c>
      <c r="I379" s="2">
        <v>46177</v>
      </c>
      <c r="J379" s="1" t="s">
        <v>18</v>
      </c>
      <c r="K379" s="1" t="s">
        <v>2981</v>
      </c>
      <c r="L379" s="2">
        <v>46177.92087962963</v>
      </c>
      <c r="M379" s="2">
        <v>46177.921329212964</v>
      </c>
    </row>
    <row r="380" spans="1:13" x14ac:dyDescent="0.35">
      <c r="A380" s="1" t="s">
        <v>138</v>
      </c>
      <c r="B380" s="1" t="s">
        <v>13</v>
      </c>
      <c r="C380" s="1" t="s">
        <v>139</v>
      </c>
      <c r="D380">
        <v>6.375</v>
      </c>
      <c r="E380" s="2">
        <v>46614</v>
      </c>
      <c r="F380" s="1" t="s">
        <v>16</v>
      </c>
      <c r="G380" s="1" t="s">
        <v>139</v>
      </c>
      <c r="H380" s="1" t="s">
        <v>2</v>
      </c>
      <c r="I380" s="2">
        <v>46177</v>
      </c>
      <c r="J380" s="1" t="s">
        <v>18</v>
      </c>
      <c r="K380" s="1" t="s">
        <v>4362</v>
      </c>
      <c r="L380" s="2">
        <v>46177.92087962963</v>
      </c>
      <c r="M380" s="2">
        <v>46177.921329212964</v>
      </c>
    </row>
    <row r="381" spans="1:13" x14ac:dyDescent="0.35">
      <c r="A381" s="1" t="s">
        <v>138</v>
      </c>
      <c r="B381" s="1" t="s">
        <v>13</v>
      </c>
      <c r="C381" s="1" t="s">
        <v>139</v>
      </c>
      <c r="D381">
        <v>6.375</v>
      </c>
      <c r="E381" s="2">
        <v>46614</v>
      </c>
      <c r="F381" s="1" t="s">
        <v>16</v>
      </c>
      <c r="G381" s="1" t="s">
        <v>139</v>
      </c>
      <c r="H381" s="1" t="s">
        <v>2</v>
      </c>
      <c r="I381" s="2">
        <v>46177</v>
      </c>
      <c r="J381" s="1" t="s">
        <v>17</v>
      </c>
      <c r="K381" s="1" t="s">
        <v>2572</v>
      </c>
      <c r="L381" s="2">
        <v>46177.92087962963</v>
      </c>
      <c r="M381" s="2">
        <v>46177.921329212964</v>
      </c>
    </row>
    <row r="382" spans="1:13" x14ac:dyDescent="0.35">
      <c r="A382" s="1" t="s">
        <v>55</v>
      </c>
      <c r="B382" s="1" t="s">
        <v>13</v>
      </c>
      <c r="C382" s="1" t="s">
        <v>56</v>
      </c>
      <c r="D382">
        <v>6.125</v>
      </c>
      <c r="E382" s="2">
        <v>46706</v>
      </c>
      <c r="F382" s="1" t="s">
        <v>16</v>
      </c>
      <c r="G382" s="1" t="s">
        <v>56</v>
      </c>
      <c r="H382" s="1" t="s">
        <v>2</v>
      </c>
      <c r="I382" s="2">
        <v>46177</v>
      </c>
      <c r="J382" s="1" t="s">
        <v>17</v>
      </c>
      <c r="K382" s="1" t="s">
        <v>4480</v>
      </c>
      <c r="L382" s="2">
        <v>46177.92087962963</v>
      </c>
      <c r="M382" s="2">
        <v>46177.921329212964</v>
      </c>
    </row>
    <row r="383" spans="1:13" x14ac:dyDescent="0.35">
      <c r="A383" s="1" t="s">
        <v>55</v>
      </c>
      <c r="B383" s="1" t="s">
        <v>13</v>
      </c>
      <c r="C383" s="1" t="s">
        <v>56</v>
      </c>
      <c r="D383">
        <v>6.125</v>
      </c>
      <c r="E383" s="2">
        <v>46706</v>
      </c>
      <c r="F383" s="1" t="s">
        <v>16</v>
      </c>
      <c r="G383" s="1" t="s">
        <v>56</v>
      </c>
      <c r="H383" s="1" t="s">
        <v>2</v>
      </c>
      <c r="I383" s="2">
        <v>46177</v>
      </c>
      <c r="J383" s="1" t="s">
        <v>18</v>
      </c>
      <c r="K383" s="1" t="s">
        <v>2636</v>
      </c>
      <c r="L383" s="2">
        <v>46177.92087962963</v>
      </c>
      <c r="M383" s="2">
        <v>46177.921329212964</v>
      </c>
    </row>
    <row r="384" spans="1:13" x14ac:dyDescent="0.35">
      <c r="A384" s="1" t="s">
        <v>243</v>
      </c>
      <c r="B384" s="1" t="s">
        <v>13</v>
      </c>
      <c r="C384" s="1" t="s">
        <v>244</v>
      </c>
      <c r="D384">
        <v>3.625</v>
      </c>
      <c r="E384" s="2">
        <v>46858</v>
      </c>
      <c r="F384" s="1" t="s">
        <v>64</v>
      </c>
      <c r="G384" s="1" t="s">
        <v>244</v>
      </c>
      <c r="H384" s="1" t="s">
        <v>2</v>
      </c>
      <c r="I384" s="2">
        <v>46177</v>
      </c>
      <c r="J384" s="1" t="s">
        <v>18</v>
      </c>
      <c r="K384" s="1" t="s">
        <v>2370</v>
      </c>
      <c r="L384" s="2">
        <v>46177.92087962963</v>
      </c>
      <c r="M384" s="2">
        <v>46177.921329212964</v>
      </c>
    </row>
    <row r="385" spans="1:13" x14ac:dyDescent="0.35">
      <c r="A385" s="1" t="s">
        <v>243</v>
      </c>
      <c r="B385" s="1" t="s">
        <v>13</v>
      </c>
      <c r="C385" s="1" t="s">
        <v>244</v>
      </c>
      <c r="D385">
        <v>3.625</v>
      </c>
      <c r="E385" s="2">
        <v>46858</v>
      </c>
      <c r="F385" s="1" t="s">
        <v>64</v>
      </c>
      <c r="G385" s="1" t="s">
        <v>244</v>
      </c>
      <c r="H385" s="1" t="s">
        <v>2</v>
      </c>
      <c r="I385" s="2">
        <v>46177</v>
      </c>
      <c r="J385" s="1" t="s">
        <v>17</v>
      </c>
      <c r="K385" s="1" t="s">
        <v>2894</v>
      </c>
      <c r="L385" s="2">
        <v>46177.92087962963</v>
      </c>
      <c r="M385" s="2">
        <v>46177.921329212964</v>
      </c>
    </row>
    <row r="386" spans="1:13" x14ac:dyDescent="0.35">
      <c r="A386" s="1" t="s">
        <v>182</v>
      </c>
      <c r="B386" s="1" t="s">
        <v>13</v>
      </c>
      <c r="C386" s="1" t="s">
        <v>183</v>
      </c>
      <c r="D386">
        <v>5.5</v>
      </c>
      <c r="E386" s="2">
        <v>46980</v>
      </c>
      <c r="F386" s="1" t="s">
        <v>16</v>
      </c>
      <c r="G386" s="1" t="s">
        <v>183</v>
      </c>
      <c r="H386" s="1" t="s">
        <v>2</v>
      </c>
      <c r="I386" s="2">
        <v>46177</v>
      </c>
      <c r="J386" s="1" t="s">
        <v>18</v>
      </c>
      <c r="K386" s="1" t="s">
        <v>4434</v>
      </c>
      <c r="L386" s="2">
        <v>46177.92087962963</v>
      </c>
      <c r="M386" s="2">
        <v>46177.921329212964</v>
      </c>
    </row>
    <row r="387" spans="1:13" x14ac:dyDescent="0.35">
      <c r="A387" s="1" t="s">
        <v>182</v>
      </c>
      <c r="B387" s="1" t="s">
        <v>13</v>
      </c>
      <c r="C387" s="1" t="s">
        <v>183</v>
      </c>
      <c r="D387">
        <v>5.5</v>
      </c>
      <c r="E387" s="2">
        <v>46980</v>
      </c>
      <c r="F387" s="1" t="s">
        <v>16</v>
      </c>
      <c r="G387" s="1" t="s">
        <v>183</v>
      </c>
      <c r="H387" s="1" t="s">
        <v>2</v>
      </c>
      <c r="I387" s="2">
        <v>46177</v>
      </c>
      <c r="J387" s="1" t="s">
        <v>17</v>
      </c>
      <c r="K387" s="1" t="s">
        <v>2363</v>
      </c>
      <c r="L387" s="2">
        <v>46177.92087962963</v>
      </c>
      <c r="M387" s="2">
        <v>46177.921329212964</v>
      </c>
    </row>
    <row r="388" spans="1:13" x14ac:dyDescent="0.35">
      <c r="A388" s="1" t="s">
        <v>184</v>
      </c>
      <c r="B388" s="1" t="s">
        <v>13</v>
      </c>
      <c r="C388" s="1" t="s">
        <v>185</v>
      </c>
      <c r="D388">
        <v>5.25</v>
      </c>
      <c r="E388" s="2">
        <v>47072</v>
      </c>
      <c r="F388" s="1" t="s">
        <v>16</v>
      </c>
      <c r="G388" s="1" t="s">
        <v>185</v>
      </c>
      <c r="H388" s="1" t="s">
        <v>2</v>
      </c>
      <c r="I388" s="2">
        <v>46177</v>
      </c>
      <c r="J388" s="1" t="s">
        <v>18</v>
      </c>
      <c r="K388" s="1" t="s">
        <v>2978</v>
      </c>
      <c r="L388" s="2">
        <v>46177.92087962963</v>
      </c>
      <c r="M388" s="2">
        <v>46177.921329212964</v>
      </c>
    </row>
    <row r="389" spans="1:13" x14ac:dyDescent="0.35">
      <c r="A389" s="1" t="s">
        <v>184</v>
      </c>
      <c r="B389" s="1" t="s">
        <v>13</v>
      </c>
      <c r="C389" s="1" t="s">
        <v>185</v>
      </c>
      <c r="D389">
        <v>5.25</v>
      </c>
      <c r="E389" s="2">
        <v>47072</v>
      </c>
      <c r="F389" s="1" t="s">
        <v>16</v>
      </c>
      <c r="G389" s="1" t="s">
        <v>185</v>
      </c>
      <c r="H389" s="1" t="s">
        <v>2</v>
      </c>
      <c r="I389" s="2">
        <v>46177</v>
      </c>
      <c r="J389" s="1" t="s">
        <v>17</v>
      </c>
      <c r="K389" s="1" t="s">
        <v>4481</v>
      </c>
      <c r="L389" s="2">
        <v>46177.92087962963</v>
      </c>
      <c r="M389" s="2">
        <v>46177.921329212964</v>
      </c>
    </row>
    <row r="390" spans="1:13" x14ac:dyDescent="0.35">
      <c r="A390" s="1" t="s">
        <v>140</v>
      </c>
      <c r="B390" s="1" t="s">
        <v>13</v>
      </c>
      <c r="C390" s="1" t="s">
        <v>141</v>
      </c>
      <c r="D390">
        <v>5.25</v>
      </c>
      <c r="E390" s="2">
        <v>47164</v>
      </c>
      <c r="F390" s="1" t="s">
        <v>16</v>
      </c>
      <c r="G390" s="1" t="s">
        <v>141</v>
      </c>
      <c r="H390" s="1" t="s">
        <v>2</v>
      </c>
      <c r="I390" s="2">
        <v>46177</v>
      </c>
      <c r="J390" s="1" t="s">
        <v>17</v>
      </c>
      <c r="K390" s="1" t="s">
        <v>2317</v>
      </c>
      <c r="L390" s="2">
        <v>46177.92087962963</v>
      </c>
      <c r="M390" s="2">
        <v>46177.921329212964</v>
      </c>
    </row>
    <row r="391" spans="1:13" x14ac:dyDescent="0.35">
      <c r="A391" s="1" t="s">
        <v>140</v>
      </c>
      <c r="B391" s="1" t="s">
        <v>13</v>
      </c>
      <c r="C391" s="1" t="s">
        <v>141</v>
      </c>
      <c r="D391">
        <v>5.25</v>
      </c>
      <c r="E391" s="2">
        <v>47164</v>
      </c>
      <c r="F391" s="1" t="s">
        <v>16</v>
      </c>
      <c r="G391" s="1" t="s">
        <v>141</v>
      </c>
      <c r="H391" s="1" t="s">
        <v>2</v>
      </c>
      <c r="I391" s="2">
        <v>46177</v>
      </c>
      <c r="J391" s="1" t="s">
        <v>18</v>
      </c>
      <c r="K391" s="1" t="s">
        <v>4332</v>
      </c>
      <c r="L391" s="2">
        <v>46177.92087962963</v>
      </c>
      <c r="M391" s="2">
        <v>46177.921329212964</v>
      </c>
    </row>
    <row r="392" spans="1:13" x14ac:dyDescent="0.35">
      <c r="A392" s="1" t="s">
        <v>142</v>
      </c>
      <c r="B392" s="1" t="s">
        <v>13</v>
      </c>
      <c r="C392" s="1" t="s">
        <v>143</v>
      </c>
      <c r="D392">
        <v>3.875</v>
      </c>
      <c r="E392" s="2">
        <v>47223</v>
      </c>
      <c r="F392" s="1" t="s">
        <v>64</v>
      </c>
      <c r="G392" s="1" t="s">
        <v>143</v>
      </c>
      <c r="H392" s="1" t="s">
        <v>2</v>
      </c>
      <c r="I392" s="2">
        <v>46177</v>
      </c>
      <c r="J392" s="1" t="s">
        <v>18</v>
      </c>
      <c r="K392" s="1" t="s">
        <v>4347</v>
      </c>
      <c r="L392" s="2">
        <v>46177.92087962963</v>
      </c>
      <c r="M392" s="2">
        <v>46177.921329212964</v>
      </c>
    </row>
    <row r="393" spans="1:13" x14ac:dyDescent="0.35">
      <c r="A393" s="1" t="s">
        <v>142</v>
      </c>
      <c r="B393" s="1" t="s">
        <v>13</v>
      </c>
      <c r="C393" s="1" t="s">
        <v>143</v>
      </c>
      <c r="D393">
        <v>3.875</v>
      </c>
      <c r="E393" s="2">
        <v>47223</v>
      </c>
      <c r="F393" s="1" t="s">
        <v>64</v>
      </c>
      <c r="G393" s="1" t="s">
        <v>143</v>
      </c>
      <c r="H393" s="1" t="s">
        <v>2</v>
      </c>
      <c r="I393" s="2">
        <v>46177</v>
      </c>
      <c r="J393" s="1" t="s">
        <v>17</v>
      </c>
      <c r="K393" s="1" t="s">
        <v>4455</v>
      </c>
      <c r="L393" s="2">
        <v>46177.92087962963</v>
      </c>
      <c r="M393" s="2">
        <v>46177.921329212964</v>
      </c>
    </row>
    <row r="394" spans="1:13" x14ac:dyDescent="0.35">
      <c r="A394" s="1" t="s">
        <v>97</v>
      </c>
      <c r="B394" s="1" t="s">
        <v>13</v>
      </c>
      <c r="C394" s="1" t="s">
        <v>98</v>
      </c>
      <c r="D394">
        <v>6.125</v>
      </c>
      <c r="E394" s="2">
        <v>47345</v>
      </c>
      <c r="F394" s="1" t="s">
        <v>16</v>
      </c>
      <c r="G394" s="1" t="s">
        <v>98</v>
      </c>
      <c r="H394" s="1" t="s">
        <v>2</v>
      </c>
      <c r="I394" s="2">
        <v>46177</v>
      </c>
      <c r="J394" s="1" t="s">
        <v>17</v>
      </c>
      <c r="K394" s="1" t="s">
        <v>4363</v>
      </c>
      <c r="L394" s="2">
        <v>46177.92087962963</v>
      </c>
      <c r="M394" s="2">
        <v>46177.921329212964</v>
      </c>
    </row>
    <row r="395" spans="1:13" x14ac:dyDescent="0.35">
      <c r="A395" s="1" t="s">
        <v>97</v>
      </c>
      <c r="B395" s="1" t="s">
        <v>13</v>
      </c>
      <c r="C395" s="1" t="s">
        <v>98</v>
      </c>
      <c r="D395">
        <v>6.125</v>
      </c>
      <c r="E395" s="2">
        <v>47345</v>
      </c>
      <c r="F395" s="1" t="s">
        <v>16</v>
      </c>
      <c r="G395" s="1" t="s">
        <v>98</v>
      </c>
      <c r="H395" s="1" t="s">
        <v>2</v>
      </c>
      <c r="I395" s="2">
        <v>46177</v>
      </c>
      <c r="J395" s="1" t="s">
        <v>18</v>
      </c>
      <c r="K395" s="1" t="s">
        <v>2365</v>
      </c>
      <c r="L395" s="2">
        <v>46177.92087962963</v>
      </c>
      <c r="M395" s="2">
        <v>46177.921329212964</v>
      </c>
    </row>
    <row r="396" spans="1:13" x14ac:dyDescent="0.35">
      <c r="A396" s="1" t="s">
        <v>99</v>
      </c>
      <c r="B396" s="1" t="s">
        <v>13</v>
      </c>
      <c r="C396" s="1" t="s">
        <v>100</v>
      </c>
      <c r="D396">
        <v>6.25</v>
      </c>
      <c r="E396" s="2">
        <v>47618</v>
      </c>
      <c r="F396" s="1" t="s">
        <v>16</v>
      </c>
      <c r="G396" s="1" t="s">
        <v>100</v>
      </c>
      <c r="H396" s="1" t="s">
        <v>2</v>
      </c>
      <c r="I396" s="2">
        <v>46177</v>
      </c>
      <c r="J396" s="1" t="s">
        <v>17</v>
      </c>
      <c r="K396" s="1" t="s">
        <v>4383</v>
      </c>
      <c r="L396" s="2">
        <v>46177.92087962963</v>
      </c>
      <c r="M396" s="2">
        <v>46177.921329212964</v>
      </c>
    </row>
    <row r="397" spans="1:13" x14ac:dyDescent="0.35">
      <c r="A397" s="1" t="s">
        <v>99</v>
      </c>
      <c r="B397" s="1" t="s">
        <v>13</v>
      </c>
      <c r="C397" s="1" t="s">
        <v>100</v>
      </c>
      <c r="D397">
        <v>6.25</v>
      </c>
      <c r="E397" s="2">
        <v>47618</v>
      </c>
      <c r="F397" s="1" t="s">
        <v>16</v>
      </c>
      <c r="G397" s="1" t="s">
        <v>100</v>
      </c>
      <c r="H397" s="1" t="s">
        <v>2</v>
      </c>
      <c r="I397" s="2">
        <v>46177</v>
      </c>
      <c r="J397" s="1" t="s">
        <v>18</v>
      </c>
      <c r="K397" s="1" t="s">
        <v>4435</v>
      </c>
      <c r="L397" s="2">
        <v>46177.92087962963</v>
      </c>
      <c r="M397" s="2">
        <v>46177.921329212964</v>
      </c>
    </row>
    <row r="398" spans="1:13" x14ac:dyDescent="0.35">
      <c r="A398" s="1" t="s">
        <v>144</v>
      </c>
      <c r="B398" s="1" t="s">
        <v>13</v>
      </c>
      <c r="C398" s="1" t="s">
        <v>145</v>
      </c>
      <c r="D398">
        <v>5.375</v>
      </c>
      <c r="E398" s="2">
        <v>47894</v>
      </c>
      <c r="F398" s="1" t="s">
        <v>16</v>
      </c>
      <c r="G398" s="1" t="s">
        <v>145</v>
      </c>
      <c r="H398" s="1" t="s">
        <v>2</v>
      </c>
      <c r="I398" s="2">
        <v>46177</v>
      </c>
      <c r="J398" s="1" t="s">
        <v>17</v>
      </c>
      <c r="K398" s="1" t="s">
        <v>4530</v>
      </c>
      <c r="L398" s="2">
        <v>46177.92087962963</v>
      </c>
      <c r="M398" s="2">
        <v>46177.921329212964</v>
      </c>
    </row>
    <row r="399" spans="1:13" x14ac:dyDescent="0.35">
      <c r="A399" s="1" t="s">
        <v>144</v>
      </c>
      <c r="B399" s="1" t="s">
        <v>13</v>
      </c>
      <c r="C399" s="1" t="s">
        <v>145</v>
      </c>
      <c r="D399">
        <v>5.375</v>
      </c>
      <c r="E399" s="2">
        <v>47894</v>
      </c>
      <c r="F399" s="1" t="s">
        <v>16</v>
      </c>
      <c r="G399" s="1" t="s">
        <v>145</v>
      </c>
      <c r="H399" s="1" t="s">
        <v>2</v>
      </c>
      <c r="I399" s="2">
        <v>46177</v>
      </c>
      <c r="J399" s="1" t="s">
        <v>18</v>
      </c>
      <c r="K399" s="1" t="s">
        <v>4456</v>
      </c>
      <c r="L399" s="2">
        <v>46177.92087962963</v>
      </c>
      <c r="M399" s="2">
        <v>46177.921329212964</v>
      </c>
    </row>
    <row r="400" spans="1:13" x14ac:dyDescent="0.35">
      <c r="A400" s="1" t="s">
        <v>146</v>
      </c>
      <c r="B400" s="1" t="s">
        <v>13</v>
      </c>
      <c r="C400" s="1" t="s">
        <v>147</v>
      </c>
      <c r="D400">
        <v>3.375</v>
      </c>
      <c r="E400" s="2">
        <v>48319</v>
      </c>
      <c r="F400" s="1" t="s">
        <v>64</v>
      </c>
      <c r="G400" s="1" t="s">
        <v>147</v>
      </c>
      <c r="H400" s="1" t="s">
        <v>2</v>
      </c>
      <c r="I400" s="2">
        <v>46177</v>
      </c>
      <c r="J400" s="1" t="s">
        <v>17</v>
      </c>
      <c r="K400" s="1" t="s">
        <v>4482</v>
      </c>
      <c r="L400" s="2">
        <v>46177.92087962963</v>
      </c>
      <c r="M400" s="2">
        <v>46177.921329212964</v>
      </c>
    </row>
    <row r="401" spans="1:13" x14ac:dyDescent="0.35">
      <c r="A401" s="1" t="s">
        <v>146</v>
      </c>
      <c r="B401" s="1" t="s">
        <v>13</v>
      </c>
      <c r="C401" s="1" t="s">
        <v>147</v>
      </c>
      <c r="D401">
        <v>3.375</v>
      </c>
      <c r="E401" s="2">
        <v>48319</v>
      </c>
      <c r="F401" s="1" t="s">
        <v>64</v>
      </c>
      <c r="G401" s="1" t="s">
        <v>147</v>
      </c>
      <c r="H401" s="1" t="s">
        <v>2</v>
      </c>
      <c r="I401" s="2">
        <v>46177</v>
      </c>
      <c r="J401" s="1" t="s">
        <v>18</v>
      </c>
      <c r="K401" s="1" t="s">
        <v>4457</v>
      </c>
      <c r="L401" s="2">
        <v>46177.92087962963</v>
      </c>
      <c r="M401" s="2">
        <v>46177.921329212964</v>
      </c>
    </row>
    <row r="402" spans="1:13" x14ac:dyDescent="0.35">
      <c r="A402" s="1" t="s">
        <v>277</v>
      </c>
      <c r="B402" s="1" t="s">
        <v>13</v>
      </c>
      <c r="C402" s="1" t="s">
        <v>278</v>
      </c>
      <c r="D402">
        <v>4.5</v>
      </c>
      <c r="E402" s="2">
        <v>49720</v>
      </c>
      <c r="F402" s="1" t="s">
        <v>16</v>
      </c>
      <c r="G402" s="1" t="s">
        <v>278</v>
      </c>
      <c r="H402" s="1" t="s">
        <v>2</v>
      </c>
      <c r="I402" s="2">
        <v>46177</v>
      </c>
      <c r="J402" s="1" t="s">
        <v>18</v>
      </c>
      <c r="K402" s="1" t="s">
        <v>2573</v>
      </c>
      <c r="L402" s="2">
        <v>46177.92087962963</v>
      </c>
      <c r="M402" s="2">
        <v>46177.921329212964</v>
      </c>
    </row>
    <row r="403" spans="1:13" x14ac:dyDescent="0.35">
      <c r="A403" s="1" t="s">
        <v>277</v>
      </c>
      <c r="B403" s="1" t="s">
        <v>13</v>
      </c>
      <c r="C403" s="1" t="s">
        <v>278</v>
      </c>
      <c r="D403">
        <v>4.5</v>
      </c>
      <c r="E403" s="2">
        <v>49720</v>
      </c>
      <c r="F403" s="1" t="s">
        <v>16</v>
      </c>
      <c r="G403" s="1" t="s">
        <v>278</v>
      </c>
      <c r="H403" s="1" t="s">
        <v>2</v>
      </c>
      <c r="I403" s="2">
        <v>46177</v>
      </c>
      <c r="J403" s="1" t="s">
        <v>17</v>
      </c>
      <c r="K403" s="1" t="s">
        <v>3020</v>
      </c>
      <c r="L403" s="2">
        <v>46177.92087962963</v>
      </c>
      <c r="M403" s="2">
        <v>46177.921329212964</v>
      </c>
    </row>
    <row r="404" spans="1:13" x14ac:dyDescent="0.35">
      <c r="A404" s="1" t="s">
        <v>101</v>
      </c>
      <c r="B404" s="1" t="s">
        <v>13</v>
      </c>
      <c r="C404" s="1" t="s">
        <v>102</v>
      </c>
      <c r="D404">
        <v>2.375</v>
      </c>
      <c r="E404" s="2">
        <v>46402</v>
      </c>
      <c r="F404" s="1" t="s">
        <v>64</v>
      </c>
      <c r="G404" s="1" t="s">
        <v>102</v>
      </c>
      <c r="H404" s="1" t="s">
        <v>2</v>
      </c>
      <c r="I404" s="2">
        <v>46177</v>
      </c>
      <c r="J404" s="1" t="s">
        <v>17</v>
      </c>
      <c r="K404" s="1" t="s">
        <v>2596</v>
      </c>
      <c r="L404" s="2">
        <v>46177.92087962963</v>
      </c>
      <c r="M404" s="2">
        <v>46177.921329212964</v>
      </c>
    </row>
    <row r="405" spans="1:13" x14ac:dyDescent="0.35">
      <c r="A405" s="1" t="s">
        <v>101</v>
      </c>
      <c r="B405" s="1" t="s">
        <v>13</v>
      </c>
      <c r="C405" s="1" t="s">
        <v>102</v>
      </c>
      <c r="D405">
        <v>2.375</v>
      </c>
      <c r="E405" s="2">
        <v>46402</v>
      </c>
      <c r="F405" s="1" t="s">
        <v>64</v>
      </c>
      <c r="G405" s="1" t="s">
        <v>102</v>
      </c>
      <c r="H405" s="1" t="s">
        <v>2</v>
      </c>
      <c r="I405" s="2">
        <v>46177</v>
      </c>
      <c r="J405" s="1" t="s">
        <v>18</v>
      </c>
      <c r="K405" s="1" t="s">
        <v>2595</v>
      </c>
      <c r="L405" s="2">
        <v>46177.92087962963</v>
      </c>
      <c r="M405" s="2">
        <v>46177.921329212964</v>
      </c>
    </row>
    <row r="406" spans="1:13" x14ac:dyDescent="0.35">
      <c r="A406" s="1" t="s">
        <v>186</v>
      </c>
      <c r="B406" s="1" t="s">
        <v>13</v>
      </c>
      <c r="C406" s="1" t="s">
        <v>187</v>
      </c>
      <c r="D406">
        <v>4.75</v>
      </c>
      <c r="E406" s="2">
        <v>50086</v>
      </c>
      <c r="F406" s="1" t="s">
        <v>16</v>
      </c>
      <c r="G406" s="1" t="s">
        <v>187</v>
      </c>
      <c r="H406" s="1" t="s">
        <v>2</v>
      </c>
      <c r="I406" s="2">
        <v>46177</v>
      </c>
      <c r="J406" s="1" t="s">
        <v>17</v>
      </c>
      <c r="K406" s="1" t="s">
        <v>2957</v>
      </c>
      <c r="L406" s="2">
        <v>46177.92087962963</v>
      </c>
      <c r="M406" s="2">
        <v>46177.921329212964</v>
      </c>
    </row>
    <row r="407" spans="1:13" x14ac:dyDescent="0.35">
      <c r="A407" s="1" t="s">
        <v>186</v>
      </c>
      <c r="B407" s="1" t="s">
        <v>13</v>
      </c>
      <c r="C407" s="1" t="s">
        <v>187</v>
      </c>
      <c r="D407">
        <v>4.75</v>
      </c>
      <c r="E407" s="2">
        <v>50086</v>
      </c>
      <c r="F407" s="1" t="s">
        <v>16</v>
      </c>
      <c r="G407" s="1" t="s">
        <v>187</v>
      </c>
      <c r="H407" s="1" t="s">
        <v>2</v>
      </c>
      <c r="I407" s="2">
        <v>46177</v>
      </c>
      <c r="J407" s="1" t="s">
        <v>18</v>
      </c>
      <c r="K407" s="1" t="s">
        <v>2600</v>
      </c>
      <c r="L407" s="2">
        <v>46177.92087962963</v>
      </c>
      <c r="M407" s="2">
        <v>46177.921329212964</v>
      </c>
    </row>
    <row r="408" spans="1:13" x14ac:dyDescent="0.35">
      <c r="A408" s="1" t="s">
        <v>148</v>
      </c>
      <c r="B408" s="1" t="s">
        <v>13</v>
      </c>
      <c r="C408" s="1" t="s">
        <v>149</v>
      </c>
      <c r="D408">
        <v>5</v>
      </c>
      <c r="E408" s="2">
        <v>50175</v>
      </c>
      <c r="F408" s="1" t="s">
        <v>16</v>
      </c>
      <c r="G408" s="1" t="s">
        <v>149</v>
      </c>
      <c r="H408" s="1" t="s">
        <v>2</v>
      </c>
      <c r="I408" s="2">
        <v>46177</v>
      </c>
      <c r="J408" s="1" t="s">
        <v>17</v>
      </c>
      <c r="K408" s="1" t="s">
        <v>4458</v>
      </c>
      <c r="L408" s="2">
        <v>46177.92087962963</v>
      </c>
      <c r="M408" s="2">
        <v>46177.921329212964</v>
      </c>
    </row>
    <row r="409" spans="1:13" x14ac:dyDescent="0.35">
      <c r="A409" s="1" t="s">
        <v>148</v>
      </c>
      <c r="B409" s="1" t="s">
        <v>13</v>
      </c>
      <c r="C409" s="1" t="s">
        <v>149</v>
      </c>
      <c r="D409">
        <v>5</v>
      </c>
      <c r="E409" s="2">
        <v>50175</v>
      </c>
      <c r="F409" s="1" t="s">
        <v>16</v>
      </c>
      <c r="G409" s="1" t="s">
        <v>149</v>
      </c>
      <c r="H409" s="1" t="s">
        <v>2</v>
      </c>
      <c r="I409" s="2">
        <v>46177</v>
      </c>
      <c r="J409" s="1" t="s">
        <v>18</v>
      </c>
      <c r="K409" s="1" t="s">
        <v>4459</v>
      </c>
      <c r="L409" s="2">
        <v>46177.92087962963</v>
      </c>
      <c r="M409" s="2">
        <v>46177.921329212964</v>
      </c>
    </row>
    <row r="410" spans="1:13" x14ac:dyDescent="0.35">
      <c r="A410" s="1" t="s">
        <v>257</v>
      </c>
      <c r="B410" s="1" t="s">
        <v>13</v>
      </c>
      <c r="C410" s="1" t="s">
        <v>258</v>
      </c>
      <c r="D410">
        <v>1.75</v>
      </c>
      <c r="E410" s="2">
        <v>46767</v>
      </c>
      <c r="F410" s="1" t="s">
        <v>64</v>
      </c>
      <c r="G410" s="1" t="s">
        <v>258</v>
      </c>
      <c r="H410" s="1" t="s">
        <v>2</v>
      </c>
      <c r="I410" s="2">
        <v>46177</v>
      </c>
      <c r="J410" s="1" t="s">
        <v>17</v>
      </c>
      <c r="K410" s="1" t="s">
        <v>2585</v>
      </c>
      <c r="L410" s="2">
        <v>46177.92087962963</v>
      </c>
      <c r="M410" s="2">
        <v>46177.921329212964</v>
      </c>
    </row>
    <row r="411" spans="1:13" x14ac:dyDescent="0.35">
      <c r="A411" s="1" t="s">
        <v>257</v>
      </c>
      <c r="B411" s="1" t="s">
        <v>13</v>
      </c>
      <c r="C411" s="1" t="s">
        <v>258</v>
      </c>
      <c r="D411">
        <v>1.75</v>
      </c>
      <c r="E411" s="2">
        <v>46767</v>
      </c>
      <c r="F411" s="1" t="s">
        <v>64</v>
      </c>
      <c r="G411" s="1" t="s">
        <v>258</v>
      </c>
      <c r="H411" s="1" t="s">
        <v>2</v>
      </c>
      <c r="I411" s="2">
        <v>46177</v>
      </c>
      <c r="J411" s="1" t="s">
        <v>18</v>
      </c>
      <c r="K411" s="1" t="s">
        <v>2923</v>
      </c>
      <c r="L411" s="2">
        <v>46177.92087962963</v>
      </c>
      <c r="M411" s="2">
        <v>46177.921329212964</v>
      </c>
    </row>
    <row r="412" spans="1:13" x14ac:dyDescent="0.35">
      <c r="A412" s="1" t="s">
        <v>57</v>
      </c>
      <c r="B412" s="1" t="s">
        <v>13</v>
      </c>
      <c r="C412" s="1" t="s">
        <v>58</v>
      </c>
      <c r="D412">
        <v>4.375</v>
      </c>
      <c r="E412" s="2">
        <v>50451</v>
      </c>
      <c r="F412" s="1" t="s">
        <v>16</v>
      </c>
      <c r="G412" s="1" t="s">
        <v>58</v>
      </c>
      <c r="H412" s="1" t="s">
        <v>2</v>
      </c>
      <c r="I412" s="2">
        <v>46177</v>
      </c>
      <c r="J412" s="1" t="s">
        <v>18</v>
      </c>
      <c r="K412" s="1" t="s">
        <v>2455</v>
      </c>
      <c r="L412" s="2">
        <v>46177.92087962963</v>
      </c>
      <c r="M412" s="2">
        <v>46177.921329212964</v>
      </c>
    </row>
    <row r="413" spans="1:13" x14ac:dyDescent="0.35">
      <c r="A413" s="1" t="s">
        <v>57</v>
      </c>
      <c r="B413" s="1" t="s">
        <v>13</v>
      </c>
      <c r="C413" s="1" t="s">
        <v>58</v>
      </c>
      <c r="D413">
        <v>4.375</v>
      </c>
      <c r="E413" s="2">
        <v>50451</v>
      </c>
      <c r="F413" s="1" t="s">
        <v>16</v>
      </c>
      <c r="G413" s="1" t="s">
        <v>58</v>
      </c>
      <c r="H413" s="1" t="s">
        <v>2</v>
      </c>
      <c r="I413" s="2">
        <v>46177</v>
      </c>
      <c r="J413" s="1" t="s">
        <v>17</v>
      </c>
      <c r="K413" s="1" t="s">
        <v>2521</v>
      </c>
      <c r="L413" s="2">
        <v>46177.92087962963</v>
      </c>
      <c r="M413" s="2">
        <v>46177.921329212964</v>
      </c>
    </row>
    <row r="414" spans="1:13" x14ac:dyDescent="0.35">
      <c r="A414" s="1" t="s">
        <v>259</v>
      </c>
      <c r="B414" s="1" t="s">
        <v>13</v>
      </c>
      <c r="C414" s="1" t="s">
        <v>260</v>
      </c>
      <c r="D414">
        <v>4.5</v>
      </c>
      <c r="E414" s="2">
        <v>50540</v>
      </c>
      <c r="F414" s="1" t="s">
        <v>16</v>
      </c>
      <c r="G414" s="1" t="s">
        <v>260</v>
      </c>
      <c r="H414" s="1" t="s">
        <v>2</v>
      </c>
      <c r="I414" s="2">
        <v>46177</v>
      </c>
      <c r="J414" s="1" t="s">
        <v>17</v>
      </c>
      <c r="K414" s="1" t="s">
        <v>2406</v>
      </c>
      <c r="L414" s="2">
        <v>46177.92087962963</v>
      </c>
      <c r="M414" s="2">
        <v>46177.921329212964</v>
      </c>
    </row>
    <row r="415" spans="1:13" x14ac:dyDescent="0.35">
      <c r="A415" s="1" t="s">
        <v>259</v>
      </c>
      <c r="B415" s="1" t="s">
        <v>13</v>
      </c>
      <c r="C415" s="1" t="s">
        <v>260</v>
      </c>
      <c r="D415">
        <v>4.5</v>
      </c>
      <c r="E415" s="2">
        <v>50540</v>
      </c>
      <c r="F415" s="1" t="s">
        <v>16</v>
      </c>
      <c r="G415" s="1" t="s">
        <v>260</v>
      </c>
      <c r="H415" s="1" t="s">
        <v>2</v>
      </c>
      <c r="I415" s="2">
        <v>46177</v>
      </c>
      <c r="J415" s="1" t="s">
        <v>18</v>
      </c>
      <c r="K415" s="1" t="s">
        <v>2324</v>
      </c>
      <c r="L415" s="2">
        <v>46177.92087962963</v>
      </c>
      <c r="M415" s="2">
        <v>46177.921329212964</v>
      </c>
    </row>
    <row r="416" spans="1:13" x14ac:dyDescent="0.35">
      <c r="A416" s="1" t="s">
        <v>104</v>
      </c>
      <c r="B416" s="1" t="s">
        <v>13</v>
      </c>
      <c r="C416" s="1" t="s">
        <v>105</v>
      </c>
      <c r="D416">
        <v>2.5</v>
      </c>
      <c r="E416" s="2">
        <v>47133</v>
      </c>
      <c r="F416" s="1" t="s">
        <v>64</v>
      </c>
      <c r="G416" s="1" t="s">
        <v>105</v>
      </c>
      <c r="H416" s="1" t="s">
        <v>2</v>
      </c>
      <c r="I416" s="2">
        <v>46177</v>
      </c>
      <c r="J416" s="1" t="s">
        <v>18</v>
      </c>
      <c r="K416" s="1" t="s">
        <v>2459</v>
      </c>
      <c r="L416" s="2">
        <v>46177.92087962963</v>
      </c>
      <c r="M416" s="2">
        <v>46177.921329212964</v>
      </c>
    </row>
    <row r="417" spans="1:13" x14ac:dyDescent="0.35">
      <c r="A417" s="1" t="s">
        <v>104</v>
      </c>
      <c r="B417" s="1" t="s">
        <v>13</v>
      </c>
      <c r="C417" s="1" t="s">
        <v>105</v>
      </c>
      <c r="D417">
        <v>2.5</v>
      </c>
      <c r="E417" s="2">
        <v>47133</v>
      </c>
      <c r="F417" s="1" t="s">
        <v>64</v>
      </c>
      <c r="G417" s="1" t="s">
        <v>105</v>
      </c>
      <c r="H417" s="1" t="s">
        <v>2</v>
      </c>
      <c r="I417" s="2">
        <v>46177</v>
      </c>
      <c r="J417" s="1" t="s">
        <v>17</v>
      </c>
      <c r="K417" s="1" t="s">
        <v>4483</v>
      </c>
      <c r="L417" s="2">
        <v>46177.92087962963</v>
      </c>
      <c r="M417" s="2">
        <v>46177.921329212964</v>
      </c>
    </row>
    <row r="418" spans="1:13" x14ac:dyDescent="0.35">
      <c r="A418" s="1" t="s">
        <v>245</v>
      </c>
      <c r="B418" s="1" t="s">
        <v>13</v>
      </c>
      <c r="C418" s="1" t="s">
        <v>246</v>
      </c>
      <c r="D418">
        <v>3.5</v>
      </c>
      <c r="E418" s="2">
        <v>50816</v>
      </c>
      <c r="F418" s="1" t="s">
        <v>16</v>
      </c>
      <c r="G418" s="1" t="s">
        <v>246</v>
      </c>
      <c r="H418" s="1" t="s">
        <v>2</v>
      </c>
      <c r="I418" s="2">
        <v>46177</v>
      </c>
      <c r="J418" s="1" t="s">
        <v>17</v>
      </c>
      <c r="K418" s="1" t="s">
        <v>2641</v>
      </c>
      <c r="L418" s="2">
        <v>46177.92087962963</v>
      </c>
      <c r="M418" s="2">
        <v>46177.921329212964</v>
      </c>
    </row>
    <row r="419" spans="1:13" x14ac:dyDescent="0.35">
      <c r="A419" s="1" t="s">
        <v>245</v>
      </c>
      <c r="B419" s="1" t="s">
        <v>13</v>
      </c>
      <c r="C419" s="1" t="s">
        <v>246</v>
      </c>
      <c r="D419">
        <v>3.5</v>
      </c>
      <c r="E419" s="2">
        <v>50816</v>
      </c>
      <c r="F419" s="1" t="s">
        <v>16</v>
      </c>
      <c r="G419" s="1" t="s">
        <v>246</v>
      </c>
      <c r="H419" s="1" t="s">
        <v>2</v>
      </c>
      <c r="I419" s="2">
        <v>46177</v>
      </c>
      <c r="J419" s="1" t="s">
        <v>18</v>
      </c>
      <c r="K419" s="1" t="s">
        <v>3036</v>
      </c>
      <c r="L419" s="2">
        <v>46177.92087962963</v>
      </c>
      <c r="M419" s="2">
        <v>46177.921329212964</v>
      </c>
    </row>
    <row r="420" spans="1:13" x14ac:dyDescent="0.35">
      <c r="A420" s="1" t="s">
        <v>261</v>
      </c>
      <c r="B420" s="1" t="s">
        <v>13</v>
      </c>
      <c r="C420" s="1" t="s">
        <v>262</v>
      </c>
      <c r="D420">
        <v>4.25</v>
      </c>
      <c r="E420" s="2">
        <v>50905</v>
      </c>
      <c r="F420" s="1" t="s">
        <v>16</v>
      </c>
      <c r="G420" s="1" t="s">
        <v>262</v>
      </c>
      <c r="H420" s="1" t="s">
        <v>2</v>
      </c>
      <c r="I420" s="2">
        <v>46177</v>
      </c>
      <c r="J420" s="1" t="s">
        <v>18</v>
      </c>
      <c r="K420" s="1" t="s">
        <v>2902</v>
      </c>
      <c r="L420" s="2">
        <v>46177.92087962963</v>
      </c>
      <c r="M420" s="2">
        <v>46177.921329212964</v>
      </c>
    </row>
    <row r="421" spans="1:13" x14ac:dyDescent="0.35">
      <c r="A421" s="1" t="s">
        <v>261</v>
      </c>
      <c r="B421" s="1" t="s">
        <v>13</v>
      </c>
      <c r="C421" s="1" t="s">
        <v>262</v>
      </c>
      <c r="D421">
        <v>4.25</v>
      </c>
      <c r="E421" s="2">
        <v>50905</v>
      </c>
      <c r="F421" s="1" t="s">
        <v>16</v>
      </c>
      <c r="G421" s="1" t="s">
        <v>262</v>
      </c>
      <c r="H421" s="1" t="s">
        <v>2</v>
      </c>
      <c r="I421" s="2">
        <v>46177</v>
      </c>
      <c r="J421" s="1" t="s">
        <v>17</v>
      </c>
      <c r="K421" s="1" t="s">
        <v>61</v>
      </c>
      <c r="L421" s="2">
        <v>46177.92087962963</v>
      </c>
      <c r="M421" s="2">
        <v>46177.921329212964</v>
      </c>
    </row>
    <row r="422" spans="1:13" x14ac:dyDescent="0.35">
      <c r="A422" s="1" t="s">
        <v>106</v>
      </c>
      <c r="B422" s="1" t="s">
        <v>13</v>
      </c>
      <c r="C422" s="1" t="s">
        <v>107</v>
      </c>
      <c r="D422">
        <v>4.5</v>
      </c>
      <c r="E422" s="2">
        <v>50997</v>
      </c>
      <c r="F422" s="1" t="s">
        <v>16</v>
      </c>
      <c r="G422" s="1" t="s">
        <v>107</v>
      </c>
      <c r="H422" s="1" t="s">
        <v>2</v>
      </c>
      <c r="I422" s="2">
        <v>46177</v>
      </c>
      <c r="J422" s="1" t="s">
        <v>17</v>
      </c>
      <c r="K422" s="1" t="s">
        <v>2394</v>
      </c>
      <c r="L422" s="2">
        <v>46177.92087962963</v>
      </c>
      <c r="M422" s="2">
        <v>46177.921329212964</v>
      </c>
    </row>
    <row r="423" spans="1:13" x14ac:dyDescent="0.35">
      <c r="A423" s="1" t="s">
        <v>106</v>
      </c>
      <c r="B423" s="1" t="s">
        <v>13</v>
      </c>
      <c r="C423" s="1" t="s">
        <v>107</v>
      </c>
      <c r="D423">
        <v>4.5</v>
      </c>
      <c r="E423" s="2">
        <v>50997</v>
      </c>
      <c r="F423" s="1" t="s">
        <v>16</v>
      </c>
      <c r="G423" s="1" t="s">
        <v>107</v>
      </c>
      <c r="H423" s="1" t="s">
        <v>2</v>
      </c>
      <c r="I423" s="2">
        <v>46177</v>
      </c>
      <c r="J423" s="1" t="s">
        <v>18</v>
      </c>
      <c r="K423" s="1" t="s">
        <v>2900</v>
      </c>
      <c r="L423" s="2">
        <v>46177.92087962963</v>
      </c>
      <c r="M423" s="2">
        <v>46177.921329212964</v>
      </c>
    </row>
    <row r="424" spans="1:13" x14ac:dyDescent="0.35">
      <c r="A424" s="1" t="s">
        <v>150</v>
      </c>
      <c r="B424" s="1" t="s">
        <v>13</v>
      </c>
      <c r="C424" s="1" t="s">
        <v>151</v>
      </c>
      <c r="D424">
        <v>4.375</v>
      </c>
      <c r="E424" s="2">
        <v>51089</v>
      </c>
      <c r="F424" s="1" t="s">
        <v>16</v>
      </c>
      <c r="G424" s="1" t="s">
        <v>151</v>
      </c>
      <c r="H424" s="1" t="s">
        <v>2</v>
      </c>
      <c r="I424" s="2">
        <v>46177</v>
      </c>
      <c r="J424" s="1" t="s">
        <v>17</v>
      </c>
      <c r="K424" s="1" t="s">
        <v>2369</v>
      </c>
      <c r="L424" s="2">
        <v>46177.92087962963</v>
      </c>
      <c r="M424" s="2">
        <v>46177.921329212964</v>
      </c>
    </row>
    <row r="425" spans="1:13" x14ac:dyDescent="0.35">
      <c r="A425" s="1" t="s">
        <v>150</v>
      </c>
      <c r="B425" s="1" t="s">
        <v>13</v>
      </c>
      <c r="C425" s="1" t="s">
        <v>151</v>
      </c>
      <c r="D425">
        <v>4.375</v>
      </c>
      <c r="E425" s="2">
        <v>51089</v>
      </c>
      <c r="F425" s="1" t="s">
        <v>16</v>
      </c>
      <c r="G425" s="1" t="s">
        <v>151</v>
      </c>
      <c r="H425" s="1" t="s">
        <v>2</v>
      </c>
      <c r="I425" s="2">
        <v>46177</v>
      </c>
      <c r="J425" s="1" t="s">
        <v>18</v>
      </c>
      <c r="K425" s="1" t="s">
        <v>2371</v>
      </c>
      <c r="L425" s="2">
        <v>46177.92087962963</v>
      </c>
      <c r="M425" s="2">
        <v>46177.921329212964</v>
      </c>
    </row>
    <row r="426" spans="1:13" x14ac:dyDescent="0.35">
      <c r="A426" s="1" t="s">
        <v>319</v>
      </c>
      <c r="B426" s="1" t="s">
        <v>13</v>
      </c>
      <c r="C426" s="1" t="s">
        <v>320</v>
      </c>
      <c r="D426">
        <v>4.625</v>
      </c>
      <c r="E426" s="2">
        <v>51181</v>
      </c>
      <c r="F426" s="1" t="s">
        <v>16</v>
      </c>
      <c r="G426" s="1" t="s">
        <v>320</v>
      </c>
      <c r="H426" s="1" t="s">
        <v>2</v>
      </c>
      <c r="I426" s="2">
        <v>46177</v>
      </c>
      <c r="J426" s="1" t="s">
        <v>18</v>
      </c>
      <c r="K426" s="1" t="s">
        <v>2519</v>
      </c>
      <c r="L426" s="2">
        <v>46177.92087962963</v>
      </c>
      <c r="M426" s="2">
        <v>46177.921329212964</v>
      </c>
    </row>
    <row r="427" spans="1:13" x14ac:dyDescent="0.35">
      <c r="A427" s="1" t="s">
        <v>319</v>
      </c>
      <c r="B427" s="1" t="s">
        <v>13</v>
      </c>
      <c r="C427" s="1" t="s">
        <v>320</v>
      </c>
      <c r="D427">
        <v>4.625</v>
      </c>
      <c r="E427" s="2">
        <v>51181</v>
      </c>
      <c r="F427" s="1" t="s">
        <v>16</v>
      </c>
      <c r="G427" s="1" t="s">
        <v>320</v>
      </c>
      <c r="H427" s="1" t="s">
        <v>2</v>
      </c>
      <c r="I427" s="2">
        <v>46177</v>
      </c>
      <c r="J427" s="1" t="s">
        <v>17</v>
      </c>
      <c r="K427" s="1" t="s">
        <v>2618</v>
      </c>
      <c r="L427" s="2">
        <v>46177.92087962963</v>
      </c>
      <c r="M427" s="2">
        <v>46177.921329212964</v>
      </c>
    </row>
    <row r="428" spans="1:13" x14ac:dyDescent="0.35">
      <c r="A428" s="1" t="s">
        <v>263</v>
      </c>
      <c r="B428" s="1" t="s">
        <v>13</v>
      </c>
      <c r="C428" s="1" t="s">
        <v>264</v>
      </c>
      <c r="D428">
        <v>2.125</v>
      </c>
      <c r="E428" s="2">
        <v>51181</v>
      </c>
      <c r="F428" s="1" t="s">
        <v>64</v>
      </c>
      <c r="G428" s="1" t="s">
        <v>264</v>
      </c>
      <c r="H428" s="1" t="s">
        <v>2</v>
      </c>
      <c r="I428" s="2">
        <v>46177</v>
      </c>
      <c r="J428" s="1" t="s">
        <v>18</v>
      </c>
      <c r="K428" s="1" t="s">
        <v>2672</v>
      </c>
      <c r="L428" s="2">
        <v>46177.92087962963</v>
      </c>
      <c r="M428" s="2">
        <v>46177.921329212964</v>
      </c>
    </row>
    <row r="429" spans="1:13" x14ac:dyDescent="0.35">
      <c r="A429" s="1" t="s">
        <v>263</v>
      </c>
      <c r="B429" s="1" t="s">
        <v>13</v>
      </c>
      <c r="C429" s="1" t="s">
        <v>264</v>
      </c>
      <c r="D429">
        <v>2.125</v>
      </c>
      <c r="E429" s="2">
        <v>51181</v>
      </c>
      <c r="F429" s="1" t="s">
        <v>64</v>
      </c>
      <c r="G429" s="1" t="s">
        <v>264</v>
      </c>
      <c r="H429" s="1" t="s">
        <v>2</v>
      </c>
      <c r="I429" s="2">
        <v>46177</v>
      </c>
      <c r="J429" s="1" t="s">
        <v>17</v>
      </c>
      <c r="K429" s="1" t="s">
        <v>2454</v>
      </c>
      <c r="L429" s="2">
        <v>46177.92087962963</v>
      </c>
      <c r="M429" s="2">
        <v>46177.921329212964</v>
      </c>
    </row>
    <row r="430" spans="1:13" x14ac:dyDescent="0.35">
      <c r="A430" s="1" t="s">
        <v>59</v>
      </c>
      <c r="B430" s="1" t="s">
        <v>13</v>
      </c>
      <c r="C430" s="1" t="s">
        <v>60</v>
      </c>
      <c r="D430">
        <v>4.375</v>
      </c>
      <c r="E430" s="2">
        <v>51271</v>
      </c>
      <c r="F430" s="1" t="s">
        <v>16</v>
      </c>
      <c r="G430" s="1" t="s">
        <v>60</v>
      </c>
      <c r="H430" s="1" t="s">
        <v>2</v>
      </c>
      <c r="I430" s="2">
        <v>46177</v>
      </c>
      <c r="J430" s="1" t="s">
        <v>17</v>
      </c>
      <c r="K430" s="1" t="s">
        <v>2893</v>
      </c>
      <c r="L430" s="2">
        <v>46177.92087962963</v>
      </c>
      <c r="M430" s="2">
        <v>46177.921329212964</v>
      </c>
    </row>
    <row r="431" spans="1:13" x14ac:dyDescent="0.35">
      <c r="A431" s="1" t="s">
        <v>59</v>
      </c>
      <c r="B431" s="1" t="s">
        <v>13</v>
      </c>
      <c r="C431" s="1" t="s">
        <v>60</v>
      </c>
      <c r="D431">
        <v>4.375</v>
      </c>
      <c r="E431" s="2">
        <v>51271</v>
      </c>
      <c r="F431" s="1" t="s">
        <v>16</v>
      </c>
      <c r="G431" s="1" t="s">
        <v>60</v>
      </c>
      <c r="H431" s="1" t="s">
        <v>2</v>
      </c>
      <c r="I431" s="2">
        <v>46177</v>
      </c>
      <c r="J431" s="1" t="s">
        <v>18</v>
      </c>
      <c r="K431" s="1" t="s">
        <v>2659</v>
      </c>
      <c r="L431" s="2">
        <v>46177.92087962963</v>
      </c>
      <c r="M431" s="2">
        <v>46177.921329212964</v>
      </c>
    </row>
    <row r="432" spans="1:13" x14ac:dyDescent="0.35">
      <c r="A432" s="1" t="s">
        <v>108</v>
      </c>
      <c r="B432" s="1" t="s">
        <v>13</v>
      </c>
      <c r="C432" s="1" t="s">
        <v>109</v>
      </c>
      <c r="D432">
        <v>3.875</v>
      </c>
      <c r="E432" s="2">
        <v>51363</v>
      </c>
      <c r="F432" s="1" t="s">
        <v>16</v>
      </c>
      <c r="G432" s="1" t="s">
        <v>109</v>
      </c>
      <c r="H432" s="1" t="s">
        <v>2</v>
      </c>
      <c r="I432" s="2">
        <v>46177</v>
      </c>
      <c r="J432" s="1" t="s">
        <v>17</v>
      </c>
      <c r="K432" s="1" t="s">
        <v>3038</v>
      </c>
      <c r="L432" s="2">
        <v>46177.92087962963</v>
      </c>
      <c r="M432" s="2">
        <v>46177.921329212964</v>
      </c>
    </row>
    <row r="433" spans="1:13" x14ac:dyDescent="0.35">
      <c r="A433" s="1" t="s">
        <v>108</v>
      </c>
      <c r="B433" s="1" t="s">
        <v>13</v>
      </c>
      <c r="C433" s="1" t="s">
        <v>109</v>
      </c>
      <c r="D433">
        <v>3.875</v>
      </c>
      <c r="E433" s="2">
        <v>51363</v>
      </c>
      <c r="F433" s="1" t="s">
        <v>16</v>
      </c>
      <c r="G433" s="1" t="s">
        <v>109</v>
      </c>
      <c r="H433" s="1" t="s">
        <v>2</v>
      </c>
      <c r="I433" s="2">
        <v>46177</v>
      </c>
      <c r="J433" s="1" t="s">
        <v>18</v>
      </c>
      <c r="K433" s="1" t="s">
        <v>4436</v>
      </c>
      <c r="L433" s="2">
        <v>46177.92087962963</v>
      </c>
      <c r="M433" s="2">
        <v>46177.921329212964</v>
      </c>
    </row>
    <row r="434" spans="1:13" x14ac:dyDescent="0.35">
      <c r="A434" s="1" t="s">
        <v>110</v>
      </c>
      <c r="B434" s="1" t="s">
        <v>13</v>
      </c>
      <c r="C434" s="1" t="s">
        <v>111</v>
      </c>
      <c r="D434">
        <v>4.25</v>
      </c>
      <c r="E434" s="2">
        <v>51455</v>
      </c>
      <c r="F434" s="1" t="s">
        <v>16</v>
      </c>
      <c r="G434" s="1" t="s">
        <v>111</v>
      </c>
      <c r="H434" s="1" t="s">
        <v>2</v>
      </c>
      <c r="I434" s="2">
        <v>46177</v>
      </c>
      <c r="J434" s="1" t="s">
        <v>17</v>
      </c>
      <c r="K434" s="1" t="s">
        <v>2663</v>
      </c>
      <c r="L434" s="2">
        <v>46177.92087962963</v>
      </c>
      <c r="M434" s="2">
        <v>46177.921329212964</v>
      </c>
    </row>
    <row r="435" spans="1:13" x14ac:dyDescent="0.35">
      <c r="A435" s="1" t="s">
        <v>110</v>
      </c>
      <c r="B435" s="1" t="s">
        <v>13</v>
      </c>
      <c r="C435" s="1" t="s">
        <v>111</v>
      </c>
      <c r="D435">
        <v>4.25</v>
      </c>
      <c r="E435" s="2">
        <v>51455</v>
      </c>
      <c r="F435" s="1" t="s">
        <v>16</v>
      </c>
      <c r="G435" s="1" t="s">
        <v>111</v>
      </c>
      <c r="H435" s="1" t="s">
        <v>2</v>
      </c>
      <c r="I435" s="2">
        <v>46177</v>
      </c>
      <c r="J435" s="1" t="s">
        <v>18</v>
      </c>
      <c r="K435" s="1" t="s">
        <v>4552</v>
      </c>
      <c r="L435" s="2">
        <v>46177.92087962963</v>
      </c>
      <c r="M435" s="2">
        <v>46177.921329212964</v>
      </c>
    </row>
    <row r="436" spans="1:13" x14ac:dyDescent="0.35">
      <c r="A436" s="1" t="s">
        <v>247</v>
      </c>
      <c r="B436" s="1" t="s">
        <v>13</v>
      </c>
      <c r="C436" s="1" t="s">
        <v>248</v>
      </c>
      <c r="D436">
        <v>4.75</v>
      </c>
      <c r="E436" s="2">
        <v>51547</v>
      </c>
      <c r="F436" s="1" t="s">
        <v>16</v>
      </c>
      <c r="G436" s="1" t="s">
        <v>248</v>
      </c>
      <c r="H436" s="1" t="s">
        <v>2</v>
      </c>
      <c r="I436" s="2">
        <v>46177</v>
      </c>
      <c r="J436" s="1" t="s">
        <v>18</v>
      </c>
      <c r="K436" s="1" t="s">
        <v>2540</v>
      </c>
      <c r="L436" s="2">
        <v>46177.92087962963</v>
      </c>
      <c r="M436" s="2">
        <v>46177.921329212964</v>
      </c>
    </row>
    <row r="437" spans="1:13" x14ac:dyDescent="0.35">
      <c r="A437" s="1" t="s">
        <v>247</v>
      </c>
      <c r="B437" s="1" t="s">
        <v>13</v>
      </c>
      <c r="C437" s="1" t="s">
        <v>248</v>
      </c>
      <c r="D437">
        <v>4.75</v>
      </c>
      <c r="E437" s="2">
        <v>51547</v>
      </c>
      <c r="F437" s="1" t="s">
        <v>16</v>
      </c>
      <c r="G437" s="1" t="s">
        <v>248</v>
      </c>
      <c r="H437" s="1" t="s">
        <v>2</v>
      </c>
      <c r="I437" s="2">
        <v>46177</v>
      </c>
      <c r="J437" s="1" t="s">
        <v>17</v>
      </c>
      <c r="K437" s="1" t="s">
        <v>2644</v>
      </c>
      <c r="L437" s="2">
        <v>46177.92087962963</v>
      </c>
      <c r="M437" s="2">
        <v>46177.921329212964</v>
      </c>
    </row>
    <row r="438" spans="1:13" x14ac:dyDescent="0.35">
      <c r="A438" s="1" t="s">
        <v>62</v>
      </c>
      <c r="B438" s="1" t="s">
        <v>13</v>
      </c>
      <c r="C438" s="1" t="s">
        <v>63</v>
      </c>
      <c r="D438">
        <v>2.125</v>
      </c>
      <c r="E438" s="2">
        <v>51547</v>
      </c>
      <c r="F438" s="1" t="s">
        <v>64</v>
      </c>
      <c r="G438" s="1" t="s">
        <v>63</v>
      </c>
      <c r="H438" s="1" t="s">
        <v>2</v>
      </c>
      <c r="I438" s="2">
        <v>46177</v>
      </c>
      <c r="J438" s="1" t="s">
        <v>17</v>
      </c>
      <c r="K438" s="1" t="s">
        <v>4484</v>
      </c>
      <c r="L438" s="2">
        <v>46177.92087962963</v>
      </c>
      <c r="M438" s="2">
        <v>46177.921329212964</v>
      </c>
    </row>
    <row r="439" spans="1:13" x14ac:dyDescent="0.35">
      <c r="A439" s="1" t="s">
        <v>62</v>
      </c>
      <c r="B439" s="1" t="s">
        <v>13</v>
      </c>
      <c r="C439" s="1" t="s">
        <v>63</v>
      </c>
      <c r="D439">
        <v>2.125</v>
      </c>
      <c r="E439" s="2">
        <v>51547</v>
      </c>
      <c r="F439" s="1" t="s">
        <v>64</v>
      </c>
      <c r="G439" s="1" t="s">
        <v>63</v>
      </c>
      <c r="H439" s="1" t="s">
        <v>2</v>
      </c>
      <c r="I439" s="2">
        <v>46177</v>
      </c>
      <c r="J439" s="1" t="s">
        <v>18</v>
      </c>
      <c r="K439" s="1" t="s">
        <v>2430</v>
      </c>
      <c r="L439" s="2">
        <v>46177.92087962963</v>
      </c>
      <c r="M439" s="2">
        <v>46177.921329212964</v>
      </c>
    </row>
    <row r="440" spans="1:13" x14ac:dyDescent="0.35">
      <c r="A440" s="1" t="s">
        <v>65</v>
      </c>
      <c r="B440" s="1" t="s">
        <v>13</v>
      </c>
      <c r="C440" s="1" t="s">
        <v>66</v>
      </c>
      <c r="D440">
        <v>4.375</v>
      </c>
      <c r="E440" s="2">
        <v>51636</v>
      </c>
      <c r="F440" s="1" t="s">
        <v>16</v>
      </c>
      <c r="G440" s="1" t="s">
        <v>66</v>
      </c>
      <c r="H440" s="1" t="s">
        <v>2</v>
      </c>
      <c r="I440" s="2">
        <v>46177</v>
      </c>
      <c r="J440" s="1" t="s">
        <v>224</v>
      </c>
      <c r="K440" s="1" t="s">
        <v>4348</v>
      </c>
      <c r="L440" s="2">
        <v>46177.918923611112</v>
      </c>
      <c r="M440" s="2">
        <v>46177.921329212964</v>
      </c>
    </row>
    <row r="441" spans="1:13" x14ac:dyDescent="0.35">
      <c r="A441" s="1" t="s">
        <v>65</v>
      </c>
      <c r="B441" s="1" t="s">
        <v>13</v>
      </c>
      <c r="C441" s="1" t="s">
        <v>66</v>
      </c>
      <c r="D441">
        <v>4.375</v>
      </c>
      <c r="E441" s="2">
        <v>51636</v>
      </c>
      <c r="F441" s="1" t="s">
        <v>16</v>
      </c>
      <c r="G441" s="1" t="s">
        <v>66</v>
      </c>
      <c r="H441" s="1" t="s">
        <v>2</v>
      </c>
      <c r="I441" s="2">
        <v>46177</v>
      </c>
      <c r="J441" s="1" t="s">
        <v>17</v>
      </c>
      <c r="K441" s="1" t="s">
        <v>2638</v>
      </c>
      <c r="L441" s="2">
        <v>46177.92087962963</v>
      </c>
      <c r="M441" s="2">
        <v>46177.921329212964</v>
      </c>
    </row>
    <row r="442" spans="1:13" x14ac:dyDescent="0.35">
      <c r="A442" s="1" t="s">
        <v>65</v>
      </c>
      <c r="B442" s="1" t="s">
        <v>13</v>
      </c>
      <c r="C442" s="1" t="s">
        <v>66</v>
      </c>
      <c r="D442">
        <v>4.375</v>
      </c>
      <c r="E442" s="2">
        <v>51636</v>
      </c>
      <c r="F442" s="1" t="s">
        <v>16</v>
      </c>
      <c r="G442" s="1" t="s">
        <v>66</v>
      </c>
      <c r="H442" s="1" t="s">
        <v>2</v>
      </c>
      <c r="I442" s="2">
        <v>46177</v>
      </c>
      <c r="J442" s="1" t="s">
        <v>18</v>
      </c>
      <c r="K442" s="1" t="s">
        <v>3018</v>
      </c>
      <c r="L442" s="2">
        <v>46177.92087962963</v>
      </c>
      <c r="M442" s="2">
        <v>46177.921329212964</v>
      </c>
    </row>
    <row r="443" spans="1:13" x14ac:dyDescent="0.35">
      <c r="A443" s="1" t="s">
        <v>65</v>
      </c>
      <c r="B443" s="1" t="s">
        <v>13</v>
      </c>
      <c r="C443" s="1" t="s">
        <v>66</v>
      </c>
      <c r="D443">
        <v>4.375</v>
      </c>
      <c r="E443" s="2">
        <v>51636</v>
      </c>
      <c r="F443" s="1" t="s">
        <v>16</v>
      </c>
      <c r="G443" s="1" t="s">
        <v>66</v>
      </c>
      <c r="H443" s="1" t="s">
        <v>2</v>
      </c>
      <c r="I443" s="2">
        <v>46177</v>
      </c>
      <c r="J443" s="1" t="s">
        <v>67</v>
      </c>
      <c r="K443" s="1" t="s">
        <v>4553</v>
      </c>
      <c r="L443" s="2">
        <v>46177.918923611112</v>
      </c>
      <c r="M443" s="2">
        <v>46177.921329212964</v>
      </c>
    </row>
    <row r="444" spans="1:13" x14ac:dyDescent="0.35">
      <c r="A444" s="1" t="s">
        <v>65</v>
      </c>
      <c r="B444" s="1" t="s">
        <v>13</v>
      </c>
      <c r="C444" s="1" t="s">
        <v>66</v>
      </c>
      <c r="D444">
        <v>4.375</v>
      </c>
      <c r="E444" s="2">
        <v>51636</v>
      </c>
      <c r="F444" s="1" t="s">
        <v>16</v>
      </c>
      <c r="G444" s="1" t="s">
        <v>66</v>
      </c>
      <c r="H444" s="1" t="s">
        <v>2</v>
      </c>
      <c r="I444" s="2">
        <v>46177</v>
      </c>
      <c r="J444" s="1" t="s">
        <v>214</v>
      </c>
      <c r="K444" s="1" t="s">
        <v>4348</v>
      </c>
      <c r="L444" s="2">
        <v>46177.918923611112</v>
      </c>
      <c r="M444" s="2">
        <v>46177.921329212964</v>
      </c>
    </row>
    <row r="445" spans="1:13" x14ac:dyDescent="0.35">
      <c r="A445" s="1" t="s">
        <v>65</v>
      </c>
      <c r="B445" s="1" t="s">
        <v>13</v>
      </c>
      <c r="C445" s="1" t="s">
        <v>66</v>
      </c>
      <c r="D445">
        <v>4.375</v>
      </c>
      <c r="E445" s="2">
        <v>51636</v>
      </c>
      <c r="F445" s="1" t="s">
        <v>16</v>
      </c>
      <c r="G445" s="1" t="s">
        <v>66</v>
      </c>
      <c r="H445" s="1" t="s">
        <v>2</v>
      </c>
      <c r="I445" s="2">
        <v>46177</v>
      </c>
      <c r="J445" s="1" t="s">
        <v>215</v>
      </c>
      <c r="K445" s="1" t="s">
        <v>4553</v>
      </c>
      <c r="L445" s="2">
        <v>46177.918923611112</v>
      </c>
      <c r="M445" s="2">
        <v>46177.921329212964</v>
      </c>
    </row>
    <row r="446" spans="1:13" x14ac:dyDescent="0.35">
      <c r="A446" s="1" t="s">
        <v>279</v>
      </c>
      <c r="B446" s="1" t="s">
        <v>13</v>
      </c>
      <c r="C446" s="1" t="s">
        <v>280</v>
      </c>
      <c r="D446">
        <v>3.75</v>
      </c>
      <c r="E446" s="2">
        <v>51728</v>
      </c>
      <c r="F446" s="1" t="s">
        <v>16</v>
      </c>
      <c r="G446" s="1" t="s">
        <v>280</v>
      </c>
      <c r="H446" s="1" t="s">
        <v>2</v>
      </c>
      <c r="I446" s="2">
        <v>46177</v>
      </c>
      <c r="J446" s="1" t="s">
        <v>18</v>
      </c>
      <c r="K446" s="1" t="s">
        <v>2682</v>
      </c>
      <c r="L446" s="2">
        <v>46177.92087962963</v>
      </c>
      <c r="M446" s="2">
        <v>46177.921329212964</v>
      </c>
    </row>
    <row r="447" spans="1:13" x14ac:dyDescent="0.35">
      <c r="A447" s="1" t="s">
        <v>279</v>
      </c>
      <c r="B447" s="1" t="s">
        <v>13</v>
      </c>
      <c r="C447" s="1" t="s">
        <v>280</v>
      </c>
      <c r="D447">
        <v>3.75</v>
      </c>
      <c r="E447" s="2">
        <v>51728</v>
      </c>
      <c r="F447" s="1" t="s">
        <v>16</v>
      </c>
      <c r="G447" s="1" t="s">
        <v>280</v>
      </c>
      <c r="H447" s="1" t="s">
        <v>2</v>
      </c>
      <c r="I447" s="2">
        <v>46177</v>
      </c>
      <c r="J447" s="1" t="s">
        <v>17</v>
      </c>
      <c r="K447" s="1" t="s">
        <v>2374</v>
      </c>
      <c r="L447" s="2">
        <v>46177.92087962963</v>
      </c>
      <c r="M447" s="2">
        <v>46177.921329212964</v>
      </c>
    </row>
    <row r="448" spans="1:13" x14ac:dyDescent="0.35">
      <c r="A448" s="1" t="s">
        <v>112</v>
      </c>
      <c r="B448" s="1" t="s">
        <v>13</v>
      </c>
      <c r="C448" s="1" t="s">
        <v>113</v>
      </c>
      <c r="D448">
        <v>3.125</v>
      </c>
      <c r="E448" s="2">
        <v>51820</v>
      </c>
      <c r="F448" s="1" t="s">
        <v>16</v>
      </c>
      <c r="G448" s="1" t="s">
        <v>113</v>
      </c>
      <c r="H448" s="1" t="s">
        <v>2</v>
      </c>
      <c r="I448" s="2">
        <v>46177</v>
      </c>
      <c r="J448" s="1" t="s">
        <v>17</v>
      </c>
      <c r="K448" s="1" t="s">
        <v>4364</v>
      </c>
      <c r="L448" s="2">
        <v>46177.92087962963</v>
      </c>
      <c r="M448" s="2">
        <v>46177.921329212964</v>
      </c>
    </row>
    <row r="449" spans="1:13" x14ac:dyDescent="0.35">
      <c r="A449" s="1" t="s">
        <v>112</v>
      </c>
      <c r="B449" s="1" t="s">
        <v>13</v>
      </c>
      <c r="C449" s="1" t="s">
        <v>113</v>
      </c>
      <c r="D449">
        <v>3.125</v>
      </c>
      <c r="E449" s="2">
        <v>51820</v>
      </c>
      <c r="F449" s="1" t="s">
        <v>16</v>
      </c>
      <c r="G449" s="1" t="s">
        <v>113</v>
      </c>
      <c r="H449" s="1" t="s">
        <v>2</v>
      </c>
      <c r="I449" s="2">
        <v>46177</v>
      </c>
      <c r="J449" s="1" t="s">
        <v>18</v>
      </c>
      <c r="K449" s="1" t="s">
        <v>2379</v>
      </c>
      <c r="L449" s="2">
        <v>46177.92087962963</v>
      </c>
      <c r="M449" s="2">
        <v>46177.921329212964</v>
      </c>
    </row>
    <row r="450" spans="1:13" x14ac:dyDescent="0.35">
      <c r="A450" s="1" t="s">
        <v>114</v>
      </c>
      <c r="B450" s="1" t="s">
        <v>13</v>
      </c>
      <c r="C450" s="1" t="s">
        <v>115</v>
      </c>
      <c r="D450">
        <v>3.125</v>
      </c>
      <c r="E450" s="2">
        <v>51912</v>
      </c>
      <c r="F450" s="1" t="s">
        <v>16</v>
      </c>
      <c r="G450" s="1" t="s">
        <v>115</v>
      </c>
      <c r="H450" s="1" t="s">
        <v>2</v>
      </c>
      <c r="I450" s="2">
        <v>46177</v>
      </c>
      <c r="J450" s="1" t="s">
        <v>17</v>
      </c>
      <c r="K450" s="1" t="s">
        <v>4333</v>
      </c>
      <c r="L450" s="2">
        <v>46177.92087962963</v>
      </c>
      <c r="M450" s="2">
        <v>46177.921329212964</v>
      </c>
    </row>
    <row r="451" spans="1:13" x14ac:dyDescent="0.35">
      <c r="A451" s="1" t="s">
        <v>114</v>
      </c>
      <c r="B451" s="1" t="s">
        <v>13</v>
      </c>
      <c r="C451" s="1" t="s">
        <v>115</v>
      </c>
      <c r="D451">
        <v>3.125</v>
      </c>
      <c r="E451" s="2">
        <v>51912</v>
      </c>
      <c r="F451" s="1" t="s">
        <v>16</v>
      </c>
      <c r="G451" s="1" t="s">
        <v>115</v>
      </c>
      <c r="H451" s="1" t="s">
        <v>2</v>
      </c>
      <c r="I451" s="2">
        <v>46177</v>
      </c>
      <c r="J451" s="1" t="s">
        <v>18</v>
      </c>
      <c r="K451" s="1" t="s">
        <v>3028</v>
      </c>
      <c r="L451" s="2">
        <v>46177.92087962963</v>
      </c>
      <c r="M451" s="2">
        <v>46177.921329212964</v>
      </c>
    </row>
    <row r="452" spans="1:13" x14ac:dyDescent="0.35">
      <c r="A452" s="1" t="s">
        <v>265</v>
      </c>
      <c r="B452" s="1" t="s">
        <v>13</v>
      </c>
      <c r="C452" s="1" t="s">
        <v>266</v>
      </c>
      <c r="D452">
        <v>0.75</v>
      </c>
      <c r="E452" s="2">
        <v>51912</v>
      </c>
      <c r="F452" s="1" t="s">
        <v>64</v>
      </c>
      <c r="G452" s="1" t="s">
        <v>266</v>
      </c>
      <c r="H452" s="1" t="s">
        <v>2</v>
      </c>
      <c r="I452" s="2">
        <v>46177</v>
      </c>
      <c r="J452" s="1" t="s">
        <v>18</v>
      </c>
      <c r="K452" s="1" t="s">
        <v>4334</v>
      </c>
      <c r="L452" s="2">
        <v>46177.92087962963</v>
      </c>
      <c r="M452" s="2">
        <v>46177.921329212964</v>
      </c>
    </row>
    <row r="453" spans="1:13" x14ac:dyDescent="0.35">
      <c r="A453" s="1" t="s">
        <v>265</v>
      </c>
      <c r="B453" s="1" t="s">
        <v>13</v>
      </c>
      <c r="C453" s="1" t="s">
        <v>266</v>
      </c>
      <c r="D453">
        <v>0.75</v>
      </c>
      <c r="E453" s="2">
        <v>51912</v>
      </c>
      <c r="F453" s="1" t="s">
        <v>64</v>
      </c>
      <c r="G453" s="1" t="s">
        <v>266</v>
      </c>
      <c r="H453" s="1" t="s">
        <v>2</v>
      </c>
      <c r="I453" s="2">
        <v>46177</v>
      </c>
      <c r="J453" s="1" t="s">
        <v>17</v>
      </c>
      <c r="K453" s="1" t="s">
        <v>4531</v>
      </c>
      <c r="L453" s="2">
        <v>46177.92087962963</v>
      </c>
      <c r="M453" s="2">
        <v>46177.921329212964</v>
      </c>
    </row>
    <row r="454" spans="1:13" x14ac:dyDescent="0.35">
      <c r="A454" s="1" t="s">
        <v>321</v>
      </c>
      <c r="B454" s="1" t="s">
        <v>13</v>
      </c>
      <c r="C454" s="1" t="s">
        <v>322</v>
      </c>
      <c r="D454">
        <v>3</v>
      </c>
      <c r="E454" s="2">
        <v>52001</v>
      </c>
      <c r="F454" s="1" t="s">
        <v>16</v>
      </c>
      <c r="G454" s="1" t="s">
        <v>322</v>
      </c>
      <c r="H454" s="1" t="s">
        <v>2</v>
      </c>
      <c r="I454" s="2">
        <v>46177</v>
      </c>
      <c r="J454" s="1" t="s">
        <v>18</v>
      </c>
      <c r="K454" s="1" t="s">
        <v>3046</v>
      </c>
      <c r="L454" s="2">
        <v>46177.92087962963</v>
      </c>
      <c r="M454" s="2">
        <v>46177.921329212964</v>
      </c>
    </row>
    <row r="455" spans="1:13" x14ac:dyDescent="0.35">
      <c r="A455" s="1" t="s">
        <v>321</v>
      </c>
      <c r="B455" s="1" t="s">
        <v>13</v>
      </c>
      <c r="C455" s="1" t="s">
        <v>322</v>
      </c>
      <c r="D455">
        <v>3</v>
      </c>
      <c r="E455" s="2">
        <v>52001</v>
      </c>
      <c r="F455" s="1" t="s">
        <v>16</v>
      </c>
      <c r="G455" s="1" t="s">
        <v>322</v>
      </c>
      <c r="H455" s="1" t="s">
        <v>2</v>
      </c>
      <c r="I455" s="2">
        <v>46177</v>
      </c>
      <c r="J455" s="1" t="s">
        <v>17</v>
      </c>
      <c r="K455" s="1" t="s">
        <v>3030</v>
      </c>
      <c r="L455" s="2">
        <v>46177.92087962963</v>
      </c>
      <c r="M455" s="2">
        <v>46177.921329212964</v>
      </c>
    </row>
    <row r="456" spans="1:13" x14ac:dyDescent="0.35">
      <c r="A456" s="1" t="s">
        <v>323</v>
      </c>
      <c r="B456" s="1" t="s">
        <v>13</v>
      </c>
      <c r="C456" s="1" t="s">
        <v>324</v>
      </c>
      <c r="D456">
        <v>2.75</v>
      </c>
      <c r="E456" s="2">
        <v>52093</v>
      </c>
      <c r="F456" s="1" t="s">
        <v>16</v>
      </c>
      <c r="G456" s="1" t="s">
        <v>324</v>
      </c>
      <c r="H456" s="1" t="s">
        <v>2</v>
      </c>
      <c r="I456" s="2">
        <v>46177</v>
      </c>
      <c r="J456" s="1" t="s">
        <v>18</v>
      </c>
      <c r="K456" s="1" t="s">
        <v>3002</v>
      </c>
      <c r="L456" s="2">
        <v>46177.92087962963</v>
      </c>
      <c r="M456" s="2">
        <v>46177.921329212964</v>
      </c>
    </row>
    <row r="457" spans="1:13" x14ac:dyDescent="0.35">
      <c r="A457" s="1" t="s">
        <v>323</v>
      </c>
      <c r="B457" s="1" t="s">
        <v>13</v>
      </c>
      <c r="C457" s="1" t="s">
        <v>324</v>
      </c>
      <c r="D457">
        <v>2.75</v>
      </c>
      <c r="E457" s="2">
        <v>52093</v>
      </c>
      <c r="F457" s="1" t="s">
        <v>16</v>
      </c>
      <c r="G457" s="1" t="s">
        <v>324</v>
      </c>
      <c r="H457" s="1" t="s">
        <v>2</v>
      </c>
      <c r="I457" s="2">
        <v>46177</v>
      </c>
      <c r="J457" s="1" t="s">
        <v>17</v>
      </c>
      <c r="K457" s="1" t="s">
        <v>2318</v>
      </c>
      <c r="L457" s="2">
        <v>46177.92087962963</v>
      </c>
      <c r="M457" s="2">
        <v>46177.921329212964</v>
      </c>
    </row>
    <row r="458" spans="1:13" x14ac:dyDescent="0.35">
      <c r="A458" s="1" t="s">
        <v>68</v>
      </c>
      <c r="B458" s="1" t="s">
        <v>13</v>
      </c>
      <c r="C458" s="1" t="s">
        <v>69</v>
      </c>
      <c r="D458">
        <v>2.75</v>
      </c>
      <c r="E458" s="2">
        <v>52185</v>
      </c>
      <c r="F458" s="1" t="s">
        <v>16</v>
      </c>
      <c r="G458" s="1" t="s">
        <v>69</v>
      </c>
      <c r="H458" s="1" t="s">
        <v>2</v>
      </c>
      <c r="I458" s="2">
        <v>46177</v>
      </c>
      <c r="J458" s="1" t="s">
        <v>18</v>
      </c>
      <c r="K458" s="1" t="s">
        <v>2329</v>
      </c>
      <c r="L458" s="2">
        <v>46177.92087962963</v>
      </c>
      <c r="M458" s="2">
        <v>46177.921329212964</v>
      </c>
    </row>
    <row r="459" spans="1:13" x14ac:dyDescent="0.35">
      <c r="A459" s="1" t="s">
        <v>68</v>
      </c>
      <c r="B459" s="1" t="s">
        <v>13</v>
      </c>
      <c r="C459" s="1" t="s">
        <v>69</v>
      </c>
      <c r="D459">
        <v>2.75</v>
      </c>
      <c r="E459" s="2">
        <v>52185</v>
      </c>
      <c r="F459" s="1" t="s">
        <v>16</v>
      </c>
      <c r="G459" s="1" t="s">
        <v>69</v>
      </c>
      <c r="H459" s="1" t="s">
        <v>2</v>
      </c>
      <c r="I459" s="2">
        <v>46177</v>
      </c>
      <c r="J459" s="1" t="s">
        <v>17</v>
      </c>
      <c r="K459" s="1" t="s">
        <v>2327</v>
      </c>
      <c r="L459" s="2">
        <v>46177.92087962963</v>
      </c>
      <c r="M459" s="2">
        <v>46177.921329212964</v>
      </c>
    </row>
    <row r="460" spans="1:13" x14ac:dyDescent="0.35">
      <c r="A460" s="1" t="s">
        <v>267</v>
      </c>
      <c r="B460" s="1" t="s">
        <v>13</v>
      </c>
      <c r="C460" s="1" t="s">
        <v>268</v>
      </c>
      <c r="D460">
        <v>3.125</v>
      </c>
      <c r="E460" s="2">
        <v>52277</v>
      </c>
      <c r="F460" s="1" t="s">
        <v>16</v>
      </c>
      <c r="G460" s="1" t="s">
        <v>268</v>
      </c>
      <c r="H460" s="1" t="s">
        <v>2</v>
      </c>
      <c r="I460" s="2">
        <v>46177</v>
      </c>
      <c r="J460" s="1" t="s">
        <v>17</v>
      </c>
      <c r="K460" s="1" t="s">
        <v>2398</v>
      </c>
      <c r="L460" s="2">
        <v>46177.92087962963</v>
      </c>
      <c r="M460" s="2">
        <v>46177.921329212964</v>
      </c>
    </row>
    <row r="461" spans="1:13" x14ac:dyDescent="0.35">
      <c r="A461" s="1" t="s">
        <v>267</v>
      </c>
      <c r="B461" s="1" t="s">
        <v>13</v>
      </c>
      <c r="C461" s="1" t="s">
        <v>268</v>
      </c>
      <c r="D461">
        <v>3.125</v>
      </c>
      <c r="E461" s="2">
        <v>52277</v>
      </c>
      <c r="F461" s="1" t="s">
        <v>16</v>
      </c>
      <c r="G461" s="1" t="s">
        <v>268</v>
      </c>
      <c r="H461" s="1" t="s">
        <v>2</v>
      </c>
      <c r="I461" s="2">
        <v>46177</v>
      </c>
      <c r="J461" s="1" t="s">
        <v>18</v>
      </c>
      <c r="K461" s="1" t="s">
        <v>2383</v>
      </c>
      <c r="L461" s="2">
        <v>46177.92087962963</v>
      </c>
      <c r="M461" s="2">
        <v>46177.921329212964</v>
      </c>
    </row>
    <row r="462" spans="1:13" x14ac:dyDescent="0.35">
      <c r="A462" s="1" t="s">
        <v>325</v>
      </c>
      <c r="B462" s="1" t="s">
        <v>13</v>
      </c>
      <c r="C462" s="1" t="s">
        <v>326</v>
      </c>
      <c r="D462">
        <v>0.625</v>
      </c>
      <c r="E462" s="2">
        <v>52277</v>
      </c>
      <c r="F462" s="1" t="s">
        <v>64</v>
      </c>
      <c r="G462" s="1" t="s">
        <v>326</v>
      </c>
      <c r="H462" s="1" t="s">
        <v>2</v>
      </c>
      <c r="I462" s="2">
        <v>46177</v>
      </c>
      <c r="J462" s="1" t="s">
        <v>18</v>
      </c>
      <c r="K462" s="1" t="s">
        <v>4384</v>
      </c>
      <c r="L462" s="2">
        <v>46177.92087962963</v>
      </c>
      <c r="M462" s="2">
        <v>46177.921329212964</v>
      </c>
    </row>
    <row r="463" spans="1:13" x14ac:dyDescent="0.35">
      <c r="A463" s="1" t="s">
        <v>325</v>
      </c>
      <c r="B463" s="1" t="s">
        <v>13</v>
      </c>
      <c r="C463" s="1" t="s">
        <v>326</v>
      </c>
      <c r="D463">
        <v>0.625</v>
      </c>
      <c r="E463" s="2">
        <v>52277</v>
      </c>
      <c r="F463" s="1" t="s">
        <v>64</v>
      </c>
      <c r="G463" s="1" t="s">
        <v>326</v>
      </c>
      <c r="H463" s="1" t="s">
        <v>2</v>
      </c>
      <c r="I463" s="2">
        <v>46177</v>
      </c>
      <c r="J463" s="1" t="s">
        <v>17</v>
      </c>
      <c r="K463" s="1" t="s">
        <v>4532</v>
      </c>
      <c r="L463" s="2">
        <v>46177.92087962963</v>
      </c>
      <c r="M463" s="2">
        <v>46177.921329212964</v>
      </c>
    </row>
    <row r="464" spans="1:13" x14ac:dyDescent="0.35">
      <c r="A464" s="1" t="s">
        <v>281</v>
      </c>
      <c r="B464" s="1" t="s">
        <v>13</v>
      </c>
      <c r="C464" s="1" t="s">
        <v>282</v>
      </c>
      <c r="D464">
        <v>2.875</v>
      </c>
      <c r="E464" s="2">
        <v>52366</v>
      </c>
      <c r="F464" s="1" t="s">
        <v>16</v>
      </c>
      <c r="G464" s="1" t="s">
        <v>282</v>
      </c>
      <c r="H464" s="1" t="s">
        <v>2</v>
      </c>
      <c r="I464" s="2">
        <v>46177</v>
      </c>
      <c r="J464" s="1" t="s">
        <v>18</v>
      </c>
      <c r="K464" s="1" t="s">
        <v>2639</v>
      </c>
      <c r="L464" s="2">
        <v>46177.92087962963</v>
      </c>
      <c r="M464" s="2">
        <v>46177.921329212964</v>
      </c>
    </row>
    <row r="465" spans="1:13" x14ac:dyDescent="0.35">
      <c r="A465" s="1" t="s">
        <v>281</v>
      </c>
      <c r="B465" s="1" t="s">
        <v>13</v>
      </c>
      <c r="C465" s="1" t="s">
        <v>282</v>
      </c>
      <c r="D465">
        <v>2.875</v>
      </c>
      <c r="E465" s="2">
        <v>52366</v>
      </c>
      <c r="F465" s="1" t="s">
        <v>16</v>
      </c>
      <c r="G465" s="1" t="s">
        <v>282</v>
      </c>
      <c r="H465" s="1" t="s">
        <v>2</v>
      </c>
      <c r="I465" s="2">
        <v>46177</v>
      </c>
      <c r="J465" s="1" t="s">
        <v>17</v>
      </c>
      <c r="K465" s="1" t="s">
        <v>3005</v>
      </c>
      <c r="L465" s="2">
        <v>46177.92087962963</v>
      </c>
      <c r="M465" s="2">
        <v>46177.921329212964</v>
      </c>
    </row>
    <row r="466" spans="1:13" x14ac:dyDescent="0.35">
      <c r="A466" s="1" t="s">
        <v>269</v>
      </c>
      <c r="B466" s="1" t="s">
        <v>13</v>
      </c>
      <c r="C466" s="1" t="s">
        <v>270</v>
      </c>
      <c r="D466">
        <v>3.625</v>
      </c>
      <c r="E466" s="2">
        <v>52458</v>
      </c>
      <c r="F466" s="1" t="s">
        <v>16</v>
      </c>
      <c r="G466" s="1" t="s">
        <v>270</v>
      </c>
      <c r="H466" s="1" t="s">
        <v>2</v>
      </c>
      <c r="I466" s="2">
        <v>46177</v>
      </c>
      <c r="J466" s="1" t="s">
        <v>18</v>
      </c>
      <c r="K466" s="1" t="s">
        <v>2640</v>
      </c>
      <c r="L466" s="2">
        <v>46177.92087962963</v>
      </c>
      <c r="M466" s="2">
        <v>46177.921329212964</v>
      </c>
    </row>
    <row r="467" spans="1:13" x14ac:dyDescent="0.35">
      <c r="A467" s="1" t="s">
        <v>269</v>
      </c>
      <c r="B467" s="1" t="s">
        <v>13</v>
      </c>
      <c r="C467" s="1" t="s">
        <v>270</v>
      </c>
      <c r="D467">
        <v>3.625</v>
      </c>
      <c r="E467" s="2">
        <v>52458</v>
      </c>
      <c r="F467" s="1" t="s">
        <v>16</v>
      </c>
      <c r="G467" s="1" t="s">
        <v>270</v>
      </c>
      <c r="H467" s="1" t="s">
        <v>2</v>
      </c>
      <c r="I467" s="2">
        <v>46177</v>
      </c>
      <c r="J467" s="1" t="s">
        <v>17</v>
      </c>
      <c r="K467" s="1" t="s">
        <v>430</v>
      </c>
      <c r="L467" s="2">
        <v>46177.92087962963</v>
      </c>
      <c r="M467" s="2">
        <v>46177.921329212964</v>
      </c>
    </row>
    <row r="468" spans="1:13" x14ac:dyDescent="0.35">
      <c r="A468" s="1" t="s">
        <v>70</v>
      </c>
      <c r="B468" s="1" t="s">
        <v>13</v>
      </c>
      <c r="C468" s="1" t="s">
        <v>71</v>
      </c>
      <c r="D468">
        <v>3.75</v>
      </c>
      <c r="E468" s="2">
        <v>52550</v>
      </c>
      <c r="F468" s="1" t="s">
        <v>16</v>
      </c>
      <c r="G468" s="1" t="s">
        <v>71</v>
      </c>
      <c r="H468" s="1" t="s">
        <v>2</v>
      </c>
      <c r="I468" s="2">
        <v>46177</v>
      </c>
      <c r="J468" s="1" t="s">
        <v>18</v>
      </c>
      <c r="K468" s="1" t="s">
        <v>4349</v>
      </c>
      <c r="L468" s="2">
        <v>46177.92087962963</v>
      </c>
      <c r="M468" s="2">
        <v>46177.921329212964</v>
      </c>
    </row>
    <row r="469" spans="1:13" x14ac:dyDescent="0.35">
      <c r="A469" s="1" t="s">
        <v>70</v>
      </c>
      <c r="B469" s="1" t="s">
        <v>13</v>
      </c>
      <c r="C469" s="1" t="s">
        <v>71</v>
      </c>
      <c r="D469">
        <v>3.75</v>
      </c>
      <c r="E469" s="2">
        <v>52550</v>
      </c>
      <c r="F469" s="1" t="s">
        <v>16</v>
      </c>
      <c r="G469" s="1" t="s">
        <v>71</v>
      </c>
      <c r="H469" s="1" t="s">
        <v>2</v>
      </c>
      <c r="I469" s="2">
        <v>46177</v>
      </c>
      <c r="J469" s="1" t="s">
        <v>17</v>
      </c>
      <c r="K469" s="1" t="s">
        <v>4485</v>
      </c>
      <c r="L469" s="2">
        <v>46177.92087962963</v>
      </c>
      <c r="M469" s="2">
        <v>46177.921329212964</v>
      </c>
    </row>
    <row r="470" spans="1:13" x14ac:dyDescent="0.35">
      <c r="A470" s="1" t="s">
        <v>271</v>
      </c>
      <c r="B470" s="1" t="s">
        <v>13</v>
      </c>
      <c r="C470" s="1" t="s">
        <v>272</v>
      </c>
      <c r="D470">
        <v>3.625</v>
      </c>
      <c r="E470" s="2">
        <v>52642</v>
      </c>
      <c r="F470" s="1" t="s">
        <v>16</v>
      </c>
      <c r="G470" s="1" t="s">
        <v>272</v>
      </c>
      <c r="H470" s="1" t="s">
        <v>2</v>
      </c>
      <c r="I470" s="2">
        <v>46177</v>
      </c>
      <c r="J470" s="1" t="s">
        <v>18</v>
      </c>
      <c r="K470" s="1" t="s">
        <v>2356</v>
      </c>
      <c r="L470" s="2">
        <v>46177.92087962963</v>
      </c>
      <c r="M470" s="2">
        <v>46177.921329212964</v>
      </c>
    </row>
    <row r="471" spans="1:13" x14ac:dyDescent="0.35">
      <c r="A471" s="1" t="s">
        <v>271</v>
      </c>
      <c r="B471" s="1" t="s">
        <v>13</v>
      </c>
      <c r="C471" s="1" t="s">
        <v>272</v>
      </c>
      <c r="D471">
        <v>3.625</v>
      </c>
      <c r="E471" s="2">
        <v>52642</v>
      </c>
      <c r="F471" s="1" t="s">
        <v>16</v>
      </c>
      <c r="G471" s="1" t="s">
        <v>272</v>
      </c>
      <c r="H471" s="1" t="s">
        <v>2</v>
      </c>
      <c r="I471" s="2">
        <v>46177</v>
      </c>
      <c r="J471" s="1" t="s">
        <v>17</v>
      </c>
      <c r="K471" s="1" t="s">
        <v>2354</v>
      </c>
      <c r="L471" s="2">
        <v>46177.92087962963</v>
      </c>
      <c r="M471" s="2">
        <v>46177.921329212964</v>
      </c>
    </row>
    <row r="472" spans="1:13" x14ac:dyDescent="0.35">
      <c r="A472" s="1" t="s">
        <v>1120</v>
      </c>
      <c r="B472" s="1" t="s">
        <v>13</v>
      </c>
      <c r="C472" s="1" t="s">
        <v>1121</v>
      </c>
      <c r="D472">
        <v>1.375</v>
      </c>
      <c r="E472" s="2">
        <v>52642</v>
      </c>
      <c r="F472" s="1" t="s">
        <v>64</v>
      </c>
      <c r="G472" s="1" t="s">
        <v>1121</v>
      </c>
      <c r="H472" s="1" t="s">
        <v>2</v>
      </c>
      <c r="I472" s="2">
        <v>46177</v>
      </c>
      <c r="J472" s="1" t="s">
        <v>17</v>
      </c>
      <c r="K472" s="1" t="s">
        <v>4538</v>
      </c>
      <c r="L472" s="2">
        <v>46177.92087962963</v>
      </c>
      <c r="M472" s="2">
        <v>46177.921329212964</v>
      </c>
    </row>
    <row r="473" spans="1:13" x14ac:dyDescent="0.35">
      <c r="A473" s="1" t="s">
        <v>1120</v>
      </c>
      <c r="B473" s="1" t="s">
        <v>13</v>
      </c>
      <c r="C473" s="1" t="s">
        <v>1121</v>
      </c>
      <c r="D473">
        <v>1.375</v>
      </c>
      <c r="E473" s="2">
        <v>52642</v>
      </c>
      <c r="F473" s="1" t="s">
        <v>64</v>
      </c>
      <c r="G473" s="1" t="s">
        <v>1121</v>
      </c>
      <c r="H473" s="1" t="s">
        <v>2</v>
      </c>
      <c r="I473" s="2">
        <v>46177</v>
      </c>
      <c r="J473" s="1" t="s">
        <v>18</v>
      </c>
      <c r="K473" s="1" t="s">
        <v>3035</v>
      </c>
      <c r="L473" s="2">
        <v>46177.92087962963</v>
      </c>
      <c r="M473" s="2">
        <v>46177.921329212964</v>
      </c>
    </row>
    <row r="474" spans="1:13" x14ac:dyDescent="0.35">
      <c r="A474" s="1" t="s">
        <v>441</v>
      </c>
      <c r="B474" s="1" t="s">
        <v>13</v>
      </c>
      <c r="C474" s="1" t="s">
        <v>442</v>
      </c>
      <c r="D474">
        <v>3.375</v>
      </c>
      <c r="E474" s="2">
        <v>52732</v>
      </c>
      <c r="F474" s="1" t="s">
        <v>16</v>
      </c>
      <c r="G474" s="1" t="s">
        <v>442</v>
      </c>
      <c r="H474" s="1" t="s">
        <v>2</v>
      </c>
      <c r="I474" s="2">
        <v>46177</v>
      </c>
      <c r="J474" s="1" t="s">
        <v>18</v>
      </c>
      <c r="K474" s="1" t="s">
        <v>2949</v>
      </c>
      <c r="L474" s="2">
        <v>46177.92087962963</v>
      </c>
      <c r="M474" s="2">
        <v>46177.921329212964</v>
      </c>
    </row>
    <row r="475" spans="1:13" x14ac:dyDescent="0.35">
      <c r="A475" s="1" t="s">
        <v>441</v>
      </c>
      <c r="B475" s="1" t="s">
        <v>13</v>
      </c>
      <c r="C475" s="1" t="s">
        <v>442</v>
      </c>
      <c r="D475">
        <v>3.375</v>
      </c>
      <c r="E475" s="2">
        <v>52732</v>
      </c>
      <c r="F475" s="1" t="s">
        <v>16</v>
      </c>
      <c r="G475" s="1" t="s">
        <v>442</v>
      </c>
      <c r="H475" s="1" t="s">
        <v>2</v>
      </c>
      <c r="I475" s="2">
        <v>46177</v>
      </c>
      <c r="J475" s="1" t="s">
        <v>17</v>
      </c>
      <c r="K475" s="1" t="s">
        <v>2340</v>
      </c>
      <c r="L475" s="2">
        <v>46177.92087962963</v>
      </c>
      <c r="M475" s="2">
        <v>46177.921329212964</v>
      </c>
    </row>
    <row r="476" spans="1:13" x14ac:dyDescent="0.35">
      <c r="A476" s="1" t="s">
        <v>443</v>
      </c>
      <c r="B476" s="1" t="s">
        <v>13</v>
      </c>
      <c r="C476" s="1" t="s">
        <v>444</v>
      </c>
      <c r="D476">
        <v>3.125</v>
      </c>
      <c r="E476" s="2">
        <v>52824</v>
      </c>
      <c r="F476" s="1" t="s">
        <v>16</v>
      </c>
      <c r="G476" s="1" t="s">
        <v>444</v>
      </c>
      <c r="H476" s="1" t="s">
        <v>2</v>
      </c>
      <c r="I476" s="2">
        <v>46177</v>
      </c>
      <c r="J476" s="1" t="s">
        <v>18</v>
      </c>
      <c r="K476" s="1" t="s">
        <v>2349</v>
      </c>
      <c r="L476" s="2">
        <v>46177.92087962963</v>
      </c>
      <c r="M476" s="2">
        <v>46177.921329212964</v>
      </c>
    </row>
    <row r="477" spans="1:13" x14ac:dyDescent="0.35">
      <c r="A477" s="1" t="s">
        <v>443</v>
      </c>
      <c r="B477" s="1" t="s">
        <v>13</v>
      </c>
      <c r="C477" s="1" t="s">
        <v>444</v>
      </c>
      <c r="D477">
        <v>3.125</v>
      </c>
      <c r="E477" s="2">
        <v>52824</v>
      </c>
      <c r="F477" s="1" t="s">
        <v>16</v>
      </c>
      <c r="G477" s="1" t="s">
        <v>444</v>
      </c>
      <c r="H477" s="1" t="s">
        <v>2</v>
      </c>
      <c r="I477" s="2">
        <v>46177</v>
      </c>
      <c r="J477" s="1" t="s">
        <v>17</v>
      </c>
      <c r="K477" s="1" t="s">
        <v>2322</v>
      </c>
      <c r="L477" s="2">
        <v>46177.92087962963</v>
      </c>
      <c r="M477" s="2">
        <v>46177.921329212964</v>
      </c>
    </row>
    <row r="478" spans="1:13" x14ac:dyDescent="0.35">
      <c r="A478" s="1" t="s">
        <v>418</v>
      </c>
      <c r="B478" s="1" t="s">
        <v>13</v>
      </c>
      <c r="C478" s="1" t="s">
        <v>419</v>
      </c>
      <c r="D478">
        <v>3</v>
      </c>
      <c r="E478" s="2">
        <v>52916</v>
      </c>
      <c r="F478" s="1" t="s">
        <v>16</v>
      </c>
      <c r="G478" s="1" t="s">
        <v>419</v>
      </c>
      <c r="H478" s="1" t="s">
        <v>2</v>
      </c>
      <c r="I478" s="2">
        <v>46177</v>
      </c>
      <c r="J478" s="1" t="s">
        <v>18</v>
      </c>
      <c r="K478" s="1" t="s">
        <v>2985</v>
      </c>
      <c r="L478" s="2">
        <v>46177.92087962963</v>
      </c>
      <c r="M478" s="2">
        <v>46177.921329212964</v>
      </c>
    </row>
    <row r="479" spans="1:13" x14ac:dyDescent="0.35">
      <c r="A479" s="1" t="s">
        <v>418</v>
      </c>
      <c r="B479" s="1" t="s">
        <v>13</v>
      </c>
      <c r="C479" s="1" t="s">
        <v>419</v>
      </c>
      <c r="D479">
        <v>3</v>
      </c>
      <c r="E479" s="2">
        <v>52916</v>
      </c>
      <c r="F479" s="1" t="s">
        <v>16</v>
      </c>
      <c r="G479" s="1" t="s">
        <v>419</v>
      </c>
      <c r="H479" s="1" t="s">
        <v>2</v>
      </c>
      <c r="I479" s="2">
        <v>46177</v>
      </c>
      <c r="J479" s="1" t="s">
        <v>17</v>
      </c>
      <c r="K479" s="1" t="s">
        <v>2898</v>
      </c>
      <c r="L479" s="2">
        <v>46177.92087962963</v>
      </c>
      <c r="M479" s="2">
        <v>46177.921329212964</v>
      </c>
    </row>
    <row r="480" spans="1:13" x14ac:dyDescent="0.35">
      <c r="A480" s="1" t="s">
        <v>188</v>
      </c>
      <c r="B480" s="1" t="s">
        <v>13</v>
      </c>
      <c r="C480" s="1" t="s">
        <v>189</v>
      </c>
      <c r="D480">
        <v>2.5</v>
      </c>
      <c r="E480" s="2">
        <v>53008</v>
      </c>
      <c r="F480" s="1" t="s">
        <v>16</v>
      </c>
      <c r="G480" s="1" t="s">
        <v>189</v>
      </c>
      <c r="H480" s="1" t="s">
        <v>2</v>
      </c>
      <c r="I480" s="2">
        <v>46177</v>
      </c>
      <c r="J480" s="1" t="s">
        <v>17</v>
      </c>
      <c r="K480" s="1" t="s">
        <v>3009</v>
      </c>
      <c r="L480" s="2">
        <v>46177.92087962963</v>
      </c>
      <c r="M480" s="2">
        <v>46177.921329212964</v>
      </c>
    </row>
    <row r="481" spans="1:13" x14ac:dyDescent="0.35">
      <c r="A481" s="1" t="s">
        <v>188</v>
      </c>
      <c r="B481" s="1" t="s">
        <v>13</v>
      </c>
      <c r="C481" s="1" t="s">
        <v>189</v>
      </c>
      <c r="D481">
        <v>2.5</v>
      </c>
      <c r="E481" s="2">
        <v>53008</v>
      </c>
      <c r="F481" s="1" t="s">
        <v>16</v>
      </c>
      <c r="G481" s="1" t="s">
        <v>189</v>
      </c>
      <c r="H481" s="1" t="s">
        <v>2</v>
      </c>
      <c r="I481" s="2">
        <v>46177</v>
      </c>
      <c r="J481" s="1" t="s">
        <v>18</v>
      </c>
      <c r="K481" s="1" t="s">
        <v>2339</v>
      </c>
      <c r="L481" s="2">
        <v>46177.92087962963</v>
      </c>
      <c r="M481" s="2">
        <v>46177.921329212964</v>
      </c>
    </row>
    <row r="482" spans="1:13" x14ac:dyDescent="0.35">
      <c r="A482" s="1" t="s">
        <v>355</v>
      </c>
      <c r="B482" s="1" t="s">
        <v>13</v>
      </c>
      <c r="C482" s="1" t="s">
        <v>356</v>
      </c>
      <c r="D482">
        <v>0.75</v>
      </c>
      <c r="E482" s="2">
        <v>53008</v>
      </c>
      <c r="F482" s="1" t="s">
        <v>64</v>
      </c>
      <c r="G482" s="1" t="s">
        <v>356</v>
      </c>
      <c r="H482" s="1" t="s">
        <v>2</v>
      </c>
      <c r="I482" s="2">
        <v>46177</v>
      </c>
      <c r="J482" s="1" t="s">
        <v>17</v>
      </c>
      <c r="K482" s="1" t="s">
        <v>3042</v>
      </c>
      <c r="L482" s="2">
        <v>46177.92087962963</v>
      </c>
      <c r="M482" s="2">
        <v>46177.921329212964</v>
      </c>
    </row>
    <row r="483" spans="1:13" x14ac:dyDescent="0.35">
      <c r="A483" s="1" t="s">
        <v>355</v>
      </c>
      <c r="B483" s="1" t="s">
        <v>13</v>
      </c>
      <c r="C483" s="1" t="s">
        <v>356</v>
      </c>
      <c r="D483">
        <v>0.75</v>
      </c>
      <c r="E483" s="2">
        <v>53008</v>
      </c>
      <c r="F483" s="1" t="s">
        <v>64</v>
      </c>
      <c r="G483" s="1" t="s">
        <v>356</v>
      </c>
      <c r="H483" s="1" t="s">
        <v>2</v>
      </c>
      <c r="I483" s="2">
        <v>46177</v>
      </c>
      <c r="J483" s="1" t="s">
        <v>18</v>
      </c>
      <c r="K483" s="1" t="s">
        <v>2994</v>
      </c>
      <c r="L483" s="2">
        <v>46177.92087962963</v>
      </c>
      <c r="M483" s="2">
        <v>46177.921329212964</v>
      </c>
    </row>
    <row r="484" spans="1:13" x14ac:dyDescent="0.35">
      <c r="A484" s="1" t="s">
        <v>190</v>
      </c>
      <c r="B484" s="1" t="s">
        <v>13</v>
      </c>
      <c r="C484" s="1" t="s">
        <v>191</v>
      </c>
      <c r="D484">
        <v>3</v>
      </c>
      <c r="E484" s="2">
        <v>53097</v>
      </c>
      <c r="F484" s="1" t="s">
        <v>16</v>
      </c>
      <c r="G484" s="1" t="s">
        <v>191</v>
      </c>
      <c r="H484" s="1" t="s">
        <v>2</v>
      </c>
      <c r="I484" s="2">
        <v>46177</v>
      </c>
      <c r="J484" s="1" t="s">
        <v>17</v>
      </c>
      <c r="K484" s="1" t="s">
        <v>2539</v>
      </c>
      <c r="L484" s="2">
        <v>46177.92087962963</v>
      </c>
      <c r="M484" s="2">
        <v>46177.921329212964</v>
      </c>
    </row>
    <row r="485" spans="1:13" x14ac:dyDescent="0.35">
      <c r="A485" s="1" t="s">
        <v>190</v>
      </c>
      <c r="B485" s="1" t="s">
        <v>13</v>
      </c>
      <c r="C485" s="1" t="s">
        <v>191</v>
      </c>
      <c r="D485">
        <v>3</v>
      </c>
      <c r="E485" s="2">
        <v>53097</v>
      </c>
      <c r="F485" s="1" t="s">
        <v>16</v>
      </c>
      <c r="G485" s="1" t="s">
        <v>191</v>
      </c>
      <c r="H485" s="1" t="s">
        <v>2</v>
      </c>
      <c r="I485" s="2">
        <v>46177</v>
      </c>
      <c r="J485" s="1" t="s">
        <v>18</v>
      </c>
      <c r="K485" s="1" t="s">
        <v>3025</v>
      </c>
      <c r="L485" s="2">
        <v>46177.92087962963</v>
      </c>
      <c r="M485" s="2">
        <v>46177.921329212964</v>
      </c>
    </row>
    <row r="486" spans="1:13" x14ac:dyDescent="0.35">
      <c r="A486" s="1" t="s">
        <v>357</v>
      </c>
      <c r="B486" s="1" t="s">
        <v>13</v>
      </c>
      <c r="C486" s="1" t="s">
        <v>358</v>
      </c>
      <c r="D486">
        <v>2.875</v>
      </c>
      <c r="E486" s="2">
        <v>53189</v>
      </c>
      <c r="F486" s="1" t="s">
        <v>16</v>
      </c>
      <c r="G486" s="1" t="s">
        <v>358</v>
      </c>
      <c r="H486" s="1" t="s">
        <v>2</v>
      </c>
      <c r="I486" s="2">
        <v>46177</v>
      </c>
      <c r="J486" s="1" t="s">
        <v>17</v>
      </c>
      <c r="K486" s="1" t="s">
        <v>3034</v>
      </c>
      <c r="L486" s="2">
        <v>46177.92087962963</v>
      </c>
      <c r="M486" s="2">
        <v>46177.921329212964</v>
      </c>
    </row>
    <row r="487" spans="1:13" x14ac:dyDescent="0.35">
      <c r="A487" s="1" t="s">
        <v>357</v>
      </c>
      <c r="B487" s="1" t="s">
        <v>13</v>
      </c>
      <c r="C487" s="1" t="s">
        <v>358</v>
      </c>
      <c r="D487">
        <v>2.875</v>
      </c>
      <c r="E487" s="2">
        <v>53189</v>
      </c>
      <c r="F487" s="1" t="s">
        <v>16</v>
      </c>
      <c r="G487" s="1" t="s">
        <v>358</v>
      </c>
      <c r="H487" s="1" t="s">
        <v>2</v>
      </c>
      <c r="I487" s="2">
        <v>46177</v>
      </c>
      <c r="J487" s="1" t="s">
        <v>18</v>
      </c>
      <c r="K487" s="1" t="s">
        <v>3041</v>
      </c>
      <c r="L487" s="2">
        <v>46177.92087962963</v>
      </c>
      <c r="M487" s="2">
        <v>46177.921329212964</v>
      </c>
    </row>
    <row r="488" spans="1:13" x14ac:dyDescent="0.35">
      <c r="A488" s="1" t="s">
        <v>359</v>
      </c>
      <c r="B488" s="1" t="s">
        <v>13</v>
      </c>
      <c r="C488" s="1" t="s">
        <v>360</v>
      </c>
      <c r="D488">
        <v>3</v>
      </c>
      <c r="E488" s="2">
        <v>53281</v>
      </c>
      <c r="F488" s="1" t="s">
        <v>16</v>
      </c>
      <c r="G488" s="1" t="s">
        <v>360</v>
      </c>
      <c r="H488" s="1" t="s">
        <v>2</v>
      </c>
      <c r="I488" s="2">
        <v>46177</v>
      </c>
      <c r="J488" s="1" t="s">
        <v>17</v>
      </c>
      <c r="K488" s="1" t="s">
        <v>2348</v>
      </c>
      <c r="L488" s="2">
        <v>46177.92087962963</v>
      </c>
      <c r="M488" s="2">
        <v>46177.921329212964</v>
      </c>
    </row>
    <row r="489" spans="1:13" x14ac:dyDescent="0.35">
      <c r="A489" s="1" t="s">
        <v>359</v>
      </c>
      <c r="B489" s="1" t="s">
        <v>13</v>
      </c>
      <c r="C489" s="1" t="s">
        <v>360</v>
      </c>
      <c r="D489">
        <v>3</v>
      </c>
      <c r="E489" s="2">
        <v>53281</v>
      </c>
      <c r="F489" s="1" t="s">
        <v>16</v>
      </c>
      <c r="G489" s="1" t="s">
        <v>360</v>
      </c>
      <c r="H489" s="1" t="s">
        <v>2</v>
      </c>
      <c r="I489" s="2">
        <v>46177</v>
      </c>
      <c r="J489" s="1" t="s">
        <v>18</v>
      </c>
      <c r="K489" s="1" t="s">
        <v>4519</v>
      </c>
      <c r="L489" s="2">
        <v>46177.92087962963</v>
      </c>
      <c r="M489" s="2">
        <v>46177.921329212964</v>
      </c>
    </row>
    <row r="490" spans="1:13" x14ac:dyDescent="0.35">
      <c r="A490" s="1" t="s">
        <v>361</v>
      </c>
      <c r="B490" s="1" t="s">
        <v>13</v>
      </c>
      <c r="C490" s="1" t="s">
        <v>362</v>
      </c>
      <c r="D490">
        <v>2.5</v>
      </c>
      <c r="E490" s="2">
        <v>53373</v>
      </c>
      <c r="F490" s="1" t="s">
        <v>16</v>
      </c>
      <c r="G490" s="1" t="s">
        <v>362</v>
      </c>
      <c r="H490" s="1" t="s">
        <v>2</v>
      </c>
      <c r="I490" s="2">
        <v>46177</v>
      </c>
      <c r="J490" s="1" t="s">
        <v>18</v>
      </c>
      <c r="K490" s="1" t="s">
        <v>4533</v>
      </c>
      <c r="L490" s="2">
        <v>46177.92087962963</v>
      </c>
      <c r="M490" s="2">
        <v>46177.921329212964</v>
      </c>
    </row>
    <row r="491" spans="1:13" x14ac:dyDescent="0.35">
      <c r="A491" s="1" t="s">
        <v>361</v>
      </c>
      <c r="B491" s="1" t="s">
        <v>13</v>
      </c>
      <c r="C491" s="1" t="s">
        <v>362</v>
      </c>
      <c r="D491">
        <v>2.5</v>
      </c>
      <c r="E491" s="2">
        <v>53373</v>
      </c>
      <c r="F491" s="1" t="s">
        <v>16</v>
      </c>
      <c r="G491" s="1" t="s">
        <v>362</v>
      </c>
      <c r="H491" s="1" t="s">
        <v>2</v>
      </c>
      <c r="I491" s="2">
        <v>46177</v>
      </c>
      <c r="J491" s="1" t="s">
        <v>17</v>
      </c>
      <c r="K491" s="1" t="s">
        <v>3001</v>
      </c>
      <c r="L491" s="2">
        <v>46177.92087962963</v>
      </c>
      <c r="M491" s="2">
        <v>46177.921329212964</v>
      </c>
    </row>
    <row r="492" spans="1:13" x14ac:dyDescent="0.35">
      <c r="A492" s="1" t="s">
        <v>192</v>
      </c>
      <c r="B492" s="1" t="s">
        <v>13</v>
      </c>
      <c r="C492" s="1" t="s">
        <v>193</v>
      </c>
      <c r="D492">
        <v>1</v>
      </c>
      <c r="E492" s="2">
        <v>53373</v>
      </c>
      <c r="F492" s="1" t="s">
        <v>64</v>
      </c>
      <c r="G492" s="1" t="s">
        <v>193</v>
      </c>
      <c r="H492" s="1" t="s">
        <v>2</v>
      </c>
      <c r="I492" s="2">
        <v>46177</v>
      </c>
      <c r="J492" s="1" t="s">
        <v>18</v>
      </c>
      <c r="K492" s="1" t="s">
        <v>2643</v>
      </c>
      <c r="L492" s="2">
        <v>46177.92087962963</v>
      </c>
      <c r="M492" s="2">
        <v>46177.921329212964</v>
      </c>
    </row>
    <row r="493" spans="1:13" x14ac:dyDescent="0.35">
      <c r="A493" s="1" t="s">
        <v>192</v>
      </c>
      <c r="B493" s="1" t="s">
        <v>13</v>
      </c>
      <c r="C493" s="1" t="s">
        <v>193</v>
      </c>
      <c r="D493">
        <v>1</v>
      </c>
      <c r="E493" s="2">
        <v>53373</v>
      </c>
      <c r="F493" s="1" t="s">
        <v>64</v>
      </c>
      <c r="G493" s="1" t="s">
        <v>193</v>
      </c>
      <c r="H493" s="1" t="s">
        <v>2</v>
      </c>
      <c r="I493" s="2">
        <v>46177</v>
      </c>
      <c r="J493" s="1" t="s">
        <v>17</v>
      </c>
      <c r="K493" s="1" t="s">
        <v>4539</v>
      </c>
      <c r="L493" s="2">
        <v>46177.92087962963</v>
      </c>
      <c r="M493" s="2">
        <v>46177.921329212964</v>
      </c>
    </row>
    <row r="494" spans="1:13" x14ac:dyDescent="0.35">
      <c r="A494" s="1" t="s">
        <v>194</v>
      </c>
      <c r="B494" s="1" t="s">
        <v>13</v>
      </c>
      <c r="C494" s="1" t="s">
        <v>195</v>
      </c>
      <c r="D494">
        <v>2.5</v>
      </c>
      <c r="E494" s="2">
        <v>53462</v>
      </c>
      <c r="F494" s="1" t="s">
        <v>16</v>
      </c>
      <c r="G494" s="1" t="s">
        <v>195</v>
      </c>
      <c r="H494" s="1" t="s">
        <v>2</v>
      </c>
      <c r="I494" s="2">
        <v>46177</v>
      </c>
      <c r="J494" s="1" t="s">
        <v>18</v>
      </c>
      <c r="K494" s="1" t="s">
        <v>4534</v>
      </c>
      <c r="L494" s="2">
        <v>46177.92087962963</v>
      </c>
      <c r="M494" s="2">
        <v>46177.921329212964</v>
      </c>
    </row>
    <row r="495" spans="1:13" x14ac:dyDescent="0.35">
      <c r="A495" s="1" t="s">
        <v>194</v>
      </c>
      <c r="B495" s="1" t="s">
        <v>13</v>
      </c>
      <c r="C495" s="1" t="s">
        <v>195</v>
      </c>
      <c r="D495">
        <v>2.5</v>
      </c>
      <c r="E495" s="2">
        <v>53462</v>
      </c>
      <c r="F495" s="1" t="s">
        <v>16</v>
      </c>
      <c r="G495" s="1" t="s">
        <v>195</v>
      </c>
      <c r="H495" s="1" t="s">
        <v>2</v>
      </c>
      <c r="I495" s="2">
        <v>46177</v>
      </c>
      <c r="J495" s="1" t="s">
        <v>17</v>
      </c>
      <c r="K495" s="1" t="s">
        <v>4554</v>
      </c>
      <c r="L495" s="2">
        <v>46177.92087962963</v>
      </c>
      <c r="M495" s="2">
        <v>46177.921329212964</v>
      </c>
    </row>
    <row r="496" spans="1:13" x14ac:dyDescent="0.35">
      <c r="A496" s="1" t="s">
        <v>283</v>
      </c>
      <c r="B496" s="1" t="s">
        <v>13</v>
      </c>
      <c r="C496" s="1" t="s">
        <v>284</v>
      </c>
      <c r="D496">
        <v>2.25</v>
      </c>
      <c r="E496" s="2">
        <v>53554</v>
      </c>
      <c r="F496" s="1" t="s">
        <v>16</v>
      </c>
      <c r="G496" s="1" t="s">
        <v>284</v>
      </c>
      <c r="H496" s="1" t="s">
        <v>2</v>
      </c>
      <c r="I496" s="2">
        <v>46177</v>
      </c>
      <c r="J496" s="1" t="s">
        <v>18</v>
      </c>
      <c r="K496" s="1" t="s">
        <v>3015</v>
      </c>
      <c r="L496" s="2">
        <v>46177.92087962963</v>
      </c>
      <c r="M496" s="2">
        <v>46177.921329212964</v>
      </c>
    </row>
    <row r="497" spans="1:13" x14ac:dyDescent="0.35">
      <c r="A497" s="1" t="s">
        <v>283</v>
      </c>
      <c r="B497" s="1" t="s">
        <v>13</v>
      </c>
      <c r="C497" s="1" t="s">
        <v>284</v>
      </c>
      <c r="D497">
        <v>2.25</v>
      </c>
      <c r="E497" s="2">
        <v>53554</v>
      </c>
      <c r="F497" s="1" t="s">
        <v>16</v>
      </c>
      <c r="G497" s="1" t="s">
        <v>284</v>
      </c>
      <c r="H497" s="1" t="s">
        <v>2</v>
      </c>
      <c r="I497" s="2">
        <v>46177</v>
      </c>
      <c r="J497" s="1" t="s">
        <v>17</v>
      </c>
      <c r="K497" s="1" t="s">
        <v>4535</v>
      </c>
      <c r="L497" s="2">
        <v>46177.92087962963</v>
      </c>
      <c r="M497" s="2">
        <v>46177.921329212964</v>
      </c>
    </row>
    <row r="498" spans="1:13" x14ac:dyDescent="0.35">
      <c r="A498" s="1" t="s">
        <v>363</v>
      </c>
      <c r="B498" s="1" t="s">
        <v>13</v>
      </c>
      <c r="C498" s="1" t="s">
        <v>364</v>
      </c>
      <c r="D498">
        <v>2.875</v>
      </c>
      <c r="E498" s="2">
        <v>53646</v>
      </c>
      <c r="F498" s="1" t="s">
        <v>16</v>
      </c>
      <c r="G498" s="1" t="s">
        <v>364</v>
      </c>
      <c r="H498" s="1" t="s">
        <v>2</v>
      </c>
      <c r="I498" s="2">
        <v>46177</v>
      </c>
      <c r="J498" s="1" t="s">
        <v>18</v>
      </c>
      <c r="K498" s="1" t="s">
        <v>2321</v>
      </c>
      <c r="L498" s="2">
        <v>46177.92087962963</v>
      </c>
      <c r="M498" s="2">
        <v>46177.921329212964</v>
      </c>
    </row>
    <row r="499" spans="1:13" x14ac:dyDescent="0.35">
      <c r="A499" s="1" t="s">
        <v>363</v>
      </c>
      <c r="B499" s="1" t="s">
        <v>13</v>
      </c>
      <c r="C499" s="1" t="s">
        <v>364</v>
      </c>
      <c r="D499">
        <v>2.875</v>
      </c>
      <c r="E499" s="2">
        <v>53646</v>
      </c>
      <c r="F499" s="1" t="s">
        <v>16</v>
      </c>
      <c r="G499" s="1" t="s">
        <v>364</v>
      </c>
      <c r="H499" s="1" t="s">
        <v>2</v>
      </c>
      <c r="I499" s="2">
        <v>46177</v>
      </c>
      <c r="J499" s="1" t="s">
        <v>17</v>
      </c>
      <c r="K499" s="1" t="s">
        <v>2367</v>
      </c>
      <c r="L499" s="2">
        <v>46177.92087962963</v>
      </c>
      <c r="M499" s="2">
        <v>46177.921329212964</v>
      </c>
    </row>
    <row r="500" spans="1:13" x14ac:dyDescent="0.35">
      <c r="A500" s="1" t="s">
        <v>445</v>
      </c>
      <c r="B500" s="1" t="s">
        <v>13</v>
      </c>
      <c r="C500" s="1" t="s">
        <v>446</v>
      </c>
      <c r="D500">
        <v>3</v>
      </c>
      <c r="E500" s="2">
        <v>53738</v>
      </c>
      <c r="F500" s="1" t="s">
        <v>16</v>
      </c>
      <c r="G500" s="1" t="s">
        <v>446</v>
      </c>
      <c r="H500" s="1" t="s">
        <v>2</v>
      </c>
      <c r="I500" s="2">
        <v>46177</v>
      </c>
      <c r="J500" s="1" t="s">
        <v>18</v>
      </c>
      <c r="K500" s="1" t="s">
        <v>2652</v>
      </c>
      <c r="L500" s="2">
        <v>46177.92087962963</v>
      </c>
      <c r="M500" s="2">
        <v>46177.921329212964</v>
      </c>
    </row>
    <row r="501" spans="1:13" x14ac:dyDescent="0.35">
      <c r="A501" s="1" t="s">
        <v>445</v>
      </c>
      <c r="B501" s="1" t="s">
        <v>13</v>
      </c>
      <c r="C501" s="1" t="s">
        <v>446</v>
      </c>
      <c r="D501">
        <v>3</v>
      </c>
      <c r="E501" s="2">
        <v>53738</v>
      </c>
      <c r="F501" s="1" t="s">
        <v>16</v>
      </c>
      <c r="G501" s="1" t="s">
        <v>446</v>
      </c>
      <c r="H501" s="1" t="s">
        <v>2</v>
      </c>
      <c r="I501" s="2">
        <v>46177</v>
      </c>
      <c r="J501" s="1" t="s">
        <v>17</v>
      </c>
      <c r="K501" s="1" t="s">
        <v>3023</v>
      </c>
      <c r="L501" s="2">
        <v>46177.92087962963</v>
      </c>
      <c r="M501" s="2">
        <v>46177.921329212964</v>
      </c>
    </row>
    <row r="502" spans="1:13" x14ac:dyDescent="0.35">
      <c r="A502" s="1" t="s">
        <v>447</v>
      </c>
      <c r="B502" s="1" t="s">
        <v>13</v>
      </c>
      <c r="C502" s="1" t="s">
        <v>448</v>
      </c>
      <c r="D502">
        <v>0.875</v>
      </c>
      <c r="E502" s="2">
        <v>53738</v>
      </c>
      <c r="F502" s="1" t="s">
        <v>64</v>
      </c>
      <c r="G502" s="1" t="s">
        <v>448</v>
      </c>
      <c r="H502" s="1" t="s">
        <v>2</v>
      </c>
      <c r="I502" s="2">
        <v>46177</v>
      </c>
      <c r="J502" s="1" t="s">
        <v>17</v>
      </c>
      <c r="K502" s="1" t="s">
        <v>3012</v>
      </c>
      <c r="L502" s="2">
        <v>46177.92087962963</v>
      </c>
      <c r="M502" s="2">
        <v>46177.921329212964</v>
      </c>
    </row>
    <row r="503" spans="1:13" x14ac:dyDescent="0.35">
      <c r="A503" s="1" t="s">
        <v>447</v>
      </c>
      <c r="B503" s="1" t="s">
        <v>13</v>
      </c>
      <c r="C503" s="1" t="s">
        <v>448</v>
      </c>
      <c r="D503">
        <v>0.875</v>
      </c>
      <c r="E503" s="2">
        <v>53738</v>
      </c>
      <c r="F503" s="1" t="s">
        <v>64</v>
      </c>
      <c r="G503" s="1" t="s">
        <v>448</v>
      </c>
      <c r="H503" s="1" t="s">
        <v>2</v>
      </c>
      <c r="I503" s="2">
        <v>46177</v>
      </c>
      <c r="J503" s="1" t="s">
        <v>18</v>
      </c>
      <c r="K503" s="1" t="s">
        <v>4486</v>
      </c>
      <c r="L503" s="2">
        <v>46177.92087962963</v>
      </c>
      <c r="M503" s="2">
        <v>46177.921329212964</v>
      </c>
    </row>
    <row r="504" spans="1:13" x14ac:dyDescent="0.35">
      <c r="A504" s="1" t="s">
        <v>365</v>
      </c>
      <c r="B504" s="1" t="s">
        <v>13</v>
      </c>
      <c r="C504" s="1" t="s">
        <v>366</v>
      </c>
      <c r="D504">
        <v>3</v>
      </c>
      <c r="E504" s="2">
        <v>53827</v>
      </c>
      <c r="F504" s="1" t="s">
        <v>16</v>
      </c>
      <c r="G504" s="1" t="s">
        <v>366</v>
      </c>
      <c r="H504" s="1" t="s">
        <v>2</v>
      </c>
      <c r="I504" s="2">
        <v>46177</v>
      </c>
      <c r="J504" s="1" t="s">
        <v>18</v>
      </c>
      <c r="K504" s="1" t="s">
        <v>2330</v>
      </c>
      <c r="L504" s="2">
        <v>46177.92087962963</v>
      </c>
      <c r="M504" s="2">
        <v>46177.921329212964</v>
      </c>
    </row>
    <row r="505" spans="1:13" x14ac:dyDescent="0.35">
      <c r="A505" s="1" t="s">
        <v>365</v>
      </c>
      <c r="B505" s="1" t="s">
        <v>13</v>
      </c>
      <c r="C505" s="1" t="s">
        <v>366</v>
      </c>
      <c r="D505">
        <v>3</v>
      </c>
      <c r="E505" s="2">
        <v>53827</v>
      </c>
      <c r="F505" s="1" t="s">
        <v>16</v>
      </c>
      <c r="G505" s="1" t="s">
        <v>366</v>
      </c>
      <c r="H505" s="1" t="s">
        <v>2</v>
      </c>
      <c r="I505" s="2">
        <v>46177</v>
      </c>
      <c r="J505" s="1" t="s">
        <v>17</v>
      </c>
      <c r="K505" s="1" t="s">
        <v>3034</v>
      </c>
      <c r="L505" s="2">
        <v>46177.92087962963</v>
      </c>
      <c r="M505" s="2">
        <v>46177.921329212964</v>
      </c>
    </row>
    <row r="506" spans="1:13" x14ac:dyDescent="0.35">
      <c r="A506" s="1" t="s">
        <v>449</v>
      </c>
      <c r="B506" s="1" t="s">
        <v>13</v>
      </c>
      <c r="C506" s="1" t="s">
        <v>450</v>
      </c>
      <c r="D506">
        <v>2.75</v>
      </c>
      <c r="E506" s="2">
        <v>53919</v>
      </c>
      <c r="F506" s="1" t="s">
        <v>16</v>
      </c>
      <c r="G506" s="1" t="s">
        <v>450</v>
      </c>
      <c r="H506" s="1" t="s">
        <v>2</v>
      </c>
      <c r="I506" s="2">
        <v>46177</v>
      </c>
      <c r="J506" s="1" t="s">
        <v>17</v>
      </c>
      <c r="K506" s="1" t="s">
        <v>2999</v>
      </c>
      <c r="L506" s="2">
        <v>46177.92087962963</v>
      </c>
      <c r="M506" s="2">
        <v>46177.921329212964</v>
      </c>
    </row>
    <row r="507" spans="1:13" x14ac:dyDescent="0.35">
      <c r="A507" s="1" t="s">
        <v>449</v>
      </c>
      <c r="B507" s="1" t="s">
        <v>13</v>
      </c>
      <c r="C507" s="1" t="s">
        <v>450</v>
      </c>
      <c r="D507">
        <v>2.75</v>
      </c>
      <c r="E507" s="2">
        <v>53919</v>
      </c>
      <c r="F507" s="1" t="s">
        <v>16</v>
      </c>
      <c r="G507" s="1" t="s">
        <v>450</v>
      </c>
      <c r="H507" s="1" t="s">
        <v>2</v>
      </c>
      <c r="I507" s="2">
        <v>46177</v>
      </c>
      <c r="J507" s="1" t="s">
        <v>18</v>
      </c>
      <c r="K507" s="1" t="s">
        <v>2647</v>
      </c>
      <c r="L507" s="2">
        <v>46177.92087962963</v>
      </c>
      <c r="M507" s="2">
        <v>46177.921329212964</v>
      </c>
    </row>
    <row r="508" spans="1:13" x14ac:dyDescent="0.35">
      <c r="A508" s="1" t="s">
        <v>420</v>
      </c>
      <c r="B508" s="1" t="s">
        <v>13</v>
      </c>
      <c r="C508" s="1" t="s">
        <v>421</v>
      </c>
      <c r="D508">
        <v>2.75</v>
      </c>
      <c r="E508" s="2">
        <v>54011</v>
      </c>
      <c r="F508" s="1" t="s">
        <v>16</v>
      </c>
      <c r="G508" s="1" t="s">
        <v>421</v>
      </c>
      <c r="H508" s="1" t="s">
        <v>2</v>
      </c>
      <c r="I508" s="2">
        <v>46177</v>
      </c>
      <c r="J508" s="1" t="s">
        <v>18</v>
      </c>
      <c r="K508" s="1" t="s">
        <v>4520</v>
      </c>
      <c r="L508" s="2">
        <v>46177.92087962963</v>
      </c>
      <c r="M508" s="2">
        <v>46177.921329212964</v>
      </c>
    </row>
    <row r="509" spans="1:13" x14ac:dyDescent="0.35">
      <c r="A509" s="1" t="s">
        <v>420</v>
      </c>
      <c r="B509" s="1" t="s">
        <v>13</v>
      </c>
      <c r="C509" s="1" t="s">
        <v>421</v>
      </c>
      <c r="D509">
        <v>2.75</v>
      </c>
      <c r="E509" s="2">
        <v>54011</v>
      </c>
      <c r="F509" s="1" t="s">
        <v>16</v>
      </c>
      <c r="G509" s="1" t="s">
        <v>421</v>
      </c>
      <c r="H509" s="1" t="s">
        <v>2</v>
      </c>
      <c r="I509" s="2">
        <v>46177</v>
      </c>
      <c r="J509" s="1" t="s">
        <v>17</v>
      </c>
      <c r="K509" s="1" t="s">
        <v>2899</v>
      </c>
      <c r="L509" s="2">
        <v>46177.92087962963</v>
      </c>
      <c r="M509" s="2">
        <v>46177.921329212964</v>
      </c>
    </row>
    <row r="510" spans="1:13" x14ac:dyDescent="0.35">
      <c r="A510" s="1" t="s">
        <v>327</v>
      </c>
      <c r="B510" s="1" t="s">
        <v>13</v>
      </c>
      <c r="C510" s="1" t="s">
        <v>328</v>
      </c>
      <c r="D510">
        <v>3</v>
      </c>
      <c r="E510" s="2">
        <v>54103</v>
      </c>
      <c r="F510" s="1" t="s">
        <v>16</v>
      </c>
      <c r="G510" s="1" t="s">
        <v>328</v>
      </c>
      <c r="H510" s="1" t="s">
        <v>2</v>
      </c>
      <c r="I510" s="2">
        <v>46177</v>
      </c>
      <c r="J510" s="1" t="s">
        <v>18</v>
      </c>
      <c r="K510" s="1" t="s">
        <v>3007</v>
      </c>
      <c r="L510" s="2">
        <v>46177.92087962963</v>
      </c>
      <c r="M510" s="2">
        <v>46177.921329212964</v>
      </c>
    </row>
    <row r="511" spans="1:13" x14ac:dyDescent="0.35">
      <c r="A511" s="1" t="s">
        <v>327</v>
      </c>
      <c r="B511" s="1" t="s">
        <v>13</v>
      </c>
      <c r="C511" s="1" t="s">
        <v>328</v>
      </c>
      <c r="D511">
        <v>3</v>
      </c>
      <c r="E511" s="2">
        <v>54103</v>
      </c>
      <c r="F511" s="1" t="s">
        <v>16</v>
      </c>
      <c r="G511" s="1" t="s">
        <v>328</v>
      </c>
      <c r="H511" s="1" t="s">
        <v>2</v>
      </c>
      <c r="I511" s="2">
        <v>46177</v>
      </c>
      <c r="J511" s="1" t="s">
        <v>17</v>
      </c>
      <c r="K511" s="1" t="s">
        <v>2544</v>
      </c>
      <c r="L511" s="2">
        <v>46177.92087962963</v>
      </c>
      <c r="M511" s="2">
        <v>46177.921329212964</v>
      </c>
    </row>
    <row r="512" spans="1:13" x14ac:dyDescent="0.35">
      <c r="A512" s="1" t="s">
        <v>367</v>
      </c>
      <c r="B512" s="1" t="s">
        <v>13</v>
      </c>
      <c r="C512" s="1" t="s">
        <v>368</v>
      </c>
      <c r="D512">
        <v>1</v>
      </c>
      <c r="E512" s="2">
        <v>54103</v>
      </c>
      <c r="F512" s="1" t="s">
        <v>64</v>
      </c>
      <c r="G512" s="1" t="s">
        <v>368</v>
      </c>
      <c r="H512" s="1" t="s">
        <v>2</v>
      </c>
      <c r="I512" s="2">
        <v>46177</v>
      </c>
      <c r="J512" s="1" t="s">
        <v>17</v>
      </c>
      <c r="K512" s="1" t="s">
        <v>4540</v>
      </c>
      <c r="L512" s="2">
        <v>46177.92087962963</v>
      </c>
      <c r="M512" s="2">
        <v>46177.921329212964</v>
      </c>
    </row>
    <row r="513" spans="1:13" x14ac:dyDescent="0.35">
      <c r="A513" s="1" t="s">
        <v>367</v>
      </c>
      <c r="B513" s="1" t="s">
        <v>13</v>
      </c>
      <c r="C513" s="1" t="s">
        <v>368</v>
      </c>
      <c r="D513">
        <v>1</v>
      </c>
      <c r="E513" s="2">
        <v>54103</v>
      </c>
      <c r="F513" s="1" t="s">
        <v>64</v>
      </c>
      <c r="G513" s="1" t="s">
        <v>368</v>
      </c>
      <c r="H513" s="1" t="s">
        <v>2</v>
      </c>
      <c r="I513" s="2">
        <v>46177</v>
      </c>
      <c r="J513" s="1" t="s">
        <v>18</v>
      </c>
      <c r="K513" s="1" t="s">
        <v>2559</v>
      </c>
      <c r="L513" s="2">
        <v>46177.92087962963</v>
      </c>
      <c r="M513" s="2">
        <v>46177.921329212964</v>
      </c>
    </row>
    <row r="514" spans="1:13" x14ac:dyDescent="0.35">
      <c r="A514" s="1" t="s">
        <v>329</v>
      </c>
      <c r="B514" s="1" t="s">
        <v>13</v>
      </c>
      <c r="C514" s="1" t="s">
        <v>330</v>
      </c>
      <c r="D514">
        <v>3.125</v>
      </c>
      <c r="E514" s="2">
        <v>54193</v>
      </c>
      <c r="F514" s="1" t="s">
        <v>16</v>
      </c>
      <c r="G514" s="1" t="s">
        <v>330</v>
      </c>
      <c r="H514" s="1" t="s">
        <v>2</v>
      </c>
      <c r="I514" s="2">
        <v>46177</v>
      </c>
      <c r="J514" s="1" t="s">
        <v>17</v>
      </c>
      <c r="K514" s="1" t="s">
        <v>2384</v>
      </c>
      <c r="L514" s="2">
        <v>46177.92087962963</v>
      </c>
      <c r="M514" s="2">
        <v>46177.921329212964</v>
      </c>
    </row>
    <row r="515" spans="1:13" x14ac:dyDescent="0.35">
      <c r="A515" s="1" t="s">
        <v>329</v>
      </c>
      <c r="B515" s="1" t="s">
        <v>13</v>
      </c>
      <c r="C515" s="1" t="s">
        <v>330</v>
      </c>
      <c r="D515">
        <v>3.125</v>
      </c>
      <c r="E515" s="2">
        <v>54193</v>
      </c>
      <c r="F515" s="1" t="s">
        <v>16</v>
      </c>
      <c r="G515" s="1" t="s">
        <v>330</v>
      </c>
      <c r="H515" s="1" t="s">
        <v>2</v>
      </c>
      <c r="I515" s="2">
        <v>46177</v>
      </c>
      <c r="J515" s="1" t="s">
        <v>18</v>
      </c>
      <c r="K515" s="1" t="s">
        <v>4495</v>
      </c>
      <c r="L515" s="2">
        <v>46177.92087962963</v>
      </c>
      <c r="M515" s="2">
        <v>46177.921329212964</v>
      </c>
    </row>
    <row r="516" spans="1:13" x14ac:dyDescent="0.35">
      <c r="A516" s="1" t="s">
        <v>196</v>
      </c>
      <c r="B516" s="1" t="s">
        <v>13</v>
      </c>
      <c r="C516" s="1" t="s">
        <v>197</v>
      </c>
      <c r="D516">
        <v>3</v>
      </c>
      <c r="E516" s="2">
        <v>54285</v>
      </c>
      <c r="F516" s="1" t="s">
        <v>16</v>
      </c>
      <c r="G516" s="1" t="s">
        <v>197</v>
      </c>
      <c r="H516" s="1" t="s">
        <v>2</v>
      </c>
      <c r="I516" s="2">
        <v>46177</v>
      </c>
      <c r="J516" s="1" t="s">
        <v>17</v>
      </c>
      <c r="K516" s="1" t="s">
        <v>2972</v>
      </c>
      <c r="L516" s="2">
        <v>46177.92087962963</v>
      </c>
      <c r="M516" s="2">
        <v>46177.921329212964</v>
      </c>
    </row>
    <row r="517" spans="1:13" x14ac:dyDescent="0.35">
      <c r="A517" s="1" t="s">
        <v>196</v>
      </c>
      <c r="B517" s="1" t="s">
        <v>13</v>
      </c>
      <c r="C517" s="1" t="s">
        <v>197</v>
      </c>
      <c r="D517">
        <v>3</v>
      </c>
      <c r="E517" s="2">
        <v>54285</v>
      </c>
      <c r="F517" s="1" t="s">
        <v>16</v>
      </c>
      <c r="G517" s="1" t="s">
        <v>197</v>
      </c>
      <c r="H517" s="1" t="s">
        <v>2</v>
      </c>
      <c r="I517" s="2">
        <v>46177</v>
      </c>
      <c r="J517" s="1" t="s">
        <v>18</v>
      </c>
      <c r="K517" s="1" t="s">
        <v>2653</v>
      </c>
      <c r="L517" s="2">
        <v>46177.92087962963</v>
      </c>
      <c r="M517" s="2">
        <v>46177.921329212964</v>
      </c>
    </row>
    <row r="518" spans="1:13" x14ac:dyDescent="0.35">
      <c r="A518" s="1" t="s">
        <v>451</v>
      </c>
      <c r="B518" s="1" t="s">
        <v>13</v>
      </c>
      <c r="C518" s="1" t="s">
        <v>452</v>
      </c>
      <c r="D518">
        <v>3.375</v>
      </c>
      <c r="E518" s="2">
        <v>54377</v>
      </c>
      <c r="F518" s="1" t="s">
        <v>16</v>
      </c>
      <c r="G518" s="1" t="s">
        <v>452</v>
      </c>
      <c r="H518" s="1" t="s">
        <v>2</v>
      </c>
      <c r="I518" s="2">
        <v>46177</v>
      </c>
      <c r="J518" s="1" t="s">
        <v>18</v>
      </c>
      <c r="K518" s="1" t="s">
        <v>2650</v>
      </c>
      <c r="L518" s="2">
        <v>46177.92087962963</v>
      </c>
      <c r="M518" s="2">
        <v>46177.921329212964</v>
      </c>
    </row>
    <row r="519" spans="1:13" x14ac:dyDescent="0.35">
      <c r="A519" s="1" t="s">
        <v>451</v>
      </c>
      <c r="B519" s="1" t="s">
        <v>13</v>
      </c>
      <c r="C519" s="1" t="s">
        <v>452</v>
      </c>
      <c r="D519">
        <v>3.375</v>
      </c>
      <c r="E519" s="2">
        <v>54377</v>
      </c>
      <c r="F519" s="1" t="s">
        <v>16</v>
      </c>
      <c r="G519" s="1" t="s">
        <v>452</v>
      </c>
      <c r="H519" s="1" t="s">
        <v>2</v>
      </c>
      <c r="I519" s="2">
        <v>46177</v>
      </c>
      <c r="J519" s="1" t="s">
        <v>17</v>
      </c>
      <c r="K519" s="1" t="s">
        <v>4555</v>
      </c>
      <c r="L519" s="2">
        <v>46177.92087962963</v>
      </c>
      <c r="M519" s="2">
        <v>46177.921329212964</v>
      </c>
    </row>
    <row r="520" spans="1:13" x14ac:dyDescent="0.35">
      <c r="A520" s="1" t="s">
        <v>331</v>
      </c>
      <c r="B520" s="1" t="s">
        <v>13</v>
      </c>
      <c r="C520" s="1" t="s">
        <v>332</v>
      </c>
      <c r="D520">
        <v>3</v>
      </c>
      <c r="E520" s="2">
        <v>54469</v>
      </c>
      <c r="F520" s="1" t="s">
        <v>16</v>
      </c>
      <c r="G520" s="1" t="s">
        <v>332</v>
      </c>
      <c r="H520" s="1" t="s">
        <v>2</v>
      </c>
      <c r="I520" s="2">
        <v>46177</v>
      </c>
      <c r="J520" s="1" t="s">
        <v>18</v>
      </c>
      <c r="K520" s="1" t="s">
        <v>2342</v>
      </c>
      <c r="L520" s="2">
        <v>46177.92087962963</v>
      </c>
      <c r="M520" s="2">
        <v>46177.921329212964</v>
      </c>
    </row>
    <row r="521" spans="1:13" x14ac:dyDescent="0.35">
      <c r="A521" s="1" t="s">
        <v>331</v>
      </c>
      <c r="B521" s="1" t="s">
        <v>13</v>
      </c>
      <c r="C521" s="1" t="s">
        <v>332</v>
      </c>
      <c r="D521">
        <v>3</v>
      </c>
      <c r="E521" s="2">
        <v>54469</v>
      </c>
      <c r="F521" s="1" t="s">
        <v>16</v>
      </c>
      <c r="G521" s="1" t="s">
        <v>332</v>
      </c>
      <c r="H521" s="1" t="s">
        <v>2</v>
      </c>
      <c r="I521" s="2">
        <v>46177</v>
      </c>
      <c r="J521" s="1" t="s">
        <v>17</v>
      </c>
      <c r="K521" s="1" t="s">
        <v>2649</v>
      </c>
      <c r="L521" s="2">
        <v>46177.92087962963</v>
      </c>
      <c r="M521" s="2">
        <v>46177.921329212964</v>
      </c>
    </row>
    <row r="522" spans="1:13" x14ac:dyDescent="0.35">
      <c r="A522" s="1" t="s">
        <v>369</v>
      </c>
      <c r="B522" s="1" t="s">
        <v>13</v>
      </c>
      <c r="C522" s="1" t="s">
        <v>370</v>
      </c>
      <c r="D522">
        <v>1</v>
      </c>
      <c r="E522" s="2">
        <v>54469</v>
      </c>
      <c r="F522" s="1" t="s">
        <v>64</v>
      </c>
      <c r="G522" s="1" t="s">
        <v>370</v>
      </c>
      <c r="H522" s="1" t="s">
        <v>2</v>
      </c>
      <c r="I522" s="2">
        <v>46177</v>
      </c>
      <c r="J522" s="1" t="s">
        <v>18</v>
      </c>
      <c r="K522" s="1" t="s">
        <v>4487</v>
      </c>
      <c r="L522" s="2">
        <v>46177.92087962963</v>
      </c>
      <c r="M522" s="2">
        <v>46177.921329212964</v>
      </c>
    </row>
    <row r="523" spans="1:13" x14ac:dyDescent="0.35">
      <c r="A523" s="1" t="s">
        <v>369</v>
      </c>
      <c r="B523" s="1" t="s">
        <v>13</v>
      </c>
      <c r="C523" s="1" t="s">
        <v>370</v>
      </c>
      <c r="D523">
        <v>1</v>
      </c>
      <c r="E523" s="2">
        <v>54469</v>
      </c>
      <c r="F523" s="1" t="s">
        <v>64</v>
      </c>
      <c r="G523" s="1" t="s">
        <v>370</v>
      </c>
      <c r="H523" s="1" t="s">
        <v>2</v>
      </c>
      <c r="I523" s="2">
        <v>46177</v>
      </c>
      <c r="J523" s="1" t="s">
        <v>17</v>
      </c>
      <c r="K523" s="1" t="s">
        <v>3008</v>
      </c>
      <c r="L523" s="2">
        <v>46177.92087962963</v>
      </c>
      <c r="M523" s="2">
        <v>46177.921329212964</v>
      </c>
    </row>
    <row r="524" spans="1:13" x14ac:dyDescent="0.35">
      <c r="A524" s="1" t="s">
        <v>285</v>
      </c>
      <c r="B524" s="1" t="s">
        <v>13</v>
      </c>
      <c r="C524" s="1" t="s">
        <v>286</v>
      </c>
      <c r="D524">
        <v>2.875</v>
      </c>
      <c r="E524" s="2">
        <v>54558</v>
      </c>
      <c r="F524" s="1" t="s">
        <v>16</v>
      </c>
      <c r="G524" s="1" t="s">
        <v>286</v>
      </c>
      <c r="H524" s="1" t="s">
        <v>2</v>
      </c>
      <c r="I524" s="2">
        <v>46177</v>
      </c>
      <c r="J524" s="1" t="s">
        <v>17</v>
      </c>
      <c r="K524" s="1" t="s">
        <v>3037</v>
      </c>
      <c r="L524" s="2">
        <v>46177.92087962963</v>
      </c>
      <c r="M524" s="2">
        <v>46177.921329212964</v>
      </c>
    </row>
    <row r="525" spans="1:13" x14ac:dyDescent="0.35">
      <c r="A525" s="1" t="s">
        <v>285</v>
      </c>
      <c r="B525" s="1" t="s">
        <v>13</v>
      </c>
      <c r="C525" s="1" t="s">
        <v>286</v>
      </c>
      <c r="D525">
        <v>2.875</v>
      </c>
      <c r="E525" s="2">
        <v>54558</v>
      </c>
      <c r="F525" s="1" t="s">
        <v>16</v>
      </c>
      <c r="G525" s="1" t="s">
        <v>286</v>
      </c>
      <c r="H525" s="1" t="s">
        <v>2</v>
      </c>
      <c r="I525" s="2">
        <v>46177</v>
      </c>
      <c r="J525" s="1" t="s">
        <v>18</v>
      </c>
      <c r="K525" s="1" t="s">
        <v>4556</v>
      </c>
      <c r="L525" s="2">
        <v>46177.92087962963</v>
      </c>
      <c r="M525" s="2">
        <v>46177.921329212964</v>
      </c>
    </row>
    <row r="526" spans="1:13" x14ac:dyDescent="0.35">
      <c r="A526" s="1" t="s">
        <v>287</v>
      </c>
      <c r="B526" s="1" t="s">
        <v>13</v>
      </c>
      <c r="C526" s="1" t="s">
        <v>288</v>
      </c>
      <c r="D526">
        <v>2.25</v>
      </c>
      <c r="E526" s="2">
        <v>54650</v>
      </c>
      <c r="F526" s="1" t="s">
        <v>16</v>
      </c>
      <c r="G526" s="1" t="s">
        <v>288</v>
      </c>
      <c r="H526" s="1" t="s">
        <v>2</v>
      </c>
      <c r="I526" s="2">
        <v>46177</v>
      </c>
      <c r="J526" s="1" t="s">
        <v>17</v>
      </c>
      <c r="K526" s="1" t="s">
        <v>4521</v>
      </c>
      <c r="L526" s="2">
        <v>46177.92087962963</v>
      </c>
      <c r="M526" s="2">
        <v>46177.921329212964</v>
      </c>
    </row>
    <row r="527" spans="1:13" x14ac:dyDescent="0.35">
      <c r="A527" s="1" t="s">
        <v>287</v>
      </c>
      <c r="B527" s="1" t="s">
        <v>13</v>
      </c>
      <c r="C527" s="1" t="s">
        <v>288</v>
      </c>
      <c r="D527">
        <v>2.25</v>
      </c>
      <c r="E527" s="2">
        <v>54650</v>
      </c>
      <c r="F527" s="1" t="s">
        <v>16</v>
      </c>
      <c r="G527" s="1" t="s">
        <v>288</v>
      </c>
      <c r="H527" s="1" t="s">
        <v>2</v>
      </c>
      <c r="I527" s="2">
        <v>46177</v>
      </c>
      <c r="J527" s="1" t="s">
        <v>18</v>
      </c>
      <c r="K527" s="1" t="s">
        <v>4541</v>
      </c>
      <c r="L527" s="2">
        <v>46177.92087962963</v>
      </c>
      <c r="M527" s="2">
        <v>46177.921329212964</v>
      </c>
    </row>
    <row r="528" spans="1:13" x14ac:dyDescent="0.35">
      <c r="A528" s="1" t="s">
        <v>198</v>
      </c>
      <c r="B528" s="1" t="s">
        <v>13</v>
      </c>
      <c r="C528" s="1" t="s">
        <v>199</v>
      </c>
      <c r="D528">
        <v>2.375</v>
      </c>
      <c r="E528" s="2">
        <v>54742</v>
      </c>
      <c r="F528" s="1" t="s">
        <v>16</v>
      </c>
      <c r="G528" s="1" t="s">
        <v>199</v>
      </c>
      <c r="H528" s="1" t="s">
        <v>2</v>
      </c>
      <c r="I528" s="2">
        <v>46177</v>
      </c>
      <c r="J528" s="1" t="s">
        <v>17</v>
      </c>
      <c r="K528" s="1" t="s">
        <v>2982</v>
      </c>
      <c r="L528" s="2">
        <v>46177.92087962963</v>
      </c>
      <c r="M528" s="2">
        <v>46177.921329212964</v>
      </c>
    </row>
    <row r="529" spans="1:13" x14ac:dyDescent="0.35">
      <c r="A529" s="1" t="s">
        <v>198</v>
      </c>
      <c r="B529" s="1" t="s">
        <v>13</v>
      </c>
      <c r="C529" s="1" t="s">
        <v>199</v>
      </c>
      <c r="D529">
        <v>2.375</v>
      </c>
      <c r="E529" s="2">
        <v>54742</v>
      </c>
      <c r="F529" s="1" t="s">
        <v>16</v>
      </c>
      <c r="G529" s="1" t="s">
        <v>199</v>
      </c>
      <c r="H529" s="1" t="s">
        <v>2</v>
      </c>
      <c r="I529" s="2">
        <v>46177</v>
      </c>
      <c r="J529" s="1" t="s">
        <v>18</v>
      </c>
      <c r="K529" s="1" t="s">
        <v>4511</v>
      </c>
      <c r="L529" s="2">
        <v>46177.92087962963</v>
      </c>
      <c r="M529" s="2">
        <v>46177.921329212964</v>
      </c>
    </row>
    <row r="530" spans="1:13" x14ac:dyDescent="0.35">
      <c r="A530" s="1" t="s">
        <v>333</v>
      </c>
      <c r="B530" s="1" t="s">
        <v>13</v>
      </c>
      <c r="C530" s="1" t="s">
        <v>334</v>
      </c>
      <c r="D530">
        <v>2</v>
      </c>
      <c r="E530" s="2">
        <v>54834</v>
      </c>
      <c r="F530" s="1" t="s">
        <v>16</v>
      </c>
      <c r="G530" s="1" t="s">
        <v>334</v>
      </c>
      <c r="H530" s="1" t="s">
        <v>2</v>
      </c>
      <c r="I530" s="2">
        <v>46177</v>
      </c>
      <c r="J530" s="1" t="s">
        <v>18</v>
      </c>
      <c r="K530" s="1" t="s">
        <v>4512</v>
      </c>
      <c r="L530" s="2">
        <v>46177.92087962963</v>
      </c>
      <c r="M530" s="2">
        <v>46177.921329212964</v>
      </c>
    </row>
    <row r="531" spans="1:13" x14ac:dyDescent="0.35">
      <c r="A531" s="1" t="s">
        <v>333</v>
      </c>
      <c r="B531" s="1" t="s">
        <v>13</v>
      </c>
      <c r="C531" s="1" t="s">
        <v>334</v>
      </c>
      <c r="D531">
        <v>2</v>
      </c>
      <c r="E531" s="2">
        <v>54834</v>
      </c>
      <c r="F531" s="1" t="s">
        <v>16</v>
      </c>
      <c r="G531" s="1" t="s">
        <v>334</v>
      </c>
      <c r="H531" s="1" t="s">
        <v>2</v>
      </c>
      <c r="I531" s="2">
        <v>46177</v>
      </c>
      <c r="J531" s="1" t="s">
        <v>17</v>
      </c>
      <c r="K531" s="1" t="s">
        <v>4562</v>
      </c>
      <c r="L531" s="2">
        <v>46177.92087962963</v>
      </c>
      <c r="M531" s="2">
        <v>46177.921329212964</v>
      </c>
    </row>
    <row r="532" spans="1:13" x14ac:dyDescent="0.35">
      <c r="A532" s="1" t="s">
        <v>335</v>
      </c>
      <c r="B532" s="1" t="s">
        <v>13</v>
      </c>
      <c r="C532" s="1" t="s">
        <v>336</v>
      </c>
      <c r="D532">
        <v>0.25</v>
      </c>
      <c r="E532" s="2">
        <v>54834</v>
      </c>
      <c r="F532" s="1" t="s">
        <v>64</v>
      </c>
      <c r="G532" s="1" t="s">
        <v>336</v>
      </c>
      <c r="H532" s="1" t="s">
        <v>2</v>
      </c>
      <c r="I532" s="2">
        <v>46177</v>
      </c>
      <c r="J532" s="1" t="s">
        <v>17</v>
      </c>
      <c r="K532" s="1" t="s">
        <v>4513</v>
      </c>
      <c r="L532" s="2">
        <v>46177.92087962963</v>
      </c>
      <c r="M532" s="2">
        <v>46177.921329212964</v>
      </c>
    </row>
    <row r="533" spans="1:13" x14ac:dyDescent="0.35">
      <c r="A533" s="1" t="s">
        <v>335</v>
      </c>
      <c r="B533" s="1" t="s">
        <v>13</v>
      </c>
      <c r="C533" s="1" t="s">
        <v>336</v>
      </c>
      <c r="D533">
        <v>0.25</v>
      </c>
      <c r="E533" s="2">
        <v>54834</v>
      </c>
      <c r="F533" s="1" t="s">
        <v>64</v>
      </c>
      <c r="G533" s="1" t="s">
        <v>336</v>
      </c>
      <c r="H533" s="1" t="s">
        <v>2</v>
      </c>
      <c r="I533" s="2">
        <v>46177</v>
      </c>
      <c r="J533" s="1" t="s">
        <v>18</v>
      </c>
      <c r="K533" s="1" t="s">
        <v>3000</v>
      </c>
      <c r="L533" s="2">
        <v>46177.92087962963</v>
      </c>
      <c r="M533" s="2">
        <v>46177.921329212964</v>
      </c>
    </row>
    <row r="534" spans="1:13" x14ac:dyDescent="0.35">
      <c r="A534" s="1" t="s">
        <v>422</v>
      </c>
      <c r="B534" s="1" t="s">
        <v>13</v>
      </c>
      <c r="C534" s="1" t="s">
        <v>423</v>
      </c>
      <c r="D534">
        <v>1.25</v>
      </c>
      <c r="E534" s="2">
        <v>54923</v>
      </c>
      <c r="F534" s="1" t="s">
        <v>16</v>
      </c>
      <c r="G534" s="1" t="s">
        <v>423</v>
      </c>
      <c r="H534" s="1" t="s">
        <v>2</v>
      </c>
      <c r="I534" s="2">
        <v>46177</v>
      </c>
      <c r="J534" s="1" t="s">
        <v>18</v>
      </c>
      <c r="K534" s="1" t="s">
        <v>4522</v>
      </c>
      <c r="L534" s="2">
        <v>46177.92087962963</v>
      </c>
      <c r="M534" s="2">
        <v>46177.921329212964</v>
      </c>
    </row>
    <row r="535" spans="1:13" x14ac:dyDescent="0.35">
      <c r="A535" s="1" t="s">
        <v>422</v>
      </c>
      <c r="B535" s="1" t="s">
        <v>13</v>
      </c>
      <c r="C535" s="1" t="s">
        <v>423</v>
      </c>
      <c r="D535">
        <v>1.25</v>
      </c>
      <c r="E535" s="2">
        <v>54923</v>
      </c>
      <c r="F535" s="1" t="s">
        <v>16</v>
      </c>
      <c r="G535" s="1" t="s">
        <v>423</v>
      </c>
      <c r="H535" s="1" t="s">
        <v>2</v>
      </c>
      <c r="I535" s="2">
        <v>46177</v>
      </c>
      <c r="J535" s="1" t="s">
        <v>17</v>
      </c>
      <c r="K535" s="1" t="s">
        <v>4496</v>
      </c>
      <c r="L535" s="2">
        <v>46177.92087962963</v>
      </c>
      <c r="M535" s="2">
        <v>46177.921329212964</v>
      </c>
    </row>
    <row r="536" spans="1:13" x14ac:dyDescent="0.35">
      <c r="A536" s="1" t="s">
        <v>337</v>
      </c>
      <c r="B536" s="1" t="s">
        <v>13</v>
      </c>
      <c r="C536" s="1" t="s">
        <v>338</v>
      </c>
      <c r="D536">
        <v>1.375</v>
      </c>
      <c r="E536" s="2">
        <v>55015</v>
      </c>
      <c r="F536" s="1" t="s">
        <v>16</v>
      </c>
      <c r="G536" s="1" t="s">
        <v>338</v>
      </c>
      <c r="H536" s="1" t="s">
        <v>2</v>
      </c>
      <c r="I536" s="2">
        <v>46177</v>
      </c>
      <c r="J536" s="1" t="s">
        <v>18</v>
      </c>
      <c r="K536" s="1" t="s">
        <v>4523</v>
      </c>
      <c r="L536" s="2">
        <v>46177.92087962963</v>
      </c>
      <c r="M536" s="2">
        <v>46177.921329212964</v>
      </c>
    </row>
    <row r="537" spans="1:13" x14ac:dyDescent="0.35">
      <c r="A537" s="1" t="s">
        <v>337</v>
      </c>
      <c r="B537" s="1" t="s">
        <v>13</v>
      </c>
      <c r="C537" s="1" t="s">
        <v>338</v>
      </c>
      <c r="D537">
        <v>1.375</v>
      </c>
      <c r="E537" s="2">
        <v>55015</v>
      </c>
      <c r="F537" s="1" t="s">
        <v>16</v>
      </c>
      <c r="G537" s="1" t="s">
        <v>338</v>
      </c>
      <c r="H537" s="1" t="s">
        <v>2</v>
      </c>
      <c r="I537" s="2">
        <v>46177</v>
      </c>
      <c r="J537" s="1" t="s">
        <v>17</v>
      </c>
      <c r="K537" s="1" t="s">
        <v>2396</v>
      </c>
      <c r="L537" s="2">
        <v>46177.92087962963</v>
      </c>
      <c r="M537" s="2">
        <v>46177.921329212964</v>
      </c>
    </row>
    <row r="538" spans="1:13" x14ac:dyDescent="0.35">
      <c r="A538" s="1" t="s">
        <v>424</v>
      </c>
      <c r="B538" s="1" t="s">
        <v>13</v>
      </c>
      <c r="C538" s="1" t="s">
        <v>425</v>
      </c>
      <c r="D538">
        <v>1.125</v>
      </c>
      <c r="E538" s="2">
        <v>51363</v>
      </c>
      <c r="F538" s="1" t="s">
        <v>16</v>
      </c>
      <c r="G538" s="1" t="s">
        <v>425</v>
      </c>
      <c r="H538" s="1" t="s">
        <v>2</v>
      </c>
      <c r="I538" s="2">
        <v>46177</v>
      </c>
      <c r="J538" s="1" t="s">
        <v>18</v>
      </c>
      <c r="K538" s="1" t="s">
        <v>2359</v>
      </c>
      <c r="L538" s="2">
        <v>46177.92087962963</v>
      </c>
      <c r="M538" s="2">
        <v>46177.921329212964</v>
      </c>
    </row>
    <row r="539" spans="1:13" x14ac:dyDescent="0.35">
      <c r="A539" s="1" t="s">
        <v>424</v>
      </c>
      <c r="B539" s="1" t="s">
        <v>13</v>
      </c>
      <c r="C539" s="1" t="s">
        <v>425</v>
      </c>
      <c r="D539">
        <v>1.125</v>
      </c>
      <c r="E539" s="2">
        <v>51363</v>
      </c>
      <c r="F539" s="1" t="s">
        <v>16</v>
      </c>
      <c r="G539" s="1" t="s">
        <v>425</v>
      </c>
      <c r="H539" s="1" t="s">
        <v>2</v>
      </c>
      <c r="I539" s="2">
        <v>46177</v>
      </c>
      <c r="J539" s="1" t="s">
        <v>17</v>
      </c>
      <c r="K539" s="1" t="s">
        <v>2945</v>
      </c>
      <c r="L539" s="2">
        <v>46177.92087962963</v>
      </c>
      <c r="M539" s="2">
        <v>46177.921329212964</v>
      </c>
    </row>
    <row r="540" spans="1:13" x14ac:dyDescent="0.35">
      <c r="A540" s="1" t="s">
        <v>289</v>
      </c>
      <c r="B540" s="1" t="s">
        <v>13</v>
      </c>
      <c r="C540" s="1" t="s">
        <v>290</v>
      </c>
      <c r="D540">
        <v>1.125</v>
      </c>
      <c r="E540" s="2">
        <v>51271</v>
      </c>
      <c r="F540" s="1" t="s">
        <v>16</v>
      </c>
      <c r="G540" s="1" t="s">
        <v>290</v>
      </c>
      <c r="H540" s="1" t="s">
        <v>2</v>
      </c>
      <c r="I540" s="2">
        <v>46177</v>
      </c>
      <c r="J540" s="1" t="s">
        <v>17</v>
      </c>
      <c r="K540" s="1" t="s">
        <v>3011</v>
      </c>
      <c r="L540" s="2">
        <v>46177.92087962963</v>
      </c>
      <c r="M540" s="2">
        <v>46177.921329212964</v>
      </c>
    </row>
    <row r="541" spans="1:13" x14ac:dyDescent="0.35">
      <c r="A541" s="1" t="s">
        <v>289</v>
      </c>
      <c r="B541" s="1" t="s">
        <v>13</v>
      </c>
      <c r="C541" s="1" t="s">
        <v>290</v>
      </c>
      <c r="D541">
        <v>1.125</v>
      </c>
      <c r="E541" s="2">
        <v>51271</v>
      </c>
      <c r="F541" s="1" t="s">
        <v>16</v>
      </c>
      <c r="G541" s="1" t="s">
        <v>290</v>
      </c>
      <c r="H541" s="1" t="s">
        <v>2</v>
      </c>
      <c r="I541" s="2">
        <v>46177</v>
      </c>
      <c r="J541" s="1" t="s">
        <v>18</v>
      </c>
      <c r="K541" s="1" t="s">
        <v>3026</v>
      </c>
      <c r="L541" s="2">
        <v>46177.92087962963</v>
      </c>
      <c r="M541" s="2">
        <v>46177.921329212964</v>
      </c>
    </row>
    <row r="542" spans="1:13" x14ac:dyDescent="0.35">
      <c r="A542" s="1" t="s">
        <v>453</v>
      </c>
      <c r="B542" s="1" t="s">
        <v>13</v>
      </c>
      <c r="C542" s="1" t="s">
        <v>454</v>
      </c>
      <c r="D542">
        <v>1.625</v>
      </c>
      <c r="E542" s="2">
        <v>55107</v>
      </c>
      <c r="F542" s="1" t="s">
        <v>16</v>
      </c>
      <c r="G542" s="1" t="s">
        <v>454</v>
      </c>
      <c r="H542" s="1" t="s">
        <v>2</v>
      </c>
      <c r="I542" s="2">
        <v>46177</v>
      </c>
      <c r="J542" s="1" t="s">
        <v>18</v>
      </c>
      <c r="K542" s="1" t="s">
        <v>4524</v>
      </c>
      <c r="L542" s="2">
        <v>46177.92087962963</v>
      </c>
      <c r="M542" s="2">
        <v>46177.921329212964</v>
      </c>
    </row>
    <row r="543" spans="1:13" x14ac:dyDescent="0.35">
      <c r="A543" s="1" t="s">
        <v>453</v>
      </c>
      <c r="B543" s="1" t="s">
        <v>13</v>
      </c>
      <c r="C543" s="1" t="s">
        <v>454</v>
      </c>
      <c r="D543">
        <v>1.625</v>
      </c>
      <c r="E543" s="2">
        <v>55107</v>
      </c>
      <c r="F543" s="1" t="s">
        <v>16</v>
      </c>
      <c r="G543" s="1" t="s">
        <v>454</v>
      </c>
      <c r="H543" s="1" t="s">
        <v>2</v>
      </c>
      <c r="I543" s="2">
        <v>46177</v>
      </c>
      <c r="J543" s="1" t="s">
        <v>17</v>
      </c>
      <c r="K543" s="1" t="s">
        <v>4536</v>
      </c>
      <c r="L543" s="2">
        <v>46177.92087962963</v>
      </c>
      <c r="M543" s="2">
        <v>46177.921329212964</v>
      </c>
    </row>
    <row r="544" spans="1:13" x14ac:dyDescent="0.35">
      <c r="A544" s="1" t="s">
        <v>339</v>
      </c>
      <c r="B544" s="1" t="s">
        <v>13</v>
      </c>
      <c r="C544" s="1" t="s">
        <v>340</v>
      </c>
      <c r="D544">
        <v>1.375</v>
      </c>
      <c r="E544" s="2">
        <v>51455</v>
      </c>
      <c r="F544" s="1" t="s">
        <v>16</v>
      </c>
      <c r="G544" s="1" t="s">
        <v>340</v>
      </c>
      <c r="H544" s="1" t="s">
        <v>2</v>
      </c>
      <c r="I544" s="2">
        <v>46177</v>
      </c>
      <c r="J544" s="1" t="s">
        <v>18</v>
      </c>
      <c r="K544" s="1" t="s">
        <v>3010</v>
      </c>
      <c r="L544" s="2">
        <v>46177.92087962963</v>
      </c>
      <c r="M544" s="2">
        <v>46177.921329212964</v>
      </c>
    </row>
    <row r="545" spans="1:13" x14ac:dyDescent="0.35">
      <c r="A545" s="1" t="s">
        <v>339</v>
      </c>
      <c r="B545" s="1" t="s">
        <v>13</v>
      </c>
      <c r="C545" s="1" t="s">
        <v>340</v>
      </c>
      <c r="D545">
        <v>1.375</v>
      </c>
      <c r="E545" s="2">
        <v>51455</v>
      </c>
      <c r="F545" s="1" t="s">
        <v>16</v>
      </c>
      <c r="G545" s="1" t="s">
        <v>340</v>
      </c>
      <c r="H545" s="1" t="s">
        <v>2</v>
      </c>
      <c r="I545" s="2">
        <v>46177</v>
      </c>
      <c r="J545" s="1" t="s">
        <v>17</v>
      </c>
      <c r="K545" s="1" t="s">
        <v>2946</v>
      </c>
      <c r="L545" s="2">
        <v>46177.92087962963</v>
      </c>
      <c r="M545" s="2">
        <v>46177.921329212964</v>
      </c>
    </row>
    <row r="546" spans="1:13" x14ac:dyDescent="0.35">
      <c r="A546" s="1" t="s">
        <v>455</v>
      </c>
      <c r="B546" s="1" t="s">
        <v>13</v>
      </c>
      <c r="C546" s="1" t="s">
        <v>456</v>
      </c>
      <c r="D546">
        <v>1.875</v>
      </c>
      <c r="E546" s="2">
        <v>55199</v>
      </c>
      <c r="F546" s="1" t="s">
        <v>16</v>
      </c>
      <c r="G546" s="1" t="s">
        <v>456</v>
      </c>
      <c r="H546" s="1" t="s">
        <v>2</v>
      </c>
      <c r="I546" s="2">
        <v>46177</v>
      </c>
      <c r="J546" s="1" t="s">
        <v>18</v>
      </c>
      <c r="K546" s="1" t="s">
        <v>3003</v>
      </c>
      <c r="L546" s="2">
        <v>46177.92087962963</v>
      </c>
      <c r="M546" s="2">
        <v>46177.921329212964</v>
      </c>
    </row>
    <row r="547" spans="1:13" x14ac:dyDescent="0.35">
      <c r="A547" s="1" t="s">
        <v>455</v>
      </c>
      <c r="B547" s="1" t="s">
        <v>13</v>
      </c>
      <c r="C547" s="1" t="s">
        <v>456</v>
      </c>
      <c r="D547">
        <v>1.875</v>
      </c>
      <c r="E547" s="2">
        <v>55199</v>
      </c>
      <c r="F547" s="1" t="s">
        <v>16</v>
      </c>
      <c r="G547" s="1" t="s">
        <v>456</v>
      </c>
      <c r="H547" s="1" t="s">
        <v>2</v>
      </c>
      <c r="I547" s="2">
        <v>46177</v>
      </c>
      <c r="J547" s="1" t="s">
        <v>17</v>
      </c>
      <c r="K547" s="1" t="s">
        <v>2393</v>
      </c>
      <c r="L547" s="2">
        <v>46177.92087962963</v>
      </c>
      <c r="M547" s="2">
        <v>46177.921329212964</v>
      </c>
    </row>
    <row r="548" spans="1:13" x14ac:dyDescent="0.35">
      <c r="A548" s="1" t="s">
        <v>200</v>
      </c>
      <c r="B548" s="1" t="s">
        <v>13</v>
      </c>
      <c r="C548" s="1" t="s">
        <v>201</v>
      </c>
      <c r="D548">
        <v>0.125</v>
      </c>
      <c r="E548" s="2">
        <v>55199</v>
      </c>
      <c r="F548" s="1" t="s">
        <v>64</v>
      </c>
      <c r="G548" s="1" t="s">
        <v>201</v>
      </c>
      <c r="H548" s="1" t="s">
        <v>2</v>
      </c>
      <c r="I548" s="2">
        <v>46177</v>
      </c>
      <c r="J548" s="1" t="s">
        <v>17</v>
      </c>
      <c r="K548" s="1" t="s">
        <v>4514</v>
      </c>
      <c r="L548" s="2">
        <v>46177.92087962963</v>
      </c>
      <c r="M548" s="2">
        <v>46177.921329212964</v>
      </c>
    </row>
    <row r="549" spans="1:13" x14ac:dyDescent="0.35">
      <c r="A549" s="1" t="s">
        <v>200</v>
      </c>
      <c r="B549" s="1" t="s">
        <v>13</v>
      </c>
      <c r="C549" s="1" t="s">
        <v>201</v>
      </c>
      <c r="D549">
        <v>0.125</v>
      </c>
      <c r="E549" s="2">
        <v>55199</v>
      </c>
      <c r="F549" s="1" t="s">
        <v>64</v>
      </c>
      <c r="G549" s="1" t="s">
        <v>201</v>
      </c>
      <c r="H549" s="1" t="s">
        <v>2</v>
      </c>
      <c r="I549" s="2">
        <v>46177</v>
      </c>
      <c r="J549" s="1" t="s">
        <v>18</v>
      </c>
      <c r="K549" s="1" t="s">
        <v>2589</v>
      </c>
      <c r="L549" s="2">
        <v>46177.92087962963</v>
      </c>
      <c r="M549" s="2">
        <v>46177.921329212964</v>
      </c>
    </row>
    <row r="550" spans="1:13" x14ac:dyDescent="0.35">
      <c r="A550" s="1" t="s">
        <v>459</v>
      </c>
      <c r="B550" s="1" t="s">
        <v>13</v>
      </c>
      <c r="C550" s="1" t="s">
        <v>460</v>
      </c>
      <c r="D550">
        <v>1.875</v>
      </c>
      <c r="E550" s="2">
        <v>51547</v>
      </c>
      <c r="F550" s="1" t="s">
        <v>16</v>
      </c>
      <c r="G550" s="1" t="s">
        <v>460</v>
      </c>
      <c r="H550" s="1" t="s">
        <v>2</v>
      </c>
      <c r="I550" s="2">
        <v>46177</v>
      </c>
      <c r="J550" s="1" t="s">
        <v>18</v>
      </c>
      <c r="K550" s="1" t="s">
        <v>2654</v>
      </c>
      <c r="L550" s="2">
        <v>46177.92087962963</v>
      </c>
      <c r="M550" s="2">
        <v>46177.921329212964</v>
      </c>
    </row>
    <row r="551" spans="1:13" x14ac:dyDescent="0.35">
      <c r="A551" s="1" t="s">
        <v>459</v>
      </c>
      <c r="B551" s="1" t="s">
        <v>13</v>
      </c>
      <c r="C551" s="1" t="s">
        <v>460</v>
      </c>
      <c r="D551">
        <v>1.875</v>
      </c>
      <c r="E551" s="2">
        <v>51547</v>
      </c>
      <c r="F551" s="1" t="s">
        <v>16</v>
      </c>
      <c r="G551" s="1" t="s">
        <v>460</v>
      </c>
      <c r="H551" s="1" t="s">
        <v>2</v>
      </c>
      <c r="I551" s="2">
        <v>46177</v>
      </c>
      <c r="J551" s="1" t="s">
        <v>17</v>
      </c>
      <c r="K551" s="1" t="s">
        <v>2397</v>
      </c>
      <c r="L551" s="2">
        <v>46177.92087962963</v>
      </c>
      <c r="M551" s="2">
        <v>46177.921329212964</v>
      </c>
    </row>
    <row r="552" spans="1:13" x14ac:dyDescent="0.35">
      <c r="A552" s="1" t="s">
        <v>341</v>
      </c>
      <c r="B552" s="1" t="s">
        <v>13</v>
      </c>
      <c r="C552" s="1" t="s">
        <v>342</v>
      </c>
      <c r="D552">
        <v>2.375</v>
      </c>
      <c r="E552" s="2">
        <v>55288</v>
      </c>
      <c r="F552" s="1" t="s">
        <v>16</v>
      </c>
      <c r="G552" s="1" t="s">
        <v>342</v>
      </c>
      <c r="H552" s="1" t="s">
        <v>2</v>
      </c>
      <c r="I552" s="2">
        <v>46177</v>
      </c>
      <c r="J552" s="1" t="s">
        <v>17</v>
      </c>
      <c r="K552" s="1" t="s">
        <v>2984</v>
      </c>
      <c r="L552" s="2">
        <v>46177.92087962963</v>
      </c>
      <c r="M552" s="2">
        <v>46177.921329212964</v>
      </c>
    </row>
    <row r="553" spans="1:13" x14ac:dyDescent="0.35">
      <c r="A553" s="1" t="s">
        <v>341</v>
      </c>
      <c r="B553" s="1" t="s">
        <v>13</v>
      </c>
      <c r="C553" s="1" t="s">
        <v>342</v>
      </c>
      <c r="D553">
        <v>2.375</v>
      </c>
      <c r="E553" s="2">
        <v>55288</v>
      </c>
      <c r="F553" s="1" t="s">
        <v>16</v>
      </c>
      <c r="G553" s="1" t="s">
        <v>342</v>
      </c>
      <c r="H553" s="1" t="s">
        <v>2</v>
      </c>
      <c r="I553" s="2">
        <v>46177</v>
      </c>
      <c r="J553" s="1" t="s">
        <v>18</v>
      </c>
      <c r="K553" s="1" t="s">
        <v>4557</v>
      </c>
      <c r="L553" s="2">
        <v>46177.92087962963</v>
      </c>
      <c r="M553" s="2">
        <v>46177.921329212964</v>
      </c>
    </row>
    <row r="554" spans="1:13" x14ac:dyDescent="0.35">
      <c r="A554" s="1" t="s">
        <v>1122</v>
      </c>
      <c r="B554" s="1" t="s">
        <v>13</v>
      </c>
      <c r="C554" s="1" t="s">
        <v>1123</v>
      </c>
      <c r="D554">
        <v>2.25</v>
      </c>
      <c r="E554" s="2">
        <v>51636</v>
      </c>
      <c r="F554" s="1" t="s">
        <v>16</v>
      </c>
      <c r="G554" s="1" t="s">
        <v>1123</v>
      </c>
      <c r="H554" s="1" t="s">
        <v>2</v>
      </c>
      <c r="I554" s="2">
        <v>46177</v>
      </c>
      <c r="J554" s="1" t="s">
        <v>18</v>
      </c>
      <c r="K554" s="1" t="s">
        <v>2649</v>
      </c>
      <c r="L554" s="2">
        <v>46177.92087962963</v>
      </c>
      <c r="M554" s="2">
        <v>46177.921329212964</v>
      </c>
    </row>
    <row r="555" spans="1:13" x14ac:dyDescent="0.35">
      <c r="A555" s="1" t="s">
        <v>1122</v>
      </c>
      <c r="B555" s="1" t="s">
        <v>13</v>
      </c>
      <c r="C555" s="1" t="s">
        <v>1123</v>
      </c>
      <c r="D555">
        <v>2.25</v>
      </c>
      <c r="E555" s="2">
        <v>51636</v>
      </c>
      <c r="F555" s="1" t="s">
        <v>16</v>
      </c>
      <c r="G555" s="1" t="s">
        <v>1123</v>
      </c>
      <c r="H555" s="1" t="s">
        <v>2</v>
      </c>
      <c r="I555" s="2">
        <v>46177</v>
      </c>
      <c r="J555" s="1" t="s">
        <v>17</v>
      </c>
      <c r="K555" s="1" t="s">
        <v>2321</v>
      </c>
      <c r="L555" s="2">
        <v>46177.92087962963</v>
      </c>
      <c r="M555" s="2">
        <v>46177.921329212964</v>
      </c>
    </row>
    <row r="556" spans="1:13" x14ac:dyDescent="0.35">
      <c r="A556" s="1" t="s">
        <v>291</v>
      </c>
      <c r="B556" s="1" t="s">
        <v>13</v>
      </c>
      <c r="C556" s="1" t="s">
        <v>292</v>
      </c>
      <c r="D556">
        <v>2</v>
      </c>
      <c r="E556" s="2">
        <v>55380</v>
      </c>
      <c r="F556" s="1" t="s">
        <v>16</v>
      </c>
      <c r="G556" s="1" t="s">
        <v>292</v>
      </c>
      <c r="H556" s="1" t="s">
        <v>2</v>
      </c>
      <c r="I556" s="2">
        <v>46177</v>
      </c>
      <c r="J556" s="1" t="s">
        <v>18</v>
      </c>
      <c r="K556" s="1" t="s">
        <v>4542</v>
      </c>
      <c r="L556" s="2">
        <v>46177.92087962963</v>
      </c>
      <c r="M556" s="2">
        <v>46177.921329212964</v>
      </c>
    </row>
    <row r="557" spans="1:13" x14ac:dyDescent="0.35">
      <c r="A557" s="1" t="s">
        <v>291</v>
      </c>
      <c r="B557" s="1" t="s">
        <v>13</v>
      </c>
      <c r="C557" s="1" t="s">
        <v>292</v>
      </c>
      <c r="D557">
        <v>2</v>
      </c>
      <c r="E557" s="2">
        <v>55380</v>
      </c>
      <c r="F557" s="1" t="s">
        <v>16</v>
      </c>
      <c r="G557" s="1" t="s">
        <v>292</v>
      </c>
      <c r="H557" s="1" t="s">
        <v>2</v>
      </c>
      <c r="I557" s="2">
        <v>46177</v>
      </c>
      <c r="J557" s="1" t="s">
        <v>17</v>
      </c>
      <c r="K557" s="1" t="s">
        <v>2373</v>
      </c>
      <c r="L557" s="2">
        <v>46177.92087962963</v>
      </c>
      <c r="M557" s="2">
        <v>46177.921329212964</v>
      </c>
    </row>
    <row r="558" spans="1:13" x14ac:dyDescent="0.35">
      <c r="A558" s="1" t="s">
        <v>293</v>
      </c>
      <c r="B558" s="1" t="s">
        <v>13</v>
      </c>
      <c r="C558" s="1" t="s">
        <v>294</v>
      </c>
      <c r="D558">
        <v>1.75</v>
      </c>
      <c r="E558" s="2">
        <v>51728</v>
      </c>
      <c r="F558" s="1" t="s">
        <v>16</v>
      </c>
      <c r="G558" s="1" t="s">
        <v>294</v>
      </c>
      <c r="H558" s="1" t="s">
        <v>2</v>
      </c>
      <c r="I558" s="2">
        <v>46177</v>
      </c>
      <c r="J558" s="1" t="s">
        <v>18</v>
      </c>
      <c r="K558" s="1" t="s">
        <v>4497</v>
      </c>
      <c r="L558" s="2">
        <v>46177.92087962963</v>
      </c>
      <c r="M558" s="2">
        <v>46177.921329212964</v>
      </c>
    </row>
    <row r="559" spans="1:13" x14ac:dyDescent="0.35">
      <c r="A559" s="1" t="s">
        <v>293</v>
      </c>
      <c r="B559" s="1" t="s">
        <v>13</v>
      </c>
      <c r="C559" s="1" t="s">
        <v>294</v>
      </c>
      <c r="D559">
        <v>1.75</v>
      </c>
      <c r="E559" s="2">
        <v>51728</v>
      </c>
      <c r="F559" s="1" t="s">
        <v>16</v>
      </c>
      <c r="G559" s="1" t="s">
        <v>294</v>
      </c>
      <c r="H559" s="1" t="s">
        <v>2</v>
      </c>
      <c r="I559" s="2">
        <v>46177</v>
      </c>
      <c r="J559" s="1" t="s">
        <v>17</v>
      </c>
      <c r="K559" s="1" t="s">
        <v>2380</v>
      </c>
      <c r="L559" s="2">
        <v>46177.92087962963</v>
      </c>
      <c r="M559" s="2">
        <v>46177.921329212964</v>
      </c>
    </row>
    <row r="560" spans="1:13" x14ac:dyDescent="0.35">
      <c r="A560" s="1" t="s">
        <v>343</v>
      </c>
      <c r="B560" s="1" t="s">
        <v>13</v>
      </c>
      <c r="C560" s="1" t="s">
        <v>344</v>
      </c>
      <c r="D560">
        <v>1.875</v>
      </c>
      <c r="E560" s="2">
        <v>55472</v>
      </c>
      <c r="F560" s="1" t="s">
        <v>16</v>
      </c>
      <c r="G560" s="1" t="s">
        <v>344</v>
      </c>
      <c r="H560" s="1" t="s">
        <v>2</v>
      </c>
      <c r="I560" s="2">
        <v>46177</v>
      </c>
      <c r="J560" s="1" t="s">
        <v>18</v>
      </c>
      <c r="K560" s="1" t="s">
        <v>3031</v>
      </c>
      <c r="L560" s="2">
        <v>46177.92087962963</v>
      </c>
      <c r="M560" s="2">
        <v>46177.921329212964</v>
      </c>
    </row>
    <row r="561" spans="1:13" x14ac:dyDescent="0.35">
      <c r="A561" s="1" t="s">
        <v>343</v>
      </c>
      <c r="B561" s="1" t="s">
        <v>13</v>
      </c>
      <c r="C561" s="1" t="s">
        <v>344</v>
      </c>
      <c r="D561">
        <v>1.875</v>
      </c>
      <c r="E561" s="2">
        <v>55472</v>
      </c>
      <c r="F561" s="1" t="s">
        <v>16</v>
      </c>
      <c r="G561" s="1" t="s">
        <v>344</v>
      </c>
      <c r="H561" s="1" t="s">
        <v>2</v>
      </c>
      <c r="I561" s="2">
        <v>46177</v>
      </c>
      <c r="J561" s="1" t="s">
        <v>17</v>
      </c>
      <c r="K561" s="1" t="s">
        <v>4558</v>
      </c>
      <c r="L561" s="2">
        <v>46177.92087962963</v>
      </c>
      <c r="M561" s="2">
        <v>46177.921329212964</v>
      </c>
    </row>
    <row r="562" spans="1:13" x14ac:dyDescent="0.35">
      <c r="A562" s="1" t="s">
        <v>202</v>
      </c>
      <c r="B562" s="1" t="s">
        <v>13</v>
      </c>
      <c r="C562" s="1" t="s">
        <v>203</v>
      </c>
      <c r="D562">
        <v>2</v>
      </c>
      <c r="E562" s="2">
        <v>51820</v>
      </c>
      <c r="F562" s="1" t="s">
        <v>16</v>
      </c>
      <c r="G562" s="1" t="s">
        <v>203</v>
      </c>
      <c r="H562" s="1" t="s">
        <v>2</v>
      </c>
      <c r="I562" s="2">
        <v>46177</v>
      </c>
      <c r="J562" s="1" t="s">
        <v>17</v>
      </c>
      <c r="K562" s="1" t="s">
        <v>2654</v>
      </c>
      <c r="L562" s="2">
        <v>46177.92087962963</v>
      </c>
      <c r="M562" s="2">
        <v>46177.921329212964</v>
      </c>
    </row>
    <row r="563" spans="1:13" x14ac:dyDescent="0.35">
      <c r="A563" s="1" t="s">
        <v>202</v>
      </c>
      <c r="B563" s="1" t="s">
        <v>13</v>
      </c>
      <c r="C563" s="1" t="s">
        <v>203</v>
      </c>
      <c r="D563">
        <v>2</v>
      </c>
      <c r="E563" s="2">
        <v>51820</v>
      </c>
      <c r="F563" s="1" t="s">
        <v>16</v>
      </c>
      <c r="G563" s="1" t="s">
        <v>203</v>
      </c>
      <c r="H563" s="1" t="s">
        <v>2</v>
      </c>
      <c r="I563" s="2">
        <v>46177</v>
      </c>
      <c r="J563" s="1" t="s">
        <v>18</v>
      </c>
      <c r="K563" s="1" t="s">
        <v>2381</v>
      </c>
      <c r="L563" s="2">
        <v>46177.92087962963</v>
      </c>
      <c r="M563" s="2">
        <v>46177.921329212964</v>
      </c>
    </row>
    <row r="564" spans="1:13" x14ac:dyDescent="0.35">
      <c r="A564" s="1" t="s">
        <v>461</v>
      </c>
      <c r="B564" s="1" t="s">
        <v>13</v>
      </c>
      <c r="C564" s="1" t="s">
        <v>462</v>
      </c>
      <c r="D564">
        <v>2.25</v>
      </c>
      <c r="E564" s="2">
        <v>55564</v>
      </c>
      <c r="F564" s="1" t="s">
        <v>16</v>
      </c>
      <c r="G564" s="1" t="s">
        <v>462</v>
      </c>
      <c r="H564" s="1" t="s">
        <v>2</v>
      </c>
      <c r="I564" s="2">
        <v>46177</v>
      </c>
      <c r="J564" s="1" t="s">
        <v>18</v>
      </c>
      <c r="K564" s="1" t="s">
        <v>4543</v>
      </c>
      <c r="L564" s="2">
        <v>46177.92087962963</v>
      </c>
      <c r="M564" s="2">
        <v>46177.921329212964</v>
      </c>
    </row>
    <row r="565" spans="1:13" x14ac:dyDescent="0.35">
      <c r="A565" s="1" t="s">
        <v>461</v>
      </c>
      <c r="B565" s="1" t="s">
        <v>13</v>
      </c>
      <c r="C565" s="1" t="s">
        <v>462</v>
      </c>
      <c r="D565">
        <v>2.25</v>
      </c>
      <c r="E565" s="2">
        <v>55564</v>
      </c>
      <c r="F565" s="1" t="s">
        <v>16</v>
      </c>
      <c r="G565" s="1" t="s">
        <v>462</v>
      </c>
      <c r="H565" s="1" t="s">
        <v>2</v>
      </c>
      <c r="I565" s="2">
        <v>46177</v>
      </c>
      <c r="J565" s="1" t="s">
        <v>17</v>
      </c>
      <c r="K565" s="1" t="s">
        <v>4488</v>
      </c>
      <c r="L565" s="2">
        <v>46177.92087962963</v>
      </c>
      <c r="M565" s="2">
        <v>46177.921329212964</v>
      </c>
    </row>
    <row r="566" spans="1:13" x14ac:dyDescent="0.35">
      <c r="A566" s="1" t="s">
        <v>463</v>
      </c>
      <c r="B566" s="1" t="s">
        <v>13</v>
      </c>
      <c r="C566" s="1" t="s">
        <v>464</v>
      </c>
      <c r="D566">
        <v>0.125</v>
      </c>
      <c r="E566" s="2">
        <v>55564</v>
      </c>
      <c r="F566" s="1" t="s">
        <v>64</v>
      </c>
      <c r="G566" s="1" t="s">
        <v>464</v>
      </c>
      <c r="H566" s="1" t="s">
        <v>2</v>
      </c>
      <c r="I566" s="2">
        <v>46177</v>
      </c>
      <c r="J566" s="1" t="s">
        <v>18</v>
      </c>
      <c r="K566" s="1" t="s">
        <v>4515</v>
      </c>
      <c r="L566" s="2">
        <v>46177.92087962963</v>
      </c>
      <c r="M566" s="2">
        <v>46177.921329212964</v>
      </c>
    </row>
    <row r="567" spans="1:13" x14ac:dyDescent="0.35">
      <c r="A567" s="1" t="s">
        <v>463</v>
      </c>
      <c r="B567" s="1" t="s">
        <v>13</v>
      </c>
      <c r="C567" s="1" t="s">
        <v>464</v>
      </c>
      <c r="D567">
        <v>0.125</v>
      </c>
      <c r="E567" s="2">
        <v>55564</v>
      </c>
      <c r="F567" s="1" t="s">
        <v>64</v>
      </c>
      <c r="G567" s="1" t="s">
        <v>464</v>
      </c>
      <c r="H567" s="1" t="s">
        <v>2</v>
      </c>
      <c r="I567" s="2">
        <v>46177</v>
      </c>
      <c r="J567" s="1" t="s">
        <v>17</v>
      </c>
      <c r="K567" s="1" t="s">
        <v>4559</v>
      </c>
      <c r="L567" s="2">
        <v>46177.92087962963</v>
      </c>
      <c r="M567" s="2">
        <v>46177.921329212964</v>
      </c>
    </row>
    <row r="568" spans="1:13" x14ac:dyDescent="0.35">
      <c r="A568" s="1" t="s">
        <v>371</v>
      </c>
      <c r="B568" s="1" t="s">
        <v>13</v>
      </c>
      <c r="C568" s="1" t="s">
        <v>372</v>
      </c>
      <c r="D568">
        <v>2.375</v>
      </c>
      <c r="E568" s="2">
        <v>51912</v>
      </c>
      <c r="F568" s="1" t="s">
        <v>16</v>
      </c>
      <c r="G568" s="1" t="s">
        <v>372</v>
      </c>
      <c r="H568" s="1" t="s">
        <v>2</v>
      </c>
      <c r="I568" s="2">
        <v>46177</v>
      </c>
      <c r="J568" s="1" t="s">
        <v>17</v>
      </c>
      <c r="K568" s="1" t="s">
        <v>2321</v>
      </c>
      <c r="L568" s="2">
        <v>46177.92087962963</v>
      </c>
      <c r="M568" s="2">
        <v>46177.921329212964</v>
      </c>
    </row>
    <row r="569" spans="1:13" x14ac:dyDescent="0.35">
      <c r="A569" s="1" t="s">
        <v>371</v>
      </c>
      <c r="B569" s="1" t="s">
        <v>13</v>
      </c>
      <c r="C569" s="1" t="s">
        <v>372</v>
      </c>
      <c r="D569">
        <v>2.375</v>
      </c>
      <c r="E569" s="2">
        <v>51912</v>
      </c>
      <c r="F569" s="1" t="s">
        <v>16</v>
      </c>
      <c r="G569" s="1" t="s">
        <v>372</v>
      </c>
      <c r="H569" s="1" t="s">
        <v>2</v>
      </c>
      <c r="I569" s="2">
        <v>46177</v>
      </c>
      <c r="J569" s="1" t="s">
        <v>18</v>
      </c>
      <c r="K569" s="1" t="s">
        <v>2335</v>
      </c>
      <c r="L569" s="2">
        <v>46177.92087962963</v>
      </c>
      <c r="M569" s="2">
        <v>46177.921329212964</v>
      </c>
    </row>
    <row r="570" spans="1:13" x14ac:dyDescent="0.35">
      <c r="A570" s="1" t="s">
        <v>345</v>
      </c>
      <c r="B570" s="1" t="s">
        <v>13</v>
      </c>
      <c r="C570" s="1" t="s">
        <v>346</v>
      </c>
      <c r="D570">
        <v>2.875</v>
      </c>
      <c r="E570" s="2">
        <v>55654</v>
      </c>
      <c r="F570" s="1" t="s">
        <v>16</v>
      </c>
      <c r="G570" s="1" t="s">
        <v>346</v>
      </c>
      <c r="H570" s="1" t="s">
        <v>2</v>
      </c>
      <c r="I570" s="2">
        <v>46177</v>
      </c>
      <c r="J570" s="1" t="s">
        <v>17</v>
      </c>
      <c r="K570" s="1" t="s">
        <v>2326</v>
      </c>
      <c r="L570" s="2">
        <v>46177.92087962963</v>
      </c>
      <c r="M570" s="2">
        <v>46177.921329212964</v>
      </c>
    </row>
    <row r="571" spans="1:13" x14ac:dyDescent="0.35">
      <c r="A571" s="1" t="s">
        <v>345</v>
      </c>
      <c r="B571" s="1" t="s">
        <v>13</v>
      </c>
      <c r="C571" s="1" t="s">
        <v>346</v>
      </c>
      <c r="D571">
        <v>2.875</v>
      </c>
      <c r="E571" s="2">
        <v>55654</v>
      </c>
      <c r="F571" s="1" t="s">
        <v>16</v>
      </c>
      <c r="G571" s="1" t="s">
        <v>346</v>
      </c>
      <c r="H571" s="1" t="s">
        <v>2</v>
      </c>
      <c r="I571" s="2">
        <v>46177</v>
      </c>
      <c r="J571" s="1" t="s">
        <v>18</v>
      </c>
      <c r="K571" s="1" t="s">
        <v>2658</v>
      </c>
      <c r="L571" s="2">
        <v>46177.92087962963</v>
      </c>
      <c r="M571" s="2">
        <v>46177.921329212964</v>
      </c>
    </row>
    <row r="572" spans="1:13" x14ac:dyDescent="0.35">
      <c r="A572" s="1" t="s">
        <v>426</v>
      </c>
      <c r="B572" s="1" t="s">
        <v>13</v>
      </c>
      <c r="C572" s="1" t="s">
        <v>427</v>
      </c>
      <c r="D572">
        <v>3.25</v>
      </c>
      <c r="E572" s="2">
        <v>52001</v>
      </c>
      <c r="F572" s="1" t="s">
        <v>16</v>
      </c>
      <c r="G572" s="1" t="s">
        <v>427</v>
      </c>
      <c r="H572" s="1" t="s">
        <v>2</v>
      </c>
      <c r="I572" s="2">
        <v>46177</v>
      </c>
      <c r="J572" s="1" t="s">
        <v>18</v>
      </c>
      <c r="K572" s="1" t="s">
        <v>3014</v>
      </c>
      <c r="L572" s="2">
        <v>46177.92087962963</v>
      </c>
      <c r="M572" s="2">
        <v>46177.921329212964</v>
      </c>
    </row>
    <row r="573" spans="1:13" x14ac:dyDescent="0.35">
      <c r="A573" s="1" t="s">
        <v>426</v>
      </c>
      <c r="B573" s="1" t="s">
        <v>13</v>
      </c>
      <c r="C573" s="1" t="s">
        <v>427</v>
      </c>
      <c r="D573">
        <v>3.25</v>
      </c>
      <c r="E573" s="2">
        <v>52001</v>
      </c>
      <c r="F573" s="1" t="s">
        <v>16</v>
      </c>
      <c r="G573" s="1" t="s">
        <v>427</v>
      </c>
      <c r="H573" s="1" t="s">
        <v>2</v>
      </c>
      <c r="I573" s="2">
        <v>46177</v>
      </c>
      <c r="J573" s="1" t="s">
        <v>17</v>
      </c>
      <c r="K573" s="1" t="s">
        <v>2351</v>
      </c>
      <c r="L573" s="2">
        <v>46177.92087962963</v>
      </c>
      <c r="M573" s="2">
        <v>46177.921329212964</v>
      </c>
    </row>
    <row r="574" spans="1:13" x14ac:dyDescent="0.35">
      <c r="A574" s="1" t="s">
        <v>347</v>
      </c>
      <c r="B574" s="1" t="s">
        <v>13</v>
      </c>
      <c r="C574" s="1" t="s">
        <v>348</v>
      </c>
      <c r="D574">
        <v>3</v>
      </c>
      <c r="E574" s="2">
        <v>55746</v>
      </c>
      <c r="F574" s="1" t="s">
        <v>16</v>
      </c>
      <c r="G574" s="1" t="s">
        <v>348</v>
      </c>
      <c r="H574" s="1" t="s">
        <v>2</v>
      </c>
      <c r="I574" s="2">
        <v>46177</v>
      </c>
      <c r="J574" s="1" t="s">
        <v>17</v>
      </c>
      <c r="K574" s="1" t="s">
        <v>2316</v>
      </c>
      <c r="L574" s="2">
        <v>46177.92087962963</v>
      </c>
      <c r="M574" s="2">
        <v>46177.921329212964</v>
      </c>
    </row>
    <row r="575" spans="1:13" x14ac:dyDescent="0.35">
      <c r="A575" s="1" t="s">
        <v>347</v>
      </c>
      <c r="B575" s="1" t="s">
        <v>13</v>
      </c>
      <c r="C575" s="1" t="s">
        <v>348</v>
      </c>
      <c r="D575">
        <v>3</v>
      </c>
      <c r="E575" s="2">
        <v>55746</v>
      </c>
      <c r="F575" s="1" t="s">
        <v>16</v>
      </c>
      <c r="G575" s="1" t="s">
        <v>348</v>
      </c>
      <c r="H575" s="1" t="s">
        <v>2</v>
      </c>
      <c r="I575" s="2">
        <v>46177</v>
      </c>
      <c r="J575" s="1" t="s">
        <v>18</v>
      </c>
      <c r="K575" s="1" t="s">
        <v>2368</v>
      </c>
      <c r="L575" s="2">
        <v>46177.92087962963</v>
      </c>
      <c r="M575" s="2">
        <v>46177.921329212964</v>
      </c>
    </row>
    <row r="576" spans="1:13" x14ac:dyDescent="0.35">
      <c r="A576" s="1" t="s">
        <v>373</v>
      </c>
      <c r="B576" s="1" t="s">
        <v>13</v>
      </c>
      <c r="C576" s="1" t="s">
        <v>374</v>
      </c>
      <c r="D576">
        <v>3.375</v>
      </c>
      <c r="E576" s="2">
        <v>52093</v>
      </c>
      <c r="F576" s="1" t="s">
        <v>16</v>
      </c>
      <c r="G576" s="1" t="s">
        <v>374</v>
      </c>
      <c r="H576" s="1" t="s">
        <v>2</v>
      </c>
      <c r="I576" s="2">
        <v>46177</v>
      </c>
      <c r="J576" s="1" t="s">
        <v>18</v>
      </c>
      <c r="K576" s="1" t="s">
        <v>2357</v>
      </c>
      <c r="L576" s="2">
        <v>46177.92087962963</v>
      </c>
      <c r="M576" s="2">
        <v>46177.921329212964</v>
      </c>
    </row>
    <row r="577" spans="1:13" x14ac:dyDescent="0.35">
      <c r="A577" s="1" t="s">
        <v>373</v>
      </c>
      <c r="B577" s="1" t="s">
        <v>13</v>
      </c>
      <c r="C577" s="1" t="s">
        <v>374</v>
      </c>
      <c r="D577">
        <v>3.375</v>
      </c>
      <c r="E577" s="2">
        <v>52093</v>
      </c>
      <c r="F577" s="1" t="s">
        <v>16</v>
      </c>
      <c r="G577" s="1" t="s">
        <v>374</v>
      </c>
      <c r="H577" s="1" t="s">
        <v>2</v>
      </c>
      <c r="I577" s="2">
        <v>46177</v>
      </c>
      <c r="J577" s="1" t="s">
        <v>17</v>
      </c>
      <c r="K577" s="1" t="s">
        <v>4560</v>
      </c>
      <c r="L577" s="2">
        <v>46177.92087962963</v>
      </c>
      <c r="M577" s="2">
        <v>46177.921329212964</v>
      </c>
    </row>
    <row r="578" spans="1:13" x14ac:dyDescent="0.35">
      <c r="A578" s="1" t="s">
        <v>428</v>
      </c>
      <c r="B578" s="1" t="s">
        <v>13</v>
      </c>
      <c r="C578" s="1" t="s">
        <v>429</v>
      </c>
      <c r="D578">
        <v>4</v>
      </c>
      <c r="E578" s="2">
        <v>55838</v>
      </c>
      <c r="F578" s="1" t="s">
        <v>16</v>
      </c>
      <c r="G578" s="1" t="s">
        <v>429</v>
      </c>
      <c r="H578" s="1" t="s">
        <v>2</v>
      </c>
      <c r="I578" s="2">
        <v>46177</v>
      </c>
      <c r="J578" s="1" t="s">
        <v>18</v>
      </c>
      <c r="K578" s="1" t="s">
        <v>4544</v>
      </c>
      <c r="L578" s="2">
        <v>46177.92087962963</v>
      </c>
      <c r="M578" s="2">
        <v>46177.921329212964</v>
      </c>
    </row>
    <row r="579" spans="1:13" x14ac:dyDescent="0.35">
      <c r="A579" s="1" t="s">
        <v>428</v>
      </c>
      <c r="B579" s="1" t="s">
        <v>13</v>
      </c>
      <c r="C579" s="1" t="s">
        <v>429</v>
      </c>
      <c r="D579">
        <v>4</v>
      </c>
      <c r="E579" s="2">
        <v>55838</v>
      </c>
      <c r="F579" s="1" t="s">
        <v>16</v>
      </c>
      <c r="G579" s="1" t="s">
        <v>429</v>
      </c>
      <c r="H579" s="1" t="s">
        <v>2</v>
      </c>
      <c r="I579" s="2">
        <v>46177</v>
      </c>
      <c r="J579" s="1" t="s">
        <v>17</v>
      </c>
      <c r="K579" s="1" t="s">
        <v>2350</v>
      </c>
      <c r="L579" s="2">
        <v>46177.92087962963</v>
      </c>
      <c r="M579" s="2">
        <v>46177.921329212964</v>
      </c>
    </row>
    <row r="580" spans="1:13" x14ac:dyDescent="0.35">
      <c r="A580" s="1" t="s">
        <v>295</v>
      </c>
      <c r="B580" s="1" t="s">
        <v>13</v>
      </c>
      <c r="C580" s="1" t="s">
        <v>296</v>
      </c>
      <c r="D580">
        <v>4</v>
      </c>
      <c r="E580" s="2">
        <v>52185</v>
      </c>
      <c r="F580" s="1" t="s">
        <v>16</v>
      </c>
      <c r="G580" s="1" t="s">
        <v>296</v>
      </c>
      <c r="H580" s="1" t="s">
        <v>2</v>
      </c>
      <c r="I580" s="2">
        <v>46177</v>
      </c>
      <c r="J580" s="1" t="s">
        <v>18</v>
      </c>
      <c r="K580" s="1" t="s">
        <v>3016</v>
      </c>
      <c r="L580" s="2">
        <v>46177.92087962963</v>
      </c>
      <c r="M580" s="2">
        <v>46177.921329212964</v>
      </c>
    </row>
    <row r="581" spans="1:13" x14ac:dyDescent="0.35">
      <c r="A581" s="1" t="s">
        <v>295</v>
      </c>
      <c r="B581" s="1" t="s">
        <v>13</v>
      </c>
      <c r="C581" s="1" t="s">
        <v>296</v>
      </c>
      <c r="D581">
        <v>4</v>
      </c>
      <c r="E581" s="2">
        <v>52185</v>
      </c>
      <c r="F581" s="1" t="s">
        <v>16</v>
      </c>
      <c r="G581" s="1" t="s">
        <v>296</v>
      </c>
      <c r="H581" s="1" t="s">
        <v>2</v>
      </c>
      <c r="I581" s="2">
        <v>46177</v>
      </c>
      <c r="J581" s="1" t="s">
        <v>17</v>
      </c>
      <c r="K581" s="1" t="s">
        <v>2341</v>
      </c>
      <c r="L581" s="2">
        <v>46177.92087962963</v>
      </c>
      <c r="M581" s="2">
        <v>46177.921329212964</v>
      </c>
    </row>
    <row r="582" spans="1:13" x14ac:dyDescent="0.35">
      <c r="A582" s="1" t="s">
        <v>297</v>
      </c>
      <c r="B582" s="1" t="s">
        <v>13</v>
      </c>
      <c r="C582" s="1" t="s">
        <v>298</v>
      </c>
      <c r="D582">
        <v>3.625</v>
      </c>
      <c r="E582" s="2">
        <v>55930</v>
      </c>
      <c r="F582" s="1" t="s">
        <v>16</v>
      </c>
      <c r="G582" s="1" t="s">
        <v>298</v>
      </c>
      <c r="H582" s="1" t="s">
        <v>2</v>
      </c>
      <c r="I582" s="2">
        <v>46177</v>
      </c>
      <c r="J582" s="1" t="s">
        <v>17</v>
      </c>
      <c r="K582" s="1" t="s">
        <v>4537</v>
      </c>
      <c r="L582" s="2">
        <v>46177.92087962963</v>
      </c>
      <c r="M582" s="2">
        <v>46177.921329212964</v>
      </c>
    </row>
    <row r="583" spans="1:13" x14ac:dyDescent="0.35">
      <c r="A583" s="1" t="s">
        <v>297</v>
      </c>
      <c r="B583" s="1" t="s">
        <v>13</v>
      </c>
      <c r="C583" s="1" t="s">
        <v>298</v>
      </c>
      <c r="D583">
        <v>3.625</v>
      </c>
      <c r="E583" s="2">
        <v>55930</v>
      </c>
      <c r="F583" s="1" t="s">
        <v>16</v>
      </c>
      <c r="G583" s="1" t="s">
        <v>298</v>
      </c>
      <c r="H583" s="1" t="s">
        <v>2</v>
      </c>
      <c r="I583" s="2">
        <v>46177</v>
      </c>
      <c r="J583" s="1" t="s">
        <v>18</v>
      </c>
      <c r="K583" s="1" t="s">
        <v>2331</v>
      </c>
      <c r="L583" s="2">
        <v>46177.92087962963</v>
      </c>
      <c r="M583" s="2">
        <v>46177.921329212964</v>
      </c>
    </row>
    <row r="584" spans="1:13" x14ac:dyDescent="0.35">
      <c r="A584" s="1" t="s">
        <v>299</v>
      </c>
      <c r="B584" s="1" t="s">
        <v>13</v>
      </c>
      <c r="C584" s="1" t="s">
        <v>300</v>
      </c>
      <c r="D584">
        <v>1.5</v>
      </c>
      <c r="E584" s="2">
        <v>55930</v>
      </c>
      <c r="F584" s="1" t="s">
        <v>64</v>
      </c>
      <c r="G584" s="1" t="s">
        <v>300</v>
      </c>
      <c r="H584" s="1" t="s">
        <v>2</v>
      </c>
      <c r="I584" s="2">
        <v>46177</v>
      </c>
      <c r="J584" s="1" t="s">
        <v>17</v>
      </c>
      <c r="K584" s="1" t="s">
        <v>3040</v>
      </c>
      <c r="L584" s="2">
        <v>46177.92087962963</v>
      </c>
      <c r="M584" s="2">
        <v>46177.921329212964</v>
      </c>
    </row>
    <row r="585" spans="1:13" x14ac:dyDescent="0.35">
      <c r="A585" s="1" t="s">
        <v>299</v>
      </c>
      <c r="B585" s="1" t="s">
        <v>13</v>
      </c>
      <c r="C585" s="1" t="s">
        <v>300</v>
      </c>
      <c r="D585">
        <v>1.5</v>
      </c>
      <c r="E585" s="2">
        <v>55930</v>
      </c>
      <c r="F585" s="1" t="s">
        <v>64</v>
      </c>
      <c r="G585" s="1" t="s">
        <v>300</v>
      </c>
      <c r="H585" s="1" t="s">
        <v>2</v>
      </c>
      <c r="I585" s="2">
        <v>46177</v>
      </c>
      <c r="J585" s="1" t="s">
        <v>18</v>
      </c>
      <c r="K585" s="1" t="s">
        <v>2541</v>
      </c>
      <c r="L585" s="2">
        <v>46177.92087962963</v>
      </c>
      <c r="M585" s="2">
        <v>46177.921329212964</v>
      </c>
    </row>
    <row r="586" spans="1:13" x14ac:dyDescent="0.35">
      <c r="A586" s="1" t="s">
        <v>349</v>
      </c>
      <c r="B586" s="1" t="s">
        <v>13</v>
      </c>
      <c r="C586" s="1" t="s">
        <v>350</v>
      </c>
      <c r="D586">
        <v>3.875</v>
      </c>
      <c r="E586" s="2">
        <v>52277</v>
      </c>
      <c r="F586" s="1" t="s">
        <v>16</v>
      </c>
      <c r="G586" s="1" t="s">
        <v>350</v>
      </c>
      <c r="H586" s="1" t="s">
        <v>2</v>
      </c>
      <c r="I586" s="2">
        <v>46177</v>
      </c>
      <c r="J586" s="1" t="s">
        <v>17</v>
      </c>
      <c r="K586" s="1" t="s">
        <v>2375</v>
      </c>
      <c r="L586" s="2">
        <v>46177.92087962963</v>
      </c>
      <c r="M586" s="2">
        <v>46177.921329212964</v>
      </c>
    </row>
    <row r="587" spans="1:13" x14ac:dyDescent="0.35">
      <c r="A587" s="1" t="s">
        <v>349</v>
      </c>
      <c r="B587" s="1" t="s">
        <v>13</v>
      </c>
      <c r="C587" s="1" t="s">
        <v>350</v>
      </c>
      <c r="D587">
        <v>3.875</v>
      </c>
      <c r="E587" s="2">
        <v>52277</v>
      </c>
      <c r="F587" s="1" t="s">
        <v>16</v>
      </c>
      <c r="G587" s="1" t="s">
        <v>350</v>
      </c>
      <c r="H587" s="1" t="s">
        <v>2</v>
      </c>
      <c r="I587" s="2">
        <v>46177</v>
      </c>
      <c r="J587" s="1" t="s">
        <v>18</v>
      </c>
      <c r="K587" s="1" t="s">
        <v>2648</v>
      </c>
      <c r="L587" s="2">
        <v>46177.92087962963</v>
      </c>
      <c r="M587" s="2">
        <v>46177.921329212964</v>
      </c>
    </row>
    <row r="588" spans="1:13" x14ac:dyDescent="0.35">
      <c r="A588" s="1" t="s">
        <v>351</v>
      </c>
      <c r="B588" s="1" t="s">
        <v>13</v>
      </c>
      <c r="C588" s="1" t="s">
        <v>352</v>
      </c>
      <c r="D588">
        <v>3.625</v>
      </c>
      <c r="E588" s="2">
        <v>56019</v>
      </c>
      <c r="F588" s="1" t="s">
        <v>16</v>
      </c>
      <c r="G588" s="1" t="s">
        <v>352</v>
      </c>
      <c r="H588" s="1" t="s">
        <v>2</v>
      </c>
      <c r="I588" s="2">
        <v>46177</v>
      </c>
      <c r="J588" s="1" t="s">
        <v>18</v>
      </c>
      <c r="K588" s="1" t="s">
        <v>2333</v>
      </c>
      <c r="L588" s="2">
        <v>46177.92087962963</v>
      </c>
      <c r="M588" s="2">
        <v>46177.921329212964</v>
      </c>
    </row>
    <row r="589" spans="1:13" x14ac:dyDescent="0.35">
      <c r="A589" s="1" t="s">
        <v>351</v>
      </c>
      <c r="B589" s="1" t="s">
        <v>13</v>
      </c>
      <c r="C589" s="1" t="s">
        <v>352</v>
      </c>
      <c r="D589">
        <v>3.625</v>
      </c>
      <c r="E589" s="2">
        <v>56019</v>
      </c>
      <c r="F589" s="1" t="s">
        <v>16</v>
      </c>
      <c r="G589" s="1" t="s">
        <v>352</v>
      </c>
      <c r="H589" s="1" t="s">
        <v>2</v>
      </c>
      <c r="I589" s="2">
        <v>46177</v>
      </c>
      <c r="J589" s="1" t="s">
        <v>17</v>
      </c>
      <c r="K589" s="1" t="s">
        <v>2337</v>
      </c>
      <c r="L589" s="2">
        <v>46177.92087962963</v>
      </c>
      <c r="M589" s="2">
        <v>46177.921329212964</v>
      </c>
    </row>
    <row r="590" spans="1:13" x14ac:dyDescent="0.35">
      <c r="A590" s="1" t="s">
        <v>457</v>
      </c>
      <c r="B590" s="1" t="s">
        <v>13</v>
      </c>
      <c r="C590" s="1" t="s">
        <v>458</v>
      </c>
      <c r="D590">
        <v>3.875</v>
      </c>
      <c r="E590" s="2">
        <v>52366</v>
      </c>
      <c r="F590" s="1" t="s">
        <v>16</v>
      </c>
      <c r="G590" s="1" t="s">
        <v>458</v>
      </c>
      <c r="H590" s="1" t="s">
        <v>2</v>
      </c>
      <c r="I590" s="2">
        <v>46177</v>
      </c>
      <c r="J590" s="1" t="s">
        <v>17</v>
      </c>
      <c r="K590" s="1" t="s">
        <v>4489</v>
      </c>
      <c r="L590" s="2">
        <v>46177.92087962963</v>
      </c>
      <c r="M590" s="2">
        <v>46177.921329212964</v>
      </c>
    </row>
    <row r="591" spans="1:13" x14ac:dyDescent="0.35">
      <c r="A591" s="1" t="s">
        <v>457</v>
      </c>
      <c r="B591" s="1" t="s">
        <v>13</v>
      </c>
      <c r="C591" s="1" t="s">
        <v>458</v>
      </c>
      <c r="D591">
        <v>3.875</v>
      </c>
      <c r="E591" s="2">
        <v>52366</v>
      </c>
      <c r="F591" s="1" t="s">
        <v>16</v>
      </c>
      <c r="G591" s="1" t="s">
        <v>458</v>
      </c>
      <c r="H591" s="1" t="s">
        <v>2</v>
      </c>
      <c r="I591" s="2">
        <v>46177</v>
      </c>
      <c r="J591" s="1" t="s">
        <v>18</v>
      </c>
      <c r="K591" s="1" t="s">
        <v>4561</v>
      </c>
      <c r="L591" s="2">
        <v>46177.92087962963</v>
      </c>
      <c r="M591" s="2">
        <v>46177.921329212964</v>
      </c>
    </row>
    <row r="592" spans="1:13" x14ac:dyDescent="0.35">
      <c r="A592" s="1" t="s">
        <v>431</v>
      </c>
      <c r="B592" s="1" t="s">
        <v>13</v>
      </c>
      <c r="C592" s="1" t="s">
        <v>432</v>
      </c>
      <c r="D592">
        <v>4.125</v>
      </c>
      <c r="E592" s="2">
        <v>56111</v>
      </c>
      <c r="F592" s="1" t="s">
        <v>16</v>
      </c>
      <c r="G592" s="1" t="s">
        <v>432</v>
      </c>
      <c r="H592" s="1" t="s">
        <v>2</v>
      </c>
      <c r="I592" s="2">
        <v>46177</v>
      </c>
      <c r="J592" s="1" t="s">
        <v>18</v>
      </c>
      <c r="K592" s="1" t="s">
        <v>4516</v>
      </c>
      <c r="L592" s="2">
        <v>46177.92087962963</v>
      </c>
      <c r="M592" s="2">
        <v>46177.921329212964</v>
      </c>
    </row>
    <row r="593" spans="1:13" x14ac:dyDescent="0.35">
      <c r="A593" s="1" t="s">
        <v>431</v>
      </c>
      <c r="B593" s="1" t="s">
        <v>13</v>
      </c>
      <c r="C593" s="1" t="s">
        <v>432</v>
      </c>
      <c r="D593">
        <v>4.125</v>
      </c>
      <c r="E593" s="2">
        <v>56111</v>
      </c>
      <c r="F593" s="1" t="s">
        <v>16</v>
      </c>
      <c r="G593" s="1" t="s">
        <v>432</v>
      </c>
      <c r="H593" s="1" t="s">
        <v>2</v>
      </c>
      <c r="I593" s="2">
        <v>46177</v>
      </c>
      <c r="J593" s="1" t="s">
        <v>17</v>
      </c>
      <c r="K593" s="1" t="s">
        <v>4490</v>
      </c>
      <c r="L593" s="2">
        <v>46177.92087962963</v>
      </c>
      <c r="M593" s="2">
        <v>46177.921329212964</v>
      </c>
    </row>
    <row r="594" spans="1:13" x14ac:dyDescent="0.35">
      <c r="A594" s="1" t="s">
        <v>465</v>
      </c>
      <c r="B594" s="1" t="s">
        <v>13</v>
      </c>
      <c r="C594" s="1" t="s">
        <v>466</v>
      </c>
      <c r="D594">
        <v>4.375</v>
      </c>
      <c r="E594" s="2">
        <v>52458</v>
      </c>
      <c r="F594" s="1" t="s">
        <v>16</v>
      </c>
      <c r="G594" s="1" t="s">
        <v>466</v>
      </c>
      <c r="H594" s="1" t="s">
        <v>2</v>
      </c>
      <c r="I594" s="2">
        <v>46177</v>
      </c>
      <c r="J594" s="1" t="s">
        <v>18</v>
      </c>
      <c r="K594" s="1" t="s">
        <v>4498</v>
      </c>
      <c r="L594" s="2">
        <v>46177.92087962963</v>
      </c>
      <c r="M594" s="2">
        <v>46177.921329212964</v>
      </c>
    </row>
    <row r="595" spans="1:13" x14ac:dyDescent="0.35">
      <c r="A595" s="1" t="s">
        <v>465</v>
      </c>
      <c r="B595" s="1" t="s">
        <v>13</v>
      </c>
      <c r="C595" s="1" t="s">
        <v>466</v>
      </c>
      <c r="D595">
        <v>4.375</v>
      </c>
      <c r="E595" s="2">
        <v>52458</v>
      </c>
      <c r="F595" s="1" t="s">
        <v>16</v>
      </c>
      <c r="G595" s="1" t="s">
        <v>466</v>
      </c>
      <c r="H595" s="1" t="s">
        <v>2</v>
      </c>
      <c r="I595" s="2">
        <v>46177</v>
      </c>
      <c r="J595" s="1" t="s">
        <v>17</v>
      </c>
      <c r="K595" s="1" t="s">
        <v>3022</v>
      </c>
      <c r="L595" s="2">
        <v>46177.92087962963</v>
      </c>
      <c r="M595" s="2">
        <v>46177.921329212964</v>
      </c>
    </row>
    <row r="596" spans="1:13" x14ac:dyDescent="0.35">
      <c r="A596" s="1" t="s">
        <v>204</v>
      </c>
      <c r="B596" s="1" t="s">
        <v>13</v>
      </c>
      <c r="C596" s="1" t="s">
        <v>205</v>
      </c>
      <c r="D596">
        <v>4.75</v>
      </c>
      <c r="E596" s="2">
        <v>56203</v>
      </c>
      <c r="F596" s="1" t="s">
        <v>16</v>
      </c>
      <c r="G596" s="1" t="s">
        <v>205</v>
      </c>
      <c r="H596" s="1" t="s">
        <v>2</v>
      </c>
      <c r="I596" s="2">
        <v>46177</v>
      </c>
      <c r="J596" s="1" t="s">
        <v>18</v>
      </c>
      <c r="K596" s="1" t="s">
        <v>2896</v>
      </c>
      <c r="L596" s="2">
        <v>46177.92087962963</v>
      </c>
      <c r="M596" s="2">
        <v>46177.921329212964</v>
      </c>
    </row>
    <row r="597" spans="1:13" x14ac:dyDescent="0.35">
      <c r="A597" s="1" t="s">
        <v>204</v>
      </c>
      <c r="B597" s="1" t="s">
        <v>13</v>
      </c>
      <c r="C597" s="1" t="s">
        <v>205</v>
      </c>
      <c r="D597">
        <v>4.75</v>
      </c>
      <c r="E597" s="2">
        <v>56203</v>
      </c>
      <c r="F597" s="1" t="s">
        <v>16</v>
      </c>
      <c r="G597" s="1" t="s">
        <v>205</v>
      </c>
      <c r="H597" s="1" t="s">
        <v>2</v>
      </c>
      <c r="I597" s="2">
        <v>46177</v>
      </c>
      <c r="J597" s="1" t="s">
        <v>17</v>
      </c>
      <c r="K597" s="1" t="s">
        <v>61</v>
      </c>
      <c r="L597" s="2">
        <v>46177.92087962963</v>
      </c>
      <c r="M597" s="2">
        <v>46177.921329212964</v>
      </c>
    </row>
    <row r="598" spans="1:13" x14ac:dyDescent="0.35">
      <c r="A598" s="1" t="s">
        <v>353</v>
      </c>
      <c r="B598" s="1" t="s">
        <v>13</v>
      </c>
      <c r="C598" s="1" t="s">
        <v>354</v>
      </c>
      <c r="D598">
        <v>4.75</v>
      </c>
      <c r="E598" s="2">
        <v>52550</v>
      </c>
      <c r="F598" s="1" t="s">
        <v>16</v>
      </c>
      <c r="G598" s="1" t="s">
        <v>354</v>
      </c>
      <c r="H598" s="1" t="s">
        <v>2</v>
      </c>
      <c r="I598" s="2">
        <v>46177</v>
      </c>
      <c r="J598" s="1" t="s">
        <v>18</v>
      </c>
      <c r="K598" s="1" t="s">
        <v>3027</v>
      </c>
      <c r="L598" s="2">
        <v>46177.92087962963</v>
      </c>
      <c r="M598" s="2">
        <v>46177.921329212964</v>
      </c>
    </row>
    <row r="599" spans="1:13" x14ac:dyDescent="0.35">
      <c r="A599" s="1" t="s">
        <v>353</v>
      </c>
      <c r="B599" s="1" t="s">
        <v>13</v>
      </c>
      <c r="C599" s="1" t="s">
        <v>354</v>
      </c>
      <c r="D599">
        <v>4.75</v>
      </c>
      <c r="E599" s="2">
        <v>52550</v>
      </c>
      <c r="F599" s="1" t="s">
        <v>16</v>
      </c>
      <c r="G599" s="1" t="s">
        <v>354</v>
      </c>
      <c r="H599" s="1" t="s">
        <v>2</v>
      </c>
      <c r="I599" s="2">
        <v>46177</v>
      </c>
      <c r="J599" s="1" t="s">
        <v>17</v>
      </c>
      <c r="K599" s="1" t="s">
        <v>2537</v>
      </c>
      <c r="L599" s="2">
        <v>46177.92087962963</v>
      </c>
      <c r="M599" s="2">
        <v>46177.921329212964</v>
      </c>
    </row>
    <row r="600" spans="1:13" x14ac:dyDescent="0.35">
      <c r="A600" s="1" t="s">
        <v>433</v>
      </c>
      <c r="B600" s="1" t="s">
        <v>13</v>
      </c>
      <c r="C600" s="1" t="s">
        <v>434</v>
      </c>
      <c r="D600">
        <v>4.25</v>
      </c>
      <c r="E600" s="2">
        <v>56295</v>
      </c>
      <c r="F600" s="1" t="s">
        <v>16</v>
      </c>
      <c r="G600" s="1" t="s">
        <v>434</v>
      </c>
      <c r="H600" s="1" t="s">
        <v>2</v>
      </c>
      <c r="I600" s="2">
        <v>46177</v>
      </c>
      <c r="J600" s="1" t="s">
        <v>18</v>
      </c>
      <c r="K600" s="1" t="s">
        <v>2334</v>
      </c>
      <c r="L600" s="2">
        <v>46177.92087962963</v>
      </c>
      <c r="M600" s="2">
        <v>46177.921329212964</v>
      </c>
    </row>
    <row r="601" spans="1:13" x14ac:dyDescent="0.35">
      <c r="A601" s="1" t="s">
        <v>433</v>
      </c>
      <c r="B601" s="1" t="s">
        <v>13</v>
      </c>
      <c r="C601" s="1" t="s">
        <v>434</v>
      </c>
      <c r="D601">
        <v>4.25</v>
      </c>
      <c r="E601" s="2">
        <v>56295</v>
      </c>
      <c r="F601" s="1" t="s">
        <v>16</v>
      </c>
      <c r="G601" s="1" t="s">
        <v>434</v>
      </c>
      <c r="H601" s="1" t="s">
        <v>2</v>
      </c>
      <c r="I601" s="2">
        <v>46177</v>
      </c>
      <c r="J601" s="1" t="s">
        <v>17</v>
      </c>
      <c r="K601" s="1" t="s">
        <v>2343</v>
      </c>
      <c r="L601" s="2">
        <v>46177.92087962963</v>
      </c>
      <c r="M601" s="2">
        <v>46177.921329212964</v>
      </c>
    </row>
    <row r="602" spans="1:13" x14ac:dyDescent="0.35">
      <c r="A602" s="1" t="s">
        <v>301</v>
      </c>
      <c r="B602" s="1" t="s">
        <v>13</v>
      </c>
      <c r="C602" s="1" t="s">
        <v>302</v>
      </c>
      <c r="D602">
        <v>2.125</v>
      </c>
      <c r="E602" s="2">
        <v>56295</v>
      </c>
      <c r="F602" s="1" t="s">
        <v>64</v>
      </c>
      <c r="G602" s="1" t="s">
        <v>302</v>
      </c>
      <c r="H602" s="1" t="s">
        <v>2</v>
      </c>
      <c r="I602" s="2">
        <v>46177</v>
      </c>
      <c r="J602" s="1" t="s">
        <v>17</v>
      </c>
      <c r="K602" s="1" t="s">
        <v>4525</v>
      </c>
      <c r="L602" s="2">
        <v>46177.92087962963</v>
      </c>
      <c r="M602" s="2">
        <v>46177.921329212964</v>
      </c>
    </row>
    <row r="603" spans="1:13" x14ac:dyDescent="0.35">
      <c r="A603" s="1" t="s">
        <v>301</v>
      </c>
      <c r="B603" s="1" t="s">
        <v>13</v>
      </c>
      <c r="C603" s="1" t="s">
        <v>302</v>
      </c>
      <c r="D603">
        <v>2.125</v>
      </c>
      <c r="E603" s="2">
        <v>56295</v>
      </c>
      <c r="F603" s="1" t="s">
        <v>64</v>
      </c>
      <c r="G603" s="1" t="s">
        <v>302</v>
      </c>
      <c r="H603" s="1" t="s">
        <v>2</v>
      </c>
      <c r="I603" s="2">
        <v>46177</v>
      </c>
      <c r="J603" s="1" t="s">
        <v>18</v>
      </c>
      <c r="K603" s="1" t="s">
        <v>4563</v>
      </c>
      <c r="L603" s="2">
        <v>46177.92087962963</v>
      </c>
      <c r="M603" s="2">
        <v>46177.921329212964</v>
      </c>
    </row>
    <row r="604" spans="1:13" x14ac:dyDescent="0.35">
      <c r="A604" s="1" t="s">
        <v>375</v>
      </c>
      <c r="B604" s="1" t="s">
        <v>13</v>
      </c>
      <c r="C604" s="1" t="s">
        <v>376</v>
      </c>
      <c r="D604">
        <v>4.5</v>
      </c>
      <c r="E604" s="2">
        <v>52642</v>
      </c>
      <c r="F604" s="1" t="s">
        <v>16</v>
      </c>
      <c r="G604" s="1" t="s">
        <v>376</v>
      </c>
      <c r="H604" s="1" t="s">
        <v>2</v>
      </c>
      <c r="I604" s="2">
        <v>46177</v>
      </c>
      <c r="J604" s="1" t="s">
        <v>18</v>
      </c>
      <c r="K604" s="1" t="s">
        <v>2385</v>
      </c>
      <c r="L604" s="2">
        <v>46177.92087962963</v>
      </c>
      <c r="M604" s="2">
        <v>46177.921329212964</v>
      </c>
    </row>
    <row r="605" spans="1:13" x14ac:dyDescent="0.35">
      <c r="A605" s="1" t="s">
        <v>375</v>
      </c>
      <c r="B605" s="1" t="s">
        <v>13</v>
      </c>
      <c r="C605" s="1" t="s">
        <v>376</v>
      </c>
      <c r="D605">
        <v>4.5</v>
      </c>
      <c r="E605" s="2">
        <v>52642</v>
      </c>
      <c r="F605" s="1" t="s">
        <v>16</v>
      </c>
      <c r="G605" s="1" t="s">
        <v>376</v>
      </c>
      <c r="H605" s="1" t="s">
        <v>2</v>
      </c>
      <c r="I605" s="2">
        <v>46177</v>
      </c>
      <c r="J605" s="1" t="s">
        <v>17</v>
      </c>
      <c r="K605" s="1" t="s">
        <v>3024</v>
      </c>
      <c r="L605" s="2">
        <v>46177.92087962963</v>
      </c>
      <c r="M605" s="2">
        <v>46177.921329212964</v>
      </c>
    </row>
    <row r="606" spans="1:13" x14ac:dyDescent="0.35">
      <c r="A606" s="1" t="s">
        <v>377</v>
      </c>
      <c r="B606" s="1" t="s">
        <v>13</v>
      </c>
      <c r="C606" s="1" t="s">
        <v>378</v>
      </c>
      <c r="D606">
        <v>4.625</v>
      </c>
      <c r="E606" s="2">
        <v>56384</v>
      </c>
      <c r="F606" s="1" t="s">
        <v>16</v>
      </c>
      <c r="G606" s="1" t="s">
        <v>378</v>
      </c>
      <c r="H606" s="1" t="s">
        <v>2</v>
      </c>
      <c r="I606" s="2">
        <v>46177</v>
      </c>
      <c r="J606" s="1" t="s">
        <v>18</v>
      </c>
      <c r="K606" s="1" t="s">
        <v>2336</v>
      </c>
      <c r="L606" s="2">
        <v>46177.92087962963</v>
      </c>
      <c r="M606" s="2">
        <v>46177.921329212964</v>
      </c>
    </row>
    <row r="607" spans="1:13" x14ac:dyDescent="0.35">
      <c r="A607" s="1" t="s">
        <v>377</v>
      </c>
      <c r="B607" s="1" t="s">
        <v>13</v>
      </c>
      <c r="C607" s="1" t="s">
        <v>378</v>
      </c>
      <c r="D607">
        <v>4.625</v>
      </c>
      <c r="E607" s="2">
        <v>56384</v>
      </c>
      <c r="F607" s="1" t="s">
        <v>16</v>
      </c>
      <c r="G607" s="1" t="s">
        <v>378</v>
      </c>
      <c r="H607" s="1" t="s">
        <v>2</v>
      </c>
      <c r="I607" s="2">
        <v>46177</v>
      </c>
      <c r="J607" s="1" t="s">
        <v>17</v>
      </c>
      <c r="K607" s="1" t="s">
        <v>2651</v>
      </c>
      <c r="L607" s="2">
        <v>46177.92087962963</v>
      </c>
      <c r="M607" s="2">
        <v>46177.921329212964</v>
      </c>
    </row>
    <row r="608" spans="1:13" x14ac:dyDescent="0.35">
      <c r="A608" s="1" t="s">
        <v>435</v>
      </c>
      <c r="B608" s="1" t="s">
        <v>13</v>
      </c>
      <c r="C608" s="1" t="s">
        <v>436</v>
      </c>
      <c r="D608">
        <v>4.625</v>
      </c>
      <c r="E608" s="2">
        <v>52732</v>
      </c>
      <c r="F608" s="1" t="s">
        <v>16</v>
      </c>
      <c r="G608" s="1" t="s">
        <v>436</v>
      </c>
      <c r="H608" s="1" t="s">
        <v>2</v>
      </c>
      <c r="I608" s="2">
        <v>46177</v>
      </c>
      <c r="J608" s="1" t="s">
        <v>18</v>
      </c>
      <c r="K608" s="1" t="s">
        <v>4526</v>
      </c>
      <c r="L608" s="2">
        <v>46177.92087962963</v>
      </c>
      <c r="M608" s="2">
        <v>46177.921329212964</v>
      </c>
    </row>
    <row r="609" spans="1:13" x14ac:dyDescent="0.35">
      <c r="A609" s="1" t="s">
        <v>435</v>
      </c>
      <c r="B609" s="1" t="s">
        <v>13</v>
      </c>
      <c r="C609" s="1" t="s">
        <v>436</v>
      </c>
      <c r="D609">
        <v>4.625</v>
      </c>
      <c r="E609" s="2">
        <v>52732</v>
      </c>
      <c r="F609" s="1" t="s">
        <v>16</v>
      </c>
      <c r="G609" s="1" t="s">
        <v>436</v>
      </c>
      <c r="H609" s="1" t="s">
        <v>2</v>
      </c>
      <c r="I609" s="2">
        <v>46177</v>
      </c>
      <c r="J609" s="1" t="s">
        <v>17</v>
      </c>
      <c r="K609" s="1" t="s">
        <v>2655</v>
      </c>
      <c r="L609" s="2">
        <v>46177.92087962963</v>
      </c>
      <c r="M609" s="2">
        <v>46177.921329212964</v>
      </c>
    </row>
    <row r="610" spans="1:13" x14ac:dyDescent="0.35">
      <c r="A610" s="1" t="s">
        <v>206</v>
      </c>
      <c r="B610" s="1" t="s">
        <v>13</v>
      </c>
      <c r="C610" s="1" t="s">
        <v>207</v>
      </c>
      <c r="D610">
        <v>4.25</v>
      </c>
      <c r="E610" s="2">
        <v>56476</v>
      </c>
      <c r="F610" s="1" t="s">
        <v>16</v>
      </c>
      <c r="G610" s="1" t="s">
        <v>207</v>
      </c>
      <c r="H610" s="1" t="s">
        <v>2</v>
      </c>
      <c r="I610" s="2">
        <v>46177</v>
      </c>
      <c r="J610" s="1" t="s">
        <v>17</v>
      </c>
      <c r="K610" s="1" t="s">
        <v>2904</v>
      </c>
      <c r="L610" s="2">
        <v>46177.92087962963</v>
      </c>
      <c r="M610" s="2">
        <v>46177.921329212964</v>
      </c>
    </row>
    <row r="611" spans="1:13" x14ac:dyDescent="0.35">
      <c r="A611" s="1" t="s">
        <v>206</v>
      </c>
      <c r="B611" s="1" t="s">
        <v>13</v>
      </c>
      <c r="C611" s="1" t="s">
        <v>207</v>
      </c>
      <c r="D611">
        <v>4.25</v>
      </c>
      <c r="E611" s="2">
        <v>56476</v>
      </c>
      <c r="F611" s="1" t="s">
        <v>16</v>
      </c>
      <c r="G611" s="1" t="s">
        <v>207</v>
      </c>
      <c r="H611" s="1" t="s">
        <v>2</v>
      </c>
      <c r="I611" s="2">
        <v>46177</v>
      </c>
      <c r="J611" s="1" t="s">
        <v>18</v>
      </c>
      <c r="K611" s="1" t="s">
        <v>2986</v>
      </c>
      <c r="L611" s="2">
        <v>46177.92087962963</v>
      </c>
      <c r="M611" s="2">
        <v>46177.921329212964</v>
      </c>
    </row>
    <row r="612" spans="1:13" x14ac:dyDescent="0.35">
      <c r="A612" s="1" t="s">
        <v>497</v>
      </c>
      <c r="B612" s="1" t="s">
        <v>13</v>
      </c>
      <c r="C612" s="1" t="s">
        <v>498</v>
      </c>
      <c r="D612">
        <v>4.125</v>
      </c>
      <c r="E612" s="2">
        <v>52824</v>
      </c>
      <c r="F612" s="1" t="s">
        <v>16</v>
      </c>
      <c r="G612" s="1" t="s">
        <v>498</v>
      </c>
      <c r="H612" s="1" t="s">
        <v>2</v>
      </c>
      <c r="I612" s="2">
        <v>46177</v>
      </c>
      <c r="J612" s="1" t="s">
        <v>18</v>
      </c>
      <c r="K612" s="1" t="s">
        <v>4564</v>
      </c>
      <c r="L612" s="2">
        <v>46177.92087962963</v>
      </c>
      <c r="M612" s="2">
        <v>46177.921329212964</v>
      </c>
    </row>
    <row r="613" spans="1:13" x14ac:dyDescent="0.35">
      <c r="A613" s="1" t="s">
        <v>497</v>
      </c>
      <c r="B613" s="1" t="s">
        <v>13</v>
      </c>
      <c r="C613" s="1" t="s">
        <v>498</v>
      </c>
      <c r="D613">
        <v>4.125</v>
      </c>
      <c r="E613" s="2">
        <v>52824</v>
      </c>
      <c r="F613" s="1" t="s">
        <v>16</v>
      </c>
      <c r="G613" s="1" t="s">
        <v>498</v>
      </c>
      <c r="H613" s="1" t="s">
        <v>2</v>
      </c>
      <c r="I613" s="2">
        <v>46177</v>
      </c>
      <c r="J613" s="1" t="s">
        <v>17</v>
      </c>
      <c r="K613" s="1" t="s">
        <v>2660</v>
      </c>
      <c r="L613" s="2">
        <v>46177.92087962963</v>
      </c>
      <c r="M613" s="2">
        <v>46177.921329212964</v>
      </c>
    </row>
    <row r="614" spans="1:13" x14ac:dyDescent="0.35">
      <c r="A614" s="1" t="s">
        <v>208</v>
      </c>
      <c r="B614" s="1" t="s">
        <v>13</v>
      </c>
      <c r="C614" s="1" t="s">
        <v>209</v>
      </c>
      <c r="D614">
        <v>4.5</v>
      </c>
      <c r="E614" s="2">
        <v>56568</v>
      </c>
      <c r="F614" s="1" t="s">
        <v>16</v>
      </c>
      <c r="G614" s="1" t="s">
        <v>209</v>
      </c>
      <c r="H614" s="1" t="s">
        <v>2</v>
      </c>
      <c r="I614" s="2">
        <v>46177</v>
      </c>
      <c r="J614" s="1" t="s">
        <v>18</v>
      </c>
      <c r="K614" s="1" t="s">
        <v>4527</v>
      </c>
      <c r="L614" s="2">
        <v>46177.92087962963</v>
      </c>
      <c r="M614" s="2">
        <v>46177.921329212964</v>
      </c>
    </row>
    <row r="615" spans="1:13" x14ac:dyDescent="0.35">
      <c r="A615" s="1" t="s">
        <v>208</v>
      </c>
      <c r="B615" s="1" t="s">
        <v>13</v>
      </c>
      <c r="C615" s="1" t="s">
        <v>209</v>
      </c>
      <c r="D615">
        <v>4.5</v>
      </c>
      <c r="E615" s="2">
        <v>56568</v>
      </c>
      <c r="F615" s="1" t="s">
        <v>16</v>
      </c>
      <c r="G615" s="1" t="s">
        <v>209</v>
      </c>
      <c r="H615" s="1" t="s">
        <v>2</v>
      </c>
      <c r="I615" s="2">
        <v>46177</v>
      </c>
      <c r="J615" s="1" t="s">
        <v>17</v>
      </c>
      <c r="K615" s="1" t="s">
        <v>3045</v>
      </c>
      <c r="L615" s="2">
        <v>46177.92087962963</v>
      </c>
      <c r="M615" s="2">
        <v>46177.921329212964</v>
      </c>
    </row>
    <row r="616" spans="1:13" x14ac:dyDescent="0.35">
      <c r="A616" s="1" t="s">
        <v>437</v>
      </c>
      <c r="B616" s="1" t="s">
        <v>13</v>
      </c>
      <c r="C616" s="1" t="s">
        <v>438</v>
      </c>
      <c r="D616">
        <v>4.625</v>
      </c>
      <c r="E616" s="2">
        <v>52916</v>
      </c>
      <c r="F616" s="1" t="s">
        <v>16</v>
      </c>
      <c r="G616" s="1" t="s">
        <v>438</v>
      </c>
      <c r="H616" s="1" t="s">
        <v>2</v>
      </c>
      <c r="I616" s="2">
        <v>46177</v>
      </c>
      <c r="J616" s="1" t="s">
        <v>17</v>
      </c>
      <c r="K616" s="1" t="s">
        <v>2554</v>
      </c>
      <c r="L616" s="2">
        <v>46177.92087962963</v>
      </c>
      <c r="M616" s="2">
        <v>46177.921329212964</v>
      </c>
    </row>
    <row r="617" spans="1:13" x14ac:dyDescent="0.35">
      <c r="A617" s="1" t="s">
        <v>437</v>
      </c>
      <c r="B617" s="1" t="s">
        <v>13</v>
      </c>
      <c r="C617" s="1" t="s">
        <v>438</v>
      </c>
      <c r="D617">
        <v>4.625</v>
      </c>
      <c r="E617" s="2">
        <v>52916</v>
      </c>
      <c r="F617" s="1" t="s">
        <v>16</v>
      </c>
      <c r="G617" s="1" t="s">
        <v>438</v>
      </c>
      <c r="H617" s="1" t="s">
        <v>2</v>
      </c>
      <c r="I617" s="2">
        <v>46177</v>
      </c>
      <c r="J617" s="1" t="s">
        <v>18</v>
      </c>
      <c r="K617" s="1" t="s">
        <v>2386</v>
      </c>
      <c r="L617" s="2">
        <v>46177.92087962963</v>
      </c>
      <c r="M617" s="2">
        <v>46177.921329212964</v>
      </c>
    </row>
    <row r="618" spans="1:13" x14ac:dyDescent="0.35">
      <c r="A618" s="1" t="s">
        <v>210</v>
      </c>
      <c r="B618" s="1" t="s">
        <v>13</v>
      </c>
      <c r="C618" s="1" t="s">
        <v>211</v>
      </c>
      <c r="D618">
        <v>4.625</v>
      </c>
      <c r="E618" s="2">
        <v>56660</v>
      </c>
      <c r="F618" s="1" t="s">
        <v>16</v>
      </c>
      <c r="G618" s="1" t="s">
        <v>211</v>
      </c>
      <c r="H618" s="1" t="s">
        <v>2</v>
      </c>
      <c r="I618" s="2">
        <v>46177</v>
      </c>
      <c r="J618" s="1" t="s">
        <v>17</v>
      </c>
      <c r="K618" s="1" t="s">
        <v>2463</v>
      </c>
      <c r="L618" s="2">
        <v>46177.92087962963</v>
      </c>
      <c r="M618" s="2">
        <v>46177.921329212964</v>
      </c>
    </row>
    <row r="619" spans="1:13" x14ac:dyDescent="0.35">
      <c r="A619" s="1" t="s">
        <v>210</v>
      </c>
      <c r="B619" s="1" t="s">
        <v>13</v>
      </c>
      <c r="C619" s="1" t="s">
        <v>211</v>
      </c>
      <c r="D619">
        <v>4.625</v>
      </c>
      <c r="E619" s="2">
        <v>56660</v>
      </c>
      <c r="F619" s="1" t="s">
        <v>16</v>
      </c>
      <c r="G619" s="1" t="s">
        <v>211</v>
      </c>
      <c r="H619" s="1" t="s">
        <v>2</v>
      </c>
      <c r="I619" s="2">
        <v>46177</v>
      </c>
      <c r="J619" s="1" t="s">
        <v>18</v>
      </c>
      <c r="K619" s="1" t="s">
        <v>4499</v>
      </c>
      <c r="L619" s="2">
        <v>46177.92087962963</v>
      </c>
      <c r="M619" s="2">
        <v>46177.921329212964</v>
      </c>
    </row>
    <row r="620" spans="1:13" x14ac:dyDescent="0.35">
      <c r="A620" s="1" t="s">
        <v>379</v>
      </c>
      <c r="B620" s="1" t="s">
        <v>13</v>
      </c>
      <c r="C620" s="1" t="s">
        <v>380</v>
      </c>
      <c r="D620">
        <v>2.375</v>
      </c>
      <c r="E620" s="2">
        <v>56660</v>
      </c>
      <c r="F620" s="1" t="s">
        <v>64</v>
      </c>
      <c r="G620" s="1" t="s">
        <v>380</v>
      </c>
      <c r="H620" s="1" t="s">
        <v>2</v>
      </c>
      <c r="I620" s="2">
        <v>46177</v>
      </c>
      <c r="J620" s="1" t="s">
        <v>18</v>
      </c>
      <c r="K620" s="1" t="s">
        <v>2909</v>
      </c>
      <c r="L620" s="2">
        <v>46177.92087962963</v>
      </c>
      <c r="M620" s="2">
        <v>46177.921329212964</v>
      </c>
    </row>
    <row r="621" spans="1:13" x14ac:dyDescent="0.35">
      <c r="A621" s="1" t="s">
        <v>379</v>
      </c>
      <c r="B621" s="1" t="s">
        <v>13</v>
      </c>
      <c r="C621" s="1" t="s">
        <v>380</v>
      </c>
      <c r="D621">
        <v>2.375</v>
      </c>
      <c r="E621" s="2">
        <v>56660</v>
      </c>
      <c r="F621" s="1" t="s">
        <v>64</v>
      </c>
      <c r="G621" s="1" t="s">
        <v>380</v>
      </c>
      <c r="H621" s="1" t="s">
        <v>2</v>
      </c>
      <c r="I621" s="2">
        <v>46177</v>
      </c>
      <c r="J621" s="1" t="s">
        <v>17</v>
      </c>
      <c r="K621" s="1" t="s">
        <v>2353</v>
      </c>
      <c r="L621" s="2">
        <v>46177.92087962963</v>
      </c>
      <c r="M621" s="2">
        <v>46177.921329212964</v>
      </c>
    </row>
    <row r="622" spans="1:13" x14ac:dyDescent="0.35">
      <c r="A622" s="1" t="s">
        <v>467</v>
      </c>
      <c r="B622" s="1" t="s">
        <v>13</v>
      </c>
      <c r="C622" s="1" t="s">
        <v>468</v>
      </c>
      <c r="D622">
        <v>4.75</v>
      </c>
      <c r="E622" s="2">
        <v>53008</v>
      </c>
      <c r="F622" s="1" t="s">
        <v>16</v>
      </c>
      <c r="G622" s="1" t="s">
        <v>468</v>
      </c>
      <c r="H622" s="1" t="s">
        <v>2</v>
      </c>
      <c r="I622" s="2">
        <v>46177</v>
      </c>
      <c r="J622" s="1" t="s">
        <v>18</v>
      </c>
      <c r="K622" s="1" t="s">
        <v>2401</v>
      </c>
      <c r="L622" s="2">
        <v>46177.92087962963</v>
      </c>
      <c r="M622" s="2">
        <v>46177.921329212964</v>
      </c>
    </row>
    <row r="623" spans="1:13" x14ac:dyDescent="0.35">
      <c r="A623" s="1" t="s">
        <v>467</v>
      </c>
      <c r="B623" s="1" t="s">
        <v>13</v>
      </c>
      <c r="C623" s="1" t="s">
        <v>468</v>
      </c>
      <c r="D623">
        <v>4.75</v>
      </c>
      <c r="E623" s="2">
        <v>53008</v>
      </c>
      <c r="F623" s="1" t="s">
        <v>16</v>
      </c>
      <c r="G623" s="1" t="s">
        <v>468</v>
      </c>
      <c r="H623" s="1" t="s">
        <v>2</v>
      </c>
      <c r="I623" s="2">
        <v>46177</v>
      </c>
      <c r="J623" s="1" t="s">
        <v>17</v>
      </c>
      <c r="K623" s="1" t="s">
        <v>2973</v>
      </c>
      <c r="L623" s="2">
        <v>46177.92087962963</v>
      </c>
      <c r="M623" s="2">
        <v>46177.921329212964</v>
      </c>
    </row>
    <row r="624" spans="1:13" x14ac:dyDescent="0.35">
      <c r="A624" s="1" t="s">
        <v>303</v>
      </c>
      <c r="B624" s="1" t="s">
        <v>13</v>
      </c>
      <c r="C624" s="1" t="s">
        <v>304</v>
      </c>
      <c r="D624">
        <v>4.75</v>
      </c>
      <c r="E624" s="2">
        <v>56749</v>
      </c>
      <c r="F624" s="1" t="s">
        <v>16</v>
      </c>
      <c r="G624" s="1" t="s">
        <v>304</v>
      </c>
      <c r="H624" s="1" t="s">
        <v>2</v>
      </c>
      <c r="I624" s="2">
        <v>46177</v>
      </c>
      <c r="J624" s="1" t="s">
        <v>18</v>
      </c>
      <c r="K624" s="1" t="s">
        <v>2646</v>
      </c>
      <c r="L624" s="2">
        <v>46177.92087962963</v>
      </c>
      <c r="M624" s="2">
        <v>46177.921329212964</v>
      </c>
    </row>
    <row r="625" spans="1:13" x14ac:dyDescent="0.35">
      <c r="A625" s="1" t="s">
        <v>303</v>
      </c>
      <c r="B625" s="1" t="s">
        <v>13</v>
      </c>
      <c r="C625" s="1" t="s">
        <v>304</v>
      </c>
      <c r="D625">
        <v>4.75</v>
      </c>
      <c r="E625" s="2">
        <v>56749</v>
      </c>
      <c r="F625" s="1" t="s">
        <v>16</v>
      </c>
      <c r="G625" s="1" t="s">
        <v>304</v>
      </c>
      <c r="H625" s="1" t="s">
        <v>2</v>
      </c>
      <c r="I625" s="2">
        <v>46177</v>
      </c>
      <c r="J625" s="1" t="s">
        <v>214</v>
      </c>
      <c r="K625" s="1" t="s">
        <v>4517</v>
      </c>
      <c r="L625" s="2">
        <v>46177.918923611112</v>
      </c>
      <c r="M625" s="2">
        <v>46177.921329212964</v>
      </c>
    </row>
    <row r="626" spans="1:13" x14ac:dyDescent="0.35">
      <c r="A626" s="1" t="s">
        <v>303</v>
      </c>
      <c r="B626" s="1" t="s">
        <v>13</v>
      </c>
      <c r="C626" s="1" t="s">
        <v>304</v>
      </c>
      <c r="D626">
        <v>4.75</v>
      </c>
      <c r="E626" s="2">
        <v>56749</v>
      </c>
      <c r="F626" s="1" t="s">
        <v>16</v>
      </c>
      <c r="G626" s="1" t="s">
        <v>304</v>
      </c>
      <c r="H626" s="1" t="s">
        <v>2</v>
      </c>
      <c r="I626" s="2">
        <v>46177</v>
      </c>
      <c r="J626" s="1" t="s">
        <v>215</v>
      </c>
      <c r="K626" s="1" t="s">
        <v>4491</v>
      </c>
      <c r="L626" s="2">
        <v>46177.918923611112</v>
      </c>
      <c r="M626" s="2">
        <v>46177.921329212964</v>
      </c>
    </row>
    <row r="627" spans="1:13" x14ac:dyDescent="0.35">
      <c r="A627" s="1" t="s">
        <v>303</v>
      </c>
      <c r="B627" s="1" t="s">
        <v>13</v>
      </c>
      <c r="C627" s="1" t="s">
        <v>304</v>
      </c>
      <c r="D627">
        <v>4.75</v>
      </c>
      <c r="E627" s="2">
        <v>56749</v>
      </c>
      <c r="F627" s="1" t="s">
        <v>16</v>
      </c>
      <c r="G627" s="1" t="s">
        <v>304</v>
      </c>
      <c r="H627" s="1" t="s">
        <v>2</v>
      </c>
      <c r="I627" s="2">
        <v>46177</v>
      </c>
      <c r="J627" s="1" t="s">
        <v>67</v>
      </c>
      <c r="K627" s="1" t="s">
        <v>4491</v>
      </c>
      <c r="L627" s="2">
        <v>46177.918923611112</v>
      </c>
      <c r="M627" s="2">
        <v>46177.921329212964</v>
      </c>
    </row>
    <row r="628" spans="1:13" x14ac:dyDescent="0.35">
      <c r="A628" s="1" t="s">
        <v>303</v>
      </c>
      <c r="B628" s="1" t="s">
        <v>13</v>
      </c>
      <c r="C628" s="1" t="s">
        <v>304</v>
      </c>
      <c r="D628">
        <v>4.75</v>
      </c>
      <c r="E628" s="2">
        <v>56749</v>
      </c>
      <c r="F628" s="1" t="s">
        <v>16</v>
      </c>
      <c r="G628" s="1" t="s">
        <v>304</v>
      </c>
      <c r="H628" s="1" t="s">
        <v>2</v>
      </c>
      <c r="I628" s="2">
        <v>46177</v>
      </c>
      <c r="J628" s="1" t="s">
        <v>224</v>
      </c>
      <c r="K628" s="1" t="s">
        <v>4517</v>
      </c>
      <c r="L628" s="2">
        <v>46177.918923611112</v>
      </c>
      <c r="M628" s="2">
        <v>46177.921329212964</v>
      </c>
    </row>
    <row r="629" spans="1:13" x14ac:dyDescent="0.35">
      <c r="A629" s="1" t="s">
        <v>303</v>
      </c>
      <c r="B629" s="1" t="s">
        <v>13</v>
      </c>
      <c r="C629" s="1" t="s">
        <v>304</v>
      </c>
      <c r="D629">
        <v>4.75</v>
      </c>
      <c r="E629" s="2">
        <v>56749</v>
      </c>
      <c r="F629" s="1" t="s">
        <v>16</v>
      </c>
      <c r="G629" s="1" t="s">
        <v>304</v>
      </c>
      <c r="H629" s="1" t="s">
        <v>2</v>
      </c>
      <c r="I629" s="2">
        <v>46177</v>
      </c>
      <c r="J629" s="1" t="s">
        <v>17</v>
      </c>
      <c r="K629" s="1" t="s">
        <v>2538</v>
      </c>
      <c r="L629" s="2">
        <v>46177.92087962963</v>
      </c>
      <c r="M629" s="2">
        <v>46177.921329212964</v>
      </c>
    </row>
    <row r="630" spans="1:13" x14ac:dyDescent="0.35">
      <c r="A630" s="1" t="s">
        <v>212</v>
      </c>
      <c r="B630" s="1" t="s">
        <v>13</v>
      </c>
      <c r="C630" s="1" t="s">
        <v>213</v>
      </c>
      <c r="D630">
        <v>5</v>
      </c>
      <c r="E630" s="2">
        <v>53097</v>
      </c>
      <c r="F630" s="1" t="s">
        <v>16</v>
      </c>
      <c r="G630" s="1" t="s">
        <v>213</v>
      </c>
      <c r="H630" s="1" t="s">
        <v>2</v>
      </c>
      <c r="I630" s="2">
        <v>46177</v>
      </c>
      <c r="J630" s="1" t="s">
        <v>18</v>
      </c>
      <c r="K630" s="1" t="s">
        <v>2505</v>
      </c>
      <c r="L630" s="2">
        <v>46177.92087962963</v>
      </c>
      <c r="M630" s="2">
        <v>46177.921329212964</v>
      </c>
    </row>
    <row r="631" spans="1:13" x14ac:dyDescent="0.35">
      <c r="A631" s="1" t="s">
        <v>212</v>
      </c>
      <c r="B631" s="1" t="s">
        <v>13</v>
      </c>
      <c r="C631" s="1" t="s">
        <v>213</v>
      </c>
      <c r="D631">
        <v>5</v>
      </c>
      <c r="E631" s="2">
        <v>53097</v>
      </c>
      <c r="F631" s="1" t="s">
        <v>16</v>
      </c>
      <c r="G631" s="1" t="s">
        <v>213</v>
      </c>
      <c r="H631" s="1" t="s">
        <v>2</v>
      </c>
      <c r="I631" s="2">
        <v>46177</v>
      </c>
      <c r="J631" s="1" t="s">
        <v>215</v>
      </c>
      <c r="K631" s="1" t="s">
        <v>4501</v>
      </c>
      <c r="L631" s="2">
        <v>46177.918923611112</v>
      </c>
      <c r="M631" s="2">
        <v>46177.921329212964</v>
      </c>
    </row>
    <row r="632" spans="1:13" x14ac:dyDescent="0.35">
      <c r="A632" s="1" t="s">
        <v>212</v>
      </c>
      <c r="B632" s="1" t="s">
        <v>13</v>
      </c>
      <c r="C632" s="1" t="s">
        <v>213</v>
      </c>
      <c r="D632">
        <v>5</v>
      </c>
      <c r="E632" s="2">
        <v>53097</v>
      </c>
      <c r="F632" s="1" t="s">
        <v>16</v>
      </c>
      <c r="G632" s="1" t="s">
        <v>213</v>
      </c>
      <c r="H632" s="1" t="s">
        <v>2</v>
      </c>
      <c r="I632" s="2">
        <v>46177</v>
      </c>
      <c r="J632" s="1" t="s">
        <v>214</v>
      </c>
      <c r="K632" s="1" t="s">
        <v>4500</v>
      </c>
      <c r="L632" s="2">
        <v>46177.918923611112</v>
      </c>
      <c r="M632" s="2">
        <v>46177.921329212964</v>
      </c>
    </row>
    <row r="633" spans="1:13" x14ac:dyDescent="0.35">
      <c r="A633" s="1" t="s">
        <v>212</v>
      </c>
      <c r="B633" s="1" t="s">
        <v>13</v>
      </c>
      <c r="C633" s="1" t="s">
        <v>213</v>
      </c>
      <c r="D633">
        <v>5</v>
      </c>
      <c r="E633" s="2">
        <v>53097</v>
      </c>
      <c r="F633" s="1" t="s">
        <v>16</v>
      </c>
      <c r="G633" s="1" t="s">
        <v>213</v>
      </c>
      <c r="H633" s="1" t="s">
        <v>2</v>
      </c>
      <c r="I633" s="2">
        <v>46177</v>
      </c>
      <c r="J633" s="1" t="s">
        <v>67</v>
      </c>
      <c r="K633" s="1" t="s">
        <v>4501</v>
      </c>
      <c r="L633" s="2">
        <v>46177.918923611112</v>
      </c>
      <c r="M633" s="2">
        <v>46177.921329212964</v>
      </c>
    </row>
    <row r="634" spans="1:13" x14ac:dyDescent="0.35">
      <c r="A634" s="1" t="s">
        <v>212</v>
      </c>
      <c r="B634" s="1" t="s">
        <v>13</v>
      </c>
      <c r="C634" s="1" t="s">
        <v>213</v>
      </c>
      <c r="D634">
        <v>5</v>
      </c>
      <c r="E634" s="2">
        <v>53097</v>
      </c>
      <c r="F634" s="1" t="s">
        <v>16</v>
      </c>
      <c r="G634" s="1" t="s">
        <v>213</v>
      </c>
      <c r="H634" s="1" t="s">
        <v>2</v>
      </c>
      <c r="I634" s="2">
        <v>46177</v>
      </c>
      <c r="J634" s="1" t="s">
        <v>17</v>
      </c>
      <c r="K634" s="1" t="s">
        <v>2586</v>
      </c>
      <c r="L634" s="2">
        <v>46177.92087962963</v>
      </c>
      <c r="M634" s="2">
        <v>46177.921329212964</v>
      </c>
    </row>
    <row r="635" spans="1:13" x14ac:dyDescent="0.35">
      <c r="A635" s="1" t="s">
        <v>212</v>
      </c>
      <c r="B635" s="1" t="s">
        <v>13</v>
      </c>
      <c r="C635" s="1" t="s">
        <v>213</v>
      </c>
      <c r="D635">
        <v>5</v>
      </c>
      <c r="E635" s="2">
        <v>53097</v>
      </c>
      <c r="F635" s="1" t="s">
        <v>16</v>
      </c>
      <c r="G635" s="1" t="s">
        <v>213</v>
      </c>
      <c r="H635" s="1" t="s">
        <v>2</v>
      </c>
      <c r="I635" s="2">
        <v>46177</v>
      </c>
      <c r="J635" s="1" t="s">
        <v>224</v>
      </c>
      <c r="K635" s="1" t="s">
        <v>4500</v>
      </c>
      <c r="L635" s="2">
        <v>46177.918923611112</v>
      </c>
      <c r="M635" s="2">
        <v>46177.921329212964</v>
      </c>
    </row>
    <row r="636" spans="1:13" x14ac:dyDescent="0.35">
      <c r="A636" s="1" t="s">
        <v>216</v>
      </c>
      <c r="B636" s="1" t="s">
        <v>13</v>
      </c>
      <c r="C636" s="1" t="s">
        <v>217</v>
      </c>
      <c r="D636">
        <v>4.75</v>
      </c>
      <c r="E636" s="2">
        <v>56841</v>
      </c>
      <c r="F636" s="1" t="s">
        <v>16</v>
      </c>
      <c r="G636" s="1" t="s">
        <v>217</v>
      </c>
      <c r="H636" s="1" t="s">
        <v>2</v>
      </c>
      <c r="I636" s="2">
        <v>46177</v>
      </c>
      <c r="J636" s="1" t="s">
        <v>18</v>
      </c>
      <c r="K636" s="1" t="s">
        <v>2670</v>
      </c>
      <c r="L636" s="2">
        <v>46177.92087962963</v>
      </c>
      <c r="M636" s="2">
        <v>46177.921329212964</v>
      </c>
    </row>
    <row r="637" spans="1:13" x14ac:dyDescent="0.35">
      <c r="A637" s="1" t="s">
        <v>216</v>
      </c>
      <c r="B637" s="1" t="s">
        <v>13</v>
      </c>
      <c r="C637" s="1" t="s">
        <v>217</v>
      </c>
      <c r="D637">
        <v>4.75</v>
      </c>
      <c r="E637" s="2">
        <v>56841</v>
      </c>
      <c r="F637" s="1" t="s">
        <v>16</v>
      </c>
      <c r="G637" s="1" t="s">
        <v>217</v>
      </c>
      <c r="H637" s="1" t="s">
        <v>2</v>
      </c>
      <c r="I637" s="2">
        <v>46177</v>
      </c>
      <c r="J637" s="1" t="s">
        <v>214</v>
      </c>
      <c r="K637" s="1" t="s">
        <v>4502</v>
      </c>
      <c r="L637" s="2">
        <v>46177.918923611112</v>
      </c>
      <c r="M637" s="2">
        <v>46177.921329212964</v>
      </c>
    </row>
    <row r="638" spans="1:13" x14ac:dyDescent="0.35">
      <c r="A638" s="1" t="s">
        <v>216</v>
      </c>
      <c r="B638" s="1" t="s">
        <v>13</v>
      </c>
      <c r="C638" s="1" t="s">
        <v>217</v>
      </c>
      <c r="D638">
        <v>4.75</v>
      </c>
      <c r="E638" s="2">
        <v>56841</v>
      </c>
      <c r="F638" s="1" t="s">
        <v>16</v>
      </c>
      <c r="G638" s="1" t="s">
        <v>217</v>
      </c>
      <c r="H638" s="1" t="s">
        <v>2</v>
      </c>
      <c r="I638" s="2">
        <v>46177</v>
      </c>
      <c r="J638" s="1" t="s">
        <v>224</v>
      </c>
      <c r="K638" s="1" t="s">
        <v>4502</v>
      </c>
      <c r="L638" s="2">
        <v>46177.918923611112</v>
      </c>
      <c r="M638" s="2">
        <v>46177.921329212964</v>
      </c>
    </row>
    <row r="639" spans="1:13" x14ac:dyDescent="0.35">
      <c r="A639" s="1" t="s">
        <v>216</v>
      </c>
      <c r="B639" s="1" t="s">
        <v>13</v>
      </c>
      <c r="C639" s="1" t="s">
        <v>217</v>
      </c>
      <c r="D639">
        <v>4.75</v>
      </c>
      <c r="E639" s="2">
        <v>56841</v>
      </c>
      <c r="F639" s="1" t="s">
        <v>16</v>
      </c>
      <c r="G639" s="1" t="s">
        <v>217</v>
      </c>
      <c r="H639" s="1" t="s">
        <v>2</v>
      </c>
      <c r="I639" s="2">
        <v>46177</v>
      </c>
      <c r="J639" s="1" t="s">
        <v>215</v>
      </c>
      <c r="K639" s="1" t="s">
        <v>4503</v>
      </c>
      <c r="L639" s="2">
        <v>46177.918923611112</v>
      </c>
      <c r="M639" s="2">
        <v>46177.921329212964</v>
      </c>
    </row>
    <row r="640" spans="1:13" x14ac:dyDescent="0.35">
      <c r="A640" s="1" t="s">
        <v>216</v>
      </c>
      <c r="B640" s="1" t="s">
        <v>13</v>
      </c>
      <c r="C640" s="1" t="s">
        <v>217</v>
      </c>
      <c r="D640">
        <v>4.75</v>
      </c>
      <c r="E640" s="2">
        <v>56841</v>
      </c>
      <c r="F640" s="1" t="s">
        <v>16</v>
      </c>
      <c r="G640" s="1" t="s">
        <v>217</v>
      </c>
      <c r="H640" s="1" t="s">
        <v>2</v>
      </c>
      <c r="I640" s="2">
        <v>46177</v>
      </c>
      <c r="J640" s="1" t="s">
        <v>17</v>
      </c>
      <c r="K640" s="1" t="s">
        <v>2664</v>
      </c>
      <c r="L640" s="2">
        <v>46177.92087962963</v>
      </c>
      <c r="M640" s="2">
        <v>46177.921329212964</v>
      </c>
    </row>
    <row r="641" spans="1:13" x14ac:dyDescent="0.35">
      <c r="A641" s="1" t="s">
        <v>216</v>
      </c>
      <c r="B641" s="1" t="s">
        <v>13</v>
      </c>
      <c r="C641" s="1" t="s">
        <v>217</v>
      </c>
      <c r="D641">
        <v>4.75</v>
      </c>
      <c r="E641" s="2">
        <v>56841</v>
      </c>
      <c r="F641" s="1" t="s">
        <v>16</v>
      </c>
      <c r="G641" s="1" t="s">
        <v>217</v>
      </c>
      <c r="H641" s="1" t="s">
        <v>2</v>
      </c>
      <c r="I641" s="2">
        <v>46177</v>
      </c>
      <c r="J641" s="1" t="s">
        <v>67</v>
      </c>
      <c r="K641" s="1" t="s">
        <v>4503</v>
      </c>
      <c r="L641" s="2">
        <v>46177.918923611112</v>
      </c>
      <c r="M641" s="2">
        <v>46177.921329212964</v>
      </c>
    </row>
    <row r="642" spans="1:13" x14ac:dyDescent="0.35">
      <c r="A642" s="1" t="s">
        <v>305</v>
      </c>
      <c r="B642" s="1" t="s">
        <v>13</v>
      </c>
      <c r="C642" s="1" t="s">
        <v>306</v>
      </c>
      <c r="D642">
        <v>4.875</v>
      </c>
      <c r="E642" s="2">
        <v>53189</v>
      </c>
      <c r="F642" s="1" t="s">
        <v>16</v>
      </c>
      <c r="G642" s="1" t="s">
        <v>306</v>
      </c>
      <c r="H642" s="1" t="s">
        <v>2</v>
      </c>
      <c r="I642" s="2">
        <v>46177</v>
      </c>
      <c r="J642" s="1" t="s">
        <v>17</v>
      </c>
      <c r="K642" s="1" t="s">
        <v>2418</v>
      </c>
      <c r="L642" s="2">
        <v>46177.92087962963</v>
      </c>
      <c r="M642" s="2">
        <v>46177.921329212964</v>
      </c>
    </row>
    <row r="643" spans="1:13" x14ac:dyDescent="0.35">
      <c r="A643" s="1" t="s">
        <v>305</v>
      </c>
      <c r="B643" s="1" t="s">
        <v>13</v>
      </c>
      <c r="C643" s="1" t="s">
        <v>306</v>
      </c>
      <c r="D643">
        <v>4.875</v>
      </c>
      <c r="E643" s="2">
        <v>53189</v>
      </c>
      <c r="F643" s="1" t="s">
        <v>16</v>
      </c>
      <c r="G643" s="1" t="s">
        <v>306</v>
      </c>
      <c r="H643" s="1" t="s">
        <v>2</v>
      </c>
      <c r="I643" s="2">
        <v>46177</v>
      </c>
      <c r="J643" s="1" t="s">
        <v>215</v>
      </c>
      <c r="K643" s="1" t="s">
        <v>4545</v>
      </c>
      <c r="L643" s="2">
        <v>46177.918923611112</v>
      </c>
      <c r="M643" s="2">
        <v>46177.921329212964</v>
      </c>
    </row>
    <row r="644" spans="1:13" x14ac:dyDescent="0.35">
      <c r="A644" s="1" t="s">
        <v>305</v>
      </c>
      <c r="B644" s="1" t="s">
        <v>13</v>
      </c>
      <c r="C644" s="1" t="s">
        <v>306</v>
      </c>
      <c r="D644">
        <v>4.875</v>
      </c>
      <c r="E644" s="2">
        <v>53189</v>
      </c>
      <c r="F644" s="1" t="s">
        <v>16</v>
      </c>
      <c r="G644" s="1" t="s">
        <v>306</v>
      </c>
      <c r="H644" s="1" t="s">
        <v>2</v>
      </c>
      <c r="I644" s="2">
        <v>46177</v>
      </c>
      <c r="J644" s="1" t="s">
        <v>224</v>
      </c>
      <c r="K644" s="1" t="s">
        <v>4504</v>
      </c>
      <c r="L644" s="2">
        <v>46177.918923611112</v>
      </c>
      <c r="M644" s="2">
        <v>46177.921329212964</v>
      </c>
    </row>
    <row r="645" spans="1:13" x14ac:dyDescent="0.35">
      <c r="A645" s="1" t="s">
        <v>305</v>
      </c>
      <c r="B645" s="1" t="s">
        <v>13</v>
      </c>
      <c r="C645" s="1" t="s">
        <v>306</v>
      </c>
      <c r="D645">
        <v>4.875</v>
      </c>
      <c r="E645" s="2">
        <v>53189</v>
      </c>
      <c r="F645" s="1" t="s">
        <v>16</v>
      </c>
      <c r="G645" s="1" t="s">
        <v>306</v>
      </c>
      <c r="H645" s="1" t="s">
        <v>2</v>
      </c>
      <c r="I645" s="2">
        <v>46177</v>
      </c>
      <c r="J645" s="1" t="s">
        <v>18</v>
      </c>
      <c r="K645" s="1" t="s">
        <v>2603</v>
      </c>
      <c r="L645" s="2">
        <v>46177.92087962963</v>
      </c>
      <c r="M645" s="2">
        <v>46177.921329212964</v>
      </c>
    </row>
    <row r="646" spans="1:13" x14ac:dyDescent="0.35">
      <c r="A646" s="1" t="s">
        <v>305</v>
      </c>
      <c r="B646" s="1" t="s">
        <v>13</v>
      </c>
      <c r="C646" s="1" t="s">
        <v>306</v>
      </c>
      <c r="D646">
        <v>4.875</v>
      </c>
      <c r="E646" s="2">
        <v>53189</v>
      </c>
      <c r="F646" s="1" t="s">
        <v>16</v>
      </c>
      <c r="G646" s="1" t="s">
        <v>306</v>
      </c>
      <c r="H646" s="1" t="s">
        <v>2</v>
      </c>
      <c r="I646" s="2">
        <v>46177</v>
      </c>
      <c r="J646" s="1" t="s">
        <v>214</v>
      </c>
      <c r="K646" s="1" t="s">
        <v>4504</v>
      </c>
      <c r="L646" s="2">
        <v>46177.918923611112</v>
      </c>
      <c r="M646" s="2">
        <v>46177.921329212964</v>
      </c>
    </row>
    <row r="647" spans="1:13" x14ac:dyDescent="0.35">
      <c r="A647" s="1" t="s">
        <v>305</v>
      </c>
      <c r="B647" s="1" t="s">
        <v>13</v>
      </c>
      <c r="C647" s="1" t="s">
        <v>306</v>
      </c>
      <c r="D647">
        <v>4.875</v>
      </c>
      <c r="E647" s="2">
        <v>53189</v>
      </c>
      <c r="F647" s="1" t="s">
        <v>16</v>
      </c>
      <c r="G647" s="1" t="s">
        <v>306</v>
      </c>
      <c r="H647" s="1" t="s">
        <v>2</v>
      </c>
      <c r="I647" s="2">
        <v>46177</v>
      </c>
      <c r="J647" s="1" t="s">
        <v>67</v>
      </c>
      <c r="K647" s="1" t="s">
        <v>4545</v>
      </c>
      <c r="L647" s="2">
        <v>46177.918923611112</v>
      </c>
      <c r="M647" s="2">
        <v>46177.921329212964</v>
      </c>
    </row>
    <row r="648" spans="1:13" x14ac:dyDescent="0.35">
      <c r="A648" s="1" t="s">
        <v>218</v>
      </c>
      <c r="B648" s="1" t="s">
        <v>13</v>
      </c>
      <c r="C648" s="1" t="s">
        <v>219</v>
      </c>
      <c r="D648">
        <v>4.625</v>
      </c>
      <c r="E648" s="2">
        <v>56933</v>
      </c>
      <c r="F648" s="1" t="s">
        <v>16</v>
      </c>
      <c r="G648" s="1" t="s">
        <v>219</v>
      </c>
      <c r="H648" s="1" t="s">
        <v>2</v>
      </c>
      <c r="I648" s="2">
        <v>46177</v>
      </c>
      <c r="J648" s="1" t="s">
        <v>17</v>
      </c>
      <c r="K648" s="1" t="s">
        <v>2637</v>
      </c>
      <c r="L648" s="2">
        <v>46177.92087962963</v>
      </c>
      <c r="M648" s="2">
        <v>46177.921329212964</v>
      </c>
    </row>
    <row r="649" spans="1:13" x14ac:dyDescent="0.35">
      <c r="A649" s="1" t="s">
        <v>218</v>
      </c>
      <c r="B649" s="1" t="s">
        <v>13</v>
      </c>
      <c r="C649" s="1" t="s">
        <v>219</v>
      </c>
      <c r="D649">
        <v>4.625</v>
      </c>
      <c r="E649" s="2">
        <v>56933</v>
      </c>
      <c r="F649" s="1" t="s">
        <v>16</v>
      </c>
      <c r="G649" s="1" t="s">
        <v>219</v>
      </c>
      <c r="H649" s="1" t="s">
        <v>2</v>
      </c>
      <c r="I649" s="2">
        <v>46177</v>
      </c>
      <c r="J649" s="1" t="s">
        <v>214</v>
      </c>
      <c r="K649" s="1" t="s">
        <v>4528</v>
      </c>
      <c r="L649" s="2">
        <v>46177.918923611112</v>
      </c>
      <c r="M649" s="2">
        <v>46177.921329212964</v>
      </c>
    </row>
    <row r="650" spans="1:13" x14ac:dyDescent="0.35">
      <c r="A650" s="1" t="s">
        <v>218</v>
      </c>
      <c r="B650" s="1" t="s">
        <v>13</v>
      </c>
      <c r="C650" s="1" t="s">
        <v>219</v>
      </c>
      <c r="D650">
        <v>4.625</v>
      </c>
      <c r="E650" s="2">
        <v>56933</v>
      </c>
      <c r="F650" s="1" t="s">
        <v>16</v>
      </c>
      <c r="G650" s="1" t="s">
        <v>219</v>
      </c>
      <c r="H650" s="1" t="s">
        <v>2</v>
      </c>
      <c r="I650" s="2">
        <v>46177</v>
      </c>
      <c r="J650" s="1" t="s">
        <v>67</v>
      </c>
      <c r="K650" s="1" t="s">
        <v>4492</v>
      </c>
      <c r="L650" s="2">
        <v>46177.918923611112</v>
      </c>
      <c r="M650" s="2">
        <v>46177.921329212964</v>
      </c>
    </row>
    <row r="651" spans="1:13" x14ac:dyDescent="0.35">
      <c r="A651" s="1" t="s">
        <v>218</v>
      </c>
      <c r="B651" s="1" t="s">
        <v>13</v>
      </c>
      <c r="C651" s="1" t="s">
        <v>219</v>
      </c>
      <c r="D651">
        <v>4.625</v>
      </c>
      <c r="E651" s="2">
        <v>56933</v>
      </c>
      <c r="F651" s="1" t="s">
        <v>16</v>
      </c>
      <c r="G651" s="1" t="s">
        <v>219</v>
      </c>
      <c r="H651" s="1" t="s">
        <v>2</v>
      </c>
      <c r="I651" s="2">
        <v>46177</v>
      </c>
      <c r="J651" s="1" t="s">
        <v>215</v>
      </c>
      <c r="K651" s="1" t="s">
        <v>4492</v>
      </c>
      <c r="L651" s="2">
        <v>46177.918923611112</v>
      </c>
      <c r="M651" s="2">
        <v>46177.921329212964</v>
      </c>
    </row>
    <row r="652" spans="1:13" x14ac:dyDescent="0.35">
      <c r="A652" s="1" t="s">
        <v>218</v>
      </c>
      <c r="B652" s="1" t="s">
        <v>13</v>
      </c>
      <c r="C652" s="1" t="s">
        <v>219</v>
      </c>
      <c r="D652">
        <v>4.625</v>
      </c>
      <c r="E652" s="2">
        <v>56933</v>
      </c>
      <c r="F652" s="1" t="s">
        <v>16</v>
      </c>
      <c r="G652" s="1" t="s">
        <v>219</v>
      </c>
      <c r="H652" s="1" t="s">
        <v>2</v>
      </c>
      <c r="I652" s="2">
        <v>46177</v>
      </c>
      <c r="J652" s="1" t="s">
        <v>224</v>
      </c>
      <c r="K652" s="1" t="s">
        <v>4528</v>
      </c>
      <c r="L652" s="2">
        <v>46177.918923611112</v>
      </c>
      <c r="M652" s="2">
        <v>46177.921329212964</v>
      </c>
    </row>
    <row r="653" spans="1:13" x14ac:dyDescent="0.35">
      <c r="A653" s="1" t="s">
        <v>218</v>
      </c>
      <c r="B653" s="1" t="s">
        <v>13</v>
      </c>
      <c r="C653" s="1" t="s">
        <v>219</v>
      </c>
      <c r="D653">
        <v>4.625</v>
      </c>
      <c r="E653" s="2">
        <v>56933</v>
      </c>
      <c r="F653" s="1" t="s">
        <v>16</v>
      </c>
      <c r="G653" s="1" t="s">
        <v>219</v>
      </c>
      <c r="H653" s="1" t="s">
        <v>2</v>
      </c>
      <c r="I653" s="2">
        <v>46177</v>
      </c>
      <c r="J653" s="1" t="s">
        <v>18</v>
      </c>
      <c r="K653" s="1" t="s">
        <v>2623</v>
      </c>
      <c r="L653" s="2">
        <v>46177.92087962963</v>
      </c>
      <c r="M653" s="2">
        <v>46177.921329212964</v>
      </c>
    </row>
    <row r="654" spans="1:13" x14ac:dyDescent="0.35">
      <c r="A654" s="1" t="s">
        <v>307</v>
      </c>
      <c r="B654" s="1" t="s">
        <v>13</v>
      </c>
      <c r="C654" s="1" t="s">
        <v>308</v>
      </c>
      <c r="D654">
        <v>4.625</v>
      </c>
      <c r="E654" s="2">
        <v>53281</v>
      </c>
      <c r="F654" s="1" t="s">
        <v>16</v>
      </c>
      <c r="G654" s="1" t="s">
        <v>308</v>
      </c>
      <c r="H654" s="1" t="s">
        <v>2</v>
      </c>
      <c r="I654" s="2">
        <v>46177</v>
      </c>
      <c r="J654" s="1" t="s">
        <v>17</v>
      </c>
      <c r="K654" s="1" t="s">
        <v>2645</v>
      </c>
      <c r="L654" s="2">
        <v>46177.92087962963</v>
      </c>
      <c r="M654" s="2">
        <v>46177.921329212964</v>
      </c>
    </row>
    <row r="655" spans="1:13" x14ac:dyDescent="0.35">
      <c r="A655" s="1" t="s">
        <v>307</v>
      </c>
      <c r="B655" s="1" t="s">
        <v>13</v>
      </c>
      <c r="C655" s="1" t="s">
        <v>308</v>
      </c>
      <c r="D655">
        <v>4.625</v>
      </c>
      <c r="E655" s="2">
        <v>53281</v>
      </c>
      <c r="F655" s="1" t="s">
        <v>16</v>
      </c>
      <c r="G655" s="1" t="s">
        <v>308</v>
      </c>
      <c r="H655" s="1" t="s">
        <v>2</v>
      </c>
      <c r="I655" s="2">
        <v>46177</v>
      </c>
      <c r="J655" s="1" t="s">
        <v>18</v>
      </c>
      <c r="K655" s="1" t="s">
        <v>4529</v>
      </c>
      <c r="L655" s="2">
        <v>46177.92087962963</v>
      </c>
      <c r="M655" s="2">
        <v>46177.921329212964</v>
      </c>
    </row>
    <row r="656" spans="1:13" x14ac:dyDescent="0.35">
      <c r="A656" s="1" t="s">
        <v>307</v>
      </c>
      <c r="B656" s="1" t="s">
        <v>13</v>
      </c>
      <c r="C656" s="1" t="s">
        <v>308</v>
      </c>
      <c r="D656">
        <v>4.625</v>
      </c>
      <c r="E656" s="2">
        <v>53281</v>
      </c>
      <c r="F656" s="1" t="s">
        <v>16</v>
      </c>
      <c r="G656" s="1" t="s">
        <v>308</v>
      </c>
      <c r="H656" s="1" t="s">
        <v>2</v>
      </c>
      <c r="I656" s="2">
        <v>46177</v>
      </c>
      <c r="J656" s="1" t="s">
        <v>214</v>
      </c>
      <c r="K656" s="1" t="s">
        <v>4493</v>
      </c>
      <c r="L656" s="2">
        <v>46177.918923611112</v>
      </c>
      <c r="M656" s="2">
        <v>46177.921329212964</v>
      </c>
    </row>
    <row r="657" spans="1:13" x14ac:dyDescent="0.35">
      <c r="A657" s="1" t="s">
        <v>307</v>
      </c>
      <c r="B657" s="1" t="s">
        <v>13</v>
      </c>
      <c r="C657" s="1" t="s">
        <v>308</v>
      </c>
      <c r="D657">
        <v>4.625</v>
      </c>
      <c r="E657" s="2">
        <v>53281</v>
      </c>
      <c r="F657" s="1" t="s">
        <v>16</v>
      </c>
      <c r="G657" s="1" t="s">
        <v>308</v>
      </c>
      <c r="H657" s="1" t="s">
        <v>2</v>
      </c>
      <c r="I657" s="2">
        <v>46177</v>
      </c>
      <c r="J657" s="1" t="s">
        <v>224</v>
      </c>
      <c r="K657" s="1" t="s">
        <v>4493</v>
      </c>
      <c r="L657" s="2">
        <v>46177.918923611112</v>
      </c>
      <c r="M657" s="2">
        <v>46177.921329212964</v>
      </c>
    </row>
    <row r="658" spans="1:13" x14ac:dyDescent="0.35">
      <c r="A658" s="1" t="s">
        <v>307</v>
      </c>
      <c r="B658" s="1" t="s">
        <v>13</v>
      </c>
      <c r="C658" s="1" t="s">
        <v>308</v>
      </c>
      <c r="D658">
        <v>4.625</v>
      </c>
      <c r="E658" s="2">
        <v>53281</v>
      </c>
      <c r="F658" s="1" t="s">
        <v>16</v>
      </c>
      <c r="G658" s="1" t="s">
        <v>308</v>
      </c>
      <c r="H658" s="1" t="s">
        <v>2</v>
      </c>
      <c r="I658" s="2">
        <v>46177</v>
      </c>
      <c r="J658" s="1" t="s">
        <v>67</v>
      </c>
      <c r="K658" s="1" t="s">
        <v>5298</v>
      </c>
      <c r="L658" s="2">
        <v>46177.918923611112</v>
      </c>
      <c r="M658" s="2">
        <v>46177.921329212964</v>
      </c>
    </row>
    <row r="659" spans="1:13" x14ac:dyDescent="0.35">
      <c r="A659" s="1" t="s">
        <v>307</v>
      </c>
      <c r="B659" s="1" t="s">
        <v>13</v>
      </c>
      <c r="C659" s="1" t="s">
        <v>308</v>
      </c>
      <c r="D659">
        <v>4.625</v>
      </c>
      <c r="E659" s="2">
        <v>53281</v>
      </c>
      <c r="F659" s="1" t="s">
        <v>16</v>
      </c>
      <c r="G659" s="1" t="s">
        <v>308</v>
      </c>
      <c r="H659" s="1" t="s">
        <v>2</v>
      </c>
      <c r="I659" s="2">
        <v>46177</v>
      </c>
      <c r="J659" s="1" t="s">
        <v>215</v>
      </c>
      <c r="K659" s="1" t="s">
        <v>5298</v>
      </c>
      <c r="L659" s="2">
        <v>46177.918923611112</v>
      </c>
      <c r="M659" s="2">
        <v>46177.921329212964</v>
      </c>
    </row>
    <row r="660" spans="1:13" x14ac:dyDescent="0.35">
      <c r="A660" s="1" t="s">
        <v>220</v>
      </c>
      <c r="B660" s="1" t="s">
        <v>13</v>
      </c>
      <c r="C660" s="1" t="s">
        <v>221</v>
      </c>
      <c r="D660">
        <v>4.75</v>
      </c>
      <c r="E660" s="2">
        <v>57025</v>
      </c>
      <c r="F660" s="1" t="s">
        <v>16</v>
      </c>
      <c r="G660" s="1" t="s">
        <v>221</v>
      </c>
      <c r="H660" s="1" t="s">
        <v>2</v>
      </c>
      <c r="I660" s="2">
        <v>46177</v>
      </c>
      <c r="J660" s="1" t="s">
        <v>17</v>
      </c>
      <c r="K660" s="1" t="s">
        <v>2346</v>
      </c>
      <c r="L660" s="2">
        <v>46177.92087962963</v>
      </c>
      <c r="M660" s="2">
        <v>46177.921329212964</v>
      </c>
    </row>
    <row r="661" spans="1:13" x14ac:dyDescent="0.35">
      <c r="A661" s="1" t="s">
        <v>220</v>
      </c>
      <c r="B661" s="1" t="s">
        <v>13</v>
      </c>
      <c r="C661" s="1" t="s">
        <v>221</v>
      </c>
      <c r="D661">
        <v>4.75</v>
      </c>
      <c r="E661" s="2">
        <v>57025</v>
      </c>
      <c r="F661" s="1" t="s">
        <v>16</v>
      </c>
      <c r="G661" s="1" t="s">
        <v>221</v>
      </c>
      <c r="H661" s="1" t="s">
        <v>2</v>
      </c>
      <c r="I661" s="2">
        <v>46177</v>
      </c>
      <c r="J661" s="1" t="s">
        <v>214</v>
      </c>
      <c r="K661" s="1" t="s">
        <v>4494</v>
      </c>
      <c r="L661" s="2">
        <v>46177.918923611112</v>
      </c>
      <c r="M661" s="2">
        <v>46177.921329212964</v>
      </c>
    </row>
    <row r="662" spans="1:13" x14ac:dyDescent="0.35">
      <c r="A662" s="1" t="s">
        <v>220</v>
      </c>
      <c r="B662" s="1" t="s">
        <v>13</v>
      </c>
      <c r="C662" s="1" t="s">
        <v>221</v>
      </c>
      <c r="D662">
        <v>4.75</v>
      </c>
      <c r="E662" s="2">
        <v>57025</v>
      </c>
      <c r="F662" s="1" t="s">
        <v>16</v>
      </c>
      <c r="G662" s="1" t="s">
        <v>221</v>
      </c>
      <c r="H662" s="1" t="s">
        <v>2</v>
      </c>
      <c r="I662" s="2">
        <v>46177</v>
      </c>
      <c r="J662" s="1" t="s">
        <v>215</v>
      </c>
      <c r="K662" s="1" t="s">
        <v>4505</v>
      </c>
      <c r="L662" s="2">
        <v>46177.918923611112</v>
      </c>
      <c r="M662" s="2">
        <v>46177.921329212964</v>
      </c>
    </row>
    <row r="663" spans="1:13" x14ac:dyDescent="0.35">
      <c r="A663" s="1" t="s">
        <v>220</v>
      </c>
      <c r="B663" s="1" t="s">
        <v>13</v>
      </c>
      <c r="C663" s="1" t="s">
        <v>221</v>
      </c>
      <c r="D663">
        <v>4.75</v>
      </c>
      <c r="E663" s="2">
        <v>57025</v>
      </c>
      <c r="F663" s="1" t="s">
        <v>16</v>
      </c>
      <c r="G663" s="1" t="s">
        <v>221</v>
      </c>
      <c r="H663" s="1" t="s">
        <v>2</v>
      </c>
      <c r="I663" s="2">
        <v>46177</v>
      </c>
      <c r="J663" s="1" t="s">
        <v>224</v>
      </c>
      <c r="K663" s="1" t="s">
        <v>4494</v>
      </c>
      <c r="L663" s="2">
        <v>46177.918923611112</v>
      </c>
      <c r="M663" s="2">
        <v>46177.921329212964</v>
      </c>
    </row>
    <row r="664" spans="1:13" x14ac:dyDescent="0.35">
      <c r="A664" s="1" t="s">
        <v>220</v>
      </c>
      <c r="B664" s="1" t="s">
        <v>13</v>
      </c>
      <c r="C664" s="1" t="s">
        <v>221</v>
      </c>
      <c r="D664">
        <v>4.75</v>
      </c>
      <c r="E664" s="2">
        <v>57025</v>
      </c>
      <c r="F664" s="1" t="s">
        <v>16</v>
      </c>
      <c r="G664" s="1" t="s">
        <v>221</v>
      </c>
      <c r="H664" s="1" t="s">
        <v>2</v>
      </c>
      <c r="I664" s="2">
        <v>46177</v>
      </c>
      <c r="J664" s="1" t="s">
        <v>18</v>
      </c>
      <c r="K664" s="1" t="s">
        <v>2388</v>
      </c>
      <c r="L664" s="2">
        <v>46177.92087962963</v>
      </c>
      <c r="M664" s="2">
        <v>46177.921329212964</v>
      </c>
    </row>
    <row r="665" spans="1:13" x14ac:dyDescent="0.35">
      <c r="A665" s="1" t="s">
        <v>220</v>
      </c>
      <c r="B665" s="1" t="s">
        <v>13</v>
      </c>
      <c r="C665" s="1" t="s">
        <v>221</v>
      </c>
      <c r="D665">
        <v>4.75</v>
      </c>
      <c r="E665" s="2">
        <v>57025</v>
      </c>
      <c r="F665" s="1" t="s">
        <v>16</v>
      </c>
      <c r="G665" s="1" t="s">
        <v>221</v>
      </c>
      <c r="H665" s="1" t="s">
        <v>2</v>
      </c>
      <c r="I665" s="2">
        <v>46177</v>
      </c>
      <c r="J665" s="1" t="s">
        <v>67</v>
      </c>
      <c r="K665" s="1" t="s">
        <v>4505</v>
      </c>
      <c r="L665" s="2">
        <v>46177.918923611112</v>
      </c>
      <c r="M665" s="2">
        <v>46177.921329212964</v>
      </c>
    </row>
    <row r="666" spans="1:13" x14ac:dyDescent="0.35">
      <c r="A666" s="1" t="s">
        <v>439</v>
      </c>
      <c r="B666" s="1" t="s">
        <v>13</v>
      </c>
      <c r="C666" s="1" t="s">
        <v>440</v>
      </c>
      <c r="D666">
        <v>2.375</v>
      </c>
      <c r="E666" s="2">
        <v>57025</v>
      </c>
      <c r="F666" s="1" t="s">
        <v>64</v>
      </c>
      <c r="G666" s="1" t="s">
        <v>440</v>
      </c>
      <c r="H666" s="1" t="s">
        <v>2</v>
      </c>
      <c r="I666" s="2">
        <v>46177</v>
      </c>
      <c r="J666" s="1" t="s">
        <v>17</v>
      </c>
      <c r="K666" s="1" t="s">
        <v>2353</v>
      </c>
      <c r="L666" s="2">
        <v>46177.92087962963</v>
      </c>
      <c r="M666" s="2">
        <v>46177.921329212964</v>
      </c>
    </row>
    <row r="667" spans="1:13" x14ac:dyDescent="0.35">
      <c r="A667" s="1" t="s">
        <v>439</v>
      </c>
      <c r="B667" s="1" t="s">
        <v>13</v>
      </c>
      <c r="C667" s="1" t="s">
        <v>440</v>
      </c>
      <c r="D667">
        <v>2.375</v>
      </c>
      <c r="E667" s="2">
        <v>57025</v>
      </c>
      <c r="F667" s="1" t="s">
        <v>64</v>
      </c>
      <c r="G667" s="1" t="s">
        <v>440</v>
      </c>
      <c r="H667" s="1" t="s">
        <v>2</v>
      </c>
      <c r="I667" s="2">
        <v>46177</v>
      </c>
      <c r="J667" s="1" t="s">
        <v>18</v>
      </c>
      <c r="K667" s="1" t="s">
        <v>2358</v>
      </c>
      <c r="L667" s="2">
        <v>46177.92087962963</v>
      </c>
      <c r="M667" s="2">
        <v>46177.921329212964</v>
      </c>
    </row>
    <row r="668" spans="1:13" x14ac:dyDescent="0.35">
      <c r="A668" s="1" t="s">
        <v>222</v>
      </c>
      <c r="B668" s="1" t="s">
        <v>13</v>
      </c>
      <c r="C668" s="1" t="s">
        <v>223</v>
      </c>
      <c r="D668">
        <v>4.625</v>
      </c>
      <c r="E668" s="2">
        <v>53373</v>
      </c>
      <c r="F668" s="1" t="s">
        <v>16</v>
      </c>
      <c r="G668" s="1" t="s">
        <v>223</v>
      </c>
      <c r="H668" s="1" t="s">
        <v>2</v>
      </c>
      <c r="I668" s="2">
        <v>46177</v>
      </c>
      <c r="J668" s="1" t="s">
        <v>18</v>
      </c>
      <c r="K668" s="1" t="s">
        <v>2997</v>
      </c>
      <c r="L668" s="2">
        <v>46177.92087962963</v>
      </c>
      <c r="M668" s="2">
        <v>46177.921329212964</v>
      </c>
    </row>
    <row r="669" spans="1:13" x14ac:dyDescent="0.35">
      <c r="A669" s="1" t="s">
        <v>222</v>
      </c>
      <c r="B669" s="1" t="s">
        <v>13</v>
      </c>
      <c r="C669" s="1" t="s">
        <v>223</v>
      </c>
      <c r="D669">
        <v>4.625</v>
      </c>
      <c r="E669" s="2">
        <v>53373</v>
      </c>
      <c r="F669" s="1" t="s">
        <v>16</v>
      </c>
      <c r="G669" s="1" t="s">
        <v>223</v>
      </c>
      <c r="H669" s="1" t="s">
        <v>2</v>
      </c>
      <c r="I669" s="2">
        <v>46177</v>
      </c>
      <c r="J669" s="1" t="s">
        <v>215</v>
      </c>
      <c r="K669" s="1" t="s">
        <v>4546</v>
      </c>
      <c r="L669" s="2">
        <v>46177.918923611112</v>
      </c>
      <c r="M669" s="2">
        <v>46177.921329212964</v>
      </c>
    </row>
    <row r="670" spans="1:13" x14ac:dyDescent="0.35">
      <c r="A670" s="1" t="s">
        <v>222</v>
      </c>
      <c r="B670" s="1" t="s">
        <v>13</v>
      </c>
      <c r="C670" s="1" t="s">
        <v>223</v>
      </c>
      <c r="D670">
        <v>4.625</v>
      </c>
      <c r="E670" s="2">
        <v>53373</v>
      </c>
      <c r="F670" s="1" t="s">
        <v>16</v>
      </c>
      <c r="G670" s="1" t="s">
        <v>223</v>
      </c>
      <c r="H670" s="1" t="s">
        <v>2</v>
      </c>
      <c r="I670" s="2">
        <v>46177</v>
      </c>
      <c r="J670" s="1" t="s">
        <v>17</v>
      </c>
      <c r="K670" s="1" t="s">
        <v>2542</v>
      </c>
      <c r="L670" s="2">
        <v>46177.92087962963</v>
      </c>
      <c r="M670" s="2">
        <v>46177.921329212964</v>
      </c>
    </row>
    <row r="671" spans="1:13" x14ac:dyDescent="0.35">
      <c r="A671" s="1" t="s">
        <v>222</v>
      </c>
      <c r="B671" s="1" t="s">
        <v>13</v>
      </c>
      <c r="C671" s="1" t="s">
        <v>223</v>
      </c>
      <c r="D671">
        <v>4.625</v>
      </c>
      <c r="E671" s="2">
        <v>53373</v>
      </c>
      <c r="F671" s="1" t="s">
        <v>16</v>
      </c>
      <c r="G671" s="1" t="s">
        <v>223</v>
      </c>
      <c r="H671" s="1" t="s">
        <v>2</v>
      </c>
      <c r="I671" s="2">
        <v>46177</v>
      </c>
      <c r="J671" s="1" t="s">
        <v>214</v>
      </c>
      <c r="K671" s="1" t="s">
        <v>4619</v>
      </c>
      <c r="L671" s="2">
        <v>46177.918923611112</v>
      </c>
      <c r="M671" s="2">
        <v>46177.921329212964</v>
      </c>
    </row>
    <row r="672" spans="1:13" x14ac:dyDescent="0.35">
      <c r="A672" s="1" t="s">
        <v>222</v>
      </c>
      <c r="B672" s="1" t="s">
        <v>13</v>
      </c>
      <c r="C672" s="1" t="s">
        <v>223</v>
      </c>
      <c r="D672">
        <v>4.625</v>
      </c>
      <c r="E672" s="2">
        <v>53373</v>
      </c>
      <c r="F672" s="1" t="s">
        <v>16</v>
      </c>
      <c r="G672" s="1" t="s">
        <v>223</v>
      </c>
      <c r="H672" s="1" t="s">
        <v>2</v>
      </c>
      <c r="I672" s="2">
        <v>46177</v>
      </c>
      <c r="J672" s="1" t="s">
        <v>67</v>
      </c>
      <c r="K672" s="1" t="s">
        <v>4546</v>
      </c>
      <c r="L672" s="2">
        <v>46177.918923611112</v>
      </c>
      <c r="M672" s="2">
        <v>46177.921329212964</v>
      </c>
    </row>
    <row r="673" spans="1:13" x14ac:dyDescent="0.35">
      <c r="A673" s="1" t="s">
        <v>222</v>
      </c>
      <c r="B673" s="1" t="s">
        <v>13</v>
      </c>
      <c r="C673" s="1" t="s">
        <v>223</v>
      </c>
      <c r="D673">
        <v>4.625</v>
      </c>
      <c r="E673" s="2">
        <v>53373</v>
      </c>
      <c r="F673" s="1" t="s">
        <v>16</v>
      </c>
      <c r="G673" s="1" t="s">
        <v>223</v>
      </c>
      <c r="H673" s="1" t="s">
        <v>2</v>
      </c>
      <c r="I673" s="2">
        <v>46177</v>
      </c>
      <c r="J673" s="1" t="s">
        <v>224</v>
      </c>
      <c r="K673" s="1" t="s">
        <v>4619</v>
      </c>
      <c r="L673" s="2">
        <v>46177.918923611112</v>
      </c>
      <c r="M673" s="2">
        <v>46177.921329212964</v>
      </c>
    </row>
    <row r="674" spans="1:13" x14ac:dyDescent="0.35">
      <c r="A674" s="1" t="s">
        <v>2939</v>
      </c>
      <c r="B674" s="1" t="s">
        <v>13</v>
      </c>
      <c r="C674" s="1" t="s">
        <v>2947</v>
      </c>
      <c r="D674">
        <v>5</v>
      </c>
      <c r="E674" s="2">
        <v>57115</v>
      </c>
      <c r="F674" s="1" t="s">
        <v>16</v>
      </c>
      <c r="G674" s="1" t="s">
        <v>2947</v>
      </c>
      <c r="H674" s="1" t="s">
        <v>2</v>
      </c>
      <c r="I674" s="2">
        <v>46177</v>
      </c>
      <c r="J674" s="1" t="s">
        <v>17</v>
      </c>
      <c r="K674" s="1" t="s">
        <v>2586</v>
      </c>
      <c r="L674" s="2">
        <v>46177.92087962963</v>
      </c>
      <c r="M674" s="2">
        <v>46177.921329212964</v>
      </c>
    </row>
    <row r="675" spans="1:13" x14ac:dyDescent="0.35">
      <c r="A675" s="1" t="s">
        <v>2939</v>
      </c>
      <c r="B675" s="1" t="s">
        <v>13</v>
      </c>
      <c r="C675" s="1" t="s">
        <v>2947</v>
      </c>
      <c r="D675">
        <v>5</v>
      </c>
      <c r="E675" s="2">
        <v>57115</v>
      </c>
      <c r="F675" s="1" t="s">
        <v>16</v>
      </c>
      <c r="G675" s="1" t="s">
        <v>2947</v>
      </c>
      <c r="H675" s="1" t="s">
        <v>2</v>
      </c>
      <c r="I675" s="2">
        <v>46177</v>
      </c>
      <c r="J675" s="1" t="s">
        <v>215</v>
      </c>
      <c r="K675" s="1" t="s">
        <v>4547</v>
      </c>
      <c r="L675" s="2">
        <v>46177.918923611112</v>
      </c>
      <c r="M675" s="2">
        <v>46177.921329212964</v>
      </c>
    </row>
    <row r="676" spans="1:13" x14ac:dyDescent="0.35">
      <c r="A676" s="1" t="s">
        <v>2939</v>
      </c>
      <c r="B676" s="1" t="s">
        <v>13</v>
      </c>
      <c r="C676" s="1" t="s">
        <v>2947</v>
      </c>
      <c r="D676">
        <v>5</v>
      </c>
      <c r="E676" s="2">
        <v>57115</v>
      </c>
      <c r="F676" s="1" t="s">
        <v>16</v>
      </c>
      <c r="G676" s="1" t="s">
        <v>2947</v>
      </c>
      <c r="H676" s="1" t="s">
        <v>2</v>
      </c>
      <c r="I676" s="2">
        <v>46177</v>
      </c>
      <c r="J676" s="1" t="s">
        <v>18</v>
      </c>
      <c r="K676" s="1" t="s">
        <v>2434</v>
      </c>
      <c r="L676" s="2">
        <v>46177.92087962963</v>
      </c>
      <c r="M676" s="2">
        <v>46177.921329212964</v>
      </c>
    </row>
    <row r="677" spans="1:13" x14ac:dyDescent="0.35">
      <c r="A677" s="1" t="s">
        <v>2939</v>
      </c>
      <c r="B677" s="1" t="s">
        <v>13</v>
      </c>
      <c r="C677" s="1" t="s">
        <v>2947</v>
      </c>
      <c r="D677">
        <v>5</v>
      </c>
      <c r="E677" s="2">
        <v>57115</v>
      </c>
      <c r="F677" s="1" t="s">
        <v>16</v>
      </c>
      <c r="G677" s="1" t="s">
        <v>2947</v>
      </c>
      <c r="H677" s="1" t="s">
        <v>2</v>
      </c>
      <c r="I677" s="2">
        <v>46177</v>
      </c>
      <c r="J677" s="1" t="s">
        <v>224</v>
      </c>
      <c r="K677" s="1" t="s">
        <v>4568</v>
      </c>
      <c r="L677" s="2">
        <v>46177.918923611112</v>
      </c>
      <c r="M677" s="2">
        <v>46177.921329212964</v>
      </c>
    </row>
    <row r="678" spans="1:13" x14ac:dyDescent="0.35">
      <c r="A678" s="1" t="s">
        <v>2939</v>
      </c>
      <c r="B678" s="1" t="s">
        <v>13</v>
      </c>
      <c r="C678" s="1" t="s">
        <v>2947</v>
      </c>
      <c r="D678">
        <v>5</v>
      </c>
      <c r="E678" s="2">
        <v>57115</v>
      </c>
      <c r="F678" s="1" t="s">
        <v>16</v>
      </c>
      <c r="G678" s="1" t="s">
        <v>2947</v>
      </c>
      <c r="H678" s="1" t="s">
        <v>2</v>
      </c>
      <c r="I678" s="2">
        <v>46177</v>
      </c>
      <c r="J678" s="1" t="s">
        <v>214</v>
      </c>
      <c r="K678" s="1" t="s">
        <v>4568</v>
      </c>
      <c r="L678" s="2">
        <v>46177.918923611112</v>
      </c>
      <c r="M678" s="2">
        <v>46177.921329212964</v>
      </c>
    </row>
    <row r="679" spans="1:13" x14ac:dyDescent="0.35">
      <c r="A679" s="1" t="s">
        <v>2939</v>
      </c>
      <c r="B679" s="1" t="s">
        <v>13</v>
      </c>
      <c r="C679" s="1" t="s">
        <v>2947</v>
      </c>
      <c r="D679">
        <v>5</v>
      </c>
      <c r="E679" s="2">
        <v>57115</v>
      </c>
      <c r="F679" s="1" t="s">
        <v>16</v>
      </c>
      <c r="G679" s="1" t="s">
        <v>2947</v>
      </c>
      <c r="H679" s="1" t="s">
        <v>2</v>
      </c>
      <c r="I679" s="2">
        <v>46177</v>
      </c>
      <c r="J679" s="1" t="s">
        <v>67</v>
      </c>
      <c r="K679" s="1" t="s">
        <v>4547</v>
      </c>
      <c r="L679" s="2">
        <v>46177.918923611112</v>
      </c>
      <c r="M679" s="2">
        <v>46177.921329212964</v>
      </c>
    </row>
    <row r="680" spans="1:13" x14ac:dyDescent="0.35">
      <c r="A680" s="1" t="s">
        <v>3319</v>
      </c>
      <c r="B680" s="1" t="s">
        <v>13</v>
      </c>
      <c r="C680" s="1" t="s">
        <v>4506</v>
      </c>
      <c r="D680">
        <v>5</v>
      </c>
      <c r="E680" s="2">
        <v>53462</v>
      </c>
      <c r="F680" s="1" t="s">
        <v>16</v>
      </c>
      <c r="G680" s="1" t="s">
        <v>4506</v>
      </c>
      <c r="H680" s="1" t="s">
        <v>2</v>
      </c>
      <c r="I680" s="2">
        <v>46177</v>
      </c>
      <c r="J680" s="1" t="s">
        <v>67</v>
      </c>
      <c r="K680" s="1" t="s">
        <v>4518</v>
      </c>
      <c r="L680" s="2">
        <v>46177.918923611112</v>
      </c>
      <c r="M680" s="2">
        <v>46177.921329212964</v>
      </c>
    </row>
    <row r="681" spans="1:13" x14ac:dyDescent="0.35">
      <c r="A681" s="1" t="s">
        <v>3319</v>
      </c>
      <c r="B681" s="1" t="s">
        <v>13</v>
      </c>
      <c r="C681" s="1" t="s">
        <v>4506</v>
      </c>
      <c r="D681">
        <v>5</v>
      </c>
      <c r="E681" s="2">
        <v>53462</v>
      </c>
      <c r="F681" s="1" t="s">
        <v>16</v>
      </c>
      <c r="G681" s="1" t="s">
        <v>4506</v>
      </c>
      <c r="H681" s="1" t="s">
        <v>2</v>
      </c>
      <c r="I681" s="2">
        <v>46177</v>
      </c>
      <c r="J681" s="1" t="s">
        <v>17</v>
      </c>
      <c r="K681" s="1" t="s">
        <v>2468</v>
      </c>
      <c r="L681" s="2">
        <v>46177.92087962963</v>
      </c>
      <c r="M681" s="2">
        <v>46177.921329212964</v>
      </c>
    </row>
    <row r="682" spans="1:13" x14ac:dyDescent="0.35">
      <c r="A682" s="1" t="s">
        <v>3319</v>
      </c>
      <c r="B682" s="1" t="s">
        <v>13</v>
      </c>
      <c r="C682" s="1" t="s">
        <v>4506</v>
      </c>
      <c r="D682">
        <v>5</v>
      </c>
      <c r="E682" s="2">
        <v>53462</v>
      </c>
      <c r="F682" s="1" t="s">
        <v>16</v>
      </c>
      <c r="G682" s="1" t="s">
        <v>4506</v>
      </c>
      <c r="H682" s="1" t="s">
        <v>2</v>
      </c>
      <c r="I682" s="2">
        <v>46177</v>
      </c>
      <c r="J682" s="1" t="s">
        <v>214</v>
      </c>
      <c r="K682" s="1" t="s">
        <v>4507</v>
      </c>
      <c r="L682" s="2">
        <v>46177.918923611112</v>
      </c>
      <c r="M682" s="2">
        <v>46177.921329212964</v>
      </c>
    </row>
    <row r="683" spans="1:13" x14ac:dyDescent="0.35">
      <c r="A683" s="1" t="s">
        <v>3319</v>
      </c>
      <c r="B683" s="1" t="s">
        <v>13</v>
      </c>
      <c r="C683" s="1" t="s">
        <v>4506</v>
      </c>
      <c r="D683">
        <v>5</v>
      </c>
      <c r="E683" s="2">
        <v>53462</v>
      </c>
      <c r="F683" s="1" t="s">
        <v>16</v>
      </c>
      <c r="G683" s="1" t="s">
        <v>4506</v>
      </c>
      <c r="H683" s="1" t="s">
        <v>2</v>
      </c>
      <c r="I683" s="2">
        <v>46177</v>
      </c>
      <c r="J683" s="1" t="s">
        <v>18</v>
      </c>
      <c r="K683" s="1" t="s">
        <v>381</v>
      </c>
      <c r="L683" s="2">
        <v>46177.92087962963</v>
      </c>
      <c r="M683" s="2">
        <v>46177.921329212964</v>
      </c>
    </row>
    <row r="684" spans="1:13" x14ac:dyDescent="0.35">
      <c r="A684" s="1" t="s">
        <v>3319</v>
      </c>
      <c r="B684" s="1" t="s">
        <v>13</v>
      </c>
      <c r="C684" s="1" t="s">
        <v>4506</v>
      </c>
      <c r="D684">
        <v>5</v>
      </c>
      <c r="E684" s="2">
        <v>53462</v>
      </c>
      <c r="F684" s="1" t="s">
        <v>16</v>
      </c>
      <c r="G684" s="1" t="s">
        <v>4506</v>
      </c>
      <c r="H684" s="1" t="s">
        <v>2</v>
      </c>
      <c r="I684" s="2">
        <v>46177</v>
      </c>
      <c r="J684" s="1" t="s">
        <v>215</v>
      </c>
      <c r="K684" s="1" t="s">
        <v>4518</v>
      </c>
      <c r="L684" s="2">
        <v>46177.918923611112</v>
      </c>
      <c r="M684" s="2">
        <v>46177.921329212964</v>
      </c>
    </row>
    <row r="685" spans="1:13" x14ac:dyDescent="0.35">
      <c r="A685" s="1" t="s">
        <v>3319</v>
      </c>
      <c r="B685" s="1" t="s">
        <v>13</v>
      </c>
      <c r="C685" s="1" t="s">
        <v>4506</v>
      </c>
      <c r="D685">
        <v>5</v>
      </c>
      <c r="E685" s="2">
        <v>53462</v>
      </c>
      <c r="F685" s="1" t="s">
        <v>16</v>
      </c>
      <c r="G685" s="1" t="s">
        <v>4506</v>
      </c>
      <c r="H685" s="1" t="s">
        <v>2</v>
      </c>
      <c r="I685" s="2">
        <v>46177</v>
      </c>
      <c r="J685" s="1" t="s">
        <v>224</v>
      </c>
      <c r="K685" s="1" t="s">
        <v>4507</v>
      </c>
      <c r="L685" s="2">
        <v>46177.918923611112</v>
      </c>
      <c r="M685" s="2">
        <v>46177.921329212964</v>
      </c>
    </row>
    <row r="686" spans="1:13" x14ac:dyDescent="0.35">
      <c r="A686" s="1" t="s">
        <v>549</v>
      </c>
      <c r="B686" s="1" t="s">
        <v>13</v>
      </c>
      <c r="C686" s="1" t="s">
        <v>550</v>
      </c>
      <c r="D686">
        <v>0</v>
      </c>
      <c r="E686" s="2">
        <v>46798</v>
      </c>
      <c r="F686" s="1" t="s">
        <v>16</v>
      </c>
      <c r="G686" s="1" t="s">
        <v>550</v>
      </c>
      <c r="H686" s="1" t="s">
        <v>2</v>
      </c>
      <c r="I686" s="2">
        <v>46177</v>
      </c>
      <c r="J686" s="1" t="s">
        <v>18</v>
      </c>
      <c r="K686" s="1" t="s">
        <v>4565</v>
      </c>
      <c r="L686" s="2">
        <v>46177.92087962963</v>
      </c>
      <c r="M686" s="2">
        <v>46177.921329212964</v>
      </c>
    </row>
    <row r="687" spans="1:13" x14ac:dyDescent="0.35">
      <c r="A687" s="1" t="s">
        <v>549</v>
      </c>
      <c r="B687" s="1" t="s">
        <v>13</v>
      </c>
      <c r="C687" s="1" t="s">
        <v>550</v>
      </c>
      <c r="D687">
        <v>0</v>
      </c>
      <c r="E687" s="2">
        <v>46798</v>
      </c>
      <c r="F687" s="1" t="s">
        <v>16</v>
      </c>
      <c r="G687" s="1" t="s">
        <v>550</v>
      </c>
      <c r="H687" s="1" t="s">
        <v>2</v>
      </c>
      <c r="I687" s="2">
        <v>46177</v>
      </c>
      <c r="J687" s="1" t="s">
        <v>17</v>
      </c>
      <c r="K687" s="1" t="s">
        <v>4654</v>
      </c>
      <c r="L687" s="2">
        <v>46177.92087962963</v>
      </c>
      <c r="M687" s="2">
        <v>46177.921329212964</v>
      </c>
    </row>
    <row r="688" spans="1:13" x14ac:dyDescent="0.35">
      <c r="A688" s="1" t="s">
        <v>309</v>
      </c>
      <c r="B688" s="1" t="s">
        <v>13</v>
      </c>
      <c r="C688" s="1" t="s">
        <v>310</v>
      </c>
      <c r="D688">
        <v>0</v>
      </c>
      <c r="E688" s="2">
        <v>46888</v>
      </c>
      <c r="F688" s="1" t="s">
        <v>16</v>
      </c>
      <c r="G688" s="1" t="s">
        <v>310</v>
      </c>
      <c r="H688" s="1" t="s">
        <v>2</v>
      </c>
      <c r="I688" s="2">
        <v>46177</v>
      </c>
      <c r="J688" s="1" t="s">
        <v>17</v>
      </c>
      <c r="K688" s="1" t="s">
        <v>4601</v>
      </c>
      <c r="L688" s="2">
        <v>46177.92087962963</v>
      </c>
      <c r="M688" s="2">
        <v>46177.921329212964</v>
      </c>
    </row>
    <row r="689" spans="1:13" x14ac:dyDescent="0.35">
      <c r="A689" s="1" t="s">
        <v>309</v>
      </c>
      <c r="B689" s="1" t="s">
        <v>13</v>
      </c>
      <c r="C689" s="1" t="s">
        <v>310</v>
      </c>
      <c r="D689">
        <v>0</v>
      </c>
      <c r="E689" s="2">
        <v>46888</v>
      </c>
      <c r="F689" s="1" t="s">
        <v>16</v>
      </c>
      <c r="G689" s="1" t="s">
        <v>310</v>
      </c>
      <c r="H689" s="1" t="s">
        <v>2</v>
      </c>
      <c r="I689" s="2">
        <v>46177</v>
      </c>
      <c r="J689" s="1" t="s">
        <v>18</v>
      </c>
      <c r="K689" s="1" t="s">
        <v>5299</v>
      </c>
      <c r="L689" s="2">
        <v>46177.92087962963</v>
      </c>
      <c r="M689" s="2">
        <v>46177.921329212964</v>
      </c>
    </row>
    <row r="690" spans="1:13" x14ac:dyDescent="0.35">
      <c r="A690" s="1" t="s">
        <v>469</v>
      </c>
      <c r="B690" s="1" t="s">
        <v>13</v>
      </c>
      <c r="C690" s="1" t="s">
        <v>470</v>
      </c>
      <c r="D690">
        <v>0</v>
      </c>
      <c r="E690" s="2">
        <v>46522</v>
      </c>
      <c r="F690" s="1" t="s">
        <v>16</v>
      </c>
      <c r="G690" s="1" t="s">
        <v>470</v>
      </c>
      <c r="H690" s="1" t="s">
        <v>2</v>
      </c>
      <c r="I690" s="2">
        <v>46177</v>
      </c>
      <c r="J690" s="1" t="s">
        <v>18</v>
      </c>
      <c r="K690" s="1" t="s">
        <v>4566</v>
      </c>
      <c r="L690" s="2">
        <v>46177.92087962963</v>
      </c>
      <c r="M690" s="2">
        <v>46177.921329212964</v>
      </c>
    </row>
    <row r="691" spans="1:13" x14ac:dyDescent="0.35">
      <c r="A691" s="1" t="s">
        <v>469</v>
      </c>
      <c r="B691" s="1" t="s">
        <v>13</v>
      </c>
      <c r="C691" s="1" t="s">
        <v>470</v>
      </c>
      <c r="D691">
        <v>0</v>
      </c>
      <c r="E691" s="2">
        <v>46522</v>
      </c>
      <c r="F691" s="1" t="s">
        <v>16</v>
      </c>
      <c r="G691" s="1" t="s">
        <v>470</v>
      </c>
      <c r="H691" s="1" t="s">
        <v>2</v>
      </c>
      <c r="I691" s="2">
        <v>46177</v>
      </c>
      <c r="J691" s="1" t="s">
        <v>17</v>
      </c>
      <c r="K691" s="1" t="s">
        <v>4620</v>
      </c>
      <c r="L691" s="2">
        <v>46177.92087962963</v>
      </c>
      <c r="M691" s="2">
        <v>46177.921329212964</v>
      </c>
    </row>
    <row r="692" spans="1:13" x14ac:dyDescent="0.35">
      <c r="A692" s="1" t="s">
        <v>541</v>
      </c>
      <c r="B692" s="1" t="s">
        <v>13</v>
      </c>
      <c r="C692" s="1" t="s">
        <v>542</v>
      </c>
      <c r="D692">
        <v>0</v>
      </c>
      <c r="E692" s="2">
        <v>47253</v>
      </c>
      <c r="F692" s="1" t="s">
        <v>16</v>
      </c>
      <c r="G692" s="1" t="s">
        <v>542</v>
      </c>
      <c r="H692" s="1" t="s">
        <v>2</v>
      </c>
      <c r="I692" s="2">
        <v>46177</v>
      </c>
      <c r="J692" s="1" t="s">
        <v>18</v>
      </c>
      <c r="K692" s="1" t="s">
        <v>4548</v>
      </c>
      <c r="L692" s="2">
        <v>46177.92087962963</v>
      </c>
      <c r="M692" s="2">
        <v>46177.921329212964</v>
      </c>
    </row>
    <row r="693" spans="1:13" x14ac:dyDescent="0.35">
      <c r="A693" s="1" t="s">
        <v>541</v>
      </c>
      <c r="B693" s="1" t="s">
        <v>13</v>
      </c>
      <c r="C693" s="1" t="s">
        <v>542</v>
      </c>
      <c r="D693">
        <v>0</v>
      </c>
      <c r="E693" s="2">
        <v>47253</v>
      </c>
      <c r="F693" s="1" t="s">
        <v>16</v>
      </c>
      <c r="G693" s="1" t="s">
        <v>542</v>
      </c>
      <c r="H693" s="1" t="s">
        <v>2</v>
      </c>
      <c r="I693" s="2">
        <v>46177</v>
      </c>
      <c r="J693" s="1" t="s">
        <v>17</v>
      </c>
      <c r="K693" s="1" t="s">
        <v>4567</v>
      </c>
      <c r="L693" s="2">
        <v>46177.92087962963</v>
      </c>
      <c r="M693" s="2">
        <v>46177.921329212964</v>
      </c>
    </row>
    <row r="694" spans="1:13" x14ac:dyDescent="0.35">
      <c r="A694" s="1" t="s">
        <v>2377</v>
      </c>
      <c r="B694" s="1" t="s">
        <v>13</v>
      </c>
      <c r="C694" s="1" t="s">
        <v>2378</v>
      </c>
      <c r="D694">
        <v>0</v>
      </c>
      <c r="E694" s="2">
        <v>46234</v>
      </c>
      <c r="F694" s="1" t="s">
        <v>16</v>
      </c>
      <c r="G694" s="1" t="s">
        <v>2378</v>
      </c>
      <c r="H694" s="1" t="s">
        <v>2</v>
      </c>
      <c r="I694" s="2">
        <v>46177</v>
      </c>
      <c r="J694" s="1" t="s">
        <v>215</v>
      </c>
      <c r="K694" s="1" t="s">
        <v>4508</v>
      </c>
      <c r="L694" s="2">
        <v>46177.918923611112</v>
      </c>
      <c r="M694" s="2">
        <v>46177.921329212964</v>
      </c>
    </row>
    <row r="695" spans="1:13" x14ac:dyDescent="0.35">
      <c r="A695" s="1" t="s">
        <v>2377</v>
      </c>
      <c r="B695" s="1" t="s">
        <v>13</v>
      </c>
      <c r="C695" s="1" t="s">
        <v>2378</v>
      </c>
      <c r="D695">
        <v>0</v>
      </c>
      <c r="E695" s="2">
        <v>46234</v>
      </c>
      <c r="F695" s="1" t="s">
        <v>16</v>
      </c>
      <c r="G695" s="1" t="s">
        <v>2378</v>
      </c>
      <c r="H695" s="1" t="s">
        <v>2</v>
      </c>
      <c r="I695" s="2">
        <v>46177</v>
      </c>
      <c r="J695" s="1" t="s">
        <v>18</v>
      </c>
      <c r="K695" s="1" t="s">
        <v>4549</v>
      </c>
      <c r="L695" s="2">
        <v>46177.92087962963</v>
      </c>
      <c r="M695" s="2">
        <v>46177.921329212964</v>
      </c>
    </row>
    <row r="696" spans="1:13" x14ac:dyDescent="0.35">
      <c r="A696" s="1" t="s">
        <v>2377</v>
      </c>
      <c r="B696" s="1" t="s">
        <v>13</v>
      </c>
      <c r="C696" s="1" t="s">
        <v>2378</v>
      </c>
      <c r="D696">
        <v>0</v>
      </c>
      <c r="E696" s="2">
        <v>46234</v>
      </c>
      <c r="F696" s="1" t="s">
        <v>16</v>
      </c>
      <c r="G696" s="1" t="s">
        <v>2378</v>
      </c>
      <c r="H696" s="1" t="s">
        <v>2</v>
      </c>
      <c r="I696" s="2">
        <v>46177</v>
      </c>
      <c r="J696" s="1" t="s">
        <v>17</v>
      </c>
      <c r="K696" s="1" t="s">
        <v>4549</v>
      </c>
      <c r="L696" s="2">
        <v>46177.92087962963</v>
      </c>
      <c r="M696" s="2">
        <v>46177.921329212964</v>
      </c>
    </row>
    <row r="697" spans="1:13" x14ac:dyDescent="0.35">
      <c r="A697" s="1" t="s">
        <v>2377</v>
      </c>
      <c r="B697" s="1" t="s">
        <v>13</v>
      </c>
      <c r="C697" s="1" t="s">
        <v>2378</v>
      </c>
      <c r="D697">
        <v>0</v>
      </c>
      <c r="E697" s="2">
        <v>46234</v>
      </c>
      <c r="F697" s="1" t="s">
        <v>16</v>
      </c>
      <c r="G697" s="1" t="s">
        <v>2378</v>
      </c>
      <c r="H697" s="1" t="s">
        <v>2</v>
      </c>
      <c r="I697" s="2">
        <v>46177</v>
      </c>
      <c r="J697" s="1" t="s">
        <v>224</v>
      </c>
      <c r="K697" s="1" t="s">
        <v>4508</v>
      </c>
      <c r="L697" s="2">
        <v>46177.918923611112</v>
      </c>
      <c r="M697" s="2">
        <v>46177.921329212964</v>
      </c>
    </row>
    <row r="698" spans="1:13" x14ac:dyDescent="0.35">
      <c r="A698" s="1" t="s">
        <v>2377</v>
      </c>
      <c r="B698" s="1" t="s">
        <v>13</v>
      </c>
      <c r="C698" s="1" t="s">
        <v>2378</v>
      </c>
      <c r="D698">
        <v>0</v>
      </c>
      <c r="E698" s="2">
        <v>46234</v>
      </c>
      <c r="F698" s="1" t="s">
        <v>16</v>
      </c>
      <c r="G698" s="1" t="s">
        <v>2378</v>
      </c>
      <c r="H698" s="1" t="s">
        <v>2</v>
      </c>
      <c r="I698" s="2">
        <v>46177</v>
      </c>
      <c r="J698" s="1" t="s">
        <v>214</v>
      </c>
      <c r="K698" s="1" t="s">
        <v>4508</v>
      </c>
      <c r="L698" s="2">
        <v>46177.918923611112</v>
      </c>
      <c r="M698" s="2">
        <v>46177.921329212964</v>
      </c>
    </row>
    <row r="699" spans="1:13" x14ac:dyDescent="0.35">
      <c r="A699" s="1" t="s">
        <v>2377</v>
      </c>
      <c r="B699" s="1" t="s">
        <v>13</v>
      </c>
      <c r="C699" s="1" t="s">
        <v>2378</v>
      </c>
      <c r="D699">
        <v>0</v>
      </c>
      <c r="E699" s="2">
        <v>46234</v>
      </c>
      <c r="F699" s="1" t="s">
        <v>16</v>
      </c>
      <c r="G699" s="1" t="s">
        <v>2378</v>
      </c>
      <c r="H699" s="1" t="s">
        <v>2</v>
      </c>
      <c r="I699" s="2">
        <v>46177</v>
      </c>
      <c r="J699" s="1" t="s">
        <v>67</v>
      </c>
      <c r="K699" s="1" t="s">
        <v>4508</v>
      </c>
      <c r="L699" s="2">
        <v>46177.918923611112</v>
      </c>
      <c r="M699" s="2">
        <v>46177.921329212964</v>
      </c>
    </row>
    <row r="700" spans="1:13" x14ac:dyDescent="0.35">
      <c r="A700" s="1" t="s">
        <v>551</v>
      </c>
      <c r="B700" s="1" t="s">
        <v>13</v>
      </c>
      <c r="C700" s="1" t="s">
        <v>552</v>
      </c>
      <c r="D700">
        <v>0</v>
      </c>
      <c r="E700" s="2">
        <v>47437</v>
      </c>
      <c r="F700" s="1" t="s">
        <v>16</v>
      </c>
      <c r="G700" s="1" t="s">
        <v>552</v>
      </c>
      <c r="H700" s="1" t="s">
        <v>2</v>
      </c>
      <c r="I700" s="2">
        <v>46177</v>
      </c>
      <c r="J700" s="1" t="s">
        <v>18</v>
      </c>
      <c r="K700" s="1" t="s">
        <v>4602</v>
      </c>
      <c r="L700" s="2">
        <v>46177.92087962963</v>
      </c>
      <c r="M700" s="2">
        <v>46177.921329212964</v>
      </c>
    </row>
    <row r="701" spans="1:13" x14ac:dyDescent="0.35">
      <c r="A701" s="1" t="s">
        <v>551</v>
      </c>
      <c r="B701" s="1" t="s">
        <v>13</v>
      </c>
      <c r="C701" s="1" t="s">
        <v>552</v>
      </c>
      <c r="D701">
        <v>0</v>
      </c>
      <c r="E701" s="2">
        <v>47437</v>
      </c>
      <c r="F701" s="1" t="s">
        <v>16</v>
      </c>
      <c r="G701" s="1" t="s">
        <v>552</v>
      </c>
      <c r="H701" s="1" t="s">
        <v>2</v>
      </c>
      <c r="I701" s="2">
        <v>46177</v>
      </c>
      <c r="J701" s="1" t="s">
        <v>17</v>
      </c>
      <c r="K701" s="1" t="s">
        <v>4817</v>
      </c>
      <c r="L701" s="2">
        <v>46177.92087962963</v>
      </c>
      <c r="M701" s="2">
        <v>46177.921329212964</v>
      </c>
    </row>
    <row r="702" spans="1:13" x14ac:dyDescent="0.35">
      <c r="A702" s="1" t="s">
        <v>311</v>
      </c>
      <c r="B702" s="1" t="s">
        <v>13</v>
      </c>
      <c r="C702" s="1" t="s">
        <v>312</v>
      </c>
      <c r="D702">
        <v>0</v>
      </c>
      <c r="E702" s="2">
        <v>47529</v>
      </c>
      <c r="F702" s="1" t="s">
        <v>16</v>
      </c>
      <c r="G702" s="1" t="s">
        <v>312</v>
      </c>
      <c r="H702" s="1" t="s">
        <v>2</v>
      </c>
      <c r="I702" s="2">
        <v>46177</v>
      </c>
      <c r="J702" s="1" t="s">
        <v>214</v>
      </c>
      <c r="K702" s="1" t="s">
        <v>4550</v>
      </c>
      <c r="L702" s="2">
        <v>46177.918923611112</v>
      </c>
      <c r="M702" s="2">
        <v>46177.921329212964</v>
      </c>
    </row>
    <row r="703" spans="1:13" x14ac:dyDescent="0.35">
      <c r="A703" s="1" t="s">
        <v>311</v>
      </c>
      <c r="B703" s="1" t="s">
        <v>13</v>
      </c>
      <c r="C703" s="1" t="s">
        <v>312</v>
      </c>
      <c r="D703">
        <v>0</v>
      </c>
      <c r="E703" s="2">
        <v>47529</v>
      </c>
      <c r="F703" s="1" t="s">
        <v>16</v>
      </c>
      <c r="G703" s="1" t="s">
        <v>312</v>
      </c>
      <c r="H703" s="1" t="s">
        <v>2</v>
      </c>
      <c r="I703" s="2">
        <v>46177</v>
      </c>
      <c r="J703" s="1" t="s">
        <v>67</v>
      </c>
      <c r="K703" s="1" t="s">
        <v>4509</v>
      </c>
      <c r="L703" s="2">
        <v>46177.918923611112</v>
      </c>
      <c r="M703" s="2">
        <v>46177.921329212964</v>
      </c>
    </row>
    <row r="704" spans="1:13" x14ac:dyDescent="0.35">
      <c r="A704" s="1" t="s">
        <v>311</v>
      </c>
      <c r="B704" s="1" t="s">
        <v>13</v>
      </c>
      <c r="C704" s="1" t="s">
        <v>312</v>
      </c>
      <c r="D704">
        <v>0</v>
      </c>
      <c r="E704" s="2">
        <v>47529</v>
      </c>
      <c r="F704" s="1" t="s">
        <v>16</v>
      </c>
      <c r="G704" s="1" t="s">
        <v>312</v>
      </c>
      <c r="H704" s="1" t="s">
        <v>2</v>
      </c>
      <c r="I704" s="2">
        <v>46177</v>
      </c>
      <c r="J704" s="1" t="s">
        <v>17</v>
      </c>
      <c r="K704" s="1" t="s">
        <v>4569</v>
      </c>
      <c r="L704" s="2">
        <v>46177.92087962963</v>
      </c>
      <c r="M704" s="2">
        <v>46177.921329212964</v>
      </c>
    </row>
    <row r="705" spans="1:13" x14ac:dyDescent="0.35">
      <c r="A705" s="1" t="s">
        <v>311</v>
      </c>
      <c r="B705" s="1" t="s">
        <v>13</v>
      </c>
      <c r="C705" s="1" t="s">
        <v>312</v>
      </c>
      <c r="D705">
        <v>0</v>
      </c>
      <c r="E705" s="2">
        <v>47529</v>
      </c>
      <c r="F705" s="1" t="s">
        <v>16</v>
      </c>
      <c r="G705" s="1" t="s">
        <v>312</v>
      </c>
      <c r="H705" s="1" t="s">
        <v>2</v>
      </c>
      <c r="I705" s="2">
        <v>46177</v>
      </c>
      <c r="J705" s="1" t="s">
        <v>224</v>
      </c>
      <c r="K705" s="1" t="s">
        <v>4550</v>
      </c>
      <c r="L705" s="2">
        <v>46177.918923611112</v>
      </c>
      <c r="M705" s="2">
        <v>46177.921329212964</v>
      </c>
    </row>
    <row r="706" spans="1:13" x14ac:dyDescent="0.35">
      <c r="A706" s="1" t="s">
        <v>311</v>
      </c>
      <c r="B706" s="1" t="s">
        <v>13</v>
      </c>
      <c r="C706" s="1" t="s">
        <v>312</v>
      </c>
      <c r="D706">
        <v>0</v>
      </c>
      <c r="E706" s="2">
        <v>47529</v>
      </c>
      <c r="F706" s="1" t="s">
        <v>16</v>
      </c>
      <c r="G706" s="1" t="s">
        <v>312</v>
      </c>
      <c r="H706" s="1" t="s">
        <v>2</v>
      </c>
      <c r="I706" s="2">
        <v>46177</v>
      </c>
      <c r="J706" s="1" t="s">
        <v>215</v>
      </c>
      <c r="K706" s="1" t="s">
        <v>4509</v>
      </c>
      <c r="L706" s="2">
        <v>46177.918923611112</v>
      </c>
      <c r="M706" s="2">
        <v>46177.921329212964</v>
      </c>
    </row>
    <row r="707" spans="1:13" x14ac:dyDescent="0.35">
      <c r="A707" s="1" t="s">
        <v>311</v>
      </c>
      <c r="B707" s="1" t="s">
        <v>13</v>
      </c>
      <c r="C707" s="1" t="s">
        <v>312</v>
      </c>
      <c r="D707">
        <v>0</v>
      </c>
      <c r="E707" s="2">
        <v>47529</v>
      </c>
      <c r="F707" s="1" t="s">
        <v>16</v>
      </c>
      <c r="G707" s="1" t="s">
        <v>312</v>
      </c>
      <c r="H707" s="1" t="s">
        <v>2</v>
      </c>
      <c r="I707" s="2">
        <v>46177</v>
      </c>
      <c r="J707" s="1" t="s">
        <v>18</v>
      </c>
      <c r="K707" s="1" t="s">
        <v>5300</v>
      </c>
      <c r="L707" s="2">
        <v>46177.92087962963</v>
      </c>
      <c r="M707" s="2">
        <v>46177.921329212964</v>
      </c>
    </row>
    <row r="708" spans="1:13" x14ac:dyDescent="0.35">
      <c r="A708" s="1" t="s">
        <v>543</v>
      </c>
      <c r="B708" s="1" t="s">
        <v>13</v>
      </c>
      <c r="C708" s="1" t="s">
        <v>544</v>
      </c>
      <c r="D708">
        <v>0</v>
      </c>
      <c r="E708" s="2">
        <v>47710</v>
      </c>
      <c r="F708" s="1" t="s">
        <v>16</v>
      </c>
      <c r="G708" s="1" t="s">
        <v>544</v>
      </c>
      <c r="H708" s="1" t="s">
        <v>2</v>
      </c>
      <c r="I708" s="2">
        <v>46177</v>
      </c>
      <c r="J708" s="1" t="s">
        <v>18</v>
      </c>
      <c r="K708" s="1" t="s">
        <v>4551</v>
      </c>
      <c r="L708" s="2">
        <v>46177.92087962963</v>
      </c>
      <c r="M708" s="2">
        <v>46177.921329212964</v>
      </c>
    </row>
    <row r="709" spans="1:13" x14ac:dyDescent="0.35">
      <c r="A709" s="1" t="s">
        <v>543</v>
      </c>
      <c r="B709" s="1" t="s">
        <v>13</v>
      </c>
      <c r="C709" s="1" t="s">
        <v>544</v>
      </c>
      <c r="D709">
        <v>0</v>
      </c>
      <c r="E709" s="2">
        <v>47710</v>
      </c>
      <c r="F709" s="1" t="s">
        <v>16</v>
      </c>
      <c r="G709" s="1" t="s">
        <v>544</v>
      </c>
      <c r="H709" s="1" t="s">
        <v>2</v>
      </c>
      <c r="I709" s="2">
        <v>46177</v>
      </c>
      <c r="J709" s="1" t="s">
        <v>17</v>
      </c>
      <c r="K709" s="1" t="s">
        <v>4621</v>
      </c>
      <c r="L709" s="2">
        <v>46177.92087962963</v>
      </c>
      <c r="M709" s="2">
        <v>46177.921329212964</v>
      </c>
    </row>
    <row r="710" spans="1:13" x14ac:dyDescent="0.35">
      <c r="A710" s="1" t="s">
        <v>382</v>
      </c>
      <c r="B710" s="1" t="s">
        <v>13</v>
      </c>
      <c r="C710" s="1" t="s">
        <v>383</v>
      </c>
      <c r="D710">
        <v>0</v>
      </c>
      <c r="E710" s="2">
        <v>47802</v>
      </c>
      <c r="F710" s="1" t="s">
        <v>16</v>
      </c>
      <c r="G710" s="1" t="s">
        <v>383</v>
      </c>
      <c r="H710" s="1" t="s">
        <v>2</v>
      </c>
      <c r="I710" s="2">
        <v>46177</v>
      </c>
      <c r="J710" s="1" t="s">
        <v>17</v>
      </c>
      <c r="K710" s="1" t="s">
        <v>4603</v>
      </c>
      <c r="L710" s="2">
        <v>46177.92087962963</v>
      </c>
      <c r="M710" s="2">
        <v>46177.921329212964</v>
      </c>
    </row>
    <row r="711" spans="1:13" x14ac:dyDescent="0.35">
      <c r="A711" s="1" t="s">
        <v>382</v>
      </c>
      <c r="B711" s="1" t="s">
        <v>13</v>
      </c>
      <c r="C711" s="1" t="s">
        <v>383</v>
      </c>
      <c r="D711">
        <v>0</v>
      </c>
      <c r="E711" s="2">
        <v>47802</v>
      </c>
      <c r="F711" s="1" t="s">
        <v>16</v>
      </c>
      <c r="G711" s="1" t="s">
        <v>383</v>
      </c>
      <c r="H711" s="1" t="s">
        <v>2</v>
      </c>
      <c r="I711" s="2">
        <v>46177</v>
      </c>
      <c r="J711" s="1" t="s">
        <v>18</v>
      </c>
      <c r="K711" s="1" t="s">
        <v>4685</v>
      </c>
      <c r="L711" s="2">
        <v>46177.92087962963</v>
      </c>
      <c r="M711" s="2">
        <v>46177.921329212964</v>
      </c>
    </row>
    <row r="712" spans="1:13" x14ac:dyDescent="0.35">
      <c r="A712" s="1" t="s">
        <v>553</v>
      </c>
      <c r="B712" s="1" t="s">
        <v>13</v>
      </c>
      <c r="C712" s="1" t="s">
        <v>554</v>
      </c>
      <c r="D712">
        <v>0</v>
      </c>
      <c r="E712" s="2">
        <v>48167</v>
      </c>
      <c r="F712" s="1" t="s">
        <v>16</v>
      </c>
      <c r="G712" s="1" t="s">
        <v>554</v>
      </c>
      <c r="H712" s="1" t="s">
        <v>2</v>
      </c>
      <c r="I712" s="2">
        <v>46177</v>
      </c>
      <c r="J712" s="1" t="s">
        <v>18</v>
      </c>
      <c r="K712" s="1" t="s">
        <v>4604</v>
      </c>
      <c r="L712" s="2">
        <v>46177.92087962963</v>
      </c>
      <c r="M712" s="2">
        <v>46177.921329212964</v>
      </c>
    </row>
    <row r="713" spans="1:13" x14ac:dyDescent="0.35">
      <c r="A713" s="1" t="s">
        <v>553</v>
      </c>
      <c r="B713" s="1" t="s">
        <v>13</v>
      </c>
      <c r="C713" s="1" t="s">
        <v>554</v>
      </c>
      <c r="D713">
        <v>0</v>
      </c>
      <c r="E713" s="2">
        <v>48167</v>
      </c>
      <c r="F713" s="1" t="s">
        <v>16</v>
      </c>
      <c r="G713" s="1" t="s">
        <v>554</v>
      </c>
      <c r="H713" s="1" t="s">
        <v>2</v>
      </c>
      <c r="I713" s="2">
        <v>46177</v>
      </c>
      <c r="J713" s="1" t="s">
        <v>17</v>
      </c>
      <c r="K713" s="1" t="s">
        <v>4686</v>
      </c>
      <c r="L713" s="2">
        <v>46177.92087962963</v>
      </c>
      <c r="M713" s="2">
        <v>46177.921329212964</v>
      </c>
    </row>
    <row r="714" spans="1:13" x14ac:dyDescent="0.35">
      <c r="A714" s="1" t="s">
        <v>545</v>
      </c>
      <c r="B714" s="1" t="s">
        <v>13</v>
      </c>
      <c r="C714" s="1" t="s">
        <v>546</v>
      </c>
      <c r="D714">
        <v>0</v>
      </c>
      <c r="E714" s="2">
        <v>48259</v>
      </c>
      <c r="F714" s="1" t="s">
        <v>16</v>
      </c>
      <c r="G714" s="1" t="s">
        <v>546</v>
      </c>
      <c r="H714" s="1" t="s">
        <v>2</v>
      </c>
      <c r="I714" s="2">
        <v>46177</v>
      </c>
      <c r="J714" s="1" t="s">
        <v>17</v>
      </c>
      <c r="K714" s="1" t="s">
        <v>4605</v>
      </c>
      <c r="L714" s="2">
        <v>46177.92087962963</v>
      </c>
      <c r="M714" s="2">
        <v>46177.921329212964</v>
      </c>
    </row>
    <row r="715" spans="1:13" x14ac:dyDescent="0.35">
      <c r="A715" s="1" t="s">
        <v>545</v>
      </c>
      <c r="B715" s="1" t="s">
        <v>13</v>
      </c>
      <c r="C715" s="1" t="s">
        <v>546</v>
      </c>
      <c r="D715">
        <v>0</v>
      </c>
      <c r="E715" s="2">
        <v>48259</v>
      </c>
      <c r="F715" s="1" t="s">
        <v>16</v>
      </c>
      <c r="G715" s="1" t="s">
        <v>546</v>
      </c>
      <c r="H715" s="1" t="s">
        <v>2</v>
      </c>
      <c r="I715" s="2">
        <v>46177</v>
      </c>
      <c r="J715" s="1" t="s">
        <v>18</v>
      </c>
      <c r="K715" s="1" t="s">
        <v>5301</v>
      </c>
      <c r="L715" s="2">
        <v>46177.92087962963</v>
      </c>
      <c r="M715" s="2">
        <v>46177.921329212964</v>
      </c>
    </row>
    <row r="716" spans="1:13" x14ac:dyDescent="0.35">
      <c r="A716" s="1" t="s">
        <v>313</v>
      </c>
      <c r="B716" s="1" t="s">
        <v>13</v>
      </c>
      <c r="C716" s="1" t="s">
        <v>314</v>
      </c>
      <c r="D716">
        <v>0</v>
      </c>
      <c r="E716" s="2">
        <v>48349</v>
      </c>
      <c r="F716" s="1" t="s">
        <v>16</v>
      </c>
      <c r="G716" s="1" t="s">
        <v>314</v>
      </c>
      <c r="H716" s="1" t="s">
        <v>2</v>
      </c>
      <c r="I716" s="2">
        <v>46177</v>
      </c>
      <c r="J716" s="1" t="s">
        <v>18</v>
      </c>
      <c r="K716" s="1" t="s">
        <v>4510</v>
      </c>
      <c r="L716" s="2">
        <v>46177.92087962963</v>
      </c>
      <c r="M716" s="2">
        <v>46177.921329212964</v>
      </c>
    </row>
    <row r="717" spans="1:13" x14ac:dyDescent="0.35">
      <c r="A717" s="1" t="s">
        <v>313</v>
      </c>
      <c r="B717" s="1" t="s">
        <v>13</v>
      </c>
      <c r="C717" s="1" t="s">
        <v>314</v>
      </c>
      <c r="D717">
        <v>0</v>
      </c>
      <c r="E717" s="2">
        <v>48349</v>
      </c>
      <c r="F717" s="1" t="s">
        <v>16</v>
      </c>
      <c r="G717" s="1" t="s">
        <v>314</v>
      </c>
      <c r="H717" s="1" t="s">
        <v>2</v>
      </c>
      <c r="I717" s="2">
        <v>46177</v>
      </c>
      <c r="J717" s="1" t="s">
        <v>17</v>
      </c>
      <c r="K717" s="1" t="s">
        <v>4622</v>
      </c>
      <c r="L717" s="2">
        <v>46177.92087962963</v>
      </c>
      <c r="M717" s="2">
        <v>46177.921329212964</v>
      </c>
    </row>
    <row r="718" spans="1:13" x14ac:dyDescent="0.35">
      <c r="A718" s="1" t="s">
        <v>384</v>
      </c>
      <c r="B718" s="1" t="s">
        <v>13</v>
      </c>
      <c r="C718" s="1" t="s">
        <v>385</v>
      </c>
      <c r="D718">
        <v>0</v>
      </c>
      <c r="E718" s="2">
        <v>48441</v>
      </c>
      <c r="F718" s="1" t="s">
        <v>16</v>
      </c>
      <c r="G718" s="1" t="s">
        <v>385</v>
      </c>
      <c r="H718" s="1" t="s">
        <v>2</v>
      </c>
      <c r="I718" s="2">
        <v>46177</v>
      </c>
      <c r="J718" s="1" t="s">
        <v>17</v>
      </c>
      <c r="K718" s="1" t="s">
        <v>4818</v>
      </c>
      <c r="L718" s="2">
        <v>46177.92087962963</v>
      </c>
      <c r="M718" s="2">
        <v>46177.921329212964</v>
      </c>
    </row>
    <row r="719" spans="1:13" x14ac:dyDescent="0.35">
      <c r="A719" s="1" t="s">
        <v>384</v>
      </c>
      <c r="B719" s="1" t="s">
        <v>13</v>
      </c>
      <c r="C719" s="1" t="s">
        <v>385</v>
      </c>
      <c r="D719">
        <v>0</v>
      </c>
      <c r="E719" s="2">
        <v>48441</v>
      </c>
      <c r="F719" s="1" t="s">
        <v>16</v>
      </c>
      <c r="G719" s="1" t="s">
        <v>385</v>
      </c>
      <c r="H719" s="1" t="s">
        <v>2</v>
      </c>
      <c r="I719" s="2">
        <v>46177</v>
      </c>
      <c r="J719" s="1" t="s">
        <v>18</v>
      </c>
      <c r="K719" s="1" t="s">
        <v>4570</v>
      </c>
      <c r="L719" s="2">
        <v>46177.92087962963</v>
      </c>
      <c r="M719" s="2">
        <v>46177.921329212964</v>
      </c>
    </row>
    <row r="720" spans="1:13" x14ac:dyDescent="0.35">
      <c r="A720" s="1" t="s">
        <v>499</v>
      </c>
      <c r="B720" s="1" t="s">
        <v>13</v>
      </c>
      <c r="C720" s="1" t="s">
        <v>500</v>
      </c>
      <c r="D720">
        <v>0</v>
      </c>
      <c r="E720" s="2">
        <v>48533</v>
      </c>
      <c r="F720" s="1" t="s">
        <v>16</v>
      </c>
      <c r="G720" s="1" t="s">
        <v>500</v>
      </c>
      <c r="H720" s="1" t="s">
        <v>2</v>
      </c>
      <c r="I720" s="2">
        <v>46177</v>
      </c>
      <c r="J720" s="1" t="s">
        <v>18</v>
      </c>
      <c r="K720" s="1" t="s">
        <v>4655</v>
      </c>
      <c r="L720" s="2">
        <v>46177.92087962963</v>
      </c>
      <c r="M720" s="2">
        <v>46177.921329212964</v>
      </c>
    </row>
    <row r="721" spans="1:13" x14ac:dyDescent="0.35">
      <c r="A721" s="1" t="s">
        <v>499</v>
      </c>
      <c r="B721" s="1" t="s">
        <v>13</v>
      </c>
      <c r="C721" s="1" t="s">
        <v>500</v>
      </c>
      <c r="D721">
        <v>0</v>
      </c>
      <c r="E721" s="2">
        <v>48533</v>
      </c>
      <c r="F721" s="1" t="s">
        <v>16</v>
      </c>
      <c r="G721" s="1" t="s">
        <v>500</v>
      </c>
      <c r="H721" s="1" t="s">
        <v>2</v>
      </c>
      <c r="I721" s="2">
        <v>46177</v>
      </c>
      <c r="J721" s="1" t="s">
        <v>17</v>
      </c>
      <c r="K721" s="1" t="s">
        <v>5302</v>
      </c>
      <c r="L721" s="2">
        <v>46177.92087962963</v>
      </c>
      <c r="M721" s="2">
        <v>46177.921329212964</v>
      </c>
    </row>
    <row r="722" spans="1:13" x14ac:dyDescent="0.35">
      <c r="A722" s="1" t="s">
        <v>503</v>
      </c>
      <c r="B722" s="1" t="s">
        <v>13</v>
      </c>
      <c r="C722" s="1" t="s">
        <v>504</v>
      </c>
      <c r="D722">
        <v>0</v>
      </c>
      <c r="E722" s="2">
        <v>48625</v>
      </c>
      <c r="F722" s="1" t="s">
        <v>16</v>
      </c>
      <c r="G722" s="1" t="s">
        <v>504</v>
      </c>
      <c r="H722" s="1" t="s">
        <v>2</v>
      </c>
      <c r="I722" s="2">
        <v>46177</v>
      </c>
      <c r="J722" s="1" t="s">
        <v>18</v>
      </c>
      <c r="K722" s="1" t="s">
        <v>4606</v>
      </c>
      <c r="L722" s="2">
        <v>46177.92087962963</v>
      </c>
      <c r="M722" s="2">
        <v>46177.921329212964</v>
      </c>
    </row>
    <row r="723" spans="1:13" x14ac:dyDescent="0.35">
      <c r="A723" s="1" t="s">
        <v>503</v>
      </c>
      <c r="B723" s="1" t="s">
        <v>13</v>
      </c>
      <c r="C723" s="1" t="s">
        <v>504</v>
      </c>
      <c r="D723">
        <v>0</v>
      </c>
      <c r="E723" s="2">
        <v>48625</v>
      </c>
      <c r="F723" s="1" t="s">
        <v>16</v>
      </c>
      <c r="G723" s="1" t="s">
        <v>504</v>
      </c>
      <c r="H723" s="1" t="s">
        <v>2</v>
      </c>
      <c r="I723" s="2">
        <v>46177</v>
      </c>
      <c r="J723" s="1" t="s">
        <v>17</v>
      </c>
      <c r="K723" s="1" t="s">
        <v>4623</v>
      </c>
      <c r="L723" s="2">
        <v>46177.92087962963</v>
      </c>
      <c r="M723" s="2">
        <v>46177.921329212964</v>
      </c>
    </row>
    <row r="724" spans="1:13" x14ac:dyDescent="0.35">
      <c r="A724" s="1" t="s">
        <v>386</v>
      </c>
      <c r="B724" s="1" t="s">
        <v>13</v>
      </c>
      <c r="C724" s="1" t="s">
        <v>387</v>
      </c>
      <c r="D724">
        <v>0</v>
      </c>
      <c r="E724" s="2">
        <v>48714</v>
      </c>
      <c r="F724" s="1" t="s">
        <v>16</v>
      </c>
      <c r="G724" s="1" t="s">
        <v>387</v>
      </c>
      <c r="H724" s="1" t="s">
        <v>2</v>
      </c>
      <c r="I724" s="2">
        <v>46177</v>
      </c>
      <c r="J724" s="1" t="s">
        <v>17</v>
      </c>
      <c r="K724" s="1" t="s">
        <v>4582</v>
      </c>
      <c r="L724" s="2">
        <v>46177.92087962963</v>
      </c>
      <c r="M724" s="2">
        <v>46177.921329212964</v>
      </c>
    </row>
    <row r="725" spans="1:13" x14ac:dyDescent="0.35">
      <c r="A725" s="1" t="s">
        <v>386</v>
      </c>
      <c r="B725" s="1" t="s">
        <v>13</v>
      </c>
      <c r="C725" s="1" t="s">
        <v>387</v>
      </c>
      <c r="D725">
        <v>0</v>
      </c>
      <c r="E725" s="2">
        <v>48714</v>
      </c>
      <c r="F725" s="1" t="s">
        <v>16</v>
      </c>
      <c r="G725" s="1" t="s">
        <v>387</v>
      </c>
      <c r="H725" s="1" t="s">
        <v>2</v>
      </c>
      <c r="I725" s="2">
        <v>46177</v>
      </c>
      <c r="J725" s="1" t="s">
        <v>18</v>
      </c>
      <c r="K725" s="1" t="s">
        <v>5303</v>
      </c>
      <c r="L725" s="2">
        <v>46177.92087962963</v>
      </c>
      <c r="M725" s="2">
        <v>46177.921329212964</v>
      </c>
    </row>
    <row r="726" spans="1:13" x14ac:dyDescent="0.35">
      <c r="A726" s="1" t="s">
        <v>388</v>
      </c>
      <c r="B726" s="1" t="s">
        <v>13</v>
      </c>
      <c r="C726" s="1" t="s">
        <v>389</v>
      </c>
      <c r="D726">
        <v>0</v>
      </c>
      <c r="E726" s="2">
        <v>47983</v>
      </c>
      <c r="F726" s="1" t="s">
        <v>16</v>
      </c>
      <c r="G726" s="1" t="s">
        <v>389</v>
      </c>
      <c r="H726" s="1" t="s">
        <v>2</v>
      </c>
      <c r="I726" s="2">
        <v>46177</v>
      </c>
      <c r="J726" s="1" t="s">
        <v>214</v>
      </c>
      <c r="K726" s="1" t="s">
        <v>4624</v>
      </c>
      <c r="L726" s="2">
        <v>46177.918923611112</v>
      </c>
      <c r="M726" s="2">
        <v>46177.921329212964</v>
      </c>
    </row>
    <row r="727" spans="1:13" x14ac:dyDescent="0.35">
      <c r="A727" s="1" t="s">
        <v>388</v>
      </c>
      <c r="B727" s="1" t="s">
        <v>13</v>
      </c>
      <c r="C727" s="1" t="s">
        <v>389</v>
      </c>
      <c r="D727">
        <v>0</v>
      </c>
      <c r="E727" s="2">
        <v>47983</v>
      </c>
      <c r="F727" s="1" t="s">
        <v>16</v>
      </c>
      <c r="G727" s="1" t="s">
        <v>389</v>
      </c>
      <c r="H727" s="1" t="s">
        <v>2</v>
      </c>
      <c r="I727" s="2">
        <v>46177</v>
      </c>
      <c r="J727" s="1" t="s">
        <v>67</v>
      </c>
      <c r="K727" s="1" t="s">
        <v>4571</v>
      </c>
      <c r="L727" s="2">
        <v>46177.918923611112</v>
      </c>
      <c r="M727" s="2">
        <v>46177.921329212964</v>
      </c>
    </row>
    <row r="728" spans="1:13" x14ac:dyDescent="0.35">
      <c r="A728" s="1" t="s">
        <v>388</v>
      </c>
      <c r="B728" s="1" t="s">
        <v>13</v>
      </c>
      <c r="C728" s="1" t="s">
        <v>389</v>
      </c>
      <c r="D728">
        <v>0</v>
      </c>
      <c r="E728" s="2">
        <v>47983</v>
      </c>
      <c r="F728" s="1" t="s">
        <v>16</v>
      </c>
      <c r="G728" s="1" t="s">
        <v>389</v>
      </c>
      <c r="H728" s="1" t="s">
        <v>2</v>
      </c>
      <c r="I728" s="2">
        <v>46177</v>
      </c>
      <c r="J728" s="1" t="s">
        <v>224</v>
      </c>
      <c r="K728" s="1" t="s">
        <v>4624</v>
      </c>
      <c r="L728" s="2">
        <v>46177.918923611112</v>
      </c>
      <c r="M728" s="2">
        <v>46177.921329212964</v>
      </c>
    </row>
    <row r="729" spans="1:13" x14ac:dyDescent="0.35">
      <c r="A729" s="1" t="s">
        <v>388</v>
      </c>
      <c r="B729" s="1" t="s">
        <v>13</v>
      </c>
      <c r="C729" s="1" t="s">
        <v>389</v>
      </c>
      <c r="D729">
        <v>0</v>
      </c>
      <c r="E729" s="2">
        <v>47983</v>
      </c>
      <c r="F729" s="1" t="s">
        <v>16</v>
      </c>
      <c r="G729" s="1" t="s">
        <v>389</v>
      </c>
      <c r="H729" s="1" t="s">
        <v>2</v>
      </c>
      <c r="I729" s="2">
        <v>46177</v>
      </c>
      <c r="J729" s="1" t="s">
        <v>215</v>
      </c>
      <c r="K729" s="1" t="s">
        <v>4571</v>
      </c>
      <c r="L729" s="2">
        <v>46177.918923611112</v>
      </c>
      <c r="M729" s="2">
        <v>46177.921329212964</v>
      </c>
    </row>
    <row r="730" spans="1:13" x14ac:dyDescent="0.35">
      <c r="A730" s="1" t="s">
        <v>388</v>
      </c>
      <c r="B730" s="1" t="s">
        <v>13</v>
      </c>
      <c r="C730" s="1" t="s">
        <v>389</v>
      </c>
      <c r="D730">
        <v>0</v>
      </c>
      <c r="E730" s="2">
        <v>47983</v>
      </c>
      <c r="F730" s="1" t="s">
        <v>16</v>
      </c>
      <c r="G730" s="1" t="s">
        <v>389</v>
      </c>
      <c r="H730" s="1" t="s">
        <v>2</v>
      </c>
      <c r="I730" s="2">
        <v>46177</v>
      </c>
      <c r="J730" s="1" t="s">
        <v>17</v>
      </c>
      <c r="K730" s="1" t="s">
        <v>4656</v>
      </c>
      <c r="L730" s="2">
        <v>46177.92087962963</v>
      </c>
      <c r="M730" s="2">
        <v>46177.921329212964</v>
      </c>
    </row>
    <row r="731" spans="1:13" x14ac:dyDescent="0.35">
      <c r="A731" s="1" t="s">
        <v>388</v>
      </c>
      <c r="B731" s="1" t="s">
        <v>13</v>
      </c>
      <c r="C731" s="1" t="s">
        <v>389</v>
      </c>
      <c r="D731">
        <v>0</v>
      </c>
      <c r="E731" s="2">
        <v>47983</v>
      </c>
      <c r="F731" s="1" t="s">
        <v>16</v>
      </c>
      <c r="G731" s="1" t="s">
        <v>389</v>
      </c>
      <c r="H731" s="1" t="s">
        <v>2</v>
      </c>
      <c r="I731" s="2">
        <v>46177</v>
      </c>
      <c r="J731" s="1" t="s">
        <v>18</v>
      </c>
      <c r="K731" s="1" t="s">
        <v>5304</v>
      </c>
      <c r="L731" s="2">
        <v>46177.92087962963</v>
      </c>
      <c r="M731" s="2">
        <v>46177.921329212964</v>
      </c>
    </row>
    <row r="732" spans="1:13" x14ac:dyDescent="0.35">
      <c r="A732" s="1" t="s">
        <v>315</v>
      </c>
      <c r="B732" s="1" t="s">
        <v>13</v>
      </c>
      <c r="C732" s="1" t="s">
        <v>316</v>
      </c>
      <c r="D732">
        <v>0</v>
      </c>
      <c r="E732" s="2">
        <v>48075</v>
      </c>
      <c r="F732" s="1" t="s">
        <v>16</v>
      </c>
      <c r="G732" s="1" t="s">
        <v>316</v>
      </c>
      <c r="H732" s="1" t="s">
        <v>2</v>
      </c>
      <c r="I732" s="2">
        <v>46177</v>
      </c>
      <c r="J732" s="1" t="s">
        <v>214</v>
      </c>
      <c r="K732" s="1" t="s">
        <v>4585</v>
      </c>
      <c r="L732" s="2">
        <v>46177.918923611112</v>
      </c>
      <c r="M732" s="2">
        <v>46177.921329212964</v>
      </c>
    </row>
    <row r="733" spans="1:13" x14ac:dyDescent="0.35">
      <c r="A733" s="1" t="s">
        <v>315</v>
      </c>
      <c r="B733" s="1" t="s">
        <v>13</v>
      </c>
      <c r="C733" s="1" t="s">
        <v>316</v>
      </c>
      <c r="D733">
        <v>0</v>
      </c>
      <c r="E733" s="2">
        <v>48075</v>
      </c>
      <c r="F733" s="1" t="s">
        <v>16</v>
      </c>
      <c r="G733" s="1" t="s">
        <v>316</v>
      </c>
      <c r="H733" s="1" t="s">
        <v>2</v>
      </c>
      <c r="I733" s="2">
        <v>46177</v>
      </c>
      <c r="J733" s="1" t="s">
        <v>18</v>
      </c>
      <c r="K733" s="1" t="s">
        <v>4687</v>
      </c>
      <c r="L733" s="2">
        <v>46177.92087962963</v>
      </c>
      <c r="M733" s="2">
        <v>46177.921329212964</v>
      </c>
    </row>
    <row r="734" spans="1:13" x14ac:dyDescent="0.35">
      <c r="A734" s="1" t="s">
        <v>315</v>
      </c>
      <c r="B734" s="1" t="s">
        <v>13</v>
      </c>
      <c r="C734" s="1" t="s">
        <v>316</v>
      </c>
      <c r="D734">
        <v>0</v>
      </c>
      <c r="E734" s="2">
        <v>48075</v>
      </c>
      <c r="F734" s="1" t="s">
        <v>16</v>
      </c>
      <c r="G734" s="1" t="s">
        <v>316</v>
      </c>
      <c r="H734" s="1" t="s">
        <v>2</v>
      </c>
      <c r="I734" s="2">
        <v>46177</v>
      </c>
      <c r="J734" s="1" t="s">
        <v>215</v>
      </c>
      <c r="K734" s="1" t="s">
        <v>4584</v>
      </c>
      <c r="L734" s="2">
        <v>46177.918923611112</v>
      </c>
      <c r="M734" s="2">
        <v>46177.921329212964</v>
      </c>
    </row>
    <row r="735" spans="1:13" x14ac:dyDescent="0.35">
      <c r="A735" s="1" t="s">
        <v>315</v>
      </c>
      <c r="B735" s="1" t="s">
        <v>13</v>
      </c>
      <c r="C735" s="1" t="s">
        <v>316</v>
      </c>
      <c r="D735">
        <v>0</v>
      </c>
      <c r="E735" s="2">
        <v>48075</v>
      </c>
      <c r="F735" s="1" t="s">
        <v>16</v>
      </c>
      <c r="G735" s="1" t="s">
        <v>316</v>
      </c>
      <c r="H735" s="1" t="s">
        <v>2</v>
      </c>
      <c r="I735" s="2">
        <v>46177</v>
      </c>
      <c r="J735" s="1" t="s">
        <v>17</v>
      </c>
      <c r="K735" s="1" t="s">
        <v>4583</v>
      </c>
      <c r="L735" s="2">
        <v>46177.92087962963</v>
      </c>
      <c r="M735" s="2">
        <v>46177.921329212964</v>
      </c>
    </row>
    <row r="736" spans="1:13" x14ac:dyDescent="0.35">
      <c r="A736" s="1" t="s">
        <v>315</v>
      </c>
      <c r="B736" s="1" t="s">
        <v>13</v>
      </c>
      <c r="C736" s="1" t="s">
        <v>316</v>
      </c>
      <c r="D736">
        <v>0</v>
      </c>
      <c r="E736" s="2">
        <v>48075</v>
      </c>
      <c r="F736" s="1" t="s">
        <v>16</v>
      </c>
      <c r="G736" s="1" t="s">
        <v>316</v>
      </c>
      <c r="H736" s="1" t="s">
        <v>2</v>
      </c>
      <c r="I736" s="2">
        <v>46177</v>
      </c>
      <c r="J736" s="1" t="s">
        <v>67</v>
      </c>
      <c r="K736" s="1" t="s">
        <v>4584</v>
      </c>
      <c r="L736" s="2">
        <v>46177.918923611112</v>
      </c>
      <c r="M736" s="2">
        <v>46177.921329212964</v>
      </c>
    </row>
    <row r="737" spans="1:13" x14ac:dyDescent="0.35">
      <c r="A737" s="1" t="s">
        <v>315</v>
      </c>
      <c r="B737" s="1" t="s">
        <v>13</v>
      </c>
      <c r="C737" s="1" t="s">
        <v>316</v>
      </c>
      <c r="D737">
        <v>0</v>
      </c>
      <c r="E737" s="2">
        <v>48075</v>
      </c>
      <c r="F737" s="1" t="s">
        <v>16</v>
      </c>
      <c r="G737" s="1" t="s">
        <v>316</v>
      </c>
      <c r="H737" s="1" t="s">
        <v>2</v>
      </c>
      <c r="I737" s="2">
        <v>46177</v>
      </c>
      <c r="J737" s="1" t="s">
        <v>224</v>
      </c>
      <c r="K737" s="1" t="s">
        <v>4585</v>
      </c>
      <c r="L737" s="2">
        <v>46177.918923611112</v>
      </c>
      <c r="M737" s="2">
        <v>46177.921329212964</v>
      </c>
    </row>
    <row r="738" spans="1:13" x14ac:dyDescent="0.35">
      <c r="A738" s="1" t="s">
        <v>317</v>
      </c>
      <c r="B738" s="1" t="s">
        <v>13</v>
      </c>
      <c r="C738" s="1" t="s">
        <v>318</v>
      </c>
      <c r="D738">
        <v>1.5</v>
      </c>
      <c r="E738" s="2">
        <v>46249</v>
      </c>
      <c r="F738" s="1" t="s">
        <v>16</v>
      </c>
      <c r="G738" s="1" t="s">
        <v>318</v>
      </c>
      <c r="H738" s="1" t="s">
        <v>2</v>
      </c>
      <c r="I738" s="2">
        <v>46177</v>
      </c>
      <c r="J738" s="1" t="s">
        <v>224</v>
      </c>
      <c r="K738" s="1" t="s">
        <v>4607</v>
      </c>
      <c r="L738" s="2">
        <v>46177.918923611112</v>
      </c>
      <c r="M738" s="2">
        <v>46177.921329212964</v>
      </c>
    </row>
    <row r="739" spans="1:13" x14ac:dyDescent="0.35">
      <c r="A739" s="1" t="s">
        <v>317</v>
      </c>
      <c r="B739" s="1" t="s">
        <v>13</v>
      </c>
      <c r="C739" s="1" t="s">
        <v>318</v>
      </c>
      <c r="D739">
        <v>1.5</v>
      </c>
      <c r="E739" s="2">
        <v>46249</v>
      </c>
      <c r="F739" s="1" t="s">
        <v>16</v>
      </c>
      <c r="G739" s="1" t="s">
        <v>318</v>
      </c>
      <c r="H739" s="1" t="s">
        <v>2</v>
      </c>
      <c r="I739" s="2">
        <v>46177</v>
      </c>
      <c r="J739" s="1" t="s">
        <v>67</v>
      </c>
      <c r="K739" s="1" t="s">
        <v>4625</v>
      </c>
      <c r="L739" s="2">
        <v>46177.918923611112</v>
      </c>
      <c r="M739" s="2">
        <v>46177.921329212964</v>
      </c>
    </row>
    <row r="740" spans="1:13" x14ac:dyDescent="0.35">
      <c r="A740" s="1" t="s">
        <v>317</v>
      </c>
      <c r="B740" s="1" t="s">
        <v>13</v>
      </c>
      <c r="C740" s="1" t="s">
        <v>318</v>
      </c>
      <c r="D740">
        <v>1.5</v>
      </c>
      <c r="E740" s="2">
        <v>46249</v>
      </c>
      <c r="F740" s="1" t="s">
        <v>16</v>
      </c>
      <c r="G740" s="1" t="s">
        <v>318</v>
      </c>
      <c r="H740" s="1" t="s">
        <v>2</v>
      </c>
      <c r="I740" s="2">
        <v>46177</v>
      </c>
      <c r="J740" s="1" t="s">
        <v>214</v>
      </c>
      <c r="K740" s="1" t="s">
        <v>4607</v>
      </c>
      <c r="L740" s="2">
        <v>46177.918923611112</v>
      </c>
      <c r="M740" s="2">
        <v>46177.921329212964</v>
      </c>
    </row>
    <row r="741" spans="1:13" x14ac:dyDescent="0.35">
      <c r="A741" s="1" t="s">
        <v>317</v>
      </c>
      <c r="B741" s="1" t="s">
        <v>13</v>
      </c>
      <c r="C741" s="1" t="s">
        <v>318</v>
      </c>
      <c r="D741">
        <v>1.5</v>
      </c>
      <c r="E741" s="2">
        <v>46249</v>
      </c>
      <c r="F741" s="1" t="s">
        <v>16</v>
      </c>
      <c r="G741" s="1" t="s">
        <v>318</v>
      </c>
      <c r="H741" s="1" t="s">
        <v>2</v>
      </c>
      <c r="I741" s="2">
        <v>46177</v>
      </c>
      <c r="J741" s="1" t="s">
        <v>215</v>
      </c>
      <c r="K741" s="1" t="s">
        <v>4625</v>
      </c>
      <c r="L741" s="2">
        <v>46177.918923611112</v>
      </c>
      <c r="M741" s="2">
        <v>46177.921329212964</v>
      </c>
    </row>
    <row r="742" spans="1:13" x14ac:dyDescent="0.35">
      <c r="A742" s="1" t="s">
        <v>317</v>
      </c>
      <c r="B742" s="1" t="s">
        <v>13</v>
      </c>
      <c r="C742" s="1" t="s">
        <v>318</v>
      </c>
      <c r="D742">
        <v>1.5</v>
      </c>
      <c r="E742" s="2">
        <v>46249</v>
      </c>
      <c r="F742" s="1" t="s">
        <v>16</v>
      </c>
      <c r="G742" s="1" t="s">
        <v>318</v>
      </c>
      <c r="H742" s="1" t="s">
        <v>2</v>
      </c>
      <c r="I742" s="2">
        <v>46177</v>
      </c>
      <c r="J742" s="1" t="s">
        <v>18</v>
      </c>
      <c r="K742" s="1" t="s">
        <v>2540</v>
      </c>
      <c r="L742" s="2">
        <v>46177.92087962963</v>
      </c>
      <c r="M742" s="2">
        <v>46177.921329212964</v>
      </c>
    </row>
    <row r="743" spans="1:13" x14ac:dyDescent="0.35">
      <c r="A743" s="1" t="s">
        <v>317</v>
      </c>
      <c r="B743" s="1" t="s">
        <v>13</v>
      </c>
      <c r="C743" s="1" t="s">
        <v>318</v>
      </c>
      <c r="D743">
        <v>1.5</v>
      </c>
      <c r="E743" s="2">
        <v>46249</v>
      </c>
      <c r="F743" s="1" t="s">
        <v>16</v>
      </c>
      <c r="G743" s="1" t="s">
        <v>318</v>
      </c>
      <c r="H743" s="1" t="s">
        <v>2</v>
      </c>
      <c r="I743" s="2">
        <v>46177</v>
      </c>
      <c r="J743" s="1" t="s">
        <v>17</v>
      </c>
      <c r="K743" s="1" t="s">
        <v>2674</v>
      </c>
      <c r="L743" s="2">
        <v>46177.92087962963</v>
      </c>
      <c r="M743" s="2">
        <v>46177.921329212964</v>
      </c>
    </row>
    <row r="744" spans="1:13" x14ac:dyDescent="0.35">
      <c r="A744" s="1" t="s">
        <v>390</v>
      </c>
      <c r="B744" s="1" t="s">
        <v>13</v>
      </c>
      <c r="C744" s="1" t="s">
        <v>391</v>
      </c>
      <c r="D744">
        <v>0.375</v>
      </c>
      <c r="E744" s="2">
        <v>46583</v>
      </c>
      <c r="F744" s="1" t="s">
        <v>64</v>
      </c>
      <c r="G744" s="1" t="s">
        <v>391</v>
      </c>
      <c r="H744" s="1" t="s">
        <v>2</v>
      </c>
      <c r="I744" s="2">
        <v>46177</v>
      </c>
      <c r="J744" s="1" t="s">
        <v>224</v>
      </c>
      <c r="K744" s="1" t="s">
        <v>4586</v>
      </c>
      <c r="L744" s="2">
        <v>46177.918923611112</v>
      </c>
      <c r="M744" s="2">
        <v>46177.921329212964</v>
      </c>
    </row>
    <row r="745" spans="1:13" x14ac:dyDescent="0.35">
      <c r="A745" s="1" t="s">
        <v>390</v>
      </c>
      <c r="B745" s="1" t="s">
        <v>13</v>
      </c>
      <c r="C745" s="1" t="s">
        <v>391</v>
      </c>
      <c r="D745">
        <v>0.375</v>
      </c>
      <c r="E745" s="2">
        <v>46583</v>
      </c>
      <c r="F745" s="1" t="s">
        <v>64</v>
      </c>
      <c r="G745" s="1" t="s">
        <v>391</v>
      </c>
      <c r="H745" s="1" t="s">
        <v>2</v>
      </c>
      <c r="I745" s="2">
        <v>46177</v>
      </c>
      <c r="J745" s="1" t="s">
        <v>214</v>
      </c>
      <c r="K745" s="1" t="s">
        <v>4586</v>
      </c>
      <c r="L745" s="2">
        <v>46177.918923611112</v>
      </c>
      <c r="M745" s="2">
        <v>46177.921329212964</v>
      </c>
    </row>
    <row r="746" spans="1:13" x14ac:dyDescent="0.35">
      <c r="A746" s="1" t="s">
        <v>390</v>
      </c>
      <c r="B746" s="1" t="s">
        <v>13</v>
      </c>
      <c r="C746" s="1" t="s">
        <v>391</v>
      </c>
      <c r="D746">
        <v>0.375</v>
      </c>
      <c r="E746" s="2">
        <v>46583</v>
      </c>
      <c r="F746" s="1" t="s">
        <v>64</v>
      </c>
      <c r="G746" s="1" t="s">
        <v>391</v>
      </c>
      <c r="H746" s="1" t="s">
        <v>2</v>
      </c>
      <c r="I746" s="2">
        <v>46177</v>
      </c>
      <c r="J746" s="1" t="s">
        <v>18</v>
      </c>
      <c r="K746" s="1" t="s">
        <v>2472</v>
      </c>
      <c r="L746" s="2">
        <v>46177.92087962963</v>
      </c>
      <c r="M746" s="2">
        <v>46177.921329212964</v>
      </c>
    </row>
    <row r="747" spans="1:13" x14ac:dyDescent="0.35">
      <c r="A747" s="1" t="s">
        <v>390</v>
      </c>
      <c r="B747" s="1" t="s">
        <v>13</v>
      </c>
      <c r="C747" s="1" t="s">
        <v>391</v>
      </c>
      <c r="D747">
        <v>0.375</v>
      </c>
      <c r="E747" s="2">
        <v>46583</v>
      </c>
      <c r="F747" s="1" t="s">
        <v>64</v>
      </c>
      <c r="G747" s="1" t="s">
        <v>391</v>
      </c>
      <c r="H747" s="1" t="s">
        <v>2</v>
      </c>
      <c r="I747" s="2">
        <v>46177</v>
      </c>
      <c r="J747" s="1" t="s">
        <v>67</v>
      </c>
      <c r="K747" s="1" t="s">
        <v>4572</v>
      </c>
      <c r="L747" s="2">
        <v>46177.918923611112</v>
      </c>
      <c r="M747" s="2">
        <v>46177.921329212964</v>
      </c>
    </row>
    <row r="748" spans="1:13" x14ac:dyDescent="0.35">
      <c r="A748" s="1" t="s">
        <v>390</v>
      </c>
      <c r="B748" s="1" t="s">
        <v>13</v>
      </c>
      <c r="C748" s="1" t="s">
        <v>391</v>
      </c>
      <c r="D748">
        <v>0.375</v>
      </c>
      <c r="E748" s="2">
        <v>46583</v>
      </c>
      <c r="F748" s="1" t="s">
        <v>64</v>
      </c>
      <c r="G748" s="1" t="s">
        <v>391</v>
      </c>
      <c r="H748" s="1" t="s">
        <v>2</v>
      </c>
      <c r="I748" s="2">
        <v>46177</v>
      </c>
      <c r="J748" s="1" t="s">
        <v>215</v>
      </c>
      <c r="K748" s="1" t="s">
        <v>4572</v>
      </c>
      <c r="L748" s="2">
        <v>46177.918923611112</v>
      </c>
      <c r="M748" s="2">
        <v>46177.921329212964</v>
      </c>
    </row>
    <row r="749" spans="1:13" x14ac:dyDescent="0.35">
      <c r="A749" s="1" t="s">
        <v>390</v>
      </c>
      <c r="B749" s="1" t="s">
        <v>13</v>
      </c>
      <c r="C749" s="1" t="s">
        <v>391</v>
      </c>
      <c r="D749">
        <v>0.375</v>
      </c>
      <c r="E749" s="2">
        <v>46583</v>
      </c>
      <c r="F749" s="1" t="s">
        <v>64</v>
      </c>
      <c r="G749" s="1" t="s">
        <v>391</v>
      </c>
      <c r="H749" s="1" t="s">
        <v>2</v>
      </c>
      <c r="I749" s="2">
        <v>46177</v>
      </c>
      <c r="J749" s="1" t="s">
        <v>17</v>
      </c>
      <c r="K749" s="1" t="s">
        <v>831</v>
      </c>
      <c r="L749" s="2">
        <v>46177.92087962963</v>
      </c>
      <c r="M749" s="2">
        <v>46177.921329212964</v>
      </c>
    </row>
    <row r="750" spans="1:13" x14ac:dyDescent="0.35">
      <c r="A750" s="1" t="s">
        <v>392</v>
      </c>
      <c r="B750" s="1" t="s">
        <v>13</v>
      </c>
      <c r="C750" s="1" t="s">
        <v>393</v>
      </c>
      <c r="D750">
        <v>2.25</v>
      </c>
      <c r="E750" s="2">
        <v>46614</v>
      </c>
      <c r="F750" s="1" t="s">
        <v>16</v>
      </c>
      <c r="G750" s="1" t="s">
        <v>393</v>
      </c>
      <c r="H750" s="1" t="s">
        <v>2</v>
      </c>
      <c r="I750" s="2">
        <v>46177</v>
      </c>
      <c r="J750" s="1" t="s">
        <v>18</v>
      </c>
      <c r="K750" s="1" t="s">
        <v>2662</v>
      </c>
      <c r="L750" s="2">
        <v>46177.92087962963</v>
      </c>
      <c r="M750" s="2">
        <v>46177.921329212964</v>
      </c>
    </row>
    <row r="751" spans="1:13" x14ac:dyDescent="0.35">
      <c r="A751" s="1" t="s">
        <v>392</v>
      </c>
      <c r="B751" s="1" t="s">
        <v>13</v>
      </c>
      <c r="C751" s="1" t="s">
        <v>393</v>
      </c>
      <c r="D751">
        <v>2.25</v>
      </c>
      <c r="E751" s="2">
        <v>46614</v>
      </c>
      <c r="F751" s="1" t="s">
        <v>16</v>
      </c>
      <c r="G751" s="1" t="s">
        <v>393</v>
      </c>
      <c r="H751" s="1" t="s">
        <v>2</v>
      </c>
      <c r="I751" s="2">
        <v>46177</v>
      </c>
      <c r="J751" s="1" t="s">
        <v>224</v>
      </c>
      <c r="K751" s="1" t="s">
        <v>4608</v>
      </c>
      <c r="L751" s="2">
        <v>46177.918923611112</v>
      </c>
      <c r="M751" s="2">
        <v>46177.921329212964</v>
      </c>
    </row>
    <row r="752" spans="1:13" x14ac:dyDescent="0.35">
      <c r="A752" s="1" t="s">
        <v>392</v>
      </c>
      <c r="B752" s="1" t="s">
        <v>13</v>
      </c>
      <c r="C752" s="1" t="s">
        <v>393</v>
      </c>
      <c r="D752">
        <v>2.25</v>
      </c>
      <c r="E752" s="2">
        <v>46614</v>
      </c>
      <c r="F752" s="1" t="s">
        <v>16</v>
      </c>
      <c r="G752" s="1" t="s">
        <v>393</v>
      </c>
      <c r="H752" s="1" t="s">
        <v>2</v>
      </c>
      <c r="I752" s="2">
        <v>46177</v>
      </c>
      <c r="J752" s="1" t="s">
        <v>17</v>
      </c>
      <c r="K752" s="1" t="s">
        <v>2413</v>
      </c>
      <c r="L752" s="2">
        <v>46177.92087962963</v>
      </c>
      <c r="M752" s="2">
        <v>46177.921329212964</v>
      </c>
    </row>
    <row r="753" spans="1:13" x14ac:dyDescent="0.35">
      <c r="A753" s="1" t="s">
        <v>392</v>
      </c>
      <c r="B753" s="1" t="s">
        <v>13</v>
      </c>
      <c r="C753" s="1" t="s">
        <v>393</v>
      </c>
      <c r="D753">
        <v>2.25</v>
      </c>
      <c r="E753" s="2">
        <v>46614</v>
      </c>
      <c r="F753" s="1" t="s">
        <v>16</v>
      </c>
      <c r="G753" s="1" t="s">
        <v>393</v>
      </c>
      <c r="H753" s="1" t="s">
        <v>2</v>
      </c>
      <c r="I753" s="2">
        <v>46177</v>
      </c>
      <c r="J753" s="1" t="s">
        <v>215</v>
      </c>
      <c r="K753" s="1" t="s">
        <v>4587</v>
      </c>
      <c r="L753" s="2">
        <v>46177.918923611112</v>
      </c>
      <c r="M753" s="2">
        <v>46177.921329212964</v>
      </c>
    </row>
    <row r="754" spans="1:13" x14ac:dyDescent="0.35">
      <c r="A754" s="1" t="s">
        <v>392</v>
      </c>
      <c r="B754" s="1" t="s">
        <v>13</v>
      </c>
      <c r="C754" s="1" t="s">
        <v>393</v>
      </c>
      <c r="D754">
        <v>2.25</v>
      </c>
      <c r="E754" s="2">
        <v>46614</v>
      </c>
      <c r="F754" s="1" t="s">
        <v>16</v>
      </c>
      <c r="G754" s="1" t="s">
        <v>393</v>
      </c>
      <c r="H754" s="1" t="s">
        <v>2</v>
      </c>
      <c r="I754" s="2">
        <v>46177</v>
      </c>
      <c r="J754" s="1" t="s">
        <v>67</v>
      </c>
      <c r="K754" s="1" t="s">
        <v>4587</v>
      </c>
      <c r="L754" s="2">
        <v>46177.918923611112</v>
      </c>
      <c r="M754" s="2">
        <v>46177.921329212964</v>
      </c>
    </row>
    <row r="755" spans="1:13" x14ac:dyDescent="0.35">
      <c r="A755" s="1" t="s">
        <v>392</v>
      </c>
      <c r="B755" s="1" t="s">
        <v>13</v>
      </c>
      <c r="C755" s="1" t="s">
        <v>393</v>
      </c>
      <c r="D755">
        <v>2.25</v>
      </c>
      <c r="E755" s="2">
        <v>46614</v>
      </c>
      <c r="F755" s="1" t="s">
        <v>16</v>
      </c>
      <c r="G755" s="1" t="s">
        <v>393</v>
      </c>
      <c r="H755" s="1" t="s">
        <v>2</v>
      </c>
      <c r="I755" s="2">
        <v>46177</v>
      </c>
      <c r="J755" s="1" t="s">
        <v>214</v>
      </c>
      <c r="K755" s="1" t="s">
        <v>4608</v>
      </c>
      <c r="L755" s="2">
        <v>46177.918923611112</v>
      </c>
      <c r="M755" s="2">
        <v>46177.921329212964</v>
      </c>
    </row>
    <row r="756" spans="1:13" x14ac:dyDescent="0.35">
      <c r="A756" s="1" t="s">
        <v>394</v>
      </c>
      <c r="B756" s="1" t="s">
        <v>13</v>
      </c>
      <c r="C756" s="1" t="s">
        <v>395</v>
      </c>
      <c r="D756">
        <v>2.25</v>
      </c>
      <c r="E756" s="2">
        <v>46706</v>
      </c>
      <c r="F756" s="1" t="s">
        <v>16</v>
      </c>
      <c r="G756" s="1" t="s">
        <v>395</v>
      </c>
      <c r="H756" s="1" t="s">
        <v>2</v>
      </c>
      <c r="I756" s="2">
        <v>46177</v>
      </c>
      <c r="J756" s="1" t="s">
        <v>17</v>
      </c>
      <c r="K756" s="1" t="s">
        <v>2657</v>
      </c>
      <c r="L756" s="2">
        <v>46177.92087962963</v>
      </c>
      <c r="M756" s="2">
        <v>46177.921329212964</v>
      </c>
    </row>
    <row r="757" spans="1:13" x14ac:dyDescent="0.35">
      <c r="A757" s="1" t="s">
        <v>394</v>
      </c>
      <c r="B757" s="1" t="s">
        <v>13</v>
      </c>
      <c r="C757" s="1" t="s">
        <v>395</v>
      </c>
      <c r="D757">
        <v>2.25</v>
      </c>
      <c r="E757" s="2">
        <v>46706</v>
      </c>
      <c r="F757" s="1" t="s">
        <v>16</v>
      </c>
      <c r="G757" s="1" t="s">
        <v>395</v>
      </c>
      <c r="H757" s="1" t="s">
        <v>2</v>
      </c>
      <c r="I757" s="2">
        <v>46177</v>
      </c>
      <c r="J757" s="1" t="s">
        <v>224</v>
      </c>
      <c r="K757" s="1" t="s">
        <v>4588</v>
      </c>
      <c r="L757" s="2">
        <v>46177.918923611112</v>
      </c>
      <c r="M757" s="2">
        <v>46177.921329212964</v>
      </c>
    </row>
    <row r="758" spans="1:13" x14ac:dyDescent="0.35">
      <c r="A758" s="1" t="s">
        <v>394</v>
      </c>
      <c r="B758" s="1" t="s">
        <v>13</v>
      </c>
      <c r="C758" s="1" t="s">
        <v>395</v>
      </c>
      <c r="D758">
        <v>2.25</v>
      </c>
      <c r="E758" s="2">
        <v>46706</v>
      </c>
      <c r="F758" s="1" t="s">
        <v>16</v>
      </c>
      <c r="G758" s="1" t="s">
        <v>395</v>
      </c>
      <c r="H758" s="1" t="s">
        <v>2</v>
      </c>
      <c r="I758" s="2">
        <v>46177</v>
      </c>
      <c r="J758" s="1" t="s">
        <v>18</v>
      </c>
      <c r="K758" s="1" t="s">
        <v>4819</v>
      </c>
      <c r="L758" s="2">
        <v>46177.92087962963</v>
      </c>
      <c r="M758" s="2">
        <v>46177.921329212964</v>
      </c>
    </row>
    <row r="759" spans="1:13" x14ac:dyDescent="0.35">
      <c r="A759" s="1" t="s">
        <v>394</v>
      </c>
      <c r="B759" s="1" t="s">
        <v>13</v>
      </c>
      <c r="C759" s="1" t="s">
        <v>395</v>
      </c>
      <c r="D759">
        <v>2.25</v>
      </c>
      <c r="E759" s="2">
        <v>46706</v>
      </c>
      <c r="F759" s="1" t="s">
        <v>16</v>
      </c>
      <c r="G759" s="1" t="s">
        <v>395</v>
      </c>
      <c r="H759" s="1" t="s">
        <v>2</v>
      </c>
      <c r="I759" s="2">
        <v>46177</v>
      </c>
      <c r="J759" s="1" t="s">
        <v>214</v>
      </c>
      <c r="K759" s="1" t="s">
        <v>4588</v>
      </c>
      <c r="L759" s="2">
        <v>46177.918923611112</v>
      </c>
      <c r="M759" s="2">
        <v>46177.921329212964</v>
      </c>
    </row>
    <row r="760" spans="1:13" x14ac:dyDescent="0.35">
      <c r="A760" s="1" t="s">
        <v>394</v>
      </c>
      <c r="B760" s="1" t="s">
        <v>13</v>
      </c>
      <c r="C760" s="1" t="s">
        <v>395</v>
      </c>
      <c r="D760">
        <v>2.25</v>
      </c>
      <c r="E760" s="2">
        <v>46706</v>
      </c>
      <c r="F760" s="1" t="s">
        <v>16</v>
      </c>
      <c r="G760" s="1" t="s">
        <v>395</v>
      </c>
      <c r="H760" s="1" t="s">
        <v>2</v>
      </c>
      <c r="I760" s="2">
        <v>46177</v>
      </c>
      <c r="J760" s="1" t="s">
        <v>215</v>
      </c>
      <c r="K760" s="1" t="s">
        <v>4657</v>
      </c>
      <c r="L760" s="2">
        <v>46177.918923611112</v>
      </c>
      <c r="M760" s="2">
        <v>46177.921329212964</v>
      </c>
    </row>
    <row r="761" spans="1:13" x14ac:dyDescent="0.35">
      <c r="A761" s="1" t="s">
        <v>394</v>
      </c>
      <c r="B761" s="1" t="s">
        <v>13</v>
      </c>
      <c r="C761" s="1" t="s">
        <v>395</v>
      </c>
      <c r="D761">
        <v>2.25</v>
      </c>
      <c r="E761" s="2">
        <v>46706</v>
      </c>
      <c r="F761" s="1" t="s">
        <v>16</v>
      </c>
      <c r="G761" s="1" t="s">
        <v>395</v>
      </c>
      <c r="H761" s="1" t="s">
        <v>2</v>
      </c>
      <c r="I761" s="2">
        <v>46177</v>
      </c>
      <c r="J761" s="1" t="s">
        <v>67</v>
      </c>
      <c r="K761" s="1" t="s">
        <v>4657</v>
      </c>
      <c r="L761" s="2">
        <v>46177.918923611112</v>
      </c>
      <c r="M761" s="2">
        <v>46177.921329212964</v>
      </c>
    </row>
    <row r="762" spans="1:13" x14ac:dyDescent="0.35">
      <c r="A762" s="1" t="s">
        <v>471</v>
      </c>
      <c r="B762" s="1" t="s">
        <v>13</v>
      </c>
      <c r="C762" s="1" t="s">
        <v>472</v>
      </c>
      <c r="D762">
        <v>0.5</v>
      </c>
      <c r="E762" s="2">
        <v>46767</v>
      </c>
      <c r="F762" s="1" t="s">
        <v>64</v>
      </c>
      <c r="G762" s="1" t="s">
        <v>472</v>
      </c>
      <c r="H762" s="1" t="s">
        <v>2</v>
      </c>
      <c r="I762" s="2">
        <v>46177</v>
      </c>
      <c r="J762" s="1" t="s">
        <v>18</v>
      </c>
      <c r="K762" s="1" t="s">
        <v>2953</v>
      </c>
      <c r="L762" s="2">
        <v>46177.92087962963</v>
      </c>
      <c r="M762" s="2">
        <v>46177.921329212964</v>
      </c>
    </row>
    <row r="763" spans="1:13" x14ac:dyDescent="0.35">
      <c r="A763" s="1" t="s">
        <v>471</v>
      </c>
      <c r="B763" s="1" t="s">
        <v>13</v>
      </c>
      <c r="C763" s="1" t="s">
        <v>472</v>
      </c>
      <c r="D763">
        <v>0.5</v>
      </c>
      <c r="E763" s="2">
        <v>46767</v>
      </c>
      <c r="F763" s="1" t="s">
        <v>64</v>
      </c>
      <c r="G763" s="1" t="s">
        <v>472</v>
      </c>
      <c r="H763" s="1" t="s">
        <v>2</v>
      </c>
      <c r="I763" s="2">
        <v>46177</v>
      </c>
      <c r="J763" s="1" t="s">
        <v>17</v>
      </c>
      <c r="K763" s="1" t="s">
        <v>2694</v>
      </c>
      <c r="L763" s="2">
        <v>46177.92087962963</v>
      </c>
      <c r="M763" s="2">
        <v>46177.921329212964</v>
      </c>
    </row>
    <row r="764" spans="1:13" x14ac:dyDescent="0.35">
      <c r="A764" s="1" t="s">
        <v>501</v>
      </c>
      <c r="B764" s="1" t="s">
        <v>13</v>
      </c>
      <c r="C764" s="1" t="s">
        <v>502</v>
      </c>
      <c r="D764">
        <v>2.75</v>
      </c>
      <c r="E764" s="2">
        <v>46798</v>
      </c>
      <c r="F764" s="1" t="s">
        <v>16</v>
      </c>
      <c r="G764" s="1" t="s">
        <v>502</v>
      </c>
      <c r="H764" s="1" t="s">
        <v>2</v>
      </c>
      <c r="I764" s="2">
        <v>46177</v>
      </c>
      <c r="J764" s="1" t="s">
        <v>214</v>
      </c>
      <c r="K764" s="1" t="s">
        <v>4574</v>
      </c>
      <c r="L764" s="2">
        <v>46177.918923611112</v>
      </c>
      <c r="M764" s="2">
        <v>46177.921329212964</v>
      </c>
    </row>
    <row r="765" spans="1:13" x14ac:dyDescent="0.35">
      <c r="A765" s="1" t="s">
        <v>501</v>
      </c>
      <c r="B765" s="1" t="s">
        <v>13</v>
      </c>
      <c r="C765" s="1" t="s">
        <v>502</v>
      </c>
      <c r="D765">
        <v>2.75</v>
      </c>
      <c r="E765" s="2">
        <v>46798</v>
      </c>
      <c r="F765" s="1" t="s">
        <v>16</v>
      </c>
      <c r="G765" s="1" t="s">
        <v>502</v>
      </c>
      <c r="H765" s="1" t="s">
        <v>2</v>
      </c>
      <c r="I765" s="2">
        <v>46177</v>
      </c>
      <c r="J765" s="1" t="s">
        <v>17</v>
      </c>
      <c r="K765" s="1" t="s">
        <v>4573</v>
      </c>
      <c r="L765" s="2">
        <v>46177.92087962963</v>
      </c>
      <c r="M765" s="2">
        <v>46177.921329212964</v>
      </c>
    </row>
    <row r="766" spans="1:13" x14ac:dyDescent="0.35">
      <c r="A766" s="1" t="s">
        <v>501</v>
      </c>
      <c r="B766" s="1" t="s">
        <v>13</v>
      </c>
      <c r="C766" s="1" t="s">
        <v>502</v>
      </c>
      <c r="D766">
        <v>2.75</v>
      </c>
      <c r="E766" s="2">
        <v>46798</v>
      </c>
      <c r="F766" s="1" t="s">
        <v>16</v>
      </c>
      <c r="G766" s="1" t="s">
        <v>502</v>
      </c>
      <c r="H766" s="1" t="s">
        <v>2</v>
      </c>
      <c r="I766" s="2">
        <v>46177</v>
      </c>
      <c r="J766" s="1" t="s">
        <v>224</v>
      </c>
      <c r="K766" s="1" t="s">
        <v>4574</v>
      </c>
      <c r="L766" s="2">
        <v>46177.918923611112</v>
      </c>
      <c r="M766" s="2">
        <v>46177.921329212964</v>
      </c>
    </row>
    <row r="767" spans="1:13" x14ac:dyDescent="0.35">
      <c r="A767" s="1" t="s">
        <v>501</v>
      </c>
      <c r="B767" s="1" t="s">
        <v>13</v>
      </c>
      <c r="C767" s="1" t="s">
        <v>502</v>
      </c>
      <c r="D767">
        <v>2.75</v>
      </c>
      <c r="E767" s="2">
        <v>46798</v>
      </c>
      <c r="F767" s="1" t="s">
        <v>16</v>
      </c>
      <c r="G767" s="1" t="s">
        <v>502</v>
      </c>
      <c r="H767" s="1" t="s">
        <v>2</v>
      </c>
      <c r="I767" s="2">
        <v>46177</v>
      </c>
      <c r="J767" s="1" t="s">
        <v>18</v>
      </c>
      <c r="K767" s="1" t="s">
        <v>2537</v>
      </c>
      <c r="L767" s="2">
        <v>46177.92087962963</v>
      </c>
      <c r="M767" s="2">
        <v>46177.921329212964</v>
      </c>
    </row>
    <row r="768" spans="1:13" x14ac:dyDescent="0.35">
      <c r="A768" s="1" t="s">
        <v>501</v>
      </c>
      <c r="B768" s="1" t="s">
        <v>13</v>
      </c>
      <c r="C768" s="1" t="s">
        <v>502</v>
      </c>
      <c r="D768">
        <v>2.75</v>
      </c>
      <c r="E768" s="2">
        <v>46798</v>
      </c>
      <c r="F768" s="1" t="s">
        <v>16</v>
      </c>
      <c r="G768" s="1" t="s">
        <v>502</v>
      </c>
      <c r="H768" s="1" t="s">
        <v>2</v>
      </c>
      <c r="I768" s="2">
        <v>46177</v>
      </c>
      <c r="J768" s="1" t="s">
        <v>67</v>
      </c>
      <c r="K768" s="1" t="s">
        <v>4658</v>
      </c>
      <c r="L768" s="2">
        <v>46177.918923611112</v>
      </c>
      <c r="M768" s="2">
        <v>46177.921329212964</v>
      </c>
    </row>
    <row r="769" spans="1:13" x14ac:dyDescent="0.35">
      <c r="A769" s="1" t="s">
        <v>501</v>
      </c>
      <c r="B769" s="1" t="s">
        <v>13</v>
      </c>
      <c r="C769" s="1" t="s">
        <v>502</v>
      </c>
      <c r="D769">
        <v>2.75</v>
      </c>
      <c r="E769" s="2">
        <v>46798</v>
      </c>
      <c r="F769" s="1" t="s">
        <v>16</v>
      </c>
      <c r="G769" s="1" t="s">
        <v>502</v>
      </c>
      <c r="H769" s="1" t="s">
        <v>2</v>
      </c>
      <c r="I769" s="2">
        <v>46177</v>
      </c>
      <c r="J769" s="1" t="s">
        <v>215</v>
      </c>
      <c r="K769" s="1" t="s">
        <v>4658</v>
      </c>
      <c r="L769" s="2">
        <v>46177.918923611112</v>
      </c>
      <c r="M769" s="2">
        <v>46177.921329212964</v>
      </c>
    </row>
    <row r="770" spans="1:13" x14ac:dyDescent="0.35">
      <c r="A770" s="1" t="s">
        <v>396</v>
      </c>
      <c r="B770" s="1" t="s">
        <v>13</v>
      </c>
      <c r="C770" s="1" t="s">
        <v>397</v>
      </c>
      <c r="D770">
        <v>2.875</v>
      </c>
      <c r="E770" s="2">
        <v>46888</v>
      </c>
      <c r="F770" s="1" t="s">
        <v>16</v>
      </c>
      <c r="G770" s="1" t="s">
        <v>397</v>
      </c>
      <c r="H770" s="1" t="s">
        <v>2</v>
      </c>
      <c r="I770" s="2">
        <v>46177</v>
      </c>
      <c r="J770" s="1" t="s">
        <v>224</v>
      </c>
      <c r="K770" s="1" t="s">
        <v>4609</v>
      </c>
      <c r="L770" s="2">
        <v>46177.918923611112</v>
      </c>
      <c r="M770" s="2">
        <v>46177.921329212964</v>
      </c>
    </row>
    <row r="771" spans="1:13" x14ac:dyDescent="0.35">
      <c r="A771" s="1" t="s">
        <v>396</v>
      </c>
      <c r="B771" s="1" t="s">
        <v>13</v>
      </c>
      <c r="C771" s="1" t="s">
        <v>397</v>
      </c>
      <c r="D771">
        <v>2.875</v>
      </c>
      <c r="E771" s="2">
        <v>46888</v>
      </c>
      <c r="F771" s="1" t="s">
        <v>16</v>
      </c>
      <c r="G771" s="1" t="s">
        <v>397</v>
      </c>
      <c r="H771" s="1" t="s">
        <v>2</v>
      </c>
      <c r="I771" s="2">
        <v>46177</v>
      </c>
      <c r="J771" s="1" t="s">
        <v>215</v>
      </c>
      <c r="K771" s="1" t="s">
        <v>4610</v>
      </c>
      <c r="L771" s="2">
        <v>46177.918923611112</v>
      </c>
      <c r="M771" s="2">
        <v>46177.921329212964</v>
      </c>
    </row>
    <row r="772" spans="1:13" x14ac:dyDescent="0.35">
      <c r="A772" s="1" t="s">
        <v>396</v>
      </c>
      <c r="B772" s="1" t="s">
        <v>13</v>
      </c>
      <c r="C772" s="1" t="s">
        <v>397</v>
      </c>
      <c r="D772">
        <v>2.875</v>
      </c>
      <c r="E772" s="2">
        <v>46888</v>
      </c>
      <c r="F772" s="1" t="s">
        <v>16</v>
      </c>
      <c r="G772" s="1" t="s">
        <v>397</v>
      </c>
      <c r="H772" s="1" t="s">
        <v>2</v>
      </c>
      <c r="I772" s="2">
        <v>46177</v>
      </c>
      <c r="J772" s="1" t="s">
        <v>67</v>
      </c>
      <c r="K772" s="1" t="s">
        <v>4610</v>
      </c>
      <c r="L772" s="2">
        <v>46177.918923611112</v>
      </c>
      <c r="M772" s="2">
        <v>46177.921329212964</v>
      </c>
    </row>
    <row r="773" spans="1:13" x14ac:dyDescent="0.35">
      <c r="A773" s="1" t="s">
        <v>396</v>
      </c>
      <c r="B773" s="1" t="s">
        <v>13</v>
      </c>
      <c r="C773" s="1" t="s">
        <v>397</v>
      </c>
      <c r="D773">
        <v>2.875</v>
      </c>
      <c r="E773" s="2">
        <v>46888</v>
      </c>
      <c r="F773" s="1" t="s">
        <v>16</v>
      </c>
      <c r="G773" s="1" t="s">
        <v>397</v>
      </c>
      <c r="H773" s="1" t="s">
        <v>2</v>
      </c>
      <c r="I773" s="2">
        <v>46177</v>
      </c>
      <c r="J773" s="1" t="s">
        <v>18</v>
      </c>
      <c r="K773" s="1" t="s">
        <v>4688</v>
      </c>
      <c r="L773" s="2">
        <v>46177.92087962963</v>
      </c>
      <c r="M773" s="2">
        <v>46177.921329212964</v>
      </c>
    </row>
    <row r="774" spans="1:13" x14ac:dyDescent="0.35">
      <c r="A774" s="1" t="s">
        <v>396</v>
      </c>
      <c r="B774" s="1" t="s">
        <v>13</v>
      </c>
      <c r="C774" s="1" t="s">
        <v>397</v>
      </c>
      <c r="D774">
        <v>2.875</v>
      </c>
      <c r="E774" s="2">
        <v>46888</v>
      </c>
      <c r="F774" s="1" t="s">
        <v>16</v>
      </c>
      <c r="G774" s="1" t="s">
        <v>397</v>
      </c>
      <c r="H774" s="1" t="s">
        <v>2</v>
      </c>
      <c r="I774" s="2">
        <v>46177</v>
      </c>
      <c r="J774" s="1" t="s">
        <v>17</v>
      </c>
      <c r="K774" s="1" t="s">
        <v>2579</v>
      </c>
      <c r="L774" s="2">
        <v>46177.92087962963</v>
      </c>
      <c r="M774" s="2">
        <v>46177.921329212964</v>
      </c>
    </row>
    <row r="775" spans="1:13" x14ac:dyDescent="0.35">
      <c r="A775" s="1" t="s">
        <v>396</v>
      </c>
      <c r="B775" s="1" t="s">
        <v>13</v>
      </c>
      <c r="C775" s="1" t="s">
        <v>397</v>
      </c>
      <c r="D775">
        <v>2.875</v>
      </c>
      <c r="E775" s="2">
        <v>46888</v>
      </c>
      <c r="F775" s="1" t="s">
        <v>16</v>
      </c>
      <c r="G775" s="1" t="s">
        <v>397</v>
      </c>
      <c r="H775" s="1" t="s">
        <v>2</v>
      </c>
      <c r="I775" s="2">
        <v>46177</v>
      </c>
      <c r="J775" s="1" t="s">
        <v>214</v>
      </c>
      <c r="K775" s="1" t="s">
        <v>4609</v>
      </c>
      <c r="L775" s="2">
        <v>46177.918923611112</v>
      </c>
      <c r="M775" s="2">
        <v>46177.921329212964</v>
      </c>
    </row>
    <row r="776" spans="1:13" x14ac:dyDescent="0.35">
      <c r="A776" s="1" t="s">
        <v>398</v>
      </c>
      <c r="B776" s="1" t="s">
        <v>13</v>
      </c>
      <c r="C776" s="1" t="s">
        <v>399</v>
      </c>
      <c r="D776">
        <v>2.875</v>
      </c>
      <c r="E776" s="2">
        <v>46980</v>
      </c>
      <c r="F776" s="1" t="s">
        <v>16</v>
      </c>
      <c r="G776" s="1" t="s">
        <v>399</v>
      </c>
      <c r="H776" s="1" t="s">
        <v>2</v>
      </c>
      <c r="I776" s="2">
        <v>46177</v>
      </c>
      <c r="J776" s="1" t="s">
        <v>18</v>
      </c>
      <c r="K776" s="1" t="s">
        <v>2420</v>
      </c>
      <c r="L776" s="2">
        <v>46177.92087962963</v>
      </c>
      <c r="M776" s="2">
        <v>46177.921329212964</v>
      </c>
    </row>
    <row r="777" spans="1:13" x14ac:dyDescent="0.35">
      <c r="A777" s="1" t="s">
        <v>398</v>
      </c>
      <c r="B777" s="1" t="s">
        <v>13</v>
      </c>
      <c r="C777" s="1" t="s">
        <v>399</v>
      </c>
      <c r="D777">
        <v>2.875</v>
      </c>
      <c r="E777" s="2">
        <v>46980</v>
      </c>
      <c r="F777" s="1" t="s">
        <v>16</v>
      </c>
      <c r="G777" s="1" t="s">
        <v>399</v>
      </c>
      <c r="H777" s="1" t="s">
        <v>2</v>
      </c>
      <c r="I777" s="2">
        <v>46177</v>
      </c>
      <c r="J777" s="1" t="s">
        <v>214</v>
      </c>
      <c r="K777" s="1" t="s">
        <v>4626</v>
      </c>
      <c r="L777" s="2">
        <v>46177.918923611112</v>
      </c>
      <c r="M777" s="2">
        <v>46177.921329212964</v>
      </c>
    </row>
    <row r="778" spans="1:13" x14ac:dyDescent="0.35">
      <c r="A778" s="1" t="s">
        <v>398</v>
      </c>
      <c r="B778" s="1" t="s">
        <v>13</v>
      </c>
      <c r="C778" s="1" t="s">
        <v>399</v>
      </c>
      <c r="D778">
        <v>2.875</v>
      </c>
      <c r="E778" s="2">
        <v>46980</v>
      </c>
      <c r="F778" s="1" t="s">
        <v>16</v>
      </c>
      <c r="G778" s="1" t="s">
        <v>399</v>
      </c>
      <c r="H778" s="1" t="s">
        <v>2</v>
      </c>
      <c r="I778" s="2">
        <v>46177</v>
      </c>
      <c r="J778" s="1" t="s">
        <v>67</v>
      </c>
      <c r="K778" s="1" t="s">
        <v>4589</v>
      </c>
      <c r="L778" s="2">
        <v>46177.918923611112</v>
      </c>
      <c r="M778" s="2">
        <v>46177.921329212964</v>
      </c>
    </row>
    <row r="779" spans="1:13" x14ac:dyDescent="0.35">
      <c r="A779" s="1" t="s">
        <v>398</v>
      </c>
      <c r="B779" s="1" t="s">
        <v>13</v>
      </c>
      <c r="C779" s="1" t="s">
        <v>399</v>
      </c>
      <c r="D779">
        <v>2.875</v>
      </c>
      <c r="E779" s="2">
        <v>46980</v>
      </c>
      <c r="F779" s="1" t="s">
        <v>16</v>
      </c>
      <c r="G779" s="1" t="s">
        <v>399</v>
      </c>
      <c r="H779" s="1" t="s">
        <v>2</v>
      </c>
      <c r="I779" s="2">
        <v>46177</v>
      </c>
      <c r="J779" s="1" t="s">
        <v>215</v>
      </c>
      <c r="K779" s="1" t="s">
        <v>4589</v>
      </c>
      <c r="L779" s="2">
        <v>46177.918923611112</v>
      </c>
      <c r="M779" s="2">
        <v>46177.921329212964</v>
      </c>
    </row>
    <row r="780" spans="1:13" x14ac:dyDescent="0.35">
      <c r="A780" s="1" t="s">
        <v>398</v>
      </c>
      <c r="B780" s="1" t="s">
        <v>13</v>
      </c>
      <c r="C780" s="1" t="s">
        <v>399</v>
      </c>
      <c r="D780">
        <v>2.875</v>
      </c>
      <c r="E780" s="2">
        <v>46980</v>
      </c>
      <c r="F780" s="1" t="s">
        <v>16</v>
      </c>
      <c r="G780" s="1" t="s">
        <v>399</v>
      </c>
      <c r="H780" s="1" t="s">
        <v>2</v>
      </c>
      <c r="I780" s="2">
        <v>46177</v>
      </c>
      <c r="J780" s="1" t="s">
        <v>17</v>
      </c>
      <c r="K780" s="1" t="s">
        <v>2965</v>
      </c>
      <c r="L780" s="2">
        <v>46177.92087962963</v>
      </c>
      <c r="M780" s="2">
        <v>46177.921329212964</v>
      </c>
    </row>
    <row r="781" spans="1:13" x14ac:dyDescent="0.35">
      <c r="A781" s="1" t="s">
        <v>398</v>
      </c>
      <c r="B781" s="1" t="s">
        <v>13</v>
      </c>
      <c r="C781" s="1" t="s">
        <v>399</v>
      </c>
      <c r="D781">
        <v>2.875</v>
      </c>
      <c r="E781" s="2">
        <v>46980</v>
      </c>
      <c r="F781" s="1" t="s">
        <v>16</v>
      </c>
      <c r="G781" s="1" t="s">
        <v>399</v>
      </c>
      <c r="H781" s="1" t="s">
        <v>2</v>
      </c>
      <c r="I781" s="2">
        <v>46177</v>
      </c>
      <c r="J781" s="1" t="s">
        <v>224</v>
      </c>
      <c r="K781" s="1" t="s">
        <v>4626</v>
      </c>
      <c r="L781" s="2">
        <v>46177.918923611112</v>
      </c>
      <c r="M781" s="2">
        <v>46177.921329212964</v>
      </c>
    </row>
    <row r="782" spans="1:13" x14ac:dyDescent="0.35">
      <c r="A782" s="1" t="s">
        <v>400</v>
      </c>
      <c r="B782" s="1" t="s">
        <v>13</v>
      </c>
      <c r="C782" s="1" t="s">
        <v>401</v>
      </c>
      <c r="D782">
        <v>3.125</v>
      </c>
      <c r="E782" s="2">
        <v>47072</v>
      </c>
      <c r="F782" s="1" t="s">
        <v>16</v>
      </c>
      <c r="G782" s="1" t="s">
        <v>401</v>
      </c>
      <c r="H782" s="1" t="s">
        <v>2</v>
      </c>
      <c r="I782" s="2">
        <v>46177</v>
      </c>
      <c r="J782" s="1" t="s">
        <v>215</v>
      </c>
      <c r="K782" s="1" t="s">
        <v>4575</v>
      </c>
      <c r="L782" s="2">
        <v>46177.918923611112</v>
      </c>
      <c r="M782" s="2">
        <v>46177.921329212964</v>
      </c>
    </row>
    <row r="783" spans="1:13" x14ac:dyDescent="0.35">
      <c r="A783" s="1" t="s">
        <v>400</v>
      </c>
      <c r="B783" s="1" t="s">
        <v>13</v>
      </c>
      <c r="C783" s="1" t="s">
        <v>401</v>
      </c>
      <c r="D783">
        <v>3.125</v>
      </c>
      <c r="E783" s="2">
        <v>47072</v>
      </c>
      <c r="F783" s="1" t="s">
        <v>16</v>
      </c>
      <c r="G783" s="1" t="s">
        <v>401</v>
      </c>
      <c r="H783" s="1" t="s">
        <v>2</v>
      </c>
      <c r="I783" s="2">
        <v>46177</v>
      </c>
      <c r="J783" s="1" t="s">
        <v>17</v>
      </c>
      <c r="K783" s="1" t="s">
        <v>2992</v>
      </c>
      <c r="L783" s="2">
        <v>46177.92087962963</v>
      </c>
      <c r="M783" s="2">
        <v>46177.921329212964</v>
      </c>
    </row>
    <row r="784" spans="1:13" x14ac:dyDescent="0.35">
      <c r="A784" s="1" t="s">
        <v>400</v>
      </c>
      <c r="B784" s="1" t="s">
        <v>13</v>
      </c>
      <c r="C784" s="1" t="s">
        <v>401</v>
      </c>
      <c r="D784">
        <v>3.125</v>
      </c>
      <c r="E784" s="2">
        <v>47072</v>
      </c>
      <c r="F784" s="1" t="s">
        <v>16</v>
      </c>
      <c r="G784" s="1" t="s">
        <v>401</v>
      </c>
      <c r="H784" s="1" t="s">
        <v>2</v>
      </c>
      <c r="I784" s="2">
        <v>46177</v>
      </c>
      <c r="J784" s="1" t="s">
        <v>18</v>
      </c>
      <c r="K784" s="1" t="s">
        <v>2414</v>
      </c>
      <c r="L784" s="2">
        <v>46177.92087962963</v>
      </c>
      <c r="M784" s="2">
        <v>46177.921329212964</v>
      </c>
    </row>
    <row r="785" spans="1:13" x14ac:dyDescent="0.35">
      <c r="A785" s="1" t="s">
        <v>400</v>
      </c>
      <c r="B785" s="1" t="s">
        <v>13</v>
      </c>
      <c r="C785" s="1" t="s">
        <v>401</v>
      </c>
      <c r="D785">
        <v>3.125</v>
      </c>
      <c r="E785" s="2">
        <v>47072</v>
      </c>
      <c r="F785" s="1" t="s">
        <v>16</v>
      </c>
      <c r="G785" s="1" t="s">
        <v>401</v>
      </c>
      <c r="H785" s="1" t="s">
        <v>2</v>
      </c>
      <c r="I785" s="2">
        <v>46177</v>
      </c>
      <c r="J785" s="1" t="s">
        <v>67</v>
      </c>
      <c r="K785" s="1" t="s">
        <v>4575</v>
      </c>
      <c r="L785" s="2">
        <v>46177.918923611112</v>
      </c>
      <c r="M785" s="2">
        <v>46177.921329212964</v>
      </c>
    </row>
    <row r="786" spans="1:13" x14ac:dyDescent="0.35">
      <c r="A786" s="1" t="s">
        <v>400</v>
      </c>
      <c r="B786" s="1" t="s">
        <v>13</v>
      </c>
      <c r="C786" s="1" t="s">
        <v>401</v>
      </c>
      <c r="D786">
        <v>3.125</v>
      </c>
      <c r="E786" s="2">
        <v>47072</v>
      </c>
      <c r="F786" s="1" t="s">
        <v>16</v>
      </c>
      <c r="G786" s="1" t="s">
        <v>401</v>
      </c>
      <c r="H786" s="1" t="s">
        <v>2</v>
      </c>
      <c r="I786" s="2">
        <v>46177</v>
      </c>
      <c r="J786" s="1" t="s">
        <v>214</v>
      </c>
      <c r="K786" s="1" t="s">
        <v>5305</v>
      </c>
      <c r="L786" s="2">
        <v>46177.918923611112</v>
      </c>
      <c r="M786" s="2">
        <v>46177.921329212964</v>
      </c>
    </row>
    <row r="787" spans="1:13" x14ac:dyDescent="0.35">
      <c r="A787" s="1" t="s">
        <v>400</v>
      </c>
      <c r="B787" s="1" t="s">
        <v>13</v>
      </c>
      <c r="C787" s="1" t="s">
        <v>401</v>
      </c>
      <c r="D787">
        <v>3.125</v>
      </c>
      <c r="E787" s="2">
        <v>47072</v>
      </c>
      <c r="F787" s="1" t="s">
        <v>16</v>
      </c>
      <c r="G787" s="1" t="s">
        <v>401</v>
      </c>
      <c r="H787" s="1" t="s">
        <v>2</v>
      </c>
      <c r="I787" s="2">
        <v>46177</v>
      </c>
      <c r="J787" s="1" t="s">
        <v>224</v>
      </c>
      <c r="K787" s="1" t="s">
        <v>5305</v>
      </c>
      <c r="L787" s="2">
        <v>46177.918923611112</v>
      </c>
      <c r="M787" s="2">
        <v>46177.921329212964</v>
      </c>
    </row>
    <row r="788" spans="1:13" x14ac:dyDescent="0.35">
      <c r="A788" s="1" t="s">
        <v>402</v>
      </c>
      <c r="B788" s="1" t="s">
        <v>13</v>
      </c>
      <c r="C788" s="1" t="s">
        <v>403</v>
      </c>
      <c r="D788">
        <v>0.875</v>
      </c>
      <c r="E788" s="2">
        <v>47133</v>
      </c>
      <c r="F788" s="1" t="s">
        <v>64</v>
      </c>
      <c r="G788" s="1" t="s">
        <v>403</v>
      </c>
      <c r="H788" s="1" t="s">
        <v>2</v>
      </c>
      <c r="I788" s="2">
        <v>46177</v>
      </c>
      <c r="J788" s="1" t="s">
        <v>18</v>
      </c>
      <c r="K788" s="1" t="s">
        <v>2500</v>
      </c>
      <c r="L788" s="2">
        <v>46177.92087962963</v>
      </c>
      <c r="M788" s="2">
        <v>46177.921329212964</v>
      </c>
    </row>
    <row r="789" spans="1:13" x14ac:dyDescent="0.35">
      <c r="A789" s="1" t="s">
        <v>402</v>
      </c>
      <c r="B789" s="1" t="s">
        <v>13</v>
      </c>
      <c r="C789" s="1" t="s">
        <v>403</v>
      </c>
      <c r="D789">
        <v>0.875</v>
      </c>
      <c r="E789" s="2">
        <v>47133</v>
      </c>
      <c r="F789" s="1" t="s">
        <v>64</v>
      </c>
      <c r="G789" s="1" t="s">
        <v>403</v>
      </c>
      <c r="H789" s="1" t="s">
        <v>2</v>
      </c>
      <c r="I789" s="2">
        <v>46177</v>
      </c>
      <c r="J789" s="1" t="s">
        <v>224</v>
      </c>
      <c r="K789" s="1" t="s">
        <v>4611</v>
      </c>
      <c r="L789" s="2">
        <v>46177.918923611112</v>
      </c>
      <c r="M789" s="2">
        <v>46177.921329212964</v>
      </c>
    </row>
    <row r="790" spans="1:13" x14ac:dyDescent="0.35">
      <c r="A790" s="1" t="s">
        <v>402</v>
      </c>
      <c r="B790" s="1" t="s">
        <v>13</v>
      </c>
      <c r="C790" s="1" t="s">
        <v>403</v>
      </c>
      <c r="D790">
        <v>0.875</v>
      </c>
      <c r="E790" s="2">
        <v>47133</v>
      </c>
      <c r="F790" s="1" t="s">
        <v>64</v>
      </c>
      <c r="G790" s="1" t="s">
        <v>403</v>
      </c>
      <c r="H790" s="1" t="s">
        <v>2</v>
      </c>
      <c r="I790" s="2">
        <v>46177</v>
      </c>
      <c r="J790" s="1" t="s">
        <v>214</v>
      </c>
      <c r="K790" s="1" t="s">
        <v>4611</v>
      </c>
      <c r="L790" s="2">
        <v>46177.918923611112</v>
      </c>
      <c r="M790" s="2">
        <v>46177.921329212964</v>
      </c>
    </row>
    <row r="791" spans="1:13" x14ac:dyDescent="0.35">
      <c r="A791" s="1" t="s">
        <v>402</v>
      </c>
      <c r="B791" s="1" t="s">
        <v>13</v>
      </c>
      <c r="C791" s="1" t="s">
        <v>403</v>
      </c>
      <c r="D791">
        <v>0.875</v>
      </c>
      <c r="E791" s="2">
        <v>47133</v>
      </c>
      <c r="F791" s="1" t="s">
        <v>64</v>
      </c>
      <c r="G791" s="1" t="s">
        <v>403</v>
      </c>
      <c r="H791" s="1" t="s">
        <v>2</v>
      </c>
      <c r="I791" s="2">
        <v>46177</v>
      </c>
      <c r="J791" s="1" t="s">
        <v>17</v>
      </c>
      <c r="K791" s="1" t="s">
        <v>2911</v>
      </c>
      <c r="L791" s="2">
        <v>46177.92087962963</v>
      </c>
      <c r="M791" s="2">
        <v>46177.921329212964</v>
      </c>
    </row>
    <row r="792" spans="1:13" x14ac:dyDescent="0.35">
      <c r="A792" s="1" t="s">
        <v>402</v>
      </c>
      <c r="B792" s="1" t="s">
        <v>13</v>
      </c>
      <c r="C792" s="1" t="s">
        <v>403</v>
      </c>
      <c r="D792">
        <v>0.875</v>
      </c>
      <c r="E792" s="2">
        <v>47133</v>
      </c>
      <c r="F792" s="1" t="s">
        <v>64</v>
      </c>
      <c r="G792" s="1" t="s">
        <v>403</v>
      </c>
      <c r="H792" s="1" t="s">
        <v>2</v>
      </c>
      <c r="I792" s="2">
        <v>46177</v>
      </c>
      <c r="J792" s="1" t="s">
        <v>67</v>
      </c>
      <c r="K792" s="1" t="s">
        <v>4576</v>
      </c>
      <c r="L792" s="2">
        <v>46177.918923611112</v>
      </c>
      <c r="M792" s="2">
        <v>46177.921329212964</v>
      </c>
    </row>
    <row r="793" spans="1:13" x14ac:dyDescent="0.35">
      <c r="A793" s="1" t="s">
        <v>402</v>
      </c>
      <c r="B793" s="1" t="s">
        <v>13</v>
      </c>
      <c r="C793" s="1" t="s">
        <v>403</v>
      </c>
      <c r="D793">
        <v>0.875</v>
      </c>
      <c r="E793" s="2">
        <v>47133</v>
      </c>
      <c r="F793" s="1" t="s">
        <v>64</v>
      </c>
      <c r="G793" s="1" t="s">
        <v>403</v>
      </c>
      <c r="H793" s="1" t="s">
        <v>2</v>
      </c>
      <c r="I793" s="2">
        <v>46177</v>
      </c>
      <c r="J793" s="1" t="s">
        <v>215</v>
      </c>
      <c r="K793" s="1" t="s">
        <v>4576</v>
      </c>
      <c r="L793" s="2">
        <v>46177.918923611112</v>
      </c>
      <c r="M793" s="2">
        <v>46177.921329212964</v>
      </c>
    </row>
    <row r="794" spans="1:13" x14ac:dyDescent="0.35">
      <c r="A794" s="1" t="s">
        <v>473</v>
      </c>
      <c r="B794" s="1" t="s">
        <v>13</v>
      </c>
      <c r="C794" s="1" t="s">
        <v>474</v>
      </c>
      <c r="D794">
        <v>2.625</v>
      </c>
      <c r="E794" s="2">
        <v>47164</v>
      </c>
      <c r="F794" s="1" t="s">
        <v>16</v>
      </c>
      <c r="G794" s="1" t="s">
        <v>474</v>
      </c>
      <c r="H794" s="1" t="s">
        <v>2</v>
      </c>
      <c r="I794" s="2">
        <v>46177</v>
      </c>
      <c r="J794" s="1" t="s">
        <v>215</v>
      </c>
      <c r="K794" s="1" t="s">
        <v>4612</v>
      </c>
      <c r="L794" s="2">
        <v>46177.918923611112</v>
      </c>
      <c r="M794" s="2">
        <v>46177.921329212964</v>
      </c>
    </row>
    <row r="795" spans="1:13" x14ac:dyDescent="0.35">
      <c r="A795" s="1" t="s">
        <v>473</v>
      </c>
      <c r="B795" s="1" t="s">
        <v>13</v>
      </c>
      <c r="C795" s="1" t="s">
        <v>474</v>
      </c>
      <c r="D795">
        <v>2.625</v>
      </c>
      <c r="E795" s="2">
        <v>47164</v>
      </c>
      <c r="F795" s="1" t="s">
        <v>16</v>
      </c>
      <c r="G795" s="1" t="s">
        <v>474</v>
      </c>
      <c r="H795" s="1" t="s">
        <v>2</v>
      </c>
      <c r="I795" s="2">
        <v>46177</v>
      </c>
      <c r="J795" s="1" t="s">
        <v>17</v>
      </c>
      <c r="K795" s="1" t="s">
        <v>2954</v>
      </c>
      <c r="L795" s="2">
        <v>46177.92087962963</v>
      </c>
      <c r="M795" s="2">
        <v>46177.921329212964</v>
      </c>
    </row>
    <row r="796" spans="1:13" x14ac:dyDescent="0.35">
      <c r="A796" s="1" t="s">
        <v>473</v>
      </c>
      <c r="B796" s="1" t="s">
        <v>13</v>
      </c>
      <c r="C796" s="1" t="s">
        <v>474</v>
      </c>
      <c r="D796">
        <v>2.625</v>
      </c>
      <c r="E796" s="2">
        <v>47164</v>
      </c>
      <c r="F796" s="1" t="s">
        <v>16</v>
      </c>
      <c r="G796" s="1" t="s">
        <v>474</v>
      </c>
      <c r="H796" s="1" t="s">
        <v>2</v>
      </c>
      <c r="I796" s="2">
        <v>46177</v>
      </c>
      <c r="J796" s="1" t="s">
        <v>214</v>
      </c>
      <c r="K796" s="1" t="s">
        <v>4689</v>
      </c>
      <c r="L796" s="2">
        <v>46177.918923611112</v>
      </c>
      <c r="M796" s="2">
        <v>46177.921329212964</v>
      </c>
    </row>
    <row r="797" spans="1:13" x14ac:dyDescent="0.35">
      <c r="A797" s="1" t="s">
        <v>473</v>
      </c>
      <c r="B797" s="1" t="s">
        <v>13</v>
      </c>
      <c r="C797" s="1" t="s">
        <v>474</v>
      </c>
      <c r="D797">
        <v>2.625</v>
      </c>
      <c r="E797" s="2">
        <v>47164</v>
      </c>
      <c r="F797" s="1" t="s">
        <v>16</v>
      </c>
      <c r="G797" s="1" t="s">
        <v>474</v>
      </c>
      <c r="H797" s="1" t="s">
        <v>2</v>
      </c>
      <c r="I797" s="2">
        <v>46177</v>
      </c>
      <c r="J797" s="1" t="s">
        <v>18</v>
      </c>
      <c r="K797" s="1" t="s">
        <v>2328</v>
      </c>
      <c r="L797" s="2">
        <v>46177.92087962963</v>
      </c>
      <c r="M797" s="2">
        <v>46177.921329212964</v>
      </c>
    </row>
    <row r="798" spans="1:13" x14ac:dyDescent="0.35">
      <c r="A798" s="1" t="s">
        <v>473</v>
      </c>
      <c r="B798" s="1" t="s">
        <v>13</v>
      </c>
      <c r="C798" s="1" t="s">
        <v>474</v>
      </c>
      <c r="D798">
        <v>2.625</v>
      </c>
      <c r="E798" s="2">
        <v>47164</v>
      </c>
      <c r="F798" s="1" t="s">
        <v>16</v>
      </c>
      <c r="G798" s="1" t="s">
        <v>474</v>
      </c>
      <c r="H798" s="1" t="s">
        <v>2</v>
      </c>
      <c r="I798" s="2">
        <v>46177</v>
      </c>
      <c r="J798" s="1" t="s">
        <v>224</v>
      </c>
      <c r="K798" s="1" t="s">
        <v>4689</v>
      </c>
      <c r="L798" s="2">
        <v>46177.918923611112</v>
      </c>
      <c r="M798" s="2">
        <v>46177.921329212964</v>
      </c>
    </row>
    <row r="799" spans="1:13" x14ac:dyDescent="0.35">
      <c r="A799" s="1" t="s">
        <v>473</v>
      </c>
      <c r="B799" s="1" t="s">
        <v>13</v>
      </c>
      <c r="C799" s="1" t="s">
        <v>474</v>
      </c>
      <c r="D799">
        <v>2.625</v>
      </c>
      <c r="E799" s="2">
        <v>47164</v>
      </c>
      <c r="F799" s="1" t="s">
        <v>16</v>
      </c>
      <c r="G799" s="1" t="s">
        <v>474</v>
      </c>
      <c r="H799" s="1" t="s">
        <v>2</v>
      </c>
      <c r="I799" s="2">
        <v>46177</v>
      </c>
      <c r="J799" s="1" t="s">
        <v>67</v>
      </c>
      <c r="K799" s="1" t="s">
        <v>4612</v>
      </c>
      <c r="L799" s="2">
        <v>46177.918923611112</v>
      </c>
      <c r="M799" s="2">
        <v>46177.921329212964</v>
      </c>
    </row>
    <row r="800" spans="1:13" x14ac:dyDescent="0.35">
      <c r="A800" s="1" t="s">
        <v>404</v>
      </c>
      <c r="B800" s="1" t="s">
        <v>13</v>
      </c>
      <c r="C800" s="1" t="s">
        <v>405</v>
      </c>
      <c r="D800">
        <v>2.375</v>
      </c>
      <c r="E800" s="2">
        <v>47253</v>
      </c>
      <c r="F800" s="1" t="s">
        <v>16</v>
      </c>
      <c r="G800" s="1" t="s">
        <v>405</v>
      </c>
      <c r="H800" s="1" t="s">
        <v>2</v>
      </c>
      <c r="I800" s="2">
        <v>46177</v>
      </c>
      <c r="J800" s="1" t="s">
        <v>67</v>
      </c>
      <c r="K800" s="1" t="s">
        <v>4577</v>
      </c>
      <c r="L800" s="2">
        <v>46177.918923611112</v>
      </c>
      <c r="M800" s="2">
        <v>46177.921329212964</v>
      </c>
    </row>
    <row r="801" spans="1:13" x14ac:dyDescent="0.35">
      <c r="A801" s="1" t="s">
        <v>404</v>
      </c>
      <c r="B801" s="1" t="s">
        <v>13</v>
      </c>
      <c r="C801" s="1" t="s">
        <v>405</v>
      </c>
      <c r="D801">
        <v>2.375</v>
      </c>
      <c r="E801" s="2">
        <v>47253</v>
      </c>
      <c r="F801" s="1" t="s">
        <v>16</v>
      </c>
      <c r="G801" s="1" t="s">
        <v>405</v>
      </c>
      <c r="H801" s="1" t="s">
        <v>2</v>
      </c>
      <c r="I801" s="2">
        <v>46177</v>
      </c>
      <c r="J801" s="1" t="s">
        <v>224</v>
      </c>
      <c r="K801" s="1" t="s">
        <v>4590</v>
      </c>
      <c r="L801" s="2">
        <v>46177.918923611112</v>
      </c>
      <c r="M801" s="2">
        <v>46177.921329212964</v>
      </c>
    </row>
    <row r="802" spans="1:13" x14ac:dyDescent="0.35">
      <c r="A802" s="1" t="s">
        <v>404</v>
      </c>
      <c r="B802" s="1" t="s">
        <v>13</v>
      </c>
      <c r="C802" s="1" t="s">
        <v>405</v>
      </c>
      <c r="D802">
        <v>2.375</v>
      </c>
      <c r="E802" s="2">
        <v>47253</v>
      </c>
      <c r="F802" s="1" t="s">
        <v>16</v>
      </c>
      <c r="G802" s="1" t="s">
        <v>405</v>
      </c>
      <c r="H802" s="1" t="s">
        <v>2</v>
      </c>
      <c r="I802" s="2">
        <v>46177</v>
      </c>
      <c r="J802" s="1" t="s">
        <v>214</v>
      </c>
      <c r="K802" s="1" t="s">
        <v>4590</v>
      </c>
      <c r="L802" s="2">
        <v>46177.918923611112</v>
      </c>
      <c r="M802" s="2">
        <v>46177.921329212964</v>
      </c>
    </row>
    <row r="803" spans="1:13" x14ac:dyDescent="0.35">
      <c r="A803" s="1" t="s">
        <v>404</v>
      </c>
      <c r="B803" s="1" t="s">
        <v>13</v>
      </c>
      <c r="C803" s="1" t="s">
        <v>405</v>
      </c>
      <c r="D803">
        <v>2.375</v>
      </c>
      <c r="E803" s="2">
        <v>47253</v>
      </c>
      <c r="F803" s="1" t="s">
        <v>16</v>
      </c>
      <c r="G803" s="1" t="s">
        <v>405</v>
      </c>
      <c r="H803" s="1" t="s">
        <v>2</v>
      </c>
      <c r="I803" s="2">
        <v>46177</v>
      </c>
      <c r="J803" s="1" t="s">
        <v>18</v>
      </c>
      <c r="K803" s="1" t="s">
        <v>2983</v>
      </c>
      <c r="L803" s="2">
        <v>46177.92087962963</v>
      </c>
      <c r="M803" s="2">
        <v>46177.921329212964</v>
      </c>
    </row>
    <row r="804" spans="1:13" x14ac:dyDescent="0.35">
      <c r="A804" s="1" t="s">
        <v>404</v>
      </c>
      <c r="B804" s="1" t="s">
        <v>13</v>
      </c>
      <c r="C804" s="1" t="s">
        <v>405</v>
      </c>
      <c r="D804">
        <v>2.375</v>
      </c>
      <c r="E804" s="2">
        <v>47253</v>
      </c>
      <c r="F804" s="1" t="s">
        <v>16</v>
      </c>
      <c r="G804" s="1" t="s">
        <v>405</v>
      </c>
      <c r="H804" s="1" t="s">
        <v>2</v>
      </c>
      <c r="I804" s="2">
        <v>46177</v>
      </c>
      <c r="J804" s="1" t="s">
        <v>215</v>
      </c>
      <c r="K804" s="1" t="s">
        <v>4577</v>
      </c>
      <c r="L804" s="2">
        <v>46177.918923611112</v>
      </c>
      <c r="M804" s="2">
        <v>46177.921329212964</v>
      </c>
    </row>
    <row r="805" spans="1:13" x14ac:dyDescent="0.35">
      <c r="A805" s="1" t="s">
        <v>404</v>
      </c>
      <c r="B805" s="1" t="s">
        <v>13</v>
      </c>
      <c r="C805" s="1" t="s">
        <v>405</v>
      </c>
      <c r="D805">
        <v>2.375</v>
      </c>
      <c r="E805" s="2">
        <v>47253</v>
      </c>
      <c r="F805" s="1" t="s">
        <v>16</v>
      </c>
      <c r="G805" s="1" t="s">
        <v>405</v>
      </c>
      <c r="H805" s="1" t="s">
        <v>2</v>
      </c>
      <c r="I805" s="2">
        <v>46177</v>
      </c>
      <c r="J805" s="1" t="s">
        <v>17</v>
      </c>
      <c r="K805" s="1" t="s">
        <v>4659</v>
      </c>
      <c r="L805" s="2">
        <v>46177.92087962963</v>
      </c>
      <c r="M805" s="2">
        <v>46177.921329212964</v>
      </c>
    </row>
    <row r="806" spans="1:13" x14ac:dyDescent="0.35">
      <c r="A806" s="1" t="s">
        <v>475</v>
      </c>
      <c r="B806" s="1" t="s">
        <v>13</v>
      </c>
      <c r="C806" s="1" t="s">
        <v>476</v>
      </c>
      <c r="D806">
        <v>1.875</v>
      </c>
      <c r="E806" s="2">
        <v>46203</v>
      </c>
      <c r="F806" s="1" t="s">
        <v>16</v>
      </c>
      <c r="G806" s="1" t="s">
        <v>476</v>
      </c>
      <c r="H806" s="1" t="s">
        <v>2</v>
      </c>
      <c r="I806" s="2">
        <v>46177</v>
      </c>
      <c r="J806" s="1" t="s">
        <v>18</v>
      </c>
      <c r="K806" s="1" t="s">
        <v>2556</v>
      </c>
      <c r="L806" s="2">
        <v>46177.92087962963</v>
      </c>
      <c r="M806" s="2">
        <v>46177.921329212964</v>
      </c>
    </row>
    <row r="807" spans="1:13" x14ac:dyDescent="0.35">
      <c r="A807" s="1" t="s">
        <v>475</v>
      </c>
      <c r="B807" s="1" t="s">
        <v>13</v>
      </c>
      <c r="C807" s="1" t="s">
        <v>476</v>
      </c>
      <c r="D807">
        <v>1.875</v>
      </c>
      <c r="E807" s="2">
        <v>46203</v>
      </c>
      <c r="F807" s="1" t="s">
        <v>16</v>
      </c>
      <c r="G807" s="1" t="s">
        <v>476</v>
      </c>
      <c r="H807" s="1" t="s">
        <v>2</v>
      </c>
      <c r="I807" s="2">
        <v>46177</v>
      </c>
      <c r="J807" s="1" t="s">
        <v>67</v>
      </c>
      <c r="K807" s="1" t="s">
        <v>4578</v>
      </c>
      <c r="L807" s="2">
        <v>46177.918923611112</v>
      </c>
      <c r="M807" s="2">
        <v>46177.921329212964</v>
      </c>
    </row>
    <row r="808" spans="1:13" x14ac:dyDescent="0.35">
      <c r="A808" s="1" t="s">
        <v>475</v>
      </c>
      <c r="B808" s="1" t="s">
        <v>13</v>
      </c>
      <c r="C808" s="1" t="s">
        <v>476</v>
      </c>
      <c r="D808">
        <v>1.875</v>
      </c>
      <c r="E808" s="2">
        <v>46203</v>
      </c>
      <c r="F808" s="1" t="s">
        <v>16</v>
      </c>
      <c r="G808" s="1" t="s">
        <v>476</v>
      </c>
      <c r="H808" s="1" t="s">
        <v>2</v>
      </c>
      <c r="I808" s="2">
        <v>46177</v>
      </c>
      <c r="J808" s="1" t="s">
        <v>224</v>
      </c>
      <c r="K808" s="1" t="s">
        <v>4591</v>
      </c>
      <c r="L808" s="2">
        <v>46177.918923611112</v>
      </c>
      <c r="M808" s="2">
        <v>46177.921329212964</v>
      </c>
    </row>
    <row r="809" spans="1:13" x14ac:dyDescent="0.35">
      <c r="A809" s="1" t="s">
        <v>475</v>
      </c>
      <c r="B809" s="1" t="s">
        <v>13</v>
      </c>
      <c r="C809" s="1" t="s">
        <v>476</v>
      </c>
      <c r="D809">
        <v>1.875</v>
      </c>
      <c r="E809" s="2">
        <v>46203</v>
      </c>
      <c r="F809" s="1" t="s">
        <v>16</v>
      </c>
      <c r="G809" s="1" t="s">
        <v>476</v>
      </c>
      <c r="H809" s="1" t="s">
        <v>2</v>
      </c>
      <c r="I809" s="2">
        <v>46177</v>
      </c>
      <c r="J809" s="1" t="s">
        <v>215</v>
      </c>
      <c r="K809" s="1" t="s">
        <v>4578</v>
      </c>
      <c r="L809" s="2">
        <v>46177.918923611112</v>
      </c>
      <c r="M809" s="2">
        <v>46177.921329212964</v>
      </c>
    </row>
    <row r="810" spans="1:13" x14ac:dyDescent="0.35">
      <c r="A810" s="1" t="s">
        <v>475</v>
      </c>
      <c r="B810" s="1" t="s">
        <v>13</v>
      </c>
      <c r="C810" s="1" t="s">
        <v>476</v>
      </c>
      <c r="D810">
        <v>1.875</v>
      </c>
      <c r="E810" s="2">
        <v>46203</v>
      </c>
      <c r="F810" s="1" t="s">
        <v>16</v>
      </c>
      <c r="G810" s="1" t="s">
        <v>476</v>
      </c>
      <c r="H810" s="1" t="s">
        <v>2</v>
      </c>
      <c r="I810" s="2">
        <v>46177</v>
      </c>
      <c r="J810" s="1" t="s">
        <v>17</v>
      </c>
      <c r="K810" s="1" t="s">
        <v>2581</v>
      </c>
      <c r="L810" s="2">
        <v>46177.92087962963</v>
      </c>
      <c r="M810" s="2">
        <v>46177.921329212964</v>
      </c>
    </row>
    <row r="811" spans="1:13" x14ac:dyDescent="0.35">
      <c r="A811" s="1" t="s">
        <v>475</v>
      </c>
      <c r="B811" s="1" t="s">
        <v>13</v>
      </c>
      <c r="C811" s="1" t="s">
        <v>476</v>
      </c>
      <c r="D811">
        <v>1.875</v>
      </c>
      <c r="E811" s="2">
        <v>46203</v>
      </c>
      <c r="F811" s="1" t="s">
        <v>16</v>
      </c>
      <c r="G811" s="1" t="s">
        <v>476</v>
      </c>
      <c r="H811" s="1" t="s">
        <v>2</v>
      </c>
      <c r="I811" s="2">
        <v>46177</v>
      </c>
      <c r="J811" s="1" t="s">
        <v>214</v>
      </c>
      <c r="K811" s="1" t="s">
        <v>4591</v>
      </c>
      <c r="L811" s="2">
        <v>46177.918923611112</v>
      </c>
      <c r="M811" s="2">
        <v>46177.921329212964</v>
      </c>
    </row>
    <row r="812" spans="1:13" x14ac:dyDescent="0.35">
      <c r="A812" s="1" t="s">
        <v>406</v>
      </c>
      <c r="B812" s="1" t="s">
        <v>13</v>
      </c>
      <c r="C812" s="1" t="s">
        <v>407</v>
      </c>
      <c r="D812">
        <v>0.25</v>
      </c>
      <c r="E812" s="2">
        <v>47314</v>
      </c>
      <c r="F812" s="1" t="s">
        <v>64</v>
      </c>
      <c r="G812" s="1" t="s">
        <v>407</v>
      </c>
      <c r="H812" s="1" t="s">
        <v>2</v>
      </c>
      <c r="I812" s="2">
        <v>46177</v>
      </c>
      <c r="J812" s="1" t="s">
        <v>17</v>
      </c>
      <c r="K812" s="1" t="s">
        <v>4690</v>
      </c>
      <c r="L812" s="2">
        <v>46177.92087962963</v>
      </c>
      <c r="M812" s="2">
        <v>46177.921329212964</v>
      </c>
    </row>
    <row r="813" spans="1:13" x14ac:dyDescent="0.35">
      <c r="A813" s="1" t="s">
        <v>406</v>
      </c>
      <c r="B813" s="1" t="s">
        <v>13</v>
      </c>
      <c r="C813" s="1" t="s">
        <v>407</v>
      </c>
      <c r="D813">
        <v>0.25</v>
      </c>
      <c r="E813" s="2">
        <v>47314</v>
      </c>
      <c r="F813" s="1" t="s">
        <v>64</v>
      </c>
      <c r="G813" s="1" t="s">
        <v>407</v>
      </c>
      <c r="H813" s="1" t="s">
        <v>2</v>
      </c>
      <c r="I813" s="2">
        <v>46177</v>
      </c>
      <c r="J813" s="1" t="s">
        <v>18</v>
      </c>
      <c r="K813" s="1" t="s">
        <v>4691</v>
      </c>
      <c r="L813" s="2">
        <v>46177.92087962963</v>
      </c>
      <c r="M813" s="2">
        <v>46177.921329212964</v>
      </c>
    </row>
    <row r="814" spans="1:13" x14ac:dyDescent="0.35">
      <c r="A814" s="1" t="s">
        <v>406</v>
      </c>
      <c r="B814" s="1" t="s">
        <v>13</v>
      </c>
      <c r="C814" s="1" t="s">
        <v>407</v>
      </c>
      <c r="D814">
        <v>0.25</v>
      </c>
      <c r="E814" s="2">
        <v>47314</v>
      </c>
      <c r="F814" s="1" t="s">
        <v>64</v>
      </c>
      <c r="G814" s="1" t="s">
        <v>407</v>
      </c>
      <c r="H814" s="1" t="s">
        <v>2</v>
      </c>
      <c r="I814" s="2">
        <v>46177</v>
      </c>
      <c r="J814" s="1" t="s">
        <v>214</v>
      </c>
      <c r="K814" s="1" t="s">
        <v>4660</v>
      </c>
      <c r="L814" s="2">
        <v>46177.918923611112</v>
      </c>
      <c r="M814" s="2">
        <v>46177.921329212964</v>
      </c>
    </row>
    <row r="815" spans="1:13" x14ac:dyDescent="0.35">
      <c r="A815" s="1" t="s">
        <v>406</v>
      </c>
      <c r="B815" s="1" t="s">
        <v>13</v>
      </c>
      <c r="C815" s="1" t="s">
        <v>407</v>
      </c>
      <c r="D815">
        <v>0.25</v>
      </c>
      <c r="E815" s="2">
        <v>47314</v>
      </c>
      <c r="F815" s="1" t="s">
        <v>64</v>
      </c>
      <c r="G815" s="1" t="s">
        <v>407</v>
      </c>
      <c r="H815" s="1" t="s">
        <v>2</v>
      </c>
      <c r="I815" s="2">
        <v>46177</v>
      </c>
      <c r="J815" s="1" t="s">
        <v>67</v>
      </c>
      <c r="K815" s="1" t="s">
        <v>4692</v>
      </c>
      <c r="L815" s="2">
        <v>46177.918923611112</v>
      </c>
      <c r="M815" s="2">
        <v>46177.921329212964</v>
      </c>
    </row>
    <row r="816" spans="1:13" x14ac:dyDescent="0.35">
      <c r="A816" s="1" t="s">
        <v>406</v>
      </c>
      <c r="B816" s="1" t="s">
        <v>13</v>
      </c>
      <c r="C816" s="1" t="s">
        <v>407</v>
      </c>
      <c r="D816">
        <v>0.25</v>
      </c>
      <c r="E816" s="2">
        <v>47314</v>
      </c>
      <c r="F816" s="1" t="s">
        <v>64</v>
      </c>
      <c r="G816" s="1" t="s">
        <v>407</v>
      </c>
      <c r="H816" s="1" t="s">
        <v>2</v>
      </c>
      <c r="I816" s="2">
        <v>46177</v>
      </c>
      <c r="J816" s="1" t="s">
        <v>215</v>
      </c>
      <c r="K816" s="1" t="s">
        <v>4692</v>
      </c>
      <c r="L816" s="2">
        <v>46177.918923611112</v>
      </c>
      <c r="M816" s="2">
        <v>46177.921329212964</v>
      </c>
    </row>
    <row r="817" spans="1:13" x14ac:dyDescent="0.35">
      <c r="A817" s="1" t="s">
        <v>406</v>
      </c>
      <c r="B817" s="1" t="s">
        <v>13</v>
      </c>
      <c r="C817" s="1" t="s">
        <v>407</v>
      </c>
      <c r="D817">
        <v>0.25</v>
      </c>
      <c r="E817" s="2">
        <v>47314</v>
      </c>
      <c r="F817" s="1" t="s">
        <v>64</v>
      </c>
      <c r="G817" s="1" t="s">
        <v>407</v>
      </c>
      <c r="H817" s="1" t="s">
        <v>2</v>
      </c>
      <c r="I817" s="2">
        <v>46177</v>
      </c>
      <c r="J817" s="1" t="s">
        <v>224</v>
      </c>
      <c r="K817" s="1" t="s">
        <v>4660</v>
      </c>
      <c r="L817" s="2">
        <v>46177.918923611112</v>
      </c>
      <c r="M817" s="2">
        <v>46177.921329212964</v>
      </c>
    </row>
    <row r="818" spans="1:13" x14ac:dyDescent="0.35">
      <c r="A818" s="1" t="s">
        <v>477</v>
      </c>
      <c r="B818" s="1" t="s">
        <v>13</v>
      </c>
      <c r="C818" s="1" t="s">
        <v>478</v>
      </c>
      <c r="D818">
        <v>0.125</v>
      </c>
      <c r="E818" s="2">
        <v>46218</v>
      </c>
      <c r="F818" s="1" t="s">
        <v>64</v>
      </c>
      <c r="G818" s="1" t="s">
        <v>478</v>
      </c>
      <c r="H818" s="1" t="s">
        <v>2</v>
      </c>
      <c r="I818" s="2">
        <v>46177</v>
      </c>
      <c r="J818" s="1" t="s">
        <v>18</v>
      </c>
      <c r="K818" s="1" t="s">
        <v>2355</v>
      </c>
      <c r="L818" s="2">
        <v>46177.92087962963</v>
      </c>
      <c r="M818" s="2">
        <v>46177.921329212964</v>
      </c>
    </row>
    <row r="819" spans="1:13" x14ac:dyDescent="0.35">
      <c r="A819" s="1" t="s">
        <v>477</v>
      </c>
      <c r="B819" s="1" t="s">
        <v>13</v>
      </c>
      <c r="C819" s="1" t="s">
        <v>478</v>
      </c>
      <c r="D819">
        <v>0.125</v>
      </c>
      <c r="E819" s="2">
        <v>46218</v>
      </c>
      <c r="F819" s="1" t="s">
        <v>64</v>
      </c>
      <c r="G819" s="1" t="s">
        <v>478</v>
      </c>
      <c r="H819" s="1" t="s">
        <v>2</v>
      </c>
      <c r="I819" s="2">
        <v>46177</v>
      </c>
      <c r="J819" s="1" t="s">
        <v>67</v>
      </c>
      <c r="K819" s="1" t="s">
        <v>4579</v>
      </c>
      <c r="L819" s="2">
        <v>46177.918923611112</v>
      </c>
      <c r="M819" s="2">
        <v>46177.921329212964</v>
      </c>
    </row>
    <row r="820" spans="1:13" x14ac:dyDescent="0.35">
      <c r="A820" s="1" t="s">
        <v>477</v>
      </c>
      <c r="B820" s="1" t="s">
        <v>13</v>
      </c>
      <c r="C820" s="1" t="s">
        <v>478</v>
      </c>
      <c r="D820">
        <v>0.125</v>
      </c>
      <c r="E820" s="2">
        <v>46218</v>
      </c>
      <c r="F820" s="1" t="s">
        <v>64</v>
      </c>
      <c r="G820" s="1" t="s">
        <v>478</v>
      </c>
      <c r="H820" s="1" t="s">
        <v>2</v>
      </c>
      <c r="I820" s="2">
        <v>46177</v>
      </c>
      <c r="J820" s="1" t="s">
        <v>17</v>
      </c>
      <c r="K820" s="1" t="s">
        <v>2585</v>
      </c>
      <c r="L820" s="2">
        <v>46177.92087962963</v>
      </c>
      <c r="M820" s="2">
        <v>46177.921329212964</v>
      </c>
    </row>
    <row r="821" spans="1:13" x14ac:dyDescent="0.35">
      <c r="A821" s="1" t="s">
        <v>477</v>
      </c>
      <c r="B821" s="1" t="s">
        <v>13</v>
      </c>
      <c r="C821" s="1" t="s">
        <v>478</v>
      </c>
      <c r="D821">
        <v>0.125</v>
      </c>
      <c r="E821" s="2">
        <v>46218</v>
      </c>
      <c r="F821" s="1" t="s">
        <v>64</v>
      </c>
      <c r="G821" s="1" t="s">
        <v>478</v>
      </c>
      <c r="H821" s="1" t="s">
        <v>2</v>
      </c>
      <c r="I821" s="2">
        <v>46177</v>
      </c>
      <c r="J821" s="1" t="s">
        <v>224</v>
      </c>
      <c r="K821" s="1" t="s">
        <v>4592</v>
      </c>
      <c r="L821" s="2">
        <v>46177.918923611112</v>
      </c>
      <c r="M821" s="2">
        <v>46177.921329212964</v>
      </c>
    </row>
    <row r="822" spans="1:13" x14ac:dyDescent="0.35">
      <c r="A822" s="1" t="s">
        <v>477</v>
      </c>
      <c r="B822" s="1" t="s">
        <v>13</v>
      </c>
      <c r="C822" s="1" t="s">
        <v>478</v>
      </c>
      <c r="D822">
        <v>0.125</v>
      </c>
      <c r="E822" s="2">
        <v>46218</v>
      </c>
      <c r="F822" s="1" t="s">
        <v>64</v>
      </c>
      <c r="G822" s="1" t="s">
        <v>478</v>
      </c>
      <c r="H822" s="1" t="s">
        <v>2</v>
      </c>
      <c r="I822" s="2">
        <v>46177</v>
      </c>
      <c r="J822" s="1" t="s">
        <v>214</v>
      </c>
      <c r="K822" s="1" t="s">
        <v>4592</v>
      </c>
      <c r="L822" s="2">
        <v>46177.918923611112</v>
      </c>
      <c r="M822" s="2">
        <v>46177.921329212964</v>
      </c>
    </row>
    <row r="823" spans="1:13" x14ac:dyDescent="0.35">
      <c r="A823" s="1" t="s">
        <v>477</v>
      </c>
      <c r="B823" s="1" t="s">
        <v>13</v>
      </c>
      <c r="C823" s="1" t="s">
        <v>478</v>
      </c>
      <c r="D823">
        <v>0.125</v>
      </c>
      <c r="E823" s="2">
        <v>46218</v>
      </c>
      <c r="F823" s="1" t="s">
        <v>64</v>
      </c>
      <c r="G823" s="1" t="s">
        <v>478</v>
      </c>
      <c r="H823" s="1" t="s">
        <v>2</v>
      </c>
      <c r="I823" s="2">
        <v>46177</v>
      </c>
      <c r="J823" s="1" t="s">
        <v>215</v>
      </c>
      <c r="K823" s="1" t="s">
        <v>4579</v>
      </c>
      <c r="L823" s="2">
        <v>46177.918923611112</v>
      </c>
      <c r="M823" s="2">
        <v>46177.921329212964</v>
      </c>
    </row>
    <row r="824" spans="1:13" x14ac:dyDescent="0.35">
      <c r="A824" s="1" t="s">
        <v>479</v>
      </c>
      <c r="B824" s="1" t="s">
        <v>13</v>
      </c>
      <c r="C824" s="1" t="s">
        <v>480</v>
      </c>
      <c r="D824">
        <v>2</v>
      </c>
      <c r="E824" s="2">
        <v>46341</v>
      </c>
      <c r="F824" s="1" t="s">
        <v>16</v>
      </c>
      <c r="G824" s="1" t="s">
        <v>480</v>
      </c>
      <c r="H824" s="1" t="s">
        <v>2</v>
      </c>
      <c r="I824" s="2">
        <v>46177</v>
      </c>
      <c r="J824" s="1" t="s">
        <v>215</v>
      </c>
      <c r="K824" s="1" t="s">
        <v>4580</v>
      </c>
      <c r="L824" s="2">
        <v>46177.918923611112</v>
      </c>
      <c r="M824" s="2">
        <v>46177.921329212964</v>
      </c>
    </row>
    <row r="825" spans="1:13" x14ac:dyDescent="0.35">
      <c r="A825" s="1" t="s">
        <v>479</v>
      </c>
      <c r="B825" s="1" t="s">
        <v>13</v>
      </c>
      <c r="C825" s="1" t="s">
        <v>480</v>
      </c>
      <c r="D825">
        <v>2</v>
      </c>
      <c r="E825" s="2">
        <v>46341</v>
      </c>
      <c r="F825" s="1" t="s">
        <v>16</v>
      </c>
      <c r="G825" s="1" t="s">
        <v>480</v>
      </c>
      <c r="H825" s="1" t="s">
        <v>2</v>
      </c>
      <c r="I825" s="2">
        <v>46177</v>
      </c>
      <c r="J825" s="1" t="s">
        <v>17</v>
      </c>
      <c r="K825" s="1" t="s">
        <v>2391</v>
      </c>
      <c r="L825" s="2">
        <v>46177.92087962963</v>
      </c>
      <c r="M825" s="2">
        <v>46177.921329212964</v>
      </c>
    </row>
    <row r="826" spans="1:13" x14ac:dyDescent="0.35">
      <c r="A826" s="1" t="s">
        <v>479</v>
      </c>
      <c r="B826" s="1" t="s">
        <v>13</v>
      </c>
      <c r="C826" s="1" t="s">
        <v>480</v>
      </c>
      <c r="D826">
        <v>2</v>
      </c>
      <c r="E826" s="2">
        <v>46341</v>
      </c>
      <c r="F826" s="1" t="s">
        <v>16</v>
      </c>
      <c r="G826" s="1" t="s">
        <v>480</v>
      </c>
      <c r="H826" s="1" t="s">
        <v>2</v>
      </c>
      <c r="I826" s="2">
        <v>46177</v>
      </c>
      <c r="J826" s="1" t="s">
        <v>18</v>
      </c>
      <c r="K826" s="1" t="s">
        <v>4693</v>
      </c>
      <c r="L826" s="2">
        <v>46177.92087962963</v>
      </c>
      <c r="M826" s="2">
        <v>46177.921329212964</v>
      </c>
    </row>
    <row r="827" spans="1:13" x14ac:dyDescent="0.35">
      <c r="A827" s="1" t="s">
        <v>479</v>
      </c>
      <c r="B827" s="1" t="s">
        <v>13</v>
      </c>
      <c r="C827" s="1" t="s">
        <v>480</v>
      </c>
      <c r="D827">
        <v>2</v>
      </c>
      <c r="E827" s="2">
        <v>46341</v>
      </c>
      <c r="F827" s="1" t="s">
        <v>16</v>
      </c>
      <c r="G827" s="1" t="s">
        <v>480</v>
      </c>
      <c r="H827" s="1" t="s">
        <v>2</v>
      </c>
      <c r="I827" s="2">
        <v>46177</v>
      </c>
      <c r="J827" s="1" t="s">
        <v>214</v>
      </c>
      <c r="K827" s="1" t="s">
        <v>4581</v>
      </c>
      <c r="L827" s="2">
        <v>46177.918923611112</v>
      </c>
      <c r="M827" s="2">
        <v>46177.921329212964</v>
      </c>
    </row>
    <row r="828" spans="1:13" x14ac:dyDescent="0.35">
      <c r="A828" s="1" t="s">
        <v>479</v>
      </c>
      <c r="B828" s="1" t="s">
        <v>13</v>
      </c>
      <c r="C828" s="1" t="s">
        <v>480</v>
      </c>
      <c r="D828">
        <v>2</v>
      </c>
      <c r="E828" s="2">
        <v>46341</v>
      </c>
      <c r="F828" s="1" t="s">
        <v>16</v>
      </c>
      <c r="G828" s="1" t="s">
        <v>480</v>
      </c>
      <c r="H828" s="1" t="s">
        <v>2</v>
      </c>
      <c r="I828" s="2">
        <v>46177</v>
      </c>
      <c r="J828" s="1" t="s">
        <v>67</v>
      </c>
      <c r="K828" s="1" t="s">
        <v>4580</v>
      </c>
      <c r="L828" s="2">
        <v>46177.918923611112</v>
      </c>
      <c r="M828" s="2">
        <v>46177.921329212964</v>
      </c>
    </row>
    <row r="829" spans="1:13" x14ac:dyDescent="0.35">
      <c r="A829" s="1" t="s">
        <v>479</v>
      </c>
      <c r="B829" s="1" t="s">
        <v>13</v>
      </c>
      <c r="C829" s="1" t="s">
        <v>480</v>
      </c>
      <c r="D829">
        <v>2</v>
      </c>
      <c r="E829" s="2">
        <v>46341</v>
      </c>
      <c r="F829" s="1" t="s">
        <v>16</v>
      </c>
      <c r="G829" s="1" t="s">
        <v>480</v>
      </c>
      <c r="H829" s="1" t="s">
        <v>2</v>
      </c>
      <c r="I829" s="2">
        <v>46177</v>
      </c>
      <c r="J829" s="1" t="s">
        <v>224</v>
      </c>
      <c r="K829" s="1" t="s">
        <v>4581</v>
      </c>
      <c r="L829" s="2">
        <v>46177.918923611112</v>
      </c>
      <c r="M829" s="2">
        <v>46177.921329212964</v>
      </c>
    </row>
    <row r="830" spans="1:13" x14ac:dyDescent="0.35">
      <c r="A830" s="1" t="s">
        <v>481</v>
      </c>
      <c r="B830" s="1" t="s">
        <v>13</v>
      </c>
      <c r="C830" s="1" t="s">
        <v>482</v>
      </c>
      <c r="D830">
        <v>0.375</v>
      </c>
      <c r="E830" s="2">
        <v>46402</v>
      </c>
      <c r="F830" s="1" t="s">
        <v>64</v>
      </c>
      <c r="G830" s="1" t="s">
        <v>482</v>
      </c>
      <c r="H830" s="1" t="s">
        <v>2</v>
      </c>
      <c r="I830" s="2">
        <v>46177</v>
      </c>
      <c r="J830" s="1" t="s">
        <v>67</v>
      </c>
      <c r="K830" s="1" t="s">
        <v>4613</v>
      </c>
      <c r="L830" s="2">
        <v>46177.918923611112</v>
      </c>
      <c r="M830" s="2">
        <v>46177.921329212964</v>
      </c>
    </row>
    <row r="831" spans="1:13" x14ac:dyDescent="0.35">
      <c r="A831" s="1" t="s">
        <v>481</v>
      </c>
      <c r="B831" s="1" t="s">
        <v>13</v>
      </c>
      <c r="C831" s="1" t="s">
        <v>482</v>
      </c>
      <c r="D831">
        <v>0.375</v>
      </c>
      <c r="E831" s="2">
        <v>46402</v>
      </c>
      <c r="F831" s="1" t="s">
        <v>64</v>
      </c>
      <c r="G831" s="1" t="s">
        <v>482</v>
      </c>
      <c r="H831" s="1" t="s">
        <v>2</v>
      </c>
      <c r="I831" s="2">
        <v>46177</v>
      </c>
      <c r="J831" s="1" t="s">
        <v>224</v>
      </c>
      <c r="K831" s="1" t="s">
        <v>4614</v>
      </c>
      <c r="L831" s="2">
        <v>46177.918923611112</v>
      </c>
      <c r="M831" s="2">
        <v>46177.921329212964</v>
      </c>
    </row>
    <row r="832" spans="1:13" x14ac:dyDescent="0.35">
      <c r="A832" s="1" t="s">
        <v>481</v>
      </c>
      <c r="B832" s="1" t="s">
        <v>13</v>
      </c>
      <c r="C832" s="1" t="s">
        <v>482</v>
      </c>
      <c r="D832">
        <v>0.375</v>
      </c>
      <c r="E832" s="2">
        <v>46402</v>
      </c>
      <c r="F832" s="1" t="s">
        <v>64</v>
      </c>
      <c r="G832" s="1" t="s">
        <v>482</v>
      </c>
      <c r="H832" s="1" t="s">
        <v>2</v>
      </c>
      <c r="I832" s="2">
        <v>46177</v>
      </c>
      <c r="J832" s="1" t="s">
        <v>214</v>
      </c>
      <c r="K832" s="1" t="s">
        <v>4614</v>
      </c>
      <c r="L832" s="2">
        <v>46177.918923611112</v>
      </c>
      <c r="M832" s="2">
        <v>46177.921329212964</v>
      </c>
    </row>
    <row r="833" spans="1:13" x14ac:dyDescent="0.35">
      <c r="A833" s="1" t="s">
        <v>481</v>
      </c>
      <c r="B833" s="1" t="s">
        <v>13</v>
      </c>
      <c r="C833" s="1" t="s">
        <v>482</v>
      </c>
      <c r="D833">
        <v>0.375</v>
      </c>
      <c r="E833" s="2">
        <v>46402</v>
      </c>
      <c r="F833" s="1" t="s">
        <v>64</v>
      </c>
      <c r="G833" s="1" t="s">
        <v>482</v>
      </c>
      <c r="H833" s="1" t="s">
        <v>2</v>
      </c>
      <c r="I833" s="2">
        <v>46177</v>
      </c>
      <c r="J833" s="1" t="s">
        <v>17</v>
      </c>
      <c r="K833" s="1" t="s">
        <v>2314</v>
      </c>
      <c r="L833" s="2">
        <v>46177.92087962963</v>
      </c>
      <c r="M833" s="2">
        <v>46177.921329212964</v>
      </c>
    </row>
    <row r="834" spans="1:13" x14ac:dyDescent="0.35">
      <c r="A834" s="1" t="s">
        <v>481</v>
      </c>
      <c r="B834" s="1" t="s">
        <v>13</v>
      </c>
      <c r="C834" s="1" t="s">
        <v>482</v>
      </c>
      <c r="D834">
        <v>0.375</v>
      </c>
      <c r="E834" s="2">
        <v>46402</v>
      </c>
      <c r="F834" s="1" t="s">
        <v>64</v>
      </c>
      <c r="G834" s="1" t="s">
        <v>482</v>
      </c>
      <c r="H834" s="1" t="s">
        <v>2</v>
      </c>
      <c r="I834" s="2">
        <v>46177</v>
      </c>
      <c r="J834" s="1" t="s">
        <v>18</v>
      </c>
      <c r="K834" s="1" t="s">
        <v>2971</v>
      </c>
      <c r="L834" s="2">
        <v>46177.92087962963</v>
      </c>
      <c r="M834" s="2">
        <v>46177.921329212964</v>
      </c>
    </row>
    <row r="835" spans="1:13" x14ac:dyDescent="0.35">
      <c r="A835" s="1" t="s">
        <v>481</v>
      </c>
      <c r="B835" s="1" t="s">
        <v>13</v>
      </c>
      <c r="C835" s="1" t="s">
        <v>482</v>
      </c>
      <c r="D835">
        <v>0.375</v>
      </c>
      <c r="E835" s="2">
        <v>46402</v>
      </c>
      <c r="F835" s="1" t="s">
        <v>64</v>
      </c>
      <c r="G835" s="1" t="s">
        <v>482</v>
      </c>
      <c r="H835" s="1" t="s">
        <v>2</v>
      </c>
      <c r="I835" s="2">
        <v>46177</v>
      </c>
      <c r="J835" s="1" t="s">
        <v>215</v>
      </c>
      <c r="K835" s="1" t="s">
        <v>4613</v>
      </c>
      <c r="L835" s="2">
        <v>46177.918923611112</v>
      </c>
      <c r="M835" s="2">
        <v>46177.921329212964</v>
      </c>
    </row>
    <row r="836" spans="1:13" x14ac:dyDescent="0.35">
      <c r="A836" s="1" t="s">
        <v>483</v>
      </c>
      <c r="B836" s="1" t="s">
        <v>13</v>
      </c>
      <c r="C836" s="1" t="s">
        <v>484</v>
      </c>
      <c r="D836">
        <v>2.25</v>
      </c>
      <c r="E836" s="2">
        <v>46433</v>
      </c>
      <c r="F836" s="1" t="s">
        <v>16</v>
      </c>
      <c r="G836" s="1" t="s">
        <v>484</v>
      </c>
      <c r="H836" s="1" t="s">
        <v>2</v>
      </c>
      <c r="I836" s="2">
        <v>46177</v>
      </c>
      <c r="J836" s="1" t="s">
        <v>17</v>
      </c>
      <c r="K836" s="1" t="s">
        <v>4627</v>
      </c>
      <c r="L836" s="2">
        <v>46177.92087962963</v>
      </c>
      <c r="M836" s="2">
        <v>46177.921329212964</v>
      </c>
    </row>
    <row r="837" spans="1:13" x14ac:dyDescent="0.35">
      <c r="A837" s="1" t="s">
        <v>483</v>
      </c>
      <c r="B837" s="1" t="s">
        <v>13</v>
      </c>
      <c r="C837" s="1" t="s">
        <v>484</v>
      </c>
      <c r="D837">
        <v>2.25</v>
      </c>
      <c r="E837" s="2">
        <v>46433</v>
      </c>
      <c r="F837" s="1" t="s">
        <v>16</v>
      </c>
      <c r="G837" s="1" t="s">
        <v>484</v>
      </c>
      <c r="H837" s="1" t="s">
        <v>2</v>
      </c>
      <c r="I837" s="2">
        <v>46177</v>
      </c>
      <c r="J837" s="1" t="s">
        <v>18</v>
      </c>
      <c r="K837" s="1" t="s">
        <v>2419</v>
      </c>
      <c r="L837" s="2">
        <v>46177.92087962963</v>
      </c>
      <c r="M837" s="2">
        <v>46177.921329212964</v>
      </c>
    </row>
    <row r="838" spans="1:13" x14ac:dyDescent="0.35">
      <c r="A838" s="1" t="s">
        <v>483</v>
      </c>
      <c r="B838" s="1" t="s">
        <v>13</v>
      </c>
      <c r="C838" s="1" t="s">
        <v>484</v>
      </c>
      <c r="D838">
        <v>2.25</v>
      </c>
      <c r="E838" s="2">
        <v>46433</v>
      </c>
      <c r="F838" s="1" t="s">
        <v>16</v>
      </c>
      <c r="G838" s="1" t="s">
        <v>484</v>
      </c>
      <c r="H838" s="1" t="s">
        <v>2</v>
      </c>
      <c r="I838" s="2">
        <v>46177</v>
      </c>
      <c r="J838" s="1" t="s">
        <v>215</v>
      </c>
      <c r="K838" s="1" t="s">
        <v>4662</v>
      </c>
      <c r="L838" s="2">
        <v>46177.918923611112</v>
      </c>
      <c r="M838" s="2">
        <v>46177.921329212964</v>
      </c>
    </row>
    <row r="839" spans="1:13" x14ac:dyDescent="0.35">
      <c r="A839" s="1" t="s">
        <v>483</v>
      </c>
      <c r="B839" s="1" t="s">
        <v>13</v>
      </c>
      <c r="C839" s="1" t="s">
        <v>484</v>
      </c>
      <c r="D839">
        <v>2.25</v>
      </c>
      <c r="E839" s="2">
        <v>46433</v>
      </c>
      <c r="F839" s="1" t="s">
        <v>16</v>
      </c>
      <c r="G839" s="1" t="s">
        <v>484</v>
      </c>
      <c r="H839" s="1" t="s">
        <v>2</v>
      </c>
      <c r="I839" s="2">
        <v>46177</v>
      </c>
      <c r="J839" s="1" t="s">
        <v>224</v>
      </c>
      <c r="K839" s="1" t="s">
        <v>4661</v>
      </c>
      <c r="L839" s="2">
        <v>46177.918923611112</v>
      </c>
      <c r="M839" s="2">
        <v>46177.921329212964</v>
      </c>
    </row>
    <row r="840" spans="1:13" x14ac:dyDescent="0.35">
      <c r="A840" s="1" t="s">
        <v>483</v>
      </c>
      <c r="B840" s="1" t="s">
        <v>13</v>
      </c>
      <c r="C840" s="1" t="s">
        <v>484</v>
      </c>
      <c r="D840">
        <v>2.25</v>
      </c>
      <c r="E840" s="2">
        <v>46433</v>
      </c>
      <c r="F840" s="1" t="s">
        <v>16</v>
      </c>
      <c r="G840" s="1" t="s">
        <v>484</v>
      </c>
      <c r="H840" s="1" t="s">
        <v>2</v>
      </c>
      <c r="I840" s="2">
        <v>46177</v>
      </c>
      <c r="J840" s="1" t="s">
        <v>214</v>
      </c>
      <c r="K840" s="1" t="s">
        <v>4661</v>
      </c>
      <c r="L840" s="2">
        <v>46177.918923611112</v>
      </c>
      <c r="M840" s="2">
        <v>46177.921329212964</v>
      </c>
    </row>
    <row r="841" spans="1:13" x14ac:dyDescent="0.35">
      <c r="A841" s="1" t="s">
        <v>483</v>
      </c>
      <c r="B841" s="1" t="s">
        <v>13</v>
      </c>
      <c r="C841" s="1" t="s">
        <v>484</v>
      </c>
      <c r="D841">
        <v>2.25</v>
      </c>
      <c r="E841" s="2">
        <v>46433</v>
      </c>
      <c r="F841" s="1" t="s">
        <v>16</v>
      </c>
      <c r="G841" s="1" t="s">
        <v>484</v>
      </c>
      <c r="H841" s="1" t="s">
        <v>2</v>
      </c>
      <c r="I841" s="2">
        <v>46177</v>
      </c>
      <c r="J841" s="1" t="s">
        <v>67</v>
      </c>
      <c r="K841" s="1" t="s">
        <v>4662</v>
      </c>
      <c r="L841" s="2">
        <v>46177.918923611112</v>
      </c>
      <c r="M841" s="2">
        <v>46177.921329212964</v>
      </c>
    </row>
    <row r="842" spans="1:13" x14ac:dyDescent="0.35">
      <c r="A842" s="1" t="s">
        <v>408</v>
      </c>
      <c r="B842" s="1" t="s">
        <v>13</v>
      </c>
      <c r="C842" s="1" t="s">
        <v>409</v>
      </c>
      <c r="D842">
        <v>2.375</v>
      </c>
      <c r="E842" s="2">
        <v>46522</v>
      </c>
      <c r="F842" s="1" t="s">
        <v>16</v>
      </c>
      <c r="G842" s="1" t="s">
        <v>409</v>
      </c>
      <c r="H842" s="1" t="s">
        <v>2</v>
      </c>
      <c r="I842" s="2">
        <v>46177</v>
      </c>
      <c r="J842" s="1" t="s">
        <v>67</v>
      </c>
      <c r="K842" s="1" t="s">
        <v>4593</v>
      </c>
      <c r="L842" s="2">
        <v>46177.918923611112</v>
      </c>
      <c r="M842" s="2">
        <v>46177.921329212964</v>
      </c>
    </row>
    <row r="843" spans="1:13" x14ac:dyDescent="0.35">
      <c r="A843" s="1" t="s">
        <v>408</v>
      </c>
      <c r="B843" s="1" t="s">
        <v>13</v>
      </c>
      <c r="C843" s="1" t="s">
        <v>409</v>
      </c>
      <c r="D843">
        <v>2.375</v>
      </c>
      <c r="E843" s="2">
        <v>46522</v>
      </c>
      <c r="F843" s="1" t="s">
        <v>16</v>
      </c>
      <c r="G843" s="1" t="s">
        <v>409</v>
      </c>
      <c r="H843" s="1" t="s">
        <v>2</v>
      </c>
      <c r="I843" s="2">
        <v>46177</v>
      </c>
      <c r="J843" s="1" t="s">
        <v>224</v>
      </c>
      <c r="K843" s="1" t="s">
        <v>4628</v>
      </c>
      <c r="L843" s="2">
        <v>46177.918923611112</v>
      </c>
      <c r="M843" s="2">
        <v>46177.921329212964</v>
      </c>
    </row>
    <row r="844" spans="1:13" x14ac:dyDescent="0.35">
      <c r="A844" s="1" t="s">
        <v>408</v>
      </c>
      <c r="B844" s="1" t="s">
        <v>13</v>
      </c>
      <c r="C844" s="1" t="s">
        <v>409</v>
      </c>
      <c r="D844">
        <v>2.375</v>
      </c>
      <c r="E844" s="2">
        <v>46522</v>
      </c>
      <c r="F844" s="1" t="s">
        <v>16</v>
      </c>
      <c r="G844" s="1" t="s">
        <v>409</v>
      </c>
      <c r="H844" s="1" t="s">
        <v>2</v>
      </c>
      <c r="I844" s="2">
        <v>46177</v>
      </c>
      <c r="J844" s="1" t="s">
        <v>17</v>
      </c>
      <c r="K844" s="1" t="s">
        <v>2680</v>
      </c>
      <c r="L844" s="2">
        <v>46177.92087962963</v>
      </c>
      <c r="M844" s="2">
        <v>46177.921329212964</v>
      </c>
    </row>
    <row r="845" spans="1:13" x14ac:dyDescent="0.35">
      <c r="A845" s="1" t="s">
        <v>408</v>
      </c>
      <c r="B845" s="1" t="s">
        <v>13</v>
      </c>
      <c r="C845" s="1" t="s">
        <v>409</v>
      </c>
      <c r="D845">
        <v>2.375</v>
      </c>
      <c r="E845" s="2">
        <v>46522</v>
      </c>
      <c r="F845" s="1" t="s">
        <v>16</v>
      </c>
      <c r="G845" s="1" t="s">
        <v>409</v>
      </c>
      <c r="H845" s="1" t="s">
        <v>2</v>
      </c>
      <c r="I845" s="2">
        <v>46177</v>
      </c>
      <c r="J845" s="1" t="s">
        <v>215</v>
      </c>
      <c r="K845" s="1" t="s">
        <v>4593</v>
      </c>
      <c r="L845" s="2">
        <v>46177.918923611112</v>
      </c>
      <c r="M845" s="2">
        <v>46177.921329212964</v>
      </c>
    </row>
    <row r="846" spans="1:13" x14ac:dyDescent="0.35">
      <c r="A846" s="1" t="s">
        <v>408</v>
      </c>
      <c r="B846" s="1" t="s">
        <v>13</v>
      </c>
      <c r="C846" s="1" t="s">
        <v>409</v>
      </c>
      <c r="D846">
        <v>2.375</v>
      </c>
      <c r="E846" s="2">
        <v>46522</v>
      </c>
      <c r="F846" s="1" t="s">
        <v>16</v>
      </c>
      <c r="G846" s="1" t="s">
        <v>409</v>
      </c>
      <c r="H846" s="1" t="s">
        <v>2</v>
      </c>
      <c r="I846" s="2">
        <v>46177</v>
      </c>
      <c r="J846" s="1" t="s">
        <v>18</v>
      </c>
      <c r="K846" s="1" t="s">
        <v>2415</v>
      </c>
      <c r="L846" s="2">
        <v>46177.92087962963</v>
      </c>
      <c r="M846" s="2">
        <v>46177.921329212964</v>
      </c>
    </row>
    <row r="847" spans="1:13" x14ac:dyDescent="0.35">
      <c r="A847" s="1" t="s">
        <v>408</v>
      </c>
      <c r="B847" s="1" t="s">
        <v>13</v>
      </c>
      <c r="C847" s="1" t="s">
        <v>409</v>
      </c>
      <c r="D847">
        <v>2.375</v>
      </c>
      <c r="E847" s="2">
        <v>46522</v>
      </c>
      <c r="F847" s="1" t="s">
        <v>16</v>
      </c>
      <c r="G847" s="1" t="s">
        <v>409</v>
      </c>
      <c r="H847" s="1" t="s">
        <v>2</v>
      </c>
      <c r="I847" s="2">
        <v>46177</v>
      </c>
      <c r="J847" s="1" t="s">
        <v>214</v>
      </c>
      <c r="K847" s="1" t="s">
        <v>4628</v>
      </c>
      <c r="L847" s="2">
        <v>46177.918923611112</v>
      </c>
      <c r="M847" s="2">
        <v>46177.921329212964</v>
      </c>
    </row>
    <row r="848" spans="1:13" x14ac:dyDescent="0.35">
      <c r="A848" s="1" t="s">
        <v>410</v>
      </c>
      <c r="B848" s="1" t="s">
        <v>13</v>
      </c>
      <c r="C848" s="1" t="s">
        <v>411</v>
      </c>
      <c r="D848">
        <v>0.75</v>
      </c>
      <c r="E848" s="2">
        <v>46949</v>
      </c>
      <c r="F848" s="1" t="s">
        <v>64</v>
      </c>
      <c r="G848" s="1" t="s">
        <v>411</v>
      </c>
      <c r="H848" s="1" t="s">
        <v>2</v>
      </c>
      <c r="I848" s="2">
        <v>46177</v>
      </c>
      <c r="J848" s="1" t="s">
        <v>214</v>
      </c>
      <c r="K848" s="1" t="s">
        <v>4594</v>
      </c>
      <c r="L848" s="2">
        <v>46177.918923611112</v>
      </c>
      <c r="M848" s="2">
        <v>46177.921329212964</v>
      </c>
    </row>
    <row r="849" spans="1:13" x14ac:dyDescent="0.35">
      <c r="A849" s="1" t="s">
        <v>410</v>
      </c>
      <c r="B849" s="1" t="s">
        <v>13</v>
      </c>
      <c r="C849" s="1" t="s">
        <v>411</v>
      </c>
      <c r="D849">
        <v>0.75</v>
      </c>
      <c r="E849" s="2">
        <v>46949</v>
      </c>
      <c r="F849" s="1" t="s">
        <v>64</v>
      </c>
      <c r="G849" s="1" t="s">
        <v>411</v>
      </c>
      <c r="H849" s="1" t="s">
        <v>2</v>
      </c>
      <c r="I849" s="2">
        <v>46177</v>
      </c>
      <c r="J849" s="1" t="s">
        <v>18</v>
      </c>
      <c r="K849" s="1" t="s">
        <v>2466</v>
      </c>
      <c r="L849" s="2">
        <v>46177.92087962963</v>
      </c>
      <c r="M849" s="2">
        <v>46177.921329212964</v>
      </c>
    </row>
    <row r="850" spans="1:13" x14ac:dyDescent="0.35">
      <c r="A850" s="1" t="s">
        <v>410</v>
      </c>
      <c r="B850" s="1" t="s">
        <v>13</v>
      </c>
      <c r="C850" s="1" t="s">
        <v>411</v>
      </c>
      <c r="D850">
        <v>0.75</v>
      </c>
      <c r="E850" s="2">
        <v>46949</v>
      </c>
      <c r="F850" s="1" t="s">
        <v>64</v>
      </c>
      <c r="G850" s="1" t="s">
        <v>411</v>
      </c>
      <c r="H850" s="1" t="s">
        <v>2</v>
      </c>
      <c r="I850" s="2">
        <v>46177</v>
      </c>
      <c r="J850" s="1" t="s">
        <v>224</v>
      </c>
      <c r="K850" s="1" t="s">
        <v>4594</v>
      </c>
      <c r="L850" s="2">
        <v>46177.918923611112</v>
      </c>
      <c r="M850" s="2">
        <v>46177.921329212964</v>
      </c>
    </row>
    <row r="851" spans="1:13" x14ac:dyDescent="0.35">
      <c r="A851" s="1" t="s">
        <v>410</v>
      </c>
      <c r="B851" s="1" t="s">
        <v>13</v>
      </c>
      <c r="C851" s="1" t="s">
        <v>411</v>
      </c>
      <c r="D851">
        <v>0.75</v>
      </c>
      <c r="E851" s="2">
        <v>46949</v>
      </c>
      <c r="F851" s="1" t="s">
        <v>64</v>
      </c>
      <c r="G851" s="1" t="s">
        <v>411</v>
      </c>
      <c r="H851" s="1" t="s">
        <v>2</v>
      </c>
      <c r="I851" s="2">
        <v>46177</v>
      </c>
      <c r="J851" s="1" t="s">
        <v>17</v>
      </c>
      <c r="K851" s="1" t="s">
        <v>2364</v>
      </c>
      <c r="L851" s="2">
        <v>46177.92087962963</v>
      </c>
      <c r="M851" s="2">
        <v>46177.921329212964</v>
      </c>
    </row>
    <row r="852" spans="1:13" x14ac:dyDescent="0.35">
      <c r="A852" s="1" t="s">
        <v>410</v>
      </c>
      <c r="B852" s="1" t="s">
        <v>13</v>
      </c>
      <c r="C852" s="1" t="s">
        <v>411</v>
      </c>
      <c r="D852">
        <v>0.75</v>
      </c>
      <c r="E852" s="2">
        <v>46949</v>
      </c>
      <c r="F852" s="1" t="s">
        <v>64</v>
      </c>
      <c r="G852" s="1" t="s">
        <v>411</v>
      </c>
      <c r="H852" s="1" t="s">
        <v>2</v>
      </c>
      <c r="I852" s="2">
        <v>46177</v>
      </c>
      <c r="J852" s="1" t="s">
        <v>215</v>
      </c>
      <c r="K852" s="1" t="s">
        <v>4713</v>
      </c>
      <c r="L852" s="2">
        <v>46177.918923611112</v>
      </c>
      <c r="M852" s="2">
        <v>46177.921329212964</v>
      </c>
    </row>
    <row r="853" spans="1:13" x14ac:dyDescent="0.35">
      <c r="A853" s="1" t="s">
        <v>410</v>
      </c>
      <c r="B853" s="1" t="s">
        <v>13</v>
      </c>
      <c r="C853" s="1" t="s">
        <v>411</v>
      </c>
      <c r="D853">
        <v>0.75</v>
      </c>
      <c r="E853" s="2">
        <v>46949</v>
      </c>
      <c r="F853" s="1" t="s">
        <v>64</v>
      </c>
      <c r="G853" s="1" t="s">
        <v>411</v>
      </c>
      <c r="H853" s="1" t="s">
        <v>2</v>
      </c>
      <c r="I853" s="2">
        <v>46177</v>
      </c>
      <c r="J853" s="1" t="s">
        <v>67</v>
      </c>
      <c r="K853" s="1" t="s">
        <v>4713</v>
      </c>
      <c r="L853" s="2">
        <v>46177.918923611112</v>
      </c>
      <c r="M853" s="2">
        <v>46177.921329212964</v>
      </c>
    </row>
    <row r="854" spans="1:13" x14ac:dyDescent="0.35">
      <c r="A854" s="1" t="s">
        <v>412</v>
      </c>
      <c r="B854" s="1" t="s">
        <v>13</v>
      </c>
      <c r="C854" s="1" t="s">
        <v>413</v>
      </c>
      <c r="D854">
        <v>1.875</v>
      </c>
      <c r="E854" s="2">
        <v>46234</v>
      </c>
      <c r="F854" s="1" t="s">
        <v>16</v>
      </c>
      <c r="G854" s="1" t="s">
        <v>413</v>
      </c>
      <c r="H854" s="1" t="s">
        <v>2</v>
      </c>
      <c r="I854" s="2">
        <v>46177</v>
      </c>
      <c r="J854" s="1" t="s">
        <v>224</v>
      </c>
      <c r="K854" s="1" t="s">
        <v>4615</v>
      </c>
      <c r="L854" s="2">
        <v>46177.918923611112</v>
      </c>
      <c r="M854" s="2">
        <v>46177.921329212964</v>
      </c>
    </row>
    <row r="855" spans="1:13" x14ac:dyDescent="0.35">
      <c r="A855" s="1" t="s">
        <v>412</v>
      </c>
      <c r="B855" s="1" t="s">
        <v>13</v>
      </c>
      <c r="C855" s="1" t="s">
        <v>413</v>
      </c>
      <c r="D855">
        <v>1.875</v>
      </c>
      <c r="E855" s="2">
        <v>46234</v>
      </c>
      <c r="F855" s="1" t="s">
        <v>16</v>
      </c>
      <c r="G855" s="1" t="s">
        <v>413</v>
      </c>
      <c r="H855" s="1" t="s">
        <v>2</v>
      </c>
      <c r="I855" s="2">
        <v>46177</v>
      </c>
      <c r="J855" s="1" t="s">
        <v>18</v>
      </c>
      <c r="K855" s="1" t="s">
        <v>2441</v>
      </c>
      <c r="L855" s="2">
        <v>46177.92087962963</v>
      </c>
      <c r="M855" s="2">
        <v>46177.921329212964</v>
      </c>
    </row>
    <row r="856" spans="1:13" x14ac:dyDescent="0.35">
      <c r="A856" s="1" t="s">
        <v>412</v>
      </c>
      <c r="B856" s="1" t="s">
        <v>13</v>
      </c>
      <c r="C856" s="1" t="s">
        <v>413</v>
      </c>
      <c r="D856">
        <v>1.875</v>
      </c>
      <c r="E856" s="2">
        <v>46234</v>
      </c>
      <c r="F856" s="1" t="s">
        <v>16</v>
      </c>
      <c r="G856" s="1" t="s">
        <v>413</v>
      </c>
      <c r="H856" s="1" t="s">
        <v>2</v>
      </c>
      <c r="I856" s="2">
        <v>46177</v>
      </c>
      <c r="J856" s="1" t="s">
        <v>215</v>
      </c>
      <c r="K856" s="1" t="s">
        <v>4820</v>
      </c>
      <c r="L856" s="2">
        <v>46177.918923611112</v>
      </c>
      <c r="M856" s="2">
        <v>46177.921329212964</v>
      </c>
    </row>
    <row r="857" spans="1:13" x14ac:dyDescent="0.35">
      <c r="A857" s="1" t="s">
        <v>412</v>
      </c>
      <c r="B857" s="1" t="s">
        <v>13</v>
      </c>
      <c r="C857" s="1" t="s">
        <v>413</v>
      </c>
      <c r="D857">
        <v>1.875</v>
      </c>
      <c r="E857" s="2">
        <v>46234</v>
      </c>
      <c r="F857" s="1" t="s">
        <v>16</v>
      </c>
      <c r="G857" s="1" t="s">
        <v>413</v>
      </c>
      <c r="H857" s="1" t="s">
        <v>2</v>
      </c>
      <c r="I857" s="2">
        <v>46177</v>
      </c>
      <c r="J857" s="1" t="s">
        <v>17</v>
      </c>
      <c r="K857" s="1" t="s">
        <v>2991</v>
      </c>
      <c r="L857" s="2">
        <v>46177.92087962963</v>
      </c>
      <c r="M857" s="2">
        <v>46177.921329212964</v>
      </c>
    </row>
    <row r="858" spans="1:13" x14ac:dyDescent="0.35">
      <c r="A858" s="1" t="s">
        <v>412</v>
      </c>
      <c r="B858" s="1" t="s">
        <v>13</v>
      </c>
      <c r="C858" s="1" t="s">
        <v>413</v>
      </c>
      <c r="D858">
        <v>1.875</v>
      </c>
      <c r="E858" s="2">
        <v>46234</v>
      </c>
      <c r="F858" s="1" t="s">
        <v>16</v>
      </c>
      <c r="G858" s="1" t="s">
        <v>413</v>
      </c>
      <c r="H858" s="1" t="s">
        <v>2</v>
      </c>
      <c r="I858" s="2">
        <v>46177</v>
      </c>
      <c r="J858" s="1" t="s">
        <v>214</v>
      </c>
      <c r="K858" s="1" t="s">
        <v>4615</v>
      </c>
      <c r="L858" s="2">
        <v>46177.918923611112</v>
      </c>
      <c r="M858" s="2">
        <v>46177.921329212964</v>
      </c>
    </row>
    <row r="859" spans="1:13" x14ac:dyDescent="0.35">
      <c r="A859" s="1" t="s">
        <v>412</v>
      </c>
      <c r="B859" s="1" t="s">
        <v>13</v>
      </c>
      <c r="C859" s="1" t="s">
        <v>413</v>
      </c>
      <c r="D859">
        <v>1.875</v>
      </c>
      <c r="E859" s="2">
        <v>46234</v>
      </c>
      <c r="F859" s="1" t="s">
        <v>16</v>
      </c>
      <c r="G859" s="1" t="s">
        <v>413</v>
      </c>
      <c r="H859" s="1" t="s">
        <v>2</v>
      </c>
      <c r="I859" s="2">
        <v>46177</v>
      </c>
      <c r="J859" s="1" t="s">
        <v>67</v>
      </c>
      <c r="K859" s="1" t="s">
        <v>4820</v>
      </c>
      <c r="L859" s="2">
        <v>46177.918923611112</v>
      </c>
      <c r="M859" s="2">
        <v>46177.921329212964</v>
      </c>
    </row>
    <row r="860" spans="1:13" x14ac:dyDescent="0.35">
      <c r="A860" s="1" t="s">
        <v>485</v>
      </c>
      <c r="B860" s="1" t="s">
        <v>13</v>
      </c>
      <c r="C860" s="1" t="s">
        <v>486</v>
      </c>
      <c r="D860">
        <v>1.625</v>
      </c>
      <c r="E860" s="2">
        <v>47345</v>
      </c>
      <c r="F860" s="1" t="s">
        <v>16</v>
      </c>
      <c r="G860" s="1" t="s">
        <v>486</v>
      </c>
      <c r="H860" s="1" t="s">
        <v>2</v>
      </c>
      <c r="I860" s="2">
        <v>46177</v>
      </c>
      <c r="J860" s="1" t="s">
        <v>18</v>
      </c>
      <c r="K860" s="1" t="s">
        <v>2591</v>
      </c>
      <c r="L860" s="2">
        <v>46177.92087962963</v>
      </c>
      <c r="M860" s="2">
        <v>46177.921329212964</v>
      </c>
    </row>
    <row r="861" spans="1:13" x14ac:dyDescent="0.35">
      <c r="A861" s="1" t="s">
        <v>485</v>
      </c>
      <c r="B861" s="1" t="s">
        <v>13</v>
      </c>
      <c r="C861" s="1" t="s">
        <v>486</v>
      </c>
      <c r="D861">
        <v>1.625</v>
      </c>
      <c r="E861" s="2">
        <v>47345</v>
      </c>
      <c r="F861" s="1" t="s">
        <v>16</v>
      </c>
      <c r="G861" s="1" t="s">
        <v>486</v>
      </c>
      <c r="H861" s="1" t="s">
        <v>2</v>
      </c>
      <c r="I861" s="2">
        <v>46177</v>
      </c>
      <c r="J861" s="1" t="s">
        <v>224</v>
      </c>
      <c r="K861" s="1" t="s">
        <v>4694</v>
      </c>
      <c r="L861" s="2">
        <v>46177.918923611112</v>
      </c>
      <c r="M861" s="2">
        <v>46177.921329212964</v>
      </c>
    </row>
    <row r="862" spans="1:13" x14ac:dyDescent="0.35">
      <c r="A862" s="1" t="s">
        <v>485</v>
      </c>
      <c r="B862" s="1" t="s">
        <v>13</v>
      </c>
      <c r="C862" s="1" t="s">
        <v>486</v>
      </c>
      <c r="D862">
        <v>1.625</v>
      </c>
      <c r="E862" s="2">
        <v>47345</v>
      </c>
      <c r="F862" s="1" t="s">
        <v>16</v>
      </c>
      <c r="G862" s="1" t="s">
        <v>486</v>
      </c>
      <c r="H862" s="1" t="s">
        <v>2</v>
      </c>
      <c r="I862" s="2">
        <v>46177</v>
      </c>
      <c r="J862" s="1" t="s">
        <v>67</v>
      </c>
      <c r="K862" s="1" t="s">
        <v>4821</v>
      </c>
      <c r="L862" s="2">
        <v>46177.918923611112</v>
      </c>
      <c r="M862" s="2">
        <v>46177.921329212964</v>
      </c>
    </row>
    <row r="863" spans="1:13" x14ac:dyDescent="0.35">
      <c r="A863" s="1" t="s">
        <v>485</v>
      </c>
      <c r="B863" s="1" t="s">
        <v>13</v>
      </c>
      <c r="C863" s="1" t="s">
        <v>486</v>
      </c>
      <c r="D863">
        <v>1.625</v>
      </c>
      <c r="E863" s="2">
        <v>47345</v>
      </c>
      <c r="F863" s="1" t="s">
        <v>16</v>
      </c>
      <c r="G863" s="1" t="s">
        <v>486</v>
      </c>
      <c r="H863" s="1" t="s">
        <v>2</v>
      </c>
      <c r="I863" s="2">
        <v>46177</v>
      </c>
      <c r="J863" s="1" t="s">
        <v>17</v>
      </c>
      <c r="K863" s="1" t="s">
        <v>2547</v>
      </c>
      <c r="L863" s="2">
        <v>46177.92087962963</v>
      </c>
      <c r="M863" s="2">
        <v>46177.921329212964</v>
      </c>
    </row>
    <row r="864" spans="1:13" x14ac:dyDescent="0.35">
      <c r="A864" s="1" t="s">
        <v>485</v>
      </c>
      <c r="B864" s="1" t="s">
        <v>13</v>
      </c>
      <c r="C864" s="1" t="s">
        <v>486</v>
      </c>
      <c r="D864">
        <v>1.625</v>
      </c>
      <c r="E864" s="2">
        <v>47345</v>
      </c>
      <c r="F864" s="1" t="s">
        <v>16</v>
      </c>
      <c r="G864" s="1" t="s">
        <v>486</v>
      </c>
      <c r="H864" s="1" t="s">
        <v>2</v>
      </c>
      <c r="I864" s="2">
        <v>46177</v>
      </c>
      <c r="J864" s="1" t="s">
        <v>214</v>
      </c>
      <c r="K864" s="1" t="s">
        <v>4694</v>
      </c>
      <c r="L864" s="2">
        <v>46177.918923611112</v>
      </c>
      <c r="M864" s="2">
        <v>46177.921329212964</v>
      </c>
    </row>
    <row r="865" spans="1:13" x14ac:dyDescent="0.35">
      <c r="A865" s="1" t="s">
        <v>485</v>
      </c>
      <c r="B865" s="1" t="s">
        <v>13</v>
      </c>
      <c r="C865" s="1" t="s">
        <v>486</v>
      </c>
      <c r="D865">
        <v>1.625</v>
      </c>
      <c r="E865" s="2">
        <v>47345</v>
      </c>
      <c r="F865" s="1" t="s">
        <v>16</v>
      </c>
      <c r="G865" s="1" t="s">
        <v>486</v>
      </c>
      <c r="H865" s="1" t="s">
        <v>2</v>
      </c>
      <c r="I865" s="2">
        <v>46177</v>
      </c>
      <c r="J865" s="1" t="s">
        <v>215</v>
      </c>
      <c r="K865" s="1" t="s">
        <v>4821</v>
      </c>
      <c r="L865" s="2">
        <v>46177.918923611112</v>
      </c>
      <c r="M865" s="2">
        <v>46177.921329212964</v>
      </c>
    </row>
    <row r="866" spans="1:13" x14ac:dyDescent="0.35">
      <c r="A866" s="1" t="s">
        <v>547</v>
      </c>
      <c r="B866" s="1" t="s">
        <v>13</v>
      </c>
      <c r="C866" s="1" t="s">
        <v>548</v>
      </c>
      <c r="D866">
        <v>1.375</v>
      </c>
      <c r="E866" s="2">
        <v>46265</v>
      </c>
      <c r="F866" s="1" t="s">
        <v>16</v>
      </c>
      <c r="G866" s="1" t="s">
        <v>548</v>
      </c>
      <c r="H866" s="1" t="s">
        <v>2</v>
      </c>
      <c r="I866" s="2">
        <v>46177</v>
      </c>
      <c r="J866" s="1" t="s">
        <v>17</v>
      </c>
      <c r="K866" s="1" t="s">
        <v>2557</v>
      </c>
      <c r="L866" s="2">
        <v>46177.92087962963</v>
      </c>
      <c r="M866" s="2">
        <v>46177.921329212964</v>
      </c>
    </row>
    <row r="867" spans="1:13" x14ac:dyDescent="0.35">
      <c r="A867" s="1" t="s">
        <v>547</v>
      </c>
      <c r="B867" s="1" t="s">
        <v>13</v>
      </c>
      <c r="C867" s="1" t="s">
        <v>548</v>
      </c>
      <c r="D867">
        <v>1.375</v>
      </c>
      <c r="E867" s="2">
        <v>46265</v>
      </c>
      <c r="F867" s="1" t="s">
        <v>16</v>
      </c>
      <c r="G867" s="1" t="s">
        <v>548</v>
      </c>
      <c r="H867" s="1" t="s">
        <v>2</v>
      </c>
      <c r="I867" s="2">
        <v>46177</v>
      </c>
      <c r="J867" s="1" t="s">
        <v>215</v>
      </c>
      <c r="K867" s="1" t="s">
        <v>4616</v>
      </c>
      <c r="L867" s="2">
        <v>46177.918923611112</v>
      </c>
      <c r="M867" s="2">
        <v>46177.921329212964</v>
      </c>
    </row>
    <row r="868" spans="1:13" x14ac:dyDescent="0.35">
      <c r="A868" s="1" t="s">
        <v>547</v>
      </c>
      <c r="B868" s="1" t="s">
        <v>13</v>
      </c>
      <c r="C868" s="1" t="s">
        <v>548</v>
      </c>
      <c r="D868">
        <v>1.375</v>
      </c>
      <c r="E868" s="2">
        <v>46265</v>
      </c>
      <c r="F868" s="1" t="s">
        <v>16</v>
      </c>
      <c r="G868" s="1" t="s">
        <v>548</v>
      </c>
      <c r="H868" s="1" t="s">
        <v>2</v>
      </c>
      <c r="I868" s="2">
        <v>46177</v>
      </c>
      <c r="J868" s="1" t="s">
        <v>67</v>
      </c>
      <c r="K868" s="1" t="s">
        <v>4616</v>
      </c>
      <c r="L868" s="2">
        <v>46177.918923611112</v>
      </c>
      <c r="M868" s="2">
        <v>46177.921329212964</v>
      </c>
    </row>
    <row r="869" spans="1:13" x14ac:dyDescent="0.35">
      <c r="A869" s="1" t="s">
        <v>547</v>
      </c>
      <c r="B869" s="1" t="s">
        <v>13</v>
      </c>
      <c r="C869" s="1" t="s">
        <v>548</v>
      </c>
      <c r="D869">
        <v>1.375</v>
      </c>
      <c r="E869" s="2">
        <v>46265</v>
      </c>
      <c r="F869" s="1" t="s">
        <v>16</v>
      </c>
      <c r="G869" s="1" t="s">
        <v>548</v>
      </c>
      <c r="H869" s="1" t="s">
        <v>2</v>
      </c>
      <c r="I869" s="2">
        <v>46177</v>
      </c>
      <c r="J869" s="1" t="s">
        <v>224</v>
      </c>
      <c r="K869" s="1" t="s">
        <v>4714</v>
      </c>
      <c r="L869" s="2">
        <v>46177.918923611112</v>
      </c>
      <c r="M869" s="2">
        <v>46177.921329212964</v>
      </c>
    </row>
    <row r="870" spans="1:13" x14ac:dyDescent="0.35">
      <c r="A870" s="1" t="s">
        <v>547</v>
      </c>
      <c r="B870" s="1" t="s">
        <v>13</v>
      </c>
      <c r="C870" s="1" t="s">
        <v>548</v>
      </c>
      <c r="D870">
        <v>1.375</v>
      </c>
      <c r="E870" s="2">
        <v>46265</v>
      </c>
      <c r="F870" s="1" t="s">
        <v>16</v>
      </c>
      <c r="G870" s="1" t="s">
        <v>548</v>
      </c>
      <c r="H870" s="1" t="s">
        <v>2</v>
      </c>
      <c r="I870" s="2">
        <v>46177</v>
      </c>
      <c r="J870" s="1" t="s">
        <v>18</v>
      </c>
      <c r="K870" s="1" t="s">
        <v>2475</v>
      </c>
      <c r="L870" s="2">
        <v>46177.92087962963</v>
      </c>
      <c r="M870" s="2">
        <v>46177.921329212964</v>
      </c>
    </row>
    <row r="871" spans="1:13" x14ac:dyDescent="0.35">
      <c r="A871" s="1" t="s">
        <v>547</v>
      </c>
      <c r="B871" s="1" t="s">
        <v>13</v>
      </c>
      <c r="C871" s="1" t="s">
        <v>548</v>
      </c>
      <c r="D871">
        <v>1.375</v>
      </c>
      <c r="E871" s="2">
        <v>46265</v>
      </c>
      <c r="F871" s="1" t="s">
        <v>16</v>
      </c>
      <c r="G871" s="1" t="s">
        <v>548</v>
      </c>
      <c r="H871" s="1" t="s">
        <v>2</v>
      </c>
      <c r="I871" s="2">
        <v>46177</v>
      </c>
      <c r="J871" s="1" t="s">
        <v>214</v>
      </c>
      <c r="K871" s="1" t="s">
        <v>4714</v>
      </c>
      <c r="L871" s="2">
        <v>46177.918923611112</v>
      </c>
      <c r="M871" s="2">
        <v>46177.921329212964</v>
      </c>
    </row>
    <row r="872" spans="1:13" x14ac:dyDescent="0.35">
      <c r="A872" s="1" t="s">
        <v>487</v>
      </c>
      <c r="B872" s="1" t="s">
        <v>13</v>
      </c>
      <c r="C872" s="1" t="s">
        <v>488</v>
      </c>
      <c r="D872">
        <v>1.625</v>
      </c>
      <c r="E872" s="2">
        <v>46295</v>
      </c>
      <c r="F872" s="1" t="s">
        <v>16</v>
      </c>
      <c r="G872" s="1" t="s">
        <v>488</v>
      </c>
      <c r="H872" s="1" t="s">
        <v>2</v>
      </c>
      <c r="I872" s="2">
        <v>46177</v>
      </c>
      <c r="J872" s="1" t="s">
        <v>215</v>
      </c>
      <c r="K872" s="1" t="s">
        <v>4617</v>
      </c>
      <c r="L872" s="2">
        <v>46177.918923611112</v>
      </c>
      <c r="M872" s="2">
        <v>46177.921329212964</v>
      </c>
    </row>
    <row r="873" spans="1:13" x14ac:dyDescent="0.35">
      <c r="A873" s="1" t="s">
        <v>487</v>
      </c>
      <c r="B873" s="1" t="s">
        <v>13</v>
      </c>
      <c r="C873" s="1" t="s">
        <v>488</v>
      </c>
      <c r="D873">
        <v>1.625</v>
      </c>
      <c r="E873" s="2">
        <v>46295</v>
      </c>
      <c r="F873" s="1" t="s">
        <v>16</v>
      </c>
      <c r="G873" s="1" t="s">
        <v>488</v>
      </c>
      <c r="H873" s="1" t="s">
        <v>2</v>
      </c>
      <c r="I873" s="2">
        <v>46177</v>
      </c>
      <c r="J873" s="1" t="s">
        <v>224</v>
      </c>
      <c r="K873" s="1" t="s">
        <v>4629</v>
      </c>
      <c r="L873" s="2">
        <v>46177.918923611112</v>
      </c>
      <c r="M873" s="2">
        <v>46177.921329212964</v>
      </c>
    </row>
    <row r="874" spans="1:13" x14ac:dyDescent="0.35">
      <c r="A874" s="1" t="s">
        <v>487</v>
      </c>
      <c r="B874" s="1" t="s">
        <v>13</v>
      </c>
      <c r="C874" s="1" t="s">
        <v>488</v>
      </c>
      <c r="D874">
        <v>1.625</v>
      </c>
      <c r="E874" s="2">
        <v>46295</v>
      </c>
      <c r="F874" s="1" t="s">
        <v>16</v>
      </c>
      <c r="G874" s="1" t="s">
        <v>488</v>
      </c>
      <c r="H874" s="1" t="s">
        <v>2</v>
      </c>
      <c r="I874" s="2">
        <v>46177</v>
      </c>
      <c r="J874" s="1" t="s">
        <v>18</v>
      </c>
      <c r="K874" s="1" t="s">
        <v>2555</v>
      </c>
      <c r="L874" s="2">
        <v>46177.92087962963</v>
      </c>
      <c r="M874" s="2">
        <v>46177.921329212964</v>
      </c>
    </row>
    <row r="875" spans="1:13" x14ac:dyDescent="0.35">
      <c r="A875" s="1" t="s">
        <v>487</v>
      </c>
      <c r="B875" s="1" t="s">
        <v>13</v>
      </c>
      <c r="C875" s="1" t="s">
        <v>488</v>
      </c>
      <c r="D875">
        <v>1.625</v>
      </c>
      <c r="E875" s="2">
        <v>46295</v>
      </c>
      <c r="F875" s="1" t="s">
        <v>16</v>
      </c>
      <c r="G875" s="1" t="s">
        <v>488</v>
      </c>
      <c r="H875" s="1" t="s">
        <v>2</v>
      </c>
      <c r="I875" s="2">
        <v>46177</v>
      </c>
      <c r="J875" s="1" t="s">
        <v>67</v>
      </c>
      <c r="K875" s="1" t="s">
        <v>4617</v>
      </c>
      <c r="L875" s="2">
        <v>46177.918923611112</v>
      </c>
      <c r="M875" s="2">
        <v>46177.921329212964</v>
      </c>
    </row>
    <row r="876" spans="1:13" x14ac:dyDescent="0.35">
      <c r="A876" s="1" t="s">
        <v>487</v>
      </c>
      <c r="B876" s="1" t="s">
        <v>13</v>
      </c>
      <c r="C876" s="1" t="s">
        <v>488</v>
      </c>
      <c r="D876">
        <v>1.625</v>
      </c>
      <c r="E876" s="2">
        <v>46295</v>
      </c>
      <c r="F876" s="1" t="s">
        <v>16</v>
      </c>
      <c r="G876" s="1" t="s">
        <v>488</v>
      </c>
      <c r="H876" s="1" t="s">
        <v>2</v>
      </c>
      <c r="I876" s="2">
        <v>46177</v>
      </c>
      <c r="J876" s="1" t="s">
        <v>214</v>
      </c>
      <c r="K876" s="1" t="s">
        <v>4629</v>
      </c>
      <c r="L876" s="2">
        <v>46177.918923611112</v>
      </c>
      <c r="M876" s="2">
        <v>46177.921329212964</v>
      </c>
    </row>
    <row r="877" spans="1:13" x14ac:dyDescent="0.35">
      <c r="A877" s="1" t="s">
        <v>487</v>
      </c>
      <c r="B877" s="1" t="s">
        <v>13</v>
      </c>
      <c r="C877" s="1" t="s">
        <v>488</v>
      </c>
      <c r="D877">
        <v>1.625</v>
      </c>
      <c r="E877" s="2">
        <v>46295</v>
      </c>
      <c r="F877" s="1" t="s">
        <v>16</v>
      </c>
      <c r="G877" s="1" t="s">
        <v>488</v>
      </c>
      <c r="H877" s="1" t="s">
        <v>2</v>
      </c>
      <c r="I877" s="2">
        <v>46177</v>
      </c>
      <c r="J877" s="1" t="s">
        <v>17</v>
      </c>
      <c r="K877" s="1" t="s">
        <v>2452</v>
      </c>
      <c r="L877" s="2">
        <v>46177.92087962963</v>
      </c>
      <c r="M877" s="2">
        <v>46177.921329212964</v>
      </c>
    </row>
    <row r="878" spans="1:13" x14ac:dyDescent="0.35">
      <c r="A878" s="1" t="s">
        <v>489</v>
      </c>
      <c r="B878" s="1" t="s">
        <v>13</v>
      </c>
      <c r="C878" s="1" t="s">
        <v>490</v>
      </c>
      <c r="D878">
        <v>1.625</v>
      </c>
      <c r="E878" s="2">
        <v>46326</v>
      </c>
      <c r="F878" s="1" t="s">
        <v>16</v>
      </c>
      <c r="G878" s="1" t="s">
        <v>490</v>
      </c>
      <c r="H878" s="1" t="s">
        <v>2</v>
      </c>
      <c r="I878" s="2">
        <v>46177</v>
      </c>
      <c r="J878" s="1" t="s">
        <v>224</v>
      </c>
      <c r="K878" s="1" t="s">
        <v>4715</v>
      </c>
      <c r="L878" s="2">
        <v>46177.918923611112</v>
      </c>
      <c r="M878" s="2">
        <v>46177.921329212964</v>
      </c>
    </row>
    <row r="879" spans="1:13" x14ac:dyDescent="0.35">
      <c r="A879" s="1" t="s">
        <v>489</v>
      </c>
      <c r="B879" s="1" t="s">
        <v>13</v>
      </c>
      <c r="C879" s="1" t="s">
        <v>490</v>
      </c>
      <c r="D879">
        <v>1.625</v>
      </c>
      <c r="E879" s="2">
        <v>46326</v>
      </c>
      <c r="F879" s="1" t="s">
        <v>16</v>
      </c>
      <c r="G879" s="1" t="s">
        <v>490</v>
      </c>
      <c r="H879" s="1" t="s">
        <v>2</v>
      </c>
      <c r="I879" s="2">
        <v>46177</v>
      </c>
      <c r="J879" s="1" t="s">
        <v>17</v>
      </c>
      <c r="K879" s="1" t="s">
        <v>2477</v>
      </c>
      <c r="L879" s="2">
        <v>46177.92087962963</v>
      </c>
      <c r="M879" s="2">
        <v>46177.921329212964</v>
      </c>
    </row>
    <row r="880" spans="1:13" x14ac:dyDescent="0.35">
      <c r="A880" s="1" t="s">
        <v>489</v>
      </c>
      <c r="B880" s="1" t="s">
        <v>13</v>
      </c>
      <c r="C880" s="1" t="s">
        <v>490</v>
      </c>
      <c r="D880">
        <v>1.625</v>
      </c>
      <c r="E880" s="2">
        <v>46326</v>
      </c>
      <c r="F880" s="1" t="s">
        <v>16</v>
      </c>
      <c r="G880" s="1" t="s">
        <v>490</v>
      </c>
      <c r="H880" s="1" t="s">
        <v>2</v>
      </c>
      <c r="I880" s="2">
        <v>46177</v>
      </c>
      <c r="J880" s="1" t="s">
        <v>18</v>
      </c>
      <c r="K880" s="1" t="s">
        <v>2443</v>
      </c>
      <c r="L880" s="2">
        <v>46177.92087962963</v>
      </c>
      <c r="M880" s="2">
        <v>46177.921329212964</v>
      </c>
    </row>
    <row r="881" spans="1:13" x14ac:dyDescent="0.35">
      <c r="A881" s="1" t="s">
        <v>489</v>
      </c>
      <c r="B881" s="1" t="s">
        <v>13</v>
      </c>
      <c r="C881" s="1" t="s">
        <v>490</v>
      </c>
      <c r="D881">
        <v>1.625</v>
      </c>
      <c r="E881" s="2">
        <v>46326</v>
      </c>
      <c r="F881" s="1" t="s">
        <v>16</v>
      </c>
      <c r="G881" s="1" t="s">
        <v>490</v>
      </c>
      <c r="H881" s="1" t="s">
        <v>2</v>
      </c>
      <c r="I881" s="2">
        <v>46177</v>
      </c>
      <c r="J881" s="1" t="s">
        <v>214</v>
      </c>
      <c r="K881" s="1" t="s">
        <v>4715</v>
      </c>
      <c r="L881" s="2">
        <v>46177.918923611112</v>
      </c>
      <c r="M881" s="2">
        <v>46177.921329212964</v>
      </c>
    </row>
    <row r="882" spans="1:13" x14ac:dyDescent="0.35">
      <c r="A882" s="1" t="s">
        <v>489</v>
      </c>
      <c r="B882" s="1" t="s">
        <v>13</v>
      </c>
      <c r="C882" s="1" t="s">
        <v>490</v>
      </c>
      <c r="D882">
        <v>1.625</v>
      </c>
      <c r="E882" s="2">
        <v>46326</v>
      </c>
      <c r="F882" s="1" t="s">
        <v>16</v>
      </c>
      <c r="G882" s="1" t="s">
        <v>490</v>
      </c>
      <c r="H882" s="1" t="s">
        <v>2</v>
      </c>
      <c r="I882" s="2">
        <v>46177</v>
      </c>
      <c r="J882" s="1" t="s">
        <v>67</v>
      </c>
      <c r="K882" s="1" t="s">
        <v>4716</v>
      </c>
      <c r="L882" s="2">
        <v>46177.918923611112</v>
      </c>
      <c r="M882" s="2">
        <v>46177.921329212964</v>
      </c>
    </row>
    <row r="883" spans="1:13" x14ac:dyDescent="0.35">
      <c r="A883" s="1" t="s">
        <v>489</v>
      </c>
      <c r="B883" s="1" t="s">
        <v>13</v>
      </c>
      <c r="C883" s="1" t="s">
        <v>490</v>
      </c>
      <c r="D883">
        <v>1.625</v>
      </c>
      <c r="E883" s="2">
        <v>46326</v>
      </c>
      <c r="F883" s="1" t="s">
        <v>16</v>
      </c>
      <c r="G883" s="1" t="s">
        <v>490</v>
      </c>
      <c r="H883" s="1" t="s">
        <v>2</v>
      </c>
      <c r="I883" s="2">
        <v>46177</v>
      </c>
      <c r="J883" s="1" t="s">
        <v>215</v>
      </c>
      <c r="K883" s="1" t="s">
        <v>4716</v>
      </c>
      <c r="L883" s="2">
        <v>46177.918923611112</v>
      </c>
      <c r="M883" s="2">
        <v>46177.921329212964</v>
      </c>
    </row>
    <row r="884" spans="1:13" x14ac:dyDescent="0.35">
      <c r="A884" s="1" t="s">
        <v>505</v>
      </c>
      <c r="B884" s="1" t="s">
        <v>13</v>
      </c>
      <c r="C884" s="1" t="s">
        <v>506</v>
      </c>
      <c r="D884">
        <v>1.75</v>
      </c>
      <c r="E884" s="2">
        <v>47437</v>
      </c>
      <c r="F884" s="1" t="s">
        <v>16</v>
      </c>
      <c r="G884" s="1" t="s">
        <v>506</v>
      </c>
      <c r="H884" s="1" t="s">
        <v>2</v>
      </c>
      <c r="I884" s="2">
        <v>46177</v>
      </c>
      <c r="J884" s="1" t="s">
        <v>17</v>
      </c>
      <c r="K884" s="1" t="s">
        <v>4618</v>
      </c>
      <c r="L884" s="2">
        <v>46177.92087962963</v>
      </c>
      <c r="M884" s="2">
        <v>46177.921329212964</v>
      </c>
    </row>
    <row r="885" spans="1:13" x14ac:dyDescent="0.35">
      <c r="A885" s="1" t="s">
        <v>505</v>
      </c>
      <c r="B885" s="1" t="s">
        <v>13</v>
      </c>
      <c r="C885" s="1" t="s">
        <v>506</v>
      </c>
      <c r="D885">
        <v>1.75</v>
      </c>
      <c r="E885" s="2">
        <v>47437</v>
      </c>
      <c r="F885" s="1" t="s">
        <v>16</v>
      </c>
      <c r="G885" s="1" t="s">
        <v>506</v>
      </c>
      <c r="H885" s="1" t="s">
        <v>2</v>
      </c>
      <c r="I885" s="2">
        <v>46177</v>
      </c>
      <c r="J885" s="1" t="s">
        <v>18</v>
      </c>
      <c r="K885" s="1" t="s">
        <v>2907</v>
      </c>
      <c r="L885" s="2">
        <v>46177.92087962963</v>
      </c>
      <c r="M885" s="2">
        <v>46177.921329212964</v>
      </c>
    </row>
    <row r="886" spans="1:13" x14ac:dyDescent="0.35">
      <c r="A886" s="1" t="s">
        <v>505</v>
      </c>
      <c r="B886" s="1" t="s">
        <v>13</v>
      </c>
      <c r="C886" s="1" t="s">
        <v>506</v>
      </c>
      <c r="D886">
        <v>1.75</v>
      </c>
      <c r="E886" s="2">
        <v>47437</v>
      </c>
      <c r="F886" s="1" t="s">
        <v>16</v>
      </c>
      <c r="G886" s="1" t="s">
        <v>506</v>
      </c>
      <c r="H886" s="1" t="s">
        <v>2</v>
      </c>
      <c r="I886" s="2">
        <v>46177</v>
      </c>
      <c r="J886" s="1" t="s">
        <v>224</v>
      </c>
      <c r="K886" s="1" t="s">
        <v>4663</v>
      </c>
      <c r="L886" s="2">
        <v>46177.918923611112</v>
      </c>
      <c r="M886" s="2">
        <v>46177.921329212964</v>
      </c>
    </row>
    <row r="887" spans="1:13" x14ac:dyDescent="0.35">
      <c r="A887" s="1" t="s">
        <v>505</v>
      </c>
      <c r="B887" s="1" t="s">
        <v>13</v>
      </c>
      <c r="C887" s="1" t="s">
        <v>506</v>
      </c>
      <c r="D887">
        <v>1.75</v>
      </c>
      <c r="E887" s="2">
        <v>47437</v>
      </c>
      <c r="F887" s="1" t="s">
        <v>16</v>
      </c>
      <c r="G887" s="1" t="s">
        <v>506</v>
      </c>
      <c r="H887" s="1" t="s">
        <v>2</v>
      </c>
      <c r="I887" s="2">
        <v>46177</v>
      </c>
      <c r="J887" s="1" t="s">
        <v>67</v>
      </c>
      <c r="K887" s="1" t="s">
        <v>4595</v>
      </c>
      <c r="L887" s="2">
        <v>46177.918923611112</v>
      </c>
      <c r="M887" s="2">
        <v>46177.921329212964</v>
      </c>
    </row>
    <row r="888" spans="1:13" x14ac:dyDescent="0.35">
      <c r="A888" s="1" t="s">
        <v>505</v>
      </c>
      <c r="B888" s="1" t="s">
        <v>13</v>
      </c>
      <c r="C888" s="1" t="s">
        <v>506</v>
      </c>
      <c r="D888">
        <v>1.75</v>
      </c>
      <c r="E888" s="2">
        <v>47437</v>
      </c>
      <c r="F888" s="1" t="s">
        <v>16</v>
      </c>
      <c r="G888" s="1" t="s">
        <v>506</v>
      </c>
      <c r="H888" s="1" t="s">
        <v>2</v>
      </c>
      <c r="I888" s="2">
        <v>46177</v>
      </c>
      <c r="J888" s="1" t="s">
        <v>215</v>
      </c>
      <c r="K888" s="1" t="s">
        <v>4595</v>
      </c>
      <c r="L888" s="2">
        <v>46177.918923611112</v>
      </c>
      <c r="M888" s="2">
        <v>46177.921329212964</v>
      </c>
    </row>
    <row r="889" spans="1:13" x14ac:dyDescent="0.35">
      <c r="A889" s="1" t="s">
        <v>505</v>
      </c>
      <c r="B889" s="1" t="s">
        <v>13</v>
      </c>
      <c r="C889" s="1" t="s">
        <v>506</v>
      </c>
      <c r="D889">
        <v>1.75</v>
      </c>
      <c r="E889" s="2">
        <v>47437</v>
      </c>
      <c r="F889" s="1" t="s">
        <v>16</v>
      </c>
      <c r="G889" s="1" t="s">
        <v>506</v>
      </c>
      <c r="H889" s="1" t="s">
        <v>2</v>
      </c>
      <c r="I889" s="2">
        <v>46177</v>
      </c>
      <c r="J889" s="1" t="s">
        <v>214</v>
      </c>
      <c r="K889" s="1" t="s">
        <v>4663</v>
      </c>
      <c r="L889" s="2">
        <v>46177.918923611112</v>
      </c>
      <c r="M889" s="2">
        <v>46177.921329212964</v>
      </c>
    </row>
    <row r="890" spans="1:13" x14ac:dyDescent="0.35">
      <c r="A890" s="1" t="s">
        <v>507</v>
      </c>
      <c r="B890" s="1" t="s">
        <v>13</v>
      </c>
      <c r="C890" s="1" t="s">
        <v>508</v>
      </c>
      <c r="D890">
        <v>1.625</v>
      </c>
      <c r="E890" s="2">
        <v>46356</v>
      </c>
      <c r="F890" s="1" t="s">
        <v>16</v>
      </c>
      <c r="G890" s="1" t="s">
        <v>508</v>
      </c>
      <c r="H890" s="1" t="s">
        <v>2</v>
      </c>
      <c r="I890" s="2">
        <v>46177</v>
      </c>
      <c r="J890" s="1" t="s">
        <v>214</v>
      </c>
      <c r="K890" s="1" t="s">
        <v>4630</v>
      </c>
      <c r="L890" s="2">
        <v>46177.918923611112</v>
      </c>
      <c r="M890" s="2">
        <v>46177.921329212964</v>
      </c>
    </row>
    <row r="891" spans="1:13" x14ac:dyDescent="0.35">
      <c r="A891" s="1" t="s">
        <v>507</v>
      </c>
      <c r="B891" s="1" t="s">
        <v>13</v>
      </c>
      <c r="C891" s="1" t="s">
        <v>508</v>
      </c>
      <c r="D891">
        <v>1.625</v>
      </c>
      <c r="E891" s="2">
        <v>46356</v>
      </c>
      <c r="F891" s="1" t="s">
        <v>16</v>
      </c>
      <c r="G891" s="1" t="s">
        <v>508</v>
      </c>
      <c r="H891" s="1" t="s">
        <v>2</v>
      </c>
      <c r="I891" s="2">
        <v>46177</v>
      </c>
      <c r="J891" s="1" t="s">
        <v>215</v>
      </c>
      <c r="K891" s="1" t="s">
        <v>4631</v>
      </c>
      <c r="L891" s="2">
        <v>46177.918923611112</v>
      </c>
      <c r="M891" s="2">
        <v>46177.921329212964</v>
      </c>
    </row>
    <row r="892" spans="1:13" x14ac:dyDescent="0.35">
      <c r="A892" s="1" t="s">
        <v>507</v>
      </c>
      <c r="B892" s="1" t="s">
        <v>13</v>
      </c>
      <c r="C892" s="1" t="s">
        <v>508</v>
      </c>
      <c r="D892">
        <v>1.625</v>
      </c>
      <c r="E892" s="2">
        <v>46356</v>
      </c>
      <c r="F892" s="1" t="s">
        <v>16</v>
      </c>
      <c r="G892" s="1" t="s">
        <v>508</v>
      </c>
      <c r="H892" s="1" t="s">
        <v>2</v>
      </c>
      <c r="I892" s="2">
        <v>46177</v>
      </c>
      <c r="J892" s="1" t="s">
        <v>18</v>
      </c>
      <c r="K892" s="1" t="s">
        <v>2580</v>
      </c>
      <c r="L892" s="2">
        <v>46177.92087962963</v>
      </c>
      <c r="M892" s="2">
        <v>46177.921329212964</v>
      </c>
    </row>
    <row r="893" spans="1:13" x14ac:dyDescent="0.35">
      <c r="A893" s="1" t="s">
        <v>507</v>
      </c>
      <c r="B893" s="1" t="s">
        <v>13</v>
      </c>
      <c r="C893" s="1" t="s">
        <v>508</v>
      </c>
      <c r="D893">
        <v>1.625</v>
      </c>
      <c r="E893" s="2">
        <v>46356</v>
      </c>
      <c r="F893" s="1" t="s">
        <v>16</v>
      </c>
      <c r="G893" s="1" t="s">
        <v>508</v>
      </c>
      <c r="H893" s="1" t="s">
        <v>2</v>
      </c>
      <c r="I893" s="2">
        <v>46177</v>
      </c>
      <c r="J893" s="1" t="s">
        <v>224</v>
      </c>
      <c r="K893" s="1" t="s">
        <v>4630</v>
      </c>
      <c r="L893" s="2">
        <v>46177.918923611112</v>
      </c>
      <c r="M893" s="2">
        <v>46177.921329212964</v>
      </c>
    </row>
    <row r="894" spans="1:13" x14ac:dyDescent="0.35">
      <c r="A894" s="1" t="s">
        <v>507</v>
      </c>
      <c r="B894" s="1" t="s">
        <v>13</v>
      </c>
      <c r="C894" s="1" t="s">
        <v>508</v>
      </c>
      <c r="D894">
        <v>1.625</v>
      </c>
      <c r="E894" s="2">
        <v>46356</v>
      </c>
      <c r="F894" s="1" t="s">
        <v>16</v>
      </c>
      <c r="G894" s="1" t="s">
        <v>508</v>
      </c>
      <c r="H894" s="1" t="s">
        <v>2</v>
      </c>
      <c r="I894" s="2">
        <v>46177</v>
      </c>
      <c r="J894" s="1" t="s">
        <v>17</v>
      </c>
      <c r="K894" s="1" t="s">
        <v>2967</v>
      </c>
      <c r="L894" s="2">
        <v>46177.92087962963</v>
      </c>
      <c r="M894" s="2">
        <v>46177.921329212964</v>
      </c>
    </row>
    <row r="895" spans="1:13" x14ac:dyDescent="0.35">
      <c r="A895" s="1" t="s">
        <v>507</v>
      </c>
      <c r="B895" s="1" t="s">
        <v>13</v>
      </c>
      <c r="C895" s="1" t="s">
        <v>508</v>
      </c>
      <c r="D895">
        <v>1.625</v>
      </c>
      <c r="E895" s="2">
        <v>46356</v>
      </c>
      <c r="F895" s="1" t="s">
        <v>16</v>
      </c>
      <c r="G895" s="1" t="s">
        <v>508</v>
      </c>
      <c r="H895" s="1" t="s">
        <v>2</v>
      </c>
      <c r="I895" s="2">
        <v>46177</v>
      </c>
      <c r="J895" s="1" t="s">
        <v>67</v>
      </c>
      <c r="K895" s="1" t="s">
        <v>4631</v>
      </c>
      <c r="L895" s="2">
        <v>46177.918923611112</v>
      </c>
      <c r="M895" s="2">
        <v>46177.921329212964</v>
      </c>
    </row>
    <row r="896" spans="1:13" x14ac:dyDescent="0.35">
      <c r="A896" s="1" t="s">
        <v>414</v>
      </c>
      <c r="B896" s="1" t="s">
        <v>13</v>
      </c>
      <c r="C896" s="1" t="s">
        <v>415</v>
      </c>
      <c r="D896">
        <v>1.75</v>
      </c>
      <c r="E896" s="2">
        <v>46387</v>
      </c>
      <c r="F896" s="1" t="s">
        <v>16</v>
      </c>
      <c r="G896" s="1" t="s">
        <v>415</v>
      </c>
      <c r="H896" s="1" t="s">
        <v>2</v>
      </c>
      <c r="I896" s="2">
        <v>46177</v>
      </c>
      <c r="J896" s="1" t="s">
        <v>17</v>
      </c>
      <c r="K896" s="1" t="s">
        <v>2404</v>
      </c>
      <c r="L896" s="2">
        <v>46177.92087962963</v>
      </c>
      <c r="M896" s="2">
        <v>46177.921329212964</v>
      </c>
    </row>
    <row r="897" spans="1:13" x14ac:dyDescent="0.35">
      <c r="A897" s="1" t="s">
        <v>414</v>
      </c>
      <c r="B897" s="1" t="s">
        <v>13</v>
      </c>
      <c r="C897" s="1" t="s">
        <v>415</v>
      </c>
      <c r="D897">
        <v>1.75</v>
      </c>
      <c r="E897" s="2">
        <v>46387</v>
      </c>
      <c r="F897" s="1" t="s">
        <v>16</v>
      </c>
      <c r="G897" s="1" t="s">
        <v>415</v>
      </c>
      <c r="H897" s="1" t="s">
        <v>2</v>
      </c>
      <c r="I897" s="2">
        <v>46177</v>
      </c>
      <c r="J897" s="1" t="s">
        <v>18</v>
      </c>
      <c r="K897" s="1" t="s">
        <v>2570</v>
      </c>
      <c r="L897" s="2">
        <v>46177.92087962963</v>
      </c>
      <c r="M897" s="2">
        <v>46177.921329212964</v>
      </c>
    </row>
    <row r="898" spans="1:13" x14ac:dyDescent="0.35">
      <c r="A898" s="1" t="s">
        <v>414</v>
      </c>
      <c r="B898" s="1" t="s">
        <v>13</v>
      </c>
      <c r="C898" s="1" t="s">
        <v>415</v>
      </c>
      <c r="D898">
        <v>1.75</v>
      </c>
      <c r="E898" s="2">
        <v>46387</v>
      </c>
      <c r="F898" s="1" t="s">
        <v>16</v>
      </c>
      <c r="G898" s="1" t="s">
        <v>415</v>
      </c>
      <c r="H898" s="1" t="s">
        <v>2</v>
      </c>
      <c r="I898" s="2">
        <v>46177</v>
      </c>
      <c r="J898" s="1" t="s">
        <v>67</v>
      </c>
      <c r="K898" s="1" t="s">
        <v>4717</v>
      </c>
      <c r="L898" s="2">
        <v>46177.918923611112</v>
      </c>
      <c r="M898" s="2">
        <v>46177.921329212964</v>
      </c>
    </row>
    <row r="899" spans="1:13" x14ac:dyDescent="0.35">
      <c r="A899" s="1" t="s">
        <v>414</v>
      </c>
      <c r="B899" s="1" t="s">
        <v>13</v>
      </c>
      <c r="C899" s="1" t="s">
        <v>415</v>
      </c>
      <c r="D899">
        <v>1.75</v>
      </c>
      <c r="E899" s="2">
        <v>46387</v>
      </c>
      <c r="F899" s="1" t="s">
        <v>16</v>
      </c>
      <c r="G899" s="1" t="s">
        <v>415</v>
      </c>
      <c r="H899" s="1" t="s">
        <v>2</v>
      </c>
      <c r="I899" s="2">
        <v>46177</v>
      </c>
      <c r="J899" s="1" t="s">
        <v>224</v>
      </c>
      <c r="K899" s="1" t="s">
        <v>4729</v>
      </c>
      <c r="L899" s="2">
        <v>46177.918923611112</v>
      </c>
      <c r="M899" s="2">
        <v>46177.921329212964</v>
      </c>
    </row>
    <row r="900" spans="1:13" x14ac:dyDescent="0.35">
      <c r="A900" s="1" t="s">
        <v>414</v>
      </c>
      <c r="B900" s="1" t="s">
        <v>13</v>
      </c>
      <c r="C900" s="1" t="s">
        <v>415</v>
      </c>
      <c r="D900">
        <v>1.75</v>
      </c>
      <c r="E900" s="2">
        <v>46387</v>
      </c>
      <c r="F900" s="1" t="s">
        <v>16</v>
      </c>
      <c r="G900" s="1" t="s">
        <v>415</v>
      </c>
      <c r="H900" s="1" t="s">
        <v>2</v>
      </c>
      <c r="I900" s="2">
        <v>46177</v>
      </c>
      <c r="J900" s="1" t="s">
        <v>215</v>
      </c>
      <c r="K900" s="1" t="s">
        <v>4717</v>
      </c>
      <c r="L900" s="2">
        <v>46177.918923611112</v>
      </c>
      <c r="M900" s="2">
        <v>46177.921329212964</v>
      </c>
    </row>
    <row r="901" spans="1:13" x14ac:dyDescent="0.35">
      <c r="A901" s="1" t="s">
        <v>414</v>
      </c>
      <c r="B901" s="1" t="s">
        <v>13</v>
      </c>
      <c r="C901" s="1" t="s">
        <v>415</v>
      </c>
      <c r="D901">
        <v>1.75</v>
      </c>
      <c r="E901" s="2">
        <v>46387</v>
      </c>
      <c r="F901" s="1" t="s">
        <v>16</v>
      </c>
      <c r="G901" s="1" t="s">
        <v>415</v>
      </c>
      <c r="H901" s="1" t="s">
        <v>2</v>
      </c>
      <c r="I901" s="2">
        <v>46177</v>
      </c>
      <c r="J901" s="1" t="s">
        <v>214</v>
      </c>
      <c r="K901" s="1" t="s">
        <v>4729</v>
      </c>
      <c r="L901" s="2">
        <v>46177.918923611112</v>
      </c>
      <c r="M901" s="2">
        <v>46177.921329212964</v>
      </c>
    </row>
    <row r="902" spans="1:13" x14ac:dyDescent="0.35">
      <c r="A902" s="1" t="s">
        <v>639</v>
      </c>
      <c r="B902" s="1" t="s">
        <v>13</v>
      </c>
      <c r="C902" s="1" t="s">
        <v>640</v>
      </c>
      <c r="D902">
        <v>0.125</v>
      </c>
      <c r="E902" s="2">
        <v>47498</v>
      </c>
      <c r="F902" s="1" t="s">
        <v>64</v>
      </c>
      <c r="G902" s="1" t="s">
        <v>640</v>
      </c>
      <c r="H902" s="1" t="s">
        <v>2</v>
      </c>
      <c r="I902" s="2">
        <v>46177</v>
      </c>
      <c r="J902" s="1" t="s">
        <v>17</v>
      </c>
      <c r="K902" s="1" t="s">
        <v>2669</v>
      </c>
      <c r="L902" s="2">
        <v>46177.92087962963</v>
      </c>
      <c r="M902" s="2">
        <v>46177.921329212964</v>
      </c>
    </row>
    <row r="903" spans="1:13" x14ac:dyDescent="0.35">
      <c r="A903" s="1" t="s">
        <v>639</v>
      </c>
      <c r="B903" s="1" t="s">
        <v>13</v>
      </c>
      <c r="C903" s="1" t="s">
        <v>640</v>
      </c>
      <c r="D903">
        <v>0.125</v>
      </c>
      <c r="E903" s="2">
        <v>47498</v>
      </c>
      <c r="F903" s="1" t="s">
        <v>64</v>
      </c>
      <c r="G903" s="1" t="s">
        <v>640</v>
      </c>
      <c r="H903" s="1" t="s">
        <v>2</v>
      </c>
      <c r="I903" s="2">
        <v>46177</v>
      </c>
      <c r="J903" s="1" t="s">
        <v>224</v>
      </c>
      <c r="K903" s="1" t="s">
        <v>4718</v>
      </c>
      <c r="L903" s="2">
        <v>46177.918923611112</v>
      </c>
      <c r="M903" s="2">
        <v>46177.921329212964</v>
      </c>
    </row>
    <row r="904" spans="1:13" x14ac:dyDescent="0.35">
      <c r="A904" s="1" t="s">
        <v>639</v>
      </c>
      <c r="B904" s="1" t="s">
        <v>13</v>
      </c>
      <c r="C904" s="1" t="s">
        <v>640</v>
      </c>
      <c r="D904">
        <v>0.125</v>
      </c>
      <c r="E904" s="2">
        <v>47498</v>
      </c>
      <c r="F904" s="1" t="s">
        <v>64</v>
      </c>
      <c r="G904" s="1" t="s">
        <v>640</v>
      </c>
      <c r="H904" s="1" t="s">
        <v>2</v>
      </c>
      <c r="I904" s="2">
        <v>46177</v>
      </c>
      <c r="J904" s="1" t="s">
        <v>18</v>
      </c>
      <c r="K904" s="1" t="s">
        <v>2696</v>
      </c>
      <c r="L904" s="2">
        <v>46177.92087962963</v>
      </c>
      <c r="M904" s="2">
        <v>46177.921329212964</v>
      </c>
    </row>
    <row r="905" spans="1:13" x14ac:dyDescent="0.35">
      <c r="A905" s="1" t="s">
        <v>639</v>
      </c>
      <c r="B905" s="1" t="s">
        <v>13</v>
      </c>
      <c r="C905" s="1" t="s">
        <v>640</v>
      </c>
      <c r="D905">
        <v>0.125</v>
      </c>
      <c r="E905" s="2">
        <v>47498</v>
      </c>
      <c r="F905" s="1" t="s">
        <v>64</v>
      </c>
      <c r="G905" s="1" t="s">
        <v>640</v>
      </c>
      <c r="H905" s="1" t="s">
        <v>2</v>
      </c>
      <c r="I905" s="2">
        <v>46177</v>
      </c>
      <c r="J905" s="1" t="s">
        <v>215</v>
      </c>
      <c r="K905" s="1" t="s">
        <v>4596</v>
      </c>
      <c r="L905" s="2">
        <v>46177.918923611112</v>
      </c>
      <c r="M905" s="2">
        <v>46177.921329212964</v>
      </c>
    </row>
    <row r="906" spans="1:13" x14ac:dyDescent="0.35">
      <c r="A906" s="1" t="s">
        <v>639</v>
      </c>
      <c r="B906" s="1" t="s">
        <v>13</v>
      </c>
      <c r="C906" s="1" t="s">
        <v>640</v>
      </c>
      <c r="D906">
        <v>0.125</v>
      </c>
      <c r="E906" s="2">
        <v>47498</v>
      </c>
      <c r="F906" s="1" t="s">
        <v>64</v>
      </c>
      <c r="G906" s="1" t="s">
        <v>640</v>
      </c>
      <c r="H906" s="1" t="s">
        <v>2</v>
      </c>
      <c r="I906" s="2">
        <v>46177</v>
      </c>
      <c r="J906" s="1" t="s">
        <v>67</v>
      </c>
      <c r="K906" s="1" t="s">
        <v>4596</v>
      </c>
      <c r="L906" s="2">
        <v>46177.918923611112</v>
      </c>
      <c r="M906" s="2">
        <v>46177.921329212964</v>
      </c>
    </row>
    <row r="907" spans="1:13" x14ac:dyDescent="0.35">
      <c r="A907" s="1" t="s">
        <v>639</v>
      </c>
      <c r="B907" s="1" t="s">
        <v>13</v>
      </c>
      <c r="C907" s="1" t="s">
        <v>640</v>
      </c>
      <c r="D907">
        <v>0.125</v>
      </c>
      <c r="E907" s="2">
        <v>47498</v>
      </c>
      <c r="F907" s="1" t="s">
        <v>64</v>
      </c>
      <c r="G907" s="1" t="s">
        <v>640</v>
      </c>
      <c r="H907" s="1" t="s">
        <v>2</v>
      </c>
      <c r="I907" s="2">
        <v>46177</v>
      </c>
      <c r="J907" s="1" t="s">
        <v>214</v>
      </c>
      <c r="K907" s="1" t="s">
        <v>4718</v>
      </c>
      <c r="L907" s="2">
        <v>46177.918923611112</v>
      </c>
      <c r="M907" s="2">
        <v>46177.921329212964</v>
      </c>
    </row>
    <row r="908" spans="1:13" x14ac:dyDescent="0.35">
      <c r="A908" s="1" t="s">
        <v>416</v>
      </c>
      <c r="B908" s="1" t="s">
        <v>13</v>
      </c>
      <c r="C908" s="1" t="s">
        <v>417</v>
      </c>
      <c r="D908">
        <v>1.5</v>
      </c>
      <c r="E908" s="2">
        <v>46418</v>
      </c>
      <c r="F908" s="1" t="s">
        <v>16</v>
      </c>
      <c r="G908" s="1" t="s">
        <v>417</v>
      </c>
      <c r="H908" s="1" t="s">
        <v>2</v>
      </c>
      <c r="I908" s="2">
        <v>46177</v>
      </c>
      <c r="J908" s="1" t="s">
        <v>17</v>
      </c>
      <c r="K908" s="1" t="s">
        <v>2508</v>
      </c>
      <c r="L908" s="2">
        <v>46177.92087962963</v>
      </c>
      <c r="M908" s="2">
        <v>46177.921329212964</v>
      </c>
    </row>
    <row r="909" spans="1:13" x14ac:dyDescent="0.35">
      <c r="A909" s="1" t="s">
        <v>416</v>
      </c>
      <c r="B909" s="1" t="s">
        <v>13</v>
      </c>
      <c r="C909" s="1" t="s">
        <v>417</v>
      </c>
      <c r="D909">
        <v>1.5</v>
      </c>
      <c r="E909" s="2">
        <v>46418</v>
      </c>
      <c r="F909" s="1" t="s">
        <v>16</v>
      </c>
      <c r="G909" s="1" t="s">
        <v>417</v>
      </c>
      <c r="H909" s="1" t="s">
        <v>2</v>
      </c>
      <c r="I909" s="2">
        <v>46177</v>
      </c>
      <c r="J909" s="1" t="s">
        <v>214</v>
      </c>
      <c r="K909" s="1" t="s">
        <v>4730</v>
      </c>
      <c r="L909" s="2">
        <v>46177.918923611112</v>
      </c>
      <c r="M909" s="2">
        <v>46177.921329212964</v>
      </c>
    </row>
    <row r="910" spans="1:13" x14ac:dyDescent="0.35">
      <c r="A910" s="1" t="s">
        <v>416</v>
      </c>
      <c r="B910" s="1" t="s">
        <v>13</v>
      </c>
      <c r="C910" s="1" t="s">
        <v>417</v>
      </c>
      <c r="D910">
        <v>1.5</v>
      </c>
      <c r="E910" s="2">
        <v>46418</v>
      </c>
      <c r="F910" s="1" t="s">
        <v>16</v>
      </c>
      <c r="G910" s="1" t="s">
        <v>417</v>
      </c>
      <c r="H910" s="1" t="s">
        <v>2</v>
      </c>
      <c r="I910" s="2">
        <v>46177</v>
      </c>
      <c r="J910" s="1" t="s">
        <v>215</v>
      </c>
      <c r="K910" s="1" t="s">
        <v>4741</v>
      </c>
      <c r="L910" s="2">
        <v>46177.918923611112</v>
      </c>
      <c r="M910" s="2">
        <v>46177.921329212964</v>
      </c>
    </row>
    <row r="911" spans="1:13" x14ac:dyDescent="0.35">
      <c r="A911" s="1" t="s">
        <v>416</v>
      </c>
      <c r="B911" s="1" t="s">
        <v>13</v>
      </c>
      <c r="C911" s="1" t="s">
        <v>417</v>
      </c>
      <c r="D911">
        <v>1.5</v>
      </c>
      <c r="E911" s="2">
        <v>46418</v>
      </c>
      <c r="F911" s="1" t="s">
        <v>16</v>
      </c>
      <c r="G911" s="1" t="s">
        <v>417</v>
      </c>
      <c r="H911" s="1" t="s">
        <v>2</v>
      </c>
      <c r="I911" s="2">
        <v>46177</v>
      </c>
      <c r="J911" s="1" t="s">
        <v>18</v>
      </c>
      <c r="K911" s="1" t="s">
        <v>2471</v>
      </c>
      <c r="L911" s="2">
        <v>46177.92087962963</v>
      </c>
      <c r="M911" s="2">
        <v>46177.921329212964</v>
      </c>
    </row>
    <row r="912" spans="1:13" x14ac:dyDescent="0.35">
      <c r="A912" s="1" t="s">
        <v>416</v>
      </c>
      <c r="B912" s="1" t="s">
        <v>13</v>
      </c>
      <c r="C912" s="1" t="s">
        <v>417</v>
      </c>
      <c r="D912">
        <v>1.5</v>
      </c>
      <c r="E912" s="2">
        <v>46418</v>
      </c>
      <c r="F912" s="1" t="s">
        <v>16</v>
      </c>
      <c r="G912" s="1" t="s">
        <v>417</v>
      </c>
      <c r="H912" s="1" t="s">
        <v>2</v>
      </c>
      <c r="I912" s="2">
        <v>46177</v>
      </c>
      <c r="J912" s="1" t="s">
        <v>224</v>
      </c>
      <c r="K912" s="1" t="s">
        <v>4730</v>
      </c>
      <c r="L912" s="2">
        <v>46177.918923611112</v>
      </c>
      <c r="M912" s="2">
        <v>46177.921329212964</v>
      </c>
    </row>
    <row r="913" spans="1:13" x14ac:dyDescent="0.35">
      <c r="A913" s="1" t="s">
        <v>416</v>
      </c>
      <c r="B913" s="1" t="s">
        <v>13</v>
      </c>
      <c r="C913" s="1" t="s">
        <v>417</v>
      </c>
      <c r="D913">
        <v>1.5</v>
      </c>
      <c r="E913" s="2">
        <v>46418</v>
      </c>
      <c r="F913" s="1" t="s">
        <v>16</v>
      </c>
      <c r="G913" s="1" t="s">
        <v>417</v>
      </c>
      <c r="H913" s="1" t="s">
        <v>2</v>
      </c>
      <c r="I913" s="2">
        <v>46177</v>
      </c>
      <c r="J913" s="1" t="s">
        <v>67</v>
      </c>
      <c r="K913" s="1" t="s">
        <v>4741</v>
      </c>
      <c r="L913" s="2">
        <v>46177.918923611112</v>
      </c>
      <c r="M913" s="2">
        <v>46177.921329212964</v>
      </c>
    </row>
    <row r="914" spans="1:13" x14ac:dyDescent="0.35">
      <c r="A914" s="1" t="s">
        <v>491</v>
      </c>
      <c r="B914" s="1" t="s">
        <v>13</v>
      </c>
      <c r="C914" s="1" t="s">
        <v>492</v>
      </c>
      <c r="D914">
        <v>1.5</v>
      </c>
      <c r="E914" s="2">
        <v>47529</v>
      </c>
      <c r="F914" s="1" t="s">
        <v>16</v>
      </c>
      <c r="G914" s="1" t="s">
        <v>492</v>
      </c>
      <c r="H914" s="1" t="s">
        <v>2</v>
      </c>
      <c r="I914" s="2">
        <v>46177</v>
      </c>
      <c r="J914" s="1" t="s">
        <v>17</v>
      </c>
      <c r="K914" s="1" t="s">
        <v>3013</v>
      </c>
      <c r="L914" s="2">
        <v>46177.92087962963</v>
      </c>
      <c r="M914" s="2">
        <v>46177.921329212964</v>
      </c>
    </row>
    <row r="915" spans="1:13" x14ac:dyDescent="0.35">
      <c r="A915" s="1" t="s">
        <v>491</v>
      </c>
      <c r="B915" s="1" t="s">
        <v>13</v>
      </c>
      <c r="C915" s="1" t="s">
        <v>492</v>
      </c>
      <c r="D915">
        <v>1.5</v>
      </c>
      <c r="E915" s="2">
        <v>47529</v>
      </c>
      <c r="F915" s="1" t="s">
        <v>16</v>
      </c>
      <c r="G915" s="1" t="s">
        <v>492</v>
      </c>
      <c r="H915" s="1" t="s">
        <v>2</v>
      </c>
      <c r="I915" s="2">
        <v>46177</v>
      </c>
      <c r="J915" s="1" t="s">
        <v>214</v>
      </c>
      <c r="K915" s="1" t="s">
        <v>4664</v>
      </c>
      <c r="L915" s="2">
        <v>46177.918923611112</v>
      </c>
      <c r="M915" s="2">
        <v>46177.921329212964</v>
      </c>
    </row>
    <row r="916" spans="1:13" x14ac:dyDescent="0.35">
      <c r="A916" s="1" t="s">
        <v>491</v>
      </c>
      <c r="B916" s="1" t="s">
        <v>13</v>
      </c>
      <c r="C916" s="1" t="s">
        <v>492</v>
      </c>
      <c r="D916">
        <v>1.5</v>
      </c>
      <c r="E916" s="2">
        <v>47529</v>
      </c>
      <c r="F916" s="1" t="s">
        <v>16</v>
      </c>
      <c r="G916" s="1" t="s">
        <v>492</v>
      </c>
      <c r="H916" s="1" t="s">
        <v>2</v>
      </c>
      <c r="I916" s="2">
        <v>46177</v>
      </c>
      <c r="J916" s="1" t="s">
        <v>18</v>
      </c>
      <c r="K916" s="1" t="s">
        <v>3021</v>
      </c>
      <c r="L916" s="2">
        <v>46177.92087962963</v>
      </c>
      <c r="M916" s="2">
        <v>46177.921329212964</v>
      </c>
    </row>
    <row r="917" spans="1:13" x14ac:dyDescent="0.35">
      <c r="A917" s="1" t="s">
        <v>491</v>
      </c>
      <c r="B917" s="1" t="s">
        <v>13</v>
      </c>
      <c r="C917" s="1" t="s">
        <v>492</v>
      </c>
      <c r="D917">
        <v>1.5</v>
      </c>
      <c r="E917" s="2">
        <v>47529</v>
      </c>
      <c r="F917" s="1" t="s">
        <v>16</v>
      </c>
      <c r="G917" s="1" t="s">
        <v>492</v>
      </c>
      <c r="H917" s="1" t="s">
        <v>2</v>
      </c>
      <c r="I917" s="2">
        <v>46177</v>
      </c>
      <c r="J917" s="1" t="s">
        <v>67</v>
      </c>
      <c r="K917" s="1" t="s">
        <v>4719</v>
      </c>
      <c r="L917" s="2">
        <v>46177.918923611112</v>
      </c>
      <c r="M917" s="2">
        <v>46177.921329212964</v>
      </c>
    </row>
    <row r="918" spans="1:13" x14ac:dyDescent="0.35">
      <c r="A918" s="1" t="s">
        <v>491</v>
      </c>
      <c r="B918" s="1" t="s">
        <v>13</v>
      </c>
      <c r="C918" s="1" t="s">
        <v>492</v>
      </c>
      <c r="D918">
        <v>1.5</v>
      </c>
      <c r="E918" s="2">
        <v>47529</v>
      </c>
      <c r="F918" s="1" t="s">
        <v>16</v>
      </c>
      <c r="G918" s="1" t="s">
        <v>492</v>
      </c>
      <c r="H918" s="1" t="s">
        <v>2</v>
      </c>
      <c r="I918" s="2">
        <v>46177</v>
      </c>
      <c r="J918" s="1" t="s">
        <v>215</v>
      </c>
      <c r="K918" s="1" t="s">
        <v>4719</v>
      </c>
      <c r="L918" s="2">
        <v>46177.918923611112</v>
      </c>
      <c r="M918" s="2">
        <v>46177.921329212964</v>
      </c>
    </row>
    <row r="919" spans="1:13" x14ac:dyDescent="0.35">
      <c r="A919" s="1" t="s">
        <v>491</v>
      </c>
      <c r="B919" s="1" t="s">
        <v>13</v>
      </c>
      <c r="C919" s="1" t="s">
        <v>492</v>
      </c>
      <c r="D919">
        <v>1.5</v>
      </c>
      <c r="E919" s="2">
        <v>47529</v>
      </c>
      <c r="F919" s="1" t="s">
        <v>16</v>
      </c>
      <c r="G919" s="1" t="s">
        <v>492</v>
      </c>
      <c r="H919" s="1" t="s">
        <v>2</v>
      </c>
      <c r="I919" s="2">
        <v>46177</v>
      </c>
      <c r="J919" s="1" t="s">
        <v>224</v>
      </c>
      <c r="K919" s="1" t="s">
        <v>4664</v>
      </c>
      <c r="L919" s="2">
        <v>46177.918923611112</v>
      </c>
      <c r="M919" s="2">
        <v>46177.921329212964</v>
      </c>
    </row>
    <row r="920" spans="1:13" x14ac:dyDescent="0.35">
      <c r="A920" s="1" t="s">
        <v>493</v>
      </c>
      <c r="B920" s="1" t="s">
        <v>13</v>
      </c>
      <c r="C920" s="1" t="s">
        <v>494</v>
      </c>
      <c r="D920">
        <v>1.125</v>
      </c>
      <c r="E920" s="2">
        <v>46446</v>
      </c>
      <c r="F920" s="1" t="s">
        <v>16</v>
      </c>
      <c r="G920" s="1" t="s">
        <v>494</v>
      </c>
      <c r="H920" s="1" t="s">
        <v>2</v>
      </c>
      <c r="I920" s="2">
        <v>46177</v>
      </c>
      <c r="J920" s="1" t="s">
        <v>224</v>
      </c>
      <c r="K920" s="1" t="s">
        <v>4720</v>
      </c>
      <c r="L920" s="2">
        <v>46177.918923611112</v>
      </c>
      <c r="M920" s="2">
        <v>46177.921329212964</v>
      </c>
    </row>
    <row r="921" spans="1:13" x14ac:dyDescent="0.35">
      <c r="A921" s="1" t="s">
        <v>493</v>
      </c>
      <c r="B921" s="1" t="s">
        <v>13</v>
      </c>
      <c r="C921" s="1" t="s">
        <v>494</v>
      </c>
      <c r="D921">
        <v>1.125</v>
      </c>
      <c r="E921" s="2">
        <v>46446</v>
      </c>
      <c r="F921" s="1" t="s">
        <v>16</v>
      </c>
      <c r="G921" s="1" t="s">
        <v>494</v>
      </c>
      <c r="H921" s="1" t="s">
        <v>2</v>
      </c>
      <c r="I921" s="2">
        <v>46177</v>
      </c>
      <c r="J921" s="1" t="s">
        <v>18</v>
      </c>
      <c r="K921" s="1" t="s">
        <v>2456</v>
      </c>
      <c r="L921" s="2">
        <v>46177.92087962963</v>
      </c>
      <c r="M921" s="2">
        <v>46177.921329212964</v>
      </c>
    </row>
    <row r="922" spans="1:13" x14ac:dyDescent="0.35">
      <c r="A922" s="1" t="s">
        <v>493</v>
      </c>
      <c r="B922" s="1" t="s">
        <v>13</v>
      </c>
      <c r="C922" s="1" t="s">
        <v>494</v>
      </c>
      <c r="D922">
        <v>1.125</v>
      </c>
      <c r="E922" s="2">
        <v>46446</v>
      </c>
      <c r="F922" s="1" t="s">
        <v>16</v>
      </c>
      <c r="G922" s="1" t="s">
        <v>494</v>
      </c>
      <c r="H922" s="1" t="s">
        <v>2</v>
      </c>
      <c r="I922" s="2">
        <v>46177</v>
      </c>
      <c r="J922" s="1" t="s">
        <v>215</v>
      </c>
      <c r="K922" s="1" t="s">
        <v>4731</v>
      </c>
      <c r="L922" s="2">
        <v>46177.918923611112</v>
      </c>
      <c r="M922" s="2">
        <v>46177.921329212964</v>
      </c>
    </row>
    <row r="923" spans="1:13" x14ac:dyDescent="0.35">
      <c r="A923" s="1" t="s">
        <v>493</v>
      </c>
      <c r="B923" s="1" t="s">
        <v>13</v>
      </c>
      <c r="C923" s="1" t="s">
        <v>494</v>
      </c>
      <c r="D923">
        <v>1.125</v>
      </c>
      <c r="E923" s="2">
        <v>46446</v>
      </c>
      <c r="F923" s="1" t="s">
        <v>16</v>
      </c>
      <c r="G923" s="1" t="s">
        <v>494</v>
      </c>
      <c r="H923" s="1" t="s">
        <v>2</v>
      </c>
      <c r="I923" s="2">
        <v>46177</v>
      </c>
      <c r="J923" s="1" t="s">
        <v>67</v>
      </c>
      <c r="K923" s="1" t="s">
        <v>4731</v>
      </c>
      <c r="L923" s="2">
        <v>46177.918923611112</v>
      </c>
      <c r="M923" s="2">
        <v>46177.921329212964</v>
      </c>
    </row>
    <row r="924" spans="1:13" x14ac:dyDescent="0.35">
      <c r="A924" s="1" t="s">
        <v>493</v>
      </c>
      <c r="B924" s="1" t="s">
        <v>13</v>
      </c>
      <c r="C924" s="1" t="s">
        <v>494</v>
      </c>
      <c r="D924">
        <v>1.125</v>
      </c>
      <c r="E924" s="2">
        <v>46446</v>
      </c>
      <c r="F924" s="1" t="s">
        <v>16</v>
      </c>
      <c r="G924" s="1" t="s">
        <v>494</v>
      </c>
      <c r="H924" s="1" t="s">
        <v>2</v>
      </c>
      <c r="I924" s="2">
        <v>46177</v>
      </c>
      <c r="J924" s="1" t="s">
        <v>17</v>
      </c>
      <c r="K924" s="1" t="s">
        <v>2390</v>
      </c>
      <c r="L924" s="2">
        <v>46177.92087962963</v>
      </c>
      <c r="M924" s="2">
        <v>46177.921329212964</v>
      </c>
    </row>
    <row r="925" spans="1:13" x14ac:dyDescent="0.35">
      <c r="A925" s="1" t="s">
        <v>493</v>
      </c>
      <c r="B925" s="1" t="s">
        <v>13</v>
      </c>
      <c r="C925" s="1" t="s">
        <v>494</v>
      </c>
      <c r="D925">
        <v>1.125</v>
      </c>
      <c r="E925" s="2">
        <v>46446</v>
      </c>
      <c r="F925" s="1" t="s">
        <v>16</v>
      </c>
      <c r="G925" s="1" t="s">
        <v>494</v>
      </c>
      <c r="H925" s="1" t="s">
        <v>2</v>
      </c>
      <c r="I925" s="2">
        <v>46177</v>
      </c>
      <c r="J925" s="1" t="s">
        <v>214</v>
      </c>
      <c r="K925" s="1" t="s">
        <v>4720</v>
      </c>
      <c r="L925" s="2">
        <v>46177.918923611112</v>
      </c>
      <c r="M925" s="2">
        <v>46177.921329212964</v>
      </c>
    </row>
    <row r="926" spans="1:13" x14ac:dyDescent="0.35">
      <c r="A926" s="1" t="s">
        <v>495</v>
      </c>
      <c r="B926" s="1" t="s">
        <v>13</v>
      </c>
      <c r="C926" s="1" t="s">
        <v>496</v>
      </c>
      <c r="D926">
        <v>0.625</v>
      </c>
      <c r="E926" s="2">
        <v>46477</v>
      </c>
      <c r="F926" s="1" t="s">
        <v>16</v>
      </c>
      <c r="G926" s="1" t="s">
        <v>496</v>
      </c>
      <c r="H926" s="1" t="s">
        <v>2</v>
      </c>
      <c r="I926" s="2">
        <v>46177</v>
      </c>
      <c r="J926" s="1" t="s">
        <v>17</v>
      </c>
      <c r="K926" s="1" t="s">
        <v>4665</v>
      </c>
      <c r="L926" s="2">
        <v>46177.92087962963</v>
      </c>
      <c r="M926" s="2">
        <v>46177.921329212964</v>
      </c>
    </row>
    <row r="927" spans="1:13" x14ac:dyDescent="0.35">
      <c r="A927" s="1" t="s">
        <v>495</v>
      </c>
      <c r="B927" s="1" t="s">
        <v>13</v>
      </c>
      <c r="C927" s="1" t="s">
        <v>496</v>
      </c>
      <c r="D927">
        <v>0.625</v>
      </c>
      <c r="E927" s="2">
        <v>46477</v>
      </c>
      <c r="F927" s="1" t="s">
        <v>16</v>
      </c>
      <c r="G927" s="1" t="s">
        <v>496</v>
      </c>
      <c r="H927" s="1" t="s">
        <v>2</v>
      </c>
      <c r="I927" s="2">
        <v>46177</v>
      </c>
      <c r="J927" s="1" t="s">
        <v>18</v>
      </c>
      <c r="K927" s="1" t="s">
        <v>4666</v>
      </c>
      <c r="L927" s="2">
        <v>46177.92087962963</v>
      </c>
      <c r="M927" s="2">
        <v>46177.921329212964</v>
      </c>
    </row>
    <row r="928" spans="1:13" x14ac:dyDescent="0.35">
      <c r="A928" s="1" t="s">
        <v>495</v>
      </c>
      <c r="B928" s="1" t="s">
        <v>13</v>
      </c>
      <c r="C928" s="1" t="s">
        <v>496</v>
      </c>
      <c r="D928">
        <v>0.625</v>
      </c>
      <c r="E928" s="2">
        <v>46477</v>
      </c>
      <c r="F928" s="1" t="s">
        <v>16</v>
      </c>
      <c r="G928" s="1" t="s">
        <v>496</v>
      </c>
      <c r="H928" s="1" t="s">
        <v>2</v>
      </c>
      <c r="I928" s="2">
        <v>46177</v>
      </c>
      <c r="J928" s="1" t="s">
        <v>224</v>
      </c>
      <c r="K928" s="1" t="s">
        <v>4667</v>
      </c>
      <c r="L928" s="2">
        <v>46177.918923611112</v>
      </c>
      <c r="M928" s="2">
        <v>46177.921329212964</v>
      </c>
    </row>
    <row r="929" spans="1:13" x14ac:dyDescent="0.35">
      <c r="A929" s="1" t="s">
        <v>495</v>
      </c>
      <c r="B929" s="1" t="s">
        <v>13</v>
      </c>
      <c r="C929" s="1" t="s">
        <v>496</v>
      </c>
      <c r="D929">
        <v>0.625</v>
      </c>
      <c r="E929" s="2">
        <v>46477</v>
      </c>
      <c r="F929" s="1" t="s">
        <v>16</v>
      </c>
      <c r="G929" s="1" t="s">
        <v>496</v>
      </c>
      <c r="H929" s="1" t="s">
        <v>2</v>
      </c>
      <c r="I929" s="2">
        <v>46177</v>
      </c>
      <c r="J929" s="1" t="s">
        <v>215</v>
      </c>
      <c r="K929" s="1" t="s">
        <v>4597</v>
      </c>
      <c r="L929" s="2">
        <v>46177.918923611112</v>
      </c>
      <c r="M929" s="2">
        <v>46177.921329212964</v>
      </c>
    </row>
    <row r="930" spans="1:13" x14ac:dyDescent="0.35">
      <c r="A930" s="1" t="s">
        <v>495</v>
      </c>
      <c r="B930" s="1" t="s">
        <v>13</v>
      </c>
      <c r="C930" s="1" t="s">
        <v>496</v>
      </c>
      <c r="D930">
        <v>0.625</v>
      </c>
      <c r="E930" s="2">
        <v>46477</v>
      </c>
      <c r="F930" s="1" t="s">
        <v>16</v>
      </c>
      <c r="G930" s="1" t="s">
        <v>496</v>
      </c>
      <c r="H930" s="1" t="s">
        <v>2</v>
      </c>
      <c r="I930" s="2">
        <v>46177</v>
      </c>
      <c r="J930" s="1" t="s">
        <v>214</v>
      </c>
      <c r="K930" s="1" t="s">
        <v>4667</v>
      </c>
      <c r="L930" s="2">
        <v>46177.918923611112</v>
      </c>
      <c r="M930" s="2">
        <v>46177.921329212964</v>
      </c>
    </row>
    <row r="931" spans="1:13" x14ac:dyDescent="0.35">
      <c r="A931" s="1" t="s">
        <v>495</v>
      </c>
      <c r="B931" s="1" t="s">
        <v>13</v>
      </c>
      <c r="C931" s="1" t="s">
        <v>496</v>
      </c>
      <c r="D931">
        <v>0.625</v>
      </c>
      <c r="E931" s="2">
        <v>46477</v>
      </c>
      <c r="F931" s="1" t="s">
        <v>16</v>
      </c>
      <c r="G931" s="1" t="s">
        <v>496</v>
      </c>
      <c r="H931" s="1" t="s">
        <v>2</v>
      </c>
      <c r="I931" s="2">
        <v>46177</v>
      </c>
      <c r="J931" s="1" t="s">
        <v>67</v>
      </c>
      <c r="K931" s="1" t="s">
        <v>4597</v>
      </c>
      <c r="L931" s="2">
        <v>46177.918923611112</v>
      </c>
      <c r="M931" s="2">
        <v>46177.921329212964</v>
      </c>
    </row>
    <row r="932" spans="1:13" x14ac:dyDescent="0.35">
      <c r="A932" s="1" t="s">
        <v>555</v>
      </c>
      <c r="B932" s="1" t="s">
        <v>13</v>
      </c>
      <c r="C932" s="1" t="s">
        <v>556</v>
      </c>
      <c r="D932">
        <v>0.5</v>
      </c>
      <c r="E932" s="2">
        <v>46507</v>
      </c>
      <c r="F932" s="1" t="s">
        <v>16</v>
      </c>
      <c r="G932" s="1" t="s">
        <v>556</v>
      </c>
      <c r="H932" s="1" t="s">
        <v>2</v>
      </c>
      <c r="I932" s="2">
        <v>46177</v>
      </c>
      <c r="J932" s="1" t="s">
        <v>214</v>
      </c>
      <c r="K932" s="1" t="s">
        <v>4668</v>
      </c>
      <c r="L932" s="2">
        <v>46177.918923611112</v>
      </c>
      <c r="M932" s="2">
        <v>46177.921329212964</v>
      </c>
    </row>
    <row r="933" spans="1:13" x14ac:dyDescent="0.35">
      <c r="A933" s="1" t="s">
        <v>555</v>
      </c>
      <c r="B933" s="1" t="s">
        <v>13</v>
      </c>
      <c r="C933" s="1" t="s">
        <v>556</v>
      </c>
      <c r="D933">
        <v>0.5</v>
      </c>
      <c r="E933" s="2">
        <v>46507</v>
      </c>
      <c r="F933" s="1" t="s">
        <v>16</v>
      </c>
      <c r="G933" s="1" t="s">
        <v>556</v>
      </c>
      <c r="H933" s="1" t="s">
        <v>2</v>
      </c>
      <c r="I933" s="2">
        <v>46177</v>
      </c>
      <c r="J933" s="1" t="s">
        <v>215</v>
      </c>
      <c r="K933" s="1" t="s">
        <v>4669</v>
      </c>
      <c r="L933" s="2">
        <v>46177.918923611112</v>
      </c>
      <c r="M933" s="2">
        <v>46177.921329212964</v>
      </c>
    </row>
    <row r="934" spans="1:13" x14ac:dyDescent="0.35">
      <c r="A934" s="1" t="s">
        <v>555</v>
      </c>
      <c r="B934" s="1" t="s">
        <v>13</v>
      </c>
      <c r="C934" s="1" t="s">
        <v>556</v>
      </c>
      <c r="D934">
        <v>0.5</v>
      </c>
      <c r="E934" s="2">
        <v>46507</v>
      </c>
      <c r="F934" s="1" t="s">
        <v>16</v>
      </c>
      <c r="G934" s="1" t="s">
        <v>556</v>
      </c>
      <c r="H934" s="1" t="s">
        <v>2</v>
      </c>
      <c r="I934" s="2">
        <v>46177</v>
      </c>
      <c r="J934" s="1" t="s">
        <v>17</v>
      </c>
      <c r="K934" s="1" t="s">
        <v>4822</v>
      </c>
      <c r="L934" s="2">
        <v>46177.92087962963</v>
      </c>
      <c r="M934" s="2">
        <v>46177.921329212964</v>
      </c>
    </row>
    <row r="935" spans="1:13" x14ac:dyDescent="0.35">
      <c r="A935" s="1" t="s">
        <v>555</v>
      </c>
      <c r="B935" s="1" t="s">
        <v>13</v>
      </c>
      <c r="C935" s="1" t="s">
        <v>556</v>
      </c>
      <c r="D935">
        <v>0.5</v>
      </c>
      <c r="E935" s="2">
        <v>46507</v>
      </c>
      <c r="F935" s="1" t="s">
        <v>16</v>
      </c>
      <c r="G935" s="1" t="s">
        <v>556</v>
      </c>
      <c r="H935" s="1" t="s">
        <v>2</v>
      </c>
      <c r="I935" s="2">
        <v>46177</v>
      </c>
      <c r="J935" s="1" t="s">
        <v>18</v>
      </c>
      <c r="K935" s="1" t="s">
        <v>2627</v>
      </c>
      <c r="L935" s="2">
        <v>46177.92087962963</v>
      </c>
      <c r="M935" s="2">
        <v>46177.921329212964</v>
      </c>
    </row>
    <row r="936" spans="1:13" x14ac:dyDescent="0.35">
      <c r="A936" s="1" t="s">
        <v>555</v>
      </c>
      <c r="B936" s="1" t="s">
        <v>13</v>
      </c>
      <c r="C936" s="1" t="s">
        <v>556</v>
      </c>
      <c r="D936">
        <v>0.5</v>
      </c>
      <c r="E936" s="2">
        <v>46507</v>
      </c>
      <c r="F936" s="1" t="s">
        <v>16</v>
      </c>
      <c r="G936" s="1" t="s">
        <v>556</v>
      </c>
      <c r="H936" s="1" t="s">
        <v>2</v>
      </c>
      <c r="I936" s="2">
        <v>46177</v>
      </c>
      <c r="J936" s="1" t="s">
        <v>67</v>
      </c>
      <c r="K936" s="1" t="s">
        <v>4669</v>
      </c>
      <c r="L936" s="2">
        <v>46177.918923611112</v>
      </c>
      <c r="M936" s="2">
        <v>46177.921329212964</v>
      </c>
    </row>
    <row r="937" spans="1:13" x14ac:dyDescent="0.35">
      <c r="A937" s="1" t="s">
        <v>555</v>
      </c>
      <c r="B937" s="1" t="s">
        <v>13</v>
      </c>
      <c r="C937" s="1" t="s">
        <v>556</v>
      </c>
      <c r="D937">
        <v>0.5</v>
      </c>
      <c r="E937" s="2">
        <v>46507</v>
      </c>
      <c r="F937" s="1" t="s">
        <v>16</v>
      </c>
      <c r="G937" s="1" t="s">
        <v>556</v>
      </c>
      <c r="H937" s="1" t="s">
        <v>2</v>
      </c>
      <c r="I937" s="2">
        <v>46177</v>
      </c>
      <c r="J937" s="1" t="s">
        <v>224</v>
      </c>
      <c r="K937" s="1" t="s">
        <v>4668</v>
      </c>
      <c r="L937" s="2">
        <v>46177.918923611112</v>
      </c>
      <c r="M937" s="2">
        <v>46177.921329212964</v>
      </c>
    </row>
    <row r="938" spans="1:13" x14ac:dyDescent="0.35">
      <c r="A938" s="1" t="s">
        <v>509</v>
      </c>
      <c r="B938" s="1" t="s">
        <v>13</v>
      </c>
      <c r="C938" s="1" t="s">
        <v>510</v>
      </c>
      <c r="D938">
        <v>0.625</v>
      </c>
      <c r="E938" s="2">
        <v>47618</v>
      </c>
      <c r="F938" s="1" t="s">
        <v>16</v>
      </c>
      <c r="G938" s="1" t="s">
        <v>510</v>
      </c>
      <c r="H938" s="1" t="s">
        <v>2</v>
      </c>
      <c r="I938" s="2">
        <v>46177</v>
      </c>
      <c r="J938" s="1" t="s">
        <v>67</v>
      </c>
      <c r="K938" s="1" t="s">
        <v>4598</v>
      </c>
      <c r="L938" s="2">
        <v>46177.918923611112</v>
      </c>
      <c r="M938" s="2">
        <v>46177.921329212964</v>
      </c>
    </row>
    <row r="939" spans="1:13" x14ac:dyDescent="0.35">
      <c r="A939" s="1" t="s">
        <v>509</v>
      </c>
      <c r="B939" s="1" t="s">
        <v>13</v>
      </c>
      <c r="C939" s="1" t="s">
        <v>510</v>
      </c>
      <c r="D939">
        <v>0.625</v>
      </c>
      <c r="E939" s="2">
        <v>47618</v>
      </c>
      <c r="F939" s="1" t="s">
        <v>16</v>
      </c>
      <c r="G939" s="1" t="s">
        <v>510</v>
      </c>
      <c r="H939" s="1" t="s">
        <v>2</v>
      </c>
      <c r="I939" s="2">
        <v>46177</v>
      </c>
      <c r="J939" s="1" t="s">
        <v>214</v>
      </c>
      <c r="K939" s="1" t="s">
        <v>4733</v>
      </c>
      <c r="L939" s="2">
        <v>46177.918923611112</v>
      </c>
      <c r="M939" s="2">
        <v>46177.921329212964</v>
      </c>
    </row>
    <row r="940" spans="1:13" x14ac:dyDescent="0.35">
      <c r="A940" s="1" t="s">
        <v>509</v>
      </c>
      <c r="B940" s="1" t="s">
        <v>13</v>
      </c>
      <c r="C940" s="1" t="s">
        <v>510</v>
      </c>
      <c r="D940">
        <v>0.625</v>
      </c>
      <c r="E940" s="2">
        <v>47618</v>
      </c>
      <c r="F940" s="1" t="s">
        <v>16</v>
      </c>
      <c r="G940" s="1" t="s">
        <v>510</v>
      </c>
      <c r="H940" s="1" t="s">
        <v>2</v>
      </c>
      <c r="I940" s="2">
        <v>46177</v>
      </c>
      <c r="J940" s="1" t="s">
        <v>215</v>
      </c>
      <c r="K940" s="1" t="s">
        <v>4598</v>
      </c>
      <c r="L940" s="2">
        <v>46177.918923611112</v>
      </c>
      <c r="M940" s="2">
        <v>46177.921329212964</v>
      </c>
    </row>
    <row r="941" spans="1:13" x14ac:dyDescent="0.35">
      <c r="A941" s="1" t="s">
        <v>509</v>
      </c>
      <c r="B941" s="1" t="s">
        <v>13</v>
      </c>
      <c r="C941" s="1" t="s">
        <v>510</v>
      </c>
      <c r="D941">
        <v>0.625</v>
      </c>
      <c r="E941" s="2">
        <v>47618</v>
      </c>
      <c r="F941" s="1" t="s">
        <v>16</v>
      </c>
      <c r="G941" s="1" t="s">
        <v>510</v>
      </c>
      <c r="H941" s="1" t="s">
        <v>2</v>
      </c>
      <c r="I941" s="2">
        <v>46177</v>
      </c>
      <c r="J941" s="1" t="s">
        <v>17</v>
      </c>
      <c r="K941" s="1" t="s">
        <v>4732</v>
      </c>
      <c r="L941" s="2">
        <v>46177.92087962963</v>
      </c>
      <c r="M941" s="2">
        <v>46177.921329212964</v>
      </c>
    </row>
    <row r="942" spans="1:13" x14ac:dyDescent="0.35">
      <c r="A942" s="1" t="s">
        <v>509</v>
      </c>
      <c r="B942" s="1" t="s">
        <v>13</v>
      </c>
      <c r="C942" s="1" t="s">
        <v>510</v>
      </c>
      <c r="D942">
        <v>0.625</v>
      </c>
      <c r="E942" s="2">
        <v>47618</v>
      </c>
      <c r="F942" s="1" t="s">
        <v>16</v>
      </c>
      <c r="G942" s="1" t="s">
        <v>510</v>
      </c>
      <c r="H942" s="1" t="s">
        <v>2</v>
      </c>
      <c r="I942" s="2">
        <v>46177</v>
      </c>
      <c r="J942" s="1" t="s">
        <v>224</v>
      </c>
      <c r="K942" s="1" t="s">
        <v>4733</v>
      </c>
      <c r="L942" s="2">
        <v>46177.918923611112</v>
      </c>
      <c r="M942" s="2">
        <v>46177.921329212964</v>
      </c>
    </row>
    <row r="943" spans="1:13" x14ac:dyDescent="0.35">
      <c r="A943" s="1" t="s">
        <v>509</v>
      </c>
      <c r="B943" s="1" t="s">
        <v>13</v>
      </c>
      <c r="C943" s="1" t="s">
        <v>510</v>
      </c>
      <c r="D943">
        <v>0.625</v>
      </c>
      <c r="E943" s="2">
        <v>47618</v>
      </c>
      <c r="F943" s="1" t="s">
        <v>16</v>
      </c>
      <c r="G943" s="1" t="s">
        <v>510</v>
      </c>
      <c r="H943" s="1" t="s">
        <v>2</v>
      </c>
      <c r="I943" s="2">
        <v>46177</v>
      </c>
      <c r="J943" s="1" t="s">
        <v>18</v>
      </c>
      <c r="K943" s="1" t="s">
        <v>2548</v>
      </c>
      <c r="L943" s="2">
        <v>46177.92087962963</v>
      </c>
      <c r="M943" s="2">
        <v>46177.921329212964</v>
      </c>
    </row>
    <row r="944" spans="1:13" x14ac:dyDescent="0.35">
      <c r="A944" s="1" t="s">
        <v>511</v>
      </c>
      <c r="B944" s="1" t="s">
        <v>13</v>
      </c>
      <c r="C944" s="1" t="s">
        <v>512</v>
      </c>
      <c r="D944">
        <v>0.5</v>
      </c>
      <c r="E944" s="2">
        <v>46538</v>
      </c>
      <c r="F944" s="1" t="s">
        <v>16</v>
      </c>
      <c r="G944" s="1" t="s">
        <v>512</v>
      </c>
      <c r="H944" s="1" t="s">
        <v>2</v>
      </c>
      <c r="I944" s="2">
        <v>46177</v>
      </c>
      <c r="J944" s="1" t="s">
        <v>17</v>
      </c>
      <c r="K944" s="1" t="s">
        <v>4670</v>
      </c>
      <c r="L944" s="2">
        <v>46177.92087962963</v>
      </c>
      <c r="M944" s="2">
        <v>46177.921329212964</v>
      </c>
    </row>
    <row r="945" spans="1:13" x14ac:dyDescent="0.35">
      <c r="A945" s="1" t="s">
        <v>511</v>
      </c>
      <c r="B945" s="1" t="s">
        <v>13</v>
      </c>
      <c r="C945" s="1" t="s">
        <v>512</v>
      </c>
      <c r="D945">
        <v>0.5</v>
      </c>
      <c r="E945" s="2">
        <v>46538</v>
      </c>
      <c r="F945" s="1" t="s">
        <v>16</v>
      </c>
      <c r="G945" s="1" t="s">
        <v>512</v>
      </c>
      <c r="H945" s="1" t="s">
        <v>2</v>
      </c>
      <c r="I945" s="2">
        <v>46177</v>
      </c>
      <c r="J945" s="1" t="s">
        <v>67</v>
      </c>
      <c r="K945" s="1" t="s">
        <v>4722</v>
      </c>
      <c r="L945" s="2">
        <v>46177.918923611112</v>
      </c>
      <c r="M945" s="2">
        <v>46177.921329212964</v>
      </c>
    </row>
    <row r="946" spans="1:13" x14ac:dyDescent="0.35">
      <c r="A946" s="1" t="s">
        <v>511</v>
      </c>
      <c r="B946" s="1" t="s">
        <v>13</v>
      </c>
      <c r="C946" s="1" t="s">
        <v>512</v>
      </c>
      <c r="D946">
        <v>0.5</v>
      </c>
      <c r="E946" s="2">
        <v>46538</v>
      </c>
      <c r="F946" s="1" t="s">
        <v>16</v>
      </c>
      <c r="G946" s="1" t="s">
        <v>512</v>
      </c>
      <c r="H946" s="1" t="s">
        <v>2</v>
      </c>
      <c r="I946" s="2">
        <v>46177</v>
      </c>
      <c r="J946" s="1" t="s">
        <v>224</v>
      </c>
      <c r="K946" s="1" t="s">
        <v>4749</v>
      </c>
      <c r="L946" s="2">
        <v>46177.918923611112</v>
      </c>
      <c r="M946" s="2">
        <v>46177.921329212964</v>
      </c>
    </row>
    <row r="947" spans="1:13" x14ac:dyDescent="0.35">
      <c r="A947" s="1" t="s">
        <v>511</v>
      </c>
      <c r="B947" s="1" t="s">
        <v>13</v>
      </c>
      <c r="C947" s="1" t="s">
        <v>512</v>
      </c>
      <c r="D947">
        <v>0.5</v>
      </c>
      <c r="E947" s="2">
        <v>46538</v>
      </c>
      <c r="F947" s="1" t="s">
        <v>16</v>
      </c>
      <c r="G947" s="1" t="s">
        <v>512</v>
      </c>
      <c r="H947" s="1" t="s">
        <v>2</v>
      </c>
      <c r="I947" s="2">
        <v>46177</v>
      </c>
      <c r="J947" s="1" t="s">
        <v>18</v>
      </c>
      <c r="K947" s="1" t="s">
        <v>4721</v>
      </c>
      <c r="L947" s="2">
        <v>46177.92087962963</v>
      </c>
      <c r="M947" s="2">
        <v>46177.921329212964</v>
      </c>
    </row>
    <row r="948" spans="1:13" x14ac:dyDescent="0.35">
      <c r="A948" s="1" t="s">
        <v>511</v>
      </c>
      <c r="B948" s="1" t="s">
        <v>13</v>
      </c>
      <c r="C948" s="1" t="s">
        <v>512</v>
      </c>
      <c r="D948">
        <v>0.5</v>
      </c>
      <c r="E948" s="2">
        <v>46538</v>
      </c>
      <c r="F948" s="1" t="s">
        <v>16</v>
      </c>
      <c r="G948" s="1" t="s">
        <v>512</v>
      </c>
      <c r="H948" s="1" t="s">
        <v>2</v>
      </c>
      <c r="I948" s="2">
        <v>46177</v>
      </c>
      <c r="J948" s="1" t="s">
        <v>215</v>
      </c>
      <c r="K948" s="1" t="s">
        <v>4722</v>
      </c>
      <c r="L948" s="2">
        <v>46177.918923611112</v>
      </c>
      <c r="M948" s="2">
        <v>46177.921329212964</v>
      </c>
    </row>
    <row r="949" spans="1:13" x14ac:dyDescent="0.35">
      <c r="A949" s="1" t="s">
        <v>511</v>
      </c>
      <c r="B949" s="1" t="s">
        <v>13</v>
      </c>
      <c r="C949" s="1" t="s">
        <v>512</v>
      </c>
      <c r="D949">
        <v>0.5</v>
      </c>
      <c r="E949" s="2">
        <v>46538</v>
      </c>
      <c r="F949" s="1" t="s">
        <v>16</v>
      </c>
      <c r="G949" s="1" t="s">
        <v>512</v>
      </c>
      <c r="H949" s="1" t="s">
        <v>2</v>
      </c>
      <c r="I949" s="2">
        <v>46177</v>
      </c>
      <c r="J949" s="1" t="s">
        <v>214</v>
      </c>
      <c r="K949" s="1" t="s">
        <v>4749</v>
      </c>
      <c r="L949" s="2">
        <v>46177.918923611112</v>
      </c>
      <c r="M949" s="2">
        <v>46177.921329212964</v>
      </c>
    </row>
    <row r="950" spans="1:13" x14ac:dyDescent="0.35">
      <c r="A950" s="1" t="s">
        <v>607</v>
      </c>
      <c r="B950" s="1" t="s">
        <v>13</v>
      </c>
      <c r="C950" s="1" t="s">
        <v>608</v>
      </c>
      <c r="D950">
        <v>0.5</v>
      </c>
      <c r="E950" s="2">
        <v>46568</v>
      </c>
      <c r="F950" s="1" t="s">
        <v>16</v>
      </c>
      <c r="G950" s="1" t="s">
        <v>608</v>
      </c>
      <c r="H950" s="1" t="s">
        <v>2</v>
      </c>
      <c r="I950" s="2">
        <v>46177</v>
      </c>
      <c r="J950" s="1" t="s">
        <v>67</v>
      </c>
      <c r="K950" s="1" t="s">
        <v>4742</v>
      </c>
      <c r="L950" s="2">
        <v>46177.918923611112</v>
      </c>
      <c r="M950" s="2">
        <v>46177.921329212964</v>
      </c>
    </row>
    <row r="951" spans="1:13" x14ac:dyDescent="0.35">
      <c r="A951" s="1" t="s">
        <v>607</v>
      </c>
      <c r="B951" s="1" t="s">
        <v>13</v>
      </c>
      <c r="C951" s="1" t="s">
        <v>608</v>
      </c>
      <c r="D951">
        <v>0.5</v>
      </c>
      <c r="E951" s="2">
        <v>46568</v>
      </c>
      <c r="F951" s="1" t="s">
        <v>16</v>
      </c>
      <c r="G951" s="1" t="s">
        <v>608</v>
      </c>
      <c r="H951" s="1" t="s">
        <v>2</v>
      </c>
      <c r="I951" s="2">
        <v>46177</v>
      </c>
      <c r="J951" s="1" t="s">
        <v>215</v>
      </c>
      <c r="K951" s="1" t="s">
        <v>4742</v>
      </c>
      <c r="L951" s="2">
        <v>46177.918923611112</v>
      </c>
      <c r="M951" s="2">
        <v>46177.921329212964</v>
      </c>
    </row>
    <row r="952" spans="1:13" x14ac:dyDescent="0.35">
      <c r="A952" s="1" t="s">
        <v>607</v>
      </c>
      <c r="B952" s="1" t="s">
        <v>13</v>
      </c>
      <c r="C952" s="1" t="s">
        <v>608</v>
      </c>
      <c r="D952">
        <v>0.5</v>
      </c>
      <c r="E952" s="2">
        <v>46568</v>
      </c>
      <c r="F952" s="1" t="s">
        <v>16</v>
      </c>
      <c r="G952" s="1" t="s">
        <v>608</v>
      </c>
      <c r="H952" s="1" t="s">
        <v>2</v>
      </c>
      <c r="I952" s="2">
        <v>46177</v>
      </c>
      <c r="J952" s="1" t="s">
        <v>17</v>
      </c>
      <c r="K952" s="1" t="s">
        <v>4750</v>
      </c>
      <c r="L952" s="2">
        <v>46177.92087962963</v>
      </c>
      <c r="M952" s="2">
        <v>46177.921329212964</v>
      </c>
    </row>
    <row r="953" spans="1:13" x14ac:dyDescent="0.35">
      <c r="A953" s="1" t="s">
        <v>607</v>
      </c>
      <c r="B953" s="1" t="s">
        <v>13</v>
      </c>
      <c r="C953" s="1" t="s">
        <v>608</v>
      </c>
      <c r="D953">
        <v>0.5</v>
      </c>
      <c r="E953" s="2">
        <v>46568</v>
      </c>
      <c r="F953" s="1" t="s">
        <v>16</v>
      </c>
      <c r="G953" s="1" t="s">
        <v>608</v>
      </c>
      <c r="H953" s="1" t="s">
        <v>2</v>
      </c>
      <c r="I953" s="2">
        <v>46177</v>
      </c>
      <c r="J953" s="1" t="s">
        <v>214</v>
      </c>
      <c r="K953" s="1" t="s">
        <v>4734</v>
      </c>
      <c r="L953" s="2">
        <v>46177.918923611112</v>
      </c>
      <c r="M953" s="2">
        <v>46177.921329212964</v>
      </c>
    </row>
    <row r="954" spans="1:13" x14ac:dyDescent="0.35">
      <c r="A954" s="1" t="s">
        <v>607</v>
      </c>
      <c r="B954" s="1" t="s">
        <v>13</v>
      </c>
      <c r="C954" s="1" t="s">
        <v>608</v>
      </c>
      <c r="D954">
        <v>0.5</v>
      </c>
      <c r="E954" s="2">
        <v>46568</v>
      </c>
      <c r="F954" s="1" t="s">
        <v>16</v>
      </c>
      <c r="G954" s="1" t="s">
        <v>608</v>
      </c>
      <c r="H954" s="1" t="s">
        <v>2</v>
      </c>
      <c r="I954" s="2">
        <v>46177</v>
      </c>
      <c r="J954" s="1" t="s">
        <v>224</v>
      </c>
      <c r="K954" s="1" t="s">
        <v>4734</v>
      </c>
      <c r="L954" s="2">
        <v>46177.918923611112</v>
      </c>
      <c r="M954" s="2">
        <v>46177.921329212964</v>
      </c>
    </row>
    <row r="955" spans="1:13" x14ac:dyDescent="0.35">
      <c r="A955" s="1" t="s">
        <v>607</v>
      </c>
      <c r="B955" s="1" t="s">
        <v>13</v>
      </c>
      <c r="C955" s="1" t="s">
        <v>608</v>
      </c>
      <c r="D955">
        <v>0.5</v>
      </c>
      <c r="E955" s="2">
        <v>46568</v>
      </c>
      <c r="F955" s="1" t="s">
        <v>16</v>
      </c>
      <c r="G955" s="1" t="s">
        <v>608</v>
      </c>
      <c r="H955" s="1" t="s">
        <v>2</v>
      </c>
      <c r="I955" s="2">
        <v>46177</v>
      </c>
      <c r="J955" s="1" t="s">
        <v>18</v>
      </c>
      <c r="K955" s="1" t="s">
        <v>2550</v>
      </c>
      <c r="L955" s="2">
        <v>46177.92087962963</v>
      </c>
      <c r="M955" s="2">
        <v>46177.921329212964</v>
      </c>
    </row>
    <row r="956" spans="1:13" x14ac:dyDescent="0.35">
      <c r="A956" s="1" t="s">
        <v>513</v>
      </c>
      <c r="B956" s="1" t="s">
        <v>13</v>
      </c>
      <c r="C956" s="1" t="s">
        <v>514</v>
      </c>
      <c r="D956">
        <v>0.125</v>
      </c>
      <c r="E956" s="2">
        <v>47679</v>
      </c>
      <c r="F956" s="1" t="s">
        <v>64</v>
      </c>
      <c r="G956" s="1" t="s">
        <v>514</v>
      </c>
      <c r="H956" s="1" t="s">
        <v>2</v>
      </c>
      <c r="I956" s="2">
        <v>46177</v>
      </c>
      <c r="J956" s="1" t="s">
        <v>17</v>
      </c>
      <c r="K956" s="1" t="s">
        <v>4743</v>
      </c>
      <c r="L956" s="2">
        <v>46177.92087962963</v>
      </c>
      <c r="M956" s="2">
        <v>46177.921329212964</v>
      </c>
    </row>
    <row r="957" spans="1:13" x14ac:dyDescent="0.35">
      <c r="A957" s="1" t="s">
        <v>513</v>
      </c>
      <c r="B957" s="1" t="s">
        <v>13</v>
      </c>
      <c r="C957" s="1" t="s">
        <v>514</v>
      </c>
      <c r="D957">
        <v>0.125</v>
      </c>
      <c r="E957" s="2">
        <v>47679</v>
      </c>
      <c r="F957" s="1" t="s">
        <v>64</v>
      </c>
      <c r="G957" s="1" t="s">
        <v>514</v>
      </c>
      <c r="H957" s="1" t="s">
        <v>2</v>
      </c>
      <c r="I957" s="2">
        <v>46177</v>
      </c>
      <c r="J957" s="1" t="s">
        <v>18</v>
      </c>
      <c r="K957" s="1" t="s">
        <v>2588</v>
      </c>
      <c r="L957" s="2">
        <v>46177.92087962963</v>
      </c>
      <c r="M957" s="2">
        <v>46177.921329212964</v>
      </c>
    </row>
    <row r="958" spans="1:13" x14ac:dyDescent="0.35">
      <c r="A958" s="1" t="s">
        <v>515</v>
      </c>
      <c r="B958" s="1" t="s">
        <v>13</v>
      </c>
      <c r="C958" s="1" t="s">
        <v>516</v>
      </c>
      <c r="D958">
        <v>0.375</v>
      </c>
      <c r="E958" s="2">
        <v>46599</v>
      </c>
      <c r="F958" s="1" t="s">
        <v>16</v>
      </c>
      <c r="G958" s="1" t="s">
        <v>516</v>
      </c>
      <c r="H958" s="1" t="s">
        <v>2</v>
      </c>
      <c r="I958" s="2">
        <v>46177</v>
      </c>
      <c r="J958" s="1" t="s">
        <v>18</v>
      </c>
      <c r="K958" s="1" t="s">
        <v>4671</v>
      </c>
      <c r="L958" s="2">
        <v>46177.92087962963</v>
      </c>
      <c r="M958" s="2">
        <v>46177.921329212964</v>
      </c>
    </row>
    <row r="959" spans="1:13" x14ac:dyDescent="0.35">
      <c r="A959" s="1" t="s">
        <v>515</v>
      </c>
      <c r="B959" s="1" t="s">
        <v>13</v>
      </c>
      <c r="C959" s="1" t="s">
        <v>516</v>
      </c>
      <c r="D959">
        <v>0.375</v>
      </c>
      <c r="E959" s="2">
        <v>46599</v>
      </c>
      <c r="F959" s="1" t="s">
        <v>16</v>
      </c>
      <c r="G959" s="1" t="s">
        <v>516</v>
      </c>
      <c r="H959" s="1" t="s">
        <v>2</v>
      </c>
      <c r="I959" s="2">
        <v>46177</v>
      </c>
      <c r="J959" s="1" t="s">
        <v>214</v>
      </c>
      <c r="K959" s="1" t="s">
        <v>4672</v>
      </c>
      <c r="L959" s="2">
        <v>46177.918923611112</v>
      </c>
      <c r="M959" s="2">
        <v>46177.921329212964</v>
      </c>
    </row>
    <row r="960" spans="1:13" x14ac:dyDescent="0.35">
      <c r="A960" s="1" t="s">
        <v>515</v>
      </c>
      <c r="B960" s="1" t="s">
        <v>13</v>
      </c>
      <c r="C960" s="1" t="s">
        <v>516</v>
      </c>
      <c r="D960">
        <v>0.375</v>
      </c>
      <c r="E960" s="2">
        <v>46599</v>
      </c>
      <c r="F960" s="1" t="s">
        <v>16</v>
      </c>
      <c r="G960" s="1" t="s">
        <v>516</v>
      </c>
      <c r="H960" s="1" t="s">
        <v>2</v>
      </c>
      <c r="I960" s="2">
        <v>46177</v>
      </c>
      <c r="J960" s="1" t="s">
        <v>215</v>
      </c>
      <c r="K960" s="1" t="s">
        <v>4673</v>
      </c>
      <c r="L960" s="2">
        <v>46177.918923611112</v>
      </c>
      <c r="M960" s="2">
        <v>46177.921329212964</v>
      </c>
    </row>
    <row r="961" spans="1:13" x14ac:dyDescent="0.35">
      <c r="A961" s="1" t="s">
        <v>515</v>
      </c>
      <c r="B961" s="1" t="s">
        <v>13</v>
      </c>
      <c r="C961" s="1" t="s">
        <v>516</v>
      </c>
      <c r="D961">
        <v>0.375</v>
      </c>
      <c r="E961" s="2">
        <v>46599</v>
      </c>
      <c r="F961" s="1" t="s">
        <v>16</v>
      </c>
      <c r="G961" s="1" t="s">
        <v>516</v>
      </c>
      <c r="H961" s="1" t="s">
        <v>2</v>
      </c>
      <c r="I961" s="2">
        <v>46177</v>
      </c>
      <c r="J961" s="1" t="s">
        <v>224</v>
      </c>
      <c r="K961" s="1" t="s">
        <v>4672</v>
      </c>
      <c r="L961" s="2">
        <v>46177.918923611112</v>
      </c>
      <c r="M961" s="2">
        <v>46177.921329212964</v>
      </c>
    </row>
    <row r="962" spans="1:13" x14ac:dyDescent="0.35">
      <c r="A962" s="1" t="s">
        <v>515</v>
      </c>
      <c r="B962" s="1" t="s">
        <v>13</v>
      </c>
      <c r="C962" s="1" t="s">
        <v>516</v>
      </c>
      <c r="D962">
        <v>0.375</v>
      </c>
      <c r="E962" s="2">
        <v>46599</v>
      </c>
      <c r="F962" s="1" t="s">
        <v>16</v>
      </c>
      <c r="G962" s="1" t="s">
        <v>516</v>
      </c>
      <c r="H962" s="1" t="s">
        <v>2</v>
      </c>
      <c r="I962" s="2">
        <v>46177</v>
      </c>
      <c r="J962" s="1" t="s">
        <v>67</v>
      </c>
      <c r="K962" s="1" t="s">
        <v>4673</v>
      </c>
      <c r="L962" s="2">
        <v>46177.918923611112</v>
      </c>
      <c r="M962" s="2">
        <v>46177.921329212964</v>
      </c>
    </row>
    <row r="963" spans="1:13" x14ac:dyDescent="0.35">
      <c r="A963" s="1" t="s">
        <v>515</v>
      </c>
      <c r="B963" s="1" t="s">
        <v>13</v>
      </c>
      <c r="C963" s="1" t="s">
        <v>516</v>
      </c>
      <c r="D963">
        <v>0.375</v>
      </c>
      <c r="E963" s="2">
        <v>46599</v>
      </c>
      <c r="F963" s="1" t="s">
        <v>16</v>
      </c>
      <c r="G963" s="1" t="s">
        <v>516</v>
      </c>
      <c r="H963" s="1" t="s">
        <v>2</v>
      </c>
      <c r="I963" s="2">
        <v>46177</v>
      </c>
      <c r="J963" s="1" t="s">
        <v>17</v>
      </c>
      <c r="K963" s="1" t="s">
        <v>2352</v>
      </c>
      <c r="L963" s="2">
        <v>46177.92087962963</v>
      </c>
      <c r="M963" s="2">
        <v>46177.921329212964</v>
      </c>
    </row>
    <row r="964" spans="1:13" x14ac:dyDescent="0.35">
      <c r="A964" s="1" t="s">
        <v>517</v>
      </c>
      <c r="B964" s="1" t="s">
        <v>13</v>
      </c>
      <c r="C964" s="1" t="s">
        <v>518</v>
      </c>
      <c r="D964">
        <v>0.625</v>
      </c>
      <c r="E964" s="2">
        <v>47710</v>
      </c>
      <c r="F964" s="1" t="s">
        <v>16</v>
      </c>
      <c r="G964" s="1" t="s">
        <v>518</v>
      </c>
      <c r="H964" s="1" t="s">
        <v>2</v>
      </c>
      <c r="I964" s="2">
        <v>46177</v>
      </c>
      <c r="J964" s="1" t="s">
        <v>214</v>
      </c>
      <c r="K964" s="1" t="s">
        <v>4599</v>
      </c>
      <c r="L964" s="2">
        <v>46177.918923611112</v>
      </c>
      <c r="M964" s="2">
        <v>46177.921329212964</v>
      </c>
    </row>
    <row r="965" spans="1:13" x14ac:dyDescent="0.35">
      <c r="A965" s="1" t="s">
        <v>517</v>
      </c>
      <c r="B965" s="1" t="s">
        <v>13</v>
      </c>
      <c r="C965" s="1" t="s">
        <v>518</v>
      </c>
      <c r="D965">
        <v>0.625</v>
      </c>
      <c r="E965" s="2">
        <v>47710</v>
      </c>
      <c r="F965" s="1" t="s">
        <v>16</v>
      </c>
      <c r="G965" s="1" t="s">
        <v>518</v>
      </c>
      <c r="H965" s="1" t="s">
        <v>2</v>
      </c>
      <c r="I965" s="2">
        <v>46177</v>
      </c>
      <c r="J965" s="1" t="s">
        <v>18</v>
      </c>
      <c r="K965" s="1" t="s">
        <v>2666</v>
      </c>
      <c r="L965" s="2">
        <v>46177.92087962963</v>
      </c>
      <c r="M965" s="2">
        <v>46177.921329212964</v>
      </c>
    </row>
    <row r="966" spans="1:13" x14ac:dyDescent="0.35">
      <c r="A966" s="1" t="s">
        <v>517</v>
      </c>
      <c r="B966" s="1" t="s">
        <v>13</v>
      </c>
      <c r="C966" s="1" t="s">
        <v>518</v>
      </c>
      <c r="D966">
        <v>0.625</v>
      </c>
      <c r="E966" s="2">
        <v>47710</v>
      </c>
      <c r="F966" s="1" t="s">
        <v>16</v>
      </c>
      <c r="G966" s="1" t="s">
        <v>518</v>
      </c>
      <c r="H966" s="1" t="s">
        <v>2</v>
      </c>
      <c r="I966" s="2">
        <v>46177</v>
      </c>
      <c r="J966" s="1" t="s">
        <v>17</v>
      </c>
      <c r="K966" s="1" t="s">
        <v>3029</v>
      </c>
      <c r="L966" s="2">
        <v>46177.92087962963</v>
      </c>
      <c r="M966" s="2">
        <v>46177.921329212964</v>
      </c>
    </row>
    <row r="967" spans="1:13" x14ac:dyDescent="0.35">
      <c r="A967" s="1" t="s">
        <v>517</v>
      </c>
      <c r="B967" s="1" t="s">
        <v>13</v>
      </c>
      <c r="C967" s="1" t="s">
        <v>518</v>
      </c>
      <c r="D967">
        <v>0.625</v>
      </c>
      <c r="E967" s="2">
        <v>47710</v>
      </c>
      <c r="F967" s="1" t="s">
        <v>16</v>
      </c>
      <c r="G967" s="1" t="s">
        <v>518</v>
      </c>
      <c r="H967" s="1" t="s">
        <v>2</v>
      </c>
      <c r="I967" s="2">
        <v>46177</v>
      </c>
      <c r="J967" s="1" t="s">
        <v>224</v>
      </c>
      <c r="K967" s="1" t="s">
        <v>4599</v>
      </c>
      <c r="L967" s="2">
        <v>46177.918923611112</v>
      </c>
      <c r="M967" s="2">
        <v>46177.921329212964</v>
      </c>
    </row>
    <row r="968" spans="1:13" x14ac:dyDescent="0.35">
      <c r="A968" s="1" t="s">
        <v>517</v>
      </c>
      <c r="B968" s="1" t="s">
        <v>13</v>
      </c>
      <c r="C968" s="1" t="s">
        <v>518</v>
      </c>
      <c r="D968">
        <v>0.625</v>
      </c>
      <c r="E968" s="2">
        <v>47710</v>
      </c>
      <c r="F968" s="1" t="s">
        <v>16</v>
      </c>
      <c r="G968" s="1" t="s">
        <v>518</v>
      </c>
      <c r="H968" s="1" t="s">
        <v>2</v>
      </c>
      <c r="I968" s="2">
        <v>46177</v>
      </c>
      <c r="J968" s="1" t="s">
        <v>215</v>
      </c>
      <c r="K968" s="1" t="s">
        <v>4895</v>
      </c>
      <c r="L968" s="2">
        <v>46177.918923611112</v>
      </c>
      <c r="M968" s="2">
        <v>46177.921329212964</v>
      </c>
    </row>
    <row r="969" spans="1:13" x14ac:dyDescent="0.35">
      <c r="A969" s="1" t="s">
        <v>517</v>
      </c>
      <c r="B969" s="1" t="s">
        <v>13</v>
      </c>
      <c r="C969" s="1" t="s">
        <v>518</v>
      </c>
      <c r="D969">
        <v>0.625</v>
      </c>
      <c r="E969" s="2">
        <v>47710</v>
      </c>
      <c r="F969" s="1" t="s">
        <v>16</v>
      </c>
      <c r="G969" s="1" t="s">
        <v>518</v>
      </c>
      <c r="H969" s="1" t="s">
        <v>2</v>
      </c>
      <c r="I969" s="2">
        <v>46177</v>
      </c>
      <c r="J969" s="1" t="s">
        <v>67</v>
      </c>
      <c r="K969" s="1" t="s">
        <v>4895</v>
      </c>
      <c r="L969" s="2">
        <v>46177.918923611112</v>
      </c>
      <c r="M969" s="2">
        <v>46177.921329212964</v>
      </c>
    </row>
    <row r="970" spans="1:13" x14ac:dyDescent="0.35">
      <c r="A970" s="1" t="s">
        <v>557</v>
      </c>
      <c r="B970" s="1" t="s">
        <v>13</v>
      </c>
      <c r="C970" s="1" t="s">
        <v>558</v>
      </c>
      <c r="D970">
        <v>0.5</v>
      </c>
      <c r="E970" s="2">
        <v>46630</v>
      </c>
      <c r="F970" s="1" t="s">
        <v>16</v>
      </c>
      <c r="G970" s="1" t="s">
        <v>558</v>
      </c>
      <c r="H970" s="1" t="s">
        <v>2</v>
      </c>
      <c r="I970" s="2">
        <v>46177</v>
      </c>
      <c r="J970" s="1" t="s">
        <v>67</v>
      </c>
      <c r="K970" s="1" t="s">
        <v>4674</v>
      </c>
      <c r="L970" s="2">
        <v>46177.918923611112</v>
      </c>
      <c r="M970" s="2">
        <v>46177.921329212964</v>
      </c>
    </row>
    <row r="971" spans="1:13" x14ac:dyDescent="0.35">
      <c r="A971" s="1" t="s">
        <v>557</v>
      </c>
      <c r="B971" s="1" t="s">
        <v>13</v>
      </c>
      <c r="C971" s="1" t="s">
        <v>558</v>
      </c>
      <c r="D971">
        <v>0.5</v>
      </c>
      <c r="E971" s="2">
        <v>46630</v>
      </c>
      <c r="F971" s="1" t="s">
        <v>16</v>
      </c>
      <c r="G971" s="1" t="s">
        <v>558</v>
      </c>
      <c r="H971" s="1" t="s">
        <v>2</v>
      </c>
      <c r="I971" s="2">
        <v>46177</v>
      </c>
      <c r="J971" s="1" t="s">
        <v>224</v>
      </c>
      <c r="K971" s="1" t="s">
        <v>4600</v>
      </c>
      <c r="L971" s="2">
        <v>46177.918923611112</v>
      </c>
      <c r="M971" s="2">
        <v>46177.921329212964</v>
      </c>
    </row>
    <row r="972" spans="1:13" x14ac:dyDescent="0.35">
      <c r="A972" s="1" t="s">
        <v>557</v>
      </c>
      <c r="B972" s="1" t="s">
        <v>13</v>
      </c>
      <c r="C972" s="1" t="s">
        <v>558</v>
      </c>
      <c r="D972">
        <v>0.5</v>
      </c>
      <c r="E972" s="2">
        <v>46630</v>
      </c>
      <c r="F972" s="1" t="s">
        <v>16</v>
      </c>
      <c r="G972" s="1" t="s">
        <v>558</v>
      </c>
      <c r="H972" s="1" t="s">
        <v>2</v>
      </c>
      <c r="I972" s="2">
        <v>46177</v>
      </c>
      <c r="J972" s="1" t="s">
        <v>214</v>
      </c>
      <c r="K972" s="1" t="s">
        <v>4600</v>
      </c>
      <c r="L972" s="2">
        <v>46177.918923611112</v>
      </c>
      <c r="M972" s="2">
        <v>46177.921329212964</v>
      </c>
    </row>
    <row r="973" spans="1:13" x14ac:dyDescent="0.35">
      <c r="A973" s="1" t="s">
        <v>557</v>
      </c>
      <c r="B973" s="1" t="s">
        <v>13</v>
      </c>
      <c r="C973" s="1" t="s">
        <v>558</v>
      </c>
      <c r="D973">
        <v>0.5</v>
      </c>
      <c r="E973" s="2">
        <v>46630</v>
      </c>
      <c r="F973" s="1" t="s">
        <v>16</v>
      </c>
      <c r="G973" s="1" t="s">
        <v>558</v>
      </c>
      <c r="H973" s="1" t="s">
        <v>2</v>
      </c>
      <c r="I973" s="2">
        <v>46177</v>
      </c>
      <c r="J973" s="1" t="s">
        <v>215</v>
      </c>
      <c r="K973" s="1" t="s">
        <v>4674</v>
      </c>
      <c r="L973" s="2">
        <v>46177.918923611112</v>
      </c>
      <c r="M973" s="2">
        <v>46177.921329212964</v>
      </c>
    </row>
    <row r="974" spans="1:13" x14ac:dyDescent="0.35">
      <c r="A974" s="1" t="s">
        <v>557</v>
      </c>
      <c r="B974" s="1" t="s">
        <v>13</v>
      </c>
      <c r="C974" s="1" t="s">
        <v>558</v>
      </c>
      <c r="D974">
        <v>0.5</v>
      </c>
      <c r="E974" s="2">
        <v>46630</v>
      </c>
      <c r="F974" s="1" t="s">
        <v>16</v>
      </c>
      <c r="G974" s="1" t="s">
        <v>558</v>
      </c>
      <c r="H974" s="1" t="s">
        <v>2</v>
      </c>
      <c r="I974" s="2">
        <v>46177</v>
      </c>
      <c r="J974" s="1" t="s">
        <v>17</v>
      </c>
      <c r="K974" s="1" t="s">
        <v>4896</v>
      </c>
      <c r="L974" s="2">
        <v>46177.92087962963</v>
      </c>
      <c r="M974" s="2">
        <v>46177.921329212964</v>
      </c>
    </row>
    <row r="975" spans="1:13" x14ac:dyDescent="0.35">
      <c r="A975" s="1" t="s">
        <v>557</v>
      </c>
      <c r="B975" s="1" t="s">
        <v>13</v>
      </c>
      <c r="C975" s="1" t="s">
        <v>558</v>
      </c>
      <c r="D975">
        <v>0.5</v>
      </c>
      <c r="E975" s="2">
        <v>46630</v>
      </c>
      <c r="F975" s="1" t="s">
        <v>16</v>
      </c>
      <c r="G975" s="1" t="s">
        <v>558</v>
      </c>
      <c r="H975" s="1" t="s">
        <v>2</v>
      </c>
      <c r="I975" s="2">
        <v>46177</v>
      </c>
      <c r="J975" s="1" t="s">
        <v>18</v>
      </c>
      <c r="K975" s="1" t="s">
        <v>2905</v>
      </c>
      <c r="L975" s="2">
        <v>46177.92087962963</v>
      </c>
      <c r="M975" s="2">
        <v>46177.921329212964</v>
      </c>
    </row>
    <row r="976" spans="1:13" x14ac:dyDescent="0.35">
      <c r="A976" s="1" t="s">
        <v>519</v>
      </c>
      <c r="B976" s="1" t="s">
        <v>13</v>
      </c>
      <c r="C976" s="1" t="s">
        <v>520</v>
      </c>
      <c r="D976">
        <v>0.375</v>
      </c>
      <c r="E976" s="2">
        <v>46660</v>
      </c>
      <c r="F976" s="1" t="s">
        <v>16</v>
      </c>
      <c r="G976" s="1" t="s">
        <v>520</v>
      </c>
      <c r="H976" s="1" t="s">
        <v>2</v>
      </c>
      <c r="I976" s="2">
        <v>46177</v>
      </c>
      <c r="J976" s="1" t="s">
        <v>215</v>
      </c>
      <c r="K976" s="1" t="s">
        <v>4675</v>
      </c>
      <c r="L976" s="2">
        <v>46177.918923611112</v>
      </c>
      <c r="M976" s="2">
        <v>46177.921329212964</v>
      </c>
    </row>
    <row r="977" spans="1:13" x14ac:dyDescent="0.35">
      <c r="A977" s="1" t="s">
        <v>519</v>
      </c>
      <c r="B977" s="1" t="s">
        <v>13</v>
      </c>
      <c r="C977" s="1" t="s">
        <v>520</v>
      </c>
      <c r="D977">
        <v>0.375</v>
      </c>
      <c r="E977" s="2">
        <v>46660</v>
      </c>
      <c r="F977" s="1" t="s">
        <v>16</v>
      </c>
      <c r="G977" s="1" t="s">
        <v>520</v>
      </c>
      <c r="H977" s="1" t="s">
        <v>2</v>
      </c>
      <c r="I977" s="2">
        <v>46177</v>
      </c>
      <c r="J977" s="1" t="s">
        <v>17</v>
      </c>
      <c r="K977" s="1" t="s">
        <v>4744</v>
      </c>
      <c r="L977" s="2">
        <v>46177.92087962963</v>
      </c>
      <c r="M977" s="2">
        <v>46177.921329212964</v>
      </c>
    </row>
    <row r="978" spans="1:13" x14ac:dyDescent="0.35">
      <c r="A978" s="1" t="s">
        <v>519</v>
      </c>
      <c r="B978" s="1" t="s">
        <v>13</v>
      </c>
      <c r="C978" s="1" t="s">
        <v>520</v>
      </c>
      <c r="D978">
        <v>0.375</v>
      </c>
      <c r="E978" s="2">
        <v>46660</v>
      </c>
      <c r="F978" s="1" t="s">
        <v>16</v>
      </c>
      <c r="G978" s="1" t="s">
        <v>520</v>
      </c>
      <c r="H978" s="1" t="s">
        <v>2</v>
      </c>
      <c r="I978" s="2">
        <v>46177</v>
      </c>
      <c r="J978" s="1" t="s">
        <v>224</v>
      </c>
      <c r="K978" s="1" t="s">
        <v>4735</v>
      </c>
      <c r="L978" s="2">
        <v>46177.918923611112</v>
      </c>
      <c r="M978" s="2">
        <v>46177.921329212964</v>
      </c>
    </row>
    <row r="979" spans="1:13" x14ac:dyDescent="0.35">
      <c r="A979" s="1" t="s">
        <v>519</v>
      </c>
      <c r="B979" s="1" t="s">
        <v>13</v>
      </c>
      <c r="C979" s="1" t="s">
        <v>520</v>
      </c>
      <c r="D979">
        <v>0.375</v>
      </c>
      <c r="E979" s="2">
        <v>46660</v>
      </c>
      <c r="F979" s="1" t="s">
        <v>16</v>
      </c>
      <c r="G979" s="1" t="s">
        <v>520</v>
      </c>
      <c r="H979" s="1" t="s">
        <v>2</v>
      </c>
      <c r="I979" s="2">
        <v>46177</v>
      </c>
      <c r="J979" s="1" t="s">
        <v>67</v>
      </c>
      <c r="K979" s="1" t="s">
        <v>4675</v>
      </c>
      <c r="L979" s="2">
        <v>46177.918923611112</v>
      </c>
      <c r="M979" s="2">
        <v>46177.921329212964</v>
      </c>
    </row>
    <row r="980" spans="1:13" x14ac:dyDescent="0.35">
      <c r="A980" s="1" t="s">
        <v>519</v>
      </c>
      <c r="B980" s="1" t="s">
        <v>13</v>
      </c>
      <c r="C980" s="1" t="s">
        <v>520</v>
      </c>
      <c r="D980">
        <v>0.375</v>
      </c>
      <c r="E980" s="2">
        <v>46660</v>
      </c>
      <c r="F980" s="1" t="s">
        <v>16</v>
      </c>
      <c r="G980" s="1" t="s">
        <v>520</v>
      </c>
      <c r="H980" s="1" t="s">
        <v>2</v>
      </c>
      <c r="I980" s="2">
        <v>46177</v>
      </c>
      <c r="J980" s="1" t="s">
        <v>214</v>
      </c>
      <c r="K980" s="1" t="s">
        <v>4735</v>
      </c>
      <c r="L980" s="2">
        <v>46177.918923611112</v>
      </c>
      <c r="M980" s="2">
        <v>46177.921329212964</v>
      </c>
    </row>
    <row r="981" spans="1:13" x14ac:dyDescent="0.35">
      <c r="A981" s="1" t="s">
        <v>519</v>
      </c>
      <c r="B981" s="1" t="s">
        <v>13</v>
      </c>
      <c r="C981" s="1" t="s">
        <v>520</v>
      </c>
      <c r="D981">
        <v>0.375</v>
      </c>
      <c r="E981" s="2">
        <v>46660</v>
      </c>
      <c r="F981" s="1" t="s">
        <v>16</v>
      </c>
      <c r="G981" s="1" t="s">
        <v>520</v>
      </c>
      <c r="H981" s="1" t="s">
        <v>2</v>
      </c>
      <c r="I981" s="2">
        <v>46177</v>
      </c>
      <c r="J981" s="1" t="s">
        <v>18</v>
      </c>
      <c r="K981" s="1" t="s">
        <v>4723</v>
      </c>
      <c r="L981" s="2">
        <v>46177.92087962963</v>
      </c>
      <c r="M981" s="2">
        <v>46177.921329212964</v>
      </c>
    </row>
    <row r="982" spans="1:13" x14ac:dyDescent="0.35">
      <c r="A982" s="1" t="s">
        <v>609</v>
      </c>
      <c r="B982" s="1" t="s">
        <v>13</v>
      </c>
      <c r="C982" s="1" t="s">
        <v>610</v>
      </c>
      <c r="D982">
        <v>0.5</v>
      </c>
      <c r="E982" s="2">
        <v>46691</v>
      </c>
      <c r="F982" s="1" t="s">
        <v>16</v>
      </c>
      <c r="G982" s="1" t="s">
        <v>610</v>
      </c>
      <c r="H982" s="1" t="s">
        <v>2</v>
      </c>
      <c r="I982" s="2">
        <v>46177</v>
      </c>
      <c r="J982" s="1" t="s">
        <v>17</v>
      </c>
      <c r="K982" s="1" t="s">
        <v>4676</v>
      </c>
      <c r="L982" s="2">
        <v>46177.92087962963</v>
      </c>
      <c r="M982" s="2">
        <v>46177.921329212964</v>
      </c>
    </row>
    <row r="983" spans="1:13" x14ac:dyDescent="0.35">
      <c r="A983" s="1" t="s">
        <v>609</v>
      </c>
      <c r="B983" s="1" t="s">
        <v>13</v>
      </c>
      <c r="C983" s="1" t="s">
        <v>610</v>
      </c>
      <c r="D983">
        <v>0.5</v>
      </c>
      <c r="E983" s="2">
        <v>46691</v>
      </c>
      <c r="F983" s="1" t="s">
        <v>16</v>
      </c>
      <c r="G983" s="1" t="s">
        <v>610</v>
      </c>
      <c r="H983" s="1" t="s">
        <v>2</v>
      </c>
      <c r="I983" s="2">
        <v>46177</v>
      </c>
      <c r="J983" s="1" t="s">
        <v>67</v>
      </c>
      <c r="K983" s="1" t="s">
        <v>4745</v>
      </c>
      <c r="L983" s="2">
        <v>46177.918923611112</v>
      </c>
      <c r="M983" s="2">
        <v>46177.921329212964</v>
      </c>
    </row>
    <row r="984" spans="1:13" x14ac:dyDescent="0.35">
      <c r="A984" s="1" t="s">
        <v>609</v>
      </c>
      <c r="B984" s="1" t="s">
        <v>13</v>
      </c>
      <c r="C984" s="1" t="s">
        <v>610</v>
      </c>
      <c r="D984">
        <v>0.5</v>
      </c>
      <c r="E984" s="2">
        <v>46691</v>
      </c>
      <c r="F984" s="1" t="s">
        <v>16</v>
      </c>
      <c r="G984" s="1" t="s">
        <v>610</v>
      </c>
      <c r="H984" s="1" t="s">
        <v>2</v>
      </c>
      <c r="I984" s="2">
        <v>46177</v>
      </c>
      <c r="J984" s="1" t="s">
        <v>215</v>
      </c>
      <c r="K984" s="1" t="s">
        <v>4745</v>
      </c>
      <c r="L984" s="2">
        <v>46177.918923611112</v>
      </c>
      <c r="M984" s="2">
        <v>46177.921329212964</v>
      </c>
    </row>
    <row r="985" spans="1:13" x14ac:dyDescent="0.35">
      <c r="A985" s="1" t="s">
        <v>609</v>
      </c>
      <c r="B985" s="1" t="s">
        <v>13</v>
      </c>
      <c r="C985" s="1" t="s">
        <v>610</v>
      </c>
      <c r="D985">
        <v>0.5</v>
      </c>
      <c r="E985" s="2">
        <v>46691</v>
      </c>
      <c r="F985" s="1" t="s">
        <v>16</v>
      </c>
      <c r="G985" s="1" t="s">
        <v>610</v>
      </c>
      <c r="H985" s="1" t="s">
        <v>2</v>
      </c>
      <c r="I985" s="2">
        <v>46177</v>
      </c>
      <c r="J985" s="1" t="s">
        <v>18</v>
      </c>
      <c r="K985" s="1" t="s">
        <v>2983</v>
      </c>
      <c r="L985" s="2">
        <v>46177.92087962963</v>
      </c>
      <c r="M985" s="2">
        <v>46177.921329212964</v>
      </c>
    </row>
    <row r="986" spans="1:13" x14ac:dyDescent="0.35">
      <c r="A986" s="1" t="s">
        <v>609</v>
      </c>
      <c r="B986" s="1" t="s">
        <v>13</v>
      </c>
      <c r="C986" s="1" t="s">
        <v>610</v>
      </c>
      <c r="D986">
        <v>0.5</v>
      </c>
      <c r="E986" s="2">
        <v>46691</v>
      </c>
      <c r="F986" s="1" t="s">
        <v>16</v>
      </c>
      <c r="G986" s="1" t="s">
        <v>610</v>
      </c>
      <c r="H986" s="1" t="s">
        <v>2</v>
      </c>
      <c r="I986" s="2">
        <v>46177</v>
      </c>
      <c r="J986" s="1" t="s">
        <v>214</v>
      </c>
      <c r="K986" s="1" t="s">
        <v>4724</v>
      </c>
      <c r="L986" s="2">
        <v>46177.918923611112</v>
      </c>
      <c r="M986" s="2">
        <v>46177.921329212964</v>
      </c>
    </row>
    <row r="987" spans="1:13" x14ac:dyDescent="0.35">
      <c r="A987" s="1" t="s">
        <v>609</v>
      </c>
      <c r="B987" s="1" t="s">
        <v>13</v>
      </c>
      <c r="C987" s="1" t="s">
        <v>610</v>
      </c>
      <c r="D987">
        <v>0.5</v>
      </c>
      <c r="E987" s="2">
        <v>46691</v>
      </c>
      <c r="F987" s="1" t="s">
        <v>16</v>
      </c>
      <c r="G987" s="1" t="s">
        <v>610</v>
      </c>
      <c r="H987" s="1" t="s">
        <v>2</v>
      </c>
      <c r="I987" s="2">
        <v>46177</v>
      </c>
      <c r="J987" s="1" t="s">
        <v>224</v>
      </c>
      <c r="K987" s="1" t="s">
        <v>4724</v>
      </c>
      <c r="L987" s="2">
        <v>46177.918923611112</v>
      </c>
      <c r="M987" s="2">
        <v>46177.921329212964</v>
      </c>
    </row>
    <row r="988" spans="1:13" x14ac:dyDescent="0.35">
      <c r="A988" s="1" t="s">
        <v>611</v>
      </c>
      <c r="B988" s="1" t="s">
        <v>13</v>
      </c>
      <c r="C988" s="1" t="s">
        <v>612</v>
      </c>
      <c r="D988">
        <v>0.875</v>
      </c>
      <c r="E988" s="2">
        <v>47802</v>
      </c>
      <c r="F988" s="1" t="s">
        <v>16</v>
      </c>
      <c r="G988" s="1" t="s">
        <v>612</v>
      </c>
      <c r="H988" s="1" t="s">
        <v>2</v>
      </c>
      <c r="I988" s="2">
        <v>46177</v>
      </c>
      <c r="J988" s="1" t="s">
        <v>17</v>
      </c>
      <c r="K988" s="1" t="s">
        <v>2955</v>
      </c>
      <c r="L988" s="2">
        <v>46177.92087962963</v>
      </c>
      <c r="M988" s="2">
        <v>46177.921329212964</v>
      </c>
    </row>
    <row r="989" spans="1:13" x14ac:dyDescent="0.35">
      <c r="A989" s="1" t="s">
        <v>611</v>
      </c>
      <c r="B989" s="1" t="s">
        <v>13</v>
      </c>
      <c r="C989" s="1" t="s">
        <v>612</v>
      </c>
      <c r="D989">
        <v>0.875</v>
      </c>
      <c r="E989" s="2">
        <v>47802</v>
      </c>
      <c r="F989" s="1" t="s">
        <v>16</v>
      </c>
      <c r="G989" s="1" t="s">
        <v>612</v>
      </c>
      <c r="H989" s="1" t="s">
        <v>2</v>
      </c>
      <c r="I989" s="2">
        <v>46177</v>
      </c>
      <c r="J989" s="1" t="s">
        <v>214</v>
      </c>
      <c r="K989" s="1" t="s">
        <v>4677</v>
      </c>
      <c r="L989" s="2">
        <v>46177.918923611112</v>
      </c>
      <c r="M989" s="2">
        <v>46177.921329212964</v>
      </c>
    </row>
    <row r="990" spans="1:13" x14ac:dyDescent="0.35">
      <c r="A990" s="1" t="s">
        <v>611</v>
      </c>
      <c r="B990" s="1" t="s">
        <v>13</v>
      </c>
      <c r="C990" s="1" t="s">
        <v>612</v>
      </c>
      <c r="D990">
        <v>0.875</v>
      </c>
      <c r="E990" s="2">
        <v>47802</v>
      </c>
      <c r="F990" s="1" t="s">
        <v>16</v>
      </c>
      <c r="G990" s="1" t="s">
        <v>612</v>
      </c>
      <c r="H990" s="1" t="s">
        <v>2</v>
      </c>
      <c r="I990" s="2">
        <v>46177</v>
      </c>
      <c r="J990" s="1" t="s">
        <v>215</v>
      </c>
      <c r="K990" s="1" t="s">
        <v>4678</v>
      </c>
      <c r="L990" s="2">
        <v>46177.918923611112</v>
      </c>
      <c r="M990" s="2">
        <v>46177.921329212964</v>
      </c>
    </row>
    <row r="991" spans="1:13" x14ac:dyDescent="0.35">
      <c r="A991" s="1" t="s">
        <v>611</v>
      </c>
      <c r="B991" s="1" t="s">
        <v>13</v>
      </c>
      <c r="C991" s="1" t="s">
        <v>612</v>
      </c>
      <c r="D991">
        <v>0.875</v>
      </c>
      <c r="E991" s="2">
        <v>47802</v>
      </c>
      <c r="F991" s="1" t="s">
        <v>16</v>
      </c>
      <c r="G991" s="1" t="s">
        <v>612</v>
      </c>
      <c r="H991" s="1" t="s">
        <v>2</v>
      </c>
      <c r="I991" s="2">
        <v>46177</v>
      </c>
      <c r="J991" s="1" t="s">
        <v>18</v>
      </c>
      <c r="K991" s="1" t="s">
        <v>2460</v>
      </c>
      <c r="L991" s="2">
        <v>46177.92087962963</v>
      </c>
      <c r="M991" s="2">
        <v>46177.921329212964</v>
      </c>
    </row>
    <row r="992" spans="1:13" x14ac:dyDescent="0.35">
      <c r="A992" s="1" t="s">
        <v>611</v>
      </c>
      <c r="B992" s="1" t="s">
        <v>13</v>
      </c>
      <c r="C992" s="1" t="s">
        <v>612</v>
      </c>
      <c r="D992">
        <v>0.875</v>
      </c>
      <c r="E992" s="2">
        <v>47802</v>
      </c>
      <c r="F992" s="1" t="s">
        <v>16</v>
      </c>
      <c r="G992" s="1" t="s">
        <v>612</v>
      </c>
      <c r="H992" s="1" t="s">
        <v>2</v>
      </c>
      <c r="I992" s="2">
        <v>46177</v>
      </c>
      <c r="J992" s="1" t="s">
        <v>67</v>
      </c>
      <c r="K992" s="1" t="s">
        <v>4678</v>
      </c>
      <c r="L992" s="2">
        <v>46177.918923611112</v>
      </c>
      <c r="M992" s="2">
        <v>46177.921329212964</v>
      </c>
    </row>
    <row r="993" spans="1:13" x14ac:dyDescent="0.35">
      <c r="A993" s="1" t="s">
        <v>611</v>
      </c>
      <c r="B993" s="1" t="s">
        <v>13</v>
      </c>
      <c r="C993" s="1" t="s">
        <v>612</v>
      </c>
      <c r="D993">
        <v>0.875</v>
      </c>
      <c r="E993" s="2">
        <v>47802</v>
      </c>
      <c r="F993" s="1" t="s">
        <v>16</v>
      </c>
      <c r="G993" s="1" t="s">
        <v>612</v>
      </c>
      <c r="H993" s="1" t="s">
        <v>2</v>
      </c>
      <c r="I993" s="2">
        <v>46177</v>
      </c>
      <c r="J993" s="1" t="s">
        <v>224</v>
      </c>
      <c r="K993" s="1" t="s">
        <v>4677</v>
      </c>
      <c r="L993" s="2">
        <v>46177.918923611112</v>
      </c>
      <c r="M993" s="2">
        <v>46177.921329212964</v>
      </c>
    </row>
    <row r="994" spans="1:13" x14ac:dyDescent="0.35">
      <c r="A994" s="1" t="s">
        <v>559</v>
      </c>
      <c r="B994" s="1" t="s">
        <v>13</v>
      </c>
      <c r="C994" s="1" t="s">
        <v>560</v>
      </c>
      <c r="D994">
        <v>0.625</v>
      </c>
      <c r="E994" s="2">
        <v>46721</v>
      </c>
      <c r="F994" s="1" t="s">
        <v>16</v>
      </c>
      <c r="G994" s="1" t="s">
        <v>560</v>
      </c>
      <c r="H994" s="1" t="s">
        <v>2</v>
      </c>
      <c r="I994" s="2">
        <v>46177</v>
      </c>
      <c r="J994" s="1" t="s">
        <v>17</v>
      </c>
      <c r="K994" s="1" t="s">
        <v>3043</v>
      </c>
      <c r="L994" s="2">
        <v>46177.92087962963</v>
      </c>
      <c r="M994" s="2">
        <v>46177.921329212964</v>
      </c>
    </row>
    <row r="995" spans="1:13" x14ac:dyDescent="0.35">
      <c r="A995" s="1" t="s">
        <v>559</v>
      </c>
      <c r="B995" s="1" t="s">
        <v>13</v>
      </c>
      <c r="C995" s="1" t="s">
        <v>560</v>
      </c>
      <c r="D995">
        <v>0.625</v>
      </c>
      <c r="E995" s="2">
        <v>46721</v>
      </c>
      <c r="F995" s="1" t="s">
        <v>16</v>
      </c>
      <c r="G995" s="1" t="s">
        <v>560</v>
      </c>
      <c r="H995" s="1" t="s">
        <v>2</v>
      </c>
      <c r="I995" s="2">
        <v>46177</v>
      </c>
      <c r="J995" s="1" t="s">
        <v>215</v>
      </c>
      <c r="K995" s="1" t="s">
        <v>4725</v>
      </c>
      <c r="L995" s="2">
        <v>46177.918923611112</v>
      </c>
      <c r="M995" s="2">
        <v>46177.921329212964</v>
      </c>
    </row>
    <row r="996" spans="1:13" x14ac:dyDescent="0.35">
      <c r="A996" s="1" t="s">
        <v>559</v>
      </c>
      <c r="B996" s="1" t="s">
        <v>13</v>
      </c>
      <c r="C996" s="1" t="s">
        <v>560</v>
      </c>
      <c r="D996">
        <v>0.625</v>
      </c>
      <c r="E996" s="2">
        <v>46721</v>
      </c>
      <c r="F996" s="1" t="s">
        <v>16</v>
      </c>
      <c r="G996" s="1" t="s">
        <v>560</v>
      </c>
      <c r="H996" s="1" t="s">
        <v>2</v>
      </c>
      <c r="I996" s="2">
        <v>46177</v>
      </c>
      <c r="J996" s="1" t="s">
        <v>18</v>
      </c>
      <c r="K996" s="1" t="s">
        <v>2568</v>
      </c>
      <c r="L996" s="2">
        <v>46177.92087962963</v>
      </c>
      <c r="M996" s="2">
        <v>46177.921329212964</v>
      </c>
    </row>
    <row r="997" spans="1:13" x14ac:dyDescent="0.35">
      <c r="A997" s="1" t="s">
        <v>559</v>
      </c>
      <c r="B997" s="1" t="s">
        <v>13</v>
      </c>
      <c r="C997" s="1" t="s">
        <v>560</v>
      </c>
      <c r="D997">
        <v>0.625</v>
      </c>
      <c r="E997" s="2">
        <v>46721</v>
      </c>
      <c r="F997" s="1" t="s">
        <v>16</v>
      </c>
      <c r="G997" s="1" t="s">
        <v>560</v>
      </c>
      <c r="H997" s="1" t="s">
        <v>2</v>
      </c>
      <c r="I997" s="2">
        <v>46177</v>
      </c>
      <c r="J997" s="1" t="s">
        <v>67</v>
      </c>
      <c r="K997" s="1" t="s">
        <v>4725</v>
      </c>
      <c r="L997" s="2">
        <v>46177.918923611112</v>
      </c>
      <c r="M997" s="2">
        <v>46177.921329212964</v>
      </c>
    </row>
    <row r="998" spans="1:13" x14ac:dyDescent="0.35">
      <c r="A998" s="1" t="s">
        <v>559</v>
      </c>
      <c r="B998" s="1" t="s">
        <v>13</v>
      </c>
      <c r="C998" s="1" t="s">
        <v>560</v>
      </c>
      <c r="D998">
        <v>0.625</v>
      </c>
      <c r="E998" s="2">
        <v>46721</v>
      </c>
      <c r="F998" s="1" t="s">
        <v>16</v>
      </c>
      <c r="G998" s="1" t="s">
        <v>560</v>
      </c>
      <c r="H998" s="1" t="s">
        <v>2</v>
      </c>
      <c r="I998" s="2">
        <v>46177</v>
      </c>
      <c r="J998" s="1" t="s">
        <v>224</v>
      </c>
      <c r="K998" s="1" t="s">
        <v>4726</v>
      </c>
      <c r="L998" s="2">
        <v>46177.918923611112</v>
      </c>
      <c r="M998" s="2">
        <v>46177.921329212964</v>
      </c>
    </row>
    <row r="999" spans="1:13" x14ac:dyDescent="0.35">
      <c r="A999" s="1" t="s">
        <v>559</v>
      </c>
      <c r="B999" s="1" t="s">
        <v>13</v>
      </c>
      <c r="C999" s="1" t="s">
        <v>560</v>
      </c>
      <c r="D999">
        <v>0.625</v>
      </c>
      <c r="E999" s="2">
        <v>46721</v>
      </c>
      <c r="F999" s="1" t="s">
        <v>16</v>
      </c>
      <c r="G999" s="1" t="s">
        <v>560</v>
      </c>
      <c r="H999" s="1" t="s">
        <v>2</v>
      </c>
      <c r="I999" s="2">
        <v>46177</v>
      </c>
      <c r="J999" s="1" t="s">
        <v>214</v>
      </c>
      <c r="K999" s="1" t="s">
        <v>4726</v>
      </c>
      <c r="L999" s="2">
        <v>46177.918923611112</v>
      </c>
      <c r="M999" s="2">
        <v>46177.921329212964</v>
      </c>
    </row>
    <row r="1000" spans="1:13" x14ac:dyDescent="0.35">
      <c r="A1000" s="1" t="s">
        <v>613</v>
      </c>
      <c r="B1000" s="1" t="s">
        <v>13</v>
      </c>
      <c r="C1000" s="1" t="s">
        <v>614</v>
      </c>
      <c r="D1000">
        <v>0.625</v>
      </c>
      <c r="E1000" s="2">
        <v>46752</v>
      </c>
      <c r="F1000" s="1" t="s">
        <v>16</v>
      </c>
      <c r="G1000" s="1" t="s">
        <v>614</v>
      </c>
      <c r="H1000" s="1" t="s">
        <v>2</v>
      </c>
      <c r="I1000" s="2">
        <v>46177</v>
      </c>
      <c r="J1000" s="1" t="s">
        <v>18</v>
      </c>
      <c r="K1000" s="1" t="s">
        <v>2995</v>
      </c>
      <c r="L1000" s="2">
        <v>46177.92087962963</v>
      </c>
      <c r="M1000" s="2">
        <v>46177.921329212964</v>
      </c>
    </row>
    <row r="1001" spans="1:13" x14ac:dyDescent="0.35">
      <c r="A1001" s="1" t="s">
        <v>613</v>
      </c>
      <c r="B1001" s="1" t="s">
        <v>13</v>
      </c>
      <c r="C1001" s="1" t="s">
        <v>614</v>
      </c>
      <c r="D1001">
        <v>0.625</v>
      </c>
      <c r="E1001" s="2">
        <v>46752</v>
      </c>
      <c r="F1001" s="1" t="s">
        <v>16</v>
      </c>
      <c r="G1001" s="1" t="s">
        <v>614</v>
      </c>
      <c r="H1001" s="1" t="s">
        <v>2</v>
      </c>
      <c r="I1001" s="2">
        <v>46177</v>
      </c>
      <c r="J1001" s="1" t="s">
        <v>17</v>
      </c>
      <c r="K1001" s="1" t="s">
        <v>2934</v>
      </c>
      <c r="L1001" s="2">
        <v>46177.92087962963</v>
      </c>
      <c r="M1001" s="2">
        <v>46177.921329212964</v>
      </c>
    </row>
    <row r="1002" spans="1:13" x14ac:dyDescent="0.35">
      <c r="A1002" s="1" t="s">
        <v>613</v>
      </c>
      <c r="B1002" s="1" t="s">
        <v>13</v>
      </c>
      <c r="C1002" s="1" t="s">
        <v>614</v>
      </c>
      <c r="D1002">
        <v>0.625</v>
      </c>
      <c r="E1002" s="2">
        <v>46752</v>
      </c>
      <c r="F1002" s="1" t="s">
        <v>16</v>
      </c>
      <c r="G1002" s="1" t="s">
        <v>614</v>
      </c>
      <c r="H1002" s="1" t="s">
        <v>2</v>
      </c>
      <c r="I1002" s="2">
        <v>46177</v>
      </c>
      <c r="J1002" s="1" t="s">
        <v>67</v>
      </c>
      <c r="K1002" s="1" t="s">
        <v>4746</v>
      </c>
      <c r="L1002" s="2">
        <v>46177.918923611112</v>
      </c>
      <c r="M1002" s="2">
        <v>46177.921329212964</v>
      </c>
    </row>
    <row r="1003" spans="1:13" x14ac:dyDescent="0.35">
      <c r="A1003" s="1" t="s">
        <v>613</v>
      </c>
      <c r="B1003" s="1" t="s">
        <v>13</v>
      </c>
      <c r="C1003" s="1" t="s">
        <v>614</v>
      </c>
      <c r="D1003">
        <v>0.625</v>
      </c>
      <c r="E1003" s="2">
        <v>46752</v>
      </c>
      <c r="F1003" s="1" t="s">
        <v>16</v>
      </c>
      <c r="G1003" s="1" t="s">
        <v>614</v>
      </c>
      <c r="H1003" s="1" t="s">
        <v>2</v>
      </c>
      <c r="I1003" s="2">
        <v>46177</v>
      </c>
      <c r="J1003" s="1" t="s">
        <v>215</v>
      </c>
      <c r="K1003" s="1" t="s">
        <v>4746</v>
      </c>
      <c r="L1003" s="2">
        <v>46177.918923611112</v>
      </c>
      <c r="M1003" s="2">
        <v>46177.921329212964</v>
      </c>
    </row>
    <row r="1004" spans="1:13" x14ac:dyDescent="0.35">
      <c r="A1004" s="1" t="s">
        <v>613</v>
      </c>
      <c r="B1004" s="1" t="s">
        <v>13</v>
      </c>
      <c r="C1004" s="1" t="s">
        <v>614</v>
      </c>
      <c r="D1004">
        <v>0.625</v>
      </c>
      <c r="E1004" s="2">
        <v>46752</v>
      </c>
      <c r="F1004" s="1" t="s">
        <v>16</v>
      </c>
      <c r="G1004" s="1" t="s">
        <v>614</v>
      </c>
      <c r="H1004" s="1" t="s">
        <v>2</v>
      </c>
      <c r="I1004" s="2">
        <v>46177</v>
      </c>
      <c r="J1004" s="1" t="s">
        <v>214</v>
      </c>
      <c r="K1004" s="1" t="s">
        <v>4632</v>
      </c>
      <c r="L1004" s="2">
        <v>46177.918923611112</v>
      </c>
      <c r="M1004" s="2">
        <v>46177.921329212964</v>
      </c>
    </row>
    <row r="1005" spans="1:13" x14ac:dyDescent="0.35">
      <c r="A1005" s="1" t="s">
        <v>613</v>
      </c>
      <c r="B1005" s="1" t="s">
        <v>13</v>
      </c>
      <c r="C1005" s="1" t="s">
        <v>614</v>
      </c>
      <c r="D1005">
        <v>0.625</v>
      </c>
      <c r="E1005" s="2">
        <v>46752</v>
      </c>
      <c r="F1005" s="1" t="s">
        <v>16</v>
      </c>
      <c r="G1005" s="1" t="s">
        <v>614</v>
      </c>
      <c r="H1005" s="1" t="s">
        <v>2</v>
      </c>
      <c r="I1005" s="2">
        <v>46177</v>
      </c>
      <c r="J1005" s="1" t="s">
        <v>224</v>
      </c>
      <c r="K1005" s="1" t="s">
        <v>4632</v>
      </c>
      <c r="L1005" s="2">
        <v>46177.918923611112</v>
      </c>
      <c r="M1005" s="2">
        <v>46177.921329212964</v>
      </c>
    </row>
    <row r="1006" spans="1:13" x14ac:dyDescent="0.35">
      <c r="A1006" s="1" t="s">
        <v>615</v>
      </c>
      <c r="B1006" s="1" t="s">
        <v>13</v>
      </c>
      <c r="C1006" s="1" t="s">
        <v>616</v>
      </c>
      <c r="D1006">
        <v>0.125</v>
      </c>
      <c r="E1006" s="2">
        <v>47863</v>
      </c>
      <c r="F1006" s="1" t="s">
        <v>64</v>
      </c>
      <c r="G1006" s="1" t="s">
        <v>616</v>
      </c>
      <c r="H1006" s="1" t="s">
        <v>2</v>
      </c>
      <c r="I1006" s="2">
        <v>46177</v>
      </c>
      <c r="J1006" s="1" t="s">
        <v>18</v>
      </c>
      <c r="K1006" s="1" t="s">
        <v>4747</v>
      </c>
      <c r="L1006" s="2">
        <v>46177.92087962963</v>
      </c>
      <c r="M1006" s="2">
        <v>46177.921329212964</v>
      </c>
    </row>
    <row r="1007" spans="1:13" x14ac:dyDescent="0.35">
      <c r="A1007" s="1" t="s">
        <v>615</v>
      </c>
      <c r="B1007" s="1" t="s">
        <v>13</v>
      </c>
      <c r="C1007" s="1" t="s">
        <v>616</v>
      </c>
      <c r="D1007">
        <v>0.125</v>
      </c>
      <c r="E1007" s="2">
        <v>47863</v>
      </c>
      <c r="F1007" s="1" t="s">
        <v>64</v>
      </c>
      <c r="G1007" s="1" t="s">
        <v>616</v>
      </c>
      <c r="H1007" s="1" t="s">
        <v>2</v>
      </c>
      <c r="I1007" s="2">
        <v>46177</v>
      </c>
      <c r="J1007" s="1" t="s">
        <v>215</v>
      </c>
      <c r="K1007" s="1" t="s">
        <v>4748</v>
      </c>
      <c r="L1007" s="2">
        <v>46177.918923611112</v>
      </c>
      <c r="M1007" s="2">
        <v>46177.921329212964</v>
      </c>
    </row>
    <row r="1008" spans="1:13" x14ac:dyDescent="0.35">
      <c r="A1008" s="1" t="s">
        <v>615</v>
      </c>
      <c r="B1008" s="1" t="s">
        <v>13</v>
      </c>
      <c r="C1008" s="1" t="s">
        <v>616</v>
      </c>
      <c r="D1008">
        <v>0.125</v>
      </c>
      <c r="E1008" s="2">
        <v>47863</v>
      </c>
      <c r="F1008" s="1" t="s">
        <v>64</v>
      </c>
      <c r="G1008" s="1" t="s">
        <v>616</v>
      </c>
      <c r="H1008" s="1" t="s">
        <v>2</v>
      </c>
      <c r="I1008" s="2">
        <v>46177</v>
      </c>
      <c r="J1008" s="1" t="s">
        <v>214</v>
      </c>
      <c r="K1008" s="1" t="s">
        <v>4727</v>
      </c>
      <c r="L1008" s="2">
        <v>46177.918923611112</v>
      </c>
      <c r="M1008" s="2">
        <v>46177.921329212964</v>
      </c>
    </row>
    <row r="1009" spans="1:13" x14ac:dyDescent="0.35">
      <c r="A1009" s="1" t="s">
        <v>615</v>
      </c>
      <c r="B1009" s="1" t="s">
        <v>13</v>
      </c>
      <c r="C1009" s="1" t="s">
        <v>616</v>
      </c>
      <c r="D1009">
        <v>0.125</v>
      </c>
      <c r="E1009" s="2">
        <v>47863</v>
      </c>
      <c r="F1009" s="1" t="s">
        <v>64</v>
      </c>
      <c r="G1009" s="1" t="s">
        <v>616</v>
      </c>
      <c r="H1009" s="1" t="s">
        <v>2</v>
      </c>
      <c r="I1009" s="2">
        <v>46177</v>
      </c>
      <c r="J1009" s="1" t="s">
        <v>67</v>
      </c>
      <c r="K1009" s="1" t="s">
        <v>4748</v>
      </c>
      <c r="L1009" s="2">
        <v>46177.918923611112</v>
      </c>
      <c r="M1009" s="2">
        <v>46177.921329212964</v>
      </c>
    </row>
    <row r="1010" spans="1:13" x14ac:dyDescent="0.35">
      <c r="A1010" s="1" t="s">
        <v>615</v>
      </c>
      <c r="B1010" s="1" t="s">
        <v>13</v>
      </c>
      <c r="C1010" s="1" t="s">
        <v>616</v>
      </c>
      <c r="D1010">
        <v>0.125</v>
      </c>
      <c r="E1010" s="2">
        <v>47863</v>
      </c>
      <c r="F1010" s="1" t="s">
        <v>64</v>
      </c>
      <c r="G1010" s="1" t="s">
        <v>616</v>
      </c>
      <c r="H1010" s="1" t="s">
        <v>2</v>
      </c>
      <c r="I1010" s="2">
        <v>46177</v>
      </c>
      <c r="J1010" s="1" t="s">
        <v>17</v>
      </c>
      <c r="K1010" s="1" t="s">
        <v>4897</v>
      </c>
      <c r="L1010" s="2">
        <v>46177.92087962963</v>
      </c>
      <c r="M1010" s="2">
        <v>46177.921329212964</v>
      </c>
    </row>
    <row r="1011" spans="1:13" x14ac:dyDescent="0.35">
      <c r="A1011" s="1" t="s">
        <v>615</v>
      </c>
      <c r="B1011" s="1" t="s">
        <v>13</v>
      </c>
      <c r="C1011" s="1" t="s">
        <v>616</v>
      </c>
      <c r="D1011">
        <v>0.125</v>
      </c>
      <c r="E1011" s="2">
        <v>47863</v>
      </c>
      <c r="F1011" s="1" t="s">
        <v>64</v>
      </c>
      <c r="G1011" s="1" t="s">
        <v>616</v>
      </c>
      <c r="H1011" s="1" t="s">
        <v>2</v>
      </c>
      <c r="I1011" s="2">
        <v>46177</v>
      </c>
      <c r="J1011" s="1" t="s">
        <v>224</v>
      </c>
      <c r="K1011" s="1" t="s">
        <v>4727</v>
      </c>
      <c r="L1011" s="2">
        <v>46177.918923611112</v>
      </c>
      <c r="M1011" s="2">
        <v>46177.921329212964</v>
      </c>
    </row>
    <row r="1012" spans="1:13" x14ac:dyDescent="0.35">
      <c r="A1012" s="1" t="s">
        <v>641</v>
      </c>
      <c r="B1012" s="1" t="s">
        <v>13</v>
      </c>
      <c r="C1012" s="1" t="s">
        <v>642</v>
      </c>
      <c r="D1012">
        <v>0.75</v>
      </c>
      <c r="E1012" s="2">
        <v>46783</v>
      </c>
      <c r="F1012" s="1" t="s">
        <v>16</v>
      </c>
      <c r="G1012" s="1" t="s">
        <v>642</v>
      </c>
      <c r="H1012" s="1" t="s">
        <v>2</v>
      </c>
      <c r="I1012" s="2">
        <v>46177</v>
      </c>
      <c r="J1012" s="1" t="s">
        <v>224</v>
      </c>
      <c r="K1012" s="1" t="s">
        <v>4679</v>
      </c>
      <c r="L1012" s="2">
        <v>46177.918923611112</v>
      </c>
      <c r="M1012" s="2">
        <v>46177.921329212964</v>
      </c>
    </row>
    <row r="1013" spans="1:13" x14ac:dyDescent="0.35">
      <c r="A1013" s="1" t="s">
        <v>641</v>
      </c>
      <c r="B1013" s="1" t="s">
        <v>13</v>
      </c>
      <c r="C1013" s="1" t="s">
        <v>642</v>
      </c>
      <c r="D1013">
        <v>0.75</v>
      </c>
      <c r="E1013" s="2">
        <v>46783</v>
      </c>
      <c r="F1013" s="1" t="s">
        <v>16</v>
      </c>
      <c r="G1013" s="1" t="s">
        <v>642</v>
      </c>
      <c r="H1013" s="1" t="s">
        <v>2</v>
      </c>
      <c r="I1013" s="2">
        <v>46177</v>
      </c>
      <c r="J1013" s="1" t="s">
        <v>215</v>
      </c>
      <c r="K1013" s="1" t="s">
        <v>4736</v>
      </c>
      <c r="L1013" s="2">
        <v>46177.918923611112</v>
      </c>
      <c r="M1013" s="2">
        <v>46177.921329212964</v>
      </c>
    </row>
    <row r="1014" spans="1:13" x14ac:dyDescent="0.35">
      <c r="A1014" s="1" t="s">
        <v>641</v>
      </c>
      <c r="B1014" s="1" t="s">
        <v>13</v>
      </c>
      <c r="C1014" s="1" t="s">
        <v>642</v>
      </c>
      <c r="D1014">
        <v>0.75</v>
      </c>
      <c r="E1014" s="2">
        <v>46783</v>
      </c>
      <c r="F1014" s="1" t="s">
        <v>16</v>
      </c>
      <c r="G1014" s="1" t="s">
        <v>642</v>
      </c>
      <c r="H1014" s="1" t="s">
        <v>2</v>
      </c>
      <c r="I1014" s="2">
        <v>46177</v>
      </c>
      <c r="J1014" s="1" t="s">
        <v>214</v>
      </c>
      <c r="K1014" s="1" t="s">
        <v>4679</v>
      </c>
      <c r="L1014" s="2">
        <v>46177.918923611112</v>
      </c>
      <c r="M1014" s="2">
        <v>46177.921329212964</v>
      </c>
    </row>
    <row r="1015" spans="1:13" x14ac:dyDescent="0.35">
      <c r="A1015" s="1" t="s">
        <v>641</v>
      </c>
      <c r="B1015" s="1" t="s">
        <v>13</v>
      </c>
      <c r="C1015" s="1" t="s">
        <v>642</v>
      </c>
      <c r="D1015">
        <v>0.75</v>
      </c>
      <c r="E1015" s="2">
        <v>46783</v>
      </c>
      <c r="F1015" s="1" t="s">
        <v>16</v>
      </c>
      <c r="G1015" s="1" t="s">
        <v>642</v>
      </c>
      <c r="H1015" s="1" t="s">
        <v>2</v>
      </c>
      <c r="I1015" s="2">
        <v>46177</v>
      </c>
      <c r="J1015" s="1" t="s">
        <v>18</v>
      </c>
      <c r="K1015" s="1" t="s">
        <v>2678</v>
      </c>
      <c r="L1015" s="2">
        <v>46177.92087962963</v>
      </c>
      <c r="M1015" s="2">
        <v>46177.921329212964</v>
      </c>
    </row>
    <row r="1016" spans="1:13" x14ac:dyDescent="0.35">
      <c r="A1016" s="1" t="s">
        <v>641</v>
      </c>
      <c r="B1016" s="1" t="s">
        <v>13</v>
      </c>
      <c r="C1016" s="1" t="s">
        <v>642</v>
      </c>
      <c r="D1016">
        <v>0.75</v>
      </c>
      <c r="E1016" s="2">
        <v>46783</v>
      </c>
      <c r="F1016" s="1" t="s">
        <v>16</v>
      </c>
      <c r="G1016" s="1" t="s">
        <v>642</v>
      </c>
      <c r="H1016" s="1" t="s">
        <v>2</v>
      </c>
      <c r="I1016" s="2">
        <v>46177</v>
      </c>
      <c r="J1016" s="1" t="s">
        <v>17</v>
      </c>
      <c r="K1016" s="1" t="s">
        <v>2571</v>
      </c>
      <c r="L1016" s="2">
        <v>46177.92087962963</v>
      </c>
      <c r="M1016" s="2">
        <v>46177.921329212964</v>
      </c>
    </row>
    <row r="1017" spans="1:13" x14ac:dyDescent="0.35">
      <c r="A1017" s="1" t="s">
        <v>641</v>
      </c>
      <c r="B1017" s="1" t="s">
        <v>13</v>
      </c>
      <c r="C1017" s="1" t="s">
        <v>642</v>
      </c>
      <c r="D1017">
        <v>0.75</v>
      </c>
      <c r="E1017" s="2">
        <v>46783</v>
      </c>
      <c r="F1017" s="1" t="s">
        <v>16</v>
      </c>
      <c r="G1017" s="1" t="s">
        <v>642</v>
      </c>
      <c r="H1017" s="1" t="s">
        <v>2</v>
      </c>
      <c r="I1017" s="2">
        <v>46177</v>
      </c>
      <c r="J1017" s="1" t="s">
        <v>67</v>
      </c>
      <c r="K1017" s="1" t="s">
        <v>4736</v>
      </c>
      <c r="L1017" s="2">
        <v>46177.918923611112</v>
      </c>
      <c r="M1017" s="2">
        <v>46177.921329212964</v>
      </c>
    </row>
    <row r="1018" spans="1:13" x14ac:dyDescent="0.35">
      <c r="A1018" s="1" t="s">
        <v>617</v>
      </c>
      <c r="B1018" s="1" t="s">
        <v>13</v>
      </c>
      <c r="C1018" s="1" t="s">
        <v>618</v>
      </c>
      <c r="D1018">
        <v>1.125</v>
      </c>
      <c r="E1018" s="2">
        <v>47894</v>
      </c>
      <c r="F1018" s="1" t="s">
        <v>16</v>
      </c>
      <c r="G1018" s="1" t="s">
        <v>618</v>
      </c>
      <c r="H1018" s="1" t="s">
        <v>2</v>
      </c>
      <c r="I1018" s="2">
        <v>46177</v>
      </c>
      <c r="J1018" s="1" t="s">
        <v>214</v>
      </c>
      <c r="K1018" s="1" t="s">
        <v>4680</v>
      </c>
      <c r="L1018" s="2">
        <v>46177.918923611112</v>
      </c>
      <c r="M1018" s="2">
        <v>46177.921329212964</v>
      </c>
    </row>
    <row r="1019" spans="1:13" x14ac:dyDescent="0.35">
      <c r="A1019" s="1" t="s">
        <v>617</v>
      </c>
      <c r="B1019" s="1" t="s">
        <v>13</v>
      </c>
      <c r="C1019" s="1" t="s">
        <v>618</v>
      </c>
      <c r="D1019">
        <v>1.125</v>
      </c>
      <c r="E1019" s="2">
        <v>47894</v>
      </c>
      <c r="F1019" s="1" t="s">
        <v>16</v>
      </c>
      <c r="G1019" s="1" t="s">
        <v>618</v>
      </c>
      <c r="H1019" s="1" t="s">
        <v>2</v>
      </c>
      <c r="I1019" s="2">
        <v>46177</v>
      </c>
      <c r="J1019" s="1" t="s">
        <v>17</v>
      </c>
      <c r="K1019" s="1" t="s">
        <v>2402</v>
      </c>
      <c r="L1019" s="2">
        <v>46177.92087962963</v>
      </c>
      <c r="M1019" s="2">
        <v>46177.921329212964</v>
      </c>
    </row>
    <row r="1020" spans="1:13" x14ac:dyDescent="0.35">
      <c r="A1020" s="1" t="s">
        <v>617</v>
      </c>
      <c r="B1020" s="1" t="s">
        <v>13</v>
      </c>
      <c r="C1020" s="1" t="s">
        <v>618</v>
      </c>
      <c r="D1020">
        <v>1.125</v>
      </c>
      <c r="E1020" s="2">
        <v>47894</v>
      </c>
      <c r="F1020" s="1" t="s">
        <v>16</v>
      </c>
      <c r="G1020" s="1" t="s">
        <v>618</v>
      </c>
      <c r="H1020" s="1" t="s">
        <v>2</v>
      </c>
      <c r="I1020" s="2">
        <v>46177</v>
      </c>
      <c r="J1020" s="1" t="s">
        <v>18</v>
      </c>
      <c r="K1020" s="1" t="s">
        <v>4633</v>
      </c>
      <c r="L1020" s="2">
        <v>46177.92087962963</v>
      </c>
      <c r="M1020" s="2">
        <v>46177.921329212964</v>
      </c>
    </row>
    <row r="1021" spans="1:13" x14ac:dyDescent="0.35">
      <c r="A1021" s="1" t="s">
        <v>617</v>
      </c>
      <c r="B1021" s="1" t="s">
        <v>13</v>
      </c>
      <c r="C1021" s="1" t="s">
        <v>618</v>
      </c>
      <c r="D1021">
        <v>1.125</v>
      </c>
      <c r="E1021" s="2">
        <v>47894</v>
      </c>
      <c r="F1021" s="1" t="s">
        <v>16</v>
      </c>
      <c r="G1021" s="1" t="s">
        <v>618</v>
      </c>
      <c r="H1021" s="1" t="s">
        <v>2</v>
      </c>
      <c r="I1021" s="2">
        <v>46177</v>
      </c>
      <c r="J1021" s="1" t="s">
        <v>215</v>
      </c>
      <c r="K1021" s="1" t="s">
        <v>4634</v>
      </c>
      <c r="L1021" s="2">
        <v>46177.918923611112</v>
      </c>
      <c r="M1021" s="2">
        <v>46177.921329212964</v>
      </c>
    </row>
    <row r="1022" spans="1:13" x14ac:dyDescent="0.35">
      <c r="A1022" s="1" t="s">
        <v>617</v>
      </c>
      <c r="B1022" s="1" t="s">
        <v>13</v>
      </c>
      <c r="C1022" s="1" t="s">
        <v>618</v>
      </c>
      <c r="D1022">
        <v>1.125</v>
      </c>
      <c r="E1022" s="2">
        <v>47894</v>
      </c>
      <c r="F1022" s="1" t="s">
        <v>16</v>
      </c>
      <c r="G1022" s="1" t="s">
        <v>618</v>
      </c>
      <c r="H1022" s="1" t="s">
        <v>2</v>
      </c>
      <c r="I1022" s="2">
        <v>46177</v>
      </c>
      <c r="J1022" s="1" t="s">
        <v>67</v>
      </c>
      <c r="K1022" s="1" t="s">
        <v>4634</v>
      </c>
      <c r="L1022" s="2">
        <v>46177.918923611112</v>
      </c>
      <c r="M1022" s="2">
        <v>46177.921329212964</v>
      </c>
    </row>
    <row r="1023" spans="1:13" x14ac:dyDescent="0.35">
      <c r="A1023" s="1" t="s">
        <v>617</v>
      </c>
      <c r="B1023" s="1" t="s">
        <v>13</v>
      </c>
      <c r="C1023" s="1" t="s">
        <v>618</v>
      </c>
      <c r="D1023">
        <v>1.125</v>
      </c>
      <c r="E1023" s="2">
        <v>47894</v>
      </c>
      <c r="F1023" s="1" t="s">
        <v>16</v>
      </c>
      <c r="G1023" s="1" t="s">
        <v>618</v>
      </c>
      <c r="H1023" s="1" t="s">
        <v>2</v>
      </c>
      <c r="I1023" s="2">
        <v>46177</v>
      </c>
      <c r="J1023" s="1" t="s">
        <v>224</v>
      </c>
      <c r="K1023" s="1" t="s">
        <v>4680</v>
      </c>
      <c r="L1023" s="2">
        <v>46177.918923611112</v>
      </c>
      <c r="M1023" s="2">
        <v>46177.921329212964</v>
      </c>
    </row>
    <row r="1024" spans="1:13" x14ac:dyDescent="0.35">
      <c r="A1024" s="1" t="s">
        <v>521</v>
      </c>
      <c r="B1024" s="1" t="s">
        <v>13</v>
      </c>
      <c r="C1024" s="1" t="s">
        <v>522</v>
      </c>
      <c r="D1024">
        <v>1.125</v>
      </c>
      <c r="E1024" s="2">
        <v>46812</v>
      </c>
      <c r="F1024" s="1" t="s">
        <v>16</v>
      </c>
      <c r="G1024" s="1" t="s">
        <v>522</v>
      </c>
      <c r="H1024" s="1" t="s">
        <v>2</v>
      </c>
      <c r="I1024" s="2">
        <v>46177</v>
      </c>
      <c r="J1024" s="1" t="s">
        <v>18</v>
      </c>
      <c r="K1024" s="1" t="s">
        <v>2568</v>
      </c>
      <c r="L1024" s="2">
        <v>46177.92087962963</v>
      </c>
      <c r="M1024" s="2">
        <v>46177.921329212964</v>
      </c>
    </row>
    <row r="1025" spans="1:13" x14ac:dyDescent="0.35">
      <c r="A1025" s="1" t="s">
        <v>521</v>
      </c>
      <c r="B1025" s="1" t="s">
        <v>13</v>
      </c>
      <c r="C1025" s="1" t="s">
        <v>522</v>
      </c>
      <c r="D1025">
        <v>1.125</v>
      </c>
      <c r="E1025" s="2">
        <v>46812</v>
      </c>
      <c r="F1025" s="1" t="s">
        <v>16</v>
      </c>
      <c r="G1025" s="1" t="s">
        <v>522</v>
      </c>
      <c r="H1025" s="1" t="s">
        <v>2</v>
      </c>
      <c r="I1025" s="2">
        <v>46177</v>
      </c>
      <c r="J1025" s="1" t="s">
        <v>214</v>
      </c>
      <c r="K1025" s="1" t="s">
        <v>4794</v>
      </c>
      <c r="L1025" s="2">
        <v>46177.918923611112</v>
      </c>
      <c r="M1025" s="2">
        <v>46177.921329212964</v>
      </c>
    </row>
    <row r="1026" spans="1:13" x14ac:dyDescent="0.35">
      <c r="A1026" s="1" t="s">
        <v>521</v>
      </c>
      <c r="B1026" s="1" t="s">
        <v>13</v>
      </c>
      <c r="C1026" s="1" t="s">
        <v>522</v>
      </c>
      <c r="D1026">
        <v>1.125</v>
      </c>
      <c r="E1026" s="2">
        <v>46812</v>
      </c>
      <c r="F1026" s="1" t="s">
        <v>16</v>
      </c>
      <c r="G1026" s="1" t="s">
        <v>522</v>
      </c>
      <c r="H1026" s="1" t="s">
        <v>2</v>
      </c>
      <c r="I1026" s="2">
        <v>46177</v>
      </c>
      <c r="J1026" s="1" t="s">
        <v>67</v>
      </c>
      <c r="K1026" s="1" t="s">
        <v>4728</v>
      </c>
      <c r="L1026" s="2">
        <v>46177.918923611112</v>
      </c>
      <c r="M1026" s="2">
        <v>46177.921329212964</v>
      </c>
    </row>
    <row r="1027" spans="1:13" x14ac:dyDescent="0.35">
      <c r="A1027" s="1" t="s">
        <v>521</v>
      </c>
      <c r="B1027" s="1" t="s">
        <v>13</v>
      </c>
      <c r="C1027" s="1" t="s">
        <v>522</v>
      </c>
      <c r="D1027">
        <v>1.125</v>
      </c>
      <c r="E1027" s="2">
        <v>46812</v>
      </c>
      <c r="F1027" s="1" t="s">
        <v>16</v>
      </c>
      <c r="G1027" s="1" t="s">
        <v>522</v>
      </c>
      <c r="H1027" s="1" t="s">
        <v>2</v>
      </c>
      <c r="I1027" s="2">
        <v>46177</v>
      </c>
      <c r="J1027" s="1" t="s">
        <v>224</v>
      </c>
      <c r="K1027" s="1" t="s">
        <v>4794</v>
      </c>
      <c r="L1027" s="2">
        <v>46177.918923611112</v>
      </c>
      <c r="M1027" s="2">
        <v>46177.921329212964</v>
      </c>
    </row>
    <row r="1028" spans="1:13" x14ac:dyDescent="0.35">
      <c r="A1028" s="1" t="s">
        <v>521</v>
      </c>
      <c r="B1028" s="1" t="s">
        <v>13</v>
      </c>
      <c r="C1028" s="1" t="s">
        <v>522</v>
      </c>
      <c r="D1028">
        <v>1.125</v>
      </c>
      <c r="E1028" s="2">
        <v>46812</v>
      </c>
      <c r="F1028" s="1" t="s">
        <v>16</v>
      </c>
      <c r="G1028" s="1" t="s">
        <v>522</v>
      </c>
      <c r="H1028" s="1" t="s">
        <v>2</v>
      </c>
      <c r="I1028" s="2">
        <v>46177</v>
      </c>
      <c r="J1028" s="1" t="s">
        <v>17</v>
      </c>
      <c r="K1028" s="1" t="s">
        <v>3043</v>
      </c>
      <c r="L1028" s="2">
        <v>46177.92087962963</v>
      </c>
      <c r="M1028" s="2">
        <v>46177.921329212964</v>
      </c>
    </row>
    <row r="1029" spans="1:13" x14ac:dyDescent="0.35">
      <c r="A1029" s="1" t="s">
        <v>521</v>
      </c>
      <c r="B1029" s="1" t="s">
        <v>13</v>
      </c>
      <c r="C1029" s="1" t="s">
        <v>522</v>
      </c>
      <c r="D1029">
        <v>1.125</v>
      </c>
      <c r="E1029" s="2">
        <v>46812</v>
      </c>
      <c r="F1029" s="1" t="s">
        <v>16</v>
      </c>
      <c r="G1029" s="1" t="s">
        <v>522</v>
      </c>
      <c r="H1029" s="1" t="s">
        <v>2</v>
      </c>
      <c r="I1029" s="2">
        <v>46177</v>
      </c>
      <c r="J1029" s="1" t="s">
        <v>215</v>
      </c>
      <c r="K1029" s="1" t="s">
        <v>4728</v>
      </c>
      <c r="L1029" s="2">
        <v>46177.918923611112</v>
      </c>
      <c r="M1029" s="2">
        <v>46177.921329212964</v>
      </c>
    </row>
    <row r="1030" spans="1:13" x14ac:dyDescent="0.35">
      <c r="A1030" s="1" t="s">
        <v>619</v>
      </c>
      <c r="B1030" s="1" t="s">
        <v>13</v>
      </c>
      <c r="C1030" s="1" t="s">
        <v>620</v>
      </c>
      <c r="D1030">
        <v>1.25</v>
      </c>
      <c r="E1030" s="2">
        <v>46843</v>
      </c>
      <c r="F1030" s="1" t="s">
        <v>16</v>
      </c>
      <c r="G1030" s="1" t="s">
        <v>620</v>
      </c>
      <c r="H1030" s="1" t="s">
        <v>2</v>
      </c>
      <c r="I1030" s="2">
        <v>46177</v>
      </c>
      <c r="J1030" s="1" t="s">
        <v>17</v>
      </c>
      <c r="K1030" s="1" t="s">
        <v>2568</v>
      </c>
      <c r="L1030" s="2">
        <v>46177.92087962963</v>
      </c>
      <c r="M1030" s="2">
        <v>46177.921329212964</v>
      </c>
    </row>
    <row r="1031" spans="1:13" x14ac:dyDescent="0.35">
      <c r="A1031" s="1" t="s">
        <v>619</v>
      </c>
      <c r="B1031" s="1" t="s">
        <v>13</v>
      </c>
      <c r="C1031" s="1" t="s">
        <v>620</v>
      </c>
      <c r="D1031">
        <v>1.25</v>
      </c>
      <c r="E1031" s="2">
        <v>46843</v>
      </c>
      <c r="F1031" s="1" t="s">
        <v>16</v>
      </c>
      <c r="G1031" s="1" t="s">
        <v>620</v>
      </c>
      <c r="H1031" s="1" t="s">
        <v>2</v>
      </c>
      <c r="I1031" s="2">
        <v>46177</v>
      </c>
      <c r="J1031" s="1" t="s">
        <v>215</v>
      </c>
      <c r="K1031" s="1" t="s">
        <v>4681</v>
      </c>
      <c r="L1031" s="2">
        <v>46177.918923611112</v>
      </c>
      <c r="M1031" s="2">
        <v>46177.921329212964</v>
      </c>
    </row>
    <row r="1032" spans="1:13" x14ac:dyDescent="0.35">
      <c r="A1032" s="1" t="s">
        <v>619</v>
      </c>
      <c r="B1032" s="1" t="s">
        <v>13</v>
      </c>
      <c r="C1032" s="1" t="s">
        <v>620</v>
      </c>
      <c r="D1032">
        <v>1.25</v>
      </c>
      <c r="E1032" s="2">
        <v>46843</v>
      </c>
      <c r="F1032" s="1" t="s">
        <v>16</v>
      </c>
      <c r="G1032" s="1" t="s">
        <v>620</v>
      </c>
      <c r="H1032" s="1" t="s">
        <v>2</v>
      </c>
      <c r="I1032" s="2">
        <v>46177</v>
      </c>
      <c r="J1032" s="1" t="s">
        <v>224</v>
      </c>
      <c r="K1032" s="1" t="s">
        <v>4636</v>
      </c>
      <c r="L1032" s="2">
        <v>46177.918923611112</v>
      </c>
      <c r="M1032" s="2">
        <v>46177.921329212964</v>
      </c>
    </row>
    <row r="1033" spans="1:13" x14ac:dyDescent="0.35">
      <c r="A1033" s="1" t="s">
        <v>619</v>
      </c>
      <c r="B1033" s="1" t="s">
        <v>13</v>
      </c>
      <c r="C1033" s="1" t="s">
        <v>620</v>
      </c>
      <c r="D1033">
        <v>1.25</v>
      </c>
      <c r="E1033" s="2">
        <v>46843</v>
      </c>
      <c r="F1033" s="1" t="s">
        <v>16</v>
      </c>
      <c r="G1033" s="1" t="s">
        <v>620</v>
      </c>
      <c r="H1033" s="1" t="s">
        <v>2</v>
      </c>
      <c r="I1033" s="2">
        <v>46177</v>
      </c>
      <c r="J1033" s="1" t="s">
        <v>18</v>
      </c>
      <c r="K1033" s="1" t="s">
        <v>4635</v>
      </c>
      <c r="L1033" s="2">
        <v>46177.92087962963</v>
      </c>
      <c r="M1033" s="2">
        <v>46177.921329212964</v>
      </c>
    </row>
    <row r="1034" spans="1:13" x14ac:dyDescent="0.35">
      <c r="A1034" s="1" t="s">
        <v>619</v>
      </c>
      <c r="B1034" s="1" t="s">
        <v>13</v>
      </c>
      <c r="C1034" s="1" t="s">
        <v>620</v>
      </c>
      <c r="D1034">
        <v>1.25</v>
      </c>
      <c r="E1034" s="2">
        <v>46843</v>
      </c>
      <c r="F1034" s="1" t="s">
        <v>16</v>
      </c>
      <c r="G1034" s="1" t="s">
        <v>620</v>
      </c>
      <c r="H1034" s="1" t="s">
        <v>2</v>
      </c>
      <c r="I1034" s="2">
        <v>46177</v>
      </c>
      <c r="J1034" s="1" t="s">
        <v>214</v>
      </c>
      <c r="K1034" s="1" t="s">
        <v>4636</v>
      </c>
      <c r="L1034" s="2">
        <v>46177.918923611112</v>
      </c>
      <c r="M1034" s="2">
        <v>46177.921329212964</v>
      </c>
    </row>
    <row r="1035" spans="1:13" x14ac:dyDescent="0.35">
      <c r="A1035" s="1" t="s">
        <v>619</v>
      </c>
      <c r="B1035" s="1" t="s">
        <v>13</v>
      </c>
      <c r="C1035" s="1" t="s">
        <v>620</v>
      </c>
      <c r="D1035">
        <v>1.25</v>
      </c>
      <c r="E1035" s="2">
        <v>46843</v>
      </c>
      <c r="F1035" s="1" t="s">
        <v>16</v>
      </c>
      <c r="G1035" s="1" t="s">
        <v>620</v>
      </c>
      <c r="H1035" s="1" t="s">
        <v>2</v>
      </c>
      <c r="I1035" s="2">
        <v>46177</v>
      </c>
      <c r="J1035" s="1" t="s">
        <v>67</v>
      </c>
      <c r="K1035" s="1" t="s">
        <v>4681</v>
      </c>
      <c r="L1035" s="2">
        <v>46177.918923611112</v>
      </c>
      <c r="M1035" s="2">
        <v>46177.921329212964</v>
      </c>
    </row>
    <row r="1036" spans="1:13" x14ac:dyDescent="0.35">
      <c r="A1036" s="1" t="s">
        <v>627</v>
      </c>
      <c r="B1036" s="1" t="s">
        <v>13</v>
      </c>
      <c r="C1036" s="1" t="s">
        <v>628</v>
      </c>
      <c r="D1036">
        <v>1.25</v>
      </c>
      <c r="E1036" s="2">
        <v>46873</v>
      </c>
      <c r="F1036" s="1" t="s">
        <v>16</v>
      </c>
      <c r="G1036" s="1" t="s">
        <v>628</v>
      </c>
      <c r="H1036" s="1" t="s">
        <v>2</v>
      </c>
      <c r="I1036" s="2">
        <v>46177</v>
      </c>
      <c r="J1036" s="1" t="s">
        <v>224</v>
      </c>
      <c r="K1036" s="1" t="s">
        <v>4751</v>
      </c>
      <c r="L1036" s="2">
        <v>46177.918923611112</v>
      </c>
      <c r="M1036" s="2">
        <v>46177.921329212964</v>
      </c>
    </row>
    <row r="1037" spans="1:13" x14ac:dyDescent="0.35">
      <c r="A1037" s="1" t="s">
        <v>627</v>
      </c>
      <c r="B1037" s="1" t="s">
        <v>13</v>
      </c>
      <c r="C1037" s="1" t="s">
        <v>628</v>
      </c>
      <c r="D1037">
        <v>1.25</v>
      </c>
      <c r="E1037" s="2">
        <v>46873</v>
      </c>
      <c r="F1037" s="1" t="s">
        <v>16</v>
      </c>
      <c r="G1037" s="1" t="s">
        <v>628</v>
      </c>
      <c r="H1037" s="1" t="s">
        <v>2</v>
      </c>
      <c r="I1037" s="2">
        <v>46177</v>
      </c>
      <c r="J1037" s="1" t="s">
        <v>18</v>
      </c>
      <c r="K1037" s="1" t="s">
        <v>4898</v>
      </c>
      <c r="L1037" s="2">
        <v>46177.92087962963</v>
      </c>
      <c r="M1037" s="2">
        <v>46177.921329212964</v>
      </c>
    </row>
    <row r="1038" spans="1:13" x14ac:dyDescent="0.35">
      <c r="A1038" s="1" t="s">
        <v>627</v>
      </c>
      <c r="B1038" s="1" t="s">
        <v>13</v>
      </c>
      <c r="C1038" s="1" t="s">
        <v>628</v>
      </c>
      <c r="D1038">
        <v>1.25</v>
      </c>
      <c r="E1038" s="2">
        <v>46873</v>
      </c>
      <c r="F1038" s="1" t="s">
        <v>16</v>
      </c>
      <c r="G1038" s="1" t="s">
        <v>628</v>
      </c>
      <c r="H1038" s="1" t="s">
        <v>2</v>
      </c>
      <c r="I1038" s="2">
        <v>46177</v>
      </c>
      <c r="J1038" s="1" t="s">
        <v>67</v>
      </c>
      <c r="K1038" s="1" t="s">
        <v>4637</v>
      </c>
      <c r="L1038" s="2">
        <v>46177.918923611112</v>
      </c>
      <c r="M1038" s="2">
        <v>46177.921329212964</v>
      </c>
    </row>
    <row r="1039" spans="1:13" x14ac:dyDescent="0.35">
      <c r="A1039" s="1" t="s">
        <v>627</v>
      </c>
      <c r="B1039" s="1" t="s">
        <v>13</v>
      </c>
      <c r="C1039" s="1" t="s">
        <v>628</v>
      </c>
      <c r="D1039">
        <v>1.25</v>
      </c>
      <c r="E1039" s="2">
        <v>46873</v>
      </c>
      <c r="F1039" s="1" t="s">
        <v>16</v>
      </c>
      <c r="G1039" s="1" t="s">
        <v>628</v>
      </c>
      <c r="H1039" s="1" t="s">
        <v>2</v>
      </c>
      <c r="I1039" s="2">
        <v>46177</v>
      </c>
      <c r="J1039" s="1" t="s">
        <v>17</v>
      </c>
      <c r="K1039" s="1" t="s">
        <v>2895</v>
      </c>
      <c r="L1039" s="2">
        <v>46177.92087962963</v>
      </c>
      <c r="M1039" s="2">
        <v>46177.921329212964</v>
      </c>
    </row>
    <row r="1040" spans="1:13" x14ac:dyDescent="0.35">
      <c r="A1040" s="1" t="s">
        <v>627</v>
      </c>
      <c r="B1040" s="1" t="s">
        <v>13</v>
      </c>
      <c r="C1040" s="1" t="s">
        <v>628</v>
      </c>
      <c r="D1040">
        <v>1.25</v>
      </c>
      <c r="E1040" s="2">
        <v>46873</v>
      </c>
      <c r="F1040" s="1" t="s">
        <v>16</v>
      </c>
      <c r="G1040" s="1" t="s">
        <v>628</v>
      </c>
      <c r="H1040" s="1" t="s">
        <v>2</v>
      </c>
      <c r="I1040" s="2">
        <v>46177</v>
      </c>
      <c r="J1040" s="1" t="s">
        <v>214</v>
      </c>
      <c r="K1040" s="1" t="s">
        <v>4751</v>
      </c>
      <c r="L1040" s="2">
        <v>46177.918923611112</v>
      </c>
      <c r="M1040" s="2">
        <v>46177.921329212964</v>
      </c>
    </row>
    <row r="1041" spans="1:13" x14ac:dyDescent="0.35">
      <c r="A1041" s="1" t="s">
        <v>627</v>
      </c>
      <c r="B1041" s="1" t="s">
        <v>13</v>
      </c>
      <c r="C1041" s="1" t="s">
        <v>628</v>
      </c>
      <c r="D1041">
        <v>1.25</v>
      </c>
      <c r="E1041" s="2">
        <v>46873</v>
      </c>
      <c r="F1041" s="1" t="s">
        <v>16</v>
      </c>
      <c r="G1041" s="1" t="s">
        <v>628</v>
      </c>
      <c r="H1041" s="1" t="s">
        <v>2</v>
      </c>
      <c r="I1041" s="2">
        <v>46177</v>
      </c>
      <c r="J1041" s="1" t="s">
        <v>215</v>
      </c>
      <c r="K1041" s="1" t="s">
        <v>4637</v>
      </c>
      <c r="L1041" s="2">
        <v>46177.918923611112</v>
      </c>
      <c r="M1041" s="2">
        <v>46177.921329212964</v>
      </c>
    </row>
    <row r="1042" spans="1:13" x14ac:dyDescent="0.35">
      <c r="A1042" s="1" t="s">
        <v>523</v>
      </c>
      <c r="B1042" s="1" t="s">
        <v>13</v>
      </c>
      <c r="C1042" s="1" t="s">
        <v>524</v>
      </c>
      <c r="D1042">
        <v>1.625</v>
      </c>
      <c r="E1042" s="2">
        <v>47983</v>
      </c>
      <c r="F1042" s="1" t="s">
        <v>16</v>
      </c>
      <c r="G1042" s="1" t="s">
        <v>524</v>
      </c>
      <c r="H1042" s="1" t="s">
        <v>2</v>
      </c>
      <c r="I1042" s="2">
        <v>46177</v>
      </c>
      <c r="J1042" s="1" t="s">
        <v>17</v>
      </c>
      <c r="K1042" s="1" t="s">
        <v>4682</v>
      </c>
      <c r="L1042" s="2">
        <v>46177.92087962963</v>
      </c>
      <c r="M1042" s="2">
        <v>46177.921329212964</v>
      </c>
    </row>
    <row r="1043" spans="1:13" x14ac:dyDescent="0.35">
      <c r="A1043" s="1" t="s">
        <v>523</v>
      </c>
      <c r="B1043" s="1" t="s">
        <v>13</v>
      </c>
      <c r="C1043" s="1" t="s">
        <v>524</v>
      </c>
      <c r="D1043">
        <v>1.625</v>
      </c>
      <c r="E1043" s="2">
        <v>47983</v>
      </c>
      <c r="F1043" s="1" t="s">
        <v>16</v>
      </c>
      <c r="G1043" s="1" t="s">
        <v>524</v>
      </c>
      <c r="H1043" s="1" t="s">
        <v>2</v>
      </c>
      <c r="I1043" s="2">
        <v>46177</v>
      </c>
      <c r="J1043" s="1" t="s">
        <v>18</v>
      </c>
      <c r="K1043" s="1" t="s">
        <v>2334</v>
      </c>
      <c r="L1043" s="2">
        <v>46177.92087962963</v>
      </c>
      <c r="M1043" s="2">
        <v>46177.921329212964</v>
      </c>
    </row>
    <row r="1044" spans="1:13" x14ac:dyDescent="0.35">
      <c r="A1044" s="1" t="s">
        <v>523</v>
      </c>
      <c r="B1044" s="1" t="s">
        <v>13</v>
      </c>
      <c r="C1044" s="1" t="s">
        <v>524</v>
      </c>
      <c r="D1044">
        <v>1.625</v>
      </c>
      <c r="E1044" s="2">
        <v>47983</v>
      </c>
      <c r="F1044" s="1" t="s">
        <v>16</v>
      </c>
      <c r="G1044" s="1" t="s">
        <v>524</v>
      </c>
      <c r="H1044" s="1" t="s">
        <v>2</v>
      </c>
      <c r="I1044" s="2">
        <v>46177</v>
      </c>
      <c r="J1044" s="1" t="s">
        <v>224</v>
      </c>
      <c r="K1044" s="1" t="s">
        <v>4638</v>
      </c>
      <c r="L1044" s="2">
        <v>46177.918923611112</v>
      </c>
      <c r="M1044" s="2">
        <v>46177.921329212964</v>
      </c>
    </row>
    <row r="1045" spans="1:13" x14ac:dyDescent="0.35">
      <c r="A1045" s="1" t="s">
        <v>523</v>
      </c>
      <c r="B1045" s="1" t="s">
        <v>13</v>
      </c>
      <c r="C1045" s="1" t="s">
        <v>524</v>
      </c>
      <c r="D1045">
        <v>1.625</v>
      </c>
      <c r="E1045" s="2">
        <v>47983</v>
      </c>
      <c r="F1045" s="1" t="s">
        <v>16</v>
      </c>
      <c r="G1045" s="1" t="s">
        <v>524</v>
      </c>
      <c r="H1045" s="1" t="s">
        <v>2</v>
      </c>
      <c r="I1045" s="2">
        <v>46177</v>
      </c>
      <c r="J1045" s="1" t="s">
        <v>214</v>
      </c>
      <c r="K1045" s="1" t="s">
        <v>4638</v>
      </c>
      <c r="L1045" s="2">
        <v>46177.918923611112</v>
      </c>
      <c r="M1045" s="2">
        <v>46177.921329212964</v>
      </c>
    </row>
    <row r="1046" spans="1:13" x14ac:dyDescent="0.35">
      <c r="A1046" s="1" t="s">
        <v>523</v>
      </c>
      <c r="B1046" s="1" t="s">
        <v>13</v>
      </c>
      <c r="C1046" s="1" t="s">
        <v>524</v>
      </c>
      <c r="D1046">
        <v>1.625</v>
      </c>
      <c r="E1046" s="2">
        <v>47983</v>
      </c>
      <c r="F1046" s="1" t="s">
        <v>16</v>
      </c>
      <c r="G1046" s="1" t="s">
        <v>524</v>
      </c>
      <c r="H1046" s="1" t="s">
        <v>2</v>
      </c>
      <c r="I1046" s="2">
        <v>46177</v>
      </c>
      <c r="J1046" s="1" t="s">
        <v>67</v>
      </c>
      <c r="K1046" s="1" t="s">
        <v>4639</v>
      </c>
      <c r="L1046" s="2">
        <v>46177.918923611112</v>
      </c>
      <c r="M1046" s="2">
        <v>46177.921329212964</v>
      </c>
    </row>
    <row r="1047" spans="1:13" x14ac:dyDescent="0.35">
      <c r="A1047" s="1" t="s">
        <v>523</v>
      </c>
      <c r="B1047" s="1" t="s">
        <v>13</v>
      </c>
      <c r="C1047" s="1" t="s">
        <v>524</v>
      </c>
      <c r="D1047">
        <v>1.625</v>
      </c>
      <c r="E1047" s="2">
        <v>47983</v>
      </c>
      <c r="F1047" s="1" t="s">
        <v>16</v>
      </c>
      <c r="G1047" s="1" t="s">
        <v>524</v>
      </c>
      <c r="H1047" s="1" t="s">
        <v>2</v>
      </c>
      <c r="I1047" s="2">
        <v>46177</v>
      </c>
      <c r="J1047" s="1" t="s">
        <v>215</v>
      </c>
      <c r="K1047" s="1" t="s">
        <v>4639</v>
      </c>
      <c r="L1047" s="2">
        <v>46177.918923611112</v>
      </c>
      <c r="M1047" s="2">
        <v>46177.921329212964</v>
      </c>
    </row>
    <row r="1048" spans="1:13" x14ac:dyDescent="0.35">
      <c r="A1048" s="1" t="s">
        <v>525</v>
      </c>
      <c r="B1048" s="1" t="s">
        <v>13</v>
      </c>
      <c r="C1048" s="1" t="s">
        <v>526</v>
      </c>
      <c r="D1048">
        <v>1.25</v>
      </c>
      <c r="E1048" s="2">
        <v>46904</v>
      </c>
      <c r="F1048" s="1" t="s">
        <v>16</v>
      </c>
      <c r="G1048" s="1" t="s">
        <v>526</v>
      </c>
      <c r="H1048" s="1" t="s">
        <v>2</v>
      </c>
      <c r="I1048" s="2">
        <v>46177</v>
      </c>
      <c r="J1048" s="1" t="s">
        <v>224</v>
      </c>
      <c r="K1048" s="1" t="s">
        <v>4683</v>
      </c>
      <c r="L1048" s="2">
        <v>46177.918923611112</v>
      </c>
      <c r="M1048" s="2">
        <v>46177.921329212964</v>
      </c>
    </row>
    <row r="1049" spans="1:13" x14ac:dyDescent="0.35">
      <c r="A1049" s="1" t="s">
        <v>525</v>
      </c>
      <c r="B1049" s="1" t="s">
        <v>13</v>
      </c>
      <c r="C1049" s="1" t="s">
        <v>526</v>
      </c>
      <c r="D1049">
        <v>1.25</v>
      </c>
      <c r="E1049" s="2">
        <v>46904</v>
      </c>
      <c r="F1049" s="1" t="s">
        <v>16</v>
      </c>
      <c r="G1049" s="1" t="s">
        <v>526</v>
      </c>
      <c r="H1049" s="1" t="s">
        <v>2</v>
      </c>
      <c r="I1049" s="2">
        <v>46177</v>
      </c>
      <c r="J1049" s="1" t="s">
        <v>17</v>
      </c>
      <c r="K1049" s="1" t="s">
        <v>2552</v>
      </c>
      <c r="L1049" s="2">
        <v>46177.92087962963</v>
      </c>
      <c r="M1049" s="2">
        <v>46177.921329212964</v>
      </c>
    </row>
    <row r="1050" spans="1:13" x14ac:dyDescent="0.35">
      <c r="A1050" s="1" t="s">
        <v>525</v>
      </c>
      <c r="B1050" s="1" t="s">
        <v>13</v>
      </c>
      <c r="C1050" s="1" t="s">
        <v>526</v>
      </c>
      <c r="D1050">
        <v>1.25</v>
      </c>
      <c r="E1050" s="2">
        <v>46904</v>
      </c>
      <c r="F1050" s="1" t="s">
        <v>16</v>
      </c>
      <c r="G1050" s="1" t="s">
        <v>526</v>
      </c>
      <c r="H1050" s="1" t="s">
        <v>2</v>
      </c>
      <c r="I1050" s="2">
        <v>46177</v>
      </c>
      <c r="J1050" s="1" t="s">
        <v>214</v>
      </c>
      <c r="K1050" s="1" t="s">
        <v>4683</v>
      </c>
      <c r="L1050" s="2">
        <v>46177.918923611112</v>
      </c>
      <c r="M1050" s="2">
        <v>46177.921329212964</v>
      </c>
    </row>
    <row r="1051" spans="1:13" x14ac:dyDescent="0.35">
      <c r="A1051" s="1" t="s">
        <v>525</v>
      </c>
      <c r="B1051" s="1" t="s">
        <v>13</v>
      </c>
      <c r="C1051" s="1" t="s">
        <v>526</v>
      </c>
      <c r="D1051">
        <v>1.25</v>
      </c>
      <c r="E1051" s="2">
        <v>46904</v>
      </c>
      <c r="F1051" s="1" t="s">
        <v>16</v>
      </c>
      <c r="G1051" s="1" t="s">
        <v>526</v>
      </c>
      <c r="H1051" s="1" t="s">
        <v>2</v>
      </c>
      <c r="I1051" s="2">
        <v>46177</v>
      </c>
      <c r="J1051" s="1" t="s">
        <v>215</v>
      </c>
      <c r="K1051" s="1" t="s">
        <v>4640</v>
      </c>
      <c r="L1051" s="2">
        <v>46177.918923611112</v>
      </c>
      <c r="M1051" s="2">
        <v>46177.921329212964</v>
      </c>
    </row>
    <row r="1052" spans="1:13" x14ac:dyDescent="0.35">
      <c r="A1052" s="1" t="s">
        <v>525</v>
      </c>
      <c r="B1052" s="1" t="s">
        <v>13</v>
      </c>
      <c r="C1052" s="1" t="s">
        <v>526</v>
      </c>
      <c r="D1052">
        <v>1.25</v>
      </c>
      <c r="E1052" s="2">
        <v>46904</v>
      </c>
      <c r="F1052" s="1" t="s">
        <v>16</v>
      </c>
      <c r="G1052" s="1" t="s">
        <v>526</v>
      </c>
      <c r="H1052" s="1" t="s">
        <v>2</v>
      </c>
      <c r="I1052" s="2">
        <v>46177</v>
      </c>
      <c r="J1052" s="1" t="s">
        <v>67</v>
      </c>
      <c r="K1052" s="1" t="s">
        <v>4640</v>
      </c>
      <c r="L1052" s="2">
        <v>46177.918923611112</v>
      </c>
      <c r="M1052" s="2">
        <v>46177.921329212964</v>
      </c>
    </row>
    <row r="1053" spans="1:13" x14ac:dyDescent="0.35">
      <c r="A1053" s="1" t="s">
        <v>525</v>
      </c>
      <c r="B1053" s="1" t="s">
        <v>13</v>
      </c>
      <c r="C1053" s="1" t="s">
        <v>526</v>
      </c>
      <c r="D1053">
        <v>1.25</v>
      </c>
      <c r="E1053" s="2">
        <v>46904</v>
      </c>
      <c r="F1053" s="1" t="s">
        <v>16</v>
      </c>
      <c r="G1053" s="1" t="s">
        <v>526</v>
      </c>
      <c r="H1053" s="1" t="s">
        <v>2</v>
      </c>
      <c r="I1053" s="2">
        <v>46177</v>
      </c>
      <c r="J1053" s="1" t="s">
        <v>18</v>
      </c>
      <c r="K1053" s="1" t="s">
        <v>2918</v>
      </c>
      <c r="L1053" s="2">
        <v>46177.92087962963</v>
      </c>
      <c r="M1053" s="2">
        <v>46177.921329212964</v>
      </c>
    </row>
    <row r="1054" spans="1:13" x14ac:dyDescent="0.35">
      <c r="A1054" s="1" t="s">
        <v>621</v>
      </c>
      <c r="B1054" s="1" t="s">
        <v>13</v>
      </c>
      <c r="C1054" s="1" t="s">
        <v>622</v>
      </c>
      <c r="D1054">
        <v>1.25</v>
      </c>
      <c r="E1054" s="2">
        <v>46934</v>
      </c>
      <c r="F1054" s="1" t="s">
        <v>16</v>
      </c>
      <c r="G1054" s="1" t="s">
        <v>622</v>
      </c>
      <c r="H1054" s="1" t="s">
        <v>2</v>
      </c>
      <c r="I1054" s="2">
        <v>46177</v>
      </c>
      <c r="J1054" s="1" t="s">
        <v>17</v>
      </c>
      <c r="K1054" s="1" t="s">
        <v>4684</v>
      </c>
      <c r="L1054" s="2">
        <v>46177.92087962963</v>
      </c>
      <c r="M1054" s="2">
        <v>46177.921329212964</v>
      </c>
    </row>
    <row r="1055" spans="1:13" x14ac:dyDescent="0.35">
      <c r="A1055" s="1" t="s">
        <v>621</v>
      </c>
      <c r="B1055" s="1" t="s">
        <v>13</v>
      </c>
      <c r="C1055" s="1" t="s">
        <v>622</v>
      </c>
      <c r="D1055">
        <v>1.25</v>
      </c>
      <c r="E1055" s="2">
        <v>46934</v>
      </c>
      <c r="F1055" s="1" t="s">
        <v>16</v>
      </c>
      <c r="G1055" s="1" t="s">
        <v>622</v>
      </c>
      <c r="H1055" s="1" t="s">
        <v>2</v>
      </c>
      <c r="I1055" s="2">
        <v>46177</v>
      </c>
      <c r="J1055" s="1" t="s">
        <v>215</v>
      </c>
      <c r="K1055" s="1" t="s">
        <v>4641</v>
      </c>
      <c r="L1055" s="2">
        <v>46177.918923611112</v>
      </c>
      <c r="M1055" s="2">
        <v>46177.921329212964</v>
      </c>
    </row>
    <row r="1056" spans="1:13" x14ac:dyDescent="0.35">
      <c r="A1056" s="1" t="s">
        <v>621</v>
      </c>
      <c r="B1056" s="1" t="s">
        <v>13</v>
      </c>
      <c r="C1056" s="1" t="s">
        <v>622</v>
      </c>
      <c r="D1056">
        <v>1.25</v>
      </c>
      <c r="E1056" s="2">
        <v>46934</v>
      </c>
      <c r="F1056" s="1" t="s">
        <v>16</v>
      </c>
      <c r="G1056" s="1" t="s">
        <v>622</v>
      </c>
      <c r="H1056" s="1" t="s">
        <v>2</v>
      </c>
      <c r="I1056" s="2">
        <v>46177</v>
      </c>
      <c r="J1056" s="1" t="s">
        <v>18</v>
      </c>
      <c r="K1056" s="1" t="s">
        <v>2588</v>
      </c>
      <c r="L1056" s="2">
        <v>46177.92087962963</v>
      </c>
      <c r="M1056" s="2">
        <v>46177.921329212964</v>
      </c>
    </row>
    <row r="1057" spans="1:13" x14ac:dyDescent="0.35">
      <c r="A1057" s="1" t="s">
        <v>621</v>
      </c>
      <c r="B1057" s="1" t="s">
        <v>13</v>
      </c>
      <c r="C1057" s="1" t="s">
        <v>622</v>
      </c>
      <c r="D1057">
        <v>1.25</v>
      </c>
      <c r="E1057" s="2">
        <v>46934</v>
      </c>
      <c r="F1057" s="1" t="s">
        <v>16</v>
      </c>
      <c r="G1057" s="1" t="s">
        <v>622</v>
      </c>
      <c r="H1057" s="1" t="s">
        <v>2</v>
      </c>
      <c r="I1057" s="2">
        <v>46177</v>
      </c>
      <c r="J1057" s="1" t="s">
        <v>67</v>
      </c>
      <c r="K1057" s="1" t="s">
        <v>4641</v>
      </c>
      <c r="L1057" s="2">
        <v>46177.918923611112</v>
      </c>
      <c r="M1057" s="2">
        <v>46177.921329212964</v>
      </c>
    </row>
    <row r="1058" spans="1:13" x14ac:dyDescent="0.35">
      <c r="A1058" s="1" t="s">
        <v>621</v>
      </c>
      <c r="B1058" s="1" t="s">
        <v>13</v>
      </c>
      <c r="C1058" s="1" t="s">
        <v>622</v>
      </c>
      <c r="D1058">
        <v>1.25</v>
      </c>
      <c r="E1058" s="2">
        <v>46934</v>
      </c>
      <c r="F1058" s="1" t="s">
        <v>16</v>
      </c>
      <c r="G1058" s="1" t="s">
        <v>622</v>
      </c>
      <c r="H1058" s="1" t="s">
        <v>2</v>
      </c>
      <c r="I1058" s="2">
        <v>46177</v>
      </c>
      <c r="J1058" s="1" t="s">
        <v>224</v>
      </c>
      <c r="K1058" s="1" t="s">
        <v>4795</v>
      </c>
      <c r="L1058" s="2">
        <v>46177.918923611112</v>
      </c>
      <c r="M1058" s="2">
        <v>46177.921329212964</v>
      </c>
    </row>
    <row r="1059" spans="1:13" x14ac:dyDescent="0.35">
      <c r="A1059" s="1" t="s">
        <v>621</v>
      </c>
      <c r="B1059" s="1" t="s">
        <v>13</v>
      </c>
      <c r="C1059" s="1" t="s">
        <v>622</v>
      </c>
      <c r="D1059">
        <v>1.25</v>
      </c>
      <c r="E1059" s="2">
        <v>46934</v>
      </c>
      <c r="F1059" s="1" t="s">
        <v>16</v>
      </c>
      <c r="G1059" s="1" t="s">
        <v>622</v>
      </c>
      <c r="H1059" s="1" t="s">
        <v>2</v>
      </c>
      <c r="I1059" s="2">
        <v>46177</v>
      </c>
      <c r="J1059" s="1" t="s">
        <v>214</v>
      </c>
      <c r="K1059" s="1" t="s">
        <v>4795</v>
      </c>
      <c r="L1059" s="2">
        <v>46177.918923611112</v>
      </c>
      <c r="M1059" s="2">
        <v>46177.921329212964</v>
      </c>
    </row>
    <row r="1060" spans="1:13" x14ac:dyDescent="0.35">
      <c r="A1060" s="1" t="s">
        <v>643</v>
      </c>
      <c r="B1060" s="1" t="s">
        <v>13</v>
      </c>
      <c r="C1060" s="1" t="s">
        <v>644</v>
      </c>
      <c r="D1060">
        <v>0.875</v>
      </c>
      <c r="E1060" s="2">
        <v>46203</v>
      </c>
      <c r="F1060" s="1" t="s">
        <v>16</v>
      </c>
      <c r="G1060" s="1" t="s">
        <v>644</v>
      </c>
      <c r="H1060" s="1" t="s">
        <v>2</v>
      </c>
      <c r="I1060" s="2">
        <v>46177</v>
      </c>
      <c r="J1060" s="1" t="s">
        <v>17</v>
      </c>
      <c r="K1060" s="1" t="s">
        <v>4756</v>
      </c>
      <c r="L1060" s="2">
        <v>46177.92087962963</v>
      </c>
      <c r="M1060" s="2">
        <v>46177.921329212964</v>
      </c>
    </row>
    <row r="1061" spans="1:13" x14ac:dyDescent="0.35">
      <c r="A1061" s="1" t="s">
        <v>643</v>
      </c>
      <c r="B1061" s="1" t="s">
        <v>13</v>
      </c>
      <c r="C1061" s="1" t="s">
        <v>644</v>
      </c>
      <c r="D1061">
        <v>0.875</v>
      </c>
      <c r="E1061" s="2">
        <v>46203</v>
      </c>
      <c r="F1061" s="1" t="s">
        <v>16</v>
      </c>
      <c r="G1061" s="1" t="s">
        <v>644</v>
      </c>
      <c r="H1061" s="1" t="s">
        <v>2</v>
      </c>
      <c r="I1061" s="2">
        <v>46177</v>
      </c>
      <c r="J1061" s="1" t="s">
        <v>214</v>
      </c>
      <c r="K1061" s="1" t="s">
        <v>4642</v>
      </c>
      <c r="L1061" s="2">
        <v>46177.918923611112</v>
      </c>
      <c r="M1061" s="2">
        <v>46177.921329212964</v>
      </c>
    </row>
    <row r="1062" spans="1:13" x14ac:dyDescent="0.35">
      <c r="A1062" s="1" t="s">
        <v>643</v>
      </c>
      <c r="B1062" s="1" t="s">
        <v>13</v>
      </c>
      <c r="C1062" s="1" t="s">
        <v>644</v>
      </c>
      <c r="D1062">
        <v>0.875</v>
      </c>
      <c r="E1062" s="2">
        <v>46203</v>
      </c>
      <c r="F1062" s="1" t="s">
        <v>16</v>
      </c>
      <c r="G1062" s="1" t="s">
        <v>644</v>
      </c>
      <c r="H1062" s="1" t="s">
        <v>2</v>
      </c>
      <c r="I1062" s="2">
        <v>46177</v>
      </c>
      <c r="J1062" s="1" t="s">
        <v>215</v>
      </c>
      <c r="K1062" s="1" t="s">
        <v>4752</v>
      </c>
      <c r="L1062" s="2">
        <v>46177.918923611112</v>
      </c>
      <c r="M1062" s="2">
        <v>46177.921329212964</v>
      </c>
    </row>
    <row r="1063" spans="1:13" x14ac:dyDescent="0.35">
      <c r="A1063" s="1" t="s">
        <v>643</v>
      </c>
      <c r="B1063" s="1" t="s">
        <v>13</v>
      </c>
      <c r="C1063" s="1" t="s">
        <v>644</v>
      </c>
      <c r="D1063">
        <v>0.875</v>
      </c>
      <c r="E1063" s="2">
        <v>46203</v>
      </c>
      <c r="F1063" s="1" t="s">
        <v>16</v>
      </c>
      <c r="G1063" s="1" t="s">
        <v>644</v>
      </c>
      <c r="H1063" s="1" t="s">
        <v>2</v>
      </c>
      <c r="I1063" s="2">
        <v>46177</v>
      </c>
      <c r="J1063" s="1" t="s">
        <v>224</v>
      </c>
      <c r="K1063" s="1" t="s">
        <v>4642</v>
      </c>
      <c r="L1063" s="2">
        <v>46177.918923611112</v>
      </c>
      <c r="M1063" s="2">
        <v>46177.921329212964</v>
      </c>
    </row>
    <row r="1064" spans="1:13" x14ac:dyDescent="0.35">
      <c r="A1064" s="1" t="s">
        <v>643</v>
      </c>
      <c r="B1064" s="1" t="s">
        <v>13</v>
      </c>
      <c r="C1064" s="1" t="s">
        <v>644</v>
      </c>
      <c r="D1064">
        <v>0.875</v>
      </c>
      <c r="E1064" s="2">
        <v>46203</v>
      </c>
      <c r="F1064" s="1" t="s">
        <v>16</v>
      </c>
      <c r="G1064" s="1" t="s">
        <v>644</v>
      </c>
      <c r="H1064" s="1" t="s">
        <v>2</v>
      </c>
      <c r="I1064" s="2">
        <v>46177</v>
      </c>
      <c r="J1064" s="1" t="s">
        <v>67</v>
      </c>
      <c r="K1064" s="1" t="s">
        <v>4752</v>
      </c>
      <c r="L1064" s="2">
        <v>46177.918923611112</v>
      </c>
      <c r="M1064" s="2">
        <v>46177.921329212964</v>
      </c>
    </row>
    <row r="1065" spans="1:13" x14ac:dyDescent="0.35">
      <c r="A1065" s="1" t="s">
        <v>643</v>
      </c>
      <c r="B1065" s="1" t="s">
        <v>13</v>
      </c>
      <c r="C1065" s="1" t="s">
        <v>644</v>
      </c>
      <c r="D1065">
        <v>0.875</v>
      </c>
      <c r="E1065" s="2">
        <v>46203</v>
      </c>
      <c r="F1065" s="1" t="s">
        <v>16</v>
      </c>
      <c r="G1065" s="1" t="s">
        <v>644</v>
      </c>
      <c r="H1065" s="1" t="s">
        <v>2</v>
      </c>
      <c r="I1065" s="2">
        <v>46177</v>
      </c>
      <c r="J1065" s="1" t="s">
        <v>18</v>
      </c>
      <c r="K1065" s="1" t="s">
        <v>2433</v>
      </c>
      <c r="L1065" s="2">
        <v>46177.92087962963</v>
      </c>
      <c r="M1065" s="2">
        <v>46177.921329212964</v>
      </c>
    </row>
    <row r="1066" spans="1:13" x14ac:dyDescent="0.35">
      <c r="A1066" s="1" t="s">
        <v>645</v>
      </c>
      <c r="B1066" s="1" t="s">
        <v>13</v>
      </c>
      <c r="C1066" s="1" t="s">
        <v>646</v>
      </c>
      <c r="D1066">
        <v>0.125</v>
      </c>
      <c r="E1066" s="2">
        <v>48044</v>
      </c>
      <c r="F1066" s="1" t="s">
        <v>64</v>
      </c>
      <c r="G1066" s="1" t="s">
        <v>646</v>
      </c>
      <c r="H1066" s="1" t="s">
        <v>2</v>
      </c>
      <c r="I1066" s="2">
        <v>46177</v>
      </c>
      <c r="J1066" s="1" t="s">
        <v>17</v>
      </c>
      <c r="K1066" s="1" t="s">
        <v>2546</v>
      </c>
      <c r="L1066" s="2">
        <v>46177.92087962963</v>
      </c>
      <c r="M1066" s="2">
        <v>46177.921329212964</v>
      </c>
    </row>
    <row r="1067" spans="1:13" x14ac:dyDescent="0.35">
      <c r="A1067" s="1" t="s">
        <v>645</v>
      </c>
      <c r="B1067" s="1" t="s">
        <v>13</v>
      </c>
      <c r="C1067" s="1" t="s">
        <v>646</v>
      </c>
      <c r="D1067">
        <v>0.125</v>
      </c>
      <c r="E1067" s="2">
        <v>48044</v>
      </c>
      <c r="F1067" s="1" t="s">
        <v>64</v>
      </c>
      <c r="G1067" s="1" t="s">
        <v>646</v>
      </c>
      <c r="H1067" s="1" t="s">
        <v>2</v>
      </c>
      <c r="I1067" s="2">
        <v>46177</v>
      </c>
      <c r="J1067" s="1" t="s">
        <v>18</v>
      </c>
      <c r="K1067" s="1" t="s">
        <v>3047</v>
      </c>
      <c r="L1067" s="2">
        <v>46177.92087962963</v>
      </c>
      <c r="M1067" s="2">
        <v>46177.921329212964</v>
      </c>
    </row>
    <row r="1068" spans="1:13" x14ac:dyDescent="0.35">
      <c r="A1068" s="1" t="s">
        <v>527</v>
      </c>
      <c r="B1068" s="1" t="s">
        <v>13</v>
      </c>
      <c r="C1068" s="1" t="s">
        <v>528</v>
      </c>
      <c r="D1068">
        <v>0.625</v>
      </c>
      <c r="E1068" s="2">
        <v>46234</v>
      </c>
      <c r="F1068" s="1" t="s">
        <v>16</v>
      </c>
      <c r="G1068" s="1" t="s">
        <v>528</v>
      </c>
      <c r="H1068" s="1" t="s">
        <v>2</v>
      </c>
      <c r="I1068" s="2">
        <v>46177</v>
      </c>
      <c r="J1068" s="1" t="s">
        <v>214</v>
      </c>
      <c r="K1068" s="1" t="s">
        <v>4757</v>
      </c>
      <c r="L1068" s="2">
        <v>46177.918923611112</v>
      </c>
      <c r="M1068" s="2">
        <v>46177.921329212964</v>
      </c>
    </row>
    <row r="1069" spans="1:13" x14ac:dyDescent="0.35">
      <c r="A1069" s="1" t="s">
        <v>527</v>
      </c>
      <c r="B1069" s="1" t="s">
        <v>13</v>
      </c>
      <c r="C1069" s="1" t="s">
        <v>528</v>
      </c>
      <c r="D1069">
        <v>0.625</v>
      </c>
      <c r="E1069" s="2">
        <v>46234</v>
      </c>
      <c r="F1069" s="1" t="s">
        <v>16</v>
      </c>
      <c r="G1069" s="1" t="s">
        <v>528</v>
      </c>
      <c r="H1069" s="1" t="s">
        <v>2</v>
      </c>
      <c r="I1069" s="2">
        <v>46177</v>
      </c>
      <c r="J1069" s="1" t="s">
        <v>17</v>
      </c>
      <c r="K1069" s="1" t="s">
        <v>2540</v>
      </c>
      <c r="L1069" s="2">
        <v>46177.92087962963</v>
      </c>
      <c r="M1069" s="2">
        <v>46177.921329212964</v>
      </c>
    </row>
    <row r="1070" spans="1:13" x14ac:dyDescent="0.35">
      <c r="A1070" s="1" t="s">
        <v>527</v>
      </c>
      <c r="B1070" s="1" t="s">
        <v>13</v>
      </c>
      <c r="C1070" s="1" t="s">
        <v>528</v>
      </c>
      <c r="D1070">
        <v>0.625</v>
      </c>
      <c r="E1070" s="2">
        <v>46234</v>
      </c>
      <c r="F1070" s="1" t="s">
        <v>16</v>
      </c>
      <c r="G1070" s="1" t="s">
        <v>528</v>
      </c>
      <c r="H1070" s="1" t="s">
        <v>2</v>
      </c>
      <c r="I1070" s="2">
        <v>46177</v>
      </c>
      <c r="J1070" s="1" t="s">
        <v>67</v>
      </c>
      <c r="K1070" s="1" t="s">
        <v>4737</v>
      </c>
      <c r="L1070" s="2">
        <v>46177.918923611112</v>
      </c>
      <c r="M1070" s="2">
        <v>46177.921329212964</v>
      </c>
    </row>
    <row r="1071" spans="1:13" x14ac:dyDescent="0.35">
      <c r="A1071" s="1" t="s">
        <v>527</v>
      </c>
      <c r="B1071" s="1" t="s">
        <v>13</v>
      </c>
      <c r="C1071" s="1" t="s">
        <v>528</v>
      </c>
      <c r="D1071">
        <v>0.625</v>
      </c>
      <c r="E1071" s="2">
        <v>46234</v>
      </c>
      <c r="F1071" s="1" t="s">
        <v>16</v>
      </c>
      <c r="G1071" s="1" t="s">
        <v>528</v>
      </c>
      <c r="H1071" s="1" t="s">
        <v>2</v>
      </c>
      <c r="I1071" s="2">
        <v>46177</v>
      </c>
      <c r="J1071" s="1" t="s">
        <v>215</v>
      </c>
      <c r="K1071" s="1" t="s">
        <v>4737</v>
      </c>
      <c r="L1071" s="2">
        <v>46177.918923611112</v>
      </c>
      <c r="M1071" s="2">
        <v>46177.921329212964</v>
      </c>
    </row>
    <row r="1072" spans="1:13" x14ac:dyDescent="0.35">
      <c r="A1072" s="1" t="s">
        <v>527</v>
      </c>
      <c r="B1072" s="1" t="s">
        <v>13</v>
      </c>
      <c r="C1072" s="1" t="s">
        <v>528</v>
      </c>
      <c r="D1072">
        <v>0.625</v>
      </c>
      <c r="E1072" s="2">
        <v>46234</v>
      </c>
      <c r="F1072" s="1" t="s">
        <v>16</v>
      </c>
      <c r="G1072" s="1" t="s">
        <v>528</v>
      </c>
      <c r="H1072" s="1" t="s">
        <v>2</v>
      </c>
      <c r="I1072" s="2">
        <v>46177</v>
      </c>
      <c r="J1072" s="1" t="s">
        <v>18</v>
      </c>
      <c r="K1072" s="1" t="s">
        <v>2930</v>
      </c>
      <c r="L1072" s="2">
        <v>46177.92087962963</v>
      </c>
      <c r="M1072" s="2">
        <v>46177.921329212964</v>
      </c>
    </row>
    <row r="1073" spans="1:13" x14ac:dyDescent="0.35">
      <c r="A1073" s="1" t="s">
        <v>527</v>
      </c>
      <c r="B1073" s="1" t="s">
        <v>13</v>
      </c>
      <c r="C1073" s="1" t="s">
        <v>528</v>
      </c>
      <c r="D1073">
        <v>0.625</v>
      </c>
      <c r="E1073" s="2">
        <v>46234</v>
      </c>
      <c r="F1073" s="1" t="s">
        <v>16</v>
      </c>
      <c r="G1073" s="1" t="s">
        <v>528</v>
      </c>
      <c r="H1073" s="1" t="s">
        <v>2</v>
      </c>
      <c r="I1073" s="2">
        <v>46177</v>
      </c>
      <c r="J1073" s="1" t="s">
        <v>224</v>
      </c>
      <c r="K1073" s="1" t="s">
        <v>4757</v>
      </c>
      <c r="L1073" s="2">
        <v>46177.918923611112</v>
      </c>
      <c r="M1073" s="2">
        <v>46177.921329212964</v>
      </c>
    </row>
    <row r="1074" spans="1:13" x14ac:dyDescent="0.35">
      <c r="A1074" s="1" t="s">
        <v>629</v>
      </c>
      <c r="B1074" s="1" t="s">
        <v>13</v>
      </c>
      <c r="C1074" s="1" t="s">
        <v>630</v>
      </c>
      <c r="D1074">
        <v>1</v>
      </c>
      <c r="E1074" s="2">
        <v>46965</v>
      </c>
      <c r="F1074" s="1" t="s">
        <v>16</v>
      </c>
      <c r="G1074" s="1" t="s">
        <v>630</v>
      </c>
      <c r="H1074" s="1" t="s">
        <v>2</v>
      </c>
      <c r="I1074" s="2">
        <v>46177</v>
      </c>
      <c r="J1074" s="1" t="s">
        <v>67</v>
      </c>
      <c r="K1074" s="1" t="s">
        <v>4899</v>
      </c>
      <c r="L1074" s="2">
        <v>46177.918923611112</v>
      </c>
      <c r="M1074" s="2">
        <v>46177.921329212964</v>
      </c>
    </row>
    <row r="1075" spans="1:13" x14ac:dyDescent="0.35">
      <c r="A1075" s="1" t="s">
        <v>629</v>
      </c>
      <c r="B1075" s="1" t="s">
        <v>13</v>
      </c>
      <c r="C1075" s="1" t="s">
        <v>630</v>
      </c>
      <c r="D1075">
        <v>1</v>
      </c>
      <c r="E1075" s="2">
        <v>46965</v>
      </c>
      <c r="F1075" s="1" t="s">
        <v>16</v>
      </c>
      <c r="G1075" s="1" t="s">
        <v>630</v>
      </c>
      <c r="H1075" s="1" t="s">
        <v>2</v>
      </c>
      <c r="I1075" s="2">
        <v>46177</v>
      </c>
      <c r="J1075" s="1" t="s">
        <v>215</v>
      </c>
      <c r="K1075" s="1" t="s">
        <v>4899</v>
      </c>
      <c r="L1075" s="2">
        <v>46177.918923611112</v>
      </c>
      <c r="M1075" s="2">
        <v>46177.921329212964</v>
      </c>
    </row>
    <row r="1076" spans="1:13" x14ac:dyDescent="0.35">
      <c r="A1076" s="1" t="s">
        <v>629</v>
      </c>
      <c r="B1076" s="1" t="s">
        <v>13</v>
      </c>
      <c r="C1076" s="1" t="s">
        <v>630</v>
      </c>
      <c r="D1076">
        <v>1</v>
      </c>
      <c r="E1076" s="2">
        <v>46965</v>
      </c>
      <c r="F1076" s="1" t="s">
        <v>16</v>
      </c>
      <c r="G1076" s="1" t="s">
        <v>630</v>
      </c>
      <c r="H1076" s="1" t="s">
        <v>2</v>
      </c>
      <c r="I1076" s="2">
        <v>46177</v>
      </c>
      <c r="J1076" s="1" t="s">
        <v>17</v>
      </c>
      <c r="K1076" s="1" t="s">
        <v>2395</v>
      </c>
      <c r="L1076" s="2">
        <v>46177.92087962963</v>
      </c>
      <c r="M1076" s="2">
        <v>46177.921329212964</v>
      </c>
    </row>
    <row r="1077" spans="1:13" x14ac:dyDescent="0.35">
      <c r="A1077" s="1" t="s">
        <v>629</v>
      </c>
      <c r="B1077" s="1" t="s">
        <v>13</v>
      </c>
      <c r="C1077" s="1" t="s">
        <v>630</v>
      </c>
      <c r="D1077">
        <v>1</v>
      </c>
      <c r="E1077" s="2">
        <v>46965</v>
      </c>
      <c r="F1077" s="1" t="s">
        <v>16</v>
      </c>
      <c r="G1077" s="1" t="s">
        <v>630</v>
      </c>
      <c r="H1077" s="1" t="s">
        <v>2</v>
      </c>
      <c r="I1077" s="2">
        <v>46177</v>
      </c>
      <c r="J1077" s="1" t="s">
        <v>18</v>
      </c>
      <c r="K1077" s="1" t="s">
        <v>2919</v>
      </c>
      <c r="L1077" s="2">
        <v>46177.92087962963</v>
      </c>
      <c r="M1077" s="2">
        <v>46177.921329212964</v>
      </c>
    </row>
    <row r="1078" spans="1:13" x14ac:dyDescent="0.35">
      <c r="A1078" s="1" t="s">
        <v>629</v>
      </c>
      <c r="B1078" s="1" t="s">
        <v>13</v>
      </c>
      <c r="C1078" s="1" t="s">
        <v>630</v>
      </c>
      <c r="D1078">
        <v>1</v>
      </c>
      <c r="E1078" s="2">
        <v>46965</v>
      </c>
      <c r="F1078" s="1" t="s">
        <v>16</v>
      </c>
      <c r="G1078" s="1" t="s">
        <v>630</v>
      </c>
      <c r="H1078" s="1" t="s">
        <v>2</v>
      </c>
      <c r="I1078" s="2">
        <v>46177</v>
      </c>
      <c r="J1078" s="1" t="s">
        <v>214</v>
      </c>
      <c r="K1078" s="1" t="s">
        <v>4643</v>
      </c>
      <c r="L1078" s="2">
        <v>46177.918923611112</v>
      </c>
      <c r="M1078" s="2">
        <v>46177.921329212964</v>
      </c>
    </row>
    <row r="1079" spans="1:13" x14ac:dyDescent="0.35">
      <c r="A1079" s="1" t="s">
        <v>629</v>
      </c>
      <c r="B1079" s="1" t="s">
        <v>13</v>
      </c>
      <c r="C1079" s="1" t="s">
        <v>630</v>
      </c>
      <c r="D1079">
        <v>1</v>
      </c>
      <c r="E1079" s="2">
        <v>46965</v>
      </c>
      <c r="F1079" s="1" t="s">
        <v>16</v>
      </c>
      <c r="G1079" s="1" t="s">
        <v>630</v>
      </c>
      <c r="H1079" s="1" t="s">
        <v>2</v>
      </c>
      <c r="I1079" s="2">
        <v>46177</v>
      </c>
      <c r="J1079" s="1" t="s">
        <v>224</v>
      </c>
      <c r="K1079" s="1" t="s">
        <v>4643</v>
      </c>
      <c r="L1079" s="2">
        <v>46177.918923611112</v>
      </c>
      <c r="M1079" s="2">
        <v>46177.921329212964</v>
      </c>
    </row>
    <row r="1080" spans="1:13" x14ac:dyDescent="0.35">
      <c r="A1080" s="1" t="s">
        <v>529</v>
      </c>
      <c r="B1080" s="1" t="s">
        <v>13</v>
      </c>
      <c r="C1080" s="1" t="s">
        <v>530</v>
      </c>
      <c r="D1080">
        <v>1.25</v>
      </c>
      <c r="E1080" s="2">
        <v>48075</v>
      </c>
      <c r="F1080" s="1" t="s">
        <v>16</v>
      </c>
      <c r="G1080" s="1" t="s">
        <v>530</v>
      </c>
      <c r="H1080" s="1" t="s">
        <v>2</v>
      </c>
      <c r="I1080" s="2">
        <v>46177</v>
      </c>
      <c r="J1080" s="1" t="s">
        <v>224</v>
      </c>
      <c r="K1080" s="1" t="s">
        <v>4753</v>
      </c>
      <c r="L1080" s="2">
        <v>46177.918923611112</v>
      </c>
      <c r="M1080" s="2">
        <v>46177.921329212964</v>
      </c>
    </row>
    <row r="1081" spans="1:13" x14ac:dyDescent="0.35">
      <c r="A1081" s="1" t="s">
        <v>529</v>
      </c>
      <c r="B1081" s="1" t="s">
        <v>13</v>
      </c>
      <c r="C1081" s="1" t="s">
        <v>530</v>
      </c>
      <c r="D1081">
        <v>1.25</v>
      </c>
      <c r="E1081" s="2">
        <v>48075</v>
      </c>
      <c r="F1081" s="1" t="s">
        <v>16</v>
      </c>
      <c r="G1081" s="1" t="s">
        <v>530</v>
      </c>
      <c r="H1081" s="1" t="s">
        <v>2</v>
      </c>
      <c r="I1081" s="2">
        <v>46177</v>
      </c>
      <c r="J1081" s="1" t="s">
        <v>18</v>
      </c>
      <c r="K1081" s="1" t="s">
        <v>4900</v>
      </c>
      <c r="L1081" s="2">
        <v>46177.92087962963</v>
      </c>
      <c r="M1081" s="2">
        <v>46177.921329212964</v>
      </c>
    </row>
    <row r="1082" spans="1:13" x14ac:dyDescent="0.35">
      <c r="A1082" s="1" t="s">
        <v>529</v>
      </c>
      <c r="B1082" s="1" t="s">
        <v>13</v>
      </c>
      <c r="C1082" s="1" t="s">
        <v>530</v>
      </c>
      <c r="D1082">
        <v>1.25</v>
      </c>
      <c r="E1082" s="2">
        <v>48075</v>
      </c>
      <c r="F1082" s="1" t="s">
        <v>16</v>
      </c>
      <c r="G1082" s="1" t="s">
        <v>530</v>
      </c>
      <c r="H1082" s="1" t="s">
        <v>2</v>
      </c>
      <c r="I1082" s="2">
        <v>46177</v>
      </c>
      <c r="J1082" s="1" t="s">
        <v>67</v>
      </c>
      <c r="K1082" s="1" t="s">
        <v>4644</v>
      </c>
      <c r="L1082" s="2">
        <v>46177.918923611112</v>
      </c>
      <c r="M1082" s="2">
        <v>46177.921329212964</v>
      </c>
    </row>
    <row r="1083" spans="1:13" x14ac:dyDescent="0.35">
      <c r="A1083" s="1" t="s">
        <v>529</v>
      </c>
      <c r="B1083" s="1" t="s">
        <v>13</v>
      </c>
      <c r="C1083" s="1" t="s">
        <v>530</v>
      </c>
      <c r="D1083">
        <v>1.25</v>
      </c>
      <c r="E1083" s="2">
        <v>48075</v>
      </c>
      <c r="F1083" s="1" t="s">
        <v>16</v>
      </c>
      <c r="G1083" s="1" t="s">
        <v>530</v>
      </c>
      <c r="H1083" s="1" t="s">
        <v>2</v>
      </c>
      <c r="I1083" s="2">
        <v>46177</v>
      </c>
      <c r="J1083" s="1" t="s">
        <v>17</v>
      </c>
      <c r="K1083" s="1" t="s">
        <v>2565</v>
      </c>
      <c r="L1083" s="2">
        <v>46177.92087962963</v>
      </c>
      <c r="M1083" s="2">
        <v>46177.921329212964</v>
      </c>
    </row>
    <row r="1084" spans="1:13" x14ac:dyDescent="0.35">
      <c r="A1084" s="1" t="s">
        <v>529</v>
      </c>
      <c r="B1084" s="1" t="s">
        <v>13</v>
      </c>
      <c r="C1084" s="1" t="s">
        <v>530</v>
      </c>
      <c r="D1084">
        <v>1.25</v>
      </c>
      <c r="E1084" s="2">
        <v>48075</v>
      </c>
      <c r="F1084" s="1" t="s">
        <v>16</v>
      </c>
      <c r="G1084" s="1" t="s">
        <v>530</v>
      </c>
      <c r="H1084" s="1" t="s">
        <v>2</v>
      </c>
      <c r="I1084" s="2">
        <v>46177</v>
      </c>
      <c r="J1084" s="1" t="s">
        <v>215</v>
      </c>
      <c r="K1084" s="1" t="s">
        <v>4644</v>
      </c>
      <c r="L1084" s="2">
        <v>46177.918923611112</v>
      </c>
      <c r="M1084" s="2">
        <v>46177.921329212964</v>
      </c>
    </row>
    <row r="1085" spans="1:13" x14ac:dyDescent="0.35">
      <c r="A1085" s="1" t="s">
        <v>529</v>
      </c>
      <c r="B1085" s="1" t="s">
        <v>13</v>
      </c>
      <c r="C1085" s="1" t="s">
        <v>530</v>
      </c>
      <c r="D1085">
        <v>1.25</v>
      </c>
      <c r="E1085" s="2">
        <v>48075</v>
      </c>
      <c r="F1085" s="1" t="s">
        <v>16</v>
      </c>
      <c r="G1085" s="1" t="s">
        <v>530</v>
      </c>
      <c r="H1085" s="1" t="s">
        <v>2</v>
      </c>
      <c r="I1085" s="2">
        <v>46177</v>
      </c>
      <c r="J1085" s="1" t="s">
        <v>214</v>
      </c>
      <c r="K1085" s="1" t="s">
        <v>4753</v>
      </c>
      <c r="L1085" s="2">
        <v>46177.918923611112</v>
      </c>
      <c r="M1085" s="2">
        <v>46177.921329212964</v>
      </c>
    </row>
    <row r="1086" spans="1:13" x14ac:dyDescent="0.35">
      <c r="A1086" s="1" t="s">
        <v>623</v>
      </c>
      <c r="B1086" s="1" t="s">
        <v>13</v>
      </c>
      <c r="C1086" s="1" t="s">
        <v>624</v>
      </c>
      <c r="D1086">
        <v>1.125</v>
      </c>
      <c r="E1086" s="2">
        <v>46996</v>
      </c>
      <c r="F1086" s="1" t="s">
        <v>16</v>
      </c>
      <c r="G1086" s="1" t="s">
        <v>624</v>
      </c>
      <c r="H1086" s="1" t="s">
        <v>2</v>
      </c>
      <c r="I1086" s="2">
        <v>46177</v>
      </c>
      <c r="J1086" s="1" t="s">
        <v>215</v>
      </c>
      <c r="K1086" s="1" t="s">
        <v>4758</v>
      </c>
      <c r="L1086" s="2">
        <v>46177.918923611112</v>
      </c>
      <c r="M1086" s="2">
        <v>46177.921329212964</v>
      </c>
    </row>
    <row r="1087" spans="1:13" x14ac:dyDescent="0.35">
      <c r="A1087" s="1" t="s">
        <v>623</v>
      </c>
      <c r="B1087" s="1" t="s">
        <v>13</v>
      </c>
      <c r="C1087" s="1" t="s">
        <v>624</v>
      </c>
      <c r="D1087">
        <v>1.125</v>
      </c>
      <c r="E1087" s="2">
        <v>46996</v>
      </c>
      <c r="F1087" s="1" t="s">
        <v>16</v>
      </c>
      <c r="G1087" s="1" t="s">
        <v>624</v>
      </c>
      <c r="H1087" s="1" t="s">
        <v>2</v>
      </c>
      <c r="I1087" s="2">
        <v>46177</v>
      </c>
      <c r="J1087" s="1" t="s">
        <v>67</v>
      </c>
      <c r="K1087" s="1" t="s">
        <v>4758</v>
      </c>
      <c r="L1087" s="2">
        <v>46177.918923611112</v>
      </c>
      <c r="M1087" s="2">
        <v>46177.921329212964</v>
      </c>
    </row>
    <row r="1088" spans="1:13" x14ac:dyDescent="0.35">
      <c r="A1088" s="1" t="s">
        <v>623</v>
      </c>
      <c r="B1088" s="1" t="s">
        <v>13</v>
      </c>
      <c r="C1088" s="1" t="s">
        <v>624</v>
      </c>
      <c r="D1088">
        <v>1.125</v>
      </c>
      <c r="E1088" s="2">
        <v>46996</v>
      </c>
      <c r="F1088" s="1" t="s">
        <v>16</v>
      </c>
      <c r="G1088" s="1" t="s">
        <v>624</v>
      </c>
      <c r="H1088" s="1" t="s">
        <v>2</v>
      </c>
      <c r="I1088" s="2">
        <v>46177</v>
      </c>
      <c r="J1088" s="1" t="s">
        <v>224</v>
      </c>
      <c r="K1088" s="1" t="s">
        <v>4738</v>
      </c>
      <c r="L1088" s="2">
        <v>46177.918923611112</v>
      </c>
      <c r="M1088" s="2">
        <v>46177.921329212964</v>
      </c>
    </row>
    <row r="1089" spans="1:13" x14ac:dyDescent="0.35">
      <c r="A1089" s="1" t="s">
        <v>623</v>
      </c>
      <c r="B1089" s="1" t="s">
        <v>13</v>
      </c>
      <c r="C1089" s="1" t="s">
        <v>624</v>
      </c>
      <c r="D1089">
        <v>1.125</v>
      </c>
      <c r="E1089" s="2">
        <v>46996</v>
      </c>
      <c r="F1089" s="1" t="s">
        <v>16</v>
      </c>
      <c r="G1089" s="1" t="s">
        <v>624</v>
      </c>
      <c r="H1089" s="1" t="s">
        <v>2</v>
      </c>
      <c r="I1089" s="2">
        <v>46177</v>
      </c>
      <c r="J1089" s="1" t="s">
        <v>17</v>
      </c>
      <c r="K1089" s="1" t="s">
        <v>4754</v>
      </c>
      <c r="L1089" s="2">
        <v>46177.92087962963</v>
      </c>
      <c r="M1089" s="2">
        <v>46177.921329212964</v>
      </c>
    </row>
    <row r="1090" spans="1:13" x14ac:dyDescent="0.35">
      <c r="A1090" s="1" t="s">
        <v>623</v>
      </c>
      <c r="B1090" s="1" t="s">
        <v>13</v>
      </c>
      <c r="C1090" s="1" t="s">
        <v>624</v>
      </c>
      <c r="D1090">
        <v>1.125</v>
      </c>
      <c r="E1090" s="2">
        <v>46996</v>
      </c>
      <c r="F1090" s="1" t="s">
        <v>16</v>
      </c>
      <c r="G1090" s="1" t="s">
        <v>624</v>
      </c>
      <c r="H1090" s="1" t="s">
        <v>2</v>
      </c>
      <c r="I1090" s="2">
        <v>46177</v>
      </c>
      <c r="J1090" s="1" t="s">
        <v>18</v>
      </c>
      <c r="K1090" s="1" t="s">
        <v>2679</v>
      </c>
      <c r="L1090" s="2">
        <v>46177.92087962963</v>
      </c>
      <c r="M1090" s="2">
        <v>46177.921329212964</v>
      </c>
    </row>
    <row r="1091" spans="1:13" x14ac:dyDescent="0.35">
      <c r="A1091" s="1" t="s">
        <v>623</v>
      </c>
      <c r="B1091" s="1" t="s">
        <v>13</v>
      </c>
      <c r="C1091" s="1" t="s">
        <v>624</v>
      </c>
      <c r="D1091">
        <v>1.125</v>
      </c>
      <c r="E1091" s="2">
        <v>46996</v>
      </c>
      <c r="F1091" s="1" t="s">
        <v>16</v>
      </c>
      <c r="G1091" s="1" t="s">
        <v>624</v>
      </c>
      <c r="H1091" s="1" t="s">
        <v>2</v>
      </c>
      <c r="I1091" s="2">
        <v>46177</v>
      </c>
      <c r="J1091" s="1" t="s">
        <v>214</v>
      </c>
      <c r="K1091" s="1" t="s">
        <v>4738</v>
      </c>
      <c r="L1091" s="2">
        <v>46177.918923611112</v>
      </c>
      <c r="M1091" s="2">
        <v>46177.921329212964</v>
      </c>
    </row>
    <row r="1092" spans="1:13" x14ac:dyDescent="0.35">
      <c r="A1092" s="1" t="s">
        <v>625</v>
      </c>
      <c r="B1092" s="1" t="s">
        <v>13</v>
      </c>
      <c r="C1092" s="1" t="s">
        <v>626</v>
      </c>
      <c r="D1092">
        <v>0.75</v>
      </c>
      <c r="E1092" s="2">
        <v>46265</v>
      </c>
      <c r="F1092" s="1" t="s">
        <v>16</v>
      </c>
      <c r="G1092" s="1" t="s">
        <v>626</v>
      </c>
      <c r="H1092" s="1" t="s">
        <v>2</v>
      </c>
      <c r="I1092" s="2">
        <v>46177</v>
      </c>
      <c r="J1092" s="1" t="s">
        <v>67</v>
      </c>
      <c r="K1092" s="1" t="s">
        <v>4645</v>
      </c>
      <c r="L1092" s="2">
        <v>46177.918923611112</v>
      </c>
      <c r="M1092" s="2">
        <v>46177.921329212964</v>
      </c>
    </row>
    <row r="1093" spans="1:13" x14ac:dyDescent="0.35">
      <c r="A1093" s="1" t="s">
        <v>625</v>
      </c>
      <c r="B1093" s="1" t="s">
        <v>13</v>
      </c>
      <c r="C1093" s="1" t="s">
        <v>626</v>
      </c>
      <c r="D1093">
        <v>0.75</v>
      </c>
      <c r="E1093" s="2">
        <v>46265</v>
      </c>
      <c r="F1093" s="1" t="s">
        <v>16</v>
      </c>
      <c r="G1093" s="1" t="s">
        <v>626</v>
      </c>
      <c r="H1093" s="1" t="s">
        <v>2</v>
      </c>
      <c r="I1093" s="2">
        <v>46177</v>
      </c>
      <c r="J1093" s="1" t="s">
        <v>17</v>
      </c>
      <c r="K1093" s="1" t="s">
        <v>2689</v>
      </c>
      <c r="L1093" s="2">
        <v>46177.92087962963</v>
      </c>
      <c r="M1093" s="2">
        <v>46177.921329212964</v>
      </c>
    </row>
    <row r="1094" spans="1:13" x14ac:dyDescent="0.35">
      <c r="A1094" s="1" t="s">
        <v>625</v>
      </c>
      <c r="B1094" s="1" t="s">
        <v>13</v>
      </c>
      <c r="C1094" s="1" t="s">
        <v>626</v>
      </c>
      <c r="D1094">
        <v>0.75</v>
      </c>
      <c r="E1094" s="2">
        <v>46265</v>
      </c>
      <c r="F1094" s="1" t="s">
        <v>16</v>
      </c>
      <c r="G1094" s="1" t="s">
        <v>626</v>
      </c>
      <c r="H1094" s="1" t="s">
        <v>2</v>
      </c>
      <c r="I1094" s="2">
        <v>46177</v>
      </c>
      <c r="J1094" s="1" t="s">
        <v>224</v>
      </c>
      <c r="K1094" s="1" t="s">
        <v>4739</v>
      </c>
      <c r="L1094" s="2">
        <v>46177.918923611112</v>
      </c>
      <c r="M1094" s="2">
        <v>46177.921329212964</v>
      </c>
    </row>
    <row r="1095" spans="1:13" x14ac:dyDescent="0.35">
      <c r="A1095" s="1" t="s">
        <v>625</v>
      </c>
      <c r="B1095" s="1" t="s">
        <v>13</v>
      </c>
      <c r="C1095" s="1" t="s">
        <v>626</v>
      </c>
      <c r="D1095">
        <v>0.75</v>
      </c>
      <c r="E1095" s="2">
        <v>46265</v>
      </c>
      <c r="F1095" s="1" t="s">
        <v>16</v>
      </c>
      <c r="G1095" s="1" t="s">
        <v>626</v>
      </c>
      <c r="H1095" s="1" t="s">
        <v>2</v>
      </c>
      <c r="I1095" s="2">
        <v>46177</v>
      </c>
      <c r="J1095" s="1" t="s">
        <v>215</v>
      </c>
      <c r="K1095" s="1" t="s">
        <v>4645</v>
      </c>
      <c r="L1095" s="2">
        <v>46177.918923611112</v>
      </c>
      <c r="M1095" s="2">
        <v>46177.921329212964</v>
      </c>
    </row>
    <row r="1096" spans="1:13" x14ac:dyDescent="0.35">
      <c r="A1096" s="1" t="s">
        <v>625</v>
      </c>
      <c r="B1096" s="1" t="s">
        <v>13</v>
      </c>
      <c r="C1096" s="1" t="s">
        <v>626</v>
      </c>
      <c r="D1096">
        <v>0.75</v>
      </c>
      <c r="E1096" s="2">
        <v>46265</v>
      </c>
      <c r="F1096" s="1" t="s">
        <v>16</v>
      </c>
      <c r="G1096" s="1" t="s">
        <v>626</v>
      </c>
      <c r="H1096" s="1" t="s">
        <v>2</v>
      </c>
      <c r="I1096" s="2">
        <v>46177</v>
      </c>
      <c r="J1096" s="1" t="s">
        <v>214</v>
      </c>
      <c r="K1096" s="1" t="s">
        <v>4739</v>
      </c>
      <c r="L1096" s="2">
        <v>46177.918923611112</v>
      </c>
      <c r="M1096" s="2">
        <v>46177.921329212964</v>
      </c>
    </row>
    <row r="1097" spans="1:13" x14ac:dyDescent="0.35">
      <c r="A1097" s="1" t="s">
        <v>625</v>
      </c>
      <c r="B1097" s="1" t="s">
        <v>13</v>
      </c>
      <c r="C1097" s="1" t="s">
        <v>626</v>
      </c>
      <c r="D1097">
        <v>0.75</v>
      </c>
      <c r="E1097" s="2">
        <v>46265</v>
      </c>
      <c r="F1097" s="1" t="s">
        <v>16</v>
      </c>
      <c r="G1097" s="1" t="s">
        <v>626</v>
      </c>
      <c r="H1097" s="1" t="s">
        <v>2</v>
      </c>
      <c r="I1097" s="2">
        <v>46177</v>
      </c>
      <c r="J1097" s="1" t="s">
        <v>18</v>
      </c>
      <c r="K1097" s="1" t="s">
        <v>2910</v>
      </c>
      <c r="L1097" s="2">
        <v>46177.92087962963</v>
      </c>
      <c r="M1097" s="2">
        <v>46177.921329212964</v>
      </c>
    </row>
    <row r="1098" spans="1:13" x14ac:dyDescent="0.35">
      <c r="A1098" s="1" t="s">
        <v>531</v>
      </c>
      <c r="B1098" s="1" t="s">
        <v>13</v>
      </c>
      <c r="C1098" s="1" t="s">
        <v>532</v>
      </c>
      <c r="D1098">
        <v>1.25</v>
      </c>
      <c r="E1098" s="2">
        <v>47026</v>
      </c>
      <c r="F1098" s="1" t="s">
        <v>16</v>
      </c>
      <c r="G1098" s="1" t="s">
        <v>532</v>
      </c>
      <c r="H1098" s="1" t="s">
        <v>2</v>
      </c>
      <c r="I1098" s="2">
        <v>46177</v>
      </c>
      <c r="J1098" s="1" t="s">
        <v>18</v>
      </c>
      <c r="K1098" s="1" t="s">
        <v>4754</v>
      </c>
      <c r="L1098" s="2">
        <v>46177.92087962963</v>
      </c>
      <c r="M1098" s="2">
        <v>46177.921329212964</v>
      </c>
    </row>
    <row r="1099" spans="1:13" x14ac:dyDescent="0.35">
      <c r="A1099" s="1" t="s">
        <v>531</v>
      </c>
      <c r="B1099" s="1" t="s">
        <v>13</v>
      </c>
      <c r="C1099" s="1" t="s">
        <v>532</v>
      </c>
      <c r="D1099">
        <v>1.25</v>
      </c>
      <c r="E1099" s="2">
        <v>47026</v>
      </c>
      <c r="F1099" s="1" t="s">
        <v>16</v>
      </c>
      <c r="G1099" s="1" t="s">
        <v>532</v>
      </c>
      <c r="H1099" s="1" t="s">
        <v>2</v>
      </c>
      <c r="I1099" s="2">
        <v>46177</v>
      </c>
      <c r="J1099" s="1" t="s">
        <v>215</v>
      </c>
      <c r="K1099" s="1" t="s">
        <v>4740</v>
      </c>
      <c r="L1099" s="2">
        <v>46177.918923611112</v>
      </c>
      <c r="M1099" s="2">
        <v>46177.921329212964</v>
      </c>
    </row>
    <row r="1100" spans="1:13" x14ac:dyDescent="0.35">
      <c r="A1100" s="1" t="s">
        <v>531</v>
      </c>
      <c r="B1100" s="1" t="s">
        <v>13</v>
      </c>
      <c r="C1100" s="1" t="s">
        <v>532</v>
      </c>
      <c r="D1100">
        <v>1.25</v>
      </c>
      <c r="E1100" s="2">
        <v>47026</v>
      </c>
      <c r="F1100" s="1" t="s">
        <v>16</v>
      </c>
      <c r="G1100" s="1" t="s">
        <v>532</v>
      </c>
      <c r="H1100" s="1" t="s">
        <v>2</v>
      </c>
      <c r="I1100" s="2">
        <v>46177</v>
      </c>
      <c r="J1100" s="1" t="s">
        <v>17</v>
      </c>
      <c r="K1100" s="1" t="s">
        <v>2974</v>
      </c>
      <c r="L1100" s="2">
        <v>46177.92087962963</v>
      </c>
      <c r="M1100" s="2">
        <v>46177.921329212964</v>
      </c>
    </row>
    <row r="1101" spans="1:13" x14ac:dyDescent="0.35">
      <c r="A1101" s="1" t="s">
        <v>531</v>
      </c>
      <c r="B1101" s="1" t="s">
        <v>13</v>
      </c>
      <c r="C1101" s="1" t="s">
        <v>532</v>
      </c>
      <c r="D1101">
        <v>1.25</v>
      </c>
      <c r="E1101" s="2">
        <v>47026</v>
      </c>
      <c r="F1101" s="1" t="s">
        <v>16</v>
      </c>
      <c r="G1101" s="1" t="s">
        <v>532</v>
      </c>
      <c r="H1101" s="1" t="s">
        <v>2</v>
      </c>
      <c r="I1101" s="2">
        <v>46177</v>
      </c>
      <c r="J1101" s="1" t="s">
        <v>214</v>
      </c>
      <c r="K1101" s="1" t="s">
        <v>4646</v>
      </c>
      <c r="L1101" s="2">
        <v>46177.918923611112</v>
      </c>
      <c r="M1101" s="2">
        <v>46177.921329212964</v>
      </c>
    </row>
    <row r="1102" spans="1:13" x14ac:dyDescent="0.35">
      <c r="A1102" s="1" t="s">
        <v>531</v>
      </c>
      <c r="B1102" s="1" t="s">
        <v>13</v>
      </c>
      <c r="C1102" s="1" t="s">
        <v>532</v>
      </c>
      <c r="D1102">
        <v>1.25</v>
      </c>
      <c r="E1102" s="2">
        <v>47026</v>
      </c>
      <c r="F1102" s="1" t="s">
        <v>16</v>
      </c>
      <c r="G1102" s="1" t="s">
        <v>532</v>
      </c>
      <c r="H1102" s="1" t="s">
        <v>2</v>
      </c>
      <c r="I1102" s="2">
        <v>46177</v>
      </c>
      <c r="J1102" s="1" t="s">
        <v>224</v>
      </c>
      <c r="K1102" s="1" t="s">
        <v>4646</v>
      </c>
      <c r="L1102" s="2">
        <v>46177.918923611112</v>
      </c>
      <c r="M1102" s="2">
        <v>46177.921329212964</v>
      </c>
    </row>
    <row r="1103" spans="1:13" x14ac:dyDescent="0.35">
      <c r="A1103" s="1" t="s">
        <v>531</v>
      </c>
      <c r="B1103" s="1" t="s">
        <v>13</v>
      </c>
      <c r="C1103" s="1" t="s">
        <v>532</v>
      </c>
      <c r="D1103">
        <v>1.25</v>
      </c>
      <c r="E1103" s="2">
        <v>47026</v>
      </c>
      <c r="F1103" s="1" t="s">
        <v>16</v>
      </c>
      <c r="G1103" s="1" t="s">
        <v>532</v>
      </c>
      <c r="H1103" s="1" t="s">
        <v>2</v>
      </c>
      <c r="I1103" s="2">
        <v>46177</v>
      </c>
      <c r="J1103" s="1" t="s">
        <v>67</v>
      </c>
      <c r="K1103" s="1" t="s">
        <v>4740</v>
      </c>
      <c r="L1103" s="2">
        <v>46177.918923611112</v>
      </c>
      <c r="M1103" s="2">
        <v>46177.921329212964</v>
      </c>
    </row>
    <row r="1104" spans="1:13" x14ac:dyDescent="0.35">
      <c r="A1104" s="1" t="s">
        <v>533</v>
      </c>
      <c r="B1104" s="1" t="s">
        <v>13</v>
      </c>
      <c r="C1104" s="1" t="s">
        <v>534</v>
      </c>
      <c r="D1104">
        <v>0.875</v>
      </c>
      <c r="E1104" s="2">
        <v>46295</v>
      </c>
      <c r="F1104" s="1" t="s">
        <v>16</v>
      </c>
      <c r="G1104" s="1" t="s">
        <v>534</v>
      </c>
      <c r="H1104" s="1" t="s">
        <v>2</v>
      </c>
      <c r="I1104" s="2">
        <v>46177</v>
      </c>
      <c r="J1104" s="1" t="s">
        <v>214</v>
      </c>
      <c r="K1104" s="1" t="s">
        <v>4755</v>
      </c>
      <c r="L1104" s="2">
        <v>46177.918923611112</v>
      </c>
      <c r="M1104" s="2">
        <v>46177.921329212964</v>
      </c>
    </row>
    <row r="1105" spans="1:13" x14ac:dyDescent="0.35">
      <c r="A1105" s="1" t="s">
        <v>533</v>
      </c>
      <c r="B1105" s="1" t="s">
        <v>13</v>
      </c>
      <c r="C1105" s="1" t="s">
        <v>534</v>
      </c>
      <c r="D1105">
        <v>0.875</v>
      </c>
      <c r="E1105" s="2">
        <v>46295</v>
      </c>
      <c r="F1105" s="1" t="s">
        <v>16</v>
      </c>
      <c r="G1105" s="1" t="s">
        <v>534</v>
      </c>
      <c r="H1105" s="1" t="s">
        <v>2</v>
      </c>
      <c r="I1105" s="2">
        <v>46177</v>
      </c>
      <c r="J1105" s="1" t="s">
        <v>18</v>
      </c>
      <c r="K1105" s="1" t="s">
        <v>4765</v>
      </c>
      <c r="L1105" s="2">
        <v>46177.92087962963</v>
      </c>
      <c r="M1105" s="2">
        <v>46177.921329212964</v>
      </c>
    </row>
    <row r="1106" spans="1:13" x14ac:dyDescent="0.35">
      <c r="A1106" s="1" t="s">
        <v>533</v>
      </c>
      <c r="B1106" s="1" t="s">
        <v>13</v>
      </c>
      <c r="C1106" s="1" t="s">
        <v>534</v>
      </c>
      <c r="D1106">
        <v>0.875</v>
      </c>
      <c r="E1106" s="2">
        <v>46295</v>
      </c>
      <c r="F1106" s="1" t="s">
        <v>16</v>
      </c>
      <c r="G1106" s="1" t="s">
        <v>534</v>
      </c>
      <c r="H1106" s="1" t="s">
        <v>2</v>
      </c>
      <c r="I1106" s="2">
        <v>46177</v>
      </c>
      <c r="J1106" s="1" t="s">
        <v>17</v>
      </c>
      <c r="K1106" s="1" t="s">
        <v>2915</v>
      </c>
      <c r="L1106" s="2">
        <v>46177.92087962963</v>
      </c>
      <c r="M1106" s="2">
        <v>46177.921329212964</v>
      </c>
    </row>
    <row r="1107" spans="1:13" x14ac:dyDescent="0.35">
      <c r="A1107" s="1" t="s">
        <v>533</v>
      </c>
      <c r="B1107" s="1" t="s">
        <v>13</v>
      </c>
      <c r="C1107" s="1" t="s">
        <v>534</v>
      </c>
      <c r="D1107">
        <v>0.875</v>
      </c>
      <c r="E1107" s="2">
        <v>46295</v>
      </c>
      <c r="F1107" s="1" t="s">
        <v>16</v>
      </c>
      <c r="G1107" s="1" t="s">
        <v>534</v>
      </c>
      <c r="H1107" s="1" t="s">
        <v>2</v>
      </c>
      <c r="I1107" s="2">
        <v>46177</v>
      </c>
      <c r="J1107" s="1" t="s">
        <v>67</v>
      </c>
      <c r="K1107" s="1" t="s">
        <v>4796</v>
      </c>
      <c r="L1107" s="2">
        <v>46177.918923611112</v>
      </c>
      <c r="M1107" s="2">
        <v>46177.921329212964</v>
      </c>
    </row>
    <row r="1108" spans="1:13" x14ac:dyDescent="0.35">
      <c r="A1108" s="1" t="s">
        <v>533</v>
      </c>
      <c r="B1108" s="1" t="s">
        <v>13</v>
      </c>
      <c r="C1108" s="1" t="s">
        <v>534</v>
      </c>
      <c r="D1108">
        <v>0.875</v>
      </c>
      <c r="E1108" s="2">
        <v>46295</v>
      </c>
      <c r="F1108" s="1" t="s">
        <v>16</v>
      </c>
      <c r="G1108" s="1" t="s">
        <v>534</v>
      </c>
      <c r="H1108" s="1" t="s">
        <v>2</v>
      </c>
      <c r="I1108" s="2">
        <v>46177</v>
      </c>
      <c r="J1108" s="1" t="s">
        <v>224</v>
      </c>
      <c r="K1108" s="1" t="s">
        <v>4755</v>
      </c>
      <c r="L1108" s="2">
        <v>46177.918923611112</v>
      </c>
      <c r="M1108" s="2">
        <v>46177.921329212964</v>
      </c>
    </row>
    <row r="1109" spans="1:13" x14ac:dyDescent="0.35">
      <c r="A1109" s="1" t="s">
        <v>533</v>
      </c>
      <c r="B1109" s="1" t="s">
        <v>13</v>
      </c>
      <c r="C1109" s="1" t="s">
        <v>534</v>
      </c>
      <c r="D1109">
        <v>0.875</v>
      </c>
      <c r="E1109" s="2">
        <v>46295</v>
      </c>
      <c r="F1109" s="1" t="s">
        <v>16</v>
      </c>
      <c r="G1109" s="1" t="s">
        <v>534</v>
      </c>
      <c r="H1109" s="1" t="s">
        <v>2</v>
      </c>
      <c r="I1109" s="2">
        <v>46177</v>
      </c>
      <c r="J1109" s="1" t="s">
        <v>215</v>
      </c>
      <c r="K1109" s="1" t="s">
        <v>4796</v>
      </c>
      <c r="L1109" s="2">
        <v>46177.918923611112</v>
      </c>
      <c r="M1109" s="2">
        <v>46177.921329212964</v>
      </c>
    </row>
    <row r="1110" spans="1:13" x14ac:dyDescent="0.35">
      <c r="A1110" s="1" t="s">
        <v>667</v>
      </c>
      <c r="B1110" s="1" t="s">
        <v>13</v>
      </c>
      <c r="C1110" s="1" t="s">
        <v>668</v>
      </c>
      <c r="D1110">
        <v>0.125</v>
      </c>
      <c r="E1110" s="2">
        <v>46310</v>
      </c>
      <c r="F1110" s="1" t="s">
        <v>64</v>
      </c>
      <c r="G1110" s="1" t="s">
        <v>668</v>
      </c>
      <c r="H1110" s="1" t="s">
        <v>2</v>
      </c>
      <c r="I1110" s="2">
        <v>46177</v>
      </c>
      <c r="J1110" s="1" t="s">
        <v>18</v>
      </c>
      <c r="K1110" s="1" t="s">
        <v>381</v>
      </c>
      <c r="L1110" s="2">
        <v>46177.92087962963</v>
      </c>
      <c r="M1110" s="2">
        <v>46177.921329212964</v>
      </c>
    </row>
    <row r="1111" spans="1:13" x14ac:dyDescent="0.35">
      <c r="A1111" s="1" t="s">
        <v>667</v>
      </c>
      <c r="B1111" s="1" t="s">
        <v>13</v>
      </c>
      <c r="C1111" s="1" t="s">
        <v>668</v>
      </c>
      <c r="D1111">
        <v>0.125</v>
      </c>
      <c r="E1111" s="2">
        <v>46310</v>
      </c>
      <c r="F1111" s="1" t="s">
        <v>64</v>
      </c>
      <c r="G1111" s="1" t="s">
        <v>668</v>
      </c>
      <c r="H1111" s="1" t="s">
        <v>2</v>
      </c>
      <c r="I1111" s="2">
        <v>46177</v>
      </c>
      <c r="J1111" s="1" t="s">
        <v>17</v>
      </c>
      <c r="K1111" s="1" t="s">
        <v>2892</v>
      </c>
      <c r="L1111" s="2">
        <v>46177.92087962963</v>
      </c>
      <c r="M1111" s="2">
        <v>46177.921329212964</v>
      </c>
    </row>
    <row r="1112" spans="1:13" x14ac:dyDescent="0.35">
      <c r="A1112" s="1" t="s">
        <v>535</v>
      </c>
      <c r="B1112" s="1" t="s">
        <v>13</v>
      </c>
      <c r="C1112" s="1" t="s">
        <v>536</v>
      </c>
      <c r="D1112">
        <v>1.375</v>
      </c>
      <c r="E1112" s="2">
        <v>47057</v>
      </c>
      <c r="F1112" s="1" t="s">
        <v>16</v>
      </c>
      <c r="G1112" s="1" t="s">
        <v>536</v>
      </c>
      <c r="H1112" s="1" t="s">
        <v>2</v>
      </c>
      <c r="I1112" s="2">
        <v>46177</v>
      </c>
      <c r="J1112" s="1" t="s">
        <v>224</v>
      </c>
      <c r="K1112" s="1" t="s">
        <v>4840</v>
      </c>
      <c r="L1112" s="2">
        <v>46177.918923611112</v>
      </c>
      <c r="M1112" s="2">
        <v>46177.921329212964</v>
      </c>
    </row>
    <row r="1113" spans="1:13" x14ac:dyDescent="0.35">
      <c r="A1113" s="1" t="s">
        <v>535</v>
      </c>
      <c r="B1113" s="1" t="s">
        <v>13</v>
      </c>
      <c r="C1113" s="1" t="s">
        <v>536</v>
      </c>
      <c r="D1113">
        <v>1.375</v>
      </c>
      <c r="E1113" s="2">
        <v>47057</v>
      </c>
      <c r="F1113" s="1" t="s">
        <v>16</v>
      </c>
      <c r="G1113" s="1" t="s">
        <v>536</v>
      </c>
      <c r="H1113" s="1" t="s">
        <v>2</v>
      </c>
      <c r="I1113" s="2">
        <v>46177</v>
      </c>
      <c r="J1113" s="1" t="s">
        <v>17</v>
      </c>
      <c r="K1113" s="1" t="s">
        <v>2399</v>
      </c>
      <c r="L1113" s="2">
        <v>46177.92087962963</v>
      </c>
      <c r="M1113" s="2">
        <v>46177.921329212964</v>
      </c>
    </row>
    <row r="1114" spans="1:13" x14ac:dyDescent="0.35">
      <c r="A1114" s="1" t="s">
        <v>535</v>
      </c>
      <c r="B1114" s="1" t="s">
        <v>13</v>
      </c>
      <c r="C1114" s="1" t="s">
        <v>536</v>
      </c>
      <c r="D1114">
        <v>1.375</v>
      </c>
      <c r="E1114" s="2">
        <v>47057</v>
      </c>
      <c r="F1114" s="1" t="s">
        <v>16</v>
      </c>
      <c r="G1114" s="1" t="s">
        <v>536</v>
      </c>
      <c r="H1114" s="1" t="s">
        <v>2</v>
      </c>
      <c r="I1114" s="2">
        <v>46177</v>
      </c>
      <c r="J1114" s="1" t="s">
        <v>67</v>
      </c>
      <c r="K1114" s="1" t="s">
        <v>4797</v>
      </c>
      <c r="L1114" s="2">
        <v>46177.918923611112</v>
      </c>
      <c r="M1114" s="2">
        <v>46177.921329212964</v>
      </c>
    </row>
    <row r="1115" spans="1:13" x14ac:dyDescent="0.35">
      <c r="A1115" s="1" t="s">
        <v>535</v>
      </c>
      <c r="B1115" s="1" t="s">
        <v>13</v>
      </c>
      <c r="C1115" s="1" t="s">
        <v>536</v>
      </c>
      <c r="D1115">
        <v>1.375</v>
      </c>
      <c r="E1115" s="2">
        <v>47057</v>
      </c>
      <c r="F1115" s="1" t="s">
        <v>16</v>
      </c>
      <c r="G1115" s="1" t="s">
        <v>536</v>
      </c>
      <c r="H1115" s="1" t="s">
        <v>2</v>
      </c>
      <c r="I1115" s="2">
        <v>46177</v>
      </c>
      <c r="J1115" s="1" t="s">
        <v>18</v>
      </c>
      <c r="K1115" s="1" t="s">
        <v>2439</v>
      </c>
      <c r="L1115" s="2">
        <v>46177.92087962963</v>
      </c>
      <c r="M1115" s="2">
        <v>46177.921329212964</v>
      </c>
    </row>
    <row r="1116" spans="1:13" x14ac:dyDescent="0.35">
      <c r="A1116" s="1" t="s">
        <v>535</v>
      </c>
      <c r="B1116" s="1" t="s">
        <v>13</v>
      </c>
      <c r="C1116" s="1" t="s">
        <v>536</v>
      </c>
      <c r="D1116">
        <v>1.375</v>
      </c>
      <c r="E1116" s="2">
        <v>47057</v>
      </c>
      <c r="F1116" s="1" t="s">
        <v>16</v>
      </c>
      <c r="G1116" s="1" t="s">
        <v>536</v>
      </c>
      <c r="H1116" s="1" t="s">
        <v>2</v>
      </c>
      <c r="I1116" s="2">
        <v>46177</v>
      </c>
      <c r="J1116" s="1" t="s">
        <v>214</v>
      </c>
      <c r="K1116" s="1" t="s">
        <v>4840</v>
      </c>
      <c r="L1116" s="2">
        <v>46177.918923611112</v>
      </c>
      <c r="M1116" s="2">
        <v>46177.921329212964</v>
      </c>
    </row>
    <row r="1117" spans="1:13" x14ac:dyDescent="0.35">
      <c r="A1117" s="1" t="s">
        <v>535</v>
      </c>
      <c r="B1117" s="1" t="s">
        <v>13</v>
      </c>
      <c r="C1117" s="1" t="s">
        <v>536</v>
      </c>
      <c r="D1117">
        <v>1.375</v>
      </c>
      <c r="E1117" s="2">
        <v>47057</v>
      </c>
      <c r="F1117" s="1" t="s">
        <v>16</v>
      </c>
      <c r="G1117" s="1" t="s">
        <v>536</v>
      </c>
      <c r="H1117" s="1" t="s">
        <v>2</v>
      </c>
      <c r="I1117" s="2">
        <v>46177</v>
      </c>
      <c r="J1117" s="1" t="s">
        <v>215</v>
      </c>
      <c r="K1117" s="1" t="s">
        <v>4797</v>
      </c>
      <c r="L1117" s="2">
        <v>46177.918923611112</v>
      </c>
      <c r="M1117" s="2">
        <v>46177.921329212964</v>
      </c>
    </row>
    <row r="1118" spans="1:13" x14ac:dyDescent="0.35">
      <c r="A1118" s="1" t="s">
        <v>631</v>
      </c>
      <c r="B1118" s="1" t="s">
        <v>13</v>
      </c>
      <c r="C1118" s="1" t="s">
        <v>632</v>
      </c>
      <c r="D1118">
        <v>1.125</v>
      </c>
      <c r="E1118" s="2">
        <v>46326</v>
      </c>
      <c r="F1118" s="1" t="s">
        <v>16</v>
      </c>
      <c r="G1118" s="1" t="s">
        <v>632</v>
      </c>
      <c r="H1118" s="1" t="s">
        <v>2</v>
      </c>
      <c r="I1118" s="2">
        <v>46177</v>
      </c>
      <c r="J1118" s="1" t="s">
        <v>18</v>
      </c>
      <c r="K1118" s="1" t="s">
        <v>2489</v>
      </c>
      <c r="L1118" s="2">
        <v>46177.92087962963</v>
      </c>
      <c r="M1118" s="2">
        <v>46177.921329212964</v>
      </c>
    </row>
    <row r="1119" spans="1:13" x14ac:dyDescent="0.35">
      <c r="A1119" s="1" t="s">
        <v>631</v>
      </c>
      <c r="B1119" s="1" t="s">
        <v>13</v>
      </c>
      <c r="C1119" s="1" t="s">
        <v>632</v>
      </c>
      <c r="D1119">
        <v>1.125</v>
      </c>
      <c r="E1119" s="2">
        <v>46326</v>
      </c>
      <c r="F1119" s="1" t="s">
        <v>16</v>
      </c>
      <c r="G1119" s="1" t="s">
        <v>632</v>
      </c>
      <c r="H1119" s="1" t="s">
        <v>2</v>
      </c>
      <c r="I1119" s="2">
        <v>46177</v>
      </c>
      <c r="J1119" s="1" t="s">
        <v>67</v>
      </c>
      <c r="K1119" s="1" t="s">
        <v>4759</v>
      </c>
      <c r="L1119" s="2">
        <v>46177.918923611112</v>
      </c>
      <c r="M1119" s="2">
        <v>46177.921329212964</v>
      </c>
    </row>
    <row r="1120" spans="1:13" x14ac:dyDescent="0.35">
      <c r="A1120" s="1" t="s">
        <v>631</v>
      </c>
      <c r="B1120" s="1" t="s">
        <v>13</v>
      </c>
      <c r="C1120" s="1" t="s">
        <v>632</v>
      </c>
      <c r="D1120">
        <v>1.125</v>
      </c>
      <c r="E1120" s="2">
        <v>46326</v>
      </c>
      <c r="F1120" s="1" t="s">
        <v>16</v>
      </c>
      <c r="G1120" s="1" t="s">
        <v>632</v>
      </c>
      <c r="H1120" s="1" t="s">
        <v>2</v>
      </c>
      <c r="I1120" s="2">
        <v>46177</v>
      </c>
      <c r="J1120" s="1" t="s">
        <v>224</v>
      </c>
      <c r="K1120" s="1" t="s">
        <v>4760</v>
      </c>
      <c r="L1120" s="2">
        <v>46177.918923611112</v>
      </c>
      <c r="M1120" s="2">
        <v>46177.921329212964</v>
      </c>
    </row>
    <row r="1121" spans="1:13" x14ac:dyDescent="0.35">
      <c r="A1121" s="1" t="s">
        <v>631</v>
      </c>
      <c r="B1121" s="1" t="s">
        <v>13</v>
      </c>
      <c r="C1121" s="1" t="s">
        <v>632</v>
      </c>
      <c r="D1121">
        <v>1.125</v>
      </c>
      <c r="E1121" s="2">
        <v>46326</v>
      </c>
      <c r="F1121" s="1" t="s">
        <v>16</v>
      </c>
      <c r="G1121" s="1" t="s">
        <v>632</v>
      </c>
      <c r="H1121" s="1" t="s">
        <v>2</v>
      </c>
      <c r="I1121" s="2">
        <v>46177</v>
      </c>
      <c r="J1121" s="1" t="s">
        <v>215</v>
      </c>
      <c r="K1121" s="1" t="s">
        <v>4759</v>
      </c>
      <c r="L1121" s="2">
        <v>46177.918923611112</v>
      </c>
      <c r="M1121" s="2">
        <v>46177.921329212964</v>
      </c>
    </row>
    <row r="1122" spans="1:13" x14ac:dyDescent="0.35">
      <c r="A1122" s="1" t="s">
        <v>631</v>
      </c>
      <c r="B1122" s="1" t="s">
        <v>13</v>
      </c>
      <c r="C1122" s="1" t="s">
        <v>632</v>
      </c>
      <c r="D1122">
        <v>1.125</v>
      </c>
      <c r="E1122" s="2">
        <v>46326</v>
      </c>
      <c r="F1122" s="1" t="s">
        <v>16</v>
      </c>
      <c r="G1122" s="1" t="s">
        <v>632</v>
      </c>
      <c r="H1122" s="1" t="s">
        <v>2</v>
      </c>
      <c r="I1122" s="2">
        <v>46177</v>
      </c>
      <c r="J1122" s="1" t="s">
        <v>17</v>
      </c>
      <c r="K1122" s="1" t="s">
        <v>4806</v>
      </c>
      <c r="L1122" s="2">
        <v>46177.92087962963</v>
      </c>
      <c r="M1122" s="2">
        <v>46177.921329212964</v>
      </c>
    </row>
    <row r="1123" spans="1:13" x14ac:dyDescent="0.35">
      <c r="A1123" s="1" t="s">
        <v>631</v>
      </c>
      <c r="B1123" s="1" t="s">
        <v>13</v>
      </c>
      <c r="C1123" s="1" t="s">
        <v>632</v>
      </c>
      <c r="D1123">
        <v>1.125</v>
      </c>
      <c r="E1123" s="2">
        <v>46326</v>
      </c>
      <c r="F1123" s="1" t="s">
        <v>16</v>
      </c>
      <c r="G1123" s="1" t="s">
        <v>632</v>
      </c>
      <c r="H1123" s="1" t="s">
        <v>2</v>
      </c>
      <c r="I1123" s="2">
        <v>46177</v>
      </c>
      <c r="J1123" s="1" t="s">
        <v>214</v>
      </c>
      <c r="K1123" s="1" t="s">
        <v>4760</v>
      </c>
      <c r="L1123" s="2">
        <v>46177.918923611112</v>
      </c>
      <c r="M1123" s="2">
        <v>46177.921329212964</v>
      </c>
    </row>
    <row r="1124" spans="1:13" x14ac:dyDescent="0.35">
      <c r="A1124" s="1" t="s">
        <v>537</v>
      </c>
      <c r="B1124" s="1" t="s">
        <v>13</v>
      </c>
      <c r="C1124" s="1" t="s">
        <v>538</v>
      </c>
      <c r="D1124">
        <v>1.375</v>
      </c>
      <c r="E1124" s="2">
        <v>48167</v>
      </c>
      <c r="F1124" s="1" t="s">
        <v>16</v>
      </c>
      <c r="G1124" s="1" t="s">
        <v>538</v>
      </c>
      <c r="H1124" s="1" t="s">
        <v>2</v>
      </c>
      <c r="I1124" s="2">
        <v>46177</v>
      </c>
      <c r="J1124" s="1" t="s">
        <v>18</v>
      </c>
      <c r="K1124" s="1" t="s">
        <v>4901</v>
      </c>
      <c r="L1124" s="2">
        <v>46177.92087962963</v>
      </c>
      <c r="M1124" s="2">
        <v>46177.921329212964</v>
      </c>
    </row>
    <row r="1125" spans="1:13" x14ac:dyDescent="0.35">
      <c r="A1125" s="1" t="s">
        <v>537</v>
      </c>
      <c r="B1125" s="1" t="s">
        <v>13</v>
      </c>
      <c r="C1125" s="1" t="s">
        <v>538</v>
      </c>
      <c r="D1125">
        <v>1.375</v>
      </c>
      <c r="E1125" s="2">
        <v>48167</v>
      </c>
      <c r="F1125" s="1" t="s">
        <v>16</v>
      </c>
      <c r="G1125" s="1" t="s">
        <v>538</v>
      </c>
      <c r="H1125" s="1" t="s">
        <v>2</v>
      </c>
      <c r="I1125" s="2">
        <v>46177</v>
      </c>
      <c r="J1125" s="1" t="s">
        <v>214</v>
      </c>
      <c r="K1125" s="1" t="s">
        <v>4647</v>
      </c>
      <c r="L1125" s="2">
        <v>46177.918923611112</v>
      </c>
      <c r="M1125" s="2">
        <v>46177.921329212964</v>
      </c>
    </row>
    <row r="1126" spans="1:13" x14ac:dyDescent="0.35">
      <c r="A1126" s="1" t="s">
        <v>537</v>
      </c>
      <c r="B1126" s="1" t="s">
        <v>13</v>
      </c>
      <c r="C1126" s="1" t="s">
        <v>538</v>
      </c>
      <c r="D1126">
        <v>1.375</v>
      </c>
      <c r="E1126" s="2">
        <v>48167</v>
      </c>
      <c r="F1126" s="1" t="s">
        <v>16</v>
      </c>
      <c r="G1126" s="1" t="s">
        <v>538</v>
      </c>
      <c r="H1126" s="1" t="s">
        <v>2</v>
      </c>
      <c r="I1126" s="2">
        <v>46177</v>
      </c>
      <c r="J1126" s="1" t="s">
        <v>17</v>
      </c>
      <c r="K1126" s="1" t="s">
        <v>4807</v>
      </c>
      <c r="L1126" s="2">
        <v>46177.92087962963</v>
      </c>
      <c r="M1126" s="2">
        <v>46177.921329212964</v>
      </c>
    </row>
    <row r="1127" spans="1:13" x14ac:dyDescent="0.35">
      <c r="A1127" s="1" t="s">
        <v>537</v>
      </c>
      <c r="B1127" s="1" t="s">
        <v>13</v>
      </c>
      <c r="C1127" s="1" t="s">
        <v>538</v>
      </c>
      <c r="D1127">
        <v>1.375</v>
      </c>
      <c r="E1127" s="2">
        <v>48167</v>
      </c>
      <c r="F1127" s="1" t="s">
        <v>16</v>
      </c>
      <c r="G1127" s="1" t="s">
        <v>538</v>
      </c>
      <c r="H1127" s="1" t="s">
        <v>2</v>
      </c>
      <c r="I1127" s="2">
        <v>46177</v>
      </c>
      <c r="J1127" s="1" t="s">
        <v>67</v>
      </c>
      <c r="K1127" s="1" t="s">
        <v>4808</v>
      </c>
      <c r="L1127" s="2">
        <v>46177.918923611112</v>
      </c>
      <c r="M1127" s="2">
        <v>46177.921329212964</v>
      </c>
    </row>
    <row r="1128" spans="1:13" x14ac:dyDescent="0.35">
      <c r="A1128" s="1" t="s">
        <v>537</v>
      </c>
      <c r="B1128" s="1" t="s">
        <v>13</v>
      </c>
      <c r="C1128" s="1" t="s">
        <v>538</v>
      </c>
      <c r="D1128">
        <v>1.375</v>
      </c>
      <c r="E1128" s="2">
        <v>48167</v>
      </c>
      <c r="F1128" s="1" t="s">
        <v>16</v>
      </c>
      <c r="G1128" s="1" t="s">
        <v>538</v>
      </c>
      <c r="H1128" s="1" t="s">
        <v>2</v>
      </c>
      <c r="I1128" s="2">
        <v>46177</v>
      </c>
      <c r="J1128" s="1" t="s">
        <v>224</v>
      </c>
      <c r="K1128" s="1" t="s">
        <v>4647</v>
      </c>
      <c r="L1128" s="2">
        <v>46177.918923611112</v>
      </c>
      <c r="M1128" s="2">
        <v>46177.921329212964</v>
      </c>
    </row>
    <row r="1129" spans="1:13" x14ac:dyDescent="0.35">
      <c r="A1129" s="1" t="s">
        <v>537</v>
      </c>
      <c r="B1129" s="1" t="s">
        <v>13</v>
      </c>
      <c r="C1129" s="1" t="s">
        <v>538</v>
      </c>
      <c r="D1129">
        <v>1.375</v>
      </c>
      <c r="E1129" s="2">
        <v>48167</v>
      </c>
      <c r="F1129" s="1" t="s">
        <v>16</v>
      </c>
      <c r="G1129" s="1" t="s">
        <v>538</v>
      </c>
      <c r="H1129" s="1" t="s">
        <v>2</v>
      </c>
      <c r="I1129" s="2">
        <v>46177</v>
      </c>
      <c r="J1129" s="1" t="s">
        <v>215</v>
      </c>
      <c r="K1129" s="1" t="s">
        <v>4808</v>
      </c>
      <c r="L1129" s="2">
        <v>46177.918923611112</v>
      </c>
      <c r="M1129" s="2">
        <v>46177.921329212964</v>
      </c>
    </row>
    <row r="1130" spans="1:13" x14ac:dyDescent="0.35">
      <c r="A1130" s="1" t="s">
        <v>539</v>
      </c>
      <c r="B1130" s="1" t="s">
        <v>13</v>
      </c>
      <c r="C1130" s="1" t="s">
        <v>540</v>
      </c>
      <c r="D1130">
        <v>1.25</v>
      </c>
      <c r="E1130" s="2">
        <v>46356</v>
      </c>
      <c r="F1130" s="1" t="s">
        <v>16</v>
      </c>
      <c r="G1130" s="1" t="s">
        <v>540</v>
      </c>
      <c r="H1130" s="1" t="s">
        <v>2</v>
      </c>
      <c r="I1130" s="2">
        <v>46177</v>
      </c>
      <c r="J1130" s="1" t="s">
        <v>214</v>
      </c>
      <c r="K1130" s="1" t="s">
        <v>4648</v>
      </c>
      <c r="L1130" s="2">
        <v>46177.918923611112</v>
      </c>
      <c r="M1130" s="2">
        <v>46177.921329212964</v>
      </c>
    </row>
    <row r="1131" spans="1:13" x14ac:dyDescent="0.35">
      <c r="A1131" s="1" t="s">
        <v>539</v>
      </c>
      <c r="B1131" s="1" t="s">
        <v>13</v>
      </c>
      <c r="C1131" s="1" t="s">
        <v>540</v>
      </c>
      <c r="D1131">
        <v>1.25</v>
      </c>
      <c r="E1131" s="2">
        <v>46356</v>
      </c>
      <c r="F1131" s="1" t="s">
        <v>16</v>
      </c>
      <c r="G1131" s="1" t="s">
        <v>540</v>
      </c>
      <c r="H1131" s="1" t="s">
        <v>2</v>
      </c>
      <c r="I1131" s="2">
        <v>46177</v>
      </c>
      <c r="J1131" s="1" t="s">
        <v>67</v>
      </c>
      <c r="K1131" s="1" t="s">
        <v>4841</v>
      </c>
      <c r="L1131" s="2">
        <v>46177.918923611112</v>
      </c>
      <c r="M1131" s="2">
        <v>46177.921329212964</v>
      </c>
    </row>
    <row r="1132" spans="1:13" x14ac:dyDescent="0.35">
      <c r="A1132" s="1" t="s">
        <v>539</v>
      </c>
      <c r="B1132" s="1" t="s">
        <v>13</v>
      </c>
      <c r="C1132" s="1" t="s">
        <v>540</v>
      </c>
      <c r="D1132">
        <v>1.25</v>
      </c>
      <c r="E1132" s="2">
        <v>46356</v>
      </c>
      <c r="F1132" s="1" t="s">
        <v>16</v>
      </c>
      <c r="G1132" s="1" t="s">
        <v>540</v>
      </c>
      <c r="H1132" s="1" t="s">
        <v>2</v>
      </c>
      <c r="I1132" s="2">
        <v>46177</v>
      </c>
      <c r="J1132" s="1" t="s">
        <v>224</v>
      </c>
      <c r="K1132" s="1" t="s">
        <v>4648</v>
      </c>
      <c r="L1132" s="2">
        <v>46177.918923611112</v>
      </c>
      <c r="M1132" s="2">
        <v>46177.921329212964</v>
      </c>
    </row>
    <row r="1133" spans="1:13" x14ac:dyDescent="0.35">
      <c r="A1133" s="1" t="s">
        <v>539</v>
      </c>
      <c r="B1133" s="1" t="s">
        <v>13</v>
      </c>
      <c r="C1133" s="1" t="s">
        <v>540</v>
      </c>
      <c r="D1133">
        <v>1.25</v>
      </c>
      <c r="E1133" s="2">
        <v>46356</v>
      </c>
      <c r="F1133" s="1" t="s">
        <v>16</v>
      </c>
      <c r="G1133" s="1" t="s">
        <v>540</v>
      </c>
      <c r="H1133" s="1" t="s">
        <v>2</v>
      </c>
      <c r="I1133" s="2">
        <v>46177</v>
      </c>
      <c r="J1133" s="1" t="s">
        <v>18</v>
      </c>
      <c r="K1133" s="1" t="s">
        <v>2671</v>
      </c>
      <c r="L1133" s="2">
        <v>46177.92087962963</v>
      </c>
      <c r="M1133" s="2">
        <v>46177.921329212964</v>
      </c>
    </row>
    <row r="1134" spans="1:13" x14ac:dyDescent="0.35">
      <c r="A1134" s="1" t="s">
        <v>539</v>
      </c>
      <c r="B1134" s="1" t="s">
        <v>13</v>
      </c>
      <c r="C1134" s="1" t="s">
        <v>540</v>
      </c>
      <c r="D1134">
        <v>1.25</v>
      </c>
      <c r="E1134" s="2">
        <v>46356</v>
      </c>
      <c r="F1134" s="1" t="s">
        <v>16</v>
      </c>
      <c r="G1134" s="1" t="s">
        <v>540</v>
      </c>
      <c r="H1134" s="1" t="s">
        <v>2</v>
      </c>
      <c r="I1134" s="2">
        <v>46177</v>
      </c>
      <c r="J1134" s="1" t="s">
        <v>215</v>
      </c>
      <c r="K1134" s="1" t="s">
        <v>4841</v>
      </c>
      <c r="L1134" s="2">
        <v>46177.918923611112</v>
      </c>
      <c r="M1134" s="2">
        <v>46177.921329212964</v>
      </c>
    </row>
    <row r="1135" spans="1:13" x14ac:dyDescent="0.35">
      <c r="A1135" s="1" t="s">
        <v>539</v>
      </c>
      <c r="B1135" s="1" t="s">
        <v>13</v>
      </c>
      <c r="C1135" s="1" t="s">
        <v>540</v>
      </c>
      <c r="D1135">
        <v>1.25</v>
      </c>
      <c r="E1135" s="2">
        <v>46356</v>
      </c>
      <c r="F1135" s="1" t="s">
        <v>16</v>
      </c>
      <c r="G1135" s="1" t="s">
        <v>540</v>
      </c>
      <c r="H1135" s="1" t="s">
        <v>2</v>
      </c>
      <c r="I1135" s="2">
        <v>46177</v>
      </c>
      <c r="J1135" s="1" t="s">
        <v>17</v>
      </c>
      <c r="K1135" s="1" t="s">
        <v>2403</v>
      </c>
      <c r="L1135" s="2">
        <v>46177.92087962963</v>
      </c>
      <c r="M1135" s="2">
        <v>46177.921329212964</v>
      </c>
    </row>
    <row r="1136" spans="1:13" x14ac:dyDescent="0.35">
      <c r="A1136" s="1" t="s">
        <v>561</v>
      </c>
      <c r="B1136" s="1" t="s">
        <v>13</v>
      </c>
      <c r="C1136" s="1" t="s">
        <v>562</v>
      </c>
      <c r="D1136">
        <v>1.5</v>
      </c>
      <c r="E1136" s="2">
        <v>47087</v>
      </c>
      <c r="F1136" s="1" t="s">
        <v>16</v>
      </c>
      <c r="G1136" s="1" t="s">
        <v>562</v>
      </c>
      <c r="H1136" s="1" t="s">
        <v>2</v>
      </c>
      <c r="I1136" s="2">
        <v>46177</v>
      </c>
      <c r="J1136" s="1" t="s">
        <v>17</v>
      </c>
      <c r="K1136" s="1" t="s">
        <v>3004</v>
      </c>
      <c r="L1136" s="2">
        <v>46177.92087962963</v>
      </c>
      <c r="M1136" s="2">
        <v>46177.921329212964</v>
      </c>
    </row>
    <row r="1137" spans="1:13" x14ac:dyDescent="0.35">
      <c r="A1137" s="1" t="s">
        <v>561</v>
      </c>
      <c r="B1137" s="1" t="s">
        <v>13</v>
      </c>
      <c r="C1137" s="1" t="s">
        <v>562</v>
      </c>
      <c r="D1137">
        <v>1.5</v>
      </c>
      <c r="E1137" s="2">
        <v>47087</v>
      </c>
      <c r="F1137" s="1" t="s">
        <v>16</v>
      </c>
      <c r="G1137" s="1" t="s">
        <v>562</v>
      </c>
      <c r="H1137" s="1" t="s">
        <v>2</v>
      </c>
      <c r="I1137" s="2">
        <v>46177</v>
      </c>
      <c r="J1137" s="1" t="s">
        <v>18</v>
      </c>
      <c r="K1137" s="1" t="s">
        <v>2948</v>
      </c>
      <c r="L1137" s="2">
        <v>46177.92087962963</v>
      </c>
      <c r="M1137" s="2">
        <v>46177.921329212964</v>
      </c>
    </row>
    <row r="1138" spans="1:13" x14ac:dyDescent="0.35">
      <c r="A1138" s="1" t="s">
        <v>561</v>
      </c>
      <c r="B1138" s="1" t="s">
        <v>13</v>
      </c>
      <c r="C1138" s="1" t="s">
        <v>562</v>
      </c>
      <c r="D1138">
        <v>1.5</v>
      </c>
      <c r="E1138" s="2">
        <v>47087</v>
      </c>
      <c r="F1138" s="1" t="s">
        <v>16</v>
      </c>
      <c r="G1138" s="1" t="s">
        <v>562</v>
      </c>
      <c r="H1138" s="1" t="s">
        <v>2</v>
      </c>
      <c r="I1138" s="2">
        <v>46177</v>
      </c>
      <c r="J1138" s="1" t="s">
        <v>214</v>
      </c>
      <c r="K1138" s="1" t="s">
        <v>4799</v>
      </c>
      <c r="L1138" s="2">
        <v>46177.918923611112</v>
      </c>
      <c r="M1138" s="2">
        <v>46177.921329212964</v>
      </c>
    </row>
    <row r="1139" spans="1:13" x14ac:dyDescent="0.35">
      <c r="A1139" s="1" t="s">
        <v>561</v>
      </c>
      <c r="B1139" s="1" t="s">
        <v>13</v>
      </c>
      <c r="C1139" s="1" t="s">
        <v>562</v>
      </c>
      <c r="D1139">
        <v>1.5</v>
      </c>
      <c r="E1139" s="2">
        <v>47087</v>
      </c>
      <c r="F1139" s="1" t="s">
        <v>16</v>
      </c>
      <c r="G1139" s="1" t="s">
        <v>562</v>
      </c>
      <c r="H1139" s="1" t="s">
        <v>2</v>
      </c>
      <c r="I1139" s="2">
        <v>46177</v>
      </c>
      <c r="J1139" s="1" t="s">
        <v>215</v>
      </c>
      <c r="K1139" s="1" t="s">
        <v>4798</v>
      </c>
      <c r="L1139" s="2">
        <v>46177.918923611112</v>
      </c>
      <c r="M1139" s="2">
        <v>46177.921329212964</v>
      </c>
    </row>
    <row r="1140" spans="1:13" x14ac:dyDescent="0.35">
      <c r="A1140" s="1" t="s">
        <v>561</v>
      </c>
      <c r="B1140" s="1" t="s">
        <v>13</v>
      </c>
      <c r="C1140" s="1" t="s">
        <v>562</v>
      </c>
      <c r="D1140">
        <v>1.5</v>
      </c>
      <c r="E1140" s="2">
        <v>47087</v>
      </c>
      <c r="F1140" s="1" t="s">
        <v>16</v>
      </c>
      <c r="G1140" s="1" t="s">
        <v>562</v>
      </c>
      <c r="H1140" s="1" t="s">
        <v>2</v>
      </c>
      <c r="I1140" s="2">
        <v>46177</v>
      </c>
      <c r="J1140" s="1" t="s">
        <v>67</v>
      </c>
      <c r="K1140" s="1" t="s">
        <v>4798</v>
      </c>
      <c r="L1140" s="2">
        <v>46177.918923611112</v>
      </c>
      <c r="M1140" s="2">
        <v>46177.921329212964</v>
      </c>
    </row>
    <row r="1141" spans="1:13" x14ac:dyDescent="0.35">
      <c r="A1141" s="1" t="s">
        <v>561</v>
      </c>
      <c r="B1141" s="1" t="s">
        <v>13</v>
      </c>
      <c r="C1141" s="1" t="s">
        <v>562</v>
      </c>
      <c r="D1141">
        <v>1.5</v>
      </c>
      <c r="E1141" s="2">
        <v>47087</v>
      </c>
      <c r="F1141" s="1" t="s">
        <v>16</v>
      </c>
      <c r="G1141" s="1" t="s">
        <v>562</v>
      </c>
      <c r="H1141" s="1" t="s">
        <v>2</v>
      </c>
      <c r="I1141" s="2">
        <v>46177</v>
      </c>
      <c r="J1141" s="1" t="s">
        <v>224</v>
      </c>
      <c r="K1141" s="1" t="s">
        <v>4799</v>
      </c>
      <c r="L1141" s="2">
        <v>46177.918923611112</v>
      </c>
      <c r="M1141" s="2">
        <v>46177.921329212964</v>
      </c>
    </row>
    <row r="1142" spans="1:13" x14ac:dyDescent="0.35">
      <c r="A1142" s="1" t="s">
        <v>633</v>
      </c>
      <c r="B1142" s="1" t="s">
        <v>13</v>
      </c>
      <c r="C1142" s="1" t="s">
        <v>634</v>
      </c>
      <c r="D1142">
        <v>1.375</v>
      </c>
      <c r="E1142" s="2">
        <v>47118</v>
      </c>
      <c r="F1142" s="1" t="s">
        <v>16</v>
      </c>
      <c r="G1142" s="1" t="s">
        <v>634</v>
      </c>
      <c r="H1142" s="1" t="s">
        <v>2</v>
      </c>
      <c r="I1142" s="2">
        <v>46177</v>
      </c>
      <c r="J1142" s="1" t="s">
        <v>17</v>
      </c>
      <c r="K1142" s="1" t="s">
        <v>2950</v>
      </c>
      <c r="L1142" s="2">
        <v>46177.92087962963</v>
      </c>
      <c r="M1142" s="2">
        <v>46177.921329212964</v>
      </c>
    </row>
    <row r="1143" spans="1:13" x14ac:dyDescent="0.35">
      <c r="A1143" s="1" t="s">
        <v>633</v>
      </c>
      <c r="B1143" s="1" t="s">
        <v>13</v>
      </c>
      <c r="C1143" s="1" t="s">
        <v>634</v>
      </c>
      <c r="D1143">
        <v>1.375</v>
      </c>
      <c r="E1143" s="2">
        <v>47118</v>
      </c>
      <c r="F1143" s="1" t="s">
        <v>16</v>
      </c>
      <c r="G1143" s="1" t="s">
        <v>634</v>
      </c>
      <c r="H1143" s="1" t="s">
        <v>2</v>
      </c>
      <c r="I1143" s="2">
        <v>46177</v>
      </c>
      <c r="J1143" s="1" t="s">
        <v>215</v>
      </c>
      <c r="K1143" s="1" t="s">
        <v>4809</v>
      </c>
      <c r="L1143" s="2">
        <v>46177.918923611112</v>
      </c>
      <c r="M1143" s="2">
        <v>46177.921329212964</v>
      </c>
    </row>
    <row r="1144" spans="1:13" x14ac:dyDescent="0.35">
      <c r="A1144" s="1" t="s">
        <v>633</v>
      </c>
      <c r="B1144" s="1" t="s">
        <v>13</v>
      </c>
      <c r="C1144" s="1" t="s">
        <v>634</v>
      </c>
      <c r="D1144">
        <v>1.375</v>
      </c>
      <c r="E1144" s="2">
        <v>47118</v>
      </c>
      <c r="F1144" s="1" t="s">
        <v>16</v>
      </c>
      <c r="G1144" s="1" t="s">
        <v>634</v>
      </c>
      <c r="H1144" s="1" t="s">
        <v>2</v>
      </c>
      <c r="I1144" s="2">
        <v>46177</v>
      </c>
      <c r="J1144" s="1" t="s">
        <v>224</v>
      </c>
      <c r="K1144" s="1" t="s">
        <v>4649</v>
      </c>
      <c r="L1144" s="2">
        <v>46177.918923611112</v>
      </c>
      <c r="M1144" s="2">
        <v>46177.921329212964</v>
      </c>
    </row>
    <row r="1145" spans="1:13" x14ac:dyDescent="0.35">
      <c r="A1145" s="1" t="s">
        <v>633</v>
      </c>
      <c r="B1145" s="1" t="s">
        <v>13</v>
      </c>
      <c r="C1145" s="1" t="s">
        <v>634</v>
      </c>
      <c r="D1145">
        <v>1.375</v>
      </c>
      <c r="E1145" s="2">
        <v>47118</v>
      </c>
      <c r="F1145" s="1" t="s">
        <v>16</v>
      </c>
      <c r="G1145" s="1" t="s">
        <v>634</v>
      </c>
      <c r="H1145" s="1" t="s">
        <v>2</v>
      </c>
      <c r="I1145" s="2">
        <v>46177</v>
      </c>
      <c r="J1145" s="1" t="s">
        <v>214</v>
      </c>
      <c r="K1145" s="1" t="s">
        <v>4649</v>
      </c>
      <c r="L1145" s="2">
        <v>46177.918923611112</v>
      </c>
      <c r="M1145" s="2">
        <v>46177.921329212964</v>
      </c>
    </row>
    <row r="1146" spans="1:13" x14ac:dyDescent="0.35">
      <c r="A1146" s="1" t="s">
        <v>633</v>
      </c>
      <c r="B1146" s="1" t="s">
        <v>13</v>
      </c>
      <c r="C1146" s="1" t="s">
        <v>634</v>
      </c>
      <c r="D1146">
        <v>1.375</v>
      </c>
      <c r="E1146" s="2">
        <v>47118</v>
      </c>
      <c r="F1146" s="1" t="s">
        <v>16</v>
      </c>
      <c r="G1146" s="1" t="s">
        <v>634</v>
      </c>
      <c r="H1146" s="1" t="s">
        <v>2</v>
      </c>
      <c r="I1146" s="2">
        <v>46177</v>
      </c>
      <c r="J1146" s="1" t="s">
        <v>67</v>
      </c>
      <c r="K1146" s="1" t="s">
        <v>4809</v>
      </c>
      <c r="L1146" s="2">
        <v>46177.918923611112</v>
      </c>
      <c r="M1146" s="2">
        <v>46177.921329212964</v>
      </c>
    </row>
    <row r="1147" spans="1:13" x14ac:dyDescent="0.35">
      <c r="A1147" s="1" t="s">
        <v>633</v>
      </c>
      <c r="B1147" s="1" t="s">
        <v>13</v>
      </c>
      <c r="C1147" s="1" t="s">
        <v>634</v>
      </c>
      <c r="D1147">
        <v>1.375</v>
      </c>
      <c r="E1147" s="2">
        <v>47118</v>
      </c>
      <c r="F1147" s="1" t="s">
        <v>16</v>
      </c>
      <c r="G1147" s="1" t="s">
        <v>634</v>
      </c>
      <c r="H1147" s="1" t="s">
        <v>2</v>
      </c>
      <c r="I1147" s="2">
        <v>46177</v>
      </c>
      <c r="J1147" s="1" t="s">
        <v>18</v>
      </c>
      <c r="K1147" s="1" t="s">
        <v>2906</v>
      </c>
      <c r="L1147" s="2">
        <v>46177.92087962963</v>
      </c>
      <c r="M1147" s="2">
        <v>46177.921329212964</v>
      </c>
    </row>
    <row r="1148" spans="1:13" x14ac:dyDescent="0.35">
      <c r="A1148" s="1" t="s">
        <v>635</v>
      </c>
      <c r="B1148" s="1" t="s">
        <v>13</v>
      </c>
      <c r="C1148" s="1" t="s">
        <v>636</v>
      </c>
      <c r="D1148">
        <v>1.25</v>
      </c>
      <c r="E1148" s="2">
        <v>46387</v>
      </c>
      <c r="F1148" s="1" t="s">
        <v>16</v>
      </c>
      <c r="G1148" s="1" t="s">
        <v>636</v>
      </c>
      <c r="H1148" s="1" t="s">
        <v>2</v>
      </c>
      <c r="I1148" s="2">
        <v>46177</v>
      </c>
      <c r="J1148" s="1" t="s">
        <v>17</v>
      </c>
      <c r="K1148" s="1" t="s">
        <v>4761</v>
      </c>
      <c r="L1148" s="2">
        <v>46177.92087962963</v>
      </c>
      <c r="M1148" s="2">
        <v>46177.921329212964</v>
      </c>
    </row>
    <row r="1149" spans="1:13" x14ac:dyDescent="0.35">
      <c r="A1149" s="1" t="s">
        <v>635</v>
      </c>
      <c r="B1149" s="1" t="s">
        <v>13</v>
      </c>
      <c r="C1149" s="1" t="s">
        <v>636</v>
      </c>
      <c r="D1149">
        <v>1.25</v>
      </c>
      <c r="E1149" s="2">
        <v>46387</v>
      </c>
      <c r="F1149" s="1" t="s">
        <v>16</v>
      </c>
      <c r="G1149" s="1" t="s">
        <v>636</v>
      </c>
      <c r="H1149" s="1" t="s">
        <v>2</v>
      </c>
      <c r="I1149" s="2">
        <v>46177</v>
      </c>
      <c r="J1149" s="1" t="s">
        <v>215</v>
      </c>
      <c r="K1149" s="1" t="s">
        <v>4762</v>
      </c>
      <c r="L1149" s="2">
        <v>46177.918923611112</v>
      </c>
      <c r="M1149" s="2">
        <v>46177.921329212964</v>
      </c>
    </row>
    <row r="1150" spans="1:13" x14ac:dyDescent="0.35">
      <c r="A1150" s="1" t="s">
        <v>635</v>
      </c>
      <c r="B1150" s="1" t="s">
        <v>13</v>
      </c>
      <c r="C1150" s="1" t="s">
        <v>636</v>
      </c>
      <c r="D1150">
        <v>1.25</v>
      </c>
      <c r="E1150" s="2">
        <v>46387</v>
      </c>
      <c r="F1150" s="1" t="s">
        <v>16</v>
      </c>
      <c r="G1150" s="1" t="s">
        <v>636</v>
      </c>
      <c r="H1150" s="1" t="s">
        <v>2</v>
      </c>
      <c r="I1150" s="2">
        <v>46177</v>
      </c>
      <c r="J1150" s="1" t="s">
        <v>67</v>
      </c>
      <c r="K1150" s="1" t="s">
        <v>4762</v>
      </c>
      <c r="L1150" s="2">
        <v>46177.918923611112</v>
      </c>
      <c r="M1150" s="2">
        <v>46177.921329212964</v>
      </c>
    </row>
    <row r="1151" spans="1:13" x14ac:dyDescent="0.35">
      <c r="A1151" s="1" t="s">
        <v>635</v>
      </c>
      <c r="B1151" s="1" t="s">
        <v>13</v>
      </c>
      <c r="C1151" s="1" t="s">
        <v>636</v>
      </c>
      <c r="D1151">
        <v>1.25</v>
      </c>
      <c r="E1151" s="2">
        <v>46387</v>
      </c>
      <c r="F1151" s="1" t="s">
        <v>16</v>
      </c>
      <c r="G1151" s="1" t="s">
        <v>636</v>
      </c>
      <c r="H1151" s="1" t="s">
        <v>2</v>
      </c>
      <c r="I1151" s="2">
        <v>46177</v>
      </c>
      <c r="J1151" s="1" t="s">
        <v>224</v>
      </c>
      <c r="K1151" s="1" t="s">
        <v>4650</v>
      </c>
      <c r="L1151" s="2">
        <v>46177.918923611112</v>
      </c>
      <c r="M1151" s="2">
        <v>46177.921329212964</v>
      </c>
    </row>
    <row r="1152" spans="1:13" x14ac:dyDescent="0.35">
      <c r="A1152" s="1" t="s">
        <v>635</v>
      </c>
      <c r="B1152" s="1" t="s">
        <v>13</v>
      </c>
      <c r="C1152" s="1" t="s">
        <v>636</v>
      </c>
      <c r="D1152">
        <v>1.25</v>
      </c>
      <c r="E1152" s="2">
        <v>46387</v>
      </c>
      <c r="F1152" s="1" t="s">
        <v>16</v>
      </c>
      <c r="G1152" s="1" t="s">
        <v>636</v>
      </c>
      <c r="H1152" s="1" t="s">
        <v>2</v>
      </c>
      <c r="I1152" s="2">
        <v>46177</v>
      </c>
      <c r="J1152" s="1" t="s">
        <v>214</v>
      </c>
      <c r="K1152" s="1" t="s">
        <v>4650</v>
      </c>
      <c r="L1152" s="2">
        <v>46177.918923611112</v>
      </c>
      <c r="M1152" s="2">
        <v>46177.921329212964</v>
      </c>
    </row>
    <row r="1153" spans="1:13" x14ac:dyDescent="0.35">
      <c r="A1153" s="1" t="s">
        <v>635</v>
      </c>
      <c r="B1153" s="1" t="s">
        <v>13</v>
      </c>
      <c r="C1153" s="1" t="s">
        <v>636</v>
      </c>
      <c r="D1153">
        <v>1.25</v>
      </c>
      <c r="E1153" s="2">
        <v>46387</v>
      </c>
      <c r="F1153" s="1" t="s">
        <v>16</v>
      </c>
      <c r="G1153" s="1" t="s">
        <v>636</v>
      </c>
      <c r="H1153" s="1" t="s">
        <v>2</v>
      </c>
      <c r="I1153" s="2">
        <v>46177</v>
      </c>
      <c r="J1153" s="1" t="s">
        <v>18</v>
      </c>
      <c r="K1153" s="1" t="s">
        <v>103</v>
      </c>
      <c r="L1153" s="2">
        <v>46177.92087962963</v>
      </c>
      <c r="M1153" s="2">
        <v>46177.921329212964</v>
      </c>
    </row>
    <row r="1154" spans="1:13" x14ac:dyDescent="0.35">
      <c r="A1154" s="1" t="s">
        <v>637</v>
      </c>
      <c r="B1154" s="1" t="s">
        <v>13</v>
      </c>
      <c r="C1154" s="1" t="s">
        <v>638</v>
      </c>
      <c r="D1154">
        <v>1.75</v>
      </c>
      <c r="E1154" s="2">
        <v>47149</v>
      </c>
      <c r="F1154" s="1" t="s">
        <v>16</v>
      </c>
      <c r="G1154" s="1" t="s">
        <v>638</v>
      </c>
      <c r="H1154" s="1" t="s">
        <v>2</v>
      </c>
      <c r="I1154" s="2">
        <v>46177</v>
      </c>
      <c r="J1154" s="1" t="s">
        <v>215</v>
      </c>
      <c r="K1154" s="1" t="s">
        <v>4842</v>
      </c>
      <c r="L1154" s="2">
        <v>46177.918923611112</v>
      </c>
      <c r="M1154" s="2">
        <v>46177.921329212964</v>
      </c>
    </row>
    <row r="1155" spans="1:13" x14ac:dyDescent="0.35">
      <c r="A1155" s="1" t="s">
        <v>637</v>
      </c>
      <c r="B1155" s="1" t="s">
        <v>13</v>
      </c>
      <c r="C1155" s="1" t="s">
        <v>638</v>
      </c>
      <c r="D1155">
        <v>1.75</v>
      </c>
      <c r="E1155" s="2">
        <v>47149</v>
      </c>
      <c r="F1155" s="1" t="s">
        <v>16</v>
      </c>
      <c r="G1155" s="1" t="s">
        <v>638</v>
      </c>
      <c r="H1155" s="1" t="s">
        <v>2</v>
      </c>
      <c r="I1155" s="2">
        <v>46177</v>
      </c>
      <c r="J1155" s="1" t="s">
        <v>17</v>
      </c>
      <c r="K1155" s="1" t="s">
        <v>4810</v>
      </c>
      <c r="L1155" s="2">
        <v>46177.92087962963</v>
      </c>
      <c r="M1155" s="2">
        <v>46177.921329212964</v>
      </c>
    </row>
    <row r="1156" spans="1:13" x14ac:dyDescent="0.35">
      <c r="A1156" s="1" t="s">
        <v>637</v>
      </c>
      <c r="B1156" s="1" t="s">
        <v>13</v>
      </c>
      <c r="C1156" s="1" t="s">
        <v>638</v>
      </c>
      <c r="D1156">
        <v>1.75</v>
      </c>
      <c r="E1156" s="2">
        <v>47149</v>
      </c>
      <c r="F1156" s="1" t="s">
        <v>16</v>
      </c>
      <c r="G1156" s="1" t="s">
        <v>638</v>
      </c>
      <c r="H1156" s="1" t="s">
        <v>2</v>
      </c>
      <c r="I1156" s="2">
        <v>46177</v>
      </c>
      <c r="J1156" s="1" t="s">
        <v>224</v>
      </c>
      <c r="K1156" s="1" t="s">
        <v>4651</v>
      </c>
      <c r="L1156" s="2">
        <v>46177.918923611112</v>
      </c>
      <c r="M1156" s="2">
        <v>46177.921329212964</v>
      </c>
    </row>
    <row r="1157" spans="1:13" x14ac:dyDescent="0.35">
      <c r="A1157" s="1" t="s">
        <v>637</v>
      </c>
      <c r="B1157" s="1" t="s">
        <v>13</v>
      </c>
      <c r="C1157" s="1" t="s">
        <v>638</v>
      </c>
      <c r="D1157">
        <v>1.75</v>
      </c>
      <c r="E1157" s="2">
        <v>47149</v>
      </c>
      <c r="F1157" s="1" t="s">
        <v>16</v>
      </c>
      <c r="G1157" s="1" t="s">
        <v>638</v>
      </c>
      <c r="H1157" s="1" t="s">
        <v>2</v>
      </c>
      <c r="I1157" s="2">
        <v>46177</v>
      </c>
      <c r="J1157" s="1" t="s">
        <v>18</v>
      </c>
      <c r="K1157" s="1" t="s">
        <v>2903</v>
      </c>
      <c r="L1157" s="2">
        <v>46177.92087962963</v>
      </c>
      <c r="M1157" s="2">
        <v>46177.921329212964</v>
      </c>
    </row>
    <row r="1158" spans="1:13" x14ac:dyDescent="0.35">
      <c r="A1158" s="1" t="s">
        <v>637</v>
      </c>
      <c r="B1158" s="1" t="s">
        <v>13</v>
      </c>
      <c r="C1158" s="1" t="s">
        <v>638</v>
      </c>
      <c r="D1158">
        <v>1.75</v>
      </c>
      <c r="E1158" s="2">
        <v>47149</v>
      </c>
      <c r="F1158" s="1" t="s">
        <v>16</v>
      </c>
      <c r="G1158" s="1" t="s">
        <v>638</v>
      </c>
      <c r="H1158" s="1" t="s">
        <v>2</v>
      </c>
      <c r="I1158" s="2">
        <v>46177</v>
      </c>
      <c r="J1158" s="1" t="s">
        <v>67</v>
      </c>
      <c r="K1158" s="1" t="s">
        <v>4842</v>
      </c>
      <c r="L1158" s="2">
        <v>46177.918923611112</v>
      </c>
      <c r="M1158" s="2">
        <v>46177.921329212964</v>
      </c>
    </row>
    <row r="1159" spans="1:13" x14ac:dyDescent="0.35">
      <c r="A1159" s="1" t="s">
        <v>637</v>
      </c>
      <c r="B1159" s="1" t="s">
        <v>13</v>
      </c>
      <c r="C1159" s="1" t="s">
        <v>638</v>
      </c>
      <c r="D1159">
        <v>1.75</v>
      </c>
      <c r="E1159" s="2">
        <v>47149</v>
      </c>
      <c r="F1159" s="1" t="s">
        <v>16</v>
      </c>
      <c r="G1159" s="1" t="s">
        <v>638</v>
      </c>
      <c r="H1159" s="1" t="s">
        <v>2</v>
      </c>
      <c r="I1159" s="2">
        <v>46177</v>
      </c>
      <c r="J1159" s="1" t="s">
        <v>214</v>
      </c>
      <c r="K1159" s="1" t="s">
        <v>4651</v>
      </c>
      <c r="L1159" s="2">
        <v>46177.918923611112</v>
      </c>
      <c r="M1159" s="2">
        <v>46177.921329212964</v>
      </c>
    </row>
    <row r="1160" spans="1:13" x14ac:dyDescent="0.35">
      <c r="A1160" s="1" t="s">
        <v>647</v>
      </c>
      <c r="B1160" s="1" t="s">
        <v>13</v>
      </c>
      <c r="C1160" s="1" t="s">
        <v>648</v>
      </c>
      <c r="D1160">
        <v>0.125</v>
      </c>
      <c r="E1160" s="2">
        <v>48228</v>
      </c>
      <c r="F1160" s="1" t="s">
        <v>64</v>
      </c>
      <c r="G1160" s="1" t="s">
        <v>648</v>
      </c>
      <c r="H1160" s="1" t="s">
        <v>2</v>
      </c>
      <c r="I1160" s="2">
        <v>46177</v>
      </c>
      <c r="J1160" s="1" t="s">
        <v>17</v>
      </c>
      <c r="K1160" s="1" t="s">
        <v>2988</v>
      </c>
      <c r="L1160" s="2">
        <v>46177.92087962963</v>
      </c>
      <c r="M1160" s="2">
        <v>46177.921329212964</v>
      </c>
    </row>
    <row r="1161" spans="1:13" x14ac:dyDescent="0.35">
      <c r="A1161" s="1" t="s">
        <v>647</v>
      </c>
      <c r="B1161" s="1" t="s">
        <v>13</v>
      </c>
      <c r="C1161" s="1" t="s">
        <v>648</v>
      </c>
      <c r="D1161">
        <v>0.125</v>
      </c>
      <c r="E1161" s="2">
        <v>48228</v>
      </c>
      <c r="F1161" s="1" t="s">
        <v>64</v>
      </c>
      <c r="G1161" s="1" t="s">
        <v>648</v>
      </c>
      <c r="H1161" s="1" t="s">
        <v>2</v>
      </c>
      <c r="I1161" s="2">
        <v>46177</v>
      </c>
      <c r="J1161" s="1" t="s">
        <v>18</v>
      </c>
      <c r="K1161" s="1" t="s">
        <v>4800</v>
      </c>
      <c r="L1161" s="2">
        <v>46177.92087962963</v>
      </c>
      <c r="M1161" s="2">
        <v>46177.921329212964</v>
      </c>
    </row>
    <row r="1162" spans="1:13" x14ac:dyDescent="0.35">
      <c r="A1162" s="1" t="s">
        <v>563</v>
      </c>
      <c r="B1162" s="1" t="s">
        <v>13</v>
      </c>
      <c r="C1162" s="1" t="s">
        <v>564</v>
      </c>
      <c r="D1162">
        <v>1.875</v>
      </c>
      <c r="E1162" s="2">
        <v>48259</v>
      </c>
      <c r="F1162" s="1" t="s">
        <v>16</v>
      </c>
      <c r="G1162" s="1" t="s">
        <v>564</v>
      </c>
      <c r="H1162" s="1" t="s">
        <v>2</v>
      </c>
      <c r="I1162" s="2">
        <v>46177</v>
      </c>
      <c r="J1162" s="1" t="s">
        <v>17</v>
      </c>
      <c r="K1162" s="1" t="s">
        <v>4763</v>
      </c>
      <c r="L1162" s="2">
        <v>46177.92087962963</v>
      </c>
      <c r="M1162" s="2">
        <v>46177.921329212964</v>
      </c>
    </row>
    <row r="1163" spans="1:13" x14ac:dyDescent="0.35">
      <c r="A1163" s="1" t="s">
        <v>563</v>
      </c>
      <c r="B1163" s="1" t="s">
        <v>13</v>
      </c>
      <c r="C1163" s="1" t="s">
        <v>564</v>
      </c>
      <c r="D1163">
        <v>1.875</v>
      </c>
      <c r="E1163" s="2">
        <v>48259</v>
      </c>
      <c r="F1163" s="1" t="s">
        <v>16</v>
      </c>
      <c r="G1163" s="1" t="s">
        <v>564</v>
      </c>
      <c r="H1163" s="1" t="s">
        <v>2</v>
      </c>
      <c r="I1163" s="2">
        <v>46177</v>
      </c>
      <c r="J1163" s="1" t="s">
        <v>67</v>
      </c>
      <c r="K1163" s="1" t="s">
        <v>4652</v>
      </c>
      <c r="L1163" s="2">
        <v>46177.918923611112</v>
      </c>
      <c r="M1163" s="2">
        <v>46177.921329212964</v>
      </c>
    </row>
    <row r="1164" spans="1:13" x14ac:dyDescent="0.35">
      <c r="A1164" s="1" t="s">
        <v>563</v>
      </c>
      <c r="B1164" s="1" t="s">
        <v>13</v>
      </c>
      <c r="C1164" s="1" t="s">
        <v>564</v>
      </c>
      <c r="D1164">
        <v>1.875</v>
      </c>
      <c r="E1164" s="2">
        <v>48259</v>
      </c>
      <c r="F1164" s="1" t="s">
        <v>16</v>
      </c>
      <c r="G1164" s="1" t="s">
        <v>564</v>
      </c>
      <c r="H1164" s="1" t="s">
        <v>2</v>
      </c>
      <c r="I1164" s="2">
        <v>46177</v>
      </c>
      <c r="J1164" s="1" t="s">
        <v>215</v>
      </c>
      <c r="K1164" s="1" t="s">
        <v>4652</v>
      </c>
      <c r="L1164" s="2">
        <v>46177.918923611112</v>
      </c>
      <c r="M1164" s="2">
        <v>46177.921329212964</v>
      </c>
    </row>
    <row r="1165" spans="1:13" x14ac:dyDescent="0.35">
      <c r="A1165" s="1" t="s">
        <v>563</v>
      </c>
      <c r="B1165" s="1" t="s">
        <v>13</v>
      </c>
      <c r="C1165" s="1" t="s">
        <v>564</v>
      </c>
      <c r="D1165">
        <v>1.875</v>
      </c>
      <c r="E1165" s="2">
        <v>48259</v>
      </c>
      <c r="F1165" s="1" t="s">
        <v>16</v>
      </c>
      <c r="G1165" s="1" t="s">
        <v>564</v>
      </c>
      <c r="H1165" s="1" t="s">
        <v>2</v>
      </c>
      <c r="I1165" s="2">
        <v>46177</v>
      </c>
      <c r="J1165" s="1" t="s">
        <v>224</v>
      </c>
      <c r="K1165" s="1" t="s">
        <v>4843</v>
      </c>
      <c r="L1165" s="2">
        <v>46177.918923611112</v>
      </c>
      <c r="M1165" s="2">
        <v>46177.921329212964</v>
      </c>
    </row>
    <row r="1166" spans="1:13" x14ac:dyDescent="0.35">
      <c r="A1166" s="1" t="s">
        <v>563</v>
      </c>
      <c r="B1166" s="1" t="s">
        <v>13</v>
      </c>
      <c r="C1166" s="1" t="s">
        <v>564</v>
      </c>
      <c r="D1166">
        <v>1.875</v>
      </c>
      <c r="E1166" s="2">
        <v>48259</v>
      </c>
      <c r="F1166" s="1" t="s">
        <v>16</v>
      </c>
      <c r="G1166" s="1" t="s">
        <v>564</v>
      </c>
      <c r="H1166" s="1" t="s">
        <v>2</v>
      </c>
      <c r="I1166" s="2">
        <v>46177</v>
      </c>
      <c r="J1166" s="1" t="s">
        <v>18</v>
      </c>
      <c r="K1166" s="1" t="s">
        <v>5306</v>
      </c>
      <c r="L1166" s="2">
        <v>46177.92087962963</v>
      </c>
      <c r="M1166" s="2">
        <v>46177.921329212964</v>
      </c>
    </row>
    <row r="1167" spans="1:13" x14ac:dyDescent="0.35">
      <c r="A1167" s="1" t="s">
        <v>563</v>
      </c>
      <c r="B1167" s="1" t="s">
        <v>13</v>
      </c>
      <c r="C1167" s="1" t="s">
        <v>564</v>
      </c>
      <c r="D1167">
        <v>1.875</v>
      </c>
      <c r="E1167" s="2">
        <v>48259</v>
      </c>
      <c r="F1167" s="1" t="s">
        <v>16</v>
      </c>
      <c r="G1167" s="1" t="s">
        <v>564</v>
      </c>
      <c r="H1167" s="1" t="s">
        <v>2</v>
      </c>
      <c r="I1167" s="2">
        <v>46177</v>
      </c>
      <c r="J1167" s="1" t="s">
        <v>214</v>
      </c>
      <c r="K1167" s="1" t="s">
        <v>4843</v>
      </c>
      <c r="L1167" s="2">
        <v>46177.918923611112</v>
      </c>
      <c r="M1167" s="2">
        <v>46177.921329212964</v>
      </c>
    </row>
    <row r="1168" spans="1:13" x14ac:dyDescent="0.35">
      <c r="A1168" s="1" t="s">
        <v>649</v>
      </c>
      <c r="B1168" s="1" t="s">
        <v>13</v>
      </c>
      <c r="C1168" s="1" t="s">
        <v>650</v>
      </c>
      <c r="D1168">
        <v>1.875</v>
      </c>
      <c r="E1168" s="2">
        <v>47177</v>
      </c>
      <c r="F1168" s="1" t="s">
        <v>16</v>
      </c>
      <c r="G1168" s="1" t="s">
        <v>650</v>
      </c>
      <c r="H1168" s="1" t="s">
        <v>2</v>
      </c>
      <c r="I1168" s="2">
        <v>46177</v>
      </c>
      <c r="J1168" s="1" t="s">
        <v>17</v>
      </c>
      <c r="K1168" s="1" t="s">
        <v>4653</v>
      </c>
      <c r="L1168" s="2">
        <v>46177.92087962963</v>
      </c>
      <c r="M1168" s="2">
        <v>46177.921329212964</v>
      </c>
    </row>
    <row r="1169" spans="1:13" x14ac:dyDescent="0.35">
      <c r="A1169" s="1" t="s">
        <v>649</v>
      </c>
      <c r="B1169" s="1" t="s">
        <v>13</v>
      </c>
      <c r="C1169" s="1" t="s">
        <v>650</v>
      </c>
      <c r="D1169">
        <v>1.875</v>
      </c>
      <c r="E1169" s="2">
        <v>47177</v>
      </c>
      <c r="F1169" s="1" t="s">
        <v>16</v>
      </c>
      <c r="G1169" s="1" t="s">
        <v>650</v>
      </c>
      <c r="H1169" s="1" t="s">
        <v>2</v>
      </c>
      <c r="I1169" s="2">
        <v>46177</v>
      </c>
      <c r="J1169" s="1" t="s">
        <v>18</v>
      </c>
      <c r="K1169" s="1" t="s">
        <v>2332</v>
      </c>
      <c r="L1169" s="2">
        <v>46177.92087962963</v>
      </c>
      <c r="M1169" s="2">
        <v>46177.921329212964</v>
      </c>
    </row>
    <row r="1170" spans="1:13" x14ac:dyDescent="0.35">
      <c r="A1170" s="1" t="s">
        <v>649</v>
      </c>
      <c r="B1170" s="1" t="s">
        <v>13</v>
      </c>
      <c r="C1170" s="1" t="s">
        <v>650</v>
      </c>
      <c r="D1170">
        <v>1.875</v>
      </c>
      <c r="E1170" s="2">
        <v>47177</v>
      </c>
      <c r="F1170" s="1" t="s">
        <v>16</v>
      </c>
      <c r="G1170" s="1" t="s">
        <v>650</v>
      </c>
      <c r="H1170" s="1" t="s">
        <v>2</v>
      </c>
      <c r="I1170" s="2">
        <v>46177</v>
      </c>
      <c r="J1170" s="1" t="s">
        <v>215</v>
      </c>
      <c r="K1170" s="1" t="s">
        <v>4978</v>
      </c>
      <c r="L1170" s="2">
        <v>46177.918923611112</v>
      </c>
      <c r="M1170" s="2">
        <v>46177.921329212964</v>
      </c>
    </row>
    <row r="1171" spans="1:13" x14ac:dyDescent="0.35">
      <c r="A1171" s="1" t="s">
        <v>649</v>
      </c>
      <c r="B1171" s="1" t="s">
        <v>13</v>
      </c>
      <c r="C1171" s="1" t="s">
        <v>650</v>
      </c>
      <c r="D1171">
        <v>1.875</v>
      </c>
      <c r="E1171" s="2">
        <v>47177</v>
      </c>
      <c r="F1171" s="1" t="s">
        <v>16</v>
      </c>
      <c r="G1171" s="1" t="s">
        <v>650</v>
      </c>
      <c r="H1171" s="1" t="s">
        <v>2</v>
      </c>
      <c r="I1171" s="2">
        <v>46177</v>
      </c>
      <c r="J1171" s="1" t="s">
        <v>214</v>
      </c>
      <c r="K1171" s="1" t="s">
        <v>4983</v>
      </c>
      <c r="L1171" s="2">
        <v>46177.918923611112</v>
      </c>
      <c r="M1171" s="2">
        <v>46177.921329212964</v>
      </c>
    </row>
    <row r="1172" spans="1:13" x14ac:dyDescent="0.35">
      <c r="A1172" s="1" t="s">
        <v>649</v>
      </c>
      <c r="B1172" s="1" t="s">
        <v>13</v>
      </c>
      <c r="C1172" s="1" t="s">
        <v>650</v>
      </c>
      <c r="D1172">
        <v>1.875</v>
      </c>
      <c r="E1172" s="2">
        <v>47177</v>
      </c>
      <c r="F1172" s="1" t="s">
        <v>16</v>
      </c>
      <c r="G1172" s="1" t="s">
        <v>650</v>
      </c>
      <c r="H1172" s="1" t="s">
        <v>2</v>
      </c>
      <c r="I1172" s="2">
        <v>46177</v>
      </c>
      <c r="J1172" s="1" t="s">
        <v>67</v>
      </c>
      <c r="K1172" s="1" t="s">
        <v>4978</v>
      </c>
      <c r="L1172" s="2">
        <v>46177.918923611112</v>
      </c>
      <c r="M1172" s="2">
        <v>46177.921329212964</v>
      </c>
    </row>
    <row r="1173" spans="1:13" x14ac:dyDescent="0.35">
      <c r="A1173" s="1" t="s">
        <v>649</v>
      </c>
      <c r="B1173" s="1" t="s">
        <v>13</v>
      </c>
      <c r="C1173" s="1" t="s">
        <v>650</v>
      </c>
      <c r="D1173">
        <v>1.875</v>
      </c>
      <c r="E1173" s="2">
        <v>47177</v>
      </c>
      <c r="F1173" s="1" t="s">
        <v>16</v>
      </c>
      <c r="G1173" s="1" t="s">
        <v>650</v>
      </c>
      <c r="H1173" s="1" t="s">
        <v>2</v>
      </c>
      <c r="I1173" s="2">
        <v>46177</v>
      </c>
      <c r="J1173" s="1" t="s">
        <v>224</v>
      </c>
      <c r="K1173" s="1" t="s">
        <v>4983</v>
      </c>
      <c r="L1173" s="2">
        <v>46177.918923611112</v>
      </c>
      <c r="M1173" s="2">
        <v>46177.921329212964</v>
      </c>
    </row>
    <row r="1174" spans="1:13" x14ac:dyDescent="0.35">
      <c r="A1174" s="1" t="s">
        <v>565</v>
      </c>
      <c r="B1174" s="1" t="s">
        <v>13</v>
      </c>
      <c r="C1174" s="1" t="s">
        <v>566</v>
      </c>
      <c r="D1174">
        <v>1.875</v>
      </c>
      <c r="E1174" s="2">
        <v>46446</v>
      </c>
      <c r="F1174" s="1" t="s">
        <v>16</v>
      </c>
      <c r="G1174" s="1" t="s">
        <v>566</v>
      </c>
      <c r="H1174" s="1" t="s">
        <v>2</v>
      </c>
      <c r="I1174" s="2">
        <v>46177</v>
      </c>
      <c r="J1174" s="1" t="s">
        <v>214</v>
      </c>
      <c r="K1174" s="1" t="s">
        <v>4801</v>
      </c>
      <c r="L1174" s="2">
        <v>46177.918923611112</v>
      </c>
      <c r="M1174" s="2">
        <v>46177.921329212964</v>
      </c>
    </row>
    <row r="1175" spans="1:13" x14ac:dyDescent="0.35">
      <c r="A1175" s="1" t="s">
        <v>565</v>
      </c>
      <c r="B1175" s="1" t="s">
        <v>13</v>
      </c>
      <c r="C1175" s="1" t="s">
        <v>566</v>
      </c>
      <c r="D1175">
        <v>1.875</v>
      </c>
      <c r="E1175" s="2">
        <v>46446</v>
      </c>
      <c r="F1175" s="1" t="s">
        <v>16</v>
      </c>
      <c r="G1175" s="1" t="s">
        <v>566</v>
      </c>
      <c r="H1175" s="1" t="s">
        <v>2</v>
      </c>
      <c r="I1175" s="2">
        <v>46177</v>
      </c>
      <c r="J1175" s="1" t="s">
        <v>18</v>
      </c>
      <c r="K1175" s="1" t="s">
        <v>4979</v>
      </c>
      <c r="L1175" s="2">
        <v>46177.92087962963</v>
      </c>
      <c r="M1175" s="2">
        <v>46177.921329212964</v>
      </c>
    </row>
    <row r="1176" spans="1:13" x14ac:dyDescent="0.35">
      <c r="A1176" s="1" t="s">
        <v>565</v>
      </c>
      <c r="B1176" s="1" t="s">
        <v>13</v>
      </c>
      <c r="C1176" s="1" t="s">
        <v>566</v>
      </c>
      <c r="D1176">
        <v>1.875</v>
      </c>
      <c r="E1176" s="2">
        <v>46446</v>
      </c>
      <c r="F1176" s="1" t="s">
        <v>16</v>
      </c>
      <c r="G1176" s="1" t="s">
        <v>566</v>
      </c>
      <c r="H1176" s="1" t="s">
        <v>2</v>
      </c>
      <c r="I1176" s="2">
        <v>46177</v>
      </c>
      <c r="J1176" s="1" t="s">
        <v>215</v>
      </c>
      <c r="K1176" s="1" t="s">
        <v>4980</v>
      </c>
      <c r="L1176" s="2">
        <v>46177.918923611112</v>
      </c>
      <c r="M1176" s="2">
        <v>46177.921329212964</v>
      </c>
    </row>
    <row r="1177" spans="1:13" x14ac:dyDescent="0.35">
      <c r="A1177" s="1" t="s">
        <v>565</v>
      </c>
      <c r="B1177" s="1" t="s">
        <v>13</v>
      </c>
      <c r="C1177" s="1" t="s">
        <v>566</v>
      </c>
      <c r="D1177">
        <v>1.875</v>
      </c>
      <c r="E1177" s="2">
        <v>46446</v>
      </c>
      <c r="F1177" s="1" t="s">
        <v>16</v>
      </c>
      <c r="G1177" s="1" t="s">
        <v>566</v>
      </c>
      <c r="H1177" s="1" t="s">
        <v>2</v>
      </c>
      <c r="I1177" s="2">
        <v>46177</v>
      </c>
      <c r="J1177" s="1" t="s">
        <v>224</v>
      </c>
      <c r="K1177" s="1" t="s">
        <v>4801</v>
      </c>
      <c r="L1177" s="2">
        <v>46177.918923611112</v>
      </c>
      <c r="M1177" s="2">
        <v>46177.921329212964</v>
      </c>
    </row>
    <row r="1178" spans="1:13" x14ac:dyDescent="0.35">
      <c r="A1178" s="1" t="s">
        <v>565</v>
      </c>
      <c r="B1178" s="1" t="s">
        <v>13</v>
      </c>
      <c r="C1178" s="1" t="s">
        <v>566</v>
      </c>
      <c r="D1178">
        <v>1.875</v>
      </c>
      <c r="E1178" s="2">
        <v>46446</v>
      </c>
      <c r="F1178" s="1" t="s">
        <v>16</v>
      </c>
      <c r="G1178" s="1" t="s">
        <v>566</v>
      </c>
      <c r="H1178" s="1" t="s">
        <v>2</v>
      </c>
      <c r="I1178" s="2">
        <v>46177</v>
      </c>
      <c r="J1178" s="1" t="s">
        <v>17</v>
      </c>
      <c r="K1178" s="1" t="s">
        <v>2594</v>
      </c>
      <c r="L1178" s="2">
        <v>46177.92087962963</v>
      </c>
      <c r="M1178" s="2">
        <v>46177.921329212964</v>
      </c>
    </row>
    <row r="1179" spans="1:13" x14ac:dyDescent="0.35">
      <c r="A1179" s="1" t="s">
        <v>565</v>
      </c>
      <c r="B1179" s="1" t="s">
        <v>13</v>
      </c>
      <c r="C1179" s="1" t="s">
        <v>566</v>
      </c>
      <c r="D1179">
        <v>1.875</v>
      </c>
      <c r="E1179" s="2">
        <v>46446</v>
      </c>
      <c r="F1179" s="1" t="s">
        <v>16</v>
      </c>
      <c r="G1179" s="1" t="s">
        <v>566</v>
      </c>
      <c r="H1179" s="1" t="s">
        <v>2</v>
      </c>
      <c r="I1179" s="2">
        <v>46177</v>
      </c>
      <c r="J1179" s="1" t="s">
        <v>67</v>
      </c>
      <c r="K1179" s="1" t="s">
        <v>4980</v>
      </c>
      <c r="L1179" s="2">
        <v>46177.918923611112</v>
      </c>
      <c r="M1179" s="2">
        <v>46177.921329212964</v>
      </c>
    </row>
    <row r="1180" spans="1:13" x14ac:dyDescent="0.35">
      <c r="A1180" s="1" t="s">
        <v>567</v>
      </c>
      <c r="B1180" s="1" t="s">
        <v>13</v>
      </c>
      <c r="C1180" s="1" t="s">
        <v>568</v>
      </c>
      <c r="D1180">
        <v>2.375</v>
      </c>
      <c r="E1180" s="2">
        <v>47208</v>
      </c>
      <c r="F1180" s="1" t="s">
        <v>16</v>
      </c>
      <c r="G1180" s="1" t="s">
        <v>568</v>
      </c>
      <c r="H1180" s="1" t="s">
        <v>2</v>
      </c>
      <c r="I1180" s="2">
        <v>46177</v>
      </c>
      <c r="J1180" s="1" t="s">
        <v>214</v>
      </c>
      <c r="K1180" s="1" t="s">
        <v>4764</v>
      </c>
      <c r="L1180" s="2">
        <v>46177.918923611112</v>
      </c>
      <c r="M1180" s="2">
        <v>46177.921329212964</v>
      </c>
    </row>
    <row r="1181" spans="1:13" x14ac:dyDescent="0.35">
      <c r="A1181" s="1" t="s">
        <v>567</v>
      </c>
      <c r="B1181" s="1" t="s">
        <v>13</v>
      </c>
      <c r="C1181" s="1" t="s">
        <v>568</v>
      </c>
      <c r="D1181">
        <v>2.375</v>
      </c>
      <c r="E1181" s="2">
        <v>47208</v>
      </c>
      <c r="F1181" s="1" t="s">
        <v>16</v>
      </c>
      <c r="G1181" s="1" t="s">
        <v>568</v>
      </c>
      <c r="H1181" s="1" t="s">
        <v>2</v>
      </c>
      <c r="I1181" s="2">
        <v>46177</v>
      </c>
      <c r="J1181" s="1" t="s">
        <v>215</v>
      </c>
      <c r="K1181" s="1" t="s">
        <v>4696</v>
      </c>
      <c r="L1181" s="2">
        <v>46177.918923611112</v>
      </c>
      <c r="M1181" s="2">
        <v>46177.921329212964</v>
      </c>
    </row>
    <row r="1182" spans="1:13" x14ac:dyDescent="0.35">
      <c r="A1182" s="1" t="s">
        <v>567</v>
      </c>
      <c r="B1182" s="1" t="s">
        <v>13</v>
      </c>
      <c r="C1182" s="1" t="s">
        <v>568</v>
      </c>
      <c r="D1182">
        <v>2.375</v>
      </c>
      <c r="E1182" s="2">
        <v>47208</v>
      </c>
      <c r="F1182" s="1" t="s">
        <v>16</v>
      </c>
      <c r="G1182" s="1" t="s">
        <v>568</v>
      </c>
      <c r="H1182" s="1" t="s">
        <v>2</v>
      </c>
      <c r="I1182" s="2">
        <v>46177</v>
      </c>
      <c r="J1182" s="1" t="s">
        <v>18</v>
      </c>
      <c r="K1182" s="1" t="s">
        <v>4695</v>
      </c>
      <c r="L1182" s="2">
        <v>46177.92087962963</v>
      </c>
      <c r="M1182" s="2">
        <v>46177.921329212964</v>
      </c>
    </row>
    <row r="1183" spans="1:13" x14ac:dyDescent="0.35">
      <c r="A1183" s="1" t="s">
        <v>567</v>
      </c>
      <c r="B1183" s="1" t="s">
        <v>13</v>
      </c>
      <c r="C1183" s="1" t="s">
        <v>568</v>
      </c>
      <c r="D1183">
        <v>2.375</v>
      </c>
      <c r="E1183" s="2">
        <v>47208</v>
      </c>
      <c r="F1183" s="1" t="s">
        <v>16</v>
      </c>
      <c r="G1183" s="1" t="s">
        <v>568</v>
      </c>
      <c r="H1183" s="1" t="s">
        <v>2</v>
      </c>
      <c r="I1183" s="2">
        <v>46177</v>
      </c>
      <c r="J1183" s="1" t="s">
        <v>67</v>
      </c>
      <c r="K1183" s="1" t="s">
        <v>4696</v>
      </c>
      <c r="L1183" s="2">
        <v>46177.918923611112</v>
      </c>
      <c r="M1183" s="2">
        <v>46177.921329212964</v>
      </c>
    </row>
    <row r="1184" spans="1:13" x14ac:dyDescent="0.35">
      <c r="A1184" s="1" t="s">
        <v>567</v>
      </c>
      <c r="B1184" s="1" t="s">
        <v>13</v>
      </c>
      <c r="C1184" s="1" t="s">
        <v>568</v>
      </c>
      <c r="D1184">
        <v>2.375</v>
      </c>
      <c r="E1184" s="2">
        <v>47208</v>
      </c>
      <c r="F1184" s="1" t="s">
        <v>16</v>
      </c>
      <c r="G1184" s="1" t="s">
        <v>568</v>
      </c>
      <c r="H1184" s="1" t="s">
        <v>2</v>
      </c>
      <c r="I1184" s="2">
        <v>46177</v>
      </c>
      <c r="J1184" s="1" t="s">
        <v>17</v>
      </c>
      <c r="K1184" s="1" t="s">
        <v>2590</v>
      </c>
      <c r="L1184" s="2">
        <v>46177.92087962963</v>
      </c>
      <c r="M1184" s="2">
        <v>46177.921329212964</v>
      </c>
    </row>
    <row r="1185" spans="1:13" x14ac:dyDescent="0.35">
      <c r="A1185" s="1" t="s">
        <v>567</v>
      </c>
      <c r="B1185" s="1" t="s">
        <v>13</v>
      </c>
      <c r="C1185" s="1" t="s">
        <v>568</v>
      </c>
      <c r="D1185">
        <v>2.375</v>
      </c>
      <c r="E1185" s="2">
        <v>47208</v>
      </c>
      <c r="F1185" s="1" t="s">
        <v>16</v>
      </c>
      <c r="G1185" s="1" t="s">
        <v>568</v>
      </c>
      <c r="H1185" s="1" t="s">
        <v>2</v>
      </c>
      <c r="I1185" s="2">
        <v>46177</v>
      </c>
      <c r="J1185" s="1" t="s">
        <v>224</v>
      </c>
      <c r="K1185" s="1" t="s">
        <v>4764</v>
      </c>
      <c r="L1185" s="2">
        <v>46177.918923611112</v>
      </c>
      <c r="M1185" s="2">
        <v>46177.921329212964</v>
      </c>
    </row>
    <row r="1186" spans="1:13" x14ac:dyDescent="0.35">
      <c r="A1186" s="1" t="s">
        <v>569</v>
      </c>
      <c r="B1186" s="1" t="s">
        <v>13</v>
      </c>
      <c r="C1186" s="1" t="s">
        <v>570</v>
      </c>
      <c r="D1186">
        <v>2.5</v>
      </c>
      <c r="E1186" s="2">
        <v>46477</v>
      </c>
      <c r="F1186" s="1" t="s">
        <v>16</v>
      </c>
      <c r="G1186" s="1" t="s">
        <v>570</v>
      </c>
      <c r="H1186" s="1" t="s">
        <v>2</v>
      </c>
      <c r="I1186" s="2">
        <v>46177</v>
      </c>
      <c r="J1186" s="1" t="s">
        <v>18</v>
      </c>
      <c r="K1186" s="1" t="s">
        <v>2372</v>
      </c>
      <c r="L1186" s="2">
        <v>46177.92087962963</v>
      </c>
      <c r="M1186" s="2">
        <v>46177.921329212964</v>
      </c>
    </row>
    <row r="1187" spans="1:13" x14ac:dyDescent="0.35">
      <c r="A1187" s="1" t="s">
        <v>569</v>
      </c>
      <c r="B1187" s="1" t="s">
        <v>13</v>
      </c>
      <c r="C1187" s="1" t="s">
        <v>570</v>
      </c>
      <c r="D1187">
        <v>2.5</v>
      </c>
      <c r="E1187" s="2">
        <v>46477</v>
      </c>
      <c r="F1187" s="1" t="s">
        <v>16</v>
      </c>
      <c r="G1187" s="1" t="s">
        <v>570</v>
      </c>
      <c r="H1187" s="1" t="s">
        <v>2</v>
      </c>
      <c r="I1187" s="2">
        <v>46177</v>
      </c>
      <c r="J1187" s="1" t="s">
        <v>224</v>
      </c>
      <c r="K1187" s="1" t="s">
        <v>4811</v>
      </c>
      <c r="L1187" s="2">
        <v>46177.918923611112</v>
      </c>
      <c r="M1187" s="2">
        <v>46177.921329212964</v>
      </c>
    </row>
    <row r="1188" spans="1:13" x14ac:dyDescent="0.35">
      <c r="A1188" s="1" t="s">
        <v>569</v>
      </c>
      <c r="B1188" s="1" t="s">
        <v>13</v>
      </c>
      <c r="C1188" s="1" t="s">
        <v>570</v>
      </c>
      <c r="D1188">
        <v>2.5</v>
      </c>
      <c r="E1188" s="2">
        <v>46477</v>
      </c>
      <c r="F1188" s="1" t="s">
        <v>16</v>
      </c>
      <c r="G1188" s="1" t="s">
        <v>570</v>
      </c>
      <c r="H1188" s="1" t="s">
        <v>2</v>
      </c>
      <c r="I1188" s="2">
        <v>46177</v>
      </c>
      <c r="J1188" s="1" t="s">
        <v>214</v>
      </c>
      <c r="K1188" s="1" t="s">
        <v>4811</v>
      </c>
      <c r="L1188" s="2">
        <v>46177.918923611112</v>
      </c>
      <c r="M1188" s="2">
        <v>46177.921329212964</v>
      </c>
    </row>
    <row r="1189" spans="1:13" x14ac:dyDescent="0.35">
      <c r="A1189" s="1" t="s">
        <v>569</v>
      </c>
      <c r="B1189" s="1" t="s">
        <v>13</v>
      </c>
      <c r="C1189" s="1" t="s">
        <v>570</v>
      </c>
      <c r="D1189">
        <v>2.5</v>
      </c>
      <c r="E1189" s="2">
        <v>46477</v>
      </c>
      <c r="F1189" s="1" t="s">
        <v>16</v>
      </c>
      <c r="G1189" s="1" t="s">
        <v>570</v>
      </c>
      <c r="H1189" s="1" t="s">
        <v>2</v>
      </c>
      <c r="I1189" s="2">
        <v>46177</v>
      </c>
      <c r="J1189" s="1" t="s">
        <v>17</v>
      </c>
      <c r="K1189" s="1" t="s">
        <v>2681</v>
      </c>
      <c r="L1189" s="2">
        <v>46177.92087962963</v>
      </c>
      <c r="M1189" s="2">
        <v>46177.921329212964</v>
      </c>
    </row>
    <row r="1190" spans="1:13" x14ac:dyDescent="0.35">
      <c r="A1190" s="1" t="s">
        <v>569</v>
      </c>
      <c r="B1190" s="1" t="s">
        <v>13</v>
      </c>
      <c r="C1190" s="1" t="s">
        <v>570</v>
      </c>
      <c r="D1190">
        <v>2.5</v>
      </c>
      <c r="E1190" s="2">
        <v>46477</v>
      </c>
      <c r="F1190" s="1" t="s">
        <v>16</v>
      </c>
      <c r="G1190" s="1" t="s">
        <v>570</v>
      </c>
      <c r="H1190" s="1" t="s">
        <v>2</v>
      </c>
      <c r="I1190" s="2">
        <v>46177</v>
      </c>
      <c r="J1190" s="1" t="s">
        <v>67</v>
      </c>
      <c r="K1190" s="1" t="s">
        <v>5307</v>
      </c>
      <c r="L1190" s="2">
        <v>46177.918923611112</v>
      </c>
      <c r="M1190" s="2">
        <v>46177.921329212964</v>
      </c>
    </row>
    <row r="1191" spans="1:13" x14ac:dyDescent="0.35">
      <c r="A1191" s="1" t="s">
        <v>569</v>
      </c>
      <c r="B1191" s="1" t="s">
        <v>13</v>
      </c>
      <c r="C1191" s="1" t="s">
        <v>570</v>
      </c>
      <c r="D1191">
        <v>2.5</v>
      </c>
      <c r="E1191" s="2">
        <v>46477</v>
      </c>
      <c r="F1191" s="1" t="s">
        <v>16</v>
      </c>
      <c r="G1191" s="1" t="s">
        <v>570</v>
      </c>
      <c r="H1191" s="1" t="s">
        <v>2</v>
      </c>
      <c r="I1191" s="2">
        <v>46177</v>
      </c>
      <c r="J1191" s="1" t="s">
        <v>215</v>
      </c>
      <c r="K1191" s="1" t="s">
        <v>5307</v>
      </c>
      <c r="L1191" s="2">
        <v>46177.918923611112</v>
      </c>
      <c r="M1191" s="2">
        <v>46177.921329212964</v>
      </c>
    </row>
    <row r="1192" spans="1:13" x14ac:dyDescent="0.35">
      <c r="A1192" s="1" t="s">
        <v>571</v>
      </c>
      <c r="B1192" s="1" t="s">
        <v>13</v>
      </c>
      <c r="C1192" s="1" t="s">
        <v>572</v>
      </c>
      <c r="D1192">
        <v>0.125</v>
      </c>
      <c r="E1192" s="2">
        <v>46492</v>
      </c>
      <c r="F1192" s="1" t="s">
        <v>64</v>
      </c>
      <c r="G1192" s="1" t="s">
        <v>572</v>
      </c>
      <c r="H1192" s="1" t="s">
        <v>2</v>
      </c>
      <c r="I1192" s="2">
        <v>46177</v>
      </c>
      <c r="J1192" s="1" t="s">
        <v>18</v>
      </c>
      <c r="K1192" s="1" t="s">
        <v>4765</v>
      </c>
      <c r="L1192" s="2">
        <v>46177.92087962963</v>
      </c>
      <c r="M1192" s="2">
        <v>46177.921329212964</v>
      </c>
    </row>
    <row r="1193" spans="1:13" x14ac:dyDescent="0.35">
      <c r="A1193" s="1" t="s">
        <v>571</v>
      </c>
      <c r="B1193" s="1" t="s">
        <v>13</v>
      </c>
      <c r="C1193" s="1" t="s">
        <v>572</v>
      </c>
      <c r="D1193">
        <v>0.125</v>
      </c>
      <c r="E1193" s="2">
        <v>46492</v>
      </c>
      <c r="F1193" s="1" t="s">
        <v>64</v>
      </c>
      <c r="G1193" s="1" t="s">
        <v>572</v>
      </c>
      <c r="H1193" s="1" t="s">
        <v>2</v>
      </c>
      <c r="I1193" s="2">
        <v>46177</v>
      </c>
      <c r="J1193" s="1" t="s">
        <v>17</v>
      </c>
      <c r="K1193" s="1" t="s">
        <v>2392</v>
      </c>
      <c r="L1193" s="2">
        <v>46177.92087962963</v>
      </c>
      <c r="M1193" s="2">
        <v>46177.921329212964</v>
      </c>
    </row>
    <row r="1194" spans="1:13" x14ac:dyDescent="0.35">
      <c r="A1194" s="1" t="s">
        <v>573</v>
      </c>
      <c r="B1194" s="1" t="s">
        <v>13</v>
      </c>
      <c r="C1194" s="1" t="s">
        <v>574</v>
      </c>
      <c r="D1194">
        <v>2.875</v>
      </c>
      <c r="E1194" s="2">
        <v>47238</v>
      </c>
      <c r="F1194" s="1" t="s">
        <v>16</v>
      </c>
      <c r="G1194" s="1" t="s">
        <v>574</v>
      </c>
      <c r="H1194" s="1" t="s">
        <v>2</v>
      </c>
      <c r="I1194" s="2">
        <v>46177</v>
      </c>
      <c r="J1194" s="1" t="s">
        <v>214</v>
      </c>
      <c r="K1194" s="1" t="s">
        <v>4766</v>
      </c>
      <c r="L1194" s="2">
        <v>46177.918923611112</v>
      </c>
      <c r="M1194" s="2">
        <v>46177.921329212964</v>
      </c>
    </row>
    <row r="1195" spans="1:13" x14ac:dyDescent="0.35">
      <c r="A1195" s="1" t="s">
        <v>573</v>
      </c>
      <c r="B1195" s="1" t="s">
        <v>13</v>
      </c>
      <c r="C1195" s="1" t="s">
        <v>574</v>
      </c>
      <c r="D1195">
        <v>2.875</v>
      </c>
      <c r="E1195" s="2">
        <v>47238</v>
      </c>
      <c r="F1195" s="1" t="s">
        <v>16</v>
      </c>
      <c r="G1195" s="1" t="s">
        <v>574</v>
      </c>
      <c r="H1195" s="1" t="s">
        <v>2</v>
      </c>
      <c r="I1195" s="2">
        <v>46177</v>
      </c>
      <c r="J1195" s="1" t="s">
        <v>18</v>
      </c>
      <c r="K1195" s="1" t="s">
        <v>2592</v>
      </c>
      <c r="L1195" s="2">
        <v>46177.92087962963</v>
      </c>
      <c r="M1195" s="2">
        <v>46177.921329212964</v>
      </c>
    </row>
    <row r="1196" spans="1:13" x14ac:dyDescent="0.35">
      <c r="A1196" s="1" t="s">
        <v>573</v>
      </c>
      <c r="B1196" s="1" t="s">
        <v>13</v>
      </c>
      <c r="C1196" s="1" t="s">
        <v>574</v>
      </c>
      <c r="D1196">
        <v>2.875</v>
      </c>
      <c r="E1196" s="2">
        <v>47238</v>
      </c>
      <c r="F1196" s="1" t="s">
        <v>16</v>
      </c>
      <c r="G1196" s="1" t="s">
        <v>574</v>
      </c>
      <c r="H1196" s="1" t="s">
        <v>2</v>
      </c>
      <c r="I1196" s="2">
        <v>46177</v>
      </c>
      <c r="J1196" s="1" t="s">
        <v>67</v>
      </c>
      <c r="K1196" s="1" t="s">
        <v>4802</v>
      </c>
      <c r="L1196" s="2">
        <v>46177.918923611112</v>
      </c>
      <c r="M1196" s="2">
        <v>46177.921329212964</v>
      </c>
    </row>
    <row r="1197" spans="1:13" x14ac:dyDescent="0.35">
      <c r="A1197" s="1" t="s">
        <v>573</v>
      </c>
      <c r="B1197" s="1" t="s">
        <v>13</v>
      </c>
      <c r="C1197" s="1" t="s">
        <v>574</v>
      </c>
      <c r="D1197">
        <v>2.875</v>
      </c>
      <c r="E1197" s="2">
        <v>47238</v>
      </c>
      <c r="F1197" s="1" t="s">
        <v>16</v>
      </c>
      <c r="G1197" s="1" t="s">
        <v>574</v>
      </c>
      <c r="H1197" s="1" t="s">
        <v>2</v>
      </c>
      <c r="I1197" s="2">
        <v>46177</v>
      </c>
      <c r="J1197" s="1" t="s">
        <v>215</v>
      </c>
      <c r="K1197" s="1" t="s">
        <v>4802</v>
      </c>
      <c r="L1197" s="2">
        <v>46177.918923611112</v>
      </c>
      <c r="M1197" s="2">
        <v>46177.921329212964</v>
      </c>
    </row>
    <row r="1198" spans="1:13" x14ac:dyDescent="0.35">
      <c r="A1198" s="1" t="s">
        <v>573</v>
      </c>
      <c r="B1198" s="1" t="s">
        <v>13</v>
      </c>
      <c r="C1198" s="1" t="s">
        <v>574</v>
      </c>
      <c r="D1198">
        <v>2.875</v>
      </c>
      <c r="E1198" s="2">
        <v>47238</v>
      </c>
      <c r="F1198" s="1" t="s">
        <v>16</v>
      </c>
      <c r="G1198" s="1" t="s">
        <v>574</v>
      </c>
      <c r="H1198" s="1" t="s">
        <v>2</v>
      </c>
      <c r="I1198" s="2">
        <v>46177</v>
      </c>
      <c r="J1198" s="1" t="s">
        <v>17</v>
      </c>
      <c r="K1198" s="1" t="s">
        <v>2614</v>
      </c>
      <c r="L1198" s="2">
        <v>46177.92087962963</v>
      </c>
      <c r="M1198" s="2">
        <v>46177.921329212964</v>
      </c>
    </row>
    <row r="1199" spans="1:13" x14ac:dyDescent="0.35">
      <c r="A1199" s="1" t="s">
        <v>573</v>
      </c>
      <c r="B1199" s="1" t="s">
        <v>13</v>
      </c>
      <c r="C1199" s="1" t="s">
        <v>574</v>
      </c>
      <c r="D1199">
        <v>2.875</v>
      </c>
      <c r="E1199" s="2">
        <v>47238</v>
      </c>
      <c r="F1199" s="1" t="s">
        <v>16</v>
      </c>
      <c r="G1199" s="1" t="s">
        <v>574</v>
      </c>
      <c r="H1199" s="1" t="s">
        <v>2</v>
      </c>
      <c r="I1199" s="2">
        <v>46177</v>
      </c>
      <c r="J1199" s="1" t="s">
        <v>224</v>
      </c>
      <c r="K1199" s="1" t="s">
        <v>4766</v>
      </c>
      <c r="L1199" s="2">
        <v>46177.918923611112</v>
      </c>
      <c r="M1199" s="2">
        <v>46177.921329212964</v>
      </c>
    </row>
    <row r="1200" spans="1:13" x14ac:dyDescent="0.35">
      <c r="A1200" s="1" t="s">
        <v>651</v>
      </c>
      <c r="B1200" s="1" t="s">
        <v>13</v>
      </c>
      <c r="C1200" s="1" t="s">
        <v>652</v>
      </c>
      <c r="D1200">
        <v>2.75</v>
      </c>
      <c r="E1200" s="2">
        <v>46507</v>
      </c>
      <c r="F1200" s="1" t="s">
        <v>16</v>
      </c>
      <c r="G1200" s="1" t="s">
        <v>652</v>
      </c>
      <c r="H1200" s="1" t="s">
        <v>2</v>
      </c>
      <c r="I1200" s="2">
        <v>46177</v>
      </c>
      <c r="J1200" s="1" t="s">
        <v>214</v>
      </c>
      <c r="K1200" s="1" t="s">
        <v>4767</v>
      </c>
      <c r="L1200" s="2">
        <v>46177.918923611112</v>
      </c>
      <c r="M1200" s="2">
        <v>46177.921329212964</v>
      </c>
    </row>
    <row r="1201" spans="1:13" x14ac:dyDescent="0.35">
      <c r="A1201" s="1" t="s">
        <v>651</v>
      </c>
      <c r="B1201" s="1" t="s">
        <v>13</v>
      </c>
      <c r="C1201" s="1" t="s">
        <v>652</v>
      </c>
      <c r="D1201">
        <v>2.75</v>
      </c>
      <c r="E1201" s="2">
        <v>46507</v>
      </c>
      <c r="F1201" s="1" t="s">
        <v>16</v>
      </c>
      <c r="G1201" s="1" t="s">
        <v>652</v>
      </c>
      <c r="H1201" s="1" t="s">
        <v>2</v>
      </c>
      <c r="I1201" s="2">
        <v>46177</v>
      </c>
      <c r="J1201" s="1" t="s">
        <v>17</v>
      </c>
      <c r="K1201" s="1" t="s">
        <v>4981</v>
      </c>
      <c r="L1201" s="2">
        <v>46177.92087962963</v>
      </c>
      <c r="M1201" s="2">
        <v>46177.921329212964</v>
      </c>
    </row>
    <row r="1202" spans="1:13" x14ac:dyDescent="0.35">
      <c r="A1202" s="1" t="s">
        <v>651</v>
      </c>
      <c r="B1202" s="1" t="s">
        <v>13</v>
      </c>
      <c r="C1202" s="1" t="s">
        <v>652</v>
      </c>
      <c r="D1202">
        <v>2.75</v>
      </c>
      <c r="E1202" s="2">
        <v>46507</v>
      </c>
      <c r="F1202" s="1" t="s">
        <v>16</v>
      </c>
      <c r="G1202" s="1" t="s">
        <v>652</v>
      </c>
      <c r="H1202" s="1" t="s">
        <v>2</v>
      </c>
      <c r="I1202" s="2">
        <v>46177</v>
      </c>
      <c r="J1202" s="1" t="s">
        <v>215</v>
      </c>
      <c r="K1202" s="1" t="s">
        <v>4844</v>
      </c>
      <c r="L1202" s="2">
        <v>46177.918923611112</v>
      </c>
      <c r="M1202" s="2">
        <v>46177.921329212964</v>
      </c>
    </row>
    <row r="1203" spans="1:13" x14ac:dyDescent="0.35">
      <c r="A1203" s="1" t="s">
        <v>651</v>
      </c>
      <c r="B1203" s="1" t="s">
        <v>13</v>
      </c>
      <c r="C1203" s="1" t="s">
        <v>652</v>
      </c>
      <c r="D1203">
        <v>2.75</v>
      </c>
      <c r="E1203" s="2">
        <v>46507</v>
      </c>
      <c r="F1203" s="1" t="s">
        <v>16</v>
      </c>
      <c r="G1203" s="1" t="s">
        <v>652</v>
      </c>
      <c r="H1203" s="1" t="s">
        <v>2</v>
      </c>
      <c r="I1203" s="2">
        <v>46177</v>
      </c>
      <c r="J1203" s="1" t="s">
        <v>18</v>
      </c>
      <c r="K1203" s="1" t="s">
        <v>2967</v>
      </c>
      <c r="L1203" s="2">
        <v>46177.92087962963</v>
      </c>
      <c r="M1203" s="2">
        <v>46177.921329212964</v>
      </c>
    </row>
    <row r="1204" spans="1:13" x14ac:dyDescent="0.35">
      <c r="A1204" s="1" t="s">
        <v>651</v>
      </c>
      <c r="B1204" s="1" t="s">
        <v>13</v>
      </c>
      <c r="C1204" s="1" t="s">
        <v>652</v>
      </c>
      <c r="D1204">
        <v>2.75</v>
      </c>
      <c r="E1204" s="2">
        <v>46507</v>
      </c>
      <c r="F1204" s="1" t="s">
        <v>16</v>
      </c>
      <c r="G1204" s="1" t="s">
        <v>652</v>
      </c>
      <c r="H1204" s="1" t="s">
        <v>2</v>
      </c>
      <c r="I1204" s="2">
        <v>46177</v>
      </c>
      <c r="J1204" s="1" t="s">
        <v>67</v>
      </c>
      <c r="K1204" s="1" t="s">
        <v>4844</v>
      </c>
      <c r="L1204" s="2">
        <v>46177.918923611112</v>
      </c>
      <c r="M1204" s="2">
        <v>46177.921329212964</v>
      </c>
    </row>
    <row r="1205" spans="1:13" x14ac:dyDescent="0.35">
      <c r="A1205" s="1" t="s">
        <v>651</v>
      </c>
      <c r="B1205" s="1" t="s">
        <v>13</v>
      </c>
      <c r="C1205" s="1" t="s">
        <v>652</v>
      </c>
      <c r="D1205">
        <v>2.75</v>
      </c>
      <c r="E1205" s="2">
        <v>46507</v>
      </c>
      <c r="F1205" s="1" t="s">
        <v>16</v>
      </c>
      <c r="G1205" s="1" t="s">
        <v>652</v>
      </c>
      <c r="H1205" s="1" t="s">
        <v>2</v>
      </c>
      <c r="I1205" s="2">
        <v>46177</v>
      </c>
      <c r="J1205" s="1" t="s">
        <v>224</v>
      </c>
      <c r="K1205" s="1" t="s">
        <v>4767</v>
      </c>
      <c r="L1205" s="2">
        <v>46177.918923611112</v>
      </c>
      <c r="M1205" s="2">
        <v>46177.921329212964</v>
      </c>
    </row>
    <row r="1206" spans="1:13" x14ac:dyDescent="0.35">
      <c r="A1206" s="1" t="s">
        <v>575</v>
      </c>
      <c r="B1206" s="1" t="s">
        <v>13</v>
      </c>
      <c r="C1206" s="1" t="s">
        <v>576</v>
      </c>
      <c r="D1206">
        <v>2.875</v>
      </c>
      <c r="E1206" s="2">
        <v>48349</v>
      </c>
      <c r="F1206" s="1" t="s">
        <v>16</v>
      </c>
      <c r="G1206" s="1" t="s">
        <v>576</v>
      </c>
      <c r="H1206" s="1" t="s">
        <v>2</v>
      </c>
      <c r="I1206" s="2">
        <v>46177</v>
      </c>
      <c r="J1206" s="1" t="s">
        <v>18</v>
      </c>
      <c r="K1206" s="1" t="s">
        <v>4812</v>
      </c>
      <c r="L1206" s="2">
        <v>46177.92087962963</v>
      </c>
      <c r="M1206" s="2">
        <v>46177.921329212964</v>
      </c>
    </row>
    <row r="1207" spans="1:13" x14ac:dyDescent="0.35">
      <c r="A1207" s="1" t="s">
        <v>575</v>
      </c>
      <c r="B1207" s="1" t="s">
        <v>13</v>
      </c>
      <c r="C1207" s="1" t="s">
        <v>576</v>
      </c>
      <c r="D1207">
        <v>2.875</v>
      </c>
      <c r="E1207" s="2">
        <v>48349</v>
      </c>
      <c r="F1207" s="1" t="s">
        <v>16</v>
      </c>
      <c r="G1207" s="1" t="s">
        <v>576</v>
      </c>
      <c r="H1207" s="1" t="s">
        <v>2</v>
      </c>
      <c r="I1207" s="2">
        <v>46177</v>
      </c>
      <c r="J1207" s="1" t="s">
        <v>214</v>
      </c>
      <c r="K1207" s="1" t="s">
        <v>4984</v>
      </c>
      <c r="L1207" s="2">
        <v>46177.918923611112</v>
      </c>
      <c r="M1207" s="2">
        <v>46177.921329212964</v>
      </c>
    </row>
    <row r="1208" spans="1:13" x14ac:dyDescent="0.35">
      <c r="A1208" s="1" t="s">
        <v>575</v>
      </c>
      <c r="B1208" s="1" t="s">
        <v>13</v>
      </c>
      <c r="C1208" s="1" t="s">
        <v>576</v>
      </c>
      <c r="D1208">
        <v>2.875</v>
      </c>
      <c r="E1208" s="2">
        <v>48349</v>
      </c>
      <c r="F1208" s="1" t="s">
        <v>16</v>
      </c>
      <c r="G1208" s="1" t="s">
        <v>576</v>
      </c>
      <c r="H1208" s="1" t="s">
        <v>2</v>
      </c>
      <c r="I1208" s="2">
        <v>46177</v>
      </c>
      <c r="J1208" s="1" t="s">
        <v>17</v>
      </c>
      <c r="K1208" s="1" t="s">
        <v>2551</v>
      </c>
      <c r="L1208" s="2">
        <v>46177.92087962963</v>
      </c>
      <c r="M1208" s="2">
        <v>46177.921329212964</v>
      </c>
    </row>
    <row r="1209" spans="1:13" x14ac:dyDescent="0.35">
      <c r="A1209" s="1" t="s">
        <v>575</v>
      </c>
      <c r="B1209" s="1" t="s">
        <v>13</v>
      </c>
      <c r="C1209" s="1" t="s">
        <v>576</v>
      </c>
      <c r="D1209">
        <v>2.875</v>
      </c>
      <c r="E1209" s="2">
        <v>48349</v>
      </c>
      <c r="F1209" s="1" t="s">
        <v>16</v>
      </c>
      <c r="G1209" s="1" t="s">
        <v>576</v>
      </c>
      <c r="H1209" s="1" t="s">
        <v>2</v>
      </c>
      <c r="I1209" s="2">
        <v>46177</v>
      </c>
      <c r="J1209" s="1" t="s">
        <v>67</v>
      </c>
      <c r="K1209" s="1" t="s">
        <v>4803</v>
      </c>
      <c r="L1209" s="2">
        <v>46177.918923611112</v>
      </c>
      <c r="M1209" s="2">
        <v>46177.921329212964</v>
      </c>
    </row>
    <row r="1210" spans="1:13" x14ac:dyDescent="0.35">
      <c r="A1210" s="1" t="s">
        <v>575</v>
      </c>
      <c r="B1210" s="1" t="s">
        <v>13</v>
      </c>
      <c r="C1210" s="1" t="s">
        <v>576</v>
      </c>
      <c r="D1210">
        <v>2.875</v>
      </c>
      <c r="E1210" s="2">
        <v>48349</v>
      </c>
      <c r="F1210" s="1" t="s">
        <v>16</v>
      </c>
      <c r="G1210" s="1" t="s">
        <v>576</v>
      </c>
      <c r="H1210" s="1" t="s">
        <v>2</v>
      </c>
      <c r="I1210" s="2">
        <v>46177</v>
      </c>
      <c r="J1210" s="1" t="s">
        <v>224</v>
      </c>
      <c r="K1210" s="1" t="s">
        <v>4984</v>
      </c>
      <c r="L1210" s="2">
        <v>46177.918923611112</v>
      </c>
      <c r="M1210" s="2">
        <v>46177.921329212964</v>
      </c>
    </row>
    <row r="1211" spans="1:13" x14ac:dyDescent="0.35">
      <c r="A1211" s="1" t="s">
        <v>575</v>
      </c>
      <c r="B1211" s="1" t="s">
        <v>13</v>
      </c>
      <c r="C1211" s="1" t="s">
        <v>576</v>
      </c>
      <c r="D1211">
        <v>2.875</v>
      </c>
      <c r="E1211" s="2">
        <v>48349</v>
      </c>
      <c r="F1211" s="1" t="s">
        <v>16</v>
      </c>
      <c r="G1211" s="1" t="s">
        <v>576</v>
      </c>
      <c r="H1211" s="1" t="s">
        <v>2</v>
      </c>
      <c r="I1211" s="2">
        <v>46177</v>
      </c>
      <c r="J1211" s="1" t="s">
        <v>215</v>
      </c>
      <c r="K1211" s="1" t="s">
        <v>4803</v>
      </c>
      <c r="L1211" s="2">
        <v>46177.918923611112</v>
      </c>
      <c r="M1211" s="2">
        <v>46177.921329212964</v>
      </c>
    </row>
    <row r="1212" spans="1:13" x14ac:dyDescent="0.35">
      <c r="A1212" s="1" t="s">
        <v>577</v>
      </c>
      <c r="B1212" s="1" t="s">
        <v>13</v>
      </c>
      <c r="C1212" s="1" t="s">
        <v>578</v>
      </c>
      <c r="D1212">
        <v>2.75</v>
      </c>
      <c r="E1212" s="2">
        <v>47269</v>
      </c>
      <c r="F1212" s="1" t="s">
        <v>16</v>
      </c>
      <c r="G1212" s="1" t="s">
        <v>578</v>
      </c>
      <c r="H1212" s="1" t="s">
        <v>2</v>
      </c>
      <c r="I1212" s="2">
        <v>46177</v>
      </c>
      <c r="J1212" s="1" t="s">
        <v>224</v>
      </c>
      <c r="K1212" s="1" t="s">
        <v>4768</v>
      </c>
      <c r="L1212" s="2">
        <v>46177.918923611112</v>
      </c>
      <c r="M1212" s="2">
        <v>46177.921329212964</v>
      </c>
    </row>
    <row r="1213" spans="1:13" x14ac:dyDescent="0.35">
      <c r="A1213" s="1" t="s">
        <v>577</v>
      </c>
      <c r="B1213" s="1" t="s">
        <v>13</v>
      </c>
      <c r="C1213" s="1" t="s">
        <v>578</v>
      </c>
      <c r="D1213">
        <v>2.75</v>
      </c>
      <c r="E1213" s="2">
        <v>47269</v>
      </c>
      <c r="F1213" s="1" t="s">
        <v>16</v>
      </c>
      <c r="G1213" s="1" t="s">
        <v>578</v>
      </c>
      <c r="H1213" s="1" t="s">
        <v>2</v>
      </c>
      <c r="I1213" s="2">
        <v>46177</v>
      </c>
      <c r="J1213" s="1" t="s">
        <v>17</v>
      </c>
      <c r="K1213" s="1" t="s">
        <v>4813</v>
      </c>
      <c r="L1213" s="2">
        <v>46177.92087962963</v>
      </c>
      <c r="M1213" s="2">
        <v>46177.921329212964</v>
      </c>
    </row>
    <row r="1214" spans="1:13" x14ac:dyDescent="0.35">
      <c r="A1214" s="1" t="s">
        <v>577</v>
      </c>
      <c r="B1214" s="1" t="s">
        <v>13</v>
      </c>
      <c r="C1214" s="1" t="s">
        <v>578</v>
      </c>
      <c r="D1214">
        <v>2.75</v>
      </c>
      <c r="E1214" s="2">
        <v>47269</v>
      </c>
      <c r="F1214" s="1" t="s">
        <v>16</v>
      </c>
      <c r="G1214" s="1" t="s">
        <v>578</v>
      </c>
      <c r="H1214" s="1" t="s">
        <v>2</v>
      </c>
      <c r="I1214" s="2">
        <v>46177</v>
      </c>
      <c r="J1214" s="1" t="s">
        <v>67</v>
      </c>
      <c r="K1214" s="1" t="s">
        <v>4698</v>
      </c>
      <c r="L1214" s="2">
        <v>46177.918923611112</v>
      </c>
      <c r="M1214" s="2">
        <v>46177.921329212964</v>
      </c>
    </row>
    <row r="1215" spans="1:13" x14ac:dyDescent="0.35">
      <c r="A1215" s="1" t="s">
        <v>577</v>
      </c>
      <c r="B1215" s="1" t="s">
        <v>13</v>
      </c>
      <c r="C1215" s="1" t="s">
        <v>578</v>
      </c>
      <c r="D1215">
        <v>2.75</v>
      </c>
      <c r="E1215" s="2">
        <v>47269</v>
      </c>
      <c r="F1215" s="1" t="s">
        <v>16</v>
      </c>
      <c r="G1215" s="1" t="s">
        <v>578</v>
      </c>
      <c r="H1215" s="1" t="s">
        <v>2</v>
      </c>
      <c r="I1215" s="2">
        <v>46177</v>
      </c>
      <c r="J1215" s="1" t="s">
        <v>214</v>
      </c>
      <c r="K1215" s="1" t="s">
        <v>4768</v>
      </c>
      <c r="L1215" s="2">
        <v>46177.918923611112</v>
      </c>
      <c r="M1215" s="2">
        <v>46177.921329212964</v>
      </c>
    </row>
    <row r="1216" spans="1:13" x14ac:dyDescent="0.35">
      <c r="A1216" s="1" t="s">
        <v>577</v>
      </c>
      <c r="B1216" s="1" t="s">
        <v>13</v>
      </c>
      <c r="C1216" s="1" t="s">
        <v>578</v>
      </c>
      <c r="D1216">
        <v>2.75</v>
      </c>
      <c r="E1216" s="2">
        <v>47269</v>
      </c>
      <c r="F1216" s="1" t="s">
        <v>16</v>
      </c>
      <c r="G1216" s="1" t="s">
        <v>578</v>
      </c>
      <c r="H1216" s="1" t="s">
        <v>2</v>
      </c>
      <c r="I1216" s="2">
        <v>46177</v>
      </c>
      <c r="J1216" s="1" t="s">
        <v>18</v>
      </c>
      <c r="K1216" s="1" t="s">
        <v>4697</v>
      </c>
      <c r="L1216" s="2">
        <v>46177.92087962963</v>
      </c>
      <c r="M1216" s="2">
        <v>46177.921329212964</v>
      </c>
    </row>
    <row r="1217" spans="1:13" x14ac:dyDescent="0.35">
      <c r="A1217" s="1" t="s">
        <v>577</v>
      </c>
      <c r="B1217" s="1" t="s">
        <v>13</v>
      </c>
      <c r="C1217" s="1" t="s">
        <v>578</v>
      </c>
      <c r="D1217">
        <v>2.75</v>
      </c>
      <c r="E1217" s="2">
        <v>47269</v>
      </c>
      <c r="F1217" s="1" t="s">
        <v>16</v>
      </c>
      <c r="G1217" s="1" t="s">
        <v>578</v>
      </c>
      <c r="H1217" s="1" t="s">
        <v>2</v>
      </c>
      <c r="I1217" s="2">
        <v>46177</v>
      </c>
      <c r="J1217" s="1" t="s">
        <v>215</v>
      </c>
      <c r="K1217" s="1" t="s">
        <v>4698</v>
      </c>
      <c r="L1217" s="2">
        <v>46177.918923611112</v>
      </c>
      <c r="M1217" s="2">
        <v>46177.921329212964</v>
      </c>
    </row>
    <row r="1218" spans="1:13" x14ac:dyDescent="0.35">
      <c r="A1218" s="1" t="s">
        <v>670</v>
      </c>
      <c r="B1218" s="1" t="s">
        <v>13</v>
      </c>
      <c r="C1218" s="1" t="s">
        <v>671</v>
      </c>
      <c r="D1218">
        <v>2.625</v>
      </c>
      <c r="E1218" s="2">
        <v>46538</v>
      </c>
      <c r="F1218" s="1" t="s">
        <v>16</v>
      </c>
      <c r="G1218" s="1" t="s">
        <v>671</v>
      </c>
      <c r="H1218" s="1" t="s">
        <v>2</v>
      </c>
      <c r="I1218" s="2">
        <v>46177</v>
      </c>
      <c r="J1218" s="1" t="s">
        <v>17</v>
      </c>
      <c r="K1218" s="1" t="s">
        <v>2908</v>
      </c>
      <c r="L1218" s="2">
        <v>46177.92087962963</v>
      </c>
      <c r="M1218" s="2">
        <v>46177.921329212964</v>
      </c>
    </row>
    <row r="1219" spans="1:13" x14ac:dyDescent="0.35">
      <c r="A1219" s="1" t="s">
        <v>670</v>
      </c>
      <c r="B1219" s="1" t="s">
        <v>13</v>
      </c>
      <c r="C1219" s="1" t="s">
        <v>671</v>
      </c>
      <c r="D1219">
        <v>2.625</v>
      </c>
      <c r="E1219" s="2">
        <v>46538</v>
      </c>
      <c r="F1219" s="1" t="s">
        <v>16</v>
      </c>
      <c r="G1219" s="1" t="s">
        <v>671</v>
      </c>
      <c r="H1219" s="1" t="s">
        <v>2</v>
      </c>
      <c r="I1219" s="2">
        <v>46177</v>
      </c>
      <c r="J1219" s="1" t="s">
        <v>214</v>
      </c>
      <c r="K1219" s="1" t="s">
        <v>4769</v>
      </c>
      <c r="L1219" s="2">
        <v>46177.918923611112</v>
      </c>
      <c r="M1219" s="2">
        <v>46177.921329212964</v>
      </c>
    </row>
    <row r="1220" spans="1:13" x14ac:dyDescent="0.35">
      <c r="A1220" s="1" t="s">
        <v>670</v>
      </c>
      <c r="B1220" s="1" t="s">
        <v>13</v>
      </c>
      <c r="C1220" s="1" t="s">
        <v>671</v>
      </c>
      <c r="D1220">
        <v>2.625</v>
      </c>
      <c r="E1220" s="2">
        <v>46538</v>
      </c>
      <c r="F1220" s="1" t="s">
        <v>16</v>
      </c>
      <c r="G1220" s="1" t="s">
        <v>671</v>
      </c>
      <c r="H1220" s="1" t="s">
        <v>2</v>
      </c>
      <c r="I1220" s="2">
        <v>46177</v>
      </c>
      <c r="J1220" s="1" t="s">
        <v>67</v>
      </c>
      <c r="K1220" s="1" t="s">
        <v>4770</v>
      </c>
      <c r="L1220" s="2">
        <v>46177.918923611112</v>
      </c>
      <c r="M1220" s="2">
        <v>46177.921329212964</v>
      </c>
    </row>
    <row r="1221" spans="1:13" x14ac:dyDescent="0.35">
      <c r="A1221" s="1" t="s">
        <v>670</v>
      </c>
      <c r="B1221" s="1" t="s">
        <v>13</v>
      </c>
      <c r="C1221" s="1" t="s">
        <v>671</v>
      </c>
      <c r="D1221">
        <v>2.625</v>
      </c>
      <c r="E1221" s="2">
        <v>46538</v>
      </c>
      <c r="F1221" s="1" t="s">
        <v>16</v>
      </c>
      <c r="G1221" s="1" t="s">
        <v>671</v>
      </c>
      <c r="H1221" s="1" t="s">
        <v>2</v>
      </c>
      <c r="I1221" s="2">
        <v>46177</v>
      </c>
      <c r="J1221" s="1" t="s">
        <v>18</v>
      </c>
      <c r="K1221" s="1" t="s">
        <v>2432</v>
      </c>
      <c r="L1221" s="2">
        <v>46177.92087962963</v>
      </c>
      <c r="M1221" s="2">
        <v>46177.921329212964</v>
      </c>
    </row>
    <row r="1222" spans="1:13" x14ac:dyDescent="0.35">
      <c r="A1222" s="1" t="s">
        <v>670</v>
      </c>
      <c r="B1222" s="1" t="s">
        <v>13</v>
      </c>
      <c r="C1222" s="1" t="s">
        <v>671</v>
      </c>
      <c r="D1222">
        <v>2.625</v>
      </c>
      <c r="E1222" s="2">
        <v>46538</v>
      </c>
      <c r="F1222" s="1" t="s">
        <v>16</v>
      </c>
      <c r="G1222" s="1" t="s">
        <v>671</v>
      </c>
      <c r="H1222" s="1" t="s">
        <v>2</v>
      </c>
      <c r="I1222" s="2">
        <v>46177</v>
      </c>
      <c r="J1222" s="1" t="s">
        <v>215</v>
      </c>
      <c r="K1222" s="1" t="s">
        <v>4770</v>
      </c>
      <c r="L1222" s="2">
        <v>46177.918923611112</v>
      </c>
      <c r="M1222" s="2">
        <v>46177.921329212964</v>
      </c>
    </row>
    <row r="1223" spans="1:13" x14ac:dyDescent="0.35">
      <c r="A1223" s="1" t="s">
        <v>670</v>
      </c>
      <c r="B1223" s="1" t="s">
        <v>13</v>
      </c>
      <c r="C1223" s="1" t="s">
        <v>671</v>
      </c>
      <c r="D1223">
        <v>2.625</v>
      </c>
      <c r="E1223" s="2">
        <v>46538</v>
      </c>
      <c r="F1223" s="1" t="s">
        <v>16</v>
      </c>
      <c r="G1223" s="1" t="s">
        <v>671</v>
      </c>
      <c r="H1223" s="1" t="s">
        <v>2</v>
      </c>
      <c r="I1223" s="2">
        <v>46177</v>
      </c>
      <c r="J1223" s="1" t="s">
        <v>224</v>
      </c>
      <c r="K1223" s="1" t="s">
        <v>4769</v>
      </c>
      <c r="L1223" s="2">
        <v>46177.918923611112</v>
      </c>
      <c r="M1223" s="2">
        <v>46177.921329212964</v>
      </c>
    </row>
    <row r="1224" spans="1:13" x14ac:dyDescent="0.35">
      <c r="A1224" s="1" t="s">
        <v>653</v>
      </c>
      <c r="B1224" s="1" t="s">
        <v>13</v>
      </c>
      <c r="C1224" s="1" t="s">
        <v>654</v>
      </c>
      <c r="D1224">
        <v>3.25</v>
      </c>
      <c r="E1224" s="2">
        <v>47299</v>
      </c>
      <c r="F1224" s="1" t="s">
        <v>16</v>
      </c>
      <c r="G1224" s="1" t="s">
        <v>654</v>
      </c>
      <c r="H1224" s="1" t="s">
        <v>2</v>
      </c>
      <c r="I1224" s="2">
        <v>46177</v>
      </c>
      <c r="J1224" s="1" t="s">
        <v>18</v>
      </c>
      <c r="K1224" s="1" t="s">
        <v>2891</v>
      </c>
      <c r="L1224" s="2">
        <v>46177.92087962963</v>
      </c>
      <c r="M1224" s="2">
        <v>46177.921329212964</v>
      </c>
    </row>
    <row r="1225" spans="1:13" x14ac:dyDescent="0.35">
      <c r="A1225" s="1" t="s">
        <v>653</v>
      </c>
      <c r="B1225" s="1" t="s">
        <v>13</v>
      </c>
      <c r="C1225" s="1" t="s">
        <v>654</v>
      </c>
      <c r="D1225">
        <v>3.25</v>
      </c>
      <c r="E1225" s="2">
        <v>47299</v>
      </c>
      <c r="F1225" s="1" t="s">
        <v>16</v>
      </c>
      <c r="G1225" s="1" t="s">
        <v>654</v>
      </c>
      <c r="H1225" s="1" t="s">
        <v>2</v>
      </c>
      <c r="I1225" s="2">
        <v>46177</v>
      </c>
      <c r="J1225" s="1" t="s">
        <v>67</v>
      </c>
      <c r="K1225" s="1" t="s">
        <v>4845</v>
      </c>
      <c r="L1225" s="2">
        <v>46177.918923611112</v>
      </c>
      <c r="M1225" s="2">
        <v>46177.921329212964</v>
      </c>
    </row>
    <row r="1226" spans="1:13" x14ac:dyDescent="0.35">
      <c r="A1226" s="1" t="s">
        <v>653</v>
      </c>
      <c r="B1226" s="1" t="s">
        <v>13</v>
      </c>
      <c r="C1226" s="1" t="s">
        <v>654</v>
      </c>
      <c r="D1226">
        <v>3.25</v>
      </c>
      <c r="E1226" s="2">
        <v>47299</v>
      </c>
      <c r="F1226" s="1" t="s">
        <v>16</v>
      </c>
      <c r="G1226" s="1" t="s">
        <v>654</v>
      </c>
      <c r="H1226" s="1" t="s">
        <v>2</v>
      </c>
      <c r="I1226" s="2">
        <v>46177</v>
      </c>
      <c r="J1226" s="1" t="s">
        <v>215</v>
      </c>
      <c r="K1226" s="1" t="s">
        <v>4845</v>
      </c>
      <c r="L1226" s="2">
        <v>46177.918923611112</v>
      </c>
      <c r="M1226" s="2">
        <v>46177.921329212964</v>
      </c>
    </row>
    <row r="1227" spans="1:13" x14ac:dyDescent="0.35">
      <c r="A1227" s="1" t="s">
        <v>653</v>
      </c>
      <c r="B1227" s="1" t="s">
        <v>13</v>
      </c>
      <c r="C1227" s="1" t="s">
        <v>654</v>
      </c>
      <c r="D1227">
        <v>3.25</v>
      </c>
      <c r="E1227" s="2">
        <v>47299</v>
      </c>
      <c r="F1227" s="1" t="s">
        <v>16</v>
      </c>
      <c r="G1227" s="1" t="s">
        <v>654</v>
      </c>
      <c r="H1227" s="1" t="s">
        <v>2</v>
      </c>
      <c r="I1227" s="2">
        <v>46177</v>
      </c>
      <c r="J1227" s="1" t="s">
        <v>17</v>
      </c>
      <c r="K1227" s="1" t="s">
        <v>2587</v>
      </c>
      <c r="L1227" s="2">
        <v>46177.92087962963</v>
      </c>
      <c r="M1227" s="2">
        <v>46177.921329212964</v>
      </c>
    </row>
    <row r="1228" spans="1:13" x14ac:dyDescent="0.35">
      <c r="A1228" s="1" t="s">
        <v>653</v>
      </c>
      <c r="B1228" s="1" t="s">
        <v>13</v>
      </c>
      <c r="C1228" s="1" t="s">
        <v>654</v>
      </c>
      <c r="D1228">
        <v>3.25</v>
      </c>
      <c r="E1228" s="2">
        <v>47299</v>
      </c>
      <c r="F1228" s="1" t="s">
        <v>16</v>
      </c>
      <c r="G1228" s="1" t="s">
        <v>654</v>
      </c>
      <c r="H1228" s="1" t="s">
        <v>2</v>
      </c>
      <c r="I1228" s="2">
        <v>46177</v>
      </c>
      <c r="J1228" s="1" t="s">
        <v>214</v>
      </c>
      <c r="K1228" s="1" t="s">
        <v>4804</v>
      </c>
      <c r="L1228" s="2">
        <v>46177.918923611112</v>
      </c>
      <c r="M1228" s="2">
        <v>46177.921329212964</v>
      </c>
    </row>
    <row r="1229" spans="1:13" x14ac:dyDescent="0.35">
      <c r="A1229" s="1" t="s">
        <v>653</v>
      </c>
      <c r="B1229" s="1" t="s">
        <v>13</v>
      </c>
      <c r="C1229" s="1" t="s">
        <v>654</v>
      </c>
      <c r="D1229">
        <v>3.25</v>
      </c>
      <c r="E1229" s="2">
        <v>47299</v>
      </c>
      <c r="F1229" s="1" t="s">
        <v>16</v>
      </c>
      <c r="G1229" s="1" t="s">
        <v>654</v>
      </c>
      <c r="H1229" s="1" t="s">
        <v>2</v>
      </c>
      <c r="I1229" s="2">
        <v>46177</v>
      </c>
      <c r="J1229" s="1" t="s">
        <v>224</v>
      </c>
      <c r="K1229" s="1" t="s">
        <v>4804</v>
      </c>
      <c r="L1229" s="2">
        <v>46177.918923611112</v>
      </c>
      <c r="M1229" s="2">
        <v>46177.921329212964</v>
      </c>
    </row>
    <row r="1230" spans="1:13" x14ac:dyDescent="0.35">
      <c r="A1230" s="1" t="s">
        <v>579</v>
      </c>
      <c r="B1230" s="1" t="s">
        <v>13</v>
      </c>
      <c r="C1230" s="1" t="s">
        <v>580</v>
      </c>
      <c r="D1230">
        <v>3.25</v>
      </c>
      <c r="E1230" s="2">
        <v>46568</v>
      </c>
      <c r="F1230" s="1" t="s">
        <v>16</v>
      </c>
      <c r="G1230" s="1" t="s">
        <v>580</v>
      </c>
      <c r="H1230" s="1" t="s">
        <v>2</v>
      </c>
      <c r="I1230" s="2">
        <v>46177</v>
      </c>
      <c r="J1230" s="1" t="s">
        <v>18</v>
      </c>
      <c r="K1230" s="1" t="s">
        <v>2512</v>
      </c>
      <c r="L1230" s="2">
        <v>46177.92087962963</v>
      </c>
      <c r="M1230" s="2">
        <v>46177.921329212964</v>
      </c>
    </row>
    <row r="1231" spans="1:13" x14ac:dyDescent="0.35">
      <c r="A1231" s="1" t="s">
        <v>579</v>
      </c>
      <c r="B1231" s="1" t="s">
        <v>13</v>
      </c>
      <c r="C1231" s="1" t="s">
        <v>580</v>
      </c>
      <c r="D1231">
        <v>3.25</v>
      </c>
      <c r="E1231" s="2">
        <v>46568</v>
      </c>
      <c r="F1231" s="1" t="s">
        <v>16</v>
      </c>
      <c r="G1231" s="1" t="s">
        <v>580</v>
      </c>
      <c r="H1231" s="1" t="s">
        <v>2</v>
      </c>
      <c r="I1231" s="2">
        <v>46177</v>
      </c>
      <c r="J1231" s="1" t="s">
        <v>215</v>
      </c>
      <c r="K1231" s="1" t="s">
        <v>4814</v>
      </c>
      <c r="L1231" s="2">
        <v>46177.918923611112</v>
      </c>
      <c r="M1231" s="2">
        <v>46177.921329212964</v>
      </c>
    </row>
    <row r="1232" spans="1:13" x14ac:dyDescent="0.35">
      <c r="A1232" s="1" t="s">
        <v>579</v>
      </c>
      <c r="B1232" s="1" t="s">
        <v>13</v>
      </c>
      <c r="C1232" s="1" t="s">
        <v>580</v>
      </c>
      <c r="D1232">
        <v>3.25</v>
      </c>
      <c r="E1232" s="2">
        <v>46568</v>
      </c>
      <c r="F1232" s="1" t="s">
        <v>16</v>
      </c>
      <c r="G1232" s="1" t="s">
        <v>580</v>
      </c>
      <c r="H1232" s="1" t="s">
        <v>2</v>
      </c>
      <c r="I1232" s="2">
        <v>46177</v>
      </c>
      <c r="J1232" s="1" t="s">
        <v>17</v>
      </c>
      <c r="K1232" s="1" t="s">
        <v>2560</v>
      </c>
      <c r="L1232" s="2">
        <v>46177.92087962963</v>
      </c>
      <c r="M1232" s="2">
        <v>46177.921329212964</v>
      </c>
    </row>
    <row r="1233" spans="1:13" x14ac:dyDescent="0.35">
      <c r="A1233" s="1" t="s">
        <v>579</v>
      </c>
      <c r="B1233" s="1" t="s">
        <v>13</v>
      </c>
      <c r="C1233" s="1" t="s">
        <v>580</v>
      </c>
      <c r="D1233">
        <v>3.25</v>
      </c>
      <c r="E1233" s="2">
        <v>46568</v>
      </c>
      <c r="F1233" s="1" t="s">
        <v>16</v>
      </c>
      <c r="G1233" s="1" t="s">
        <v>580</v>
      </c>
      <c r="H1233" s="1" t="s">
        <v>2</v>
      </c>
      <c r="I1233" s="2">
        <v>46177</v>
      </c>
      <c r="J1233" s="1" t="s">
        <v>67</v>
      </c>
      <c r="K1233" s="1" t="s">
        <v>4814</v>
      </c>
      <c r="L1233" s="2">
        <v>46177.918923611112</v>
      </c>
      <c r="M1233" s="2">
        <v>46177.921329212964</v>
      </c>
    </row>
    <row r="1234" spans="1:13" x14ac:dyDescent="0.35">
      <c r="A1234" s="1" t="s">
        <v>579</v>
      </c>
      <c r="B1234" s="1" t="s">
        <v>13</v>
      </c>
      <c r="C1234" s="1" t="s">
        <v>580</v>
      </c>
      <c r="D1234">
        <v>3.25</v>
      </c>
      <c r="E1234" s="2">
        <v>46568</v>
      </c>
      <c r="F1234" s="1" t="s">
        <v>16</v>
      </c>
      <c r="G1234" s="1" t="s">
        <v>580</v>
      </c>
      <c r="H1234" s="1" t="s">
        <v>2</v>
      </c>
      <c r="I1234" s="2">
        <v>46177</v>
      </c>
      <c r="J1234" s="1" t="s">
        <v>224</v>
      </c>
      <c r="K1234" s="1" t="s">
        <v>4805</v>
      </c>
      <c r="L1234" s="2">
        <v>46177.918923611112</v>
      </c>
      <c r="M1234" s="2">
        <v>46177.921329212964</v>
      </c>
    </row>
    <row r="1235" spans="1:13" x14ac:dyDescent="0.35">
      <c r="A1235" s="1" t="s">
        <v>579</v>
      </c>
      <c r="B1235" s="1" t="s">
        <v>13</v>
      </c>
      <c r="C1235" s="1" t="s">
        <v>580</v>
      </c>
      <c r="D1235">
        <v>3.25</v>
      </c>
      <c r="E1235" s="2">
        <v>46568</v>
      </c>
      <c r="F1235" s="1" t="s">
        <v>16</v>
      </c>
      <c r="G1235" s="1" t="s">
        <v>580</v>
      </c>
      <c r="H1235" s="1" t="s">
        <v>2</v>
      </c>
      <c r="I1235" s="2">
        <v>46177</v>
      </c>
      <c r="J1235" s="1" t="s">
        <v>214</v>
      </c>
      <c r="K1235" s="1" t="s">
        <v>4805</v>
      </c>
      <c r="L1235" s="2">
        <v>46177.918923611112</v>
      </c>
      <c r="M1235" s="2">
        <v>46177.921329212964</v>
      </c>
    </row>
    <row r="1236" spans="1:13" x14ac:dyDescent="0.35">
      <c r="A1236" s="1" t="s">
        <v>672</v>
      </c>
      <c r="B1236" s="1" t="s">
        <v>13</v>
      </c>
      <c r="C1236" s="1" t="s">
        <v>673</v>
      </c>
      <c r="D1236">
        <v>0.625</v>
      </c>
      <c r="E1236" s="2">
        <v>48410</v>
      </c>
      <c r="F1236" s="1" t="s">
        <v>64</v>
      </c>
      <c r="G1236" s="1" t="s">
        <v>673</v>
      </c>
      <c r="H1236" s="1" t="s">
        <v>2</v>
      </c>
      <c r="I1236" s="2">
        <v>46177</v>
      </c>
      <c r="J1236" s="1" t="s">
        <v>18</v>
      </c>
      <c r="K1236" s="1" t="s">
        <v>2975</v>
      </c>
      <c r="L1236" s="2">
        <v>46177.92087962963</v>
      </c>
      <c r="M1236" s="2">
        <v>46177.921329212964</v>
      </c>
    </row>
    <row r="1237" spans="1:13" x14ac:dyDescent="0.35">
      <c r="A1237" s="1" t="s">
        <v>672</v>
      </c>
      <c r="B1237" s="1" t="s">
        <v>13</v>
      </c>
      <c r="C1237" s="1" t="s">
        <v>673</v>
      </c>
      <c r="D1237">
        <v>0.625</v>
      </c>
      <c r="E1237" s="2">
        <v>48410</v>
      </c>
      <c r="F1237" s="1" t="s">
        <v>64</v>
      </c>
      <c r="G1237" s="1" t="s">
        <v>673</v>
      </c>
      <c r="H1237" s="1" t="s">
        <v>2</v>
      </c>
      <c r="I1237" s="2">
        <v>46177</v>
      </c>
      <c r="J1237" s="1" t="s">
        <v>17</v>
      </c>
      <c r="K1237" s="1" t="s">
        <v>2407</v>
      </c>
      <c r="L1237" s="2">
        <v>46177.92087962963</v>
      </c>
      <c r="M1237" s="2">
        <v>46177.921329212964</v>
      </c>
    </row>
    <row r="1238" spans="1:13" x14ac:dyDescent="0.35">
      <c r="A1238" s="1" t="s">
        <v>581</v>
      </c>
      <c r="B1238" s="1" t="s">
        <v>13</v>
      </c>
      <c r="C1238" s="1" t="s">
        <v>582</v>
      </c>
      <c r="D1238">
        <v>2.75</v>
      </c>
      <c r="E1238" s="2">
        <v>46599</v>
      </c>
      <c r="F1238" s="1" t="s">
        <v>16</v>
      </c>
      <c r="G1238" s="1" t="s">
        <v>582</v>
      </c>
      <c r="H1238" s="1" t="s">
        <v>2</v>
      </c>
      <c r="I1238" s="2">
        <v>46177</v>
      </c>
      <c r="J1238" s="1" t="s">
        <v>17</v>
      </c>
      <c r="K1238" s="1" t="s">
        <v>2626</v>
      </c>
      <c r="L1238" s="2">
        <v>46177.92087962963</v>
      </c>
      <c r="M1238" s="2">
        <v>46177.921329212964</v>
      </c>
    </row>
    <row r="1239" spans="1:13" x14ac:dyDescent="0.35">
      <c r="A1239" s="1" t="s">
        <v>581</v>
      </c>
      <c r="B1239" s="1" t="s">
        <v>13</v>
      </c>
      <c r="C1239" s="1" t="s">
        <v>582</v>
      </c>
      <c r="D1239">
        <v>2.75</v>
      </c>
      <c r="E1239" s="2">
        <v>46599</v>
      </c>
      <c r="F1239" s="1" t="s">
        <v>16</v>
      </c>
      <c r="G1239" s="1" t="s">
        <v>582</v>
      </c>
      <c r="H1239" s="1" t="s">
        <v>2</v>
      </c>
      <c r="I1239" s="2">
        <v>46177</v>
      </c>
      <c r="J1239" s="1" t="s">
        <v>67</v>
      </c>
      <c r="K1239" s="1" t="s">
        <v>4982</v>
      </c>
      <c r="L1239" s="2">
        <v>46177.918923611112</v>
      </c>
      <c r="M1239" s="2">
        <v>46177.921329212964</v>
      </c>
    </row>
    <row r="1240" spans="1:13" x14ac:dyDescent="0.35">
      <c r="A1240" s="1" t="s">
        <v>581</v>
      </c>
      <c r="B1240" s="1" t="s">
        <v>13</v>
      </c>
      <c r="C1240" s="1" t="s">
        <v>582</v>
      </c>
      <c r="D1240">
        <v>2.75</v>
      </c>
      <c r="E1240" s="2">
        <v>46599</v>
      </c>
      <c r="F1240" s="1" t="s">
        <v>16</v>
      </c>
      <c r="G1240" s="1" t="s">
        <v>582</v>
      </c>
      <c r="H1240" s="1" t="s">
        <v>2</v>
      </c>
      <c r="I1240" s="2">
        <v>46177</v>
      </c>
      <c r="J1240" s="1" t="s">
        <v>214</v>
      </c>
      <c r="K1240" s="1" t="s">
        <v>4699</v>
      </c>
      <c r="L1240" s="2">
        <v>46177.918923611112</v>
      </c>
      <c r="M1240" s="2">
        <v>46177.921329212964</v>
      </c>
    </row>
    <row r="1241" spans="1:13" x14ac:dyDescent="0.35">
      <c r="A1241" s="1" t="s">
        <v>581</v>
      </c>
      <c r="B1241" s="1" t="s">
        <v>13</v>
      </c>
      <c r="C1241" s="1" t="s">
        <v>582</v>
      </c>
      <c r="D1241">
        <v>2.75</v>
      </c>
      <c r="E1241" s="2">
        <v>46599</v>
      </c>
      <c r="F1241" s="1" t="s">
        <v>16</v>
      </c>
      <c r="G1241" s="1" t="s">
        <v>582</v>
      </c>
      <c r="H1241" s="1" t="s">
        <v>2</v>
      </c>
      <c r="I1241" s="2">
        <v>46177</v>
      </c>
      <c r="J1241" s="1" t="s">
        <v>224</v>
      </c>
      <c r="K1241" s="1" t="s">
        <v>4699</v>
      </c>
      <c r="L1241" s="2">
        <v>46177.918923611112</v>
      </c>
      <c r="M1241" s="2">
        <v>46177.921329212964</v>
      </c>
    </row>
    <row r="1242" spans="1:13" x14ac:dyDescent="0.35">
      <c r="A1242" s="1" t="s">
        <v>581</v>
      </c>
      <c r="B1242" s="1" t="s">
        <v>13</v>
      </c>
      <c r="C1242" s="1" t="s">
        <v>582</v>
      </c>
      <c r="D1242">
        <v>2.75</v>
      </c>
      <c r="E1242" s="2">
        <v>46599</v>
      </c>
      <c r="F1242" s="1" t="s">
        <v>16</v>
      </c>
      <c r="G1242" s="1" t="s">
        <v>582</v>
      </c>
      <c r="H1242" s="1" t="s">
        <v>2</v>
      </c>
      <c r="I1242" s="2">
        <v>46177</v>
      </c>
      <c r="J1242" s="1" t="s">
        <v>18</v>
      </c>
      <c r="K1242" s="1" t="s">
        <v>2462</v>
      </c>
      <c r="L1242" s="2">
        <v>46177.92087962963</v>
      </c>
      <c r="M1242" s="2">
        <v>46177.921329212964</v>
      </c>
    </row>
    <row r="1243" spans="1:13" x14ac:dyDescent="0.35">
      <c r="A1243" s="1" t="s">
        <v>581</v>
      </c>
      <c r="B1243" s="1" t="s">
        <v>13</v>
      </c>
      <c r="C1243" s="1" t="s">
        <v>582</v>
      </c>
      <c r="D1243">
        <v>2.75</v>
      </c>
      <c r="E1243" s="2">
        <v>46599</v>
      </c>
      <c r="F1243" s="1" t="s">
        <v>16</v>
      </c>
      <c r="G1243" s="1" t="s">
        <v>582</v>
      </c>
      <c r="H1243" s="1" t="s">
        <v>2</v>
      </c>
      <c r="I1243" s="2">
        <v>46177</v>
      </c>
      <c r="J1243" s="1" t="s">
        <v>215</v>
      </c>
      <c r="K1243" s="1" t="s">
        <v>4982</v>
      </c>
      <c r="L1243" s="2">
        <v>46177.918923611112</v>
      </c>
      <c r="M1243" s="2">
        <v>46177.921329212964</v>
      </c>
    </row>
    <row r="1244" spans="1:13" x14ac:dyDescent="0.35">
      <c r="A1244" s="1" t="s">
        <v>655</v>
      </c>
      <c r="B1244" s="1" t="s">
        <v>13</v>
      </c>
      <c r="C1244" s="1" t="s">
        <v>656</v>
      </c>
      <c r="D1244">
        <v>2.625</v>
      </c>
      <c r="E1244" s="2">
        <v>47330</v>
      </c>
      <c r="F1244" s="1" t="s">
        <v>16</v>
      </c>
      <c r="G1244" s="1" t="s">
        <v>656</v>
      </c>
      <c r="H1244" s="1" t="s">
        <v>2</v>
      </c>
      <c r="I1244" s="2">
        <v>46177</v>
      </c>
      <c r="J1244" s="1" t="s">
        <v>18</v>
      </c>
      <c r="K1244" s="1" t="s">
        <v>2913</v>
      </c>
      <c r="L1244" s="2">
        <v>46177.92087962963</v>
      </c>
      <c r="M1244" s="2">
        <v>46177.921329212964</v>
      </c>
    </row>
    <row r="1245" spans="1:13" x14ac:dyDescent="0.35">
      <c r="A1245" s="1" t="s">
        <v>655</v>
      </c>
      <c r="B1245" s="1" t="s">
        <v>13</v>
      </c>
      <c r="C1245" s="1" t="s">
        <v>656</v>
      </c>
      <c r="D1245">
        <v>2.625</v>
      </c>
      <c r="E1245" s="2">
        <v>47330</v>
      </c>
      <c r="F1245" s="1" t="s">
        <v>16</v>
      </c>
      <c r="G1245" s="1" t="s">
        <v>656</v>
      </c>
      <c r="H1245" s="1" t="s">
        <v>2</v>
      </c>
      <c r="I1245" s="2">
        <v>46177</v>
      </c>
      <c r="J1245" s="1" t="s">
        <v>215</v>
      </c>
      <c r="K1245" s="1" t="s">
        <v>4771</v>
      </c>
      <c r="L1245" s="2">
        <v>46177.918923611112</v>
      </c>
      <c r="M1245" s="2">
        <v>46177.921329212964</v>
      </c>
    </row>
    <row r="1246" spans="1:13" x14ac:dyDescent="0.35">
      <c r="A1246" s="1" t="s">
        <v>655</v>
      </c>
      <c r="B1246" s="1" t="s">
        <v>13</v>
      </c>
      <c r="C1246" s="1" t="s">
        <v>656</v>
      </c>
      <c r="D1246">
        <v>2.625</v>
      </c>
      <c r="E1246" s="2">
        <v>47330</v>
      </c>
      <c r="F1246" s="1" t="s">
        <v>16</v>
      </c>
      <c r="G1246" s="1" t="s">
        <v>656</v>
      </c>
      <c r="H1246" s="1" t="s">
        <v>2</v>
      </c>
      <c r="I1246" s="2">
        <v>46177</v>
      </c>
      <c r="J1246" s="1" t="s">
        <v>214</v>
      </c>
      <c r="K1246" s="1" t="s">
        <v>4846</v>
      </c>
      <c r="L1246" s="2">
        <v>46177.918923611112</v>
      </c>
      <c r="M1246" s="2">
        <v>46177.921329212964</v>
      </c>
    </row>
    <row r="1247" spans="1:13" x14ac:dyDescent="0.35">
      <c r="A1247" s="1" t="s">
        <v>655</v>
      </c>
      <c r="B1247" s="1" t="s">
        <v>13</v>
      </c>
      <c r="C1247" s="1" t="s">
        <v>656</v>
      </c>
      <c r="D1247">
        <v>2.625</v>
      </c>
      <c r="E1247" s="2">
        <v>47330</v>
      </c>
      <c r="F1247" s="1" t="s">
        <v>16</v>
      </c>
      <c r="G1247" s="1" t="s">
        <v>656</v>
      </c>
      <c r="H1247" s="1" t="s">
        <v>2</v>
      </c>
      <c r="I1247" s="2">
        <v>46177</v>
      </c>
      <c r="J1247" s="1" t="s">
        <v>17</v>
      </c>
      <c r="K1247" s="1" t="s">
        <v>2344</v>
      </c>
      <c r="L1247" s="2">
        <v>46177.92087962963</v>
      </c>
      <c r="M1247" s="2">
        <v>46177.921329212964</v>
      </c>
    </row>
    <row r="1248" spans="1:13" x14ac:dyDescent="0.35">
      <c r="A1248" s="1" t="s">
        <v>655</v>
      </c>
      <c r="B1248" s="1" t="s">
        <v>13</v>
      </c>
      <c r="C1248" s="1" t="s">
        <v>656</v>
      </c>
      <c r="D1248">
        <v>2.625</v>
      </c>
      <c r="E1248" s="2">
        <v>47330</v>
      </c>
      <c r="F1248" s="1" t="s">
        <v>16</v>
      </c>
      <c r="G1248" s="1" t="s">
        <v>656</v>
      </c>
      <c r="H1248" s="1" t="s">
        <v>2</v>
      </c>
      <c r="I1248" s="2">
        <v>46177</v>
      </c>
      <c r="J1248" s="1" t="s">
        <v>67</v>
      </c>
      <c r="K1248" s="1" t="s">
        <v>4771</v>
      </c>
      <c r="L1248" s="2">
        <v>46177.918923611112</v>
      </c>
      <c r="M1248" s="2">
        <v>46177.921329212964</v>
      </c>
    </row>
    <row r="1249" spans="1:13" x14ac:dyDescent="0.35">
      <c r="A1249" s="1" t="s">
        <v>655</v>
      </c>
      <c r="B1249" s="1" t="s">
        <v>13</v>
      </c>
      <c r="C1249" s="1" t="s">
        <v>656</v>
      </c>
      <c r="D1249">
        <v>2.625</v>
      </c>
      <c r="E1249" s="2">
        <v>47330</v>
      </c>
      <c r="F1249" s="1" t="s">
        <v>16</v>
      </c>
      <c r="G1249" s="1" t="s">
        <v>656</v>
      </c>
      <c r="H1249" s="1" t="s">
        <v>2</v>
      </c>
      <c r="I1249" s="2">
        <v>46177</v>
      </c>
      <c r="J1249" s="1" t="s">
        <v>224</v>
      </c>
      <c r="K1249" s="1" t="s">
        <v>4846</v>
      </c>
      <c r="L1249" s="2">
        <v>46177.918923611112</v>
      </c>
      <c r="M1249" s="2">
        <v>46177.921329212964</v>
      </c>
    </row>
    <row r="1250" spans="1:13" x14ac:dyDescent="0.35">
      <c r="A1250" s="1" t="s">
        <v>583</v>
      </c>
      <c r="B1250" s="1" t="s">
        <v>13</v>
      </c>
      <c r="C1250" s="1" t="s">
        <v>584</v>
      </c>
      <c r="D1250">
        <v>2.75</v>
      </c>
      <c r="E1250" s="2">
        <v>48441</v>
      </c>
      <c r="F1250" s="1" t="s">
        <v>16</v>
      </c>
      <c r="G1250" s="1" t="s">
        <v>584</v>
      </c>
      <c r="H1250" s="1" t="s">
        <v>2</v>
      </c>
      <c r="I1250" s="2">
        <v>46177</v>
      </c>
      <c r="J1250" s="1" t="s">
        <v>215</v>
      </c>
      <c r="K1250" s="1" t="s">
        <v>4815</v>
      </c>
      <c r="L1250" s="2">
        <v>46177.918923611112</v>
      </c>
      <c r="M1250" s="2">
        <v>46177.921329212964</v>
      </c>
    </row>
    <row r="1251" spans="1:13" x14ac:dyDescent="0.35">
      <c r="A1251" s="1" t="s">
        <v>583</v>
      </c>
      <c r="B1251" s="1" t="s">
        <v>13</v>
      </c>
      <c r="C1251" s="1" t="s">
        <v>584</v>
      </c>
      <c r="D1251">
        <v>2.75</v>
      </c>
      <c r="E1251" s="2">
        <v>48441</v>
      </c>
      <c r="F1251" s="1" t="s">
        <v>16</v>
      </c>
      <c r="G1251" s="1" t="s">
        <v>584</v>
      </c>
      <c r="H1251" s="1" t="s">
        <v>2</v>
      </c>
      <c r="I1251" s="2">
        <v>46177</v>
      </c>
      <c r="J1251" s="1" t="s">
        <v>214</v>
      </c>
      <c r="K1251" s="1" t="s">
        <v>4823</v>
      </c>
      <c r="L1251" s="2">
        <v>46177.918923611112</v>
      </c>
      <c r="M1251" s="2">
        <v>46177.921329212964</v>
      </c>
    </row>
    <row r="1252" spans="1:13" x14ac:dyDescent="0.35">
      <c r="A1252" s="1" t="s">
        <v>583</v>
      </c>
      <c r="B1252" s="1" t="s">
        <v>13</v>
      </c>
      <c r="C1252" s="1" t="s">
        <v>584</v>
      </c>
      <c r="D1252">
        <v>2.75</v>
      </c>
      <c r="E1252" s="2">
        <v>48441</v>
      </c>
      <c r="F1252" s="1" t="s">
        <v>16</v>
      </c>
      <c r="G1252" s="1" t="s">
        <v>584</v>
      </c>
      <c r="H1252" s="1" t="s">
        <v>2</v>
      </c>
      <c r="I1252" s="2">
        <v>46177</v>
      </c>
      <c r="J1252" s="1" t="s">
        <v>18</v>
      </c>
      <c r="K1252" s="1" t="s">
        <v>4985</v>
      </c>
      <c r="L1252" s="2">
        <v>46177.92087962963</v>
      </c>
      <c r="M1252" s="2">
        <v>46177.921329212964</v>
      </c>
    </row>
    <row r="1253" spans="1:13" x14ac:dyDescent="0.35">
      <c r="A1253" s="1" t="s">
        <v>583</v>
      </c>
      <c r="B1253" s="1" t="s">
        <v>13</v>
      </c>
      <c r="C1253" s="1" t="s">
        <v>584</v>
      </c>
      <c r="D1253">
        <v>2.75</v>
      </c>
      <c r="E1253" s="2">
        <v>48441</v>
      </c>
      <c r="F1253" s="1" t="s">
        <v>16</v>
      </c>
      <c r="G1253" s="1" t="s">
        <v>584</v>
      </c>
      <c r="H1253" s="1" t="s">
        <v>2</v>
      </c>
      <c r="I1253" s="2">
        <v>46177</v>
      </c>
      <c r="J1253" s="1" t="s">
        <v>17</v>
      </c>
      <c r="K1253" s="1" t="s">
        <v>2998</v>
      </c>
      <c r="L1253" s="2">
        <v>46177.92087962963</v>
      </c>
      <c r="M1253" s="2">
        <v>46177.921329212964</v>
      </c>
    </row>
    <row r="1254" spans="1:13" x14ac:dyDescent="0.35">
      <c r="A1254" s="1" t="s">
        <v>583</v>
      </c>
      <c r="B1254" s="1" t="s">
        <v>13</v>
      </c>
      <c r="C1254" s="1" t="s">
        <v>584</v>
      </c>
      <c r="D1254">
        <v>2.75</v>
      </c>
      <c r="E1254" s="2">
        <v>48441</v>
      </c>
      <c r="F1254" s="1" t="s">
        <v>16</v>
      </c>
      <c r="G1254" s="1" t="s">
        <v>584</v>
      </c>
      <c r="H1254" s="1" t="s">
        <v>2</v>
      </c>
      <c r="I1254" s="2">
        <v>46177</v>
      </c>
      <c r="J1254" s="1" t="s">
        <v>67</v>
      </c>
      <c r="K1254" s="1" t="s">
        <v>4815</v>
      </c>
      <c r="L1254" s="2">
        <v>46177.918923611112</v>
      </c>
      <c r="M1254" s="2">
        <v>46177.921329212964</v>
      </c>
    </row>
    <row r="1255" spans="1:13" x14ac:dyDescent="0.35">
      <c r="A1255" s="1" t="s">
        <v>583</v>
      </c>
      <c r="B1255" s="1" t="s">
        <v>13</v>
      </c>
      <c r="C1255" s="1" t="s">
        <v>584</v>
      </c>
      <c r="D1255">
        <v>2.75</v>
      </c>
      <c r="E1255" s="2">
        <v>48441</v>
      </c>
      <c r="F1255" s="1" t="s">
        <v>16</v>
      </c>
      <c r="G1255" s="1" t="s">
        <v>584</v>
      </c>
      <c r="H1255" s="1" t="s">
        <v>2</v>
      </c>
      <c r="I1255" s="2">
        <v>46177</v>
      </c>
      <c r="J1255" s="1" t="s">
        <v>224</v>
      </c>
      <c r="K1255" s="1" t="s">
        <v>4823</v>
      </c>
      <c r="L1255" s="2">
        <v>46177.918923611112</v>
      </c>
      <c r="M1255" s="2">
        <v>46177.921329212964</v>
      </c>
    </row>
    <row r="1256" spans="1:13" x14ac:dyDescent="0.35">
      <c r="A1256" s="1" t="s">
        <v>657</v>
      </c>
      <c r="B1256" s="1" t="s">
        <v>13</v>
      </c>
      <c r="C1256" s="1" t="s">
        <v>658</v>
      </c>
      <c r="D1256">
        <v>3.125</v>
      </c>
      <c r="E1256" s="2">
        <v>46630</v>
      </c>
      <c r="F1256" s="1" t="s">
        <v>16</v>
      </c>
      <c r="G1256" s="1" t="s">
        <v>658</v>
      </c>
      <c r="H1256" s="1" t="s">
        <v>2</v>
      </c>
      <c r="I1256" s="2">
        <v>46177</v>
      </c>
      <c r="J1256" s="1" t="s">
        <v>17</v>
      </c>
      <c r="K1256" s="1" t="s">
        <v>2503</v>
      </c>
      <c r="L1256" s="2">
        <v>46177.92087962963</v>
      </c>
      <c r="M1256" s="2">
        <v>46177.921329212964</v>
      </c>
    </row>
    <row r="1257" spans="1:13" x14ac:dyDescent="0.35">
      <c r="A1257" s="1" t="s">
        <v>657</v>
      </c>
      <c r="B1257" s="1" t="s">
        <v>13</v>
      </c>
      <c r="C1257" s="1" t="s">
        <v>658</v>
      </c>
      <c r="D1257">
        <v>3.125</v>
      </c>
      <c r="E1257" s="2">
        <v>46630</v>
      </c>
      <c r="F1257" s="1" t="s">
        <v>16</v>
      </c>
      <c r="G1257" s="1" t="s">
        <v>658</v>
      </c>
      <c r="H1257" s="1" t="s">
        <v>2</v>
      </c>
      <c r="I1257" s="2">
        <v>46177</v>
      </c>
      <c r="J1257" s="1" t="s">
        <v>214</v>
      </c>
      <c r="K1257" s="1" t="s">
        <v>4772</v>
      </c>
      <c r="L1257" s="2">
        <v>46177.918923611112</v>
      </c>
      <c r="M1257" s="2">
        <v>46177.921329212964</v>
      </c>
    </row>
    <row r="1258" spans="1:13" x14ac:dyDescent="0.35">
      <c r="A1258" s="1" t="s">
        <v>657</v>
      </c>
      <c r="B1258" s="1" t="s">
        <v>13</v>
      </c>
      <c r="C1258" s="1" t="s">
        <v>658</v>
      </c>
      <c r="D1258">
        <v>3.125</v>
      </c>
      <c r="E1258" s="2">
        <v>46630</v>
      </c>
      <c r="F1258" s="1" t="s">
        <v>16</v>
      </c>
      <c r="G1258" s="1" t="s">
        <v>658</v>
      </c>
      <c r="H1258" s="1" t="s">
        <v>2</v>
      </c>
      <c r="I1258" s="2">
        <v>46177</v>
      </c>
      <c r="J1258" s="1" t="s">
        <v>224</v>
      </c>
      <c r="K1258" s="1" t="s">
        <v>4772</v>
      </c>
      <c r="L1258" s="2">
        <v>46177.918923611112</v>
      </c>
      <c r="M1258" s="2">
        <v>46177.921329212964</v>
      </c>
    </row>
    <row r="1259" spans="1:13" x14ac:dyDescent="0.35">
      <c r="A1259" s="1" t="s">
        <v>657</v>
      </c>
      <c r="B1259" s="1" t="s">
        <v>13</v>
      </c>
      <c r="C1259" s="1" t="s">
        <v>658</v>
      </c>
      <c r="D1259">
        <v>3.125</v>
      </c>
      <c r="E1259" s="2">
        <v>46630</v>
      </c>
      <c r="F1259" s="1" t="s">
        <v>16</v>
      </c>
      <c r="G1259" s="1" t="s">
        <v>658</v>
      </c>
      <c r="H1259" s="1" t="s">
        <v>2</v>
      </c>
      <c r="I1259" s="2">
        <v>46177</v>
      </c>
      <c r="J1259" s="1" t="s">
        <v>18</v>
      </c>
      <c r="K1259" s="1" t="s">
        <v>4847</v>
      </c>
      <c r="L1259" s="2">
        <v>46177.92087962963</v>
      </c>
      <c r="M1259" s="2">
        <v>46177.921329212964</v>
      </c>
    </row>
    <row r="1260" spans="1:13" x14ac:dyDescent="0.35">
      <c r="A1260" s="1" t="s">
        <v>657</v>
      </c>
      <c r="B1260" s="1" t="s">
        <v>13</v>
      </c>
      <c r="C1260" s="1" t="s">
        <v>658</v>
      </c>
      <c r="D1260">
        <v>3.125</v>
      </c>
      <c r="E1260" s="2">
        <v>46630</v>
      </c>
      <c r="F1260" s="1" t="s">
        <v>16</v>
      </c>
      <c r="G1260" s="1" t="s">
        <v>658</v>
      </c>
      <c r="H1260" s="1" t="s">
        <v>2</v>
      </c>
      <c r="I1260" s="2">
        <v>46177</v>
      </c>
      <c r="J1260" s="1" t="s">
        <v>215</v>
      </c>
      <c r="K1260" s="1" t="s">
        <v>4700</v>
      </c>
      <c r="L1260" s="2">
        <v>46177.918923611112</v>
      </c>
      <c r="M1260" s="2">
        <v>46177.921329212964</v>
      </c>
    </row>
    <row r="1261" spans="1:13" x14ac:dyDescent="0.35">
      <c r="A1261" s="1" t="s">
        <v>657</v>
      </c>
      <c r="B1261" s="1" t="s">
        <v>13</v>
      </c>
      <c r="C1261" s="1" t="s">
        <v>658</v>
      </c>
      <c r="D1261">
        <v>3.125</v>
      </c>
      <c r="E1261" s="2">
        <v>46630</v>
      </c>
      <c r="F1261" s="1" t="s">
        <v>16</v>
      </c>
      <c r="G1261" s="1" t="s">
        <v>658</v>
      </c>
      <c r="H1261" s="1" t="s">
        <v>2</v>
      </c>
      <c r="I1261" s="2">
        <v>46177</v>
      </c>
      <c r="J1261" s="1" t="s">
        <v>67</v>
      </c>
      <c r="K1261" s="1" t="s">
        <v>4700</v>
      </c>
      <c r="L1261" s="2">
        <v>46177.918923611112</v>
      </c>
      <c r="M1261" s="2">
        <v>46177.921329212964</v>
      </c>
    </row>
    <row r="1262" spans="1:13" x14ac:dyDescent="0.35">
      <c r="A1262" s="1" t="s">
        <v>585</v>
      </c>
      <c r="B1262" s="1" t="s">
        <v>13</v>
      </c>
      <c r="C1262" s="1" t="s">
        <v>586</v>
      </c>
      <c r="D1262">
        <v>3.125</v>
      </c>
      <c r="E1262" s="2">
        <v>47361</v>
      </c>
      <c r="F1262" s="1" t="s">
        <v>16</v>
      </c>
      <c r="G1262" s="1" t="s">
        <v>586</v>
      </c>
      <c r="H1262" s="1" t="s">
        <v>2</v>
      </c>
      <c r="I1262" s="2">
        <v>46177</v>
      </c>
      <c r="J1262" s="1" t="s">
        <v>18</v>
      </c>
      <c r="K1262" s="1" t="s">
        <v>2668</v>
      </c>
      <c r="L1262" s="2">
        <v>46177.92087962963</v>
      </c>
      <c r="M1262" s="2">
        <v>46177.921329212964</v>
      </c>
    </row>
    <row r="1263" spans="1:13" x14ac:dyDescent="0.35">
      <c r="A1263" s="1" t="s">
        <v>585</v>
      </c>
      <c r="B1263" s="1" t="s">
        <v>13</v>
      </c>
      <c r="C1263" s="1" t="s">
        <v>586</v>
      </c>
      <c r="D1263">
        <v>3.125</v>
      </c>
      <c r="E1263" s="2">
        <v>47361</v>
      </c>
      <c r="F1263" s="1" t="s">
        <v>16</v>
      </c>
      <c r="G1263" s="1" t="s">
        <v>586</v>
      </c>
      <c r="H1263" s="1" t="s">
        <v>2</v>
      </c>
      <c r="I1263" s="2">
        <v>46177</v>
      </c>
      <c r="J1263" s="1" t="s">
        <v>215</v>
      </c>
      <c r="K1263" s="1" t="s">
        <v>4701</v>
      </c>
      <c r="L1263" s="2">
        <v>46177.918923611112</v>
      </c>
      <c r="M1263" s="2">
        <v>46177.921329212964</v>
      </c>
    </row>
    <row r="1264" spans="1:13" x14ac:dyDescent="0.35">
      <c r="A1264" s="1" t="s">
        <v>585</v>
      </c>
      <c r="B1264" s="1" t="s">
        <v>13</v>
      </c>
      <c r="C1264" s="1" t="s">
        <v>586</v>
      </c>
      <c r="D1264">
        <v>3.125</v>
      </c>
      <c r="E1264" s="2">
        <v>47361</v>
      </c>
      <c r="F1264" s="1" t="s">
        <v>16</v>
      </c>
      <c r="G1264" s="1" t="s">
        <v>586</v>
      </c>
      <c r="H1264" s="1" t="s">
        <v>2</v>
      </c>
      <c r="I1264" s="2">
        <v>46177</v>
      </c>
      <c r="J1264" s="1" t="s">
        <v>67</v>
      </c>
      <c r="K1264" s="1" t="s">
        <v>4701</v>
      </c>
      <c r="L1264" s="2">
        <v>46177.918923611112</v>
      </c>
      <c r="M1264" s="2">
        <v>46177.921329212964</v>
      </c>
    </row>
    <row r="1265" spans="1:13" x14ac:dyDescent="0.35">
      <c r="A1265" s="1" t="s">
        <v>585</v>
      </c>
      <c r="B1265" s="1" t="s">
        <v>13</v>
      </c>
      <c r="C1265" s="1" t="s">
        <v>586</v>
      </c>
      <c r="D1265">
        <v>3.125</v>
      </c>
      <c r="E1265" s="2">
        <v>47361</v>
      </c>
      <c r="F1265" s="1" t="s">
        <v>16</v>
      </c>
      <c r="G1265" s="1" t="s">
        <v>586</v>
      </c>
      <c r="H1265" s="1" t="s">
        <v>2</v>
      </c>
      <c r="I1265" s="2">
        <v>46177</v>
      </c>
      <c r="J1265" s="1" t="s">
        <v>224</v>
      </c>
      <c r="K1265" s="1" t="s">
        <v>4824</v>
      </c>
      <c r="L1265" s="2">
        <v>46177.918923611112</v>
      </c>
      <c r="M1265" s="2">
        <v>46177.921329212964</v>
      </c>
    </row>
    <row r="1266" spans="1:13" x14ac:dyDescent="0.35">
      <c r="A1266" s="1" t="s">
        <v>585</v>
      </c>
      <c r="B1266" s="1" t="s">
        <v>13</v>
      </c>
      <c r="C1266" s="1" t="s">
        <v>586</v>
      </c>
      <c r="D1266">
        <v>3.125</v>
      </c>
      <c r="E1266" s="2">
        <v>47361</v>
      </c>
      <c r="F1266" s="1" t="s">
        <v>16</v>
      </c>
      <c r="G1266" s="1" t="s">
        <v>586</v>
      </c>
      <c r="H1266" s="1" t="s">
        <v>2</v>
      </c>
      <c r="I1266" s="2">
        <v>46177</v>
      </c>
      <c r="J1266" s="1" t="s">
        <v>17</v>
      </c>
      <c r="K1266" s="1" t="s">
        <v>2897</v>
      </c>
      <c r="L1266" s="2">
        <v>46177.92087962963</v>
      </c>
      <c r="M1266" s="2">
        <v>46177.921329212964</v>
      </c>
    </row>
    <row r="1267" spans="1:13" x14ac:dyDescent="0.35">
      <c r="A1267" s="1" t="s">
        <v>585</v>
      </c>
      <c r="B1267" s="1" t="s">
        <v>13</v>
      </c>
      <c r="C1267" s="1" t="s">
        <v>586</v>
      </c>
      <c r="D1267">
        <v>3.125</v>
      </c>
      <c r="E1267" s="2">
        <v>47361</v>
      </c>
      <c r="F1267" s="1" t="s">
        <v>16</v>
      </c>
      <c r="G1267" s="1" t="s">
        <v>586</v>
      </c>
      <c r="H1267" s="1" t="s">
        <v>2</v>
      </c>
      <c r="I1267" s="2">
        <v>46177</v>
      </c>
      <c r="J1267" s="1" t="s">
        <v>214</v>
      </c>
      <c r="K1267" s="1" t="s">
        <v>4824</v>
      </c>
      <c r="L1267" s="2">
        <v>46177.918923611112</v>
      </c>
      <c r="M1267" s="2">
        <v>46177.921329212964</v>
      </c>
    </row>
    <row r="1268" spans="1:13" x14ac:dyDescent="0.35">
      <c r="A1268" s="1" t="s">
        <v>587</v>
      </c>
      <c r="B1268" s="1" t="s">
        <v>13</v>
      </c>
      <c r="C1268" s="1" t="s">
        <v>588</v>
      </c>
      <c r="D1268">
        <v>3.875</v>
      </c>
      <c r="E1268" s="2">
        <v>47391</v>
      </c>
      <c r="F1268" s="1" t="s">
        <v>16</v>
      </c>
      <c r="G1268" s="1" t="s">
        <v>588</v>
      </c>
      <c r="H1268" s="1" t="s">
        <v>2</v>
      </c>
      <c r="I1268" s="2">
        <v>46177</v>
      </c>
      <c r="J1268" s="1" t="s">
        <v>214</v>
      </c>
      <c r="K1268" s="1" t="s">
        <v>4773</v>
      </c>
      <c r="L1268" s="2">
        <v>46177.918923611112</v>
      </c>
      <c r="M1268" s="2">
        <v>46177.921329212964</v>
      </c>
    </row>
    <row r="1269" spans="1:13" x14ac:dyDescent="0.35">
      <c r="A1269" s="1" t="s">
        <v>587</v>
      </c>
      <c r="B1269" s="1" t="s">
        <v>13</v>
      </c>
      <c r="C1269" s="1" t="s">
        <v>588</v>
      </c>
      <c r="D1269">
        <v>3.875</v>
      </c>
      <c r="E1269" s="2">
        <v>47391</v>
      </c>
      <c r="F1269" s="1" t="s">
        <v>16</v>
      </c>
      <c r="G1269" s="1" t="s">
        <v>588</v>
      </c>
      <c r="H1269" s="1" t="s">
        <v>2</v>
      </c>
      <c r="I1269" s="2">
        <v>46177</v>
      </c>
      <c r="J1269" s="1" t="s">
        <v>67</v>
      </c>
      <c r="K1269" s="1" t="s">
        <v>4816</v>
      </c>
      <c r="L1269" s="2">
        <v>46177.918923611112</v>
      </c>
      <c r="M1269" s="2">
        <v>46177.921329212964</v>
      </c>
    </row>
    <row r="1270" spans="1:13" x14ac:dyDescent="0.35">
      <c r="A1270" s="1" t="s">
        <v>587</v>
      </c>
      <c r="B1270" s="1" t="s">
        <v>13</v>
      </c>
      <c r="C1270" s="1" t="s">
        <v>588</v>
      </c>
      <c r="D1270">
        <v>3.875</v>
      </c>
      <c r="E1270" s="2">
        <v>47391</v>
      </c>
      <c r="F1270" s="1" t="s">
        <v>16</v>
      </c>
      <c r="G1270" s="1" t="s">
        <v>588</v>
      </c>
      <c r="H1270" s="1" t="s">
        <v>2</v>
      </c>
      <c r="I1270" s="2">
        <v>46177</v>
      </c>
      <c r="J1270" s="1" t="s">
        <v>224</v>
      </c>
      <c r="K1270" s="1" t="s">
        <v>4773</v>
      </c>
      <c r="L1270" s="2">
        <v>46177.918923611112</v>
      </c>
      <c r="M1270" s="2">
        <v>46177.921329212964</v>
      </c>
    </row>
    <row r="1271" spans="1:13" x14ac:dyDescent="0.35">
      <c r="A1271" s="1" t="s">
        <v>587</v>
      </c>
      <c r="B1271" s="1" t="s">
        <v>13</v>
      </c>
      <c r="C1271" s="1" t="s">
        <v>588</v>
      </c>
      <c r="D1271">
        <v>3.875</v>
      </c>
      <c r="E1271" s="2">
        <v>47391</v>
      </c>
      <c r="F1271" s="1" t="s">
        <v>16</v>
      </c>
      <c r="G1271" s="1" t="s">
        <v>588</v>
      </c>
      <c r="H1271" s="1" t="s">
        <v>2</v>
      </c>
      <c r="I1271" s="2">
        <v>46177</v>
      </c>
      <c r="J1271" s="1" t="s">
        <v>215</v>
      </c>
      <c r="K1271" s="1" t="s">
        <v>4816</v>
      </c>
      <c r="L1271" s="2">
        <v>46177.918923611112</v>
      </c>
      <c r="M1271" s="2">
        <v>46177.921329212964</v>
      </c>
    </row>
    <row r="1272" spans="1:13" x14ac:dyDescent="0.35">
      <c r="A1272" s="1" t="s">
        <v>587</v>
      </c>
      <c r="B1272" s="1" t="s">
        <v>13</v>
      </c>
      <c r="C1272" s="1" t="s">
        <v>588</v>
      </c>
      <c r="D1272">
        <v>3.875</v>
      </c>
      <c r="E1272" s="2">
        <v>47391</v>
      </c>
      <c r="F1272" s="1" t="s">
        <v>16</v>
      </c>
      <c r="G1272" s="1" t="s">
        <v>588</v>
      </c>
      <c r="H1272" s="1" t="s">
        <v>2</v>
      </c>
      <c r="I1272" s="2">
        <v>46177</v>
      </c>
      <c r="J1272" s="1" t="s">
        <v>18</v>
      </c>
      <c r="K1272" s="1" t="s">
        <v>2325</v>
      </c>
      <c r="L1272" s="2">
        <v>46177.92087962963</v>
      </c>
      <c r="M1272" s="2">
        <v>46177.921329212964</v>
      </c>
    </row>
    <row r="1273" spans="1:13" x14ac:dyDescent="0.35">
      <c r="A1273" s="1" t="s">
        <v>587</v>
      </c>
      <c r="B1273" s="1" t="s">
        <v>13</v>
      </c>
      <c r="C1273" s="1" t="s">
        <v>588</v>
      </c>
      <c r="D1273">
        <v>3.875</v>
      </c>
      <c r="E1273" s="2">
        <v>47391</v>
      </c>
      <c r="F1273" s="1" t="s">
        <v>16</v>
      </c>
      <c r="G1273" s="1" t="s">
        <v>588</v>
      </c>
      <c r="H1273" s="1" t="s">
        <v>2</v>
      </c>
      <c r="I1273" s="2">
        <v>46177</v>
      </c>
      <c r="J1273" s="1" t="s">
        <v>17</v>
      </c>
      <c r="K1273" s="1" t="s">
        <v>2391</v>
      </c>
      <c r="L1273" s="2">
        <v>46177.92087962963</v>
      </c>
      <c r="M1273" s="2">
        <v>46177.921329212964</v>
      </c>
    </row>
    <row r="1274" spans="1:13" x14ac:dyDescent="0.35">
      <c r="A1274" s="1" t="s">
        <v>659</v>
      </c>
      <c r="B1274" s="1" t="s">
        <v>13</v>
      </c>
      <c r="C1274" s="1" t="s">
        <v>660</v>
      </c>
      <c r="D1274">
        <v>4.125</v>
      </c>
      <c r="E1274" s="2">
        <v>46660</v>
      </c>
      <c r="F1274" s="1" t="s">
        <v>16</v>
      </c>
      <c r="G1274" s="1" t="s">
        <v>660</v>
      </c>
      <c r="H1274" s="1" t="s">
        <v>2</v>
      </c>
      <c r="I1274" s="2">
        <v>46177</v>
      </c>
      <c r="J1274" s="1" t="s">
        <v>215</v>
      </c>
      <c r="K1274" s="1" t="s">
        <v>4825</v>
      </c>
      <c r="L1274" s="2">
        <v>46177.918923611112</v>
      </c>
      <c r="M1274" s="2">
        <v>46177.921329212964</v>
      </c>
    </row>
    <row r="1275" spans="1:13" x14ac:dyDescent="0.35">
      <c r="A1275" s="1" t="s">
        <v>659</v>
      </c>
      <c r="B1275" s="1" t="s">
        <v>13</v>
      </c>
      <c r="C1275" s="1" t="s">
        <v>660</v>
      </c>
      <c r="D1275">
        <v>4.125</v>
      </c>
      <c r="E1275" s="2">
        <v>46660</v>
      </c>
      <c r="F1275" s="1" t="s">
        <v>16</v>
      </c>
      <c r="G1275" s="1" t="s">
        <v>660</v>
      </c>
      <c r="H1275" s="1" t="s">
        <v>2</v>
      </c>
      <c r="I1275" s="2">
        <v>46177</v>
      </c>
      <c r="J1275" s="1" t="s">
        <v>17</v>
      </c>
      <c r="K1275" s="1" t="s">
        <v>2411</v>
      </c>
      <c r="L1275" s="2">
        <v>46177.92087962963</v>
      </c>
      <c r="M1275" s="2">
        <v>46177.921329212964</v>
      </c>
    </row>
    <row r="1276" spans="1:13" x14ac:dyDescent="0.35">
      <c r="A1276" s="1" t="s">
        <v>659</v>
      </c>
      <c r="B1276" s="1" t="s">
        <v>13</v>
      </c>
      <c r="C1276" s="1" t="s">
        <v>660</v>
      </c>
      <c r="D1276">
        <v>4.125</v>
      </c>
      <c r="E1276" s="2">
        <v>46660</v>
      </c>
      <c r="F1276" s="1" t="s">
        <v>16</v>
      </c>
      <c r="G1276" s="1" t="s">
        <v>660</v>
      </c>
      <c r="H1276" s="1" t="s">
        <v>2</v>
      </c>
      <c r="I1276" s="2">
        <v>46177</v>
      </c>
      <c r="J1276" s="1" t="s">
        <v>18</v>
      </c>
      <c r="K1276" s="1" t="s">
        <v>2599</v>
      </c>
      <c r="L1276" s="2">
        <v>46177.92087962963</v>
      </c>
      <c r="M1276" s="2">
        <v>46177.921329212964</v>
      </c>
    </row>
    <row r="1277" spans="1:13" x14ac:dyDescent="0.35">
      <c r="A1277" s="1" t="s">
        <v>659</v>
      </c>
      <c r="B1277" s="1" t="s">
        <v>13</v>
      </c>
      <c r="C1277" s="1" t="s">
        <v>660</v>
      </c>
      <c r="D1277">
        <v>4.125</v>
      </c>
      <c r="E1277" s="2">
        <v>46660</v>
      </c>
      <c r="F1277" s="1" t="s">
        <v>16</v>
      </c>
      <c r="G1277" s="1" t="s">
        <v>660</v>
      </c>
      <c r="H1277" s="1" t="s">
        <v>2</v>
      </c>
      <c r="I1277" s="2">
        <v>46177</v>
      </c>
      <c r="J1277" s="1" t="s">
        <v>214</v>
      </c>
      <c r="K1277" s="1" t="s">
        <v>4826</v>
      </c>
      <c r="L1277" s="2">
        <v>46177.918923611112</v>
      </c>
      <c r="M1277" s="2">
        <v>46177.921329212964</v>
      </c>
    </row>
    <row r="1278" spans="1:13" x14ac:dyDescent="0.35">
      <c r="A1278" s="1" t="s">
        <v>659</v>
      </c>
      <c r="B1278" s="1" t="s">
        <v>13</v>
      </c>
      <c r="C1278" s="1" t="s">
        <v>660</v>
      </c>
      <c r="D1278">
        <v>4.125</v>
      </c>
      <c r="E1278" s="2">
        <v>46660</v>
      </c>
      <c r="F1278" s="1" t="s">
        <v>16</v>
      </c>
      <c r="G1278" s="1" t="s">
        <v>660</v>
      </c>
      <c r="H1278" s="1" t="s">
        <v>2</v>
      </c>
      <c r="I1278" s="2">
        <v>46177</v>
      </c>
      <c r="J1278" s="1" t="s">
        <v>67</v>
      </c>
      <c r="K1278" s="1" t="s">
        <v>4825</v>
      </c>
      <c r="L1278" s="2">
        <v>46177.918923611112</v>
      </c>
      <c r="M1278" s="2">
        <v>46177.921329212964</v>
      </c>
    </row>
    <row r="1279" spans="1:13" x14ac:dyDescent="0.35">
      <c r="A1279" s="1" t="s">
        <v>659</v>
      </c>
      <c r="B1279" s="1" t="s">
        <v>13</v>
      </c>
      <c r="C1279" s="1" t="s">
        <v>660</v>
      </c>
      <c r="D1279">
        <v>4.125</v>
      </c>
      <c r="E1279" s="2">
        <v>46660</v>
      </c>
      <c r="F1279" s="1" t="s">
        <v>16</v>
      </c>
      <c r="G1279" s="1" t="s">
        <v>660</v>
      </c>
      <c r="H1279" s="1" t="s">
        <v>2</v>
      </c>
      <c r="I1279" s="2">
        <v>46177</v>
      </c>
      <c r="J1279" s="1" t="s">
        <v>224</v>
      </c>
      <c r="K1279" s="1" t="s">
        <v>4826</v>
      </c>
      <c r="L1279" s="2">
        <v>46177.918923611112</v>
      </c>
      <c r="M1279" s="2">
        <v>46177.921329212964</v>
      </c>
    </row>
    <row r="1280" spans="1:13" x14ac:dyDescent="0.35">
      <c r="A1280" s="1" t="s">
        <v>589</v>
      </c>
      <c r="B1280" s="1" t="s">
        <v>13</v>
      </c>
      <c r="C1280" s="1" t="s">
        <v>590</v>
      </c>
      <c r="D1280">
        <v>1.625</v>
      </c>
      <c r="E1280" s="2">
        <v>46675</v>
      </c>
      <c r="F1280" s="1" t="s">
        <v>64</v>
      </c>
      <c r="G1280" s="1" t="s">
        <v>590</v>
      </c>
      <c r="H1280" s="1" t="s">
        <v>2</v>
      </c>
      <c r="I1280" s="2">
        <v>46177</v>
      </c>
      <c r="J1280" s="1" t="s">
        <v>17</v>
      </c>
      <c r="K1280" s="1" t="s">
        <v>2956</v>
      </c>
      <c r="L1280" s="2">
        <v>46177.92087962963</v>
      </c>
      <c r="M1280" s="2">
        <v>46177.921329212964</v>
      </c>
    </row>
    <row r="1281" spans="1:13" x14ac:dyDescent="0.35">
      <c r="A1281" s="1" t="s">
        <v>589</v>
      </c>
      <c r="B1281" s="1" t="s">
        <v>13</v>
      </c>
      <c r="C1281" s="1" t="s">
        <v>590</v>
      </c>
      <c r="D1281">
        <v>1.625</v>
      </c>
      <c r="E1281" s="2">
        <v>46675</v>
      </c>
      <c r="F1281" s="1" t="s">
        <v>64</v>
      </c>
      <c r="G1281" s="1" t="s">
        <v>590</v>
      </c>
      <c r="H1281" s="1" t="s">
        <v>2</v>
      </c>
      <c r="I1281" s="2">
        <v>46177</v>
      </c>
      <c r="J1281" s="1" t="s">
        <v>18</v>
      </c>
      <c r="K1281" s="1" t="s">
        <v>2691</v>
      </c>
      <c r="L1281" s="2">
        <v>46177.92087962963</v>
      </c>
      <c r="M1281" s="2">
        <v>46177.921329212964</v>
      </c>
    </row>
    <row r="1282" spans="1:13" x14ac:dyDescent="0.35">
      <c r="A1282" s="1" t="s">
        <v>591</v>
      </c>
      <c r="B1282" s="1" t="s">
        <v>13</v>
      </c>
      <c r="C1282" s="1" t="s">
        <v>592</v>
      </c>
      <c r="D1282">
        <v>4</v>
      </c>
      <c r="E1282" s="2">
        <v>47422</v>
      </c>
      <c r="F1282" s="1" t="s">
        <v>16</v>
      </c>
      <c r="G1282" s="1" t="s">
        <v>592</v>
      </c>
      <c r="H1282" s="1" t="s">
        <v>2</v>
      </c>
      <c r="I1282" s="2">
        <v>46177</v>
      </c>
      <c r="J1282" s="1" t="s">
        <v>215</v>
      </c>
      <c r="K1282" s="1" t="s">
        <v>4703</v>
      </c>
      <c r="L1282" s="2">
        <v>46177.918923611112</v>
      </c>
      <c r="M1282" s="2">
        <v>46177.921329212964</v>
      </c>
    </row>
    <row r="1283" spans="1:13" x14ac:dyDescent="0.35">
      <c r="A1283" s="1" t="s">
        <v>591</v>
      </c>
      <c r="B1283" s="1" t="s">
        <v>13</v>
      </c>
      <c r="C1283" s="1" t="s">
        <v>592</v>
      </c>
      <c r="D1283">
        <v>4</v>
      </c>
      <c r="E1283" s="2">
        <v>47422</v>
      </c>
      <c r="F1283" s="1" t="s">
        <v>16</v>
      </c>
      <c r="G1283" s="1" t="s">
        <v>592</v>
      </c>
      <c r="H1283" s="1" t="s">
        <v>2</v>
      </c>
      <c r="I1283" s="2">
        <v>46177</v>
      </c>
      <c r="J1283" s="1" t="s">
        <v>224</v>
      </c>
      <c r="K1283" s="1" t="s">
        <v>4702</v>
      </c>
      <c r="L1283" s="2">
        <v>46177.918923611112</v>
      </c>
      <c r="M1283" s="2">
        <v>46177.921329212964</v>
      </c>
    </row>
    <row r="1284" spans="1:13" x14ac:dyDescent="0.35">
      <c r="A1284" s="1" t="s">
        <v>591</v>
      </c>
      <c r="B1284" s="1" t="s">
        <v>13</v>
      </c>
      <c r="C1284" s="1" t="s">
        <v>592</v>
      </c>
      <c r="D1284">
        <v>4</v>
      </c>
      <c r="E1284" s="2">
        <v>47422</v>
      </c>
      <c r="F1284" s="1" t="s">
        <v>16</v>
      </c>
      <c r="G1284" s="1" t="s">
        <v>592</v>
      </c>
      <c r="H1284" s="1" t="s">
        <v>2</v>
      </c>
      <c r="I1284" s="2">
        <v>46177</v>
      </c>
      <c r="J1284" s="1" t="s">
        <v>214</v>
      </c>
      <c r="K1284" s="1" t="s">
        <v>4702</v>
      </c>
      <c r="L1284" s="2">
        <v>46177.918923611112</v>
      </c>
      <c r="M1284" s="2">
        <v>46177.921329212964</v>
      </c>
    </row>
    <row r="1285" spans="1:13" x14ac:dyDescent="0.35">
      <c r="A1285" s="1" t="s">
        <v>591</v>
      </c>
      <c r="B1285" s="1" t="s">
        <v>13</v>
      </c>
      <c r="C1285" s="1" t="s">
        <v>592</v>
      </c>
      <c r="D1285">
        <v>4</v>
      </c>
      <c r="E1285" s="2">
        <v>47422</v>
      </c>
      <c r="F1285" s="1" t="s">
        <v>16</v>
      </c>
      <c r="G1285" s="1" t="s">
        <v>592</v>
      </c>
      <c r="H1285" s="1" t="s">
        <v>2</v>
      </c>
      <c r="I1285" s="2">
        <v>46177</v>
      </c>
      <c r="J1285" s="1" t="s">
        <v>67</v>
      </c>
      <c r="K1285" s="1" t="s">
        <v>4703</v>
      </c>
      <c r="L1285" s="2">
        <v>46177.918923611112</v>
      </c>
      <c r="M1285" s="2">
        <v>46177.921329212964</v>
      </c>
    </row>
    <row r="1286" spans="1:13" x14ac:dyDescent="0.35">
      <c r="A1286" s="1" t="s">
        <v>591</v>
      </c>
      <c r="B1286" s="1" t="s">
        <v>13</v>
      </c>
      <c r="C1286" s="1" t="s">
        <v>592</v>
      </c>
      <c r="D1286">
        <v>4</v>
      </c>
      <c r="E1286" s="2">
        <v>47422</v>
      </c>
      <c r="F1286" s="1" t="s">
        <v>16</v>
      </c>
      <c r="G1286" s="1" t="s">
        <v>592</v>
      </c>
      <c r="H1286" s="1" t="s">
        <v>2</v>
      </c>
      <c r="I1286" s="2">
        <v>46177</v>
      </c>
      <c r="J1286" s="1" t="s">
        <v>17</v>
      </c>
      <c r="K1286" s="1" t="s">
        <v>2499</v>
      </c>
      <c r="L1286" s="2">
        <v>46177.92087962963</v>
      </c>
      <c r="M1286" s="2">
        <v>46177.921329212964</v>
      </c>
    </row>
    <row r="1287" spans="1:13" x14ac:dyDescent="0.35">
      <c r="A1287" s="1" t="s">
        <v>591</v>
      </c>
      <c r="B1287" s="1" t="s">
        <v>13</v>
      </c>
      <c r="C1287" s="1" t="s">
        <v>592</v>
      </c>
      <c r="D1287">
        <v>4</v>
      </c>
      <c r="E1287" s="2">
        <v>47422</v>
      </c>
      <c r="F1287" s="1" t="s">
        <v>16</v>
      </c>
      <c r="G1287" s="1" t="s">
        <v>592</v>
      </c>
      <c r="H1287" s="1" t="s">
        <v>2</v>
      </c>
      <c r="I1287" s="2">
        <v>46177</v>
      </c>
      <c r="J1287" s="1" t="s">
        <v>18</v>
      </c>
      <c r="K1287" s="1" t="s">
        <v>2490</v>
      </c>
      <c r="L1287" s="2">
        <v>46177.92087962963</v>
      </c>
      <c r="M1287" s="2">
        <v>46177.921329212964</v>
      </c>
    </row>
    <row r="1288" spans="1:13" x14ac:dyDescent="0.35">
      <c r="A1288" s="1" t="s">
        <v>674</v>
      </c>
      <c r="B1288" s="1" t="s">
        <v>13</v>
      </c>
      <c r="C1288" s="1" t="s">
        <v>675</v>
      </c>
      <c r="D1288">
        <v>4.125</v>
      </c>
      <c r="E1288" s="2">
        <v>46691</v>
      </c>
      <c r="F1288" s="1" t="s">
        <v>16</v>
      </c>
      <c r="G1288" s="1" t="s">
        <v>675</v>
      </c>
      <c r="H1288" s="1" t="s">
        <v>2</v>
      </c>
      <c r="I1288" s="2">
        <v>46177</v>
      </c>
      <c r="J1288" s="1" t="s">
        <v>67</v>
      </c>
      <c r="K1288" s="1" t="s">
        <v>4849</v>
      </c>
      <c r="L1288" s="2">
        <v>46177.918923611112</v>
      </c>
      <c r="M1288" s="2">
        <v>46177.921329212964</v>
      </c>
    </row>
    <row r="1289" spans="1:13" x14ac:dyDescent="0.35">
      <c r="A1289" s="1" t="s">
        <v>674</v>
      </c>
      <c r="B1289" s="1" t="s">
        <v>13</v>
      </c>
      <c r="C1289" s="1" t="s">
        <v>675</v>
      </c>
      <c r="D1289">
        <v>4.125</v>
      </c>
      <c r="E1289" s="2">
        <v>46691</v>
      </c>
      <c r="F1289" s="1" t="s">
        <v>16</v>
      </c>
      <c r="G1289" s="1" t="s">
        <v>675</v>
      </c>
      <c r="H1289" s="1" t="s">
        <v>2</v>
      </c>
      <c r="I1289" s="2">
        <v>46177</v>
      </c>
      <c r="J1289" s="1" t="s">
        <v>214</v>
      </c>
      <c r="K1289" s="1" t="s">
        <v>4848</v>
      </c>
      <c r="L1289" s="2">
        <v>46177.918923611112</v>
      </c>
      <c r="M1289" s="2">
        <v>46177.921329212964</v>
      </c>
    </row>
    <row r="1290" spans="1:13" x14ac:dyDescent="0.35">
      <c r="A1290" s="1" t="s">
        <v>674</v>
      </c>
      <c r="B1290" s="1" t="s">
        <v>13</v>
      </c>
      <c r="C1290" s="1" t="s">
        <v>675</v>
      </c>
      <c r="D1290">
        <v>4.125</v>
      </c>
      <c r="E1290" s="2">
        <v>46691</v>
      </c>
      <c r="F1290" s="1" t="s">
        <v>16</v>
      </c>
      <c r="G1290" s="1" t="s">
        <v>675</v>
      </c>
      <c r="H1290" s="1" t="s">
        <v>2</v>
      </c>
      <c r="I1290" s="2">
        <v>46177</v>
      </c>
      <c r="J1290" s="1" t="s">
        <v>224</v>
      </c>
      <c r="K1290" s="1" t="s">
        <v>4848</v>
      </c>
      <c r="L1290" s="2">
        <v>46177.918923611112</v>
      </c>
      <c r="M1290" s="2">
        <v>46177.921329212964</v>
      </c>
    </row>
    <row r="1291" spans="1:13" x14ac:dyDescent="0.35">
      <c r="A1291" s="1" t="s">
        <v>674</v>
      </c>
      <c r="B1291" s="1" t="s">
        <v>13</v>
      </c>
      <c r="C1291" s="1" t="s">
        <v>675</v>
      </c>
      <c r="D1291">
        <v>4.125</v>
      </c>
      <c r="E1291" s="2">
        <v>46691</v>
      </c>
      <c r="F1291" s="1" t="s">
        <v>16</v>
      </c>
      <c r="G1291" s="1" t="s">
        <v>675</v>
      </c>
      <c r="H1291" s="1" t="s">
        <v>2</v>
      </c>
      <c r="I1291" s="2">
        <v>46177</v>
      </c>
      <c r="J1291" s="1" t="s">
        <v>215</v>
      </c>
      <c r="K1291" s="1" t="s">
        <v>4849</v>
      </c>
      <c r="L1291" s="2">
        <v>46177.918923611112</v>
      </c>
      <c r="M1291" s="2">
        <v>46177.921329212964</v>
      </c>
    </row>
    <row r="1292" spans="1:13" x14ac:dyDescent="0.35">
      <c r="A1292" s="1" t="s">
        <v>674</v>
      </c>
      <c r="B1292" s="1" t="s">
        <v>13</v>
      </c>
      <c r="C1292" s="1" t="s">
        <v>675</v>
      </c>
      <c r="D1292">
        <v>4.125</v>
      </c>
      <c r="E1292" s="2">
        <v>46691</v>
      </c>
      <c r="F1292" s="1" t="s">
        <v>16</v>
      </c>
      <c r="G1292" s="1" t="s">
        <v>675</v>
      </c>
      <c r="H1292" s="1" t="s">
        <v>2</v>
      </c>
      <c r="I1292" s="2">
        <v>46177</v>
      </c>
      <c r="J1292" s="1" t="s">
        <v>17</v>
      </c>
      <c r="K1292" s="1" t="s">
        <v>2562</v>
      </c>
      <c r="L1292" s="2">
        <v>46177.92087962963</v>
      </c>
      <c r="M1292" s="2">
        <v>46177.921329212964</v>
      </c>
    </row>
    <row r="1293" spans="1:13" x14ac:dyDescent="0.35">
      <c r="A1293" s="1" t="s">
        <v>674</v>
      </c>
      <c r="B1293" s="1" t="s">
        <v>13</v>
      </c>
      <c r="C1293" s="1" t="s">
        <v>675</v>
      </c>
      <c r="D1293">
        <v>4.125</v>
      </c>
      <c r="E1293" s="2">
        <v>46691</v>
      </c>
      <c r="F1293" s="1" t="s">
        <v>16</v>
      </c>
      <c r="G1293" s="1" t="s">
        <v>675</v>
      </c>
      <c r="H1293" s="1" t="s">
        <v>2</v>
      </c>
      <c r="I1293" s="2">
        <v>46177</v>
      </c>
      <c r="J1293" s="1" t="s">
        <v>18</v>
      </c>
      <c r="K1293" s="1" t="s">
        <v>2561</v>
      </c>
      <c r="L1293" s="2">
        <v>46177.92087962963</v>
      </c>
      <c r="M1293" s="2">
        <v>46177.921329212964</v>
      </c>
    </row>
    <row r="1294" spans="1:13" x14ac:dyDescent="0.35">
      <c r="A1294" s="1" t="s">
        <v>593</v>
      </c>
      <c r="B1294" s="1" t="s">
        <v>13</v>
      </c>
      <c r="C1294" s="1" t="s">
        <v>594</v>
      </c>
      <c r="D1294">
        <v>4.125</v>
      </c>
      <c r="E1294" s="2">
        <v>48533</v>
      </c>
      <c r="F1294" s="1" t="s">
        <v>16</v>
      </c>
      <c r="G1294" s="1" t="s">
        <v>594</v>
      </c>
      <c r="H1294" s="1" t="s">
        <v>2</v>
      </c>
      <c r="I1294" s="2">
        <v>46177</v>
      </c>
      <c r="J1294" s="1" t="s">
        <v>224</v>
      </c>
      <c r="K1294" s="1" t="s">
        <v>4871</v>
      </c>
      <c r="L1294" s="2">
        <v>46177.918923611112</v>
      </c>
      <c r="M1294" s="2">
        <v>46177.921329212964</v>
      </c>
    </row>
    <row r="1295" spans="1:13" x14ac:dyDescent="0.35">
      <c r="A1295" s="1" t="s">
        <v>593</v>
      </c>
      <c r="B1295" s="1" t="s">
        <v>13</v>
      </c>
      <c r="C1295" s="1" t="s">
        <v>594</v>
      </c>
      <c r="D1295">
        <v>4.125</v>
      </c>
      <c r="E1295" s="2">
        <v>48533</v>
      </c>
      <c r="F1295" s="1" t="s">
        <v>16</v>
      </c>
      <c r="G1295" s="1" t="s">
        <v>594</v>
      </c>
      <c r="H1295" s="1" t="s">
        <v>2</v>
      </c>
      <c r="I1295" s="2">
        <v>46177</v>
      </c>
      <c r="J1295" s="1" t="s">
        <v>214</v>
      </c>
      <c r="K1295" s="1" t="s">
        <v>4871</v>
      </c>
      <c r="L1295" s="2">
        <v>46177.918923611112</v>
      </c>
      <c r="M1295" s="2">
        <v>46177.921329212964</v>
      </c>
    </row>
    <row r="1296" spans="1:13" x14ac:dyDescent="0.35">
      <c r="A1296" s="1" t="s">
        <v>593</v>
      </c>
      <c r="B1296" s="1" t="s">
        <v>13</v>
      </c>
      <c r="C1296" s="1" t="s">
        <v>594</v>
      </c>
      <c r="D1296">
        <v>4.125</v>
      </c>
      <c r="E1296" s="2">
        <v>48533</v>
      </c>
      <c r="F1296" s="1" t="s">
        <v>16</v>
      </c>
      <c r="G1296" s="1" t="s">
        <v>594</v>
      </c>
      <c r="H1296" s="1" t="s">
        <v>2</v>
      </c>
      <c r="I1296" s="2">
        <v>46177</v>
      </c>
      <c r="J1296" s="1" t="s">
        <v>18</v>
      </c>
      <c r="K1296" s="1" t="s">
        <v>2618</v>
      </c>
      <c r="L1296" s="2">
        <v>46177.92087962963</v>
      </c>
      <c r="M1296" s="2">
        <v>46177.921329212964</v>
      </c>
    </row>
    <row r="1297" spans="1:13" x14ac:dyDescent="0.35">
      <c r="A1297" s="1" t="s">
        <v>593</v>
      </c>
      <c r="B1297" s="1" t="s">
        <v>13</v>
      </c>
      <c r="C1297" s="1" t="s">
        <v>594</v>
      </c>
      <c r="D1297">
        <v>4.125</v>
      </c>
      <c r="E1297" s="2">
        <v>48533</v>
      </c>
      <c r="F1297" s="1" t="s">
        <v>16</v>
      </c>
      <c r="G1297" s="1" t="s">
        <v>594</v>
      </c>
      <c r="H1297" s="1" t="s">
        <v>2</v>
      </c>
      <c r="I1297" s="2">
        <v>46177</v>
      </c>
      <c r="J1297" s="1" t="s">
        <v>67</v>
      </c>
      <c r="K1297" s="1" t="s">
        <v>4704</v>
      </c>
      <c r="L1297" s="2">
        <v>46177.918923611112</v>
      </c>
      <c r="M1297" s="2">
        <v>46177.921329212964</v>
      </c>
    </row>
    <row r="1298" spans="1:13" x14ac:dyDescent="0.35">
      <c r="A1298" s="1" t="s">
        <v>593</v>
      </c>
      <c r="B1298" s="1" t="s">
        <v>13</v>
      </c>
      <c r="C1298" s="1" t="s">
        <v>594</v>
      </c>
      <c r="D1298">
        <v>4.125</v>
      </c>
      <c r="E1298" s="2">
        <v>48533</v>
      </c>
      <c r="F1298" s="1" t="s">
        <v>16</v>
      </c>
      <c r="G1298" s="1" t="s">
        <v>594</v>
      </c>
      <c r="H1298" s="1" t="s">
        <v>2</v>
      </c>
      <c r="I1298" s="2">
        <v>46177</v>
      </c>
      <c r="J1298" s="1" t="s">
        <v>215</v>
      </c>
      <c r="K1298" s="1" t="s">
        <v>4704</v>
      </c>
      <c r="L1298" s="2">
        <v>46177.918923611112</v>
      </c>
      <c r="M1298" s="2">
        <v>46177.921329212964</v>
      </c>
    </row>
    <row r="1299" spans="1:13" x14ac:dyDescent="0.35">
      <c r="A1299" s="1" t="s">
        <v>593</v>
      </c>
      <c r="B1299" s="1" t="s">
        <v>13</v>
      </c>
      <c r="C1299" s="1" t="s">
        <v>594</v>
      </c>
      <c r="D1299">
        <v>4.125</v>
      </c>
      <c r="E1299" s="2">
        <v>48533</v>
      </c>
      <c r="F1299" s="1" t="s">
        <v>16</v>
      </c>
      <c r="G1299" s="1" t="s">
        <v>594</v>
      </c>
      <c r="H1299" s="1" t="s">
        <v>2</v>
      </c>
      <c r="I1299" s="2">
        <v>46177</v>
      </c>
      <c r="J1299" s="1" t="s">
        <v>17</v>
      </c>
      <c r="K1299" s="1" t="s">
        <v>2364</v>
      </c>
      <c r="L1299" s="2">
        <v>46177.92087962963</v>
      </c>
      <c r="M1299" s="2">
        <v>46177.921329212964</v>
      </c>
    </row>
    <row r="1300" spans="1:13" x14ac:dyDescent="0.35">
      <c r="A1300" s="1" t="s">
        <v>595</v>
      </c>
      <c r="B1300" s="1" t="s">
        <v>13</v>
      </c>
      <c r="C1300" s="1" t="s">
        <v>596</v>
      </c>
      <c r="D1300">
        <v>3.875</v>
      </c>
      <c r="E1300" s="2">
        <v>47452</v>
      </c>
      <c r="F1300" s="1" t="s">
        <v>16</v>
      </c>
      <c r="G1300" s="1" t="s">
        <v>596</v>
      </c>
      <c r="H1300" s="1" t="s">
        <v>2</v>
      </c>
      <c r="I1300" s="2">
        <v>46177</v>
      </c>
      <c r="J1300" s="1" t="s">
        <v>67</v>
      </c>
      <c r="K1300" s="1" t="s">
        <v>4828</v>
      </c>
      <c r="L1300" s="2">
        <v>46177.918923611112</v>
      </c>
      <c r="M1300" s="2">
        <v>46177.921329212964</v>
      </c>
    </row>
    <row r="1301" spans="1:13" x14ac:dyDescent="0.35">
      <c r="A1301" s="1" t="s">
        <v>595</v>
      </c>
      <c r="B1301" s="1" t="s">
        <v>13</v>
      </c>
      <c r="C1301" s="1" t="s">
        <v>596</v>
      </c>
      <c r="D1301">
        <v>3.875</v>
      </c>
      <c r="E1301" s="2">
        <v>47452</v>
      </c>
      <c r="F1301" s="1" t="s">
        <v>16</v>
      </c>
      <c r="G1301" s="1" t="s">
        <v>596</v>
      </c>
      <c r="H1301" s="1" t="s">
        <v>2</v>
      </c>
      <c r="I1301" s="2">
        <v>46177</v>
      </c>
      <c r="J1301" s="1" t="s">
        <v>18</v>
      </c>
      <c r="K1301" s="1" t="s">
        <v>2392</v>
      </c>
      <c r="L1301" s="2">
        <v>46177.92087962963</v>
      </c>
      <c r="M1301" s="2">
        <v>46177.921329212964</v>
      </c>
    </row>
    <row r="1302" spans="1:13" x14ac:dyDescent="0.35">
      <c r="A1302" s="1" t="s">
        <v>595</v>
      </c>
      <c r="B1302" s="1" t="s">
        <v>13</v>
      </c>
      <c r="C1302" s="1" t="s">
        <v>596</v>
      </c>
      <c r="D1302">
        <v>3.875</v>
      </c>
      <c r="E1302" s="2">
        <v>47452</v>
      </c>
      <c r="F1302" s="1" t="s">
        <v>16</v>
      </c>
      <c r="G1302" s="1" t="s">
        <v>596</v>
      </c>
      <c r="H1302" s="1" t="s">
        <v>2</v>
      </c>
      <c r="I1302" s="2">
        <v>46177</v>
      </c>
      <c r="J1302" s="1" t="s">
        <v>17</v>
      </c>
      <c r="K1302" s="1" t="s">
        <v>2569</v>
      </c>
      <c r="L1302" s="2">
        <v>46177.92087962963</v>
      </c>
      <c r="M1302" s="2">
        <v>46177.921329212964</v>
      </c>
    </row>
    <row r="1303" spans="1:13" x14ac:dyDescent="0.35">
      <c r="A1303" s="1" t="s">
        <v>595</v>
      </c>
      <c r="B1303" s="1" t="s">
        <v>13</v>
      </c>
      <c r="C1303" s="1" t="s">
        <v>596</v>
      </c>
      <c r="D1303">
        <v>3.875</v>
      </c>
      <c r="E1303" s="2">
        <v>47452</v>
      </c>
      <c r="F1303" s="1" t="s">
        <v>16</v>
      </c>
      <c r="G1303" s="1" t="s">
        <v>596</v>
      </c>
      <c r="H1303" s="1" t="s">
        <v>2</v>
      </c>
      <c r="I1303" s="2">
        <v>46177</v>
      </c>
      <c r="J1303" s="1" t="s">
        <v>214</v>
      </c>
      <c r="K1303" s="1" t="s">
        <v>4827</v>
      </c>
      <c r="L1303" s="2">
        <v>46177.918923611112</v>
      </c>
      <c r="M1303" s="2">
        <v>46177.921329212964</v>
      </c>
    </row>
    <row r="1304" spans="1:13" x14ac:dyDescent="0.35">
      <c r="A1304" s="1" t="s">
        <v>595</v>
      </c>
      <c r="B1304" s="1" t="s">
        <v>13</v>
      </c>
      <c r="C1304" s="1" t="s">
        <v>596</v>
      </c>
      <c r="D1304">
        <v>3.875</v>
      </c>
      <c r="E1304" s="2">
        <v>47452</v>
      </c>
      <c r="F1304" s="1" t="s">
        <v>16</v>
      </c>
      <c r="G1304" s="1" t="s">
        <v>596</v>
      </c>
      <c r="H1304" s="1" t="s">
        <v>2</v>
      </c>
      <c r="I1304" s="2">
        <v>46177</v>
      </c>
      <c r="J1304" s="1" t="s">
        <v>224</v>
      </c>
      <c r="K1304" s="1" t="s">
        <v>4827</v>
      </c>
      <c r="L1304" s="2">
        <v>46177.918923611112</v>
      </c>
      <c r="M1304" s="2">
        <v>46177.921329212964</v>
      </c>
    </row>
    <row r="1305" spans="1:13" x14ac:dyDescent="0.35">
      <c r="A1305" s="1" t="s">
        <v>595</v>
      </c>
      <c r="B1305" s="1" t="s">
        <v>13</v>
      </c>
      <c r="C1305" s="1" t="s">
        <v>596</v>
      </c>
      <c r="D1305">
        <v>3.875</v>
      </c>
      <c r="E1305" s="2">
        <v>47452</v>
      </c>
      <c r="F1305" s="1" t="s">
        <v>16</v>
      </c>
      <c r="G1305" s="1" t="s">
        <v>596</v>
      </c>
      <c r="H1305" s="1" t="s">
        <v>2</v>
      </c>
      <c r="I1305" s="2">
        <v>46177</v>
      </c>
      <c r="J1305" s="1" t="s">
        <v>215</v>
      </c>
      <c r="K1305" s="1" t="s">
        <v>4828</v>
      </c>
      <c r="L1305" s="2">
        <v>46177.918923611112</v>
      </c>
      <c r="M1305" s="2">
        <v>46177.921329212964</v>
      </c>
    </row>
    <row r="1306" spans="1:13" x14ac:dyDescent="0.35">
      <c r="A1306" s="1" t="s">
        <v>676</v>
      </c>
      <c r="B1306" s="1" t="s">
        <v>13</v>
      </c>
      <c r="C1306" s="1" t="s">
        <v>677</v>
      </c>
      <c r="D1306">
        <v>3.875</v>
      </c>
      <c r="E1306" s="2">
        <v>46721</v>
      </c>
      <c r="F1306" s="1" t="s">
        <v>16</v>
      </c>
      <c r="G1306" s="1" t="s">
        <v>677</v>
      </c>
      <c r="H1306" s="1" t="s">
        <v>2</v>
      </c>
      <c r="I1306" s="2">
        <v>46177</v>
      </c>
      <c r="J1306" s="1" t="s">
        <v>17</v>
      </c>
      <c r="K1306" s="1" t="s">
        <v>4887</v>
      </c>
      <c r="L1306" s="2">
        <v>46177.92087962963</v>
      </c>
      <c r="M1306" s="2">
        <v>46177.921329212964</v>
      </c>
    </row>
    <row r="1307" spans="1:13" x14ac:dyDescent="0.35">
      <c r="A1307" s="1" t="s">
        <v>676</v>
      </c>
      <c r="B1307" s="1" t="s">
        <v>13</v>
      </c>
      <c r="C1307" s="1" t="s">
        <v>677</v>
      </c>
      <c r="D1307">
        <v>3.875</v>
      </c>
      <c r="E1307" s="2">
        <v>46721</v>
      </c>
      <c r="F1307" s="1" t="s">
        <v>16</v>
      </c>
      <c r="G1307" s="1" t="s">
        <v>677</v>
      </c>
      <c r="H1307" s="1" t="s">
        <v>2</v>
      </c>
      <c r="I1307" s="2">
        <v>46177</v>
      </c>
      <c r="J1307" s="1" t="s">
        <v>18</v>
      </c>
      <c r="K1307" s="1" t="s">
        <v>2601</v>
      </c>
      <c r="L1307" s="2">
        <v>46177.92087962963</v>
      </c>
      <c r="M1307" s="2">
        <v>46177.921329212964</v>
      </c>
    </row>
    <row r="1308" spans="1:13" x14ac:dyDescent="0.35">
      <c r="A1308" s="1" t="s">
        <v>676</v>
      </c>
      <c r="B1308" s="1" t="s">
        <v>13</v>
      </c>
      <c r="C1308" s="1" t="s">
        <v>677</v>
      </c>
      <c r="D1308">
        <v>3.875</v>
      </c>
      <c r="E1308" s="2">
        <v>46721</v>
      </c>
      <c r="F1308" s="1" t="s">
        <v>16</v>
      </c>
      <c r="G1308" s="1" t="s">
        <v>677</v>
      </c>
      <c r="H1308" s="1" t="s">
        <v>2</v>
      </c>
      <c r="I1308" s="2">
        <v>46177</v>
      </c>
      <c r="J1308" s="1" t="s">
        <v>214</v>
      </c>
      <c r="K1308" s="1" t="s">
        <v>4705</v>
      </c>
      <c r="L1308" s="2">
        <v>46177.918923611112</v>
      </c>
      <c r="M1308" s="2">
        <v>46177.921329212964</v>
      </c>
    </row>
    <row r="1309" spans="1:13" x14ac:dyDescent="0.35">
      <c r="A1309" s="1" t="s">
        <v>676</v>
      </c>
      <c r="B1309" s="1" t="s">
        <v>13</v>
      </c>
      <c r="C1309" s="1" t="s">
        <v>677</v>
      </c>
      <c r="D1309">
        <v>3.875</v>
      </c>
      <c r="E1309" s="2">
        <v>46721</v>
      </c>
      <c r="F1309" s="1" t="s">
        <v>16</v>
      </c>
      <c r="G1309" s="1" t="s">
        <v>677</v>
      </c>
      <c r="H1309" s="1" t="s">
        <v>2</v>
      </c>
      <c r="I1309" s="2">
        <v>46177</v>
      </c>
      <c r="J1309" s="1" t="s">
        <v>224</v>
      </c>
      <c r="K1309" s="1" t="s">
        <v>4705</v>
      </c>
      <c r="L1309" s="2">
        <v>46177.918923611112</v>
      </c>
      <c r="M1309" s="2">
        <v>46177.921329212964</v>
      </c>
    </row>
    <row r="1310" spans="1:13" x14ac:dyDescent="0.35">
      <c r="A1310" s="1" t="s">
        <v>676</v>
      </c>
      <c r="B1310" s="1" t="s">
        <v>13</v>
      </c>
      <c r="C1310" s="1" t="s">
        <v>677</v>
      </c>
      <c r="D1310">
        <v>3.875</v>
      </c>
      <c r="E1310" s="2">
        <v>46721</v>
      </c>
      <c r="F1310" s="1" t="s">
        <v>16</v>
      </c>
      <c r="G1310" s="1" t="s">
        <v>677</v>
      </c>
      <c r="H1310" s="1" t="s">
        <v>2</v>
      </c>
      <c r="I1310" s="2">
        <v>46177</v>
      </c>
      <c r="J1310" s="1" t="s">
        <v>67</v>
      </c>
      <c r="K1310" s="1" t="s">
        <v>4829</v>
      </c>
      <c r="L1310" s="2">
        <v>46177.918923611112</v>
      </c>
      <c r="M1310" s="2">
        <v>46177.921329212964</v>
      </c>
    </row>
    <row r="1311" spans="1:13" x14ac:dyDescent="0.35">
      <c r="A1311" s="1" t="s">
        <v>676</v>
      </c>
      <c r="B1311" s="1" t="s">
        <v>13</v>
      </c>
      <c r="C1311" s="1" t="s">
        <v>677</v>
      </c>
      <c r="D1311">
        <v>3.875</v>
      </c>
      <c r="E1311" s="2">
        <v>46721</v>
      </c>
      <c r="F1311" s="1" t="s">
        <v>16</v>
      </c>
      <c r="G1311" s="1" t="s">
        <v>677</v>
      </c>
      <c r="H1311" s="1" t="s">
        <v>2</v>
      </c>
      <c r="I1311" s="2">
        <v>46177</v>
      </c>
      <c r="J1311" s="1" t="s">
        <v>215</v>
      </c>
      <c r="K1311" s="1" t="s">
        <v>4829</v>
      </c>
      <c r="L1311" s="2">
        <v>46177.918923611112</v>
      </c>
      <c r="M1311" s="2">
        <v>46177.921329212964</v>
      </c>
    </row>
    <row r="1312" spans="1:13" x14ac:dyDescent="0.35">
      <c r="A1312" s="1" t="s">
        <v>597</v>
      </c>
      <c r="B1312" s="1" t="s">
        <v>13</v>
      </c>
      <c r="C1312" s="1" t="s">
        <v>598</v>
      </c>
      <c r="D1312">
        <v>3.875</v>
      </c>
      <c r="E1312" s="2">
        <v>47483</v>
      </c>
      <c r="F1312" s="1" t="s">
        <v>16</v>
      </c>
      <c r="G1312" s="1" t="s">
        <v>598</v>
      </c>
      <c r="H1312" s="1" t="s">
        <v>2</v>
      </c>
      <c r="I1312" s="2">
        <v>46177</v>
      </c>
      <c r="J1312" s="1" t="s">
        <v>214</v>
      </c>
      <c r="K1312" s="1" t="s">
        <v>4888</v>
      </c>
      <c r="L1312" s="2">
        <v>46177.918923611112</v>
      </c>
      <c r="M1312" s="2">
        <v>46177.921329212964</v>
      </c>
    </row>
    <row r="1313" spans="1:13" x14ac:dyDescent="0.35">
      <c r="A1313" s="1" t="s">
        <v>597</v>
      </c>
      <c r="B1313" s="1" t="s">
        <v>13</v>
      </c>
      <c r="C1313" s="1" t="s">
        <v>598</v>
      </c>
      <c r="D1313">
        <v>3.875</v>
      </c>
      <c r="E1313" s="2">
        <v>47483</v>
      </c>
      <c r="F1313" s="1" t="s">
        <v>16</v>
      </c>
      <c r="G1313" s="1" t="s">
        <v>598</v>
      </c>
      <c r="H1313" s="1" t="s">
        <v>2</v>
      </c>
      <c r="I1313" s="2">
        <v>46177</v>
      </c>
      <c r="J1313" s="1" t="s">
        <v>18</v>
      </c>
      <c r="K1313" s="1" t="s">
        <v>2446</v>
      </c>
      <c r="L1313" s="2">
        <v>46177.92087962963</v>
      </c>
      <c r="M1313" s="2">
        <v>46177.921329212964</v>
      </c>
    </row>
    <row r="1314" spans="1:13" x14ac:dyDescent="0.35">
      <c r="A1314" s="1" t="s">
        <v>597</v>
      </c>
      <c r="B1314" s="1" t="s">
        <v>13</v>
      </c>
      <c r="C1314" s="1" t="s">
        <v>598</v>
      </c>
      <c r="D1314">
        <v>3.875</v>
      </c>
      <c r="E1314" s="2">
        <v>47483</v>
      </c>
      <c r="F1314" s="1" t="s">
        <v>16</v>
      </c>
      <c r="G1314" s="1" t="s">
        <v>598</v>
      </c>
      <c r="H1314" s="1" t="s">
        <v>2</v>
      </c>
      <c r="I1314" s="2">
        <v>46177</v>
      </c>
      <c r="J1314" s="1" t="s">
        <v>224</v>
      </c>
      <c r="K1314" s="1" t="s">
        <v>4888</v>
      </c>
      <c r="L1314" s="2">
        <v>46177.918923611112</v>
      </c>
      <c r="M1314" s="2">
        <v>46177.921329212964</v>
      </c>
    </row>
    <row r="1315" spans="1:13" x14ac:dyDescent="0.35">
      <c r="A1315" s="1" t="s">
        <v>597</v>
      </c>
      <c r="B1315" s="1" t="s">
        <v>13</v>
      </c>
      <c r="C1315" s="1" t="s">
        <v>598</v>
      </c>
      <c r="D1315">
        <v>3.875</v>
      </c>
      <c r="E1315" s="2">
        <v>47483</v>
      </c>
      <c r="F1315" s="1" t="s">
        <v>16</v>
      </c>
      <c r="G1315" s="1" t="s">
        <v>598</v>
      </c>
      <c r="H1315" s="1" t="s">
        <v>2</v>
      </c>
      <c r="I1315" s="2">
        <v>46177</v>
      </c>
      <c r="J1315" s="1" t="s">
        <v>17</v>
      </c>
      <c r="K1315" s="1" t="s">
        <v>2443</v>
      </c>
      <c r="L1315" s="2">
        <v>46177.92087962963</v>
      </c>
      <c r="M1315" s="2">
        <v>46177.921329212964</v>
      </c>
    </row>
    <row r="1316" spans="1:13" x14ac:dyDescent="0.35">
      <c r="A1316" s="1" t="s">
        <v>597</v>
      </c>
      <c r="B1316" s="1" t="s">
        <v>13</v>
      </c>
      <c r="C1316" s="1" t="s">
        <v>598</v>
      </c>
      <c r="D1316">
        <v>3.875</v>
      </c>
      <c r="E1316" s="2">
        <v>47483</v>
      </c>
      <c r="F1316" s="1" t="s">
        <v>16</v>
      </c>
      <c r="G1316" s="1" t="s">
        <v>598</v>
      </c>
      <c r="H1316" s="1" t="s">
        <v>2</v>
      </c>
      <c r="I1316" s="2">
        <v>46177</v>
      </c>
      <c r="J1316" s="1" t="s">
        <v>67</v>
      </c>
      <c r="K1316" s="1" t="s">
        <v>5308</v>
      </c>
      <c r="L1316" s="2">
        <v>46177.918923611112</v>
      </c>
      <c r="M1316" s="2">
        <v>46177.921329212964</v>
      </c>
    </row>
    <row r="1317" spans="1:13" x14ac:dyDescent="0.35">
      <c r="A1317" s="1" t="s">
        <v>597</v>
      </c>
      <c r="B1317" s="1" t="s">
        <v>13</v>
      </c>
      <c r="C1317" s="1" t="s">
        <v>598</v>
      </c>
      <c r="D1317">
        <v>3.875</v>
      </c>
      <c r="E1317" s="2">
        <v>47483</v>
      </c>
      <c r="F1317" s="1" t="s">
        <v>16</v>
      </c>
      <c r="G1317" s="1" t="s">
        <v>598</v>
      </c>
      <c r="H1317" s="1" t="s">
        <v>2</v>
      </c>
      <c r="I1317" s="2">
        <v>46177</v>
      </c>
      <c r="J1317" s="1" t="s">
        <v>215</v>
      </c>
      <c r="K1317" s="1" t="s">
        <v>5308</v>
      </c>
      <c r="L1317" s="2">
        <v>46177.918923611112</v>
      </c>
      <c r="M1317" s="2">
        <v>46177.921329212964</v>
      </c>
    </row>
    <row r="1318" spans="1:13" x14ac:dyDescent="0.35">
      <c r="A1318" s="1" t="s">
        <v>599</v>
      </c>
      <c r="B1318" s="1" t="s">
        <v>13</v>
      </c>
      <c r="C1318" s="1" t="s">
        <v>600</v>
      </c>
      <c r="D1318">
        <v>3.875</v>
      </c>
      <c r="E1318" s="2">
        <v>46752</v>
      </c>
      <c r="F1318" s="1" t="s">
        <v>16</v>
      </c>
      <c r="G1318" s="1" t="s">
        <v>600</v>
      </c>
      <c r="H1318" s="1" t="s">
        <v>2</v>
      </c>
      <c r="I1318" s="2">
        <v>46177</v>
      </c>
      <c r="J1318" s="1" t="s">
        <v>67</v>
      </c>
      <c r="K1318" s="1" t="s">
        <v>4872</v>
      </c>
      <c r="L1318" s="2">
        <v>46177.918923611112</v>
      </c>
      <c r="M1318" s="2">
        <v>46177.921329212964</v>
      </c>
    </row>
    <row r="1319" spans="1:13" x14ac:dyDescent="0.35">
      <c r="A1319" s="1" t="s">
        <v>599</v>
      </c>
      <c r="B1319" s="1" t="s">
        <v>13</v>
      </c>
      <c r="C1319" s="1" t="s">
        <v>600</v>
      </c>
      <c r="D1319">
        <v>3.875</v>
      </c>
      <c r="E1319" s="2">
        <v>46752</v>
      </c>
      <c r="F1319" s="1" t="s">
        <v>16</v>
      </c>
      <c r="G1319" s="1" t="s">
        <v>600</v>
      </c>
      <c r="H1319" s="1" t="s">
        <v>2</v>
      </c>
      <c r="I1319" s="2">
        <v>46177</v>
      </c>
      <c r="J1319" s="1" t="s">
        <v>215</v>
      </c>
      <c r="K1319" s="1" t="s">
        <v>4872</v>
      </c>
      <c r="L1319" s="2">
        <v>46177.918923611112</v>
      </c>
      <c r="M1319" s="2">
        <v>46177.921329212964</v>
      </c>
    </row>
    <row r="1320" spans="1:13" x14ac:dyDescent="0.35">
      <c r="A1320" s="1" t="s">
        <v>599</v>
      </c>
      <c r="B1320" s="1" t="s">
        <v>13</v>
      </c>
      <c r="C1320" s="1" t="s">
        <v>600</v>
      </c>
      <c r="D1320">
        <v>3.875</v>
      </c>
      <c r="E1320" s="2">
        <v>46752</v>
      </c>
      <c r="F1320" s="1" t="s">
        <v>16</v>
      </c>
      <c r="G1320" s="1" t="s">
        <v>600</v>
      </c>
      <c r="H1320" s="1" t="s">
        <v>2</v>
      </c>
      <c r="I1320" s="2">
        <v>46177</v>
      </c>
      <c r="J1320" s="1" t="s">
        <v>18</v>
      </c>
      <c r="K1320" s="1" t="s">
        <v>2314</v>
      </c>
      <c r="L1320" s="2">
        <v>46177.92087962963</v>
      </c>
      <c r="M1320" s="2">
        <v>46177.921329212964</v>
      </c>
    </row>
    <row r="1321" spans="1:13" x14ac:dyDescent="0.35">
      <c r="A1321" s="1" t="s">
        <v>599</v>
      </c>
      <c r="B1321" s="1" t="s">
        <v>13</v>
      </c>
      <c r="C1321" s="1" t="s">
        <v>600</v>
      </c>
      <c r="D1321">
        <v>3.875</v>
      </c>
      <c r="E1321" s="2">
        <v>46752</v>
      </c>
      <c r="F1321" s="1" t="s">
        <v>16</v>
      </c>
      <c r="G1321" s="1" t="s">
        <v>600</v>
      </c>
      <c r="H1321" s="1" t="s">
        <v>2</v>
      </c>
      <c r="I1321" s="2">
        <v>46177</v>
      </c>
      <c r="J1321" s="1" t="s">
        <v>17</v>
      </c>
      <c r="K1321" s="1" t="s">
        <v>2517</v>
      </c>
      <c r="L1321" s="2">
        <v>46177.92087962963</v>
      </c>
      <c r="M1321" s="2">
        <v>46177.921329212964</v>
      </c>
    </row>
    <row r="1322" spans="1:13" x14ac:dyDescent="0.35">
      <c r="A1322" s="1" t="s">
        <v>599</v>
      </c>
      <c r="B1322" s="1" t="s">
        <v>13</v>
      </c>
      <c r="C1322" s="1" t="s">
        <v>600</v>
      </c>
      <c r="D1322">
        <v>3.875</v>
      </c>
      <c r="E1322" s="2">
        <v>46752</v>
      </c>
      <c r="F1322" s="1" t="s">
        <v>16</v>
      </c>
      <c r="G1322" s="1" t="s">
        <v>600</v>
      </c>
      <c r="H1322" s="1" t="s">
        <v>2</v>
      </c>
      <c r="I1322" s="2">
        <v>46177</v>
      </c>
      <c r="J1322" s="1" t="s">
        <v>224</v>
      </c>
      <c r="K1322" s="1" t="s">
        <v>4830</v>
      </c>
      <c r="L1322" s="2">
        <v>46177.918923611112</v>
      </c>
      <c r="M1322" s="2">
        <v>46177.921329212964</v>
      </c>
    </row>
    <row r="1323" spans="1:13" x14ac:dyDescent="0.35">
      <c r="A1323" s="1" t="s">
        <v>599</v>
      </c>
      <c r="B1323" s="1" t="s">
        <v>13</v>
      </c>
      <c r="C1323" s="1" t="s">
        <v>600</v>
      </c>
      <c r="D1323">
        <v>3.875</v>
      </c>
      <c r="E1323" s="2">
        <v>46752</v>
      </c>
      <c r="F1323" s="1" t="s">
        <v>16</v>
      </c>
      <c r="G1323" s="1" t="s">
        <v>600</v>
      </c>
      <c r="H1323" s="1" t="s">
        <v>2</v>
      </c>
      <c r="I1323" s="2">
        <v>46177</v>
      </c>
      <c r="J1323" s="1" t="s">
        <v>214</v>
      </c>
      <c r="K1323" s="1" t="s">
        <v>4830</v>
      </c>
      <c r="L1323" s="2">
        <v>46177.918923611112</v>
      </c>
      <c r="M1323" s="2">
        <v>46177.921329212964</v>
      </c>
    </row>
    <row r="1324" spans="1:13" x14ac:dyDescent="0.35">
      <c r="A1324" s="1" t="s">
        <v>661</v>
      </c>
      <c r="B1324" s="1" t="s">
        <v>13</v>
      </c>
      <c r="C1324" s="1" t="s">
        <v>662</v>
      </c>
      <c r="D1324">
        <v>3.5</v>
      </c>
      <c r="E1324" s="2">
        <v>46783</v>
      </c>
      <c r="F1324" s="1" t="s">
        <v>16</v>
      </c>
      <c r="G1324" s="1" t="s">
        <v>662</v>
      </c>
      <c r="H1324" s="1" t="s">
        <v>2</v>
      </c>
      <c r="I1324" s="2">
        <v>46177</v>
      </c>
      <c r="J1324" s="1" t="s">
        <v>17</v>
      </c>
      <c r="K1324" s="1" t="s">
        <v>2392</v>
      </c>
      <c r="L1324" s="2">
        <v>46177.92087962963</v>
      </c>
      <c r="M1324" s="2">
        <v>46177.921329212964</v>
      </c>
    </row>
    <row r="1325" spans="1:13" x14ac:dyDescent="0.35">
      <c r="A1325" s="1" t="s">
        <v>661</v>
      </c>
      <c r="B1325" s="1" t="s">
        <v>13</v>
      </c>
      <c r="C1325" s="1" t="s">
        <v>662</v>
      </c>
      <c r="D1325">
        <v>3.5</v>
      </c>
      <c r="E1325" s="2">
        <v>46783</v>
      </c>
      <c r="F1325" s="1" t="s">
        <v>16</v>
      </c>
      <c r="G1325" s="1" t="s">
        <v>662</v>
      </c>
      <c r="H1325" s="1" t="s">
        <v>2</v>
      </c>
      <c r="I1325" s="2">
        <v>46177</v>
      </c>
      <c r="J1325" s="1" t="s">
        <v>214</v>
      </c>
      <c r="K1325" s="1" t="s">
        <v>4832</v>
      </c>
      <c r="L1325" s="2">
        <v>46177.918923611112</v>
      </c>
      <c r="M1325" s="2">
        <v>46177.921329212964</v>
      </c>
    </row>
    <row r="1326" spans="1:13" x14ac:dyDescent="0.35">
      <c r="A1326" s="1" t="s">
        <v>661</v>
      </c>
      <c r="B1326" s="1" t="s">
        <v>13</v>
      </c>
      <c r="C1326" s="1" t="s">
        <v>662</v>
      </c>
      <c r="D1326">
        <v>3.5</v>
      </c>
      <c r="E1326" s="2">
        <v>46783</v>
      </c>
      <c r="F1326" s="1" t="s">
        <v>16</v>
      </c>
      <c r="G1326" s="1" t="s">
        <v>662</v>
      </c>
      <c r="H1326" s="1" t="s">
        <v>2</v>
      </c>
      <c r="I1326" s="2">
        <v>46177</v>
      </c>
      <c r="J1326" s="1" t="s">
        <v>18</v>
      </c>
      <c r="K1326" s="1" t="s">
        <v>2622</v>
      </c>
      <c r="L1326" s="2">
        <v>46177.92087962963</v>
      </c>
      <c r="M1326" s="2">
        <v>46177.921329212964</v>
      </c>
    </row>
    <row r="1327" spans="1:13" x14ac:dyDescent="0.35">
      <c r="A1327" s="1" t="s">
        <v>661</v>
      </c>
      <c r="B1327" s="1" t="s">
        <v>13</v>
      </c>
      <c r="C1327" s="1" t="s">
        <v>662</v>
      </c>
      <c r="D1327">
        <v>3.5</v>
      </c>
      <c r="E1327" s="2">
        <v>46783</v>
      </c>
      <c r="F1327" s="1" t="s">
        <v>16</v>
      </c>
      <c r="G1327" s="1" t="s">
        <v>662</v>
      </c>
      <c r="H1327" s="1" t="s">
        <v>2</v>
      </c>
      <c r="I1327" s="2">
        <v>46177</v>
      </c>
      <c r="J1327" s="1" t="s">
        <v>67</v>
      </c>
      <c r="K1327" s="1" t="s">
        <v>4831</v>
      </c>
      <c r="L1327" s="2">
        <v>46177.918923611112</v>
      </c>
      <c r="M1327" s="2">
        <v>46177.921329212964</v>
      </c>
    </row>
    <row r="1328" spans="1:13" x14ac:dyDescent="0.35">
      <c r="A1328" s="1" t="s">
        <v>661</v>
      </c>
      <c r="B1328" s="1" t="s">
        <v>13</v>
      </c>
      <c r="C1328" s="1" t="s">
        <v>662</v>
      </c>
      <c r="D1328">
        <v>3.5</v>
      </c>
      <c r="E1328" s="2">
        <v>46783</v>
      </c>
      <c r="F1328" s="1" t="s">
        <v>16</v>
      </c>
      <c r="G1328" s="1" t="s">
        <v>662</v>
      </c>
      <c r="H1328" s="1" t="s">
        <v>2</v>
      </c>
      <c r="I1328" s="2">
        <v>46177</v>
      </c>
      <c r="J1328" s="1" t="s">
        <v>224</v>
      </c>
      <c r="K1328" s="1" t="s">
        <v>4832</v>
      </c>
      <c r="L1328" s="2">
        <v>46177.918923611112</v>
      </c>
      <c r="M1328" s="2">
        <v>46177.921329212964</v>
      </c>
    </row>
    <row r="1329" spans="1:13" x14ac:dyDescent="0.35">
      <c r="A1329" s="1" t="s">
        <v>661</v>
      </c>
      <c r="B1329" s="1" t="s">
        <v>13</v>
      </c>
      <c r="C1329" s="1" t="s">
        <v>662</v>
      </c>
      <c r="D1329">
        <v>3.5</v>
      </c>
      <c r="E1329" s="2">
        <v>46783</v>
      </c>
      <c r="F1329" s="1" t="s">
        <v>16</v>
      </c>
      <c r="G1329" s="1" t="s">
        <v>662</v>
      </c>
      <c r="H1329" s="1" t="s">
        <v>2</v>
      </c>
      <c r="I1329" s="2">
        <v>46177</v>
      </c>
      <c r="J1329" s="1" t="s">
        <v>215</v>
      </c>
      <c r="K1329" s="1" t="s">
        <v>4831</v>
      </c>
      <c r="L1329" s="2">
        <v>46177.918923611112</v>
      </c>
      <c r="M1329" s="2">
        <v>46177.921329212964</v>
      </c>
    </row>
    <row r="1330" spans="1:13" x14ac:dyDescent="0.35">
      <c r="A1330" s="1" t="s">
        <v>601</v>
      </c>
      <c r="B1330" s="1" t="s">
        <v>13</v>
      </c>
      <c r="C1330" s="1" t="s">
        <v>602</v>
      </c>
      <c r="D1330">
        <v>3.5</v>
      </c>
      <c r="E1330" s="2">
        <v>47514</v>
      </c>
      <c r="F1330" s="1" t="s">
        <v>16</v>
      </c>
      <c r="G1330" s="1" t="s">
        <v>602</v>
      </c>
      <c r="H1330" s="1" t="s">
        <v>2</v>
      </c>
      <c r="I1330" s="2">
        <v>46177</v>
      </c>
      <c r="J1330" s="1" t="s">
        <v>17</v>
      </c>
      <c r="K1330" s="1" t="s">
        <v>2450</v>
      </c>
      <c r="L1330" s="2">
        <v>46177.92087962963</v>
      </c>
      <c r="M1330" s="2">
        <v>46177.921329212964</v>
      </c>
    </row>
    <row r="1331" spans="1:13" x14ac:dyDescent="0.35">
      <c r="A1331" s="1" t="s">
        <v>601</v>
      </c>
      <c r="B1331" s="1" t="s">
        <v>13</v>
      </c>
      <c r="C1331" s="1" t="s">
        <v>602</v>
      </c>
      <c r="D1331">
        <v>3.5</v>
      </c>
      <c r="E1331" s="2">
        <v>47514</v>
      </c>
      <c r="F1331" s="1" t="s">
        <v>16</v>
      </c>
      <c r="G1331" s="1" t="s">
        <v>602</v>
      </c>
      <c r="H1331" s="1" t="s">
        <v>2</v>
      </c>
      <c r="I1331" s="2">
        <v>46177</v>
      </c>
      <c r="J1331" s="1" t="s">
        <v>214</v>
      </c>
      <c r="K1331" s="1" t="s">
        <v>4889</v>
      </c>
      <c r="L1331" s="2">
        <v>46177.918923611112</v>
      </c>
      <c r="M1331" s="2">
        <v>46177.921329212964</v>
      </c>
    </row>
    <row r="1332" spans="1:13" x14ac:dyDescent="0.35">
      <c r="A1332" s="1" t="s">
        <v>601</v>
      </c>
      <c r="B1332" s="1" t="s">
        <v>13</v>
      </c>
      <c r="C1332" s="1" t="s">
        <v>602</v>
      </c>
      <c r="D1332">
        <v>3.5</v>
      </c>
      <c r="E1332" s="2">
        <v>47514</v>
      </c>
      <c r="F1332" s="1" t="s">
        <v>16</v>
      </c>
      <c r="G1332" s="1" t="s">
        <v>602</v>
      </c>
      <c r="H1332" s="1" t="s">
        <v>2</v>
      </c>
      <c r="I1332" s="2">
        <v>46177</v>
      </c>
      <c r="J1332" s="1" t="s">
        <v>215</v>
      </c>
      <c r="K1332" s="1" t="s">
        <v>4706</v>
      </c>
      <c r="L1332" s="2">
        <v>46177.918923611112</v>
      </c>
      <c r="M1332" s="2">
        <v>46177.921329212964</v>
      </c>
    </row>
    <row r="1333" spans="1:13" x14ac:dyDescent="0.35">
      <c r="A1333" s="1" t="s">
        <v>601</v>
      </c>
      <c r="B1333" s="1" t="s">
        <v>13</v>
      </c>
      <c r="C1333" s="1" t="s">
        <v>602</v>
      </c>
      <c r="D1333">
        <v>3.5</v>
      </c>
      <c r="E1333" s="2">
        <v>47514</v>
      </c>
      <c r="F1333" s="1" t="s">
        <v>16</v>
      </c>
      <c r="G1333" s="1" t="s">
        <v>602</v>
      </c>
      <c r="H1333" s="1" t="s">
        <v>2</v>
      </c>
      <c r="I1333" s="2">
        <v>46177</v>
      </c>
      <c r="J1333" s="1" t="s">
        <v>67</v>
      </c>
      <c r="K1333" s="1" t="s">
        <v>4706</v>
      </c>
      <c r="L1333" s="2">
        <v>46177.918923611112</v>
      </c>
      <c r="M1333" s="2">
        <v>46177.921329212964</v>
      </c>
    </row>
    <row r="1334" spans="1:13" x14ac:dyDescent="0.35">
      <c r="A1334" s="1" t="s">
        <v>601</v>
      </c>
      <c r="B1334" s="1" t="s">
        <v>13</v>
      </c>
      <c r="C1334" s="1" t="s">
        <v>602</v>
      </c>
      <c r="D1334">
        <v>3.5</v>
      </c>
      <c r="E1334" s="2">
        <v>47514</v>
      </c>
      <c r="F1334" s="1" t="s">
        <v>16</v>
      </c>
      <c r="G1334" s="1" t="s">
        <v>602</v>
      </c>
      <c r="H1334" s="1" t="s">
        <v>2</v>
      </c>
      <c r="I1334" s="2">
        <v>46177</v>
      </c>
      <c r="J1334" s="1" t="s">
        <v>18</v>
      </c>
      <c r="K1334" s="1" t="s">
        <v>2507</v>
      </c>
      <c r="L1334" s="2">
        <v>46177.92087962963</v>
      </c>
      <c r="M1334" s="2">
        <v>46177.921329212964</v>
      </c>
    </row>
    <row r="1335" spans="1:13" x14ac:dyDescent="0.35">
      <c r="A1335" s="1" t="s">
        <v>601</v>
      </c>
      <c r="B1335" s="1" t="s">
        <v>13</v>
      </c>
      <c r="C1335" s="1" t="s">
        <v>602</v>
      </c>
      <c r="D1335">
        <v>3.5</v>
      </c>
      <c r="E1335" s="2">
        <v>47514</v>
      </c>
      <c r="F1335" s="1" t="s">
        <v>16</v>
      </c>
      <c r="G1335" s="1" t="s">
        <v>602</v>
      </c>
      <c r="H1335" s="1" t="s">
        <v>2</v>
      </c>
      <c r="I1335" s="2">
        <v>46177</v>
      </c>
      <c r="J1335" s="1" t="s">
        <v>224</v>
      </c>
      <c r="K1335" s="1" t="s">
        <v>4889</v>
      </c>
      <c r="L1335" s="2">
        <v>46177.918923611112</v>
      </c>
      <c r="M1335" s="2">
        <v>46177.921329212964</v>
      </c>
    </row>
    <row r="1336" spans="1:13" x14ac:dyDescent="0.35">
      <c r="A1336" s="1" t="s">
        <v>603</v>
      </c>
      <c r="B1336" s="1" t="s">
        <v>13</v>
      </c>
      <c r="C1336" s="1" t="s">
        <v>604</v>
      </c>
      <c r="D1336">
        <v>1.125</v>
      </c>
      <c r="E1336" s="2">
        <v>48594</v>
      </c>
      <c r="F1336" s="1" t="s">
        <v>64</v>
      </c>
      <c r="G1336" s="1" t="s">
        <v>604</v>
      </c>
      <c r="H1336" s="1" t="s">
        <v>2</v>
      </c>
      <c r="I1336" s="2">
        <v>46177</v>
      </c>
      <c r="J1336" s="1" t="s">
        <v>224</v>
      </c>
      <c r="K1336" s="1" t="s">
        <v>4833</v>
      </c>
      <c r="L1336" s="2">
        <v>46177.918923611112</v>
      </c>
      <c r="M1336" s="2">
        <v>46177.921329212964</v>
      </c>
    </row>
    <row r="1337" spans="1:13" x14ac:dyDescent="0.35">
      <c r="A1337" s="1" t="s">
        <v>603</v>
      </c>
      <c r="B1337" s="1" t="s">
        <v>13</v>
      </c>
      <c r="C1337" s="1" t="s">
        <v>604</v>
      </c>
      <c r="D1337">
        <v>1.125</v>
      </c>
      <c r="E1337" s="2">
        <v>48594</v>
      </c>
      <c r="F1337" s="1" t="s">
        <v>64</v>
      </c>
      <c r="G1337" s="1" t="s">
        <v>604</v>
      </c>
      <c r="H1337" s="1" t="s">
        <v>2</v>
      </c>
      <c r="I1337" s="2">
        <v>46177</v>
      </c>
      <c r="J1337" s="1" t="s">
        <v>67</v>
      </c>
      <c r="K1337" s="1" t="s">
        <v>4873</v>
      </c>
      <c r="L1337" s="2">
        <v>46177.918923611112</v>
      </c>
      <c r="M1337" s="2">
        <v>46177.921329212964</v>
      </c>
    </row>
    <row r="1338" spans="1:13" x14ac:dyDescent="0.35">
      <c r="A1338" s="1" t="s">
        <v>603</v>
      </c>
      <c r="B1338" s="1" t="s">
        <v>13</v>
      </c>
      <c r="C1338" s="1" t="s">
        <v>604</v>
      </c>
      <c r="D1338">
        <v>1.125</v>
      </c>
      <c r="E1338" s="2">
        <v>48594</v>
      </c>
      <c r="F1338" s="1" t="s">
        <v>64</v>
      </c>
      <c r="G1338" s="1" t="s">
        <v>604</v>
      </c>
      <c r="H1338" s="1" t="s">
        <v>2</v>
      </c>
      <c r="I1338" s="2">
        <v>46177</v>
      </c>
      <c r="J1338" s="1" t="s">
        <v>18</v>
      </c>
      <c r="K1338" s="1" t="s">
        <v>5037</v>
      </c>
      <c r="L1338" s="2">
        <v>46177.92087962963</v>
      </c>
      <c r="M1338" s="2">
        <v>46177.921329212964</v>
      </c>
    </row>
    <row r="1339" spans="1:13" x14ac:dyDescent="0.35">
      <c r="A1339" s="1" t="s">
        <v>603</v>
      </c>
      <c r="B1339" s="1" t="s">
        <v>13</v>
      </c>
      <c r="C1339" s="1" t="s">
        <v>604</v>
      </c>
      <c r="D1339">
        <v>1.125</v>
      </c>
      <c r="E1339" s="2">
        <v>48594</v>
      </c>
      <c r="F1339" s="1" t="s">
        <v>64</v>
      </c>
      <c r="G1339" s="1" t="s">
        <v>604</v>
      </c>
      <c r="H1339" s="1" t="s">
        <v>2</v>
      </c>
      <c r="I1339" s="2">
        <v>46177</v>
      </c>
      <c r="J1339" s="1" t="s">
        <v>214</v>
      </c>
      <c r="K1339" s="1" t="s">
        <v>4833</v>
      </c>
      <c r="L1339" s="2">
        <v>46177.918923611112</v>
      </c>
      <c r="M1339" s="2">
        <v>46177.921329212964</v>
      </c>
    </row>
    <row r="1340" spans="1:13" x14ac:dyDescent="0.35">
      <c r="A1340" s="1" t="s">
        <v>603</v>
      </c>
      <c r="B1340" s="1" t="s">
        <v>13</v>
      </c>
      <c r="C1340" s="1" t="s">
        <v>604</v>
      </c>
      <c r="D1340">
        <v>1.125</v>
      </c>
      <c r="E1340" s="2">
        <v>48594</v>
      </c>
      <c r="F1340" s="1" t="s">
        <v>64</v>
      </c>
      <c r="G1340" s="1" t="s">
        <v>604</v>
      </c>
      <c r="H1340" s="1" t="s">
        <v>2</v>
      </c>
      <c r="I1340" s="2">
        <v>46177</v>
      </c>
      <c r="J1340" s="1" t="s">
        <v>17</v>
      </c>
      <c r="K1340" s="1" t="s">
        <v>5309</v>
      </c>
      <c r="L1340" s="2">
        <v>46177.92087962963</v>
      </c>
      <c r="M1340" s="2">
        <v>46177.921329212964</v>
      </c>
    </row>
    <row r="1341" spans="1:13" x14ac:dyDescent="0.35">
      <c r="A1341" s="1" t="s">
        <v>603</v>
      </c>
      <c r="B1341" s="1" t="s">
        <v>13</v>
      </c>
      <c r="C1341" s="1" t="s">
        <v>604</v>
      </c>
      <c r="D1341">
        <v>1.125</v>
      </c>
      <c r="E1341" s="2">
        <v>48594</v>
      </c>
      <c r="F1341" s="1" t="s">
        <v>64</v>
      </c>
      <c r="G1341" s="1" t="s">
        <v>604</v>
      </c>
      <c r="H1341" s="1" t="s">
        <v>2</v>
      </c>
      <c r="I1341" s="2">
        <v>46177</v>
      </c>
      <c r="J1341" s="1" t="s">
        <v>215</v>
      </c>
      <c r="K1341" s="1" t="s">
        <v>4873</v>
      </c>
      <c r="L1341" s="2">
        <v>46177.918923611112</v>
      </c>
      <c r="M1341" s="2">
        <v>46177.921329212964</v>
      </c>
    </row>
    <row r="1342" spans="1:13" x14ac:dyDescent="0.35">
      <c r="A1342" s="1" t="s">
        <v>605</v>
      </c>
      <c r="B1342" s="1" t="s">
        <v>13</v>
      </c>
      <c r="C1342" s="1" t="s">
        <v>606</v>
      </c>
      <c r="D1342">
        <v>3.5</v>
      </c>
      <c r="E1342" s="2">
        <v>48625</v>
      </c>
      <c r="F1342" s="1" t="s">
        <v>16</v>
      </c>
      <c r="G1342" s="1" t="s">
        <v>606</v>
      </c>
      <c r="H1342" s="1" t="s">
        <v>2</v>
      </c>
      <c r="I1342" s="2">
        <v>46177</v>
      </c>
      <c r="J1342" s="1" t="s">
        <v>214</v>
      </c>
      <c r="K1342" s="1" t="s">
        <v>4834</v>
      </c>
      <c r="L1342" s="2">
        <v>46177.918923611112</v>
      </c>
      <c r="M1342" s="2">
        <v>46177.921329212964</v>
      </c>
    </row>
    <row r="1343" spans="1:13" x14ac:dyDescent="0.35">
      <c r="A1343" s="1" t="s">
        <v>605</v>
      </c>
      <c r="B1343" s="1" t="s">
        <v>13</v>
      </c>
      <c r="C1343" s="1" t="s">
        <v>606</v>
      </c>
      <c r="D1343">
        <v>3.5</v>
      </c>
      <c r="E1343" s="2">
        <v>48625</v>
      </c>
      <c r="F1343" s="1" t="s">
        <v>16</v>
      </c>
      <c r="G1343" s="1" t="s">
        <v>606</v>
      </c>
      <c r="H1343" s="1" t="s">
        <v>2</v>
      </c>
      <c r="I1343" s="2">
        <v>46177</v>
      </c>
      <c r="J1343" s="1" t="s">
        <v>67</v>
      </c>
      <c r="K1343" s="1" t="s">
        <v>4708</v>
      </c>
      <c r="L1343" s="2">
        <v>46177.918923611112</v>
      </c>
      <c r="M1343" s="2">
        <v>46177.921329212964</v>
      </c>
    </row>
    <row r="1344" spans="1:13" x14ac:dyDescent="0.35">
      <c r="A1344" s="1" t="s">
        <v>605</v>
      </c>
      <c r="B1344" s="1" t="s">
        <v>13</v>
      </c>
      <c r="C1344" s="1" t="s">
        <v>606</v>
      </c>
      <c r="D1344">
        <v>3.5</v>
      </c>
      <c r="E1344" s="2">
        <v>48625</v>
      </c>
      <c r="F1344" s="1" t="s">
        <v>16</v>
      </c>
      <c r="G1344" s="1" t="s">
        <v>606</v>
      </c>
      <c r="H1344" s="1" t="s">
        <v>2</v>
      </c>
      <c r="I1344" s="2">
        <v>46177</v>
      </c>
      <c r="J1344" s="1" t="s">
        <v>17</v>
      </c>
      <c r="K1344" s="1" t="s">
        <v>2916</v>
      </c>
      <c r="L1344" s="2">
        <v>46177.92087962963</v>
      </c>
      <c r="M1344" s="2">
        <v>46177.921329212964</v>
      </c>
    </row>
    <row r="1345" spans="1:13" x14ac:dyDescent="0.35">
      <c r="A1345" s="1" t="s">
        <v>605</v>
      </c>
      <c r="B1345" s="1" t="s">
        <v>13</v>
      </c>
      <c r="C1345" s="1" t="s">
        <v>606</v>
      </c>
      <c r="D1345">
        <v>3.5</v>
      </c>
      <c r="E1345" s="2">
        <v>48625</v>
      </c>
      <c r="F1345" s="1" t="s">
        <v>16</v>
      </c>
      <c r="G1345" s="1" t="s">
        <v>606</v>
      </c>
      <c r="H1345" s="1" t="s">
        <v>2</v>
      </c>
      <c r="I1345" s="2">
        <v>46177</v>
      </c>
      <c r="J1345" s="1" t="s">
        <v>18</v>
      </c>
      <c r="K1345" s="1" t="s">
        <v>4707</v>
      </c>
      <c r="L1345" s="2">
        <v>46177.92087962963</v>
      </c>
      <c r="M1345" s="2">
        <v>46177.921329212964</v>
      </c>
    </row>
    <row r="1346" spans="1:13" x14ac:dyDescent="0.35">
      <c r="A1346" s="1" t="s">
        <v>605</v>
      </c>
      <c r="B1346" s="1" t="s">
        <v>13</v>
      </c>
      <c r="C1346" s="1" t="s">
        <v>606</v>
      </c>
      <c r="D1346">
        <v>3.5</v>
      </c>
      <c r="E1346" s="2">
        <v>48625</v>
      </c>
      <c r="F1346" s="1" t="s">
        <v>16</v>
      </c>
      <c r="G1346" s="1" t="s">
        <v>606</v>
      </c>
      <c r="H1346" s="1" t="s">
        <v>2</v>
      </c>
      <c r="I1346" s="2">
        <v>46177</v>
      </c>
      <c r="J1346" s="1" t="s">
        <v>215</v>
      </c>
      <c r="K1346" s="1" t="s">
        <v>4708</v>
      </c>
      <c r="L1346" s="2">
        <v>46177.918923611112</v>
      </c>
      <c r="M1346" s="2">
        <v>46177.921329212964</v>
      </c>
    </row>
    <row r="1347" spans="1:13" x14ac:dyDescent="0.35">
      <c r="A1347" s="1" t="s">
        <v>605</v>
      </c>
      <c r="B1347" s="1" t="s">
        <v>13</v>
      </c>
      <c r="C1347" s="1" t="s">
        <v>606</v>
      </c>
      <c r="D1347">
        <v>3.5</v>
      </c>
      <c r="E1347" s="2">
        <v>48625</v>
      </c>
      <c r="F1347" s="1" t="s">
        <v>16</v>
      </c>
      <c r="G1347" s="1" t="s">
        <v>606</v>
      </c>
      <c r="H1347" s="1" t="s">
        <v>2</v>
      </c>
      <c r="I1347" s="2">
        <v>46177</v>
      </c>
      <c r="J1347" s="1" t="s">
        <v>224</v>
      </c>
      <c r="K1347" s="1" t="s">
        <v>4834</v>
      </c>
      <c r="L1347" s="2">
        <v>46177.918923611112</v>
      </c>
      <c r="M1347" s="2">
        <v>46177.921329212964</v>
      </c>
    </row>
    <row r="1348" spans="1:13" x14ac:dyDescent="0.35">
      <c r="A1348" s="1" t="s">
        <v>663</v>
      </c>
      <c r="B1348" s="1" t="s">
        <v>13</v>
      </c>
      <c r="C1348" s="1" t="s">
        <v>664</v>
      </c>
      <c r="D1348">
        <v>4</v>
      </c>
      <c r="E1348" s="2">
        <v>46812</v>
      </c>
      <c r="F1348" s="1" t="s">
        <v>16</v>
      </c>
      <c r="G1348" s="1" t="s">
        <v>664</v>
      </c>
      <c r="H1348" s="1" t="s">
        <v>2</v>
      </c>
      <c r="I1348" s="2">
        <v>46177</v>
      </c>
      <c r="J1348" s="1" t="s">
        <v>17</v>
      </c>
      <c r="K1348" s="1" t="s">
        <v>2620</v>
      </c>
      <c r="L1348" s="2">
        <v>46177.92087962963</v>
      </c>
      <c r="M1348" s="2">
        <v>46177.921329212964</v>
      </c>
    </row>
    <row r="1349" spans="1:13" x14ac:dyDescent="0.35">
      <c r="A1349" s="1" t="s">
        <v>663</v>
      </c>
      <c r="B1349" s="1" t="s">
        <v>13</v>
      </c>
      <c r="C1349" s="1" t="s">
        <v>664</v>
      </c>
      <c r="D1349">
        <v>4</v>
      </c>
      <c r="E1349" s="2">
        <v>46812</v>
      </c>
      <c r="F1349" s="1" t="s">
        <v>16</v>
      </c>
      <c r="G1349" s="1" t="s">
        <v>664</v>
      </c>
      <c r="H1349" s="1" t="s">
        <v>2</v>
      </c>
      <c r="I1349" s="2">
        <v>46177</v>
      </c>
      <c r="J1349" s="1" t="s">
        <v>18</v>
      </c>
      <c r="K1349" s="1" t="s">
        <v>2474</v>
      </c>
      <c r="L1349" s="2">
        <v>46177.92087962963</v>
      </c>
      <c r="M1349" s="2">
        <v>46177.921329212964</v>
      </c>
    </row>
    <row r="1350" spans="1:13" x14ac:dyDescent="0.35">
      <c r="A1350" s="1" t="s">
        <v>663</v>
      </c>
      <c r="B1350" s="1" t="s">
        <v>13</v>
      </c>
      <c r="C1350" s="1" t="s">
        <v>664</v>
      </c>
      <c r="D1350">
        <v>4</v>
      </c>
      <c r="E1350" s="2">
        <v>46812</v>
      </c>
      <c r="F1350" s="1" t="s">
        <v>16</v>
      </c>
      <c r="G1350" s="1" t="s">
        <v>664</v>
      </c>
      <c r="H1350" s="1" t="s">
        <v>2</v>
      </c>
      <c r="I1350" s="2">
        <v>46177</v>
      </c>
      <c r="J1350" s="1" t="s">
        <v>224</v>
      </c>
      <c r="K1350" s="1" t="s">
        <v>4709</v>
      </c>
      <c r="L1350" s="2">
        <v>46177.918923611112</v>
      </c>
      <c r="M1350" s="2">
        <v>46177.921329212964</v>
      </c>
    </row>
    <row r="1351" spans="1:13" x14ac:dyDescent="0.35">
      <c r="A1351" s="1" t="s">
        <v>663</v>
      </c>
      <c r="B1351" s="1" t="s">
        <v>13</v>
      </c>
      <c r="C1351" s="1" t="s">
        <v>664</v>
      </c>
      <c r="D1351">
        <v>4</v>
      </c>
      <c r="E1351" s="2">
        <v>46812</v>
      </c>
      <c r="F1351" s="1" t="s">
        <v>16</v>
      </c>
      <c r="G1351" s="1" t="s">
        <v>664</v>
      </c>
      <c r="H1351" s="1" t="s">
        <v>2</v>
      </c>
      <c r="I1351" s="2">
        <v>46177</v>
      </c>
      <c r="J1351" s="1" t="s">
        <v>67</v>
      </c>
      <c r="K1351" s="1" t="s">
        <v>4874</v>
      </c>
      <c r="L1351" s="2">
        <v>46177.918923611112</v>
      </c>
      <c r="M1351" s="2">
        <v>46177.921329212964</v>
      </c>
    </row>
    <row r="1352" spans="1:13" x14ac:dyDescent="0.35">
      <c r="A1352" s="1" t="s">
        <v>663</v>
      </c>
      <c r="B1352" s="1" t="s">
        <v>13</v>
      </c>
      <c r="C1352" s="1" t="s">
        <v>664</v>
      </c>
      <c r="D1352">
        <v>4</v>
      </c>
      <c r="E1352" s="2">
        <v>46812</v>
      </c>
      <c r="F1352" s="1" t="s">
        <v>16</v>
      </c>
      <c r="G1352" s="1" t="s">
        <v>664</v>
      </c>
      <c r="H1352" s="1" t="s">
        <v>2</v>
      </c>
      <c r="I1352" s="2">
        <v>46177</v>
      </c>
      <c r="J1352" s="1" t="s">
        <v>215</v>
      </c>
      <c r="K1352" s="1" t="s">
        <v>4874</v>
      </c>
      <c r="L1352" s="2">
        <v>46177.918923611112</v>
      </c>
      <c r="M1352" s="2">
        <v>46177.921329212964</v>
      </c>
    </row>
    <row r="1353" spans="1:13" x14ac:dyDescent="0.35">
      <c r="A1353" s="1" t="s">
        <v>663</v>
      </c>
      <c r="B1353" s="1" t="s">
        <v>13</v>
      </c>
      <c r="C1353" s="1" t="s">
        <v>664</v>
      </c>
      <c r="D1353">
        <v>4</v>
      </c>
      <c r="E1353" s="2">
        <v>46812</v>
      </c>
      <c r="F1353" s="1" t="s">
        <v>16</v>
      </c>
      <c r="G1353" s="1" t="s">
        <v>664</v>
      </c>
      <c r="H1353" s="1" t="s">
        <v>2</v>
      </c>
      <c r="I1353" s="2">
        <v>46177</v>
      </c>
      <c r="J1353" s="1" t="s">
        <v>214</v>
      </c>
      <c r="K1353" s="1" t="s">
        <v>4709</v>
      </c>
      <c r="L1353" s="2">
        <v>46177.918923611112</v>
      </c>
      <c r="M1353" s="2">
        <v>46177.921329212964</v>
      </c>
    </row>
    <row r="1354" spans="1:13" x14ac:dyDescent="0.35">
      <c r="A1354" s="1" t="s">
        <v>665</v>
      </c>
      <c r="B1354" s="1" t="s">
        <v>13</v>
      </c>
      <c r="C1354" s="1" t="s">
        <v>666</v>
      </c>
      <c r="D1354">
        <v>4</v>
      </c>
      <c r="E1354" s="2">
        <v>47542</v>
      </c>
      <c r="F1354" s="1" t="s">
        <v>16</v>
      </c>
      <c r="G1354" s="1" t="s">
        <v>666</v>
      </c>
      <c r="H1354" s="1" t="s">
        <v>2</v>
      </c>
      <c r="I1354" s="2">
        <v>46177</v>
      </c>
      <c r="J1354" s="1" t="s">
        <v>17</v>
      </c>
      <c r="K1354" s="1" t="s">
        <v>2549</v>
      </c>
      <c r="L1354" s="2">
        <v>46177.92087962963</v>
      </c>
      <c r="M1354" s="2">
        <v>46177.921329212964</v>
      </c>
    </row>
    <row r="1355" spans="1:13" x14ac:dyDescent="0.35">
      <c r="A1355" s="1" t="s">
        <v>665</v>
      </c>
      <c r="B1355" s="1" t="s">
        <v>13</v>
      </c>
      <c r="C1355" s="1" t="s">
        <v>666</v>
      </c>
      <c r="D1355">
        <v>4</v>
      </c>
      <c r="E1355" s="2">
        <v>47542</v>
      </c>
      <c r="F1355" s="1" t="s">
        <v>16</v>
      </c>
      <c r="G1355" s="1" t="s">
        <v>666</v>
      </c>
      <c r="H1355" s="1" t="s">
        <v>2</v>
      </c>
      <c r="I1355" s="2">
        <v>46177</v>
      </c>
      <c r="J1355" s="1" t="s">
        <v>214</v>
      </c>
      <c r="K1355" s="1" t="s">
        <v>4875</v>
      </c>
      <c r="L1355" s="2">
        <v>46177.918923611112</v>
      </c>
      <c r="M1355" s="2">
        <v>46177.921329212964</v>
      </c>
    </row>
    <row r="1356" spans="1:13" x14ac:dyDescent="0.35">
      <c r="A1356" s="1" t="s">
        <v>665</v>
      </c>
      <c r="B1356" s="1" t="s">
        <v>13</v>
      </c>
      <c r="C1356" s="1" t="s">
        <v>666</v>
      </c>
      <c r="D1356">
        <v>4</v>
      </c>
      <c r="E1356" s="2">
        <v>47542</v>
      </c>
      <c r="F1356" s="1" t="s">
        <v>16</v>
      </c>
      <c r="G1356" s="1" t="s">
        <v>666</v>
      </c>
      <c r="H1356" s="1" t="s">
        <v>2</v>
      </c>
      <c r="I1356" s="2">
        <v>46177</v>
      </c>
      <c r="J1356" s="1" t="s">
        <v>224</v>
      </c>
      <c r="K1356" s="1" t="s">
        <v>4875</v>
      </c>
      <c r="L1356" s="2">
        <v>46177.918923611112</v>
      </c>
      <c r="M1356" s="2">
        <v>46177.921329212964</v>
      </c>
    </row>
    <row r="1357" spans="1:13" x14ac:dyDescent="0.35">
      <c r="A1357" s="1" t="s">
        <v>665</v>
      </c>
      <c r="B1357" s="1" t="s">
        <v>13</v>
      </c>
      <c r="C1357" s="1" t="s">
        <v>666</v>
      </c>
      <c r="D1357">
        <v>4</v>
      </c>
      <c r="E1357" s="2">
        <v>47542</v>
      </c>
      <c r="F1357" s="1" t="s">
        <v>16</v>
      </c>
      <c r="G1357" s="1" t="s">
        <v>666</v>
      </c>
      <c r="H1357" s="1" t="s">
        <v>2</v>
      </c>
      <c r="I1357" s="2">
        <v>46177</v>
      </c>
      <c r="J1357" s="1" t="s">
        <v>67</v>
      </c>
      <c r="K1357" s="1" t="s">
        <v>4710</v>
      </c>
      <c r="L1357" s="2">
        <v>46177.918923611112</v>
      </c>
      <c r="M1357" s="2">
        <v>46177.921329212964</v>
      </c>
    </row>
    <row r="1358" spans="1:13" x14ac:dyDescent="0.35">
      <c r="A1358" s="1" t="s">
        <v>665</v>
      </c>
      <c r="B1358" s="1" t="s">
        <v>13</v>
      </c>
      <c r="C1358" s="1" t="s">
        <v>666</v>
      </c>
      <c r="D1358">
        <v>4</v>
      </c>
      <c r="E1358" s="2">
        <v>47542</v>
      </c>
      <c r="F1358" s="1" t="s">
        <v>16</v>
      </c>
      <c r="G1358" s="1" t="s">
        <v>666</v>
      </c>
      <c r="H1358" s="1" t="s">
        <v>2</v>
      </c>
      <c r="I1358" s="2">
        <v>46177</v>
      </c>
      <c r="J1358" s="1" t="s">
        <v>215</v>
      </c>
      <c r="K1358" s="1" t="s">
        <v>4710</v>
      </c>
      <c r="L1358" s="2">
        <v>46177.918923611112</v>
      </c>
      <c r="M1358" s="2">
        <v>46177.921329212964</v>
      </c>
    </row>
    <row r="1359" spans="1:13" x14ac:dyDescent="0.35">
      <c r="A1359" s="1" t="s">
        <v>665</v>
      </c>
      <c r="B1359" s="1" t="s">
        <v>13</v>
      </c>
      <c r="C1359" s="1" t="s">
        <v>666</v>
      </c>
      <c r="D1359">
        <v>4</v>
      </c>
      <c r="E1359" s="2">
        <v>47542</v>
      </c>
      <c r="F1359" s="1" t="s">
        <v>16</v>
      </c>
      <c r="G1359" s="1" t="s">
        <v>666</v>
      </c>
      <c r="H1359" s="1" t="s">
        <v>2</v>
      </c>
      <c r="I1359" s="2">
        <v>46177</v>
      </c>
      <c r="J1359" s="1" t="s">
        <v>18</v>
      </c>
      <c r="K1359" s="1" t="s">
        <v>2963</v>
      </c>
      <c r="L1359" s="2">
        <v>46177.92087962963</v>
      </c>
      <c r="M1359" s="2">
        <v>46177.921329212964</v>
      </c>
    </row>
    <row r="1360" spans="1:13" x14ac:dyDescent="0.35">
      <c r="A1360" s="1" t="s">
        <v>767</v>
      </c>
      <c r="B1360" s="1" t="s">
        <v>13</v>
      </c>
      <c r="C1360" s="1" t="s">
        <v>768</v>
      </c>
      <c r="D1360">
        <v>3.625</v>
      </c>
      <c r="E1360" s="2">
        <v>47573</v>
      </c>
      <c r="F1360" s="1" t="s">
        <v>16</v>
      </c>
      <c r="G1360" s="1" t="s">
        <v>768</v>
      </c>
      <c r="H1360" s="1" t="s">
        <v>2</v>
      </c>
      <c r="I1360" s="2">
        <v>46177</v>
      </c>
      <c r="J1360" s="1" t="s">
        <v>224</v>
      </c>
      <c r="K1360" s="1" t="s">
        <v>4876</v>
      </c>
      <c r="L1360" s="2">
        <v>46177.918923611112</v>
      </c>
      <c r="M1360" s="2">
        <v>46177.921329212964</v>
      </c>
    </row>
    <row r="1361" spans="1:13" x14ac:dyDescent="0.35">
      <c r="A1361" s="1" t="s">
        <v>767</v>
      </c>
      <c r="B1361" s="1" t="s">
        <v>13</v>
      </c>
      <c r="C1361" s="1" t="s">
        <v>768</v>
      </c>
      <c r="D1361">
        <v>3.625</v>
      </c>
      <c r="E1361" s="2">
        <v>47573</v>
      </c>
      <c r="F1361" s="1" t="s">
        <v>16</v>
      </c>
      <c r="G1361" s="1" t="s">
        <v>768</v>
      </c>
      <c r="H1361" s="1" t="s">
        <v>2</v>
      </c>
      <c r="I1361" s="2">
        <v>46177</v>
      </c>
      <c r="J1361" s="1" t="s">
        <v>214</v>
      </c>
      <c r="K1361" s="1" t="s">
        <v>4876</v>
      </c>
      <c r="L1361" s="2">
        <v>46177.918923611112</v>
      </c>
      <c r="M1361" s="2">
        <v>46177.921329212964</v>
      </c>
    </row>
    <row r="1362" spans="1:13" x14ac:dyDescent="0.35">
      <c r="A1362" s="1" t="s">
        <v>767</v>
      </c>
      <c r="B1362" s="1" t="s">
        <v>13</v>
      </c>
      <c r="C1362" s="1" t="s">
        <v>768</v>
      </c>
      <c r="D1362">
        <v>3.625</v>
      </c>
      <c r="E1362" s="2">
        <v>47573</v>
      </c>
      <c r="F1362" s="1" t="s">
        <v>16</v>
      </c>
      <c r="G1362" s="1" t="s">
        <v>768</v>
      </c>
      <c r="H1362" s="1" t="s">
        <v>2</v>
      </c>
      <c r="I1362" s="2">
        <v>46177</v>
      </c>
      <c r="J1362" s="1" t="s">
        <v>215</v>
      </c>
      <c r="K1362" s="1" t="s">
        <v>4711</v>
      </c>
      <c r="L1362" s="2">
        <v>46177.918923611112</v>
      </c>
      <c r="M1362" s="2">
        <v>46177.921329212964</v>
      </c>
    </row>
    <row r="1363" spans="1:13" x14ac:dyDescent="0.35">
      <c r="A1363" s="1" t="s">
        <v>767</v>
      </c>
      <c r="B1363" s="1" t="s">
        <v>13</v>
      </c>
      <c r="C1363" s="1" t="s">
        <v>768</v>
      </c>
      <c r="D1363">
        <v>3.625</v>
      </c>
      <c r="E1363" s="2">
        <v>47573</v>
      </c>
      <c r="F1363" s="1" t="s">
        <v>16</v>
      </c>
      <c r="G1363" s="1" t="s">
        <v>768</v>
      </c>
      <c r="H1363" s="1" t="s">
        <v>2</v>
      </c>
      <c r="I1363" s="2">
        <v>46177</v>
      </c>
      <c r="J1363" s="1" t="s">
        <v>67</v>
      </c>
      <c r="K1363" s="1" t="s">
        <v>4711</v>
      </c>
      <c r="L1363" s="2">
        <v>46177.918923611112</v>
      </c>
      <c r="M1363" s="2">
        <v>46177.921329212964</v>
      </c>
    </row>
    <row r="1364" spans="1:13" x14ac:dyDescent="0.35">
      <c r="A1364" s="1" t="s">
        <v>767</v>
      </c>
      <c r="B1364" s="1" t="s">
        <v>13</v>
      </c>
      <c r="C1364" s="1" t="s">
        <v>768</v>
      </c>
      <c r="D1364">
        <v>3.625</v>
      </c>
      <c r="E1364" s="2">
        <v>47573</v>
      </c>
      <c r="F1364" s="1" t="s">
        <v>16</v>
      </c>
      <c r="G1364" s="1" t="s">
        <v>768</v>
      </c>
      <c r="H1364" s="1" t="s">
        <v>2</v>
      </c>
      <c r="I1364" s="2">
        <v>46177</v>
      </c>
      <c r="J1364" s="1" t="s">
        <v>18</v>
      </c>
      <c r="K1364" s="1" t="s">
        <v>4835</v>
      </c>
      <c r="L1364" s="2">
        <v>46177.92087962963</v>
      </c>
      <c r="M1364" s="2">
        <v>46177.921329212964</v>
      </c>
    </row>
    <row r="1365" spans="1:13" x14ac:dyDescent="0.35">
      <c r="A1365" s="1" t="s">
        <v>767</v>
      </c>
      <c r="B1365" s="1" t="s">
        <v>13</v>
      </c>
      <c r="C1365" s="1" t="s">
        <v>768</v>
      </c>
      <c r="D1365">
        <v>3.625</v>
      </c>
      <c r="E1365" s="2">
        <v>47573</v>
      </c>
      <c r="F1365" s="1" t="s">
        <v>16</v>
      </c>
      <c r="G1365" s="1" t="s">
        <v>768</v>
      </c>
      <c r="H1365" s="1" t="s">
        <v>2</v>
      </c>
      <c r="I1365" s="2">
        <v>46177</v>
      </c>
      <c r="J1365" s="1" t="s">
        <v>17</v>
      </c>
      <c r="K1365" s="1" t="s">
        <v>3039</v>
      </c>
      <c r="L1365" s="2">
        <v>46177.92087962963</v>
      </c>
      <c r="M1365" s="2">
        <v>46177.921329212964</v>
      </c>
    </row>
    <row r="1366" spans="1:13" x14ac:dyDescent="0.35">
      <c r="A1366" s="1" t="s">
        <v>769</v>
      </c>
      <c r="B1366" s="1" t="s">
        <v>13</v>
      </c>
      <c r="C1366" s="1" t="s">
        <v>770</v>
      </c>
      <c r="D1366">
        <v>3.625</v>
      </c>
      <c r="E1366" s="2">
        <v>46843</v>
      </c>
      <c r="F1366" s="1" t="s">
        <v>16</v>
      </c>
      <c r="G1366" s="1" t="s">
        <v>770</v>
      </c>
      <c r="H1366" s="1" t="s">
        <v>2</v>
      </c>
      <c r="I1366" s="2">
        <v>46177</v>
      </c>
      <c r="J1366" s="1" t="s">
        <v>18</v>
      </c>
      <c r="K1366" s="1" t="s">
        <v>2431</v>
      </c>
      <c r="L1366" s="2">
        <v>46177.92087962963</v>
      </c>
      <c r="M1366" s="2">
        <v>46177.921329212964</v>
      </c>
    </row>
    <row r="1367" spans="1:13" x14ac:dyDescent="0.35">
      <c r="A1367" s="1" t="s">
        <v>769</v>
      </c>
      <c r="B1367" s="1" t="s">
        <v>13</v>
      </c>
      <c r="C1367" s="1" t="s">
        <v>770</v>
      </c>
      <c r="D1367">
        <v>3.625</v>
      </c>
      <c r="E1367" s="2">
        <v>46843</v>
      </c>
      <c r="F1367" s="1" t="s">
        <v>16</v>
      </c>
      <c r="G1367" s="1" t="s">
        <v>770</v>
      </c>
      <c r="H1367" s="1" t="s">
        <v>2</v>
      </c>
      <c r="I1367" s="2">
        <v>46177</v>
      </c>
      <c r="J1367" s="1" t="s">
        <v>215</v>
      </c>
      <c r="K1367" s="1" t="s">
        <v>4877</v>
      </c>
      <c r="L1367" s="2">
        <v>46177.918923611112</v>
      </c>
      <c r="M1367" s="2">
        <v>46177.921329212964</v>
      </c>
    </row>
    <row r="1368" spans="1:13" x14ac:dyDescent="0.35">
      <c r="A1368" s="1" t="s">
        <v>769</v>
      </c>
      <c r="B1368" s="1" t="s">
        <v>13</v>
      </c>
      <c r="C1368" s="1" t="s">
        <v>770</v>
      </c>
      <c r="D1368">
        <v>3.625</v>
      </c>
      <c r="E1368" s="2">
        <v>46843</v>
      </c>
      <c r="F1368" s="1" t="s">
        <v>16</v>
      </c>
      <c r="G1368" s="1" t="s">
        <v>770</v>
      </c>
      <c r="H1368" s="1" t="s">
        <v>2</v>
      </c>
      <c r="I1368" s="2">
        <v>46177</v>
      </c>
      <c r="J1368" s="1" t="s">
        <v>67</v>
      </c>
      <c r="K1368" s="1" t="s">
        <v>4877</v>
      </c>
      <c r="L1368" s="2">
        <v>46177.918923611112</v>
      </c>
      <c r="M1368" s="2">
        <v>46177.921329212964</v>
      </c>
    </row>
    <row r="1369" spans="1:13" x14ac:dyDescent="0.35">
      <c r="A1369" s="1" t="s">
        <v>769</v>
      </c>
      <c r="B1369" s="1" t="s">
        <v>13</v>
      </c>
      <c r="C1369" s="1" t="s">
        <v>770</v>
      </c>
      <c r="D1369">
        <v>3.625</v>
      </c>
      <c r="E1369" s="2">
        <v>46843</v>
      </c>
      <c r="F1369" s="1" t="s">
        <v>16</v>
      </c>
      <c r="G1369" s="1" t="s">
        <v>770</v>
      </c>
      <c r="H1369" s="1" t="s">
        <v>2</v>
      </c>
      <c r="I1369" s="2">
        <v>46177</v>
      </c>
      <c r="J1369" s="1" t="s">
        <v>17</v>
      </c>
      <c r="K1369" s="1" t="s">
        <v>2518</v>
      </c>
      <c r="L1369" s="2">
        <v>46177.92087962963</v>
      </c>
      <c r="M1369" s="2">
        <v>46177.921329212964</v>
      </c>
    </row>
    <row r="1370" spans="1:13" x14ac:dyDescent="0.35">
      <c r="A1370" s="1" t="s">
        <v>769</v>
      </c>
      <c r="B1370" s="1" t="s">
        <v>13</v>
      </c>
      <c r="C1370" s="1" t="s">
        <v>770</v>
      </c>
      <c r="D1370">
        <v>3.625</v>
      </c>
      <c r="E1370" s="2">
        <v>46843</v>
      </c>
      <c r="F1370" s="1" t="s">
        <v>16</v>
      </c>
      <c r="G1370" s="1" t="s">
        <v>770</v>
      </c>
      <c r="H1370" s="1" t="s">
        <v>2</v>
      </c>
      <c r="I1370" s="2">
        <v>46177</v>
      </c>
      <c r="J1370" s="1" t="s">
        <v>214</v>
      </c>
      <c r="K1370" s="1" t="s">
        <v>4836</v>
      </c>
      <c r="L1370" s="2">
        <v>46177.918923611112</v>
      </c>
      <c r="M1370" s="2">
        <v>46177.921329212964</v>
      </c>
    </row>
    <row r="1371" spans="1:13" x14ac:dyDescent="0.35">
      <c r="A1371" s="1" t="s">
        <v>769</v>
      </c>
      <c r="B1371" s="1" t="s">
        <v>13</v>
      </c>
      <c r="C1371" s="1" t="s">
        <v>770</v>
      </c>
      <c r="D1371">
        <v>3.625</v>
      </c>
      <c r="E1371" s="2">
        <v>46843</v>
      </c>
      <c r="F1371" s="1" t="s">
        <v>16</v>
      </c>
      <c r="G1371" s="1" t="s">
        <v>770</v>
      </c>
      <c r="H1371" s="1" t="s">
        <v>2</v>
      </c>
      <c r="I1371" s="2">
        <v>46177</v>
      </c>
      <c r="J1371" s="1" t="s">
        <v>224</v>
      </c>
      <c r="K1371" s="1" t="s">
        <v>4836</v>
      </c>
      <c r="L1371" s="2">
        <v>46177.918923611112</v>
      </c>
      <c r="M1371" s="2">
        <v>46177.921329212964</v>
      </c>
    </row>
    <row r="1372" spans="1:13" x14ac:dyDescent="0.35">
      <c r="A1372" s="1" t="s">
        <v>689</v>
      </c>
      <c r="B1372" s="1" t="s">
        <v>13</v>
      </c>
      <c r="C1372" s="1" t="s">
        <v>690</v>
      </c>
      <c r="D1372">
        <v>1.25</v>
      </c>
      <c r="E1372" s="2">
        <v>46858</v>
      </c>
      <c r="F1372" s="1" t="s">
        <v>64</v>
      </c>
      <c r="G1372" s="1" t="s">
        <v>690</v>
      </c>
      <c r="H1372" s="1" t="s">
        <v>2</v>
      </c>
      <c r="I1372" s="2">
        <v>46177</v>
      </c>
      <c r="J1372" s="1" t="s">
        <v>17</v>
      </c>
      <c r="K1372" s="1" t="s">
        <v>2400</v>
      </c>
      <c r="L1372" s="2">
        <v>46177.92087962963</v>
      </c>
      <c r="M1372" s="2">
        <v>46177.921329212964</v>
      </c>
    </row>
    <row r="1373" spans="1:13" x14ac:dyDescent="0.35">
      <c r="A1373" s="1" t="s">
        <v>689</v>
      </c>
      <c r="B1373" s="1" t="s">
        <v>13</v>
      </c>
      <c r="C1373" s="1" t="s">
        <v>690</v>
      </c>
      <c r="D1373">
        <v>1.25</v>
      </c>
      <c r="E1373" s="2">
        <v>46858</v>
      </c>
      <c r="F1373" s="1" t="s">
        <v>64</v>
      </c>
      <c r="G1373" s="1" t="s">
        <v>690</v>
      </c>
      <c r="H1373" s="1" t="s">
        <v>2</v>
      </c>
      <c r="I1373" s="2">
        <v>46177</v>
      </c>
      <c r="J1373" s="1" t="s">
        <v>18</v>
      </c>
      <c r="K1373" s="1" t="s">
        <v>2644</v>
      </c>
      <c r="L1373" s="2">
        <v>46177.92087962963</v>
      </c>
      <c r="M1373" s="2">
        <v>46177.921329212964</v>
      </c>
    </row>
    <row r="1374" spans="1:13" x14ac:dyDescent="0.35">
      <c r="A1374" s="1" t="s">
        <v>679</v>
      </c>
      <c r="B1374" s="1" t="s">
        <v>13</v>
      </c>
      <c r="C1374" s="1" t="s">
        <v>680</v>
      </c>
      <c r="D1374">
        <v>3.5</v>
      </c>
      <c r="E1374" s="2">
        <v>47603</v>
      </c>
      <c r="F1374" s="1" t="s">
        <v>16</v>
      </c>
      <c r="G1374" s="1" t="s">
        <v>680</v>
      </c>
      <c r="H1374" s="1" t="s">
        <v>2</v>
      </c>
      <c r="I1374" s="2">
        <v>46177</v>
      </c>
      <c r="J1374" s="1" t="s">
        <v>214</v>
      </c>
      <c r="K1374" s="1" t="s">
        <v>4890</v>
      </c>
      <c r="L1374" s="2">
        <v>46177.918923611112</v>
      </c>
      <c r="M1374" s="2">
        <v>46177.921329212964</v>
      </c>
    </row>
    <row r="1375" spans="1:13" x14ac:dyDescent="0.35">
      <c r="A1375" s="1" t="s">
        <v>679</v>
      </c>
      <c r="B1375" s="1" t="s">
        <v>13</v>
      </c>
      <c r="C1375" s="1" t="s">
        <v>680</v>
      </c>
      <c r="D1375">
        <v>3.5</v>
      </c>
      <c r="E1375" s="2">
        <v>47603</v>
      </c>
      <c r="F1375" s="1" t="s">
        <v>16</v>
      </c>
      <c r="G1375" s="1" t="s">
        <v>680</v>
      </c>
      <c r="H1375" s="1" t="s">
        <v>2</v>
      </c>
      <c r="I1375" s="2">
        <v>46177</v>
      </c>
      <c r="J1375" s="1" t="s">
        <v>17</v>
      </c>
      <c r="K1375" s="1" t="s">
        <v>2387</v>
      </c>
      <c r="L1375" s="2">
        <v>46177.92087962963</v>
      </c>
      <c r="M1375" s="2">
        <v>46177.921329212964</v>
      </c>
    </row>
    <row r="1376" spans="1:13" x14ac:dyDescent="0.35">
      <c r="A1376" s="1" t="s">
        <v>679</v>
      </c>
      <c r="B1376" s="1" t="s">
        <v>13</v>
      </c>
      <c r="C1376" s="1" t="s">
        <v>680</v>
      </c>
      <c r="D1376">
        <v>3.5</v>
      </c>
      <c r="E1376" s="2">
        <v>47603</v>
      </c>
      <c r="F1376" s="1" t="s">
        <v>16</v>
      </c>
      <c r="G1376" s="1" t="s">
        <v>680</v>
      </c>
      <c r="H1376" s="1" t="s">
        <v>2</v>
      </c>
      <c r="I1376" s="2">
        <v>46177</v>
      </c>
      <c r="J1376" s="1" t="s">
        <v>215</v>
      </c>
      <c r="K1376" s="1" t="s">
        <v>4837</v>
      </c>
      <c r="L1376" s="2">
        <v>46177.918923611112</v>
      </c>
      <c r="M1376" s="2">
        <v>46177.921329212964</v>
      </c>
    </row>
    <row r="1377" spans="1:13" x14ac:dyDescent="0.35">
      <c r="A1377" s="1" t="s">
        <v>679</v>
      </c>
      <c r="B1377" s="1" t="s">
        <v>13</v>
      </c>
      <c r="C1377" s="1" t="s">
        <v>680</v>
      </c>
      <c r="D1377">
        <v>3.5</v>
      </c>
      <c r="E1377" s="2">
        <v>47603</v>
      </c>
      <c r="F1377" s="1" t="s">
        <v>16</v>
      </c>
      <c r="G1377" s="1" t="s">
        <v>680</v>
      </c>
      <c r="H1377" s="1" t="s">
        <v>2</v>
      </c>
      <c r="I1377" s="2">
        <v>46177</v>
      </c>
      <c r="J1377" s="1" t="s">
        <v>67</v>
      </c>
      <c r="K1377" s="1" t="s">
        <v>4837</v>
      </c>
      <c r="L1377" s="2">
        <v>46177.918923611112</v>
      </c>
      <c r="M1377" s="2">
        <v>46177.921329212964</v>
      </c>
    </row>
    <row r="1378" spans="1:13" x14ac:dyDescent="0.35">
      <c r="A1378" s="1" t="s">
        <v>679</v>
      </c>
      <c r="B1378" s="1" t="s">
        <v>13</v>
      </c>
      <c r="C1378" s="1" t="s">
        <v>680</v>
      </c>
      <c r="D1378">
        <v>3.5</v>
      </c>
      <c r="E1378" s="2">
        <v>47603</v>
      </c>
      <c r="F1378" s="1" t="s">
        <v>16</v>
      </c>
      <c r="G1378" s="1" t="s">
        <v>680</v>
      </c>
      <c r="H1378" s="1" t="s">
        <v>2</v>
      </c>
      <c r="I1378" s="2">
        <v>46177</v>
      </c>
      <c r="J1378" s="1" t="s">
        <v>18</v>
      </c>
      <c r="K1378" s="1" t="s">
        <v>2453</v>
      </c>
      <c r="L1378" s="2">
        <v>46177.92087962963</v>
      </c>
      <c r="M1378" s="2">
        <v>46177.921329212964</v>
      </c>
    </row>
    <row r="1379" spans="1:13" x14ac:dyDescent="0.35">
      <c r="A1379" s="1" t="s">
        <v>679</v>
      </c>
      <c r="B1379" s="1" t="s">
        <v>13</v>
      </c>
      <c r="C1379" s="1" t="s">
        <v>680</v>
      </c>
      <c r="D1379">
        <v>3.5</v>
      </c>
      <c r="E1379" s="2">
        <v>47603</v>
      </c>
      <c r="F1379" s="1" t="s">
        <v>16</v>
      </c>
      <c r="G1379" s="1" t="s">
        <v>680</v>
      </c>
      <c r="H1379" s="1" t="s">
        <v>2</v>
      </c>
      <c r="I1379" s="2">
        <v>46177</v>
      </c>
      <c r="J1379" s="1" t="s">
        <v>224</v>
      </c>
      <c r="K1379" s="1" t="s">
        <v>4890</v>
      </c>
      <c r="L1379" s="2">
        <v>46177.918923611112</v>
      </c>
      <c r="M1379" s="2">
        <v>46177.921329212964</v>
      </c>
    </row>
    <row r="1380" spans="1:13" x14ac:dyDescent="0.35">
      <c r="A1380" s="1" t="s">
        <v>691</v>
      </c>
      <c r="B1380" s="1" t="s">
        <v>13</v>
      </c>
      <c r="C1380" s="1" t="s">
        <v>692</v>
      </c>
      <c r="D1380">
        <v>3.5</v>
      </c>
      <c r="E1380" s="2">
        <v>46873</v>
      </c>
      <c r="F1380" s="1" t="s">
        <v>16</v>
      </c>
      <c r="G1380" s="1" t="s">
        <v>692</v>
      </c>
      <c r="H1380" s="1" t="s">
        <v>2</v>
      </c>
      <c r="I1380" s="2">
        <v>46177</v>
      </c>
      <c r="J1380" s="1" t="s">
        <v>215</v>
      </c>
      <c r="K1380" s="1" t="s">
        <v>4850</v>
      </c>
      <c r="L1380" s="2">
        <v>46177.918923611112</v>
      </c>
      <c r="M1380" s="2">
        <v>46177.921329212964</v>
      </c>
    </row>
    <row r="1381" spans="1:13" x14ac:dyDescent="0.35">
      <c r="A1381" s="1" t="s">
        <v>691</v>
      </c>
      <c r="B1381" s="1" t="s">
        <v>13</v>
      </c>
      <c r="C1381" s="1" t="s">
        <v>692</v>
      </c>
      <c r="D1381">
        <v>3.5</v>
      </c>
      <c r="E1381" s="2">
        <v>46873</v>
      </c>
      <c r="F1381" s="1" t="s">
        <v>16</v>
      </c>
      <c r="G1381" s="1" t="s">
        <v>692</v>
      </c>
      <c r="H1381" s="1" t="s">
        <v>2</v>
      </c>
      <c r="I1381" s="2">
        <v>46177</v>
      </c>
      <c r="J1381" s="1" t="s">
        <v>18</v>
      </c>
      <c r="K1381" s="1" t="s">
        <v>2951</v>
      </c>
      <c r="L1381" s="2">
        <v>46177.92087962963</v>
      </c>
      <c r="M1381" s="2">
        <v>46177.921329212964</v>
      </c>
    </row>
    <row r="1382" spans="1:13" x14ac:dyDescent="0.35">
      <c r="A1382" s="1" t="s">
        <v>691</v>
      </c>
      <c r="B1382" s="1" t="s">
        <v>13</v>
      </c>
      <c r="C1382" s="1" t="s">
        <v>692</v>
      </c>
      <c r="D1382">
        <v>3.5</v>
      </c>
      <c r="E1382" s="2">
        <v>46873</v>
      </c>
      <c r="F1382" s="1" t="s">
        <v>16</v>
      </c>
      <c r="G1382" s="1" t="s">
        <v>692</v>
      </c>
      <c r="H1382" s="1" t="s">
        <v>2</v>
      </c>
      <c r="I1382" s="2">
        <v>46177</v>
      </c>
      <c r="J1382" s="1" t="s">
        <v>67</v>
      </c>
      <c r="K1382" s="1" t="s">
        <v>4850</v>
      </c>
      <c r="L1382" s="2">
        <v>46177.918923611112</v>
      </c>
      <c r="M1382" s="2">
        <v>46177.921329212964</v>
      </c>
    </row>
    <row r="1383" spans="1:13" x14ac:dyDescent="0.35">
      <c r="A1383" s="1" t="s">
        <v>691</v>
      </c>
      <c r="B1383" s="1" t="s">
        <v>13</v>
      </c>
      <c r="C1383" s="1" t="s">
        <v>692</v>
      </c>
      <c r="D1383">
        <v>3.5</v>
      </c>
      <c r="E1383" s="2">
        <v>46873</v>
      </c>
      <c r="F1383" s="1" t="s">
        <v>16</v>
      </c>
      <c r="G1383" s="1" t="s">
        <v>692</v>
      </c>
      <c r="H1383" s="1" t="s">
        <v>2</v>
      </c>
      <c r="I1383" s="2">
        <v>46177</v>
      </c>
      <c r="J1383" s="1" t="s">
        <v>224</v>
      </c>
      <c r="K1383" s="1" t="s">
        <v>5038</v>
      </c>
      <c r="L1383" s="2">
        <v>46177.918923611112</v>
      </c>
      <c r="M1383" s="2">
        <v>46177.921329212964</v>
      </c>
    </row>
    <row r="1384" spans="1:13" x14ac:dyDescent="0.35">
      <c r="A1384" s="1" t="s">
        <v>691</v>
      </c>
      <c r="B1384" s="1" t="s">
        <v>13</v>
      </c>
      <c r="C1384" s="1" t="s">
        <v>692</v>
      </c>
      <c r="D1384">
        <v>3.5</v>
      </c>
      <c r="E1384" s="2">
        <v>46873</v>
      </c>
      <c r="F1384" s="1" t="s">
        <v>16</v>
      </c>
      <c r="G1384" s="1" t="s">
        <v>692</v>
      </c>
      <c r="H1384" s="1" t="s">
        <v>2</v>
      </c>
      <c r="I1384" s="2">
        <v>46177</v>
      </c>
      <c r="J1384" s="1" t="s">
        <v>17</v>
      </c>
      <c r="K1384" s="1" t="s">
        <v>2617</v>
      </c>
      <c r="L1384" s="2">
        <v>46177.92087962963</v>
      </c>
      <c r="M1384" s="2">
        <v>46177.921329212964</v>
      </c>
    </row>
    <row r="1385" spans="1:13" x14ac:dyDescent="0.35">
      <c r="A1385" s="1" t="s">
        <v>691</v>
      </c>
      <c r="B1385" s="1" t="s">
        <v>13</v>
      </c>
      <c r="C1385" s="1" t="s">
        <v>692</v>
      </c>
      <c r="D1385">
        <v>3.5</v>
      </c>
      <c r="E1385" s="2">
        <v>46873</v>
      </c>
      <c r="F1385" s="1" t="s">
        <v>16</v>
      </c>
      <c r="G1385" s="1" t="s">
        <v>692</v>
      </c>
      <c r="H1385" s="1" t="s">
        <v>2</v>
      </c>
      <c r="I1385" s="2">
        <v>46177</v>
      </c>
      <c r="J1385" s="1" t="s">
        <v>214</v>
      </c>
      <c r="K1385" s="1" t="s">
        <v>5038</v>
      </c>
      <c r="L1385" s="2">
        <v>46177.918923611112</v>
      </c>
      <c r="M1385" s="2">
        <v>46177.921329212964</v>
      </c>
    </row>
    <row r="1386" spans="1:13" x14ac:dyDescent="0.35">
      <c r="A1386" s="1" t="s">
        <v>681</v>
      </c>
      <c r="B1386" s="1" t="s">
        <v>13</v>
      </c>
      <c r="C1386" s="1" t="s">
        <v>682</v>
      </c>
      <c r="D1386">
        <v>3.375</v>
      </c>
      <c r="E1386" s="2">
        <v>48714</v>
      </c>
      <c r="F1386" s="1" t="s">
        <v>16</v>
      </c>
      <c r="G1386" s="1" t="s">
        <v>682</v>
      </c>
      <c r="H1386" s="1" t="s">
        <v>2</v>
      </c>
      <c r="I1386" s="2">
        <v>46177</v>
      </c>
      <c r="J1386" s="1" t="s">
        <v>18</v>
      </c>
      <c r="K1386" s="1" t="s">
        <v>2332</v>
      </c>
      <c r="L1386" s="2">
        <v>46177.92087962963</v>
      </c>
      <c r="M1386" s="2">
        <v>46177.921329212964</v>
      </c>
    </row>
    <row r="1387" spans="1:13" x14ac:dyDescent="0.35">
      <c r="A1387" s="1" t="s">
        <v>681</v>
      </c>
      <c r="B1387" s="1" t="s">
        <v>13</v>
      </c>
      <c r="C1387" s="1" t="s">
        <v>682</v>
      </c>
      <c r="D1387">
        <v>3.375</v>
      </c>
      <c r="E1387" s="2">
        <v>48714</v>
      </c>
      <c r="F1387" s="1" t="s">
        <v>16</v>
      </c>
      <c r="G1387" s="1" t="s">
        <v>682</v>
      </c>
      <c r="H1387" s="1" t="s">
        <v>2</v>
      </c>
      <c r="I1387" s="2">
        <v>46177</v>
      </c>
      <c r="J1387" s="1" t="s">
        <v>17</v>
      </c>
      <c r="K1387" s="1" t="s">
        <v>4653</v>
      </c>
      <c r="L1387" s="2">
        <v>46177.92087962963</v>
      </c>
      <c r="M1387" s="2">
        <v>46177.921329212964</v>
      </c>
    </row>
    <row r="1388" spans="1:13" x14ac:dyDescent="0.35">
      <c r="A1388" s="1" t="s">
        <v>681</v>
      </c>
      <c r="B1388" s="1" t="s">
        <v>13</v>
      </c>
      <c r="C1388" s="1" t="s">
        <v>682</v>
      </c>
      <c r="D1388">
        <v>3.375</v>
      </c>
      <c r="E1388" s="2">
        <v>48714</v>
      </c>
      <c r="F1388" s="1" t="s">
        <v>16</v>
      </c>
      <c r="G1388" s="1" t="s">
        <v>682</v>
      </c>
      <c r="H1388" s="1" t="s">
        <v>2</v>
      </c>
      <c r="I1388" s="2">
        <v>46177</v>
      </c>
      <c r="J1388" s="1" t="s">
        <v>214</v>
      </c>
      <c r="K1388" s="1" t="s">
        <v>4712</v>
      </c>
      <c r="L1388" s="2">
        <v>46177.918923611112</v>
      </c>
      <c r="M1388" s="2">
        <v>46177.921329212964</v>
      </c>
    </row>
    <row r="1389" spans="1:13" x14ac:dyDescent="0.35">
      <c r="A1389" s="1" t="s">
        <v>681</v>
      </c>
      <c r="B1389" s="1" t="s">
        <v>13</v>
      </c>
      <c r="C1389" s="1" t="s">
        <v>682</v>
      </c>
      <c r="D1389">
        <v>3.375</v>
      </c>
      <c r="E1389" s="2">
        <v>48714</v>
      </c>
      <c r="F1389" s="1" t="s">
        <v>16</v>
      </c>
      <c r="G1389" s="1" t="s">
        <v>682</v>
      </c>
      <c r="H1389" s="1" t="s">
        <v>2</v>
      </c>
      <c r="I1389" s="2">
        <v>46177</v>
      </c>
      <c r="J1389" s="1" t="s">
        <v>224</v>
      </c>
      <c r="K1389" s="1" t="s">
        <v>4712</v>
      </c>
      <c r="L1389" s="2">
        <v>46177.918923611112</v>
      </c>
      <c r="M1389" s="2">
        <v>46177.921329212964</v>
      </c>
    </row>
    <row r="1390" spans="1:13" x14ac:dyDescent="0.35">
      <c r="A1390" s="1" t="s">
        <v>681</v>
      </c>
      <c r="B1390" s="1" t="s">
        <v>13</v>
      </c>
      <c r="C1390" s="1" t="s">
        <v>682</v>
      </c>
      <c r="D1390">
        <v>3.375</v>
      </c>
      <c r="E1390" s="2">
        <v>48714</v>
      </c>
      <c r="F1390" s="1" t="s">
        <v>16</v>
      </c>
      <c r="G1390" s="1" t="s">
        <v>682</v>
      </c>
      <c r="H1390" s="1" t="s">
        <v>2</v>
      </c>
      <c r="I1390" s="2">
        <v>46177</v>
      </c>
      <c r="J1390" s="1" t="s">
        <v>67</v>
      </c>
      <c r="K1390" s="1" t="s">
        <v>4774</v>
      </c>
      <c r="L1390" s="2">
        <v>46177.918923611112</v>
      </c>
      <c r="M1390" s="2">
        <v>46177.921329212964</v>
      </c>
    </row>
    <row r="1391" spans="1:13" x14ac:dyDescent="0.35">
      <c r="A1391" s="1" t="s">
        <v>681</v>
      </c>
      <c r="B1391" s="1" t="s">
        <v>13</v>
      </c>
      <c r="C1391" s="1" t="s">
        <v>682</v>
      </c>
      <c r="D1391">
        <v>3.375</v>
      </c>
      <c r="E1391" s="2">
        <v>48714</v>
      </c>
      <c r="F1391" s="1" t="s">
        <v>16</v>
      </c>
      <c r="G1391" s="1" t="s">
        <v>682</v>
      </c>
      <c r="H1391" s="1" t="s">
        <v>2</v>
      </c>
      <c r="I1391" s="2">
        <v>46177</v>
      </c>
      <c r="J1391" s="1" t="s">
        <v>215</v>
      </c>
      <c r="K1391" s="1" t="s">
        <v>4774</v>
      </c>
      <c r="L1391" s="2">
        <v>46177.918923611112</v>
      </c>
      <c r="M1391" s="2">
        <v>46177.921329212964</v>
      </c>
    </row>
    <row r="1392" spans="1:13" x14ac:dyDescent="0.35">
      <c r="A1392" s="1" t="s">
        <v>683</v>
      </c>
      <c r="B1392" s="1" t="s">
        <v>13</v>
      </c>
      <c r="C1392" s="1" t="s">
        <v>684</v>
      </c>
      <c r="D1392">
        <v>3.625</v>
      </c>
      <c r="E1392" s="2">
        <v>46904</v>
      </c>
      <c r="F1392" s="1" t="s">
        <v>16</v>
      </c>
      <c r="G1392" s="1" t="s">
        <v>684</v>
      </c>
      <c r="H1392" s="1" t="s">
        <v>2</v>
      </c>
      <c r="I1392" s="2">
        <v>46177</v>
      </c>
      <c r="J1392" s="1" t="s">
        <v>214</v>
      </c>
      <c r="K1392" s="1" t="s">
        <v>4891</v>
      </c>
      <c r="L1392" s="2">
        <v>46177.918923611112</v>
      </c>
      <c r="M1392" s="2">
        <v>46177.921329212964</v>
      </c>
    </row>
    <row r="1393" spans="1:13" x14ac:dyDescent="0.35">
      <c r="A1393" s="1" t="s">
        <v>683</v>
      </c>
      <c r="B1393" s="1" t="s">
        <v>13</v>
      </c>
      <c r="C1393" s="1" t="s">
        <v>684</v>
      </c>
      <c r="D1393">
        <v>3.625</v>
      </c>
      <c r="E1393" s="2">
        <v>46904</v>
      </c>
      <c r="F1393" s="1" t="s">
        <v>16</v>
      </c>
      <c r="G1393" s="1" t="s">
        <v>684</v>
      </c>
      <c r="H1393" s="1" t="s">
        <v>2</v>
      </c>
      <c r="I1393" s="2">
        <v>46177</v>
      </c>
      <c r="J1393" s="1" t="s">
        <v>224</v>
      </c>
      <c r="K1393" s="1" t="s">
        <v>4891</v>
      </c>
      <c r="L1393" s="2">
        <v>46177.918923611112</v>
      </c>
      <c r="M1393" s="2">
        <v>46177.921329212964</v>
      </c>
    </row>
    <row r="1394" spans="1:13" x14ac:dyDescent="0.35">
      <c r="A1394" s="1" t="s">
        <v>683</v>
      </c>
      <c r="B1394" s="1" t="s">
        <v>13</v>
      </c>
      <c r="C1394" s="1" t="s">
        <v>684</v>
      </c>
      <c r="D1394">
        <v>3.625</v>
      </c>
      <c r="E1394" s="2">
        <v>46904</v>
      </c>
      <c r="F1394" s="1" t="s">
        <v>16</v>
      </c>
      <c r="G1394" s="1" t="s">
        <v>684</v>
      </c>
      <c r="H1394" s="1" t="s">
        <v>2</v>
      </c>
      <c r="I1394" s="2">
        <v>46177</v>
      </c>
      <c r="J1394" s="1" t="s">
        <v>17</v>
      </c>
      <c r="K1394" s="1" t="s">
        <v>2676</v>
      </c>
      <c r="L1394" s="2">
        <v>46177.92087962963</v>
      </c>
      <c r="M1394" s="2">
        <v>46177.921329212964</v>
      </c>
    </row>
    <row r="1395" spans="1:13" x14ac:dyDescent="0.35">
      <c r="A1395" s="1" t="s">
        <v>683</v>
      </c>
      <c r="B1395" s="1" t="s">
        <v>13</v>
      </c>
      <c r="C1395" s="1" t="s">
        <v>684</v>
      </c>
      <c r="D1395">
        <v>3.625</v>
      </c>
      <c r="E1395" s="2">
        <v>46904</v>
      </c>
      <c r="F1395" s="1" t="s">
        <v>16</v>
      </c>
      <c r="G1395" s="1" t="s">
        <v>684</v>
      </c>
      <c r="H1395" s="1" t="s">
        <v>2</v>
      </c>
      <c r="I1395" s="2">
        <v>46177</v>
      </c>
      <c r="J1395" s="1" t="s">
        <v>215</v>
      </c>
      <c r="K1395" s="1" t="s">
        <v>4878</v>
      </c>
      <c r="L1395" s="2">
        <v>46177.918923611112</v>
      </c>
      <c r="M1395" s="2">
        <v>46177.921329212964</v>
      </c>
    </row>
    <row r="1396" spans="1:13" x14ac:dyDescent="0.35">
      <c r="A1396" s="1" t="s">
        <v>683</v>
      </c>
      <c r="B1396" s="1" t="s">
        <v>13</v>
      </c>
      <c r="C1396" s="1" t="s">
        <v>684</v>
      </c>
      <c r="D1396">
        <v>3.625</v>
      </c>
      <c r="E1396" s="2">
        <v>46904</v>
      </c>
      <c r="F1396" s="1" t="s">
        <v>16</v>
      </c>
      <c r="G1396" s="1" t="s">
        <v>684</v>
      </c>
      <c r="H1396" s="1" t="s">
        <v>2</v>
      </c>
      <c r="I1396" s="2">
        <v>46177</v>
      </c>
      <c r="J1396" s="1" t="s">
        <v>67</v>
      </c>
      <c r="K1396" s="1" t="s">
        <v>4878</v>
      </c>
      <c r="L1396" s="2">
        <v>46177.918923611112</v>
      </c>
      <c r="M1396" s="2">
        <v>46177.921329212964</v>
      </c>
    </row>
    <row r="1397" spans="1:13" x14ac:dyDescent="0.35">
      <c r="A1397" s="1" t="s">
        <v>683</v>
      </c>
      <c r="B1397" s="1" t="s">
        <v>13</v>
      </c>
      <c r="C1397" s="1" t="s">
        <v>684</v>
      </c>
      <c r="D1397">
        <v>3.625</v>
      </c>
      <c r="E1397" s="2">
        <v>46904</v>
      </c>
      <c r="F1397" s="1" t="s">
        <v>16</v>
      </c>
      <c r="G1397" s="1" t="s">
        <v>684</v>
      </c>
      <c r="H1397" s="1" t="s">
        <v>2</v>
      </c>
      <c r="I1397" s="2">
        <v>46177</v>
      </c>
      <c r="J1397" s="1" t="s">
        <v>18</v>
      </c>
      <c r="K1397" s="1" t="s">
        <v>2952</v>
      </c>
      <c r="L1397" s="2">
        <v>46177.92087962963</v>
      </c>
      <c r="M1397" s="2">
        <v>46177.921329212964</v>
      </c>
    </row>
    <row r="1398" spans="1:13" x14ac:dyDescent="0.35">
      <c r="A1398" s="1" t="s">
        <v>685</v>
      </c>
      <c r="B1398" s="1" t="s">
        <v>13</v>
      </c>
      <c r="C1398" s="1" t="s">
        <v>686</v>
      </c>
      <c r="D1398">
        <v>3.75</v>
      </c>
      <c r="E1398" s="2">
        <v>47634</v>
      </c>
      <c r="F1398" s="1" t="s">
        <v>16</v>
      </c>
      <c r="G1398" s="1" t="s">
        <v>686</v>
      </c>
      <c r="H1398" s="1" t="s">
        <v>2</v>
      </c>
      <c r="I1398" s="2">
        <v>46177</v>
      </c>
      <c r="J1398" s="1" t="s">
        <v>214</v>
      </c>
      <c r="K1398" s="1" t="s">
        <v>4838</v>
      </c>
      <c r="L1398" s="2">
        <v>46177.918923611112</v>
      </c>
      <c r="M1398" s="2">
        <v>46177.921329212964</v>
      </c>
    </row>
    <row r="1399" spans="1:13" x14ac:dyDescent="0.35">
      <c r="A1399" s="1" t="s">
        <v>685</v>
      </c>
      <c r="B1399" s="1" t="s">
        <v>13</v>
      </c>
      <c r="C1399" s="1" t="s">
        <v>686</v>
      </c>
      <c r="D1399">
        <v>3.75</v>
      </c>
      <c r="E1399" s="2">
        <v>47634</v>
      </c>
      <c r="F1399" s="1" t="s">
        <v>16</v>
      </c>
      <c r="G1399" s="1" t="s">
        <v>686</v>
      </c>
      <c r="H1399" s="1" t="s">
        <v>2</v>
      </c>
      <c r="I1399" s="2">
        <v>46177</v>
      </c>
      <c r="J1399" s="1" t="s">
        <v>67</v>
      </c>
      <c r="K1399" s="1" t="s">
        <v>4892</v>
      </c>
      <c r="L1399" s="2">
        <v>46177.918923611112</v>
      </c>
      <c r="M1399" s="2">
        <v>46177.921329212964</v>
      </c>
    </row>
    <row r="1400" spans="1:13" x14ac:dyDescent="0.35">
      <c r="A1400" s="1" t="s">
        <v>685</v>
      </c>
      <c r="B1400" s="1" t="s">
        <v>13</v>
      </c>
      <c r="C1400" s="1" t="s">
        <v>686</v>
      </c>
      <c r="D1400">
        <v>3.75</v>
      </c>
      <c r="E1400" s="2">
        <v>47634</v>
      </c>
      <c r="F1400" s="1" t="s">
        <v>16</v>
      </c>
      <c r="G1400" s="1" t="s">
        <v>686</v>
      </c>
      <c r="H1400" s="1" t="s">
        <v>2</v>
      </c>
      <c r="I1400" s="2">
        <v>46177</v>
      </c>
      <c r="J1400" s="1" t="s">
        <v>17</v>
      </c>
      <c r="K1400" s="1" t="s">
        <v>4879</v>
      </c>
      <c r="L1400" s="2">
        <v>46177.92087962963</v>
      </c>
      <c r="M1400" s="2">
        <v>46177.921329212964</v>
      </c>
    </row>
    <row r="1401" spans="1:13" x14ac:dyDescent="0.35">
      <c r="A1401" s="1" t="s">
        <v>685</v>
      </c>
      <c r="B1401" s="1" t="s">
        <v>13</v>
      </c>
      <c r="C1401" s="1" t="s">
        <v>686</v>
      </c>
      <c r="D1401">
        <v>3.75</v>
      </c>
      <c r="E1401" s="2">
        <v>47634</v>
      </c>
      <c r="F1401" s="1" t="s">
        <v>16</v>
      </c>
      <c r="G1401" s="1" t="s">
        <v>686</v>
      </c>
      <c r="H1401" s="1" t="s">
        <v>2</v>
      </c>
      <c r="I1401" s="2">
        <v>46177</v>
      </c>
      <c r="J1401" s="1" t="s">
        <v>18</v>
      </c>
      <c r="K1401" s="1" t="s">
        <v>2500</v>
      </c>
      <c r="L1401" s="2">
        <v>46177.92087962963</v>
      </c>
      <c r="M1401" s="2">
        <v>46177.921329212964</v>
      </c>
    </row>
    <row r="1402" spans="1:13" x14ac:dyDescent="0.35">
      <c r="A1402" s="1" t="s">
        <v>685</v>
      </c>
      <c r="B1402" s="1" t="s">
        <v>13</v>
      </c>
      <c r="C1402" s="1" t="s">
        <v>686</v>
      </c>
      <c r="D1402">
        <v>3.75</v>
      </c>
      <c r="E1402" s="2">
        <v>47634</v>
      </c>
      <c r="F1402" s="1" t="s">
        <v>16</v>
      </c>
      <c r="G1402" s="1" t="s">
        <v>686</v>
      </c>
      <c r="H1402" s="1" t="s">
        <v>2</v>
      </c>
      <c r="I1402" s="2">
        <v>46177</v>
      </c>
      <c r="J1402" s="1" t="s">
        <v>215</v>
      </c>
      <c r="K1402" s="1" t="s">
        <v>4892</v>
      </c>
      <c r="L1402" s="2">
        <v>46177.918923611112</v>
      </c>
      <c r="M1402" s="2">
        <v>46177.921329212964</v>
      </c>
    </row>
    <row r="1403" spans="1:13" x14ac:dyDescent="0.35">
      <c r="A1403" s="1" t="s">
        <v>685</v>
      </c>
      <c r="B1403" s="1" t="s">
        <v>13</v>
      </c>
      <c r="C1403" s="1" t="s">
        <v>686</v>
      </c>
      <c r="D1403">
        <v>3.75</v>
      </c>
      <c r="E1403" s="2">
        <v>47634</v>
      </c>
      <c r="F1403" s="1" t="s">
        <v>16</v>
      </c>
      <c r="G1403" s="1" t="s">
        <v>686</v>
      </c>
      <c r="H1403" s="1" t="s">
        <v>2</v>
      </c>
      <c r="I1403" s="2">
        <v>46177</v>
      </c>
      <c r="J1403" s="1" t="s">
        <v>224</v>
      </c>
      <c r="K1403" s="1" t="s">
        <v>4838</v>
      </c>
      <c r="L1403" s="2">
        <v>46177.918923611112</v>
      </c>
      <c r="M1403" s="2">
        <v>46177.921329212964</v>
      </c>
    </row>
    <row r="1404" spans="1:13" x14ac:dyDescent="0.35">
      <c r="A1404" s="1" t="s">
        <v>693</v>
      </c>
      <c r="B1404" s="1" t="s">
        <v>13</v>
      </c>
      <c r="C1404" s="1" t="s">
        <v>694</v>
      </c>
      <c r="D1404">
        <v>4.125</v>
      </c>
      <c r="E1404" s="2">
        <v>46188</v>
      </c>
      <c r="F1404" s="1" t="s">
        <v>16</v>
      </c>
      <c r="G1404" s="1" t="s">
        <v>694</v>
      </c>
      <c r="H1404" s="1" t="s">
        <v>2</v>
      </c>
      <c r="I1404" s="2">
        <v>46177</v>
      </c>
      <c r="J1404" s="1" t="s">
        <v>17</v>
      </c>
      <c r="K1404" s="1" t="s">
        <v>2921</v>
      </c>
      <c r="L1404" s="2">
        <v>46177.92087962963</v>
      </c>
      <c r="M1404" s="2">
        <v>46177.921329212964</v>
      </c>
    </row>
    <row r="1405" spans="1:13" x14ac:dyDescent="0.35">
      <c r="A1405" s="1" t="s">
        <v>693</v>
      </c>
      <c r="B1405" s="1" t="s">
        <v>13</v>
      </c>
      <c r="C1405" s="1" t="s">
        <v>694</v>
      </c>
      <c r="D1405">
        <v>4.125</v>
      </c>
      <c r="E1405" s="2">
        <v>46188</v>
      </c>
      <c r="F1405" s="1" t="s">
        <v>16</v>
      </c>
      <c r="G1405" s="1" t="s">
        <v>694</v>
      </c>
      <c r="H1405" s="1" t="s">
        <v>2</v>
      </c>
      <c r="I1405" s="2">
        <v>46177</v>
      </c>
      <c r="J1405" s="1" t="s">
        <v>214</v>
      </c>
      <c r="K1405" s="1" t="s">
        <v>4775</v>
      </c>
      <c r="L1405" s="2">
        <v>46177.918923611112</v>
      </c>
      <c r="M1405" s="2">
        <v>46177.921329212964</v>
      </c>
    </row>
    <row r="1406" spans="1:13" x14ac:dyDescent="0.35">
      <c r="A1406" s="1" t="s">
        <v>693</v>
      </c>
      <c r="B1406" s="1" t="s">
        <v>13</v>
      </c>
      <c r="C1406" s="1" t="s">
        <v>694</v>
      </c>
      <c r="D1406">
        <v>4.125</v>
      </c>
      <c r="E1406" s="2">
        <v>46188</v>
      </c>
      <c r="F1406" s="1" t="s">
        <v>16</v>
      </c>
      <c r="G1406" s="1" t="s">
        <v>694</v>
      </c>
      <c r="H1406" s="1" t="s">
        <v>2</v>
      </c>
      <c r="I1406" s="2">
        <v>46177</v>
      </c>
      <c r="J1406" s="1" t="s">
        <v>215</v>
      </c>
      <c r="K1406" s="1" t="s">
        <v>4851</v>
      </c>
      <c r="L1406" s="2">
        <v>46177.918923611112</v>
      </c>
      <c r="M1406" s="2">
        <v>46177.921329212964</v>
      </c>
    </row>
    <row r="1407" spans="1:13" x14ac:dyDescent="0.35">
      <c r="A1407" s="1" t="s">
        <v>693</v>
      </c>
      <c r="B1407" s="1" t="s">
        <v>13</v>
      </c>
      <c r="C1407" s="1" t="s">
        <v>694</v>
      </c>
      <c r="D1407">
        <v>4.125</v>
      </c>
      <c r="E1407" s="2">
        <v>46188</v>
      </c>
      <c r="F1407" s="1" t="s">
        <v>16</v>
      </c>
      <c r="G1407" s="1" t="s">
        <v>694</v>
      </c>
      <c r="H1407" s="1" t="s">
        <v>2</v>
      </c>
      <c r="I1407" s="2">
        <v>46177</v>
      </c>
      <c r="J1407" s="1" t="s">
        <v>224</v>
      </c>
      <c r="K1407" s="1" t="s">
        <v>4775</v>
      </c>
      <c r="L1407" s="2">
        <v>46177.918923611112</v>
      </c>
      <c r="M1407" s="2">
        <v>46177.921329212964</v>
      </c>
    </row>
    <row r="1408" spans="1:13" x14ac:dyDescent="0.35">
      <c r="A1408" s="1" t="s">
        <v>693</v>
      </c>
      <c r="B1408" s="1" t="s">
        <v>13</v>
      </c>
      <c r="C1408" s="1" t="s">
        <v>694</v>
      </c>
      <c r="D1408">
        <v>4.125</v>
      </c>
      <c r="E1408" s="2">
        <v>46188</v>
      </c>
      <c r="F1408" s="1" t="s">
        <v>16</v>
      </c>
      <c r="G1408" s="1" t="s">
        <v>694</v>
      </c>
      <c r="H1408" s="1" t="s">
        <v>2</v>
      </c>
      <c r="I1408" s="2">
        <v>46177</v>
      </c>
      <c r="J1408" s="1" t="s">
        <v>18</v>
      </c>
      <c r="K1408" s="1" t="s">
        <v>2608</v>
      </c>
      <c r="L1408" s="2">
        <v>46177.92087962963</v>
      </c>
      <c r="M1408" s="2">
        <v>46177.921329212964</v>
      </c>
    </row>
    <row r="1409" spans="1:13" x14ac:dyDescent="0.35">
      <c r="A1409" s="1" t="s">
        <v>693</v>
      </c>
      <c r="B1409" s="1" t="s">
        <v>13</v>
      </c>
      <c r="C1409" s="1" t="s">
        <v>694</v>
      </c>
      <c r="D1409">
        <v>4.125</v>
      </c>
      <c r="E1409" s="2">
        <v>46188</v>
      </c>
      <c r="F1409" s="1" t="s">
        <v>16</v>
      </c>
      <c r="G1409" s="1" t="s">
        <v>694</v>
      </c>
      <c r="H1409" s="1" t="s">
        <v>2</v>
      </c>
      <c r="I1409" s="2">
        <v>46177</v>
      </c>
      <c r="J1409" s="1" t="s">
        <v>67</v>
      </c>
      <c r="K1409" s="1" t="s">
        <v>4851</v>
      </c>
      <c r="L1409" s="2">
        <v>46177.918923611112</v>
      </c>
      <c r="M1409" s="2">
        <v>46177.921329212964</v>
      </c>
    </row>
    <row r="1410" spans="1:13" x14ac:dyDescent="0.35">
      <c r="A1410" s="1" t="s">
        <v>775</v>
      </c>
      <c r="B1410" s="1" t="s">
        <v>13</v>
      </c>
      <c r="C1410" s="1" t="s">
        <v>776</v>
      </c>
      <c r="D1410">
        <v>3.75</v>
      </c>
      <c r="E1410" s="2">
        <v>47664</v>
      </c>
      <c r="F1410" s="1" t="s">
        <v>16</v>
      </c>
      <c r="G1410" s="1" t="s">
        <v>776</v>
      </c>
      <c r="H1410" s="1" t="s">
        <v>2</v>
      </c>
      <c r="I1410" s="2">
        <v>46177</v>
      </c>
      <c r="J1410" s="1" t="s">
        <v>18</v>
      </c>
      <c r="K1410" s="1" t="s">
        <v>2470</v>
      </c>
      <c r="L1410" s="2">
        <v>46177.92087962963</v>
      </c>
      <c r="M1410" s="2">
        <v>46177.921329212964</v>
      </c>
    </row>
    <row r="1411" spans="1:13" x14ac:dyDescent="0.35">
      <c r="A1411" s="1" t="s">
        <v>775</v>
      </c>
      <c r="B1411" s="1" t="s">
        <v>13</v>
      </c>
      <c r="C1411" s="1" t="s">
        <v>776</v>
      </c>
      <c r="D1411">
        <v>3.75</v>
      </c>
      <c r="E1411" s="2">
        <v>47664</v>
      </c>
      <c r="F1411" s="1" t="s">
        <v>16</v>
      </c>
      <c r="G1411" s="1" t="s">
        <v>776</v>
      </c>
      <c r="H1411" s="1" t="s">
        <v>2</v>
      </c>
      <c r="I1411" s="2">
        <v>46177</v>
      </c>
      <c r="J1411" s="1" t="s">
        <v>67</v>
      </c>
      <c r="K1411" s="1" t="s">
        <v>4777</v>
      </c>
      <c r="L1411" s="2">
        <v>46177.918923611112</v>
      </c>
      <c r="M1411" s="2">
        <v>46177.921329212964</v>
      </c>
    </row>
    <row r="1412" spans="1:13" x14ac:dyDescent="0.35">
      <c r="A1412" s="1" t="s">
        <v>775</v>
      </c>
      <c r="B1412" s="1" t="s">
        <v>13</v>
      </c>
      <c r="C1412" s="1" t="s">
        <v>776</v>
      </c>
      <c r="D1412">
        <v>3.75</v>
      </c>
      <c r="E1412" s="2">
        <v>47664</v>
      </c>
      <c r="F1412" s="1" t="s">
        <v>16</v>
      </c>
      <c r="G1412" s="1" t="s">
        <v>776</v>
      </c>
      <c r="H1412" s="1" t="s">
        <v>2</v>
      </c>
      <c r="I1412" s="2">
        <v>46177</v>
      </c>
      <c r="J1412" s="1" t="s">
        <v>224</v>
      </c>
      <c r="K1412" s="1" t="s">
        <v>4776</v>
      </c>
      <c r="L1412" s="2">
        <v>46177.918923611112</v>
      </c>
      <c r="M1412" s="2">
        <v>46177.921329212964</v>
      </c>
    </row>
    <row r="1413" spans="1:13" x14ac:dyDescent="0.35">
      <c r="A1413" s="1" t="s">
        <v>775</v>
      </c>
      <c r="B1413" s="1" t="s">
        <v>13</v>
      </c>
      <c r="C1413" s="1" t="s">
        <v>776</v>
      </c>
      <c r="D1413">
        <v>3.75</v>
      </c>
      <c r="E1413" s="2">
        <v>47664</v>
      </c>
      <c r="F1413" s="1" t="s">
        <v>16</v>
      </c>
      <c r="G1413" s="1" t="s">
        <v>776</v>
      </c>
      <c r="H1413" s="1" t="s">
        <v>2</v>
      </c>
      <c r="I1413" s="2">
        <v>46177</v>
      </c>
      <c r="J1413" s="1" t="s">
        <v>214</v>
      </c>
      <c r="K1413" s="1" t="s">
        <v>4776</v>
      </c>
      <c r="L1413" s="2">
        <v>46177.918923611112</v>
      </c>
      <c r="M1413" s="2">
        <v>46177.921329212964</v>
      </c>
    </row>
    <row r="1414" spans="1:13" x14ac:dyDescent="0.35">
      <c r="A1414" s="1" t="s">
        <v>775</v>
      </c>
      <c r="B1414" s="1" t="s">
        <v>13</v>
      </c>
      <c r="C1414" s="1" t="s">
        <v>776</v>
      </c>
      <c r="D1414">
        <v>3.75</v>
      </c>
      <c r="E1414" s="2">
        <v>47664</v>
      </c>
      <c r="F1414" s="1" t="s">
        <v>16</v>
      </c>
      <c r="G1414" s="1" t="s">
        <v>776</v>
      </c>
      <c r="H1414" s="1" t="s">
        <v>2</v>
      </c>
      <c r="I1414" s="2">
        <v>46177</v>
      </c>
      <c r="J1414" s="1" t="s">
        <v>215</v>
      </c>
      <c r="K1414" s="1" t="s">
        <v>4777</v>
      </c>
      <c r="L1414" s="2">
        <v>46177.918923611112</v>
      </c>
      <c r="M1414" s="2">
        <v>46177.921329212964</v>
      </c>
    </row>
    <row r="1415" spans="1:13" x14ac:dyDescent="0.35">
      <c r="A1415" s="1" t="s">
        <v>775</v>
      </c>
      <c r="B1415" s="1" t="s">
        <v>13</v>
      </c>
      <c r="C1415" s="1" t="s">
        <v>776</v>
      </c>
      <c r="D1415">
        <v>3.75</v>
      </c>
      <c r="E1415" s="2">
        <v>47664</v>
      </c>
      <c r="F1415" s="1" t="s">
        <v>16</v>
      </c>
      <c r="G1415" s="1" t="s">
        <v>776</v>
      </c>
      <c r="H1415" s="1" t="s">
        <v>2</v>
      </c>
      <c r="I1415" s="2">
        <v>46177</v>
      </c>
      <c r="J1415" s="1" t="s">
        <v>17</v>
      </c>
      <c r="K1415" s="1" t="s">
        <v>2488</v>
      </c>
      <c r="L1415" s="2">
        <v>46177.92087962963</v>
      </c>
      <c r="M1415" s="2">
        <v>46177.921329212964</v>
      </c>
    </row>
    <row r="1416" spans="1:13" x14ac:dyDescent="0.35">
      <c r="A1416" s="1" t="s">
        <v>771</v>
      </c>
      <c r="B1416" s="1" t="s">
        <v>13</v>
      </c>
      <c r="C1416" s="1" t="s">
        <v>772</v>
      </c>
      <c r="D1416">
        <v>4</v>
      </c>
      <c r="E1416" s="2">
        <v>46934</v>
      </c>
      <c r="F1416" s="1" t="s">
        <v>16</v>
      </c>
      <c r="G1416" s="1" t="s">
        <v>772</v>
      </c>
      <c r="H1416" s="1" t="s">
        <v>2</v>
      </c>
      <c r="I1416" s="2">
        <v>46177</v>
      </c>
      <c r="J1416" s="1" t="s">
        <v>224</v>
      </c>
      <c r="K1416" s="1" t="s">
        <v>4893</v>
      </c>
      <c r="L1416" s="2">
        <v>46177.918923611112</v>
      </c>
      <c r="M1416" s="2">
        <v>46177.921329212964</v>
      </c>
    </row>
    <row r="1417" spans="1:13" x14ac:dyDescent="0.35">
      <c r="A1417" s="1" t="s">
        <v>771</v>
      </c>
      <c r="B1417" s="1" t="s">
        <v>13</v>
      </c>
      <c r="C1417" s="1" t="s">
        <v>772</v>
      </c>
      <c r="D1417">
        <v>4</v>
      </c>
      <c r="E1417" s="2">
        <v>46934</v>
      </c>
      <c r="F1417" s="1" t="s">
        <v>16</v>
      </c>
      <c r="G1417" s="1" t="s">
        <v>772</v>
      </c>
      <c r="H1417" s="1" t="s">
        <v>2</v>
      </c>
      <c r="I1417" s="2">
        <v>46177</v>
      </c>
      <c r="J1417" s="1" t="s">
        <v>18</v>
      </c>
      <c r="K1417" s="1" t="s">
        <v>2556</v>
      </c>
      <c r="L1417" s="2">
        <v>46177.92087962963</v>
      </c>
      <c r="M1417" s="2">
        <v>46177.921329212964</v>
      </c>
    </row>
    <row r="1418" spans="1:13" x14ac:dyDescent="0.35">
      <c r="A1418" s="1" t="s">
        <v>771</v>
      </c>
      <c r="B1418" s="1" t="s">
        <v>13</v>
      </c>
      <c r="C1418" s="1" t="s">
        <v>772</v>
      </c>
      <c r="D1418">
        <v>4</v>
      </c>
      <c r="E1418" s="2">
        <v>46934</v>
      </c>
      <c r="F1418" s="1" t="s">
        <v>16</v>
      </c>
      <c r="G1418" s="1" t="s">
        <v>772</v>
      </c>
      <c r="H1418" s="1" t="s">
        <v>2</v>
      </c>
      <c r="I1418" s="2">
        <v>46177</v>
      </c>
      <c r="J1418" s="1" t="s">
        <v>67</v>
      </c>
      <c r="K1418" s="1" t="s">
        <v>4778</v>
      </c>
      <c r="L1418" s="2">
        <v>46177.918923611112</v>
      </c>
      <c r="M1418" s="2">
        <v>46177.921329212964</v>
      </c>
    </row>
    <row r="1419" spans="1:13" x14ac:dyDescent="0.35">
      <c r="A1419" s="1" t="s">
        <v>771</v>
      </c>
      <c r="B1419" s="1" t="s">
        <v>13</v>
      </c>
      <c r="C1419" s="1" t="s">
        <v>772</v>
      </c>
      <c r="D1419">
        <v>4</v>
      </c>
      <c r="E1419" s="2">
        <v>46934</v>
      </c>
      <c r="F1419" s="1" t="s">
        <v>16</v>
      </c>
      <c r="G1419" s="1" t="s">
        <v>772</v>
      </c>
      <c r="H1419" s="1" t="s">
        <v>2</v>
      </c>
      <c r="I1419" s="2">
        <v>46177</v>
      </c>
      <c r="J1419" s="1" t="s">
        <v>17</v>
      </c>
      <c r="K1419" s="1" t="s">
        <v>2492</v>
      </c>
      <c r="L1419" s="2">
        <v>46177.92087962963</v>
      </c>
      <c r="M1419" s="2">
        <v>46177.921329212964</v>
      </c>
    </row>
    <row r="1420" spans="1:13" x14ac:dyDescent="0.35">
      <c r="A1420" s="1" t="s">
        <v>771</v>
      </c>
      <c r="B1420" s="1" t="s">
        <v>13</v>
      </c>
      <c r="C1420" s="1" t="s">
        <v>772</v>
      </c>
      <c r="D1420">
        <v>4</v>
      </c>
      <c r="E1420" s="2">
        <v>46934</v>
      </c>
      <c r="F1420" s="1" t="s">
        <v>16</v>
      </c>
      <c r="G1420" s="1" t="s">
        <v>772</v>
      </c>
      <c r="H1420" s="1" t="s">
        <v>2</v>
      </c>
      <c r="I1420" s="2">
        <v>46177</v>
      </c>
      <c r="J1420" s="1" t="s">
        <v>215</v>
      </c>
      <c r="K1420" s="1" t="s">
        <v>4778</v>
      </c>
      <c r="L1420" s="2">
        <v>46177.918923611112</v>
      </c>
      <c r="M1420" s="2">
        <v>46177.921329212964</v>
      </c>
    </row>
    <row r="1421" spans="1:13" x14ac:dyDescent="0.35">
      <c r="A1421" s="1" t="s">
        <v>771</v>
      </c>
      <c r="B1421" s="1" t="s">
        <v>13</v>
      </c>
      <c r="C1421" s="1" t="s">
        <v>772</v>
      </c>
      <c r="D1421">
        <v>4</v>
      </c>
      <c r="E1421" s="2">
        <v>46934</v>
      </c>
      <c r="F1421" s="1" t="s">
        <v>16</v>
      </c>
      <c r="G1421" s="1" t="s">
        <v>772</v>
      </c>
      <c r="H1421" s="1" t="s">
        <v>2</v>
      </c>
      <c r="I1421" s="2">
        <v>46177</v>
      </c>
      <c r="J1421" s="1" t="s">
        <v>214</v>
      </c>
      <c r="K1421" s="1" t="s">
        <v>4893</v>
      </c>
      <c r="L1421" s="2">
        <v>46177.918923611112</v>
      </c>
      <c r="M1421" s="2">
        <v>46177.921329212964</v>
      </c>
    </row>
    <row r="1422" spans="1:13" x14ac:dyDescent="0.35">
      <c r="A1422" s="1" t="s">
        <v>687</v>
      </c>
      <c r="B1422" s="1" t="s">
        <v>13</v>
      </c>
      <c r="C1422" s="1" t="s">
        <v>688</v>
      </c>
      <c r="D1422">
        <v>4.5</v>
      </c>
      <c r="E1422" s="2">
        <v>46218</v>
      </c>
      <c r="F1422" s="1" t="s">
        <v>16</v>
      </c>
      <c r="G1422" s="1" t="s">
        <v>688</v>
      </c>
      <c r="H1422" s="1" t="s">
        <v>2</v>
      </c>
      <c r="I1422" s="2">
        <v>46177</v>
      </c>
      <c r="J1422" s="1" t="s">
        <v>18</v>
      </c>
      <c r="K1422" s="1" t="s">
        <v>4894</v>
      </c>
      <c r="L1422" s="2">
        <v>46177.92087962963</v>
      </c>
      <c r="M1422" s="2">
        <v>46177.921329212964</v>
      </c>
    </row>
    <row r="1423" spans="1:13" x14ac:dyDescent="0.35">
      <c r="A1423" s="1" t="s">
        <v>687</v>
      </c>
      <c r="B1423" s="1" t="s">
        <v>13</v>
      </c>
      <c r="C1423" s="1" t="s">
        <v>688</v>
      </c>
      <c r="D1423">
        <v>4.5</v>
      </c>
      <c r="E1423" s="2">
        <v>46218</v>
      </c>
      <c r="F1423" s="1" t="s">
        <v>16</v>
      </c>
      <c r="G1423" s="1" t="s">
        <v>688</v>
      </c>
      <c r="H1423" s="1" t="s">
        <v>2</v>
      </c>
      <c r="I1423" s="2">
        <v>46177</v>
      </c>
      <c r="J1423" s="1" t="s">
        <v>67</v>
      </c>
      <c r="K1423" s="1" t="s">
        <v>4852</v>
      </c>
      <c r="L1423" s="2">
        <v>46177.918923611112</v>
      </c>
      <c r="M1423" s="2">
        <v>46177.921329212964</v>
      </c>
    </row>
    <row r="1424" spans="1:13" x14ac:dyDescent="0.35">
      <c r="A1424" s="1" t="s">
        <v>687</v>
      </c>
      <c r="B1424" s="1" t="s">
        <v>13</v>
      </c>
      <c r="C1424" s="1" t="s">
        <v>688</v>
      </c>
      <c r="D1424">
        <v>4.5</v>
      </c>
      <c r="E1424" s="2">
        <v>46218</v>
      </c>
      <c r="F1424" s="1" t="s">
        <v>16</v>
      </c>
      <c r="G1424" s="1" t="s">
        <v>688</v>
      </c>
      <c r="H1424" s="1" t="s">
        <v>2</v>
      </c>
      <c r="I1424" s="2">
        <v>46177</v>
      </c>
      <c r="J1424" s="1" t="s">
        <v>224</v>
      </c>
      <c r="K1424" s="1" t="s">
        <v>4839</v>
      </c>
      <c r="L1424" s="2">
        <v>46177.918923611112</v>
      </c>
      <c r="M1424" s="2">
        <v>46177.921329212964</v>
      </c>
    </row>
    <row r="1425" spans="1:13" x14ac:dyDescent="0.35">
      <c r="A1425" s="1" t="s">
        <v>687</v>
      </c>
      <c r="B1425" s="1" t="s">
        <v>13</v>
      </c>
      <c r="C1425" s="1" t="s">
        <v>688</v>
      </c>
      <c r="D1425">
        <v>4.5</v>
      </c>
      <c r="E1425" s="2">
        <v>46218</v>
      </c>
      <c r="F1425" s="1" t="s">
        <v>16</v>
      </c>
      <c r="G1425" s="1" t="s">
        <v>688</v>
      </c>
      <c r="H1425" s="1" t="s">
        <v>2</v>
      </c>
      <c r="I1425" s="2">
        <v>46177</v>
      </c>
      <c r="J1425" s="1" t="s">
        <v>215</v>
      </c>
      <c r="K1425" s="1" t="s">
        <v>4852</v>
      </c>
      <c r="L1425" s="2">
        <v>46177.918923611112</v>
      </c>
      <c r="M1425" s="2">
        <v>46177.921329212964</v>
      </c>
    </row>
    <row r="1426" spans="1:13" x14ac:dyDescent="0.35">
      <c r="A1426" s="1" t="s">
        <v>687</v>
      </c>
      <c r="B1426" s="1" t="s">
        <v>13</v>
      </c>
      <c r="C1426" s="1" t="s">
        <v>688</v>
      </c>
      <c r="D1426">
        <v>4.5</v>
      </c>
      <c r="E1426" s="2">
        <v>46218</v>
      </c>
      <c r="F1426" s="1" t="s">
        <v>16</v>
      </c>
      <c r="G1426" s="1" t="s">
        <v>688</v>
      </c>
      <c r="H1426" s="1" t="s">
        <v>2</v>
      </c>
      <c r="I1426" s="2">
        <v>46177</v>
      </c>
      <c r="J1426" s="1" t="s">
        <v>17</v>
      </c>
      <c r="K1426" s="1" t="s">
        <v>2482</v>
      </c>
      <c r="L1426" s="2">
        <v>46177.92087962963</v>
      </c>
      <c r="M1426" s="2">
        <v>46177.921329212964</v>
      </c>
    </row>
    <row r="1427" spans="1:13" x14ac:dyDescent="0.35">
      <c r="A1427" s="1" t="s">
        <v>687</v>
      </c>
      <c r="B1427" s="1" t="s">
        <v>13</v>
      </c>
      <c r="C1427" s="1" t="s">
        <v>688</v>
      </c>
      <c r="D1427">
        <v>4.5</v>
      </c>
      <c r="E1427" s="2">
        <v>46218</v>
      </c>
      <c r="F1427" s="1" t="s">
        <v>16</v>
      </c>
      <c r="G1427" s="1" t="s">
        <v>688</v>
      </c>
      <c r="H1427" s="1" t="s">
        <v>2</v>
      </c>
      <c r="I1427" s="2">
        <v>46177</v>
      </c>
      <c r="J1427" s="1" t="s">
        <v>214</v>
      </c>
      <c r="K1427" s="1" t="s">
        <v>4839</v>
      </c>
      <c r="L1427" s="2">
        <v>46177.918923611112</v>
      </c>
      <c r="M1427" s="2">
        <v>46177.921329212964</v>
      </c>
    </row>
    <row r="1428" spans="1:13" x14ac:dyDescent="0.35">
      <c r="A1428" s="1" t="s">
        <v>695</v>
      </c>
      <c r="B1428" s="1" t="s">
        <v>13</v>
      </c>
      <c r="C1428" s="1" t="s">
        <v>696</v>
      </c>
      <c r="D1428">
        <v>1.375</v>
      </c>
      <c r="E1428" s="2">
        <v>48775</v>
      </c>
      <c r="F1428" s="1" t="s">
        <v>64</v>
      </c>
      <c r="G1428" s="1" t="s">
        <v>696</v>
      </c>
      <c r="H1428" s="1" t="s">
        <v>2</v>
      </c>
      <c r="I1428" s="2">
        <v>46177</v>
      </c>
      <c r="J1428" s="1" t="s">
        <v>214</v>
      </c>
      <c r="K1428" s="1" t="s">
        <v>4953</v>
      </c>
      <c r="L1428" s="2">
        <v>46177.918923611112</v>
      </c>
      <c r="M1428" s="2">
        <v>46177.921329212964</v>
      </c>
    </row>
    <row r="1429" spans="1:13" x14ac:dyDescent="0.35">
      <c r="A1429" s="1" t="s">
        <v>695</v>
      </c>
      <c r="B1429" s="1" t="s">
        <v>13</v>
      </c>
      <c r="C1429" s="1" t="s">
        <v>696</v>
      </c>
      <c r="D1429">
        <v>1.375</v>
      </c>
      <c r="E1429" s="2">
        <v>48775</v>
      </c>
      <c r="F1429" s="1" t="s">
        <v>64</v>
      </c>
      <c r="G1429" s="1" t="s">
        <v>696</v>
      </c>
      <c r="H1429" s="1" t="s">
        <v>2</v>
      </c>
      <c r="I1429" s="2">
        <v>46177</v>
      </c>
      <c r="J1429" s="1" t="s">
        <v>67</v>
      </c>
      <c r="K1429" s="1" t="s">
        <v>4902</v>
      </c>
      <c r="L1429" s="2">
        <v>46177.918923611112</v>
      </c>
      <c r="M1429" s="2">
        <v>46177.921329212964</v>
      </c>
    </row>
    <row r="1430" spans="1:13" x14ac:dyDescent="0.35">
      <c r="A1430" s="1" t="s">
        <v>695</v>
      </c>
      <c r="B1430" s="1" t="s">
        <v>13</v>
      </c>
      <c r="C1430" s="1" t="s">
        <v>696</v>
      </c>
      <c r="D1430">
        <v>1.375</v>
      </c>
      <c r="E1430" s="2">
        <v>48775</v>
      </c>
      <c r="F1430" s="1" t="s">
        <v>64</v>
      </c>
      <c r="G1430" s="1" t="s">
        <v>696</v>
      </c>
      <c r="H1430" s="1" t="s">
        <v>2</v>
      </c>
      <c r="I1430" s="2">
        <v>46177</v>
      </c>
      <c r="J1430" s="1" t="s">
        <v>215</v>
      </c>
      <c r="K1430" s="1" t="s">
        <v>4902</v>
      </c>
      <c r="L1430" s="2">
        <v>46177.918923611112</v>
      </c>
      <c r="M1430" s="2">
        <v>46177.921329212964</v>
      </c>
    </row>
    <row r="1431" spans="1:13" x14ac:dyDescent="0.35">
      <c r="A1431" s="1" t="s">
        <v>695</v>
      </c>
      <c r="B1431" s="1" t="s">
        <v>13</v>
      </c>
      <c r="C1431" s="1" t="s">
        <v>696</v>
      </c>
      <c r="D1431">
        <v>1.375</v>
      </c>
      <c r="E1431" s="2">
        <v>48775</v>
      </c>
      <c r="F1431" s="1" t="s">
        <v>64</v>
      </c>
      <c r="G1431" s="1" t="s">
        <v>696</v>
      </c>
      <c r="H1431" s="1" t="s">
        <v>2</v>
      </c>
      <c r="I1431" s="2">
        <v>46177</v>
      </c>
      <c r="J1431" s="1" t="s">
        <v>18</v>
      </c>
      <c r="K1431" s="1" t="s">
        <v>2933</v>
      </c>
      <c r="L1431" s="2">
        <v>46177.92087962963</v>
      </c>
      <c r="M1431" s="2">
        <v>46177.921329212964</v>
      </c>
    </row>
    <row r="1432" spans="1:13" x14ac:dyDescent="0.35">
      <c r="A1432" s="1" t="s">
        <v>695</v>
      </c>
      <c r="B1432" s="1" t="s">
        <v>13</v>
      </c>
      <c r="C1432" s="1" t="s">
        <v>696</v>
      </c>
      <c r="D1432">
        <v>1.375</v>
      </c>
      <c r="E1432" s="2">
        <v>48775</v>
      </c>
      <c r="F1432" s="1" t="s">
        <v>64</v>
      </c>
      <c r="G1432" s="1" t="s">
        <v>696</v>
      </c>
      <c r="H1432" s="1" t="s">
        <v>2</v>
      </c>
      <c r="I1432" s="2">
        <v>46177</v>
      </c>
      <c r="J1432" s="1" t="s">
        <v>17</v>
      </c>
      <c r="K1432" s="1" t="s">
        <v>2627</v>
      </c>
      <c r="L1432" s="2">
        <v>46177.92087962963</v>
      </c>
      <c r="M1432" s="2">
        <v>46177.921329212964</v>
      </c>
    </row>
    <row r="1433" spans="1:13" x14ac:dyDescent="0.35">
      <c r="A1433" s="1" t="s">
        <v>695</v>
      </c>
      <c r="B1433" s="1" t="s">
        <v>13</v>
      </c>
      <c r="C1433" s="1" t="s">
        <v>696</v>
      </c>
      <c r="D1433">
        <v>1.375</v>
      </c>
      <c r="E1433" s="2">
        <v>48775</v>
      </c>
      <c r="F1433" s="1" t="s">
        <v>64</v>
      </c>
      <c r="G1433" s="1" t="s">
        <v>696</v>
      </c>
      <c r="H1433" s="1" t="s">
        <v>2</v>
      </c>
      <c r="I1433" s="2">
        <v>46177</v>
      </c>
      <c r="J1433" s="1" t="s">
        <v>224</v>
      </c>
      <c r="K1433" s="1" t="s">
        <v>4953</v>
      </c>
      <c r="L1433" s="2">
        <v>46177.918923611112</v>
      </c>
      <c r="M1433" s="2">
        <v>46177.921329212964</v>
      </c>
    </row>
    <row r="1434" spans="1:13" x14ac:dyDescent="0.35">
      <c r="A1434" s="1" t="s">
        <v>725</v>
      </c>
      <c r="B1434" s="1" t="s">
        <v>13</v>
      </c>
      <c r="C1434" s="1" t="s">
        <v>726</v>
      </c>
      <c r="D1434">
        <v>4.125</v>
      </c>
      <c r="E1434" s="2">
        <v>46965</v>
      </c>
      <c r="F1434" s="1" t="s">
        <v>16</v>
      </c>
      <c r="G1434" s="1" t="s">
        <v>726</v>
      </c>
      <c r="H1434" s="1" t="s">
        <v>2</v>
      </c>
      <c r="I1434" s="2">
        <v>46177</v>
      </c>
      <c r="J1434" s="1" t="s">
        <v>215</v>
      </c>
      <c r="K1434" s="1" t="s">
        <v>4880</v>
      </c>
      <c r="L1434" s="2">
        <v>46177.918923611112</v>
      </c>
      <c r="M1434" s="2">
        <v>46177.921329212964</v>
      </c>
    </row>
    <row r="1435" spans="1:13" x14ac:dyDescent="0.35">
      <c r="A1435" s="1" t="s">
        <v>725</v>
      </c>
      <c r="B1435" s="1" t="s">
        <v>13</v>
      </c>
      <c r="C1435" s="1" t="s">
        <v>726</v>
      </c>
      <c r="D1435">
        <v>4.125</v>
      </c>
      <c r="E1435" s="2">
        <v>46965</v>
      </c>
      <c r="F1435" s="1" t="s">
        <v>16</v>
      </c>
      <c r="G1435" s="1" t="s">
        <v>726</v>
      </c>
      <c r="H1435" s="1" t="s">
        <v>2</v>
      </c>
      <c r="I1435" s="2">
        <v>46177</v>
      </c>
      <c r="J1435" s="1" t="s">
        <v>214</v>
      </c>
      <c r="K1435" s="1" t="s">
        <v>5043</v>
      </c>
      <c r="L1435" s="2">
        <v>46177.918923611112</v>
      </c>
      <c r="M1435" s="2">
        <v>46177.921329212964</v>
      </c>
    </row>
    <row r="1436" spans="1:13" x14ac:dyDescent="0.35">
      <c r="A1436" s="1" t="s">
        <v>725</v>
      </c>
      <c r="B1436" s="1" t="s">
        <v>13</v>
      </c>
      <c r="C1436" s="1" t="s">
        <v>726</v>
      </c>
      <c r="D1436">
        <v>4.125</v>
      </c>
      <c r="E1436" s="2">
        <v>46965</v>
      </c>
      <c r="F1436" s="1" t="s">
        <v>16</v>
      </c>
      <c r="G1436" s="1" t="s">
        <v>726</v>
      </c>
      <c r="H1436" s="1" t="s">
        <v>2</v>
      </c>
      <c r="I1436" s="2">
        <v>46177</v>
      </c>
      <c r="J1436" s="1" t="s">
        <v>67</v>
      </c>
      <c r="K1436" s="1" t="s">
        <v>4880</v>
      </c>
      <c r="L1436" s="2">
        <v>46177.918923611112</v>
      </c>
      <c r="M1436" s="2">
        <v>46177.921329212964</v>
      </c>
    </row>
    <row r="1437" spans="1:13" x14ac:dyDescent="0.35">
      <c r="A1437" s="1" t="s">
        <v>725</v>
      </c>
      <c r="B1437" s="1" t="s">
        <v>13</v>
      </c>
      <c r="C1437" s="1" t="s">
        <v>726</v>
      </c>
      <c r="D1437">
        <v>4.125</v>
      </c>
      <c r="E1437" s="2">
        <v>46965</v>
      </c>
      <c r="F1437" s="1" t="s">
        <v>16</v>
      </c>
      <c r="G1437" s="1" t="s">
        <v>726</v>
      </c>
      <c r="H1437" s="1" t="s">
        <v>2</v>
      </c>
      <c r="I1437" s="2">
        <v>46177</v>
      </c>
      <c r="J1437" s="1" t="s">
        <v>17</v>
      </c>
      <c r="K1437" s="1" t="s">
        <v>2422</v>
      </c>
      <c r="L1437" s="2">
        <v>46177.92087962963</v>
      </c>
      <c r="M1437" s="2">
        <v>46177.921329212964</v>
      </c>
    </row>
    <row r="1438" spans="1:13" x14ac:dyDescent="0.35">
      <c r="A1438" s="1" t="s">
        <v>725</v>
      </c>
      <c r="B1438" s="1" t="s">
        <v>13</v>
      </c>
      <c r="C1438" s="1" t="s">
        <v>726</v>
      </c>
      <c r="D1438">
        <v>4.125</v>
      </c>
      <c r="E1438" s="2">
        <v>46965</v>
      </c>
      <c r="F1438" s="1" t="s">
        <v>16</v>
      </c>
      <c r="G1438" s="1" t="s">
        <v>726</v>
      </c>
      <c r="H1438" s="1" t="s">
        <v>2</v>
      </c>
      <c r="I1438" s="2">
        <v>46177</v>
      </c>
      <c r="J1438" s="1" t="s">
        <v>224</v>
      </c>
      <c r="K1438" s="1" t="s">
        <v>5043</v>
      </c>
      <c r="L1438" s="2">
        <v>46177.918923611112</v>
      </c>
      <c r="M1438" s="2">
        <v>46177.921329212964</v>
      </c>
    </row>
    <row r="1439" spans="1:13" x14ac:dyDescent="0.35">
      <c r="A1439" s="1" t="s">
        <v>725</v>
      </c>
      <c r="B1439" s="1" t="s">
        <v>13</v>
      </c>
      <c r="C1439" s="1" t="s">
        <v>726</v>
      </c>
      <c r="D1439">
        <v>4.125</v>
      </c>
      <c r="E1439" s="2">
        <v>46965</v>
      </c>
      <c r="F1439" s="1" t="s">
        <v>16</v>
      </c>
      <c r="G1439" s="1" t="s">
        <v>726</v>
      </c>
      <c r="H1439" s="1" t="s">
        <v>2</v>
      </c>
      <c r="I1439" s="2">
        <v>46177</v>
      </c>
      <c r="J1439" s="1" t="s">
        <v>18</v>
      </c>
      <c r="K1439" s="1" t="s">
        <v>2405</v>
      </c>
      <c r="L1439" s="2">
        <v>46177.92087962963</v>
      </c>
      <c r="M1439" s="2">
        <v>46177.921329212964</v>
      </c>
    </row>
    <row r="1440" spans="1:13" x14ac:dyDescent="0.35">
      <c r="A1440" s="1" t="s">
        <v>777</v>
      </c>
      <c r="B1440" s="1" t="s">
        <v>13</v>
      </c>
      <c r="C1440" s="1" t="s">
        <v>778</v>
      </c>
      <c r="D1440">
        <v>4</v>
      </c>
      <c r="E1440" s="2">
        <v>47695</v>
      </c>
      <c r="F1440" s="1" t="s">
        <v>16</v>
      </c>
      <c r="G1440" s="1" t="s">
        <v>778</v>
      </c>
      <c r="H1440" s="1" t="s">
        <v>2</v>
      </c>
      <c r="I1440" s="2">
        <v>46177</v>
      </c>
      <c r="J1440" s="1" t="s">
        <v>18</v>
      </c>
      <c r="K1440" s="1" t="s">
        <v>2498</v>
      </c>
      <c r="L1440" s="2">
        <v>46177.92087962963</v>
      </c>
      <c r="M1440" s="2">
        <v>46177.921329212964</v>
      </c>
    </row>
    <row r="1441" spans="1:13" x14ac:dyDescent="0.35">
      <c r="A1441" s="1" t="s">
        <v>777</v>
      </c>
      <c r="B1441" s="1" t="s">
        <v>13</v>
      </c>
      <c r="C1441" s="1" t="s">
        <v>778</v>
      </c>
      <c r="D1441">
        <v>4</v>
      </c>
      <c r="E1441" s="2">
        <v>47695</v>
      </c>
      <c r="F1441" s="1" t="s">
        <v>16</v>
      </c>
      <c r="G1441" s="1" t="s">
        <v>778</v>
      </c>
      <c r="H1441" s="1" t="s">
        <v>2</v>
      </c>
      <c r="I1441" s="2">
        <v>46177</v>
      </c>
      <c r="J1441" s="1" t="s">
        <v>17</v>
      </c>
      <c r="K1441" s="1" t="s">
        <v>678</v>
      </c>
      <c r="L1441" s="2">
        <v>46177.92087962963</v>
      </c>
      <c r="M1441" s="2">
        <v>46177.921329212964</v>
      </c>
    </row>
    <row r="1442" spans="1:13" x14ac:dyDescent="0.35">
      <c r="A1442" s="1" t="s">
        <v>777</v>
      </c>
      <c r="B1442" s="1" t="s">
        <v>13</v>
      </c>
      <c r="C1442" s="1" t="s">
        <v>778</v>
      </c>
      <c r="D1442">
        <v>4</v>
      </c>
      <c r="E1442" s="2">
        <v>47695</v>
      </c>
      <c r="F1442" s="1" t="s">
        <v>16</v>
      </c>
      <c r="G1442" s="1" t="s">
        <v>778</v>
      </c>
      <c r="H1442" s="1" t="s">
        <v>2</v>
      </c>
      <c r="I1442" s="2">
        <v>46177</v>
      </c>
      <c r="J1442" s="1" t="s">
        <v>67</v>
      </c>
      <c r="K1442" s="1" t="s">
        <v>4779</v>
      </c>
      <c r="L1442" s="2">
        <v>46177.918923611112</v>
      </c>
      <c r="M1442" s="2">
        <v>46177.921329212964</v>
      </c>
    </row>
    <row r="1443" spans="1:13" x14ac:dyDescent="0.35">
      <c r="A1443" s="1" t="s">
        <v>777</v>
      </c>
      <c r="B1443" s="1" t="s">
        <v>13</v>
      </c>
      <c r="C1443" s="1" t="s">
        <v>778</v>
      </c>
      <c r="D1443">
        <v>4</v>
      </c>
      <c r="E1443" s="2">
        <v>47695</v>
      </c>
      <c r="F1443" s="1" t="s">
        <v>16</v>
      </c>
      <c r="G1443" s="1" t="s">
        <v>778</v>
      </c>
      <c r="H1443" s="1" t="s">
        <v>2</v>
      </c>
      <c r="I1443" s="2">
        <v>46177</v>
      </c>
      <c r="J1443" s="1" t="s">
        <v>214</v>
      </c>
      <c r="K1443" s="1" t="s">
        <v>5039</v>
      </c>
      <c r="L1443" s="2">
        <v>46177.918923611112</v>
      </c>
      <c r="M1443" s="2">
        <v>46177.921329212964</v>
      </c>
    </row>
    <row r="1444" spans="1:13" x14ac:dyDescent="0.35">
      <c r="A1444" s="1" t="s">
        <v>777</v>
      </c>
      <c r="B1444" s="1" t="s">
        <v>13</v>
      </c>
      <c r="C1444" s="1" t="s">
        <v>778</v>
      </c>
      <c r="D1444">
        <v>4</v>
      </c>
      <c r="E1444" s="2">
        <v>47695</v>
      </c>
      <c r="F1444" s="1" t="s">
        <v>16</v>
      </c>
      <c r="G1444" s="1" t="s">
        <v>778</v>
      </c>
      <c r="H1444" s="1" t="s">
        <v>2</v>
      </c>
      <c r="I1444" s="2">
        <v>46177</v>
      </c>
      <c r="J1444" s="1" t="s">
        <v>215</v>
      </c>
      <c r="K1444" s="1" t="s">
        <v>4779</v>
      </c>
      <c r="L1444" s="2">
        <v>46177.918923611112</v>
      </c>
      <c r="M1444" s="2">
        <v>46177.921329212964</v>
      </c>
    </row>
    <row r="1445" spans="1:13" x14ac:dyDescent="0.35">
      <c r="A1445" s="1" t="s">
        <v>777</v>
      </c>
      <c r="B1445" s="1" t="s">
        <v>13</v>
      </c>
      <c r="C1445" s="1" t="s">
        <v>778</v>
      </c>
      <c r="D1445">
        <v>4</v>
      </c>
      <c r="E1445" s="2">
        <v>47695</v>
      </c>
      <c r="F1445" s="1" t="s">
        <v>16</v>
      </c>
      <c r="G1445" s="1" t="s">
        <v>778</v>
      </c>
      <c r="H1445" s="1" t="s">
        <v>2</v>
      </c>
      <c r="I1445" s="2">
        <v>46177</v>
      </c>
      <c r="J1445" s="1" t="s">
        <v>224</v>
      </c>
      <c r="K1445" s="1" t="s">
        <v>5039</v>
      </c>
      <c r="L1445" s="2">
        <v>46177.918923611112</v>
      </c>
      <c r="M1445" s="2">
        <v>46177.921329212964</v>
      </c>
    </row>
    <row r="1446" spans="1:13" x14ac:dyDescent="0.35">
      <c r="A1446" s="1" t="s">
        <v>697</v>
      </c>
      <c r="B1446" s="1" t="s">
        <v>13</v>
      </c>
      <c r="C1446" s="1" t="s">
        <v>698</v>
      </c>
      <c r="D1446">
        <v>3.875</v>
      </c>
      <c r="E1446" s="2">
        <v>48806</v>
      </c>
      <c r="F1446" s="1" t="s">
        <v>16</v>
      </c>
      <c r="G1446" s="1" t="s">
        <v>698</v>
      </c>
      <c r="H1446" s="1" t="s">
        <v>2</v>
      </c>
      <c r="I1446" s="2">
        <v>46177</v>
      </c>
      <c r="J1446" s="1" t="s">
        <v>67</v>
      </c>
      <c r="K1446" s="1" t="s">
        <v>4881</v>
      </c>
      <c r="L1446" s="2">
        <v>46177.918923611112</v>
      </c>
      <c r="M1446" s="2">
        <v>46177.921329212964</v>
      </c>
    </row>
    <row r="1447" spans="1:13" x14ac:dyDescent="0.35">
      <c r="A1447" s="1" t="s">
        <v>697</v>
      </c>
      <c r="B1447" s="1" t="s">
        <v>13</v>
      </c>
      <c r="C1447" s="1" t="s">
        <v>698</v>
      </c>
      <c r="D1447">
        <v>3.875</v>
      </c>
      <c r="E1447" s="2">
        <v>48806</v>
      </c>
      <c r="F1447" s="1" t="s">
        <v>16</v>
      </c>
      <c r="G1447" s="1" t="s">
        <v>698</v>
      </c>
      <c r="H1447" s="1" t="s">
        <v>2</v>
      </c>
      <c r="I1447" s="2">
        <v>46177</v>
      </c>
      <c r="J1447" s="1" t="s">
        <v>224</v>
      </c>
      <c r="K1447" s="1" t="s">
        <v>4882</v>
      </c>
      <c r="L1447" s="2">
        <v>46177.918923611112</v>
      </c>
      <c r="M1447" s="2">
        <v>46177.921329212964</v>
      </c>
    </row>
    <row r="1448" spans="1:13" x14ac:dyDescent="0.35">
      <c r="A1448" s="1" t="s">
        <v>697</v>
      </c>
      <c r="B1448" s="1" t="s">
        <v>13</v>
      </c>
      <c r="C1448" s="1" t="s">
        <v>698</v>
      </c>
      <c r="D1448">
        <v>3.875</v>
      </c>
      <c r="E1448" s="2">
        <v>48806</v>
      </c>
      <c r="F1448" s="1" t="s">
        <v>16</v>
      </c>
      <c r="G1448" s="1" t="s">
        <v>698</v>
      </c>
      <c r="H1448" s="1" t="s">
        <v>2</v>
      </c>
      <c r="I1448" s="2">
        <v>46177</v>
      </c>
      <c r="J1448" s="1" t="s">
        <v>18</v>
      </c>
      <c r="K1448" s="1" t="s">
        <v>4903</v>
      </c>
      <c r="L1448" s="2">
        <v>46177.92087962963</v>
      </c>
      <c r="M1448" s="2">
        <v>46177.921329212964</v>
      </c>
    </row>
    <row r="1449" spans="1:13" x14ac:dyDescent="0.35">
      <c r="A1449" s="1" t="s">
        <v>697</v>
      </c>
      <c r="B1449" s="1" t="s">
        <v>13</v>
      </c>
      <c r="C1449" s="1" t="s">
        <v>698</v>
      </c>
      <c r="D1449">
        <v>3.875</v>
      </c>
      <c r="E1449" s="2">
        <v>48806</v>
      </c>
      <c r="F1449" s="1" t="s">
        <v>16</v>
      </c>
      <c r="G1449" s="1" t="s">
        <v>698</v>
      </c>
      <c r="H1449" s="1" t="s">
        <v>2</v>
      </c>
      <c r="I1449" s="2">
        <v>46177</v>
      </c>
      <c r="J1449" s="1" t="s">
        <v>214</v>
      </c>
      <c r="K1449" s="1" t="s">
        <v>4882</v>
      </c>
      <c r="L1449" s="2">
        <v>46177.918923611112</v>
      </c>
      <c r="M1449" s="2">
        <v>46177.921329212964</v>
      </c>
    </row>
    <row r="1450" spans="1:13" x14ac:dyDescent="0.35">
      <c r="A1450" s="1" t="s">
        <v>697</v>
      </c>
      <c r="B1450" s="1" t="s">
        <v>13</v>
      </c>
      <c r="C1450" s="1" t="s">
        <v>698</v>
      </c>
      <c r="D1450">
        <v>3.875</v>
      </c>
      <c r="E1450" s="2">
        <v>48806</v>
      </c>
      <c r="F1450" s="1" t="s">
        <v>16</v>
      </c>
      <c r="G1450" s="1" t="s">
        <v>698</v>
      </c>
      <c r="H1450" s="1" t="s">
        <v>2</v>
      </c>
      <c r="I1450" s="2">
        <v>46177</v>
      </c>
      <c r="J1450" s="1" t="s">
        <v>17</v>
      </c>
      <c r="K1450" s="1" t="s">
        <v>2428</v>
      </c>
      <c r="L1450" s="2">
        <v>46177.92087962963</v>
      </c>
      <c r="M1450" s="2">
        <v>46177.921329212964</v>
      </c>
    </row>
    <row r="1451" spans="1:13" x14ac:dyDescent="0.35">
      <c r="A1451" s="1" t="s">
        <v>697</v>
      </c>
      <c r="B1451" s="1" t="s">
        <v>13</v>
      </c>
      <c r="C1451" s="1" t="s">
        <v>698</v>
      </c>
      <c r="D1451">
        <v>3.875</v>
      </c>
      <c r="E1451" s="2">
        <v>48806</v>
      </c>
      <c r="F1451" s="1" t="s">
        <v>16</v>
      </c>
      <c r="G1451" s="1" t="s">
        <v>698</v>
      </c>
      <c r="H1451" s="1" t="s">
        <v>2</v>
      </c>
      <c r="I1451" s="2">
        <v>46177</v>
      </c>
      <c r="J1451" s="1" t="s">
        <v>215</v>
      </c>
      <c r="K1451" s="1" t="s">
        <v>4881</v>
      </c>
      <c r="L1451" s="2">
        <v>46177.918923611112</v>
      </c>
      <c r="M1451" s="2">
        <v>46177.921329212964</v>
      </c>
    </row>
    <row r="1452" spans="1:13" x14ac:dyDescent="0.35">
      <c r="A1452" s="1" t="s">
        <v>727</v>
      </c>
      <c r="B1452" s="1" t="s">
        <v>13</v>
      </c>
      <c r="C1452" s="1" t="s">
        <v>728</v>
      </c>
      <c r="D1452">
        <v>4.375</v>
      </c>
      <c r="E1452" s="2">
        <v>46249</v>
      </c>
      <c r="F1452" s="1" t="s">
        <v>16</v>
      </c>
      <c r="G1452" s="1" t="s">
        <v>728</v>
      </c>
      <c r="H1452" s="1" t="s">
        <v>2</v>
      </c>
      <c r="I1452" s="2">
        <v>46177</v>
      </c>
      <c r="J1452" s="1" t="s">
        <v>17</v>
      </c>
      <c r="K1452" s="1" t="s">
        <v>2935</v>
      </c>
      <c r="L1452" s="2">
        <v>46177.92087962963</v>
      </c>
      <c r="M1452" s="2">
        <v>46177.921329212964</v>
      </c>
    </row>
    <row r="1453" spans="1:13" x14ac:dyDescent="0.35">
      <c r="A1453" s="1" t="s">
        <v>727</v>
      </c>
      <c r="B1453" s="1" t="s">
        <v>13</v>
      </c>
      <c r="C1453" s="1" t="s">
        <v>728</v>
      </c>
      <c r="D1453">
        <v>4.375</v>
      </c>
      <c r="E1453" s="2">
        <v>46249</v>
      </c>
      <c r="F1453" s="1" t="s">
        <v>16</v>
      </c>
      <c r="G1453" s="1" t="s">
        <v>728</v>
      </c>
      <c r="H1453" s="1" t="s">
        <v>2</v>
      </c>
      <c r="I1453" s="2">
        <v>46177</v>
      </c>
      <c r="J1453" s="1" t="s">
        <v>215</v>
      </c>
      <c r="K1453" s="1" t="s">
        <v>4904</v>
      </c>
      <c r="L1453" s="2">
        <v>46177.918923611112</v>
      </c>
      <c r="M1453" s="2">
        <v>46177.921329212964</v>
      </c>
    </row>
    <row r="1454" spans="1:13" x14ac:dyDescent="0.35">
      <c r="A1454" s="1" t="s">
        <v>727</v>
      </c>
      <c r="B1454" s="1" t="s">
        <v>13</v>
      </c>
      <c r="C1454" s="1" t="s">
        <v>728</v>
      </c>
      <c r="D1454">
        <v>4.375</v>
      </c>
      <c r="E1454" s="2">
        <v>46249</v>
      </c>
      <c r="F1454" s="1" t="s">
        <v>16</v>
      </c>
      <c r="G1454" s="1" t="s">
        <v>728</v>
      </c>
      <c r="H1454" s="1" t="s">
        <v>2</v>
      </c>
      <c r="I1454" s="2">
        <v>46177</v>
      </c>
      <c r="J1454" s="1" t="s">
        <v>18</v>
      </c>
      <c r="K1454" s="1" t="s">
        <v>2522</v>
      </c>
      <c r="L1454" s="2">
        <v>46177.92087962963</v>
      </c>
      <c r="M1454" s="2">
        <v>46177.921329212964</v>
      </c>
    </row>
    <row r="1455" spans="1:13" x14ac:dyDescent="0.35">
      <c r="A1455" s="1" t="s">
        <v>727</v>
      </c>
      <c r="B1455" s="1" t="s">
        <v>13</v>
      </c>
      <c r="C1455" s="1" t="s">
        <v>728</v>
      </c>
      <c r="D1455">
        <v>4.375</v>
      </c>
      <c r="E1455" s="2">
        <v>46249</v>
      </c>
      <c r="F1455" s="1" t="s">
        <v>16</v>
      </c>
      <c r="G1455" s="1" t="s">
        <v>728</v>
      </c>
      <c r="H1455" s="1" t="s">
        <v>2</v>
      </c>
      <c r="I1455" s="2">
        <v>46177</v>
      </c>
      <c r="J1455" s="1" t="s">
        <v>67</v>
      </c>
      <c r="K1455" s="1" t="s">
        <v>4904</v>
      </c>
      <c r="L1455" s="2">
        <v>46177.918923611112</v>
      </c>
      <c r="M1455" s="2">
        <v>46177.921329212964</v>
      </c>
    </row>
    <row r="1456" spans="1:13" x14ac:dyDescent="0.35">
      <c r="A1456" s="1" t="s">
        <v>727</v>
      </c>
      <c r="B1456" s="1" t="s">
        <v>13</v>
      </c>
      <c r="C1456" s="1" t="s">
        <v>728</v>
      </c>
      <c r="D1456">
        <v>4.375</v>
      </c>
      <c r="E1456" s="2">
        <v>46249</v>
      </c>
      <c r="F1456" s="1" t="s">
        <v>16</v>
      </c>
      <c r="G1456" s="1" t="s">
        <v>728</v>
      </c>
      <c r="H1456" s="1" t="s">
        <v>2</v>
      </c>
      <c r="I1456" s="2">
        <v>46177</v>
      </c>
      <c r="J1456" s="1" t="s">
        <v>224</v>
      </c>
      <c r="K1456" s="1" t="s">
        <v>4780</v>
      </c>
      <c r="L1456" s="2">
        <v>46177.918923611112</v>
      </c>
      <c r="M1456" s="2">
        <v>46177.921329212964</v>
      </c>
    </row>
    <row r="1457" spans="1:13" x14ac:dyDescent="0.35">
      <c r="A1457" s="1" t="s">
        <v>727</v>
      </c>
      <c r="B1457" s="1" t="s">
        <v>13</v>
      </c>
      <c r="C1457" s="1" t="s">
        <v>728</v>
      </c>
      <c r="D1457">
        <v>4.375</v>
      </c>
      <c r="E1457" s="2">
        <v>46249</v>
      </c>
      <c r="F1457" s="1" t="s">
        <v>16</v>
      </c>
      <c r="G1457" s="1" t="s">
        <v>728</v>
      </c>
      <c r="H1457" s="1" t="s">
        <v>2</v>
      </c>
      <c r="I1457" s="2">
        <v>46177</v>
      </c>
      <c r="J1457" s="1" t="s">
        <v>214</v>
      </c>
      <c r="K1457" s="1" t="s">
        <v>4780</v>
      </c>
      <c r="L1457" s="2">
        <v>46177.918923611112</v>
      </c>
      <c r="M1457" s="2">
        <v>46177.921329212964</v>
      </c>
    </row>
    <row r="1458" spans="1:13" x14ac:dyDescent="0.35">
      <c r="A1458" s="1" t="s">
        <v>729</v>
      </c>
      <c r="B1458" s="1" t="s">
        <v>13</v>
      </c>
      <c r="C1458" s="1" t="s">
        <v>730</v>
      </c>
      <c r="D1458">
        <v>4.125</v>
      </c>
      <c r="E1458" s="2">
        <v>47726</v>
      </c>
      <c r="F1458" s="1" t="s">
        <v>16</v>
      </c>
      <c r="G1458" s="1" t="s">
        <v>730</v>
      </c>
      <c r="H1458" s="1" t="s">
        <v>2</v>
      </c>
      <c r="I1458" s="2">
        <v>46177</v>
      </c>
      <c r="J1458" s="1" t="s">
        <v>67</v>
      </c>
      <c r="K1458" s="1" t="s">
        <v>5044</v>
      </c>
      <c r="L1458" s="2">
        <v>46177.918923611112</v>
      </c>
      <c r="M1458" s="2">
        <v>46177.921329212964</v>
      </c>
    </row>
    <row r="1459" spans="1:13" x14ac:dyDescent="0.35">
      <c r="A1459" s="1" t="s">
        <v>729</v>
      </c>
      <c r="B1459" s="1" t="s">
        <v>13</v>
      </c>
      <c r="C1459" s="1" t="s">
        <v>730</v>
      </c>
      <c r="D1459">
        <v>4.125</v>
      </c>
      <c r="E1459" s="2">
        <v>47726</v>
      </c>
      <c r="F1459" s="1" t="s">
        <v>16</v>
      </c>
      <c r="G1459" s="1" t="s">
        <v>730</v>
      </c>
      <c r="H1459" s="1" t="s">
        <v>2</v>
      </c>
      <c r="I1459" s="2">
        <v>46177</v>
      </c>
      <c r="J1459" s="1" t="s">
        <v>17</v>
      </c>
      <c r="K1459" s="1" t="s">
        <v>2619</v>
      </c>
      <c r="L1459" s="2">
        <v>46177.92087962963</v>
      </c>
      <c r="M1459" s="2">
        <v>46177.921329212964</v>
      </c>
    </row>
    <row r="1460" spans="1:13" x14ac:dyDescent="0.35">
      <c r="A1460" s="1" t="s">
        <v>729</v>
      </c>
      <c r="B1460" s="1" t="s">
        <v>13</v>
      </c>
      <c r="C1460" s="1" t="s">
        <v>730</v>
      </c>
      <c r="D1460">
        <v>4.125</v>
      </c>
      <c r="E1460" s="2">
        <v>47726</v>
      </c>
      <c r="F1460" s="1" t="s">
        <v>16</v>
      </c>
      <c r="G1460" s="1" t="s">
        <v>730</v>
      </c>
      <c r="H1460" s="1" t="s">
        <v>2</v>
      </c>
      <c r="I1460" s="2">
        <v>46177</v>
      </c>
      <c r="J1460" s="1" t="s">
        <v>214</v>
      </c>
      <c r="K1460" s="1" t="s">
        <v>4781</v>
      </c>
      <c r="L1460" s="2">
        <v>46177.918923611112</v>
      </c>
      <c r="M1460" s="2">
        <v>46177.921329212964</v>
      </c>
    </row>
    <row r="1461" spans="1:13" x14ac:dyDescent="0.35">
      <c r="A1461" s="1" t="s">
        <v>729</v>
      </c>
      <c r="B1461" s="1" t="s">
        <v>13</v>
      </c>
      <c r="C1461" s="1" t="s">
        <v>730</v>
      </c>
      <c r="D1461">
        <v>4.125</v>
      </c>
      <c r="E1461" s="2">
        <v>47726</v>
      </c>
      <c r="F1461" s="1" t="s">
        <v>16</v>
      </c>
      <c r="G1461" s="1" t="s">
        <v>730</v>
      </c>
      <c r="H1461" s="1" t="s">
        <v>2</v>
      </c>
      <c r="I1461" s="2">
        <v>46177</v>
      </c>
      <c r="J1461" s="1" t="s">
        <v>224</v>
      </c>
      <c r="K1461" s="1" t="s">
        <v>4781</v>
      </c>
      <c r="L1461" s="2">
        <v>46177.918923611112</v>
      </c>
      <c r="M1461" s="2">
        <v>46177.921329212964</v>
      </c>
    </row>
    <row r="1462" spans="1:13" x14ac:dyDescent="0.35">
      <c r="A1462" s="1" t="s">
        <v>729</v>
      </c>
      <c r="B1462" s="1" t="s">
        <v>13</v>
      </c>
      <c r="C1462" s="1" t="s">
        <v>730</v>
      </c>
      <c r="D1462">
        <v>4.125</v>
      </c>
      <c r="E1462" s="2">
        <v>47726</v>
      </c>
      <c r="F1462" s="1" t="s">
        <v>16</v>
      </c>
      <c r="G1462" s="1" t="s">
        <v>730</v>
      </c>
      <c r="H1462" s="1" t="s">
        <v>2</v>
      </c>
      <c r="I1462" s="2">
        <v>46177</v>
      </c>
      <c r="J1462" s="1" t="s">
        <v>18</v>
      </c>
      <c r="K1462" s="1" t="s">
        <v>2616</v>
      </c>
      <c r="L1462" s="2">
        <v>46177.92087962963</v>
      </c>
      <c r="M1462" s="2">
        <v>46177.921329212964</v>
      </c>
    </row>
    <row r="1463" spans="1:13" x14ac:dyDescent="0.35">
      <c r="A1463" s="1" t="s">
        <v>729</v>
      </c>
      <c r="B1463" s="1" t="s">
        <v>13</v>
      </c>
      <c r="C1463" s="1" t="s">
        <v>730</v>
      </c>
      <c r="D1463">
        <v>4.125</v>
      </c>
      <c r="E1463" s="2">
        <v>47726</v>
      </c>
      <c r="F1463" s="1" t="s">
        <v>16</v>
      </c>
      <c r="G1463" s="1" t="s">
        <v>730</v>
      </c>
      <c r="H1463" s="1" t="s">
        <v>2</v>
      </c>
      <c r="I1463" s="2">
        <v>46177</v>
      </c>
      <c r="J1463" s="1" t="s">
        <v>215</v>
      </c>
      <c r="K1463" s="1" t="s">
        <v>5044</v>
      </c>
      <c r="L1463" s="2">
        <v>46177.918923611112</v>
      </c>
      <c r="M1463" s="2">
        <v>46177.921329212964</v>
      </c>
    </row>
    <row r="1464" spans="1:13" x14ac:dyDescent="0.35">
      <c r="A1464" s="1" t="s">
        <v>699</v>
      </c>
      <c r="B1464" s="1" t="s">
        <v>13</v>
      </c>
      <c r="C1464" s="1" t="s">
        <v>700</v>
      </c>
      <c r="D1464">
        <v>4.375</v>
      </c>
      <c r="E1464" s="2">
        <v>46996</v>
      </c>
      <c r="F1464" s="1" t="s">
        <v>16</v>
      </c>
      <c r="G1464" s="1" t="s">
        <v>700</v>
      </c>
      <c r="H1464" s="1" t="s">
        <v>2</v>
      </c>
      <c r="I1464" s="2">
        <v>46177</v>
      </c>
      <c r="J1464" s="1" t="s">
        <v>67</v>
      </c>
      <c r="K1464" s="1" t="s">
        <v>4883</v>
      </c>
      <c r="L1464" s="2">
        <v>46177.918923611112</v>
      </c>
      <c r="M1464" s="2">
        <v>46177.921329212964</v>
      </c>
    </row>
    <row r="1465" spans="1:13" x14ac:dyDescent="0.35">
      <c r="A1465" s="1" t="s">
        <v>699</v>
      </c>
      <c r="B1465" s="1" t="s">
        <v>13</v>
      </c>
      <c r="C1465" s="1" t="s">
        <v>700</v>
      </c>
      <c r="D1465">
        <v>4.375</v>
      </c>
      <c r="E1465" s="2">
        <v>46996</v>
      </c>
      <c r="F1465" s="1" t="s">
        <v>16</v>
      </c>
      <c r="G1465" s="1" t="s">
        <v>700</v>
      </c>
      <c r="H1465" s="1" t="s">
        <v>2</v>
      </c>
      <c r="I1465" s="2">
        <v>46177</v>
      </c>
      <c r="J1465" s="1" t="s">
        <v>215</v>
      </c>
      <c r="K1465" s="1" t="s">
        <v>4883</v>
      </c>
      <c r="L1465" s="2">
        <v>46177.918923611112</v>
      </c>
      <c r="M1465" s="2">
        <v>46177.921329212964</v>
      </c>
    </row>
    <row r="1466" spans="1:13" x14ac:dyDescent="0.35">
      <c r="A1466" s="1" t="s">
        <v>699</v>
      </c>
      <c r="B1466" s="1" t="s">
        <v>13</v>
      </c>
      <c r="C1466" s="1" t="s">
        <v>700</v>
      </c>
      <c r="D1466">
        <v>4.375</v>
      </c>
      <c r="E1466" s="2">
        <v>46996</v>
      </c>
      <c r="F1466" s="1" t="s">
        <v>16</v>
      </c>
      <c r="G1466" s="1" t="s">
        <v>700</v>
      </c>
      <c r="H1466" s="1" t="s">
        <v>2</v>
      </c>
      <c r="I1466" s="2">
        <v>46177</v>
      </c>
      <c r="J1466" s="1" t="s">
        <v>224</v>
      </c>
      <c r="K1466" s="1" t="s">
        <v>4782</v>
      </c>
      <c r="L1466" s="2">
        <v>46177.918923611112</v>
      </c>
      <c r="M1466" s="2">
        <v>46177.921329212964</v>
      </c>
    </row>
    <row r="1467" spans="1:13" x14ac:dyDescent="0.35">
      <c r="A1467" s="1" t="s">
        <v>699</v>
      </c>
      <c r="B1467" s="1" t="s">
        <v>13</v>
      </c>
      <c r="C1467" s="1" t="s">
        <v>700</v>
      </c>
      <c r="D1467">
        <v>4.375</v>
      </c>
      <c r="E1467" s="2">
        <v>46996</v>
      </c>
      <c r="F1467" s="1" t="s">
        <v>16</v>
      </c>
      <c r="G1467" s="1" t="s">
        <v>700</v>
      </c>
      <c r="H1467" s="1" t="s">
        <v>2</v>
      </c>
      <c r="I1467" s="2">
        <v>46177</v>
      </c>
      <c r="J1467" s="1" t="s">
        <v>18</v>
      </c>
      <c r="K1467" s="1" t="s">
        <v>2485</v>
      </c>
      <c r="L1467" s="2">
        <v>46177.92087962963</v>
      </c>
      <c r="M1467" s="2">
        <v>46177.921329212964</v>
      </c>
    </row>
    <row r="1468" spans="1:13" x14ac:dyDescent="0.35">
      <c r="A1468" s="1" t="s">
        <v>699</v>
      </c>
      <c r="B1468" s="1" t="s">
        <v>13</v>
      </c>
      <c r="C1468" s="1" t="s">
        <v>700</v>
      </c>
      <c r="D1468">
        <v>4.375</v>
      </c>
      <c r="E1468" s="2">
        <v>46996</v>
      </c>
      <c r="F1468" s="1" t="s">
        <v>16</v>
      </c>
      <c r="G1468" s="1" t="s">
        <v>700</v>
      </c>
      <c r="H1468" s="1" t="s">
        <v>2</v>
      </c>
      <c r="I1468" s="2">
        <v>46177</v>
      </c>
      <c r="J1468" s="1" t="s">
        <v>214</v>
      </c>
      <c r="K1468" s="1" t="s">
        <v>4782</v>
      </c>
      <c r="L1468" s="2">
        <v>46177.918923611112</v>
      </c>
      <c r="M1468" s="2">
        <v>46177.921329212964</v>
      </c>
    </row>
    <row r="1469" spans="1:13" x14ac:dyDescent="0.35">
      <c r="A1469" s="1" t="s">
        <v>699</v>
      </c>
      <c r="B1469" s="1" t="s">
        <v>13</v>
      </c>
      <c r="C1469" s="1" t="s">
        <v>700</v>
      </c>
      <c r="D1469">
        <v>4.375</v>
      </c>
      <c r="E1469" s="2">
        <v>46996</v>
      </c>
      <c r="F1469" s="1" t="s">
        <v>16</v>
      </c>
      <c r="G1469" s="1" t="s">
        <v>700</v>
      </c>
      <c r="H1469" s="1" t="s">
        <v>2</v>
      </c>
      <c r="I1469" s="2">
        <v>46177</v>
      </c>
      <c r="J1469" s="1" t="s">
        <v>17</v>
      </c>
      <c r="K1469" s="1" t="s">
        <v>2962</v>
      </c>
      <c r="L1469" s="2">
        <v>46177.92087962963</v>
      </c>
      <c r="M1469" s="2">
        <v>46177.921329212964</v>
      </c>
    </row>
    <row r="1470" spans="1:13" x14ac:dyDescent="0.35">
      <c r="A1470" s="1" t="s">
        <v>701</v>
      </c>
      <c r="B1470" s="1" t="s">
        <v>13</v>
      </c>
      <c r="C1470" s="1" t="s">
        <v>702</v>
      </c>
      <c r="D1470">
        <v>4.625</v>
      </c>
      <c r="E1470" s="2">
        <v>46280</v>
      </c>
      <c r="F1470" s="1" t="s">
        <v>16</v>
      </c>
      <c r="G1470" s="1" t="s">
        <v>702</v>
      </c>
      <c r="H1470" s="1" t="s">
        <v>2</v>
      </c>
      <c r="I1470" s="2">
        <v>46177</v>
      </c>
      <c r="J1470" s="1" t="s">
        <v>17</v>
      </c>
      <c r="K1470" s="1" t="s">
        <v>2615</v>
      </c>
      <c r="L1470" s="2">
        <v>46177.92087962963</v>
      </c>
      <c r="M1470" s="2">
        <v>46177.921329212964</v>
      </c>
    </row>
    <row r="1471" spans="1:13" x14ac:dyDescent="0.35">
      <c r="A1471" s="1" t="s">
        <v>701</v>
      </c>
      <c r="B1471" s="1" t="s">
        <v>13</v>
      </c>
      <c r="C1471" s="1" t="s">
        <v>702</v>
      </c>
      <c r="D1471">
        <v>4.625</v>
      </c>
      <c r="E1471" s="2">
        <v>46280</v>
      </c>
      <c r="F1471" s="1" t="s">
        <v>16</v>
      </c>
      <c r="G1471" s="1" t="s">
        <v>702</v>
      </c>
      <c r="H1471" s="1" t="s">
        <v>2</v>
      </c>
      <c r="I1471" s="2">
        <v>46177</v>
      </c>
      <c r="J1471" s="1" t="s">
        <v>215</v>
      </c>
      <c r="K1471" s="1" t="s">
        <v>4905</v>
      </c>
      <c r="L1471" s="2">
        <v>46177.918923611112</v>
      </c>
      <c r="M1471" s="2">
        <v>46177.921329212964</v>
      </c>
    </row>
    <row r="1472" spans="1:13" x14ac:dyDescent="0.35">
      <c r="A1472" s="1" t="s">
        <v>701</v>
      </c>
      <c r="B1472" s="1" t="s">
        <v>13</v>
      </c>
      <c r="C1472" s="1" t="s">
        <v>702</v>
      </c>
      <c r="D1472">
        <v>4.625</v>
      </c>
      <c r="E1472" s="2">
        <v>46280</v>
      </c>
      <c r="F1472" s="1" t="s">
        <v>16</v>
      </c>
      <c r="G1472" s="1" t="s">
        <v>702</v>
      </c>
      <c r="H1472" s="1" t="s">
        <v>2</v>
      </c>
      <c r="I1472" s="2">
        <v>46177</v>
      </c>
      <c r="J1472" s="1" t="s">
        <v>214</v>
      </c>
      <c r="K1472" s="1" t="s">
        <v>4783</v>
      </c>
      <c r="L1472" s="2">
        <v>46177.918923611112</v>
      </c>
      <c r="M1472" s="2">
        <v>46177.921329212964</v>
      </c>
    </row>
    <row r="1473" spans="1:13" x14ac:dyDescent="0.35">
      <c r="A1473" s="1" t="s">
        <v>701</v>
      </c>
      <c r="B1473" s="1" t="s">
        <v>13</v>
      </c>
      <c r="C1473" s="1" t="s">
        <v>702</v>
      </c>
      <c r="D1473">
        <v>4.625</v>
      </c>
      <c r="E1473" s="2">
        <v>46280</v>
      </c>
      <c r="F1473" s="1" t="s">
        <v>16</v>
      </c>
      <c r="G1473" s="1" t="s">
        <v>702</v>
      </c>
      <c r="H1473" s="1" t="s">
        <v>2</v>
      </c>
      <c r="I1473" s="2">
        <v>46177</v>
      </c>
      <c r="J1473" s="1" t="s">
        <v>67</v>
      </c>
      <c r="K1473" s="1" t="s">
        <v>4905</v>
      </c>
      <c r="L1473" s="2">
        <v>46177.918923611112</v>
      </c>
      <c r="M1473" s="2">
        <v>46177.921329212964</v>
      </c>
    </row>
    <row r="1474" spans="1:13" x14ac:dyDescent="0.35">
      <c r="A1474" s="1" t="s">
        <v>701</v>
      </c>
      <c r="B1474" s="1" t="s">
        <v>13</v>
      </c>
      <c r="C1474" s="1" t="s">
        <v>702</v>
      </c>
      <c r="D1474">
        <v>4.625</v>
      </c>
      <c r="E1474" s="2">
        <v>46280</v>
      </c>
      <c r="F1474" s="1" t="s">
        <v>16</v>
      </c>
      <c r="G1474" s="1" t="s">
        <v>702</v>
      </c>
      <c r="H1474" s="1" t="s">
        <v>2</v>
      </c>
      <c r="I1474" s="2">
        <v>46177</v>
      </c>
      <c r="J1474" s="1" t="s">
        <v>224</v>
      </c>
      <c r="K1474" s="1" t="s">
        <v>4783</v>
      </c>
      <c r="L1474" s="2">
        <v>46177.918923611112</v>
      </c>
      <c r="M1474" s="2">
        <v>46177.921329212964</v>
      </c>
    </row>
    <row r="1475" spans="1:13" x14ac:dyDescent="0.35">
      <c r="A1475" s="1" t="s">
        <v>701</v>
      </c>
      <c r="B1475" s="1" t="s">
        <v>13</v>
      </c>
      <c r="C1475" s="1" t="s">
        <v>702</v>
      </c>
      <c r="D1475">
        <v>4.625</v>
      </c>
      <c r="E1475" s="2">
        <v>46280</v>
      </c>
      <c r="F1475" s="1" t="s">
        <v>16</v>
      </c>
      <c r="G1475" s="1" t="s">
        <v>702</v>
      </c>
      <c r="H1475" s="1" t="s">
        <v>2</v>
      </c>
      <c r="I1475" s="2">
        <v>46177</v>
      </c>
      <c r="J1475" s="1" t="s">
        <v>18</v>
      </c>
      <c r="K1475" s="1" t="s">
        <v>2495</v>
      </c>
      <c r="L1475" s="2">
        <v>46177.92087962963</v>
      </c>
      <c r="M1475" s="2">
        <v>46177.921329212964</v>
      </c>
    </row>
    <row r="1476" spans="1:13" x14ac:dyDescent="0.35">
      <c r="A1476" s="1" t="s">
        <v>731</v>
      </c>
      <c r="B1476" s="1" t="s">
        <v>13</v>
      </c>
      <c r="C1476" s="1" t="s">
        <v>732</v>
      </c>
      <c r="D1476">
        <v>4.625</v>
      </c>
      <c r="E1476" s="2">
        <v>47756</v>
      </c>
      <c r="F1476" s="1" t="s">
        <v>16</v>
      </c>
      <c r="G1476" s="1" t="s">
        <v>732</v>
      </c>
      <c r="H1476" s="1" t="s">
        <v>2</v>
      </c>
      <c r="I1476" s="2">
        <v>46177</v>
      </c>
      <c r="J1476" s="1" t="s">
        <v>17</v>
      </c>
      <c r="K1476" s="1" t="s">
        <v>2597</v>
      </c>
      <c r="L1476" s="2">
        <v>46177.92087962963</v>
      </c>
      <c r="M1476" s="2">
        <v>46177.921329212964</v>
      </c>
    </row>
    <row r="1477" spans="1:13" x14ac:dyDescent="0.35">
      <c r="A1477" s="1" t="s">
        <v>731</v>
      </c>
      <c r="B1477" s="1" t="s">
        <v>13</v>
      </c>
      <c r="C1477" s="1" t="s">
        <v>732</v>
      </c>
      <c r="D1477">
        <v>4.625</v>
      </c>
      <c r="E1477" s="2">
        <v>47756</v>
      </c>
      <c r="F1477" s="1" t="s">
        <v>16</v>
      </c>
      <c r="G1477" s="1" t="s">
        <v>732</v>
      </c>
      <c r="H1477" s="1" t="s">
        <v>2</v>
      </c>
      <c r="I1477" s="2">
        <v>46177</v>
      </c>
      <c r="J1477" s="1" t="s">
        <v>224</v>
      </c>
      <c r="K1477" s="1" t="s">
        <v>4784</v>
      </c>
      <c r="L1477" s="2">
        <v>46177.918923611112</v>
      </c>
      <c r="M1477" s="2">
        <v>46177.921329212964</v>
      </c>
    </row>
    <row r="1478" spans="1:13" x14ac:dyDescent="0.35">
      <c r="A1478" s="1" t="s">
        <v>731</v>
      </c>
      <c r="B1478" s="1" t="s">
        <v>13</v>
      </c>
      <c r="C1478" s="1" t="s">
        <v>732</v>
      </c>
      <c r="D1478">
        <v>4.625</v>
      </c>
      <c r="E1478" s="2">
        <v>47756</v>
      </c>
      <c r="F1478" s="1" t="s">
        <v>16</v>
      </c>
      <c r="G1478" s="1" t="s">
        <v>732</v>
      </c>
      <c r="H1478" s="1" t="s">
        <v>2</v>
      </c>
      <c r="I1478" s="2">
        <v>46177</v>
      </c>
      <c r="J1478" s="1" t="s">
        <v>18</v>
      </c>
      <c r="K1478" s="1" t="s">
        <v>2535</v>
      </c>
      <c r="L1478" s="2">
        <v>46177.92087962963</v>
      </c>
      <c r="M1478" s="2">
        <v>46177.921329212964</v>
      </c>
    </row>
    <row r="1479" spans="1:13" x14ac:dyDescent="0.35">
      <c r="A1479" s="1" t="s">
        <v>731</v>
      </c>
      <c r="B1479" s="1" t="s">
        <v>13</v>
      </c>
      <c r="C1479" s="1" t="s">
        <v>732</v>
      </c>
      <c r="D1479">
        <v>4.625</v>
      </c>
      <c r="E1479" s="2">
        <v>47756</v>
      </c>
      <c r="F1479" s="1" t="s">
        <v>16</v>
      </c>
      <c r="G1479" s="1" t="s">
        <v>732</v>
      </c>
      <c r="H1479" s="1" t="s">
        <v>2</v>
      </c>
      <c r="I1479" s="2">
        <v>46177</v>
      </c>
      <c r="J1479" s="1" t="s">
        <v>67</v>
      </c>
      <c r="K1479" s="1" t="s">
        <v>4785</v>
      </c>
      <c r="L1479" s="2">
        <v>46177.918923611112</v>
      </c>
      <c r="M1479" s="2">
        <v>46177.921329212964</v>
      </c>
    </row>
    <row r="1480" spans="1:13" x14ac:dyDescent="0.35">
      <c r="A1480" s="1" t="s">
        <v>731</v>
      </c>
      <c r="B1480" s="1" t="s">
        <v>13</v>
      </c>
      <c r="C1480" s="1" t="s">
        <v>732</v>
      </c>
      <c r="D1480">
        <v>4.625</v>
      </c>
      <c r="E1480" s="2">
        <v>47756</v>
      </c>
      <c r="F1480" s="1" t="s">
        <v>16</v>
      </c>
      <c r="G1480" s="1" t="s">
        <v>732</v>
      </c>
      <c r="H1480" s="1" t="s">
        <v>2</v>
      </c>
      <c r="I1480" s="2">
        <v>46177</v>
      </c>
      <c r="J1480" s="1" t="s">
        <v>214</v>
      </c>
      <c r="K1480" s="1" t="s">
        <v>4784</v>
      </c>
      <c r="L1480" s="2">
        <v>46177.918923611112</v>
      </c>
      <c r="M1480" s="2">
        <v>46177.921329212964</v>
      </c>
    </row>
    <row r="1481" spans="1:13" x14ac:dyDescent="0.35">
      <c r="A1481" s="1" t="s">
        <v>731</v>
      </c>
      <c r="B1481" s="1" t="s">
        <v>13</v>
      </c>
      <c r="C1481" s="1" t="s">
        <v>732</v>
      </c>
      <c r="D1481">
        <v>4.625</v>
      </c>
      <c r="E1481" s="2">
        <v>47756</v>
      </c>
      <c r="F1481" s="1" t="s">
        <v>16</v>
      </c>
      <c r="G1481" s="1" t="s">
        <v>732</v>
      </c>
      <c r="H1481" s="1" t="s">
        <v>2</v>
      </c>
      <c r="I1481" s="2">
        <v>46177</v>
      </c>
      <c r="J1481" s="1" t="s">
        <v>215</v>
      </c>
      <c r="K1481" s="1" t="s">
        <v>4785</v>
      </c>
      <c r="L1481" s="2">
        <v>46177.918923611112</v>
      </c>
      <c r="M1481" s="2">
        <v>46177.921329212964</v>
      </c>
    </row>
    <row r="1482" spans="1:13" x14ac:dyDescent="0.35">
      <c r="A1482" s="1" t="s">
        <v>733</v>
      </c>
      <c r="B1482" s="1" t="s">
        <v>13</v>
      </c>
      <c r="C1482" s="1" t="s">
        <v>734</v>
      </c>
      <c r="D1482">
        <v>4.625</v>
      </c>
      <c r="E1482" s="2">
        <v>47026</v>
      </c>
      <c r="F1482" s="1" t="s">
        <v>16</v>
      </c>
      <c r="G1482" s="1" t="s">
        <v>734</v>
      </c>
      <c r="H1482" s="1" t="s">
        <v>2</v>
      </c>
      <c r="I1482" s="2">
        <v>46177</v>
      </c>
      <c r="J1482" s="1" t="s">
        <v>18</v>
      </c>
      <c r="K1482" s="1" t="s">
        <v>2583</v>
      </c>
      <c r="L1482" s="2">
        <v>46177.92087962963</v>
      </c>
      <c r="M1482" s="2">
        <v>46177.921329212964</v>
      </c>
    </row>
    <row r="1483" spans="1:13" x14ac:dyDescent="0.35">
      <c r="A1483" s="1" t="s">
        <v>733</v>
      </c>
      <c r="B1483" s="1" t="s">
        <v>13</v>
      </c>
      <c r="C1483" s="1" t="s">
        <v>734</v>
      </c>
      <c r="D1483">
        <v>4.625</v>
      </c>
      <c r="E1483" s="2">
        <v>47026</v>
      </c>
      <c r="F1483" s="1" t="s">
        <v>16</v>
      </c>
      <c r="G1483" s="1" t="s">
        <v>734</v>
      </c>
      <c r="H1483" s="1" t="s">
        <v>2</v>
      </c>
      <c r="I1483" s="2">
        <v>46177</v>
      </c>
      <c r="J1483" s="1" t="s">
        <v>224</v>
      </c>
      <c r="K1483" s="1" t="s">
        <v>4954</v>
      </c>
      <c r="L1483" s="2">
        <v>46177.918923611112</v>
      </c>
      <c r="M1483" s="2">
        <v>46177.921329212964</v>
      </c>
    </row>
    <row r="1484" spans="1:13" x14ac:dyDescent="0.35">
      <c r="A1484" s="1" t="s">
        <v>733</v>
      </c>
      <c r="B1484" s="1" t="s">
        <v>13</v>
      </c>
      <c r="C1484" s="1" t="s">
        <v>734</v>
      </c>
      <c r="D1484">
        <v>4.625</v>
      </c>
      <c r="E1484" s="2">
        <v>47026</v>
      </c>
      <c r="F1484" s="1" t="s">
        <v>16</v>
      </c>
      <c r="G1484" s="1" t="s">
        <v>734</v>
      </c>
      <c r="H1484" s="1" t="s">
        <v>2</v>
      </c>
      <c r="I1484" s="2">
        <v>46177</v>
      </c>
      <c r="J1484" s="1" t="s">
        <v>215</v>
      </c>
      <c r="K1484" s="1" t="s">
        <v>4906</v>
      </c>
      <c r="L1484" s="2">
        <v>46177.918923611112</v>
      </c>
      <c r="M1484" s="2">
        <v>46177.921329212964</v>
      </c>
    </row>
    <row r="1485" spans="1:13" x14ac:dyDescent="0.35">
      <c r="A1485" s="1" t="s">
        <v>733</v>
      </c>
      <c r="B1485" s="1" t="s">
        <v>13</v>
      </c>
      <c r="C1485" s="1" t="s">
        <v>734</v>
      </c>
      <c r="D1485">
        <v>4.625</v>
      </c>
      <c r="E1485" s="2">
        <v>47026</v>
      </c>
      <c r="F1485" s="1" t="s">
        <v>16</v>
      </c>
      <c r="G1485" s="1" t="s">
        <v>734</v>
      </c>
      <c r="H1485" s="1" t="s">
        <v>2</v>
      </c>
      <c r="I1485" s="2">
        <v>46177</v>
      </c>
      <c r="J1485" s="1" t="s">
        <v>67</v>
      </c>
      <c r="K1485" s="1" t="s">
        <v>4906</v>
      </c>
      <c r="L1485" s="2">
        <v>46177.918923611112</v>
      </c>
      <c r="M1485" s="2">
        <v>46177.921329212964</v>
      </c>
    </row>
    <row r="1486" spans="1:13" x14ac:dyDescent="0.35">
      <c r="A1486" s="1" t="s">
        <v>733</v>
      </c>
      <c r="B1486" s="1" t="s">
        <v>13</v>
      </c>
      <c r="C1486" s="1" t="s">
        <v>734</v>
      </c>
      <c r="D1486">
        <v>4.625</v>
      </c>
      <c r="E1486" s="2">
        <v>47026</v>
      </c>
      <c r="F1486" s="1" t="s">
        <v>16</v>
      </c>
      <c r="G1486" s="1" t="s">
        <v>734</v>
      </c>
      <c r="H1486" s="1" t="s">
        <v>2</v>
      </c>
      <c r="I1486" s="2">
        <v>46177</v>
      </c>
      <c r="J1486" s="1" t="s">
        <v>17</v>
      </c>
      <c r="K1486" s="1" t="s">
        <v>4786</v>
      </c>
      <c r="L1486" s="2">
        <v>46177.92087962963</v>
      </c>
      <c r="M1486" s="2">
        <v>46177.921329212964</v>
      </c>
    </row>
    <row r="1487" spans="1:13" x14ac:dyDescent="0.35">
      <c r="A1487" s="1" t="s">
        <v>733</v>
      </c>
      <c r="B1487" s="1" t="s">
        <v>13</v>
      </c>
      <c r="C1487" s="1" t="s">
        <v>734</v>
      </c>
      <c r="D1487">
        <v>4.625</v>
      </c>
      <c r="E1487" s="2">
        <v>47026</v>
      </c>
      <c r="F1487" s="1" t="s">
        <v>16</v>
      </c>
      <c r="G1487" s="1" t="s">
        <v>734</v>
      </c>
      <c r="H1487" s="1" t="s">
        <v>2</v>
      </c>
      <c r="I1487" s="2">
        <v>46177</v>
      </c>
      <c r="J1487" s="1" t="s">
        <v>214</v>
      </c>
      <c r="K1487" s="1" t="s">
        <v>4954</v>
      </c>
      <c r="L1487" s="2">
        <v>46177.918923611112</v>
      </c>
      <c r="M1487" s="2">
        <v>46177.921329212964</v>
      </c>
    </row>
    <row r="1488" spans="1:13" x14ac:dyDescent="0.35">
      <c r="A1488" s="1" t="s">
        <v>703</v>
      </c>
      <c r="B1488" s="1" t="s">
        <v>13</v>
      </c>
      <c r="C1488" s="1" t="s">
        <v>704</v>
      </c>
      <c r="D1488">
        <v>4.625</v>
      </c>
      <c r="E1488" s="2">
        <v>46310</v>
      </c>
      <c r="F1488" s="1" t="s">
        <v>16</v>
      </c>
      <c r="G1488" s="1" t="s">
        <v>704</v>
      </c>
      <c r="H1488" s="1" t="s">
        <v>2</v>
      </c>
      <c r="I1488" s="2">
        <v>46177</v>
      </c>
      <c r="J1488" s="1" t="s">
        <v>214</v>
      </c>
      <c r="K1488" s="1" t="s">
        <v>4955</v>
      </c>
      <c r="L1488" s="2">
        <v>46177.918923611112</v>
      </c>
      <c r="M1488" s="2">
        <v>46177.921329212964</v>
      </c>
    </row>
    <row r="1489" spans="1:13" x14ac:dyDescent="0.35">
      <c r="A1489" s="1" t="s">
        <v>703</v>
      </c>
      <c r="B1489" s="1" t="s">
        <v>13</v>
      </c>
      <c r="C1489" s="1" t="s">
        <v>704</v>
      </c>
      <c r="D1489">
        <v>4.625</v>
      </c>
      <c r="E1489" s="2">
        <v>46310</v>
      </c>
      <c r="F1489" s="1" t="s">
        <v>16</v>
      </c>
      <c r="G1489" s="1" t="s">
        <v>704</v>
      </c>
      <c r="H1489" s="1" t="s">
        <v>2</v>
      </c>
      <c r="I1489" s="2">
        <v>46177</v>
      </c>
      <c r="J1489" s="1" t="s">
        <v>67</v>
      </c>
      <c r="K1489" s="1" t="s">
        <v>5045</v>
      </c>
      <c r="L1489" s="2">
        <v>46177.918923611112</v>
      </c>
      <c r="M1489" s="2">
        <v>46177.921329212964</v>
      </c>
    </row>
    <row r="1490" spans="1:13" x14ac:dyDescent="0.35">
      <c r="A1490" s="1" t="s">
        <v>703</v>
      </c>
      <c r="B1490" s="1" t="s">
        <v>13</v>
      </c>
      <c r="C1490" s="1" t="s">
        <v>704</v>
      </c>
      <c r="D1490">
        <v>4.625</v>
      </c>
      <c r="E1490" s="2">
        <v>46310</v>
      </c>
      <c r="F1490" s="1" t="s">
        <v>16</v>
      </c>
      <c r="G1490" s="1" t="s">
        <v>704</v>
      </c>
      <c r="H1490" s="1" t="s">
        <v>2</v>
      </c>
      <c r="I1490" s="2">
        <v>46177</v>
      </c>
      <c r="J1490" s="1" t="s">
        <v>17</v>
      </c>
      <c r="K1490" s="1" t="s">
        <v>2914</v>
      </c>
      <c r="L1490" s="2">
        <v>46177.92087962963</v>
      </c>
      <c r="M1490" s="2">
        <v>46177.921329212964</v>
      </c>
    </row>
    <row r="1491" spans="1:13" x14ac:dyDescent="0.35">
      <c r="A1491" s="1" t="s">
        <v>703</v>
      </c>
      <c r="B1491" s="1" t="s">
        <v>13</v>
      </c>
      <c r="C1491" s="1" t="s">
        <v>704</v>
      </c>
      <c r="D1491">
        <v>4.625</v>
      </c>
      <c r="E1491" s="2">
        <v>46310</v>
      </c>
      <c r="F1491" s="1" t="s">
        <v>16</v>
      </c>
      <c r="G1491" s="1" t="s">
        <v>704</v>
      </c>
      <c r="H1491" s="1" t="s">
        <v>2</v>
      </c>
      <c r="I1491" s="2">
        <v>46177</v>
      </c>
      <c r="J1491" s="1" t="s">
        <v>18</v>
      </c>
      <c r="K1491" s="1" t="s">
        <v>2892</v>
      </c>
      <c r="L1491" s="2">
        <v>46177.92087962963</v>
      </c>
      <c r="M1491" s="2">
        <v>46177.921329212964</v>
      </c>
    </row>
    <row r="1492" spans="1:13" x14ac:dyDescent="0.35">
      <c r="A1492" s="1" t="s">
        <v>703</v>
      </c>
      <c r="B1492" s="1" t="s">
        <v>13</v>
      </c>
      <c r="C1492" s="1" t="s">
        <v>704</v>
      </c>
      <c r="D1492">
        <v>4.625</v>
      </c>
      <c r="E1492" s="2">
        <v>46310</v>
      </c>
      <c r="F1492" s="1" t="s">
        <v>16</v>
      </c>
      <c r="G1492" s="1" t="s">
        <v>704</v>
      </c>
      <c r="H1492" s="1" t="s">
        <v>2</v>
      </c>
      <c r="I1492" s="2">
        <v>46177</v>
      </c>
      <c r="J1492" s="1" t="s">
        <v>224</v>
      </c>
      <c r="K1492" s="1" t="s">
        <v>4955</v>
      </c>
      <c r="L1492" s="2">
        <v>46177.918923611112</v>
      </c>
      <c r="M1492" s="2">
        <v>46177.921329212964</v>
      </c>
    </row>
    <row r="1493" spans="1:13" x14ac:dyDescent="0.35">
      <c r="A1493" s="1" t="s">
        <v>703</v>
      </c>
      <c r="B1493" s="1" t="s">
        <v>13</v>
      </c>
      <c r="C1493" s="1" t="s">
        <v>704</v>
      </c>
      <c r="D1493">
        <v>4.625</v>
      </c>
      <c r="E1493" s="2">
        <v>46310</v>
      </c>
      <c r="F1493" s="1" t="s">
        <v>16</v>
      </c>
      <c r="G1493" s="1" t="s">
        <v>704</v>
      </c>
      <c r="H1493" s="1" t="s">
        <v>2</v>
      </c>
      <c r="I1493" s="2">
        <v>46177</v>
      </c>
      <c r="J1493" s="1" t="s">
        <v>215</v>
      </c>
      <c r="K1493" s="1" t="s">
        <v>5045</v>
      </c>
      <c r="L1493" s="2">
        <v>46177.918923611112</v>
      </c>
      <c r="M1493" s="2">
        <v>46177.921329212964</v>
      </c>
    </row>
    <row r="1494" spans="1:13" x14ac:dyDescent="0.35">
      <c r="A1494" s="1" t="s">
        <v>705</v>
      </c>
      <c r="B1494" s="1" t="s">
        <v>13</v>
      </c>
      <c r="C1494" s="1" t="s">
        <v>706</v>
      </c>
      <c r="D1494">
        <v>4.875</v>
      </c>
      <c r="E1494" s="2">
        <v>47057</v>
      </c>
      <c r="F1494" s="1" t="s">
        <v>16</v>
      </c>
      <c r="G1494" s="1" t="s">
        <v>706</v>
      </c>
      <c r="H1494" s="1" t="s">
        <v>2</v>
      </c>
      <c r="I1494" s="2">
        <v>46177</v>
      </c>
      <c r="J1494" s="1" t="s">
        <v>214</v>
      </c>
      <c r="K1494" s="1" t="s">
        <v>4956</v>
      </c>
      <c r="L1494" s="2">
        <v>46177.918923611112</v>
      </c>
      <c r="M1494" s="2">
        <v>46177.921329212964</v>
      </c>
    </row>
    <row r="1495" spans="1:13" x14ac:dyDescent="0.35">
      <c r="A1495" s="1" t="s">
        <v>705</v>
      </c>
      <c r="B1495" s="1" t="s">
        <v>13</v>
      </c>
      <c r="C1495" s="1" t="s">
        <v>706</v>
      </c>
      <c r="D1495">
        <v>4.875</v>
      </c>
      <c r="E1495" s="2">
        <v>47057</v>
      </c>
      <c r="F1495" s="1" t="s">
        <v>16</v>
      </c>
      <c r="G1495" s="1" t="s">
        <v>706</v>
      </c>
      <c r="H1495" s="1" t="s">
        <v>2</v>
      </c>
      <c r="I1495" s="2">
        <v>46177</v>
      </c>
      <c r="J1495" s="1" t="s">
        <v>215</v>
      </c>
      <c r="K1495" s="1" t="s">
        <v>4957</v>
      </c>
      <c r="L1495" s="2">
        <v>46177.918923611112</v>
      </c>
      <c r="M1495" s="2">
        <v>46177.921329212964</v>
      </c>
    </row>
    <row r="1496" spans="1:13" x14ac:dyDescent="0.35">
      <c r="A1496" s="1" t="s">
        <v>705</v>
      </c>
      <c r="B1496" s="1" t="s">
        <v>13</v>
      </c>
      <c r="C1496" s="1" t="s">
        <v>706</v>
      </c>
      <c r="D1496">
        <v>4.875</v>
      </c>
      <c r="E1496" s="2">
        <v>47057</v>
      </c>
      <c r="F1496" s="1" t="s">
        <v>16</v>
      </c>
      <c r="G1496" s="1" t="s">
        <v>706</v>
      </c>
      <c r="H1496" s="1" t="s">
        <v>2</v>
      </c>
      <c r="I1496" s="2">
        <v>46177</v>
      </c>
      <c r="J1496" s="1" t="s">
        <v>67</v>
      </c>
      <c r="K1496" s="1" t="s">
        <v>4957</v>
      </c>
      <c r="L1496" s="2">
        <v>46177.918923611112</v>
      </c>
      <c r="M1496" s="2">
        <v>46177.921329212964</v>
      </c>
    </row>
    <row r="1497" spans="1:13" x14ac:dyDescent="0.35">
      <c r="A1497" s="1" t="s">
        <v>705</v>
      </c>
      <c r="B1497" s="1" t="s">
        <v>13</v>
      </c>
      <c r="C1497" s="1" t="s">
        <v>706</v>
      </c>
      <c r="D1497">
        <v>4.875</v>
      </c>
      <c r="E1497" s="2">
        <v>47057</v>
      </c>
      <c r="F1497" s="1" t="s">
        <v>16</v>
      </c>
      <c r="G1497" s="1" t="s">
        <v>706</v>
      </c>
      <c r="H1497" s="1" t="s">
        <v>2</v>
      </c>
      <c r="I1497" s="2">
        <v>46177</v>
      </c>
      <c r="J1497" s="1" t="s">
        <v>18</v>
      </c>
      <c r="K1497" s="1" t="s">
        <v>5062</v>
      </c>
      <c r="L1497" s="2">
        <v>46177.92087962963</v>
      </c>
      <c r="M1497" s="2">
        <v>46177.921329212964</v>
      </c>
    </row>
    <row r="1498" spans="1:13" x14ac:dyDescent="0.35">
      <c r="A1498" s="1" t="s">
        <v>705</v>
      </c>
      <c r="B1498" s="1" t="s">
        <v>13</v>
      </c>
      <c r="C1498" s="1" t="s">
        <v>706</v>
      </c>
      <c r="D1498">
        <v>4.875</v>
      </c>
      <c r="E1498" s="2">
        <v>47057</v>
      </c>
      <c r="F1498" s="1" t="s">
        <v>16</v>
      </c>
      <c r="G1498" s="1" t="s">
        <v>706</v>
      </c>
      <c r="H1498" s="1" t="s">
        <v>2</v>
      </c>
      <c r="I1498" s="2">
        <v>46177</v>
      </c>
      <c r="J1498" s="1" t="s">
        <v>17</v>
      </c>
      <c r="K1498" s="1" t="s">
        <v>2597</v>
      </c>
      <c r="L1498" s="2">
        <v>46177.92087962963</v>
      </c>
      <c r="M1498" s="2">
        <v>46177.921329212964</v>
      </c>
    </row>
    <row r="1499" spans="1:13" x14ac:dyDescent="0.35">
      <c r="A1499" s="1" t="s">
        <v>705</v>
      </c>
      <c r="B1499" s="1" t="s">
        <v>13</v>
      </c>
      <c r="C1499" s="1" t="s">
        <v>706</v>
      </c>
      <c r="D1499">
        <v>4.875</v>
      </c>
      <c r="E1499" s="2">
        <v>47057</v>
      </c>
      <c r="F1499" s="1" t="s">
        <v>16</v>
      </c>
      <c r="G1499" s="1" t="s">
        <v>706</v>
      </c>
      <c r="H1499" s="1" t="s">
        <v>2</v>
      </c>
      <c r="I1499" s="2">
        <v>46177</v>
      </c>
      <c r="J1499" s="1" t="s">
        <v>224</v>
      </c>
      <c r="K1499" s="1" t="s">
        <v>4956</v>
      </c>
      <c r="L1499" s="2">
        <v>46177.918923611112</v>
      </c>
      <c r="M1499" s="2">
        <v>46177.921329212964</v>
      </c>
    </row>
    <row r="1500" spans="1:13" x14ac:dyDescent="0.35">
      <c r="A1500" s="1" t="s">
        <v>707</v>
      </c>
      <c r="B1500" s="1" t="s">
        <v>13</v>
      </c>
      <c r="C1500" s="1" t="s">
        <v>708</v>
      </c>
      <c r="D1500">
        <v>4.875</v>
      </c>
      <c r="E1500" s="2">
        <v>47787</v>
      </c>
      <c r="F1500" s="1" t="s">
        <v>16</v>
      </c>
      <c r="G1500" s="1" t="s">
        <v>708</v>
      </c>
      <c r="H1500" s="1" t="s">
        <v>2</v>
      </c>
      <c r="I1500" s="2">
        <v>46177</v>
      </c>
      <c r="J1500" s="1" t="s">
        <v>67</v>
      </c>
      <c r="K1500" s="1" t="s">
        <v>4884</v>
      </c>
      <c r="L1500" s="2">
        <v>46177.918923611112</v>
      </c>
      <c r="M1500" s="2">
        <v>46177.921329212964</v>
      </c>
    </row>
    <row r="1501" spans="1:13" x14ac:dyDescent="0.35">
      <c r="A1501" s="1" t="s">
        <v>707</v>
      </c>
      <c r="B1501" s="1" t="s">
        <v>13</v>
      </c>
      <c r="C1501" s="1" t="s">
        <v>708</v>
      </c>
      <c r="D1501">
        <v>4.875</v>
      </c>
      <c r="E1501" s="2">
        <v>47787</v>
      </c>
      <c r="F1501" s="1" t="s">
        <v>16</v>
      </c>
      <c r="G1501" s="1" t="s">
        <v>708</v>
      </c>
      <c r="H1501" s="1" t="s">
        <v>2</v>
      </c>
      <c r="I1501" s="2">
        <v>46177</v>
      </c>
      <c r="J1501" s="1" t="s">
        <v>17</v>
      </c>
      <c r="K1501" s="1" t="s">
        <v>2698</v>
      </c>
      <c r="L1501" s="2">
        <v>46177.92087962963</v>
      </c>
      <c r="M1501" s="2">
        <v>46177.921329212964</v>
      </c>
    </row>
    <row r="1502" spans="1:13" x14ac:dyDescent="0.35">
      <c r="A1502" s="1" t="s">
        <v>707</v>
      </c>
      <c r="B1502" s="1" t="s">
        <v>13</v>
      </c>
      <c r="C1502" s="1" t="s">
        <v>708</v>
      </c>
      <c r="D1502">
        <v>4.875</v>
      </c>
      <c r="E1502" s="2">
        <v>47787</v>
      </c>
      <c r="F1502" s="1" t="s">
        <v>16</v>
      </c>
      <c r="G1502" s="1" t="s">
        <v>708</v>
      </c>
      <c r="H1502" s="1" t="s">
        <v>2</v>
      </c>
      <c r="I1502" s="2">
        <v>46177</v>
      </c>
      <c r="J1502" s="1" t="s">
        <v>18</v>
      </c>
      <c r="K1502" s="1" t="s">
        <v>4958</v>
      </c>
      <c r="L1502" s="2">
        <v>46177.92087962963</v>
      </c>
      <c r="M1502" s="2">
        <v>46177.921329212964</v>
      </c>
    </row>
    <row r="1503" spans="1:13" x14ac:dyDescent="0.35">
      <c r="A1503" s="1" t="s">
        <v>707</v>
      </c>
      <c r="B1503" s="1" t="s">
        <v>13</v>
      </c>
      <c r="C1503" s="1" t="s">
        <v>708</v>
      </c>
      <c r="D1503">
        <v>4.875</v>
      </c>
      <c r="E1503" s="2">
        <v>47787</v>
      </c>
      <c r="F1503" s="1" t="s">
        <v>16</v>
      </c>
      <c r="G1503" s="1" t="s">
        <v>708</v>
      </c>
      <c r="H1503" s="1" t="s">
        <v>2</v>
      </c>
      <c r="I1503" s="2">
        <v>46177</v>
      </c>
      <c r="J1503" s="1" t="s">
        <v>214</v>
      </c>
      <c r="K1503" s="1" t="s">
        <v>4907</v>
      </c>
      <c r="L1503" s="2">
        <v>46177.918923611112</v>
      </c>
      <c r="M1503" s="2">
        <v>46177.921329212964</v>
      </c>
    </row>
    <row r="1504" spans="1:13" x14ac:dyDescent="0.35">
      <c r="A1504" s="1" t="s">
        <v>707</v>
      </c>
      <c r="B1504" s="1" t="s">
        <v>13</v>
      </c>
      <c r="C1504" s="1" t="s">
        <v>708</v>
      </c>
      <c r="D1504">
        <v>4.875</v>
      </c>
      <c r="E1504" s="2">
        <v>47787</v>
      </c>
      <c r="F1504" s="1" t="s">
        <v>16</v>
      </c>
      <c r="G1504" s="1" t="s">
        <v>708</v>
      </c>
      <c r="H1504" s="1" t="s">
        <v>2</v>
      </c>
      <c r="I1504" s="2">
        <v>46177</v>
      </c>
      <c r="J1504" s="1" t="s">
        <v>224</v>
      </c>
      <c r="K1504" s="1" t="s">
        <v>4907</v>
      </c>
      <c r="L1504" s="2">
        <v>46177.918923611112</v>
      </c>
      <c r="M1504" s="2">
        <v>46177.921329212964</v>
      </c>
    </row>
    <row r="1505" spans="1:13" x14ac:dyDescent="0.35">
      <c r="A1505" s="1" t="s">
        <v>707</v>
      </c>
      <c r="B1505" s="1" t="s">
        <v>13</v>
      </c>
      <c r="C1505" s="1" t="s">
        <v>708</v>
      </c>
      <c r="D1505">
        <v>4.875</v>
      </c>
      <c r="E1505" s="2">
        <v>47787</v>
      </c>
      <c r="F1505" s="1" t="s">
        <v>16</v>
      </c>
      <c r="G1505" s="1" t="s">
        <v>708</v>
      </c>
      <c r="H1505" s="1" t="s">
        <v>2</v>
      </c>
      <c r="I1505" s="2">
        <v>46177</v>
      </c>
      <c r="J1505" s="1" t="s">
        <v>215</v>
      </c>
      <c r="K1505" s="1" t="s">
        <v>4884</v>
      </c>
      <c r="L1505" s="2">
        <v>46177.918923611112</v>
      </c>
      <c r="M1505" s="2">
        <v>46177.921329212964</v>
      </c>
    </row>
    <row r="1506" spans="1:13" x14ac:dyDescent="0.35">
      <c r="A1506" s="1" t="s">
        <v>709</v>
      </c>
      <c r="B1506" s="1" t="s">
        <v>13</v>
      </c>
      <c r="C1506" s="1" t="s">
        <v>710</v>
      </c>
      <c r="D1506">
        <v>2.375</v>
      </c>
      <c r="E1506" s="2">
        <v>47041</v>
      </c>
      <c r="F1506" s="1" t="s">
        <v>64</v>
      </c>
      <c r="G1506" s="1" t="s">
        <v>710</v>
      </c>
      <c r="H1506" s="1" t="s">
        <v>2</v>
      </c>
      <c r="I1506" s="2">
        <v>46177</v>
      </c>
      <c r="J1506" s="1" t="s">
        <v>17</v>
      </c>
      <c r="K1506" s="1" t="s">
        <v>2989</v>
      </c>
      <c r="L1506" s="2">
        <v>46177.92087962963</v>
      </c>
      <c r="M1506" s="2">
        <v>46177.921329212964</v>
      </c>
    </row>
    <row r="1507" spans="1:13" x14ac:dyDescent="0.35">
      <c r="A1507" s="1" t="s">
        <v>709</v>
      </c>
      <c r="B1507" s="1" t="s">
        <v>13</v>
      </c>
      <c r="C1507" s="1" t="s">
        <v>710</v>
      </c>
      <c r="D1507">
        <v>2.375</v>
      </c>
      <c r="E1507" s="2">
        <v>47041</v>
      </c>
      <c r="F1507" s="1" t="s">
        <v>64</v>
      </c>
      <c r="G1507" s="1" t="s">
        <v>710</v>
      </c>
      <c r="H1507" s="1" t="s">
        <v>2</v>
      </c>
      <c r="I1507" s="2">
        <v>46177</v>
      </c>
      <c r="J1507" s="1" t="s">
        <v>214</v>
      </c>
      <c r="K1507" s="1" t="s">
        <v>5040</v>
      </c>
      <c r="L1507" s="2">
        <v>46177.918923611112</v>
      </c>
      <c r="M1507" s="2">
        <v>46177.921329212964</v>
      </c>
    </row>
    <row r="1508" spans="1:13" x14ac:dyDescent="0.35">
      <c r="A1508" s="1" t="s">
        <v>709</v>
      </c>
      <c r="B1508" s="1" t="s">
        <v>13</v>
      </c>
      <c r="C1508" s="1" t="s">
        <v>710</v>
      </c>
      <c r="D1508">
        <v>2.375</v>
      </c>
      <c r="E1508" s="2">
        <v>47041</v>
      </c>
      <c r="F1508" s="1" t="s">
        <v>64</v>
      </c>
      <c r="G1508" s="1" t="s">
        <v>710</v>
      </c>
      <c r="H1508" s="1" t="s">
        <v>2</v>
      </c>
      <c r="I1508" s="2">
        <v>46177</v>
      </c>
      <c r="J1508" s="1" t="s">
        <v>215</v>
      </c>
      <c r="K1508" s="1" t="s">
        <v>5041</v>
      </c>
      <c r="L1508" s="2">
        <v>46177.918923611112</v>
      </c>
      <c r="M1508" s="2">
        <v>46177.921329212964</v>
      </c>
    </row>
    <row r="1509" spans="1:13" x14ac:dyDescent="0.35">
      <c r="A1509" s="1" t="s">
        <v>709</v>
      </c>
      <c r="B1509" s="1" t="s">
        <v>13</v>
      </c>
      <c r="C1509" s="1" t="s">
        <v>710</v>
      </c>
      <c r="D1509">
        <v>2.375</v>
      </c>
      <c r="E1509" s="2">
        <v>47041</v>
      </c>
      <c r="F1509" s="1" t="s">
        <v>64</v>
      </c>
      <c r="G1509" s="1" t="s">
        <v>710</v>
      </c>
      <c r="H1509" s="1" t="s">
        <v>2</v>
      </c>
      <c r="I1509" s="2">
        <v>46177</v>
      </c>
      <c r="J1509" s="1" t="s">
        <v>67</v>
      </c>
      <c r="K1509" s="1" t="s">
        <v>5041</v>
      </c>
      <c r="L1509" s="2">
        <v>46177.918923611112</v>
      </c>
      <c r="M1509" s="2">
        <v>46177.921329212964</v>
      </c>
    </row>
    <row r="1510" spans="1:13" x14ac:dyDescent="0.35">
      <c r="A1510" s="1" t="s">
        <v>709</v>
      </c>
      <c r="B1510" s="1" t="s">
        <v>13</v>
      </c>
      <c r="C1510" s="1" t="s">
        <v>710</v>
      </c>
      <c r="D1510">
        <v>2.375</v>
      </c>
      <c r="E1510" s="2">
        <v>47041</v>
      </c>
      <c r="F1510" s="1" t="s">
        <v>64</v>
      </c>
      <c r="G1510" s="1" t="s">
        <v>710</v>
      </c>
      <c r="H1510" s="1" t="s">
        <v>2</v>
      </c>
      <c r="I1510" s="2">
        <v>46177</v>
      </c>
      <c r="J1510" s="1" t="s">
        <v>18</v>
      </c>
      <c r="K1510" s="1" t="s">
        <v>2520</v>
      </c>
      <c r="L1510" s="2">
        <v>46177.92087962963</v>
      </c>
      <c r="M1510" s="2">
        <v>46177.921329212964</v>
      </c>
    </row>
    <row r="1511" spans="1:13" x14ac:dyDescent="0.35">
      <c r="A1511" s="1" t="s">
        <v>709</v>
      </c>
      <c r="B1511" s="1" t="s">
        <v>13</v>
      </c>
      <c r="C1511" s="1" t="s">
        <v>710</v>
      </c>
      <c r="D1511">
        <v>2.375</v>
      </c>
      <c r="E1511" s="2">
        <v>47041</v>
      </c>
      <c r="F1511" s="1" t="s">
        <v>64</v>
      </c>
      <c r="G1511" s="1" t="s">
        <v>710</v>
      </c>
      <c r="H1511" s="1" t="s">
        <v>2</v>
      </c>
      <c r="I1511" s="2">
        <v>46177</v>
      </c>
      <c r="J1511" s="1" t="s">
        <v>224</v>
      </c>
      <c r="K1511" s="1" t="s">
        <v>5040</v>
      </c>
      <c r="L1511" s="2">
        <v>46177.918923611112</v>
      </c>
      <c r="M1511" s="2">
        <v>46177.921329212964</v>
      </c>
    </row>
    <row r="1512" spans="1:13" x14ac:dyDescent="0.35">
      <c r="A1512" s="1" t="s">
        <v>711</v>
      </c>
      <c r="B1512" s="1" t="s">
        <v>13</v>
      </c>
      <c r="C1512" s="1" t="s">
        <v>712</v>
      </c>
      <c r="D1512">
        <v>4.5</v>
      </c>
      <c r="E1512" s="2">
        <v>48898</v>
      </c>
      <c r="F1512" s="1" t="s">
        <v>16</v>
      </c>
      <c r="G1512" s="1" t="s">
        <v>712</v>
      </c>
      <c r="H1512" s="1" t="s">
        <v>2</v>
      </c>
      <c r="I1512" s="2">
        <v>46177</v>
      </c>
      <c r="J1512" s="1" t="s">
        <v>214</v>
      </c>
      <c r="K1512" s="1" t="s">
        <v>4885</v>
      </c>
      <c r="L1512" s="2">
        <v>46177.918923611112</v>
      </c>
      <c r="M1512" s="2">
        <v>46177.921329212964</v>
      </c>
    </row>
    <row r="1513" spans="1:13" x14ac:dyDescent="0.35">
      <c r="A1513" s="1" t="s">
        <v>711</v>
      </c>
      <c r="B1513" s="1" t="s">
        <v>13</v>
      </c>
      <c r="C1513" s="1" t="s">
        <v>712</v>
      </c>
      <c r="D1513">
        <v>4.5</v>
      </c>
      <c r="E1513" s="2">
        <v>48898</v>
      </c>
      <c r="F1513" s="1" t="s">
        <v>16</v>
      </c>
      <c r="G1513" s="1" t="s">
        <v>712</v>
      </c>
      <c r="H1513" s="1" t="s">
        <v>2</v>
      </c>
      <c r="I1513" s="2">
        <v>46177</v>
      </c>
      <c r="J1513" s="1" t="s">
        <v>215</v>
      </c>
      <c r="K1513" s="1" t="s">
        <v>4886</v>
      </c>
      <c r="L1513" s="2">
        <v>46177.918923611112</v>
      </c>
      <c r="M1513" s="2">
        <v>46177.921329212964</v>
      </c>
    </row>
    <row r="1514" spans="1:13" x14ac:dyDescent="0.35">
      <c r="A1514" s="1" t="s">
        <v>711</v>
      </c>
      <c r="B1514" s="1" t="s">
        <v>13</v>
      </c>
      <c r="C1514" s="1" t="s">
        <v>712</v>
      </c>
      <c r="D1514">
        <v>4.5</v>
      </c>
      <c r="E1514" s="2">
        <v>48898</v>
      </c>
      <c r="F1514" s="1" t="s">
        <v>16</v>
      </c>
      <c r="G1514" s="1" t="s">
        <v>712</v>
      </c>
      <c r="H1514" s="1" t="s">
        <v>2</v>
      </c>
      <c r="I1514" s="2">
        <v>46177</v>
      </c>
      <c r="J1514" s="1" t="s">
        <v>18</v>
      </c>
      <c r="K1514" s="1" t="s">
        <v>2960</v>
      </c>
      <c r="L1514" s="2">
        <v>46177.92087962963</v>
      </c>
      <c r="M1514" s="2">
        <v>46177.921329212964</v>
      </c>
    </row>
    <row r="1515" spans="1:13" x14ac:dyDescent="0.35">
      <c r="A1515" s="1" t="s">
        <v>711</v>
      </c>
      <c r="B1515" s="1" t="s">
        <v>13</v>
      </c>
      <c r="C1515" s="1" t="s">
        <v>712</v>
      </c>
      <c r="D1515">
        <v>4.5</v>
      </c>
      <c r="E1515" s="2">
        <v>48898</v>
      </c>
      <c r="F1515" s="1" t="s">
        <v>16</v>
      </c>
      <c r="G1515" s="1" t="s">
        <v>712</v>
      </c>
      <c r="H1515" s="1" t="s">
        <v>2</v>
      </c>
      <c r="I1515" s="2">
        <v>46177</v>
      </c>
      <c r="J1515" s="1" t="s">
        <v>224</v>
      </c>
      <c r="K1515" s="1" t="s">
        <v>4885</v>
      </c>
      <c r="L1515" s="2">
        <v>46177.918923611112</v>
      </c>
      <c r="M1515" s="2">
        <v>46177.921329212964</v>
      </c>
    </row>
    <row r="1516" spans="1:13" x14ac:dyDescent="0.35">
      <c r="A1516" s="1" t="s">
        <v>711</v>
      </c>
      <c r="B1516" s="1" t="s">
        <v>13</v>
      </c>
      <c r="C1516" s="1" t="s">
        <v>712</v>
      </c>
      <c r="D1516">
        <v>4.5</v>
      </c>
      <c r="E1516" s="2">
        <v>48898</v>
      </c>
      <c r="F1516" s="1" t="s">
        <v>16</v>
      </c>
      <c r="G1516" s="1" t="s">
        <v>712</v>
      </c>
      <c r="H1516" s="1" t="s">
        <v>2</v>
      </c>
      <c r="I1516" s="2">
        <v>46177</v>
      </c>
      <c r="J1516" s="1" t="s">
        <v>67</v>
      </c>
      <c r="K1516" s="1" t="s">
        <v>4886</v>
      </c>
      <c r="L1516" s="2">
        <v>46177.918923611112</v>
      </c>
      <c r="M1516" s="2">
        <v>46177.921329212964</v>
      </c>
    </row>
    <row r="1517" spans="1:13" x14ac:dyDescent="0.35">
      <c r="A1517" s="1" t="s">
        <v>711</v>
      </c>
      <c r="B1517" s="1" t="s">
        <v>13</v>
      </c>
      <c r="C1517" s="1" t="s">
        <v>712</v>
      </c>
      <c r="D1517">
        <v>4.5</v>
      </c>
      <c r="E1517" s="2">
        <v>48898</v>
      </c>
      <c r="F1517" s="1" t="s">
        <v>16</v>
      </c>
      <c r="G1517" s="1" t="s">
        <v>712</v>
      </c>
      <c r="H1517" s="1" t="s">
        <v>2</v>
      </c>
      <c r="I1517" s="2">
        <v>46177</v>
      </c>
      <c r="J1517" s="1" t="s">
        <v>17</v>
      </c>
      <c r="K1517" s="1" t="s">
        <v>5063</v>
      </c>
      <c r="L1517" s="2">
        <v>46177.92087962963</v>
      </c>
      <c r="M1517" s="2">
        <v>46177.921329212964</v>
      </c>
    </row>
    <row r="1518" spans="1:13" x14ac:dyDescent="0.35">
      <c r="A1518" s="1" t="s">
        <v>713</v>
      </c>
      <c r="B1518" s="1" t="s">
        <v>13</v>
      </c>
      <c r="C1518" s="1" t="s">
        <v>714</v>
      </c>
      <c r="D1518">
        <v>4.625</v>
      </c>
      <c r="E1518" s="2">
        <v>46341</v>
      </c>
      <c r="F1518" s="1" t="s">
        <v>16</v>
      </c>
      <c r="G1518" s="1" t="s">
        <v>714</v>
      </c>
      <c r="H1518" s="1" t="s">
        <v>2</v>
      </c>
      <c r="I1518" s="2">
        <v>46177</v>
      </c>
      <c r="J1518" s="1" t="s">
        <v>224</v>
      </c>
      <c r="K1518" s="1" t="s">
        <v>4915</v>
      </c>
      <c r="L1518" s="2">
        <v>46177.918923611112</v>
      </c>
      <c r="M1518" s="2">
        <v>46177.921329212964</v>
      </c>
    </row>
    <row r="1519" spans="1:13" x14ac:dyDescent="0.35">
      <c r="A1519" s="1" t="s">
        <v>713</v>
      </c>
      <c r="B1519" s="1" t="s">
        <v>13</v>
      </c>
      <c r="C1519" s="1" t="s">
        <v>714</v>
      </c>
      <c r="D1519">
        <v>4.625</v>
      </c>
      <c r="E1519" s="2">
        <v>46341</v>
      </c>
      <c r="F1519" s="1" t="s">
        <v>16</v>
      </c>
      <c r="G1519" s="1" t="s">
        <v>714</v>
      </c>
      <c r="H1519" s="1" t="s">
        <v>2</v>
      </c>
      <c r="I1519" s="2">
        <v>46177</v>
      </c>
      <c r="J1519" s="1" t="s">
        <v>215</v>
      </c>
      <c r="K1519" s="1" t="s">
        <v>4787</v>
      </c>
      <c r="L1519" s="2">
        <v>46177.918923611112</v>
      </c>
      <c r="M1519" s="2">
        <v>46177.921329212964</v>
      </c>
    </row>
    <row r="1520" spans="1:13" x14ac:dyDescent="0.35">
      <c r="A1520" s="1" t="s">
        <v>713</v>
      </c>
      <c r="B1520" s="1" t="s">
        <v>13</v>
      </c>
      <c r="C1520" s="1" t="s">
        <v>714</v>
      </c>
      <c r="D1520">
        <v>4.625</v>
      </c>
      <c r="E1520" s="2">
        <v>46341</v>
      </c>
      <c r="F1520" s="1" t="s">
        <v>16</v>
      </c>
      <c r="G1520" s="1" t="s">
        <v>714</v>
      </c>
      <c r="H1520" s="1" t="s">
        <v>2</v>
      </c>
      <c r="I1520" s="2">
        <v>46177</v>
      </c>
      <c r="J1520" s="1" t="s">
        <v>17</v>
      </c>
      <c r="K1520" s="1" t="s">
        <v>2922</v>
      </c>
      <c r="L1520" s="2">
        <v>46177.92087962963</v>
      </c>
      <c r="M1520" s="2">
        <v>46177.921329212964</v>
      </c>
    </row>
    <row r="1521" spans="1:13" x14ac:dyDescent="0.35">
      <c r="A1521" s="1" t="s">
        <v>713</v>
      </c>
      <c r="B1521" s="1" t="s">
        <v>13</v>
      </c>
      <c r="C1521" s="1" t="s">
        <v>714</v>
      </c>
      <c r="D1521">
        <v>4.625</v>
      </c>
      <c r="E1521" s="2">
        <v>46341</v>
      </c>
      <c r="F1521" s="1" t="s">
        <v>16</v>
      </c>
      <c r="G1521" s="1" t="s">
        <v>714</v>
      </c>
      <c r="H1521" s="1" t="s">
        <v>2</v>
      </c>
      <c r="I1521" s="2">
        <v>46177</v>
      </c>
      <c r="J1521" s="1" t="s">
        <v>67</v>
      </c>
      <c r="K1521" s="1" t="s">
        <v>4787</v>
      </c>
      <c r="L1521" s="2">
        <v>46177.918923611112</v>
      </c>
      <c r="M1521" s="2">
        <v>46177.921329212964</v>
      </c>
    </row>
    <row r="1522" spans="1:13" x14ac:dyDescent="0.35">
      <c r="A1522" s="1" t="s">
        <v>713</v>
      </c>
      <c r="B1522" s="1" t="s">
        <v>13</v>
      </c>
      <c r="C1522" s="1" t="s">
        <v>714</v>
      </c>
      <c r="D1522">
        <v>4.625</v>
      </c>
      <c r="E1522" s="2">
        <v>46341</v>
      </c>
      <c r="F1522" s="1" t="s">
        <v>16</v>
      </c>
      <c r="G1522" s="1" t="s">
        <v>714</v>
      </c>
      <c r="H1522" s="1" t="s">
        <v>2</v>
      </c>
      <c r="I1522" s="2">
        <v>46177</v>
      </c>
      <c r="J1522" s="1" t="s">
        <v>214</v>
      </c>
      <c r="K1522" s="1" t="s">
        <v>4915</v>
      </c>
      <c r="L1522" s="2">
        <v>46177.918923611112</v>
      </c>
      <c r="M1522" s="2">
        <v>46177.921329212964</v>
      </c>
    </row>
    <row r="1523" spans="1:13" x14ac:dyDescent="0.35">
      <c r="A1523" s="1" t="s">
        <v>713</v>
      </c>
      <c r="B1523" s="1" t="s">
        <v>13</v>
      </c>
      <c r="C1523" s="1" t="s">
        <v>714</v>
      </c>
      <c r="D1523">
        <v>4.625</v>
      </c>
      <c r="E1523" s="2">
        <v>46341</v>
      </c>
      <c r="F1523" s="1" t="s">
        <v>16</v>
      </c>
      <c r="G1523" s="1" t="s">
        <v>714</v>
      </c>
      <c r="H1523" s="1" t="s">
        <v>2</v>
      </c>
      <c r="I1523" s="2">
        <v>46177</v>
      </c>
      <c r="J1523" s="1" t="s">
        <v>18</v>
      </c>
      <c r="K1523" s="1" t="s">
        <v>2436</v>
      </c>
      <c r="L1523" s="2">
        <v>46177.92087962963</v>
      </c>
      <c r="M1523" s="2">
        <v>46177.921329212964</v>
      </c>
    </row>
    <row r="1524" spans="1:13" x14ac:dyDescent="0.35">
      <c r="A1524" s="1" t="s">
        <v>773</v>
      </c>
      <c r="B1524" s="1" t="s">
        <v>13</v>
      </c>
      <c r="C1524" s="1" t="s">
        <v>774</v>
      </c>
      <c r="D1524">
        <v>4.375</v>
      </c>
      <c r="E1524" s="2">
        <v>47817</v>
      </c>
      <c r="F1524" s="1" t="s">
        <v>16</v>
      </c>
      <c r="G1524" s="1" t="s">
        <v>774</v>
      </c>
      <c r="H1524" s="1" t="s">
        <v>2</v>
      </c>
      <c r="I1524" s="2">
        <v>46177</v>
      </c>
      <c r="J1524" s="1" t="s">
        <v>18</v>
      </c>
      <c r="K1524" s="1" t="s">
        <v>2688</v>
      </c>
      <c r="L1524" s="2">
        <v>46177.92087962963</v>
      </c>
      <c r="M1524" s="2">
        <v>46177.921329212964</v>
      </c>
    </row>
    <row r="1525" spans="1:13" x14ac:dyDescent="0.35">
      <c r="A1525" s="1" t="s">
        <v>773</v>
      </c>
      <c r="B1525" s="1" t="s">
        <v>13</v>
      </c>
      <c r="C1525" s="1" t="s">
        <v>774</v>
      </c>
      <c r="D1525">
        <v>4.375</v>
      </c>
      <c r="E1525" s="2">
        <v>47817</v>
      </c>
      <c r="F1525" s="1" t="s">
        <v>16</v>
      </c>
      <c r="G1525" s="1" t="s">
        <v>774</v>
      </c>
      <c r="H1525" s="1" t="s">
        <v>2</v>
      </c>
      <c r="I1525" s="2">
        <v>46177</v>
      </c>
      <c r="J1525" s="1" t="s">
        <v>67</v>
      </c>
      <c r="K1525" s="1" t="s">
        <v>4908</v>
      </c>
      <c r="L1525" s="2">
        <v>46177.918923611112</v>
      </c>
      <c r="M1525" s="2">
        <v>46177.921329212964</v>
      </c>
    </row>
    <row r="1526" spans="1:13" x14ac:dyDescent="0.35">
      <c r="A1526" s="1" t="s">
        <v>773</v>
      </c>
      <c r="B1526" s="1" t="s">
        <v>13</v>
      </c>
      <c r="C1526" s="1" t="s">
        <v>774</v>
      </c>
      <c r="D1526">
        <v>4.375</v>
      </c>
      <c r="E1526" s="2">
        <v>47817</v>
      </c>
      <c r="F1526" s="1" t="s">
        <v>16</v>
      </c>
      <c r="G1526" s="1" t="s">
        <v>774</v>
      </c>
      <c r="H1526" s="1" t="s">
        <v>2</v>
      </c>
      <c r="I1526" s="2">
        <v>46177</v>
      </c>
      <c r="J1526" s="1" t="s">
        <v>224</v>
      </c>
      <c r="K1526" s="1" t="s">
        <v>4959</v>
      </c>
      <c r="L1526" s="2">
        <v>46177.918923611112</v>
      </c>
      <c r="M1526" s="2">
        <v>46177.921329212964</v>
      </c>
    </row>
    <row r="1527" spans="1:13" x14ac:dyDescent="0.35">
      <c r="A1527" s="1" t="s">
        <v>773</v>
      </c>
      <c r="B1527" s="1" t="s">
        <v>13</v>
      </c>
      <c r="C1527" s="1" t="s">
        <v>774</v>
      </c>
      <c r="D1527">
        <v>4.375</v>
      </c>
      <c r="E1527" s="2">
        <v>47817</v>
      </c>
      <c r="F1527" s="1" t="s">
        <v>16</v>
      </c>
      <c r="G1527" s="1" t="s">
        <v>774</v>
      </c>
      <c r="H1527" s="1" t="s">
        <v>2</v>
      </c>
      <c r="I1527" s="2">
        <v>46177</v>
      </c>
      <c r="J1527" s="1" t="s">
        <v>214</v>
      </c>
      <c r="K1527" s="1" t="s">
        <v>4959</v>
      </c>
      <c r="L1527" s="2">
        <v>46177.918923611112</v>
      </c>
      <c r="M1527" s="2">
        <v>46177.921329212964</v>
      </c>
    </row>
    <row r="1528" spans="1:13" x14ac:dyDescent="0.35">
      <c r="A1528" s="1" t="s">
        <v>773</v>
      </c>
      <c r="B1528" s="1" t="s">
        <v>13</v>
      </c>
      <c r="C1528" s="1" t="s">
        <v>774</v>
      </c>
      <c r="D1528">
        <v>4.375</v>
      </c>
      <c r="E1528" s="2">
        <v>47817</v>
      </c>
      <c r="F1528" s="1" t="s">
        <v>16</v>
      </c>
      <c r="G1528" s="1" t="s">
        <v>774</v>
      </c>
      <c r="H1528" s="1" t="s">
        <v>2</v>
      </c>
      <c r="I1528" s="2">
        <v>46177</v>
      </c>
      <c r="J1528" s="1" t="s">
        <v>215</v>
      </c>
      <c r="K1528" s="1" t="s">
        <v>4908</v>
      </c>
      <c r="L1528" s="2">
        <v>46177.918923611112</v>
      </c>
      <c r="M1528" s="2">
        <v>46177.921329212964</v>
      </c>
    </row>
    <row r="1529" spans="1:13" x14ac:dyDescent="0.35">
      <c r="A1529" s="1" t="s">
        <v>773</v>
      </c>
      <c r="B1529" s="1" t="s">
        <v>13</v>
      </c>
      <c r="C1529" s="1" t="s">
        <v>774</v>
      </c>
      <c r="D1529">
        <v>4.375</v>
      </c>
      <c r="E1529" s="2">
        <v>47817</v>
      </c>
      <c r="F1529" s="1" t="s">
        <v>16</v>
      </c>
      <c r="G1529" s="1" t="s">
        <v>774</v>
      </c>
      <c r="H1529" s="1" t="s">
        <v>2</v>
      </c>
      <c r="I1529" s="2">
        <v>46177</v>
      </c>
      <c r="J1529" s="1" t="s">
        <v>17</v>
      </c>
      <c r="K1529" s="1" t="s">
        <v>2966</v>
      </c>
      <c r="L1529" s="2">
        <v>46177.92087962963</v>
      </c>
      <c r="M1529" s="2">
        <v>46177.921329212964</v>
      </c>
    </row>
    <row r="1530" spans="1:13" x14ac:dyDescent="0.35">
      <c r="A1530" s="1" t="s">
        <v>715</v>
      </c>
      <c r="B1530" s="1" t="s">
        <v>13</v>
      </c>
      <c r="C1530" s="1" t="s">
        <v>716</v>
      </c>
      <c r="D1530">
        <v>4.375</v>
      </c>
      <c r="E1530" s="2">
        <v>47087</v>
      </c>
      <c r="F1530" s="1" t="s">
        <v>16</v>
      </c>
      <c r="G1530" s="1" t="s">
        <v>716</v>
      </c>
      <c r="H1530" s="1" t="s">
        <v>2</v>
      </c>
      <c r="I1530" s="2">
        <v>46177</v>
      </c>
      <c r="J1530" s="1" t="s">
        <v>215</v>
      </c>
      <c r="K1530" s="1" t="s">
        <v>4916</v>
      </c>
      <c r="L1530" s="2">
        <v>46177.918923611112</v>
      </c>
      <c r="M1530" s="2">
        <v>46177.921329212964</v>
      </c>
    </row>
    <row r="1531" spans="1:13" x14ac:dyDescent="0.35">
      <c r="A1531" s="1" t="s">
        <v>715</v>
      </c>
      <c r="B1531" s="1" t="s">
        <v>13</v>
      </c>
      <c r="C1531" s="1" t="s">
        <v>716</v>
      </c>
      <c r="D1531">
        <v>4.375</v>
      </c>
      <c r="E1531" s="2">
        <v>47087</v>
      </c>
      <c r="F1531" s="1" t="s">
        <v>16</v>
      </c>
      <c r="G1531" s="1" t="s">
        <v>716</v>
      </c>
      <c r="H1531" s="1" t="s">
        <v>2</v>
      </c>
      <c r="I1531" s="2">
        <v>46177</v>
      </c>
      <c r="J1531" s="1" t="s">
        <v>224</v>
      </c>
      <c r="K1531" s="1" t="s">
        <v>5042</v>
      </c>
      <c r="L1531" s="2">
        <v>46177.918923611112</v>
      </c>
      <c r="M1531" s="2">
        <v>46177.921329212964</v>
      </c>
    </row>
    <row r="1532" spans="1:13" x14ac:dyDescent="0.35">
      <c r="A1532" s="1" t="s">
        <v>715</v>
      </c>
      <c r="B1532" s="1" t="s">
        <v>13</v>
      </c>
      <c r="C1532" s="1" t="s">
        <v>716</v>
      </c>
      <c r="D1532">
        <v>4.375</v>
      </c>
      <c r="E1532" s="2">
        <v>47087</v>
      </c>
      <c r="F1532" s="1" t="s">
        <v>16</v>
      </c>
      <c r="G1532" s="1" t="s">
        <v>716</v>
      </c>
      <c r="H1532" s="1" t="s">
        <v>2</v>
      </c>
      <c r="I1532" s="2">
        <v>46177</v>
      </c>
      <c r="J1532" s="1" t="s">
        <v>18</v>
      </c>
      <c r="K1532" s="1" t="s">
        <v>2612</v>
      </c>
      <c r="L1532" s="2">
        <v>46177.92087962963</v>
      </c>
      <c r="M1532" s="2">
        <v>46177.921329212964</v>
      </c>
    </row>
    <row r="1533" spans="1:13" x14ac:dyDescent="0.35">
      <c r="A1533" s="1" t="s">
        <v>715</v>
      </c>
      <c r="B1533" s="1" t="s">
        <v>13</v>
      </c>
      <c r="C1533" s="1" t="s">
        <v>716</v>
      </c>
      <c r="D1533">
        <v>4.375</v>
      </c>
      <c r="E1533" s="2">
        <v>47087</v>
      </c>
      <c r="F1533" s="1" t="s">
        <v>16</v>
      </c>
      <c r="G1533" s="1" t="s">
        <v>716</v>
      </c>
      <c r="H1533" s="1" t="s">
        <v>2</v>
      </c>
      <c r="I1533" s="2">
        <v>46177</v>
      </c>
      <c r="J1533" s="1" t="s">
        <v>214</v>
      </c>
      <c r="K1533" s="1" t="s">
        <v>5042</v>
      </c>
      <c r="L1533" s="2">
        <v>46177.918923611112</v>
      </c>
      <c r="M1533" s="2">
        <v>46177.921329212964</v>
      </c>
    </row>
    <row r="1534" spans="1:13" x14ac:dyDescent="0.35">
      <c r="A1534" s="1" t="s">
        <v>715</v>
      </c>
      <c r="B1534" s="1" t="s">
        <v>13</v>
      </c>
      <c r="C1534" s="1" t="s">
        <v>716</v>
      </c>
      <c r="D1534">
        <v>4.375</v>
      </c>
      <c r="E1534" s="2">
        <v>47087</v>
      </c>
      <c r="F1534" s="1" t="s">
        <v>16</v>
      </c>
      <c r="G1534" s="1" t="s">
        <v>716</v>
      </c>
      <c r="H1534" s="1" t="s">
        <v>2</v>
      </c>
      <c r="I1534" s="2">
        <v>46177</v>
      </c>
      <c r="J1534" s="1" t="s">
        <v>67</v>
      </c>
      <c r="K1534" s="1" t="s">
        <v>4916</v>
      </c>
      <c r="L1534" s="2">
        <v>46177.918923611112</v>
      </c>
      <c r="M1534" s="2">
        <v>46177.921329212964</v>
      </c>
    </row>
    <row r="1535" spans="1:13" x14ac:dyDescent="0.35">
      <c r="A1535" s="1" t="s">
        <v>715</v>
      </c>
      <c r="B1535" s="1" t="s">
        <v>13</v>
      </c>
      <c r="C1535" s="1" t="s">
        <v>716</v>
      </c>
      <c r="D1535">
        <v>4.375</v>
      </c>
      <c r="E1535" s="2">
        <v>47087</v>
      </c>
      <c r="F1535" s="1" t="s">
        <v>16</v>
      </c>
      <c r="G1535" s="1" t="s">
        <v>716</v>
      </c>
      <c r="H1535" s="1" t="s">
        <v>2</v>
      </c>
      <c r="I1535" s="2">
        <v>46177</v>
      </c>
      <c r="J1535" s="1" t="s">
        <v>17</v>
      </c>
      <c r="K1535" s="1" t="s">
        <v>2427</v>
      </c>
      <c r="L1535" s="2">
        <v>46177.92087962963</v>
      </c>
      <c r="M1535" s="2">
        <v>46177.921329212964</v>
      </c>
    </row>
    <row r="1536" spans="1:13" x14ac:dyDescent="0.35">
      <c r="A1536" s="1" t="s">
        <v>717</v>
      </c>
      <c r="B1536" s="1" t="s">
        <v>13</v>
      </c>
      <c r="C1536" s="1" t="s">
        <v>718</v>
      </c>
      <c r="D1536">
        <v>4.375</v>
      </c>
      <c r="E1536" s="2">
        <v>46371</v>
      </c>
      <c r="F1536" s="1" t="s">
        <v>16</v>
      </c>
      <c r="G1536" s="1" t="s">
        <v>718</v>
      </c>
      <c r="H1536" s="1" t="s">
        <v>2</v>
      </c>
      <c r="I1536" s="2">
        <v>46177</v>
      </c>
      <c r="J1536" s="1" t="s">
        <v>17</v>
      </c>
      <c r="K1536" s="1" t="s">
        <v>2451</v>
      </c>
      <c r="L1536" s="2">
        <v>46177.92087962963</v>
      </c>
      <c r="M1536" s="2">
        <v>46177.921329212964</v>
      </c>
    </row>
    <row r="1537" spans="1:13" x14ac:dyDescent="0.35">
      <c r="A1537" s="1" t="s">
        <v>717</v>
      </c>
      <c r="B1537" s="1" t="s">
        <v>13</v>
      </c>
      <c r="C1537" s="1" t="s">
        <v>718</v>
      </c>
      <c r="D1537">
        <v>4.375</v>
      </c>
      <c r="E1537" s="2">
        <v>46371</v>
      </c>
      <c r="F1537" s="1" t="s">
        <v>16</v>
      </c>
      <c r="G1537" s="1" t="s">
        <v>718</v>
      </c>
      <c r="H1537" s="1" t="s">
        <v>2</v>
      </c>
      <c r="I1537" s="2">
        <v>46177</v>
      </c>
      <c r="J1537" s="1" t="s">
        <v>214</v>
      </c>
      <c r="K1537" s="1" t="s">
        <v>5046</v>
      </c>
      <c r="L1537" s="2">
        <v>46177.918923611112</v>
      </c>
      <c r="M1537" s="2">
        <v>46177.921329212964</v>
      </c>
    </row>
    <row r="1538" spans="1:13" x14ac:dyDescent="0.35">
      <c r="A1538" s="1" t="s">
        <v>717</v>
      </c>
      <c r="B1538" s="1" t="s">
        <v>13</v>
      </c>
      <c r="C1538" s="1" t="s">
        <v>718</v>
      </c>
      <c r="D1538">
        <v>4.375</v>
      </c>
      <c r="E1538" s="2">
        <v>46371</v>
      </c>
      <c r="F1538" s="1" t="s">
        <v>16</v>
      </c>
      <c r="G1538" s="1" t="s">
        <v>718</v>
      </c>
      <c r="H1538" s="1" t="s">
        <v>2</v>
      </c>
      <c r="I1538" s="2">
        <v>46177</v>
      </c>
      <c r="J1538" s="1" t="s">
        <v>215</v>
      </c>
      <c r="K1538" s="1" t="s">
        <v>4909</v>
      </c>
      <c r="L1538" s="2">
        <v>46177.918923611112</v>
      </c>
      <c r="M1538" s="2">
        <v>46177.921329212964</v>
      </c>
    </row>
    <row r="1539" spans="1:13" x14ac:dyDescent="0.35">
      <c r="A1539" s="1" t="s">
        <v>717</v>
      </c>
      <c r="B1539" s="1" t="s">
        <v>13</v>
      </c>
      <c r="C1539" s="1" t="s">
        <v>718</v>
      </c>
      <c r="D1539">
        <v>4.375</v>
      </c>
      <c r="E1539" s="2">
        <v>46371</v>
      </c>
      <c r="F1539" s="1" t="s">
        <v>16</v>
      </c>
      <c r="G1539" s="1" t="s">
        <v>718</v>
      </c>
      <c r="H1539" s="1" t="s">
        <v>2</v>
      </c>
      <c r="I1539" s="2">
        <v>46177</v>
      </c>
      <c r="J1539" s="1" t="s">
        <v>18</v>
      </c>
      <c r="K1539" s="1" t="s">
        <v>2625</v>
      </c>
      <c r="L1539" s="2">
        <v>46177.92087962963</v>
      </c>
      <c r="M1539" s="2">
        <v>46177.921329212964</v>
      </c>
    </row>
    <row r="1540" spans="1:13" x14ac:dyDescent="0.35">
      <c r="A1540" s="1" t="s">
        <v>717</v>
      </c>
      <c r="B1540" s="1" t="s">
        <v>13</v>
      </c>
      <c r="C1540" s="1" t="s">
        <v>718</v>
      </c>
      <c r="D1540">
        <v>4.375</v>
      </c>
      <c r="E1540" s="2">
        <v>46371</v>
      </c>
      <c r="F1540" s="1" t="s">
        <v>16</v>
      </c>
      <c r="G1540" s="1" t="s">
        <v>718</v>
      </c>
      <c r="H1540" s="1" t="s">
        <v>2</v>
      </c>
      <c r="I1540" s="2">
        <v>46177</v>
      </c>
      <c r="J1540" s="1" t="s">
        <v>224</v>
      </c>
      <c r="K1540" s="1" t="s">
        <v>5046</v>
      </c>
      <c r="L1540" s="2">
        <v>46177.918923611112</v>
      </c>
      <c r="M1540" s="2">
        <v>46177.921329212964</v>
      </c>
    </row>
    <row r="1541" spans="1:13" x14ac:dyDescent="0.35">
      <c r="A1541" s="1" t="s">
        <v>717</v>
      </c>
      <c r="B1541" s="1" t="s">
        <v>13</v>
      </c>
      <c r="C1541" s="1" t="s">
        <v>718</v>
      </c>
      <c r="D1541">
        <v>4.375</v>
      </c>
      <c r="E1541" s="2">
        <v>46371</v>
      </c>
      <c r="F1541" s="1" t="s">
        <v>16</v>
      </c>
      <c r="G1541" s="1" t="s">
        <v>718</v>
      </c>
      <c r="H1541" s="1" t="s">
        <v>2</v>
      </c>
      <c r="I1541" s="2">
        <v>46177</v>
      </c>
      <c r="J1541" s="1" t="s">
        <v>67</v>
      </c>
      <c r="K1541" s="1" t="s">
        <v>4909</v>
      </c>
      <c r="L1541" s="2">
        <v>46177.918923611112</v>
      </c>
      <c r="M1541" s="2">
        <v>46177.921329212964</v>
      </c>
    </row>
    <row r="1542" spans="1:13" x14ac:dyDescent="0.35">
      <c r="A1542" s="1" t="s">
        <v>719</v>
      </c>
      <c r="B1542" s="1" t="s">
        <v>13</v>
      </c>
      <c r="C1542" s="1" t="s">
        <v>720</v>
      </c>
      <c r="D1542">
        <v>3.75</v>
      </c>
      <c r="E1542" s="2">
        <v>47848</v>
      </c>
      <c r="F1542" s="1" t="s">
        <v>16</v>
      </c>
      <c r="G1542" s="1" t="s">
        <v>720</v>
      </c>
      <c r="H1542" s="1" t="s">
        <v>2</v>
      </c>
      <c r="I1542" s="2">
        <v>46177</v>
      </c>
      <c r="J1542" s="1" t="s">
        <v>67</v>
      </c>
      <c r="K1542" s="1" t="s">
        <v>4960</v>
      </c>
      <c r="L1542" s="2">
        <v>46177.918923611112</v>
      </c>
      <c r="M1542" s="2">
        <v>46177.921329212964</v>
      </c>
    </row>
    <row r="1543" spans="1:13" x14ac:dyDescent="0.35">
      <c r="A1543" s="1" t="s">
        <v>719</v>
      </c>
      <c r="B1543" s="1" t="s">
        <v>13</v>
      </c>
      <c r="C1543" s="1" t="s">
        <v>720</v>
      </c>
      <c r="D1543">
        <v>3.75</v>
      </c>
      <c r="E1543" s="2">
        <v>47848</v>
      </c>
      <c r="F1543" s="1" t="s">
        <v>16</v>
      </c>
      <c r="G1543" s="1" t="s">
        <v>720</v>
      </c>
      <c r="H1543" s="1" t="s">
        <v>2</v>
      </c>
      <c r="I1543" s="2">
        <v>46177</v>
      </c>
      <c r="J1543" s="1" t="s">
        <v>215</v>
      </c>
      <c r="K1543" s="1" t="s">
        <v>4960</v>
      </c>
      <c r="L1543" s="2">
        <v>46177.918923611112</v>
      </c>
      <c r="M1543" s="2">
        <v>46177.921329212964</v>
      </c>
    </row>
    <row r="1544" spans="1:13" x14ac:dyDescent="0.35">
      <c r="A1544" s="1" t="s">
        <v>719</v>
      </c>
      <c r="B1544" s="1" t="s">
        <v>13</v>
      </c>
      <c r="C1544" s="1" t="s">
        <v>720</v>
      </c>
      <c r="D1544">
        <v>3.75</v>
      </c>
      <c r="E1544" s="2">
        <v>47848</v>
      </c>
      <c r="F1544" s="1" t="s">
        <v>16</v>
      </c>
      <c r="G1544" s="1" t="s">
        <v>720</v>
      </c>
      <c r="H1544" s="1" t="s">
        <v>2</v>
      </c>
      <c r="I1544" s="2">
        <v>46177</v>
      </c>
      <c r="J1544" s="1" t="s">
        <v>224</v>
      </c>
      <c r="K1544" s="1" t="s">
        <v>4917</v>
      </c>
      <c r="L1544" s="2">
        <v>46177.918923611112</v>
      </c>
      <c r="M1544" s="2">
        <v>46177.921329212964</v>
      </c>
    </row>
    <row r="1545" spans="1:13" x14ac:dyDescent="0.35">
      <c r="A1545" s="1" t="s">
        <v>719</v>
      </c>
      <c r="B1545" s="1" t="s">
        <v>13</v>
      </c>
      <c r="C1545" s="1" t="s">
        <v>720</v>
      </c>
      <c r="D1545">
        <v>3.75</v>
      </c>
      <c r="E1545" s="2">
        <v>47848</v>
      </c>
      <c r="F1545" s="1" t="s">
        <v>16</v>
      </c>
      <c r="G1545" s="1" t="s">
        <v>720</v>
      </c>
      <c r="H1545" s="1" t="s">
        <v>2</v>
      </c>
      <c r="I1545" s="2">
        <v>46177</v>
      </c>
      <c r="J1545" s="1" t="s">
        <v>214</v>
      </c>
      <c r="K1545" s="1" t="s">
        <v>4917</v>
      </c>
      <c r="L1545" s="2">
        <v>46177.918923611112</v>
      </c>
      <c r="M1545" s="2">
        <v>46177.921329212964</v>
      </c>
    </row>
    <row r="1546" spans="1:13" x14ac:dyDescent="0.35">
      <c r="A1546" s="1" t="s">
        <v>719</v>
      </c>
      <c r="B1546" s="1" t="s">
        <v>13</v>
      </c>
      <c r="C1546" s="1" t="s">
        <v>720</v>
      </c>
      <c r="D1546">
        <v>3.75</v>
      </c>
      <c r="E1546" s="2">
        <v>47848</v>
      </c>
      <c r="F1546" s="1" t="s">
        <v>16</v>
      </c>
      <c r="G1546" s="1" t="s">
        <v>720</v>
      </c>
      <c r="H1546" s="1" t="s">
        <v>2</v>
      </c>
      <c r="I1546" s="2">
        <v>46177</v>
      </c>
      <c r="J1546" s="1" t="s">
        <v>17</v>
      </c>
      <c r="K1546" s="1" t="s">
        <v>2423</v>
      </c>
      <c r="L1546" s="2">
        <v>46177.92087962963</v>
      </c>
      <c r="M1546" s="2">
        <v>46177.921329212964</v>
      </c>
    </row>
    <row r="1547" spans="1:13" x14ac:dyDescent="0.35">
      <c r="A1547" s="1" t="s">
        <v>719</v>
      </c>
      <c r="B1547" s="1" t="s">
        <v>13</v>
      </c>
      <c r="C1547" s="1" t="s">
        <v>720</v>
      </c>
      <c r="D1547">
        <v>3.75</v>
      </c>
      <c r="E1547" s="2">
        <v>47848</v>
      </c>
      <c r="F1547" s="1" t="s">
        <v>16</v>
      </c>
      <c r="G1547" s="1" t="s">
        <v>720</v>
      </c>
      <c r="H1547" s="1" t="s">
        <v>2</v>
      </c>
      <c r="I1547" s="2">
        <v>46177</v>
      </c>
      <c r="J1547" s="1" t="s">
        <v>18</v>
      </c>
      <c r="K1547" s="1" t="s">
        <v>2598</v>
      </c>
      <c r="L1547" s="2">
        <v>46177.92087962963</v>
      </c>
      <c r="M1547" s="2">
        <v>46177.921329212964</v>
      </c>
    </row>
    <row r="1548" spans="1:13" x14ac:dyDescent="0.35">
      <c r="A1548" s="1" t="s">
        <v>721</v>
      </c>
      <c r="B1548" s="1" t="s">
        <v>13</v>
      </c>
      <c r="C1548" s="1" t="s">
        <v>722</v>
      </c>
      <c r="D1548">
        <v>3.75</v>
      </c>
      <c r="E1548" s="2">
        <v>47118</v>
      </c>
      <c r="F1548" s="1" t="s">
        <v>16</v>
      </c>
      <c r="G1548" s="1" t="s">
        <v>722</v>
      </c>
      <c r="H1548" s="1" t="s">
        <v>2</v>
      </c>
      <c r="I1548" s="2">
        <v>46177</v>
      </c>
      <c r="J1548" s="1" t="s">
        <v>17</v>
      </c>
      <c r="K1548" s="1" t="s">
        <v>5047</v>
      </c>
      <c r="L1548" s="2">
        <v>46177.92087962963</v>
      </c>
      <c r="M1548" s="2">
        <v>46177.921329212964</v>
      </c>
    </row>
    <row r="1549" spans="1:13" x14ac:dyDescent="0.35">
      <c r="A1549" s="1" t="s">
        <v>721</v>
      </c>
      <c r="B1549" s="1" t="s">
        <v>13</v>
      </c>
      <c r="C1549" s="1" t="s">
        <v>722</v>
      </c>
      <c r="D1549">
        <v>3.75</v>
      </c>
      <c r="E1549" s="2">
        <v>47118</v>
      </c>
      <c r="F1549" s="1" t="s">
        <v>16</v>
      </c>
      <c r="G1549" s="1" t="s">
        <v>722</v>
      </c>
      <c r="H1549" s="1" t="s">
        <v>2</v>
      </c>
      <c r="I1549" s="2">
        <v>46177</v>
      </c>
      <c r="J1549" s="1" t="s">
        <v>67</v>
      </c>
      <c r="K1549" s="1" t="s">
        <v>4918</v>
      </c>
      <c r="L1549" s="2">
        <v>46177.918923611112</v>
      </c>
      <c r="M1549" s="2">
        <v>46177.921329212964</v>
      </c>
    </row>
    <row r="1550" spans="1:13" x14ac:dyDescent="0.35">
      <c r="A1550" s="1" t="s">
        <v>721</v>
      </c>
      <c r="B1550" s="1" t="s">
        <v>13</v>
      </c>
      <c r="C1550" s="1" t="s">
        <v>722</v>
      </c>
      <c r="D1550">
        <v>3.75</v>
      </c>
      <c r="E1550" s="2">
        <v>47118</v>
      </c>
      <c r="F1550" s="1" t="s">
        <v>16</v>
      </c>
      <c r="G1550" s="1" t="s">
        <v>722</v>
      </c>
      <c r="H1550" s="1" t="s">
        <v>2</v>
      </c>
      <c r="I1550" s="2">
        <v>46177</v>
      </c>
      <c r="J1550" s="1" t="s">
        <v>18</v>
      </c>
      <c r="K1550" s="1" t="s">
        <v>2392</v>
      </c>
      <c r="L1550" s="2">
        <v>46177.92087962963</v>
      </c>
      <c r="M1550" s="2">
        <v>46177.921329212964</v>
      </c>
    </row>
    <row r="1551" spans="1:13" x14ac:dyDescent="0.35">
      <c r="A1551" s="1" t="s">
        <v>721</v>
      </c>
      <c r="B1551" s="1" t="s">
        <v>13</v>
      </c>
      <c r="C1551" s="1" t="s">
        <v>722</v>
      </c>
      <c r="D1551">
        <v>3.75</v>
      </c>
      <c r="E1551" s="2">
        <v>47118</v>
      </c>
      <c r="F1551" s="1" t="s">
        <v>16</v>
      </c>
      <c r="G1551" s="1" t="s">
        <v>722</v>
      </c>
      <c r="H1551" s="1" t="s">
        <v>2</v>
      </c>
      <c r="I1551" s="2">
        <v>46177</v>
      </c>
      <c r="J1551" s="1" t="s">
        <v>224</v>
      </c>
      <c r="K1551" s="1" t="s">
        <v>4788</v>
      </c>
      <c r="L1551" s="2">
        <v>46177.918923611112</v>
      </c>
      <c r="M1551" s="2">
        <v>46177.921329212964</v>
      </c>
    </row>
    <row r="1552" spans="1:13" x14ac:dyDescent="0.35">
      <c r="A1552" s="1" t="s">
        <v>721</v>
      </c>
      <c r="B1552" s="1" t="s">
        <v>13</v>
      </c>
      <c r="C1552" s="1" t="s">
        <v>722</v>
      </c>
      <c r="D1552">
        <v>3.75</v>
      </c>
      <c r="E1552" s="2">
        <v>47118</v>
      </c>
      <c r="F1552" s="1" t="s">
        <v>16</v>
      </c>
      <c r="G1552" s="1" t="s">
        <v>722</v>
      </c>
      <c r="H1552" s="1" t="s">
        <v>2</v>
      </c>
      <c r="I1552" s="2">
        <v>46177</v>
      </c>
      <c r="J1552" s="1" t="s">
        <v>214</v>
      </c>
      <c r="K1552" s="1" t="s">
        <v>4788</v>
      </c>
      <c r="L1552" s="2">
        <v>46177.918923611112</v>
      </c>
      <c r="M1552" s="2">
        <v>46177.921329212964</v>
      </c>
    </row>
    <row r="1553" spans="1:13" x14ac:dyDescent="0.35">
      <c r="A1553" s="1" t="s">
        <v>721</v>
      </c>
      <c r="B1553" s="1" t="s">
        <v>13</v>
      </c>
      <c r="C1553" s="1" t="s">
        <v>722</v>
      </c>
      <c r="D1553">
        <v>3.75</v>
      </c>
      <c r="E1553" s="2">
        <v>47118</v>
      </c>
      <c r="F1553" s="1" t="s">
        <v>16</v>
      </c>
      <c r="G1553" s="1" t="s">
        <v>722</v>
      </c>
      <c r="H1553" s="1" t="s">
        <v>2</v>
      </c>
      <c r="I1553" s="2">
        <v>46177</v>
      </c>
      <c r="J1553" s="1" t="s">
        <v>215</v>
      </c>
      <c r="K1553" s="1" t="s">
        <v>4918</v>
      </c>
      <c r="L1553" s="2">
        <v>46177.918923611112</v>
      </c>
      <c r="M1553" s="2">
        <v>46177.921329212964</v>
      </c>
    </row>
    <row r="1554" spans="1:13" x14ac:dyDescent="0.35">
      <c r="A1554" s="1" t="s">
        <v>723</v>
      </c>
      <c r="B1554" s="1" t="s">
        <v>13</v>
      </c>
      <c r="C1554" s="1" t="s">
        <v>724</v>
      </c>
      <c r="D1554">
        <v>4</v>
      </c>
      <c r="E1554" s="2">
        <v>46402</v>
      </c>
      <c r="F1554" s="1" t="s">
        <v>16</v>
      </c>
      <c r="G1554" s="1" t="s">
        <v>724</v>
      </c>
      <c r="H1554" s="1" t="s">
        <v>2</v>
      </c>
      <c r="I1554" s="2">
        <v>46177</v>
      </c>
      <c r="J1554" s="1" t="s">
        <v>17</v>
      </c>
      <c r="K1554" s="1" t="s">
        <v>2496</v>
      </c>
      <c r="L1554" s="2">
        <v>46177.92087962963</v>
      </c>
      <c r="M1554" s="2">
        <v>46177.921329212964</v>
      </c>
    </row>
    <row r="1555" spans="1:13" x14ac:dyDescent="0.35">
      <c r="A1555" s="1" t="s">
        <v>723</v>
      </c>
      <c r="B1555" s="1" t="s">
        <v>13</v>
      </c>
      <c r="C1555" s="1" t="s">
        <v>724</v>
      </c>
      <c r="D1555">
        <v>4</v>
      </c>
      <c r="E1555" s="2">
        <v>46402</v>
      </c>
      <c r="F1555" s="1" t="s">
        <v>16</v>
      </c>
      <c r="G1555" s="1" t="s">
        <v>724</v>
      </c>
      <c r="H1555" s="1" t="s">
        <v>2</v>
      </c>
      <c r="I1555" s="2">
        <v>46177</v>
      </c>
      <c r="J1555" s="1" t="s">
        <v>18</v>
      </c>
      <c r="K1555" s="1" t="s">
        <v>2935</v>
      </c>
      <c r="L1555" s="2">
        <v>46177.92087962963</v>
      </c>
      <c r="M1555" s="2">
        <v>46177.921329212964</v>
      </c>
    </row>
    <row r="1556" spans="1:13" x14ac:dyDescent="0.35">
      <c r="A1556" s="1" t="s">
        <v>723</v>
      </c>
      <c r="B1556" s="1" t="s">
        <v>13</v>
      </c>
      <c r="C1556" s="1" t="s">
        <v>724</v>
      </c>
      <c r="D1556">
        <v>4</v>
      </c>
      <c r="E1556" s="2">
        <v>46402</v>
      </c>
      <c r="F1556" s="1" t="s">
        <v>16</v>
      </c>
      <c r="G1556" s="1" t="s">
        <v>724</v>
      </c>
      <c r="H1556" s="1" t="s">
        <v>2</v>
      </c>
      <c r="I1556" s="2">
        <v>46177</v>
      </c>
      <c r="J1556" s="1" t="s">
        <v>67</v>
      </c>
      <c r="K1556" s="1" t="s">
        <v>4910</v>
      </c>
      <c r="L1556" s="2">
        <v>46177.918923611112</v>
      </c>
      <c r="M1556" s="2">
        <v>46177.921329212964</v>
      </c>
    </row>
    <row r="1557" spans="1:13" x14ac:dyDescent="0.35">
      <c r="A1557" s="1" t="s">
        <v>723</v>
      </c>
      <c r="B1557" s="1" t="s">
        <v>13</v>
      </c>
      <c r="C1557" s="1" t="s">
        <v>724</v>
      </c>
      <c r="D1557">
        <v>4</v>
      </c>
      <c r="E1557" s="2">
        <v>46402</v>
      </c>
      <c r="F1557" s="1" t="s">
        <v>16</v>
      </c>
      <c r="G1557" s="1" t="s">
        <v>724</v>
      </c>
      <c r="H1557" s="1" t="s">
        <v>2</v>
      </c>
      <c r="I1557" s="2">
        <v>46177</v>
      </c>
      <c r="J1557" s="1" t="s">
        <v>215</v>
      </c>
      <c r="K1557" s="1" t="s">
        <v>4910</v>
      </c>
      <c r="L1557" s="2">
        <v>46177.918923611112</v>
      </c>
      <c r="M1557" s="2">
        <v>46177.921329212964</v>
      </c>
    </row>
    <row r="1558" spans="1:13" x14ac:dyDescent="0.35">
      <c r="A1558" s="1" t="s">
        <v>723</v>
      </c>
      <c r="B1558" s="1" t="s">
        <v>13</v>
      </c>
      <c r="C1558" s="1" t="s">
        <v>724</v>
      </c>
      <c r="D1558">
        <v>4</v>
      </c>
      <c r="E1558" s="2">
        <v>46402</v>
      </c>
      <c r="F1558" s="1" t="s">
        <v>16</v>
      </c>
      <c r="G1558" s="1" t="s">
        <v>724</v>
      </c>
      <c r="H1558" s="1" t="s">
        <v>2</v>
      </c>
      <c r="I1558" s="2">
        <v>46177</v>
      </c>
      <c r="J1558" s="1" t="s">
        <v>214</v>
      </c>
      <c r="K1558" s="1" t="s">
        <v>5191</v>
      </c>
      <c r="L1558" s="2">
        <v>46177.918923611112</v>
      </c>
      <c r="M1558" s="2">
        <v>46177.921329212964</v>
      </c>
    </row>
    <row r="1559" spans="1:13" x14ac:dyDescent="0.35">
      <c r="A1559" s="1" t="s">
        <v>723</v>
      </c>
      <c r="B1559" s="1" t="s">
        <v>13</v>
      </c>
      <c r="C1559" s="1" t="s">
        <v>724</v>
      </c>
      <c r="D1559">
        <v>4</v>
      </c>
      <c r="E1559" s="2">
        <v>46402</v>
      </c>
      <c r="F1559" s="1" t="s">
        <v>16</v>
      </c>
      <c r="G1559" s="1" t="s">
        <v>724</v>
      </c>
      <c r="H1559" s="1" t="s">
        <v>2</v>
      </c>
      <c r="I1559" s="2">
        <v>46177</v>
      </c>
      <c r="J1559" s="1" t="s">
        <v>224</v>
      </c>
      <c r="K1559" s="1" t="s">
        <v>5191</v>
      </c>
      <c r="L1559" s="2">
        <v>46177.918923611112</v>
      </c>
      <c r="M1559" s="2">
        <v>46177.921329212964</v>
      </c>
    </row>
    <row r="1560" spans="1:13" x14ac:dyDescent="0.35">
      <c r="A1560" s="1" t="s">
        <v>735</v>
      </c>
      <c r="B1560" s="1" t="s">
        <v>13</v>
      </c>
      <c r="C1560" s="1" t="s">
        <v>736</v>
      </c>
      <c r="D1560">
        <v>4</v>
      </c>
      <c r="E1560" s="2">
        <v>47149</v>
      </c>
      <c r="F1560" s="1" t="s">
        <v>16</v>
      </c>
      <c r="G1560" s="1" t="s">
        <v>736</v>
      </c>
      <c r="H1560" s="1" t="s">
        <v>2</v>
      </c>
      <c r="I1560" s="2">
        <v>46177</v>
      </c>
      <c r="J1560" s="1" t="s">
        <v>214</v>
      </c>
      <c r="K1560" s="1" t="s">
        <v>4961</v>
      </c>
      <c r="L1560" s="2">
        <v>46177.918923611112</v>
      </c>
      <c r="M1560" s="2">
        <v>46177.921329212964</v>
      </c>
    </row>
    <row r="1561" spans="1:13" x14ac:dyDescent="0.35">
      <c r="A1561" s="1" t="s">
        <v>735</v>
      </c>
      <c r="B1561" s="1" t="s">
        <v>13</v>
      </c>
      <c r="C1561" s="1" t="s">
        <v>736</v>
      </c>
      <c r="D1561">
        <v>4</v>
      </c>
      <c r="E1561" s="2">
        <v>47149</v>
      </c>
      <c r="F1561" s="1" t="s">
        <v>16</v>
      </c>
      <c r="G1561" s="1" t="s">
        <v>736</v>
      </c>
      <c r="H1561" s="1" t="s">
        <v>2</v>
      </c>
      <c r="I1561" s="2">
        <v>46177</v>
      </c>
      <c r="J1561" s="1" t="s">
        <v>17</v>
      </c>
      <c r="K1561" s="1" t="s">
        <v>2435</v>
      </c>
      <c r="L1561" s="2">
        <v>46177.92087962963</v>
      </c>
      <c r="M1561" s="2">
        <v>46177.921329212964</v>
      </c>
    </row>
    <row r="1562" spans="1:13" x14ac:dyDescent="0.35">
      <c r="A1562" s="1" t="s">
        <v>735</v>
      </c>
      <c r="B1562" s="1" t="s">
        <v>13</v>
      </c>
      <c r="C1562" s="1" t="s">
        <v>736</v>
      </c>
      <c r="D1562">
        <v>4</v>
      </c>
      <c r="E1562" s="2">
        <v>47149</v>
      </c>
      <c r="F1562" s="1" t="s">
        <v>16</v>
      </c>
      <c r="G1562" s="1" t="s">
        <v>736</v>
      </c>
      <c r="H1562" s="1" t="s">
        <v>2</v>
      </c>
      <c r="I1562" s="2">
        <v>46177</v>
      </c>
      <c r="J1562" s="1" t="s">
        <v>18</v>
      </c>
      <c r="K1562" s="1" t="s">
        <v>2406</v>
      </c>
      <c r="L1562" s="2">
        <v>46177.92087962963</v>
      </c>
      <c r="M1562" s="2">
        <v>46177.921329212964</v>
      </c>
    </row>
    <row r="1563" spans="1:13" x14ac:dyDescent="0.35">
      <c r="A1563" s="1" t="s">
        <v>735</v>
      </c>
      <c r="B1563" s="1" t="s">
        <v>13</v>
      </c>
      <c r="C1563" s="1" t="s">
        <v>736</v>
      </c>
      <c r="D1563">
        <v>4</v>
      </c>
      <c r="E1563" s="2">
        <v>47149</v>
      </c>
      <c r="F1563" s="1" t="s">
        <v>16</v>
      </c>
      <c r="G1563" s="1" t="s">
        <v>736</v>
      </c>
      <c r="H1563" s="1" t="s">
        <v>2</v>
      </c>
      <c r="I1563" s="2">
        <v>46177</v>
      </c>
      <c r="J1563" s="1" t="s">
        <v>67</v>
      </c>
      <c r="K1563" s="1" t="s">
        <v>4919</v>
      </c>
      <c r="L1563" s="2">
        <v>46177.918923611112</v>
      </c>
      <c r="M1563" s="2">
        <v>46177.921329212964</v>
      </c>
    </row>
    <row r="1564" spans="1:13" x14ac:dyDescent="0.35">
      <c r="A1564" s="1" t="s">
        <v>735</v>
      </c>
      <c r="B1564" s="1" t="s">
        <v>13</v>
      </c>
      <c r="C1564" s="1" t="s">
        <v>736</v>
      </c>
      <c r="D1564">
        <v>4</v>
      </c>
      <c r="E1564" s="2">
        <v>47149</v>
      </c>
      <c r="F1564" s="1" t="s">
        <v>16</v>
      </c>
      <c r="G1564" s="1" t="s">
        <v>736</v>
      </c>
      <c r="H1564" s="1" t="s">
        <v>2</v>
      </c>
      <c r="I1564" s="2">
        <v>46177</v>
      </c>
      <c r="J1564" s="1" t="s">
        <v>215</v>
      </c>
      <c r="K1564" s="1" t="s">
        <v>4919</v>
      </c>
      <c r="L1564" s="2">
        <v>46177.918923611112</v>
      </c>
      <c r="M1564" s="2">
        <v>46177.921329212964</v>
      </c>
    </row>
    <row r="1565" spans="1:13" x14ac:dyDescent="0.35">
      <c r="A1565" s="1" t="s">
        <v>735</v>
      </c>
      <c r="B1565" s="1" t="s">
        <v>13</v>
      </c>
      <c r="C1565" s="1" t="s">
        <v>736</v>
      </c>
      <c r="D1565">
        <v>4</v>
      </c>
      <c r="E1565" s="2">
        <v>47149</v>
      </c>
      <c r="F1565" s="1" t="s">
        <v>16</v>
      </c>
      <c r="G1565" s="1" t="s">
        <v>736</v>
      </c>
      <c r="H1565" s="1" t="s">
        <v>2</v>
      </c>
      <c r="I1565" s="2">
        <v>46177</v>
      </c>
      <c r="J1565" s="1" t="s">
        <v>224</v>
      </c>
      <c r="K1565" s="1" t="s">
        <v>4961</v>
      </c>
      <c r="L1565" s="2">
        <v>46177.918923611112</v>
      </c>
      <c r="M1565" s="2">
        <v>46177.921329212964</v>
      </c>
    </row>
    <row r="1566" spans="1:13" x14ac:dyDescent="0.35">
      <c r="A1566" s="1" t="s">
        <v>737</v>
      </c>
      <c r="B1566" s="1" t="s">
        <v>13</v>
      </c>
      <c r="C1566" s="1" t="s">
        <v>738</v>
      </c>
      <c r="D1566">
        <v>4</v>
      </c>
      <c r="E1566" s="2">
        <v>47879</v>
      </c>
      <c r="F1566" s="1" t="s">
        <v>16</v>
      </c>
      <c r="G1566" s="1" t="s">
        <v>738</v>
      </c>
      <c r="H1566" s="1" t="s">
        <v>2</v>
      </c>
      <c r="I1566" s="2">
        <v>46177</v>
      </c>
      <c r="J1566" s="1" t="s">
        <v>224</v>
      </c>
      <c r="K1566" s="1" t="s">
        <v>4920</v>
      </c>
      <c r="L1566" s="2">
        <v>46177.918923611112</v>
      </c>
      <c r="M1566" s="2">
        <v>46177.921329212964</v>
      </c>
    </row>
    <row r="1567" spans="1:13" x14ac:dyDescent="0.35">
      <c r="A1567" s="1" t="s">
        <v>737</v>
      </c>
      <c r="B1567" s="1" t="s">
        <v>13</v>
      </c>
      <c r="C1567" s="1" t="s">
        <v>738</v>
      </c>
      <c r="D1567">
        <v>4</v>
      </c>
      <c r="E1567" s="2">
        <v>47879</v>
      </c>
      <c r="F1567" s="1" t="s">
        <v>16</v>
      </c>
      <c r="G1567" s="1" t="s">
        <v>738</v>
      </c>
      <c r="H1567" s="1" t="s">
        <v>2</v>
      </c>
      <c r="I1567" s="2">
        <v>46177</v>
      </c>
      <c r="J1567" s="1" t="s">
        <v>214</v>
      </c>
      <c r="K1567" s="1" t="s">
        <v>4920</v>
      </c>
      <c r="L1567" s="2">
        <v>46177.918923611112</v>
      </c>
      <c r="M1567" s="2">
        <v>46177.921329212964</v>
      </c>
    </row>
    <row r="1568" spans="1:13" x14ac:dyDescent="0.35">
      <c r="A1568" s="1" t="s">
        <v>737</v>
      </c>
      <c r="B1568" s="1" t="s">
        <v>13</v>
      </c>
      <c r="C1568" s="1" t="s">
        <v>738</v>
      </c>
      <c r="D1568">
        <v>4</v>
      </c>
      <c r="E1568" s="2">
        <v>47879</v>
      </c>
      <c r="F1568" s="1" t="s">
        <v>16</v>
      </c>
      <c r="G1568" s="1" t="s">
        <v>738</v>
      </c>
      <c r="H1568" s="1" t="s">
        <v>2</v>
      </c>
      <c r="I1568" s="2">
        <v>46177</v>
      </c>
      <c r="J1568" s="1" t="s">
        <v>18</v>
      </c>
      <c r="K1568" s="1" t="s">
        <v>2928</v>
      </c>
      <c r="L1568" s="2">
        <v>46177.92087962963</v>
      </c>
      <c r="M1568" s="2">
        <v>46177.921329212964</v>
      </c>
    </row>
    <row r="1569" spans="1:13" x14ac:dyDescent="0.35">
      <c r="A1569" s="1" t="s">
        <v>737</v>
      </c>
      <c r="B1569" s="1" t="s">
        <v>13</v>
      </c>
      <c r="C1569" s="1" t="s">
        <v>738</v>
      </c>
      <c r="D1569">
        <v>4</v>
      </c>
      <c r="E1569" s="2">
        <v>47879</v>
      </c>
      <c r="F1569" s="1" t="s">
        <v>16</v>
      </c>
      <c r="G1569" s="1" t="s">
        <v>738</v>
      </c>
      <c r="H1569" s="1" t="s">
        <v>2</v>
      </c>
      <c r="I1569" s="2">
        <v>46177</v>
      </c>
      <c r="J1569" s="1" t="s">
        <v>17</v>
      </c>
      <c r="K1569" s="1" t="s">
        <v>2391</v>
      </c>
      <c r="L1569" s="2">
        <v>46177.92087962963</v>
      </c>
      <c r="M1569" s="2">
        <v>46177.921329212964</v>
      </c>
    </row>
    <row r="1570" spans="1:13" x14ac:dyDescent="0.35">
      <c r="A1570" s="1" t="s">
        <v>737</v>
      </c>
      <c r="B1570" s="1" t="s">
        <v>13</v>
      </c>
      <c r="C1570" s="1" t="s">
        <v>738</v>
      </c>
      <c r="D1570">
        <v>4</v>
      </c>
      <c r="E1570" s="2">
        <v>47879</v>
      </c>
      <c r="F1570" s="1" t="s">
        <v>16</v>
      </c>
      <c r="G1570" s="1" t="s">
        <v>738</v>
      </c>
      <c r="H1570" s="1" t="s">
        <v>2</v>
      </c>
      <c r="I1570" s="2">
        <v>46177</v>
      </c>
      <c r="J1570" s="1" t="s">
        <v>67</v>
      </c>
      <c r="K1570" s="1" t="s">
        <v>5310</v>
      </c>
      <c r="L1570" s="2">
        <v>46177.918923611112</v>
      </c>
      <c r="M1570" s="2">
        <v>46177.921329212964</v>
      </c>
    </row>
    <row r="1571" spans="1:13" x14ac:dyDescent="0.35">
      <c r="A1571" s="1" t="s">
        <v>737</v>
      </c>
      <c r="B1571" s="1" t="s">
        <v>13</v>
      </c>
      <c r="C1571" s="1" t="s">
        <v>738</v>
      </c>
      <c r="D1571">
        <v>4</v>
      </c>
      <c r="E1571" s="2">
        <v>47879</v>
      </c>
      <c r="F1571" s="1" t="s">
        <v>16</v>
      </c>
      <c r="G1571" s="1" t="s">
        <v>738</v>
      </c>
      <c r="H1571" s="1" t="s">
        <v>2</v>
      </c>
      <c r="I1571" s="2">
        <v>46177</v>
      </c>
      <c r="J1571" s="1" t="s">
        <v>215</v>
      </c>
      <c r="K1571" s="1" t="s">
        <v>5310</v>
      </c>
      <c r="L1571" s="2">
        <v>46177.918923611112</v>
      </c>
      <c r="M1571" s="2">
        <v>46177.921329212964</v>
      </c>
    </row>
    <row r="1572" spans="1:13" x14ac:dyDescent="0.35">
      <c r="A1572" s="1" t="s">
        <v>739</v>
      </c>
      <c r="B1572" s="1" t="s">
        <v>13</v>
      </c>
      <c r="C1572" s="1" t="s">
        <v>740</v>
      </c>
      <c r="D1572">
        <v>1.75</v>
      </c>
      <c r="E1572" s="2">
        <v>48959</v>
      </c>
      <c r="F1572" s="1" t="s">
        <v>64</v>
      </c>
      <c r="G1572" s="1" t="s">
        <v>740</v>
      </c>
      <c r="H1572" s="1" t="s">
        <v>2</v>
      </c>
      <c r="I1572" s="2">
        <v>46177</v>
      </c>
      <c r="J1572" s="1" t="s">
        <v>214</v>
      </c>
      <c r="K1572" s="1" t="s">
        <v>4911</v>
      </c>
      <c r="L1572" s="2">
        <v>46177.918923611112</v>
      </c>
      <c r="M1572" s="2">
        <v>46177.921329212964</v>
      </c>
    </row>
    <row r="1573" spans="1:13" x14ac:dyDescent="0.35">
      <c r="A1573" s="1" t="s">
        <v>739</v>
      </c>
      <c r="B1573" s="1" t="s">
        <v>13</v>
      </c>
      <c r="C1573" s="1" t="s">
        <v>740</v>
      </c>
      <c r="D1573">
        <v>1.75</v>
      </c>
      <c r="E1573" s="2">
        <v>48959</v>
      </c>
      <c r="F1573" s="1" t="s">
        <v>64</v>
      </c>
      <c r="G1573" s="1" t="s">
        <v>740</v>
      </c>
      <c r="H1573" s="1" t="s">
        <v>2</v>
      </c>
      <c r="I1573" s="2">
        <v>46177</v>
      </c>
      <c r="J1573" s="1" t="s">
        <v>18</v>
      </c>
      <c r="K1573" s="1" t="s">
        <v>2694</v>
      </c>
      <c r="L1573" s="2">
        <v>46177.92087962963</v>
      </c>
      <c r="M1573" s="2">
        <v>46177.921329212964</v>
      </c>
    </row>
    <row r="1574" spans="1:13" x14ac:dyDescent="0.35">
      <c r="A1574" s="1" t="s">
        <v>739</v>
      </c>
      <c r="B1574" s="1" t="s">
        <v>13</v>
      </c>
      <c r="C1574" s="1" t="s">
        <v>740</v>
      </c>
      <c r="D1574">
        <v>1.75</v>
      </c>
      <c r="E1574" s="2">
        <v>48959</v>
      </c>
      <c r="F1574" s="1" t="s">
        <v>64</v>
      </c>
      <c r="G1574" s="1" t="s">
        <v>740</v>
      </c>
      <c r="H1574" s="1" t="s">
        <v>2</v>
      </c>
      <c r="I1574" s="2">
        <v>46177</v>
      </c>
      <c r="J1574" s="1" t="s">
        <v>67</v>
      </c>
      <c r="K1574" s="1" t="s">
        <v>5064</v>
      </c>
      <c r="L1574" s="2">
        <v>46177.918923611112</v>
      </c>
      <c r="M1574" s="2">
        <v>46177.921329212964</v>
      </c>
    </row>
    <row r="1575" spans="1:13" x14ac:dyDescent="0.35">
      <c r="A1575" s="1" t="s">
        <v>739</v>
      </c>
      <c r="B1575" s="1" t="s">
        <v>13</v>
      </c>
      <c r="C1575" s="1" t="s">
        <v>740</v>
      </c>
      <c r="D1575">
        <v>1.75</v>
      </c>
      <c r="E1575" s="2">
        <v>48959</v>
      </c>
      <c r="F1575" s="1" t="s">
        <v>64</v>
      </c>
      <c r="G1575" s="1" t="s">
        <v>740</v>
      </c>
      <c r="H1575" s="1" t="s">
        <v>2</v>
      </c>
      <c r="I1575" s="2">
        <v>46177</v>
      </c>
      <c r="J1575" s="1" t="s">
        <v>17</v>
      </c>
      <c r="K1575" s="1" t="s">
        <v>2409</v>
      </c>
      <c r="L1575" s="2">
        <v>46177.92087962963</v>
      </c>
      <c r="M1575" s="2">
        <v>46177.921329212964</v>
      </c>
    </row>
    <row r="1576" spans="1:13" x14ac:dyDescent="0.35">
      <c r="A1576" s="1" t="s">
        <v>739</v>
      </c>
      <c r="B1576" s="1" t="s">
        <v>13</v>
      </c>
      <c r="C1576" s="1" t="s">
        <v>740</v>
      </c>
      <c r="D1576">
        <v>1.75</v>
      </c>
      <c r="E1576" s="2">
        <v>48959</v>
      </c>
      <c r="F1576" s="1" t="s">
        <v>64</v>
      </c>
      <c r="G1576" s="1" t="s">
        <v>740</v>
      </c>
      <c r="H1576" s="1" t="s">
        <v>2</v>
      </c>
      <c r="I1576" s="2">
        <v>46177</v>
      </c>
      <c r="J1576" s="1" t="s">
        <v>215</v>
      </c>
      <c r="K1576" s="1" t="s">
        <v>5064</v>
      </c>
      <c r="L1576" s="2">
        <v>46177.918923611112</v>
      </c>
      <c r="M1576" s="2">
        <v>46177.921329212964</v>
      </c>
    </row>
    <row r="1577" spans="1:13" x14ac:dyDescent="0.35">
      <c r="A1577" s="1" t="s">
        <v>739</v>
      </c>
      <c r="B1577" s="1" t="s">
        <v>13</v>
      </c>
      <c r="C1577" s="1" t="s">
        <v>740</v>
      </c>
      <c r="D1577">
        <v>1.75</v>
      </c>
      <c r="E1577" s="2">
        <v>48959</v>
      </c>
      <c r="F1577" s="1" t="s">
        <v>64</v>
      </c>
      <c r="G1577" s="1" t="s">
        <v>740</v>
      </c>
      <c r="H1577" s="1" t="s">
        <v>2</v>
      </c>
      <c r="I1577" s="2">
        <v>46177</v>
      </c>
      <c r="J1577" s="1" t="s">
        <v>224</v>
      </c>
      <c r="K1577" s="1" t="s">
        <v>4911</v>
      </c>
      <c r="L1577" s="2">
        <v>46177.918923611112</v>
      </c>
      <c r="M1577" s="2">
        <v>46177.921329212964</v>
      </c>
    </row>
    <row r="1578" spans="1:13" x14ac:dyDescent="0.35">
      <c r="A1578" s="1" t="s">
        <v>741</v>
      </c>
      <c r="B1578" s="1" t="s">
        <v>13</v>
      </c>
      <c r="C1578" s="1" t="s">
        <v>742</v>
      </c>
      <c r="D1578">
        <v>4</v>
      </c>
      <c r="E1578" s="2">
        <v>48990</v>
      </c>
      <c r="F1578" s="1" t="s">
        <v>16</v>
      </c>
      <c r="G1578" s="1" t="s">
        <v>742</v>
      </c>
      <c r="H1578" s="1" t="s">
        <v>2</v>
      </c>
      <c r="I1578" s="2">
        <v>46177</v>
      </c>
      <c r="J1578" s="1" t="s">
        <v>17</v>
      </c>
      <c r="K1578" s="1" t="s">
        <v>2605</v>
      </c>
      <c r="L1578" s="2">
        <v>46177.92087962963</v>
      </c>
      <c r="M1578" s="2">
        <v>46177.921329212964</v>
      </c>
    </row>
    <row r="1579" spans="1:13" x14ac:dyDescent="0.35">
      <c r="A1579" s="1" t="s">
        <v>741</v>
      </c>
      <c r="B1579" s="1" t="s">
        <v>13</v>
      </c>
      <c r="C1579" s="1" t="s">
        <v>742</v>
      </c>
      <c r="D1579">
        <v>4</v>
      </c>
      <c r="E1579" s="2">
        <v>48990</v>
      </c>
      <c r="F1579" s="1" t="s">
        <v>16</v>
      </c>
      <c r="G1579" s="1" t="s">
        <v>742</v>
      </c>
      <c r="H1579" s="1" t="s">
        <v>2</v>
      </c>
      <c r="I1579" s="2">
        <v>46177</v>
      </c>
      <c r="J1579" s="1" t="s">
        <v>215</v>
      </c>
      <c r="K1579" s="1" t="s">
        <v>4912</v>
      </c>
      <c r="L1579" s="2">
        <v>46177.918923611112</v>
      </c>
      <c r="M1579" s="2">
        <v>46177.921329212964</v>
      </c>
    </row>
    <row r="1580" spans="1:13" x14ac:dyDescent="0.35">
      <c r="A1580" s="1" t="s">
        <v>741</v>
      </c>
      <c r="B1580" s="1" t="s">
        <v>13</v>
      </c>
      <c r="C1580" s="1" t="s">
        <v>742</v>
      </c>
      <c r="D1580">
        <v>4</v>
      </c>
      <c r="E1580" s="2">
        <v>48990</v>
      </c>
      <c r="F1580" s="1" t="s">
        <v>16</v>
      </c>
      <c r="G1580" s="1" t="s">
        <v>742</v>
      </c>
      <c r="H1580" s="1" t="s">
        <v>2</v>
      </c>
      <c r="I1580" s="2">
        <v>46177</v>
      </c>
      <c r="J1580" s="1" t="s">
        <v>67</v>
      </c>
      <c r="K1580" s="1" t="s">
        <v>4912</v>
      </c>
      <c r="L1580" s="2">
        <v>46177.918923611112</v>
      </c>
      <c r="M1580" s="2">
        <v>46177.921329212964</v>
      </c>
    </row>
    <row r="1581" spans="1:13" x14ac:dyDescent="0.35">
      <c r="A1581" s="1" t="s">
        <v>741</v>
      </c>
      <c r="B1581" s="1" t="s">
        <v>13</v>
      </c>
      <c r="C1581" s="1" t="s">
        <v>742</v>
      </c>
      <c r="D1581">
        <v>4</v>
      </c>
      <c r="E1581" s="2">
        <v>48990</v>
      </c>
      <c r="F1581" s="1" t="s">
        <v>16</v>
      </c>
      <c r="G1581" s="1" t="s">
        <v>742</v>
      </c>
      <c r="H1581" s="1" t="s">
        <v>2</v>
      </c>
      <c r="I1581" s="2">
        <v>46177</v>
      </c>
      <c r="J1581" s="1" t="s">
        <v>224</v>
      </c>
      <c r="K1581" s="1" t="s">
        <v>4789</v>
      </c>
      <c r="L1581" s="2">
        <v>46177.918923611112</v>
      </c>
      <c r="M1581" s="2">
        <v>46177.921329212964</v>
      </c>
    </row>
    <row r="1582" spans="1:13" x14ac:dyDescent="0.35">
      <c r="A1582" s="1" t="s">
        <v>741</v>
      </c>
      <c r="B1582" s="1" t="s">
        <v>13</v>
      </c>
      <c r="C1582" s="1" t="s">
        <v>742</v>
      </c>
      <c r="D1582">
        <v>4</v>
      </c>
      <c r="E1582" s="2">
        <v>48990</v>
      </c>
      <c r="F1582" s="1" t="s">
        <v>16</v>
      </c>
      <c r="G1582" s="1" t="s">
        <v>742</v>
      </c>
      <c r="H1582" s="1" t="s">
        <v>2</v>
      </c>
      <c r="I1582" s="2">
        <v>46177</v>
      </c>
      <c r="J1582" s="1" t="s">
        <v>18</v>
      </c>
      <c r="K1582" s="1" t="s">
        <v>2657</v>
      </c>
      <c r="L1582" s="2">
        <v>46177.92087962963</v>
      </c>
      <c r="M1582" s="2">
        <v>46177.921329212964</v>
      </c>
    </row>
    <row r="1583" spans="1:13" x14ac:dyDescent="0.35">
      <c r="A1583" s="1" t="s">
        <v>741</v>
      </c>
      <c r="B1583" s="1" t="s">
        <v>13</v>
      </c>
      <c r="C1583" s="1" t="s">
        <v>742</v>
      </c>
      <c r="D1583">
        <v>4</v>
      </c>
      <c r="E1583" s="2">
        <v>48990</v>
      </c>
      <c r="F1583" s="1" t="s">
        <v>16</v>
      </c>
      <c r="G1583" s="1" t="s">
        <v>742</v>
      </c>
      <c r="H1583" s="1" t="s">
        <v>2</v>
      </c>
      <c r="I1583" s="2">
        <v>46177</v>
      </c>
      <c r="J1583" s="1" t="s">
        <v>214</v>
      </c>
      <c r="K1583" s="1" t="s">
        <v>4789</v>
      </c>
      <c r="L1583" s="2">
        <v>46177.918923611112</v>
      </c>
      <c r="M1583" s="2">
        <v>46177.921329212964</v>
      </c>
    </row>
    <row r="1584" spans="1:13" x14ac:dyDescent="0.35">
      <c r="A1584" s="1" t="s">
        <v>779</v>
      </c>
      <c r="B1584" s="1" t="s">
        <v>13</v>
      </c>
      <c r="C1584" s="1" t="s">
        <v>780</v>
      </c>
      <c r="D1584">
        <v>4.125</v>
      </c>
      <c r="E1584" s="2">
        <v>46433</v>
      </c>
      <c r="F1584" s="1" t="s">
        <v>16</v>
      </c>
      <c r="G1584" s="1" t="s">
        <v>780</v>
      </c>
      <c r="H1584" s="1" t="s">
        <v>2</v>
      </c>
      <c r="I1584" s="2">
        <v>46177</v>
      </c>
      <c r="J1584" s="1" t="s">
        <v>17</v>
      </c>
      <c r="K1584" s="1" t="s">
        <v>2480</v>
      </c>
      <c r="L1584" s="2">
        <v>46177.92087962963</v>
      </c>
      <c r="M1584" s="2">
        <v>46177.921329212964</v>
      </c>
    </row>
    <row r="1585" spans="1:13" x14ac:dyDescent="0.35">
      <c r="A1585" s="1" t="s">
        <v>779</v>
      </c>
      <c r="B1585" s="1" t="s">
        <v>13</v>
      </c>
      <c r="C1585" s="1" t="s">
        <v>780</v>
      </c>
      <c r="D1585">
        <v>4.125</v>
      </c>
      <c r="E1585" s="2">
        <v>46433</v>
      </c>
      <c r="F1585" s="1" t="s">
        <v>16</v>
      </c>
      <c r="G1585" s="1" t="s">
        <v>780</v>
      </c>
      <c r="H1585" s="1" t="s">
        <v>2</v>
      </c>
      <c r="I1585" s="2">
        <v>46177</v>
      </c>
      <c r="J1585" s="1" t="s">
        <v>214</v>
      </c>
      <c r="K1585" s="1" t="s">
        <v>4913</v>
      </c>
      <c r="L1585" s="2">
        <v>46177.918923611112</v>
      </c>
      <c r="M1585" s="2">
        <v>46177.921329212964</v>
      </c>
    </row>
    <row r="1586" spans="1:13" x14ac:dyDescent="0.35">
      <c r="A1586" s="1" t="s">
        <v>779</v>
      </c>
      <c r="B1586" s="1" t="s">
        <v>13</v>
      </c>
      <c r="C1586" s="1" t="s">
        <v>780</v>
      </c>
      <c r="D1586">
        <v>4.125</v>
      </c>
      <c r="E1586" s="2">
        <v>46433</v>
      </c>
      <c r="F1586" s="1" t="s">
        <v>16</v>
      </c>
      <c r="G1586" s="1" t="s">
        <v>780</v>
      </c>
      <c r="H1586" s="1" t="s">
        <v>2</v>
      </c>
      <c r="I1586" s="2">
        <v>46177</v>
      </c>
      <c r="J1586" s="1" t="s">
        <v>224</v>
      </c>
      <c r="K1586" s="1" t="s">
        <v>4913</v>
      </c>
      <c r="L1586" s="2">
        <v>46177.918923611112</v>
      </c>
      <c r="M1586" s="2">
        <v>46177.921329212964</v>
      </c>
    </row>
    <row r="1587" spans="1:13" x14ac:dyDescent="0.35">
      <c r="A1587" s="1" t="s">
        <v>779</v>
      </c>
      <c r="B1587" s="1" t="s">
        <v>13</v>
      </c>
      <c r="C1587" s="1" t="s">
        <v>780</v>
      </c>
      <c r="D1587">
        <v>4.125</v>
      </c>
      <c r="E1587" s="2">
        <v>46433</v>
      </c>
      <c r="F1587" s="1" t="s">
        <v>16</v>
      </c>
      <c r="G1587" s="1" t="s">
        <v>780</v>
      </c>
      <c r="H1587" s="1" t="s">
        <v>2</v>
      </c>
      <c r="I1587" s="2">
        <v>46177</v>
      </c>
      <c r="J1587" s="1" t="s">
        <v>67</v>
      </c>
      <c r="K1587" s="1" t="s">
        <v>4790</v>
      </c>
      <c r="L1587" s="2">
        <v>46177.918923611112</v>
      </c>
      <c r="M1587" s="2">
        <v>46177.921329212964</v>
      </c>
    </row>
    <row r="1588" spans="1:13" x14ac:dyDescent="0.35">
      <c r="A1588" s="1" t="s">
        <v>779</v>
      </c>
      <c r="B1588" s="1" t="s">
        <v>13</v>
      </c>
      <c r="C1588" s="1" t="s">
        <v>780</v>
      </c>
      <c r="D1588">
        <v>4.125</v>
      </c>
      <c r="E1588" s="2">
        <v>46433</v>
      </c>
      <c r="F1588" s="1" t="s">
        <v>16</v>
      </c>
      <c r="G1588" s="1" t="s">
        <v>780</v>
      </c>
      <c r="H1588" s="1" t="s">
        <v>2</v>
      </c>
      <c r="I1588" s="2">
        <v>46177</v>
      </c>
      <c r="J1588" s="1" t="s">
        <v>215</v>
      </c>
      <c r="K1588" s="1" t="s">
        <v>4790</v>
      </c>
      <c r="L1588" s="2">
        <v>46177.918923611112</v>
      </c>
      <c r="M1588" s="2">
        <v>46177.921329212964</v>
      </c>
    </row>
    <row r="1589" spans="1:13" x14ac:dyDescent="0.35">
      <c r="A1589" s="1" t="s">
        <v>779</v>
      </c>
      <c r="B1589" s="1" t="s">
        <v>13</v>
      </c>
      <c r="C1589" s="1" t="s">
        <v>780</v>
      </c>
      <c r="D1589">
        <v>4.125</v>
      </c>
      <c r="E1589" s="2">
        <v>46433</v>
      </c>
      <c r="F1589" s="1" t="s">
        <v>16</v>
      </c>
      <c r="G1589" s="1" t="s">
        <v>780</v>
      </c>
      <c r="H1589" s="1" t="s">
        <v>2</v>
      </c>
      <c r="I1589" s="2">
        <v>46177</v>
      </c>
      <c r="J1589" s="1" t="s">
        <v>18</v>
      </c>
      <c r="K1589" s="1" t="s">
        <v>2479</v>
      </c>
      <c r="L1589" s="2">
        <v>46177.92087962963</v>
      </c>
      <c r="M1589" s="2">
        <v>46177.921329212964</v>
      </c>
    </row>
    <row r="1590" spans="1:13" x14ac:dyDescent="0.35">
      <c r="A1590" s="1" t="s">
        <v>743</v>
      </c>
      <c r="B1590" s="1" t="s">
        <v>13</v>
      </c>
      <c r="C1590" s="1" t="s">
        <v>744</v>
      </c>
      <c r="D1590">
        <v>4.25</v>
      </c>
      <c r="E1590" s="2">
        <v>47907</v>
      </c>
      <c r="F1590" s="1" t="s">
        <v>16</v>
      </c>
      <c r="G1590" s="1" t="s">
        <v>744</v>
      </c>
      <c r="H1590" s="1" t="s">
        <v>2</v>
      </c>
      <c r="I1590" s="2">
        <v>46177</v>
      </c>
      <c r="J1590" s="1" t="s">
        <v>214</v>
      </c>
      <c r="K1590" s="1" t="s">
        <v>4962</v>
      </c>
      <c r="L1590" s="2">
        <v>46177.918923611112</v>
      </c>
      <c r="M1590" s="2">
        <v>46177.921329212964</v>
      </c>
    </row>
    <row r="1591" spans="1:13" x14ac:dyDescent="0.35">
      <c r="A1591" s="1" t="s">
        <v>743</v>
      </c>
      <c r="B1591" s="1" t="s">
        <v>13</v>
      </c>
      <c r="C1591" s="1" t="s">
        <v>744</v>
      </c>
      <c r="D1591">
        <v>4.25</v>
      </c>
      <c r="E1591" s="2">
        <v>47907</v>
      </c>
      <c r="F1591" s="1" t="s">
        <v>16</v>
      </c>
      <c r="G1591" s="1" t="s">
        <v>744</v>
      </c>
      <c r="H1591" s="1" t="s">
        <v>2</v>
      </c>
      <c r="I1591" s="2">
        <v>46177</v>
      </c>
      <c r="J1591" s="1" t="s">
        <v>67</v>
      </c>
      <c r="K1591" s="1" t="s">
        <v>4963</v>
      </c>
      <c r="L1591" s="2">
        <v>46177.918923611112</v>
      </c>
      <c r="M1591" s="2">
        <v>46177.921329212964</v>
      </c>
    </row>
    <row r="1592" spans="1:13" x14ac:dyDescent="0.35">
      <c r="A1592" s="1" t="s">
        <v>743</v>
      </c>
      <c r="B1592" s="1" t="s">
        <v>13</v>
      </c>
      <c r="C1592" s="1" t="s">
        <v>744</v>
      </c>
      <c r="D1592">
        <v>4.25</v>
      </c>
      <c r="E1592" s="2">
        <v>47907</v>
      </c>
      <c r="F1592" s="1" t="s">
        <v>16</v>
      </c>
      <c r="G1592" s="1" t="s">
        <v>744</v>
      </c>
      <c r="H1592" s="1" t="s">
        <v>2</v>
      </c>
      <c r="I1592" s="2">
        <v>46177</v>
      </c>
      <c r="J1592" s="1" t="s">
        <v>215</v>
      </c>
      <c r="K1592" s="1" t="s">
        <v>4963</v>
      </c>
      <c r="L1592" s="2">
        <v>46177.918923611112</v>
      </c>
      <c r="M1592" s="2">
        <v>46177.921329212964</v>
      </c>
    </row>
    <row r="1593" spans="1:13" x14ac:dyDescent="0.35">
      <c r="A1593" s="1" t="s">
        <v>743</v>
      </c>
      <c r="B1593" s="1" t="s">
        <v>13</v>
      </c>
      <c r="C1593" s="1" t="s">
        <v>744</v>
      </c>
      <c r="D1593">
        <v>4.25</v>
      </c>
      <c r="E1593" s="2">
        <v>47907</v>
      </c>
      <c r="F1593" s="1" t="s">
        <v>16</v>
      </c>
      <c r="G1593" s="1" t="s">
        <v>744</v>
      </c>
      <c r="H1593" s="1" t="s">
        <v>2</v>
      </c>
      <c r="I1593" s="2">
        <v>46177</v>
      </c>
      <c r="J1593" s="1" t="s">
        <v>18</v>
      </c>
      <c r="K1593" s="1" t="s">
        <v>2444</v>
      </c>
      <c r="L1593" s="2">
        <v>46177.92087962963</v>
      </c>
      <c r="M1593" s="2">
        <v>46177.921329212964</v>
      </c>
    </row>
    <row r="1594" spans="1:13" x14ac:dyDescent="0.35">
      <c r="A1594" s="1" t="s">
        <v>743</v>
      </c>
      <c r="B1594" s="1" t="s">
        <v>13</v>
      </c>
      <c r="C1594" s="1" t="s">
        <v>744</v>
      </c>
      <c r="D1594">
        <v>4.25</v>
      </c>
      <c r="E1594" s="2">
        <v>47907</v>
      </c>
      <c r="F1594" s="1" t="s">
        <v>16</v>
      </c>
      <c r="G1594" s="1" t="s">
        <v>744</v>
      </c>
      <c r="H1594" s="1" t="s">
        <v>2</v>
      </c>
      <c r="I1594" s="2">
        <v>46177</v>
      </c>
      <c r="J1594" s="1" t="s">
        <v>17</v>
      </c>
      <c r="K1594" s="1" t="s">
        <v>2440</v>
      </c>
      <c r="L1594" s="2">
        <v>46177.92087962963</v>
      </c>
      <c r="M1594" s="2">
        <v>46177.921329212964</v>
      </c>
    </row>
    <row r="1595" spans="1:13" x14ac:dyDescent="0.35">
      <c r="A1595" s="1" t="s">
        <v>743</v>
      </c>
      <c r="B1595" s="1" t="s">
        <v>13</v>
      </c>
      <c r="C1595" s="1" t="s">
        <v>744</v>
      </c>
      <c r="D1595">
        <v>4.25</v>
      </c>
      <c r="E1595" s="2">
        <v>47907</v>
      </c>
      <c r="F1595" s="1" t="s">
        <v>16</v>
      </c>
      <c r="G1595" s="1" t="s">
        <v>744</v>
      </c>
      <c r="H1595" s="1" t="s">
        <v>2</v>
      </c>
      <c r="I1595" s="2">
        <v>46177</v>
      </c>
      <c r="J1595" s="1" t="s">
        <v>224</v>
      </c>
      <c r="K1595" s="1" t="s">
        <v>4962</v>
      </c>
      <c r="L1595" s="2">
        <v>46177.918923611112</v>
      </c>
      <c r="M1595" s="2">
        <v>46177.921329212964</v>
      </c>
    </row>
    <row r="1596" spans="1:13" x14ac:dyDescent="0.35">
      <c r="A1596" s="1" t="s">
        <v>823</v>
      </c>
      <c r="B1596" s="1" t="s">
        <v>13</v>
      </c>
      <c r="C1596" s="1" t="s">
        <v>824</v>
      </c>
      <c r="D1596">
        <v>4.25</v>
      </c>
      <c r="E1596" s="2">
        <v>47177</v>
      </c>
      <c r="F1596" s="1" t="s">
        <v>16</v>
      </c>
      <c r="G1596" s="1" t="s">
        <v>824</v>
      </c>
      <c r="H1596" s="1" t="s">
        <v>2</v>
      </c>
      <c r="I1596" s="2">
        <v>46177</v>
      </c>
      <c r="J1596" s="1" t="s">
        <v>17</v>
      </c>
      <c r="K1596" s="1" t="s">
        <v>2611</v>
      </c>
      <c r="L1596" s="2">
        <v>46177.92087962963</v>
      </c>
      <c r="M1596" s="2">
        <v>46177.921329212964</v>
      </c>
    </row>
    <row r="1597" spans="1:13" x14ac:dyDescent="0.35">
      <c r="A1597" s="1" t="s">
        <v>823</v>
      </c>
      <c r="B1597" s="1" t="s">
        <v>13</v>
      </c>
      <c r="C1597" s="1" t="s">
        <v>824</v>
      </c>
      <c r="D1597">
        <v>4.25</v>
      </c>
      <c r="E1597" s="2">
        <v>47177</v>
      </c>
      <c r="F1597" s="1" t="s">
        <v>16</v>
      </c>
      <c r="G1597" s="1" t="s">
        <v>824</v>
      </c>
      <c r="H1597" s="1" t="s">
        <v>2</v>
      </c>
      <c r="I1597" s="2">
        <v>46177</v>
      </c>
      <c r="J1597" s="1" t="s">
        <v>18</v>
      </c>
      <c r="K1597" s="1" t="s">
        <v>2504</v>
      </c>
      <c r="L1597" s="2">
        <v>46177.92087962963</v>
      </c>
      <c r="M1597" s="2">
        <v>46177.921329212964</v>
      </c>
    </row>
    <row r="1598" spans="1:13" x14ac:dyDescent="0.35">
      <c r="A1598" s="1" t="s">
        <v>823</v>
      </c>
      <c r="B1598" s="1" t="s">
        <v>13</v>
      </c>
      <c r="C1598" s="1" t="s">
        <v>824</v>
      </c>
      <c r="D1598">
        <v>4.25</v>
      </c>
      <c r="E1598" s="2">
        <v>47177</v>
      </c>
      <c r="F1598" s="1" t="s">
        <v>16</v>
      </c>
      <c r="G1598" s="1" t="s">
        <v>824</v>
      </c>
      <c r="H1598" s="1" t="s">
        <v>2</v>
      </c>
      <c r="I1598" s="2">
        <v>46177</v>
      </c>
      <c r="J1598" s="1" t="s">
        <v>214</v>
      </c>
      <c r="K1598" s="1" t="s">
        <v>4791</v>
      </c>
      <c r="L1598" s="2">
        <v>46177.918923611112</v>
      </c>
      <c r="M1598" s="2">
        <v>46177.921329212964</v>
      </c>
    </row>
    <row r="1599" spans="1:13" x14ac:dyDescent="0.35">
      <c r="A1599" s="1" t="s">
        <v>823</v>
      </c>
      <c r="B1599" s="1" t="s">
        <v>13</v>
      </c>
      <c r="C1599" s="1" t="s">
        <v>824</v>
      </c>
      <c r="D1599">
        <v>4.25</v>
      </c>
      <c r="E1599" s="2">
        <v>47177</v>
      </c>
      <c r="F1599" s="1" t="s">
        <v>16</v>
      </c>
      <c r="G1599" s="1" t="s">
        <v>824</v>
      </c>
      <c r="H1599" s="1" t="s">
        <v>2</v>
      </c>
      <c r="I1599" s="2">
        <v>46177</v>
      </c>
      <c r="J1599" s="1" t="s">
        <v>215</v>
      </c>
      <c r="K1599" s="1" t="s">
        <v>4792</v>
      </c>
      <c r="L1599" s="2">
        <v>46177.918923611112</v>
      </c>
      <c r="M1599" s="2">
        <v>46177.921329212964</v>
      </c>
    </row>
    <row r="1600" spans="1:13" x14ac:dyDescent="0.35">
      <c r="A1600" s="1" t="s">
        <v>823</v>
      </c>
      <c r="B1600" s="1" t="s">
        <v>13</v>
      </c>
      <c r="C1600" s="1" t="s">
        <v>824</v>
      </c>
      <c r="D1600">
        <v>4.25</v>
      </c>
      <c r="E1600" s="2">
        <v>47177</v>
      </c>
      <c r="F1600" s="1" t="s">
        <v>16</v>
      </c>
      <c r="G1600" s="1" t="s">
        <v>824</v>
      </c>
      <c r="H1600" s="1" t="s">
        <v>2</v>
      </c>
      <c r="I1600" s="2">
        <v>46177</v>
      </c>
      <c r="J1600" s="1" t="s">
        <v>67</v>
      </c>
      <c r="K1600" s="1" t="s">
        <v>4792</v>
      </c>
      <c r="L1600" s="2">
        <v>46177.918923611112</v>
      </c>
      <c r="M1600" s="2">
        <v>46177.921329212964</v>
      </c>
    </row>
    <row r="1601" spans="1:13" x14ac:dyDescent="0.35">
      <c r="A1601" s="1" t="s">
        <v>823</v>
      </c>
      <c r="B1601" s="1" t="s">
        <v>13</v>
      </c>
      <c r="C1601" s="1" t="s">
        <v>824</v>
      </c>
      <c r="D1601">
        <v>4.25</v>
      </c>
      <c r="E1601" s="2">
        <v>47177</v>
      </c>
      <c r="F1601" s="1" t="s">
        <v>16</v>
      </c>
      <c r="G1601" s="1" t="s">
        <v>824</v>
      </c>
      <c r="H1601" s="1" t="s">
        <v>2</v>
      </c>
      <c r="I1601" s="2">
        <v>46177</v>
      </c>
      <c r="J1601" s="1" t="s">
        <v>224</v>
      </c>
      <c r="K1601" s="1" t="s">
        <v>4791</v>
      </c>
      <c r="L1601" s="2">
        <v>46177.918923611112</v>
      </c>
      <c r="M1601" s="2">
        <v>46177.921329212964</v>
      </c>
    </row>
    <row r="1602" spans="1:13" x14ac:dyDescent="0.35">
      <c r="A1602" s="1" t="s">
        <v>745</v>
      </c>
      <c r="B1602" s="1" t="s">
        <v>13</v>
      </c>
      <c r="C1602" s="1" t="s">
        <v>746</v>
      </c>
      <c r="D1602">
        <v>4.25</v>
      </c>
      <c r="E1602" s="2">
        <v>46461</v>
      </c>
      <c r="F1602" s="1" t="s">
        <v>16</v>
      </c>
      <c r="G1602" s="1" t="s">
        <v>746</v>
      </c>
      <c r="H1602" s="1" t="s">
        <v>2</v>
      </c>
      <c r="I1602" s="2">
        <v>46177</v>
      </c>
      <c r="J1602" s="1" t="s">
        <v>18</v>
      </c>
      <c r="K1602" s="1" t="s">
        <v>2469</v>
      </c>
      <c r="L1602" s="2">
        <v>46177.92087962963</v>
      </c>
      <c r="M1602" s="2">
        <v>46177.921329212964</v>
      </c>
    </row>
    <row r="1603" spans="1:13" x14ac:dyDescent="0.35">
      <c r="A1603" s="1" t="s">
        <v>745</v>
      </c>
      <c r="B1603" s="1" t="s">
        <v>13</v>
      </c>
      <c r="C1603" s="1" t="s">
        <v>746</v>
      </c>
      <c r="D1603">
        <v>4.25</v>
      </c>
      <c r="E1603" s="2">
        <v>46461</v>
      </c>
      <c r="F1603" s="1" t="s">
        <v>16</v>
      </c>
      <c r="G1603" s="1" t="s">
        <v>746</v>
      </c>
      <c r="H1603" s="1" t="s">
        <v>2</v>
      </c>
      <c r="I1603" s="2">
        <v>46177</v>
      </c>
      <c r="J1603" s="1" t="s">
        <v>214</v>
      </c>
      <c r="K1603" s="1" t="s">
        <v>5048</v>
      </c>
      <c r="L1603" s="2">
        <v>46177.918923611112</v>
      </c>
      <c r="M1603" s="2">
        <v>46177.921329212964</v>
      </c>
    </row>
    <row r="1604" spans="1:13" x14ac:dyDescent="0.35">
      <c r="A1604" s="1" t="s">
        <v>745</v>
      </c>
      <c r="B1604" s="1" t="s">
        <v>13</v>
      </c>
      <c r="C1604" s="1" t="s">
        <v>746</v>
      </c>
      <c r="D1604">
        <v>4.25</v>
      </c>
      <c r="E1604" s="2">
        <v>46461</v>
      </c>
      <c r="F1604" s="1" t="s">
        <v>16</v>
      </c>
      <c r="G1604" s="1" t="s">
        <v>746</v>
      </c>
      <c r="H1604" s="1" t="s">
        <v>2</v>
      </c>
      <c r="I1604" s="2">
        <v>46177</v>
      </c>
      <c r="J1604" s="1" t="s">
        <v>224</v>
      </c>
      <c r="K1604" s="1" t="s">
        <v>5048</v>
      </c>
      <c r="L1604" s="2">
        <v>46177.918923611112</v>
      </c>
      <c r="M1604" s="2">
        <v>46177.921329212964</v>
      </c>
    </row>
    <row r="1605" spans="1:13" x14ac:dyDescent="0.35">
      <c r="A1605" s="1" t="s">
        <v>745</v>
      </c>
      <c r="B1605" s="1" t="s">
        <v>13</v>
      </c>
      <c r="C1605" s="1" t="s">
        <v>746</v>
      </c>
      <c r="D1605">
        <v>4.25</v>
      </c>
      <c r="E1605" s="2">
        <v>46461</v>
      </c>
      <c r="F1605" s="1" t="s">
        <v>16</v>
      </c>
      <c r="G1605" s="1" t="s">
        <v>746</v>
      </c>
      <c r="H1605" s="1" t="s">
        <v>2</v>
      </c>
      <c r="I1605" s="2">
        <v>46177</v>
      </c>
      <c r="J1605" s="1" t="s">
        <v>67</v>
      </c>
      <c r="K1605" s="1" t="s">
        <v>4921</v>
      </c>
      <c r="L1605" s="2">
        <v>46177.918923611112</v>
      </c>
      <c r="M1605" s="2">
        <v>46177.921329212964</v>
      </c>
    </row>
    <row r="1606" spans="1:13" x14ac:dyDescent="0.35">
      <c r="A1606" s="1" t="s">
        <v>745</v>
      </c>
      <c r="B1606" s="1" t="s">
        <v>13</v>
      </c>
      <c r="C1606" s="1" t="s">
        <v>746</v>
      </c>
      <c r="D1606">
        <v>4.25</v>
      </c>
      <c r="E1606" s="2">
        <v>46461</v>
      </c>
      <c r="F1606" s="1" t="s">
        <v>16</v>
      </c>
      <c r="G1606" s="1" t="s">
        <v>746</v>
      </c>
      <c r="H1606" s="1" t="s">
        <v>2</v>
      </c>
      <c r="I1606" s="2">
        <v>46177</v>
      </c>
      <c r="J1606" s="1" t="s">
        <v>17</v>
      </c>
      <c r="K1606" s="1" t="s">
        <v>2434</v>
      </c>
      <c r="L1606" s="2">
        <v>46177.92087962963</v>
      </c>
      <c r="M1606" s="2">
        <v>46177.921329212964</v>
      </c>
    </row>
    <row r="1607" spans="1:13" x14ac:dyDescent="0.35">
      <c r="A1607" s="1" t="s">
        <v>745</v>
      </c>
      <c r="B1607" s="1" t="s">
        <v>13</v>
      </c>
      <c r="C1607" s="1" t="s">
        <v>746</v>
      </c>
      <c r="D1607">
        <v>4.25</v>
      </c>
      <c r="E1607" s="2">
        <v>46461</v>
      </c>
      <c r="F1607" s="1" t="s">
        <v>16</v>
      </c>
      <c r="G1607" s="1" t="s">
        <v>746</v>
      </c>
      <c r="H1607" s="1" t="s">
        <v>2</v>
      </c>
      <c r="I1607" s="2">
        <v>46177</v>
      </c>
      <c r="J1607" s="1" t="s">
        <v>215</v>
      </c>
      <c r="K1607" s="1" t="s">
        <v>4921</v>
      </c>
      <c r="L1607" s="2">
        <v>46177.918923611112</v>
      </c>
      <c r="M1607" s="2">
        <v>46177.921329212964</v>
      </c>
    </row>
    <row r="1608" spans="1:13" x14ac:dyDescent="0.35">
      <c r="A1608" s="1" t="s">
        <v>825</v>
      </c>
      <c r="B1608" s="1" t="s">
        <v>13</v>
      </c>
      <c r="C1608" s="1" t="s">
        <v>826</v>
      </c>
      <c r="D1608">
        <v>4.125</v>
      </c>
      <c r="E1608" s="2">
        <v>47938</v>
      </c>
      <c r="F1608" s="1" t="s">
        <v>16</v>
      </c>
      <c r="G1608" s="1" t="s">
        <v>826</v>
      </c>
      <c r="H1608" s="1" t="s">
        <v>2</v>
      </c>
      <c r="I1608" s="2">
        <v>46177</v>
      </c>
      <c r="J1608" s="1" t="s">
        <v>214</v>
      </c>
      <c r="K1608" s="1" t="s">
        <v>5049</v>
      </c>
      <c r="L1608" s="2">
        <v>46177.918923611112</v>
      </c>
      <c r="M1608" s="2">
        <v>46177.921329212964</v>
      </c>
    </row>
    <row r="1609" spans="1:13" x14ac:dyDescent="0.35">
      <c r="A1609" s="1" t="s">
        <v>825</v>
      </c>
      <c r="B1609" s="1" t="s">
        <v>13</v>
      </c>
      <c r="C1609" s="1" t="s">
        <v>826</v>
      </c>
      <c r="D1609">
        <v>4.125</v>
      </c>
      <c r="E1609" s="2">
        <v>47938</v>
      </c>
      <c r="F1609" s="1" t="s">
        <v>16</v>
      </c>
      <c r="G1609" s="1" t="s">
        <v>826</v>
      </c>
      <c r="H1609" s="1" t="s">
        <v>2</v>
      </c>
      <c r="I1609" s="2">
        <v>46177</v>
      </c>
      <c r="J1609" s="1" t="s">
        <v>215</v>
      </c>
      <c r="K1609" s="1" t="s">
        <v>4793</v>
      </c>
      <c r="L1609" s="2">
        <v>46177.918923611112</v>
      </c>
      <c r="M1609" s="2">
        <v>46177.921329212964</v>
      </c>
    </row>
    <row r="1610" spans="1:13" x14ac:dyDescent="0.35">
      <c r="A1610" s="1" t="s">
        <v>825</v>
      </c>
      <c r="B1610" s="1" t="s">
        <v>13</v>
      </c>
      <c r="C1610" s="1" t="s">
        <v>826</v>
      </c>
      <c r="D1610">
        <v>4.125</v>
      </c>
      <c r="E1610" s="2">
        <v>47938</v>
      </c>
      <c r="F1610" s="1" t="s">
        <v>16</v>
      </c>
      <c r="G1610" s="1" t="s">
        <v>826</v>
      </c>
      <c r="H1610" s="1" t="s">
        <v>2</v>
      </c>
      <c r="I1610" s="2">
        <v>46177</v>
      </c>
      <c r="J1610" s="1" t="s">
        <v>17</v>
      </c>
      <c r="K1610" s="1" t="s">
        <v>2400</v>
      </c>
      <c r="L1610" s="2">
        <v>46177.92087962963</v>
      </c>
      <c r="M1610" s="2">
        <v>46177.921329212964</v>
      </c>
    </row>
    <row r="1611" spans="1:13" x14ac:dyDescent="0.35">
      <c r="A1611" s="1" t="s">
        <v>825</v>
      </c>
      <c r="B1611" s="1" t="s">
        <v>13</v>
      </c>
      <c r="C1611" s="1" t="s">
        <v>826</v>
      </c>
      <c r="D1611">
        <v>4.125</v>
      </c>
      <c r="E1611" s="2">
        <v>47938</v>
      </c>
      <c r="F1611" s="1" t="s">
        <v>16</v>
      </c>
      <c r="G1611" s="1" t="s">
        <v>826</v>
      </c>
      <c r="H1611" s="1" t="s">
        <v>2</v>
      </c>
      <c r="I1611" s="2">
        <v>46177</v>
      </c>
      <c r="J1611" s="1" t="s">
        <v>18</v>
      </c>
      <c r="K1611" s="1" t="s">
        <v>2515</v>
      </c>
      <c r="L1611" s="2">
        <v>46177.92087962963</v>
      </c>
      <c r="M1611" s="2">
        <v>46177.921329212964</v>
      </c>
    </row>
    <row r="1612" spans="1:13" x14ac:dyDescent="0.35">
      <c r="A1612" s="1" t="s">
        <v>825</v>
      </c>
      <c r="B1612" s="1" t="s">
        <v>13</v>
      </c>
      <c r="C1612" s="1" t="s">
        <v>826</v>
      </c>
      <c r="D1612">
        <v>4.125</v>
      </c>
      <c r="E1612" s="2">
        <v>47938</v>
      </c>
      <c r="F1612" s="1" t="s">
        <v>16</v>
      </c>
      <c r="G1612" s="1" t="s">
        <v>826</v>
      </c>
      <c r="H1612" s="1" t="s">
        <v>2</v>
      </c>
      <c r="I1612" s="2">
        <v>46177</v>
      </c>
      <c r="J1612" s="1" t="s">
        <v>224</v>
      </c>
      <c r="K1612" s="1" t="s">
        <v>5049</v>
      </c>
      <c r="L1612" s="2">
        <v>46177.918923611112</v>
      </c>
      <c r="M1612" s="2">
        <v>46177.921329212964</v>
      </c>
    </row>
    <row r="1613" spans="1:13" x14ac:dyDescent="0.35">
      <c r="A1613" s="1" t="s">
        <v>825</v>
      </c>
      <c r="B1613" s="1" t="s">
        <v>13</v>
      </c>
      <c r="C1613" s="1" t="s">
        <v>826</v>
      </c>
      <c r="D1613">
        <v>4.125</v>
      </c>
      <c r="E1613" s="2">
        <v>47938</v>
      </c>
      <c r="F1613" s="1" t="s">
        <v>16</v>
      </c>
      <c r="G1613" s="1" t="s">
        <v>826</v>
      </c>
      <c r="H1613" s="1" t="s">
        <v>2</v>
      </c>
      <c r="I1613" s="2">
        <v>46177</v>
      </c>
      <c r="J1613" s="1" t="s">
        <v>67</v>
      </c>
      <c r="K1613" s="1" t="s">
        <v>4793</v>
      </c>
      <c r="L1613" s="2">
        <v>46177.918923611112</v>
      </c>
      <c r="M1613" s="2">
        <v>46177.921329212964</v>
      </c>
    </row>
    <row r="1614" spans="1:13" x14ac:dyDescent="0.35">
      <c r="A1614" s="1" t="s">
        <v>834</v>
      </c>
      <c r="B1614" s="1" t="s">
        <v>13</v>
      </c>
      <c r="C1614" s="1" t="s">
        <v>835</v>
      </c>
      <c r="D1614">
        <v>4.125</v>
      </c>
      <c r="E1614" s="2">
        <v>47208</v>
      </c>
      <c r="F1614" s="1" t="s">
        <v>16</v>
      </c>
      <c r="G1614" s="1" t="s">
        <v>835</v>
      </c>
      <c r="H1614" s="1" t="s">
        <v>2</v>
      </c>
      <c r="I1614" s="2">
        <v>46177</v>
      </c>
      <c r="J1614" s="1" t="s">
        <v>18</v>
      </c>
      <c r="K1614" s="1" t="s">
        <v>2687</v>
      </c>
      <c r="L1614" s="2">
        <v>46177.92087962963</v>
      </c>
      <c r="M1614" s="2">
        <v>46177.921329212964</v>
      </c>
    </row>
    <row r="1615" spans="1:13" x14ac:dyDescent="0.35">
      <c r="A1615" s="1" t="s">
        <v>834</v>
      </c>
      <c r="B1615" s="1" t="s">
        <v>13</v>
      </c>
      <c r="C1615" s="1" t="s">
        <v>835</v>
      </c>
      <c r="D1615">
        <v>4.125</v>
      </c>
      <c r="E1615" s="2">
        <v>47208</v>
      </c>
      <c r="F1615" s="1" t="s">
        <v>16</v>
      </c>
      <c r="G1615" s="1" t="s">
        <v>835</v>
      </c>
      <c r="H1615" s="1" t="s">
        <v>2</v>
      </c>
      <c r="I1615" s="2">
        <v>46177</v>
      </c>
      <c r="J1615" s="1" t="s">
        <v>67</v>
      </c>
      <c r="K1615" s="1" t="s">
        <v>4854</v>
      </c>
      <c r="L1615" s="2">
        <v>46177.918923611112</v>
      </c>
      <c r="M1615" s="2">
        <v>46177.921329212964</v>
      </c>
    </row>
    <row r="1616" spans="1:13" x14ac:dyDescent="0.35">
      <c r="A1616" s="1" t="s">
        <v>834</v>
      </c>
      <c r="B1616" s="1" t="s">
        <v>13</v>
      </c>
      <c r="C1616" s="1" t="s">
        <v>835</v>
      </c>
      <c r="D1616">
        <v>4.125</v>
      </c>
      <c r="E1616" s="2">
        <v>47208</v>
      </c>
      <c r="F1616" s="1" t="s">
        <v>16</v>
      </c>
      <c r="G1616" s="1" t="s">
        <v>835</v>
      </c>
      <c r="H1616" s="1" t="s">
        <v>2</v>
      </c>
      <c r="I1616" s="2">
        <v>46177</v>
      </c>
      <c r="J1616" s="1" t="s">
        <v>17</v>
      </c>
      <c r="K1616" s="1" t="s">
        <v>2445</v>
      </c>
      <c r="L1616" s="2">
        <v>46177.92087962963</v>
      </c>
      <c r="M1616" s="2">
        <v>46177.921329212964</v>
      </c>
    </row>
    <row r="1617" spans="1:13" x14ac:dyDescent="0.35">
      <c r="A1617" s="1" t="s">
        <v>834</v>
      </c>
      <c r="B1617" s="1" t="s">
        <v>13</v>
      </c>
      <c r="C1617" s="1" t="s">
        <v>835</v>
      </c>
      <c r="D1617">
        <v>4.125</v>
      </c>
      <c r="E1617" s="2">
        <v>47208</v>
      </c>
      <c r="F1617" s="1" t="s">
        <v>16</v>
      </c>
      <c r="G1617" s="1" t="s">
        <v>835</v>
      </c>
      <c r="H1617" s="1" t="s">
        <v>2</v>
      </c>
      <c r="I1617" s="2">
        <v>46177</v>
      </c>
      <c r="J1617" s="1" t="s">
        <v>224</v>
      </c>
      <c r="K1617" s="1" t="s">
        <v>4853</v>
      </c>
      <c r="L1617" s="2">
        <v>46177.918923611112</v>
      </c>
      <c r="M1617" s="2">
        <v>46177.921329212964</v>
      </c>
    </row>
    <row r="1618" spans="1:13" x14ac:dyDescent="0.35">
      <c r="A1618" s="1" t="s">
        <v>834</v>
      </c>
      <c r="B1618" s="1" t="s">
        <v>13</v>
      </c>
      <c r="C1618" s="1" t="s">
        <v>835</v>
      </c>
      <c r="D1618">
        <v>4.125</v>
      </c>
      <c r="E1618" s="2">
        <v>47208</v>
      </c>
      <c r="F1618" s="1" t="s">
        <v>16</v>
      </c>
      <c r="G1618" s="1" t="s">
        <v>835</v>
      </c>
      <c r="H1618" s="1" t="s">
        <v>2</v>
      </c>
      <c r="I1618" s="2">
        <v>46177</v>
      </c>
      <c r="J1618" s="1" t="s">
        <v>215</v>
      </c>
      <c r="K1618" s="1" t="s">
        <v>4854</v>
      </c>
      <c r="L1618" s="2">
        <v>46177.918923611112</v>
      </c>
      <c r="M1618" s="2">
        <v>46177.921329212964</v>
      </c>
    </row>
    <row r="1619" spans="1:13" x14ac:dyDescent="0.35">
      <c r="A1619" s="1" t="s">
        <v>834</v>
      </c>
      <c r="B1619" s="1" t="s">
        <v>13</v>
      </c>
      <c r="C1619" s="1" t="s">
        <v>835</v>
      </c>
      <c r="D1619">
        <v>4.125</v>
      </c>
      <c r="E1619" s="2">
        <v>47208</v>
      </c>
      <c r="F1619" s="1" t="s">
        <v>16</v>
      </c>
      <c r="G1619" s="1" t="s">
        <v>835</v>
      </c>
      <c r="H1619" s="1" t="s">
        <v>2</v>
      </c>
      <c r="I1619" s="2">
        <v>46177</v>
      </c>
      <c r="J1619" s="1" t="s">
        <v>214</v>
      </c>
      <c r="K1619" s="1" t="s">
        <v>4853</v>
      </c>
      <c r="L1619" s="2">
        <v>46177.918923611112</v>
      </c>
      <c r="M1619" s="2">
        <v>46177.921329212964</v>
      </c>
    </row>
    <row r="1620" spans="1:13" x14ac:dyDescent="0.35">
      <c r="A1620" s="1" t="s">
        <v>836</v>
      </c>
      <c r="B1620" s="1" t="s">
        <v>13</v>
      </c>
      <c r="C1620" s="1" t="s">
        <v>837</v>
      </c>
      <c r="D1620">
        <v>4.5</v>
      </c>
      <c r="E1620" s="2">
        <v>46492</v>
      </c>
      <c r="F1620" s="1" t="s">
        <v>16</v>
      </c>
      <c r="G1620" s="1" t="s">
        <v>837</v>
      </c>
      <c r="H1620" s="1" t="s">
        <v>2</v>
      </c>
      <c r="I1620" s="2">
        <v>46177</v>
      </c>
      <c r="J1620" s="1" t="s">
        <v>214</v>
      </c>
      <c r="K1620" s="1" t="s">
        <v>5050</v>
      </c>
      <c r="L1620" s="2">
        <v>46177.918923611112</v>
      </c>
      <c r="M1620" s="2">
        <v>46177.921329212964</v>
      </c>
    </row>
    <row r="1621" spans="1:13" x14ac:dyDescent="0.35">
      <c r="A1621" s="1" t="s">
        <v>836</v>
      </c>
      <c r="B1621" s="1" t="s">
        <v>13</v>
      </c>
      <c r="C1621" s="1" t="s">
        <v>837</v>
      </c>
      <c r="D1621">
        <v>4.5</v>
      </c>
      <c r="E1621" s="2">
        <v>46492</v>
      </c>
      <c r="F1621" s="1" t="s">
        <v>16</v>
      </c>
      <c r="G1621" s="1" t="s">
        <v>837</v>
      </c>
      <c r="H1621" s="1" t="s">
        <v>2</v>
      </c>
      <c r="I1621" s="2">
        <v>46177</v>
      </c>
      <c r="J1621" s="1" t="s">
        <v>67</v>
      </c>
      <c r="K1621" s="1" t="s">
        <v>4855</v>
      </c>
      <c r="L1621" s="2">
        <v>46177.918923611112</v>
      </c>
      <c r="M1621" s="2">
        <v>46177.921329212964</v>
      </c>
    </row>
    <row r="1622" spans="1:13" x14ac:dyDescent="0.35">
      <c r="A1622" s="1" t="s">
        <v>836</v>
      </c>
      <c r="B1622" s="1" t="s">
        <v>13</v>
      </c>
      <c r="C1622" s="1" t="s">
        <v>837</v>
      </c>
      <c r="D1622">
        <v>4.5</v>
      </c>
      <c r="E1622" s="2">
        <v>46492</v>
      </c>
      <c r="F1622" s="1" t="s">
        <v>16</v>
      </c>
      <c r="G1622" s="1" t="s">
        <v>837</v>
      </c>
      <c r="H1622" s="1" t="s">
        <v>2</v>
      </c>
      <c r="I1622" s="2">
        <v>46177</v>
      </c>
      <c r="J1622" s="1" t="s">
        <v>215</v>
      </c>
      <c r="K1622" s="1" t="s">
        <v>4855</v>
      </c>
      <c r="L1622" s="2">
        <v>46177.918923611112</v>
      </c>
      <c r="M1622" s="2">
        <v>46177.921329212964</v>
      </c>
    </row>
    <row r="1623" spans="1:13" x14ac:dyDescent="0.35">
      <c r="A1623" s="1" t="s">
        <v>836</v>
      </c>
      <c r="B1623" s="1" t="s">
        <v>13</v>
      </c>
      <c r="C1623" s="1" t="s">
        <v>837</v>
      </c>
      <c r="D1623">
        <v>4.5</v>
      </c>
      <c r="E1623" s="2">
        <v>46492</v>
      </c>
      <c r="F1623" s="1" t="s">
        <v>16</v>
      </c>
      <c r="G1623" s="1" t="s">
        <v>837</v>
      </c>
      <c r="H1623" s="1" t="s">
        <v>2</v>
      </c>
      <c r="I1623" s="2">
        <v>46177</v>
      </c>
      <c r="J1623" s="1" t="s">
        <v>17</v>
      </c>
      <c r="K1623" s="1" t="s">
        <v>2931</v>
      </c>
      <c r="L1623" s="2">
        <v>46177.92087962963</v>
      </c>
      <c r="M1623" s="2">
        <v>46177.921329212964</v>
      </c>
    </row>
    <row r="1624" spans="1:13" x14ac:dyDescent="0.35">
      <c r="A1624" s="1" t="s">
        <v>836</v>
      </c>
      <c r="B1624" s="1" t="s">
        <v>13</v>
      </c>
      <c r="C1624" s="1" t="s">
        <v>837</v>
      </c>
      <c r="D1624">
        <v>4.5</v>
      </c>
      <c r="E1624" s="2">
        <v>46492</v>
      </c>
      <c r="F1624" s="1" t="s">
        <v>16</v>
      </c>
      <c r="G1624" s="1" t="s">
        <v>837</v>
      </c>
      <c r="H1624" s="1" t="s">
        <v>2</v>
      </c>
      <c r="I1624" s="2">
        <v>46177</v>
      </c>
      <c r="J1624" s="1" t="s">
        <v>224</v>
      </c>
      <c r="K1624" s="1" t="s">
        <v>5050</v>
      </c>
      <c r="L1624" s="2">
        <v>46177.918923611112</v>
      </c>
      <c r="M1624" s="2">
        <v>46177.921329212964</v>
      </c>
    </row>
    <row r="1625" spans="1:13" x14ac:dyDescent="0.35">
      <c r="A1625" s="1" t="s">
        <v>836</v>
      </c>
      <c r="B1625" s="1" t="s">
        <v>13</v>
      </c>
      <c r="C1625" s="1" t="s">
        <v>837</v>
      </c>
      <c r="D1625">
        <v>4.5</v>
      </c>
      <c r="E1625" s="2">
        <v>46492</v>
      </c>
      <c r="F1625" s="1" t="s">
        <v>16</v>
      </c>
      <c r="G1625" s="1" t="s">
        <v>837</v>
      </c>
      <c r="H1625" s="1" t="s">
        <v>2</v>
      </c>
      <c r="I1625" s="2">
        <v>46177</v>
      </c>
      <c r="J1625" s="1" t="s">
        <v>18</v>
      </c>
      <c r="K1625" s="1" t="s">
        <v>5311</v>
      </c>
      <c r="L1625" s="2">
        <v>46177.92087962963</v>
      </c>
      <c r="M1625" s="2">
        <v>46177.921329212964</v>
      </c>
    </row>
    <row r="1626" spans="1:13" x14ac:dyDescent="0.35">
      <c r="A1626" s="1" t="s">
        <v>838</v>
      </c>
      <c r="B1626" s="1" t="s">
        <v>13</v>
      </c>
      <c r="C1626" s="1" t="s">
        <v>839</v>
      </c>
      <c r="D1626">
        <v>2.125</v>
      </c>
      <c r="E1626" s="2">
        <v>47223</v>
      </c>
      <c r="F1626" s="1" t="s">
        <v>64</v>
      </c>
      <c r="G1626" s="1" t="s">
        <v>839</v>
      </c>
      <c r="H1626" s="1" t="s">
        <v>2</v>
      </c>
      <c r="I1626" s="2">
        <v>46177</v>
      </c>
      <c r="J1626" s="1" t="s">
        <v>224</v>
      </c>
      <c r="K1626" s="1" t="s">
        <v>4922</v>
      </c>
      <c r="L1626" s="2">
        <v>46177.918923611112</v>
      </c>
      <c r="M1626" s="2">
        <v>46177.921329212964</v>
      </c>
    </row>
    <row r="1627" spans="1:13" x14ac:dyDescent="0.35">
      <c r="A1627" s="1" t="s">
        <v>838</v>
      </c>
      <c r="B1627" s="1" t="s">
        <v>13</v>
      </c>
      <c r="C1627" s="1" t="s">
        <v>839</v>
      </c>
      <c r="D1627">
        <v>2.125</v>
      </c>
      <c r="E1627" s="2">
        <v>47223</v>
      </c>
      <c r="F1627" s="1" t="s">
        <v>64</v>
      </c>
      <c r="G1627" s="1" t="s">
        <v>839</v>
      </c>
      <c r="H1627" s="1" t="s">
        <v>2</v>
      </c>
      <c r="I1627" s="2">
        <v>46177</v>
      </c>
      <c r="J1627" s="1" t="s">
        <v>17</v>
      </c>
      <c r="K1627" s="1" t="s">
        <v>2448</v>
      </c>
      <c r="L1627" s="2">
        <v>46177.92087962963</v>
      </c>
      <c r="M1627" s="2">
        <v>46177.921329212964</v>
      </c>
    </row>
    <row r="1628" spans="1:13" x14ac:dyDescent="0.35">
      <c r="A1628" s="1" t="s">
        <v>838</v>
      </c>
      <c r="B1628" s="1" t="s">
        <v>13</v>
      </c>
      <c r="C1628" s="1" t="s">
        <v>839</v>
      </c>
      <c r="D1628">
        <v>2.125</v>
      </c>
      <c r="E1628" s="2">
        <v>47223</v>
      </c>
      <c r="F1628" s="1" t="s">
        <v>64</v>
      </c>
      <c r="G1628" s="1" t="s">
        <v>839</v>
      </c>
      <c r="H1628" s="1" t="s">
        <v>2</v>
      </c>
      <c r="I1628" s="2">
        <v>46177</v>
      </c>
      <c r="J1628" s="1" t="s">
        <v>214</v>
      </c>
      <c r="K1628" s="1" t="s">
        <v>4922</v>
      </c>
      <c r="L1628" s="2">
        <v>46177.918923611112</v>
      </c>
      <c r="M1628" s="2">
        <v>46177.921329212964</v>
      </c>
    </row>
    <row r="1629" spans="1:13" x14ac:dyDescent="0.35">
      <c r="A1629" s="1" t="s">
        <v>838</v>
      </c>
      <c r="B1629" s="1" t="s">
        <v>13</v>
      </c>
      <c r="C1629" s="1" t="s">
        <v>839</v>
      </c>
      <c r="D1629">
        <v>2.125</v>
      </c>
      <c r="E1629" s="2">
        <v>47223</v>
      </c>
      <c r="F1629" s="1" t="s">
        <v>64</v>
      </c>
      <c r="G1629" s="1" t="s">
        <v>839</v>
      </c>
      <c r="H1629" s="1" t="s">
        <v>2</v>
      </c>
      <c r="I1629" s="2">
        <v>46177</v>
      </c>
      <c r="J1629" s="1" t="s">
        <v>67</v>
      </c>
      <c r="K1629" s="1" t="s">
        <v>4914</v>
      </c>
      <c r="L1629" s="2">
        <v>46177.918923611112</v>
      </c>
      <c r="M1629" s="2">
        <v>46177.921329212964</v>
      </c>
    </row>
    <row r="1630" spans="1:13" x14ac:dyDescent="0.35">
      <c r="A1630" s="1" t="s">
        <v>838</v>
      </c>
      <c r="B1630" s="1" t="s">
        <v>13</v>
      </c>
      <c r="C1630" s="1" t="s">
        <v>839</v>
      </c>
      <c r="D1630">
        <v>2.125</v>
      </c>
      <c r="E1630" s="2">
        <v>47223</v>
      </c>
      <c r="F1630" s="1" t="s">
        <v>64</v>
      </c>
      <c r="G1630" s="1" t="s">
        <v>839</v>
      </c>
      <c r="H1630" s="1" t="s">
        <v>2</v>
      </c>
      <c r="I1630" s="2">
        <v>46177</v>
      </c>
      <c r="J1630" s="1" t="s">
        <v>18</v>
      </c>
      <c r="K1630" s="1" t="s">
        <v>2932</v>
      </c>
      <c r="L1630" s="2">
        <v>46177.92087962963</v>
      </c>
      <c r="M1630" s="2">
        <v>46177.921329212964</v>
      </c>
    </row>
    <row r="1631" spans="1:13" x14ac:dyDescent="0.35">
      <c r="A1631" s="1" t="s">
        <v>838</v>
      </c>
      <c r="B1631" s="1" t="s">
        <v>13</v>
      </c>
      <c r="C1631" s="1" t="s">
        <v>839</v>
      </c>
      <c r="D1631">
        <v>2.125</v>
      </c>
      <c r="E1631" s="2">
        <v>47223</v>
      </c>
      <c r="F1631" s="1" t="s">
        <v>64</v>
      </c>
      <c r="G1631" s="1" t="s">
        <v>839</v>
      </c>
      <c r="H1631" s="1" t="s">
        <v>2</v>
      </c>
      <c r="I1631" s="2">
        <v>46177</v>
      </c>
      <c r="J1631" s="1" t="s">
        <v>215</v>
      </c>
      <c r="K1631" s="1" t="s">
        <v>4914</v>
      </c>
      <c r="L1631" s="2">
        <v>46177.918923611112</v>
      </c>
      <c r="M1631" s="2">
        <v>46177.921329212964</v>
      </c>
    </row>
    <row r="1632" spans="1:13" x14ac:dyDescent="0.35">
      <c r="A1632" s="1" t="s">
        <v>747</v>
      </c>
      <c r="B1632" s="1" t="s">
        <v>13</v>
      </c>
      <c r="C1632" s="1" t="s">
        <v>748</v>
      </c>
      <c r="D1632">
        <v>4.625</v>
      </c>
      <c r="E1632" s="2">
        <v>47968</v>
      </c>
      <c r="F1632" s="1" t="s">
        <v>16</v>
      </c>
      <c r="G1632" s="1" t="s">
        <v>748</v>
      </c>
      <c r="H1632" s="1" t="s">
        <v>2</v>
      </c>
      <c r="I1632" s="2">
        <v>46177</v>
      </c>
      <c r="J1632" s="1" t="s">
        <v>224</v>
      </c>
      <c r="K1632" s="1" t="s">
        <v>4856</v>
      </c>
      <c r="L1632" s="2">
        <v>46177.918923611112</v>
      </c>
      <c r="M1632" s="2">
        <v>46177.921329212964</v>
      </c>
    </row>
    <row r="1633" spans="1:13" x14ac:dyDescent="0.35">
      <c r="A1633" s="1" t="s">
        <v>747</v>
      </c>
      <c r="B1633" s="1" t="s">
        <v>13</v>
      </c>
      <c r="C1633" s="1" t="s">
        <v>748</v>
      </c>
      <c r="D1633">
        <v>4.625</v>
      </c>
      <c r="E1633" s="2">
        <v>47968</v>
      </c>
      <c r="F1633" s="1" t="s">
        <v>16</v>
      </c>
      <c r="G1633" s="1" t="s">
        <v>748</v>
      </c>
      <c r="H1633" s="1" t="s">
        <v>2</v>
      </c>
      <c r="I1633" s="2">
        <v>46177</v>
      </c>
      <c r="J1633" s="1" t="s">
        <v>215</v>
      </c>
      <c r="K1633" s="1" t="s">
        <v>4964</v>
      </c>
      <c r="L1633" s="2">
        <v>46177.918923611112</v>
      </c>
      <c r="M1633" s="2">
        <v>46177.921329212964</v>
      </c>
    </row>
    <row r="1634" spans="1:13" x14ac:dyDescent="0.35">
      <c r="A1634" s="1" t="s">
        <v>747</v>
      </c>
      <c r="B1634" s="1" t="s">
        <v>13</v>
      </c>
      <c r="C1634" s="1" t="s">
        <v>748</v>
      </c>
      <c r="D1634">
        <v>4.625</v>
      </c>
      <c r="E1634" s="2">
        <v>47968</v>
      </c>
      <c r="F1634" s="1" t="s">
        <v>16</v>
      </c>
      <c r="G1634" s="1" t="s">
        <v>748</v>
      </c>
      <c r="H1634" s="1" t="s">
        <v>2</v>
      </c>
      <c r="I1634" s="2">
        <v>46177</v>
      </c>
      <c r="J1634" s="1" t="s">
        <v>17</v>
      </c>
      <c r="K1634" s="1" t="s">
        <v>2699</v>
      </c>
      <c r="L1634" s="2">
        <v>46177.92087962963</v>
      </c>
      <c r="M1634" s="2">
        <v>46177.921329212964</v>
      </c>
    </row>
    <row r="1635" spans="1:13" x14ac:dyDescent="0.35">
      <c r="A1635" s="1" t="s">
        <v>747</v>
      </c>
      <c r="B1635" s="1" t="s">
        <v>13</v>
      </c>
      <c r="C1635" s="1" t="s">
        <v>748</v>
      </c>
      <c r="D1635">
        <v>4.625</v>
      </c>
      <c r="E1635" s="2">
        <v>47968</v>
      </c>
      <c r="F1635" s="1" t="s">
        <v>16</v>
      </c>
      <c r="G1635" s="1" t="s">
        <v>748</v>
      </c>
      <c r="H1635" s="1" t="s">
        <v>2</v>
      </c>
      <c r="I1635" s="2">
        <v>46177</v>
      </c>
      <c r="J1635" s="1" t="s">
        <v>214</v>
      </c>
      <c r="K1635" s="1" t="s">
        <v>4856</v>
      </c>
      <c r="L1635" s="2">
        <v>46177.918923611112</v>
      </c>
      <c r="M1635" s="2">
        <v>46177.921329212964</v>
      </c>
    </row>
    <row r="1636" spans="1:13" x14ac:dyDescent="0.35">
      <c r="A1636" s="1" t="s">
        <v>747</v>
      </c>
      <c r="B1636" s="1" t="s">
        <v>13</v>
      </c>
      <c r="C1636" s="1" t="s">
        <v>748</v>
      </c>
      <c r="D1636">
        <v>4.625</v>
      </c>
      <c r="E1636" s="2">
        <v>47968</v>
      </c>
      <c r="F1636" s="1" t="s">
        <v>16</v>
      </c>
      <c r="G1636" s="1" t="s">
        <v>748</v>
      </c>
      <c r="H1636" s="1" t="s">
        <v>2</v>
      </c>
      <c r="I1636" s="2">
        <v>46177</v>
      </c>
      <c r="J1636" s="1" t="s">
        <v>18</v>
      </c>
      <c r="K1636" s="1" t="s">
        <v>2345</v>
      </c>
      <c r="L1636" s="2">
        <v>46177.92087962963</v>
      </c>
      <c r="M1636" s="2">
        <v>46177.921329212964</v>
      </c>
    </row>
    <row r="1637" spans="1:13" x14ac:dyDescent="0.35">
      <c r="A1637" s="1" t="s">
        <v>747</v>
      </c>
      <c r="B1637" s="1" t="s">
        <v>13</v>
      </c>
      <c r="C1637" s="1" t="s">
        <v>748</v>
      </c>
      <c r="D1637">
        <v>4.625</v>
      </c>
      <c r="E1637" s="2">
        <v>47968</v>
      </c>
      <c r="F1637" s="1" t="s">
        <v>16</v>
      </c>
      <c r="G1637" s="1" t="s">
        <v>748</v>
      </c>
      <c r="H1637" s="1" t="s">
        <v>2</v>
      </c>
      <c r="I1637" s="2">
        <v>46177</v>
      </c>
      <c r="J1637" s="1" t="s">
        <v>67</v>
      </c>
      <c r="K1637" s="1" t="s">
        <v>4964</v>
      </c>
      <c r="L1637" s="2">
        <v>46177.918923611112</v>
      </c>
      <c r="M1637" s="2">
        <v>46177.921329212964</v>
      </c>
    </row>
    <row r="1638" spans="1:13" x14ac:dyDescent="0.35">
      <c r="A1638" s="1" t="s">
        <v>827</v>
      </c>
      <c r="B1638" s="1" t="s">
        <v>13</v>
      </c>
      <c r="C1638" s="1" t="s">
        <v>828</v>
      </c>
      <c r="D1638">
        <v>4.625</v>
      </c>
      <c r="E1638" s="2">
        <v>47238</v>
      </c>
      <c r="F1638" s="1" t="s">
        <v>16</v>
      </c>
      <c r="G1638" s="1" t="s">
        <v>828</v>
      </c>
      <c r="H1638" s="1" t="s">
        <v>2</v>
      </c>
      <c r="I1638" s="2">
        <v>46177</v>
      </c>
      <c r="J1638" s="1" t="s">
        <v>67</v>
      </c>
      <c r="K1638" s="1" t="s">
        <v>5051</v>
      </c>
      <c r="L1638" s="2">
        <v>46177.918923611112</v>
      </c>
      <c r="M1638" s="2">
        <v>46177.921329212964</v>
      </c>
    </row>
    <row r="1639" spans="1:13" x14ac:dyDescent="0.35">
      <c r="A1639" s="1" t="s">
        <v>827</v>
      </c>
      <c r="B1639" s="1" t="s">
        <v>13</v>
      </c>
      <c r="C1639" s="1" t="s">
        <v>828</v>
      </c>
      <c r="D1639">
        <v>4.625</v>
      </c>
      <c r="E1639" s="2">
        <v>47238</v>
      </c>
      <c r="F1639" s="1" t="s">
        <v>16</v>
      </c>
      <c r="G1639" s="1" t="s">
        <v>828</v>
      </c>
      <c r="H1639" s="1" t="s">
        <v>2</v>
      </c>
      <c r="I1639" s="2">
        <v>46177</v>
      </c>
      <c r="J1639" s="1" t="s">
        <v>214</v>
      </c>
      <c r="K1639" s="1" t="s">
        <v>4923</v>
      </c>
      <c r="L1639" s="2">
        <v>46177.918923611112</v>
      </c>
      <c r="M1639" s="2">
        <v>46177.921329212964</v>
      </c>
    </row>
    <row r="1640" spans="1:13" x14ac:dyDescent="0.35">
      <c r="A1640" s="1" t="s">
        <v>827</v>
      </c>
      <c r="B1640" s="1" t="s">
        <v>13</v>
      </c>
      <c r="C1640" s="1" t="s">
        <v>828</v>
      </c>
      <c r="D1640">
        <v>4.625</v>
      </c>
      <c r="E1640" s="2">
        <v>47238</v>
      </c>
      <c r="F1640" s="1" t="s">
        <v>16</v>
      </c>
      <c r="G1640" s="1" t="s">
        <v>828</v>
      </c>
      <c r="H1640" s="1" t="s">
        <v>2</v>
      </c>
      <c r="I1640" s="2">
        <v>46177</v>
      </c>
      <c r="J1640" s="1" t="s">
        <v>224</v>
      </c>
      <c r="K1640" s="1" t="s">
        <v>4923</v>
      </c>
      <c r="L1640" s="2">
        <v>46177.918923611112</v>
      </c>
      <c r="M1640" s="2">
        <v>46177.921329212964</v>
      </c>
    </row>
    <row r="1641" spans="1:13" x14ac:dyDescent="0.35">
      <c r="A1641" s="1" t="s">
        <v>827</v>
      </c>
      <c r="B1641" s="1" t="s">
        <v>13</v>
      </c>
      <c r="C1641" s="1" t="s">
        <v>828</v>
      </c>
      <c r="D1641">
        <v>4.625</v>
      </c>
      <c r="E1641" s="2">
        <v>47238</v>
      </c>
      <c r="F1641" s="1" t="s">
        <v>16</v>
      </c>
      <c r="G1641" s="1" t="s">
        <v>828</v>
      </c>
      <c r="H1641" s="1" t="s">
        <v>2</v>
      </c>
      <c r="I1641" s="2">
        <v>46177</v>
      </c>
      <c r="J1641" s="1" t="s">
        <v>17</v>
      </c>
      <c r="K1641" s="1" t="s">
        <v>2968</v>
      </c>
      <c r="L1641" s="2">
        <v>46177.92087962963</v>
      </c>
      <c r="M1641" s="2">
        <v>46177.921329212964</v>
      </c>
    </row>
    <row r="1642" spans="1:13" x14ac:dyDescent="0.35">
      <c r="A1642" s="1" t="s">
        <v>827</v>
      </c>
      <c r="B1642" s="1" t="s">
        <v>13</v>
      </c>
      <c r="C1642" s="1" t="s">
        <v>828</v>
      </c>
      <c r="D1642">
        <v>4.625</v>
      </c>
      <c r="E1642" s="2">
        <v>47238</v>
      </c>
      <c r="F1642" s="1" t="s">
        <v>16</v>
      </c>
      <c r="G1642" s="1" t="s">
        <v>828</v>
      </c>
      <c r="H1642" s="1" t="s">
        <v>2</v>
      </c>
      <c r="I1642" s="2">
        <v>46177</v>
      </c>
      <c r="J1642" s="1" t="s">
        <v>18</v>
      </c>
      <c r="K1642" s="1" t="s">
        <v>2944</v>
      </c>
      <c r="L1642" s="2">
        <v>46177.92087962963</v>
      </c>
      <c r="M1642" s="2">
        <v>46177.921329212964</v>
      </c>
    </row>
    <row r="1643" spans="1:13" x14ac:dyDescent="0.35">
      <c r="A1643" s="1" t="s">
        <v>827</v>
      </c>
      <c r="B1643" s="1" t="s">
        <v>13</v>
      </c>
      <c r="C1643" s="1" t="s">
        <v>828</v>
      </c>
      <c r="D1643">
        <v>4.625</v>
      </c>
      <c r="E1643" s="2">
        <v>47238</v>
      </c>
      <c r="F1643" s="1" t="s">
        <v>16</v>
      </c>
      <c r="G1643" s="1" t="s">
        <v>828</v>
      </c>
      <c r="H1643" s="1" t="s">
        <v>2</v>
      </c>
      <c r="I1643" s="2">
        <v>46177</v>
      </c>
      <c r="J1643" s="1" t="s">
        <v>215</v>
      </c>
      <c r="K1643" s="1" t="s">
        <v>5051</v>
      </c>
      <c r="L1643" s="2">
        <v>46177.918923611112</v>
      </c>
      <c r="M1643" s="2">
        <v>46177.921329212964</v>
      </c>
    </row>
    <row r="1644" spans="1:13" x14ac:dyDescent="0.35">
      <c r="A1644" s="1" t="s">
        <v>749</v>
      </c>
      <c r="B1644" s="1" t="s">
        <v>13</v>
      </c>
      <c r="C1644" s="1" t="s">
        <v>750</v>
      </c>
      <c r="D1644">
        <v>4.375</v>
      </c>
      <c r="E1644" s="2">
        <v>49079</v>
      </c>
      <c r="F1644" s="1" t="s">
        <v>16</v>
      </c>
      <c r="G1644" s="1" t="s">
        <v>750</v>
      </c>
      <c r="H1644" s="1" t="s">
        <v>2</v>
      </c>
      <c r="I1644" s="2">
        <v>46177</v>
      </c>
      <c r="J1644" s="1" t="s">
        <v>214</v>
      </c>
      <c r="K1644" s="1" t="s">
        <v>4858</v>
      </c>
      <c r="L1644" s="2">
        <v>46177.918923611112</v>
      </c>
      <c r="M1644" s="2">
        <v>46177.921329212964</v>
      </c>
    </row>
    <row r="1645" spans="1:13" x14ac:dyDescent="0.35">
      <c r="A1645" s="1" t="s">
        <v>749</v>
      </c>
      <c r="B1645" s="1" t="s">
        <v>13</v>
      </c>
      <c r="C1645" s="1" t="s">
        <v>750</v>
      </c>
      <c r="D1645">
        <v>4.375</v>
      </c>
      <c r="E1645" s="2">
        <v>49079</v>
      </c>
      <c r="F1645" s="1" t="s">
        <v>16</v>
      </c>
      <c r="G1645" s="1" t="s">
        <v>750</v>
      </c>
      <c r="H1645" s="1" t="s">
        <v>2</v>
      </c>
      <c r="I1645" s="2">
        <v>46177</v>
      </c>
      <c r="J1645" s="1" t="s">
        <v>215</v>
      </c>
      <c r="K1645" s="1" t="s">
        <v>4857</v>
      </c>
      <c r="L1645" s="2">
        <v>46177.918923611112</v>
      </c>
      <c r="M1645" s="2">
        <v>46177.921329212964</v>
      </c>
    </row>
    <row r="1646" spans="1:13" x14ac:dyDescent="0.35">
      <c r="A1646" s="1" t="s">
        <v>749</v>
      </c>
      <c r="B1646" s="1" t="s">
        <v>13</v>
      </c>
      <c r="C1646" s="1" t="s">
        <v>750</v>
      </c>
      <c r="D1646">
        <v>4.375</v>
      </c>
      <c r="E1646" s="2">
        <v>49079</v>
      </c>
      <c r="F1646" s="1" t="s">
        <v>16</v>
      </c>
      <c r="G1646" s="1" t="s">
        <v>750</v>
      </c>
      <c r="H1646" s="1" t="s">
        <v>2</v>
      </c>
      <c r="I1646" s="2">
        <v>46177</v>
      </c>
      <c r="J1646" s="1" t="s">
        <v>17</v>
      </c>
      <c r="K1646" s="1" t="s">
        <v>2457</v>
      </c>
      <c r="L1646" s="2">
        <v>46177.92087962963</v>
      </c>
      <c r="M1646" s="2">
        <v>46177.921329212964</v>
      </c>
    </row>
    <row r="1647" spans="1:13" x14ac:dyDescent="0.35">
      <c r="A1647" s="1" t="s">
        <v>749</v>
      </c>
      <c r="B1647" s="1" t="s">
        <v>13</v>
      </c>
      <c r="C1647" s="1" t="s">
        <v>750</v>
      </c>
      <c r="D1647">
        <v>4.375</v>
      </c>
      <c r="E1647" s="2">
        <v>49079</v>
      </c>
      <c r="F1647" s="1" t="s">
        <v>16</v>
      </c>
      <c r="G1647" s="1" t="s">
        <v>750</v>
      </c>
      <c r="H1647" s="1" t="s">
        <v>2</v>
      </c>
      <c r="I1647" s="2">
        <v>46177</v>
      </c>
      <c r="J1647" s="1" t="s">
        <v>67</v>
      </c>
      <c r="K1647" s="1" t="s">
        <v>4857</v>
      </c>
      <c r="L1647" s="2">
        <v>46177.918923611112</v>
      </c>
      <c r="M1647" s="2">
        <v>46177.921329212964</v>
      </c>
    </row>
    <row r="1648" spans="1:13" x14ac:dyDescent="0.35">
      <c r="A1648" s="1" t="s">
        <v>749</v>
      </c>
      <c r="B1648" s="1" t="s">
        <v>13</v>
      </c>
      <c r="C1648" s="1" t="s">
        <v>750</v>
      </c>
      <c r="D1648">
        <v>4.375</v>
      </c>
      <c r="E1648" s="2">
        <v>49079</v>
      </c>
      <c r="F1648" s="1" t="s">
        <v>16</v>
      </c>
      <c r="G1648" s="1" t="s">
        <v>750</v>
      </c>
      <c r="H1648" s="1" t="s">
        <v>2</v>
      </c>
      <c r="I1648" s="2">
        <v>46177</v>
      </c>
      <c r="J1648" s="1" t="s">
        <v>224</v>
      </c>
      <c r="K1648" s="1" t="s">
        <v>4858</v>
      </c>
      <c r="L1648" s="2">
        <v>46177.918923611112</v>
      </c>
      <c r="M1648" s="2">
        <v>46177.921329212964</v>
      </c>
    </row>
    <row r="1649" spans="1:13" x14ac:dyDescent="0.35">
      <c r="A1649" s="1" t="s">
        <v>749</v>
      </c>
      <c r="B1649" s="1" t="s">
        <v>13</v>
      </c>
      <c r="C1649" s="1" t="s">
        <v>750</v>
      </c>
      <c r="D1649">
        <v>4.375</v>
      </c>
      <c r="E1649" s="2">
        <v>49079</v>
      </c>
      <c r="F1649" s="1" t="s">
        <v>16</v>
      </c>
      <c r="G1649" s="1" t="s">
        <v>750</v>
      </c>
      <c r="H1649" s="1" t="s">
        <v>2</v>
      </c>
      <c r="I1649" s="2">
        <v>46177</v>
      </c>
      <c r="J1649" s="1" t="s">
        <v>18</v>
      </c>
      <c r="K1649" s="1" t="s">
        <v>2474</v>
      </c>
      <c r="L1649" s="2">
        <v>46177.92087962963</v>
      </c>
      <c r="M1649" s="2">
        <v>46177.921329212964</v>
      </c>
    </row>
    <row r="1650" spans="1:13" x14ac:dyDescent="0.35">
      <c r="A1650" s="1" t="s">
        <v>751</v>
      </c>
      <c r="B1650" s="1" t="s">
        <v>13</v>
      </c>
      <c r="C1650" s="1" t="s">
        <v>752</v>
      </c>
      <c r="D1650">
        <v>4.5</v>
      </c>
      <c r="E1650" s="2">
        <v>46522</v>
      </c>
      <c r="F1650" s="1" t="s">
        <v>16</v>
      </c>
      <c r="G1650" s="1" t="s">
        <v>752</v>
      </c>
      <c r="H1650" s="1" t="s">
        <v>2</v>
      </c>
      <c r="I1650" s="2">
        <v>46177</v>
      </c>
      <c r="J1650" s="1" t="s">
        <v>67</v>
      </c>
      <c r="K1650" s="1" t="s">
        <v>4924</v>
      </c>
      <c r="L1650" s="2">
        <v>46177.918923611112</v>
      </c>
      <c r="M1650" s="2">
        <v>46177.921329212964</v>
      </c>
    </row>
    <row r="1651" spans="1:13" x14ac:dyDescent="0.35">
      <c r="A1651" s="1" t="s">
        <v>751</v>
      </c>
      <c r="B1651" s="1" t="s">
        <v>13</v>
      </c>
      <c r="C1651" s="1" t="s">
        <v>752</v>
      </c>
      <c r="D1651">
        <v>4.5</v>
      </c>
      <c r="E1651" s="2">
        <v>46522</v>
      </c>
      <c r="F1651" s="1" t="s">
        <v>16</v>
      </c>
      <c r="G1651" s="1" t="s">
        <v>752</v>
      </c>
      <c r="H1651" s="1" t="s">
        <v>2</v>
      </c>
      <c r="I1651" s="2">
        <v>46177</v>
      </c>
      <c r="J1651" s="1" t="s">
        <v>224</v>
      </c>
      <c r="K1651" s="1" t="s">
        <v>4925</v>
      </c>
      <c r="L1651" s="2">
        <v>46177.918923611112</v>
      </c>
      <c r="M1651" s="2">
        <v>46177.921329212964</v>
      </c>
    </row>
    <row r="1652" spans="1:13" x14ac:dyDescent="0.35">
      <c r="A1652" s="1" t="s">
        <v>751</v>
      </c>
      <c r="B1652" s="1" t="s">
        <v>13</v>
      </c>
      <c r="C1652" s="1" t="s">
        <v>752</v>
      </c>
      <c r="D1652">
        <v>4.5</v>
      </c>
      <c r="E1652" s="2">
        <v>46522</v>
      </c>
      <c r="F1652" s="1" t="s">
        <v>16</v>
      </c>
      <c r="G1652" s="1" t="s">
        <v>752</v>
      </c>
      <c r="H1652" s="1" t="s">
        <v>2</v>
      </c>
      <c r="I1652" s="2">
        <v>46177</v>
      </c>
      <c r="J1652" s="1" t="s">
        <v>17</v>
      </c>
      <c r="K1652" s="1" t="s">
        <v>2426</v>
      </c>
      <c r="L1652" s="2">
        <v>46177.92087962963</v>
      </c>
      <c r="M1652" s="2">
        <v>46177.921329212964</v>
      </c>
    </row>
    <row r="1653" spans="1:13" x14ac:dyDescent="0.35">
      <c r="A1653" s="1" t="s">
        <v>751</v>
      </c>
      <c r="B1653" s="1" t="s">
        <v>13</v>
      </c>
      <c r="C1653" s="1" t="s">
        <v>752</v>
      </c>
      <c r="D1653">
        <v>4.5</v>
      </c>
      <c r="E1653" s="2">
        <v>46522</v>
      </c>
      <c r="F1653" s="1" t="s">
        <v>16</v>
      </c>
      <c r="G1653" s="1" t="s">
        <v>752</v>
      </c>
      <c r="H1653" s="1" t="s">
        <v>2</v>
      </c>
      <c r="I1653" s="2">
        <v>46177</v>
      </c>
      <c r="J1653" s="1" t="s">
        <v>214</v>
      </c>
      <c r="K1653" s="1" t="s">
        <v>4925</v>
      </c>
      <c r="L1653" s="2">
        <v>46177.918923611112</v>
      </c>
      <c r="M1653" s="2">
        <v>46177.921329212964</v>
      </c>
    </row>
    <row r="1654" spans="1:13" x14ac:dyDescent="0.35">
      <c r="A1654" s="1" t="s">
        <v>751</v>
      </c>
      <c r="B1654" s="1" t="s">
        <v>13</v>
      </c>
      <c r="C1654" s="1" t="s">
        <v>752</v>
      </c>
      <c r="D1654">
        <v>4.5</v>
      </c>
      <c r="E1654" s="2">
        <v>46522</v>
      </c>
      <c r="F1654" s="1" t="s">
        <v>16</v>
      </c>
      <c r="G1654" s="1" t="s">
        <v>752</v>
      </c>
      <c r="H1654" s="1" t="s">
        <v>2</v>
      </c>
      <c r="I1654" s="2">
        <v>46177</v>
      </c>
      <c r="J1654" s="1" t="s">
        <v>215</v>
      </c>
      <c r="K1654" s="1" t="s">
        <v>4924</v>
      </c>
      <c r="L1654" s="2">
        <v>46177.918923611112</v>
      </c>
      <c r="M1654" s="2">
        <v>46177.921329212964</v>
      </c>
    </row>
    <row r="1655" spans="1:13" x14ac:dyDescent="0.35">
      <c r="A1655" s="1" t="s">
        <v>751</v>
      </c>
      <c r="B1655" s="1" t="s">
        <v>13</v>
      </c>
      <c r="C1655" s="1" t="s">
        <v>752</v>
      </c>
      <c r="D1655">
        <v>4.5</v>
      </c>
      <c r="E1655" s="2">
        <v>46522</v>
      </c>
      <c r="F1655" s="1" t="s">
        <v>16</v>
      </c>
      <c r="G1655" s="1" t="s">
        <v>752</v>
      </c>
      <c r="H1655" s="1" t="s">
        <v>2</v>
      </c>
      <c r="I1655" s="2">
        <v>46177</v>
      </c>
      <c r="J1655" s="1" t="s">
        <v>18</v>
      </c>
      <c r="K1655" s="1" t="s">
        <v>4859</v>
      </c>
      <c r="L1655" s="2">
        <v>46177.92087962963</v>
      </c>
      <c r="M1655" s="2">
        <v>46177.921329212964</v>
      </c>
    </row>
    <row r="1656" spans="1:13" x14ac:dyDescent="0.35">
      <c r="A1656" s="1" t="s">
        <v>840</v>
      </c>
      <c r="B1656" s="1" t="s">
        <v>13</v>
      </c>
      <c r="C1656" s="1" t="s">
        <v>841</v>
      </c>
      <c r="D1656">
        <v>4.5</v>
      </c>
      <c r="E1656" s="2">
        <v>47269</v>
      </c>
      <c r="F1656" s="1" t="s">
        <v>16</v>
      </c>
      <c r="G1656" s="1" t="s">
        <v>841</v>
      </c>
      <c r="H1656" s="1" t="s">
        <v>2</v>
      </c>
      <c r="I1656" s="2">
        <v>46177</v>
      </c>
      <c r="J1656" s="1" t="s">
        <v>18</v>
      </c>
      <c r="K1656" s="1" t="s">
        <v>2425</v>
      </c>
      <c r="L1656" s="2">
        <v>46177.92087962963</v>
      </c>
      <c r="M1656" s="2">
        <v>46177.921329212964</v>
      </c>
    </row>
    <row r="1657" spans="1:13" x14ac:dyDescent="0.35">
      <c r="A1657" s="1" t="s">
        <v>840</v>
      </c>
      <c r="B1657" s="1" t="s">
        <v>13</v>
      </c>
      <c r="C1657" s="1" t="s">
        <v>841</v>
      </c>
      <c r="D1657">
        <v>4.5</v>
      </c>
      <c r="E1657" s="2">
        <v>47269</v>
      </c>
      <c r="F1657" s="1" t="s">
        <v>16</v>
      </c>
      <c r="G1657" s="1" t="s">
        <v>841</v>
      </c>
      <c r="H1657" s="1" t="s">
        <v>2</v>
      </c>
      <c r="I1657" s="2">
        <v>46177</v>
      </c>
      <c r="J1657" s="1" t="s">
        <v>214</v>
      </c>
      <c r="K1657" s="1" t="s">
        <v>4860</v>
      </c>
      <c r="L1657" s="2">
        <v>46177.918923611112</v>
      </c>
      <c r="M1657" s="2">
        <v>46177.921329212964</v>
      </c>
    </row>
    <row r="1658" spans="1:13" x14ac:dyDescent="0.35">
      <c r="A1658" s="1" t="s">
        <v>840</v>
      </c>
      <c r="B1658" s="1" t="s">
        <v>13</v>
      </c>
      <c r="C1658" s="1" t="s">
        <v>841</v>
      </c>
      <c r="D1658">
        <v>4.5</v>
      </c>
      <c r="E1658" s="2">
        <v>47269</v>
      </c>
      <c r="F1658" s="1" t="s">
        <v>16</v>
      </c>
      <c r="G1658" s="1" t="s">
        <v>841</v>
      </c>
      <c r="H1658" s="1" t="s">
        <v>2</v>
      </c>
      <c r="I1658" s="2">
        <v>46177</v>
      </c>
      <c r="J1658" s="1" t="s">
        <v>17</v>
      </c>
      <c r="K1658" s="1" t="s">
        <v>2461</v>
      </c>
      <c r="L1658" s="2">
        <v>46177.92087962963</v>
      </c>
      <c r="M1658" s="2">
        <v>46177.921329212964</v>
      </c>
    </row>
    <row r="1659" spans="1:13" x14ac:dyDescent="0.35">
      <c r="A1659" s="1" t="s">
        <v>840</v>
      </c>
      <c r="B1659" s="1" t="s">
        <v>13</v>
      </c>
      <c r="C1659" s="1" t="s">
        <v>841</v>
      </c>
      <c r="D1659">
        <v>4.5</v>
      </c>
      <c r="E1659" s="2">
        <v>47269</v>
      </c>
      <c r="F1659" s="1" t="s">
        <v>16</v>
      </c>
      <c r="G1659" s="1" t="s">
        <v>841</v>
      </c>
      <c r="H1659" s="1" t="s">
        <v>2</v>
      </c>
      <c r="I1659" s="2">
        <v>46177</v>
      </c>
      <c r="J1659" s="1" t="s">
        <v>67</v>
      </c>
      <c r="K1659" s="1" t="s">
        <v>4965</v>
      </c>
      <c r="L1659" s="2">
        <v>46177.918923611112</v>
      </c>
      <c r="M1659" s="2">
        <v>46177.921329212964</v>
      </c>
    </row>
    <row r="1660" spans="1:13" x14ac:dyDescent="0.35">
      <c r="A1660" s="1" t="s">
        <v>840</v>
      </c>
      <c r="B1660" s="1" t="s">
        <v>13</v>
      </c>
      <c r="C1660" s="1" t="s">
        <v>841</v>
      </c>
      <c r="D1660">
        <v>4.5</v>
      </c>
      <c r="E1660" s="2">
        <v>47269</v>
      </c>
      <c r="F1660" s="1" t="s">
        <v>16</v>
      </c>
      <c r="G1660" s="1" t="s">
        <v>841</v>
      </c>
      <c r="H1660" s="1" t="s">
        <v>2</v>
      </c>
      <c r="I1660" s="2">
        <v>46177</v>
      </c>
      <c r="J1660" s="1" t="s">
        <v>215</v>
      </c>
      <c r="K1660" s="1" t="s">
        <v>4965</v>
      </c>
      <c r="L1660" s="2">
        <v>46177.918923611112</v>
      </c>
      <c r="M1660" s="2">
        <v>46177.921329212964</v>
      </c>
    </row>
    <row r="1661" spans="1:13" x14ac:dyDescent="0.35">
      <c r="A1661" s="1" t="s">
        <v>840</v>
      </c>
      <c r="B1661" s="1" t="s">
        <v>13</v>
      </c>
      <c r="C1661" s="1" t="s">
        <v>841</v>
      </c>
      <c r="D1661">
        <v>4.5</v>
      </c>
      <c r="E1661" s="2">
        <v>47269</v>
      </c>
      <c r="F1661" s="1" t="s">
        <v>16</v>
      </c>
      <c r="G1661" s="1" t="s">
        <v>841</v>
      </c>
      <c r="H1661" s="1" t="s">
        <v>2</v>
      </c>
      <c r="I1661" s="2">
        <v>46177</v>
      </c>
      <c r="J1661" s="1" t="s">
        <v>224</v>
      </c>
      <c r="K1661" s="1" t="s">
        <v>4860</v>
      </c>
      <c r="L1661" s="2">
        <v>46177.918923611112</v>
      </c>
      <c r="M1661" s="2">
        <v>46177.921329212964</v>
      </c>
    </row>
    <row r="1662" spans="1:13" x14ac:dyDescent="0.35">
      <c r="A1662" s="1" t="s">
        <v>753</v>
      </c>
      <c r="B1662" s="1" t="s">
        <v>13</v>
      </c>
      <c r="C1662" s="1" t="s">
        <v>754</v>
      </c>
      <c r="D1662">
        <v>4.625</v>
      </c>
      <c r="E1662" s="2">
        <v>47999</v>
      </c>
      <c r="F1662" s="1" t="s">
        <v>16</v>
      </c>
      <c r="G1662" s="1" t="s">
        <v>754</v>
      </c>
      <c r="H1662" s="1" t="s">
        <v>2</v>
      </c>
      <c r="I1662" s="2">
        <v>46177</v>
      </c>
      <c r="J1662" s="1" t="s">
        <v>215</v>
      </c>
      <c r="K1662" s="1" t="s">
        <v>5065</v>
      </c>
      <c r="L1662" s="2">
        <v>46177.918923611112</v>
      </c>
      <c r="M1662" s="2">
        <v>46177.921329212964</v>
      </c>
    </row>
    <row r="1663" spans="1:13" x14ac:dyDescent="0.35">
      <c r="A1663" s="1" t="s">
        <v>753</v>
      </c>
      <c r="B1663" s="1" t="s">
        <v>13</v>
      </c>
      <c r="C1663" s="1" t="s">
        <v>754</v>
      </c>
      <c r="D1663">
        <v>4.625</v>
      </c>
      <c r="E1663" s="2">
        <v>47999</v>
      </c>
      <c r="F1663" s="1" t="s">
        <v>16</v>
      </c>
      <c r="G1663" s="1" t="s">
        <v>754</v>
      </c>
      <c r="H1663" s="1" t="s">
        <v>2</v>
      </c>
      <c r="I1663" s="2">
        <v>46177</v>
      </c>
      <c r="J1663" s="1" t="s">
        <v>17</v>
      </c>
      <c r="K1663" s="1" t="s">
        <v>2693</v>
      </c>
      <c r="L1663" s="2">
        <v>46177.92087962963</v>
      </c>
      <c r="M1663" s="2">
        <v>46177.921329212964</v>
      </c>
    </row>
    <row r="1664" spans="1:13" x14ac:dyDescent="0.35">
      <c r="A1664" s="1" t="s">
        <v>753</v>
      </c>
      <c r="B1664" s="1" t="s">
        <v>13</v>
      </c>
      <c r="C1664" s="1" t="s">
        <v>754</v>
      </c>
      <c r="D1664">
        <v>4.625</v>
      </c>
      <c r="E1664" s="2">
        <v>47999</v>
      </c>
      <c r="F1664" s="1" t="s">
        <v>16</v>
      </c>
      <c r="G1664" s="1" t="s">
        <v>754</v>
      </c>
      <c r="H1664" s="1" t="s">
        <v>2</v>
      </c>
      <c r="I1664" s="2">
        <v>46177</v>
      </c>
      <c r="J1664" s="1" t="s">
        <v>224</v>
      </c>
      <c r="K1664" s="1" t="s">
        <v>4966</v>
      </c>
      <c r="L1664" s="2">
        <v>46177.918923611112</v>
      </c>
      <c r="M1664" s="2">
        <v>46177.921329212964</v>
      </c>
    </row>
    <row r="1665" spans="1:13" x14ac:dyDescent="0.35">
      <c r="A1665" s="1" t="s">
        <v>753</v>
      </c>
      <c r="B1665" s="1" t="s">
        <v>13</v>
      </c>
      <c r="C1665" s="1" t="s">
        <v>754</v>
      </c>
      <c r="D1665">
        <v>4.625</v>
      </c>
      <c r="E1665" s="2">
        <v>47999</v>
      </c>
      <c r="F1665" s="1" t="s">
        <v>16</v>
      </c>
      <c r="G1665" s="1" t="s">
        <v>754</v>
      </c>
      <c r="H1665" s="1" t="s">
        <v>2</v>
      </c>
      <c r="I1665" s="2">
        <v>46177</v>
      </c>
      <c r="J1665" s="1" t="s">
        <v>18</v>
      </c>
      <c r="K1665" s="1" t="s">
        <v>2925</v>
      </c>
      <c r="L1665" s="2">
        <v>46177.92087962963</v>
      </c>
      <c r="M1665" s="2">
        <v>46177.921329212964</v>
      </c>
    </row>
    <row r="1666" spans="1:13" x14ac:dyDescent="0.35">
      <c r="A1666" s="1" t="s">
        <v>753</v>
      </c>
      <c r="B1666" s="1" t="s">
        <v>13</v>
      </c>
      <c r="C1666" s="1" t="s">
        <v>754</v>
      </c>
      <c r="D1666">
        <v>4.625</v>
      </c>
      <c r="E1666" s="2">
        <v>47999</v>
      </c>
      <c r="F1666" s="1" t="s">
        <v>16</v>
      </c>
      <c r="G1666" s="1" t="s">
        <v>754</v>
      </c>
      <c r="H1666" s="1" t="s">
        <v>2</v>
      </c>
      <c r="I1666" s="2">
        <v>46177</v>
      </c>
      <c r="J1666" s="1" t="s">
        <v>67</v>
      </c>
      <c r="K1666" s="1" t="s">
        <v>5065</v>
      </c>
      <c r="L1666" s="2">
        <v>46177.918923611112</v>
      </c>
      <c r="M1666" s="2">
        <v>46177.921329212964</v>
      </c>
    </row>
    <row r="1667" spans="1:13" x14ac:dyDescent="0.35">
      <c r="A1667" s="1" t="s">
        <v>753</v>
      </c>
      <c r="B1667" s="1" t="s">
        <v>13</v>
      </c>
      <c r="C1667" s="1" t="s">
        <v>754</v>
      </c>
      <c r="D1667">
        <v>4.625</v>
      </c>
      <c r="E1667" s="2">
        <v>47999</v>
      </c>
      <c r="F1667" s="1" t="s">
        <v>16</v>
      </c>
      <c r="G1667" s="1" t="s">
        <v>754</v>
      </c>
      <c r="H1667" s="1" t="s">
        <v>2</v>
      </c>
      <c r="I1667" s="2">
        <v>46177</v>
      </c>
      <c r="J1667" s="1" t="s">
        <v>214</v>
      </c>
      <c r="K1667" s="1" t="s">
        <v>4966</v>
      </c>
      <c r="L1667" s="2">
        <v>46177.918923611112</v>
      </c>
      <c r="M1667" s="2">
        <v>46177.921329212964</v>
      </c>
    </row>
    <row r="1668" spans="1:13" x14ac:dyDescent="0.35">
      <c r="A1668" s="1" t="s">
        <v>842</v>
      </c>
      <c r="B1668" s="1" t="s">
        <v>13</v>
      </c>
      <c r="C1668" s="1" t="s">
        <v>843</v>
      </c>
      <c r="D1668">
        <v>4.625</v>
      </c>
      <c r="E1668" s="2">
        <v>46553</v>
      </c>
      <c r="F1668" s="1" t="s">
        <v>16</v>
      </c>
      <c r="G1668" s="1" t="s">
        <v>843</v>
      </c>
      <c r="H1668" s="1" t="s">
        <v>2</v>
      </c>
      <c r="I1668" s="2">
        <v>46177</v>
      </c>
      <c r="J1668" s="1" t="s">
        <v>214</v>
      </c>
      <c r="K1668" s="1" t="s">
        <v>4861</v>
      </c>
      <c r="L1668" s="2">
        <v>46177.918923611112</v>
      </c>
      <c r="M1668" s="2">
        <v>46177.921329212964</v>
      </c>
    </row>
    <row r="1669" spans="1:13" x14ac:dyDescent="0.35">
      <c r="A1669" s="1" t="s">
        <v>842</v>
      </c>
      <c r="B1669" s="1" t="s">
        <v>13</v>
      </c>
      <c r="C1669" s="1" t="s">
        <v>843</v>
      </c>
      <c r="D1669">
        <v>4.625</v>
      </c>
      <c r="E1669" s="2">
        <v>46553</v>
      </c>
      <c r="F1669" s="1" t="s">
        <v>16</v>
      </c>
      <c r="G1669" s="1" t="s">
        <v>843</v>
      </c>
      <c r="H1669" s="1" t="s">
        <v>2</v>
      </c>
      <c r="I1669" s="2">
        <v>46177</v>
      </c>
      <c r="J1669" s="1" t="s">
        <v>67</v>
      </c>
      <c r="K1669" s="1" t="s">
        <v>4862</v>
      </c>
      <c r="L1669" s="2">
        <v>46177.918923611112</v>
      </c>
      <c r="M1669" s="2">
        <v>46177.921329212964</v>
      </c>
    </row>
    <row r="1670" spans="1:13" x14ac:dyDescent="0.35">
      <c r="A1670" s="1" t="s">
        <v>842</v>
      </c>
      <c r="B1670" s="1" t="s">
        <v>13</v>
      </c>
      <c r="C1670" s="1" t="s">
        <v>843</v>
      </c>
      <c r="D1670">
        <v>4.625</v>
      </c>
      <c r="E1670" s="2">
        <v>46553</v>
      </c>
      <c r="F1670" s="1" t="s">
        <v>16</v>
      </c>
      <c r="G1670" s="1" t="s">
        <v>843</v>
      </c>
      <c r="H1670" s="1" t="s">
        <v>2</v>
      </c>
      <c r="I1670" s="2">
        <v>46177</v>
      </c>
      <c r="J1670" s="1" t="s">
        <v>18</v>
      </c>
      <c r="K1670" s="1" t="s">
        <v>2427</v>
      </c>
      <c r="L1670" s="2">
        <v>46177.92087962963</v>
      </c>
      <c r="M1670" s="2">
        <v>46177.921329212964</v>
      </c>
    </row>
    <row r="1671" spans="1:13" x14ac:dyDescent="0.35">
      <c r="A1671" s="1" t="s">
        <v>842</v>
      </c>
      <c r="B1671" s="1" t="s">
        <v>13</v>
      </c>
      <c r="C1671" s="1" t="s">
        <v>843</v>
      </c>
      <c r="D1671">
        <v>4.625</v>
      </c>
      <c r="E1671" s="2">
        <v>46553</v>
      </c>
      <c r="F1671" s="1" t="s">
        <v>16</v>
      </c>
      <c r="G1671" s="1" t="s">
        <v>843</v>
      </c>
      <c r="H1671" s="1" t="s">
        <v>2</v>
      </c>
      <c r="I1671" s="2">
        <v>46177</v>
      </c>
      <c r="J1671" s="1" t="s">
        <v>224</v>
      </c>
      <c r="K1671" s="1" t="s">
        <v>4861</v>
      </c>
      <c r="L1671" s="2">
        <v>46177.918923611112</v>
      </c>
      <c r="M1671" s="2">
        <v>46177.921329212964</v>
      </c>
    </row>
    <row r="1672" spans="1:13" x14ac:dyDescent="0.35">
      <c r="A1672" s="1" t="s">
        <v>842</v>
      </c>
      <c r="B1672" s="1" t="s">
        <v>13</v>
      </c>
      <c r="C1672" s="1" t="s">
        <v>843</v>
      </c>
      <c r="D1672">
        <v>4.625</v>
      </c>
      <c r="E1672" s="2">
        <v>46553</v>
      </c>
      <c r="F1672" s="1" t="s">
        <v>16</v>
      </c>
      <c r="G1672" s="1" t="s">
        <v>843</v>
      </c>
      <c r="H1672" s="1" t="s">
        <v>2</v>
      </c>
      <c r="I1672" s="2">
        <v>46177</v>
      </c>
      <c r="J1672" s="1" t="s">
        <v>215</v>
      </c>
      <c r="K1672" s="1" t="s">
        <v>4862</v>
      </c>
      <c r="L1672" s="2">
        <v>46177.918923611112</v>
      </c>
      <c r="M1672" s="2">
        <v>46177.921329212964</v>
      </c>
    </row>
    <row r="1673" spans="1:13" x14ac:dyDescent="0.35">
      <c r="A1673" s="1" t="s">
        <v>842</v>
      </c>
      <c r="B1673" s="1" t="s">
        <v>13</v>
      </c>
      <c r="C1673" s="1" t="s">
        <v>843</v>
      </c>
      <c r="D1673">
        <v>4.625</v>
      </c>
      <c r="E1673" s="2">
        <v>46553</v>
      </c>
      <c r="F1673" s="1" t="s">
        <v>16</v>
      </c>
      <c r="G1673" s="1" t="s">
        <v>843</v>
      </c>
      <c r="H1673" s="1" t="s">
        <v>2</v>
      </c>
      <c r="I1673" s="2">
        <v>46177</v>
      </c>
      <c r="J1673" s="1" t="s">
        <v>17</v>
      </c>
      <c r="K1673" s="1" t="s">
        <v>2584</v>
      </c>
      <c r="L1673" s="2">
        <v>46177.92087962963</v>
      </c>
      <c r="M1673" s="2">
        <v>46177.921329212964</v>
      </c>
    </row>
    <row r="1674" spans="1:13" x14ac:dyDescent="0.35">
      <c r="A1674" s="1" t="s">
        <v>755</v>
      </c>
      <c r="B1674" s="1" t="s">
        <v>13</v>
      </c>
      <c r="C1674" s="1" t="s">
        <v>756</v>
      </c>
      <c r="D1674">
        <v>4.25</v>
      </c>
      <c r="E1674" s="2">
        <v>48029</v>
      </c>
      <c r="F1674" s="1" t="s">
        <v>16</v>
      </c>
      <c r="G1674" s="1" t="s">
        <v>756</v>
      </c>
      <c r="H1674" s="1" t="s">
        <v>2</v>
      </c>
      <c r="I1674" s="2">
        <v>46177</v>
      </c>
      <c r="J1674" s="1" t="s">
        <v>67</v>
      </c>
      <c r="K1674" s="1" t="s">
        <v>4926</v>
      </c>
      <c r="L1674" s="2">
        <v>46177.918923611112</v>
      </c>
      <c r="M1674" s="2">
        <v>46177.921329212964</v>
      </c>
    </row>
    <row r="1675" spans="1:13" x14ac:dyDescent="0.35">
      <c r="A1675" s="1" t="s">
        <v>755</v>
      </c>
      <c r="B1675" s="1" t="s">
        <v>13</v>
      </c>
      <c r="C1675" s="1" t="s">
        <v>756</v>
      </c>
      <c r="D1675">
        <v>4.25</v>
      </c>
      <c r="E1675" s="2">
        <v>48029</v>
      </c>
      <c r="F1675" s="1" t="s">
        <v>16</v>
      </c>
      <c r="G1675" s="1" t="s">
        <v>756</v>
      </c>
      <c r="H1675" s="1" t="s">
        <v>2</v>
      </c>
      <c r="I1675" s="2">
        <v>46177</v>
      </c>
      <c r="J1675" s="1" t="s">
        <v>224</v>
      </c>
      <c r="K1675" s="1" t="s">
        <v>4927</v>
      </c>
      <c r="L1675" s="2">
        <v>46177.918923611112</v>
      </c>
      <c r="M1675" s="2">
        <v>46177.921329212964</v>
      </c>
    </row>
    <row r="1676" spans="1:13" x14ac:dyDescent="0.35">
      <c r="A1676" s="1" t="s">
        <v>755</v>
      </c>
      <c r="B1676" s="1" t="s">
        <v>13</v>
      </c>
      <c r="C1676" s="1" t="s">
        <v>756</v>
      </c>
      <c r="D1676">
        <v>4.25</v>
      </c>
      <c r="E1676" s="2">
        <v>48029</v>
      </c>
      <c r="F1676" s="1" t="s">
        <v>16</v>
      </c>
      <c r="G1676" s="1" t="s">
        <v>756</v>
      </c>
      <c r="H1676" s="1" t="s">
        <v>2</v>
      </c>
      <c r="I1676" s="2">
        <v>46177</v>
      </c>
      <c r="J1676" s="1" t="s">
        <v>214</v>
      </c>
      <c r="K1676" s="1" t="s">
        <v>4927</v>
      </c>
      <c r="L1676" s="2">
        <v>46177.918923611112</v>
      </c>
      <c r="M1676" s="2">
        <v>46177.921329212964</v>
      </c>
    </row>
    <row r="1677" spans="1:13" x14ac:dyDescent="0.35">
      <c r="A1677" s="1" t="s">
        <v>755</v>
      </c>
      <c r="B1677" s="1" t="s">
        <v>13</v>
      </c>
      <c r="C1677" s="1" t="s">
        <v>756</v>
      </c>
      <c r="D1677">
        <v>4.25</v>
      </c>
      <c r="E1677" s="2">
        <v>48029</v>
      </c>
      <c r="F1677" s="1" t="s">
        <v>16</v>
      </c>
      <c r="G1677" s="1" t="s">
        <v>756</v>
      </c>
      <c r="H1677" s="1" t="s">
        <v>2</v>
      </c>
      <c r="I1677" s="2">
        <v>46177</v>
      </c>
      <c r="J1677" s="1" t="s">
        <v>17</v>
      </c>
      <c r="K1677" s="1" t="s">
        <v>2429</v>
      </c>
      <c r="L1677" s="2">
        <v>46177.92087962963</v>
      </c>
      <c r="M1677" s="2">
        <v>46177.921329212964</v>
      </c>
    </row>
    <row r="1678" spans="1:13" x14ac:dyDescent="0.35">
      <c r="A1678" s="1" t="s">
        <v>755</v>
      </c>
      <c r="B1678" s="1" t="s">
        <v>13</v>
      </c>
      <c r="C1678" s="1" t="s">
        <v>756</v>
      </c>
      <c r="D1678">
        <v>4.25</v>
      </c>
      <c r="E1678" s="2">
        <v>48029</v>
      </c>
      <c r="F1678" s="1" t="s">
        <v>16</v>
      </c>
      <c r="G1678" s="1" t="s">
        <v>756</v>
      </c>
      <c r="H1678" s="1" t="s">
        <v>2</v>
      </c>
      <c r="I1678" s="2">
        <v>46177</v>
      </c>
      <c r="J1678" s="1" t="s">
        <v>18</v>
      </c>
      <c r="K1678" s="1" t="s">
        <v>2480</v>
      </c>
      <c r="L1678" s="2">
        <v>46177.92087962963</v>
      </c>
      <c r="M1678" s="2">
        <v>46177.921329212964</v>
      </c>
    </row>
    <row r="1679" spans="1:13" x14ac:dyDescent="0.35">
      <c r="A1679" s="1" t="s">
        <v>755</v>
      </c>
      <c r="B1679" s="1" t="s">
        <v>13</v>
      </c>
      <c r="C1679" s="1" t="s">
        <v>756</v>
      </c>
      <c r="D1679">
        <v>4.25</v>
      </c>
      <c r="E1679" s="2">
        <v>48029</v>
      </c>
      <c r="F1679" s="1" t="s">
        <v>16</v>
      </c>
      <c r="G1679" s="1" t="s">
        <v>756</v>
      </c>
      <c r="H1679" s="1" t="s">
        <v>2</v>
      </c>
      <c r="I1679" s="2">
        <v>46177</v>
      </c>
      <c r="J1679" s="1" t="s">
        <v>215</v>
      </c>
      <c r="K1679" s="1" t="s">
        <v>4926</v>
      </c>
      <c r="L1679" s="2">
        <v>46177.918923611112</v>
      </c>
      <c r="M1679" s="2">
        <v>46177.921329212964</v>
      </c>
    </row>
    <row r="1680" spans="1:13" x14ac:dyDescent="0.35">
      <c r="A1680" s="1" t="s">
        <v>844</v>
      </c>
      <c r="B1680" s="1" t="s">
        <v>13</v>
      </c>
      <c r="C1680" s="1" t="s">
        <v>845</v>
      </c>
      <c r="D1680">
        <v>4.25</v>
      </c>
      <c r="E1680" s="2">
        <v>47299</v>
      </c>
      <c r="F1680" s="1" t="s">
        <v>16</v>
      </c>
      <c r="G1680" s="1" t="s">
        <v>845</v>
      </c>
      <c r="H1680" s="1" t="s">
        <v>2</v>
      </c>
      <c r="I1680" s="2">
        <v>46177</v>
      </c>
      <c r="J1680" s="1" t="s">
        <v>67</v>
      </c>
      <c r="K1680" s="1" t="s">
        <v>4967</v>
      </c>
      <c r="L1680" s="2">
        <v>46177.918923611112</v>
      </c>
      <c r="M1680" s="2">
        <v>46177.921329212964</v>
      </c>
    </row>
    <row r="1681" spans="1:13" x14ac:dyDescent="0.35">
      <c r="A1681" s="1" t="s">
        <v>844</v>
      </c>
      <c r="B1681" s="1" t="s">
        <v>13</v>
      </c>
      <c r="C1681" s="1" t="s">
        <v>845</v>
      </c>
      <c r="D1681">
        <v>4.25</v>
      </c>
      <c r="E1681" s="2">
        <v>47299</v>
      </c>
      <c r="F1681" s="1" t="s">
        <v>16</v>
      </c>
      <c r="G1681" s="1" t="s">
        <v>845</v>
      </c>
      <c r="H1681" s="1" t="s">
        <v>2</v>
      </c>
      <c r="I1681" s="2">
        <v>46177</v>
      </c>
      <c r="J1681" s="1" t="s">
        <v>214</v>
      </c>
      <c r="K1681" s="1" t="s">
        <v>5154</v>
      </c>
      <c r="L1681" s="2">
        <v>46177.918923611112</v>
      </c>
      <c r="M1681" s="2">
        <v>46177.921329212964</v>
      </c>
    </row>
    <row r="1682" spans="1:13" x14ac:dyDescent="0.35">
      <c r="A1682" s="1" t="s">
        <v>844</v>
      </c>
      <c r="B1682" s="1" t="s">
        <v>13</v>
      </c>
      <c r="C1682" s="1" t="s">
        <v>845</v>
      </c>
      <c r="D1682">
        <v>4.25</v>
      </c>
      <c r="E1682" s="2">
        <v>47299</v>
      </c>
      <c r="F1682" s="1" t="s">
        <v>16</v>
      </c>
      <c r="G1682" s="1" t="s">
        <v>845</v>
      </c>
      <c r="H1682" s="1" t="s">
        <v>2</v>
      </c>
      <c r="I1682" s="2">
        <v>46177</v>
      </c>
      <c r="J1682" s="1" t="s">
        <v>215</v>
      </c>
      <c r="K1682" s="1" t="s">
        <v>4967</v>
      </c>
      <c r="L1682" s="2">
        <v>46177.918923611112</v>
      </c>
      <c r="M1682" s="2">
        <v>46177.921329212964</v>
      </c>
    </row>
    <row r="1683" spans="1:13" x14ac:dyDescent="0.35">
      <c r="A1683" s="1" t="s">
        <v>844</v>
      </c>
      <c r="B1683" s="1" t="s">
        <v>13</v>
      </c>
      <c r="C1683" s="1" t="s">
        <v>845</v>
      </c>
      <c r="D1683">
        <v>4.25</v>
      </c>
      <c r="E1683" s="2">
        <v>47299</v>
      </c>
      <c r="F1683" s="1" t="s">
        <v>16</v>
      </c>
      <c r="G1683" s="1" t="s">
        <v>845</v>
      </c>
      <c r="H1683" s="1" t="s">
        <v>2</v>
      </c>
      <c r="I1683" s="2">
        <v>46177</v>
      </c>
      <c r="J1683" s="1" t="s">
        <v>17</v>
      </c>
      <c r="K1683" s="1" t="s">
        <v>2958</v>
      </c>
      <c r="L1683" s="2">
        <v>46177.92087962963</v>
      </c>
      <c r="M1683" s="2">
        <v>46177.921329212964</v>
      </c>
    </row>
    <row r="1684" spans="1:13" x14ac:dyDescent="0.35">
      <c r="A1684" s="1" t="s">
        <v>844</v>
      </c>
      <c r="B1684" s="1" t="s">
        <v>13</v>
      </c>
      <c r="C1684" s="1" t="s">
        <v>845</v>
      </c>
      <c r="D1684">
        <v>4.25</v>
      </c>
      <c r="E1684" s="2">
        <v>47299</v>
      </c>
      <c r="F1684" s="1" t="s">
        <v>16</v>
      </c>
      <c r="G1684" s="1" t="s">
        <v>845</v>
      </c>
      <c r="H1684" s="1" t="s">
        <v>2</v>
      </c>
      <c r="I1684" s="2">
        <v>46177</v>
      </c>
      <c r="J1684" s="1" t="s">
        <v>18</v>
      </c>
      <c r="K1684" s="1" t="s">
        <v>2504</v>
      </c>
      <c r="L1684" s="2">
        <v>46177.92087962963</v>
      </c>
      <c r="M1684" s="2">
        <v>46177.921329212964</v>
      </c>
    </row>
    <row r="1685" spans="1:13" x14ac:dyDescent="0.35">
      <c r="A1685" s="1" t="s">
        <v>844</v>
      </c>
      <c r="B1685" s="1" t="s">
        <v>13</v>
      </c>
      <c r="C1685" s="1" t="s">
        <v>845</v>
      </c>
      <c r="D1685">
        <v>4.25</v>
      </c>
      <c r="E1685" s="2">
        <v>47299</v>
      </c>
      <c r="F1685" s="1" t="s">
        <v>16</v>
      </c>
      <c r="G1685" s="1" t="s">
        <v>845</v>
      </c>
      <c r="H1685" s="1" t="s">
        <v>2</v>
      </c>
      <c r="I1685" s="2">
        <v>46177</v>
      </c>
      <c r="J1685" s="1" t="s">
        <v>224</v>
      </c>
      <c r="K1685" s="1" t="s">
        <v>5154</v>
      </c>
      <c r="L1685" s="2">
        <v>46177.918923611112</v>
      </c>
      <c r="M1685" s="2">
        <v>46177.921329212964</v>
      </c>
    </row>
    <row r="1686" spans="1:13" x14ac:dyDescent="0.35">
      <c r="A1686" s="1" t="s">
        <v>757</v>
      </c>
      <c r="B1686" s="1" t="s">
        <v>13</v>
      </c>
      <c r="C1686" s="1" t="s">
        <v>758</v>
      </c>
      <c r="D1686">
        <v>4.625</v>
      </c>
      <c r="E1686" s="2">
        <v>46203</v>
      </c>
      <c r="F1686" s="1" t="s">
        <v>16</v>
      </c>
      <c r="G1686" s="1" t="s">
        <v>758</v>
      </c>
      <c r="H1686" s="1" t="s">
        <v>2</v>
      </c>
      <c r="I1686" s="2">
        <v>46177</v>
      </c>
      <c r="J1686" s="1" t="s">
        <v>214</v>
      </c>
      <c r="K1686" s="1" t="s">
        <v>4928</v>
      </c>
      <c r="L1686" s="2">
        <v>46177.918923611112</v>
      </c>
      <c r="M1686" s="2">
        <v>46177.921329212964</v>
      </c>
    </row>
    <row r="1687" spans="1:13" x14ac:dyDescent="0.35">
      <c r="A1687" s="1" t="s">
        <v>757</v>
      </c>
      <c r="B1687" s="1" t="s">
        <v>13</v>
      </c>
      <c r="C1687" s="1" t="s">
        <v>758</v>
      </c>
      <c r="D1687">
        <v>4.625</v>
      </c>
      <c r="E1687" s="2">
        <v>46203</v>
      </c>
      <c r="F1687" s="1" t="s">
        <v>16</v>
      </c>
      <c r="G1687" s="1" t="s">
        <v>758</v>
      </c>
      <c r="H1687" s="1" t="s">
        <v>2</v>
      </c>
      <c r="I1687" s="2">
        <v>46177</v>
      </c>
      <c r="J1687" s="1" t="s">
        <v>18</v>
      </c>
      <c r="K1687" s="1" t="s">
        <v>2442</v>
      </c>
      <c r="L1687" s="2">
        <v>46177.92087962963</v>
      </c>
      <c r="M1687" s="2">
        <v>46177.921329212964</v>
      </c>
    </row>
    <row r="1688" spans="1:13" x14ac:dyDescent="0.35">
      <c r="A1688" s="1" t="s">
        <v>757</v>
      </c>
      <c r="B1688" s="1" t="s">
        <v>13</v>
      </c>
      <c r="C1688" s="1" t="s">
        <v>758</v>
      </c>
      <c r="D1688">
        <v>4.625</v>
      </c>
      <c r="E1688" s="2">
        <v>46203</v>
      </c>
      <c r="F1688" s="1" t="s">
        <v>16</v>
      </c>
      <c r="G1688" s="1" t="s">
        <v>758</v>
      </c>
      <c r="H1688" s="1" t="s">
        <v>2</v>
      </c>
      <c r="I1688" s="2">
        <v>46177</v>
      </c>
      <c r="J1688" s="1" t="s">
        <v>17</v>
      </c>
      <c r="K1688" s="1" t="s">
        <v>2690</v>
      </c>
      <c r="L1688" s="2">
        <v>46177.92087962963</v>
      </c>
      <c r="M1688" s="2">
        <v>46177.921329212964</v>
      </c>
    </row>
    <row r="1689" spans="1:13" x14ac:dyDescent="0.35">
      <c r="A1689" s="1" t="s">
        <v>757</v>
      </c>
      <c r="B1689" s="1" t="s">
        <v>13</v>
      </c>
      <c r="C1689" s="1" t="s">
        <v>758</v>
      </c>
      <c r="D1689">
        <v>4.625</v>
      </c>
      <c r="E1689" s="2">
        <v>46203</v>
      </c>
      <c r="F1689" s="1" t="s">
        <v>16</v>
      </c>
      <c r="G1689" s="1" t="s">
        <v>758</v>
      </c>
      <c r="H1689" s="1" t="s">
        <v>2</v>
      </c>
      <c r="I1689" s="2">
        <v>46177</v>
      </c>
      <c r="J1689" s="1" t="s">
        <v>224</v>
      </c>
      <c r="K1689" s="1" t="s">
        <v>4928</v>
      </c>
      <c r="L1689" s="2">
        <v>46177.918923611112</v>
      </c>
      <c r="M1689" s="2">
        <v>46177.921329212964</v>
      </c>
    </row>
    <row r="1690" spans="1:13" x14ac:dyDescent="0.35">
      <c r="A1690" s="1" t="s">
        <v>757</v>
      </c>
      <c r="B1690" s="1" t="s">
        <v>13</v>
      </c>
      <c r="C1690" s="1" t="s">
        <v>758</v>
      </c>
      <c r="D1690">
        <v>4.625</v>
      </c>
      <c r="E1690" s="2">
        <v>46203</v>
      </c>
      <c r="F1690" s="1" t="s">
        <v>16</v>
      </c>
      <c r="G1690" s="1" t="s">
        <v>758</v>
      </c>
      <c r="H1690" s="1" t="s">
        <v>2</v>
      </c>
      <c r="I1690" s="2">
        <v>46177</v>
      </c>
      <c r="J1690" s="1" t="s">
        <v>215</v>
      </c>
      <c r="K1690" s="1" t="s">
        <v>4863</v>
      </c>
      <c r="L1690" s="2">
        <v>46177.918923611112</v>
      </c>
      <c r="M1690" s="2">
        <v>46177.921329212964</v>
      </c>
    </row>
    <row r="1691" spans="1:13" x14ac:dyDescent="0.35">
      <c r="A1691" s="1" t="s">
        <v>757</v>
      </c>
      <c r="B1691" s="1" t="s">
        <v>13</v>
      </c>
      <c r="C1691" s="1" t="s">
        <v>758</v>
      </c>
      <c r="D1691">
        <v>4.625</v>
      </c>
      <c r="E1691" s="2">
        <v>46203</v>
      </c>
      <c r="F1691" s="1" t="s">
        <v>16</v>
      </c>
      <c r="G1691" s="1" t="s">
        <v>758</v>
      </c>
      <c r="H1691" s="1" t="s">
        <v>2</v>
      </c>
      <c r="I1691" s="2">
        <v>46177</v>
      </c>
      <c r="J1691" s="1" t="s">
        <v>67</v>
      </c>
      <c r="K1691" s="1" t="s">
        <v>4863</v>
      </c>
      <c r="L1691" s="2">
        <v>46177.918923611112</v>
      </c>
      <c r="M1691" s="2">
        <v>46177.921329212964</v>
      </c>
    </row>
    <row r="1692" spans="1:13" x14ac:dyDescent="0.35">
      <c r="A1692" s="1" t="s">
        <v>759</v>
      </c>
      <c r="B1692" s="1" t="s">
        <v>13</v>
      </c>
      <c r="C1692" s="1" t="s">
        <v>760</v>
      </c>
      <c r="D1692">
        <v>4.375</v>
      </c>
      <c r="E1692" s="2">
        <v>46583</v>
      </c>
      <c r="F1692" s="1" t="s">
        <v>16</v>
      </c>
      <c r="G1692" s="1" t="s">
        <v>760</v>
      </c>
      <c r="H1692" s="1" t="s">
        <v>2</v>
      </c>
      <c r="I1692" s="2">
        <v>46177</v>
      </c>
      <c r="J1692" s="1" t="s">
        <v>17</v>
      </c>
      <c r="K1692" s="1" t="s">
        <v>2607</v>
      </c>
      <c r="L1692" s="2">
        <v>46177.92087962963</v>
      </c>
      <c r="M1692" s="2">
        <v>46177.921329212964</v>
      </c>
    </row>
    <row r="1693" spans="1:13" x14ac:dyDescent="0.35">
      <c r="A1693" s="1" t="s">
        <v>759</v>
      </c>
      <c r="B1693" s="1" t="s">
        <v>13</v>
      </c>
      <c r="C1693" s="1" t="s">
        <v>760</v>
      </c>
      <c r="D1693">
        <v>4.375</v>
      </c>
      <c r="E1693" s="2">
        <v>46583</v>
      </c>
      <c r="F1693" s="1" t="s">
        <v>16</v>
      </c>
      <c r="G1693" s="1" t="s">
        <v>760</v>
      </c>
      <c r="H1693" s="1" t="s">
        <v>2</v>
      </c>
      <c r="I1693" s="2">
        <v>46177</v>
      </c>
      <c r="J1693" s="1" t="s">
        <v>214</v>
      </c>
      <c r="K1693" s="1" t="s">
        <v>5176</v>
      </c>
      <c r="L1693" s="2">
        <v>46177.918923611112</v>
      </c>
      <c r="M1693" s="2">
        <v>46177.921329212964</v>
      </c>
    </row>
    <row r="1694" spans="1:13" x14ac:dyDescent="0.35">
      <c r="A1694" s="1" t="s">
        <v>759</v>
      </c>
      <c r="B1694" s="1" t="s">
        <v>13</v>
      </c>
      <c r="C1694" s="1" t="s">
        <v>760</v>
      </c>
      <c r="D1694">
        <v>4.375</v>
      </c>
      <c r="E1694" s="2">
        <v>46583</v>
      </c>
      <c r="F1694" s="1" t="s">
        <v>16</v>
      </c>
      <c r="G1694" s="1" t="s">
        <v>760</v>
      </c>
      <c r="H1694" s="1" t="s">
        <v>2</v>
      </c>
      <c r="I1694" s="2">
        <v>46177</v>
      </c>
      <c r="J1694" s="1" t="s">
        <v>18</v>
      </c>
      <c r="K1694" s="1" t="s">
        <v>2912</v>
      </c>
      <c r="L1694" s="2">
        <v>46177.92087962963</v>
      </c>
      <c r="M1694" s="2">
        <v>46177.921329212964</v>
      </c>
    </row>
    <row r="1695" spans="1:13" x14ac:dyDescent="0.35">
      <c r="A1695" s="1" t="s">
        <v>759</v>
      </c>
      <c r="B1695" s="1" t="s">
        <v>13</v>
      </c>
      <c r="C1695" s="1" t="s">
        <v>760</v>
      </c>
      <c r="D1695">
        <v>4.375</v>
      </c>
      <c r="E1695" s="2">
        <v>46583</v>
      </c>
      <c r="F1695" s="1" t="s">
        <v>16</v>
      </c>
      <c r="G1695" s="1" t="s">
        <v>760</v>
      </c>
      <c r="H1695" s="1" t="s">
        <v>2</v>
      </c>
      <c r="I1695" s="2">
        <v>46177</v>
      </c>
      <c r="J1695" s="1" t="s">
        <v>67</v>
      </c>
      <c r="K1695" s="1" t="s">
        <v>5155</v>
      </c>
      <c r="L1695" s="2">
        <v>46177.918923611112</v>
      </c>
      <c r="M1695" s="2">
        <v>46177.921329212964</v>
      </c>
    </row>
    <row r="1696" spans="1:13" x14ac:dyDescent="0.35">
      <c r="A1696" s="1" t="s">
        <v>759</v>
      </c>
      <c r="B1696" s="1" t="s">
        <v>13</v>
      </c>
      <c r="C1696" s="1" t="s">
        <v>760</v>
      </c>
      <c r="D1696">
        <v>4.375</v>
      </c>
      <c r="E1696" s="2">
        <v>46583</v>
      </c>
      <c r="F1696" s="1" t="s">
        <v>16</v>
      </c>
      <c r="G1696" s="1" t="s">
        <v>760</v>
      </c>
      <c r="H1696" s="1" t="s">
        <v>2</v>
      </c>
      <c r="I1696" s="2">
        <v>46177</v>
      </c>
      <c r="J1696" s="1" t="s">
        <v>224</v>
      </c>
      <c r="K1696" s="1" t="s">
        <v>5176</v>
      </c>
      <c r="L1696" s="2">
        <v>46177.918923611112</v>
      </c>
      <c r="M1696" s="2">
        <v>46177.921329212964</v>
      </c>
    </row>
    <row r="1697" spans="1:13" x14ac:dyDescent="0.35">
      <c r="A1697" s="1" t="s">
        <v>759</v>
      </c>
      <c r="B1697" s="1" t="s">
        <v>13</v>
      </c>
      <c r="C1697" s="1" t="s">
        <v>760</v>
      </c>
      <c r="D1697">
        <v>4.375</v>
      </c>
      <c r="E1697" s="2">
        <v>46583</v>
      </c>
      <c r="F1697" s="1" t="s">
        <v>16</v>
      </c>
      <c r="G1697" s="1" t="s">
        <v>760</v>
      </c>
      <c r="H1697" s="1" t="s">
        <v>2</v>
      </c>
      <c r="I1697" s="2">
        <v>46177</v>
      </c>
      <c r="J1697" s="1" t="s">
        <v>215</v>
      </c>
      <c r="K1697" s="1" t="s">
        <v>5155</v>
      </c>
      <c r="L1697" s="2">
        <v>46177.918923611112</v>
      </c>
      <c r="M1697" s="2">
        <v>46177.921329212964</v>
      </c>
    </row>
    <row r="1698" spans="1:13" x14ac:dyDescent="0.35">
      <c r="A1698" s="1" t="s">
        <v>781</v>
      </c>
      <c r="B1698" s="1" t="s">
        <v>13</v>
      </c>
      <c r="C1698" s="1" t="s">
        <v>782</v>
      </c>
      <c r="D1698">
        <v>4.375</v>
      </c>
      <c r="E1698" s="2">
        <v>46234</v>
      </c>
      <c r="F1698" s="1" t="s">
        <v>16</v>
      </c>
      <c r="G1698" s="1" t="s">
        <v>782</v>
      </c>
      <c r="H1698" s="1" t="s">
        <v>2</v>
      </c>
      <c r="I1698" s="2">
        <v>46177</v>
      </c>
      <c r="J1698" s="1" t="s">
        <v>214</v>
      </c>
      <c r="K1698" s="1" t="s">
        <v>4929</v>
      </c>
      <c r="L1698" s="2">
        <v>46177.918923611112</v>
      </c>
      <c r="M1698" s="2">
        <v>46177.921329212964</v>
      </c>
    </row>
    <row r="1699" spans="1:13" x14ac:dyDescent="0.35">
      <c r="A1699" s="1" t="s">
        <v>781</v>
      </c>
      <c r="B1699" s="1" t="s">
        <v>13</v>
      </c>
      <c r="C1699" s="1" t="s">
        <v>782</v>
      </c>
      <c r="D1699">
        <v>4.375</v>
      </c>
      <c r="E1699" s="2">
        <v>46234</v>
      </c>
      <c r="F1699" s="1" t="s">
        <v>16</v>
      </c>
      <c r="G1699" s="1" t="s">
        <v>782</v>
      </c>
      <c r="H1699" s="1" t="s">
        <v>2</v>
      </c>
      <c r="I1699" s="2">
        <v>46177</v>
      </c>
      <c r="J1699" s="1" t="s">
        <v>224</v>
      </c>
      <c r="K1699" s="1" t="s">
        <v>4929</v>
      </c>
      <c r="L1699" s="2">
        <v>46177.918923611112</v>
      </c>
      <c r="M1699" s="2">
        <v>46177.921329212964</v>
      </c>
    </row>
    <row r="1700" spans="1:13" x14ac:dyDescent="0.35">
      <c r="A1700" s="1" t="s">
        <v>781</v>
      </c>
      <c r="B1700" s="1" t="s">
        <v>13</v>
      </c>
      <c r="C1700" s="1" t="s">
        <v>782</v>
      </c>
      <c r="D1700">
        <v>4.375</v>
      </c>
      <c r="E1700" s="2">
        <v>46234</v>
      </c>
      <c r="F1700" s="1" t="s">
        <v>16</v>
      </c>
      <c r="G1700" s="1" t="s">
        <v>782</v>
      </c>
      <c r="H1700" s="1" t="s">
        <v>2</v>
      </c>
      <c r="I1700" s="2">
        <v>46177</v>
      </c>
      <c r="J1700" s="1" t="s">
        <v>215</v>
      </c>
      <c r="K1700" s="1" t="s">
        <v>4968</v>
      </c>
      <c r="L1700" s="2">
        <v>46177.918923611112</v>
      </c>
      <c r="M1700" s="2">
        <v>46177.921329212964</v>
      </c>
    </row>
    <row r="1701" spans="1:13" x14ac:dyDescent="0.35">
      <c r="A1701" s="1" t="s">
        <v>781</v>
      </c>
      <c r="B1701" s="1" t="s">
        <v>13</v>
      </c>
      <c r="C1701" s="1" t="s">
        <v>782</v>
      </c>
      <c r="D1701">
        <v>4.375</v>
      </c>
      <c r="E1701" s="2">
        <v>46234</v>
      </c>
      <c r="F1701" s="1" t="s">
        <v>16</v>
      </c>
      <c r="G1701" s="1" t="s">
        <v>782</v>
      </c>
      <c r="H1701" s="1" t="s">
        <v>2</v>
      </c>
      <c r="I1701" s="2">
        <v>46177</v>
      </c>
      <c r="J1701" s="1" t="s">
        <v>67</v>
      </c>
      <c r="K1701" s="1" t="s">
        <v>4968</v>
      </c>
      <c r="L1701" s="2">
        <v>46177.918923611112</v>
      </c>
      <c r="M1701" s="2">
        <v>46177.921329212964</v>
      </c>
    </row>
    <row r="1702" spans="1:13" x14ac:dyDescent="0.35">
      <c r="A1702" s="1" t="s">
        <v>781</v>
      </c>
      <c r="B1702" s="1" t="s">
        <v>13</v>
      </c>
      <c r="C1702" s="1" t="s">
        <v>782</v>
      </c>
      <c r="D1702">
        <v>4.375</v>
      </c>
      <c r="E1702" s="2">
        <v>46234</v>
      </c>
      <c r="F1702" s="1" t="s">
        <v>16</v>
      </c>
      <c r="G1702" s="1" t="s">
        <v>782</v>
      </c>
      <c r="H1702" s="1" t="s">
        <v>2</v>
      </c>
      <c r="I1702" s="2">
        <v>46177</v>
      </c>
      <c r="J1702" s="1" t="s">
        <v>17</v>
      </c>
      <c r="K1702" s="1" t="s">
        <v>2697</v>
      </c>
      <c r="L1702" s="2">
        <v>46177.92087962963</v>
      </c>
      <c r="M1702" s="2">
        <v>46177.921329212964</v>
      </c>
    </row>
    <row r="1703" spans="1:13" x14ac:dyDescent="0.35">
      <c r="A1703" s="1" t="s">
        <v>781</v>
      </c>
      <c r="B1703" s="1" t="s">
        <v>13</v>
      </c>
      <c r="C1703" s="1" t="s">
        <v>782</v>
      </c>
      <c r="D1703">
        <v>4.375</v>
      </c>
      <c r="E1703" s="2">
        <v>46234</v>
      </c>
      <c r="F1703" s="1" t="s">
        <v>16</v>
      </c>
      <c r="G1703" s="1" t="s">
        <v>782</v>
      </c>
      <c r="H1703" s="1" t="s">
        <v>2</v>
      </c>
      <c r="I1703" s="2">
        <v>46177</v>
      </c>
      <c r="J1703" s="1" t="s">
        <v>18</v>
      </c>
      <c r="K1703" s="1" t="s">
        <v>2522</v>
      </c>
      <c r="L1703" s="2">
        <v>46177.92087962963</v>
      </c>
      <c r="M1703" s="2">
        <v>46177.921329212964</v>
      </c>
    </row>
    <row r="1704" spans="1:13" x14ac:dyDescent="0.35">
      <c r="A1704" s="1" t="s">
        <v>829</v>
      </c>
      <c r="B1704" s="1" t="s">
        <v>13</v>
      </c>
      <c r="C1704" s="1" t="s">
        <v>830</v>
      </c>
      <c r="D1704">
        <v>4</v>
      </c>
      <c r="E1704" s="2">
        <v>47330</v>
      </c>
      <c r="F1704" s="1" t="s">
        <v>16</v>
      </c>
      <c r="G1704" s="1" t="s">
        <v>830</v>
      </c>
      <c r="H1704" s="1" t="s">
        <v>2</v>
      </c>
      <c r="I1704" s="2">
        <v>46177</v>
      </c>
      <c r="J1704" s="1" t="s">
        <v>17</v>
      </c>
      <c r="K1704" s="1" t="s">
        <v>2323</v>
      </c>
      <c r="L1704" s="2">
        <v>46177.92087962963</v>
      </c>
      <c r="M1704" s="2">
        <v>46177.921329212964</v>
      </c>
    </row>
    <row r="1705" spans="1:13" x14ac:dyDescent="0.35">
      <c r="A1705" s="1" t="s">
        <v>829</v>
      </c>
      <c r="B1705" s="1" t="s">
        <v>13</v>
      </c>
      <c r="C1705" s="1" t="s">
        <v>830</v>
      </c>
      <c r="D1705">
        <v>4</v>
      </c>
      <c r="E1705" s="2">
        <v>47330</v>
      </c>
      <c r="F1705" s="1" t="s">
        <v>16</v>
      </c>
      <c r="G1705" s="1" t="s">
        <v>830</v>
      </c>
      <c r="H1705" s="1" t="s">
        <v>2</v>
      </c>
      <c r="I1705" s="2">
        <v>46177</v>
      </c>
      <c r="J1705" s="1" t="s">
        <v>67</v>
      </c>
      <c r="K1705" s="1" t="s">
        <v>5156</v>
      </c>
      <c r="L1705" s="2">
        <v>46177.918923611112</v>
      </c>
      <c r="M1705" s="2">
        <v>46177.921329212964</v>
      </c>
    </row>
    <row r="1706" spans="1:13" x14ac:dyDescent="0.35">
      <c r="A1706" s="1" t="s">
        <v>829</v>
      </c>
      <c r="B1706" s="1" t="s">
        <v>13</v>
      </c>
      <c r="C1706" s="1" t="s">
        <v>830</v>
      </c>
      <c r="D1706">
        <v>4</v>
      </c>
      <c r="E1706" s="2">
        <v>47330</v>
      </c>
      <c r="F1706" s="1" t="s">
        <v>16</v>
      </c>
      <c r="G1706" s="1" t="s">
        <v>830</v>
      </c>
      <c r="H1706" s="1" t="s">
        <v>2</v>
      </c>
      <c r="I1706" s="2">
        <v>46177</v>
      </c>
      <c r="J1706" s="1" t="s">
        <v>18</v>
      </c>
      <c r="K1706" s="1" t="s">
        <v>2628</v>
      </c>
      <c r="L1706" s="2">
        <v>46177.92087962963</v>
      </c>
      <c r="M1706" s="2">
        <v>46177.921329212964</v>
      </c>
    </row>
    <row r="1707" spans="1:13" x14ac:dyDescent="0.35">
      <c r="A1707" s="1" t="s">
        <v>829</v>
      </c>
      <c r="B1707" s="1" t="s">
        <v>13</v>
      </c>
      <c r="C1707" s="1" t="s">
        <v>830</v>
      </c>
      <c r="D1707">
        <v>4</v>
      </c>
      <c r="E1707" s="2">
        <v>47330</v>
      </c>
      <c r="F1707" s="1" t="s">
        <v>16</v>
      </c>
      <c r="G1707" s="1" t="s">
        <v>830</v>
      </c>
      <c r="H1707" s="1" t="s">
        <v>2</v>
      </c>
      <c r="I1707" s="2">
        <v>46177</v>
      </c>
      <c r="J1707" s="1" t="s">
        <v>214</v>
      </c>
      <c r="K1707" s="1" t="s">
        <v>5192</v>
      </c>
      <c r="L1707" s="2">
        <v>46177.918923611112</v>
      </c>
      <c r="M1707" s="2">
        <v>46177.921329212964</v>
      </c>
    </row>
    <row r="1708" spans="1:13" x14ac:dyDescent="0.35">
      <c r="A1708" s="1" t="s">
        <v>829</v>
      </c>
      <c r="B1708" s="1" t="s">
        <v>13</v>
      </c>
      <c r="C1708" s="1" t="s">
        <v>830</v>
      </c>
      <c r="D1708">
        <v>4</v>
      </c>
      <c r="E1708" s="2">
        <v>47330</v>
      </c>
      <c r="F1708" s="1" t="s">
        <v>16</v>
      </c>
      <c r="G1708" s="1" t="s">
        <v>830</v>
      </c>
      <c r="H1708" s="1" t="s">
        <v>2</v>
      </c>
      <c r="I1708" s="2">
        <v>46177</v>
      </c>
      <c r="J1708" s="1" t="s">
        <v>215</v>
      </c>
      <c r="K1708" s="1" t="s">
        <v>5156</v>
      </c>
      <c r="L1708" s="2">
        <v>46177.918923611112</v>
      </c>
      <c r="M1708" s="2">
        <v>46177.921329212964</v>
      </c>
    </row>
    <row r="1709" spans="1:13" x14ac:dyDescent="0.35">
      <c r="A1709" s="1" t="s">
        <v>829</v>
      </c>
      <c r="B1709" s="1" t="s">
        <v>13</v>
      </c>
      <c r="C1709" s="1" t="s">
        <v>830</v>
      </c>
      <c r="D1709">
        <v>4</v>
      </c>
      <c r="E1709" s="2">
        <v>47330</v>
      </c>
      <c r="F1709" s="1" t="s">
        <v>16</v>
      </c>
      <c r="G1709" s="1" t="s">
        <v>830</v>
      </c>
      <c r="H1709" s="1" t="s">
        <v>2</v>
      </c>
      <c r="I1709" s="2">
        <v>46177</v>
      </c>
      <c r="J1709" s="1" t="s">
        <v>224</v>
      </c>
      <c r="K1709" s="1" t="s">
        <v>5192</v>
      </c>
      <c r="L1709" s="2">
        <v>46177.918923611112</v>
      </c>
      <c r="M1709" s="2">
        <v>46177.921329212964</v>
      </c>
    </row>
    <row r="1710" spans="1:13" x14ac:dyDescent="0.35">
      <c r="A1710" s="1" t="s">
        <v>846</v>
      </c>
      <c r="B1710" s="1" t="s">
        <v>13</v>
      </c>
      <c r="C1710" s="1" t="s">
        <v>847</v>
      </c>
      <c r="D1710">
        <v>4.125</v>
      </c>
      <c r="E1710" s="2">
        <v>48060</v>
      </c>
      <c r="F1710" s="1" t="s">
        <v>16</v>
      </c>
      <c r="G1710" s="1" t="s">
        <v>847</v>
      </c>
      <c r="H1710" s="1" t="s">
        <v>2</v>
      </c>
      <c r="I1710" s="2">
        <v>46177</v>
      </c>
      <c r="J1710" s="1" t="s">
        <v>214</v>
      </c>
      <c r="K1710" s="1" t="s">
        <v>4930</v>
      </c>
      <c r="L1710" s="2">
        <v>46177.918923611112</v>
      </c>
      <c r="M1710" s="2">
        <v>46177.921329212964</v>
      </c>
    </row>
    <row r="1711" spans="1:13" x14ac:dyDescent="0.35">
      <c r="A1711" s="1" t="s">
        <v>846</v>
      </c>
      <c r="B1711" s="1" t="s">
        <v>13</v>
      </c>
      <c r="C1711" s="1" t="s">
        <v>847</v>
      </c>
      <c r="D1711">
        <v>4.125</v>
      </c>
      <c r="E1711" s="2">
        <v>48060</v>
      </c>
      <c r="F1711" s="1" t="s">
        <v>16</v>
      </c>
      <c r="G1711" s="1" t="s">
        <v>847</v>
      </c>
      <c r="H1711" s="1" t="s">
        <v>2</v>
      </c>
      <c r="I1711" s="2">
        <v>46177</v>
      </c>
      <c r="J1711" s="1" t="s">
        <v>215</v>
      </c>
      <c r="K1711" s="1" t="s">
        <v>4864</v>
      </c>
      <c r="L1711" s="2">
        <v>46177.918923611112</v>
      </c>
      <c r="M1711" s="2">
        <v>46177.921329212964</v>
      </c>
    </row>
    <row r="1712" spans="1:13" x14ac:dyDescent="0.35">
      <c r="A1712" s="1" t="s">
        <v>846</v>
      </c>
      <c r="B1712" s="1" t="s">
        <v>13</v>
      </c>
      <c r="C1712" s="1" t="s">
        <v>847</v>
      </c>
      <c r="D1712">
        <v>4.125</v>
      </c>
      <c r="E1712" s="2">
        <v>48060</v>
      </c>
      <c r="F1712" s="1" t="s">
        <v>16</v>
      </c>
      <c r="G1712" s="1" t="s">
        <v>847</v>
      </c>
      <c r="H1712" s="1" t="s">
        <v>2</v>
      </c>
      <c r="I1712" s="2">
        <v>46177</v>
      </c>
      <c r="J1712" s="1" t="s">
        <v>224</v>
      </c>
      <c r="K1712" s="1" t="s">
        <v>4930</v>
      </c>
      <c r="L1712" s="2">
        <v>46177.918923611112</v>
      </c>
      <c r="M1712" s="2">
        <v>46177.921329212964</v>
      </c>
    </row>
    <row r="1713" spans="1:13" x14ac:dyDescent="0.35">
      <c r="A1713" s="1" t="s">
        <v>846</v>
      </c>
      <c r="B1713" s="1" t="s">
        <v>13</v>
      </c>
      <c r="C1713" s="1" t="s">
        <v>847</v>
      </c>
      <c r="D1713">
        <v>4.125</v>
      </c>
      <c r="E1713" s="2">
        <v>48060</v>
      </c>
      <c r="F1713" s="1" t="s">
        <v>16</v>
      </c>
      <c r="G1713" s="1" t="s">
        <v>847</v>
      </c>
      <c r="H1713" s="1" t="s">
        <v>2</v>
      </c>
      <c r="I1713" s="2">
        <v>46177</v>
      </c>
      <c r="J1713" s="1" t="s">
        <v>17</v>
      </c>
      <c r="K1713" s="1" t="s">
        <v>2558</v>
      </c>
      <c r="L1713" s="2">
        <v>46177.92087962963</v>
      </c>
      <c r="M1713" s="2">
        <v>46177.921329212964</v>
      </c>
    </row>
    <row r="1714" spans="1:13" x14ac:dyDescent="0.35">
      <c r="A1714" s="1" t="s">
        <v>846</v>
      </c>
      <c r="B1714" s="1" t="s">
        <v>13</v>
      </c>
      <c r="C1714" s="1" t="s">
        <v>847</v>
      </c>
      <c r="D1714">
        <v>4.125</v>
      </c>
      <c r="E1714" s="2">
        <v>48060</v>
      </c>
      <c r="F1714" s="1" t="s">
        <v>16</v>
      </c>
      <c r="G1714" s="1" t="s">
        <v>847</v>
      </c>
      <c r="H1714" s="1" t="s">
        <v>2</v>
      </c>
      <c r="I1714" s="2">
        <v>46177</v>
      </c>
      <c r="J1714" s="1" t="s">
        <v>67</v>
      </c>
      <c r="K1714" s="1" t="s">
        <v>4864</v>
      </c>
      <c r="L1714" s="2">
        <v>46177.918923611112</v>
      </c>
      <c r="M1714" s="2">
        <v>46177.921329212964</v>
      </c>
    </row>
    <row r="1715" spans="1:13" x14ac:dyDescent="0.35">
      <c r="A1715" s="1" t="s">
        <v>846</v>
      </c>
      <c r="B1715" s="1" t="s">
        <v>13</v>
      </c>
      <c r="C1715" s="1" t="s">
        <v>847</v>
      </c>
      <c r="D1715">
        <v>4.125</v>
      </c>
      <c r="E1715" s="2">
        <v>48060</v>
      </c>
      <c r="F1715" s="1" t="s">
        <v>16</v>
      </c>
      <c r="G1715" s="1" t="s">
        <v>847</v>
      </c>
      <c r="H1715" s="1" t="s">
        <v>2</v>
      </c>
      <c r="I1715" s="2">
        <v>46177</v>
      </c>
      <c r="J1715" s="1" t="s">
        <v>18</v>
      </c>
      <c r="K1715" s="1" t="s">
        <v>2493</v>
      </c>
      <c r="L1715" s="2">
        <v>46177.92087962963</v>
      </c>
      <c r="M1715" s="2">
        <v>46177.921329212964</v>
      </c>
    </row>
    <row r="1716" spans="1:13" x14ac:dyDescent="0.35">
      <c r="A1716" s="1" t="s">
        <v>783</v>
      </c>
      <c r="B1716" s="1" t="s">
        <v>13</v>
      </c>
      <c r="C1716" s="1" t="s">
        <v>784</v>
      </c>
      <c r="D1716">
        <v>1.875</v>
      </c>
      <c r="E1716" s="2">
        <v>49140</v>
      </c>
      <c r="F1716" s="1" t="s">
        <v>64</v>
      </c>
      <c r="G1716" s="1" t="s">
        <v>784</v>
      </c>
      <c r="H1716" s="1" t="s">
        <v>2</v>
      </c>
      <c r="I1716" s="2">
        <v>46177</v>
      </c>
      <c r="J1716" s="1" t="s">
        <v>17</v>
      </c>
      <c r="K1716" s="1" t="s">
        <v>2558</v>
      </c>
      <c r="L1716" s="2">
        <v>46177.92087962963</v>
      </c>
      <c r="M1716" s="2">
        <v>46177.921329212964</v>
      </c>
    </row>
    <row r="1717" spans="1:13" x14ac:dyDescent="0.35">
      <c r="A1717" s="1" t="s">
        <v>783</v>
      </c>
      <c r="B1717" s="1" t="s">
        <v>13</v>
      </c>
      <c r="C1717" s="1" t="s">
        <v>784</v>
      </c>
      <c r="D1717">
        <v>1.875</v>
      </c>
      <c r="E1717" s="2">
        <v>49140</v>
      </c>
      <c r="F1717" s="1" t="s">
        <v>64</v>
      </c>
      <c r="G1717" s="1" t="s">
        <v>784</v>
      </c>
      <c r="H1717" s="1" t="s">
        <v>2</v>
      </c>
      <c r="I1717" s="2">
        <v>46177</v>
      </c>
      <c r="J1717" s="1" t="s">
        <v>18</v>
      </c>
      <c r="K1717" s="1" t="s">
        <v>2416</v>
      </c>
      <c r="L1717" s="2">
        <v>46177.92087962963</v>
      </c>
      <c r="M1717" s="2">
        <v>46177.921329212964</v>
      </c>
    </row>
    <row r="1718" spans="1:13" x14ac:dyDescent="0.35">
      <c r="A1718" s="1" t="s">
        <v>783</v>
      </c>
      <c r="B1718" s="1" t="s">
        <v>13</v>
      </c>
      <c r="C1718" s="1" t="s">
        <v>784</v>
      </c>
      <c r="D1718">
        <v>1.875</v>
      </c>
      <c r="E1718" s="2">
        <v>49140</v>
      </c>
      <c r="F1718" s="1" t="s">
        <v>64</v>
      </c>
      <c r="G1718" s="1" t="s">
        <v>784</v>
      </c>
      <c r="H1718" s="1" t="s">
        <v>2</v>
      </c>
      <c r="I1718" s="2">
        <v>46177</v>
      </c>
      <c r="J1718" s="1" t="s">
        <v>67</v>
      </c>
      <c r="K1718" s="1" t="s">
        <v>4931</v>
      </c>
      <c r="L1718" s="2">
        <v>46177.918923611112</v>
      </c>
      <c r="M1718" s="2">
        <v>46177.921329212964</v>
      </c>
    </row>
    <row r="1719" spans="1:13" x14ac:dyDescent="0.35">
      <c r="A1719" s="1" t="s">
        <v>783</v>
      </c>
      <c r="B1719" s="1" t="s">
        <v>13</v>
      </c>
      <c r="C1719" s="1" t="s">
        <v>784</v>
      </c>
      <c r="D1719">
        <v>1.875</v>
      </c>
      <c r="E1719" s="2">
        <v>49140</v>
      </c>
      <c r="F1719" s="1" t="s">
        <v>64</v>
      </c>
      <c r="G1719" s="1" t="s">
        <v>784</v>
      </c>
      <c r="H1719" s="1" t="s">
        <v>2</v>
      </c>
      <c r="I1719" s="2">
        <v>46177</v>
      </c>
      <c r="J1719" s="1" t="s">
        <v>224</v>
      </c>
      <c r="K1719" s="1" t="s">
        <v>5157</v>
      </c>
      <c r="L1719" s="2">
        <v>46177.918923611112</v>
      </c>
      <c r="M1719" s="2">
        <v>46177.921329212964</v>
      </c>
    </row>
    <row r="1720" spans="1:13" x14ac:dyDescent="0.35">
      <c r="A1720" s="1" t="s">
        <v>783</v>
      </c>
      <c r="B1720" s="1" t="s">
        <v>13</v>
      </c>
      <c r="C1720" s="1" t="s">
        <v>784</v>
      </c>
      <c r="D1720">
        <v>1.875</v>
      </c>
      <c r="E1720" s="2">
        <v>49140</v>
      </c>
      <c r="F1720" s="1" t="s">
        <v>64</v>
      </c>
      <c r="G1720" s="1" t="s">
        <v>784</v>
      </c>
      <c r="H1720" s="1" t="s">
        <v>2</v>
      </c>
      <c r="I1720" s="2">
        <v>46177</v>
      </c>
      <c r="J1720" s="1" t="s">
        <v>214</v>
      </c>
      <c r="K1720" s="1" t="s">
        <v>5157</v>
      </c>
      <c r="L1720" s="2">
        <v>46177.918923611112</v>
      </c>
      <c r="M1720" s="2">
        <v>46177.921329212964</v>
      </c>
    </row>
    <row r="1721" spans="1:13" x14ac:dyDescent="0.35">
      <c r="A1721" s="1" t="s">
        <v>783</v>
      </c>
      <c r="B1721" s="1" t="s">
        <v>13</v>
      </c>
      <c r="C1721" s="1" t="s">
        <v>784</v>
      </c>
      <c r="D1721">
        <v>1.875</v>
      </c>
      <c r="E1721" s="2">
        <v>49140</v>
      </c>
      <c r="F1721" s="1" t="s">
        <v>64</v>
      </c>
      <c r="G1721" s="1" t="s">
        <v>784</v>
      </c>
      <c r="H1721" s="1" t="s">
        <v>2</v>
      </c>
      <c r="I1721" s="2">
        <v>46177</v>
      </c>
      <c r="J1721" s="1" t="s">
        <v>215</v>
      </c>
      <c r="K1721" s="1" t="s">
        <v>4931</v>
      </c>
      <c r="L1721" s="2">
        <v>46177.918923611112</v>
      </c>
      <c r="M1721" s="2">
        <v>46177.921329212964</v>
      </c>
    </row>
    <row r="1722" spans="1:13" x14ac:dyDescent="0.35">
      <c r="A1722" s="1" t="s">
        <v>848</v>
      </c>
      <c r="B1722" s="1" t="s">
        <v>13</v>
      </c>
      <c r="C1722" s="1" t="s">
        <v>849</v>
      </c>
      <c r="D1722">
        <v>3.875</v>
      </c>
      <c r="E1722" s="2">
        <v>49171</v>
      </c>
      <c r="F1722" s="1" t="s">
        <v>16</v>
      </c>
      <c r="G1722" s="1" t="s">
        <v>849</v>
      </c>
      <c r="H1722" s="1" t="s">
        <v>2</v>
      </c>
      <c r="I1722" s="2">
        <v>46177</v>
      </c>
      <c r="J1722" s="1" t="s">
        <v>18</v>
      </c>
      <c r="K1722" s="1" t="s">
        <v>3019</v>
      </c>
      <c r="L1722" s="2">
        <v>46177.92087962963</v>
      </c>
      <c r="M1722" s="2">
        <v>46177.921329212964</v>
      </c>
    </row>
    <row r="1723" spans="1:13" x14ac:dyDescent="0.35">
      <c r="A1723" s="1" t="s">
        <v>848</v>
      </c>
      <c r="B1723" s="1" t="s">
        <v>13</v>
      </c>
      <c r="C1723" s="1" t="s">
        <v>849</v>
      </c>
      <c r="D1723">
        <v>3.875</v>
      </c>
      <c r="E1723" s="2">
        <v>49171</v>
      </c>
      <c r="F1723" s="1" t="s">
        <v>16</v>
      </c>
      <c r="G1723" s="1" t="s">
        <v>849</v>
      </c>
      <c r="H1723" s="1" t="s">
        <v>2</v>
      </c>
      <c r="I1723" s="2">
        <v>46177</v>
      </c>
      <c r="J1723" s="1" t="s">
        <v>224</v>
      </c>
      <c r="K1723" s="1" t="s">
        <v>5090</v>
      </c>
      <c r="L1723" s="2">
        <v>46177.918923611112</v>
      </c>
      <c r="M1723" s="2">
        <v>46177.921329212964</v>
      </c>
    </row>
    <row r="1724" spans="1:13" x14ac:dyDescent="0.35">
      <c r="A1724" s="1" t="s">
        <v>848</v>
      </c>
      <c r="B1724" s="1" t="s">
        <v>13</v>
      </c>
      <c r="C1724" s="1" t="s">
        <v>849</v>
      </c>
      <c r="D1724">
        <v>3.875</v>
      </c>
      <c r="E1724" s="2">
        <v>49171</v>
      </c>
      <c r="F1724" s="1" t="s">
        <v>16</v>
      </c>
      <c r="G1724" s="1" t="s">
        <v>849</v>
      </c>
      <c r="H1724" s="1" t="s">
        <v>2</v>
      </c>
      <c r="I1724" s="2">
        <v>46177</v>
      </c>
      <c r="J1724" s="1" t="s">
        <v>215</v>
      </c>
      <c r="K1724" s="1" t="s">
        <v>4969</v>
      </c>
      <c r="L1724" s="2">
        <v>46177.918923611112</v>
      </c>
      <c r="M1724" s="2">
        <v>46177.921329212964</v>
      </c>
    </row>
    <row r="1725" spans="1:13" x14ac:dyDescent="0.35">
      <c r="A1725" s="1" t="s">
        <v>848</v>
      </c>
      <c r="B1725" s="1" t="s">
        <v>13</v>
      </c>
      <c r="C1725" s="1" t="s">
        <v>849</v>
      </c>
      <c r="D1725">
        <v>3.875</v>
      </c>
      <c r="E1725" s="2">
        <v>49171</v>
      </c>
      <c r="F1725" s="1" t="s">
        <v>16</v>
      </c>
      <c r="G1725" s="1" t="s">
        <v>849</v>
      </c>
      <c r="H1725" s="1" t="s">
        <v>2</v>
      </c>
      <c r="I1725" s="2">
        <v>46177</v>
      </c>
      <c r="J1725" s="1" t="s">
        <v>67</v>
      </c>
      <c r="K1725" s="1" t="s">
        <v>4969</v>
      </c>
      <c r="L1725" s="2">
        <v>46177.918923611112</v>
      </c>
      <c r="M1725" s="2">
        <v>46177.921329212964</v>
      </c>
    </row>
    <row r="1726" spans="1:13" x14ac:dyDescent="0.35">
      <c r="A1726" s="1" t="s">
        <v>848</v>
      </c>
      <c r="B1726" s="1" t="s">
        <v>13</v>
      </c>
      <c r="C1726" s="1" t="s">
        <v>849</v>
      </c>
      <c r="D1726">
        <v>3.875</v>
      </c>
      <c r="E1726" s="2">
        <v>49171</v>
      </c>
      <c r="F1726" s="1" t="s">
        <v>16</v>
      </c>
      <c r="G1726" s="1" t="s">
        <v>849</v>
      </c>
      <c r="H1726" s="1" t="s">
        <v>2</v>
      </c>
      <c r="I1726" s="2">
        <v>46177</v>
      </c>
      <c r="J1726" s="1" t="s">
        <v>17</v>
      </c>
      <c r="K1726" s="1" t="s">
        <v>2346</v>
      </c>
      <c r="L1726" s="2">
        <v>46177.92087962963</v>
      </c>
      <c r="M1726" s="2">
        <v>46177.921329212964</v>
      </c>
    </row>
    <row r="1727" spans="1:13" x14ac:dyDescent="0.35">
      <c r="A1727" s="1" t="s">
        <v>848</v>
      </c>
      <c r="B1727" s="1" t="s">
        <v>13</v>
      </c>
      <c r="C1727" s="1" t="s">
        <v>849</v>
      </c>
      <c r="D1727">
        <v>3.875</v>
      </c>
      <c r="E1727" s="2">
        <v>49171</v>
      </c>
      <c r="F1727" s="1" t="s">
        <v>16</v>
      </c>
      <c r="G1727" s="1" t="s">
        <v>849</v>
      </c>
      <c r="H1727" s="1" t="s">
        <v>2</v>
      </c>
      <c r="I1727" s="2">
        <v>46177</v>
      </c>
      <c r="J1727" s="1" t="s">
        <v>214</v>
      </c>
      <c r="K1727" s="1" t="s">
        <v>5090</v>
      </c>
      <c r="L1727" s="2">
        <v>46177.918923611112</v>
      </c>
      <c r="M1727" s="2">
        <v>46177.921329212964</v>
      </c>
    </row>
    <row r="1728" spans="1:13" x14ac:dyDescent="0.35">
      <c r="A1728" s="1" t="s">
        <v>785</v>
      </c>
      <c r="B1728" s="1" t="s">
        <v>13</v>
      </c>
      <c r="C1728" s="1" t="s">
        <v>786</v>
      </c>
      <c r="D1728">
        <v>3.75</v>
      </c>
      <c r="E1728" s="2">
        <v>46614</v>
      </c>
      <c r="F1728" s="1" t="s">
        <v>16</v>
      </c>
      <c r="G1728" s="1" t="s">
        <v>786</v>
      </c>
      <c r="H1728" s="1" t="s">
        <v>2</v>
      </c>
      <c r="I1728" s="2">
        <v>46177</v>
      </c>
      <c r="J1728" s="1" t="s">
        <v>214</v>
      </c>
      <c r="K1728" s="1" t="s">
        <v>5091</v>
      </c>
      <c r="L1728" s="2">
        <v>46177.918923611112</v>
      </c>
      <c r="M1728" s="2">
        <v>46177.921329212964</v>
      </c>
    </row>
    <row r="1729" spans="1:13" x14ac:dyDescent="0.35">
      <c r="A1729" s="1" t="s">
        <v>785</v>
      </c>
      <c r="B1729" s="1" t="s">
        <v>13</v>
      </c>
      <c r="C1729" s="1" t="s">
        <v>786</v>
      </c>
      <c r="D1729">
        <v>3.75</v>
      </c>
      <c r="E1729" s="2">
        <v>46614</v>
      </c>
      <c r="F1729" s="1" t="s">
        <v>16</v>
      </c>
      <c r="G1729" s="1" t="s">
        <v>786</v>
      </c>
      <c r="H1729" s="1" t="s">
        <v>2</v>
      </c>
      <c r="I1729" s="2">
        <v>46177</v>
      </c>
      <c r="J1729" s="1" t="s">
        <v>67</v>
      </c>
      <c r="K1729" s="1" t="s">
        <v>4865</v>
      </c>
      <c r="L1729" s="2">
        <v>46177.918923611112</v>
      </c>
      <c r="M1729" s="2">
        <v>46177.921329212964</v>
      </c>
    </row>
    <row r="1730" spans="1:13" x14ac:dyDescent="0.35">
      <c r="A1730" s="1" t="s">
        <v>785</v>
      </c>
      <c r="B1730" s="1" t="s">
        <v>13</v>
      </c>
      <c r="C1730" s="1" t="s">
        <v>786</v>
      </c>
      <c r="D1730">
        <v>3.75</v>
      </c>
      <c r="E1730" s="2">
        <v>46614</v>
      </c>
      <c r="F1730" s="1" t="s">
        <v>16</v>
      </c>
      <c r="G1730" s="1" t="s">
        <v>786</v>
      </c>
      <c r="H1730" s="1" t="s">
        <v>2</v>
      </c>
      <c r="I1730" s="2">
        <v>46177</v>
      </c>
      <c r="J1730" s="1" t="s">
        <v>17</v>
      </c>
      <c r="K1730" s="1" t="s">
        <v>2435</v>
      </c>
      <c r="L1730" s="2">
        <v>46177.92087962963</v>
      </c>
      <c r="M1730" s="2">
        <v>46177.921329212964</v>
      </c>
    </row>
    <row r="1731" spans="1:13" x14ac:dyDescent="0.35">
      <c r="A1731" s="1" t="s">
        <v>785</v>
      </c>
      <c r="B1731" s="1" t="s">
        <v>13</v>
      </c>
      <c r="C1731" s="1" t="s">
        <v>786</v>
      </c>
      <c r="D1731">
        <v>3.75</v>
      </c>
      <c r="E1731" s="2">
        <v>46614</v>
      </c>
      <c r="F1731" s="1" t="s">
        <v>16</v>
      </c>
      <c r="G1731" s="1" t="s">
        <v>786</v>
      </c>
      <c r="H1731" s="1" t="s">
        <v>2</v>
      </c>
      <c r="I1731" s="2">
        <v>46177</v>
      </c>
      <c r="J1731" s="1" t="s">
        <v>215</v>
      </c>
      <c r="K1731" s="1" t="s">
        <v>4865</v>
      </c>
      <c r="L1731" s="2">
        <v>46177.918923611112</v>
      </c>
      <c r="M1731" s="2">
        <v>46177.921329212964</v>
      </c>
    </row>
    <row r="1732" spans="1:13" x14ac:dyDescent="0.35">
      <c r="A1732" s="1" t="s">
        <v>785</v>
      </c>
      <c r="B1732" s="1" t="s">
        <v>13</v>
      </c>
      <c r="C1732" s="1" t="s">
        <v>786</v>
      </c>
      <c r="D1732">
        <v>3.75</v>
      </c>
      <c r="E1732" s="2">
        <v>46614</v>
      </c>
      <c r="F1732" s="1" t="s">
        <v>16</v>
      </c>
      <c r="G1732" s="1" t="s">
        <v>786</v>
      </c>
      <c r="H1732" s="1" t="s">
        <v>2</v>
      </c>
      <c r="I1732" s="2">
        <v>46177</v>
      </c>
      <c r="J1732" s="1" t="s">
        <v>18</v>
      </c>
      <c r="K1732" s="1" t="s">
        <v>2486</v>
      </c>
      <c r="L1732" s="2">
        <v>46177.92087962963</v>
      </c>
      <c r="M1732" s="2">
        <v>46177.921329212964</v>
      </c>
    </row>
    <row r="1733" spans="1:13" x14ac:dyDescent="0.35">
      <c r="A1733" s="1" t="s">
        <v>785</v>
      </c>
      <c r="B1733" s="1" t="s">
        <v>13</v>
      </c>
      <c r="C1733" s="1" t="s">
        <v>786</v>
      </c>
      <c r="D1733">
        <v>3.75</v>
      </c>
      <c r="E1733" s="2">
        <v>46614</v>
      </c>
      <c r="F1733" s="1" t="s">
        <v>16</v>
      </c>
      <c r="G1733" s="1" t="s">
        <v>786</v>
      </c>
      <c r="H1733" s="1" t="s">
        <v>2</v>
      </c>
      <c r="I1733" s="2">
        <v>46177</v>
      </c>
      <c r="J1733" s="1" t="s">
        <v>224</v>
      </c>
      <c r="K1733" s="1" t="s">
        <v>5091</v>
      </c>
      <c r="L1733" s="2">
        <v>46177.918923611112</v>
      </c>
      <c r="M1733" s="2">
        <v>46177.921329212964</v>
      </c>
    </row>
    <row r="1734" spans="1:13" x14ac:dyDescent="0.35">
      <c r="A1734" s="1" t="s">
        <v>850</v>
      </c>
      <c r="B1734" s="1" t="s">
        <v>13</v>
      </c>
      <c r="C1734" s="1" t="s">
        <v>851</v>
      </c>
      <c r="D1734">
        <v>3.75</v>
      </c>
      <c r="E1734" s="2">
        <v>46265</v>
      </c>
      <c r="F1734" s="1" t="s">
        <v>16</v>
      </c>
      <c r="G1734" s="1" t="s">
        <v>851</v>
      </c>
      <c r="H1734" s="1" t="s">
        <v>2</v>
      </c>
      <c r="I1734" s="2">
        <v>46177</v>
      </c>
      <c r="J1734" s="1" t="s">
        <v>67</v>
      </c>
      <c r="K1734" s="1" t="s">
        <v>4932</v>
      </c>
      <c r="L1734" s="2">
        <v>46177.918923611112</v>
      </c>
      <c r="M1734" s="2">
        <v>46177.921329212964</v>
      </c>
    </row>
    <row r="1735" spans="1:13" x14ac:dyDescent="0.35">
      <c r="A1735" s="1" t="s">
        <v>850</v>
      </c>
      <c r="B1735" s="1" t="s">
        <v>13</v>
      </c>
      <c r="C1735" s="1" t="s">
        <v>851</v>
      </c>
      <c r="D1735">
        <v>3.75</v>
      </c>
      <c r="E1735" s="2">
        <v>46265</v>
      </c>
      <c r="F1735" s="1" t="s">
        <v>16</v>
      </c>
      <c r="G1735" s="1" t="s">
        <v>851</v>
      </c>
      <c r="H1735" s="1" t="s">
        <v>2</v>
      </c>
      <c r="I1735" s="2">
        <v>46177</v>
      </c>
      <c r="J1735" s="1" t="s">
        <v>17</v>
      </c>
      <c r="K1735" s="1" t="s">
        <v>2437</v>
      </c>
      <c r="L1735" s="2">
        <v>46177.92087962963</v>
      </c>
      <c r="M1735" s="2">
        <v>46177.921329212964</v>
      </c>
    </row>
    <row r="1736" spans="1:13" x14ac:dyDescent="0.35">
      <c r="A1736" s="1" t="s">
        <v>850</v>
      </c>
      <c r="B1736" s="1" t="s">
        <v>13</v>
      </c>
      <c r="C1736" s="1" t="s">
        <v>851</v>
      </c>
      <c r="D1736">
        <v>3.75</v>
      </c>
      <c r="E1736" s="2">
        <v>46265</v>
      </c>
      <c r="F1736" s="1" t="s">
        <v>16</v>
      </c>
      <c r="G1736" s="1" t="s">
        <v>851</v>
      </c>
      <c r="H1736" s="1" t="s">
        <v>2</v>
      </c>
      <c r="I1736" s="2">
        <v>46177</v>
      </c>
      <c r="J1736" s="1" t="s">
        <v>215</v>
      </c>
      <c r="K1736" s="1" t="s">
        <v>4932</v>
      </c>
      <c r="L1736" s="2">
        <v>46177.918923611112</v>
      </c>
      <c r="M1736" s="2">
        <v>46177.921329212964</v>
      </c>
    </row>
    <row r="1737" spans="1:13" x14ac:dyDescent="0.35">
      <c r="A1737" s="1" t="s">
        <v>850</v>
      </c>
      <c r="B1737" s="1" t="s">
        <v>13</v>
      </c>
      <c r="C1737" s="1" t="s">
        <v>851</v>
      </c>
      <c r="D1737">
        <v>3.75</v>
      </c>
      <c r="E1737" s="2">
        <v>46265</v>
      </c>
      <c r="F1737" s="1" t="s">
        <v>16</v>
      </c>
      <c r="G1737" s="1" t="s">
        <v>851</v>
      </c>
      <c r="H1737" s="1" t="s">
        <v>2</v>
      </c>
      <c r="I1737" s="2">
        <v>46177</v>
      </c>
      <c r="J1737" s="1" t="s">
        <v>18</v>
      </c>
      <c r="K1737" s="1" t="s">
        <v>2563</v>
      </c>
      <c r="L1737" s="2">
        <v>46177.92087962963</v>
      </c>
      <c r="M1737" s="2">
        <v>46177.921329212964</v>
      </c>
    </row>
    <row r="1738" spans="1:13" x14ac:dyDescent="0.35">
      <c r="A1738" s="1" t="s">
        <v>850</v>
      </c>
      <c r="B1738" s="1" t="s">
        <v>13</v>
      </c>
      <c r="C1738" s="1" t="s">
        <v>851</v>
      </c>
      <c r="D1738">
        <v>3.75</v>
      </c>
      <c r="E1738" s="2">
        <v>46265</v>
      </c>
      <c r="F1738" s="1" t="s">
        <v>16</v>
      </c>
      <c r="G1738" s="1" t="s">
        <v>851</v>
      </c>
      <c r="H1738" s="1" t="s">
        <v>2</v>
      </c>
      <c r="I1738" s="2">
        <v>46177</v>
      </c>
      <c r="J1738" s="1" t="s">
        <v>224</v>
      </c>
      <c r="K1738" s="1" t="s">
        <v>5158</v>
      </c>
      <c r="L1738" s="2">
        <v>46177.918923611112</v>
      </c>
      <c r="M1738" s="2">
        <v>46177.921329212964</v>
      </c>
    </row>
    <row r="1739" spans="1:13" x14ac:dyDescent="0.35">
      <c r="A1739" s="1" t="s">
        <v>850</v>
      </c>
      <c r="B1739" s="1" t="s">
        <v>13</v>
      </c>
      <c r="C1739" s="1" t="s">
        <v>851</v>
      </c>
      <c r="D1739">
        <v>3.75</v>
      </c>
      <c r="E1739" s="2">
        <v>46265</v>
      </c>
      <c r="F1739" s="1" t="s">
        <v>16</v>
      </c>
      <c r="G1739" s="1" t="s">
        <v>851</v>
      </c>
      <c r="H1739" s="1" t="s">
        <v>2</v>
      </c>
      <c r="I1739" s="2">
        <v>46177</v>
      </c>
      <c r="J1739" s="1" t="s">
        <v>214</v>
      </c>
      <c r="K1739" s="1" t="s">
        <v>5158</v>
      </c>
      <c r="L1739" s="2">
        <v>46177.918923611112</v>
      </c>
      <c r="M1739" s="2">
        <v>46177.921329212964</v>
      </c>
    </row>
    <row r="1740" spans="1:13" x14ac:dyDescent="0.35">
      <c r="A1740" s="1" t="s">
        <v>787</v>
      </c>
      <c r="B1740" s="1" t="s">
        <v>13</v>
      </c>
      <c r="C1740" s="1" t="s">
        <v>788</v>
      </c>
      <c r="D1740">
        <v>3.75</v>
      </c>
      <c r="E1740" s="2">
        <v>48091</v>
      </c>
      <c r="F1740" s="1" t="s">
        <v>16</v>
      </c>
      <c r="G1740" s="1" t="s">
        <v>788</v>
      </c>
      <c r="H1740" s="1" t="s">
        <v>2</v>
      </c>
      <c r="I1740" s="2">
        <v>46177</v>
      </c>
      <c r="J1740" s="1" t="s">
        <v>67</v>
      </c>
      <c r="K1740" s="1" t="s">
        <v>4970</v>
      </c>
      <c r="L1740" s="2">
        <v>46177.918923611112</v>
      </c>
      <c r="M1740" s="2">
        <v>46177.921329212964</v>
      </c>
    </row>
    <row r="1741" spans="1:13" x14ac:dyDescent="0.35">
      <c r="A1741" s="1" t="s">
        <v>787</v>
      </c>
      <c r="B1741" s="1" t="s">
        <v>13</v>
      </c>
      <c r="C1741" s="1" t="s">
        <v>788</v>
      </c>
      <c r="D1741">
        <v>3.75</v>
      </c>
      <c r="E1741" s="2">
        <v>48091</v>
      </c>
      <c r="F1741" s="1" t="s">
        <v>16</v>
      </c>
      <c r="G1741" s="1" t="s">
        <v>788</v>
      </c>
      <c r="H1741" s="1" t="s">
        <v>2</v>
      </c>
      <c r="I1741" s="2">
        <v>46177</v>
      </c>
      <c r="J1741" s="1" t="s">
        <v>224</v>
      </c>
      <c r="K1741" s="1" t="s">
        <v>5092</v>
      </c>
      <c r="L1741" s="2">
        <v>46177.918923611112</v>
      </c>
      <c r="M1741" s="2">
        <v>46177.921329212964</v>
      </c>
    </row>
    <row r="1742" spans="1:13" x14ac:dyDescent="0.35">
      <c r="A1742" s="1" t="s">
        <v>787</v>
      </c>
      <c r="B1742" s="1" t="s">
        <v>13</v>
      </c>
      <c r="C1742" s="1" t="s">
        <v>788</v>
      </c>
      <c r="D1742">
        <v>3.75</v>
      </c>
      <c r="E1742" s="2">
        <v>48091</v>
      </c>
      <c r="F1742" s="1" t="s">
        <v>16</v>
      </c>
      <c r="G1742" s="1" t="s">
        <v>788</v>
      </c>
      <c r="H1742" s="1" t="s">
        <v>2</v>
      </c>
      <c r="I1742" s="2">
        <v>46177</v>
      </c>
      <c r="J1742" s="1" t="s">
        <v>17</v>
      </c>
      <c r="K1742" s="1" t="s">
        <v>2450</v>
      </c>
      <c r="L1742" s="2">
        <v>46177.92087962963</v>
      </c>
      <c r="M1742" s="2">
        <v>46177.921329212964</v>
      </c>
    </row>
    <row r="1743" spans="1:13" x14ac:dyDescent="0.35">
      <c r="A1743" s="1" t="s">
        <v>787</v>
      </c>
      <c r="B1743" s="1" t="s">
        <v>13</v>
      </c>
      <c r="C1743" s="1" t="s">
        <v>788</v>
      </c>
      <c r="D1743">
        <v>3.75</v>
      </c>
      <c r="E1743" s="2">
        <v>48091</v>
      </c>
      <c r="F1743" s="1" t="s">
        <v>16</v>
      </c>
      <c r="G1743" s="1" t="s">
        <v>788</v>
      </c>
      <c r="H1743" s="1" t="s">
        <v>2</v>
      </c>
      <c r="I1743" s="2">
        <v>46177</v>
      </c>
      <c r="J1743" s="1" t="s">
        <v>215</v>
      </c>
      <c r="K1743" s="1" t="s">
        <v>4970</v>
      </c>
      <c r="L1743" s="2">
        <v>46177.918923611112</v>
      </c>
      <c r="M1743" s="2">
        <v>46177.921329212964</v>
      </c>
    </row>
    <row r="1744" spans="1:13" x14ac:dyDescent="0.35">
      <c r="A1744" s="1" t="s">
        <v>787</v>
      </c>
      <c r="B1744" s="1" t="s">
        <v>13</v>
      </c>
      <c r="C1744" s="1" t="s">
        <v>788</v>
      </c>
      <c r="D1744">
        <v>3.75</v>
      </c>
      <c r="E1744" s="2">
        <v>48091</v>
      </c>
      <c r="F1744" s="1" t="s">
        <v>16</v>
      </c>
      <c r="G1744" s="1" t="s">
        <v>788</v>
      </c>
      <c r="H1744" s="1" t="s">
        <v>2</v>
      </c>
      <c r="I1744" s="2">
        <v>46177</v>
      </c>
      <c r="J1744" s="1" t="s">
        <v>18</v>
      </c>
      <c r="K1744" s="1" t="s">
        <v>2507</v>
      </c>
      <c r="L1744" s="2">
        <v>46177.92087962963</v>
      </c>
      <c r="M1744" s="2">
        <v>46177.921329212964</v>
      </c>
    </row>
    <row r="1745" spans="1:13" x14ac:dyDescent="0.35">
      <c r="A1745" s="1" t="s">
        <v>787</v>
      </c>
      <c r="B1745" s="1" t="s">
        <v>13</v>
      </c>
      <c r="C1745" s="1" t="s">
        <v>788</v>
      </c>
      <c r="D1745">
        <v>3.75</v>
      </c>
      <c r="E1745" s="2">
        <v>48091</v>
      </c>
      <c r="F1745" s="1" t="s">
        <v>16</v>
      </c>
      <c r="G1745" s="1" t="s">
        <v>788</v>
      </c>
      <c r="H1745" s="1" t="s">
        <v>2</v>
      </c>
      <c r="I1745" s="2">
        <v>46177</v>
      </c>
      <c r="J1745" s="1" t="s">
        <v>214</v>
      </c>
      <c r="K1745" s="1" t="s">
        <v>5092</v>
      </c>
      <c r="L1745" s="2">
        <v>46177.918923611112</v>
      </c>
      <c r="M1745" s="2">
        <v>46177.921329212964</v>
      </c>
    </row>
    <row r="1746" spans="1:13" x14ac:dyDescent="0.35">
      <c r="A1746" s="1" t="s">
        <v>852</v>
      </c>
      <c r="B1746" s="1" t="s">
        <v>13</v>
      </c>
      <c r="C1746" s="1" t="s">
        <v>853</v>
      </c>
      <c r="D1746">
        <v>3.625</v>
      </c>
      <c r="E1746" s="2">
        <v>47361</v>
      </c>
      <c r="F1746" s="1" t="s">
        <v>16</v>
      </c>
      <c r="G1746" s="1" t="s">
        <v>853</v>
      </c>
      <c r="H1746" s="1" t="s">
        <v>2</v>
      </c>
      <c r="I1746" s="2">
        <v>46177</v>
      </c>
      <c r="J1746" s="1" t="s">
        <v>214</v>
      </c>
      <c r="K1746" s="1" t="s">
        <v>4933</v>
      </c>
      <c r="L1746" s="2">
        <v>46177.918923611112</v>
      </c>
      <c r="M1746" s="2">
        <v>46177.921329212964</v>
      </c>
    </row>
    <row r="1747" spans="1:13" x14ac:dyDescent="0.35">
      <c r="A1747" s="1" t="s">
        <v>852</v>
      </c>
      <c r="B1747" s="1" t="s">
        <v>13</v>
      </c>
      <c r="C1747" s="1" t="s">
        <v>853</v>
      </c>
      <c r="D1747">
        <v>3.625</v>
      </c>
      <c r="E1747" s="2">
        <v>47361</v>
      </c>
      <c r="F1747" s="1" t="s">
        <v>16</v>
      </c>
      <c r="G1747" s="1" t="s">
        <v>853</v>
      </c>
      <c r="H1747" s="1" t="s">
        <v>2</v>
      </c>
      <c r="I1747" s="2">
        <v>46177</v>
      </c>
      <c r="J1747" s="1" t="s">
        <v>67</v>
      </c>
      <c r="K1747" s="1" t="s">
        <v>4866</v>
      </c>
      <c r="L1747" s="2">
        <v>46177.918923611112</v>
      </c>
      <c r="M1747" s="2">
        <v>46177.921329212964</v>
      </c>
    </row>
    <row r="1748" spans="1:13" x14ac:dyDescent="0.35">
      <c r="A1748" s="1" t="s">
        <v>852</v>
      </c>
      <c r="B1748" s="1" t="s">
        <v>13</v>
      </c>
      <c r="C1748" s="1" t="s">
        <v>853</v>
      </c>
      <c r="D1748">
        <v>3.625</v>
      </c>
      <c r="E1748" s="2">
        <v>47361</v>
      </c>
      <c r="F1748" s="1" t="s">
        <v>16</v>
      </c>
      <c r="G1748" s="1" t="s">
        <v>853</v>
      </c>
      <c r="H1748" s="1" t="s">
        <v>2</v>
      </c>
      <c r="I1748" s="2">
        <v>46177</v>
      </c>
      <c r="J1748" s="1" t="s">
        <v>224</v>
      </c>
      <c r="K1748" s="1" t="s">
        <v>4933</v>
      </c>
      <c r="L1748" s="2">
        <v>46177.918923611112</v>
      </c>
      <c r="M1748" s="2">
        <v>46177.921329212964</v>
      </c>
    </row>
    <row r="1749" spans="1:13" x14ac:dyDescent="0.35">
      <c r="A1749" s="1" t="s">
        <v>852</v>
      </c>
      <c r="B1749" s="1" t="s">
        <v>13</v>
      </c>
      <c r="C1749" s="1" t="s">
        <v>853</v>
      </c>
      <c r="D1749">
        <v>3.625</v>
      </c>
      <c r="E1749" s="2">
        <v>47361</v>
      </c>
      <c r="F1749" s="1" t="s">
        <v>16</v>
      </c>
      <c r="G1749" s="1" t="s">
        <v>853</v>
      </c>
      <c r="H1749" s="1" t="s">
        <v>2</v>
      </c>
      <c r="I1749" s="2">
        <v>46177</v>
      </c>
      <c r="J1749" s="1" t="s">
        <v>215</v>
      </c>
      <c r="K1749" s="1" t="s">
        <v>4866</v>
      </c>
      <c r="L1749" s="2">
        <v>46177.918923611112</v>
      </c>
      <c r="M1749" s="2">
        <v>46177.921329212964</v>
      </c>
    </row>
    <row r="1750" spans="1:13" x14ac:dyDescent="0.35">
      <c r="A1750" s="1" t="s">
        <v>852</v>
      </c>
      <c r="B1750" s="1" t="s">
        <v>13</v>
      </c>
      <c r="C1750" s="1" t="s">
        <v>853</v>
      </c>
      <c r="D1750">
        <v>3.625</v>
      </c>
      <c r="E1750" s="2">
        <v>47361</v>
      </c>
      <c r="F1750" s="1" t="s">
        <v>16</v>
      </c>
      <c r="G1750" s="1" t="s">
        <v>853</v>
      </c>
      <c r="H1750" s="1" t="s">
        <v>2</v>
      </c>
      <c r="I1750" s="2">
        <v>46177</v>
      </c>
      <c r="J1750" s="1" t="s">
        <v>17</v>
      </c>
      <c r="K1750" s="1" t="s">
        <v>2514</v>
      </c>
      <c r="L1750" s="2">
        <v>46177.92087962963</v>
      </c>
      <c r="M1750" s="2">
        <v>46177.921329212964</v>
      </c>
    </row>
    <row r="1751" spans="1:13" x14ac:dyDescent="0.35">
      <c r="A1751" s="1" t="s">
        <v>852</v>
      </c>
      <c r="B1751" s="1" t="s">
        <v>13</v>
      </c>
      <c r="C1751" s="1" t="s">
        <v>853</v>
      </c>
      <c r="D1751">
        <v>3.625</v>
      </c>
      <c r="E1751" s="2">
        <v>47361</v>
      </c>
      <c r="F1751" s="1" t="s">
        <v>16</v>
      </c>
      <c r="G1751" s="1" t="s">
        <v>853</v>
      </c>
      <c r="H1751" s="1" t="s">
        <v>2</v>
      </c>
      <c r="I1751" s="2">
        <v>46177</v>
      </c>
      <c r="J1751" s="1" t="s">
        <v>18</v>
      </c>
      <c r="K1751" s="1" t="s">
        <v>2313</v>
      </c>
      <c r="L1751" s="2">
        <v>46177.92087962963</v>
      </c>
      <c r="M1751" s="2">
        <v>46177.921329212964</v>
      </c>
    </row>
    <row r="1752" spans="1:13" x14ac:dyDescent="0.35">
      <c r="A1752" s="1" t="s">
        <v>832</v>
      </c>
      <c r="B1752" s="1" t="s">
        <v>13</v>
      </c>
      <c r="C1752" s="1" t="s">
        <v>833</v>
      </c>
      <c r="D1752">
        <v>3.375</v>
      </c>
      <c r="E1752" s="2">
        <v>46645</v>
      </c>
      <c r="F1752" s="1" t="s">
        <v>16</v>
      </c>
      <c r="G1752" s="1" t="s">
        <v>833</v>
      </c>
      <c r="H1752" s="1" t="s">
        <v>2</v>
      </c>
      <c r="I1752" s="2">
        <v>46177</v>
      </c>
      <c r="J1752" s="1" t="s">
        <v>215</v>
      </c>
      <c r="K1752" s="1" t="s">
        <v>4934</v>
      </c>
      <c r="L1752" s="2">
        <v>46177.918923611112</v>
      </c>
      <c r="M1752" s="2">
        <v>46177.921329212964</v>
      </c>
    </row>
    <row r="1753" spans="1:13" x14ac:dyDescent="0.35">
      <c r="A1753" s="1" t="s">
        <v>832</v>
      </c>
      <c r="B1753" s="1" t="s">
        <v>13</v>
      </c>
      <c r="C1753" s="1" t="s">
        <v>833</v>
      </c>
      <c r="D1753">
        <v>3.375</v>
      </c>
      <c r="E1753" s="2">
        <v>46645</v>
      </c>
      <c r="F1753" s="1" t="s">
        <v>16</v>
      </c>
      <c r="G1753" s="1" t="s">
        <v>833</v>
      </c>
      <c r="H1753" s="1" t="s">
        <v>2</v>
      </c>
      <c r="I1753" s="2">
        <v>46177</v>
      </c>
      <c r="J1753" s="1" t="s">
        <v>17</v>
      </c>
      <c r="K1753" s="1" t="s">
        <v>2553</v>
      </c>
      <c r="L1753" s="2">
        <v>46177.92087962963</v>
      </c>
      <c r="M1753" s="2">
        <v>46177.921329212964</v>
      </c>
    </row>
    <row r="1754" spans="1:13" x14ac:dyDescent="0.35">
      <c r="A1754" s="1" t="s">
        <v>832</v>
      </c>
      <c r="B1754" s="1" t="s">
        <v>13</v>
      </c>
      <c r="C1754" s="1" t="s">
        <v>833</v>
      </c>
      <c r="D1754">
        <v>3.375</v>
      </c>
      <c r="E1754" s="2">
        <v>46645</v>
      </c>
      <c r="F1754" s="1" t="s">
        <v>16</v>
      </c>
      <c r="G1754" s="1" t="s">
        <v>833</v>
      </c>
      <c r="H1754" s="1" t="s">
        <v>2</v>
      </c>
      <c r="I1754" s="2">
        <v>46177</v>
      </c>
      <c r="J1754" s="1" t="s">
        <v>224</v>
      </c>
      <c r="K1754" s="1" t="s">
        <v>4867</v>
      </c>
      <c r="L1754" s="2">
        <v>46177.918923611112</v>
      </c>
      <c r="M1754" s="2">
        <v>46177.921329212964</v>
      </c>
    </row>
    <row r="1755" spans="1:13" x14ac:dyDescent="0.35">
      <c r="A1755" s="1" t="s">
        <v>832</v>
      </c>
      <c r="B1755" s="1" t="s">
        <v>13</v>
      </c>
      <c r="C1755" s="1" t="s">
        <v>833</v>
      </c>
      <c r="D1755">
        <v>3.375</v>
      </c>
      <c r="E1755" s="2">
        <v>46645</v>
      </c>
      <c r="F1755" s="1" t="s">
        <v>16</v>
      </c>
      <c r="G1755" s="1" t="s">
        <v>833</v>
      </c>
      <c r="H1755" s="1" t="s">
        <v>2</v>
      </c>
      <c r="I1755" s="2">
        <v>46177</v>
      </c>
      <c r="J1755" s="1" t="s">
        <v>18</v>
      </c>
      <c r="K1755" s="1" t="s">
        <v>5193</v>
      </c>
      <c r="L1755" s="2">
        <v>46177.92087962963</v>
      </c>
      <c r="M1755" s="2">
        <v>46177.921329212964</v>
      </c>
    </row>
    <row r="1756" spans="1:13" x14ac:dyDescent="0.35">
      <c r="A1756" s="1" t="s">
        <v>832</v>
      </c>
      <c r="B1756" s="1" t="s">
        <v>13</v>
      </c>
      <c r="C1756" s="1" t="s">
        <v>833</v>
      </c>
      <c r="D1756">
        <v>3.375</v>
      </c>
      <c r="E1756" s="2">
        <v>46645</v>
      </c>
      <c r="F1756" s="1" t="s">
        <v>16</v>
      </c>
      <c r="G1756" s="1" t="s">
        <v>833</v>
      </c>
      <c r="H1756" s="1" t="s">
        <v>2</v>
      </c>
      <c r="I1756" s="2">
        <v>46177</v>
      </c>
      <c r="J1756" s="1" t="s">
        <v>214</v>
      </c>
      <c r="K1756" s="1" t="s">
        <v>4867</v>
      </c>
      <c r="L1756" s="2">
        <v>46177.918923611112</v>
      </c>
      <c r="M1756" s="2">
        <v>46177.921329212964</v>
      </c>
    </row>
    <row r="1757" spans="1:13" x14ac:dyDescent="0.35">
      <c r="A1757" s="1" t="s">
        <v>832</v>
      </c>
      <c r="B1757" s="1" t="s">
        <v>13</v>
      </c>
      <c r="C1757" s="1" t="s">
        <v>833</v>
      </c>
      <c r="D1757">
        <v>3.375</v>
      </c>
      <c r="E1757" s="2">
        <v>46645</v>
      </c>
      <c r="F1757" s="1" t="s">
        <v>16</v>
      </c>
      <c r="G1757" s="1" t="s">
        <v>833</v>
      </c>
      <c r="H1757" s="1" t="s">
        <v>2</v>
      </c>
      <c r="I1757" s="2">
        <v>46177</v>
      </c>
      <c r="J1757" s="1" t="s">
        <v>67</v>
      </c>
      <c r="K1757" s="1" t="s">
        <v>4934</v>
      </c>
      <c r="L1757" s="2">
        <v>46177.918923611112</v>
      </c>
      <c r="M1757" s="2">
        <v>46177.921329212964</v>
      </c>
    </row>
    <row r="1758" spans="1:13" x14ac:dyDescent="0.35">
      <c r="A1758" s="1" t="s">
        <v>854</v>
      </c>
      <c r="B1758" s="1" t="s">
        <v>13</v>
      </c>
      <c r="C1758" s="1" t="s">
        <v>855</v>
      </c>
      <c r="D1758">
        <v>3.625</v>
      </c>
      <c r="E1758" s="2">
        <v>48121</v>
      </c>
      <c r="F1758" s="1" t="s">
        <v>16</v>
      </c>
      <c r="G1758" s="1" t="s">
        <v>855</v>
      </c>
      <c r="H1758" s="1" t="s">
        <v>2</v>
      </c>
      <c r="I1758" s="2">
        <v>46177</v>
      </c>
      <c r="J1758" s="1" t="s">
        <v>214</v>
      </c>
      <c r="K1758" s="1" t="s">
        <v>4971</v>
      </c>
      <c r="L1758" s="2">
        <v>46177.918923611112</v>
      </c>
      <c r="M1758" s="2">
        <v>46177.921329212964</v>
      </c>
    </row>
    <row r="1759" spans="1:13" x14ac:dyDescent="0.35">
      <c r="A1759" s="1" t="s">
        <v>854</v>
      </c>
      <c r="B1759" s="1" t="s">
        <v>13</v>
      </c>
      <c r="C1759" s="1" t="s">
        <v>855</v>
      </c>
      <c r="D1759">
        <v>3.625</v>
      </c>
      <c r="E1759" s="2">
        <v>48121</v>
      </c>
      <c r="F1759" s="1" t="s">
        <v>16</v>
      </c>
      <c r="G1759" s="1" t="s">
        <v>855</v>
      </c>
      <c r="H1759" s="1" t="s">
        <v>2</v>
      </c>
      <c r="I1759" s="2">
        <v>46177</v>
      </c>
      <c r="J1759" s="1" t="s">
        <v>215</v>
      </c>
      <c r="K1759" s="1" t="s">
        <v>5025</v>
      </c>
      <c r="L1759" s="2">
        <v>46177.918923611112</v>
      </c>
      <c r="M1759" s="2">
        <v>46177.921329212964</v>
      </c>
    </row>
    <row r="1760" spans="1:13" x14ac:dyDescent="0.35">
      <c r="A1760" s="1" t="s">
        <v>854</v>
      </c>
      <c r="B1760" s="1" t="s">
        <v>13</v>
      </c>
      <c r="C1760" s="1" t="s">
        <v>855</v>
      </c>
      <c r="D1760">
        <v>3.625</v>
      </c>
      <c r="E1760" s="2">
        <v>48121</v>
      </c>
      <c r="F1760" s="1" t="s">
        <v>16</v>
      </c>
      <c r="G1760" s="1" t="s">
        <v>855</v>
      </c>
      <c r="H1760" s="1" t="s">
        <v>2</v>
      </c>
      <c r="I1760" s="2">
        <v>46177</v>
      </c>
      <c r="J1760" s="1" t="s">
        <v>224</v>
      </c>
      <c r="K1760" s="1" t="s">
        <v>4971</v>
      </c>
      <c r="L1760" s="2">
        <v>46177.918923611112</v>
      </c>
      <c r="M1760" s="2">
        <v>46177.921329212964</v>
      </c>
    </row>
    <row r="1761" spans="1:13" x14ac:dyDescent="0.35">
      <c r="A1761" s="1" t="s">
        <v>854</v>
      </c>
      <c r="B1761" s="1" t="s">
        <v>13</v>
      </c>
      <c r="C1761" s="1" t="s">
        <v>855</v>
      </c>
      <c r="D1761">
        <v>3.625</v>
      </c>
      <c r="E1761" s="2">
        <v>48121</v>
      </c>
      <c r="F1761" s="1" t="s">
        <v>16</v>
      </c>
      <c r="G1761" s="1" t="s">
        <v>855</v>
      </c>
      <c r="H1761" s="1" t="s">
        <v>2</v>
      </c>
      <c r="I1761" s="2">
        <v>46177</v>
      </c>
      <c r="J1761" s="1" t="s">
        <v>17</v>
      </c>
      <c r="K1761" s="1" t="s">
        <v>3006</v>
      </c>
      <c r="L1761" s="2">
        <v>46177.92087962963</v>
      </c>
      <c r="M1761" s="2">
        <v>46177.921329212964</v>
      </c>
    </row>
    <row r="1762" spans="1:13" x14ac:dyDescent="0.35">
      <c r="A1762" s="1" t="s">
        <v>854</v>
      </c>
      <c r="B1762" s="1" t="s">
        <v>13</v>
      </c>
      <c r="C1762" s="1" t="s">
        <v>855</v>
      </c>
      <c r="D1762">
        <v>3.625</v>
      </c>
      <c r="E1762" s="2">
        <v>48121</v>
      </c>
      <c r="F1762" s="1" t="s">
        <v>16</v>
      </c>
      <c r="G1762" s="1" t="s">
        <v>855</v>
      </c>
      <c r="H1762" s="1" t="s">
        <v>2</v>
      </c>
      <c r="I1762" s="2">
        <v>46177</v>
      </c>
      <c r="J1762" s="1" t="s">
        <v>18</v>
      </c>
      <c r="K1762" s="1" t="s">
        <v>2593</v>
      </c>
      <c r="L1762" s="2">
        <v>46177.92087962963</v>
      </c>
      <c r="M1762" s="2">
        <v>46177.921329212964</v>
      </c>
    </row>
    <row r="1763" spans="1:13" x14ac:dyDescent="0.35">
      <c r="A1763" s="1" t="s">
        <v>854</v>
      </c>
      <c r="B1763" s="1" t="s">
        <v>13</v>
      </c>
      <c r="C1763" s="1" t="s">
        <v>855</v>
      </c>
      <c r="D1763">
        <v>3.625</v>
      </c>
      <c r="E1763" s="2">
        <v>48121</v>
      </c>
      <c r="F1763" s="1" t="s">
        <v>16</v>
      </c>
      <c r="G1763" s="1" t="s">
        <v>855</v>
      </c>
      <c r="H1763" s="1" t="s">
        <v>2</v>
      </c>
      <c r="I1763" s="2">
        <v>46177</v>
      </c>
      <c r="J1763" s="1" t="s">
        <v>67</v>
      </c>
      <c r="K1763" s="1" t="s">
        <v>5025</v>
      </c>
      <c r="L1763" s="2">
        <v>46177.918923611112</v>
      </c>
      <c r="M1763" s="2">
        <v>46177.921329212964</v>
      </c>
    </row>
    <row r="1764" spans="1:13" x14ac:dyDescent="0.35">
      <c r="A1764" s="1" t="s">
        <v>789</v>
      </c>
      <c r="B1764" s="1" t="s">
        <v>13</v>
      </c>
      <c r="C1764" s="1" t="s">
        <v>790</v>
      </c>
      <c r="D1764">
        <v>3.5</v>
      </c>
      <c r="E1764" s="2">
        <v>47391</v>
      </c>
      <c r="F1764" s="1" t="s">
        <v>16</v>
      </c>
      <c r="G1764" s="1" t="s">
        <v>790</v>
      </c>
      <c r="H1764" s="1" t="s">
        <v>2</v>
      </c>
      <c r="I1764" s="2">
        <v>46177</v>
      </c>
      <c r="J1764" s="1" t="s">
        <v>224</v>
      </c>
      <c r="K1764" s="1" t="s">
        <v>4972</v>
      </c>
      <c r="L1764" s="2">
        <v>46177.918923611112</v>
      </c>
      <c r="M1764" s="2">
        <v>46177.921329212964</v>
      </c>
    </row>
    <row r="1765" spans="1:13" x14ac:dyDescent="0.35">
      <c r="A1765" s="1" t="s">
        <v>789</v>
      </c>
      <c r="B1765" s="1" t="s">
        <v>13</v>
      </c>
      <c r="C1765" s="1" t="s">
        <v>790</v>
      </c>
      <c r="D1765">
        <v>3.5</v>
      </c>
      <c r="E1765" s="2">
        <v>47391</v>
      </c>
      <c r="F1765" s="1" t="s">
        <v>16</v>
      </c>
      <c r="G1765" s="1" t="s">
        <v>790</v>
      </c>
      <c r="H1765" s="1" t="s">
        <v>2</v>
      </c>
      <c r="I1765" s="2">
        <v>46177</v>
      </c>
      <c r="J1765" s="1" t="s">
        <v>67</v>
      </c>
      <c r="K1765" s="1" t="s">
        <v>5159</v>
      </c>
      <c r="L1765" s="2">
        <v>46177.918923611112</v>
      </c>
      <c r="M1765" s="2">
        <v>46177.921329212964</v>
      </c>
    </row>
    <row r="1766" spans="1:13" x14ac:dyDescent="0.35">
      <c r="A1766" s="1" t="s">
        <v>789</v>
      </c>
      <c r="B1766" s="1" t="s">
        <v>13</v>
      </c>
      <c r="C1766" s="1" t="s">
        <v>790</v>
      </c>
      <c r="D1766">
        <v>3.5</v>
      </c>
      <c r="E1766" s="2">
        <v>47391</v>
      </c>
      <c r="F1766" s="1" t="s">
        <v>16</v>
      </c>
      <c r="G1766" s="1" t="s">
        <v>790</v>
      </c>
      <c r="H1766" s="1" t="s">
        <v>2</v>
      </c>
      <c r="I1766" s="2">
        <v>46177</v>
      </c>
      <c r="J1766" s="1" t="s">
        <v>17</v>
      </c>
      <c r="K1766" s="1" t="s">
        <v>2602</v>
      </c>
      <c r="L1766" s="2">
        <v>46177.92087962963</v>
      </c>
      <c r="M1766" s="2">
        <v>46177.921329212964</v>
      </c>
    </row>
    <row r="1767" spans="1:13" x14ac:dyDescent="0.35">
      <c r="A1767" s="1" t="s">
        <v>789</v>
      </c>
      <c r="B1767" s="1" t="s">
        <v>13</v>
      </c>
      <c r="C1767" s="1" t="s">
        <v>790</v>
      </c>
      <c r="D1767">
        <v>3.5</v>
      </c>
      <c r="E1767" s="2">
        <v>47391</v>
      </c>
      <c r="F1767" s="1" t="s">
        <v>16</v>
      </c>
      <c r="G1767" s="1" t="s">
        <v>790</v>
      </c>
      <c r="H1767" s="1" t="s">
        <v>2</v>
      </c>
      <c r="I1767" s="2">
        <v>46177</v>
      </c>
      <c r="J1767" s="1" t="s">
        <v>18</v>
      </c>
      <c r="K1767" s="1" t="s">
        <v>2456</v>
      </c>
      <c r="L1767" s="2">
        <v>46177.92087962963</v>
      </c>
      <c r="M1767" s="2">
        <v>46177.921329212964</v>
      </c>
    </row>
    <row r="1768" spans="1:13" x14ac:dyDescent="0.35">
      <c r="A1768" s="1" t="s">
        <v>789</v>
      </c>
      <c r="B1768" s="1" t="s">
        <v>13</v>
      </c>
      <c r="C1768" s="1" t="s">
        <v>790</v>
      </c>
      <c r="D1768">
        <v>3.5</v>
      </c>
      <c r="E1768" s="2">
        <v>47391</v>
      </c>
      <c r="F1768" s="1" t="s">
        <v>16</v>
      </c>
      <c r="G1768" s="1" t="s">
        <v>790</v>
      </c>
      <c r="H1768" s="1" t="s">
        <v>2</v>
      </c>
      <c r="I1768" s="2">
        <v>46177</v>
      </c>
      <c r="J1768" s="1" t="s">
        <v>214</v>
      </c>
      <c r="K1768" s="1" t="s">
        <v>4972</v>
      </c>
      <c r="L1768" s="2">
        <v>46177.918923611112</v>
      </c>
      <c r="M1768" s="2">
        <v>46177.921329212964</v>
      </c>
    </row>
    <row r="1769" spans="1:13" x14ac:dyDescent="0.35">
      <c r="A1769" s="1" t="s">
        <v>789</v>
      </c>
      <c r="B1769" s="1" t="s">
        <v>13</v>
      </c>
      <c r="C1769" s="1" t="s">
        <v>790</v>
      </c>
      <c r="D1769">
        <v>3.5</v>
      </c>
      <c r="E1769" s="2">
        <v>47391</v>
      </c>
      <c r="F1769" s="1" t="s">
        <v>16</v>
      </c>
      <c r="G1769" s="1" t="s">
        <v>790</v>
      </c>
      <c r="H1769" s="1" t="s">
        <v>2</v>
      </c>
      <c r="I1769" s="2">
        <v>46177</v>
      </c>
      <c r="J1769" s="1" t="s">
        <v>215</v>
      </c>
      <c r="K1769" s="1" t="s">
        <v>5159</v>
      </c>
      <c r="L1769" s="2">
        <v>46177.918923611112</v>
      </c>
      <c r="M1769" s="2">
        <v>46177.921329212964</v>
      </c>
    </row>
    <row r="1770" spans="1:13" x14ac:dyDescent="0.35">
      <c r="A1770" s="1" t="s">
        <v>791</v>
      </c>
      <c r="B1770" s="1" t="s">
        <v>13</v>
      </c>
      <c r="C1770" s="1" t="s">
        <v>792</v>
      </c>
      <c r="D1770">
        <v>3.5</v>
      </c>
      <c r="E1770" s="2">
        <v>46295</v>
      </c>
      <c r="F1770" s="1" t="s">
        <v>16</v>
      </c>
      <c r="G1770" s="1" t="s">
        <v>792</v>
      </c>
      <c r="H1770" s="1" t="s">
        <v>2</v>
      </c>
      <c r="I1770" s="2">
        <v>46177</v>
      </c>
      <c r="J1770" s="1" t="s">
        <v>18</v>
      </c>
      <c r="K1770" s="1" t="s">
        <v>2473</v>
      </c>
      <c r="L1770" s="2">
        <v>46177.92087962963</v>
      </c>
      <c r="M1770" s="2">
        <v>46177.921329212964</v>
      </c>
    </row>
    <row r="1771" spans="1:13" x14ac:dyDescent="0.35">
      <c r="A1771" s="1" t="s">
        <v>791</v>
      </c>
      <c r="B1771" s="1" t="s">
        <v>13</v>
      </c>
      <c r="C1771" s="1" t="s">
        <v>792</v>
      </c>
      <c r="D1771">
        <v>3.5</v>
      </c>
      <c r="E1771" s="2">
        <v>46295</v>
      </c>
      <c r="F1771" s="1" t="s">
        <v>16</v>
      </c>
      <c r="G1771" s="1" t="s">
        <v>792</v>
      </c>
      <c r="H1771" s="1" t="s">
        <v>2</v>
      </c>
      <c r="I1771" s="2">
        <v>46177</v>
      </c>
      <c r="J1771" s="1" t="s">
        <v>214</v>
      </c>
      <c r="K1771" s="1" t="s">
        <v>5093</v>
      </c>
      <c r="L1771" s="2">
        <v>46177.918923611112</v>
      </c>
      <c r="M1771" s="2">
        <v>46177.921329212964</v>
      </c>
    </row>
    <row r="1772" spans="1:13" x14ac:dyDescent="0.35">
      <c r="A1772" s="1" t="s">
        <v>791</v>
      </c>
      <c r="B1772" s="1" t="s">
        <v>13</v>
      </c>
      <c r="C1772" s="1" t="s">
        <v>792</v>
      </c>
      <c r="D1772">
        <v>3.5</v>
      </c>
      <c r="E1772" s="2">
        <v>46295</v>
      </c>
      <c r="F1772" s="1" t="s">
        <v>16</v>
      </c>
      <c r="G1772" s="1" t="s">
        <v>792</v>
      </c>
      <c r="H1772" s="1" t="s">
        <v>2</v>
      </c>
      <c r="I1772" s="2">
        <v>46177</v>
      </c>
      <c r="J1772" s="1" t="s">
        <v>215</v>
      </c>
      <c r="K1772" s="1" t="s">
        <v>5026</v>
      </c>
      <c r="L1772" s="2">
        <v>46177.918923611112</v>
      </c>
      <c r="M1772" s="2">
        <v>46177.921329212964</v>
      </c>
    </row>
    <row r="1773" spans="1:13" x14ac:dyDescent="0.35">
      <c r="A1773" s="1" t="s">
        <v>791</v>
      </c>
      <c r="B1773" s="1" t="s">
        <v>13</v>
      </c>
      <c r="C1773" s="1" t="s">
        <v>792</v>
      </c>
      <c r="D1773">
        <v>3.5</v>
      </c>
      <c r="E1773" s="2">
        <v>46295</v>
      </c>
      <c r="F1773" s="1" t="s">
        <v>16</v>
      </c>
      <c r="G1773" s="1" t="s">
        <v>792</v>
      </c>
      <c r="H1773" s="1" t="s">
        <v>2</v>
      </c>
      <c r="I1773" s="2">
        <v>46177</v>
      </c>
      <c r="J1773" s="1" t="s">
        <v>67</v>
      </c>
      <c r="K1773" s="1" t="s">
        <v>5026</v>
      </c>
      <c r="L1773" s="2">
        <v>46177.918923611112</v>
      </c>
      <c r="M1773" s="2">
        <v>46177.921329212964</v>
      </c>
    </row>
    <row r="1774" spans="1:13" x14ac:dyDescent="0.35">
      <c r="A1774" s="1" t="s">
        <v>791</v>
      </c>
      <c r="B1774" s="1" t="s">
        <v>13</v>
      </c>
      <c r="C1774" s="1" t="s">
        <v>792</v>
      </c>
      <c r="D1774">
        <v>3.5</v>
      </c>
      <c r="E1774" s="2">
        <v>46295</v>
      </c>
      <c r="F1774" s="1" t="s">
        <v>16</v>
      </c>
      <c r="G1774" s="1" t="s">
        <v>792</v>
      </c>
      <c r="H1774" s="1" t="s">
        <v>2</v>
      </c>
      <c r="I1774" s="2">
        <v>46177</v>
      </c>
      <c r="J1774" s="1" t="s">
        <v>17</v>
      </c>
      <c r="K1774" s="1" t="s">
        <v>2476</v>
      </c>
      <c r="L1774" s="2">
        <v>46177.92087962963</v>
      </c>
      <c r="M1774" s="2">
        <v>46177.921329212964</v>
      </c>
    </row>
    <row r="1775" spans="1:13" x14ac:dyDescent="0.35">
      <c r="A1775" s="1" t="s">
        <v>791</v>
      </c>
      <c r="B1775" s="1" t="s">
        <v>13</v>
      </c>
      <c r="C1775" s="1" t="s">
        <v>792</v>
      </c>
      <c r="D1775">
        <v>3.5</v>
      </c>
      <c r="E1775" s="2">
        <v>46295</v>
      </c>
      <c r="F1775" s="1" t="s">
        <v>16</v>
      </c>
      <c r="G1775" s="1" t="s">
        <v>792</v>
      </c>
      <c r="H1775" s="1" t="s">
        <v>2</v>
      </c>
      <c r="I1775" s="2">
        <v>46177</v>
      </c>
      <c r="J1775" s="1" t="s">
        <v>224</v>
      </c>
      <c r="K1775" s="1" t="s">
        <v>5093</v>
      </c>
      <c r="L1775" s="2">
        <v>46177.918923611112</v>
      </c>
      <c r="M1775" s="2">
        <v>46177.921329212964</v>
      </c>
    </row>
    <row r="1776" spans="1:13" x14ac:dyDescent="0.35">
      <c r="A1776" s="1" t="s">
        <v>793</v>
      </c>
      <c r="B1776" s="1" t="s">
        <v>13</v>
      </c>
      <c r="C1776" s="1" t="s">
        <v>794</v>
      </c>
      <c r="D1776">
        <v>3.875</v>
      </c>
      <c r="E1776" s="2">
        <v>46675</v>
      </c>
      <c r="F1776" s="1" t="s">
        <v>16</v>
      </c>
      <c r="G1776" s="1" t="s">
        <v>794</v>
      </c>
      <c r="H1776" s="1" t="s">
        <v>2</v>
      </c>
      <c r="I1776" s="2">
        <v>46177</v>
      </c>
      <c r="J1776" s="1" t="s">
        <v>17</v>
      </c>
      <c r="K1776" s="1" t="s">
        <v>2564</v>
      </c>
      <c r="L1776" s="2">
        <v>46177.92087962963</v>
      </c>
      <c r="M1776" s="2">
        <v>46177.921329212964</v>
      </c>
    </row>
    <row r="1777" spans="1:13" x14ac:dyDescent="0.35">
      <c r="A1777" s="1" t="s">
        <v>793</v>
      </c>
      <c r="B1777" s="1" t="s">
        <v>13</v>
      </c>
      <c r="C1777" s="1" t="s">
        <v>794</v>
      </c>
      <c r="D1777">
        <v>3.875</v>
      </c>
      <c r="E1777" s="2">
        <v>46675</v>
      </c>
      <c r="F1777" s="1" t="s">
        <v>16</v>
      </c>
      <c r="G1777" s="1" t="s">
        <v>794</v>
      </c>
      <c r="H1777" s="1" t="s">
        <v>2</v>
      </c>
      <c r="I1777" s="2">
        <v>46177</v>
      </c>
      <c r="J1777" s="1" t="s">
        <v>214</v>
      </c>
      <c r="K1777" s="1" t="s">
        <v>4973</v>
      </c>
      <c r="L1777" s="2">
        <v>46177.918923611112</v>
      </c>
      <c r="M1777" s="2">
        <v>46177.921329212964</v>
      </c>
    </row>
    <row r="1778" spans="1:13" x14ac:dyDescent="0.35">
      <c r="A1778" s="1" t="s">
        <v>793</v>
      </c>
      <c r="B1778" s="1" t="s">
        <v>13</v>
      </c>
      <c r="C1778" s="1" t="s">
        <v>794</v>
      </c>
      <c r="D1778">
        <v>3.875</v>
      </c>
      <c r="E1778" s="2">
        <v>46675</v>
      </c>
      <c r="F1778" s="1" t="s">
        <v>16</v>
      </c>
      <c r="G1778" s="1" t="s">
        <v>794</v>
      </c>
      <c r="H1778" s="1" t="s">
        <v>2</v>
      </c>
      <c r="I1778" s="2">
        <v>46177</v>
      </c>
      <c r="J1778" s="1" t="s">
        <v>215</v>
      </c>
      <c r="K1778" s="1" t="s">
        <v>5160</v>
      </c>
      <c r="L1778" s="2">
        <v>46177.918923611112</v>
      </c>
      <c r="M1778" s="2">
        <v>46177.921329212964</v>
      </c>
    </row>
    <row r="1779" spans="1:13" x14ac:dyDescent="0.35">
      <c r="A1779" s="1" t="s">
        <v>793</v>
      </c>
      <c r="B1779" s="1" t="s">
        <v>13</v>
      </c>
      <c r="C1779" s="1" t="s">
        <v>794</v>
      </c>
      <c r="D1779">
        <v>3.875</v>
      </c>
      <c r="E1779" s="2">
        <v>46675</v>
      </c>
      <c r="F1779" s="1" t="s">
        <v>16</v>
      </c>
      <c r="G1779" s="1" t="s">
        <v>794</v>
      </c>
      <c r="H1779" s="1" t="s">
        <v>2</v>
      </c>
      <c r="I1779" s="2">
        <v>46177</v>
      </c>
      <c r="J1779" s="1" t="s">
        <v>224</v>
      </c>
      <c r="K1779" s="1" t="s">
        <v>4973</v>
      </c>
      <c r="L1779" s="2">
        <v>46177.918923611112</v>
      </c>
      <c r="M1779" s="2">
        <v>46177.921329212964</v>
      </c>
    </row>
    <row r="1780" spans="1:13" x14ac:dyDescent="0.35">
      <c r="A1780" s="1" t="s">
        <v>793</v>
      </c>
      <c r="B1780" s="1" t="s">
        <v>13</v>
      </c>
      <c r="C1780" s="1" t="s">
        <v>794</v>
      </c>
      <c r="D1780">
        <v>3.875</v>
      </c>
      <c r="E1780" s="2">
        <v>46675</v>
      </c>
      <c r="F1780" s="1" t="s">
        <v>16</v>
      </c>
      <c r="G1780" s="1" t="s">
        <v>794</v>
      </c>
      <c r="H1780" s="1" t="s">
        <v>2</v>
      </c>
      <c r="I1780" s="2">
        <v>46177</v>
      </c>
      <c r="J1780" s="1" t="s">
        <v>18</v>
      </c>
      <c r="K1780" s="1" t="s">
        <v>4868</v>
      </c>
      <c r="L1780" s="2">
        <v>46177.92087962963</v>
      </c>
      <c r="M1780" s="2">
        <v>46177.921329212964</v>
      </c>
    </row>
    <row r="1781" spans="1:13" x14ac:dyDescent="0.35">
      <c r="A1781" s="1" t="s">
        <v>793</v>
      </c>
      <c r="B1781" s="1" t="s">
        <v>13</v>
      </c>
      <c r="C1781" s="1" t="s">
        <v>794</v>
      </c>
      <c r="D1781">
        <v>3.875</v>
      </c>
      <c r="E1781" s="2">
        <v>46675</v>
      </c>
      <c r="F1781" s="1" t="s">
        <v>16</v>
      </c>
      <c r="G1781" s="1" t="s">
        <v>794</v>
      </c>
      <c r="H1781" s="1" t="s">
        <v>2</v>
      </c>
      <c r="I1781" s="2">
        <v>46177</v>
      </c>
      <c r="J1781" s="1" t="s">
        <v>67</v>
      </c>
      <c r="K1781" s="1" t="s">
        <v>5160</v>
      </c>
      <c r="L1781" s="2">
        <v>46177.918923611112</v>
      </c>
      <c r="M1781" s="2">
        <v>46177.921329212964</v>
      </c>
    </row>
    <row r="1782" spans="1:13" x14ac:dyDescent="0.35">
      <c r="A1782" s="1" t="s">
        <v>884</v>
      </c>
      <c r="B1782" s="1" t="s">
        <v>13</v>
      </c>
      <c r="C1782" s="1" t="s">
        <v>885</v>
      </c>
      <c r="D1782">
        <v>4.125</v>
      </c>
      <c r="E1782" s="2">
        <v>47422</v>
      </c>
      <c r="F1782" s="1" t="s">
        <v>16</v>
      </c>
      <c r="G1782" s="1" t="s">
        <v>885</v>
      </c>
      <c r="H1782" s="1" t="s">
        <v>2</v>
      </c>
      <c r="I1782" s="2">
        <v>46177</v>
      </c>
      <c r="J1782" s="1" t="s">
        <v>17</v>
      </c>
      <c r="K1782" s="1" t="s">
        <v>2545</v>
      </c>
      <c r="L1782" s="2">
        <v>46177.92087962963</v>
      </c>
      <c r="M1782" s="2">
        <v>46177.921329212964</v>
      </c>
    </row>
    <row r="1783" spans="1:13" x14ac:dyDescent="0.35">
      <c r="A1783" s="1" t="s">
        <v>884</v>
      </c>
      <c r="B1783" s="1" t="s">
        <v>13</v>
      </c>
      <c r="C1783" s="1" t="s">
        <v>885</v>
      </c>
      <c r="D1783">
        <v>4.125</v>
      </c>
      <c r="E1783" s="2">
        <v>47422</v>
      </c>
      <c r="F1783" s="1" t="s">
        <v>16</v>
      </c>
      <c r="G1783" s="1" t="s">
        <v>885</v>
      </c>
      <c r="H1783" s="1" t="s">
        <v>2</v>
      </c>
      <c r="I1783" s="2">
        <v>46177</v>
      </c>
      <c r="J1783" s="1" t="s">
        <v>214</v>
      </c>
      <c r="K1783" s="1" t="s">
        <v>4869</v>
      </c>
      <c r="L1783" s="2">
        <v>46177.918923611112</v>
      </c>
      <c r="M1783" s="2">
        <v>46177.921329212964</v>
      </c>
    </row>
    <row r="1784" spans="1:13" x14ac:dyDescent="0.35">
      <c r="A1784" s="1" t="s">
        <v>884</v>
      </c>
      <c r="B1784" s="1" t="s">
        <v>13</v>
      </c>
      <c r="C1784" s="1" t="s">
        <v>885</v>
      </c>
      <c r="D1784">
        <v>4.125</v>
      </c>
      <c r="E1784" s="2">
        <v>47422</v>
      </c>
      <c r="F1784" s="1" t="s">
        <v>16</v>
      </c>
      <c r="G1784" s="1" t="s">
        <v>885</v>
      </c>
      <c r="H1784" s="1" t="s">
        <v>2</v>
      </c>
      <c r="I1784" s="2">
        <v>46177</v>
      </c>
      <c r="J1784" s="1" t="s">
        <v>215</v>
      </c>
      <c r="K1784" s="1" t="s">
        <v>5161</v>
      </c>
      <c r="L1784" s="2">
        <v>46177.918923611112</v>
      </c>
      <c r="M1784" s="2">
        <v>46177.921329212964</v>
      </c>
    </row>
    <row r="1785" spans="1:13" x14ac:dyDescent="0.35">
      <c r="A1785" s="1" t="s">
        <v>884</v>
      </c>
      <c r="B1785" s="1" t="s">
        <v>13</v>
      </c>
      <c r="C1785" s="1" t="s">
        <v>885</v>
      </c>
      <c r="D1785">
        <v>4.125</v>
      </c>
      <c r="E1785" s="2">
        <v>47422</v>
      </c>
      <c r="F1785" s="1" t="s">
        <v>16</v>
      </c>
      <c r="G1785" s="1" t="s">
        <v>885</v>
      </c>
      <c r="H1785" s="1" t="s">
        <v>2</v>
      </c>
      <c r="I1785" s="2">
        <v>46177</v>
      </c>
      <c r="J1785" s="1" t="s">
        <v>18</v>
      </c>
      <c r="K1785" s="1" t="s">
        <v>2506</v>
      </c>
      <c r="L1785" s="2">
        <v>46177.92087962963</v>
      </c>
      <c r="M1785" s="2">
        <v>46177.921329212964</v>
      </c>
    </row>
    <row r="1786" spans="1:13" x14ac:dyDescent="0.35">
      <c r="A1786" s="1" t="s">
        <v>884</v>
      </c>
      <c r="B1786" s="1" t="s">
        <v>13</v>
      </c>
      <c r="C1786" s="1" t="s">
        <v>885</v>
      </c>
      <c r="D1786">
        <v>4.125</v>
      </c>
      <c r="E1786" s="2">
        <v>47422</v>
      </c>
      <c r="F1786" s="1" t="s">
        <v>16</v>
      </c>
      <c r="G1786" s="1" t="s">
        <v>885</v>
      </c>
      <c r="H1786" s="1" t="s">
        <v>2</v>
      </c>
      <c r="I1786" s="2">
        <v>46177</v>
      </c>
      <c r="J1786" s="1" t="s">
        <v>67</v>
      </c>
      <c r="K1786" s="1" t="s">
        <v>5161</v>
      </c>
      <c r="L1786" s="2">
        <v>46177.918923611112</v>
      </c>
      <c r="M1786" s="2">
        <v>46177.921329212964</v>
      </c>
    </row>
    <row r="1787" spans="1:13" x14ac:dyDescent="0.35">
      <c r="A1787" s="1" t="s">
        <v>884</v>
      </c>
      <c r="B1787" s="1" t="s">
        <v>13</v>
      </c>
      <c r="C1787" s="1" t="s">
        <v>885</v>
      </c>
      <c r="D1787">
        <v>4.125</v>
      </c>
      <c r="E1787" s="2">
        <v>47422</v>
      </c>
      <c r="F1787" s="1" t="s">
        <v>16</v>
      </c>
      <c r="G1787" s="1" t="s">
        <v>885</v>
      </c>
      <c r="H1787" s="1" t="s">
        <v>2</v>
      </c>
      <c r="I1787" s="2">
        <v>46177</v>
      </c>
      <c r="J1787" s="1" t="s">
        <v>224</v>
      </c>
      <c r="K1787" s="1" t="s">
        <v>4869</v>
      </c>
      <c r="L1787" s="2">
        <v>46177.918923611112</v>
      </c>
      <c r="M1787" s="2">
        <v>46177.921329212964</v>
      </c>
    </row>
    <row r="1788" spans="1:13" x14ac:dyDescent="0.35">
      <c r="A1788" s="1" t="s">
        <v>795</v>
      </c>
      <c r="B1788" s="1" t="s">
        <v>13</v>
      </c>
      <c r="C1788" s="1" t="s">
        <v>796</v>
      </c>
      <c r="D1788">
        <v>4.125</v>
      </c>
      <c r="E1788" s="2">
        <v>46326</v>
      </c>
      <c r="F1788" s="1" t="s">
        <v>16</v>
      </c>
      <c r="G1788" s="1" t="s">
        <v>796</v>
      </c>
      <c r="H1788" s="1" t="s">
        <v>2</v>
      </c>
      <c r="I1788" s="2">
        <v>46177</v>
      </c>
      <c r="J1788" s="1" t="s">
        <v>67</v>
      </c>
      <c r="K1788" s="1" t="s">
        <v>5177</v>
      </c>
      <c r="L1788" s="2">
        <v>46177.918923611112</v>
      </c>
      <c r="M1788" s="2">
        <v>46177.921329212964</v>
      </c>
    </row>
    <row r="1789" spans="1:13" x14ac:dyDescent="0.35">
      <c r="A1789" s="1" t="s">
        <v>795</v>
      </c>
      <c r="B1789" s="1" t="s">
        <v>13</v>
      </c>
      <c r="C1789" s="1" t="s">
        <v>796</v>
      </c>
      <c r="D1789">
        <v>4.125</v>
      </c>
      <c r="E1789" s="2">
        <v>46326</v>
      </c>
      <c r="F1789" s="1" t="s">
        <v>16</v>
      </c>
      <c r="G1789" s="1" t="s">
        <v>796</v>
      </c>
      <c r="H1789" s="1" t="s">
        <v>2</v>
      </c>
      <c r="I1789" s="2">
        <v>46177</v>
      </c>
      <c r="J1789" s="1" t="s">
        <v>18</v>
      </c>
      <c r="K1789" s="1" t="s">
        <v>2405</v>
      </c>
      <c r="L1789" s="2">
        <v>46177.92087962963</v>
      </c>
      <c r="M1789" s="2">
        <v>46177.921329212964</v>
      </c>
    </row>
    <row r="1790" spans="1:13" x14ac:dyDescent="0.35">
      <c r="A1790" s="1" t="s">
        <v>795</v>
      </c>
      <c r="B1790" s="1" t="s">
        <v>13</v>
      </c>
      <c r="C1790" s="1" t="s">
        <v>796</v>
      </c>
      <c r="D1790">
        <v>4.125</v>
      </c>
      <c r="E1790" s="2">
        <v>46326</v>
      </c>
      <c r="F1790" s="1" t="s">
        <v>16</v>
      </c>
      <c r="G1790" s="1" t="s">
        <v>796</v>
      </c>
      <c r="H1790" s="1" t="s">
        <v>2</v>
      </c>
      <c r="I1790" s="2">
        <v>46177</v>
      </c>
      <c r="J1790" s="1" t="s">
        <v>214</v>
      </c>
      <c r="K1790" s="1" t="s">
        <v>4870</v>
      </c>
      <c r="L1790" s="2">
        <v>46177.918923611112</v>
      </c>
      <c r="M1790" s="2">
        <v>46177.921329212964</v>
      </c>
    </row>
    <row r="1791" spans="1:13" x14ac:dyDescent="0.35">
      <c r="A1791" s="1" t="s">
        <v>795</v>
      </c>
      <c r="B1791" s="1" t="s">
        <v>13</v>
      </c>
      <c r="C1791" s="1" t="s">
        <v>796</v>
      </c>
      <c r="D1791">
        <v>4.125</v>
      </c>
      <c r="E1791" s="2">
        <v>46326</v>
      </c>
      <c r="F1791" s="1" t="s">
        <v>16</v>
      </c>
      <c r="G1791" s="1" t="s">
        <v>796</v>
      </c>
      <c r="H1791" s="1" t="s">
        <v>2</v>
      </c>
      <c r="I1791" s="2">
        <v>46177</v>
      </c>
      <c r="J1791" s="1" t="s">
        <v>224</v>
      </c>
      <c r="K1791" s="1" t="s">
        <v>4870</v>
      </c>
      <c r="L1791" s="2">
        <v>46177.918923611112</v>
      </c>
      <c r="M1791" s="2">
        <v>46177.921329212964</v>
      </c>
    </row>
    <row r="1792" spans="1:13" x14ac:dyDescent="0.35">
      <c r="A1792" s="1" t="s">
        <v>795</v>
      </c>
      <c r="B1792" s="1" t="s">
        <v>13</v>
      </c>
      <c r="C1792" s="1" t="s">
        <v>796</v>
      </c>
      <c r="D1792">
        <v>4.125</v>
      </c>
      <c r="E1792" s="2">
        <v>46326</v>
      </c>
      <c r="F1792" s="1" t="s">
        <v>16</v>
      </c>
      <c r="G1792" s="1" t="s">
        <v>796</v>
      </c>
      <c r="H1792" s="1" t="s">
        <v>2</v>
      </c>
      <c r="I1792" s="2">
        <v>46177</v>
      </c>
      <c r="J1792" s="1" t="s">
        <v>17</v>
      </c>
      <c r="K1792" s="1" t="s">
        <v>2422</v>
      </c>
      <c r="L1792" s="2">
        <v>46177.92087962963</v>
      </c>
      <c r="M1792" s="2">
        <v>46177.921329212964</v>
      </c>
    </row>
    <row r="1793" spans="1:13" x14ac:dyDescent="0.35">
      <c r="A1793" s="1" t="s">
        <v>795</v>
      </c>
      <c r="B1793" s="1" t="s">
        <v>13</v>
      </c>
      <c r="C1793" s="1" t="s">
        <v>796</v>
      </c>
      <c r="D1793">
        <v>4.125</v>
      </c>
      <c r="E1793" s="2">
        <v>46326</v>
      </c>
      <c r="F1793" s="1" t="s">
        <v>16</v>
      </c>
      <c r="G1793" s="1" t="s">
        <v>796</v>
      </c>
      <c r="H1793" s="1" t="s">
        <v>2</v>
      </c>
      <c r="I1793" s="2">
        <v>46177</v>
      </c>
      <c r="J1793" s="1" t="s">
        <v>215</v>
      </c>
      <c r="K1793" s="1" t="s">
        <v>5177</v>
      </c>
      <c r="L1793" s="2">
        <v>46177.918923611112</v>
      </c>
      <c r="M1793" s="2">
        <v>46177.921329212964</v>
      </c>
    </row>
    <row r="1794" spans="1:13" x14ac:dyDescent="0.35">
      <c r="A1794" s="1" t="s">
        <v>856</v>
      </c>
      <c r="B1794" s="1" t="s">
        <v>13</v>
      </c>
      <c r="C1794" s="1" t="s">
        <v>857</v>
      </c>
      <c r="D1794">
        <v>4.125</v>
      </c>
      <c r="E1794" s="2">
        <v>48152</v>
      </c>
      <c r="F1794" s="1" t="s">
        <v>16</v>
      </c>
      <c r="G1794" s="1" t="s">
        <v>857</v>
      </c>
      <c r="H1794" s="1" t="s">
        <v>2</v>
      </c>
      <c r="I1794" s="2">
        <v>46177</v>
      </c>
      <c r="J1794" s="1" t="s">
        <v>18</v>
      </c>
      <c r="K1794" s="1" t="s">
        <v>2549</v>
      </c>
      <c r="L1794" s="2">
        <v>46177.92087962963</v>
      </c>
      <c r="M1794" s="2">
        <v>46177.921329212964</v>
      </c>
    </row>
    <row r="1795" spans="1:13" x14ac:dyDescent="0.35">
      <c r="A1795" s="1" t="s">
        <v>856</v>
      </c>
      <c r="B1795" s="1" t="s">
        <v>13</v>
      </c>
      <c r="C1795" s="1" t="s">
        <v>857</v>
      </c>
      <c r="D1795">
        <v>4.125</v>
      </c>
      <c r="E1795" s="2">
        <v>48152</v>
      </c>
      <c r="F1795" s="1" t="s">
        <v>16</v>
      </c>
      <c r="G1795" s="1" t="s">
        <v>857</v>
      </c>
      <c r="H1795" s="1" t="s">
        <v>2</v>
      </c>
      <c r="I1795" s="2">
        <v>46177</v>
      </c>
      <c r="J1795" s="1" t="s">
        <v>67</v>
      </c>
      <c r="K1795" s="1" t="s">
        <v>5162</v>
      </c>
      <c r="L1795" s="2">
        <v>46177.918923611112</v>
      </c>
      <c r="M1795" s="2">
        <v>46177.921329212964</v>
      </c>
    </row>
    <row r="1796" spans="1:13" x14ac:dyDescent="0.35">
      <c r="A1796" s="1" t="s">
        <v>856</v>
      </c>
      <c r="B1796" s="1" t="s">
        <v>13</v>
      </c>
      <c r="C1796" s="1" t="s">
        <v>857</v>
      </c>
      <c r="D1796">
        <v>4.125</v>
      </c>
      <c r="E1796" s="2">
        <v>48152</v>
      </c>
      <c r="F1796" s="1" t="s">
        <v>16</v>
      </c>
      <c r="G1796" s="1" t="s">
        <v>857</v>
      </c>
      <c r="H1796" s="1" t="s">
        <v>2</v>
      </c>
      <c r="I1796" s="2">
        <v>46177</v>
      </c>
      <c r="J1796" s="1" t="s">
        <v>214</v>
      </c>
      <c r="K1796" s="1" t="s">
        <v>4935</v>
      </c>
      <c r="L1796" s="2">
        <v>46177.918923611112</v>
      </c>
      <c r="M1796" s="2">
        <v>46177.921329212964</v>
      </c>
    </row>
    <row r="1797" spans="1:13" x14ac:dyDescent="0.35">
      <c r="A1797" s="1" t="s">
        <v>856</v>
      </c>
      <c r="B1797" s="1" t="s">
        <v>13</v>
      </c>
      <c r="C1797" s="1" t="s">
        <v>857</v>
      </c>
      <c r="D1797">
        <v>4.125</v>
      </c>
      <c r="E1797" s="2">
        <v>48152</v>
      </c>
      <c r="F1797" s="1" t="s">
        <v>16</v>
      </c>
      <c r="G1797" s="1" t="s">
        <v>857</v>
      </c>
      <c r="H1797" s="1" t="s">
        <v>2</v>
      </c>
      <c r="I1797" s="2">
        <v>46177</v>
      </c>
      <c r="J1797" s="1" t="s">
        <v>17</v>
      </c>
      <c r="K1797" s="1" t="s">
        <v>2540</v>
      </c>
      <c r="L1797" s="2">
        <v>46177.92087962963</v>
      </c>
      <c r="M1797" s="2">
        <v>46177.921329212964</v>
      </c>
    </row>
    <row r="1798" spans="1:13" x14ac:dyDescent="0.35">
      <c r="A1798" s="1" t="s">
        <v>856</v>
      </c>
      <c r="B1798" s="1" t="s">
        <v>13</v>
      </c>
      <c r="C1798" s="1" t="s">
        <v>857</v>
      </c>
      <c r="D1798">
        <v>4.125</v>
      </c>
      <c r="E1798" s="2">
        <v>48152</v>
      </c>
      <c r="F1798" s="1" t="s">
        <v>16</v>
      </c>
      <c r="G1798" s="1" t="s">
        <v>857</v>
      </c>
      <c r="H1798" s="1" t="s">
        <v>2</v>
      </c>
      <c r="I1798" s="2">
        <v>46177</v>
      </c>
      <c r="J1798" s="1" t="s">
        <v>224</v>
      </c>
      <c r="K1798" s="1" t="s">
        <v>4935</v>
      </c>
      <c r="L1798" s="2">
        <v>46177.918923611112</v>
      </c>
      <c r="M1798" s="2">
        <v>46177.921329212964</v>
      </c>
    </row>
    <row r="1799" spans="1:13" x14ac:dyDescent="0.35">
      <c r="A1799" s="1" t="s">
        <v>856</v>
      </c>
      <c r="B1799" s="1" t="s">
        <v>13</v>
      </c>
      <c r="C1799" s="1" t="s">
        <v>857</v>
      </c>
      <c r="D1799">
        <v>4.125</v>
      </c>
      <c r="E1799" s="2">
        <v>48152</v>
      </c>
      <c r="F1799" s="1" t="s">
        <v>16</v>
      </c>
      <c r="G1799" s="1" t="s">
        <v>857</v>
      </c>
      <c r="H1799" s="1" t="s">
        <v>2</v>
      </c>
      <c r="I1799" s="2">
        <v>46177</v>
      </c>
      <c r="J1799" s="1" t="s">
        <v>215</v>
      </c>
      <c r="K1799" s="1" t="s">
        <v>5162</v>
      </c>
      <c r="L1799" s="2">
        <v>46177.918923611112</v>
      </c>
      <c r="M1799" s="2">
        <v>46177.921329212964</v>
      </c>
    </row>
    <row r="1800" spans="1:13" x14ac:dyDescent="0.35">
      <c r="A1800" s="1" t="s">
        <v>864</v>
      </c>
      <c r="B1800" s="1" t="s">
        <v>13</v>
      </c>
      <c r="C1800" s="1" t="s">
        <v>865</v>
      </c>
      <c r="D1800">
        <v>1.625</v>
      </c>
      <c r="E1800" s="2">
        <v>47406</v>
      </c>
      <c r="F1800" s="1" t="s">
        <v>64</v>
      </c>
      <c r="G1800" s="1" t="s">
        <v>865</v>
      </c>
      <c r="H1800" s="1" t="s">
        <v>2</v>
      </c>
      <c r="I1800" s="2">
        <v>46177</v>
      </c>
      <c r="J1800" s="1" t="s">
        <v>18</v>
      </c>
      <c r="K1800" s="1" t="s">
        <v>2964</v>
      </c>
      <c r="L1800" s="2">
        <v>46177.92087962963</v>
      </c>
      <c r="M1800" s="2">
        <v>46177.921329212964</v>
      </c>
    </row>
    <row r="1801" spans="1:13" x14ac:dyDescent="0.35">
      <c r="A1801" s="1" t="s">
        <v>864</v>
      </c>
      <c r="B1801" s="1" t="s">
        <v>13</v>
      </c>
      <c r="C1801" s="1" t="s">
        <v>865</v>
      </c>
      <c r="D1801">
        <v>1.625</v>
      </c>
      <c r="E1801" s="2">
        <v>47406</v>
      </c>
      <c r="F1801" s="1" t="s">
        <v>64</v>
      </c>
      <c r="G1801" s="1" t="s">
        <v>865</v>
      </c>
      <c r="H1801" s="1" t="s">
        <v>2</v>
      </c>
      <c r="I1801" s="2">
        <v>46177</v>
      </c>
      <c r="J1801" s="1" t="s">
        <v>214</v>
      </c>
      <c r="K1801" s="1" t="s">
        <v>4936</v>
      </c>
      <c r="L1801" s="2">
        <v>46177.918923611112</v>
      </c>
      <c r="M1801" s="2">
        <v>46177.921329212964</v>
      </c>
    </row>
    <row r="1802" spans="1:13" x14ac:dyDescent="0.35">
      <c r="A1802" s="1" t="s">
        <v>864</v>
      </c>
      <c r="B1802" s="1" t="s">
        <v>13</v>
      </c>
      <c r="C1802" s="1" t="s">
        <v>865</v>
      </c>
      <c r="D1802">
        <v>1.625</v>
      </c>
      <c r="E1802" s="2">
        <v>47406</v>
      </c>
      <c r="F1802" s="1" t="s">
        <v>64</v>
      </c>
      <c r="G1802" s="1" t="s">
        <v>865</v>
      </c>
      <c r="H1802" s="1" t="s">
        <v>2</v>
      </c>
      <c r="I1802" s="2">
        <v>46177</v>
      </c>
      <c r="J1802" s="1" t="s">
        <v>17</v>
      </c>
      <c r="K1802" s="1" t="s">
        <v>2613</v>
      </c>
      <c r="L1802" s="2">
        <v>46177.92087962963</v>
      </c>
      <c r="M1802" s="2">
        <v>46177.921329212964</v>
      </c>
    </row>
    <row r="1803" spans="1:13" x14ac:dyDescent="0.35">
      <c r="A1803" s="1" t="s">
        <v>864</v>
      </c>
      <c r="B1803" s="1" t="s">
        <v>13</v>
      </c>
      <c r="C1803" s="1" t="s">
        <v>865</v>
      </c>
      <c r="D1803">
        <v>1.625</v>
      </c>
      <c r="E1803" s="2">
        <v>47406</v>
      </c>
      <c r="F1803" s="1" t="s">
        <v>64</v>
      </c>
      <c r="G1803" s="1" t="s">
        <v>865</v>
      </c>
      <c r="H1803" s="1" t="s">
        <v>2</v>
      </c>
      <c r="I1803" s="2">
        <v>46177</v>
      </c>
      <c r="J1803" s="1" t="s">
        <v>224</v>
      </c>
      <c r="K1803" s="1" t="s">
        <v>4936</v>
      </c>
      <c r="L1803" s="2">
        <v>46177.918923611112</v>
      </c>
      <c r="M1803" s="2">
        <v>46177.921329212964</v>
      </c>
    </row>
    <row r="1804" spans="1:13" x14ac:dyDescent="0.35">
      <c r="A1804" s="1" t="s">
        <v>864</v>
      </c>
      <c r="B1804" s="1" t="s">
        <v>13</v>
      </c>
      <c r="C1804" s="1" t="s">
        <v>865</v>
      </c>
      <c r="D1804">
        <v>1.625</v>
      </c>
      <c r="E1804" s="2">
        <v>47406</v>
      </c>
      <c r="F1804" s="1" t="s">
        <v>64</v>
      </c>
      <c r="G1804" s="1" t="s">
        <v>865</v>
      </c>
      <c r="H1804" s="1" t="s">
        <v>2</v>
      </c>
      <c r="I1804" s="2">
        <v>46177</v>
      </c>
      <c r="J1804" s="1" t="s">
        <v>67</v>
      </c>
      <c r="K1804" s="1" t="s">
        <v>5312</v>
      </c>
      <c r="L1804" s="2">
        <v>46177.918923611112</v>
      </c>
      <c r="M1804" s="2">
        <v>46177.921329212964</v>
      </c>
    </row>
    <row r="1805" spans="1:13" x14ac:dyDescent="0.35">
      <c r="A1805" s="1" t="s">
        <v>864</v>
      </c>
      <c r="B1805" s="1" t="s">
        <v>13</v>
      </c>
      <c r="C1805" s="1" t="s">
        <v>865</v>
      </c>
      <c r="D1805">
        <v>1.625</v>
      </c>
      <c r="E1805" s="2">
        <v>47406</v>
      </c>
      <c r="F1805" s="1" t="s">
        <v>64</v>
      </c>
      <c r="G1805" s="1" t="s">
        <v>865</v>
      </c>
      <c r="H1805" s="1" t="s">
        <v>2</v>
      </c>
      <c r="I1805" s="2">
        <v>46177</v>
      </c>
      <c r="J1805" s="1" t="s">
        <v>215</v>
      </c>
      <c r="K1805" s="1" t="s">
        <v>5312</v>
      </c>
      <c r="L1805" s="2">
        <v>46177.918923611112</v>
      </c>
      <c r="M1805" s="2">
        <v>46177.921329212964</v>
      </c>
    </row>
    <row r="1806" spans="1:13" x14ac:dyDescent="0.35">
      <c r="A1806" s="1" t="s">
        <v>858</v>
      </c>
      <c r="B1806" s="1" t="s">
        <v>13</v>
      </c>
      <c r="C1806" s="1" t="s">
        <v>859</v>
      </c>
      <c r="D1806">
        <v>4.25</v>
      </c>
      <c r="E1806" s="2">
        <v>49263</v>
      </c>
      <c r="F1806" s="1" t="s">
        <v>16</v>
      </c>
      <c r="G1806" s="1" t="s">
        <v>859</v>
      </c>
      <c r="H1806" s="1" t="s">
        <v>2</v>
      </c>
      <c r="I1806" s="2">
        <v>46177</v>
      </c>
      <c r="J1806" s="1" t="s">
        <v>215</v>
      </c>
      <c r="K1806" s="1" t="s">
        <v>5178</v>
      </c>
      <c r="L1806" s="2">
        <v>46177.918923611112</v>
      </c>
      <c r="M1806" s="2">
        <v>46177.921329212964</v>
      </c>
    </row>
    <row r="1807" spans="1:13" x14ac:dyDescent="0.35">
      <c r="A1807" s="1" t="s">
        <v>858</v>
      </c>
      <c r="B1807" s="1" t="s">
        <v>13</v>
      </c>
      <c r="C1807" s="1" t="s">
        <v>859</v>
      </c>
      <c r="D1807">
        <v>4.25</v>
      </c>
      <c r="E1807" s="2">
        <v>49263</v>
      </c>
      <c r="F1807" s="1" t="s">
        <v>16</v>
      </c>
      <c r="G1807" s="1" t="s">
        <v>859</v>
      </c>
      <c r="H1807" s="1" t="s">
        <v>2</v>
      </c>
      <c r="I1807" s="2">
        <v>46177</v>
      </c>
      <c r="J1807" s="1" t="s">
        <v>214</v>
      </c>
      <c r="K1807" s="1" t="s">
        <v>4937</v>
      </c>
      <c r="L1807" s="2">
        <v>46177.918923611112</v>
      </c>
      <c r="M1807" s="2">
        <v>46177.921329212964</v>
      </c>
    </row>
    <row r="1808" spans="1:13" x14ac:dyDescent="0.35">
      <c r="A1808" s="1" t="s">
        <v>858</v>
      </c>
      <c r="B1808" s="1" t="s">
        <v>13</v>
      </c>
      <c r="C1808" s="1" t="s">
        <v>859</v>
      </c>
      <c r="D1808">
        <v>4.25</v>
      </c>
      <c r="E1808" s="2">
        <v>49263</v>
      </c>
      <c r="F1808" s="1" t="s">
        <v>16</v>
      </c>
      <c r="G1808" s="1" t="s">
        <v>859</v>
      </c>
      <c r="H1808" s="1" t="s">
        <v>2</v>
      </c>
      <c r="I1808" s="2">
        <v>46177</v>
      </c>
      <c r="J1808" s="1" t="s">
        <v>18</v>
      </c>
      <c r="K1808" s="1" t="s">
        <v>2513</v>
      </c>
      <c r="L1808" s="2">
        <v>46177.92087962963</v>
      </c>
      <c r="M1808" s="2">
        <v>46177.921329212964</v>
      </c>
    </row>
    <row r="1809" spans="1:13" x14ac:dyDescent="0.35">
      <c r="A1809" s="1" t="s">
        <v>858</v>
      </c>
      <c r="B1809" s="1" t="s">
        <v>13</v>
      </c>
      <c r="C1809" s="1" t="s">
        <v>859</v>
      </c>
      <c r="D1809">
        <v>4.25</v>
      </c>
      <c r="E1809" s="2">
        <v>49263</v>
      </c>
      <c r="F1809" s="1" t="s">
        <v>16</v>
      </c>
      <c r="G1809" s="1" t="s">
        <v>859</v>
      </c>
      <c r="H1809" s="1" t="s">
        <v>2</v>
      </c>
      <c r="I1809" s="2">
        <v>46177</v>
      </c>
      <c r="J1809" s="1" t="s">
        <v>224</v>
      </c>
      <c r="K1809" s="1" t="s">
        <v>4937</v>
      </c>
      <c r="L1809" s="2">
        <v>46177.918923611112</v>
      </c>
      <c r="M1809" s="2">
        <v>46177.921329212964</v>
      </c>
    </row>
    <row r="1810" spans="1:13" x14ac:dyDescent="0.35">
      <c r="A1810" s="1" t="s">
        <v>858</v>
      </c>
      <c r="B1810" s="1" t="s">
        <v>13</v>
      </c>
      <c r="C1810" s="1" t="s">
        <v>859</v>
      </c>
      <c r="D1810">
        <v>4.25</v>
      </c>
      <c r="E1810" s="2">
        <v>49263</v>
      </c>
      <c r="F1810" s="1" t="s">
        <v>16</v>
      </c>
      <c r="G1810" s="1" t="s">
        <v>859</v>
      </c>
      <c r="H1810" s="1" t="s">
        <v>2</v>
      </c>
      <c r="I1810" s="2">
        <v>46177</v>
      </c>
      <c r="J1810" s="1" t="s">
        <v>17</v>
      </c>
      <c r="K1810" s="1" t="s">
        <v>2519</v>
      </c>
      <c r="L1810" s="2">
        <v>46177.92087962963</v>
      </c>
      <c r="M1810" s="2">
        <v>46177.921329212964</v>
      </c>
    </row>
    <row r="1811" spans="1:13" x14ac:dyDescent="0.35">
      <c r="A1811" s="1" t="s">
        <v>858</v>
      </c>
      <c r="B1811" s="1" t="s">
        <v>13</v>
      </c>
      <c r="C1811" s="1" t="s">
        <v>859</v>
      </c>
      <c r="D1811">
        <v>4.25</v>
      </c>
      <c r="E1811" s="2">
        <v>49263</v>
      </c>
      <c r="F1811" s="1" t="s">
        <v>16</v>
      </c>
      <c r="G1811" s="1" t="s">
        <v>859</v>
      </c>
      <c r="H1811" s="1" t="s">
        <v>2</v>
      </c>
      <c r="I1811" s="2">
        <v>46177</v>
      </c>
      <c r="J1811" s="1" t="s">
        <v>67</v>
      </c>
      <c r="K1811" s="1" t="s">
        <v>5178</v>
      </c>
      <c r="L1811" s="2">
        <v>46177.918923611112</v>
      </c>
      <c r="M1811" s="2">
        <v>46177.921329212964</v>
      </c>
    </row>
    <row r="1812" spans="1:13" x14ac:dyDescent="0.35">
      <c r="A1812" s="1" t="s">
        <v>886</v>
      </c>
      <c r="B1812" s="1" t="s">
        <v>13</v>
      </c>
      <c r="C1812" s="1" t="s">
        <v>887</v>
      </c>
      <c r="D1812">
        <v>4.125</v>
      </c>
      <c r="E1812" s="2">
        <v>46706</v>
      </c>
      <c r="F1812" s="1" t="s">
        <v>16</v>
      </c>
      <c r="G1812" s="1" t="s">
        <v>887</v>
      </c>
      <c r="H1812" s="1" t="s">
        <v>2</v>
      </c>
      <c r="I1812" s="2">
        <v>46177</v>
      </c>
      <c r="J1812" s="1" t="s">
        <v>17</v>
      </c>
      <c r="K1812" s="1" t="s">
        <v>2599</v>
      </c>
      <c r="L1812" s="2">
        <v>46177.92087962963</v>
      </c>
      <c r="M1812" s="2">
        <v>46177.921329212964</v>
      </c>
    </row>
    <row r="1813" spans="1:13" x14ac:dyDescent="0.35">
      <c r="A1813" s="1" t="s">
        <v>886</v>
      </c>
      <c r="B1813" s="1" t="s">
        <v>13</v>
      </c>
      <c r="C1813" s="1" t="s">
        <v>887</v>
      </c>
      <c r="D1813">
        <v>4.125</v>
      </c>
      <c r="E1813" s="2">
        <v>46706</v>
      </c>
      <c r="F1813" s="1" t="s">
        <v>16</v>
      </c>
      <c r="G1813" s="1" t="s">
        <v>887</v>
      </c>
      <c r="H1813" s="1" t="s">
        <v>2</v>
      </c>
      <c r="I1813" s="2">
        <v>46177</v>
      </c>
      <c r="J1813" s="1" t="s">
        <v>18</v>
      </c>
      <c r="K1813" s="1" t="s">
        <v>2675</v>
      </c>
      <c r="L1813" s="2">
        <v>46177.92087962963</v>
      </c>
      <c r="M1813" s="2">
        <v>46177.921329212964</v>
      </c>
    </row>
    <row r="1814" spans="1:13" x14ac:dyDescent="0.35">
      <c r="A1814" s="1" t="s">
        <v>886</v>
      </c>
      <c r="B1814" s="1" t="s">
        <v>13</v>
      </c>
      <c r="C1814" s="1" t="s">
        <v>887</v>
      </c>
      <c r="D1814">
        <v>4.125</v>
      </c>
      <c r="E1814" s="2">
        <v>46706</v>
      </c>
      <c r="F1814" s="1" t="s">
        <v>16</v>
      </c>
      <c r="G1814" s="1" t="s">
        <v>887</v>
      </c>
      <c r="H1814" s="1" t="s">
        <v>2</v>
      </c>
      <c r="I1814" s="2">
        <v>46177</v>
      </c>
      <c r="J1814" s="1" t="s">
        <v>67</v>
      </c>
      <c r="K1814" s="1" t="s">
        <v>4938</v>
      </c>
      <c r="L1814" s="2">
        <v>46177.918923611112</v>
      </c>
      <c r="M1814" s="2">
        <v>46177.921329212964</v>
      </c>
    </row>
    <row r="1815" spans="1:13" x14ac:dyDescent="0.35">
      <c r="A1815" s="1" t="s">
        <v>886</v>
      </c>
      <c r="B1815" s="1" t="s">
        <v>13</v>
      </c>
      <c r="C1815" s="1" t="s">
        <v>887</v>
      </c>
      <c r="D1815">
        <v>4.125</v>
      </c>
      <c r="E1815" s="2">
        <v>46706</v>
      </c>
      <c r="F1815" s="1" t="s">
        <v>16</v>
      </c>
      <c r="G1815" s="1" t="s">
        <v>887</v>
      </c>
      <c r="H1815" s="1" t="s">
        <v>2</v>
      </c>
      <c r="I1815" s="2">
        <v>46177</v>
      </c>
      <c r="J1815" s="1" t="s">
        <v>224</v>
      </c>
      <c r="K1815" s="1" t="s">
        <v>5027</v>
      </c>
      <c r="L1815" s="2">
        <v>46177.918923611112</v>
      </c>
      <c r="M1815" s="2">
        <v>46177.921329212964</v>
      </c>
    </row>
    <row r="1816" spans="1:13" x14ac:dyDescent="0.35">
      <c r="A1816" s="1" t="s">
        <v>886</v>
      </c>
      <c r="B1816" s="1" t="s">
        <v>13</v>
      </c>
      <c r="C1816" s="1" t="s">
        <v>887</v>
      </c>
      <c r="D1816">
        <v>4.125</v>
      </c>
      <c r="E1816" s="2">
        <v>46706</v>
      </c>
      <c r="F1816" s="1" t="s">
        <v>16</v>
      </c>
      <c r="G1816" s="1" t="s">
        <v>887</v>
      </c>
      <c r="H1816" s="1" t="s">
        <v>2</v>
      </c>
      <c r="I1816" s="2">
        <v>46177</v>
      </c>
      <c r="J1816" s="1" t="s">
        <v>214</v>
      </c>
      <c r="K1816" s="1" t="s">
        <v>5027</v>
      </c>
      <c r="L1816" s="2">
        <v>46177.918923611112</v>
      </c>
      <c r="M1816" s="2">
        <v>46177.921329212964</v>
      </c>
    </row>
    <row r="1817" spans="1:13" x14ac:dyDescent="0.35">
      <c r="A1817" s="1" t="s">
        <v>886</v>
      </c>
      <c r="B1817" s="1" t="s">
        <v>13</v>
      </c>
      <c r="C1817" s="1" t="s">
        <v>887</v>
      </c>
      <c r="D1817">
        <v>4.125</v>
      </c>
      <c r="E1817" s="2">
        <v>46706</v>
      </c>
      <c r="F1817" s="1" t="s">
        <v>16</v>
      </c>
      <c r="G1817" s="1" t="s">
        <v>887</v>
      </c>
      <c r="H1817" s="1" t="s">
        <v>2</v>
      </c>
      <c r="I1817" s="2">
        <v>46177</v>
      </c>
      <c r="J1817" s="1" t="s">
        <v>215</v>
      </c>
      <c r="K1817" s="1" t="s">
        <v>4938</v>
      </c>
      <c r="L1817" s="2">
        <v>46177.918923611112</v>
      </c>
      <c r="M1817" s="2">
        <v>46177.921329212964</v>
      </c>
    </row>
    <row r="1818" spans="1:13" x14ac:dyDescent="0.35">
      <c r="A1818" s="1" t="s">
        <v>866</v>
      </c>
      <c r="B1818" s="1" t="s">
        <v>13</v>
      </c>
      <c r="C1818" s="1" t="s">
        <v>867</v>
      </c>
      <c r="D1818">
        <v>4.25</v>
      </c>
      <c r="E1818" s="2">
        <v>46356</v>
      </c>
      <c r="F1818" s="1" t="s">
        <v>16</v>
      </c>
      <c r="G1818" s="1" t="s">
        <v>867</v>
      </c>
      <c r="H1818" s="1" t="s">
        <v>2</v>
      </c>
      <c r="I1818" s="2">
        <v>46177</v>
      </c>
      <c r="J1818" s="1" t="s">
        <v>17</v>
      </c>
      <c r="K1818" s="1" t="s">
        <v>2429</v>
      </c>
      <c r="L1818" s="2">
        <v>46177.92087962963</v>
      </c>
      <c r="M1818" s="2">
        <v>46177.921329212964</v>
      </c>
    </row>
    <row r="1819" spans="1:13" x14ac:dyDescent="0.35">
      <c r="A1819" s="1" t="s">
        <v>866</v>
      </c>
      <c r="B1819" s="1" t="s">
        <v>13</v>
      </c>
      <c r="C1819" s="1" t="s">
        <v>867</v>
      </c>
      <c r="D1819">
        <v>4.25</v>
      </c>
      <c r="E1819" s="2">
        <v>46356</v>
      </c>
      <c r="F1819" s="1" t="s">
        <v>16</v>
      </c>
      <c r="G1819" s="1" t="s">
        <v>867</v>
      </c>
      <c r="H1819" s="1" t="s">
        <v>2</v>
      </c>
      <c r="I1819" s="2">
        <v>46177</v>
      </c>
      <c r="J1819" s="1" t="s">
        <v>18</v>
      </c>
      <c r="K1819" s="1" t="s">
        <v>2408</v>
      </c>
      <c r="L1819" s="2">
        <v>46177.92087962963</v>
      </c>
      <c r="M1819" s="2">
        <v>46177.921329212964</v>
      </c>
    </row>
    <row r="1820" spans="1:13" x14ac:dyDescent="0.35">
      <c r="A1820" s="1" t="s">
        <v>866</v>
      </c>
      <c r="B1820" s="1" t="s">
        <v>13</v>
      </c>
      <c r="C1820" s="1" t="s">
        <v>867</v>
      </c>
      <c r="D1820">
        <v>4.25</v>
      </c>
      <c r="E1820" s="2">
        <v>46356</v>
      </c>
      <c r="F1820" s="1" t="s">
        <v>16</v>
      </c>
      <c r="G1820" s="1" t="s">
        <v>867</v>
      </c>
      <c r="H1820" s="1" t="s">
        <v>2</v>
      </c>
      <c r="I1820" s="2">
        <v>46177</v>
      </c>
      <c r="J1820" s="1" t="s">
        <v>214</v>
      </c>
      <c r="K1820" s="1" t="s">
        <v>4974</v>
      </c>
      <c r="L1820" s="2">
        <v>46177.918923611112</v>
      </c>
      <c r="M1820" s="2">
        <v>46177.921329212964</v>
      </c>
    </row>
    <row r="1821" spans="1:13" x14ac:dyDescent="0.35">
      <c r="A1821" s="1" t="s">
        <v>866</v>
      </c>
      <c r="B1821" s="1" t="s">
        <v>13</v>
      </c>
      <c r="C1821" s="1" t="s">
        <v>867</v>
      </c>
      <c r="D1821">
        <v>4.25</v>
      </c>
      <c r="E1821" s="2">
        <v>46356</v>
      </c>
      <c r="F1821" s="1" t="s">
        <v>16</v>
      </c>
      <c r="G1821" s="1" t="s">
        <v>867</v>
      </c>
      <c r="H1821" s="1" t="s">
        <v>2</v>
      </c>
      <c r="I1821" s="2">
        <v>46177</v>
      </c>
      <c r="J1821" s="1" t="s">
        <v>67</v>
      </c>
      <c r="K1821" s="1" t="s">
        <v>5163</v>
      </c>
      <c r="L1821" s="2">
        <v>46177.918923611112</v>
      </c>
      <c r="M1821" s="2">
        <v>46177.921329212964</v>
      </c>
    </row>
    <row r="1822" spans="1:13" x14ac:dyDescent="0.35">
      <c r="A1822" s="1" t="s">
        <v>866</v>
      </c>
      <c r="B1822" s="1" t="s">
        <v>13</v>
      </c>
      <c r="C1822" s="1" t="s">
        <v>867</v>
      </c>
      <c r="D1822">
        <v>4.25</v>
      </c>
      <c r="E1822" s="2">
        <v>46356</v>
      </c>
      <c r="F1822" s="1" t="s">
        <v>16</v>
      </c>
      <c r="G1822" s="1" t="s">
        <v>867</v>
      </c>
      <c r="H1822" s="1" t="s">
        <v>2</v>
      </c>
      <c r="I1822" s="2">
        <v>46177</v>
      </c>
      <c r="J1822" s="1" t="s">
        <v>224</v>
      </c>
      <c r="K1822" s="1" t="s">
        <v>4974</v>
      </c>
      <c r="L1822" s="2">
        <v>46177.918923611112</v>
      </c>
      <c r="M1822" s="2">
        <v>46177.921329212964</v>
      </c>
    </row>
    <row r="1823" spans="1:13" x14ac:dyDescent="0.35">
      <c r="A1823" s="1" t="s">
        <v>866</v>
      </c>
      <c r="B1823" s="1" t="s">
        <v>13</v>
      </c>
      <c r="C1823" s="1" t="s">
        <v>867</v>
      </c>
      <c r="D1823">
        <v>4.25</v>
      </c>
      <c r="E1823" s="2">
        <v>46356</v>
      </c>
      <c r="F1823" s="1" t="s">
        <v>16</v>
      </c>
      <c r="G1823" s="1" t="s">
        <v>867</v>
      </c>
      <c r="H1823" s="1" t="s">
        <v>2</v>
      </c>
      <c r="I1823" s="2">
        <v>46177</v>
      </c>
      <c r="J1823" s="1" t="s">
        <v>215</v>
      </c>
      <c r="K1823" s="1" t="s">
        <v>5163</v>
      </c>
      <c r="L1823" s="2">
        <v>46177.918923611112</v>
      </c>
      <c r="M1823" s="2">
        <v>46177.921329212964</v>
      </c>
    </row>
    <row r="1824" spans="1:13" x14ac:dyDescent="0.35">
      <c r="A1824" s="1" t="s">
        <v>868</v>
      </c>
      <c r="B1824" s="1" t="s">
        <v>13</v>
      </c>
      <c r="C1824" s="1" t="s">
        <v>869</v>
      </c>
      <c r="D1824">
        <v>4.125</v>
      </c>
      <c r="E1824" s="2">
        <v>48182</v>
      </c>
      <c r="F1824" s="1" t="s">
        <v>16</v>
      </c>
      <c r="G1824" s="1" t="s">
        <v>869</v>
      </c>
      <c r="H1824" s="1" t="s">
        <v>2</v>
      </c>
      <c r="I1824" s="2">
        <v>46177</v>
      </c>
      <c r="J1824" s="1" t="s">
        <v>224</v>
      </c>
      <c r="K1824" s="1" t="s">
        <v>5028</v>
      </c>
      <c r="L1824" s="2">
        <v>46177.918923611112</v>
      </c>
      <c r="M1824" s="2">
        <v>46177.921329212964</v>
      </c>
    </row>
    <row r="1825" spans="1:13" x14ac:dyDescent="0.35">
      <c r="A1825" s="1" t="s">
        <v>868</v>
      </c>
      <c r="B1825" s="1" t="s">
        <v>13</v>
      </c>
      <c r="C1825" s="1" t="s">
        <v>869</v>
      </c>
      <c r="D1825">
        <v>4.125</v>
      </c>
      <c r="E1825" s="2">
        <v>48182</v>
      </c>
      <c r="F1825" s="1" t="s">
        <v>16</v>
      </c>
      <c r="G1825" s="1" t="s">
        <v>869</v>
      </c>
      <c r="H1825" s="1" t="s">
        <v>2</v>
      </c>
      <c r="I1825" s="2">
        <v>46177</v>
      </c>
      <c r="J1825" s="1" t="s">
        <v>214</v>
      </c>
      <c r="K1825" s="1" t="s">
        <v>5028</v>
      </c>
      <c r="L1825" s="2">
        <v>46177.918923611112</v>
      </c>
      <c r="M1825" s="2">
        <v>46177.921329212964</v>
      </c>
    </row>
    <row r="1826" spans="1:13" x14ac:dyDescent="0.35">
      <c r="A1826" s="1" t="s">
        <v>868</v>
      </c>
      <c r="B1826" s="1" t="s">
        <v>13</v>
      </c>
      <c r="C1826" s="1" t="s">
        <v>869</v>
      </c>
      <c r="D1826">
        <v>4.125</v>
      </c>
      <c r="E1826" s="2">
        <v>48182</v>
      </c>
      <c r="F1826" s="1" t="s">
        <v>16</v>
      </c>
      <c r="G1826" s="1" t="s">
        <v>869</v>
      </c>
      <c r="H1826" s="1" t="s">
        <v>2</v>
      </c>
      <c r="I1826" s="2">
        <v>46177</v>
      </c>
      <c r="J1826" s="1" t="s">
        <v>215</v>
      </c>
      <c r="K1826" s="1" t="s">
        <v>5029</v>
      </c>
      <c r="L1826" s="2">
        <v>46177.918923611112</v>
      </c>
      <c r="M1826" s="2">
        <v>46177.921329212964</v>
      </c>
    </row>
    <row r="1827" spans="1:13" x14ac:dyDescent="0.35">
      <c r="A1827" s="1" t="s">
        <v>868</v>
      </c>
      <c r="B1827" s="1" t="s">
        <v>13</v>
      </c>
      <c r="C1827" s="1" t="s">
        <v>869</v>
      </c>
      <c r="D1827">
        <v>4.125</v>
      </c>
      <c r="E1827" s="2">
        <v>48182</v>
      </c>
      <c r="F1827" s="1" t="s">
        <v>16</v>
      </c>
      <c r="G1827" s="1" t="s">
        <v>869</v>
      </c>
      <c r="H1827" s="1" t="s">
        <v>2</v>
      </c>
      <c r="I1827" s="2">
        <v>46177</v>
      </c>
      <c r="J1827" s="1" t="s">
        <v>18</v>
      </c>
      <c r="K1827" s="1" t="s">
        <v>2963</v>
      </c>
      <c r="L1827" s="2">
        <v>46177.92087962963</v>
      </c>
      <c r="M1827" s="2">
        <v>46177.921329212964</v>
      </c>
    </row>
    <row r="1828" spans="1:13" x14ac:dyDescent="0.35">
      <c r="A1828" s="1" t="s">
        <v>868</v>
      </c>
      <c r="B1828" s="1" t="s">
        <v>13</v>
      </c>
      <c r="C1828" s="1" t="s">
        <v>869</v>
      </c>
      <c r="D1828">
        <v>4.125</v>
      </c>
      <c r="E1828" s="2">
        <v>48182</v>
      </c>
      <c r="F1828" s="1" t="s">
        <v>16</v>
      </c>
      <c r="G1828" s="1" t="s">
        <v>869</v>
      </c>
      <c r="H1828" s="1" t="s">
        <v>2</v>
      </c>
      <c r="I1828" s="2">
        <v>46177</v>
      </c>
      <c r="J1828" s="1" t="s">
        <v>17</v>
      </c>
      <c r="K1828" s="1" t="s">
        <v>2930</v>
      </c>
      <c r="L1828" s="2">
        <v>46177.92087962963</v>
      </c>
      <c r="M1828" s="2">
        <v>46177.921329212964</v>
      </c>
    </row>
    <row r="1829" spans="1:13" x14ac:dyDescent="0.35">
      <c r="A1829" s="1" t="s">
        <v>868</v>
      </c>
      <c r="B1829" s="1" t="s">
        <v>13</v>
      </c>
      <c r="C1829" s="1" t="s">
        <v>869</v>
      </c>
      <c r="D1829">
        <v>4.125</v>
      </c>
      <c r="E1829" s="2">
        <v>48182</v>
      </c>
      <c r="F1829" s="1" t="s">
        <v>16</v>
      </c>
      <c r="G1829" s="1" t="s">
        <v>869</v>
      </c>
      <c r="H1829" s="1" t="s">
        <v>2</v>
      </c>
      <c r="I1829" s="2">
        <v>46177</v>
      </c>
      <c r="J1829" s="1" t="s">
        <v>67</v>
      </c>
      <c r="K1829" s="1" t="s">
        <v>5029</v>
      </c>
      <c r="L1829" s="2">
        <v>46177.918923611112</v>
      </c>
      <c r="M1829" s="2">
        <v>46177.921329212964</v>
      </c>
    </row>
    <row r="1830" spans="1:13" x14ac:dyDescent="0.35">
      <c r="A1830" s="1" t="s">
        <v>860</v>
      </c>
      <c r="B1830" s="1" t="s">
        <v>13</v>
      </c>
      <c r="C1830" s="1" t="s">
        <v>861</v>
      </c>
      <c r="D1830">
        <v>4.125</v>
      </c>
      <c r="E1830" s="2">
        <v>47452</v>
      </c>
      <c r="F1830" s="1" t="s">
        <v>16</v>
      </c>
      <c r="G1830" s="1" t="s">
        <v>861</v>
      </c>
      <c r="H1830" s="1" t="s">
        <v>2</v>
      </c>
      <c r="I1830" s="2">
        <v>46177</v>
      </c>
      <c r="J1830" s="1" t="s">
        <v>215</v>
      </c>
      <c r="K1830" s="1" t="s">
        <v>5164</v>
      </c>
      <c r="L1830" s="2">
        <v>46177.918923611112</v>
      </c>
      <c r="M1830" s="2">
        <v>46177.921329212964</v>
      </c>
    </row>
    <row r="1831" spans="1:13" x14ac:dyDescent="0.35">
      <c r="A1831" s="1" t="s">
        <v>860</v>
      </c>
      <c r="B1831" s="1" t="s">
        <v>13</v>
      </c>
      <c r="C1831" s="1" t="s">
        <v>861</v>
      </c>
      <c r="D1831">
        <v>4.125</v>
      </c>
      <c r="E1831" s="2">
        <v>47452</v>
      </c>
      <c r="F1831" s="1" t="s">
        <v>16</v>
      </c>
      <c r="G1831" s="1" t="s">
        <v>861</v>
      </c>
      <c r="H1831" s="1" t="s">
        <v>2</v>
      </c>
      <c r="I1831" s="2">
        <v>46177</v>
      </c>
      <c r="J1831" s="1" t="s">
        <v>18</v>
      </c>
      <c r="K1831" s="1" t="s">
        <v>2483</v>
      </c>
      <c r="L1831" s="2">
        <v>46177.92087962963</v>
      </c>
      <c r="M1831" s="2">
        <v>46177.921329212964</v>
      </c>
    </row>
    <row r="1832" spans="1:13" x14ac:dyDescent="0.35">
      <c r="A1832" s="1" t="s">
        <v>860</v>
      </c>
      <c r="B1832" s="1" t="s">
        <v>13</v>
      </c>
      <c r="C1832" s="1" t="s">
        <v>861</v>
      </c>
      <c r="D1832">
        <v>4.125</v>
      </c>
      <c r="E1832" s="2">
        <v>47452</v>
      </c>
      <c r="F1832" s="1" t="s">
        <v>16</v>
      </c>
      <c r="G1832" s="1" t="s">
        <v>861</v>
      </c>
      <c r="H1832" s="1" t="s">
        <v>2</v>
      </c>
      <c r="I1832" s="2">
        <v>46177</v>
      </c>
      <c r="J1832" s="1" t="s">
        <v>17</v>
      </c>
      <c r="K1832" s="1" t="s">
        <v>2545</v>
      </c>
      <c r="L1832" s="2">
        <v>46177.92087962963</v>
      </c>
      <c r="M1832" s="2">
        <v>46177.921329212964</v>
      </c>
    </row>
    <row r="1833" spans="1:13" x14ac:dyDescent="0.35">
      <c r="A1833" s="1" t="s">
        <v>860</v>
      </c>
      <c r="B1833" s="1" t="s">
        <v>13</v>
      </c>
      <c r="C1833" s="1" t="s">
        <v>861</v>
      </c>
      <c r="D1833">
        <v>4.125</v>
      </c>
      <c r="E1833" s="2">
        <v>47452</v>
      </c>
      <c r="F1833" s="1" t="s">
        <v>16</v>
      </c>
      <c r="G1833" s="1" t="s">
        <v>861</v>
      </c>
      <c r="H1833" s="1" t="s">
        <v>2</v>
      </c>
      <c r="I1833" s="2">
        <v>46177</v>
      </c>
      <c r="J1833" s="1" t="s">
        <v>67</v>
      </c>
      <c r="K1833" s="1" t="s">
        <v>5164</v>
      </c>
      <c r="L1833" s="2">
        <v>46177.918923611112</v>
      </c>
      <c r="M1833" s="2">
        <v>46177.921329212964</v>
      </c>
    </row>
    <row r="1834" spans="1:13" x14ac:dyDescent="0.35">
      <c r="A1834" s="1" t="s">
        <v>860</v>
      </c>
      <c r="B1834" s="1" t="s">
        <v>13</v>
      </c>
      <c r="C1834" s="1" t="s">
        <v>861</v>
      </c>
      <c r="D1834">
        <v>4.125</v>
      </c>
      <c r="E1834" s="2">
        <v>47452</v>
      </c>
      <c r="F1834" s="1" t="s">
        <v>16</v>
      </c>
      <c r="G1834" s="1" t="s">
        <v>861</v>
      </c>
      <c r="H1834" s="1" t="s">
        <v>2</v>
      </c>
      <c r="I1834" s="2">
        <v>46177</v>
      </c>
      <c r="J1834" s="1" t="s">
        <v>224</v>
      </c>
      <c r="K1834" s="1" t="s">
        <v>5165</v>
      </c>
      <c r="L1834" s="2">
        <v>46177.918923611112</v>
      </c>
      <c r="M1834" s="2">
        <v>46177.921329212964</v>
      </c>
    </row>
    <row r="1835" spans="1:13" x14ac:dyDescent="0.35">
      <c r="A1835" s="1" t="s">
        <v>860</v>
      </c>
      <c r="B1835" s="1" t="s">
        <v>13</v>
      </c>
      <c r="C1835" s="1" t="s">
        <v>861</v>
      </c>
      <c r="D1835">
        <v>4.125</v>
      </c>
      <c r="E1835" s="2">
        <v>47452</v>
      </c>
      <c r="F1835" s="1" t="s">
        <v>16</v>
      </c>
      <c r="G1835" s="1" t="s">
        <v>861</v>
      </c>
      <c r="H1835" s="1" t="s">
        <v>2</v>
      </c>
      <c r="I1835" s="2">
        <v>46177</v>
      </c>
      <c r="J1835" s="1" t="s">
        <v>214</v>
      </c>
      <c r="K1835" s="1" t="s">
        <v>5165</v>
      </c>
      <c r="L1835" s="2">
        <v>46177.918923611112</v>
      </c>
      <c r="M1835" s="2">
        <v>46177.921329212964</v>
      </c>
    </row>
    <row r="1836" spans="1:13" x14ac:dyDescent="0.35">
      <c r="A1836" s="1" t="s">
        <v>797</v>
      </c>
      <c r="B1836" s="1" t="s">
        <v>13</v>
      </c>
      <c r="C1836" s="1" t="s">
        <v>798</v>
      </c>
      <c r="D1836">
        <v>4</v>
      </c>
      <c r="E1836" s="2">
        <v>46736</v>
      </c>
      <c r="F1836" s="1" t="s">
        <v>16</v>
      </c>
      <c r="G1836" s="1" t="s">
        <v>798</v>
      </c>
      <c r="H1836" s="1" t="s">
        <v>2</v>
      </c>
      <c r="I1836" s="2">
        <v>46177</v>
      </c>
      <c r="J1836" s="1" t="s">
        <v>17</v>
      </c>
      <c r="K1836" s="1" t="s">
        <v>2545</v>
      </c>
      <c r="L1836" s="2">
        <v>46177.92087962963</v>
      </c>
      <c r="M1836" s="2">
        <v>46177.921329212964</v>
      </c>
    </row>
    <row r="1837" spans="1:13" x14ac:dyDescent="0.35">
      <c r="A1837" s="1" t="s">
        <v>797</v>
      </c>
      <c r="B1837" s="1" t="s">
        <v>13</v>
      </c>
      <c r="C1837" s="1" t="s">
        <v>798</v>
      </c>
      <c r="D1837">
        <v>4</v>
      </c>
      <c r="E1837" s="2">
        <v>46736</v>
      </c>
      <c r="F1837" s="1" t="s">
        <v>16</v>
      </c>
      <c r="G1837" s="1" t="s">
        <v>798</v>
      </c>
      <c r="H1837" s="1" t="s">
        <v>2</v>
      </c>
      <c r="I1837" s="2">
        <v>46177</v>
      </c>
      <c r="J1837" s="1" t="s">
        <v>67</v>
      </c>
      <c r="K1837" s="1" t="s">
        <v>5030</v>
      </c>
      <c r="L1837" s="2">
        <v>46177.918923611112</v>
      </c>
      <c r="M1837" s="2">
        <v>46177.921329212964</v>
      </c>
    </row>
    <row r="1838" spans="1:13" x14ac:dyDescent="0.35">
      <c r="A1838" s="1" t="s">
        <v>797</v>
      </c>
      <c r="B1838" s="1" t="s">
        <v>13</v>
      </c>
      <c r="C1838" s="1" t="s">
        <v>798</v>
      </c>
      <c r="D1838">
        <v>4</v>
      </c>
      <c r="E1838" s="2">
        <v>46736</v>
      </c>
      <c r="F1838" s="1" t="s">
        <v>16</v>
      </c>
      <c r="G1838" s="1" t="s">
        <v>798</v>
      </c>
      <c r="H1838" s="1" t="s">
        <v>2</v>
      </c>
      <c r="I1838" s="2">
        <v>46177</v>
      </c>
      <c r="J1838" s="1" t="s">
        <v>224</v>
      </c>
      <c r="K1838" s="1" t="s">
        <v>4975</v>
      </c>
      <c r="L1838" s="2">
        <v>46177.918923611112</v>
      </c>
      <c r="M1838" s="2">
        <v>46177.921329212964</v>
      </c>
    </row>
    <row r="1839" spans="1:13" x14ac:dyDescent="0.35">
      <c r="A1839" s="1" t="s">
        <v>797</v>
      </c>
      <c r="B1839" s="1" t="s">
        <v>13</v>
      </c>
      <c r="C1839" s="1" t="s">
        <v>798</v>
      </c>
      <c r="D1839">
        <v>4</v>
      </c>
      <c r="E1839" s="2">
        <v>46736</v>
      </c>
      <c r="F1839" s="1" t="s">
        <v>16</v>
      </c>
      <c r="G1839" s="1" t="s">
        <v>798</v>
      </c>
      <c r="H1839" s="1" t="s">
        <v>2</v>
      </c>
      <c r="I1839" s="2">
        <v>46177</v>
      </c>
      <c r="J1839" s="1" t="s">
        <v>214</v>
      </c>
      <c r="K1839" s="1" t="s">
        <v>4975</v>
      </c>
      <c r="L1839" s="2">
        <v>46177.918923611112</v>
      </c>
      <c r="M1839" s="2">
        <v>46177.921329212964</v>
      </c>
    </row>
    <row r="1840" spans="1:13" x14ac:dyDescent="0.35">
      <c r="A1840" s="1" t="s">
        <v>797</v>
      </c>
      <c r="B1840" s="1" t="s">
        <v>13</v>
      </c>
      <c r="C1840" s="1" t="s">
        <v>798</v>
      </c>
      <c r="D1840">
        <v>4</v>
      </c>
      <c r="E1840" s="2">
        <v>46736</v>
      </c>
      <c r="F1840" s="1" t="s">
        <v>16</v>
      </c>
      <c r="G1840" s="1" t="s">
        <v>798</v>
      </c>
      <c r="H1840" s="1" t="s">
        <v>2</v>
      </c>
      <c r="I1840" s="2">
        <v>46177</v>
      </c>
      <c r="J1840" s="1" t="s">
        <v>18</v>
      </c>
      <c r="K1840" s="1" t="s">
        <v>2511</v>
      </c>
      <c r="L1840" s="2">
        <v>46177.92087962963</v>
      </c>
      <c r="M1840" s="2">
        <v>46177.921329212964</v>
      </c>
    </row>
    <row r="1841" spans="1:13" x14ac:dyDescent="0.35">
      <c r="A1841" s="1" t="s">
        <v>797</v>
      </c>
      <c r="B1841" s="1" t="s">
        <v>13</v>
      </c>
      <c r="C1841" s="1" t="s">
        <v>798</v>
      </c>
      <c r="D1841">
        <v>4</v>
      </c>
      <c r="E1841" s="2">
        <v>46736</v>
      </c>
      <c r="F1841" s="1" t="s">
        <v>16</v>
      </c>
      <c r="G1841" s="1" t="s">
        <v>798</v>
      </c>
      <c r="H1841" s="1" t="s">
        <v>2</v>
      </c>
      <c r="I1841" s="2">
        <v>46177</v>
      </c>
      <c r="J1841" s="1" t="s">
        <v>215</v>
      </c>
      <c r="K1841" s="1" t="s">
        <v>5030</v>
      </c>
      <c r="L1841" s="2">
        <v>46177.918923611112</v>
      </c>
      <c r="M1841" s="2">
        <v>46177.921329212964</v>
      </c>
    </row>
    <row r="1842" spans="1:13" x14ac:dyDescent="0.35">
      <c r="A1842" s="1" t="s">
        <v>862</v>
      </c>
      <c r="B1842" s="1" t="s">
        <v>13</v>
      </c>
      <c r="C1842" s="1" t="s">
        <v>863</v>
      </c>
      <c r="D1842">
        <v>4.5</v>
      </c>
      <c r="E1842" s="2">
        <v>48213</v>
      </c>
      <c r="F1842" s="1" t="s">
        <v>16</v>
      </c>
      <c r="G1842" s="1" t="s">
        <v>863</v>
      </c>
      <c r="H1842" s="1" t="s">
        <v>2</v>
      </c>
      <c r="I1842" s="2">
        <v>46177</v>
      </c>
      <c r="J1842" s="1" t="s">
        <v>224</v>
      </c>
      <c r="K1842" s="1" t="s">
        <v>4976</v>
      </c>
      <c r="L1842" s="2">
        <v>46177.918923611112</v>
      </c>
      <c r="M1842" s="2">
        <v>46177.921329212964</v>
      </c>
    </row>
    <row r="1843" spans="1:13" x14ac:dyDescent="0.35">
      <c r="A1843" s="1" t="s">
        <v>862</v>
      </c>
      <c r="B1843" s="1" t="s">
        <v>13</v>
      </c>
      <c r="C1843" s="1" t="s">
        <v>863</v>
      </c>
      <c r="D1843">
        <v>4.5</v>
      </c>
      <c r="E1843" s="2">
        <v>48213</v>
      </c>
      <c r="F1843" s="1" t="s">
        <v>16</v>
      </c>
      <c r="G1843" s="1" t="s">
        <v>863</v>
      </c>
      <c r="H1843" s="1" t="s">
        <v>2</v>
      </c>
      <c r="I1843" s="2">
        <v>46177</v>
      </c>
      <c r="J1843" s="1" t="s">
        <v>17</v>
      </c>
      <c r="K1843" s="1" t="s">
        <v>2673</v>
      </c>
      <c r="L1843" s="2">
        <v>46177.92087962963</v>
      </c>
      <c r="M1843" s="2">
        <v>46177.921329212964</v>
      </c>
    </row>
    <row r="1844" spans="1:13" x14ac:dyDescent="0.35">
      <c r="A1844" s="1" t="s">
        <v>862</v>
      </c>
      <c r="B1844" s="1" t="s">
        <v>13</v>
      </c>
      <c r="C1844" s="1" t="s">
        <v>863</v>
      </c>
      <c r="D1844">
        <v>4.5</v>
      </c>
      <c r="E1844" s="2">
        <v>48213</v>
      </c>
      <c r="F1844" s="1" t="s">
        <v>16</v>
      </c>
      <c r="G1844" s="1" t="s">
        <v>863</v>
      </c>
      <c r="H1844" s="1" t="s">
        <v>2</v>
      </c>
      <c r="I1844" s="2">
        <v>46177</v>
      </c>
      <c r="J1844" s="1" t="s">
        <v>214</v>
      </c>
      <c r="K1844" s="1" t="s">
        <v>4976</v>
      </c>
      <c r="L1844" s="2">
        <v>46177.918923611112</v>
      </c>
      <c r="M1844" s="2">
        <v>46177.921329212964</v>
      </c>
    </row>
    <row r="1845" spans="1:13" x14ac:dyDescent="0.35">
      <c r="A1845" s="1" t="s">
        <v>862</v>
      </c>
      <c r="B1845" s="1" t="s">
        <v>13</v>
      </c>
      <c r="C1845" s="1" t="s">
        <v>863</v>
      </c>
      <c r="D1845">
        <v>4.5</v>
      </c>
      <c r="E1845" s="2">
        <v>48213</v>
      </c>
      <c r="F1845" s="1" t="s">
        <v>16</v>
      </c>
      <c r="G1845" s="1" t="s">
        <v>863</v>
      </c>
      <c r="H1845" s="1" t="s">
        <v>2</v>
      </c>
      <c r="I1845" s="2">
        <v>46177</v>
      </c>
      <c r="J1845" s="1" t="s">
        <v>215</v>
      </c>
      <c r="K1845" s="1" t="s">
        <v>4977</v>
      </c>
      <c r="L1845" s="2">
        <v>46177.918923611112</v>
      </c>
      <c r="M1845" s="2">
        <v>46177.921329212964</v>
      </c>
    </row>
    <row r="1846" spans="1:13" x14ac:dyDescent="0.35">
      <c r="A1846" s="1" t="s">
        <v>862</v>
      </c>
      <c r="B1846" s="1" t="s">
        <v>13</v>
      </c>
      <c r="C1846" s="1" t="s">
        <v>863</v>
      </c>
      <c r="D1846">
        <v>4.5</v>
      </c>
      <c r="E1846" s="2">
        <v>48213</v>
      </c>
      <c r="F1846" s="1" t="s">
        <v>16</v>
      </c>
      <c r="G1846" s="1" t="s">
        <v>863</v>
      </c>
      <c r="H1846" s="1" t="s">
        <v>2</v>
      </c>
      <c r="I1846" s="2">
        <v>46177</v>
      </c>
      <c r="J1846" s="1" t="s">
        <v>18</v>
      </c>
      <c r="K1846" s="1" t="s">
        <v>2970</v>
      </c>
      <c r="L1846" s="2">
        <v>46177.92087962963</v>
      </c>
      <c r="M1846" s="2">
        <v>46177.921329212964</v>
      </c>
    </row>
    <row r="1847" spans="1:13" x14ac:dyDescent="0.35">
      <c r="A1847" s="1" t="s">
        <v>862</v>
      </c>
      <c r="B1847" s="1" t="s">
        <v>13</v>
      </c>
      <c r="C1847" s="1" t="s">
        <v>863</v>
      </c>
      <c r="D1847">
        <v>4.5</v>
      </c>
      <c r="E1847" s="2">
        <v>48213</v>
      </c>
      <c r="F1847" s="1" t="s">
        <v>16</v>
      </c>
      <c r="G1847" s="1" t="s">
        <v>863</v>
      </c>
      <c r="H1847" s="1" t="s">
        <v>2</v>
      </c>
      <c r="I1847" s="2">
        <v>46177</v>
      </c>
      <c r="J1847" s="1" t="s">
        <v>67</v>
      </c>
      <c r="K1847" s="1" t="s">
        <v>4977</v>
      </c>
      <c r="L1847" s="2">
        <v>46177.918923611112</v>
      </c>
      <c r="M1847" s="2">
        <v>46177.921329212964</v>
      </c>
    </row>
    <row r="1848" spans="1:13" x14ac:dyDescent="0.35">
      <c r="A1848" s="1" t="s">
        <v>799</v>
      </c>
      <c r="B1848" s="1" t="s">
        <v>13</v>
      </c>
      <c r="C1848" s="1" t="s">
        <v>800</v>
      </c>
      <c r="D1848">
        <v>4.375</v>
      </c>
      <c r="E1848" s="2">
        <v>47483</v>
      </c>
      <c r="F1848" s="1" t="s">
        <v>16</v>
      </c>
      <c r="G1848" s="1" t="s">
        <v>800</v>
      </c>
      <c r="H1848" s="1" t="s">
        <v>2</v>
      </c>
      <c r="I1848" s="2">
        <v>46177</v>
      </c>
      <c r="J1848" s="1" t="s">
        <v>18</v>
      </c>
      <c r="K1848" s="1" t="s">
        <v>2574</v>
      </c>
      <c r="L1848" s="2">
        <v>46177.92087962963</v>
      </c>
      <c r="M1848" s="2">
        <v>46177.921329212964</v>
      </c>
    </row>
    <row r="1849" spans="1:13" x14ac:dyDescent="0.35">
      <c r="A1849" s="1" t="s">
        <v>799</v>
      </c>
      <c r="B1849" s="1" t="s">
        <v>13</v>
      </c>
      <c r="C1849" s="1" t="s">
        <v>800</v>
      </c>
      <c r="D1849">
        <v>4.375</v>
      </c>
      <c r="E1849" s="2">
        <v>47483</v>
      </c>
      <c r="F1849" s="1" t="s">
        <v>16</v>
      </c>
      <c r="G1849" s="1" t="s">
        <v>800</v>
      </c>
      <c r="H1849" s="1" t="s">
        <v>2</v>
      </c>
      <c r="I1849" s="2">
        <v>46177</v>
      </c>
      <c r="J1849" s="1" t="s">
        <v>214</v>
      </c>
      <c r="K1849" s="1" t="s">
        <v>5009</v>
      </c>
      <c r="L1849" s="2">
        <v>46177.918923611112</v>
      </c>
      <c r="M1849" s="2">
        <v>46177.921329212964</v>
      </c>
    </row>
    <row r="1850" spans="1:13" x14ac:dyDescent="0.35">
      <c r="A1850" s="1" t="s">
        <v>799</v>
      </c>
      <c r="B1850" s="1" t="s">
        <v>13</v>
      </c>
      <c r="C1850" s="1" t="s">
        <v>800</v>
      </c>
      <c r="D1850">
        <v>4.375</v>
      </c>
      <c r="E1850" s="2">
        <v>47483</v>
      </c>
      <c r="F1850" s="1" t="s">
        <v>16</v>
      </c>
      <c r="G1850" s="1" t="s">
        <v>800</v>
      </c>
      <c r="H1850" s="1" t="s">
        <v>2</v>
      </c>
      <c r="I1850" s="2">
        <v>46177</v>
      </c>
      <c r="J1850" s="1" t="s">
        <v>67</v>
      </c>
      <c r="K1850" s="1" t="s">
        <v>5124</v>
      </c>
      <c r="L1850" s="2">
        <v>46177.918923611112</v>
      </c>
      <c r="M1850" s="2">
        <v>46177.921329212964</v>
      </c>
    </row>
    <row r="1851" spans="1:13" x14ac:dyDescent="0.35">
      <c r="A1851" s="1" t="s">
        <v>799</v>
      </c>
      <c r="B1851" s="1" t="s">
        <v>13</v>
      </c>
      <c r="C1851" s="1" t="s">
        <v>800</v>
      </c>
      <c r="D1851">
        <v>4.375</v>
      </c>
      <c r="E1851" s="2">
        <v>47483</v>
      </c>
      <c r="F1851" s="1" t="s">
        <v>16</v>
      </c>
      <c r="G1851" s="1" t="s">
        <v>800</v>
      </c>
      <c r="H1851" s="1" t="s">
        <v>2</v>
      </c>
      <c r="I1851" s="2">
        <v>46177</v>
      </c>
      <c r="J1851" s="1" t="s">
        <v>224</v>
      </c>
      <c r="K1851" s="1" t="s">
        <v>5009</v>
      </c>
      <c r="L1851" s="2">
        <v>46177.918923611112</v>
      </c>
      <c r="M1851" s="2">
        <v>46177.921329212964</v>
      </c>
    </row>
    <row r="1852" spans="1:13" x14ac:dyDescent="0.35">
      <c r="A1852" s="1" t="s">
        <v>799</v>
      </c>
      <c r="B1852" s="1" t="s">
        <v>13</v>
      </c>
      <c r="C1852" s="1" t="s">
        <v>800</v>
      </c>
      <c r="D1852">
        <v>4.375</v>
      </c>
      <c r="E1852" s="2">
        <v>47483</v>
      </c>
      <c r="F1852" s="1" t="s">
        <v>16</v>
      </c>
      <c r="G1852" s="1" t="s">
        <v>800</v>
      </c>
      <c r="H1852" s="1" t="s">
        <v>2</v>
      </c>
      <c r="I1852" s="2">
        <v>46177</v>
      </c>
      <c r="J1852" s="1" t="s">
        <v>17</v>
      </c>
      <c r="K1852" s="1" t="s">
        <v>2688</v>
      </c>
      <c r="L1852" s="2">
        <v>46177.92087962963</v>
      </c>
      <c r="M1852" s="2">
        <v>46177.921329212964</v>
      </c>
    </row>
    <row r="1853" spans="1:13" x14ac:dyDescent="0.35">
      <c r="A1853" s="1" t="s">
        <v>799</v>
      </c>
      <c r="B1853" s="1" t="s">
        <v>13</v>
      </c>
      <c r="C1853" s="1" t="s">
        <v>800</v>
      </c>
      <c r="D1853">
        <v>4.375</v>
      </c>
      <c r="E1853" s="2">
        <v>47483</v>
      </c>
      <c r="F1853" s="1" t="s">
        <v>16</v>
      </c>
      <c r="G1853" s="1" t="s">
        <v>800</v>
      </c>
      <c r="H1853" s="1" t="s">
        <v>2</v>
      </c>
      <c r="I1853" s="2">
        <v>46177</v>
      </c>
      <c r="J1853" s="1" t="s">
        <v>215</v>
      </c>
      <c r="K1853" s="1" t="s">
        <v>5124</v>
      </c>
      <c r="L1853" s="2">
        <v>46177.918923611112</v>
      </c>
      <c r="M1853" s="2">
        <v>46177.921329212964</v>
      </c>
    </row>
    <row r="1854" spans="1:13" x14ac:dyDescent="0.35">
      <c r="A1854" s="1" t="s">
        <v>801</v>
      </c>
      <c r="B1854" s="1" t="s">
        <v>13</v>
      </c>
      <c r="C1854" s="1" t="s">
        <v>802</v>
      </c>
      <c r="D1854">
        <v>4.25</v>
      </c>
      <c r="E1854" s="2">
        <v>46387</v>
      </c>
      <c r="F1854" s="1" t="s">
        <v>16</v>
      </c>
      <c r="G1854" s="1" t="s">
        <v>802</v>
      </c>
      <c r="H1854" s="1" t="s">
        <v>2</v>
      </c>
      <c r="I1854" s="2">
        <v>46177</v>
      </c>
      <c r="J1854" s="1" t="s">
        <v>67</v>
      </c>
      <c r="K1854" s="1" t="s">
        <v>4939</v>
      </c>
      <c r="L1854" s="2">
        <v>46177.918923611112</v>
      </c>
      <c r="M1854" s="2">
        <v>46177.921329212964</v>
      </c>
    </row>
    <row r="1855" spans="1:13" x14ac:dyDescent="0.35">
      <c r="A1855" s="1" t="s">
        <v>801</v>
      </c>
      <c r="B1855" s="1" t="s">
        <v>13</v>
      </c>
      <c r="C1855" s="1" t="s">
        <v>802</v>
      </c>
      <c r="D1855">
        <v>4.25</v>
      </c>
      <c r="E1855" s="2">
        <v>46387</v>
      </c>
      <c r="F1855" s="1" t="s">
        <v>16</v>
      </c>
      <c r="G1855" s="1" t="s">
        <v>802</v>
      </c>
      <c r="H1855" s="1" t="s">
        <v>2</v>
      </c>
      <c r="I1855" s="2">
        <v>46177</v>
      </c>
      <c r="J1855" s="1" t="s">
        <v>18</v>
      </c>
      <c r="K1855" s="1" t="s">
        <v>2429</v>
      </c>
      <c r="L1855" s="2">
        <v>46177.92087962963</v>
      </c>
      <c r="M1855" s="2">
        <v>46177.921329212964</v>
      </c>
    </row>
    <row r="1856" spans="1:13" x14ac:dyDescent="0.35">
      <c r="A1856" s="1" t="s">
        <v>801</v>
      </c>
      <c r="B1856" s="1" t="s">
        <v>13</v>
      </c>
      <c r="C1856" s="1" t="s">
        <v>802</v>
      </c>
      <c r="D1856">
        <v>4.25</v>
      </c>
      <c r="E1856" s="2">
        <v>46387</v>
      </c>
      <c r="F1856" s="1" t="s">
        <v>16</v>
      </c>
      <c r="G1856" s="1" t="s">
        <v>802</v>
      </c>
      <c r="H1856" s="1" t="s">
        <v>2</v>
      </c>
      <c r="I1856" s="2">
        <v>46177</v>
      </c>
      <c r="J1856" s="1" t="s">
        <v>214</v>
      </c>
      <c r="K1856" s="1" t="s">
        <v>5010</v>
      </c>
      <c r="L1856" s="2">
        <v>46177.918923611112</v>
      </c>
      <c r="M1856" s="2">
        <v>46177.921329212964</v>
      </c>
    </row>
    <row r="1857" spans="1:13" x14ac:dyDescent="0.35">
      <c r="A1857" s="1" t="s">
        <v>801</v>
      </c>
      <c r="B1857" s="1" t="s">
        <v>13</v>
      </c>
      <c r="C1857" s="1" t="s">
        <v>802</v>
      </c>
      <c r="D1857">
        <v>4.25</v>
      </c>
      <c r="E1857" s="2">
        <v>46387</v>
      </c>
      <c r="F1857" s="1" t="s">
        <v>16</v>
      </c>
      <c r="G1857" s="1" t="s">
        <v>802</v>
      </c>
      <c r="H1857" s="1" t="s">
        <v>2</v>
      </c>
      <c r="I1857" s="2">
        <v>46177</v>
      </c>
      <c r="J1857" s="1" t="s">
        <v>17</v>
      </c>
      <c r="K1857" s="1" t="s">
        <v>2615</v>
      </c>
      <c r="L1857" s="2">
        <v>46177.92087962963</v>
      </c>
      <c r="M1857" s="2">
        <v>46177.921329212964</v>
      </c>
    </row>
    <row r="1858" spans="1:13" x14ac:dyDescent="0.35">
      <c r="A1858" s="1" t="s">
        <v>801</v>
      </c>
      <c r="B1858" s="1" t="s">
        <v>13</v>
      </c>
      <c r="C1858" s="1" t="s">
        <v>802</v>
      </c>
      <c r="D1858">
        <v>4.25</v>
      </c>
      <c r="E1858" s="2">
        <v>46387</v>
      </c>
      <c r="F1858" s="1" t="s">
        <v>16</v>
      </c>
      <c r="G1858" s="1" t="s">
        <v>802</v>
      </c>
      <c r="H1858" s="1" t="s">
        <v>2</v>
      </c>
      <c r="I1858" s="2">
        <v>46177</v>
      </c>
      <c r="J1858" s="1" t="s">
        <v>215</v>
      </c>
      <c r="K1858" s="1" t="s">
        <v>4939</v>
      </c>
      <c r="L1858" s="2">
        <v>46177.918923611112</v>
      </c>
      <c r="M1858" s="2">
        <v>46177.921329212964</v>
      </c>
    </row>
    <row r="1859" spans="1:13" x14ac:dyDescent="0.35">
      <c r="A1859" s="1" t="s">
        <v>801</v>
      </c>
      <c r="B1859" s="1" t="s">
        <v>13</v>
      </c>
      <c r="C1859" s="1" t="s">
        <v>802</v>
      </c>
      <c r="D1859">
        <v>4.25</v>
      </c>
      <c r="E1859" s="2">
        <v>46387</v>
      </c>
      <c r="F1859" s="1" t="s">
        <v>16</v>
      </c>
      <c r="G1859" s="1" t="s">
        <v>802</v>
      </c>
      <c r="H1859" s="1" t="s">
        <v>2</v>
      </c>
      <c r="I1859" s="2">
        <v>46177</v>
      </c>
      <c r="J1859" s="1" t="s">
        <v>224</v>
      </c>
      <c r="K1859" s="1" t="s">
        <v>5010</v>
      </c>
      <c r="L1859" s="2">
        <v>46177.918923611112</v>
      </c>
      <c r="M1859" s="2">
        <v>46177.921329212964</v>
      </c>
    </row>
    <row r="1860" spans="1:13" x14ac:dyDescent="0.35">
      <c r="A1860" s="1" t="s">
        <v>803</v>
      </c>
      <c r="B1860" s="1" t="s">
        <v>13</v>
      </c>
      <c r="C1860" s="1" t="s">
        <v>804</v>
      </c>
      <c r="D1860">
        <v>4.25</v>
      </c>
      <c r="E1860" s="2">
        <v>46767</v>
      </c>
      <c r="F1860" s="1" t="s">
        <v>16</v>
      </c>
      <c r="G1860" s="1" t="s">
        <v>804</v>
      </c>
      <c r="H1860" s="1" t="s">
        <v>2</v>
      </c>
      <c r="I1860" s="2">
        <v>46177</v>
      </c>
      <c r="J1860" s="1" t="s">
        <v>17</v>
      </c>
      <c r="K1860" s="1" t="s">
        <v>2914</v>
      </c>
      <c r="L1860" s="2">
        <v>46177.92087962963</v>
      </c>
      <c r="M1860" s="2">
        <v>46177.921329212964</v>
      </c>
    </row>
    <row r="1861" spans="1:13" x14ac:dyDescent="0.35">
      <c r="A1861" s="1" t="s">
        <v>803</v>
      </c>
      <c r="B1861" s="1" t="s">
        <v>13</v>
      </c>
      <c r="C1861" s="1" t="s">
        <v>804</v>
      </c>
      <c r="D1861">
        <v>4.25</v>
      </c>
      <c r="E1861" s="2">
        <v>46767</v>
      </c>
      <c r="F1861" s="1" t="s">
        <v>16</v>
      </c>
      <c r="G1861" s="1" t="s">
        <v>804</v>
      </c>
      <c r="H1861" s="1" t="s">
        <v>2</v>
      </c>
      <c r="I1861" s="2">
        <v>46177</v>
      </c>
      <c r="J1861" s="1" t="s">
        <v>214</v>
      </c>
      <c r="K1861" s="1" t="s">
        <v>4940</v>
      </c>
      <c r="L1861" s="2">
        <v>46177.918923611112</v>
      </c>
      <c r="M1861" s="2">
        <v>46177.921329212964</v>
      </c>
    </row>
    <row r="1862" spans="1:13" x14ac:dyDescent="0.35">
      <c r="A1862" s="1" t="s">
        <v>803</v>
      </c>
      <c r="B1862" s="1" t="s">
        <v>13</v>
      </c>
      <c r="C1862" s="1" t="s">
        <v>804</v>
      </c>
      <c r="D1862">
        <v>4.25</v>
      </c>
      <c r="E1862" s="2">
        <v>46767</v>
      </c>
      <c r="F1862" s="1" t="s">
        <v>16</v>
      </c>
      <c r="G1862" s="1" t="s">
        <v>804</v>
      </c>
      <c r="H1862" s="1" t="s">
        <v>2</v>
      </c>
      <c r="I1862" s="2">
        <v>46177</v>
      </c>
      <c r="J1862" s="1" t="s">
        <v>18</v>
      </c>
      <c r="K1862" s="1" t="s">
        <v>2412</v>
      </c>
      <c r="L1862" s="2">
        <v>46177.92087962963</v>
      </c>
      <c r="M1862" s="2">
        <v>46177.921329212964</v>
      </c>
    </row>
    <row r="1863" spans="1:13" x14ac:dyDescent="0.35">
      <c r="A1863" s="1" t="s">
        <v>803</v>
      </c>
      <c r="B1863" s="1" t="s">
        <v>13</v>
      </c>
      <c r="C1863" s="1" t="s">
        <v>804</v>
      </c>
      <c r="D1863">
        <v>4.25</v>
      </c>
      <c r="E1863" s="2">
        <v>46767</v>
      </c>
      <c r="F1863" s="1" t="s">
        <v>16</v>
      </c>
      <c r="G1863" s="1" t="s">
        <v>804</v>
      </c>
      <c r="H1863" s="1" t="s">
        <v>2</v>
      </c>
      <c r="I1863" s="2">
        <v>46177</v>
      </c>
      <c r="J1863" s="1" t="s">
        <v>224</v>
      </c>
      <c r="K1863" s="1" t="s">
        <v>4940</v>
      </c>
      <c r="L1863" s="2">
        <v>46177.918923611112</v>
      </c>
      <c r="M1863" s="2">
        <v>46177.921329212964</v>
      </c>
    </row>
    <row r="1864" spans="1:13" x14ac:dyDescent="0.35">
      <c r="A1864" s="1" t="s">
        <v>803</v>
      </c>
      <c r="B1864" s="1" t="s">
        <v>13</v>
      </c>
      <c r="C1864" s="1" t="s">
        <v>804</v>
      </c>
      <c r="D1864">
        <v>4.25</v>
      </c>
      <c r="E1864" s="2">
        <v>46767</v>
      </c>
      <c r="F1864" s="1" t="s">
        <v>16</v>
      </c>
      <c r="G1864" s="1" t="s">
        <v>804</v>
      </c>
      <c r="H1864" s="1" t="s">
        <v>2</v>
      </c>
      <c r="I1864" s="2">
        <v>46177</v>
      </c>
      <c r="J1864" s="1" t="s">
        <v>67</v>
      </c>
      <c r="K1864" s="1" t="s">
        <v>5166</v>
      </c>
      <c r="L1864" s="2">
        <v>46177.918923611112</v>
      </c>
      <c r="M1864" s="2">
        <v>46177.921329212964</v>
      </c>
    </row>
    <row r="1865" spans="1:13" x14ac:dyDescent="0.35">
      <c r="A1865" s="1" t="s">
        <v>803</v>
      </c>
      <c r="B1865" s="1" t="s">
        <v>13</v>
      </c>
      <c r="C1865" s="1" t="s">
        <v>804</v>
      </c>
      <c r="D1865">
        <v>4.25</v>
      </c>
      <c r="E1865" s="2">
        <v>46767</v>
      </c>
      <c r="F1865" s="1" t="s">
        <v>16</v>
      </c>
      <c r="G1865" s="1" t="s">
        <v>804</v>
      </c>
      <c r="H1865" s="1" t="s">
        <v>2</v>
      </c>
      <c r="I1865" s="2">
        <v>46177</v>
      </c>
      <c r="J1865" s="1" t="s">
        <v>215</v>
      </c>
      <c r="K1865" s="1" t="s">
        <v>5166</v>
      </c>
      <c r="L1865" s="2">
        <v>46177.918923611112</v>
      </c>
      <c r="M1865" s="2">
        <v>46177.921329212964</v>
      </c>
    </row>
    <row r="1866" spans="1:13" x14ac:dyDescent="0.35">
      <c r="A1866" s="1" t="s">
        <v>805</v>
      </c>
      <c r="B1866" s="1" t="s">
        <v>13</v>
      </c>
      <c r="C1866" s="1" t="s">
        <v>806</v>
      </c>
      <c r="D1866">
        <v>4.25</v>
      </c>
      <c r="E1866" s="2">
        <v>47514</v>
      </c>
      <c r="F1866" s="1" t="s">
        <v>16</v>
      </c>
      <c r="G1866" s="1" t="s">
        <v>806</v>
      </c>
      <c r="H1866" s="1" t="s">
        <v>2</v>
      </c>
      <c r="I1866" s="2">
        <v>46177</v>
      </c>
      <c r="J1866" s="1" t="s">
        <v>215</v>
      </c>
      <c r="K1866" s="1" t="s">
        <v>5031</v>
      </c>
      <c r="L1866" s="2">
        <v>46177.918923611112</v>
      </c>
      <c r="M1866" s="2">
        <v>46177.921329212964</v>
      </c>
    </row>
    <row r="1867" spans="1:13" x14ac:dyDescent="0.35">
      <c r="A1867" s="1" t="s">
        <v>805</v>
      </c>
      <c r="B1867" s="1" t="s">
        <v>13</v>
      </c>
      <c r="C1867" s="1" t="s">
        <v>806</v>
      </c>
      <c r="D1867">
        <v>4.25</v>
      </c>
      <c r="E1867" s="2">
        <v>47514</v>
      </c>
      <c r="F1867" s="1" t="s">
        <v>16</v>
      </c>
      <c r="G1867" s="1" t="s">
        <v>806</v>
      </c>
      <c r="H1867" s="1" t="s">
        <v>2</v>
      </c>
      <c r="I1867" s="2">
        <v>46177</v>
      </c>
      <c r="J1867" s="1" t="s">
        <v>18</v>
      </c>
      <c r="K1867" s="1" t="s">
        <v>2624</v>
      </c>
      <c r="L1867" s="2">
        <v>46177.92087962963</v>
      </c>
      <c r="M1867" s="2">
        <v>46177.921329212964</v>
      </c>
    </row>
    <row r="1868" spans="1:13" x14ac:dyDescent="0.35">
      <c r="A1868" s="1" t="s">
        <v>805</v>
      </c>
      <c r="B1868" s="1" t="s">
        <v>13</v>
      </c>
      <c r="C1868" s="1" t="s">
        <v>806</v>
      </c>
      <c r="D1868">
        <v>4.25</v>
      </c>
      <c r="E1868" s="2">
        <v>47514</v>
      </c>
      <c r="F1868" s="1" t="s">
        <v>16</v>
      </c>
      <c r="G1868" s="1" t="s">
        <v>806</v>
      </c>
      <c r="H1868" s="1" t="s">
        <v>2</v>
      </c>
      <c r="I1868" s="2">
        <v>46177</v>
      </c>
      <c r="J1868" s="1" t="s">
        <v>214</v>
      </c>
      <c r="K1868" s="1" t="s">
        <v>5222</v>
      </c>
      <c r="L1868" s="2">
        <v>46177.918923611112</v>
      </c>
      <c r="M1868" s="2">
        <v>46177.921329212964</v>
      </c>
    </row>
    <row r="1869" spans="1:13" x14ac:dyDescent="0.35">
      <c r="A1869" s="1" t="s">
        <v>805</v>
      </c>
      <c r="B1869" s="1" t="s">
        <v>13</v>
      </c>
      <c r="C1869" s="1" t="s">
        <v>806</v>
      </c>
      <c r="D1869">
        <v>4.25</v>
      </c>
      <c r="E1869" s="2">
        <v>47514</v>
      </c>
      <c r="F1869" s="1" t="s">
        <v>16</v>
      </c>
      <c r="G1869" s="1" t="s">
        <v>806</v>
      </c>
      <c r="H1869" s="1" t="s">
        <v>2</v>
      </c>
      <c r="I1869" s="2">
        <v>46177</v>
      </c>
      <c r="J1869" s="1" t="s">
        <v>17</v>
      </c>
      <c r="K1869" s="1" t="s">
        <v>2451</v>
      </c>
      <c r="L1869" s="2">
        <v>46177.92087962963</v>
      </c>
      <c r="M1869" s="2">
        <v>46177.921329212964</v>
      </c>
    </row>
    <row r="1870" spans="1:13" x14ac:dyDescent="0.35">
      <c r="A1870" s="1" t="s">
        <v>805</v>
      </c>
      <c r="B1870" s="1" t="s">
        <v>13</v>
      </c>
      <c r="C1870" s="1" t="s">
        <v>806</v>
      </c>
      <c r="D1870">
        <v>4.25</v>
      </c>
      <c r="E1870" s="2">
        <v>47514</v>
      </c>
      <c r="F1870" s="1" t="s">
        <v>16</v>
      </c>
      <c r="G1870" s="1" t="s">
        <v>806</v>
      </c>
      <c r="H1870" s="1" t="s">
        <v>2</v>
      </c>
      <c r="I1870" s="2">
        <v>46177</v>
      </c>
      <c r="J1870" s="1" t="s">
        <v>67</v>
      </c>
      <c r="K1870" s="1" t="s">
        <v>5031</v>
      </c>
      <c r="L1870" s="2">
        <v>46177.918923611112</v>
      </c>
      <c r="M1870" s="2">
        <v>46177.921329212964</v>
      </c>
    </row>
    <row r="1871" spans="1:13" x14ac:dyDescent="0.35">
      <c r="A1871" s="1" t="s">
        <v>805</v>
      </c>
      <c r="B1871" s="1" t="s">
        <v>13</v>
      </c>
      <c r="C1871" s="1" t="s">
        <v>806</v>
      </c>
      <c r="D1871">
        <v>4.25</v>
      </c>
      <c r="E1871" s="2">
        <v>47514</v>
      </c>
      <c r="F1871" s="1" t="s">
        <v>16</v>
      </c>
      <c r="G1871" s="1" t="s">
        <v>806</v>
      </c>
      <c r="H1871" s="1" t="s">
        <v>2</v>
      </c>
      <c r="I1871" s="2">
        <v>46177</v>
      </c>
      <c r="J1871" s="1" t="s">
        <v>224</v>
      </c>
      <c r="K1871" s="1" t="s">
        <v>5222</v>
      </c>
      <c r="L1871" s="2">
        <v>46177.918923611112</v>
      </c>
      <c r="M1871" s="2">
        <v>46177.921329212964</v>
      </c>
    </row>
    <row r="1872" spans="1:13" x14ac:dyDescent="0.35">
      <c r="A1872" s="1" t="s">
        <v>807</v>
      </c>
      <c r="B1872" s="1" t="s">
        <v>13</v>
      </c>
      <c r="C1872" s="1" t="s">
        <v>808</v>
      </c>
      <c r="D1872">
        <v>4.125</v>
      </c>
      <c r="E1872" s="2">
        <v>46418</v>
      </c>
      <c r="F1872" s="1" t="s">
        <v>16</v>
      </c>
      <c r="G1872" s="1" t="s">
        <v>808</v>
      </c>
      <c r="H1872" s="1" t="s">
        <v>2</v>
      </c>
      <c r="I1872" s="2">
        <v>46177</v>
      </c>
      <c r="J1872" s="1" t="s">
        <v>17</v>
      </c>
      <c r="K1872" s="1" t="s">
        <v>2480</v>
      </c>
      <c r="L1872" s="2">
        <v>46177.92087962963</v>
      </c>
      <c r="M1872" s="2">
        <v>46177.921329212964</v>
      </c>
    </row>
    <row r="1873" spans="1:13" x14ac:dyDescent="0.35">
      <c r="A1873" s="1" t="s">
        <v>807</v>
      </c>
      <c r="B1873" s="1" t="s">
        <v>13</v>
      </c>
      <c r="C1873" s="1" t="s">
        <v>808</v>
      </c>
      <c r="D1873">
        <v>4.125</v>
      </c>
      <c r="E1873" s="2">
        <v>46418</v>
      </c>
      <c r="F1873" s="1" t="s">
        <v>16</v>
      </c>
      <c r="G1873" s="1" t="s">
        <v>808</v>
      </c>
      <c r="H1873" s="1" t="s">
        <v>2</v>
      </c>
      <c r="I1873" s="2">
        <v>46177</v>
      </c>
      <c r="J1873" s="1" t="s">
        <v>67</v>
      </c>
      <c r="K1873" s="1" t="s">
        <v>5125</v>
      </c>
      <c r="L1873" s="2">
        <v>46177.918923611112</v>
      </c>
      <c r="M1873" s="2">
        <v>46177.921329212964</v>
      </c>
    </row>
    <row r="1874" spans="1:13" x14ac:dyDescent="0.35">
      <c r="A1874" s="1" t="s">
        <v>807</v>
      </c>
      <c r="B1874" s="1" t="s">
        <v>13</v>
      </c>
      <c r="C1874" s="1" t="s">
        <v>808</v>
      </c>
      <c r="D1874">
        <v>4.125</v>
      </c>
      <c r="E1874" s="2">
        <v>46418</v>
      </c>
      <c r="F1874" s="1" t="s">
        <v>16</v>
      </c>
      <c r="G1874" s="1" t="s">
        <v>808</v>
      </c>
      <c r="H1874" s="1" t="s">
        <v>2</v>
      </c>
      <c r="I1874" s="2">
        <v>46177</v>
      </c>
      <c r="J1874" s="1" t="s">
        <v>224</v>
      </c>
      <c r="K1874" s="1" t="s">
        <v>5126</v>
      </c>
      <c r="L1874" s="2">
        <v>46177.918923611112</v>
      </c>
      <c r="M1874" s="2">
        <v>46177.921329212964</v>
      </c>
    </row>
    <row r="1875" spans="1:13" x14ac:dyDescent="0.35">
      <c r="A1875" s="1" t="s">
        <v>807</v>
      </c>
      <c r="B1875" s="1" t="s">
        <v>13</v>
      </c>
      <c r="C1875" s="1" t="s">
        <v>808</v>
      </c>
      <c r="D1875">
        <v>4.125</v>
      </c>
      <c r="E1875" s="2">
        <v>46418</v>
      </c>
      <c r="F1875" s="1" t="s">
        <v>16</v>
      </c>
      <c r="G1875" s="1" t="s">
        <v>808</v>
      </c>
      <c r="H1875" s="1" t="s">
        <v>2</v>
      </c>
      <c r="I1875" s="2">
        <v>46177</v>
      </c>
      <c r="J1875" s="1" t="s">
        <v>18</v>
      </c>
      <c r="K1875" s="1" t="s">
        <v>2366</v>
      </c>
      <c r="L1875" s="2">
        <v>46177.92087962963</v>
      </c>
      <c r="M1875" s="2">
        <v>46177.921329212964</v>
      </c>
    </row>
    <row r="1876" spans="1:13" x14ac:dyDescent="0.35">
      <c r="A1876" s="1" t="s">
        <v>807</v>
      </c>
      <c r="B1876" s="1" t="s">
        <v>13</v>
      </c>
      <c r="C1876" s="1" t="s">
        <v>808</v>
      </c>
      <c r="D1876">
        <v>4.125</v>
      </c>
      <c r="E1876" s="2">
        <v>46418</v>
      </c>
      <c r="F1876" s="1" t="s">
        <v>16</v>
      </c>
      <c r="G1876" s="1" t="s">
        <v>808</v>
      </c>
      <c r="H1876" s="1" t="s">
        <v>2</v>
      </c>
      <c r="I1876" s="2">
        <v>46177</v>
      </c>
      <c r="J1876" s="1" t="s">
        <v>215</v>
      </c>
      <c r="K1876" s="1" t="s">
        <v>5125</v>
      </c>
      <c r="L1876" s="2">
        <v>46177.918923611112</v>
      </c>
      <c r="M1876" s="2">
        <v>46177.921329212964</v>
      </c>
    </row>
    <row r="1877" spans="1:13" x14ac:dyDescent="0.35">
      <c r="A1877" s="1" t="s">
        <v>807</v>
      </c>
      <c r="B1877" s="1" t="s">
        <v>13</v>
      </c>
      <c r="C1877" s="1" t="s">
        <v>808</v>
      </c>
      <c r="D1877">
        <v>4.125</v>
      </c>
      <c r="E1877" s="2">
        <v>46418</v>
      </c>
      <c r="F1877" s="1" t="s">
        <v>16</v>
      </c>
      <c r="G1877" s="1" t="s">
        <v>808</v>
      </c>
      <c r="H1877" s="1" t="s">
        <v>2</v>
      </c>
      <c r="I1877" s="2">
        <v>46177</v>
      </c>
      <c r="J1877" s="1" t="s">
        <v>214</v>
      </c>
      <c r="K1877" s="1" t="s">
        <v>5126</v>
      </c>
      <c r="L1877" s="2">
        <v>46177.918923611112</v>
      </c>
      <c r="M1877" s="2">
        <v>46177.921329212964</v>
      </c>
    </row>
    <row r="1878" spans="1:13" x14ac:dyDescent="0.35">
      <c r="A1878" s="1" t="s">
        <v>809</v>
      </c>
      <c r="B1878" s="1" t="s">
        <v>13</v>
      </c>
      <c r="C1878" s="1" t="s">
        <v>810</v>
      </c>
      <c r="D1878">
        <v>4.375</v>
      </c>
      <c r="E1878" s="2">
        <v>48244</v>
      </c>
      <c r="F1878" s="1" t="s">
        <v>16</v>
      </c>
      <c r="G1878" s="1" t="s">
        <v>810</v>
      </c>
      <c r="H1878" s="1" t="s">
        <v>2</v>
      </c>
      <c r="I1878" s="2">
        <v>46177</v>
      </c>
      <c r="J1878" s="1" t="s">
        <v>67</v>
      </c>
      <c r="K1878" s="1" t="s">
        <v>5167</v>
      </c>
      <c r="L1878" s="2">
        <v>46177.918923611112</v>
      </c>
      <c r="M1878" s="2">
        <v>46177.921329212964</v>
      </c>
    </row>
    <row r="1879" spans="1:13" x14ac:dyDescent="0.35">
      <c r="A1879" s="1" t="s">
        <v>809</v>
      </c>
      <c r="B1879" s="1" t="s">
        <v>13</v>
      </c>
      <c r="C1879" s="1" t="s">
        <v>810</v>
      </c>
      <c r="D1879">
        <v>4.375</v>
      </c>
      <c r="E1879" s="2">
        <v>48244</v>
      </c>
      <c r="F1879" s="1" t="s">
        <v>16</v>
      </c>
      <c r="G1879" s="1" t="s">
        <v>810</v>
      </c>
      <c r="H1879" s="1" t="s">
        <v>2</v>
      </c>
      <c r="I1879" s="2">
        <v>46177</v>
      </c>
      <c r="J1879" s="1" t="s">
        <v>18</v>
      </c>
      <c r="K1879" s="1" t="s">
        <v>2962</v>
      </c>
      <c r="L1879" s="2">
        <v>46177.92087962963</v>
      </c>
      <c r="M1879" s="2">
        <v>46177.921329212964</v>
      </c>
    </row>
    <row r="1880" spans="1:13" x14ac:dyDescent="0.35">
      <c r="A1880" s="1" t="s">
        <v>809</v>
      </c>
      <c r="B1880" s="1" t="s">
        <v>13</v>
      </c>
      <c r="C1880" s="1" t="s">
        <v>810</v>
      </c>
      <c r="D1880">
        <v>4.375</v>
      </c>
      <c r="E1880" s="2">
        <v>48244</v>
      </c>
      <c r="F1880" s="1" t="s">
        <v>16</v>
      </c>
      <c r="G1880" s="1" t="s">
        <v>810</v>
      </c>
      <c r="H1880" s="1" t="s">
        <v>2</v>
      </c>
      <c r="I1880" s="2">
        <v>46177</v>
      </c>
      <c r="J1880" s="1" t="s">
        <v>224</v>
      </c>
      <c r="K1880" s="1" t="s">
        <v>5011</v>
      </c>
      <c r="L1880" s="2">
        <v>46177.918923611112</v>
      </c>
      <c r="M1880" s="2">
        <v>46177.921329212964</v>
      </c>
    </row>
    <row r="1881" spans="1:13" x14ac:dyDescent="0.35">
      <c r="A1881" s="1" t="s">
        <v>809</v>
      </c>
      <c r="B1881" s="1" t="s">
        <v>13</v>
      </c>
      <c r="C1881" s="1" t="s">
        <v>810</v>
      </c>
      <c r="D1881">
        <v>4.375</v>
      </c>
      <c r="E1881" s="2">
        <v>48244</v>
      </c>
      <c r="F1881" s="1" t="s">
        <v>16</v>
      </c>
      <c r="G1881" s="1" t="s">
        <v>810</v>
      </c>
      <c r="H1881" s="1" t="s">
        <v>2</v>
      </c>
      <c r="I1881" s="2">
        <v>46177</v>
      </c>
      <c r="J1881" s="1" t="s">
        <v>214</v>
      </c>
      <c r="K1881" s="1" t="s">
        <v>5011</v>
      </c>
      <c r="L1881" s="2">
        <v>46177.918923611112</v>
      </c>
      <c r="M1881" s="2">
        <v>46177.921329212964</v>
      </c>
    </row>
    <row r="1882" spans="1:13" x14ac:dyDescent="0.35">
      <c r="A1882" s="1" t="s">
        <v>809</v>
      </c>
      <c r="B1882" s="1" t="s">
        <v>13</v>
      </c>
      <c r="C1882" s="1" t="s">
        <v>810</v>
      </c>
      <c r="D1882">
        <v>4.375</v>
      </c>
      <c r="E1882" s="2">
        <v>48244</v>
      </c>
      <c r="F1882" s="1" t="s">
        <v>16</v>
      </c>
      <c r="G1882" s="1" t="s">
        <v>810</v>
      </c>
      <c r="H1882" s="1" t="s">
        <v>2</v>
      </c>
      <c r="I1882" s="2">
        <v>46177</v>
      </c>
      <c r="J1882" s="1" t="s">
        <v>17</v>
      </c>
      <c r="K1882" s="1" t="s">
        <v>2481</v>
      </c>
      <c r="L1882" s="2">
        <v>46177.92087962963</v>
      </c>
      <c r="M1882" s="2">
        <v>46177.921329212964</v>
      </c>
    </row>
    <row r="1883" spans="1:13" x14ac:dyDescent="0.35">
      <c r="A1883" s="1" t="s">
        <v>809</v>
      </c>
      <c r="B1883" s="1" t="s">
        <v>13</v>
      </c>
      <c r="C1883" s="1" t="s">
        <v>810</v>
      </c>
      <c r="D1883">
        <v>4.375</v>
      </c>
      <c r="E1883" s="2">
        <v>48244</v>
      </c>
      <c r="F1883" s="1" t="s">
        <v>16</v>
      </c>
      <c r="G1883" s="1" t="s">
        <v>810</v>
      </c>
      <c r="H1883" s="1" t="s">
        <v>2</v>
      </c>
      <c r="I1883" s="2">
        <v>46177</v>
      </c>
      <c r="J1883" s="1" t="s">
        <v>215</v>
      </c>
      <c r="K1883" s="1" t="s">
        <v>5167</v>
      </c>
      <c r="L1883" s="2">
        <v>46177.918923611112</v>
      </c>
      <c r="M1883" s="2">
        <v>46177.921329212964</v>
      </c>
    </row>
    <row r="1884" spans="1:13" x14ac:dyDescent="0.35">
      <c r="A1884" s="1" t="s">
        <v>870</v>
      </c>
      <c r="B1884" s="1" t="s">
        <v>13</v>
      </c>
      <c r="C1884" s="1" t="s">
        <v>871</v>
      </c>
      <c r="D1884">
        <v>2.125</v>
      </c>
      <c r="E1884" s="2">
        <v>49324</v>
      </c>
      <c r="F1884" s="1" t="s">
        <v>64</v>
      </c>
      <c r="G1884" s="1" t="s">
        <v>871</v>
      </c>
      <c r="H1884" s="1" t="s">
        <v>2</v>
      </c>
      <c r="I1884" s="2">
        <v>46177</v>
      </c>
      <c r="J1884" s="1" t="s">
        <v>215</v>
      </c>
      <c r="K1884" s="1" t="s">
        <v>5179</v>
      </c>
      <c r="L1884" s="2">
        <v>46177.918923611112</v>
      </c>
      <c r="M1884" s="2">
        <v>46177.921329212964</v>
      </c>
    </row>
    <row r="1885" spans="1:13" x14ac:dyDescent="0.35">
      <c r="A1885" s="1" t="s">
        <v>870</v>
      </c>
      <c r="B1885" s="1" t="s">
        <v>13</v>
      </c>
      <c r="C1885" s="1" t="s">
        <v>871</v>
      </c>
      <c r="D1885">
        <v>2.125</v>
      </c>
      <c r="E1885" s="2">
        <v>49324</v>
      </c>
      <c r="F1885" s="1" t="s">
        <v>64</v>
      </c>
      <c r="G1885" s="1" t="s">
        <v>871</v>
      </c>
      <c r="H1885" s="1" t="s">
        <v>2</v>
      </c>
      <c r="I1885" s="2">
        <v>46177</v>
      </c>
      <c r="J1885" s="1" t="s">
        <v>214</v>
      </c>
      <c r="K1885" s="1" t="s">
        <v>5032</v>
      </c>
      <c r="L1885" s="2">
        <v>46177.918923611112</v>
      </c>
      <c r="M1885" s="2">
        <v>46177.921329212964</v>
      </c>
    </row>
    <row r="1886" spans="1:13" x14ac:dyDescent="0.35">
      <c r="A1886" s="1" t="s">
        <v>870</v>
      </c>
      <c r="B1886" s="1" t="s">
        <v>13</v>
      </c>
      <c r="C1886" s="1" t="s">
        <v>871</v>
      </c>
      <c r="D1886">
        <v>2.125</v>
      </c>
      <c r="E1886" s="2">
        <v>49324</v>
      </c>
      <c r="F1886" s="1" t="s">
        <v>64</v>
      </c>
      <c r="G1886" s="1" t="s">
        <v>871</v>
      </c>
      <c r="H1886" s="1" t="s">
        <v>2</v>
      </c>
      <c r="I1886" s="2">
        <v>46177</v>
      </c>
      <c r="J1886" s="1" t="s">
        <v>224</v>
      </c>
      <c r="K1886" s="1" t="s">
        <v>5032</v>
      </c>
      <c r="L1886" s="2">
        <v>46177.918923611112</v>
      </c>
      <c r="M1886" s="2">
        <v>46177.921329212964</v>
      </c>
    </row>
    <row r="1887" spans="1:13" x14ac:dyDescent="0.35">
      <c r="A1887" s="1" t="s">
        <v>870</v>
      </c>
      <c r="B1887" s="1" t="s">
        <v>13</v>
      </c>
      <c r="C1887" s="1" t="s">
        <v>871</v>
      </c>
      <c r="D1887">
        <v>2.125</v>
      </c>
      <c r="E1887" s="2">
        <v>49324</v>
      </c>
      <c r="F1887" s="1" t="s">
        <v>64</v>
      </c>
      <c r="G1887" s="1" t="s">
        <v>871</v>
      </c>
      <c r="H1887" s="1" t="s">
        <v>2</v>
      </c>
      <c r="I1887" s="2">
        <v>46177</v>
      </c>
      <c r="J1887" s="1" t="s">
        <v>18</v>
      </c>
      <c r="K1887" s="1" t="s">
        <v>2966</v>
      </c>
      <c r="L1887" s="2">
        <v>46177.92087962963</v>
      </c>
      <c r="M1887" s="2">
        <v>46177.921329212964</v>
      </c>
    </row>
    <row r="1888" spans="1:13" x14ac:dyDescent="0.35">
      <c r="A1888" s="1" t="s">
        <v>870</v>
      </c>
      <c r="B1888" s="1" t="s">
        <v>13</v>
      </c>
      <c r="C1888" s="1" t="s">
        <v>871</v>
      </c>
      <c r="D1888">
        <v>2.125</v>
      </c>
      <c r="E1888" s="2">
        <v>49324</v>
      </c>
      <c r="F1888" s="1" t="s">
        <v>64</v>
      </c>
      <c r="G1888" s="1" t="s">
        <v>871</v>
      </c>
      <c r="H1888" s="1" t="s">
        <v>2</v>
      </c>
      <c r="I1888" s="2">
        <v>46177</v>
      </c>
      <c r="J1888" s="1" t="s">
        <v>17</v>
      </c>
      <c r="K1888" s="1" t="s">
        <v>2956</v>
      </c>
      <c r="L1888" s="2">
        <v>46177.92087962963</v>
      </c>
      <c r="M1888" s="2">
        <v>46177.921329212964</v>
      </c>
    </row>
    <row r="1889" spans="1:13" x14ac:dyDescent="0.35">
      <c r="A1889" s="1" t="s">
        <v>870</v>
      </c>
      <c r="B1889" s="1" t="s">
        <v>13</v>
      </c>
      <c r="C1889" s="1" t="s">
        <v>871</v>
      </c>
      <c r="D1889">
        <v>2.125</v>
      </c>
      <c r="E1889" s="2">
        <v>49324</v>
      </c>
      <c r="F1889" s="1" t="s">
        <v>64</v>
      </c>
      <c r="G1889" s="1" t="s">
        <v>871</v>
      </c>
      <c r="H1889" s="1" t="s">
        <v>2</v>
      </c>
      <c r="I1889" s="2">
        <v>46177</v>
      </c>
      <c r="J1889" s="1" t="s">
        <v>67</v>
      </c>
      <c r="K1889" s="1" t="s">
        <v>5179</v>
      </c>
      <c r="L1889" s="2">
        <v>46177.918923611112</v>
      </c>
      <c r="M1889" s="2">
        <v>46177.921329212964</v>
      </c>
    </row>
    <row r="1890" spans="1:13" x14ac:dyDescent="0.35">
      <c r="A1890" s="1" t="s">
        <v>811</v>
      </c>
      <c r="B1890" s="1" t="s">
        <v>13</v>
      </c>
      <c r="C1890" s="1" t="s">
        <v>812</v>
      </c>
      <c r="D1890">
        <v>4.625</v>
      </c>
      <c r="E1890" s="2">
        <v>49355</v>
      </c>
      <c r="F1890" s="1" t="s">
        <v>16</v>
      </c>
      <c r="G1890" s="1" t="s">
        <v>812</v>
      </c>
      <c r="H1890" s="1" t="s">
        <v>2</v>
      </c>
      <c r="I1890" s="2">
        <v>46177</v>
      </c>
      <c r="J1890" s="1" t="s">
        <v>17</v>
      </c>
      <c r="K1890" s="1" t="s">
        <v>2926</v>
      </c>
      <c r="L1890" s="2">
        <v>46177.92087962963</v>
      </c>
      <c r="M1890" s="2">
        <v>46177.921329212964</v>
      </c>
    </row>
    <row r="1891" spans="1:13" x14ac:dyDescent="0.35">
      <c r="A1891" s="1" t="s">
        <v>811</v>
      </c>
      <c r="B1891" s="1" t="s">
        <v>13</v>
      </c>
      <c r="C1891" s="1" t="s">
        <v>812</v>
      </c>
      <c r="D1891">
        <v>4.625</v>
      </c>
      <c r="E1891" s="2">
        <v>49355</v>
      </c>
      <c r="F1891" s="1" t="s">
        <v>16</v>
      </c>
      <c r="G1891" s="1" t="s">
        <v>812</v>
      </c>
      <c r="H1891" s="1" t="s">
        <v>2</v>
      </c>
      <c r="I1891" s="2">
        <v>46177</v>
      </c>
      <c r="J1891" s="1" t="s">
        <v>215</v>
      </c>
      <c r="K1891" s="1" t="s">
        <v>4941</v>
      </c>
      <c r="L1891" s="2">
        <v>46177.918923611112</v>
      </c>
      <c r="M1891" s="2">
        <v>46177.921329212964</v>
      </c>
    </row>
    <row r="1892" spans="1:13" x14ac:dyDescent="0.35">
      <c r="A1892" s="1" t="s">
        <v>811</v>
      </c>
      <c r="B1892" s="1" t="s">
        <v>13</v>
      </c>
      <c r="C1892" s="1" t="s">
        <v>812</v>
      </c>
      <c r="D1892">
        <v>4.625</v>
      </c>
      <c r="E1892" s="2">
        <v>49355</v>
      </c>
      <c r="F1892" s="1" t="s">
        <v>16</v>
      </c>
      <c r="G1892" s="1" t="s">
        <v>812</v>
      </c>
      <c r="H1892" s="1" t="s">
        <v>2</v>
      </c>
      <c r="I1892" s="2">
        <v>46177</v>
      </c>
      <c r="J1892" s="1" t="s">
        <v>224</v>
      </c>
      <c r="K1892" s="1" t="s">
        <v>5127</v>
      </c>
      <c r="L1892" s="2">
        <v>46177.918923611112</v>
      </c>
      <c r="M1892" s="2">
        <v>46177.921329212964</v>
      </c>
    </row>
    <row r="1893" spans="1:13" x14ac:dyDescent="0.35">
      <c r="A1893" s="1" t="s">
        <v>811</v>
      </c>
      <c r="B1893" s="1" t="s">
        <v>13</v>
      </c>
      <c r="C1893" s="1" t="s">
        <v>812</v>
      </c>
      <c r="D1893">
        <v>4.625</v>
      </c>
      <c r="E1893" s="2">
        <v>49355</v>
      </c>
      <c r="F1893" s="1" t="s">
        <v>16</v>
      </c>
      <c r="G1893" s="1" t="s">
        <v>812</v>
      </c>
      <c r="H1893" s="1" t="s">
        <v>2</v>
      </c>
      <c r="I1893" s="2">
        <v>46177</v>
      </c>
      <c r="J1893" s="1" t="s">
        <v>18</v>
      </c>
      <c r="K1893" s="1" t="s">
        <v>2497</v>
      </c>
      <c r="L1893" s="2">
        <v>46177.92087962963</v>
      </c>
      <c r="M1893" s="2">
        <v>46177.921329212964</v>
      </c>
    </row>
    <row r="1894" spans="1:13" x14ac:dyDescent="0.35">
      <c r="A1894" s="1" t="s">
        <v>811</v>
      </c>
      <c r="B1894" s="1" t="s">
        <v>13</v>
      </c>
      <c r="C1894" s="1" t="s">
        <v>812</v>
      </c>
      <c r="D1894">
        <v>4.625</v>
      </c>
      <c r="E1894" s="2">
        <v>49355</v>
      </c>
      <c r="F1894" s="1" t="s">
        <v>16</v>
      </c>
      <c r="G1894" s="1" t="s">
        <v>812</v>
      </c>
      <c r="H1894" s="1" t="s">
        <v>2</v>
      </c>
      <c r="I1894" s="2">
        <v>46177</v>
      </c>
      <c r="J1894" s="1" t="s">
        <v>67</v>
      </c>
      <c r="K1894" s="1" t="s">
        <v>4941</v>
      </c>
      <c r="L1894" s="2">
        <v>46177.918923611112</v>
      </c>
      <c r="M1894" s="2">
        <v>46177.921329212964</v>
      </c>
    </row>
    <row r="1895" spans="1:13" x14ac:dyDescent="0.35">
      <c r="A1895" s="1" t="s">
        <v>811</v>
      </c>
      <c r="B1895" s="1" t="s">
        <v>13</v>
      </c>
      <c r="C1895" s="1" t="s">
        <v>812</v>
      </c>
      <c r="D1895">
        <v>4.625</v>
      </c>
      <c r="E1895" s="2">
        <v>49355</v>
      </c>
      <c r="F1895" s="1" t="s">
        <v>16</v>
      </c>
      <c r="G1895" s="1" t="s">
        <v>812</v>
      </c>
      <c r="H1895" s="1" t="s">
        <v>2</v>
      </c>
      <c r="I1895" s="2">
        <v>46177</v>
      </c>
      <c r="J1895" s="1" t="s">
        <v>214</v>
      </c>
      <c r="K1895" s="1" t="s">
        <v>5127</v>
      </c>
      <c r="L1895" s="2">
        <v>46177.918923611112</v>
      </c>
      <c r="M1895" s="2">
        <v>46177.921329212964</v>
      </c>
    </row>
    <row r="1896" spans="1:13" x14ac:dyDescent="0.35">
      <c r="A1896" s="1" t="s">
        <v>813</v>
      </c>
      <c r="B1896" s="1" t="s">
        <v>13</v>
      </c>
      <c r="C1896" s="1" t="s">
        <v>814</v>
      </c>
      <c r="D1896">
        <v>4.25</v>
      </c>
      <c r="E1896" s="2">
        <v>46798</v>
      </c>
      <c r="F1896" s="1" t="s">
        <v>16</v>
      </c>
      <c r="G1896" s="1" t="s">
        <v>814</v>
      </c>
      <c r="H1896" s="1" t="s">
        <v>2</v>
      </c>
      <c r="I1896" s="2">
        <v>46177</v>
      </c>
      <c r="J1896" s="1" t="s">
        <v>215</v>
      </c>
      <c r="K1896" s="1" t="s">
        <v>4942</v>
      </c>
      <c r="L1896" s="2">
        <v>46177.918923611112</v>
      </c>
      <c r="M1896" s="2">
        <v>46177.921329212964</v>
      </c>
    </row>
    <row r="1897" spans="1:13" x14ac:dyDescent="0.35">
      <c r="A1897" s="1" t="s">
        <v>813</v>
      </c>
      <c r="B1897" s="1" t="s">
        <v>13</v>
      </c>
      <c r="C1897" s="1" t="s">
        <v>814</v>
      </c>
      <c r="D1897">
        <v>4.25</v>
      </c>
      <c r="E1897" s="2">
        <v>46798</v>
      </c>
      <c r="F1897" s="1" t="s">
        <v>16</v>
      </c>
      <c r="G1897" s="1" t="s">
        <v>814</v>
      </c>
      <c r="H1897" s="1" t="s">
        <v>2</v>
      </c>
      <c r="I1897" s="2">
        <v>46177</v>
      </c>
      <c r="J1897" s="1" t="s">
        <v>224</v>
      </c>
      <c r="K1897" s="1" t="s">
        <v>5012</v>
      </c>
      <c r="L1897" s="2">
        <v>46177.918923611112</v>
      </c>
      <c r="M1897" s="2">
        <v>46177.921329212964</v>
      </c>
    </row>
    <row r="1898" spans="1:13" x14ac:dyDescent="0.35">
      <c r="A1898" s="1" t="s">
        <v>813</v>
      </c>
      <c r="B1898" s="1" t="s">
        <v>13</v>
      </c>
      <c r="C1898" s="1" t="s">
        <v>814</v>
      </c>
      <c r="D1898">
        <v>4.25</v>
      </c>
      <c r="E1898" s="2">
        <v>46798</v>
      </c>
      <c r="F1898" s="1" t="s">
        <v>16</v>
      </c>
      <c r="G1898" s="1" t="s">
        <v>814</v>
      </c>
      <c r="H1898" s="1" t="s">
        <v>2</v>
      </c>
      <c r="I1898" s="2">
        <v>46177</v>
      </c>
      <c r="J1898" s="1" t="s">
        <v>17</v>
      </c>
      <c r="K1898" s="1" t="s">
        <v>2434</v>
      </c>
      <c r="L1898" s="2">
        <v>46177.92087962963</v>
      </c>
      <c r="M1898" s="2">
        <v>46177.921329212964</v>
      </c>
    </row>
    <row r="1899" spans="1:13" x14ac:dyDescent="0.35">
      <c r="A1899" s="1" t="s">
        <v>813</v>
      </c>
      <c r="B1899" s="1" t="s">
        <v>13</v>
      </c>
      <c r="C1899" s="1" t="s">
        <v>814</v>
      </c>
      <c r="D1899">
        <v>4.25</v>
      </c>
      <c r="E1899" s="2">
        <v>46798</v>
      </c>
      <c r="F1899" s="1" t="s">
        <v>16</v>
      </c>
      <c r="G1899" s="1" t="s">
        <v>814</v>
      </c>
      <c r="H1899" s="1" t="s">
        <v>2</v>
      </c>
      <c r="I1899" s="2">
        <v>46177</v>
      </c>
      <c r="J1899" s="1" t="s">
        <v>214</v>
      </c>
      <c r="K1899" s="1" t="s">
        <v>5012</v>
      </c>
      <c r="L1899" s="2">
        <v>46177.918923611112</v>
      </c>
      <c r="M1899" s="2">
        <v>46177.921329212964</v>
      </c>
    </row>
    <row r="1900" spans="1:13" x14ac:dyDescent="0.35">
      <c r="A1900" s="1" t="s">
        <v>813</v>
      </c>
      <c r="B1900" s="1" t="s">
        <v>13</v>
      </c>
      <c r="C1900" s="1" t="s">
        <v>814</v>
      </c>
      <c r="D1900">
        <v>4.25</v>
      </c>
      <c r="E1900" s="2">
        <v>46798</v>
      </c>
      <c r="F1900" s="1" t="s">
        <v>16</v>
      </c>
      <c r="G1900" s="1" t="s">
        <v>814</v>
      </c>
      <c r="H1900" s="1" t="s">
        <v>2</v>
      </c>
      <c r="I1900" s="2">
        <v>46177</v>
      </c>
      <c r="J1900" s="1" t="s">
        <v>67</v>
      </c>
      <c r="K1900" s="1" t="s">
        <v>4942</v>
      </c>
      <c r="L1900" s="2">
        <v>46177.918923611112</v>
      </c>
      <c r="M1900" s="2">
        <v>46177.921329212964</v>
      </c>
    </row>
    <row r="1901" spans="1:13" x14ac:dyDescent="0.35">
      <c r="A1901" s="1" t="s">
        <v>813</v>
      </c>
      <c r="B1901" s="1" t="s">
        <v>13</v>
      </c>
      <c r="C1901" s="1" t="s">
        <v>814</v>
      </c>
      <c r="D1901">
        <v>4.25</v>
      </c>
      <c r="E1901" s="2">
        <v>46798</v>
      </c>
      <c r="F1901" s="1" t="s">
        <v>16</v>
      </c>
      <c r="G1901" s="1" t="s">
        <v>814</v>
      </c>
      <c r="H1901" s="1" t="s">
        <v>2</v>
      </c>
      <c r="I1901" s="2">
        <v>46177</v>
      </c>
      <c r="J1901" s="1" t="s">
        <v>18</v>
      </c>
      <c r="K1901" s="1" t="s">
        <v>2625</v>
      </c>
      <c r="L1901" s="2">
        <v>46177.92087962963</v>
      </c>
      <c r="M1901" s="2">
        <v>46177.921329212964</v>
      </c>
    </row>
    <row r="1902" spans="1:13" x14ac:dyDescent="0.35">
      <c r="A1902" s="1" t="s">
        <v>815</v>
      </c>
      <c r="B1902" s="1" t="s">
        <v>13</v>
      </c>
      <c r="C1902" s="1" t="s">
        <v>816</v>
      </c>
      <c r="D1902">
        <v>4.125</v>
      </c>
      <c r="E1902" s="2">
        <v>46446</v>
      </c>
      <c r="F1902" s="1" t="s">
        <v>16</v>
      </c>
      <c r="G1902" s="1" t="s">
        <v>816</v>
      </c>
      <c r="H1902" s="1" t="s">
        <v>2</v>
      </c>
      <c r="I1902" s="2">
        <v>46177</v>
      </c>
      <c r="J1902" s="1" t="s">
        <v>224</v>
      </c>
      <c r="K1902" s="1" t="s">
        <v>5128</v>
      </c>
      <c r="L1902" s="2">
        <v>46177.918923611112</v>
      </c>
      <c r="M1902" s="2">
        <v>46177.921329212964</v>
      </c>
    </row>
    <row r="1903" spans="1:13" x14ac:dyDescent="0.35">
      <c r="A1903" s="1" t="s">
        <v>815</v>
      </c>
      <c r="B1903" s="1" t="s">
        <v>13</v>
      </c>
      <c r="C1903" s="1" t="s">
        <v>816</v>
      </c>
      <c r="D1903">
        <v>4.125</v>
      </c>
      <c r="E1903" s="2">
        <v>46446</v>
      </c>
      <c r="F1903" s="1" t="s">
        <v>16</v>
      </c>
      <c r="G1903" s="1" t="s">
        <v>816</v>
      </c>
      <c r="H1903" s="1" t="s">
        <v>2</v>
      </c>
      <c r="I1903" s="2">
        <v>46177</v>
      </c>
      <c r="J1903" s="1" t="s">
        <v>17</v>
      </c>
      <c r="K1903" s="1" t="s">
        <v>2920</v>
      </c>
      <c r="L1903" s="2">
        <v>46177.92087962963</v>
      </c>
      <c r="M1903" s="2">
        <v>46177.921329212964</v>
      </c>
    </row>
    <row r="1904" spans="1:13" x14ac:dyDescent="0.35">
      <c r="A1904" s="1" t="s">
        <v>815</v>
      </c>
      <c r="B1904" s="1" t="s">
        <v>13</v>
      </c>
      <c r="C1904" s="1" t="s">
        <v>816</v>
      </c>
      <c r="D1904">
        <v>4.125</v>
      </c>
      <c r="E1904" s="2">
        <v>46446</v>
      </c>
      <c r="F1904" s="1" t="s">
        <v>16</v>
      </c>
      <c r="G1904" s="1" t="s">
        <v>816</v>
      </c>
      <c r="H1904" s="1" t="s">
        <v>2</v>
      </c>
      <c r="I1904" s="2">
        <v>46177</v>
      </c>
      <c r="J1904" s="1" t="s">
        <v>67</v>
      </c>
      <c r="K1904" s="1" t="s">
        <v>5212</v>
      </c>
      <c r="L1904" s="2">
        <v>46177.918923611112</v>
      </c>
      <c r="M1904" s="2">
        <v>46177.921329212964</v>
      </c>
    </row>
    <row r="1905" spans="1:13" x14ac:dyDescent="0.35">
      <c r="A1905" s="1" t="s">
        <v>815</v>
      </c>
      <c r="B1905" s="1" t="s">
        <v>13</v>
      </c>
      <c r="C1905" s="1" t="s">
        <v>816</v>
      </c>
      <c r="D1905">
        <v>4.125</v>
      </c>
      <c r="E1905" s="2">
        <v>46446</v>
      </c>
      <c r="F1905" s="1" t="s">
        <v>16</v>
      </c>
      <c r="G1905" s="1" t="s">
        <v>816</v>
      </c>
      <c r="H1905" s="1" t="s">
        <v>2</v>
      </c>
      <c r="I1905" s="2">
        <v>46177</v>
      </c>
      <c r="J1905" s="1" t="s">
        <v>18</v>
      </c>
      <c r="K1905" s="1" t="s">
        <v>2575</v>
      </c>
      <c r="L1905" s="2">
        <v>46177.92087962963</v>
      </c>
      <c r="M1905" s="2">
        <v>46177.921329212964</v>
      </c>
    </row>
    <row r="1906" spans="1:13" x14ac:dyDescent="0.35">
      <c r="A1906" s="1" t="s">
        <v>815</v>
      </c>
      <c r="B1906" s="1" t="s">
        <v>13</v>
      </c>
      <c r="C1906" s="1" t="s">
        <v>816</v>
      </c>
      <c r="D1906">
        <v>4.125</v>
      </c>
      <c r="E1906" s="2">
        <v>46446</v>
      </c>
      <c r="F1906" s="1" t="s">
        <v>16</v>
      </c>
      <c r="G1906" s="1" t="s">
        <v>816</v>
      </c>
      <c r="H1906" s="1" t="s">
        <v>2</v>
      </c>
      <c r="I1906" s="2">
        <v>46177</v>
      </c>
      <c r="J1906" s="1" t="s">
        <v>214</v>
      </c>
      <c r="K1906" s="1" t="s">
        <v>5128</v>
      </c>
      <c r="L1906" s="2">
        <v>46177.918923611112</v>
      </c>
      <c r="M1906" s="2">
        <v>46177.921329212964</v>
      </c>
    </row>
    <row r="1907" spans="1:13" x14ac:dyDescent="0.35">
      <c r="A1907" s="1" t="s">
        <v>815</v>
      </c>
      <c r="B1907" s="1" t="s">
        <v>13</v>
      </c>
      <c r="C1907" s="1" t="s">
        <v>816</v>
      </c>
      <c r="D1907">
        <v>4.125</v>
      </c>
      <c r="E1907" s="2">
        <v>46446</v>
      </c>
      <c r="F1907" s="1" t="s">
        <v>16</v>
      </c>
      <c r="G1907" s="1" t="s">
        <v>816</v>
      </c>
      <c r="H1907" s="1" t="s">
        <v>2</v>
      </c>
      <c r="I1907" s="2">
        <v>46177</v>
      </c>
      <c r="J1907" s="1" t="s">
        <v>215</v>
      </c>
      <c r="K1907" s="1" t="s">
        <v>5212</v>
      </c>
      <c r="L1907" s="2">
        <v>46177.918923611112</v>
      </c>
      <c r="M1907" s="2">
        <v>46177.921329212964</v>
      </c>
    </row>
    <row r="1908" spans="1:13" x14ac:dyDescent="0.35">
      <c r="A1908" s="1" t="s">
        <v>872</v>
      </c>
      <c r="B1908" s="1" t="s">
        <v>13</v>
      </c>
      <c r="C1908" s="1" t="s">
        <v>873</v>
      </c>
      <c r="D1908">
        <v>4.125</v>
      </c>
      <c r="E1908" s="2">
        <v>48273</v>
      </c>
      <c r="F1908" s="1" t="s">
        <v>16</v>
      </c>
      <c r="G1908" s="1" t="s">
        <v>873</v>
      </c>
      <c r="H1908" s="1" t="s">
        <v>2</v>
      </c>
      <c r="I1908" s="2">
        <v>46177</v>
      </c>
      <c r="J1908" s="1" t="s">
        <v>224</v>
      </c>
      <c r="K1908" s="1" t="s">
        <v>5033</v>
      </c>
      <c r="L1908" s="2">
        <v>46177.918923611112</v>
      </c>
      <c r="M1908" s="2">
        <v>46177.921329212964</v>
      </c>
    </row>
    <row r="1909" spans="1:13" x14ac:dyDescent="0.35">
      <c r="A1909" s="1" t="s">
        <v>872</v>
      </c>
      <c r="B1909" s="1" t="s">
        <v>13</v>
      </c>
      <c r="C1909" s="1" t="s">
        <v>873</v>
      </c>
      <c r="D1909">
        <v>4.125</v>
      </c>
      <c r="E1909" s="2">
        <v>48273</v>
      </c>
      <c r="F1909" s="1" t="s">
        <v>16</v>
      </c>
      <c r="G1909" s="1" t="s">
        <v>873</v>
      </c>
      <c r="H1909" s="1" t="s">
        <v>2</v>
      </c>
      <c r="I1909" s="2">
        <v>46177</v>
      </c>
      <c r="J1909" s="1" t="s">
        <v>214</v>
      </c>
      <c r="K1909" s="1" t="s">
        <v>5033</v>
      </c>
      <c r="L1909" s="2">
        <v>46177.918923611112</v>
      </c>
      <c r="M1909" s="2">
        <v>46177.921329212964</v>
      </c>
    </row>
    <row r="1910" spans="1:13" x14ac:dyDescent="0.35">
      <c r="A1910" s="1" t="s">
        <v>872</v>
      </c>
      <c r="B1910" s="1" t="s">
        <v>13</v>
      </c>
      <c r="C1910" s="1" t="s">
        <v>873</v>
      </c>
      <c r="D1910">
        <v>4.125</v>
      </c>
      <c r="E1910" s="2">
        <v>48273</v>
      </c>
      <c r="F1910" s="1" t="s">
        <v>16</v>
      </c>
      <c r="G1910" s="1" t="s">
        <v>873</v>
      </c>
      <c r="H1910" s="1" t="s">
        <v>2</v>
      </c>
      <c r="I1910" s="2">
        <v>46177</v>
      </c>
      <c r="J1910" s="1" t="s">
        <v>18</v>
      </c>
      <c r="K1910" s="1" t="s">
        <v>2498</v>
      </c>
      <c r="L1910" s="2">
        <v>46177.92087962963</v>
      </c>
      <c r="M1910" s="2">
        <v>46177.921329212964</v>
      </c>
    </row>
    <row r="1911" spans="1:13" x14ac:dyDescent="0.35">
      <c r="A1911" s="1" t="s">
        <v>872</v>
      </c>
      <c r="B1911" s="1" t="s">
        <v>13</v>
      </c>
      <c r="C1911" s="1" t="s">
        <v>873</v>
      </c>
      <c r="D1911">
        <v>4.125</v>
      </c>
      <c r="E1911" s="2">
        <v>48273</v>
      </c>
      <c r="F1911" s="1" t="s">
        <v>16</v>
      </c>
      <c r="G1911" s="1" t="s">
        <v>873</v>
      </c>
      <c r="H1911" s="1" t="s">
        <v>2</v>
      </c>
      <c r="I1911" s="2">
        <v>46177</v>
      </c>
      <c r="J1911" s="1" t="s">
        <v>215</v>
      </c>
      <c r="K1911" s="1" t="s">
        <v>5013</v>
      </c>
      <c r="L1911" s="2">
        <v>46177.918923611112</v>
      </c>
      <c r="M1911" s="2">
        <v>46177.921329212964</v>
      </c>
    </row>
    <row r="1912" spans="1:13" x14ac:dyDescent="0.35">
      <c r="A1912" s="1" t="s">
        <v>872</v>
      </c>
      <c r="B1912" s="1" t="s">
        <v>13</v>
      </c>
      <c r="C1912" s="1" t="s">
        <v>873</v>
      </c>
      <c r="D1912">
        <v>4.125</v>
      </c>
      <c r="E1912" s="2">
        <v>48273</v>
      </c>
      <c r="F1912" s="1" t="s">
        <v>16</v>
      </c>
      <c r="G1912" s="1" t="s">
        <v>873</v>
      </c>
      <c r="H1912" s="1" t="s">
        <v>2</v>
      </c>
      <c r="I1912" s="2">
        <v>46177</v>
      </c>
      <c r="J1912" s="1" t="s">
        <v>67</v>
      </c>
      <c r="K1912" s="1" t="s">
        <v>5013</v>
      </c>
      <c r="L1912" s="2">
        <v>46177.918923611112</v>
      </c>
      <c r="M1912" s="2">
        <v>46177.921329212964</v>
      </c>
    </row>
    <row r="1913" spans="1:13" x14ac:dyDescent="0.35">
      <c r="A1913" s="1" t="s">
        <v>872</v>
      </c>
      <c r="B1913" s="1" t="s">
        <v>13</v>
      </c>
      <c r="C1913" s="1" t="s">
        <v>873</v>
      </c>
      <c r="D1913">
        <v>4.125</v>
      </c>
      <c r="E1913" s="2">
        <v>48273</v>
      </c>
      <c r="F1913" s="1" t="s">
        <v>16</v>
      </c>
      <c r="G1913" s="1" t="s">
        <v>873</v>
      </c>
      <c r="H1913" s="1" t="s">
        <v>2</v>
      </c>
      <c r="I1913" s="2">
        <v>46177</v>
      </c>
      <c r="J1913" s="1" t="s">
        <v>17</v>
      </c>
      <c r="K1913" s="1" t="s">
        <v>2656</v>
      </c>
      <c r="L1913" s="2">
        <v>46177.92087962963</v>
      </c>
      <c r="M1913" s="2">
        <v>46177.921329212964</v>
      </c>
    </row>
    <row r="1914" spans="1:13" x14ac:dyDescent="0.35">
      <c r="A1914" s="1" t="s">
        <v>817</v>
      </c>
      <c r="B1914" s="1" t="s">
        <v>13</v>
      </c>
      <c r="C1914" s="1" t="s">
        <v>818</v>
      </c>
      <c r="D1914">
        <v>3.875</v>
      </c>
      <c r="E1914" s="2">
        <v>46827</v>
      </c>
      <c r="F1914" s="1" t="s">
        <v>16</v>
      </c>
      <c r="G1914" s="1" t="s">
        <v>818</v>
      </c>
      <c r="H1914" s="1" t="s">
        <v>2</v>
      </c>
      <c r="I1914" s="2">
        <v>46177</v>
      </c>
      <c r="J1914" s="1" t="s">
        <v>215</v>
      </c>
      <c r="K1914" s="1" t="s">
        <v>5194</v>
      </c>
      <c r="L1914" s="2">
        <v>46177.918923611112</v>
      </c>
      <c r="M1914" s="2">
        <v>46177.921329212964</v>
      </c>
    </row>
    <row r="1915" spans="1:13" x14ac:dyDescent="0.35">
      <c r="A1915" s="1" t="s">
        <v>817</v>
      </c>
      <c r="B1915" s="1" t="s">
        <v>13</v>
      </c>
      <c r="C1915" s="1" t="s">
        <v>818</v>
      </c>
      <c r="D1915">
        <v>3.875</v>
      </c>
      <c r="E1915" s="2">
        <v>46827</v>
      </c>
      <c r="F1915" s="1" t="s">
        <v>16</v>
      </c>
      <c r="G1915" s="1" t="s">
        <v>818</v>
      </c>
      <c r="H1915" s="1" t="s">
        <v>2</v>
      </c>
      <c r="I1915" s="2">
        <v>46177</v>
      </c>
      <c r="J1915" s="1" t="s">
        <v>17</v>
      </c>
      <c r="K1915" s="1" t="s">
        <v>2400</v>
      </c>
      <c r="L1915" s="2">
        <v>46177.92087962963</v>
      </c>
      <c r="M1915" s="2">
        <v>46177.921329212964</v>
      </c>
    </row>
    <row r="1916" spans="1:13" x14ac:dyDescent="0.35">
      <c r="A1916" s="1" t="s">
        <v>817</v>
      </c>
      <c r="B1916" s="1" t="s">
        <v>13</v>
      </c>
      <c r="C1916" s="1" t="s">
        <v>818</v>
      </c>
      <c r="D1916">
        <v>3.875</v>
      </c>
      <c r="E1916" s="2">
        <v>46827</v>
      </c>
      <c r="F1916" s="1" t="s">
        <v>16</v>
      </c>
      <c r="G1916" s="1" t="s">
        <v>818</v>
      </c>
      <c r="H1916" s="1" t="s">
        <v>2</v>
      </c>
      <c r="I1916" s="2">
        <v>46177</v>
      </c>
      <c r="J1916" s="1" t="s">
        <v>224</v>
      </c>
      <c r="K1916" s="1" t="s">
        <v>5213</v>
      </c>
      <c r="L1916" s="2">
        <v>46177.918923611112</v>
      </c>
      <c r="M1916" s="2">
        <v>46177.921329212964</v>
      </c>
    </row>
    <row r="1917" spans="1:13" x14ac:dyDescent="0.35">
      <c r="A1917" s="1" t="s">
        <v>817</v>
      </c>
      <c r="B1917" s="1" t="s">
        <v>13</v>
      </c>
      <c r="C1917" s="1" t="s">
        <v>818</v>
      </c>
      <c r="D1917">
        <v>3.875</v>
      </c>
      <c r="E1917" s="2">
        <v>46827</v>
      </c>
      <c r="F1917" s="1" t="s">
        <v>16</v>
      </c>
      <c r="G1917" s="1" t="s">
        <v>818</v>
      </c>
      <c r="H1917" s="1" t="s">
        <v>2</v>
      </c>
      <c r="I1917" s="2">
        <v>46177</v>
      </c>
      <c r="J1917" s="1" t="s">
        <v>18</v>
      </c>
      <c r="K1917" s="1" t="s">
        <v>2421</v>
      </c>
      <c r="L1917" s="2">
        <v>46177.92087962963</v>
      </c>
      <c r="M1917" s="2">
        <v>46177.921329212964</v>
      </c>
    </row>
    <row r="1918" spans="1:13" x14ac:dyDescent="0.35">
      <c r="A1918" s="1" t="s">
        <v>817</v>
      </c>
      <c r="B1918" s="1" t="s">
        <v>13</v>
      </c>
      <c r="C1918" s="1" t="s">
        <v>818</v>
      </c>
      <c r="D1918">
        <v>3.875</v>
      </c>
      <c r="E1918" s="2">
        <v>46827</v>
      </c>
      <c r="F1918" s="1" t="s">
        <v>16</v>
      </c>
      <c r="G1918" s="1" t="s">
        <v>818</v>
      </c>
      <c r="H1918" s="1" t="s">
        <v>2</v>
      </c>
      <c r="I1918" s="2">
        <v>46177</v>
      </c>
      <c r="J1918" s="1" t="s">
        <v>214</v>
      </c>
      <c r="K1918" s="1" t="s">
        <v>5213</v>
      </c>
      <c r="L1918" s="2">
        <v>46177.918923611112</v>
      </c>
      <c r="M1918" s="2">
        <v>46177.921329212964</v>
      </c>
    </row>
    <row r="1919" spans="1:13" x14ac:dyDescent="0.35">
      <c r="A1919" s="1" t="s">
        <v>817</v>
      </c>
      <c r="B1919" s="1" t="s">
        <v>13</v>
      </c>
      <c r="C1919" s="1" t="s">
        <v>818</v>
      </c>
      <c r="D1919">
        <v>3.875</v>
      </c>
      <c r="E1919" s="2">
        <v>46827</v>
      </c>
      <c r="F1919" s="1" t="s">
        <v>16</v>
      </c>
      <c r="G1919" s="1" t="s">
        <v>818</v>
      </c>
      <c r="H1919" s="1" t="s">
        <v>2</v>
      </c>
      <c r="I1919" s="2">
        <v>46177</v>
      </c>
      <c r="J1919" s="1" t="s">
        <v>67</v>
      </c>
      <c r="K1919" s="1" t="s">
        <v>5194</v>
      </c>
      <c r="L1919" s="2">
        <v>46177.918923611112</v>
      </c>
      <c r="M1919" s="2">
        <v>46177.921329212964</v>
      </c>
    </row>
    <row r="1920" spans="1:13" x14ac:dyDescent="0.35">
      <c r="A1920" s="1" t="s">
        <v>874</v>
      </c>
      <c r="B1920" s="1" t="s">
        <v>13</v>
      </c>
      <c r="C1920" s="1" t="s">
        <v>875</v>
      </c>
      <c r="D1920">
        <v>4.125</v>
      </c>
      <c r="E1920" s="2">
        <v>48304</v>
      </c>
      <c r="F1920" s="1" t="s">
        <v>16</v>
      </c>
      <c r="G1920" s="1" t="s">
        <v>875</v>
      </c>
      <c r="H1920" s="1" t="s">
        <v>2</v>
      </c>
      <c r="I1920" s="2">
        <v>46177</v>
      </c>
      <c r="J1920" s="1" t="s">
        <v>214</v>
      </c>
      <c r="K1920" s="1" t="s">
        <v>5034</v>
      </c>
      <c r="L1920" s="2">
        <v>46177.918923611112</v>
      </c>
      <c r="M1920" s="2">
        <v>46177.921329212964</v>
      </c>
    </row>
    <row r="1921" spans="1:13" x14ac:dyDescent="0.35">
      <c r="A1921" s="1" t="s">
        <v>874</v>
      </c>
      <c r="B1921" s="1" t="s">
        <v>13</v>
      </c>
      <c r="C1921" s="1" t="s">
        <v>875</v>
      </c>
      <c r="D1921">
        <v>4.125</v>
      </c>
      <c r="E1921" s="2">
        <v>48304</v>
      </c>
      <c r="F1921" s="1" t="s">
        <v>16</v>
      </c>
      <c r="G1921" s="1" t="s">
        <v>875</v>
      </c>
      <c r="H1921" s="1" t="s">
        <v>2</v>
      </c>
      <c r="I1921" s="2">
        <v>46177</v>
      </c>
      <c r="J1921" s="1" t="s">
        <v>215</v>
      </c>
      <c r="K1921" s="1" t="s">
        <v>5014</v>
      </c>
      <c r="L1921" s="2">
        <v>46177.918923611112</v>
      </c>
      <c r="M1921" s="2">
        <v>46177.921329212964</v>
      </c>
    </row>
    <row r="1922" spans="1:13" x14ac:dyDescent="0.35">
      <c r="A1922" s="1" t="s">
        <v>874</v>
      </c>
      <c r="B1922" s="1" t="s">
        <v>13</v>
      </c>
      <c r="C1922" s="1" t="s">
        <v>875</v>
      </c>
      <c r="D1922">
        <v>4.125</v>
      </c>
      <c r="E1922" s="2">
        <v>48304</v>
      </c>
      <c r="F1922" s="1" t="s">
        <v>16</v>
      </c>
      <c r="G1922" s="1" t="s">
        <v>875</v>
      </c>
      <c r="H1922" s="1" t="s">
        <v>2</v>
      </c>
      <c r="I1922" s="2">
        <v>46177</v>
      </c>
      <c r="J1922" s="1" t="s">
        <v>18</v>
      </c>
      <c r="K1922" s="1" t="s">
        <v>2452</v>
      </c>
      <c r="L1922" s="2">
        <v>46177.92087962963</v>
      </c>
      <c r="M1922" s="2">
        <v>46177.921329212964</v>
      </c>
    </row>
    <row r="1923" spans="1:13" x14ac:dyDescent="0.35">
      <c r="A1923" s="1" t="s">
        <v>874</v>
      </c>
      <c r="B1923" s="1" t="s">
        <v>13</v>
      </c>
      <c r="C1923" s="1" t="s">
        <v>875</v>
      </c>
      <c r="D1923">
        <v>4.125</v>
      </c>
      <c r="E1923" s="2">
        <v>48304</v>
      </c>
      <c r="F1923" s="1" t="s">
        <v>16</v>
      </c>
      <c r="G1923" s="1" t="s">
        <v>875</v>
      </c>
      <c r="H1923" s="1" t="s">
        <v>2</v>
      </c>
      <c r="I1923" s="2">
        <v>46177</v>
      </c>
      <c r="J1923" s="1" t="s">
        <v>17</v>
      </c>
      <c r="K1923" s="1" t="s">
        <v>2312</v>
      </c>
      <c r="L1923" s="2">
        <v>46177.92087962963</v>
      </c>
      <c r="M1923" s="2">
        <v>46177.921329212964</v>
      </c>
    </row>
    <row r="1924" spans="1:13" x14ac:dyDescent="0.35">
      <c r="A1924" s="1" t="s">
        <v>874</v>
      </c>
      <c r="B1924" s="1" t="s">
        <v>13</v>
      </c>
      <c r="C1924" s="1" t="s">
        <v>875</v>
      </c>
      <c r="D1924">
        <v>4.125</v>
      </c>
      <c r="E1924" s="2">
        <v>48304</v>
      </c>
      <c r="F1924" s="1" t="s">
        <v>16</v>
      </c>
      <c r="G1924" s="1" t="s">
        <v>875</v>
      </c>
      <c r="H1924" s="1" t="s">
        <v>2</v>
      </c>
      <c r="I1924" s="2">
        <v>46177</v>
      </c>
      <c r="J1924" s="1" t="s">
        <v>67</v>
      </c>
      <c r="K1924" s="1" t="s">
        <v>5014</v>
      </c>
      <c r="L1924" s="2">
        <v>46177.918923611112</v>
      </c>
      <c r="M1924" s="2">
        <v>46177.921329212964</v>
      </c>
    </row>
    <row r="1925" spans="1:13" x14ac:dyDescent="0.35">
      <c r="A1925" s="1" t="s">
        <v>874</v>
      </c>
      <c r="B1925" s="1" t="s">
        <v>13</v>
      </c>
      <c r="C1925" s="1" t="s">
        <v>875</v>
      </c>
      <c r="D1925">
        <v>4.125</v>
      </c>
      <c r="E1925" s="2">
        <v>48304</v>
      </c>
      <c r="F1925" s="1" t="s">
        <v>16</v>
      </c>
      <c r="G1925" s="1" t="s">
        <v>875</v>
      </c>
      <c r="H1925" s="1" t="s">
        <v>2</v>
      </c>
      <c r="I1925" s="2">
        <v>46177</v>
      </c>
      <c r="J1925" s="1" t="s">
        <v>224</v>
      </c>
      <c r="K1925" s="1" t="s">
        <v>5034</v>
      </c>
      <c r="L1925" s="2">
        <v>46177.918923611112</v>
      </c>
      <c r="M1925" s="2">
        <v>46177.921329212964</v>
      </c>
    </row>
    <row r="1926" spans="1:13" x14ac:dyDescent="0.35">
      <c r="A1926" s="1" t="s">
        <v>876</v>
      </c>
      <c r="B1926" s="1" t="s">
        <v>13</v>
      </c>
      <c r="C1926" s="1" t="s">
        <v>877</v>
      </c>
      <c r="D1926">
        <v>4</v>
      </c>
      <c r="E1926" s="2">
        <v>47573</v>
      </c>
      <c r="F1926" s="1" t="s">
        <v>16</v>
      </c>
      <c r="G1926" s="1" t="s">
        <v>877</v>
      </c>
      <c r="H1926" s="1" t="s">
        <v>2</v>
      </c>
      <c r="I1926" s="2">
        <v>46177</v>
      </c>
      <c r="J1926" s="1" t="s">
        <v>214</v>
      </c>
      <c r="K1926" s="1" t="s">
        <v>5035</v>
      </c>
      <c r="L1926" s="2">
        <v>46177.918923611112</v>
      </c>
      <c r="M1926" s="2">
        <v>46177.921329212964</v>
      </c>
    </row>
    <row r="1927" spans="1:13" x14ac:dyDescent="0.35">
      <c r="A1927" s="1" t="s">
        <v>876</v>
      </c>
      <c r="B1927" s="1" t="s">
        <v>13</v>
      </c>
      <c r="C1927" s="1" t="s">
        <v>877</v>
      </c>
      <c r="D1927">
        <v>4</v>
      </c>
      <c r="E1927" s="2">
        <v>47573</v>
      </c>
      <c r="F1927" s="1" t="s">
        <v>16</v>
      </c>
      <c r="G1927" s="1" t="s">
        <v>877</v>
      </c>
      <c r="H1927" s="1" t="s">
        <v>2</v>
      </c>
      <c r="I1927" s="2">
        <v>46177</v>
      </c>
      <c r="J1927" s="1" t="s">
        <v>17</v>
      </c>
      <c r="K1927" s="1" t="s">
        <v>2963</v>
      </c>
      <c r="L1927" s="2">
        <v>46177.92087962963</v>
      </c>
      <c r="M1927" s="2">
        <v>46177.921329212964</v>
      </c>
    </row>
    <row r="1928" spans="1:13" x14ac:dyDescent="0.35">
      <c r="A1928" s="1" t="s">
        <v>876</v>
      </c>
      <c r="B1928" s="1" t="s">
        <v>13</v>
      </c>
      <c r="C1928" s="1" t="s">
        <v>877</v>
      </c>
      <c r="D1928">
        <v>4</v>
      </c>
      <c r="E1928" s="2">
        <v>47573</v>
      </c>
      <c r="F1928" s="1" t="s">
        <v>16</v>
      </c>
      <c r="G1928" s="1" t="s">
        <v>877</v>
      </c>
      <c r="H1928" s="1" t="s">
        <v>2</v>
      </c>
      <c r="I1928" s="2">
        <v>46177</v>
      </c>
      <c r="J1928" s="1" t="s">
        <v>18</v>
      </c>
      <c r="K1928" s="1" t="s">
        <v>2557</v>
      </c>
      <c r="L1928" s="2">
        <v>46177.92087962963</v>
      </c>
      <c r="M1928" s="2">
        <v>46177.921329212964</v>
      </c>
    </row>
    <row r="1929" spans="1:13" x14ac:dyDescent="0.35">
      <c r="A1929" s="1" t="s">
        <v>876</v>
      </c>
      <c r="B1929" s="1" t="s">
        <v>13</v>
      </c>
      <c r="C1929" s="1" t="s">
        <v>877</v>
      </c>
      <c r="D1929">
        <v>4</v>
      </c>
      <c r="E1929" s="2">
        <v>47573</v>
      </c>
      <c r="F1929" s="1" t="s">
        <v>16</v>
      </c>
      <c r="G1929" s="1" t="s">
        <v>877</v>
      </c>
      <c r="H1929" s="1" t="s">
        <v>2</v>
      </c>
      <c r="I1929" s="2">
        <v>46177</v>
      </c>
      <c r="J1929" s="1" t="s">
        <v>224</v>
      </c>
      <c r="K1929" s="1" t="s">
        <v>5035</v>
      </c>
      <c r="L1929" s="2">
        <v>46177.918923611112</v>
      </c>
      <c r="M1929" s="2">
        <v>46177.921329212964</v>
      </c>
    </row>
    <row r="1930" spans="1:13" x14ac:dyDescent="0.35">
      <c r="A1930" s="1" t="s">
        <v>876</v>
      </c>
      <c r="B1930" s="1" t="s">
        <v>13</v>
      </c>
      <c r="C1930" s="1" t="s">
        <v>877</v>
      </c>
      <c r="D1930">
        <v>4</v>
      </c>
      <c r="E1930" s="2">
        <v>47573</v>
      </c>
      <c r="F1930" s="1" t="s">
        <v>16</v>
      </c>
      <c r="G1930" s="1" t="s">
        <v>877</v>
      </c>
      <c r="H1930" s="1" t="s">
        <v>2</v>
      </c>
      <c r="I1930" s="2">
        <v>46177</v>
      </c>
      <c r="J1930" s="1" t="s">
        <v>67</v>
      </c>
      <c r="K1930" s="1" t="s">
        <v>4943</v>
      </c>
      <c r="L1930" s="2">
        <v>46177.918923611112</v>
      </c>
      <c r="M1930" s="2">
        <v>46177.921329212964</v>
      </c>
    </row>
    <row r="1931" spans="1:13" x14ac:dyDescent="0.35">
      <c r="A1931" s="1" t="s">
        <v>876</v>
      </c>
      <c r="B1931" s="1" t="s">
        <v>13</v>
      </c>
      <c r="C1931" s="1" t="s">
        <v>877</v>
      </c>
      <c r="D1931">
        <v>4</v>
      </c>
      <c r="E1931" s="2">
        <v>47573</v>
      </c>
      <c r="F1931" s="1" t="s">
        <v>16</v>
      </c>
      <c r="G1931" s="1" t="s">
        <v>877</v>
      </c>
      <c r="H1931" s="1" t="s">
        <v>2</v>
      </c>
      <c r="I1931" s="2">
        <v>46177</v>
      </c>
      <c r="J1931" s="1" t="s">
        <v>215</v>
      </c>
      <c r="K1931" s="1" t="s">
        <v>4943</v>
      </c>
      <c r="L1931" s="2">
        <v>46177.918923611112</v>
      </c>
      <c r="M1931" s="2">
        <v>46177.921329212964</v>
      </c>
    </row>
    <row r="1932" spans="1:13" x14ac:dyDescent="0.35">
      <c r="A1932" s="1" t="s">
        <v>888</v>
      </c>
      <c r="B1932" s="1" t="s">
        <v>13</v>
      </c>
      <c r="C1932" s="1" t="s">
        <v>889</v>
      </c>
      <c r="D1932">
        <v>3.875</v>
      </c>
      <c r="E1932" s="2">
        <v>46477</v>
      </c>
      <c r="F1932" s="1" t="s">
        <v>16</v>
      </c>
      <c r="G1932" s="1" t="s">
        <v>889</v>
      </c>
      <c r="H1932" s="1" t="s">
        <v>2</v>
      </c>
      <c r="I1932" s="2">
        <v>46177</v>
      </c>
      <c r="J1932" s="1" t="s">
        <v>18</v>
      </c>
      <c r="K1932" s="1" t="s">
        <v>2437</v>
      </c>
      <c r="L1932" s="2">
        <v>46177.92087962963</v>
      </c>
      <c r="M1932" s="2">
        <v>46177.921329212964</v>
      </c>
    </row>
    <row r="1933" spans="1:13" x14ac:dyDescent="0.35">
      <c r="A1933" s="1" t="s">
        <v>888</v>
      </c>
      <c r="B1933" s="1" t="s">
        <v>13</v>
      </c>
      <c r="C1933" s="1" t="s">
        <v>889</v>
      </c>
      <c r="D1933">
        <v>3.875</v>
      </c>
      <c r="E1933" s="2">
        <v>46477</v>
      </c>
      <c r="F1933" s="1" t="s">
        <v>16</v>
      </c>
      <c r="G1933" s="1" t="s">
        <v>889</v>
      </c>
      <c r="H1933" s="1" t="s">
        <v>2</v>
      </c>
      <c r="I1933" s="2">
        <v>46177</v>
      </c>
      <c r="J1933" s="1" t="s">
        <v>224</v>
      </c>
      <c r="K1933" s="1" t="s">
        <v>4944</v>
      </c>
      <c r="L1933" s="2">
        <v>46177.918923611112</v>
      </c>
      <c r="M1933" s="2">
        <v>46177.921329212964</v>
      </c>
    </row>
    <row r="1934" spans="1:13" x14ac:dyDescent="0.35">
      <c r="A1934" s="1" t="s">
        <v>888</v>
      </c>
      <c r="B1934" s="1" t="s">
        <v>13</v>
      </c>
      <c r="C1934" s="1" t="s">
        <v>889</v>
      </c>
      <c r="D1934">
        <v>3.875</v>
      </c>
      <c r="E1934" s="2">
        <v>46477</v>
      </c>
      <c r="F1934" s="1" t="s">
        <v>16</v>
      </c>
      <c r="G1934" s="1" t="s">
        <v>889</v>
      </c>
      <c r="H1934" s="1" t="s">
        <v>2</v>
      </c>
      <c r="I1934" s="2">
        <v>46177</v>
      </c>
      <c r="J1934" s="1" t="s">
        <v>215</v>
      </c>
      <c r="K1934" s="1" t="s">
        <v>5015</v>
      </c>
      <c r="L1934" s="2">
        <v>46177.918923611112</v>
      </c>
      <c r="M1934" s="2">
        <v>46177.921329212964</v>
      </c>
    </row>
    <row r="1935" spans="1:13" x14ac:dyDescent="0.35">
      <c r="A1935" s="1" t="s">
        <v>888</v>
      </c>
      <c r="B1935" s="1" t="s">
        <v>13</v>
      </c>
      <c r="C1935" s="1" t="s">
        <v>889</v>
      </c>
      <c r="D1935">
        <v>3.875</v>
      </c>
      <c r="E1935" s="2">
        <v>46477</v>
      </c>
      <c r="F1935" s="1" t="s">
        <v>16</v>
      </c>
      <c r="G1935" s="1" t="s">
        <v>889</v>
      </c>
      <c r="H1935" s="1" t="s">
        <v>2</v>
      </c>
      <c r="I1935" s="2">
        <v>46177</v>
      </c>
      <c r="J1935" s="1" t="s">
        <v>214</v>
      </c>
      <c r="K1935" s="1" t="s">
        <v>4944</v>
      </c>
      <c r="L1935" s="2">
        <v>46177.918923611112</v>
      </c>
      <c r="M1935" s="2">
        <v>46177.921329212964</v>
      </c>
    </row>
    <row r="1936" spans="1:13" x14ac:dyDescent="0.35">
      <c r="A1936" s="1" t="s">
        <v>888</v>
      </c>
      <c r="B1936" s="1" t="s">
        <v>13</v>
      </c>
      <c r="C1936" s="1" t="s">
        <v>889</v>
      </c>
      <c r="D1936">
        <v>3.875</v>
      </c>
      <c r="E1936" s="2">
        <v>46477</v>
      </c>
      <c r="F1936" s="1" t="s">
        <v>16</v>
      </c>
      <c r="G1936" s="1" t="s">
        <v>889</v>
      </c>
      <c r="H1936" s="1" t="s">
        <v>2</v>
      </c>
      <c r="I1936" s="2">
        <v>46177</v>
      </c>
      <c r="J1936" s="1" t="s">
        <v>17</v>
      </c>
      <c r="K1936" s="1" t="s">
        <v>2478</v>
      </c>
      <c r="L1936" s="2">
        <v>46177.92087962963</v>
      </c>
      <c r="M1936" s="2">
        <v>46177.921329212964</v>
      </c>
    </row>
    <row r="1937" spans="1:13" x14ac:dyDescent="0.35">
      <c r="A1937" s="1" t="s">
        <v>888</v>
      </c>
      <c r="B1937" s="1" t="s">
        <v>13</v>
      </c>
      <c r="C1937" s="1" t="s">
        <v>889</v>
      </c>
      <c r="D1937">
        <v>3.875</v>
      </c>
      <c r="E1937" s="2">
        <v>46477</v>
      </c>
      <c r="F1937" s="1" t="s">
        <v>16</v>
      </c>
      <c r="G1937" s="1" t="s">
        <v>889</v>
      </c>
      <c r="H1937" s="1" t="s">
        <v>2</v>
      </c>
      <c r="I1937" s="2">
        <v>46177</v>
      </c>
      <c r="J1937" s="1" t="s">
        <v>67</v>
      </c>
      <c r="K1937" s="1" t="s">
        <v>5015</v>
      </c>
      <c r="L1937" s="2">
        <v>46177.918923611112</v>
      </c>
      <c r="M1937" s="2">
        <v>46177.921329212964</v>
      </c>
    </row>
    <row r="1938" spans="1:13" x14ac:dyDescent="0.35">
      <c r="A1938" s="1" t="s">
        <v>878</v>
      </c>
      <c r="B1938" s="1" t="s">
        <v>13</v>
      </c>
      <c r="C1938" s="1" t="s">
        <v>879</v>
      </c>
      <c r="D1938">
        <v>3.75</v>
      </c>
      <c r="E1938" s="2">
        <v>46858</v>
      </c>
      <c r="F1938" s="1" t="s">
        <v>16</v>
      </c>
      <c r="G1938" s="1" t="s">
        <v>879</v>
      </c>
      <c r="H1938" s="1" t="s">
        <v>2</v>
      </c>
      <c r="I1938" s="2">
        <v>46177</v>
      </c>
      <c r="J1938" s="1" t="s">
        <v>18</v>
      </c>
      <c r="K1938" s="1" t="s">
        <v>2502</v>
      </c>
      <c r="L1938" s="2">
        <v>46177.92087962963</v>
      </c>
      <c r="M1938" s="2">
        <v>46177.921329212964</v>
      </c>
    </row>
    <row r="1939" spans="1:13" x14ac:dyDescent="0.35">
      <c r="A1939" s="1" t="s">
        <v>878</v>
      </c>
      <c r="B1939" s="1" t="s">
        <v>13</v>
      </c>
      <c r="C1939" s="1" t="s">
        <v>879</v>
      </c>
      <c r="D1939">
        <v>3.75</v>
      </c>
      <c r="E1939" s="2">
        <v>46858</v>
      </c>
      <c r="F1939" s="1" t="s">
        <v>16</v>
      </c>
      <c r="G1939" s="1" t="s">
        <v>879</v>
      </c>
      <c r="H1939" s="1" t="s">
        <v>2</v>
      </c>
      <c r="I1939" s="2">
        <v>46177</v>
      </c>
      <c r="J1939" s="1" t="s">
        <v>224</v>
      </c>
      <c r="K1939" s="1" t="s">
        <v>4945</v>
      </c>
      <c r="L1939" s="2">
        <v>46177.918923611112</v>
      </c>
      <c r="M1939" s="2">
        <v>46177.921329212964</v>
      </c>
    </row>
    <row r="1940" spans="1:13" x14ac:dyDescent="0.35">
      <c r="A1940" s="1" t="s">
        <v>878</v>
      </c>
      <c r="B1940" s="1" t="s">
        <v>13</v>
      </c>
      <c r="C1940" s="1" t="s">
        <v>879</v>
      </c>
      <c r="D1940">
        <v>3.75</v>
      </c>
      <c r="E1940" s="2">
        <v>46858</v>
      </c>
      <c r="F1940" s="1" t="s">
        <v>16</v>
      </c>
      <c r="G1940" s="1" t="s">
        <v>879</v>
      </c>
      <c r="H1940" s="1" t="s">
        <v>2</v>
      </c>
      <c r="I1940" s="2">
        <v>46177</v>
      </c>
      <c r="J1940" s="1" t="s">
        <v>67</v>
      </c>
      <c r="K1940" s="1" t="s">
        <v>5214</v>
      </c>
      <c r="L1940" s="2">
        <v>46177.918923611112</v>
      </c>
      <c r="M1940" s="2">
        <v>46177.921329212964</v>
      </c>
    </row>
    <row r="1941" spans="1:13" x14ac:dyDescent="0.35">
      <c r="A1941" s="1" t="s">
        <v>878</v>
      </c>
      <c r="B1941" s="1" t="s">
        <v>13</v>
      </c>
      <c r="C1941" s="1" t="s">
        <v>879</v>
      </c>
      <c r="D1941">
        <v>3.75</v>
      </c>
      <c r="E1941" s="2">
        <v>46858</v>
      </c>
      <c r="F1941" s="1" t="s">
        <v>16</v>
      </c>
      <c r="G1941" s="1" t="s">
        <v>879</v>
      </c>
      <c r="H1941" s="1" t="s">
        <v>2</v>
      </c>
      <c r="I1941" s="2">
        <v>46177</v>
      </c>
      <c r="J1941" s="1" t="s">
        <v>17</v>
      </c>
      <c r="K1941" s="1" t="s">
        <v>2927</v>
      </c>
      <c r="L1941" s="2">
        <v>46177.92087962963</v>
      </c>
      <c r="M1941" s="2">
        <v>46177.921329212964</v>
      </c>
    </row>
    <row r="1942" spans="1:13" x14ac:dyDescent="0.35">
      <c r="A1942" s="1" t="s">
        <v>878</v>
      </c>
      <c r="B1942" s="1" t="s">
        <v>13</v>
      </c>
      <c r="C1942" s="1" t="s">
        <v>879</v>
      </c>
      <c r="D1942">
        <v>3.75</v>
      </c>
      <c r="E1942" s="2">
        <v>46858</v>
      </c>
      <c r="F1942" s="1" t="s">
        <v>16</v>
      </c>
      <c r="G1942" s="1" t="s">
        <v>879</v>
      </c>
      <c r="H1942" s="1" t="s">
        <v>2</v>
      </c>
      <c r="I1942" s="2">
        <v>46177</v>
      </c>
      <c r="J1942" s="1" t="s">
        <v>214</v>
      </c>
      <c r="K1942" s="1" t="s">
        <v>4945</v>
      </c>
      <c r="L1942" s="2">
        <v>46177.918923611112</v>
      </c>
      <c r="M1942" s="2">
        <v>46177.921329212964</v>
      </c>
    </row>
    <row r="1943" spans="1:13" x14ac:dyDescent="0.35">
      <c r="A1943" s="1" t="s">
        <v>878</v>
      </c>
      <c r="B1943" s="1" t="s">
        <v>13</v>
      </c>
      <c r="C1943" s="1" t="s">
        <v>879</v>
      </c>
      <c r="D1943">
        <v>3.75</v>
      </c>
      <c r="E1943" s="2">
        <v>46858</v>
      </c>
      <c r="F1943" s="1" t="s">
        <v>16</v>
      </c>
      <c r="G1943" s="1" t="s">
        <v>879</v>
      </c>
      <c r="H1943" s="1" t="s">
        <v>2</v>
      </c>
      <c r="I1943" s="2">
        <v>46177</v>
      </c>
      <c r="J1943" s="1" t="s">
        <v>215</v>
      </c>
      <c r="K1943" s="1" t="s">
        <v>5214</v>
      </c>
      <c r="L1943" s="2">
        <v>46177.918923611112</v>
      </c>
      <c r="M1943" s="2">
        <v>46177.921329212964</v>
      </c>
    </row>
    <row r="1944" spans="1:13" x14ac:dyDescent="0.35">
      <c r="A1944" s="1" t="s">
        <v>890</v>
      </c>
      <c r="B1944" s="1" t="s">
        <v>13</v>
      </c>
      <c r="C1944" s="1" t="s">
        <v>891</v>
      </c>
      <c r="D1944">
        <v>3.75</v>
      </c>
      <c r="E1944" s="2">
        <v>46507</v>
      </c>
      <c r="F1944" s="1" t="s">
        <v>16</v>
      </c>
      <c r="G1944" s="1" t="s">
        <v>891</v>
      </c>
      <c r="H1944" s="1" t="s">
        <v>2</v>
      </c>
      <c r="I1944" s="2">
        <v>46177</v>
      </c>
      <c r="J1944" s="1" t="s">
        <v>67</v>
      </c>
      <c r="K1944" s="1" t="s">
        <v>5016</v>
      </c>
      <c r="L1944" s="2">
        <v>46177.918923611112</v>
      </c>
      <c r="M1944" s="2">
        <v>46177.921329212964</v>
      </c>
    </row>
    <row r="1945" spans="1:13" x14ac:dyDescent="0.35">
      <c r="A1945" s="1" t="s">
        <v>890</v>
      </c>
      <c r="B1945" s="1" t="s">
        <v>13</v>
      </c>
      <c r="C1945" s="1" t="s">
        <v>891</v>
      </c>
      <c r="D1945">
        <v>3.75</v>
      </c>
      <c r="E1945" s="2">
        <v>46507</v>
      </c>
      <c r="F1945" s="1" t="s">
        <v>16</v>
      </c>
      <c r="G1945" s="1" t="s">
        <v>891</v>
      </c>
      <c r="H1945" s="1" t="s">
        <v>2</v>
      </c>
      <c r="I1945" s="2">
        <v>46177</v>
      </c>
      <c r="J1945" s="1" t="s">
        <v>18</v>
      </c>
      <c r="K1945" s="1" t="s">
        <v>5223</v>
      </c>
      <c r="L1945" s="2">
        <v>46177.92087962963</v>
      </c>
      <c r="M1945" s="2">
        <v>46177.921329212964</v>
      </c>
    </row>
    <row r="1946" spans="1:13" x14ac:dyDescent="0.35">
      <c r="A1946" s="1" t="s">
        <v>890</v>
      </c>
      <c r="B1946" s="1" t="s">
        <v>13</v>
      </c>
      <c r="C1946" s="1" t="s">
        <v>891</v>
      </c>
      <c r="D1946">
        <v>3.75</v>
      </c>
      <c r="E1946" s="2">
        <v>46507</v>
      </c>
      <c r="F1946" s="1" t="s">
        <v>16</v>
      </c>
      <c r="G1946" s="1" t="s">
        <v>891</v>
      </c>
      <c r="H1946" s="1" t="s">
        <v>2</v>
      </c>
      <c r="I1946" s="2">
        <v>46177</v>
      </c>
      <c r="J1946" s="1" t="s">
        <v>17</v>
      </c>
      <c r="K1946" s="1" t="s">
        <v>2494</v>
      </c>
      <c r="L1946" s="2">
        <v>46177.92087962963</v>
      </c>
      <c r="M1946" s="2">
        <v>46177.921329212964</v>
      </c>
    </row>
    <row r="1947" spans="1:13" x14ac:dyDescent="0.35">
      <c r="A1947" s="1" t="s">
        <v>890</v>
      </c>
      <c r="B1947" s="1" t="s">
        <v>13</v>
      </c>
      <c r="C1947" s="1" t="s">
        <v>891</v>
      </c>
      <c r="D1947">
        <v>3.75</v>
      </c>
      <c r="E1947" s="2">
        <v>46507</v>
      </c>
      <c r="F1947" s="1" t="s">
        <v>16</v>
      </c>
      <c r="G1947" s="1" t="s">
        <v>891</v>
      </c>
      <c r="H1947" s="1" t="s">
        <v>2</v>
      </c>
      <c r="I1947" s="2">
        <v>46177</v>
      </c>
      <c r="J1947" s="1" t="s">
        <v>215</v>
      </c>
      <c r="K1947" s="1" t="s">
        <v>5016</v>
      </c>
      <c r="L1947" s="2">
        <v>46177.918923611112</v>
      </c>
      <c r="M1947" s="2">
        <v>46177.921329212964</v>
      </c>
    </row>
    <row r="1948" spans="1:13" x14ac:dyDescent="0.35">
      <c r="A1948" s="1" t="s">
        <v>890</v>
      </c>
      <c r="B1948" s="1" t="s">
        <v>13</v>
      </c>
      <c r="C1948" s="1" t="s">
        <v>891</v>
      </c>
      <c r="D1948">
        <v>3.75</v>
      </c>
      <c r="E1948" s="2">
        <v>46507</v>
      </c>
      <c r="F1948" s="1" t="s">
        <v>16</v>
      </c>
      <c r="G1948" s="1" t="s">
        <v>891</v>
      </c>
      <c r="H1948" s="1" t="s">
        <v>2</v>
      </c>
      <c r="I1948" s="2">
        <v>46177</v>
      </c>
      <c r="J1948" s="1" t="s">
        <v>214</v>
      </c>
      <c r="K1948" s="1" t="s">
        <v>4946</v>
      </c>
      <c r="L1948" s="2">
        <v>46177.918923611112</v>
      </c>
      <c r="M1948" s="2">
        <v>46177.921329212964</v>
      </c>
    </row>
    <row r="1949" spans="1:13" x14ac:dyDescent="0.35">
      <c r="A1949" s="1" t="s">
        <v>890</v>
      </c>
      <c r="B1949" s="1" t="s">
        <v>13</v>
      </c>
      <c r="C1949" s="1" t="s">
        <v>891</v>
      </c>
      <c r="D1949">
        <v>3.75</v>
      </c>
      <c r="E1949" s="2">
        <v>46507</v>
      </c>
      <c r="F1949" s="1" t="s">
        <v>16</v>
      </c>
      <c r="G1949" s="1" t="s">
        <v>891</v>
      </c>
      <c r="H1949" s="1" t="s">
        <v>2</v>
      </c>
      <c r="I1949" s="2">
        <v>46177</v>
      </c>
      <c r="J1949" s="1" t="s">
        <v>224</v>
      </c>
      <c r="K1949" s="1" t="s">
        <v>4946</v>
      </c>
      <c r="L1949" s="2">
        <v>46177.918923611112</v>
      </c>
      <c r="M1949" s="2">
        <v>46177.921329212964</v>
      </c>
    </row>
    <row r="1950" spans="1:13" x14ac:dyDescent="0.35">
      <c r="A1950" s="1" t="s">
        <v>892</v>
      </c>
      <c r="B1950" s="1" t="s">
        <v>13</v>
      </c>
      <c r="C1950" s="1" t="s">
        <v>893</v>
      </c>
      <c r="D1950">
        <v>3.875</v>
      </c>
      <c r="E1950" s="2">
        <v>47603</v>
      </c>
      <c r="F1950" s="1" t="s">
        <v>16</v>
      </c>
      <c r="G1950" s="1" t="s">
        <v>893</v>
      </c>
      <c r="H1950" s="1" t="s">
        <v>2</v>
      </c>
      <c r="I1950" s="2">
        <v>46177</v>
      </c>
      <c r="J1950" s="1" t="s">
        <v>67</v>
      </c>
      <c r="K1950" s="1" t="s">
        <v>5036</v>
      </c>
      <c r="L1950" s="2">
        <v>46177.918923611112</v>
      </c>
      <c r="M1950" s="2">
        <v>46177.921329212964</v>
      </c>
    </row>
    <row r="1951" spans="1:13" x14ac:dyDescent="0.35">
      <c r="A1951" s="1" t="s">
        <v>892</v>
      </c>
      <c r="B1951" s="1" t="s">
        <v>13</v>
      </c>
      <c r="C1951" s="1" t="s">
        <v>893</v>
      </c>
      <c r="D1951">
        <v>3.875</v>
      </c>
      <c r="E1951" s="2">
        <v>47603</v>
      </c>
      <c r="F1951" s="1" t="s">
        <v>16</v>
      </c>
      <c r="G1951" s="1" t="s">
        <v>893</v>
      </c>
      <c r="H1951" s="1" t="s">
        <v>2</v>
      </c>
      <c r="I1951" s="2">
        <v>46177</v>
      </c>
      <c r="J1951" s="1" t="s">
        <v>215</v>
      </c>
      <c r="K1951" s="1" t="s">
        <v>5036</v>
      </c>
      <c r="L1951" s="2">
        <v>46177.918923611112</v>
      </c>
      <c r="M1951" s="2">
        <v>46177.921329212964</v>
      </c>
    </row>
    <row r="1952" spans="1:13" x14ac:dyDescent="0.35">
      <c r="A1952" s="1" t="s">
        <v>892</v>
      </c>
      <c r="B1952" s="1" t="s">
        <v>13</v>
      </c>
      <c r="C1952" s="1" t="s">
        <v>893</v>
      </c>
      <c r="D1952">
        <v>3.875</v>
      </c>
      <c r="E1952" s="2">
        <v>47603</v>
      </c>
      <c r="F1952" s="1" t="s">
        <v>16</v>
      </c>
      <c r="G1952" s="1" t="s">
        <v>893</v>
      </c>
      <c r="H1952" s="1" t="s">
        <v>2</v>
      </c>
      <c r="I1952" s="2">
        <v>46177</v>
      </c>
      <c r="J1952" s="1" t="s">
        <v>18</v>
      </c>
      <c r="K1952" s="1" t="s">
        <v>2967</v>
      </c>
      <c r="L1952" s="2">
        <v>46177.92087962963</v>
      </c>
      <c r="M1952" s="2">
        <v>46177.921329212964</v>
      </c>
    </row>
    <row r="1953" spans="1:13" x14ac:dyDescent="0.35">
      <c r="A1953" s="1" t="s">
        <v>892</v>
      </c>
      <c r="B1953" s="1" t="s">
        <v>13</v>
      </c>
      <c r="C1953" s="1" t="s">
        <v>893</v>
      </c>
      <c r="D1953">
        <v>3.875</v>
      </c>
      <c r="E1953" s="2">
        <v>47603</v>
      </c>
      <c r="F1953" s="1" t="s">
        <v>16</v>
      </c>
      <c r="G1953" s="1" t="s">
        <v>893</v>
      </c>
      <c r="H1953" s="1" t="s">
        <v>2</v>
      </c>
      <c r="I1953" s="2">
        <v>46177</v>
      </c>
      <c r="J1953" s="1" t="s">
        <v>224</v>
      </c>
      <c r="K1953" s="1" t="s">
        <v>5215</v>
      </c>
      <c r="L1953" s="2">
        <v>46177.918923611112</v>
      </c>
      <c r="M1953" s="2">
        <v>46177.921329212964</v>
      </c>
    </row>
    <row r="1954" spans="1:13" x14ac:dyDescent="0.35">
      <c r="A1954" s="1" t="s">
        <v>892</v>
      </c>
      <c r="B1954" s="1" t="s">
        <v>13</v>
      </c>
      <c r="C1954" s="1" t="s">
        <v>893</v>
      </c>
      <c r="D1954">
        <v>3.875</v>
      </c>
      <c r="E1954" s="2">
        <v>47603</v>
      </c>
      <c r="F1954" s="1" t="s">
        <v>16</v>
      </c>
      <c r="G1954" s="1" t="s">
        <v>893</v>
      </c>
      <c r="H1954" s="1" t="s">
        <v>2</v>
      </c>
      <c r="I1954" s="2">
        <v>46177</v>
      </c>
      <c r="J1954" s="1" t="s">
        <v>214</v>
      </c>
      <c r="K1954" s="1" t="s">
        <v>5215</v>
      </c>
      <c r="L1954" s="2">
        <v>46177.918923611112</v>
      </c>
      <c r="M1954" s="2">
        <v>46177.921329212964</v>
      </c>
    </row>
    <row r="1955" spans="1:13" x14ac:dyDescent="0.35">
      <c r="A1955" s="1" t="s">
        <v>892</v>
      </c>
      <c r="B1955" s="1" t="s">
        <v>13</v>
      </c>
      <c r="C1955" s="1" t="s">
        <v>893</v>
      </c>
      <c r="D1955">
        <v>3.875</v>
      </c>
      <c r="E1955" s="2">
        <v>47603</v>
      </c>
      <c r="F1955" s="1" t="s">
        <v>16</v>
      </c>
      <c r="G1955" s="1" t="s">
        <v>893</v>
      </c>
      <c r="H1955" s="1" t="s">
        <v>2</v>
      </c>
      <c r="I1955" s="2">
        <v>46177</v>
      </c>
      <c r="J1955" s="1" t="s">
        <v>17</v>
      </c>
      <c r="K1955" s="1" t="s">
        <v>2466</v>
      </c>
      <c r="L1955" s="2">
        <v>46177.92087962963</v>
      </c>
      <c r="M1955" s="2">
        <v>46177.921329212964</v>
      </c>
    </row>
    <row r="1956" spans="1:13" x14ac:dyDescent="0.35">
      <c r="A1956" s="1" t="s">
        <v>819</v>
      </c>
      <c r="B1956" s="1" t="s">
        <v>13</v>
      </c>
      <c r="C1956" s="1" t="s">
        <v>820</v>
      </c>
      <c r="D1956">
        <v>4</v>
      </c>
      <c r="E1956" s="2">
        <v>48334</v>
      </c>
      <c r="F1956" s="1" t="s">
        <v>16</v>
      </c>
      <c r="G1956" s="1" t="s">
        <v>820</v>
      </c>
      <c r="H1956" s="1" t="s">
        <v>2</v>
      </c>
      <c r="I1956" s="2">
        <v>46177</v>
      </c>
      <c r="J1956" s="1" t="s">
        <v>224</v>
      </c>
      <c r="K1956" s="1" t="s">
        <v>4947</v>
      </c>
      <c r="L1956" s="2">
        <v>46177.918923611112</v>
      </c>
      <c r="M1956" s="2">
        <v>46177.921329212964</v>
      </c>
    </row>
    <row r="1957" spans="1:13" x14ac:dyDescent="0.35">
      <c r="A1957" s="1" t="s">
        <v>819</v>
      </c>
      <c r="B1957" s="1" t="s">
        <v>13</v>
      </c>
      <c r="C1957" s="1" t="s">
        <v>820</v>
      </c>
      <c r="D1957">
        <v>4</v>
      </c>
      <c r="E1957" s="2">
        <v>48334</v>
      </c>
      <c r="F1957" s="1" t="s">
        <v>16</v>
      </c>
      <c r="G1957" s="1" t="s">
        <v>820</v>
      </c>
      <c r="H1957" s="1" t="s">
        <v>2</v>
      </c>
      <c r="I1957" s="2">
        <v>46177</v>
      </c>
      <c r="J1957" s="1" t="s">
        <v>18</v>
      </c>
      <c r="K1957" s="1" t="s">
        <v>2685</v>
      </c>
      <c r="L1957" s="2">
        <v>46177.92087962963</v>
      </c>
      <c r="M1957" s="2">
        <v>46177.921329212964</v>
      </c>
    </row>
    <row r="1958" spans="1:13" x14ac:dyDescent="0.35">
      <c r="A1958" s="1" t="s">
        <v>819</v>
      </c>
      <c r="B1958" s="1" t="s">
        <v>13</v>
      </c>
      <c r="C1958" s="1" t="s">
        <v>820</v>
      </c>
      <c r="D1958">
        <v>4</v>
      </c>
      <c r="E1958" s="2">
        <v>48334</v>
      </c>
      <c r="F1958" s="1" t="s">
        <v>16</v>
      </c>
      <c r="G1958" s="1" t="s">
        <v>820</v>
      </c>
      <c r="H1958" s="1" t="s">
        <v>2</v>
      </c>
      <c r="I1958" s="2">
        <v>46177</v>
      </c>
      <c r="J1958" s="1" t="s">
        <v>17</v>
      </c>
      <c r="K1958" s="1" t="s">
        <v>2536</v>
      </c>
      <c r="L1958" s="2">
        <v>46177.92087962963</v>
      </c>
      <c r="M1958" s="2">
        <v>46177.921329212964</v>
      </c>
    </row>
    <row r="1959" spans="1:13" x14ac:dyDescent="0.35">
      <c r="A1959" s="1" t="s">
        <v>819</v>
      </c>
      <c r="B1959" s="1" t="s">
        <v>13</v>
      </c>
      <c r="C1959" s="1" t="s">
        <v>820</v>
      </c>
      <c r="D1959">
        <v>4</v>
      </c>
      <c r="E1959" s="2">
        <v>48334</v>
      </c>
      <c r="F1959" s="1" t="s">
        <v>16</v>
      </c>
      <c r="G1959" s="1" t="s">
        <v>820</v>
      </c>
      <c r="H1959" s="1" t="s">
        <v>2</v>
      </c>
      <c r="I1959" s="2">
        <v>46177</v>
      </c>
      <c r="J1959" s="1" t="s">
        <v>214</v>
      </c>
      <c r="K1959" s="1" t="s">
        <v>4947</v>
      </c>
      <c r="L1959" s="2">
        <v>46177.918923611112</v>
      </c>
      <c r="M1959" s="2">
        <v>46177.921329212964</v>
      </c>
    </row>
    <row r="1960" spans="1:13" x14ac:dyDescent="0.35">
      <c r="A1960" s="1" t="s">
        <v>819</v>
      </c>
      <c r="B1960" s="1" t="s">
        <v>13</v>
      </c>
      <c r="C1960" s="1" t="s">
        <v>820</v>
      </c>
      <c r="D1960">
        <v>4</v>
      </c>
      <c r="E1960" s="2">
        <v>48334</v>
      </c>
      <c r="F1960" s="1" t="s">
        <v>16</v>
      </c>
      <c r="G1960" s="1" t="s">
        <v>820</v>
      </c>
      <c r="H1960" s="1" t="s">
        <v>2</v>
      </c>
      <c r="I1960" s="2">
        <v>46177</v>
      </c>
      <c r="J1960" s="1" t="s">
        <v>215</v>
      </c>
      <c r="K1960" s="1" t="s">
        <v>5216</v>
      </c>
      <c r="L1960" s="2">
        <v>46177.918923611112</v>
      </c>
      <c r="M1960" s="2">
        <v>46177.921329212964</v>
      </c>
    </row>
    <row r="1961" spans="1:13" x14ac:dyDescent="0.35">
      <c r="A1961" s="1" t="s">
        <v>819</v>
      </c>
      <c r="B1961" s="1" t="s">
        <v>13</v>
      </c>
      <c r="C1961" s="1" t="s">
        <v>820</v>
      </c>
      <c r="D1961">
        <v>4</v>
      </c>
      <c r="E1961" s="2">
        <v>48334</v>
      </c>
      <c r="F1961" s="1" t="s">
        <v>16</v>
      </c>
      <c r="G1961" s="1" t="s">
        <v>820</v>
      </c>
      <c r="H1961" s="1" t="s">
        <v>2</v>
      </c>
      <c r="I1961" s="2">
        <v>46177</v>
      </c>
      <c r="J1961" s="1" t="s">
        <v>67</v>
      </c>
      <c r="K1961" s="1" t="s">
        <v>5216</v>
      </c>
      <c r="L1961" s="2">
        <v>46177.918923611112</v>
      </c>
      <c r="M1961" s="2">
        <v>46177.921329212964</v>
      </c>
    </row>
    <row r="1962" spans="1:13" x14ac:dyDescent="0.35">
      <c r="A1962" s="1" t="s">
        <v>821</v>
      </c>
      <c r="B1962" s="1" t="s">
        <v>13</v>
      </c>
      <c r="C1962" s="1" t="s">
        <v>822</v>
      </c>
      <c r="D1962">
        <v>1.625</v>
      </c>
      <c r="E1962" s="2">
        <v>47588</v>
      </c>
      <c r="F1962" s="1" t="s">
        <v>64</v>
      </c>
      <c r="G1962" s="1" t="s">
        <v>822</v>
      </c>
      <c r="H1962" s="1" t="s">
        <v>2</v>
      </c>
      <c r="I1962" s="2">
        <v>46177</v>
      </c>
      <c r="J1962" s="1" t="s">
        <v>17</v>
      </c>
      <c r="K1962" s="1" t="s">
        <v>2491</v>
      </c>
      <c r="L1962" s="2">
        <v>46177.92087962963</v>
      </c>
      <c r="M1962" s="2">
        <v>46177.921329212964</v>
      </c>
    </row>
    <row r="1963" spans="1:13" x14ac:dyDescent="0.35">
      <c r="A1963" s="1" t="s">
        <v>821</v>
      </c>
      <c r="B1963" s="1" t="s">
        <v>13</v>
      </c>
      <c r="C1963" s="1" t="s">
        <v>822</v>
      </c>
      <c r="D1963">
        <v>1.625</v>
      </c>
      <c r="E1963" s="2">
        <v>47588</v>
      </c>
      <c r="F1963" s="1" t="s">
        <v>64</v>
      </c>
      <c r="G1963" s="1" t="s">
        <v>822</v>
      </c>
      <c r="H1963" s="1" t="s">
        <v>2</v>
      </c>
      <c r="I1963" s="2">
        <v>46177</v>
      </c>
      <c r="J1963" s="1" t="s">
        <v>215</v>
      </c>
      <c r="K1963" s="1" t="s">
        <v>4948</v>
      </c>
      <c r="L1963" s="2">
        <v>46177.918923611112</v>
      </c>
      <c r="M1963" s="2">
        <v>46177.921329212964</v>
      </c>
    </row>
    <row r="1964" spans="1:13" x14ac:dyDescent="0.35">
      <c r="A1964" s="1" t="s">
        <v>821</v>
      </c>
      <c r="B1964" s="1" t="s">
        <v>13</v>
      </c>
      <c r="C1964" s="1" t="s">
        <v>822</v>
      </c>
      <c r="D1964">
        <v>1.625</v>
      </c>
      <c r="E1964" s="2">
        <v>47588</v>
      </c>
      <c r="F1964" s="1" t="s">
        <v>64</v>
      </c>
      <c r="G1964" s="1" t="s">
        <v>822</v>
      </c>
      <c r="H1964" s="1" t="s">
        <v>2</v>
      </c>
      <c r="I1964" s="2">
        <v>46177</v>
      </c>
      <c r="J1964" s="1" t="s">
        <v>18</v>
      </c>
      <c r="K1964" s="1" t="s">
        <v>2608</v>
      </c>
      <c r="L1964" s="2">
        <v>46177.92087962963</v>
      </c>
      <c r="M1964" s="2">
        <v>46177.921329212964</v>
      </c>
    </row>
    <row r="1965" spans="1:13" x14ac:dyDescent="0.35">
      <c r="A1965" s="1" t="s">
        <v>821</v>
      </c>
      <c r="B1965" s="1" t="s">
        <v>13</v>
      </c>
      <c r="C1965" s="1" t="s">
        <v>822</v>
      </c>
      <c r="D1965">
        <v>1.625</v>
      </c>
      <c r="E1965" s="2">
        <v>47588</v>
      </c>
      <c r="F1965" s="1" t="s">
        <v>64</v>
      </c>
      <c r="G1965" s="1" t="s">
        <v>822</v>
      </c>
      <c r="H1965" s="1" t="s">
        <v>2</v>
      </c>
      <c r="I1965" s="2">
        <v>46177</v>
      </c>
      <c r="J1965" s="1" t="s">
        <v>214</v>
      </c>
      <c r="K1965" s="1" t="s">
        <v>4949</v>
      </c>
      <c r="L1965" s="2">
        <v>46177.918923611112</v>
      </c>
      <c r="M1965" s="2">
        <v>46177.921329212964</v>
      </c>
    </row>
    <row r="1966" spans="1:13" x14ac:dyDescent="0.35">
      <c r="A1966" s="1" t="s">
        <v>821</v>
      </c>
      <c r="B1966" s="1" t="s">
        <v>13</v>
      </c>
      <c r="C1966" s="1" t="s">
        <v>822</v>
      </c>
      <c r="D1966">
        <v>1.625</v>
      </c>
      <c r="E1966" s="2">
        <v>47588</v>
      </c>
      <c r="F1966" s="1" t="s">
        <v>64</v>
      </c>
      <c r="G1966" s="1" t="s">
        <v>822</v>
      </c>
      <c r="H1966" s="1" t="s">
        <v>2</v>
      </c>
      <c r="I1966" s="2">
        <v>46177</v>
      </c>
      <c r="J1966" s="1" t="s">
        <v>67</v>
      </c>
      <c r="K1966" s="1" t="s">
        <v>4948</v>
      </c>
      <c r="L1966" s="2">
        <v>46177.918923611112</v>
      </c>
      <c r="M1966" s="2">
        <v>46177.921329212964</v>
      </c>
    </row>
    <row r="1967" spans="1:13" x14ac:dyDescent="0.35">
      <c r="A1967" s="1" t="s">
        <v>821</v>
      </c>
      <c r="B1967" s="1" t="s">
        <v>13</v>
      </c>
      <c r="C1967" s="1" t="s">
        <v>822</v>
      </c>
      <c r="D1967">
        <v>1.625</v>
      </c>
      <c r="E1967" s="2">
        <v>47588</v>
      </c>
      <c r="F1967" s="1" t="s">
        <v>64</v>
      </c>
      <c r="G1967" s="1" t="s">
        <v>822</v>
      </c>
      <c r="H1967" s="1" t="s">
        <v>2</v>
      </c>
      <c r="I1967" s="2">
        <v>46177</v>
      </c>
      <c r="J1967" s="1" t="s">
        <v>224</v>
      </c>
      <c r="K1967" s="1" t="s">
        <v>4949</v>
      </c>
      <c r="L1967" s="2">
        <v>46177.918923611112</v>
      </c>
      <c r="M1967" s="2">
        <v>46177.921329212964</v>
      </c>
    </row>
    <row r="1968" spans="1:13" x14ac:dyDescent="0.35">
      <c r="A1968" s="1" t="s">
        <v>880</v>
      </c>
      <c r="B1968" s="1" t="s">
        <v>13</v>
      </c>
      <c r="C1968" s="1" t="s">
        <v>881</v>
      </c>
      <c r="D1968">
        <v>4.25</v>
      </c>
      <c r="E1968" s="2">
        <v>49444</v>
      </c>
      <c r="F1968" s="1" t="s">
        <v>16</v>
      </c>
      <c r="G1968" s="1" t="s">
        <v>881</v>
      </c>
      <c r="H1968" s="1" t="s">
        <v>2</v>
      </c>
      <c r="I1968" s="2">
        <v>46177</v>
      </c>
      <c r="J1968" s="1" t="s">
        <v>18</v>
      </c>
      <c r="K1968" s="1" t="s">
        <v>669</v>
      </c>
      <c r="L1968" s="2">
        <v>46177.92087962963</v>
      </c>
      <c r="M1968" s="2">
        <v>46177.921329212964</v>
      </c>
    </row>
    <row r="1969" spans="1:13" x14ac:dyDescent="0.35">
      <c r="A1969" s="1" t="s">
        <v>880</v>
      </c>
      <c r="B1969" s="1" t="s">
        <v>13</v>
      </c>
      <c r="C1969" s="1" t="s">
        <v>881</v>
      </c>
      <c r="D1969">
        <v>4.25</v>
      </c>
      <c r="E1969" s="2">
        <v>49444</v>
      </c>
      <c r="F1969" s="1" t="s">
        <v>16</v>
      </c>
      <c r="G1969" s="1" t="s">
        <v>881</v>
      </c>
      <c r="H1969" s="1" t="s">
        <v>2</v>
      </c>
      <c r="I1969" s="2">
        <v>46177</v>
      </c>
      <c r="J1969" s="1" t="s">
        <v>215</v>
      </c>
      <c r="K1969" s="1" t="s">
        <v>4950</v>
      </c>
      <c r="L1969" s="2">
        <v>46177.918923611112</v>
      </c>
      <c r="M1969" s="2">
        <v>46177.921329212964</v>
      </c>
    </row>
    <row r="1970" spans="1:13" x14ac:dyDescent="0.35">
      <c r="A1970" s="1" t="s">
        <v>880</v>
      </c>
      <c r="B1970" s="1" t="s">
        <v>13</v>
      </c>
      <c r="C1970" s="1" t="s">
        <v>881</v>
      </c>
      <c r="D1970">
        <v>4.25</v>
      </c>
      <c r="E1970" s="2">
        <v>49444</v>
      </c>
      <c r="F1970" s="1" t="s">
        <v>16</v>
      </c>
      <c r="G1970" s="1" t="s">
        <v>881</v>
      </c>
      <c r="H1970" s="1" t="s">
        <v>2</v>
      </c>
      <c r="I1970" s="2">
        <v>46177</v>
      </c>
      <c r="J1970" s="1" t="s">
        <v>17</v>
      </c>
      <c r="K1970" s="1" t="s">
        <v>2901</v>
      </c>
      <c r="L1970" s="2">
        <v>46177.92087962963</v>
      </c>
      <c r="M1970" s="2">
        <v>46177.921329212964</v>
      </c>
    </row>
    <row r="1971" spans="1:13" x14ac:dyDescent="0.35">
      <c r="A1971" s="1" t="s">
        <v>880</v>
      </c>
      <c r="B1971" s="1" t="s">
        <v>13</v>
      </c>
      <c r="C1971" s="1" t="s">
        <v>881</v>
      </c>
      <c r="D1971">
        <v>4.25</v>
      </c>
      <c r="E1971" s="2">
        <v>49444</v>
      </c>
      <c r="F1971" s="1" t="s">
        <v>16</v>
      </c>
      <c r="G1971" s="1" t="s">
        <v>881</v>
      </c>
      <c r="H1971" s="1" t="s">
        <v>2</v>
      </c>
      <c r="I1971" s="2">
        <v>46177</v>
      </c>
      <c r="J1971" s="1" t="s">
        <v>214</v>
      </c>
      <c r="K1971" s="1" t="s">
        <v>4951</v>
      </c>
      <c r="L1971" s="2">
        <v>46177.918923611112</v>
      </c>
      <c r="M1971" s="2">
        <v>46177.921329212964</v>
      </c>
    </row>
    <row r="1972" spans="1:13" x14ac:dyDescent="0.35">
      <c r="A1972" s="1" t="s">
        <v>880</v>
      </c>
      <c r="B1972" s="1" t="s">
        <v>13</v>
      </c>
      <c r="C1972" s="1" t="s">
        <v>881</v>
      </c>
      <c r="D1972">
        <v>4.25</v>
      </c>
      <c r="E1972" s="2">
        <v>49444</v>
      </c>
      <c r="F1972" s="1" t="s">
        <v>16</v>
      </c>
      <c r="G1972" s="1" t="s">
        <v>881</v>
      </c>
      <c r="H1972" s="1" t="s">
        <v>2</v>
      </c>
      <c r="I1972" s="2">
        <v>46177</v>
      </c>
      <c r="J1972" s="1" t="s">
        <v>67</v>
      </c>
      <c r="K1972" s="1" t="s">
        <v>4950</v>
      </c>
      <c r="L1972" s="2">
        <v>46177.918923611112</v>
      </c>
      <c r="M1972" s="2">
        <v>46177.921329212964</v>
      </c>
    </row>
    <row r="1973" spans="1:13" x14ac:dyDescent="0.35">
      <c r="A1973" s="1" t="s">
        <v>880</v>
      </c>
      <c r="B1973" s="1" t="s">
        <v>13</v>
      </c>
      <c r="C1973" s="1" t="s">
        <v>881</v>
      </c>
      <c r="D1973">
        <v>4.25</v>
      </c>
      <c r="E1973" s="2">
        <v>49444</v>
      </c>
      <c r="F1973" s="1" t="s">
        <v>16</v>
      </c>
      <c r="G1973" s="1" t="s">
        <v>881</v>
      </c>
      <c r="H1973" s="1" t="s">
        <v>2</v>
      </c>
      <c r="I1973" s="2">
        <v>46177</v>
      </c>
      <c r="J1973" s="1" t="s">
        <v>224</v>
      </c>
      <c r="K1973" s="1" t="s">
        <v>4951</v>
      </c>
      <c r="L1973" s="2">
        <v>46177.918923611112</v>
      </c>
      <c r="M1973" s="2">
        <v>46177.921329212964</v>
      </c>
    </row>
    <row r="1974" spans="1:13" x14ac:dyDescent="0.35">
      <c r="A1974" s="1" t="s">
        <v>894</v>
      </c>
      <c r="B1974" s="1" t="s">
        <v>13</v>
      </c>
      <c r="C1974" s="1" t="s">
        <v>895</v>
      </c>
      <c r="D1974">
        <v>3.75</v>
      </c>
      <c r="E1974" s="2">
        <v>46888</v>
      </c>
      <c r="F1974" s="1" t="s">
        <v>16</v>
      </c>
      <c r="G1974" s="1" t="s">
        <v>895</v>
      </c>
      <c r="H1974" s="1" t="s">
        <v>2</v>
      </c>
      <c r="I1974" s="2">
        <v>46177</v>
      </c>
      <c r="J1974" s="1" t="s">
        <v>18</v>
      </c>
      <c r="K1974" s="1" t="s">
        <v>2621</v>
      </c>
      <c r="L1974" s="2">
        <v>46177.92087962963</v>
      </c>
      <c r="M1974" s="2">
        <v>46177.921329212964</v>
      </c>
    </row>
    <row r="1975" spans="1:13" x14ac:dyDescent="0.35">
      <c r="A1975" s="1" t="s">
        <v>894</v>
      </c>
      <c r="B1975" s="1" t="s">
        <v>13</v>
      </c>
      <c r="C1975" s="1" t="s">
        <v>895</v>
      </c>
      <c r="D1975">
        <v>3.75</v>
      </c>
      <c r="E1975" s="2">
        <v>46888</v>
      </c>
      <c r="F1975" s="1" t="s">
        <v>16</v>
      </c>
      <c r="G1975" s="1" t="s">
        <v>895</v>
      </c>
      <c r="H1975" s="1" t="s">
        <v>2</v>
      </c>
      <c r="I1975" s="2">
        <v>46177</v>
      </c>
      <c r="J1975" s="1" t="s">
        <v>224</v>
      </c>
      <c r="K1975" s="1" t="s">
        <v>5195</v>
      </c>
      <c r="L1975" s="2">
        <v>46177.918923611112</v>
      </c>
      <c r="M1975" s="2">
        <v>46177.921329212964</v>
      </c>
    </row>
    <row r="1976" spans="1:13" x14ac:dyDescent="0.35">
      <c r="A1976" s="1" t="s">
        <v>894</v>
      </c>
      <c r="B1976" s="1" t="s">
        <v>13</v>
      </c>
      <c r="C1976" s="1" t="s">
        <v>895</v>
      </c>
      <c r="D1976">
        <v>3.75</v>
      </c>
      <c r="E1976" s="2">
        <v>46888</v>
      </c>
      <c r="F1976" s="1" t="s">
        <v>16</v>
      </c>
      <c r="G1976" s="1" t="s">
        <v>895</v>
      </c>
      <c r="H1976" s="1" t="s">
        <v>2</v>
      </c>
      <c r="I1976" s="2">
        <v>46177</v>
      </c>
      <c r="J1976" s="1" t="s">
        <v>17</v>
      </c>
      <c r="K1976" s="1" t="s">
        <v>5224</v>
      </c>
      <c r="L1976" s="2">
        <v>46177.92087962963</v>
      </c>
      <c r="M1976" s="2">
        <v>46177.921329212964</v>
      </c>
    </row>
    <row r="1977" spans="1:13" x14ac:dyDescent="0.35">
      <c r="A1977" s="1" t="s">
        <v>894</v>
      </c>
      <c r="B1977" s="1" t="s">
        <v>13</v>
      </c>
      <c r="C1977" s="1" t="s">
        <v>895</v>
      </c>
      <c r="D1977">
        <v>3.75</v>
      </c>
      <c r="E1977" s="2">
        <v>46888</v>
      </c>
      <c r="F1977" s="1" t="s">
        <v>16</v>
      </c>
      <c r="G1977" s="1" t="s">
        <v>895</v>
      </c>
      <c r="H1977" s="1" t="s">
        <v>2</v>
      </c>
      <c r="I1977" s="2">
        <v>46177</v>
      </c>
      <c r="J1977" s="1" t="s">
        <v>215</v>
      </c>
      <c r="K1977" s="1" t="s">
        <v>4952</v>
      </c>
      <c r="L1977" s="2">
        <v>46177.918923611112</v>
      </c>
      <c r="M1977" s="2">
        <v>46177.921329212964</v>
      </c>
    </row>
    <row r="1978" spans="1:13" x14ac:dyDescent="0.35">
      <c r="A1978" s="1" t="s">
        <v>894</v>
      </c>
      <c r="B1978" s="1" t="s">
        <v>13</v>
      </c>
      <c r="C1978" s="1" t="s">
        <v>895</v>
      </c>
      <c r="D1978">
        <v>3.75</v>
      </c>
      <c r="E1978" s="2">
        <v>46888</v>
      </c>
      <c r="F1978" s="1" t="s">
        <v>16</v>
      </c>
      <c r="G1978" s="1" t="s">
        <v>895</v>
      </c>
      <c r="H1978" s="1" t="s">
        <v>2</v>
      </c>
      <c r="I1978" s="2">
        <v>46177</v>
      </c>
      <c r="J1978" s="1" t="s">
        <v>67</v>
      </c>
      <c r="K1978" s="1" t="s">
        <v>4952</v>
      </c>
      <c r="L1978" s="2">
        <v>46177.918923611112</v>
      </c>
      <c r="M1978" s="2">
        <v>46177.921329212964</v>
      </c>
    </row>
    <row r="1979" spans="1:13" x14ac:dyDescent="0.35">
      <c r="A1979" s="1" t="s">
        <v>894</v>
      </c>
      <c r="B1979" s="1" t="s">
        <v>13</v>
      </c>
      <c r="C1979" s="1" t="s">
        <v>895</v>
      </c>
      <c r="D1979">
        <v>3.75</v>
      </c>
      <c r="E1979" s="2">
        <v>46888</v>
      </c>
      <c r="F1979" s="1" t="s">
        <v>16</v>
      </c>
      <c r="G1979" s="1" t="s">
        <v>895</v>
      </c>
      <c r="H1979" s="1" t="s">
        <v>2</v>
      </c>
      <c r="I1979" s="2">
        <v>46177</v>
      </c>
      <c r="J1979" s="1" t="s">
        <v>214</v>
      </c>
      <c r="K1979" s="1" t="s">
        <v>5195</v>
      </c>
      <c r="L1979" s="2">
        <v>46177.918923611112</v>
      </c>
      <c r="M1979" s="2">
        <v>46177.921329212964</v>
      </c>
    </row>
    <row r="1980" spans="1:13" x14ac:dyDescent="0.35">
      <c r="A1980" s="1" t="s">
        <v>914</v>
      </c>
      <c r="B1980" s="1" t="s">
        <v>13</v>
      </c>
      <c r="C1980" s="1" t="s">
        <v>915</v>
      </c>
      <c r="D1980">
        <v>3.875</v>
      </c>
      <c r="E1980" s="2">
        <v>46538</v>
      </c>
      <c r="F1980" s="1" t="s">
        <v>16</v>
      </c>
      <c r="G1980" s="1" t="s">
        <v>915</v>
      </c>
      <c r="H1980" s="1" t="s">
        <v>2</v>
      </c>
      <c r="I1980" s="2">
        <v>46177</v>
      </c>
      <c r="J1980" s="1" t="s">
        <v>17</v>
      </c>
      <c r="K1980" s="1" t="s">
        <v>2545</v>
      </c>
      <c r="L1980" s="2">
        <v>46177.92087962963</v>
      </c>
      <c r="M1980" s="2">
        <v>46177.921329212964</v>
      </c>
    </row>
    <row r="1981" spans="1:13" x14ac:dyDescent="0.35">
      <c r="A1981" s="1" t="s">
        <v>914</v>
      </c>
      <c r="B1981" s="1" t="s">
        <v>13</v>
      </c>
      <c r="C1981" s="1" t="s">
        <v>915</v>
      </c>
      <c r="D1981">
        <v>3.875</v>
      </c>
      <c r="E1981" s="2">
        <v>46538</v>
      </c>
      <c r="F1981" s="1" t="s">
        <v>16</v>
      </c>
      <c r="G1981" s="1" t="s">
        <v>915</v>
      </c>
      <c r="H1981" s="1" t="s">
        <v>2</v>
      </c>
      <c r="I1981" s="2">
        <v>46177</v>
      </c>
      <c r="J1981" s="1" t="s">
        <v>224</v>
      </c>
      <c r="K1981" s="1" t="s">
        <v>5196</v>
      </c>
      <c r="L1981" s="2">
        <v>46177.918923611112</v>
      </c>
      <c r="M1981" s="2">
        <v>46177.921329212964</v>
      </c>
    </row>
    <row r="1982" spans="1:13" x14ac:dyDescent="0.35">
      <c r="A1982" s="1" t="s">
        <v>914</v>
      </c>
      <c r="B1982" s="1" t="s">
        <v>13</v>
      </c>
      <c r="C1982" s="1" t="s">
        <v>915</v>
      </c>
      <c r="D1982">
        <v>3.875</v>
      </c>
      <c r="E1982" s="2">
        <v>46538</v>
      </c>
      <c r="F1982" s="1" t="s">
        <v>16</v>
      </c>
      <c r="G1982" s="1" t="s">
        <v>915</v>
      </c>
      <c r="H1982" s="1" t="s">
        <v>2</v>
      </c>
      <c r="I1982" s="2">
        <v>46177</v>
      </c>
      <c r="J1982" s="1" t="s">
        <v>215</v>
      </c>
      <c r="K1982" s="1" t="s">
        <v>5129</v>
      </c>
      <c r="L1982" s="2">
        <v>46177.918923611112</v>
      </c>
      <c r="M1982" s="2">
        <v>46177.921329212964</v>
      </c>
    </row>
    <row r="1983" spans="1:13" x14ac:dyDescent="0.35">
      <c r="A1983" s="1" t="s">
        <v>914</v>
      </c>
      <c r="B1983" s="1" t="s">
        <v>13</v>
      </c>
      <c r="C1983" s="1" t="s">
        <v>915</v>
      </c>
      <c r="D1983">
        <v>3.875</v>
      </c>
      <c r="E1983" s="2">
        <v>46538</v>
      </c>
      <c r="F1983" s="1" t="s">
        <v>16</v>
      </c>
      <c r="G1983" s="1" t="s">
        <v>915</v>
      </c>
      <c r="H1983" s="1" t="s">
        <v>2</v>
      </c>
      <c r="I1983" s="2">
        <v>46177</v>
      </c>
      <c r="J1983" s="1" t="s">
        <v>67</v>
      </c>
      <c r="K1983" s="1" t="s">
        <v>5129</v>
      </c>
      <c r="L1983" s="2">
        <v>46177.918923611112</v>
      </c>
      <c r="M1983" s="2">
        <v>46177.921329212964</v>
      </c>
    </row>
    <row r="1984" spans="1:13" x14ac:dyDescent="0.35">
      <c r="A1984" s="1" t="s">
        <v>914</v>
      </c>
      <c r="B1984" s="1" t="s">
        <v>13</v>
      </c>
      <c r="C1984" s="1" t="s">
        <v>915</v>
      </c>
      <c r="D1984">
        <v>3.875</v>
      </c>
      <c r="E1984" s="2">
        <v>46538</v>
      </c>
      <c r="F1984" s="1" t="s">
        <v>16</v>
      </c>
      <c r="G1984" s="1" t="s">
        <v>915</v>
      </c>
      <c r="H1984" s="1" t="s">
        <v>2</v>
      </c>
      <c r="I1984" s="2">
        <v>46177</v>
      </c>
      <c r="J1984" s="1" t="s">
        <v>18</v>
      </c>
      <c r="K1984" s="1" t="s">
        <v>2511</v>
      </c>
      <c r="L1984" s="2">
        <v>46177.92087962963</v>
      </c>
      <c r="M1984" s="2">
        <v>46177.921329212964</v>
      </c>
    </row>
    <row r="1985" spans="1:13" x14ac:dyDescent="0.35">
      <c r="A1985" s="1" t="s">
        <v>914</v>
      </c>
      <c r="B1985" s="1" t="s">
        <v>13</v>
      </c>
      <c r="C1985" s="1" t="s">
        <v>915</v>
      </c>
      <c r="D1985">
        <v>3.875</v>
      </c>
      <c r="E1985" s="2">
        <v>46538</v>
      </c>
      <c r="F1985" s="1" t="s">
        <v>16</v>
      </c>
      <c r="G1985" s="1" t="s">
        <v>915</v>
      </c>
      <c r="H1985" s="1" t="s">
        <v>2</v>
      </c>
      <c r="I1985" s="2">
        <v>46177</v>
      </c>
      <c r="J1985" s="1" t="s">
        <v>214</v>
      </c>
      <c r="K1985" s="1" t="s">
        <v>5196</v>
      </c>
      <c r="L1985" s="2">
        <v>46177.918923611112</v>
      </c>
      <c r="M1985" s="2">
        <v>46177.921329212964</v>
      </c>
    </row>
    <row r="1986" spans="1:13" x14ac:dyDescent="0.35">
      <c r="A1986" s="1" t="s">
        <v>896</v>
      </c>
      <c r="B1986" s="1" t="s">
        <v>13</v>
      </c>
      <c r="C1986" s="1" t="s">
        <v>897</v>
      </c>
      <c r="D1986">
        <v>4.125</v>
      </c>
      <c r="E1986" s="2">
        <v>48365</v>
      </c>
      <c r="F1986" s="1" t="s">
        <v>16</v>
      </c>
      <c r="G1986" s="1" t="s">
        <v>897</v>
      </c>
      <c r="H1986" s="1" t="s">
        <v>2</v>
      </c>
      <c r="I1986" s="2">
        <v>46177</v>
      </c>
      <c r="J1986" s="1" t="s">
        <v>17</v>
      </c>
      <c r="K1986" s="1" t="s">
        <v>2512</v>
      </c>
      <c r="L1986" s="2">
        <v>46177.92087962963</v>
      </c>
      <c r="M1986" s="2">
        <v>46177.921329212964</v>
      </c>
    </row>
    <row r="1987" spans="1:13" x14ac:dyDescent="0.35">
      <c r="A1987" s="1" t="s">
        <v>896</v>
      </c>
      <c r="B1987" s="1" t="s">
        <v>13</v>
      </c>
      <c r="C1987" s="1" t="s">
        <v>897</v>
      </c>
      <c r="D1987">
        <v>4.125</v>
      </c>
      <c r="E1987" s="2">
        <v>48365</v>
      </c>
      <c r="F1987" s="1" t="s">
        <v>16</v>
      </c>
      <c r="G1987" s="1" t="s">
        <v>897</v>
      </c>
      <c r="H1987" s="1" t="s">
        <v>2</v>
      </c>
      <c r="I1987" s="2">
        <v>46177</v>
      </c>
      <c r="J1987" s="1" t="s">
        <v>215</v>
      </c>
      <c r="K1987" s="1" t="s">
        <v>5018</v>
      </c>
      <c r="L1987" s="2">
        <v>46177.918923611112</v>
      </c>
      <c r="M1987" s="2">
        <v>46177.921329212964</v>
      </c>
    </row>
    <row r="1988" spans="1:13" x14ac:dyDescent="0.35">
      <c r="A1988" s="1" t="s">
        <v>896</v>
      </c>
      <c r="B1988" s="1" t="s">
        <v>13</v>
      </c>
      <c r="C1988" s="1" t="s">
        <v>897</v>
      </c>
      <c r="D1988">
        <v>4.125</v>
      </c>
      <c r="E1988" s="2">
        <v>48365</v>
      </c>
      <c r="F1988" s="1" t="s">
        <v>16</v>
      </c>
      <c r="G1988" s="1" t="s">
        <v>897</v>
      </c>
      <c r="H1988" s="1" t="s">
        <v>2</v>
      </c>
      <c r="I1988" s="2">
        <v>46177</v>
      </c>
      <c r="J1988" s="1" t="s">
        <v>214</v>
      </c>
      <c r="K1988" s="1" t="s">
        <v>5017</v>
      </c>
      <c r="L1988" s="2">
        <v>46177.918923611112</v>
      </c>
      <c r="M1988" s="2">
        <v>46177.921329212964</v>
      </c>
    </row>
    <row r="1989" spans="1:13" x14ac:dyDescent="0.35">
      <c r="A1989" s="1" t="s">
        <v>896</v>
      </c>
      <c r="B1989" s="1" t="s">
        <v>13</v>
      </c>
      <c r="C1989" s="1" t="s">
        <v>897</v>
      </c>
      <c r="D1989">
        <v>4.125</v>
      </c>
      <c r="E1989" s="2">
        <v>48365</v>
      </c>
      <c r="F1989" s="1" t="s">
        <v>16</v>
      </c>
      <c r="G1989" s="1" t="s">
        <v>897</v>
      </c>
      <c r="H1989" s="1" t="s">
        <v>2</v>
      </c>
      <c r="I1989" s="2">
        <v>46177</v>
      </c>
      <c r="J1989" s="1" t="s">
        <v>67</v>
      </c>
      <c r="K1989" s="1" t="s">
        <v>5018</v>
      </c>
      <c r="L1989" s="2">
        <v>46177.918923611112</v>
      </c>
      <c r="M1989" s="2">
        <v>46177.921329212964</v>
      </c>
    </row>
    <row r="1990" spans="1:13" x14ac:dyDescent="0.35">
      <c r="A1990" s="1" t="s">
        <v>896</v>
      </c>
      <c r="B1990" s="1" t="s">
        <v>13</v>
      </c>
      <c r="C1990" s="1" t="s">
        <v>897</v>
      </c>
      <c r="D1990">
        <v>4.125</v>
      </c>
      <c r="E1990" s="2">
        <v>48365</v>
      </c>
      <c r="F1990" s="1" t="s">
        <v>16</v>
      </c>
      <c r="G1990" s="1" t="s">
        <v>897</v>
      </c>
      <c r="H1990" s="1" t="s">
        <v>2</v>
      </c>
      <c r="I1990" s="2">
        <v>46177</v>
      </c>
      <c r="J1990" s="1" t="s">
        <v>18</v>
      </c>
      <c r="K1990" s="1" t="s">
        <v>2424</v>
      </c>
      <c r="L1990" s="2">
        <v>46177.92087962963</v>
      </c>
      <c r="M1990" s="2">
        <v>46177.921329212964</v>
      </c>
    </row>
    <row r="1991" spans="1:13" x14ac:dyDescent="0.35">
      <c r="A1991" s="1" t="s">
        <v>896</v>
      </c>
      <c r="B1991" s="1" t="s">
        <v>13</v>
      </c>
      <c r="C1991" s="1" t="s">
        <v>897</v>
      </c>
      <c r="D1991">
        <v>4.125</v>
      </c>
      <c r="E1991" s="2">
        <v>48365</v>
      </c>
      <c r="F1991" s="1" t="s">
        <v>16</v>
      </c>
      <c r="G1991" s="1" t="s">
        <v>897</v>
      </c>
      <c r="H1991" s="1" t="s">
        <v>2</v>
      </c>
      <c r="I1991" s="2">
        <v>46177</v>
      </c>
      <c r="J1991" s="1" t="s">
        <v>224</v>
      </c>
      <c r="K1991" s="1" t="s">
        <v>5017</v>
      </c>
      <c r="L1991" s="2">
        <v>46177.918923611112</v>
      </c>
      <c r="M1991" s="2">
        <v>46177.921329212964</v>
      </c>
    </row>
    <row r="1992" spans="1:13" x14ac:dyDescent="0.35">
      <c r="A1992" s="1" t="s">
        <v>882</v>
      </c>
      <c r="B1992" s="1" t="s">
        <v>13</v>
      </c>
      <c r="C1992" s="1" t="s">
        <v>883</v>
      </c>
      <c r="D1992">
        <v>4</v>
      </c>
      <c r="E1992" s="2">
        <v>47634</v>
      </c>
      <c r="F1992" s="1" t="s">
        <v>16</v>
      </c>
      <c r="G1992" s="1" t="s">
        <v>883</v>
      </c>
      <c r="H1992" s="1" t="s">
        <v>2</v>
      </c>
      <c r="I1992" s="2">
        <v>46177</v>
      </c>
      <c r="J1992" s="1" t="s">
        <v>17</v>
      </c>
      <c r="K1992" s="1" t="s">
        <v>2686</v>
      </c>
      <c r="L1992" s="2">
        <v>46177.92087962963</v>
      </c>
      <c r="M1992" s="2">
        <v>46177.921329212964</v>
      </c>
    </row>
    <row r="1993" spans="1:13" x14ac:dyDescent="0.35">
      <c r="A1993" s="1" t="s">
        <v>882</v>
      </c>
      <c r="B1993" s="1" t="s">
        <v>13</v>
      </c>
      <c r="C1993" s="1" t="s">
        <v>883</v>
      </c>
      <c r="D1993">
        <v>4</v>
      </c>
      <c r="E1993" s="2">
        <v>47634</v>
      </c>
      <c r="F1993" s="1" t="s">
        <v>16</v>
      </c>
      <c r="G1993" s="1" t="s">
        <v>883</v>
      </c>
      <c r="H1993" s="1" t="s">
        <v>2</v>
      </c>
      <c r="I1993" s="2">
        <v>46177</v>
      </c>
      <c r="J1993" s="1" t="s">
        <v>67</v>
      </c>
      <c r="K1993" s="1" t="s">
        <v>5052</v>
      </c>
      <c r="L1993" s="2">
        <v>46177.918923611112</v>
      </c>
      <c r="M1993" s="2">
        <v>46177.921329212964</v>
      </c>
    </row>
    <row r="1994" spans="1:13" x14ac:dyDescent="0.35">
      <c r="A1994" s="1" t="s">
        <v>882</v>
      </c>
      <c r="B1994" s="1" t="s">
        <v>13</v>
      </c>
      <c r="C1994" s="1" t="s">
        <v>883</v>
      </c>
      <c r="D1994">
        <v>4</v>
      </c>
      <c r="E1994" s="2">
        <v>47634</v>
      </c>
      <c r="F1994" s="1" t="s">
        <v>16</v>
      </c>
      <c r="G1994" s="1" t="s">
        <v>883</v>
      </c>
      <c r="H1994" s="1" t="s">
        <v>2</v>
      </c>
      <c r="I1994" s="2">
        <v>46177</v>
      </c>
      <c r="J1994" s="1" t="s">
        <v>224</v>
      </c>
      <c r="K1994" s="1" t="s">
        <v>5217</v>
      </c>
      <c r="L1994" s="2">
        <v>46177.918923611112</v>
      </c>
      <c r="M1994" s="2">
        <v>46177.921329212964</v>
      </c>
    </row>
    <row r="1995" spans="1:13" x14ac:dyDescent="0.35">
      <c r="A1995" s="1" t="s">
        <v>882</v>
      </c>
      <c r="B1995" s="1" t="s">
        <v>13</v>
      </c>
      <c r="C1995" s="1" t="s">
        <v>883</v>
      </c>
      <c r="D1995">
        <v>4</v>
      </c>
      <c r="E1995" s="2">
        <v>47634</v>
      </c>
      <c r="F1995" s="1" t="s">
        <v>16</v>
      </c>
      <c r="G1995" s="1" t="s">
        <v>883</v>
      </c>
      <c r="H1995" s="1" t="s">
        <v>2</v>
      </c>
      <c r="I1995" s="2">
        <v>46177</v>
      </c>
      <c r="J1995" s="1" t="s">
        <v>18</v>
      </c>
      <c r="K1995" s="1" t="s">
        <v>2621</v>
      </c>
      <c r="L1995" s="2">
        <v>46177.92087962963</v>
      </c>
      <c r="M1995" s="2">
        <v>46177.921329212964</v>
      </c>
    </row>
    <row r="1996" spans="1:13" x14ac:dyDescent="0.35">
      <c r="A1996" s="1" t="s">
        <v>882</v>
      </c>
      <c r="B1996" s="1" t="s">
        <v>13</v>
      </c>
      <c r="C1996" s="1" t="s">
        <v>883</v>
      </c>
      <c r="D1996">
        <v>4</v>
      </c>
      <c r="E1996" s="2">
        <v>47634</v>
      </c>
      <c r="F1996" s="1" t="s">
        <v>16</v>
      </c>
      <c r="G1996" s="1" t="s">
        <v>883</v>
      </c>
      <c r="H1996" s="1" t="s">
        <v>2</v>
      </c>
      <c r="I1996" s="2">
        <v>46177</v>
      </c>
      <c r="J1996" s="1" t="s">
        <v>215</v>
      </c>
      <c r="K1996" s="1" t="s">
        <v>5052</v>
      </c>
      <c r="L1996" s="2">
        <v>46177.918923611112</v>
      </c>
      <c r="M1996" s="2">
        <v>46177.921329212964</v>
      </c>
    </row>
    <row r="1997" spans="1:13" x14ac:dyDescent="0.35">
      <c r="A1997" s="1" t="s">
        <v>882</v>
      </c>
      <c r="B1997" s="1" t="s">
        <v>13</v>
      </c>
      <c r="C1997" s="1" t="s">
        <v>883</v>
      </c>
      <c r="D1997">
        <v>4</v>
      </c>
      <c r="E1997" s="2">
        <v>47634</v>
      </c>
      <c r="F1997" s="1" t="s">
        <v>16</v>
      </c>
      <c r="G1997" s="1" t="s">
        <v>883</v>
      </c>
      <c r="H1997" s="1" t="s">
        <v>2</v>
      </c>
      <c r="I1997" s="2">
        <v>46177</v>
      </c>
      <c r="J1997" s="1" t="s">
        <v>214</v>
      </c>
      <c r="K1997" s="1" t="s">
        <v>5217</v>
      </c>
      <c r="L1997" s="2">
        <v>46177.918923611112</v>
      </c>
      <c r="M1997" s="2">
        <v>46177.921329212964</v>
      </c>
    </row>
    <row r="1998" spans="1:13" x14ac:dyDescent="0.35">
      <c r="A1998" s="1" t="s">
        <v>898</v>
      </c>
      <c r="B1998" s="1" t="s">
        <v>13</v>
      </c>
      <c r="C1998" s="1" t="s">
        <v>899</v>
      </c>
      <c r="D1998">
        <v>3.875</v>
      </c>
      <c r="E1998" s="2">
        <v>46919</v>
      </c>
      <c r="F1998" s="1" t="s">
        <v>16</v>
      </c>
      <c r="G1998" s="1" t="s">
        <v>899</v>
      </c>
      <c r="H1998" s="1" t="s">
        <v>2</v>
      </c>
      <c r="I1998" s="2">
        <v>46177</v>
      </c>
      <c r="J1998" s="1" t="s">
        <v>67</v>
      </c>
      <c r="K1998" s="1" t="s">
        <v>5197</v>
      </c>
      <c r="L1998" s="2">
        <v>46177.918923611112</v>
      </c>
      <c r="M1998" s="2">
        <v>46177.921329212964</v>
      </c>
    </row>
    <row r="1999" spans="1:13" x14ac:dyDescent="0.35">
      <c r="A1999" s="1" t="s">
        <v>898</v>
      </c>
      <c r="B1999" s="1" t="s">
        <v>13</v>
      </c>
      <c r="C1999" s="1" t="s">
        <v>899</v>
      </c>
      <c r="D1999">
        <v>3.875</v>
      </c>
      <c r="E1999" s="2">
        <v>46919</v>
      </c>
      <c r="F1999" s="1" t="s">
        <v>16</v>
      </c>
      <c r="G1999" s="1" t="s">
        <v>899</v>
      </c>
      <c r="H1999" s="1" t="s">
        <v>2</v>
      </c>
      <c r="I1999" s="2">
        <v>46177</v>
      </c>
      <c r="J1999" s="1" t="s">
        <v>224</v>
      </c>
      <c r="K1999" s="1" t="s">
        <v>4986</v>
      </c>
      <c r="L1999" s="2">
        <v>46177.918923611112</v>
      </c>
      <c r="M1999" s="2">
        <v>46177.921329212964</v>
      </c>
    </row>
    <row r="2000" spans="1:13" x14ac:dyDescent="0.35">
      <c r="A2000" s="1" t="s">
        <v>898</v>
      </c>
      <c r="B2000" s="1" t="s">
        <v>13</v>
      </c>
      <c r="C2000" s="1" t="s">
        <v>899</v>
      </c>
      <c r="D2000">
        <v>3.875</v>
      </c>
      <c r="E2000" s="2">
        <v>46919</v>
      </c>
      <c r="F2000" s="1" t="s">
        <v>16</v>
      </c>
      <c r="G2000" s="1" t="s">
        <v>899</v>
      </c>
      <c r="H2000" s="1" t="s">
        <v>2</v>
      </c>
      <c r="I2000" s="2">
        <v>46177</v>
      </c>
      <c r="J2000" s="1" t="s">
        <v>214</v>
      </c>
      <c r="K2000" s="1" t="s">
        <v>4986</v>
      </c>
      <c r="L2000" s="2">
        <v>46177.918923611112</v>
      </c>
      <c r="M2000" s="2">
        <v>46177.921329212964</v>
      </c>
    </row>
    <row r="2001" spans="1:13" x14ac:dyDescent="0.35">
      <c r="A2001" s="1" t="s">
        <v>898</v>
      </c>
      <c r="B2001" s="1" t="s">
        <v>13</v>
      </c>
      <c r="C2001" s="1" t="s">
        <v>899</v>
      </c>
      <c r="D2001">
        <v>3.875</v>
      </c>
      <c r="E2001" s="2">
        <v>46919</v>
      </c>
      <c r="F2001" s="1" t="s">
        <v>16</v>
      </c>
      <c r="G2001" s="1" t="s">
        <v>899</v>
      </c>
      <c r="H2001" s="1" t="s">
        <v>2</v>
      </c>
      <c r="I2001" s="2">
        <v>46177</v>
      </c>
      <c r="J2001" s="1" t="s">
        <v>17</v>
      </c>
      <c r="K2001" s="1" t="s">
        <v>2683</v>
      </c>
      <c r="L2001" s="2">
        <v>46177.92087962963</v>
      </c>
      <c r="M2001" s="2">
        <v>46177.921329212964</v>
      </c>
    </row>
    <row r="2002" spans="1:13" x14ac:dyDescent="0.35">
      <c r="A2002" s="1" t="s">
        <v>898</v>
      </c>
      <c r="B2002" s="1" t="s">
        <v>13</v>
      </c>
      <c r="C2002" s="1" t="s">
        <v>899</v>
      </c>
      <c r="D2002">
        <v>3.875</v>
      </c>
      <c r="E2002" s="2">
        <v>46919</v>
      </c>
      <c r="F2002" s="1" t="s">
        <v>16</v>
      </c>
      <c r="G2002" s="1" t="s">
        <v>899</v>
      </c>
      <c r="H2002" s="1" t="s">
        <v>2</v>
      </c>
      <c r="I2002" s="2">
        <v>46177</v>
      </c>
      <c r="J2002" s="1" t="s">
        <v>215</v>
      </c>
      <c r="K2002" s="1" t="s">
        <v>5197</v>
      </c>
      <c r="L2002" s="2">
        <v>46177.918923611112</v>
      </c>
      <c r="M2002" s="2">
        <v>46177.921329212964</v>
      </c>
    </row>
    <row r="2003" spans="1:13" x14ac:dyDescent="0.35">
      <c r="A2003" s="1" t="s">
        <v>898</v>
      </c>
      <c r="B2003" s="1" t="s">
        <v>13</v>
      </c>
      <c r="C2003" s="1" t="s">
        <v>899</v>
      </c>
      <c r="D2003">
        <v>3.875</v>
      </c>
      <c r="E2003" s="2">
        <v>46919</v>
      </c>
      <c r="F2003" s="1" t="s">
        <v>16</v>
      </c>
      <c r="G2003" s="1" t="s">
        <v>899</v>
      </c>
      <c r="H2003" s="1" t="s">
        <v>2</v>
      </c>
      <c r="I2003" s="2">
        <v>46177</v>
      </c>
      <c r="J2003" s="1" t="s">
        <v>18</v>
      </c>
      <c r="K2003" s="1" t="s">
        <v>2700</v>
      </c>
      <c r="L2003" s="2">
        <v>46177.92087962963</v>
      </c>
      <c r="M2003" s="2">
        <v>46177.921329212964</v>
      </c>
    </row>
    <row r="2004" spans="1:13" x14ac:dyDescent="0.35">
      <c r="A2004" s="1" t="s">
        <v>900</v>
      </c>
      <c r="B2004" s="1" t="s">
        <v>13</v>
      </c>
      <c r="C2004" s="1" t="s">
        <v>901</v>
      </c>
      <c r="D2004">
        <v>4</v>
      </c>
      <c r="E2004" s="2">
        <v>48395</v>
      </c>
      <c r="F2004" s="1" t="s">
        <v>16</v>
      </c>
      <c r="G2004" s="1" t="s">
        <v>901</v>
      </c>
      <c r="H2004" s="1" t="s">
        <v>2</v>
      </c>
      <c r="I2004" s="2">
        <v>46177</v>
      </c>
      <c r="J2004" s="1" t="s">
        <v>17</v>
      </c>
      <c r="K2004" s="1" t="s">
        <v>103</v>
      </c>
      <c r="L2004" s="2">
        <v>46177.92087962963</v>
      </c>
      <c r="M2004" s="2">
        <v>46177.921329212964</v>
      </c>
    </row>
    <row r="2005" spans="1:13" x14ac:dyDescent="0.35">
      <c r="A2005" s="1" t="s">
        <v>900</v>
      </c>
      <c r="B2005" s="1" t="s">
        <v>13</v>
      </c>
      <c r="C2005" s="1" t="s">
        <v>901</v>
      </c>
      <c r="D2005">
        <v>4</v>
      </c>
      <c r="E2005" s="2">
        <v>48395</v>
      </c>
      <c r="F2005" s="1" t="s">
        <v>16</v>
      </c>
      <c r="G2005" s="1" t="s">
        <v>901</v>
      </c>
      <c r="H2005" s="1" t="s">
        <v>2</v>
      </c>
      <c r="I2005" s="2">
        <v>46177</v>
      </c>
      <c r="J2005" s="1" t="s">
        <v>67</v>
      </c>
      <c r="K2005" s="1" t="s">
        <v>5053</v>
      </c>
      <c r="L2005" s="2">
        <v>46177.918923611112</v>
      </c>
      <c r="M2005" s="2">
        <v>46177.921329212964</v>
      </c>
    </row>
    <row r="2006" spans="1:13" x14ac:dyDescent="0.35">
      <c r="A2006" s="1" t="s">
        <v>900</v>
      </c>
      <c r="B2006" s="1" t="s">
        <v>13</v>
      </c>
      <c r="C2006" s="1" t="s">
        <v>901</v>
      </c>
      <c r="D2006">
        <v>4</v>
      </c>
      <c r="E2006" s="2">
        <v>48395</v>
      </c>
      <c r="F2006" s="1" t="s">
        <v>16</v>
      </c>
      <c r="G2006" s="1" t="s">
        <v>901</v>
      </c>
      <c r="H2006" s="1" t="s">
        <v>2</v>
      </c>
      <c r="I2006" s="2">
        <v>46177</v>
      </c>
      <c r="J2006" s="1" t="s">
        <v>18</v>
      </c>
      <c r="K2006" s="1" t="s">
        <v>2578</v>
      </c>
      <c r="L2006" s="2">
        <v>46177.92087962963</v>
      </c>
      <c r="M2006" s="2">
        <v>46177.921329212964</v>
      </c>
    </row>
    <row r="2007" spans="1:13" x14ac:dyDescent="0.35">
      <c r="A2007" s="1" t="s">
        <v>900</v>
      </c>
      <c r="B2007" s="1" t="s">
        <v>13</v>
      </c>
      <c r="C2007" s="1" t="s">
        <v>901</v>
      </c>
      <c r="D2007">
        <v>4</v>
      </c>
      <c r="E2007" s="2">
        <v>48395</v>
      </c>
      <c r="F2007" s="1" t="s">
        <v>16</v>
      </c>
      <c r="G2007" s="1" t="s">
        <v>901</v>
      </c>
      <c r="H2007" s="1" t="s">
        <v>2</v>
      </c>
      <c r="I2007" s="2">
        <v>46177</v>
      </c>
      <c r="J2007" s="1" t="s">
        <v>214</v>
      </c>
      <c r="K2007" s="1" t="s">
        <v>5130</v>
      </c>
      <c r="L2007" s="2">
        <v>46177.918923611112</v>
      </c>
      <c r="M2007" s="2">
        <v>46177.921329212964</v>
      </c>
    </row>
    <row r="2008" spans="1:13" x14ac:dyDescent="0.35">
      <c r="A2008" s="1" t="s">
        <v>900</v>
      </c>
      <c r="B2008" s="1" t="s">
        <v>13</v>
      </c>
      <c r="C2008" s="1" t="s">
        <v>901</v>
      </c>
      <c r="D2008">
        <v>4</v>
      </c>
      <c r="E2008" s="2">
        <v>48395</v>
      </c>
      <c r="F2008" s="1" t="s">
        <v>16</v>
      </c>
      <c r="G2008" s="1" t="s">
        <v>901</v>
      </c>
      <c r="H2008" s="1" t="s">
        <v>2</v>
      </c>
      <c r="I2008" s="2">
        <v>46177</v>
      </c>
      <c r="J2008" s="1" t="s">
        <v>215</v>
      </c>
      <c r="K2008" s="1" t="s">
        <v>5053</v>
      </c>
      <c r="L2008" s="2">
        <v>46177.918923611112</v>
      </c>
      <c r="M2008" s="2">
        <v>46177.921329212964</v>
      </c>
    </row>
    <row r="2009" spans="1:13" x14ac:dyDescent="0.35">
      <c r="A2009" s="1" t="s">
        <v>900</v>
      </c>
      <c r="B2009" s="1" t="s">
        <v>13</v>
      </c>
      <c r="C2009" s="1" t="s">
        <v>901</v>
      </c>
      <c r="D2009">
        <v>4</v>
      </c>
      <c r="E2009" s="2">
        <v>48395</v>
      </c>
      <c r="F2009" s="1" t="s">
        <v>16</v>
      </c>
      <c r="G2009" s="1" t="s">
        <v>901</v>
      </c>
      <c r="H2009" s="1" t="s">
        <v>2</v>
      </c>
      <c r="I2009" s="2">
        <v>46177</v>
      </c>
      <c r="J2009" s="1" t="s">
        <v>224</v>
      </c>
      <c r="K2009" s="1" t="s">
        <v>5130</v>
      </c>
      <c r="L2009" s="2">
        <v>46177.918923611112</v>
      </c>
      <c r="M2009" s="2">
        <v>46177.921329212964</v>
      </c>
    </row>
    <row r="2010" spans="1:13" x14ac:dyDescent="0.35">
      <c r="A2010" s="1" t="s">
        <v>902</v>
      </c>
      <c r="B2010" s="1" t="s">
        <v>13</v>
      </c>
      <c r="C2010" s="1" t="s">
        <v>903</v>
      </c>
      <c r="D2010">
        <v>3.875</v>
      </c>
      <c r="E2010" s="2">
        <v>47664</v>
      </c>
      <c r="F2010" s="1" t="s">
        <v>16</v>
      </c>
      <c r="G2010" s="1" t="s">
        <v>903</v>
      </c>
      <c r="H2010" s="1" t="s">
        <v>2</v>
      </c>
      <c r="I2010" s="2">
        <v>46177</v>
      </c>
      <c r="J2010" s="1" t="s">
        <v>17</v>
      </c>
      <c r="K2010" s="1" t="s">
        <v>2681</v>
      </c>
      <c r="L2010" s="2">
        <v>46177.92087962963</v>
      </c>
      <c r="M2010" s="2">
        <v>46177.921329212964</v>
      </c>
    </row>
    <row r="2011" spans="1:13" x14ac:dyDescent="0.35">
      <c r="A2011" s="1" t="s">
        <v>902</v>
      </c>
      <c r="B2011" s="1" t="s">
        <v>13</v>
      </c>
      <c r="C2011" s="1" t="s">
        <v>903</v>
      </c>
      <c r="D2011">
        <v>3.875</v>
      </c>
      <c r="E2011" s="2">
        <v>47664</v>
      </c>
      <c r="F2011" s="1" t="s">
        <v>16</v>
      </c>
      <c r="G2011" s="1" t="s">
        <v>903</v>
      </c>
      <c r="H2011" s="1" t="s">
        <v>2</v>
      </c>
      <c r="I2011" s="2">
        <v>46177</v>
      </c>
      <c r="J2011" s="1" t="s">
        <v>215</v>
      </c>
      <c r="K2011" s="1" t="s">
        <v>5131</v>
      </c>
      <c r="L2011" s="2">
        <v>46177.918923611112</v>
      </c>
      <c r="M2011" s="2">
        <v>46177.921329212964</v>
      </c>
    </row>
    <row r="2012" spans="1:13" x14ac:dyDescent="0.35">
      <c r="A2012" s="1" t="s">
        <v>902</v>
      </c>
      <c r="B2012" s="1" t="s">
        <v>13</v>
      </c>
      <c r="C2012" s="1" t="s">
        <v>903</v>
      </c>
      <c r="D2012">
        <v>3.875</v>
      </c>
      <c r="E2012" s="2">
        <v>47664</v>
      </c>
      <c r="F2012" s="1" t="s">
        <v>16</v>
      </c>
      <c r="G2012" s="1" t="s">
        <v>903</v>
      </c>
      <c r="H2012" s="1" t="s">
        <v>2</v>
      </c>
      <c r="I2012" s="2">
        <v>46177</v>
      </c>
      <c r="J2012" s="1" t="s">
        <v>214</v>
      </c>
      <c r="K2012" s="1" t="s">
        <v>5218</v>
      </c>
      <c r="L2012" s="2">
        <v>46177.918923611112</v>
      </c>
      <c r="M2012" s="2">
        <v>46177.921329212964</v>
      </c>
    </row>
    <row r="2013" spans="1:13" x14ac:dyDescent="0.35">
      <c r="A2013" s="1" t="s">
        <v>902</v>
      </c>
      <c r="B2013" s="1" t="s">
        <v>13</v>
      </c>
      <c r="C2013" s="1" t="s">
        <v>903</v>
      </c>
      <c r="D2013">
        <v>3.875</v>
      </c>
      <c r="E2013" s="2">
        <v>47664</v>
      </c>
      <c r="F2013" s="1" t="s">
        <v>16</v>
      </c>
      <c r="G2013" s="1" t="s">
        <v>903</v>
      </c>
      <c r="H2013" s="1" t="s">
        <v>2</v>
      </c>
      <c r="I2013" s="2">
        <v>46177</v>
      </c>
      <c r="J2013" s="1" t="s">
        <v>18</v>
      </c>
      <c r="K2013" s="1" t="s">
        <v>2372</v>
      </c>
      <c r="L2013" s="2">
        <v>46177.92087962963</v>
      </c>
      <c r="M2013" s="2">
        <v>46177.921329212964</v>
      </c>
    </row>
    <row r="2014" spans="1:13" x14ac:dyDescent="0.35">
      <c r="A2014" s="1" t="s">
        <v>902</v>
      </c>
      <c r="B2014" s="1" t="s">
        <v>13</v>
      </c>
      <c r="C2014" s="1" t="s">
        <v>903</v>
      </c>
      <c r="D2014">
        <v>3.875</v>
      </c>
      <c r="E2014" s="2">
        <v>47664</v>
      </c>
      <c r="F2014" s="1" t="s">
        <v>16</v>
      </c>
      <c r="G2014" s="1" t="s">
        <v>903</v>
      </c>
      <c r="H2014" s="1" t="s">
        <v>2</v>
      </c>
      <c r="I2014" s="2">
        <v>46177</v>
      </c>
      <c r="J2014" s="1" t="s">
        <v>67</v>
      </c>
      <c r="K2014" s="1" t="s">
        <v>5131</v>
      </c>
      <c r="L2014" s="2">
        <v>46177.918923611112</v>
      </c>
      <c r="M2014" s="2">
        <v>46177.921329212964</v>
      </c>
    </row>
    <row r="2015" spans="1:13" x14ac:dyDescent="0.35">
      <c r="A2015" s="1" t="s">
        <v>902</v>
      </c>
      <c r="B2015" s="1" t="s">
        <v>13</v>
      </c>
      <c r="C2015" s="1" t="s">
        <v>903</v>
      </c>
      <c r="D2015">
        <v>3.875</v>
      </c>
      <c r="E2015" s="2">
        <v>47664</v>
      </c>
      <c r="F2015" s="1" t="s">
        <v>16</v>
      </c>
      <c r="G2015" s="1" t="s">
        <v>903</v>
      </c>
      <c r="H2015" s="1" t="s">
        <v>2</v>
      </c>
      <c r="I2015" s="2">
        <v>46177</v>
      </c>
      <c r="J2015" s="1" t="s">
        <v>224</v>
      </c>
      <c r="K2015" s="1" t="s">
        <v>5218</v>
      </c>
      <c r="L2015" s="2">
        <v>46177.918923611112</v>
      </c>
      <c r="M2015" s="2">
        <v>46177.921329212964</v>
      </c>
    </row>
    <row r="2016" spans="1:13" x14ac:dyDescent="0.35">
      <c r="A2016" s="1" t="s">
        <v>904</v>
      </c>
      <c r="B2016" s="1" t="s">
        <v>13</v>
      </c>
      <c r="C2016" s="1" t="s">
        <v>905</v>
      </c>
      <c r="D2016">
        <v>3.75</v>
      </c>
      <c r="E2016" s="2">
        <v>46568</v>
      </c>
      <c r="F2016" s="1" t="s">
        <v>16</v>
      </c>
      <c r="G2016" s="1" t="s">
        <v>905</v>
      </c>
      <c r="H2016" s="1" t="s">
        <v>2</v>
      </c>
      <c r="I2016" s="2">
        <v>46177</v>
      </c>
      <c r="J2016" s="1" t="s">
        <v>224</v>
      </c>
      <c r="K2016" s="1" t="s">
        <v>5054</v>
      </c>
      <c r="L2016" s="2">
        <v>46177.918923611112</v>
      </c>
      <c r="M2016" s="2">
        <v>46177.921329212964</v>
      </c>
    </row>
    <row r="2017" spans="1:13" x14ac:dyDescent="0.35">
      <c r="A2017" s="1" t="s">
        <v>904</v>
      </c>
      <c r="B2017" s="1" t="s">
        <v>13</v>
      </c>
      <c r="C2017" s="1" t="s">
        <v>905</v>
      </c>
      <c r="D2017">
        <v>3.75</v>
      </c>
      <c r="E2017" s="2">
        <v>46568</v>
      </c>
      <c r="F2017" s="1" t="s">
        <v>16</v>
      </c>
      <c r="G2017" s="1" t="s">
        <v>905</v>
      </c>
      <c r="H2017" s="1" t="s">
        <v>2</v>
      </c>
      <c r="I2017" s="2">
        <v>46177</v>
      </c>
      <c r="J2017" s="1" t="s">
        <v>214</v>
      </c>
      <c r="K2017" s="1" t="s">
        <v>5054</v>
      </c>
      <c r="L2017" s="2">
        <v>46177.918923611112</v>
      </c>
      <c r="M2017" s="2">
        <v>46177.921329212964</v>
      </c>
    </row>
    <row r="2018" spans="1:13" x14ac:dyDescent="0.35">
      <c r="A2018" s="1" t="s">
        <v>904</v>
      </c>
      <c r="B2018" s="1" t="s">
        <v>13</v>
      </c>
      <c r="C2018" s="1" t="s">
        <v>905</v>
      </c>
      <c r="D2018">
        <v>3.75</v>
      </c>
      <c r="E2018" s="2">
        <v>46568</v>
      </c>
      <c r="F2018" s="1" t="s">
        <v>16</v>
      </c>
      <c r="G2018" s="1" t="s">
        <v>905</v>
      </c>
      <c r="H2018" s="1" t="s">
        <v>2</v>
      </c>
      <c r="I2018" s="2">
        <v>46177</v>
      </c>
      <c r="J2018" s="1" t="s">
        <v>215</v>
      </c>
      <c r="K2018" s="1" t="s">
        <v>5132</v>
      </c>
      <c r="L2018" s="2">
        <v>46177.918923611112</v>
      </c>
      <c r="M2018" s="2">
        <v>46177.921329212964</v>
      </c>
    </row>
    <row r="2019" spans="1:13" x14ac:dyDescent="0.35">
      <c r="A2019" s="1" t="s">
        <v>904</v>
      </c>
      <c r="B2019" s="1" t="s">
        <v>13</v>
      </c>
      <c r="C2019" s="1" t="s">
        <v>905</v>
      </c>
      <c r="D2019">
        <v>3.75</v>
      </c>
      <c r="E2019" s="2">
        <v>46568</v>
      </c>
      <c r="F2019" s="1" t="s">
        <v>16</v>
      </c>
      <c r="G2019" s="1" t="s">
        <v>905</v>
      </c>
      <c r="H2019" s="1" t="s">
        <v>2</v>
      </c>
      <c r="I2019" s="2">
        <v>46177</v>
      </c>
      <c r="J2019" s="1" t="s">
        <v>17</v>
      </c>
      <c r="K2019" s="1" t="s">
        <v>4868</v>
      </c>
      <c r="L2019" s="2">
        <v>46177.92087962963</v>
      </c>
      <c r="M2019" s="2">
        <v>46177.921329212964</v>
      </c>
    </row>
    <row r="2020" spans="1:13" x14ac:dyDescent="0.35">
      <c r="A2020" s="1" t="s">
        <v>904</v>
      </c>
      <c r="B2020" s="1" t="s">
        <v>13</v>
      </c>
      <c r="C2020" s="1" t="s">
        <v>905</v>
      </c>
      <c r="D2020">
        <v>3.75</v>
      </c>
      <c r="E2020" s="2">
        <v>46568</v>
      </c>
      <c r="F2020" s="1" t="s">
        <v>16</v>
      </c>
      <c r="G2020" s="1" t="s">
        <v>905</v>
      </c>
      <c r="H2020" s="1" t="s">
        <v>2</v>
      </c>
      <c r="I2020" s="2">
        <v>46177</v>
      </c>
      <c r="J2020" s="1" t="s">
        <v>18</v>
      </c>
      <c r="K2020" s="1" t="s">
        <v>2616</v>
      </c>
      <c r="L2020" s="2">
        <v>46177.92087962963</v>
      </c>
      <c r="M2020" s="2">
        <v>46177.921329212964</v>
      </c>
    </row>
    <row r="2021" spans="1:13" x14ac:dyDescent="0.35">
      <c r="A2021" s="1" t="s">
        <v>904</v>
      </c>
      <c r="B2021" s="1" t="s">
        <v>13</v>
      </c>
      <c r="C2021" s="1" t="s">
        <v>905</v>
      </c>
      <c r="D2021">
        <v>3.75</v>
      </c>
      <c r="E2021" s="2">
        <v>46568</v>
      </c>
      <c r="F2021" s="1" t="s">
        <v>16</v>
      </c>
      <c r="G2021" s="1" t="s">
        <v>905</v>
      </c>
      <c r="H2021" s="1" t="s">
        <v>2</v>
      </c>
      <c r="I2021" s="2">
        <v>46177</v>
      </c>
      <c r="J2021" s="1" t="s">
        <v>67</v>
      </c>
      <c r="K2021" s="1" t="s">
        <v>5132</v>
      </c>
      <c r="L2021" s="2">
        <v>46177.918923611112</v>
      </c>
      <c r="M2021" s="2">
        <v>46177.921329212964</v>
      </c>
    </row>
    <row r="2022" spans="1:13" x14ac:dyDescent="0.35">
      <c r="A2022" s="1" t="s">
        <v>906</v>
      </c>
      <c r="B2022" s="1" t="s">
        <v>13</v>
      </c>
      <c r="C2022" s="1" t="s">
        <v>907</v>
      </c>
      <c r="D2022">
        <v>3.875</v>
      </c>
      <c r="E2022" s="2">
        <v>46949</v>
      </c>
      <c r="F2022" s="1" t="s">
        <v>16</v>
      </c>
      <c r="G2022" s="1" t="s">
        <v>907</v>
      </c>
      <c r="H2022" s="1" t="s">
        <v>2</v>
      </c>
      <c r="I2022" s="2">
        <v>46177</v>
      </c>
      <c r="J2022" s="1" t="s">
        <v>17</v>
      </c>
      <c r="K2022" s="1" t="s">
        <v>2493</v>
      </c>
      <c r="L2022" s="2">
        <v>46177.92087962963</v>
      </c>
      <c r="M2022" s="2">
        <v>46177.921329212964</v>
      </c>
    </row>
    <row r="2023" spans="1:13" x14ac:dyDescent="0.35">
      <c r="A2023" s="1" t="s">
        <v>906</v>
      </c>
      <c r="B2023" s="1" t="s">
        <v>13</v>
      </c>
      <c r="C2023" s="1" t="s">
        <v>907</v>
      </c>
      <c r="D2023">
        <v>3.875</v>
      </c>
      <c r="E2023" s="2">
        <v>46949</v>
      </c>
      <c r="F2023" s="1" t="s">
        <v>16</v>
      </c>
      <c r="G2023" s="1" t="s">
        <v>907</v>
      </c>
      <c r="H2023" s="1" t="s">
        <v>2</v>
      </c>
      <c r="I2023" s="2">
        <v>46177</v>
      </c>
      <c r="J2023" s="1" t="s">
        <v>215</v>
      </c>
      <c r="K2023" s="1" t="s">
        <v>5133</v>
      </c>
      <c r="L2023" s="2">
        <v>46177.918923611112</v>
      </c>
      <c r="M2023" s="2">
        <v>46177.921329212964</v>
      </c>
    </row>
    <row r="2024" spans="1:13" x14ac:dyDescent="0.35">
      <c r="A2024" s="1" t="s">
        <v>906</v>
      </c>
      <c r="B2024" s="1" t="s">
        <v>13</v>
      </c>
      <c r="C2024" s="1" t="s">
        <v>907</v>
      </c>
      <c r="D2024">
        <v>3.875</v>
      </c>
      <c r="E2024" s="2">
        <v>46949</v>
      </c>
      <c r="F2024" s="1" t="s">
        <v>16</v>
      </c>
      <c r="G2024" s="1" t="s">
        <v>907</v>
      </c>
      <c r="H2024" s="1" t="s">
        <v>2</v>
      </c>
      <c r="I2024" s="2">
        <v>46177</v>
      </c>
      <c r="J2024" s="1" t="s">
        <v>214</v>
      </c>
      <c r="K2024" s="1" t="s">
        <v>4987</v>
      </c>
      <c r="L2024" s="2">
        <v>46177.918923611112</v>
      </c>
      <c r="M2024" s="2">
        <v>46177.921329212964</v>
      </c>
    </row>
    <row r="2025" spans="1:13" x14ac:dyDescent="0.35">
      <c r="A2025" s="1" t="s">
        <v>906</v>
      </c>
      <c r="B2025" s="1" t="s">
        <v>13</v>
      </c>
      <c r="C2025" s="1" t="s">
        <v>907</v>
      </c>
      <c r="D2025">
        <v>3.875</v>
      </c>
      <c r="E2025" s="2">
        <v>46949</v>
      </c>
      <c r="F2025" s="1" t="s">
        <v>16</v>
      </c>
      <c r="G2025" s="1" t="s">
        <v>907</v>
      </c>
      <c r="H2025" s="1" t="s">
        <v>2</v>
      </c>
      <c r="I2025" s="2">
        <v>46177</v>
      </c>
      <c r="J2025" s="1" t="s">
        <v>67</v>
      </c>
      <c r="K2025" s="1" t="s">
        <v>5133</v>
      </c>
      <c r="L2025" s="2">
        <v>46177.918923611112</v>
      </c>
      <c r="M2025" s="2">
        <v>46177.921329212964</v>
      </c>
    </row>
    <row r="2026" spans="1:13" x14ac:dyDescent="0.35">
      <c r="A2026" s="1" t="s">
        <v>906</v>
      </c>
      <c r="B2026" s="1" t="s">
        <v>13</v>
      </c>
      <c r="C2026" s="1" t="s">
        <v>907</v>
      </c>
      <c r="D2026">
        <v>3.875</v>
      </c>
      <c r="E2026" s="2">
        <v>46949</v>
      </c>
      <c r="F2026" s="1" t="s">
        <v>16</v>
      </c>
      <c r="G2026" s="1" t="s">
        <v>907</v>
      </c>
      <c r="H2026" s="1" t="s">
        <v>2</v>
      </c>
      <c r="I2026" s="2">
        <v>46177</v>
      </c>
      <c r="J2026" s="1" t="s">
        <v>18</v>
      </c>
      <c r="K2026" s="1" t="s">
        <v>2499</v>
      </c>
      <c r="L2026" s="2">
        <v>46177.92087962963</v>
      </c>
      <c r="M2026" s="2">
        <v>46177.921329212964</v>
      </c>
    </row>
    <row r="2027" spans="1:13" x14ac:dyDescent="0.35">
      <c r="A2027" s="1" t="s">
        <v>906</v>
      </c>
      <c r="B2027" s="1" t="s">
        <v>13</v>
      </c>
      <c r="C2027" s="1" t="s">
        <v>907</v>
      </c>
      <c r="D2027">
        <v>3.875</v>
      </c>
      <c r="E2027" s="2">
        <v>46949</v>
      </c>
      <c r="F2027" s="1" t="s">
        <v>16</v>
      </c>
      <c r="G2027" s="1" t="s">
        <v>907</v>
      </c>
      <c r="H2027" s="1" t="s">
        <v>2</v>
      </c>
      <c r="I2027" s="2">
        <v>46177</v>
      </c>
      <c r="J2027" s="1" t="s">
        <v>224</v>
      </c>
      <c r="K2027" s="1" t="s">
        <v>4987</v>
      </c>
      <c r="L2027" s="2">
        <v>46177.918923611112</v>
      </c>
      <c r="M2027" s="2">
        <v>46177.921329212964</v>
      </c>
    </row>
    <row r="2028" spans="1:13" x14ac:dyDescent="0.35">
      <c r="A2028" s="1" t="s">
        <v>908</v>
      </c>
      <c r="B2028" s="1" t="s">
        <v>13</v>
      </c>
      <c r="C2028" s="1" t="s">
        <v>909</v>
      </c>
      <c r="D2028">
        <v>3.875</v>
      </c>
      <c r="E2028" s="2">
        <v>47695</v>
      </c>
      <c r="F2028" s="1" t="s">
        <v>16</v>
      </c>
      <c r="G2028" s="1" t="s">
        <v>909</v>
      </c>
      <c r="H2028" s="1" t="s">
        <v>2</v>
      </c>
      <c r="I2028" s="2">
        <v>46177</v>
      </c>
      <c r="J2028" s="1" t="s">
        <v>224</v>
      </c>
      <c r="K2028" s="1" t="s">
        <v>5019</v>
      </c>
      <c r="L2028" s="2">
        <v>46177.918923611112</v>
      </c>
      <c r="M2028" s="2">
        <v>46177.921329212964</v>
      </c>
    </row>
    <row r="2029" spans="1:13" x14ac:dyDescent="0.35">
      <c r="A2029" s="1" t="s">
        <v>908</v>
      </c>
      <c r="B2029" s="1" t="s">
        <v>13</v>
      </c>
      <c r="C2029" s="1" t="s">
        <v>909</v>
      </c>
      <c r="D2029">
        <v>3.875</v>
      </c>
      <c r="E2029" s="2">
        <v>47695</v>
      </c>
      <c r="F2029" s="1" t="s">
        <v>16</v>
      </c>
      <c r="G2029" s="1" t="s">
        <v>909</v>
      </c>
      <c r="H2029" s="1" t="s">
        <v>2</v>
      </c>
      <c r="I2029" s="2">
        <v>46177</v>
      </c>
      <c r="J2029" s="1" t="s">
        <v>67</v>
      </c>
      <c r="K2029" s="1" t="s">
        <v>5055</v>
      </c>
      <c r="L2029" s="2">
        <v>46177.918923611112</v>
      </c>
      <c r="M2029" s="2">
        <v>46177.921329212964</v>
      </c>
    </row>
    <row r="2030" spans="1:13" x14ac:dyDescent="0.35">
      <c r="A2030" s="1" t="s">
        <v>908</v>
      </c>
      <c r="B2030" s="1" t="s">
        <v>13</v>
      </c>
      <c r="C2030" s="1" t="s">
        <v>909</v>
      </c>
      <c r="D2030">
        <v>3.875</v>
      </c>
      <c r="E2030" s="2">
        <v>47695</v>
      </c>
      <c r="F2030" s="1" t="s">
        <v>16</v>
      </c>
      <c r="G2030" s="1" t="s">
        <v>909</v>
      </c>
      <c r="H2030" s="1" t="s">
        <v>2</v>
      </c>
      <c r="I2030" s="2">
        <v>46177</v>
      </c>
      <c r="J2030" s="1" t="s">
        <v>18</v>
      </c>
      <c r="K2030" s="1" t="s">
        <v>2677</v>
      </c>
      <c r="L2030" s="2">
        <v>46177.92087962963</v>
      </c>
      <c r="M2030" s="2">
        <v>46177.921329212964</v>
      </c>
    </row>
    <row r="2031" spans="1:13" x14ac:dyDescent="0.35">
      <c r="A2031" s="1" t="s">
        <v>908</v>
      </c>
      <c r="B2031" s="1" t="s">
        <v>13</v>
      </c>
      <c r="C2031" s="1" t="s">
        <v>909</v>
      </c>
      <c r="D2031">
        <v>3.875</v>
      </c>
      <c r="E2031" s="2">
        <v>47695</v>
      </c>
      <c r="F2031" s="1" t="s">
        <v>16</v>
      </c>
      <c r="G2031" s="1" t="s">
        <v>909</v>
      </c>
      <c r="H2031" s="1" t="s">
        <v>2</v>
      </c>
      <c r="I2031" s="2">
        <v>46177</v>
      </c>
      <c r="J2031" s="1" t="s">
        <v>214</v>
      </c>
      <c r="K2031" s="1" t="s">
        <v>5019</v>
      </c>
      <c r="L2031" s="2">
        <v>46177.918923611112</v>
      </c>
      <c r="M2031" s="2">
        <v>46177.921329212964</v>
      </c>
    </row>
    <row r="2032" spans="1:13" x14ac:dyDescent="0.35">
      <c r="A2032" s="1" t="s">
        <v>908</v>
      </c>
      <c r="B2032" s="1" t="s">
        <v>13</v>
      </c>
      <c r="C2032" s="1" t="s">
        <v>909</v>
      </c>
      <c r="D2032">
        <v>3.875</v>
      </c>
      <c r="E2032" s="2">
        <v>47695</v>
      </c>
      <c r="F2032" s="1" t="s">
        <v>16</v>
      </c>
      <c r="G2032" s="1" t="s">
        <v>909</v>
      </c>
      <c r="H2032" s="1" t="s">
        <v>2</v>
      </c>
      <c r="I2032" s="2">
        <v>46177</v>
      </c>
      <c r="J2032" s="1" t="s">
        <v>215</v>
      </c>
      <c r="K2032" s="1" t="s">
        <v>5055</v>
      </c>
      <c r="L2032" s="2">
        <v>46177.918923611112</v>
      </c>
      <c r="M2032" s="2">
        <v>46177.921329212964</v>
      </c>
    </row>
    <row r="2033" spans="1:13" x14ac:dyDescent="0.35">
      <c r="A2033" s="1" t="s">
        <v>908</v>
      </c>
      <c r="B2033" s="1" t="s">
        <v>13</v>
      </c>
      <c r="C2033" s="1" t="s">
        <v>909</v>
      </c>
      <c r="D2033">
        <v>3.875</v>
      </c>
      <c r="E2033" s="2">
        <v>47695</v>
      </c>
      <c r="F2033" s="1" t="s">
        <v>16</v>
      </c>
      <c r="G2033" s="1" t="s">
        <v>909</v>
      </c>
      <c r="H2033" s="1" t="s">
        <v>2</v>
      </c>
      <c r="I2033" s="2">
        <v>46177</v>
      </c>
      <c r="J2033" s="1" t="s">
        <v>17</v>
      </c>
      <c r="K2033" s="1" t="s">
        <v>2372</v>
      </c>
      <c r="L2033" s="2">
        <v>46177.92087962963</v>
      </c>
      <c r="M2033" s="2">
        <v>46177.921329212964</v>
      </c>
    </row>
    <row r="2034" spans="1:13" x14ac:dyDescent="0.35">
      <c r="A2034" s="1" t="s">
        <v>910</v>
      </c>
      <c r="B2034" s="1" t="s">
        <v>13</v>
      </c>
      <c r="C2034" s="1" t="s">
        <v>911</v>
      </c>
      <c r="D2034">
        <v>3.875</v>
      </c>
      <c r="E2034" s="2">
        <v>46599</v>
      </c>
      <c r="F2034" s="1" t="s">
        <v>16</v>
      </c>
      <c r="G2034" s="1" t="s">
        <v>911</v>
      </c>
      <c r="H2034" s="1" t="s">
        <v>2</v>
      </c>
      <c r="I2034" s="2">
        <v>46177</v>
      </c>
      <c r="J2034" s="1" t="s">
        <v>214</v>
      </c>
      <c r="K2034" s="1" t="s">
        <v>4989</v>
      </c>
      <c r="L2034" s="2">
        <v>46177.918923611112</v>
      </c>
      <c r="M2034" s="2">
        <v>46177.921329212964</v>
      </c>
    </row>
    <row r="2035" spans="1:13" x14ac:dyDescent="0.35">
      <c r="A2035" s="1" t="s">
        <v>910</v>
      </c>
      <c r="B2035" s="1" t="s">
        <v>13</v>
      </c>
      <c r="C2035" s="1" t="s">
        <v>911</v>
      </c>
      <c r="D2035">
        <v>3.875</v>
      </c>
      <c r="E2035" s="2">
        <v>46599</v>
      </c>
      <c r="F2035" s="1" t="s">
        <v>16</v>
      </c>
      <c r="G2035" s="1" t="s">
        <v>911</v>
      </c>
      <c r="H2035" s="1" t="s">
        <v>2</v>
      </c>
      <c r="I2035" s="2">
        <v>46177</v>
      </c>
      <c r="J2035" s="1" t="s">
        <v>215</v>
      </c>
      <c r="K2035" s="1" t="s">
        <v>4988</v>
      </c>
      <c r="L2035" s="2">
        <v>46177.918923611112</v>
      </c>
      <c r="M2035" s="2">
        <v>46177.921329212964</v>
      </c>
    </row>
    <row r="2036" spans="1:13" x14ac:dyDescent="0.35">
      <c r="A2036" s="1" t="s">
        <v>910</v>
      </c>
      <c r="B2036" s="1" t="s">
        <v>13</v>
      </c>
      <c r="C2036" s="1" t="s">
        <v>911</v>
      </c>
      <c r="D2036">
        <v>3.875</v>
      </c>
      <c r="E2036" s="2">
        <v>46599</v>
      </c>
      <c r="F2036" s="1" t="s">
        <v>16</v>
      </c>
      <c r="G2036" s="1" t="s">
        <v>911</v>
      </c>
      <c r="H2036" s="1" t="s">
        <v>2</v>
      </c>
      <c r="I2036" s="2">
        <v>46177</v>
      </c>
      <c r="J2036" s="1" t="s">
        <v>18</v>
      </c>
      <c r="K2036" s="1" t="s">
        <v>2494</v>
      </c>
      <c r="L2036" s="2">
        <v>46177.92087962963</v>
      </c>
      <c r="M2036" s="2">
        <v>46177.921329212964</v>
      </c>
    </row>
    <row r="2037" spans="1:13" x14ac:dyDescent="0.35">
      <c r="A2037" s="1" t="s">
        <v>910</v>
      </c>
      <c r="B2037" s="1" t="s">
        <v>13</v>
      </c>
      <c r="C2037" s="1" t="s">
        <v>911</v>
      </c>
      <c r="D2037">
        <v>3.875</v>
      </c>
      <c r="E2037" s="2">
        <v>46599</v>
      </c>
      <c r="F2037" s="1" t="s">
        <v>16</v>
      </c>
      <c r="G2037" s="1" t="s">
        <v>911</v>
      </c>
      <c r="H2037" s="1" t="s">
        <v>2</v>
      </c>
      <c r="I2037" s="2">
        <v>46177</v>
      </c>
      <c r="J2037" s="1" t="s">
        <v>17</v>
      </c>
      <c r="K2037" s="1" t="s">
        <v>5134</v>
      </c>
      <c r="L2037" s="2">
        <v>46177.92087962963</v>
      </c>
      <c r="M2037" s="2">
        <v>46177.921329212964</v>
      </c>
    </row>
    <row r="2038" spans="1:13" x14ac:dyDescent="0.35">
      <c r="A2038" s="1" t="s">
        <v>910</v>
      </c>
      <c r="B2038" s="1" t="s">
        <v>13</v>
      </c>
      <c r="C2038" s="1" t="s">
        <v>911</v>
      </c>
      <c r="D2038">
        <v>3.875</v>
      </c>
      <c r="E2038" s="2">
        <v>46599</v>
      </c>
      <c r="F2038" s="1" t="s">
        <v>16</v>
      </c>
      <c r="G2038" s="1" t="s">
        <v>911</v>
      </c>
      <c r="H2038" s="1" t="s">
        <v>2</v>
      </c>
      <c r="I2038" s="2">
        <v>46177</v>
      </c>
      <c r="J2038" s="1" t="s">
        <v>67</v>
      </c>
      <c r="K2038" s="1" t="s">
        <v>4988</v>
      </c>
      <c r="L2038" s="2">
        <v>46177.918923611112</v>
      </c>
      <c r="M2038" s="2">
        <v>46177.921329212964</v>
      </c>
    </row>
    <row r="2039" spans="1:13" x14ac:dyDescent="0.35">
      <c r="A2039" s="1" t="s">
        <v>910</v>
      </c>
      <c r="B2039" s="1" t="s">
        <v>13</v>
      </c>
      <c r="C2039" s="1" t="s">
        <v>911</v>
      </c>
      <c r="D2039">
        <v>3.875</v>
      </c>
      <c r="E2039" s="2">
        <v>46599</v>
      </c>
      <c r="F2039" s="1" t="s">
        <v>16</v>
      </c>
      <c r="G2039" s="1" t="s">
        <v>911</v>
      </c>
      <c r="H2039" s="1" t="s">
        <v>2</v>
      </c>
      <c r="I2039" s="2">
        <v>46177</v>
      </c>
      <c r="J2039" s="1" t="s">
        <v>224</v>
      </c>
      <c r="K2039" s="1" t="s">
        <v>4989</v>
      </c>
      <c r="L2039" s="2">
        <v>46177.918923611112</v>
      </c>
      <c r="M2039" s="2">
        <v>46177.921329212964</v>
      </c>
    </row>
    <row r="2040" spans="1:13" x14ac:dyDescent="0.35">
      <c r="A2040" s="1" t="s">
        <v>912</v>
      </c>
      <c r="B2040" s="1" t="s">
        <v>13</v>
      </c>
      <c r="C2040" s="1" t="s">
        <v>913</v>
      </c>
      <c r="D2040">
        <v>4</v>
      </c>
      <c r="E2040" s="2">
        <v>48426</v>
      </c>
      <c r="F2040" s="1" t="s">
        <v>16</v>
      </c>
      <c r="G2040" s="1" t="s">
        <v>913</v>
      </c>
      <c r="H2040" s="1" t="s">
        <v>2</v>
      </c>
      <c r="I2040" s="2">
        <v>46177</v>
      </c>
      <c r="J2040" s="1" t="s">
        <v>214</v>
      </c>
      <c r="K2040" s="1" t="s">
        <v>5056</v>
      </c>
      <c r="L2040" s="2">
        <v>46177.918923611112</v>
      </c>
      <c r="M2040" s="2">
        <v>46177.921329212964</v>
      </c>
    </row>
    <row r="2041" spans="1:13" x14ac:dyDescent="0.35">
      <c r="A2041" s="1" t="s">
        <v>912</v>
      </c>
      <c r="B2041" s="1" t="s">
        <v>13</v>
      </c>
      <c r="C2041" s="1" t="s">
        <v>913</v>
      </c>
      <c r="D2041">
        <v>4</v>
      </c>
      <c r="E2041" s="2">
        <v>48426</v>
      </c>
      <c r="F2041" s="1" t="s">
        <v>16</v>
      </c>
      <c r="G2041" s="1" t="s">
        <v>913</v>
      </c>
      <c r="H2041" s="1" t="s">
        <v>2</v>
      </c>
      <c r="I2041" s="2">
        <v>46177</v>
      </c>
      <c r="J2041" s="1" t="s">
        <v>17</v>
      </c>
      <c r="K2041" s="1" t="s">
        <v>2500</v>
      </c>
      <c r="L2041" s="2">
        <v>46177.92087962963</v>
      </c>
      <c r="M2041" s="2">
        <v>46177.921329212964</v>
      </c>
    </row>
    <row r="2042" spans="1:13" x14ac:dyDescent="0.35">
      <c r="A2042" s="1" t="s">
        <v>912</v>
      </c>
      <c r="B2042" s="1" t="s">
        <v>13</v>
      </c>
      <c r="C2042" s="1" t="s">
        <v>913</v>
      </c>
      <c r="D2042">
        <v>4</v>
      </c>
      <c r="E2042" s="2">
        <v>48426</v>
      </c>
      <c r="F2042" s="1" t="s">
        <v>16</v>
      </c>
      <c r="G2042" s="1" t="s">
        <v>913</v>
      </c>
      <c r="H2042" s="1" t="s">
        <v>2</v>
      </c>
      <c r="I2042" s="2">
        <v>46177</v>
      </c>
      <c r="J2042" s="1" t="s">
        <v>224</v>
      </c>
      <c r="K2042" s="1" t="s">
        <v>5056</v>
      </c>
      <c r="L2042" s="2">
        <v>46177.918923611112</v>
      </c>
      <c r="M2042" s="2">
        <v>46177.921329212964</v>
      </c>
    </row>
    <row r="2043" spans="1:13" x14ac:dyDescent="0.35">
      <c r="A2043" s="1" t="s">
        <v>912</v>
      </c>
      <c r="B2043" s="1" t="s">
        <v>13</v>
      </c>
      <c r="C2043" s="1" t="s">
        <v>913</v>
      </c>
      <c r="D2043">
        <v>4</v>
      </c>
      <c r="E2043" s="2">
        <v>48426</v>
      </c>
      <c r="F2043" s="1" t="s">
        <v>16</v>
      </c>
      <c r="G2043" s="1" t="s">
        <v>913</v>
      </c>
      <c r="H2043" s="1" t="s">
        <v>2</v>
      </c>
      <c r="I2043" s="2">
        <v>46177</v>
      </c>
      <c r="J2043" s="1" t="s">
        <v>18</v>
      </c>
      <c r="K2043" s="1" t="s">
        <v>2488</v>
      </c>
      <c r="L2043" s="2">
        <v>46177.92087962963</v>
      </c>
      <c r="M2043" s="2">
        <v>46177.921329212964</v>
      </c>
    </row>
    <row r="2044" spans="1:13" x14ac:dyDescent="0.35">
      <c r="A2044" s="1" t="s">
        <v>912</v>
      </c>
      <c r="B2044" s="1" t="s">
        <v>13</v>
      </c>
      <c r="C2044" s="1" t="s">
        <v>913</v>
      </c>
      <c r="D2044">
        <v>4</v>
      </c>
      <c r="E2044" s="2">
        <v>48426</v>
      </c>
      <c r="F2044" s="1" t="s">
        <v>16</v>
      </c>
      <c r="G2044" s="1" t="s">
        <v>913</v>
      </c>
      <c r="H2044" s="1" t="s">
        <v>2</v>
      </c>
      <c r="I2044" s="2">
        <v>46177</v>
      </c>
      <c r="J2044" s="1" t="s">
        <v>67</v>
      </c>
      <c r="K2044" s="1" t="s">
        <v>5020</v>
      </c>
      <c r="L2044" s="2">
        <v>46177.918923611112</v>
      </c>
      <c r="M2044" s="2">
        <v>46177.921329212964</v>
      </c>
    </row>
    <row r="2045" spans="1:13" x14ac:dyDescent="0.35">
      <c r="A2045" s="1" t="s">
        <v>912</v>
      </c>
      <c r="B2045" s="1" t="s">
        <v>13</v>
      </c>
      <c r="C2045" s="1" t="s">
        <v>913</v>
      </c>
      <c r="D2045">
        <v>4</v>
      </c>
      <c r="E2045" s="2">
        <v>48426</v>
      </c>
      <c r="F2045" s="1" t="s">
        <v>16</v>
      </c>
      <c r="G2045" s="1" t="s">
        <v>913</v>
      </c>
      <c r="H2045" s="1" t="s">
        <v>2</v>
      </c>
      <c r="I2045" s="2">
        <v>46177</v>
      </c>
      <c r="J2045" s="1" t="s">
        <v>215</v>
      </c>
      <c r="K2045" s="1" t="s">
        <v>5020</v>
      </c>
      <c r="L2045" s="2">
        <v>46177.918923611112</v>
      </c>
      <c r="M2045" s="2">
        <v>46177.921329212964</v>
      </c>
    </row>
    <row r="2046" spans="1:13" x14ac:dyDescent="0.35">
      <c r="A2046" s="1" t="s">
        <v>916</v>
      </c>
      <c r="B2046" s="1" t="s">
        <v>13</v>
      </c>
      <c r="C2046" s="1" t="s">
        <v>917</v>
      </c>
      <c r="D2046">
        <v>1.875</v>
      </c>
      <c r="E2046" s="2">
        <v>49505</v>
      </c>
      <c r="F2046" s="1" t="s">
        <v>64</v>
      </c>
      <c r="G2046" s="1" t="s">
        <v>917</v>
      </c>
      <c r="H2046" s="1" t="s">
        <v>2</v>
      </c>
      <c r="I2046" s="2">
        <v>46177</v>
      </c>
      <c r="J2046" s="1" t="s">
        <v>17</v>
      </c>
      <c r="K2046" s="1" t="s">
        <v>2566</v>
      </c>
      <c r="L2046" s="2">
        <v>46177.92087962963</v>
      </c>
      <c r="M2046" s="2">
        <v>46177.921329212964</v>
      </c>
    </row>
    <row r="2047" spans="1:13" x14ac:dyDescent="0.35">
      <c r="A2047" s="1" t="s">
        <v>916</v>
      </c>
      <c r="B2047" s="1" t="s">
        <v>13</v>
      </c>
      <c r="C2047" s="1" t="s">
        <v>917</v>
      </c>
      <c r="D2047">
        <v>1.875</v>
      </c>
      <c r="E2047" s="2">
        <v>49505</v>
      </c>
      <c r="F2047" s="1" t="s">
        <v>64</v>
      </c>
      <c r="G2047" s="1" t="s">
        <v>917</v>
      </c>
      <c r="H2047" s="1" t="s">
        <v>2</v>
      </c>
      <c r="I2047" s="2">
        <v>46177</v>
      </c>
      <c r="J2047" s="1" t="s">
        <v>18</v>
      </c>
      <c r="K2047" s="1" t="s">
        <v>2410</v>
      </c>
      <c r="L2047" s="2">
        <v>46177.92087962963</v>
      </c>
      <c r="M2047" s="2">
        <v>46177.921329212964</v>
      </c>
    </row>
    <row r="2048" spans="1:13" x14ac:dyDescent="0.35">
      <c r="A2048" s="1" t="s">
        <v>916</v>
      </c>
      <c r="B2048" s="1" t="s">
        <v>13</v>
      </c>
      <c r="C2048" s="1" t="s">
        <v>917</v>
      </c>
      <c r="D2048">
        <v>1.875</v>
      </c>
      <c r="E2048" s="2">
        <v>49505</v>
      </c>
      <c r="F2048" s="1" t="s">
        <v>64</v>
      </c>
      <c r="G2048" s="1" t="s">
        <v>917</v>
      </c>
      <c r="H2048" s="1" t="s">
        <v>2</v>
      </c>
      <c r="I2048" s="2">
        <v>46177</v>
      </c>
      <c r="J2048" s="1" t="s">
        <v>215</v>
      </c>
      <c r="K2048" s="1" t="s">
        <v>4990</v>
      </c>
      <c r="L2048" s="2">
        <v>46177.918923611112</v>
      </c>
      <c r="M2048" s="2">
        <v>46177.921329212964</v>
      </c>
    </row>
    <row r="2049" spans="1:13" x14ac:dyDescent="0.35">
      <c r="A2049" s="1" t="s">
        <v>916</v>
      </c>
      <c r="B2049" s="1" t="s">
        <v>13</v>
      </c>
      <c r="C2049" s="1" t="s">
        <v>917</v>
      </c>
      <c r="D2049">
        <v>1.875</v>
      </c>
      <c r="E2049" s="2">
        <v>49505</v>
      </c>
      <c r="F2049" s="1" t="s">
        <v>64</v>
      </c>
      <c r="G2049" s="1" t="s">
        <v>917</v>
      </c>
      <c r="H2049" s="1" t="s">
        <v>2</v>
      </c>
      <c r="I2049" s="2">
        <v>46177</v>
      </c>
      <c r="J2049" s="1" t="s">
        <v>67</v>
      </c>
      <c r="K2049" s="1" t="s">
        <v>4990</v>
      </c>
      <c r="L2049" s="2">
        <v>46177.918923611112</v>
      </c>
      <c r="M2049" s="2">
        <v>46177.921329212964</v>
      </c>
    </row>
    <row r="2050" spans="1:13" x14ac:dyDescent="0.35">
      <c r="A2050" s="1" t="s">
        <v>916</v>
      </c>
      <c r="B2050" s="1" t="s">
        <v>13</v>
      </c>
      <c r="C2050" s="1" t="s">
        <v>917</v>
      </c>
      <c r="D2050">
        <v>1.875</v>
      </c>
      <c r="E2050" s="2">
        <v>49505</v>
      </c>
      <c r="F2050" s="1" t="s">
        <v>64</v>
      </c>
      <c r="G2050" s="1" t="s">
        <v>917</v>
      </c>
      <c r="H2050" s="1" t="s">
        <v>2</v>
      </c>
      <c r="I2050" s="2">
        <v>46177</v>
      </c>
      <c r="J2050" s="1" t="s">
        <v>224</v>
      </c>
      <c r="K2050" s="1" t="s">
        <v>4991</v>
      </c>
      <c r="L2050" s="2">
        <v>46177.918923611112</v>
      </c>
      <c r="M2050" s="2">
        <v>46177.921329212964</v>
      </c>
    </row>
    <row r="2051" spans="1:13" x14ac:dyDescent="0.35">
      <c r="A2051" s="1" t="s">
        <v>916</v>
      </c>
      <c r="B2051" s="1" t="s">
        <v>13</v>
      </c>
      <c r="C2051" s="1" t="s">
        <v>917</v>
      </c>
      <c r="D2051">
        <v>1.875</v>
      </c>
      <c r="E2051" s="2">
        <v>49505</v>
      </c>
      <c r="F2051" s="1" t="s">
        <v>64</v>
      </c>
      <c r="G2051" s="1" t="s">
        <v>917</v>
      </c>
      <c r="H2051" s="1" t="s">
        <v>2</v>
      </c>
      <c r="I2051" s="2">
        <v>46177</v>
      </c>
      <c r="J2051" s="1" t="s">
        <v>214</v>
      </c>
      <c r="K2051" s="1" t="s">
        <v>4991</v>
      </c>
      <c r="L2051" s="2">
        <v>46177.918923611112</v>
      </c>
      <c r="M2051" s="2">
        <v>46177.921329212964</v>
      </c>
    </row>
    <row r="2052" spans="1:13" x14ac:dyDescent="0.35">
      <c r="A2052" s="1" t="s">
        <v>918</v>
      </c>
      <c r="B2052" s="1" t="s">
        <v>13</v>
      </c>
      <c r="C2052" s="1" t="s">
        <v>919</v>
      </c>
      <c r="D2052">
        <v>4.25</v>
      </c>
      <c r="E2052" s="2">
        <v>49536</v>
      </c>
      <c r="F2052" s="1" t="s">
        <v>16</v>
      </c>
      <c r="G2052" s="1" t="s">
        <v>919</v>
      </c>
      <c r="H2052" s="1" t="s">
        <v>2</v>
      </c>
      <c r="I2052" s="2">
        <v>46177</v>
      </c>
      <c r="J2052" s="1" t="s">
        <v>224</v>
      </c>
      <c r="K2052" s="1" t="s">
        <v>4992</v>
      </c>
      <c r="L2052" s="2">
        <v>46177.918923611112</v>
      </c>
      <c r="M2052" s="2">
        <v>46177.921329212964</v>
      </c>
    </row>
    <row r="2053" spans="1:13" x14ac:dyDescent="0.35">
      <c r="A2053" s="1" t="s">
        <v>918</v>
      </c>
      <c r="B2053" s="1" t="s">
        <v>13</v>
      </c>
      <c r="C2053" s="1" t="s">
        <v>919</v>
      </c>
      <c r="D2053">
        <v>4.25</v>
      </c>
      <c r="E2053" s="2">
        <v>49536</v>
      </c>
      <c r="F2053" s="1" t="s">
        <v>16</v>
      </c>
      <c r="G2053" s="1" t="s">
        <v>919</v>
      </c>
      <c r="H2053" s="1" t="s">
        <v>2</v>
      </c>
      <c r="I2053" s="2">
        <v>46177</v>
      </c>
      <c r="J2053" s="1" t="s">
        <v>17</v>
      </c>
      <c r="K2053" s="1" t="s">
        <v>2471</v>
      </c>
      <c r="L2053" s="2">
        <v>46177.92087962963</v>
      </c>
      <c r="M2053" s="2">
        <v>46177.921329212964</v>
      </c>
    </row>
    <row r="2054" spans="1:13" x14ac:dyDescent="0.35">
      <c r="A2054" s="1" t="s">
        <v>918</v>
      </c>
      <c r="B2054" s="1" t="s">
        <v>13</v>
      </c>
      <c r="C2054" s="1" t="s">
        <v>919</v>
      </c>
      <c r="D2054">
        <v>4.25</v>
      </c>
      <c r="E2054" s="2">
        <v>49536</v>
      </c>
      <c r="F2054" s="1" t="s">
        <v>16</v>
      </c>
      <c r="G2054" s="1" t="s">
        <v>919</v>
      </c>
      <c r="H2054" s="1" t="s">
        <v>2</v>
      </c>
      <c r="I2054" s="2">
        <v>46177</v>
      </c>
      <c r="J2054" s="1" t="s">
        <v>214</v>
      </c>
      <c r="K2054" s="1" t="s">
        <v>4992</v>
      </c>
      <c r="L2054" s="2">
        <v>46177.918923611112</v>
      </c>
      <c r="M2054" s="2">
        <v>46177.921329212964</v>
      </c>
    </row>
    <row r="2055" spans="1:13" x14ac:dyDescent="0.35">
      <c r="A2055" s="1" t="s">
        <v>918</v>
      </c>
      <c r="B2055" s="1" t="s">
        <v>13</v>
      </c>
      <c r="C2055" s="1" t="s">
        <v>919</v>
      </c>
      <c r="D2055">
        <v>4.25</v>
      </c>
      <c r="E2055" s="2">
        <v>49536</v>
      </c>
      <c r="F2055" s="1" t="s">
        <v>16</v>
      </c>
      <c r="G2055" s="1" t="s">
        <v>919</v>
      </c>
      <c r="H2055" s="1" t="s">
        <v>2</v>
      </c>
      <c r="I2055" s="2">
        <v>46177</v>
      </c>
      <c r="J2055" s="1" t="s">
        <v>67</v>
      </c>
      <c r="K2055" s="1" t="s">
        <v>5219</v>
      </c>
      <c r="L2055" s="2">
        <v>46177.918923611112</v>
      </c>
      <c r="M2055" s="2">
        <v>46177.921329212964</v>
      </c>
    </row>
    <row r="2056" spans="1:13" x14ac:dyDescent="0.35">
      <c r="A2056" s="1" t="s">
        <v>918</v>
      </c>
      <c r="B2056" s="1" t="s">
        <v>13</v>
      </c>
      <c r="C2056" s="1" t="s">
        <v>919</v>
      </c>
      <c r="D2056">
        <v>4.25</v>
      </c>
      <c r="E2056" s="2">
        <v>49536</v>
      </c>
      <c r="F2056" s="1" t="s">
        <v>16</v>
      </c>
      <c r="G2056" s="1" t="s">
        <v>919</v>
      </c>
      <c r="H2056" s="1" t="s">
        <v>2</v>
      </c>
      <c r="I2056" s="2">
        <v>46177</v>
      </c>
      <c r="J2056" s="1" t="s">
        <v>215</v>
      </c>
      <c r="K2056" s="1" t="s">
        <v>5219</v>
      </c>
      <c r="L2056" s="2">
        <v>46177.918923611112</v>
      </c>
      <c r="M2056" s="2">
        <v>46177.921329212964</v>
      </c>
    </row>
    <row r="2057" spans="1:13" x14ac:dyDescent="0.35">
      <c r="A2057" s="1" t="s">
        <v>918</v>
      </c>
      <c r="B2057" s="1" t="s">
        <v>13</v>
      </c>
      <c r="C2057" s="1" t="s">
        <v>919</v>
      </c>
      <c r="D2057">
        <v>4.25</v>
      </c>
      <c r="E2057" s="2">
        <v>49536</v>
      </c>
      <c r="F2057" s="1" t="s">
        <v>16</v>
      </c>
      <c r="G2057" s="1" t="s">
        <v>919</v>
      </c>
      <c r="H2057" s="1" t="s">
        <v>2</v>
      </c>
      <c r="I2057" s="2">
        <v>46177</v>
      </c>
      <c r="J2057" s="1" t="s">
        <v>18</v>
      </c>
      <c r="K2057" s="1" t="s">
        <v>2606</v>
      </c>
      <c r="L2057" s="2">
        <v>46177.92087962963</v>
      </c>
      <c r="M2057" s="2">
        <v>46177.921329212964</v>
      </c>
    </row>
    <row r="2058" spans="1:13" x14ac:dyDescent="0.35">
      <c r="A2058" s="1" t="s">
        <v>936</v>
      </c>
      <c r="B2058" s="1" t="s">
        <v>13</v>
      </c>
      <c r="C2058" s="1" t="s">
        <v>937</v>
      </c>
      <c r="D2058">
        <v>3.625</v>
      </c>
      <c r="E2058" s="2">
        <v>46980</v>
      </c>
      <c r="F2058" s="1" t="s">
        <v>16</v>
      </c>
      <c r="G2058" s="1" t="s">
        <v>937</v>
      </c>
      <c r="H2058" s="1" t="s">
        <v>2</v>
      </c>
      <c r="I2058" s="2">
        <v>46177</v>
      </c>
      <c r="J2058" s="1" t="s">
        <v>67</v>
      </c>
      <c r="K2058" s="1" t="s">
        <v>4993</v>
      </c>
      <c r="L2058" s="2">
        <v>46177.918923611112</v>
      </c>
      <c r="M2058" s="2">
        <v>46177.921329212964</v>
      </c>
    </row>
    <row r="2059" spans="1:13" x14ac:dyDescent="0.35">
      <c r="A2059" s="1" t="s">
        <v>936</v>
      </c>
      <c r="B2059" s="1" t="s">
        <v>13</v>
      </c>
      <c r="C2059" s="1" t="s">
        <v>937</v>
      </c>
      <c r="D2059">
        <v>3.625</v>
      </c>
      <c r="E2059" s="2">
        <v>46980</v>
      </c>
      <c r="F2059" s="1" t="s">
        <v>16</v>
      </c>
      <c r="G2059" s="1" t="s">
        <v>937</v>
      </c>
      <c r="H2059" s="1" t="s">
        <v>2</v>
      </c>
      <c r="I2059" s="2">
        <v>46177</v>
      </c>
      <c r="J2059" s="1" t="s">
        <v>214</v>
      </c>
      <c r="K2059" s="1" t="s">
        <v>5135</v>
      </c>
      <c r="L2059" s="2">
        <v>46177.918923611112</v>
      </c>
      <c r="M2059" s="2">
        <v>46177.921329212964</v>
      </c>
    </row>
    <row r="2060" spans="1:13" x14ac:dyDescent="0.35">
      <c r="A2060" s="1" t="s">
        <v>936</v>
      </c>
      <c r="B2060" s="1" t="s">
        <v>13</v>
      </c>
      <c r="C2060" s="1" t="s">
        <v>937</v>
      </c>
      <c r="D2060">
        <v>3.625</v>
      </c>
      <c r="E2060" s="2">
        <v>46980</v>
      </c>
      <c r="F2060" s="1" t="s">
        <v>16</v>
      </c>
      <c r="G2060" s="1" t="s">
        <v>937</v>
      </c>
      <c r="H2060" s="1" t="s">
        <v>2</v>
      </c>
      <c r="I2060" s="2">
        <v>46177</v>
      </c>
      <c r="J2060" s="1" t="s">
        <v>215</v>
      </c>
      <c r="K2060" s="1" t="s">
        <v>4993</v>
      </c>
      <c r="L2060" s="2">
        <v>46177.918923611112</v>
      </c>
      <c r="M2060" s="2">
        <v>46177.921329212964</v>
      </c>
    </row>
    <row r="2061" spans="1:13" x14ac:dyDescent="0.35">
      <c r="A2061" s="1" t="s">
        <v>936</v>
      </c>
      <c r="B2061" s="1" t="s">
        <v>13</v>
      </c>
      <c r="C2061" s="1" t="s">
        <v>937</v>
      </c>
      <c r="D2061">
        <v>3.625</v>
      </c>
      <c r="E2061" s="2">
        <v>46980</v>
      </c>
      <c r="F2061" s="1" t="s">
        <v>16</v>
      </c>
      <c r="G2061" s="1" t="s">
        <v>937</v>
      </c>
      <c r="H2061" s="1" t="s">
        <v>2</v>
      </c>
      <c r="I2061" s="2">
        <v>46177</v>
      </c>
      <c r="J2061" s="1" t="s">
        <v>18</v>
      </c>
      <c r="K2061" s="1" t="s">
        <v>2642</v>
      </c>
      <c r="L2061" s="2">
        <v>46177.92087962963</v>
      </c>
      <c r="M2061" s="2">
        <v>46177.921329212964</v>
      </c>
    </row>
    <row r="2062" spans="1:13" x14ac:dyDescent="0.35">
      <c r="A2062" s="1" t="s">
        <v>936</v>
      </c>
      <c r="B2062" s="1" t="s">
        <v>13</v>
      </c>
      <c r="C2062" s="1" t="s">
        <v>937</v>
      </c>
      <c r="D2062">
        <v>3.625</v>
      </c>
      <c r="E2062" s="2">
        <v>46980</v>
      </c>
      <c r="F2062" s="1" t="s">
        <v>16</v>
      </c>
      <c r="G2062" s="1" t="s">
        <v>937</v>
      </c>
      <c r="H2062" s="1" t="s">
        <v>2</v>
      </c>
      <c r="I2062" s="2">
        <v>46177</v>
      </c>
      <c r="J2062" s="1" t="s">
        <v>17</v>
      </c>
      <c r="K2062" s="1" t="s">
        <v>4765</v>
      </c>
      <c r="L2062" s="2">
        <v>46177.92087962963</v>
      </c>
      <c r="M2062" s="2">
        <v>46177.921329212964</v>
      </c>
    </row>
    <row r="2063" spans="1:13" x14ac:dyDescent="0.35">
      <c r="A2063" s="1" t="s">
        <v>936</v>
      </c>
      <c r="B2063" s="1" t="s">
        <v>13</v>
      </c>
      <c r="C2063" s="1" t="s">
        <v>937</v>
      </c>
      <c r="D2063">
        <v>3.625</v>
      </c>
      <c r="E2063" s="2">
        <v>46980</v>
      </c>
      <c r="F2063" s="1" t="s">
        <v>16</v>
      </c>
      <c r="G2063" s="1" t="s">
        <v>937</v>
      </c>
      <c r="H2063" s="1" t="s">
        <v>2</v>
      </c>
      <c r="I2063" s="2">
        <v>46177</v>
      </c>
      <c r="J2063" s="1" t="s">
        <v>224</v>
      </c>
      <c r="K2063" s="1" t="s">
        <v>5135</v>
      </c>
      <c r="L2063" s="2">
        <v>46177.918923611112</v>
      </c>
      <c r="M2063" s="2">
        <v>46177.921329212964</v>
      </c>
    </row>
    <row r="2064" spans="1:13" x14ac:dyDescent="0.35">
      <c r="A2064" s="1" t="s">
        <v>920</v>
      </c>
      <c r="B2064" s="1" t="s">
        <v>13</v>
      </c>
      <c r="C2064" s="1" t="s">
        <v>921</v>
      </c>
      <c r="D2064">
        <v>3.625</v>
      </c>
      <c r="E2064" s="2">
        <v>46630</v>
      </c>
      <c r="F2064" s="1" t="s">
        <v>16</v>
      </c>
      <c r="G2064" s="1" t="s">
        <v>921</v>
      </c>
      <c r="H2064" s="1" t="s">
        <v>2</v>
      </c>
      <c r="I2064" s="2">
        <v>46177</v>
      </c>
      <c r="J2064" s="1" t="s">
        <v>18</v>
      </c>
      <c r="K2064" s="1" t="s">
        <v>2484</v>
      </c>
      <c r="L2064" s="2">
        <v>46177.92087962963</v>
      </c>
      <c r="M2064" s="2">
        <v>46177.921329212964</v>
      </c>
    </row>
    <row r="2065" spans="1:13" x14ac:dyDescent="0.35">
      <c r="A2065" s="1" t="s">
        <v>920</v>
      </c>
      <c r="B2065" s="1" t="s">
        <v>13</v>
      </c>
      <c r="C2065" s="1" t="s">
        <v>921</v>
      </c>
      <c r="D2065">
        <v>3.625</v>
      </c>
      <c r="E2065" s="2">
        <v>46630</v>
      </c>
      <c r="F2065" s="1" t="s">
        <v>16</v>
      </c>
      <c r="G2065" s="1" t="s">
        <v>921</v>
      </c>
      <c r="H2065" s="1" t="s">
        <v>2</v>
      </c>
      <c r="I2065" s="2">
        <v>46177</v>
      </c>
      <c r="J2065" s="1" t="s">
        <v>224</v>
      </c>
      <c r="K2065" s="1" t="s">
        <v>5021</v>
      </c>
      <c r="L2065" s="2">
        <v>46177.918923611112</v>
      </c>
      <c r="M2065" s="2">
        <v>46177.921329212964</v>
      </c>
    </row>
    <row r="2066" spans="1:13" x14ac:dyDescent="0.35">
      <c r="A2066" s="1" t="s">
        <v>920</v>
      </c>
      <c r="B2066" s="1" t="s">
        <v>13</v>
      </c>
      <c r="C2066" s="1" t="s">
        <v>921</v>
      </c>
      <c r="D2066">
        <v>3.625</v>
      </c>
      <c r="E2066" s="2">
        <v>46630</v>
      </c>
      <c r="F2066" s="1" t="s">
        <v>16</v>
      </c>
      <c r="G2066" s="1" t="s">
        <v>921</v>
      </c>
      <c r="H2066" s="1" t="s">
        <v>2</v>
      </c>
      <c r="I2066" s="2">
        <v>46177</v>
      </c>
      <c r="J2066" s="1" t="s">
        <v>214</v>
      </c>
      <c r="K2066" s="1" t="s">
        <v>5021</v>
      </c>
      <c r="L2066" s="2">
        <v>46177.918923611112</v>
      </c>
      <c r="M2066" s="2">
        <v>46177.921329212964</v>
      </c>
    </row>
    <row r="2067" spans="1:13" x14ac:dyDescent="0.35">
      <c r="A2067" s="1" t="s">
        <v>920</v>
      </c>
      <c r="B2067" s="1" t="s">
        <v>13</v>
      </c>
      <c r="C2067" s="1" t="s">
        <v>921</v>
      </c>
      <c r="D2067">
        <v>3.625</v>
      </c>
      <c r="E2067" s="2">
        <v>46630</v>
      </c>
      <c r="F2067" s="1" t="s">
        <v>16</v>
      </c>
      <c r="G2067" s="1" t="s">
        <v>921</v>
      </c>
      <c r="H2067" s="1" t="s">
        <v>2</v>
      </c>
      <c r="I2067" s="2">
        <v>46177</v>
      </c>
      <c r="J2067" s="1" t="s">
        <v>67</v>
      </c>
      <c r="K2067" s="1" t="s">
        <v>4994</v>
      </c>
      <c r="L2067" s="2">
        <v>46177.918923611112</v>
      </c>
      <c r="M2067" s="2">
        <v>46177.921329212964</v>
      </c>
    </row>
    <row r="2068" spans="1:13" x14ac:dyDescent="0.35">
      <c r="A2068" s="1" t="s">
        <v>920</v>
      </c>
      <c r="B2068" s="1" t="s">
        <v>13</v>
      </c>
      <c r="C2068" s="1" t="s">
        <v>921</v>
      </c>
      <c r="D2068">
        <v>3.625</v>
      </c>
      <c r="E2068" s="2">
        <v>46630</v>
      </c>
      <c r="F2068" s="1" t="s">
        <v>16</v>
      </c>
      <c r="G2068" s="1" t="s">
        <v>921</v>
      </c>
      <c r="H2068" s="1" t="s">
        <v>2</v>
      </c>
      <c r="I2068" s="2">
        <v>46177</v>
      </c>
      <c r="J2068" s="1" t="s">
        <v>215</v>
      </c>
      <c r="K2068" s="1" t="s">
        <v>4994</v>
      </c>
      <c r="L2068" s="2">
        <v>46177.918923611112</v>
      </c>
      <c r="M2068" s="2">
        <v>46177.921329212964</v>
      </c>
    </row>
    <row r="2069" spans="1:13" x14ac:dyDescent="0.35">
      <c r="A2069" s="1" t="s">
        <v>920</v>
      </c>
      <c r="B2069" s="1" t="s">
        <v>13</v>
      </c>
      <c r="C2069" s="1" t="s">
        <v>921</v>
      </c>
      <c r="D2069">
        <v>3.625</v>
      </c>
      <c r="E2069" s="2">
        <v>46630</v>
      </c>
      <c r="F2069" s="1" t="s">
        <v>16</v>
      </c>
      <c r="G2069" s="1" t="s">
        <v>921</v>
      </c>
      <c r="H2069" s="1" t="s">
        <v>2</v>
      </c>
      <c r="I2069" s="2">
        <v>46177</v>
      </c>
      <c r="J2069" s="1" t="s">
        <v>17</v>
      </c>
      <c r="K2069" s="1" t="s">
        <v>5220</v>
      </c>
      <c r="L2069" s="2">
        <v>46177.92087962963</v>
      </c>
      <c r="M2069" s="2">
        <v>46177.921329212964</v>
      </c>
    </row>
    <row r="2070" spans="1:13" x14ac:dyDescent="0.35">
      <c r="A2070" s="1" t="s">
        <v>922</v>
      </c>
      <c r="B2070" s="1" t="s">
        <v>13</v>
      </c>
      <c r="C2070" s="1" t="s">
        <v>923</v>
      </c>
      <c r="D2070">
        <v>3.875</v>
      </c>
      <c r="E2070" s="2">
        <v>48457</v>
      </c>
      <c r="F2070" s="1" t="s">
        <v>16</v>
      </c>
      <c r="G2070" s="1" t="s">
        <v>923</v>
      </c>
      <c r="H2070" s="1" t="s">
        <v>2</v>
      </c>
      <c r="I2070" s="2">
        <v>46177</v>
      </c>
      <c r="J2070" s="1" t="s">
        <v>17</v>
      </c>
      <c r="K2070" s="1" t="s">
        <v>5168</v>
      </c>
      <c r="L2070" s="2">
        <v>46177.92087962963</v>
      </c>
      <c r="M2070" s="2">
        <v>46177.921329212964</v>
      </c>
    </row>
    <row r="2071" spans="1:13" x14ac:dyDescent="0.35">
      <c r="A2071" s="1" t="s">
        <v>922</v>
      </c>
      <c r="B2071" s="1" t="s">
        <v>13</v>
      </c>
      <c r="C2071" s="1" t="s">
        <v>923</v>
      </c>
      <c r="D2071">
        <v>3.875</v>
      </c>
      <c r="E2071" s="2">
        <v>48457</v>
      </c>
      <c r="F2071" s="1" t="s">
        <v>16</v>
      </c>
      <c r="G2071" s="1" t="s">
        <v>923</v>
      </c>
      <c r="H2071" s="1" t="s">
        <v>2</v>
      </c>
      <c r="I2071" s="2">
        <v>46177</v>
      </c>
      <c r="J2071" s="1" t="s">
        <v>214</v>
      </c>
      <c r="K2071" s="1" t="s">
        <v>5169</v>
      </c>
      <c r="L2071" s="2">
        <v>46177.918923611112</v>
      </c>
      <c r="M2071" s="2">
        <v>46177.921329212964</v>
      </c>
    </row>
    <row r="2072" spans="1:13" x14ac:dyDescent="0.35">
      <c r="A2072" s="1" t="s">
        <v>922</v>
      </c>
      <c r="B2072" s="1" t="s">
        <v>13</v>
      </c>
      <c r="C2072" s="1" t="s">
        <v>923</v>
      </c>
      <c r="D2072">
        <v>3.875</v>
      </c>
      <c r="E2072" s="2">
        <v>48457</v>
      </c>
      <c r="F2072" s="1" t="s">
        <v>16</v>
      </c>
      <c r="G2072" s="1" t="s">
        <v>923</v>
      </c>
      <c r="H2072" s="1" t="s">
        <v>2</v>
      </c>
      <c r="I2072" s="2">
        <v>46177</v>
      </c>
      <c r="J2072" s="1" t="s">
        <v>215</v>
      </c>
      <c r="K2072" s="1" t="s">
        <v>5022</v>
      </c>
      <c r="L2072" s="2">
        <v>46177.918923611112</v>
      </c>
      <c r="M2072" s="2">
        <v>46177.921329212964</v>
      </c>
    </row>
    <row r="2073" spans="1:13" x14ac:dyDescent="0.35">
      <c r="A2073" s="1" t="s">
        <v>922</v>
      </c>
      <c r="B2073" s="1" t="s">
        <v>13</v>
      </c>
      <c r="C2073" s="1" t="s">
        <v>923</v>
      </c>
      <c r="D2073">
        <v>3.875</v>
      </c>
      <c r="E2073" s="2">
        <v>48457</v>
      </c>
      <c r="F2073" s="1" t="s">
        <v>16</v>
      </c>
      <c r="G2073" s="1" t="s">
        <v>923</v>
      </c>
      <c r="H2073" s="1" t="s">
        <v>2</v>
      </c>
      <c r="I2073" s="2">
        <v>46177</v>
      </c>
      <c r="J2073" s="1" t="s">
        <v>67</v>
      </c>
      <c r="K2073" s="1" t="s">
        <v>5022</v>
      </c>
      <c r="L2073" s="2">
        <v>46177.918923611112</v>
      </c>
      <c r="M2073" s="2">
        <v>46177.921329212964</v>
      </c>
    </row>
    <row r="2074" spans="1:13" x14ac:dyDescent="0.35">
      <c r="A2074" s="1" t="s">
        <v>922</v>
      </c>
      <c r="B2074" s="1" t="s">
        <v>13</v>
      </c>
      <c r="C2074" s="1" t="s">
        <v>923</v>
      </c>
      <c r="D2074">
        <v>3.875</v>
      </c>
      <c r="E2074" s="2">
        <v>48457</v>
      </c>
      <c r="F2074" s="1" t="s">
        <v>16</v>
      </c>
      <c r="G2074" s="1" t="s">
        <v>923</v>
      </c>
      <c r="H2074" s="1" t="s">
        <v>2</v>
      </c>
      <c r="I2074" s="2">
        <v>46177</v>
      </c>
      <c r="J2074" s="1" t="s">
        <v>18</v>
      </c>
      <c r="K2074" s="1" t="s">
        <v>2929</v>
      </c>
      <c r="L2074" s="2">
        <v>46177.92087962963</v>
      </c>
      <c r="M2074" s="2">
        <v>46177.921329212964</v>
      </c>
    </row>
    <row r="2075" spans="1:13" x14ac:dyDescent="0.35">
      <c r="A2075" s="1" t="s">
        <v>922</v>
      </c>
      <c r="B2075" s="1" t="s">
        <v>13</v>
      </c>
      <c r="C2075" s="1" t="s">
        <v>923</v>
      </c>
      <c r="D2075">
        <v>3.875</v>
      </c>
      <c r="E2075" s="2">
        <v>48457</v>
      </c>
      <c r="F2075" s="1" t="s">
        <v>16</v>
      </c>
      <c r="G2075" s="1" t="s">
        <v>923</v>
      </c>
      <c r="H2075" s="1" t="s">
        <v>2</v>
      </c>
      <c r="I2075" s="2">
        <v>46177</v>
      </c>
      <c r="J2075" s="1" t="s">
        <v>224</v>
      </c>
      <c r="K2075" s="1" t="s">
        <v>5169</v>
      </c>
      <c r="L2075" s="2">
        <v>46177.918923611112</v>
      </c>
      <c r="M2075" s="2">
        <v>46177.921329212964</v>
      </c>
    </row>
    <row r="2076" spans="1:13" x14ac:dyDescent="0.35">
      <c r="A2076" s="1" t="s">
        <v>938</v>
      </c>
      <c r="B2076" s="1" t="s">
        <v>13</v>
      </c>
      <c r="C2076" s="1" t="s">
        <v>939</v>
      </c>
      <c r="D2076">
        <v>3.625</v>
      </c>
      <c r="E2076" s="2">
        <v>47726</v>
      </c>
      <c r="F2076" s="1" t="s">
        <v>16</v>
      </c>
      <c r="G2076" s="1" t="s">
        <v>939</v>
      </c>
      <c r="H2076" s="1" t="s">
        <v>2</v>
      </c>
      <c r="I2076" s="2">
        <v>46177</v>
      </c>
      <c r="J2076" s="1" t="s">
        <v>17</v>
      </c>
      <c r="K2076" s="1" t="s">
        <v>2449</v>
      </c>
      <c r="L2076" s="2">
        <v>46177.92087962963</v>
      </c>
      <c r="M2076" s="2">
        <v>46177.921329212964</v>
      </c>
    </row>
    <row r="2077" spans="1:13" x14ac:dyDescent="0.35">
      <c r="A2077" s="1" t="s">
        <v>938</v>
      </c>
      <c r="B2077" s="1" t="s">
        <v>13</v>
      </c>
      <c r="C2077" s="1" t="s">
        <v>939</v>
      </c>
      <c r="D2077">
        <v>3.625</v>
      </c>
      <c r="E2077" s="2">
        <v>47726</v>
      </c>
      <c r="F2077" s="1" t="s">
        <v>16</v>
      </c>
      <c r="G2077" s="1" t="s">
        <v>939</v>
      </c>
      <c r="H2077" s="1" t="s">
        <v>2</v>
      </c>
      <c r="I2077" s="2">
        <v>46177</v>
      </c>
      <c r="J2077" s="1" t="s">
        <v>18</v>
      </c>
      <c r="K2077" s="1" t="s">
        <v>2447</v>
      </c>
      <c r="L2077" s="2">
        <v>46177.92087962963</v>
      </c>
      <c r="M2077" s="2">
        <v>46177.921329212964</v>
      </c>
    </row>
    <row r="2078" spans="1:13" x14ac:dyDescent="0.35">
      <c r="A2078" s="1" t="s">
        <v>938</v>
      </c>
      <c r="B2078" s="1" t="s">
        <v>13</v>
      </c>
      <c r="C2078" s="1" t="s">
        <v>939</v>
      </c>
      <c r="D2078">
        <v>3.625</v>
      </c>
      <c r="E2078" s="2">
        <v>47726</v>
      </c>
      <c r="F2078" s="1" t="s">
        <v>16</v>
      </c>
      <c r="G2078" s="1" t="s">
        <v>939</v>
      </c>
      <c r="H2078" s="1" t="s">
        <v>2</v>
      </c>
      <c r="I2078" s="2">
        <v>46177</v>
      </c>
      <c r="J2078" s="1" t="s">
        <v>224</v>
      </c>
      <c r="K2078" s="1" t="s">
        <v>5170</v>
      </c>
      <c r="L2078" s="2">
        <v>46177.918923611112</v>
      </c>
      <c r="M2078" s="2">
        <v>46177.921329212964</v>
      </c>
    </row>
    <row r="2079" spans="1:13" x14ac:dyDescent="0.35">
      <c r="A2079" s="1" t="s">
        <v>938</v>
      </c>
      <c r="B2079" s="1" t="s">
        <v>13</v>
      </c>
      <c r="C2079" s="1" t="s">
        <v>939</v>
      </c>
      <c r="D2079">
        <v>3.625</v>
      </c>
      <c r="E2079" s="2">
        <v>47726</v>
      </c>
      <c r="F2079" s="1" t="s">
        <v>16</v>
      </c>
      <c r="G2079" s="1" t="s">
        <v>939</v>
      </c>
      <c r="H2079" s="1" t="s">
        <v>2</v>
      </c>
      <c r="I2079" s="2">
        <v>46177</v>
      </c>
      <c r="J2079" s="1" t="s">
        <v>67</v>
      </c>
      <c r="K2079" s="1" t="s">
        <v>5221</v>
      </c>
      <c r="L2079" s="2">
        <v>46177.918923611112</v>
      </c>
      <c r="M2079" s="2">
        <v>46177.921329212964</v>
      </c>
    </row>
    <row r="2080" spans="1:13" x14ac:dyDescent="0.35">
      <c r="A2080" s="1" t="s">
        <v>938</v>
      </c>
      <c r="B2080" s="1" t="s">
        <v>13</v>
      </c>
      <c r="C2080" s="1" t="s">
        <v>939</v>
      </c>
      <c r="D2080">
        <v>3.625</v>
      </c>
      <c r="E2080" s="2">
        <v>47726</v>
      </c>
      <c r="F2080" s="1" t="s">
        <v>16</v>
      </c>
      <c r="G2080" s="1" t="s">
        <v>939</v>
      </c>
      <c r="H2080" s="1" t="s">
        <v>2</v>
      </c>
      <c r="I2080" s="2">
        <v>46177</v>
      </c>
      <c r="J2080" s="1" t="s">
        <v>215</v>
      </c>
      <c r="K2080" s="1" t="s">
        <v>5221</v>
      </c>
      <c r="L2080" s="2">
        <v>46177.918923611112</v>
      </c>
      <c r="M2080" s="2">
        <v>46177.921329212964</v>
      </c>
    </row>
    <row r="2081" spans="1:13" x14ac:dyDescent="0.35">
      <c r="A2081" s="1" t="s">
        <v>938</v>
      </c>
      <c r="B2081" s="1" t="s">
        <v>13</v>
      </c>
      <c r="C2081" s="1" t="s">
        <v>939</v>
      </c>
      <c r="D2081">
        <v>3.625</v>
      </c>
      <c r="E2081" s="2">
        <v>47726</v>
      </c>
      <c r="F2081" s="1" t="s">
        <v>16</v>
      </c>
      <c r="G2081" s="1" t="s">
        <v>939</v>
      </c>
      <c r="H2081" s="1" t="s">
        <v>2</v>
      </c>
      <c r="I2081" s="2">
        <v>46177</v>
      </c>
      <c r="J2081" s="1" t="s">
        <v>214</v>
      </c>
      <c r="K2081" s="1" t="s">
        <v>5170</v>
      </c>
      <c r="L2081" s="2">
        <v>46177.918923611112</v>
      </c>
      <c r="M2081" s="2">
        <v>46177.921329212964</v>
      </c>
    </row>
    <row r="2082" spans="1:13" x14ac:dyDescent="0.35">
      <c r="A2082" s="1" t="s">
        <v>956</v>
      </c>
      <c r="B2082" s="1" t="s">
        <v>13</v>
      </c>
      <c r="C2082" s="1" t="s">
        <v>957</v>
      </c>
      <c r="D2082">
        <v>3.375</v>
      </c>
      <c r="E2082" s="2">
        <v>47011</v>
      </c>
      <c r="F2082" s="1" t="s">
        <v>16</v>
      </c>
      <c r="G2082" s="1" t="s">
        <v>957</v>
      </c>
      <c r="H2082" s="1" t="s">
        <v>2</v>
      </c>
      <c r="I2082" s="2">
        <v>46177</v>
      </c>
      <c r="J2082" s="1" t="s">
        <v>18</v>
      </c>
      <c r="K2082" s="1" t="s">
        <v>2924</v>
      </c>
      <c r="L2082" s="2">
        <v>46177.92087962963</v>
      </c>
      <c r="M2082" s="2">
        <v>46177.921329212964</v>
      </c>
    </row>
    <row r="2083" spans="1:13" x14ac:dyDescent="0.35">
      <c r="A2083" s="1" t="s">
        <v>956</v>
      </c>
      <c r="B2083" s="1" t="s">
        <v>13</v>
      </c>
      <c r="C2083" s="1" t="s">
        <v>957</v>
      </c>
      <c r="D2083">
        <v>3.375</v>
      </c>
      <c r="E2083" s="2">
        <v>47011</v>
      </c>
      <c r="F2083" s="1" t="s">
        <v>16</v>
      </c>
      <c r="G2083" s="1" t="s">
        <v>957</v>
      </c>
      <c r="H2083" s="1" t="s">
        <v>2</v>
      </c>
      <c r="I2083" s="2">
        <v>46177</v>
      </c>
      <c r="J2083" s="1" t="s">
        <v>224</v>
      </c>
      <c r="K2083" s="1" t="s">
        <v>5023</v>
      </c>
      <c r="L2083" s="2">
        <v>46177.918923611112</v>
      </c>
      <c r="M2083" s="2">
        <v>46177.921329212964</v>
      </c>
    </row>
    <row r="2084" spans="1:13" x14ac:dyDescent="0.35">
      <c r="A2084" s="1" t="s">
        <v>956</v>
      </c>
      <c r="B2084" s="1" t="s">
        <v>13</v>
      </c>
      <c r="C2084" s="1" t="s">
        <v>957</v>
      </c>
      <c r="D2084">
        <v>3.375</v>
      </c>
      <c r="E2084" s="2">
        <v>47011</v>
      </c>
      <c r="F2084" s="1" t="s">
        <v>16</v>
      </c>
      <c r="G2084" s="1" t="s">
        <v>957</v>
      </c>
      <c r="H2084" s="1" t="s">
        <v>2</v>
      </c>
      <c r="I2084" s="2">
        <v>46177</v>
      </c>
      <c r="J2084" s="1" t="s">
        <v>215</v>
      </c>
      <c r="K2084" s="1" t="s">
        <v>4995</v>
      </c>
      <c r="L2084" s="2">
        <v>46177.918923611112</v>
      </c>
      <c r="M2084" s="2">
        <v>46177.921329212964</v>
      </c>
    </row>
    <row r="2085" spans="1:13" x14ac:dyDescent="0.35">
      <c r="A2085" s="1" t="s">
        <v>956</v>
      </c>
      <c r="B2085" s="1" t="s">
        <v>13</v>
      </c>
      <c r="C2085" s="1" t="s">
        <v>957</v>
      </c>
      <c r="D2085">
        <v>3.375</v>
      </c>
      <c r="E2085" s="2">
        <v>47011</v>
      </c>
      <c r="F2085" s="1" t="s">
        <v>16</v>
      </c>
      <c r="G2085" s="1" t="s">
        <v>957</v>
      </c>
      <c r="H2085" s="1" t="s">
        <v>2</v>
      </c>
      <c r="I2085" s="2">
        <v>46177</v>
      </c>
      <c r="J2085" s="1" t="s">
        <v>17</v>
      </c>
      <c r="K2085" s="1" t="s">
        <v>2488</v>
      </c>
      <c r="L2085" s="2">
        <v>46177.92087962963</v>
      </c>
      <c r="M2085" s="2">
        <v>46177.921329212964</v>
      </c>
    </row>
    <row r="2086" spans="1:13" x14ac:dyDescent="0.35">
      <c r="A2086" s="1" t="s">
        <v>956</v>
      </c>
      <c r="B2086" s="1" t="s">
        <v>13</v>
      </c>
      <c r="C2086" s="1" t="s">
        <v>957</v>
      </c>
      <c r="D2086">
        <v>3.375</v>
      </c>
      <c r="E2086" s="2">
        <v>47011</v>
      </c>
      <c r="F2086" s="1" t="s">
        <v>16</v>
      </c>
      <c r="G2086" s="1" t="s">
        <v>957</v>
      </c>
      <c r="H2086" s="1" t="s">
        <v>2</v>
      </c>
      <c r="I2086" s="2">
        <v>46177</v>
      </c>
      <c r="J2086" s="1" t="s">
        <v>67</v>
      </c>
      <c r="K2086" s="1" t="s">
        <v>4995</v>
      </c>
      <c r="L2086" s="2">
        <v>46177.918923611112</v>
      </c>
      <c r="M2086" s="2">
        <v>46177.921329212964</v>
      </c>
    </row>
    <row r="2087" spans="1:13" x14ac:dyDescent="0.35">
      <c r="A2087" s="1" t="s">
        <v>956</v>
      </c>
      <c r="B2087" s="1" t="s">
        <v>13</v>
      </c>
      <c r="C2087" s="1" t="s">
        <v>957</v>
      </c>
      <c r="D2087">
        <v>3.375</v>
      </c>
      <c r="E2087" s="2">
        <v>47011</v>
      </c>
      <c r="F2087" s="1" t="s">
        <v>16</v>
      </c>
      <c r="G2087" s="1" t="s">
        <v>957</v>
      </c>
      <c r="H2087" s="1" t="s">
        <v>2</v>
      </c>
      <c r="I2087" s="2">
        <v>46177</v>
      </c>
      <c r="J2087" s="1" t="s">
        <v>214</v>
      </c>
      <c r="K2087" s="1" t="s">
        <v>5023</v>
      </c>
      <c r="L2087" s="2">
        <v>46177.918923611112</v>
      </c>
      <c r="M2087" s="2">
        <v>46177.921329212964</v>
      </c>
    </row>
    <row r="2088" spans="1:13" x14ac:dyDescent="0.35">
      <c r="A2088" s="1" t="s">
        <v>924</v>
      </c>
      <c r="B2088" s="1" t="s">
        <v>13</v>
      </c>
      <c r="C2088" s="1" t="s">
        <v>925</v>
      </c>
      <c r="D2088">
        <v>3.875</v>
      </c>
      <c r="E2088" s="2">
        <v>48487</v>
      </c>
      <c r="F2088" s="1" t="s">
        <v>16</v>
      </c>
      <c r="G2088" s="1" t="s">
        <v>925</v>
      </c>
      <c r="H2088" s="1" t="s">
        <v>2</v>
      </c>
      <c r="I2088" s="2">
        <v>46177</v>
      </c>
      <c r="J2088" s="1" t="s">
        <v>18</v>
      </c>
      <c r="K2088" s="1" t="s">
        <v>2695</v>
      </c>
      <c r="L2088" s="2">
        <v>46177.92087962963</v>
      </c>
      <c r="M2088" s="2">
        <v>46177.921329212964</v>
      </c>
    </row>
    <row r="2089" spans="1:13" x14ac:dyDescent="0.35">
      <c r="A2089" s="1" t="s">
        <v>924</v>
      </c>
      <c r="B2089" s="1" t="s">
        <v>13</v>
      </c>
      <c r="C2089" s="1" t="s">
        <v>925</v>
      </c>
      <c r="D2089">
        <v>3.875</v>
      </c>
      <c r="E2089" s="2">
        <v>48487</v>
      </c>
      <c r="F2089" s="1" t="s">
        <v>16</v>
      </c>
      <c r="G2089" s="1" t="s">
        <v>925</v>
      </c>
      <c r="H2089" s="1" t="s">
        <v>2</v>
      </c>
      <c r="I2089" s="2">
        <v>46177</v>
      </c>
      <c r="J2089" s="1" t="s">
        <v>224</v>
      </c>
      <c r="K2089" s="1" t="s">
        <v>5057</v>
      </c>
      <c r="L2089" s="2">
        <v>46177.918923611112</v>
      </c>
      <c r="M2089" s="2">
        <v>46177.921329212964</v>
      </c>
    </row>
    <row r="2090" spans="1:13" x14ac:dyDescent="0.35">
      <c r="A2090" s="1" t="s">
        <v>924</v>
      </c>
      <c r="B2090" s="1" t="s">
        <v>13</v>
      </c>
      <c r="C2090" s="1" t="s">
        <v>925</v>
      </c>
      <c r="D2090">
        <v>3.875</v>
      </c>
      <c r="E2090" s="2">
        <v>48487</v>
      </c>
      <c r="F2090" s="1" t="s">
        <v>16</v>
      </c>
      <c r="G2090" s="1" t="s">
        <v>925</v>
      </c>
      <c r="H2090" s="1" t="s">
        <v>2</v>
      </c>
      <c r="I2090" s="2">
        <v>46177</v>
      </c>
      <c r="J2090" s="1" t="s">
        <v>17</v>
      </c>
      <c r="K2090" s="1" t="s">
        <v>2977</v>
      </c>
      <c r="L2090" s="2">
        <v>46177.92087962963</v>
      </c>
      <c r="M2090" s="2">
        <v>46177.921329212964</v>
      </c>
    </row>
    <row r="2091" spans="1:13" x14ac:dyDescent="0.35">
      <c r="A2091" s="1" t="s">
        <v>924</v>
      </c>
      <c r="B2091" s="1" t="s">
        <v>13</v>
      </c>
      <c r="C2091" s="1" t="s">
        <v>925</v>
      </c>
      <c r="D2091">
        <v>3.875</v>
      </c>
      <c r="E2091" s="2">
        <v>48487</v>
      </c>
      <c r="F2091" s="1" t="s">
        <v>16</v>
      </c>
      <c r="G2091" s="1" t="s">
        <v>925</v>
      </c>
      <c r="H2091" s="1" t="s">
        <v>2</v>
      </c>
      <c r="I2091" s="2">
        <v>46177</v>
      </c>
      <c r="J2091" s="1" t="s">
        <v>214</v>
      </c>
      <c r="K2091" s="1" t="s">
        <v>5057</v>
      </c>
      <c r="L2091" s="2">
        <v>46177.918923611112</v>
      </c>
      <c r="M2091" s="2">
        <v>46177.921329212964</v>
      </c>
    </row>
    <row r="2092" spans="1:13" x14ac:dyDescent="0.35">
      <c r="A2092" s="1" t="s">
        <v>924</v>
      </c>
      <c r="B2092" s="1" t="s">
        <v>13</v>
      </c>
      <c r="C2092" s="1" t="s">
        <v>925</v>
      </c>
      <c r="D2092">
        <v>3.875</v>
      </c>
      <c r="E2092" s="2">
        <v>48487</v>
      </c>
      <c r="F2092" s="1" t="s">
        <v>16</v>
      </c>
      <c r="G2092" s="1" t="s">
        <v>925</v>
      </c>
      <c r="H2092" s="1" t="s">
        <v>2</v>
      </c>
      <c r="I2092" s="2">
        <v>46177</v>
      </c>
      <c r="J2092" s="1" t="s">
        <v>215</v>
      </c>
      <c r="K2092" s="1" t="s">
        <v>4996</v>
      </c>
      <c r="L2092" s="2">
        <v>46177.918923611112</v>
      </c>
      <c r="M2092" s="2">
        <v>46177.921329212964</v>
      </c>
    </row>
    <row r="2093" spans="1:13" x14ac:dyDescent="0.35">
      <c r="A2093" s="1" t="s">
        <v>924</v>
      </c>
      <c r="B2093" s="1" t="s">
        <v>13</v>
      </c>
      <c r="C2093" s="1" t="s">
        <v>925</v>
      </c>
      <c r="D2093">
        <v>3.875</v>
      </c>
      <c r="E2093" s="2">
        <v>48487</v>
      </c>
      <c r="F2093" s="1" t="s">
        <v>16</v>
      </c>
      <c r="G2093" s="1" t="s">
        <v>925</v>
      </c>
      <c r="H2093" s="1" t="s">
        <v>2</v>
      </c>
      <c r="I2093" s="2">
        <v>46177</v>
      </c>
      <c r="J2093" s="1" t="s">
        <v>67</v>
      </c>
      <c r="K2093" s="1" t="s">
        <v>4996</v>
      </c>
      <c r="L2093" s="2">
        <v>46177.918923611112</v>
      </c>
      <c r="M2093" s="2">
        <v>46177.921329212964</v>
      </c>
    </row>
    <row r="2094" spans="1:13" x14ac:dyDescent="0.35">
      <c r="A2094" s="1" t="s">
        <v>926</v>
      </c>
      <c r="B2094" s="1" t="s">
        <v>13</v>
      </c>
      <c r="C2094" s="1" t="s">
        <v>927</v>
      </c>
      <c r="D2094">
        <v>3.625</v>
      </c>
      <c r="E2094" s="2">
        <v>47756</v>
      </c>
      <c r="F2094" s="1" t="s">
        <v>16</v>
      </c>
      <c r="G2094" s="1" t="s">
        <v>927</v>
      </c>
      <c r="H2094" s="1" t="s">
        <v>2</v>
      </c>
      <c r="I2094" s="2">
        <v>46177</v>
      </c>
      <c r="J2094" s="1" t="s">
        <v>17</v>
      </c>
      <c r="K2094" s="1" t="s">
        <v>2447</v>
      </c>
      <c r="L2094" s="2">
        <v>46177.92087962963</v>
      </c>
      <c r="M2094" s="2">
        <v>46177.921329212964</v>
      </c>
    </row>
    <row r="2095" spans="1:13" x14ac:dyDescent="0.35">
      <c r="A2095" s="1" t="s">
        <v>926</v>
      </c>
      <c r="B2095" s="1" t="s">
        <v>13</v>
      </c>
      <c r="C2095" s="1" t="s">
        <v>927</v>
      </c>
      <c r="D2095">
        <v>3.625</v>
      </c>
      <c r="E2095" s="2">
        <v>47756</v>
      </c>
      <c r="F2095" s="1" t="s">
        <v>16</v>
      </c>
      <c r="G2095" s="1" t="s">
        <v>927</v>
      </c>
      <c r="H2095" s="1" t="s">
        <v>2</v>
      </c>
      <c r="I2095" s="2">
        <v>46177</v>
      </c>
      <c r="J2095" s="1" t="s">
        <v>18</v>
      </c>
      <c r="K2095" s="1" t="s">
        <v>2467</v>
      </c>
      <c r="L2095" s="2">
        <v>46177.92087962963</v>
      </c>
      <c r="M2095" s="2">
        <v>46177.921329212964</v>
      </c>
    </row>
    <row r="2096" spans="1:13" x14ac:dyDescent="0.35">
      <c r="A2096" s="1" t="s">
        <v>926</v>
      </c>
      <c r="B2096" s="1" t="s">
        <v>13</v>
      </c>
      <c r="C2096" s="1" t="s">
        <v>927</v>
      </c>
      <c r="D2096">
        <v>3.625</v>
      </c>
      <c r="E2096" s="2">
        <v>47756</v>
      </c>
      <c r="F2096" s="1" t="s">
        <v>16</v>
      </c>
      <c r="G2096" s="1" t="s">
        <v>927</v>
      </c>
      <c r="H2096" s="1" t="s">
        <v>2</v>
      </c>
      <c r="I2096" s="2">
        <v>46177</v>
      </c>
      <c r="J2096" s="1" t="s">
        <v>67</v>
      </c>
      <c r="K2096" s="1" t="s">
        <v>5058</v>
      </c>
      <c r="L2096" s="2">
        <v>46177.918923611112</v>
      </c>
      <c r="M2096" s="2">
        <v>46177.921329212964</v>
      </c>
    </row>
    <row r="2097" spans="1:13" x14ac:dyDescent="0.35">
      <c r="A2097" s="1" t="s">
        <v>926</v>
      </c>
      <c r="B2097" s="1" t="s">
        <v>13</v>
      </c>
      <c r="C2097" s="1" t="s">
        <v>927</v>
      </c>
      <c r="D2097">
        <v>3.625</v>
      </c>
      <c r="E2097" s="2">
        <v>47756</v>
      </c>
      <c r="F2097" s="1" t="s">
        <v>16</v>
      </c>
      <c r="G2097" s="1" t="s">
        <v>927</v>
      </c>
      <c r="H2097" s="1" t="s">
        <v>2</v>
      </c>
      <c r="I2097" s="2">
        <v>46177</v>
      </c>
      <c r="J2097" s="1" t="s">
        <v>224</v>
      </c>
      <c r="K2097" s="1" t="s">
        <v>4997</v>
      </c>
      <c r="L2097" s="2">
        <v>46177.918923611112</v>
      </c>
      <c r="M2097" s="2">
        <v>46177.921329212964</v>
      </c>
    </row>
    <row r="2098" spans="1:13" x14ac:dyDescent="0.35">
      <c r="A2098" s="1" t="s">
        <v>926</v>
      </c>
      <c r="B2098" s="1" t="s">
        <v>13</v>
      </c>
      <c r="C2098" s="1" t="s">
        <v>927</v>
      </c>
      <c r="D2098">
        <v>3.625</v>
      </c>
      <c r="E2098" s="2">
        <v>47756</v>
      </c>
      <c r="F2098" s="1" t="s">
        <v>16</v>
      </c>
      <c r="G2098" s="1" t="s">
        <v>927</v>
      </c>
      <c r="H2098" s="1" t="s">
        <v>2</v>
      </c>
      <c r="I2098" s="2">
        <v>46177</v>
      </c>
      <c r="J2098" s="1" t="s">
        <v>214</v>
      </c>
      <c r="K2098" s="1" t="s">
        <v>4997</v>
      </c>
      <c r="L2098" s="2">
        <v>46177.918923611112</v>
      </c>
      <c r="M2098" s="2">
        <v>46177.921329212964</v>
      </c>
    </row>
    <row r="2099" spans="1:13" x14ac:dyDescent="0.35">
      <c r="A2099" s="1" t="s">
        <v>926</v>
      </c>
      <c r="B2099" s="1" t="s">
        <v>13</v>
      </c>
      <c r="C2099" s="1" t="s">
        <v>927</v>
      </c>
      <c r="D2099">
        <v>3.625</v>
      </c>
      <c r="E2099" s="2">
        <v>47756</v>
      </c>
      <c r="F2099" s="1" t="s">
        <v>16</v>
      </c>
      <c r="G2099" s="1" t="s">
        <v>927</v>
      </c>
      <c r="H2099" s="1" t="s">
        <v>2</v>
      </c>
      <c r="I2099" s="2">
        <v>46177</v>
      </c>
      <c r="J2099" s="1" t="s">
        <v>215</v>
      </c>
      <c r="K2099" s="1" t="s">
        <v>5058</v>
      </c>
      <c r="L2099" s="2">
        <v>46177.918923611112</v>
      </c>
      <c r="M2099" s="2">
        <v>46177.921329212964</v>
      </c>
    </row>
    <row r="2100" spans="1:13" x14ac:dyDescent="0.35">
      <c r="A2100" s="1" t="s">
        <v>928</v>
      </c>
      <c r="B2100" s="1" t="s">
        <v>13</v>
      </c>
      <c r="C2100" s="1" t="s">
        <v>929</v>
      </c>
      <c r="D2100">
        <v>3.5</v>
      </c>
      <c r="E2100" s="2">
        <v>46660</v>
      </c>
      <c r="F2100" s="1" t="s">
        <v>16</v>
      </c>
      <c r="G2100" s="1" t="s">
        <v>929</v>
      </c>
      <c r="H2100" s="1" t="s">
        <v>2</v>
      </c>
      <c r="I2100" s="2">
        <v>46177</v>
      </c>
      <c r="J2100" s="1" t="s">
        <v>17</v>
      </c>
      <c r="K2100" s="1" t="s">
        <v>2516</v>
      </c>
      <c r="L2100" s="2">
        <v>46177.92087962963</v>
      </c>
      <c r="M2100" s="2">
        <v>46177.921329212964</v>
      </c>
    </row>
    <row r="2101" spans="1:13" x14ac:dyDescent="0.35">
      <c r="A2101" s="1" t="s">
        <v>928</v>
      </c>
      <c r="B2101" s="1" t="s">
        <v>13</v>
      </c>
      <c r="C2101" s="1" t="s">
        <v>929</v>
      </c>
      <c r="D2101">
        <v>3.5</v>
      </c>
      <c r="E2101" s="2">
        <v>46660</v>
      </c>
      <c r="F2101" s="1" t="s">
        <v>16</v>
      </c>
      <c r="G2101" s="1" t="s">
        <v>929</v>
      </c>
      <c r="H2101" s="1" t="s">
        <v>2</v>
      </c>
      <c r="I2101" s="2">
        <v>46177</v>
      </c>
      <c r="J2101" s="1" t="s">
        <v>18</v>
      </c>
      <c r="K2101" s="1" t="s">
        <v>2498</v>
      </c>
      <c r="L2101" s="2">
        <v>46177.92087962963</v>
      </c>
      <c r="M2101" s="2">
        <v>46177.921329212964</v>
      </c>
    </row>
    <row r="2102" spans="1:13" x14ac:dyDescent="0.35">
      <c r="A2102" s="1" t="s">
        <v>928</v>
      </c>
      <c r="B2102" s="1" t="s">
        <v>13</v>
      </c>
      <c r="C2102" s="1" t="s">
        <v>929</v>
      </c>
      <c r="D2102">
        <v>3.5</v>
      </c>
      <c r="E2102" s="2">
        <v>46660</v>
      </c>
      <c r="F2102" s="1" t="s">
        <v>16</v>
      </c>
      <c r="G2102" s="1" t="s">
        <v>929</v>
      </c>
      <c r="H2102" s="1" t="s">
        <v>2</v>
      </c>
      <c r="I2102" s="2">
        <v>46177</v>
      </c>
      <c r="J2102" s="1" t="s">
        <v>214</v>
      </c>
      <c r="K2102" s="1" t="s">
        <v>5024</v>
      </c>
      <c r="L2102" s="2">
        <v>46177.918923611112</v>
      </c>
      <c r="M2102" s="2">
        <v>46177.921329212964</v>
      </c>
    </row>
    <row r="2103" spans="1:13" x14ac:dyDescent="0.35">
      <c r="A2103" s="1" t="s">
        <v>928</v>
      </c>
      <c r="B2103" s="1" t="s">
        <v>13</v>
      </c>
      <c r="C2103" s="1" t="s">
        <v>929</v>
      </c>
      <c r="D2103">
        <v>3.5</v>
      </c>
      <c r="E2103" s="2">
        <v>46660</v>
      </c>
      <c r="F2103" s="1" t="s">
        <v>16</v>
      </c>
      <c r="G2103" s="1" t="s">
        <v>929</v>
      </c>
      <c r="H2103" s="1" t="s">
        <v>2</v>
      </c>
      <c r="I2103" s="2">
        <v>46177</v>
      </c>
      <c r="J2103" s="1" t="s">
        <v>215</v>
      </c>
      <c r="K2103" s="1" t="s">
        <v>5171</v>
      </c>
      <c r="L2103" s="2">
        <v>46177.918923611112</v>
      </c>
      <c r="M2103" s="2">
        <v>46177.921329212964</v>
      </c>
    </row>
    <row r="2104" spans="1:13" x14ac:dyDescent="0.35">
      <c r="A2104" s="1" t="s">
        <v>928</v>
      </c>
      <c r="B2104" s="1" t="s">
        <v>13</v>
      </c>
      <c r="C2104" s="1" t="s">
        <v>929</v>
      </c>
      <c r="D2104">
        <v>3.5</v>
      </c>
      <c r="E2104" s="2">
        <v>46660</v>
      </c>
      <c r="F2104" s="1" t="s">
        <v>16</v>
      </c>
      <c r="G2104" s="1" t="s">
        <v>929</v>
      </c>
      <c r="H2104" s="1" t="s">
        <v>2</v>
      </c>
      <c r="I2104" s="2">
        <v>46177</v>
      </c>
      <c r="J2104" s="1" t="s">
        <v>67</v>
      </c>
      <c r="K2104" s="1" t="s">
        <v>5171</v>
      </c>
      <c r="L2104" s="2">
        <v>46177.918923611112</v>
      </c>
      <c r="M2104" s="2">
        <v>46177.921329212964</v>
      </c>
    </row>
    <row r="2105" spans="1:13" x14ac:dyDescent="0.35">
      <c r="A2105" s="1" t="s">
        <v>928</v>
      </c>
      <c r="B2105" s="1" t="s">
        <v>13</v>
      </c>
      <c r="C2105" s="1" t="s">
        <v>929</v>
      </c>
      <c r="D2105">
        <v>3.5</v>
      </c>
      <c r="E2105" s="2">
        <v>46660</v>
      </c>
      <c r="F2105" s="1" t="s">
        <v>16</v>
      </c>
      <c r="G2105" s="1" t="s">
        <v>929</v>
      </c>
      <c r="H2105" s="1" t="s">
        <v>2</v>
      </c>
      <c r="I2105" s="2">
        <v>46177</v>
      </c>
      <c r="J2105" s="1" t="s">
        <v>224</v>
      </c>
      <c r="K2105" s="1" t="s">
        <v>5024</v>
      </c>
      <c r="L2105" s="2">
        <v>46177.918923611112</v>
      </c>
      <c r="M2105" s="2">
        <v>46177.921329212964</v>
      </c>
    </row>
    <row r="2106" spans="1:13" x14ac:dyDescent="0.35">
      <c r="A2106" s="1" t="s">
        <v>930</v>
      </c>
      <c r="B2106" s="1" t="s">
        <v>13</v>
      </c>
      <c r="C2106" s="1" t="s">
        <v>931</v>
      </c>
      <c r="D2106">
        <v>3.5</v>
      </c>
      <c r="E2106" s="2">
        <v>47041</v>
      </c>
      <c r="F2106" s="1" t="s">
        <v>16</v>
      </c>
      <c r="G2106" s="1" t="s">
        <v>931</v>
      </c>
      <c r="H2106" s="1" t="s">
        <v>2</v>
      </c>
      <c r="I2106" s="2">
        <v>46177</v>
      </c>
      <c r="J2106" s="1" t="s">
        <v>18</v>
      </c>
      <c r="K2106" s="1" t="s">
        <v>2536</v>
      </c>
      <c r="L2106" s="2">
        <v>46177.92087962963</v>
      </c>
      <c r="M2106" s="2">
        <v>46177.921329212964</v>
      </c>
    </row>
    <row r="2107" spans="1:13" x14ac:dyDescent="0.35">
      <c r="A2107" s="1" t="s">
        <v>930</v>
      </c>
      <c r="B2107" s="1" t="s">
        <v>13</v>
      </c>
      <c r="C2107" s="1" t="s">
        <v>931</v>
      </c>
      <c r="D2107">
        <v>3.5</v>
      </c>
      <c r="E2107" s="2">
        <v>47041</v>
      </c>
      <c r="F2107" s="1" t="s">
        <v>16</v>
      </c>
      <c r="G2107" s="1" t="s">
        <v>931</v>
      </c>
      <c r="H2107" s="1" t="s">
        <v>2</v>
      </c>
      <c r="I2107" s="2">
        <v>46177</v>
      </c>
      <c r="J2107" s="1" t="s">
        <v>67</v>
      </c>
      <c r="K2107" s="1" t="s">
        <v>5059</v>
      </c>
      <c r="L2107" s="2">
        <v>46177.918923611112</v>
      </c>
      <c r="M2107" s="2">
        <v>46177.921329212964</v>
      </c>
    </row>
    <row r="2108" spans="1:13" x14ac:dyDescent="0.35">
      <c r="A2108" s="1" t="s">
        <v>930</v>
      </c>
      <c r="B2108" s="1" t="s">
        <v>13</v>
      </c>
      <c r="C2108" s="1" t="s">
        <v>931</v>
      </c>
      <c r="D2108">
        <v>3.5</v>
      </c>
      <c r="E2108" s="2">
        <v>47041</v>
      </c>
      <c r="F2108" s="1" t="s">
        <v>16</v>
      </c>
      <c r="G2108" s="1" t="s">
        <v>931</v>
      </c>
      <c r="H2108" s="1" t="s">
        <v>2</v>
      </c>
      <c r="I2108" s="2">
        <v>46177</v>
      </c>
      <c r="J2108" s="1" t="s">
        <v>215</v>
      </c>
      <c r="K2108" s="1" t="s">
        <v>5059</v>
      </c>
      <c r="L2108" s="2">
        <v>46177.918923611112</v>
      </c>
      <c r="M2108" s="2">
        <v>46177.921329212964</v>
      </c>
    </row>
    <row r="2109" spans="1:13" x14ac:dyDescent="0.35">
      <c r="A2109" s="1" t="s">
        <v>930</v>
      </c>
      <c r="B2109" s="1" t="s">
        <v>13</v>
      </c>
      <c r="C2109" s="1" t="s">
        <v>931</v>
      </c>
      <c r="D2109">
        <v>3.5</v>
      </c>
      <c r="E2109" s="2">
        <v>47041</v>
      </c>
      <c r="F2109" s="1" t="s">
        <v>16</v>
      </c>
      <c r="G2109" s="1" t="s">
        <v>931</v>
      </c>
      <c r="H2109" s="1" t="s">
        <v>2</v>
      </c>
      <c r="I2109" s="2">
        <v>46177</v>
      </c>
      <c r="J2109" s="1" t="s">
        <v>17</v>
      </c>
      <c r="K2109" s="1" t="s">
        <v>2455</v>
      </c>
      <c r="L2109" s="2">
        <v>46177.92087962963</v>
      </c>
      <c r="M2109" s="2">
        <v>46177.921329212964</v>
      </c>
    </row>
    <row r="2110" spans="1:13" x14ac:dyDescent="0.35">
      <c r="A2110" s="1" t="s">
        <v>930</v>
      </c>
      <c r="B2110" s="1" t="s">
        <v>13</v>
      </c>
      <c r="C2110" s="1" t="s">
        <v>931</v>
      </c>
      <c r="D2110">
        <v>3.5</v>
      </c>
      <c r="E2110" s="2">
        <v>47041</v>
      </c>
      <c r="F2110" s="1" t="s">
        <v>16</v>
      </c>
      <c r="G2110" s="1" t="s">
        <v>931</v>
      </c>
      <c r="H2110" s="1" t="s">
        <v>2</v>
      </c>
      <c r="I2110" s="2">
        <v>46177</v>
      </c>
      <c r="J2110" s="1" t="s">
        <v>224</v>
      </c>
      <c r="K2110" s="1" t="s">
        <v>5112</v>
      </c>
      <c r="L2110" s="2">
        <v>46177.918923611112</v>
      </c>
      <c r="M2110" s="2">
        <v>46177.921329212964</v>
      </c>
    </row>
    <row r="2111" spans="1:13" x14ac:dyDescent="0.35">
      <c r="A2111" s="1" t="s">
        <v>930</v>
      </c>
      <c r="B2111" s="1" t="s">
        <v>13</v>
      </c>
      <c r="C2111" s="1" t="s">
        <v>931</v>
      </c>
      <c r="D2111">
        <v>3.5</v>
      </c>
      <c r="E2111" s="2">
        <v>47041</v>
      </c>
      <c r="F2111" s="1" t="s">
        <v>16</v>
      </c>
      <c r="G2111" s="1" t="s">
        <v>931</v>
      </c>
      <c r="H2111" s="1" t="s">
        <v>2</v>
      </c>
      <c r="I2111" s="2">
        <v>46177</v>
      </c>
      <c r="J2111" s="1" t="s">
        <v>214</v>
      </c>
      <c r="K2111" s="1" t="s">
        <v>5112</v>
      </c>
      <c r="L2111" s="2">
        <v>46177.918923611112</v>
      </c>
      <c r="M2111" s="2">
        <v>46177.921329212964</v>
      </c>
    </row>
    <row r="2112" spans="1:13" x14ac:dyDescent="0.35">
      <c r="A2112" s="1" t="s">
        <v>1030</v>
      </c>
      <c r="B2112" s="1" t="s">
        <v>13</v>
      </c>
      <c r="C2112" s="1" t="s">
        <v>1031</v>
      </c>
      <c r="D2112">
        <v>3.625</v>
      </c>
      <c r="E2112" s="2">
        <v>47787</v>
      </c>
      <c r="F2112" s="1" t="s">
        <v>16</v>
      </c>
      <c r="G2112" s="1" t="s">
        <v>1031</v>
      </c>
      <c r="H2112" s="1" t="s">
        <v>2</v>
      </c>
      <c r="I2112" s="2">
        <v>46177</v>
      </c>
      <c r="J2112" s="1" t="s">
        <v>17</v>
      </c>
      <c r="K2112" s="1" t="s">
        <v>2992</v>
      </c>
      <c r="L2112" s="2">
        <v>46177.92087962963</v>
      </c>
      <c r="M2112" s="2">
        <v>46177.921329212964</v>
      </c>
    </row>
    <row r="2113" spans="1:13" x14ac:dyDescent="0.35">
      <c r="A2113" s="1" t="s">
        <v>1030</v>
      </c>
      <c r="B2113" s="1" t="s">
        <v>13</v>
      </c>
      <c r="C2113" s="1" t="s">
        <v>1031</v>
      </c>
      <c r="D2113">
        <v>3.625</v>
      </c>
      <c r="E2113" s="2">
        <v>47787</v>
      </c>
      <c r="F2113" s="1" t="s">
        <v>16</v>
      </c>
      <c r="G2113" s="1" t="s">
        <v>1031</v>
      </c>
      <c r="H2113" s="1" t="s">
        <v>2</v>
      </c>
      <c r="I2113" s="2">
        <v>46177</v>
      </c>
      <c r="J2113" s="1" t="s">
        <v>215</v>
      </c>
      <c r="K2113" s="1" t="s">
        <v>5060</v>
      </c>
      <c r="L2113" s="2">
        <v>46177.918923611112</v>
      </c>
      <c r="M2113" s="2">
        <v>46177.921329212964</v>
      </c>
    </row>
    <row r="2114" spans="1:13" x14ac:dyDescent="0.35">
      <c r="A2114" s="1" t="s">
        <v>1030</v>
      </c>
      <c r="B2114" s="1" t="s">
        <v>13</v>
      </c>
      <c r="C2114" s="1" t="s">
        <v>1031</v>
      </c>
      <c r="D2114">
        <v>3.625</v>
      </c>
      <c r="E2114" s="2">
        <v>47787</v>
      </c>
      <c r="F2114" s="1" t="s">
        <v>16</v>
      </c>
      <c r="G2114" s="1" t="s">
        <v>1031</v>
      </c>
      <c r="H2114" s="1" t="s">
        <v>2</v>
      </c>
      <c r="I2114" s="2">
        <v>46177</v>
      </c>
      <c r="J2114" s="1" t="s">
        <v>18</v>
      </c>
      <c r="K2114" s="1" t="s">
        <v>2609</v>
      </c>
      <c r="L2114" s="2">
        <v>46177.92087962963</v>
      </c>
      <c r="M2114" s="2">
        <v>46177.921329212964</v>
      </c>
    </row>
    <row r="2115" spans="1:13" x14ac:dyDescent="0.35">
      <c r="A2115" s="1" t="s">
        <v>1030</v>
      </c>
      <c r="B2115" s="1" t="s">
        <v>13</v>
      </c>
      <c r="C2115" s="1" t="s">
        <v>1031</v>
      </c>
      <c r="D2115">
        <v>3.625</v>
      </c>
      <c r="E2115" s="2">
        <v>47787</v>
      </c>
      <c r="F2115" s="1" t="s">
        <v>16</v>
      </c>
      <c r="G2115" s="1" t="s">
        <v>1031</v>
      </c>
      <c r="H2115" s="1" t="s">
        <v>2</v>
      </c>
      <c r="I2115" s="2">
        <v>46177</v>
      </c>
      <c r="J2115" s="1" t="s">
        <v>214</v>
      </c>
      <c r="K2115" s="1" t="s">
        <v>5113</v>
      </c>
      <c r="L2115" s="2">
        <v>46177.918923611112</v>
      </c>
      <c r="M2115" s="2">
        <v>46177.921329212964</v>
      </c>
    </row>
    <row r="2116" spans="1:13" x14ac:dyDescent="0.35">
      <c r="A2116" s="1" t="s">
        <v>1030</v>
      </c>
      <c r="B2116" s="1" t="s">
        <v>13</v>
      </c>
      <c r="C2116" s="1" t="s">
        <v>1031</v>
      </c>
      <c r="D2116">
        <v>3.625</v>
      </c>
      <c r="E2116" s="2">
        <v>47787</v>
      </c>
      <c r="F2116" s="1" t="s">
        <v>16</v>
      </c>
      <c r="G2116" s="1" t="s">
        <v>1031</v>
      </c>
      <c r="H2116" s="1" t="s">
        <v>2</v>
      </c>
      <c r="I2116" s="2">
        <v>46177</v>
      </c>
      <c r="J2116" s="1" t="s">
        <v>67</v>
      </c>
      <c r="K2116" s="1" t="s">
        <v>5060</v>
      </c>
      <c r="L2116" s="2">
        <v>46177.918923611112</v>
      </c>
      <c r="M2116" s="2">
        <v>46177.921329212964</v>
      </c>
    </row>
    <row r="2117" spans="1:13" x14ac:dyDescent="0.35">
      <c r="A2117" s="1" t="s">
        <v>1030</v>
      </c>
      <c r="B2117" s="1" t="s">
        <v>13</v>
      </c>
      <c r="C2117" s="1" t="s">
        <v>1031</v>
      </c>
      <c r="D2117">
        <v>3.625</v>
      </c>
      <c r="E2117" s="2">
        <v>47787</v>
      </c>
      <c r="F2117" s="1" t="s">
        <v>16</v>
      </c>
      <c r="G2117" s="1" t="s">
        <v>1031</v>
      </c>
      <c r="H2117" s="1" t="s">
        <v>2</v>
      </c>
      <c r="I2117" s="2">
        <v>46177</v>
      </c>
      <c r="J2117" s="1" t="s">
        <v>224</v>
      </c>
      <c r="K2117" s="1" t="s">
        <v>5113</v>
      </c>
      <c r="L2117" s="2">
        <v>46177.918923611112</v>
      </c>
      <c r="M2117" s="2">
        <v>46177.921329212964</v>
      </c>
    </row>
    <row r="2118" spans="1:13" x14ac:dyDescent="0.35">
      <c r="A2118" s="1" t="s">
        <v>940</v>
      </c>
      <c r="B2118" s="1" t="s">
        <v>13</v>
      </c>
      <c r="C2118" s="1" t="s">
        <v>941</v>
      </c>
      <c r="D2118">
        <v>3.5</v>
      </c>
      <c r="E2118" s="2">
        <v>46691</v>
      </c>
      <c r="F2118" s="1" t="s">
        <v>16</v>
      </c>
      <c r="G2118" s="1" t="s">
        <v>941</v>
      </c>
      <c r="H2118" s="1" t="s">
        <v>2</v>
      </c>
      <c r="I2118" s="2">
        <v>46177</v>
      </c>
      <c r="J2118" s="1" t="s">
        <v>214</v>
      </c>
      <c r="K2118" s="1" t="s">
        <v>5172</v>
      </c>
      <c r="L2118" s="2">
        <v>46177.918923611112</v>
      </c>
      <c r="M2118" s="2">
        <v>46177.921329212964</v>
      </c>
    </row>
    <row r="2119" spans="1:13" x14ac:dyDescent="0.35">
      <c r="A2119" s="1" t="s">
        <v>940</v>
      </c>
      <c r="B2119" s="1" t="s">
        <v>13</v>
      </c>
      <c r="C2119" s="1" t="s">
        <v>941</v>
      </c>
      <c r="D2119">
        <v>3.5</v>
      </c>
      <c r="E2119" s="2">
        <v>46691</v>
      </c>
      <c r="F2119" s="1" t="s">
        <v>16</v>
      </c>
      <c r="G2119" s="1" t="s">
        <v>941</v>
      </c>
      <c r="H2119" s="1" t="s">
        <v>2</v>
      </c>
      <c r="I2119" s="2">
        <v>46177</v>
      </c>
      <c r="J2119" s="1" t="s">
        <v>18</v>
      </c>
      <c r="K2119" s="1" t="s">
        <v>2438</v>
      </c>
      <c r="L2119" s="2">
        <v>46177.92087962963</v>
      </c>
      <c r="M2119" s="2">
        <v>46177.921329212964</v>
      </c>
    </row>
    <row r="2120" spans="1:13" x14ac:dyDescent="0.35">
      <c r="A2120" s="1" t="s">
        <v>940</v>
      </c>
      <c r="B2120" s="1" t="s">
        <v>13</v>
      </c>
      <c r="C2120" s="1" t="s">
        <v>941</v>
      </c>
      <c r="D2120">
        <v>3.5</v>
      </c>
      <c r="E2120" s="2">
        <v>46691</v>
      </c>
      <c r="F2120" s="1" t="s">
        <v>16</v>
      </c>
      <c r="G2120" s="1" t="s">
        <v>941</v>
      </c>
      <c r="H2120" s="1" t="s">
        <v>2</v>
      </c>
      <c r="I2120" s="2">
        <v>46177</v>
      </c>
      <c r="J2120" s="1" t="s">
        <v>215</v>
      </c>
      <c r="K2120" s="1" t="s">
        <v>5243</v>
      </c>
      <c r="L2120" s="2">
        <v>46177.918923611112</v>
      </c>
      <c r="M2120" s="2">
        <v>46177.921329212964</v>
      </c>
    </row>
    <row r="2121" spans="1:13" x14ac:dyDescent="0.35">
      <c r="A2121" s="1" t="s">
        <v>940</v>
      </c>
      <c r="B2121" s="1" t="s">
        <v>13</v>
      </c>
      <c r="C2121" s="1" t="s">
        <v>941</v>
      </c>
      <c r="D2121">
        <v>3.5</v>
      </c>
      <c r="E2121" s="2">
        <v>46691</v>
      </c>
      <c r="F2121" s="1" t="s">
        <v>16</v>
      </c>
      <c r="G2121" s="1" t="s">
        <v>941</v>
      </c>
      <c r="H2121" s="1" t="s">
        <v>2</v>
      </c>
      <c r="I2121" s="2">
        <v>46177</v>
      </c>
      <c r="J2121" s="1" t="s">
        <v>17</v>
      </c>
      <c r="K2121" s="1" t="s">
        <v>2689</v>
      </c>
      <c r="L2121" s="2">
        <v>46177.92087962963</v>
      </c>
      <c r="M2121" s="2">
        <v>46177.921329212964</v>
      </c>
    </row>
    <row r="2122" spans="1:13" x14ac:dyDescent="0.35">
      <c r="A2122" s="1" t="s">
        <v>940</v>
      </c>
      <c r="B2122" s="1" t="s">
        <v>13</v>
      </c>
      <c r="C2122" s="1" t="s">
        <v>941</v>
      </c>
      <c r="D2122">
        <v>3.5</v>
      </c>
      <c r="E2122" s="2">
        <v>46691</v>
      </c>
      <c r="F2122" s="1" t="s">
        <v>16</v>
      </c>
      <c r="G2122" s="1" t="s">
        <v>941</v>
      </c>
      <c r="H2122" s="1" t="s">
        <v>2</v>
      </c>
      <c r="I2122" s="2">
        <v>46177</v>
      </c>
      <c r="J2122" s="1" t="s">
        <v>67</v>
      </c>
      <c r="K2122" s="1" t="s">
        <v>5243</v>
      </c>
      <c r="L2122" s="2">
        <v>46177.918923611112</v>
      </c>
      <c r="M2122" s="2">
        <v>46177.921329212964</v>
      </c>
    </row>
    <row r="2123" spans="1:13" x14ac:dyDescent="0.35">
      <c r="A2123" s="1" t="s">
        <v>940</v>
      </c>
      <c r="B2123" s="1" t="s">
        <v>13</v>
      </c>
      <c r="C2123" s="1" t="s">
        <v>941</v>
      </c>
      <c r="D2123">
        <v>3.5</v>
      </c>
      <c r="E2123" s="2">
        <v>46691</v>
      </c>
      <c r="F2123" s="1" t="s">
        <v>16</v>
      </c>
      <c r="G2123" s="1" t="s">
        <v>941</v>
      </c>
      <c r="H2123" s="1" t="s">
        <v>2</v>
      </c>
      <c r="I2123" s="2">
        <v>46177</v>
      </c>
      <c r="J2123" s="1" t="s">
        <v>224</v>
      </c>
      <c r="K2123" s="1" t="s">
        <v>5172</v>
      </c>
      <c r="L2123" s="2">
        <v>46177.918923611112</v>
      </c>
      <c r="M2123" s="2">
        <v>46177.921329212964</v>
      </c>
    </row>
    <row r="2124" spans="1:13" x14ac:dyDescent="0.35">
      <c r="A2124" s="1" t="s">
        <v>942</v>
      </c>
      <c r="B2124" s="1" t="s">
        <v>13</v>
      </c>
      <c r="C2124" s="1" t="s">
        <v>943</v>
      </c>
      <c r="D2124">
        <v>3.75</v>
      </c>
      <c r="E2124" s="2">
        <v>48518</v>
      </c>
      <c r="F2124" s="1" t="s">
        <v>16</v>
      </c>
      <c r="G2124" s="1" t="s">
        <v>943</v>
      </c>
      <c r="H2124" s="1" t="s">
        <v>2</v>
      </c>
      <c r="I2124" s="2">
        <v>46177</v>
      </c>
      <c r="J2124" s="1" t="s">
        <v>224</v>
      </c>
      <c r="K2124" s="1" t="s">
        <v>4998</v>
      </c>
      <c r="L2124" s="2">
        <v>46177.918923611112</v>
      </c>
      <c r="M2124" s="2">
        <v>46177.921329212964</v>
      </c>
    </row>
    <row r="2125" spans="1:13" x14ac:dyDescent="0.35">
      <c r="A2125" s="1" t="s">
        <v>942</v>
      </c>
      <c r="B2125" s="1" t="s">
        <v>13</v>
      </c>
      <c r="C2125" s="1" t="s">
        <v>943</v>
      </c>
      <c r="D2125">
        <v>3.75</v>
      </c>
      <c r="E2125" s="2">
        <v>48518</v>
      </c>
      <c r="F2125" s="1" t="s">
        <v>16</v>
      </c>
      <c r="G2125" s="1" t="s">
        <v>943</v>
      </c>
      <c r="H2125" s="1" t="s">
        <v>2</v>
      </c>
      <c r="I2125" s="2">
        <v>46177</v>
      </c>
      <c r="J2125" s="1" t="s">
        <v>214</v>
      </c>
      <c r="K2125" s="1" t="s">
        <v>4998</v>
      </c>
      <c r="L2125" s="2">
        <v>46177.918923611112</v>
      </c>
      <c r="M2125" s="2">
        <v>46177.921329212964</v>
      </c>
    </row>
    <row r="2126" spans="1:13" x14ac:dyDescent="0.35">
      <c r="A2126" s="1" t="s">
        <v>942</v>
      </c>
      <c r="B2126" s="1" t="s">
        <v>13</v>
      </c>
      <c r="C2126" s="1" t="s">
        <v>943</v>
      </c>
      <c r="D2126">
        <v>3.75</v>
      </c>
      <c r="E2126" s="2">
        <v>48518</v>
      </c>
      <c r="F2126" s="1" t="s">
        <v>16</v>
      </c>
      <c r="G2126" s="1" t="s">
        <v>943</v>
      </c>
      <c r="H2126" s="1" t="s">
        <v>2</v>
      </c>
      <c r="I2126" s="2">
        <v>46177</v>
      </c>
      <c r="J2126" s="1" t="s">
        <v>67</v>
      </c>
      <c r="K2126" s="1" t="s">
        <v>4999</v>
      </c>
      <c r="L2126" s="2">
        <v>46177.918923611112</v>
      </c>
      <c r="M2126" s="2">
        <v>46177.921329212964</v>
      </c>
    </row>
    <row r="2127" spans="1:13" x14ac:dyDescent="0.35">
      <c r="A2127" s="1" t="s">
        <v>942</v>
      </c>
      <c r="B2127" s="1" t="s">
        <v>13</v>
      </c>
      <c r="C2127" s="1" t="s">
        <v>943</v>
      </c>
      <c r="D2127">
        <v>3.75</v>
      </c>
      <c r="E2127" s="2">
        <v>48518</v>
      </c>
      <c r="F2127" s="1" t="s">
        <v>16</v>
      </c>
      <c r="G2127" s="1" t="s">
        <v>943</v>
      </c>
      <c r="H2127" s="1" t="s">
        <v>2</v>
      </c>
      <c r="I2127" s="2">
        <v>46177</v>
      </c>
      <c r="J2127" s="1" t="s">
        <v>215</v>
      </c>
      <c r="K2127" s="1" t="s">
        <v>4999</v>
      </c>
      <c r="L2127" s="2">
        <v>46177.918923611112</v>
      </c>
      <c r="M2127" s="2">
        <v>46177.921329212964</v>
      </c>
    </row>
    <row r="2128" spans="1:13" x14ac:dyDescent="0.35">
      <c r="A2128" s="1" t="s">
        <v>942</v>
      </c>
      <c r="B2128" s="1" t="s">
        <v>13</v>
      </c>
      <c r="C2128" s="1" t="s">
        <v>943</v>
      </c>
      <c r="D2128">
        <v>3.75</v>
      </c>
      <c r="E2128" s="2">
        <v>48518</v>
      </c>
      <c r="F2128" s="1" t="s">
        <v>16</v>
      </c>
      <c r="G2128" s="1" t="s">
        <v>943</v>
      </c>
      <c r="H2128" s="1" t="s">
        <v>2</v>
      </c>
      <c r="I2128" s="2">
        <v>46177</v>
      </c>
      <c r="J2128" s="1" t="s">
        <v>18</v>
      </c>
      <c r="K2128" s="1" t="s">
        <v>2933</v>
      </c>
      <c r="L2128" s="2">
        <v>46177.92087962963</v>
      </c>
      <c r="M2128" s="2">
        <v>46177.921329212964</v>
      </c>
    </row>
    <row r="2129" spans="1:13" x14ac:dyDescent="0.35">
      <c r="A2129" s="1" t="s">
        <v>942</v>
      </c>
      <c r="B2129" s="1" t="s">
        <v>13</v>
      </c>
      <c r="C2129" s="1" t="s">
        <v>943</v>
      </c>
      <c r="D2129">
        <v>3.75</v>
      </c>
      <c r="E2129" s="2">
        <v>48518</v>
      </c>
      <c r="F2129" s="1" t="s">
        <v>16</v>
      </c>
      <c r="G2129" s="1" t="s">
        <v>943</v>
      </c>
      <c r="H2129" s="1" t="s">
        <v>2</v>
      </c>
      <c r="I2129" s="2">
        <v>46177</v>
      </c>
      <c r="J2129" s="1" t="s">
        <v>17</v>
      </c>
      <c r="K2129" s="1" t="s">
        <v>2667</v>
      </c>
      <c r="L2129" s="2">
        <v>46177.92087962963</v>
      </c>
      <c r="M2129" s="2">
        <v>46177.921329212964</v>
      </c>
    </row>
    <row r="2130" spans="1:13" x14ac:dyDescent="0.35">
      <c r="A2130" s="1" t="s">
        <v>944</v>
      </c>
      <c r="B2130" s="1" t="s">
        <v>13</v>
      </c>
      <c r="C2130" s="1" t="s">
        <v>945</v>
      </c>
      <c r="D2130">
        <v>1.125</v>
      </c>
      <c r="E2130" s="2">
        <v>47771</v>
      </c>
      <c r="F2130" s="1" t="s">
        <v>64</v>
      </c>
      <c r="G2130" s="1" t="s">
        <v>945</v>
      </c>
      <c r="H2130" s="1" t="s">
        <v>2</v>
      </c>
      <c r="I2130" s="2">
        <v>46177</v>
      </c>
      <c r="J2130" s="1" t="s">
        <v>18</v>
      </c>
      <c r="K2130" s="1" t="s">
        <v>2959</v>
      </c>
      <c r="L2130" s="2">
        <v>46177.92087962963</v>
      </c>
      <c r="M2130" s="2">
        <v>46177.921329212964</v>
      </c>
    </row>
    <row r="2131" spans="1:13" x14ac:dyDescent="0.35">
      <c r="A2131" s="1" t="s">
        <v>944</v>
      </c>
      <c r="B2131" s="1" t="s">
        <v>13</v>
      </c>
      <c r="C2131" s="1" t="s">
        <v>945</v>
      </c>
      <c r="D2131">
        <v>1.125</v>
      </c>
      <c r="E2131" s="2">
        <v>47771</v>
      </c>
      <c r="F2131" s="1" t="s">
        <v>64</v>
      </c>
      <c r="G2131" s="1" t="s">
        <v>945</v>
      </c>
      <c r="H2131" s="1" t="s">
        <v>2</v>
      </c>
      <c r="I2131" s="2">
        <v>46177</v>
      </c>
      <c r="J2131" s="1" t="s">
        <v>67</v>
      </c>
      <c r="K2131" s="1" t="s">
        <v>5225</v>
      </c>
      <c r="L2131" s="2">
        <v>46177.918923611112</v>
      </c>
      <c r="M2131" s="2">
        <v>46177.921329212964</v>
      </c>
    </row>
    <row r="2132" spans="1:13" x14ac:dyDescent="0.35">
      <c r="A2132" s="1" t="s">
        <v>944</v>
      </c>
      <c r="B2132" s="1" t="s">
        <v>13</v>
      </c>
      <c r="C2132" s="1" t="s">
        <v>945</v>
      </c>
      <c r="D2132">
        <v>1.125</v>
      </c>
      <c r="E2132" s="2">
        <v>47771</v>
      </c>
      <c r="F2132" s="1" t="s">
        <v>64</v>
      </c>
      <c r="G2132" s="1" t="s">
        <v>945</v>
      </c>
      <c r="H2132" s="1" t="s">
        <v>2</v>
      </c>
      <c r="I2132" s="2">
        <v>46177</v>
      </c>
      <c r="J2132" s="1" t="s">
        <v>214</v>
      </c>
      <c r="K2132" s="1" t="s">
        <v>5114</v>
      </c>
      <c r="L2132" s="2">
        <v>46177.918923611112</v>
      </c>
      <c r="M2132" s="2">
        <v>46177.921329212964</v>
      </c>
    </row>
    <row r="2133" spans="1:13" x14ac:dyDescent="0.35">
      <c r="A2133" s="1" t="s">
        <v>944</v>
      </c>
      <c r="B2133" s="1" t="s">
        <v>13</v>
      </c>
      <c r="C2133" s="1" t="s">
        <v>945</v>
      </c>
      <c r="D2133">
        <v>1.125</v>
      </c>
      <c r="E2133" s="2">
        <v>47771</v>
      </c>
      <c r="F2133" s="1" t="s">
        <v>64</v>
      </c>
      <c r="G2133" s="1" t="s">
        <v>945</v>
      </c>
      <c r="H2133" s="1" t="s">
        <v>2</v>
      </c>
      <c r="I2133" s="2">
        <v>46177</v>
      </c>
      <c r="J2133" s="1" t="s">
        <v>17</v>
      </c>
      <c r="K2133" s="1" t="s">
        <v>2376</v>
      </c>
      <c r="L2133" s="2">
        <v>46177.92087962963</v>
      </c>
      <c r="M2133" s="2">
        <v>46177.921329212964</v>
      </c>
    </row>
    <row r="2134" spans="1:13" x14ac:dyDescent="0.35">
      <c r="A2134" s="1" t="s">
        <v>944</v>
      </c>
      <c r="B2134" s="1" t="s">
        <v>13</v>
      </c>
      <c r="C2134" s="1" t="s">
        <v>945</v>
      </c>
      <c r="D2134">
        <v>1.125</v>
      </c>
      <c r="E2134" s="2">
        <v>47771</v>
      </c>
      <c r="F2134" s="1" t="s">
        <v>64</v>
      </c>
      <c r="G2134" s="1" t="s">
        <v>945</v>
      </c>
      <c r="H2134" s="1" t="s">
        <v>2</v>
      </c>
      <c r="I2134" s="2">
        <v>46177</v>
      </c>
      <c r="J2134" s="1" t="s">
        <v>224</v>
      </c>
      <c r="K2134" s="1" t="s">
        <v>5114</v>
      </c>
      <c r="L2134" s="2">
        <v>46177.918923611112</v>
      </c>
      <c r="M2134" s="2">
        <v>46177.921329212964</v>
      </c>
    </row>
    <row r="2135" spans="1:13" x14ac:dyDescent="0.35">
      <c r="A2135" s="1" t="s">
        <v>944</v>
      </c>
      <c r="B2135" s="1" t="s">
        <v>13</v>
      </c>
      <c r="C2135" s="1" t="s">
        <v>945</v>
      </c>
      <c r="D2135">
        <v>1.125</v>
      </c>
      <c r="E2135" s="2">
        <v>47771</v>
      </c>
      <c r="F2135" s="1" t="s">
        <v>64</v>
      </c>
      <c r="G2135" s="1" t="s">
        <v>945</v>
      </c>
      <c r="H2135" s="1" t="s">
        <v>2</v>
      </c>
      <c r="I2135" s="2">
        <v>46177</v>
      </c>
      <c r="J2135" s="1" t="s">
        <v>215</v>
      </c>
      <c r="K2135" s="1" t="s">
        <v>5225</v>
      </c>
      <c r="L2135" s="2">
        <v>46177.918923611112</v>
      </c>
      <c r="M2135" s="2">
        <v>46177.921329212964</v>
      </c>
    </row>
    <row r="2136" spans="1:13" x14ac:dyDescent="0.35">
      <c r="A2136" s="1" t="s">
        <v>932</v>
      </c>
      <c r="B2136" s="1" t="s">
        <v>13</v>
      </c>
      <c r="C2136" s="1" t="s">
        <v>933</v>
      </c>
      <c r="D2136">
        <v>4</v>
      </c>
      <c r="E2136" s="2">
        <v>49628</v>
      </c>
      <c r="F2136" s="1" t="s">
        <v>16</v>
      </c>
      <c r="G2136" s="1" t="s">
        <v>933</v>
      </c>
      <c r="H2136" s="1" t="s">
        <v>2</v>
      </c>
      <c r="I2136" s="2">
        <v>46177</v>
      </c>
      <c r="J2136" s="1" t="s">
        <v>17</v>
      </c>
      <c r="K2136" s="1" t="s">
        <v>2382</v>
      </c>
      <c r="L2136" s="2">
        <v>46177.92087962963</v>
      </c>
      <c r="M2136" s="2">
        <v>46177.921329212964</v>
      </c>
    </row>
    <row r="2137" spans="1:13" x14ac:dyDescent="0.35">
      <c r="A2137" s="1" t="s">
        <v>932</v>
      </c>
      <c r="B2137" s="1" t="s">
        <v>13</v>
      </c>
      <c r="C2137" s="1" t="s">
        <v>933</v>
      </c>
      <c r="D2137">
        <v>4</v>
      </c>
      <c r="E2137" s="2">
        <v>49628</v>
      </c>
      <c r="F2137" s="1" t="s">
        <v>16</v>
      </c>
      <c r="G2137" s="1" t="s">
        <v>933</v>
      </c>
      <c r="H2137" s="1" t="s">
        <v>2</v>
      </c>
      <c r="I2137" s="2">
        <v>46177</v>
      </c>
      <c r="J2137" s="1" t="s">
        <v>18</v>
      </c>
      <c r="K2137" s="1" t="s">
        <v>2346</v>
      </c>
      <c r="L2137" s="2">
        <v>46177.92087962963</v>
      </c>
      <c r="M2137" s="2">
        <v>46177.921329212964</v>
      </c>
    </row>
    <row r="2138" spans="1:13" x14ac:dyDescent="0.35">
      <c r="A2138" s="1" t="s">
        <v>932</v>
      </c>
      <c r="B2138" s="1" t="s">
        <v>13</v>
      </c>
      <c r="C2138" s="1" t="s">
        <v>933</v>
      </c>
      <c r="D2138">
        <v>4</v>
      </c>
      <c r="E2138" s="2">
        <v>49628</v>
      </c>
      <c r="F2138" s="1" t="s">
        <v>16</v>
      </c>
      <c r="G2138" s="1" t="s">
        <v>933</v>
      </c>
      <c r="H2138" s="1" t="s">
        <v>2</v>
      </c>
      <c r="I2138" s="2">
        <v>46177</v>
      </c>
      <c r="J2138" s="1" t="s">
        <v>214</v>
      </c>
      <c r="K2138" s="1" t="s">
        <v>5000</v>
      </c>
      <c r="L2138" s="2">
        <v>46177.918923611112</v>
      </c>
      <c r="M2138" s="2">
        <v>46177.921329212964</v>
      </c>
    </row>
    <row r="2139" spans="1:13" x14ac:dyDescent="0.35">
      <c r="A2139" s="1" t="s">
        <v>932</v>
      </c>
      <c r="B2139" s="1" t="s">
        <v>13</v>
      </c>
      <c r="C2139" s="1" t="s">
        <v>933</v>
      </c>
      <c r="D2139">
        <v>4</v>
      </c>
      <c r="E2139" s="2">
        <v>49628</v>
      </c>
      <c r="F2139" s="1" t="s">
        <v>16</v>
      </c>
      <c r="G2139" s="1" t="s">
        <v>933</v>
      </c>
      <c r="H2139" s="1" t="s">
        <v>2</v>
      </c>
      <c r="I2139" s="2">
        <v>46177</v>
      </c>
      <c r="J2139" s="1" t="s">
        <v>67</v>
      </c>
      <c r="K2139" s="1" t="s">
        <v>5115</v>
      </c>
      <c r="L2139" s="2">
        <v>46177.918923611112</v>
      </c>
      <c r="M2139" s="2">
        <v>46177.921329212964</v>
      </c>
    </row>
    <row r="2140" spans="1:13" x14ac:dyDescent="0.35">
      <c r="A2140" s="1" t="s">
        <v>932</v>
      </c>
      <c r="B2140" s="1" t="s">
        <v>13</v>
      </c>
      <c r="C2140" s="1" t="s">
        <v>933</v>
      </c>
      <c r="D2140">
        <v>4</v>
      </c>
      <c r="E2140" s="2">
        <v>49628</v>
      </c>
      <c r="F2140" s="1" t="s">
        <v>16</v>
      </c>
      <c r="G2140" s="1" t="s">
        <v>933</v>
      </c>
      <c r="H2140" s="1" t="s">
        <v>2</v>
      </c>
      <c r="I2140" s="2">
        <v>46177</v>
      </c>
      <c r="J2140" s="1" t="s">
        <v>224</v>
      </c>
      <c r="K2140" s="1" t="s">
        <v>5000</v>
      </c>
      <c r="L2140" s="2">
        <v>46177.918923611112</v>
      </c>
      <c r="M2140" s="2">
        <v>46177.921329212964</v>
      </c>
    </row>
    <row r="2141" spans="1:13" x14ac:dyDescent="0.35">
      <c r="A2141" s="1" t="s">
        <v>932</v>
      </c>
      <c r="B2141" s="1" t="s">
        <v>13</v>
      </c>
      <c r="C2141" s="1" t="s">
        <v>933</v>
      </c>
      <c r="D2141">
        <v>4</v>
      </c>
      <c r="E2141" s="2">
        <v>49628</v>
      </c>
      <c r="F2141" s="1" t="s">
        <v>16</v>
      </c>
      <c r="G2141" s="1" t="s">
        <v>933</v>
      </c>
      <c r="H2141" s="1" t="s">
        <v>2</v>
      </c>
      <c r="I2141" s="2">
        <v>46177</v>
      </c>
      <c r="J2141" s="1" t="s">
        <v>215</v>
      </c>
      <c r="K2141" s="1" t="s">
        <v>5115</v>
      </c>
      <c r="L2141" s="2">
        <v>46177.918923611112</v>
      </c>
      <c r="M2141" s="2">
        <v>46177.921329212964</v>
      </c>
    </row>
    <row r="2142" spans="1:13" x14ac:dyDescent="0.35">
      <c r="A2142" s="1" t="s">
        <v>946</v>
      </c>
      <c r="B2142" s="1" t="s">
        <v>13</v>
      </c>
      <c r="C2142" s="1" t="s">
        <v>947</v>
      </c>
      <c r="D2142">
        <v>3.5</v>
      </c>
      <c r="E2142" s="2">
        <v>47072</v>
      </c>
      <c r="F2142" s="1" t="s">
        <v>16</v>
      </c>
      <c r="G2142" s="1" t="s">
        <v>947</v>
      </c>
      <c r="H2142" s="1" t="s">
        <v>2</v>
      </c>
      <c r="I2142" s="2">
        <v>46177</v>
      </c>
      <c r="J2142" s="1" t="s">
        <v>214</v>
      </c>
      <c r="K2142" s="1" t="s">
        <v>5061</v>
      </c>
      <c r="L2142" s="2">
        <v>46177.918923611112</v>
      </c>
      <c r="M2142" s="2">
        <v>46177.921329212964</v>
      </c>
    </row>
    <row r="2143" spans="1:13" x14ac:dyDescent="0.35">
      <c r="A2143" s="1" t="s">
        <v>946</v>
      </c>
      <c r="B2143" s="1" t="s">
        <v>13</v>
      </c>
      <c r="C2143" s="1" t="s">
        <v>947</v>
      </c>
      <c r="D2143">
        <v>3.5</v>
      </c>
      <c r="E2143" s="2">
        <v>47072</v>
      </c>
      <c r="F2143" s="1" t="s">
        <v>16</v>
      </c>
      <c r="G2143" s="1" t="s">
        <v>947</v>
      </c>
      <c r="H2143" s="1" t="s">
        <v>2</v>
      </c>
      <c r="I2143" s="2">
        <v>46177</v>
      </c>
      <c r="J2143" s="1" t="s">
        <v>224</v>
      </c>
      <c r="K2143" s="1" t="s">
        <v>5061</v>
      </c>
      <c r="L2143" s="2">
        <v>46177.918923611112</v>
      </c>
      <c r="M2143" s="2">
        <v>46177.921329212964</v>
      </c>
    </row>
    <row r="2144" spans="1:13" x14ac:dyDescent="0.35">
      <c r="A2144" s="1" t="s">
        <v>946</v>
      </c>
      <c r="B2144" s="1" t="s">
        <v>13</v>
      </c>
      <c r="C2144" s="1" t="s">
        <v>947</v>
      </c>
      <c r="D2144">
        <v>3.5</v>
      </c>
      <c r="E2144" s="2">
        <v>47072</v>
      </c>
      <c r="F2144" s="1" t="s">
        <v>16</v>
      </c>
      <c r="G2144" s="1" t="s">
        <v>947</v>
      </c>
      <c r="H2144" s="1" t="s">
        <v>2</v>
      </c>
      <c r="I2144" s="2">
        <v>46177</v>
      </c>
      <c r="J2144" s="1" t="s">
        <v>215</v>
      </c>
      <c r="K2144" s="1" t="s">
        <v>5226</v>
      </c>
      <c r="L2144" s="2">
        <v>46177.918923611112</v>
      </c>
      <c r="M2144" s="2">
        <v>46177.921329212964</v>
      </c>
    </row>
    <row r="2145" spans="1:13" x14ac:dyDescent="0.35">
      <c r="A2145" s="1" t="s">
        <v>946</v>
      </c>
      <c r="B2145" s="1" t="s">
        <v>13</v>
      </c>
      <c r="C2145" s="1" t="s">
        <v>947</v>
      </c>
      <c r="D2145">
        <v>3.5</v>
      </c>
      <c r="E2145" s="2">
        <v>47072</v>
      </c>
      <c r="F2145" s="1" t="s">
        <v>16</v>
      </c>
      <c r="G2145" s="1" t="s">
        <v>947</v>
      </c>
      <c r="H2145" s="1" t="s">
        <v>2</v>
      </c>
      <c r="I2145" s="2">
        <v>46177</v>
      </c>
      <c r="J2145" s="1" t="s">
        <v>18</v>
      </c>
      <c r="K2145" s="1" t="s">
        <v>2901</v>
      </c>
      <c r="L2145" s="2">
        <v>46177.92087962963</v>
      </c>
      <c r="M2145" s="2">
        <v>46177.921329212964</v>
      </c>
    </row>
    <row r="2146" spans="1:13" x14ac:dyDescent="0.35">
      <c r="A2146" s="1" t="s">
        <v>946</v>
      </c>
      <c r="B2146" s="1" t="s">
        <v>13</v>
      </c>
      <c r="C2146" s="1" t="s">
        <v>947</v>
      </c>
      <c r="D2146">
        <v>3.5</v>
      </c>
      <c r="E2146" s="2">
        <v>47072</v>
      </c>
      <c r="F2146" s="1" t="s">
        <v>16</v>
      </c>
      <c r="G2146" s="1" t="s">
        <v>947</v>
      </c>
      <c r="H2146" s="1" t="s">
        <v>2</v>
      </c>
      <c r="I2146" s="2">
        <v>46177</v>
      </c>
      <c r="J2146" s="1" t="s">
        <v>17</v>
      </c>
      <c r="K2146" s="1" t="s">
        <v>2626</v>
      </c>
      <c r="L2146" s="2">
        <v>46177.92087962963</v>
      </c>
      <c r="M2146" s="2">
        <v>46177.921329212964</v>
      </c>
    </row>
    <row r="2147" spans="1:13" x14ac:dyDescent="0.35">
      <c r="A2147" s="1" t="s">
        <v>946</v>
      </c>
      <c r="B2147" s="1" t="s">
        <v>13</v>
      </c>
      <c r="C2147" s="1" t="s">
        <v>947</v>
      </c>
      <c r="D2147">
        <v>3.5</v>
      </c>
      <c r="E2147" s="2">
        <v>47072</v>
      </c>
      <c r="F2147" s="1" t="s">
        <v>16</v>
      </c>
      <c r="G2147" s="1" t="s">
        <v>947</v>
      </c>
      <c r="H2147" s="1" t="s">
        <v>2</v>
      </c>
      <c r="I2147" s="2">
        <v>46177</v>
      </c>
      <c r="J2147" s="1" t="s">
        <v>67</v>
      </c>
      <c r="K2147" s="1" t="s">
        <v>5226</v>
      </c>
      <c r="L2147" s="2">
        <v>46177.918923611112</v>
      </c>
      <c r="M2147" s="2">
        <v>46177.921329212964</v>
      </c>
    </row>
    <row r="2148" spans="1:13" x14ac:dyDescent="0.35">
      <c r="A2148" s="1" t="s">
        <v>948</v>
      </c>
      <c r="B2148" s="1" t="s">
        <v>13</v>
      </c>
      <c r="C2148" s="1" t="s">
        <v>949</v>
      </c>
      <c r="D2148">
        <v>3.375</v>
      </c>
      <c r="E2148" s="2">
        <v>46721</v>
      </c>
      <c r="F2148" s="1" t="s">
        <v>16</v>
      </c>
      <c r="G2148" s="1" t="s">
        <v>949</v>
      </c>
      <c r="H2148" s="1" t="s">
        <v>2</v>
      </c>
      <c r="I2148" s="2">
        <v>46177</v>
      </c>
      <c r="J2148" s="1" t="s">
        <v>214</v>
      </c>
      <c r="K2148" s="1" t="s">
        <v>5094</v>
      </c>
      <c r="L2148" s="2">
        <v>46177.918923611112</v>
      </c>
      <c r="M2148" s="2">
        <v>46177.921329212964</v>
      </c>
    </row>
    <row r="2149" spans="1:13" x14ac:dyDescent="0.35">
      <c r="A2149" s="1" t="s">
        <v>948</v>
      </c>
      <c r="B2149" s="1" t="s">
        <v>13</v>
      </c>
      <c r="C2149" s="1" t="s">
        <v>949</v>
      </c>
      <c r="D2149">
        <v>3.375</v>
      </c>
      <c r="E2149" s="2">
        <v>46721</v>
      </c>
      <c r="F2149" s="1" t="s">
        <v>16</v>
      </c>
      <c r="G2149" s="1" t="s">
        <v>949</v>
      </c>
      <c r="H2149" s="1" t="s">
        <v>2</v>
      </c>
      <c r="I2149" s="2">
        <v>46177</v>
      </c>
      <c r="J2149" s="1" t="s">
        <v>17</v>
      </c>
      <c r="K2149" s="1" t="s">
        <v>4765</v>
      </c>
      <c r="L2149" s="2">
        <v>46177.92087962963</v>
      </c>
      <c r="M2149" s="2">
        <v>46177.921329212964</v>
      </c>
    </row>
    <row r="2150" spans="1:13" x14ac:dyDescent="0.35">
      <c r="A2150" s="1" t="s">
        <v>948</v>
      </c>
      <c r="B2150" s="1" t="s">
        <v>13</v>
      </c>
      <c r="C2150" s="1" t="s">
        <v>949</v>
      </c>
      <c r="D2150">
        <v>3.375</v>
      </c>
      <c r="E2150" s="2">
        <v>46721</v>
      </c>
      <c r="F2150" s="1" t="s">
        <v>16</v>
      </c>
      <c r="G2150" s="1" t="s">
        <v>949</v>
      </c>
      <c r="H2150" s="1" t="s">
        <v>2</v>
      </c>
      <c r="I2150" s="2">
        <v>46177</v>
      </c>
      <c r="J2150" s="1" t="s">
        <v>215</v>
      </c>
      <c r="K2150" s="1" t="s">
        <v>5001</v>
      </c>
      <c r="L2150" s="2">
        <v>46177.918923611112</v>
      </c>
      <c r="M2150" s="2">
        <v>46177.921329212964</v>
      </c>
    </row>
    <row r="2151" spans="1:13" x14ac:dyDescent="0.35">
      <c r="A2151" s="1" t="s">
        <v>948</v>
      </c>
      <c r="B2151" s="1" t="s">
        <v>13</v>
      </c>
      <c r="C2151" s="1" t="s">
        <v>949</v>
      </c>
      <c r="D2151">
        <v>3.375</v>
      </c>
      <c r="E2151" s="2">
        <v>46721</v>
      </c>
      <c r="F2151" s="1" t="s">
        <v>16</v>
      </c>
      <c r="G2151" s="1" t="s">
        <v>949</v>
      </c>
      <c r="H2151" s="1" t="s">
        <v>2</v>
      </c>
      <c r="I2151" s="2">
        <v>46177</v>
      </c>
      <c r="J2151" s="1" t="s">
        <v>18</v>
      </c>
      <c r="K2151" s="1" t="s">
        <v>5116</v>
      </c>
      <c r="L2151" s="2">
        <v>46177.92087962963</v>
      </c>
      <c r="M2151" s="2">
        <v>46177.921329212964</v>
      </c>
    </row>
    <row r="2152" spans="1:13" x14ac:dyDescent="0.35">
      <c r="A2152" s="1" t="s">
        <v>948</v>
      </c>
      <c r="B2152" s="1" t="s">
        <v>13</v>
      </c>
      <c r="C2152" s="1" t="s">
        <v>949</v>
      </c>
      <c r="D2152">
        <v>3.375</v>
      </c>
      <c r="E2152" s="2">
        <v>46721</v>
      </c>
      <c r="F2152" s="1" t="s">
        <v>16</v>
      </c>
      <c r="G2152" s="1" t="s">
        <v>949</v>
      </c>
      <c r="H2152" s="1" t="s">
        <v>2</v>
      </c>
      <c r="I2152" s="2">
        <v>46177</v>
      </c>
      <c r="J2152" s="1" t="s">
        <v>67</v>
      </c>
      <c r="K2152" s="1" t="s">
        <v>5001</v>
      </c>
      <c r="L2152" s="2">
        <v>46177.918923611112</v>
      </c>
      <c r="M2152" s="2">
        <v>46177.921329212964</v>
      </c>
    </row>
    <row r="2153" spans="1:13" x14ac:dyDescent="0.35">
      <c r="A2153" s="1" t="s">
        <v>948</v>
      </c>
      <c r="B2153" s="1" t="s">
        <v>13</v>
      </c>
      <c r="C2153" s="1" t="s">
        <v>949</v>
      </c>
      <c r="D2153">
        <v>3.375</v>
      </c>
      <c r="E2153" s="2">
        <v>46721</v>
      </c>
      <c r="F2153" s="1" t="s">
        <v>16</v>
      </c>
      <c r="G2153" s="1" t="s">
        <v>949</v>
      </c>
      <c r="H2153" s="1" t="s">
        <v>2</v>
      </c>
      <c r="I2153" s="2">
        <v>46177</v>
      </c>
      <c r="J2153" s="1" t="s">
        <v>224</v>
      </c>
      <c r="K2153" s="1" t="s">
        <v>5094</v>
      </c>
      <c r="L2153" s="2">
        <v>46177.918923611112</v>
      </c>
      <c r="M2153" s="2">
        <v>46177.921329212964</v>
      </c>
    </row>
    <row r="2154" spans="1:13" x14ac:dyDescent="0.35">
      <c r="A2154" s="1" t="s">
        <v>950</v>
      </c>
      <c r="B2154" s="1" t="s">
        <v>13</v>
      </c>
      <c r="C2154" s="1" t="s">
        <v>951</v>
      </c>
      <c r="D2154">
        <v>3.75</v>
      </c>
      <c r="E2154" s="2">
        <v>48548</v>
      </c>
      <c r="F2154" s="1" t="s">
        <v>16</v>
      </c>
      <c r="G2154" s="1" t="s">
        <v>951</v>
      </c>
      <c r="H2154" s="1" t="s">
        <v>2</v>
      </c>
      <c r="I2154" s="2">
        <v>46177</v>
      </c>
      <c r="J2154" s="1" t="s">
        <v>224</v>
      </c>
      <c r="K2154" s="1" t="s">
        <v>5227</v>
      </c>
      <c r="L2154" s="2">
        <v>46177.918923611112</v>
      </c>
      <c r="M2154" s="2">
        <v>46177.921329212964</v>
      </c>
    </row>
    <row r="2155" spans="1:13" x14ac:dyDescent="0.35">
      <c r="A2155" s="1" t="s">
        <v>950</v>
      </c>
      <c r="B2155" s="1" t="s">
        <v>13</v>
      </c>
      <c r="C2155" s="1" t="s">
        <v>951</v>
      </c>
      <c r="D2155">
        <v>3.75</v>
      </c>
      <c r="E2155" s="2">
        <v>48548</v>
      </c>
      <c r="F2155" s="1" t="s">
        <v>16</v>
      </c>
      <c r="G2155" s="1" t="s">
        <v>951</v>
      </c>
      <c r="H2155" s="1" t="s">
        <v>2</v>
      </c>
      <c r="I2155" s="2">
        <v>46177</v>
      </c>
      <c r="J2155" s="1" t="s">
        <v>67</v>
      </c>
      <c r="K2155" s="1" t="s">
        <v>5095</v>
      </c>
      <c r="L2155" s="2">
        <v>46177.918923611112</v>
      </c>
      <c r="M2155" s="2">
        <v>46177.921329212964</v>
      </c>
    </row>
    <row r="2156" spans="1:13" x14ac:dyDescent="0.35">
      <c r="A2156" s="1" t="s">
        <v>950</v>
      </c>
      <c r="B2156" s="1" t="s">
        <v>13</v>
      </c>
      <c r="C2156" s="1" t="s">
        <v>951</v>
      </c>
      <c r="D2156">
        <v>3.75</v>
      </c>
      <c r="E2156" s="2">
        <v>48548</v>
      </c>
      <c r="F2156" s="1" t="s">
        <v>16</v>
      </c>
      <c r="G2156" s="1" t="s">
        <v>951</v>
      </c>
      <c r="H2156" s="1" t="s">
        <v>2</v>
      </c>
      <c r="I2156" s="2">
        <v>46177</v>
      </c>
      <c r="J2156" s="1" t="s">
        <v>17</v>
      </c>
      <c r="K2156" s="1" t="s">
        <v>2543</v>
      </c>
      <c r="L2156" s="2">
        <v>46177.92087962963</v>
      </c>
      <c r="M2156" s="2">
        <v>46177.921329212964</v>
      </c>
    </row>
    <row r="2157" spans="1:13" x14ac:dyDescent="0.35">
      <c r="A2157" s="1" t="s">
        <v>950</v>
      </c>
      <c r="B2157" s="1" t="s">
        <v>13</v>
      </c>
      <c r="C2157" s="1" t="s">
        <v>951</v>
      </c>
      <c r="D2157">
        <v>3.75</v>
      </c>
      <c r="E2157" s="2">
        <v>48548</v>
      </c>
      <c r="F2157" s="1" t="s">
        <v>16</v>
      </c>
      <c r="G2157" s="1" t="s">
        <v>951</v>
      </c>
      <c r="H2157" s="1" t="s">
        <v>2</v>
      </c>
      <c r="I2157" s="2">
        <v>46177</v>
      </c>
      <c r="J2157" s="1" t="s">
        <v>215</v>
      </c>
      <c r="K2157" s="1" t="s">
        <v>5095</v>
      </c>
      <c r="L2157" s="2">
        <v>46177.918923611112</v>
      </c>
      <c r="M2157" s="2">
        <v>46177.921329212964</v>
      </c>
    </row>
    <row r="2158" spans="1:13" x14ac:dyDescent="0.35">
      <c r="A2158" s="1" t="s">
        <v>950</v>
      </c>
      <c r="B2158" s="1" t="s">
        <v>13</v>
      </c>
      <c r="C2158" s="1" t="s">
        <v>951</v>
      </c>
      <c r="D2158">
        <v>3.75</v>
      </c>
      <c r="E2158" s="2">
        <v>48548</v>
      </c>
      <c r="F2158" s="1" t="s">
        <v>16</v>
      </c>
      <c r="G2158" s="1" t="s">
        <v>951</v>
      </c>
      <c r="H2158" s="1" t="s">
        <v>2</v>
      </c>
      <c r="I2158" s="2">
        <v>46177</v>
      </c>
      <c r="J2158" s="1" t="s">
        <v>214</v>
      </c>
      <c r="K2158" s="1" t="s">
        <v>5227</v>
      </c>
      <c r="L2158" s="2">
        <v>46177.918923611112</v>
      </c>
      <c r="M2158" s="2">
        <v>46177.921329212964</v>
      </c>
    </row>
    <row r="2159" spans="1:13" x14ac:dyDescent="0.35">
      <c r="A2159" s="1" t="s">
        <v>950</v>
      </c>
      <c r="B2159" s="1" t="s">
        <v>13</v>
      </c>
      <c r="C2159" s="1" t="s">
        <v>951</v>
      </c>
      <c r="D2159">
        <v>3.75</v>
      </c>
      <c r="E2159" s="2">
        <v>48548</v>
      </c>
      <c r="F2159" s="1" t="s">
        <v>16</v>
      </c>
      <c r="G2159" s="1" t="s">
        <v>951</v>
      </c>
      <c r="H2159" s="1" t="s">
        <v>2</v>
      </c>
      <c r="I2159" s="2">
        <v>46177</v>
      </c>
      <c r="J2159" s="1" t="s">
        <v>18</v>
      </c>
      <c r="K2159" s="1" t="s">
        <v>5313</v>
      </c>
      <c r="L2159" s="2">
        <v>46177.92087962963</v>
      </c>
      <c r="M2159" s="2">
        <v>46177.921329212964</v>
      </c>
    </row>
    <row r="2160" spans="1:13" x14ac:dyDescent="0.35">
      <c r="A2160" s="1" t="s">
        <v>934</v>
      </c>
      <c r="B2160" s="1" t="s">
        <v>13</v>
      </c>
      <c r="C2160" s="1" t="s">
        <v>935</v>
      </c>
      <c r="D2160">
        <v>3.5</v>
      </c>
      <c r="E2160" s="2">
        <v>47817</v>
      </c>
      <c r="F2160" s="1" t="s">
        <v>16</v>
      </c>
      <c r="G2160" s="1" t="s">
        <v>935</v>
      </c>
      <c r="H2160" s="1" t="s">
        <v>2</v>
      </c>
      <c r="I2160" s="2">
        <v>46177</v>
      </c>
      <c r="J2160" s="1" t="s">
        <v>224</v>
      </c>
      <c r="K2160" s="1" t="s">
        <v>5002</v>
      </c>
      <c r="L2160" s="2">
        <v>46177.918923611112</v>
      </c>
      <c r="M2160" s="2">
        <v>46177.921329212964</v>
      </c>
    </row>
    <row r="2161" spans="1:13" x14ac:dyDescent="0.35">
      <c r="A2161" s="1" t="s">
        <v>934</v>
      </c>
      <c r="B2161" s="1" t="s">
        <v>13</v>
      </c>
      <c r="C2161" s="1" t="s">
        <v>935</v>
      </c>
      <c r="D2161">
        <v>3.5</v>
      </c>
      <c r="E2161" s="2">
        <v>47817</v>
      </c>
      <c r="F2161" s="1" t="s">
        <v>16</v>
      </c>
      <c r="G2161" s="1" t="s">
        <v>935</v>
      </c>
      <c r="H2161" s="1" t="s">
        <v>2</v>
      </c>
      <c r="I2161" s="2">
        <v>46177</v>
      </c>
      <c r="J2161" s="1" t="s">
        <v>17</v>
      </c>
      <c r="K2161" s="1" t="s">
        <v>2401</v>
      </c>
      <c r="L2161" s="2">
        <v>46177.92087962963</v>
      </c>
      <c r="M2161" s="2">
        <v>46177.921329212964</v>
      </c>
    </row>
    <row r="2162" spans="1:13" x14ac:dyDescent="0.35">
      <c r="A2162" s="1" t="s">
        <v>934</v>
      </c>
      <c r="B2162" s="1" t="s">
        <v>13</v>
      </c>
      <c r="C2162" s="1" t="s">
        <v>935</v>
      </c>
      <c r="D2162">
        <v>3.5</v>
      </c>
      <c r="E2162" s="2">
        <v>47817</v>
      </c>
      <c r="F2162" s="1" t="s">
        <v>16</v>
      </c>
      <c r="G2162" s="1" t="s">
        <v>935</v>
      </c>
      <c r="H2162" s="1" t="s">
        <v>2</v>
      </c>
      <c r="I2162" s="2">
        <v>46177</v>
      </c>
      <c r="J2162" s="1" t="s">
        <v>67</v>
      </c>
      <c r="K2162" s="1" t="s">
        <v>5117</v>
      </c>
      <c r="L2162" s="2">
        <v>46177.918923611112</v>
      </c>
      <c r="M2162" s="2">
        <v>46177.921329212964</v>
      </c>
    </row>
    <row r="2163" spans="1:13" x14ac:dyDescent="0.35">
      <c r="A2163" s="1" t="s">
        <v>934</v>
      </c>
      <c r="B2163" s="1" t="s">
        <v>13</v>
      </c>
      <c r="C2163" s="1" t="s">
        <v>935</v>
      </c>
      <c r="D2163">
        <v>3.5</v>
      </c>
      <c r="E2163" s="2">
        <v>47817</v>
      </c>
      <c r="F2163" s="1" t="s">
        <v>16</v>
      </c>
      <c r="G2163" s="1" t="s">
        <v>935</v>
      </c>
      <c r="H2163" s="1" t="s">
        <v>2</v>
      </c>
      <c r="I2163" s="2">
        <v>46177</v>
      </c>
      <c r="J2163" s="1" t="s">
        <v>214</v>
      </c>
      <c r="K2163" s="1" t="s">
        <v>5002</v>
      </c>
      <c r="L2163" s="2">
        <v>46177.918923611112</v>
      </c>
      <c r="M2163" s="2">
        <v>46177.921329212964</v>
      </c>
    </row>
    <row r="2164" spans="1:13" x14ac:dyDescent="0.35">
      <c r="A2164" s="1" t="s">
        <v>934</v>
      </c>
      <c r="B2164" s="1" t="s">
        <v>13</v>
      </c>
      <c r="C2164" s="1" t="s">
        <v>935</v>
      </c>
      <c r="D2164">
        <v>3.5</v>
      </c>
      <c r="E2164" s="2">
        <v>47817</v>
      </c>
      <c r="F2164" s="1" t="s">
        <v>16</v>
      </c>
      <c r="G2164" s="1" t="s">
        <v>935</v>
      </c>
      <c r="H2164" s="1" t="s">
        <v>2</v>
      </c>
      <c r="I2164" s="2">
        <v>46177</v>
      </c>
      <c r="J2164" s="1" t="s">
        <v>18</v>
      </c>
      <c r="K2164" s="1" t="s">
        <v>5244</v>
      </c>
      <c r="L2164" s="2">
        <v>46177.92087962963</v>
      </c>
      <c r="M2164" s="2">
        <v>46177.921329212964</v>
      </c>
    </row>
    <row r="2165" spans="1:13" x14ac:dyDescent="0.35">
      <c r="A2165" s="1" t="s">
        <v>934</v>
      </c>
      <c r="B2165" s="1" t="s">
        <v>13</v>
      </c>
      <c r="C2165" s="1" t="s">
        <v>935</v>
      </c>
      <c r="D2165">
        <v>3.5</v>
      </c>
      <c r="E2165" s="2">
        <v>47817</v>
      </c>
      <c r="F2165" s="1" t="s">
        <v>16</v>
      </c>
      <c r="G2165" s="1" t="s">
        <v>935</v>
      </c>
      <c r="H2165" s="1" t="s">
        <v>2</v>
      </c>
      <c r="I2165" s="2">
        <v>46177</v>
      </c>
      <c r="J2165" s="1" t="s">
        <v>215</v>
      </c>
      <c r="K2165" s="1" t="s">
        <v>5117</v>
      </c>
      <c r="L2165" s="2">
        <v>46177.918923611112</v>
      </c>
      <c r="M2165" s="2">
        <v>46177.921329212964</v>
      </c>
    </row>
    <row r="2166" spans="1:13" x14ac:dyDescent="0.35">
      <c r="A2166" s="1" t="s">
        <v>1032</v>
      </c>
      <c r="B2166" s="1" t="s">
        <v>13</v>
      </c>
      <c r="C2166" s="1" t="s">
        <v>1033</v>
      </c>
      <c r="D2166">
        <v>3.5</v>
      </c>
      <c r="E2166" s="2">
        <v>47102</v>
      </c>
      <c r="F2166" s="1" t="s">
        <v>16</v>
      </c>
      <c r="G2166" s="1" t="s">
        <v>1033</v>
      </c>
      <c r="H2166" s="1" t="s">
        <v>2</v>
      </c>
      <c r="I2166" s="2">
        <v>46177</v>
      </c>
      <c r="J2166" s="1" t="s">
        <v>224</v>
      </c>
      <c r="K2166" s="1" t="s">
        <v>5096</v>
      </c>
      <c r="L2166" s="2">
        <v>46177.918923611112</v>
      </c>
      <c r="M2166" s="2">
        <v>46177.921329212964</v>
      </c>
    </row>
    <row r="2167" spans="1:13" x14ac:dyDescent="0.35">
      <c r="A2167" s="1" t="s">
        <v>1032</v>
      </c>
      <c r="B2167" s="1" t="s">
        <v>13</v>
      </c>
      <c r="C2167" s="1" t="s">
        <v>1033</v>
      </c>
      <c r="D2167">
        <v>3.5</v>
      </c>
      <c r="E2167" s="2">
        <v>47102</v>
      </c>
      <c r="F2167" s="1" t="s">
        <v>16</v>
      </c>
      <c r="G2167" s="1" t="s">
        <v>1033</v>
      </c>
      <c r="H2167" s="1" t="s">
        <v>2</v>
      </c>
      <c r="I2167" s="2">
        <v>46177</v>
      </c>
      <c r="J2167" s="1" t="s">
        <v>17</v>
      </c>
      <c r="K2167" s="1" t="s">
        <v>3017</v>
      </c>
      <c r="L2167" s="2">
        <v>46177.92087962963</v>
      </c>
      <c r="M2167" s="2">
        <v>46177.921329212964</v>
      </c>
    </row>
    <row r="2168" spans="1:13" x14ac:dyDescent="0.35">
      <c r="A2168" s="1" t="s">
        <v>1032</v>
      </c>
      <c r="B2168" s="1" t="s">
        <v>13</v>
      </c>
      <c r="C2168" s="1" t="s">
        <v>1033</v>
      </c>
      <c r="D2168">
        <v>3.5</v>
      </c>
      <c r="E2168" s="2">
        <v>47102</v>
      </c>
      <c r="F2168" s="1" t="s">
        <v>16</v>
      </c>
      <c r="G2168" s="1" t="s">
        <v>1033</v>
      </c>
      <c r="H2168" s="1" t="s">
        <v>2</v>
      </c>
      <c r="I2168" s="2">
        <v>46177</v>
      </c>
      <c r="J2168" s="1" t="s">
        <v>67</v>
      </c>
      <c r="K2168" s="1" t="s">
        <v>5245</v>
      </c>
      <c r="L2168" s="2">
        <v>46177.918923611112</v>
      </c>
      <c r="M2168" s="2">
        <v>46177.921329212964</v>
      </c>
    </row>
    <row r="2169" spans="1:13" x14ac:dyDescent="0.35">
      <c r="A2169" s="1" t="s">
        <v>1032</v>
      </c>
      <c r="B2169" s="1" t="s">
        <v>13</v>
      </c>
      <c r="C2169" s="1" t="s">
        <v>1033</v>
      </c>
      <c r="D2169">
        <v>3.5</v>
      </c>
      <c r="E2169" s="2">
        <v>47102</v>
      </c>
      <c r="F2169" s="1" t="s">
        <v>16</v>
      </c>
      <c r="G2169" s="1" t="s">
        <v>1033</v>
      </c>
      <c r="H2169" s="1" t="s">
        <v>2</v>
      </c>
      <c r="I2169" s="2">
        <v>46177</v>
      </c>
      <c r="J2169" s="1" t="s">
        <v>215</v>
      </c>
      <c r="K2169" s="1" t="s">
        <v>5245</v>
      </c>
      <c r="L2169" s="2">
        <v>46177.918923611112</v>
      </c>
      <c r="M2169" s="2">
        <v>46177.921329212964</v>
      </c>
    </row>
    <row r="2170" spans="1:13" x14ac:dyDescent="0.35">
      <c r="A2170" s="1" t="s">
        <v>1032</v>
      </c>
      <c r="B2170" s="1" t="s">
        <v>13</v>
      </c>
      <c r="C2170" s="1" t="s">
        <v>1033</v>
      </c>
      <c r="D2170">
        <v>3.5</v>
      </c>
      <c r="E2170" s="2">
        <v>47102</v>
      </c>
      <c r="F2170" s="1" t="s">
        <v>16</v>
      </c>
      <c r="G2170" s="1" t="s">
        <v>1033</v>
      </c>
      <c r="H2170" s="1" t="s">
        <v>2</v>
      </c>
      <c r="I2170" s="2">
        <v>46177</v>
      </c>
      <c r="J2170" s="1" t="s">
        <v>18</v>
      </c>
      <c r="K2170" s="1" t="s">
        <v>669</v>
      </c>
      <c r="L2170" s="2">
        <v>46177.92087962963</v>
      </c>
      <c r="M2170" s="2">
        <v>46177.921329212964</v>
      </c>
    </row>
    <row r="2171" spans="1:13" x14ac:dyDescent="0.35">
      <c r="A2171" s="1" t="s">
        <v>1032</v>
      </c>
      <c r="B2171" s="1" t="s">
        <v>13</v>
      </c>
      <c r="C2171" s="1" t="s">
        <v>1033</v>
      </c>
      <c r="D2171">
        <v>3.5</v>
      </c>
      <c r="E2171" s="2">
        <v>47102</v>
      </c>
      <c r="F2171" s="1" t="s">
        <v>16</v>
      </c>
      <c r="G2171" s="1" t="s">
        <v>1033</v>
      </c>
      <c r="H2171" s="1" t="s">
        <v>2</v>
      </c>
      <c r="I2171" s="2">
        <v>46177</v>
      </c>
      <c r="J2171" s="1" t="s">
        <v>214</v>
      </c>
      <c r="K2171" s="1" t="s">
        <v>5096</v>
      </c>
      <c r="L2171" s="2">
        <v>46177.918923611112</v>
      </c>
      <c r="M2171" s="2">
        <v>46177.921329212964</v>
      </c>
    </row>
    <row r="2172" spans="1:13" x14ac:dyDescent="0.35">
      <c r="A2172" s="1" t="s">
        <v>952</v>
      </c>
      <c r="B2172" s="1" t="s">
        <v>13</v>
      </c>
      <c r="C2172" s="1" t="s">
        <v>953</v>
      </c>
      <c r="D2172">
        <v>3.875</v>
      </c>
      <c r="E2172" s="2">
        <v>48579</v>
      </c>
      <c r="F2172" s="1" t="s">
        <v>16</v>
      </c>
      <c r="G2172" s="1" t="s">
        <v>953</v>
      </c>
      <c r="H2172" s="1" t="s">
        <v>2</v>
      </c>
      <c r="I2172" s="2">
        <v>46177</v>
      </c>
      <c r="J2172" s="1" t="s">
        <v>224</v>
      </c>
      <c r="K2172" s="1" t="s">
        <v>5228</v>
      </c>
      <c r="L2172" s="2">
        <v>46177.918923611112</v>
      </c>
      <c r="M2172" s="2">
        <v>46177.921329212964</v>
      </c>
    </row>
    <row r="2173" spans="1:13" x14ac:dyDescent="0.35">
      <c r="A2173" s="1" t="s">
        <v>952</v>
      </c>
      <c r="B2173" s="1" t="s">
        <v>13</v>
      </c>
      <c r="C2173" s="1" t="s">
        <v>953</v>
      </c>
      <c r="D2173">
        <v>3.875</v>
      </c>
      <c r="E2173" s="2">
        <v>48579</v>
      </c>
      <c r="F2173" s="1" t="s">
        <v>16</v>
      </c>
      <c r="G2173" s="1" t="s">
        <v>953</v>
      </c>
      <c r="H2173" s="1" t="s">
        <v>2</v>
      </c>
      <c r="I2173" s="2">
        <v>46177</v>
      </c>
      <c r="J2173" s="1" t="s">
        <v>215</v>
      </c>
      <c r="K2173" s="1" t="s">
        <v>5229</v>
      </c>
      <c r="L2173" s="2">
        <v>46177.918923611112</v>
      </c>
      <c r="M2173" s="2">
        <v>46177.921329212964</v>
      </c>
    </row>
    <row r="2174" spans="1:13" x14ac:dyDescent="0.35">
      <c r="A2174" s="1" t="s">
        <v>952</v>
      </c>
      <c r="B2174" s="1" t="s">
        <v>13</v>
      </c>
      <c r="C2174" s="1" t="s">
        <v>953</v>
      </c>
      <c r="D2174">
        <v>3.875</v>
      </c>
      <c r="E2174" s="2">
        <v>48579</v>
      </c>
      <c r="F2174" s="1" t="s">
        <v>16</v>
      </c>
      <c r="G2174" s="1" t="s">
        <v>953</v>
      </c>
      <c r="H2174" s="1" t="s">
        <v>2</v>
      </c>
      <c r="I2174" s="2">
        <v>46177</v>
      </c>
      <c r="J2174" s="1" t="s">
        <v>17</v>
      </c>
      <c r="K2174" s="1" t="s">
        <v>2657</v>
      </c>
      <c r="L2174" s="2">
        <v>46177.92087962963</v>
      </c>
      <c r="M2174" s="2">
        <v>46177.921329212964</v>
      </c>
    </row>
    <row r="2175" spans="1:13" x14ac:dyDescent="0.35">
      <c r="A2175" s="1" t="s">
        <v>952</v>
      </c>
      <c r="B2175" s="1" t="s">
        <v>13</v>
      </c>
      <c r="C2175" s="1" t="s">
        <v>953</v>
      </c>
      <c r="D2175">
        <v>3.875</v>
      </c>
      <c r="E2175" s="2">
        <v>48579</v>
      </c>
      <c r="F2175" s="1" t="s">
        <v>16</v>
      </c>
      <c r="G2175" s="1" t="s">
        <v>953</v>
      </c>
      <c r="H2175" s="1" t="s">
        <v>2</v>
      </c>
      <c r="I2175" s="2">
        <v>46177</v>
      </c>
      <c r="J2175" s="1" t="s">
        <v>18</v>
      </c>
      <c r="K2175" s="1" t="s">
        <v>2661</v>
      </c>
      <c r="L2175" s="2">
        <v>46177.92087962963</v>
      </c>
      <c r="M2175" s="2">
        <v>46177.921329212964</v>
      </c>
    </row>
    <row r="2176" spans="1:13" x14ac:dyDescent="0.35">
      <c r="A2176" s="1" t="s">
        <v>952</v>
      </c>
      <c r="B2176" s="1" t="s">
        <v>13</v>
      </c>
      <c r="C2176" s="1" t="s">
        <v>953</v>
      </c>
      <c r="D2176">
        <v>3.875</v>
      </c>
      <c r="E2176" s="2">
        <v>48579</v>
      </c>
      <c r="F2176" s="1" t="s">
        <v>16</v>
      </c>
      <c r="G2176" s="1" t="s">
        <v>953</v>
      </c>
      <c r="H2176" s="1" t="s">
        <v>2</v>
      </c>
      <c r="I2176" s="2">
        <v>46177</v>
      </c>
      <c r="J2176" s="1" t="s">
        <v>214</v>
      </c>
      <c r="K2176" s="1" t="s">
        <v>5228</v>
      </c>
      <c r="L2176" s="2">
        <v>46177.918923611112</v>
      </c>
      <c r="M2176" s="2">
        <v>46177.921329212964</v>
      </c>
    </row>
    <row r="2177" spans="1:13" x14ac:dyDescent="0.35">
      <c r="A2177" s="1" t="s">
        <v>952</v>
      </c>
      <c r="B2177" s="1" t="s">
        <v>13</v>
      </c>
      <c r="C2177" s="1" t="s">
        <v>953</v>
      </c>
      <c r="D2177">
        <v>3.875</v>
      </c>
      <c r="E2177" s="2">
        <v>48579</v>
      </c>
      <c r="F2177" s="1" t="s">
        <v>16</v>
      </c>
      <c r="G2177" s="1" t="s">
        <v>953</v>
      </c>
      <c r="H2177" s="1" t="s">
        <v>2</v>
      </c>
      <c r="I2177" s="2">
        <v>46177</v>
      </c>
      <c r="J2177" s="1" t="s">
        <v>67</v>
      </c>
      <c r="K2177" s="1" t="s">
        <v>5229</v>
      </c>
      <c r="L2177" s="2">
        <v>46177.918923611112</v>
      </c>
      <c r="M2177" s="2">
        <v>46177.921329212964</v>
      </c>
    </row>
    <row r="2178" spans="1:13" x14ac:dyDescent="0.35">
      <c r="A2178" s="1" t="s">
        <v>1046</v>
      </c>
      <c r="B2178" s="1" t="s">
        <v>13</v>
      </c>
      <c r="C2178" s="1" t="s">
        <v>1047</v>
      </c>
      <c r="D2178">
        <v>3.625</v>
      </c>
      <c r="E2178" s="2">
        <v>47848</v>
      </c>
      <c r="F2178" s="1" t="s">
        <v>16</v>
      </c>
      <c r="G2178" s="1" t="s">
        <v>1047</v>
      </c>
      <c r="H2178" s="1" t="s">
        <v>2</v>
      </c>
      <c r="I2178" s="2">
        <v>46177</v>
      </c>
      <c r="J2178" s="1" t="s">
        <v>17</v>
      </c>
      <c r="K2178" s="1" t="s">
        <v>2389</v>
      </c>
      <c r="L2178" s="2">
        <v>46177.92087962963</v>
      </c>
      <c r="M2178" s="2">
        <v>46177.921329212964</v>
      </c>
    </row>
    <row r="2179" spans="1:13" x14ac:dyDescent="0.35">
      <c r="A2179" s="1" t="s">
        <v>1046</v>
      </c>
      <c r="B2179" s="1" t="s">
        <v>13</v>
      </c>
      <c r="C2179" s="1" t="s">
        <v>1047</v>
      </c>
      <c r="D2179">
        <v>3.625</v>
      </c>
      <c r="E2179" s="2">
        <v>47848</v>
      </c>
      <c r="F2179" s="1" t="s">
        <v>16</v>
      </c>
      <c r="G2179" s="1" t="s">
        <v>1047</v>
      </c>
      <c r="H2179" s="1" t="s">
        <v>2</v>
      </c>
      <c r="I2179" s="2">
        <v>46177</v>
      </c>
      <c r="J2179" s="1" t="s">
        <v>18</v>
      </c>
      <c r="K2179" s="1" t="s">
        <v>2684</v>
      </c>
      <c r="L2179" s="2">
        <v>46177.92087962963</v>
      </c>
      <c r="M2179" s="2">
        <v>46177.921329212964</v>
      </c>
    </row>
    <row r="2180" spans="1:13" x14ac:dyDescent="0.35">
      <c r="A2180" s="1" t="s">
        <v>1046</v>
      </c>
      <c r="B2180" s="1" t="s">
        <v>13</v>
      </c>
      <c r="C2180" s="1" t="s">
        <v>1047</v>
      </c>
      <c r="D2180">
        <v>3.625</v>
      </c>
      <c r="E2180" s="2">
        <v>47848</v>
      </c>
      <c r="F2180" s="1" t="s">
        <v>16</v>
      </c>
      <c r="G2180" s="1" t="s">
        <v>1047</v>
      </c>
      <c r="H2180" s="1" t="s">
        <v>2</v>
      </c>
      <c r="I2180" s="2">
        <v>46177</v>
      </c>
      <c r="J2180" s="1" t="s">
        <v>214</v>
      </c>
      <c r="K2180" s="1" t="s">
        <v>5236</v>
      </c>
      <c r="L2180" s="2">
        <v>46177.918923611112</v>
      </c>
      <c r="M2180" s="2">
        <v>46177.921329212964</v>
      </c>
    </row>
    <row r="2181" spans="1:13" x14ac:dyDescent="0.35">
      <c r="A2181" s="1" t="s">
        <v>1046</v>
      </c>
      <c r="B2181" s="1" t="s">
        <v>13</v>
      </c>
      <c r="C2181" s="1" t="s">
        <v>1047</v>
      </c>
      <c r="D2181">
        <v>3.625</v>
      </c>
      <c r="E2181" s="2">
        <v>47848</v>
      </c>
      <c r="F2181" s="1" t="s">
        <v>16</v>
      </c>
      <c r="G2181" s="1" t="s">
        <v>1047</v>
      </c>
      <c r="H2181" s="1" t="s">
        <v>2</v>
      </c>
      <c r="I2181" s="2">
        <v>46177</v>
      </c>
      <c r="J2181" s="1" t="s">
        <v>67</v>
      </c>
      <c r="K2181" s="1" t="s">
        <v>5237</v>
      </c>
      <c r="L2181" s="2">
        <v>46177.918923611112</v>
      </c>
      <c r="M2181" s="2">
        <v>46177.921329212964</v>
      </c>
    </row>
    <row r="2182" spans="1:13" x14ac:dyDescent="0.35">
      <c r="A2182" s="1" t="s">
        <v>1046</v>
      </c>
      <c r="B2182" s="1" t="s">
        <v>13</v>
      </c>
      <c r="C2182" s="1" t="s">
        <v>1047</v>
      </c>
      <c r="D2182">
        <v>3.625</v>
      </c>
      <c r="E2182" s="2">
        <v>47848</v>
      </c>
      <c r="F2182" s="1" t="s">
        <v>16</v>
      </c>
      <c r="G2182" s="1" t="s">
        <v>1047</v>
      </c>
      <c r="H2182" s="1" t="s">
        <v>2</v>
      </c>
      <c r="I2182" s="2">
        <v>46177</v>
      </c>
      <c r="J2182" s="1" t="s">
        <v>224</v>
      </c>
      <c r="K2182" s="1" t="s">
        <v>5236</v>
      </c>
      <c r="L2182" s="2">
        <v>46177.918923611112</v>
      </c>
      <c r="M2182" s="2">
        <v>46177.921329212964</v>
      </c>
    </row>
    <row r="2183" spans="1:13" x14ac:dyDescent="0.35">
      <c r="A2183" s="1" t="s">
        <v>1046</v>
      </c>
      <c r="B2183" s="1" t="s">
        <v>13</v>
      </c>
      <c r="C2183" s="1" t="s">
        <v>1047</v>
      </c>
      <c r="D2183">
        <v>3.625</v>
      </c>
      <c r="E2183" s="2">
        <v>47848</v>
      </c>
      <c r="F2183" s="1" t="s">
        <v>16</v>
      </c>
      <c r="G2183" s="1" t="s">
        <v>1047</v>
      </c>
      <c r="H2183" s="1" t="s">
        <v>2</v>
      </c>
      <c r="I2183" s="2">
        <v>46177</v>
      </c>
      <c r="J2183" s="1" t="s">
        <v>215</v>
      </c>
      <c r="K2183" s="1" t="s">
        <v>5237</v>
      </c>
      <c r="L2183" s="2">
        <v>46177.918923611112</v>
      </c>
      <c r="M2183" s="2">
        <v>46177.921329212964</v>
      </c>
    </row>
    <row r="2184" spans="1:13" x14ac:dyDescent="0.35">
      <c r="A2184" s="1" t="s">
        <v>954</v>
      </c>
      <c r="B2184" s="1" t="s">
        <v>13</v>
      </c>
      <c r="C2184" s="1" t="s">
        <v>955</v>
      </c>
      <c r="D2184">
        <v>3.375</v>
      </c>
      <c r="E2184" s="2">
        <v>46752</v>
      </c>
      <c r="F2184" s="1" t="s">
        <v>16</v>
      </c>
      <c r="G2184" s="1" t="s">
        <v>955</v>
      </c>
      <c r="H2184" s="1" t="s">
        <v>2</v>
      </c>
      <c r="I2184" s="2">
        <v>46177</v>
      </c>
      <c r="J2184" s="1" t="s">
        <v>18</v>
      </c>
      <c r="K2184" s="1" t="s">
        <v>2503</v>
      </c>
      <c r="L2184" s="2">
        <v>46177.92087962963</v>
      </c>
      <c r="M2184" s="2">
        <v>46177.921329212964</v>
      </c>
    </row>
    <row r="2185" spans="1:13" x14ac:dyDescent="0.35">
      <c r="A2185" s="1" t="s">
        <v>954</v>
      </c>
      <c r="B2185" s="1" t="s">
        <v>13</v>
      </c>
      <c r="C2185" s="1" t="s">
        <v>955</v>
      </c>
      <c r="D2185">
        <v>3.375</v>
      </c>
      <c r="E2185" s="2">
        <v>46752</v>
      </c>
      <c r="F2185" s="1" t="s">
        <v>16</v>
      </c>
      <c r="G2185" s="1" t="s">
        <v>955</v>
      </c>
      <c r="H2185" s="1" t="s">
        <v>2</v>
      </c>
      <c r="I2185" s="2">
        <v>46177</v>
      </c>
      <c r="J2185" s="1" t="s">
        <v>17</v>
      </c>
      <c r="K2185" s="1" t="s">
        <v>4981</v>
      </c>
      <c r="L2185" s="2">
        <v>46177.92087962963</v>
      </c>
      <c r="M2185" s="2">
        <v>46177.921329212964</v>
      </c>
    </row>
    <row r="2186" spans="1:13" x14ac:dyDescent="0.35">
      <c r="A2186" s="1" t="s">
        <v>954</v>
      </c>
      <c r="B2186" s="1" t="s">
        <v>13</v>
      </c>
      <c r="C2186" s="1" t="s">
        <v>955</v>
      </c>
      <c r="D2186">
        <v>3.375</v>
      </c>
      <c r="E2186" s="2">
        <v>46752</v>
      </c>
      <c r="F2186" s="1" t="s">
        <v>16</v>
      </c>
      <c r="G2186" s="1" t="s">
        <v>955</v>
      </c>
      <c r="H2186" s="1" t="s">
        <v>2</v>
      </c>
      <c r="I2186" s="2">
        <v>46177</v>
      </c>
      <c r="J2186" s="1" t="s">
        <v>67</v>
      </c>
      <c r="K2186" s="1" t="s">
        <v>5097</v>
      </c>
      <c r="L2186" s="2">
        <v>46177.918923611112</v>
      </c>
      <c r="M2186" s="2">
        <v>46177.921329212964</v>
      </c>
    </row>
    <row r="2187" spans="1:13" x14ac:dyDescent="0.35">
      <c r="A2187" s="1" t="s">
        <v>954</v>
      </c>
      <c r="B2187" s="1" t="s">
        <v>13</v>
      </c>
      <c r="C2187" s="1" t="s">
        <v>955</v>
      </c>
      <c r="D2187">
        <v>3.375</v>
      </c>
      <c r="E2187" s="2">
        <v>46752</v>
      </c>
      <c r="F2187" s="1" t="s">
        <v>16</v>
      </c>
      <c r="G2187" s="1" t="s">
        <v>955</v>
      </c>
      <c r="H2187" s="1" t="s">
        <v>2</v>
      </c>
      <c r="I2187" s="2">
        <v>46177</v>
      </c>
      <c r="J2187" s="1" t="s">
        <v>224</v>
      </c>
      <c r="K2187" s="1" t="s">
        <v>5238</v>
      </c>
      <c r="L2187" s="2">
        <v>46177.918923611112</v>
      </c>
      <c r="M2187" s="2">
        <v>46177.921329212964</v>
      </c>
    </row>
    <row r="2188" spans="1:13" x14ac:dyDescent="0.35">
      <c r="A2188" s="1" t="s">
        <v>954</v>
      </c>
      <c r="B2188" s="1" t="s">
        <v>13</v>
      </c>
      <c r="C2188" s="1" t="s">
        <v>955</v>
      </c>
      <c r="D2188">
        <v>3.375</v>
      </c>
      <c r="E2188" s="2">
        <v>46752</v>
      </c>
      <c r="F2188" s="1" t="s">
        <v>16</v>
      </c>
      <c r="G2188" s="1" t="s">
        <v>955</v>
      </c>
      <c r="H2188" s="1" t="s">
        <v>2</v>
      </c>
      <c r="I2188" s="2">
        <v>46177</v>
      </c>
      <c r="J2188" s="1" t="s">
        <v>214</v>
      </c>
      <c r="K2188" s="1" t="s">
        <v>5238</v>
      </c>
      <c r="L2188" s="2">
        <v>46177.918923611112</v>
      </c>
      <c r="M2188" s="2">
        <v>46177.921329212964</v>
      </c>
    </row>
    <row r="2189" spans="1:13" x14ac:dyDescent="0.35">
      <c r="A2189" s="1" t="s">
        <v>954</v>
      </c>
      <c r="B2189" s="1" t="s">
        <v>13</v>
      </c>
      <c r="C2189" s="1" t="s">
        <v>955</v>
      </c>
      <c r="D2189">
        <v>3.375</v>
      </c>
      <c r="E2189" s="2">
        <v>46752</v>
      </c>
      <c r="F2189" s="1" t="s">
        <v>16</v>
      </c>
      <c r="G2189" s="1" t="s">
        <v>955</v>
      </c>
      <c r="H2189" s="1" t="s">
        <v>2</v>
      </c>
      <c r="I2189" s="2">
        <v>46177</v>
      </c>
      <c r="J2189" s="1" t="s">
        <v>215</v>
      </c>
      <c r="K2189" s="1" t="s">
        <v>5097</v>
      </c>
      <c r="L2189" s="2">
        <v>46177.918923611112</v>
      </c>
      <c r="M2189" s="2">
        <v>46177.921329212964</v>
      </c>
    </row>
    <row r="2190" spans="1:13" x14ac:dyDescent="0.35">
      <c r="A2190" s="1" t="s">
        <v>1034</v>
      </c>
      <c r="B2190" s="1" t="s">
        <v>13</v>
      </c>
      <c r="C2190" s="1" t="s">
        <v>1035</v>
      </c>
      <c r="D2190">
        <v>3.5</v>
      </c>
      <c r="E2190" s="2">
        <v>47133</v>
      </c>
      <c r="F2190" s="1" t="s">
        <v>16</v>
      </c>
      <c r="G2190" s="1" t="s">
        <v>1035</v>
      </c>
      <c r="H2190" s="1" t="s">
        <v>2</v>
      </c>
      <c r="I2190" s="2">
        <v>46177</v>
      </c>
      <c r="J2190" s="1" t="s">
        <v>67</v>
      </c>
      <c r="K2190" s="1" t="s">
        <v>5230</v>
      </c>
      <c r="L2190" s="2">
        <v>46177.918923611112</v>
      </c>
      <c r="M2190" s="2">
        <v>46177.921329212964</v>
      </c>
    </row>
    <row r="2191" spans="1:13" x14ac:dyDescent="0.35">
      <c r="A2191" s="1" t="s">
        <v>1034</v>
      </c>
      <c r="B2191" s="1" t="s">
        <v>13</v>
      </c>
      <c r="C2191" s="1" t="s">
        <v>1035</v>
      </c>
      <c r="D2191">
        <v>3.5</v>
      </c>
      <c r="E2191" s="2">
        <v>47133</v>
      </c>
      <c r="F2191" s="1" t="s">
        <v>16</v>
      </c>
      <c r="G2191" s="1" t="s">
        <v>1035</v>
      </c>
      <c r="H2191" s="1" t="s">
        <v>2</v>
      </c>
      <c r="I2191" s="2">
        <v>46177</v>
      </c>
      <c r="J2191" s="1" t="s">
        <v>17</v>
      </c>
      <c r="K2191" s="1" t="s">
        <v>4879</v>
      </c>
      <c r="L2191" s="2">
        <v>46177.92087962963</v>
      </c>
      <c r="M2191" s="2">
        <v>46177.921329212964</v>
      </c>
    </row>
    <row r="2192" spans="1:13" x14ac:dyDescent="0.35">
      <c r="A2192" s="1" t="s">
        <v>1034</v>
      </c>
      <c r="B2192" s="1" t="s">
        <v>13</v>
      </c>
      <c r="C2192" s="1" t="s">
        <v>1035</v>
      </c>
      <c r="D2192">
        <v>3.5</v>
      </c>
      <c r="E2192" s="2">
        <v>47133</v>
      </c>
      <c r="F2192" s="1" t="s">
        <v>16</v>
      </c>
      <c r="G2192" s="1" t="s">
        <v>1035</v>
      </c>
      <c r="H2192" s="1" t="s">
        <v>2</v>
      </c>
      <c r="I2192" s="2">
        <v>46177</v>
      </c>
      <c r="J2192" s="1" t="s">
        <v>18</v>
      </c>
      <c r="K2192" s="1" t="s">
        <v>2465</v>
      </c>
      <c r="L2192" s="2">
        <v>46177.92087962963</v>
      </c>
      <c r="M2192" s="2">
        <v>46177.921329212964</v>
      </c>
    </row>
    <row r="2193" spans="1:13" x14ac:dyDescent="0.35">
      <c r="A2193" s="1" t="s">
        <v>1034</v>
      </c>
      <c r="B2193" s="1" t="s">
        <v>13</v>
      </c>
      <c r="C2193" s="1" t="s">
        <v>1035</v>
      </c>
      <c r="D2193">
        <v>3.5</v>
      </c>
      <c r="E2193" s="2">
        <v>47133</v>
      </c>
      <c r="F2193" s="1" t="s">
        <v>16</v>
      </c>
      <c r="G2193" s="1" t="s">
        <v>1035</v>
      </c>
      <c r="H2193" s="1" t="s">
        <v>2</v>
      </c>
      <c r="I2193" s="2">
        <v>46177</v>
      </c>
      <c r="J2193" s="1" t="s">
        <v>224</v>
      </c>
      <c r="K2193" s="1" t="s">
        <v>5239</v>
      </c>
      <c r="L2193" s="2">
        <v>46177.918923611112</v>
      </c>
      <c r="M2193" s="2">
        <v>46177.921329212964</v>
      </c>
    </row>
    <row r="2194" spans="1:13" x14ac:dyDescent="0.35">
      <c r="A2194" s="1" t="s">
        <v>1034</v>
      </c>
      <c r="B2194" s="1" t="s">
        <v>13</v>
      </c>
      <c r="C2194" s="1" t="s">
        <v>1035</v>
      </c>
      <c r="D2194">
        <v>3.5</v>
      </c>
      <c r="E2194" s="2">
        <v>47133</v>
      </c>
      <c r="F2194" s="1" t="s">
        <v>16</v>
      </c>
      <c r="G2194" s="1" t="s">
        <v>1035</v>
      </c>
      <c r="H2194" s="1" t="s">
        <v>2</v>
      </c>
      <c r="I2194" s="2">
        <v>46177</v>
      </c>
      <c r="J2194" s="1" t="s">
        <v>214</v>
      </c>
      <c r="K2194" s="1" t="s">
        <v>5239</v>
      </c>
      <c r="L2194" s="2">
        <v>46177.918923611112</v>
      </c>
      <c r="M2194" s="2">
        <v>46177.921329212964</v>
      </c>
    </row>
    <row r="2195" spans="1:13" x14ac:dyDescent="0.35">
      <c r="A2195" s="1" t="s">
        <v>1034</v>
      </c>
      <c r="B2195" s="1" t="s">
        <v>13</v>
      </c>
      <c r="C2195" s="1" t="s">
        <v>1035</v>
      </c>
      <c r="D2195">
        <v>3.5</v>
      </c>
      <c r="E2195" s="2">
        <v>47133</v>
      </c>
      <c r="F2195" s="1" t="s">
        <v>16</v>
      </c>
      <c r="G2195" s="1" t="s">
        <v>1035</v>
      </c>
      <c r="H2195" s="1" t="s">
        <v>2</v>
      </c>
      <c r="I2195" s="2">
        <v>46177</v>
      </c>
      <c r="J2195" s="1" t="s">
        <v>215</v>
      </c>
      <c r="K2195" s="1" t="s">
        <v>5230</v>
      </c>
      <c r="L2195" s="2">
        <v>46177.918923611112</v>
      </c>
      <c r="M2195" s="2">
        <v>46177.921329212964</v>
      </c>
    </row>
    <row r="2196" spans="1:13" x14ac:dyDescent="0.35">
      <c r="A2196" s="1" t="s">
        <v>958</v>
      </c>
      <c r="B2196" s="1" t="s">
        <v>13</v>
      </c>
      <c r="C2196" s="1" t="s">
        <v>959</v>
      </c>
      <c r="D2196">
        <v>1.875</v>
      </c>
      <c r="E2196" s="2">
        <v>49689</v>
      </c>
      <c r="F2196" s="1" t="s">
        <v>64</v>
      </c>
      <c r="G2196" s="1" t="s">
        <v>959</v>
      </c>
      <c r="H2196" s="1" t="s">
        <v>2</v>
      </c>
      <c r="I2196" s="2">
        <v>46177</v>
      </c>
      <c r="J2196" s="1" t="s">
        <v>215</v>
      </c>
      <c r="K2196" s="1" t="s">
        <v>5098</v>
      </c>
      <c r="L2196" s="2">
        <v>46177.918923611112</v>
      </c>
      <c r="M2196" s="2">
        <v>46177.921329212964</v>
      </c>
    </row>
    <row r="2197" spans="1:13" x14ac:dyDescent="0.35">
      <c r="A2197" s="1" t="s">
        <v>958</v>
      </c>
      <c r="B2197" s="1" t="s">
        <v>13</v>
      </c>
      <c r="C2197" s="1" t="s">
        <v>959</v>
      </c>
      <c r="D2197">
        <v>1.875</v>
      </c>
      <c r="E2197" s="2">
        <v>49689</v>
      </c>
      <c r="F2197" s="1" t="s">
        <v>64</v>
      </c>
      <c r="G2197" s="1" t="s">
        <v>959</v>
      </c>
      <c r="H2197" s="1" t="s">
        <v>2</v>
      </c>
      <c r="I2197" s="2">
        <v>46177</v>
      </c>
      <c r="J2197" s="1" t="s">
        <v>224</v>
      </c>
      <c r="K2197" s="1" t="s">
        <v>5003</v>
      </c>
      <c r="L2197" s="2">
        <v>46177.918923611112</v>
      </c>
      <c r="M2197" s="2">
        <v>46177.921329212964</v>
      </c>
    </row>
    <row r="2198" spans="1:13" x14ac:dyDescent="0.35">
      <c r="A2198" s="1" t="s">
        <v>958</v>
      </c>
      <c r="B2198" s="1" t="s">
        <v>13</v>
      </c>
      <c r="C2198" s="1" t="s">
        <v>959</v>
      </c>
      <c r="D2198">
        <v>1.875</v>
      </c>
      <c r="E2198" s="2">
        <v>49689</v>
      </c>
      <c r="F2198" s="1" t="s">
        <v>64</v>
      </c>
      <c r="G2198" s="1" t="s">
        <v>959</v>
      </c>
      <c r="H2198" s="1" t="s">
        <v>2</v>
      </c>
      <c r="I2198" s="2">
        <v>46177</v>
      </c>
      <c r="J2198" s="1" t="s">
        <v>214</v>
      </c>
      <c r="K2198" s="1" t="s">
        <v>5003</v>
      </c>
      <c r="L2198" s="2">
        <v>46177.918923611112</v>
      </c>
      <c r="M2198" s="2">
        <v>46177.921329212964</v>
      </c>
    </row>
    <row r="2199" spans="1:13" x14ac:dyDescent="0.35">
      <c r="A2199" s="1" t="s">
        <v>958</v>
      </c>
      <c r="B2199" s="1" t="s">
        <v>13</v>
      </c>
      <c r="C2199" s="1" t="s">
        <v>959</v>
      </c>
      <c r="D2199">
        <v>1.875</v>
      </c>
      <c r="E2199" s="2">
        <v>49689</v>
      </c>
      <c r="F2199" s="1" t="s">
        <v>64</v>
      </c>
      <c r="G2199" s="1" t="s">
        <v>959</v>
      </c>
      <c r="H2199" s="1" t="s">
        <v>2</v>
      </c>
      <c r="I2199" s="2">
        <v>46177</v>
      </c>
      <c r="J2199" s="1" t="s">
        <v>18</v>
      </c>
      <c r="K2199" s="1" t="s">
        <v>2577</v>
      </c>
      <c r="L2199" s="2">
        <v>46177.92087962963</v>
      </c>
      <c r="M2199" s="2">
        <v>46177.921329212964</v>
      </c>
    </row>
    <row r="2200" spans="1:13" x14ac:dyDescent="0.35">
      <c r="A2200" s="1" t="s">
        <v>958</v>
      </c>
      <c r="B2200" s="1" t="s">
        <v>13</v>
      </c>
      <c r="C2200" s="1" t="s">
        <v>959</v>
      </c>
      <c r="D2200">
        <v>1.875</v>
      </c>
      <c r="E2200" s="2">
        <v>49689</v>
      </c>
      <c r="F2200" s="1" t="s">
        <v>64</v>
      </c>
      <c r="G2200" s="1" t="s">
        <v>959</v>
      </c>
      <c r="H2200" s="1" t="s">
        <v>2</v>
      </c>
      <c r="I2200" s="2">
        <v>46177</v>
      </c>
      <c r="J2200" s="1" t="s">
        <v>67</v>
      </c>
      <c r="K2200" s="1" t="s">
        <v>5098</v>
      </c>
      <c r="L2200" s="2">
        <v>46177.918923611112</v>
      </c>
      <c r="M2200" s="2">
        <v>46177.921329212964</v>
      </c>
    </row>
    <row r="2201" spans="1:13" x14ac:dyDescent="0.35">
      <c r="A2201" s="1" t="s">
        <v>958</v>
      </c>
      <c r="B2201" s="1" t="s">
        <v>13</v>
      </c>
      <c r="C2201" s="1" t="s">
        <v>959</v>
      </c>
      <c r="D2201">
        <v>1.875</v>
      </c>
      <c r="E2201" s="2">
        <v>49689</v>
      </c>
      <c r="F2201" s="1" t="s">
        <v>64</v>
      </c>
      <c r="G2201" s="1" t="s">
        <v>959</v>
      </c>
      <c r="H2201" s="1" t="s">
        <v>2</v>
      </c>
      <c r="I2201" s="2">
        <v>46177</v>
      </c>
      <c r="J2201" s="1" t="s">
        <v>17</v>
      </c>
      <c r="K2201" s="1" t="s">
        <v>2610</v>
      </c>
      <c r="L2201" s="2">
        <v>46177.92087962963</v>
      </c>
      <c r="M2201" s="2">
        <v>46177.921329212964</v>
      </c>
    </row>
    <row r="2202" spans="1:13" x14ac:dyDescent="0.35">
      <c r="A2202" s="1" t="s">
        <v>960</v>
      </c>
      <c r="B2202" s="1" t="s">
        <v>13</v>
      </c>
      <c r="C2202" s="1" t="s">
        <v>961</v>
      </c>
      <c r="D2202">
        <v>3.75</v>
      </c>
      <c r="E2202" s="2">
        <v>47879</v>
      </c>
      <c r="F2202" s="1" t="s">
        <v>16</v>
      </c>
      <c r="G2202" s="1" t="s">
        <v>961</v>
      </c>
      <c r="H2202" s="1" t="s">
        <v>2</v>
      </c>
      <c r="I2202" s="2">
        <v>46177</v>
      </c>
      <c r="J2202" s="1" t="s">
        <v>67</v>
      </c>
      <c r="K2202" s="1" t="s">
        <v>5004</v>
      </c>
      <c r="L2202" s="2">
        <v>46177.918923611112</v>
      </c>
      <c r="M2202" s="2">
        <v>46177.921329212964</v>
      </c>
    </row>
    <row r="2203" spans="1:13" x14ac:dyDescent="0.35">
      <c r="A2203" s="1" t="s">
        <v>960</v>
      </c>
      <c r="B2203" s="1" t="s">
        <v>13</v>
      </c>
      <c r="C2203" s="1" t="s">
        <v>961</v>
      </c>
      <c r="D2203">
        <v>3.75</v>
      </c>
      <c r="E2203" s="2">
        <v>47879</v>
      </c>
      <c r="F2203" s="1" t="s">
        <v>16</v>
      </c>
      <c r="G2203" s="1" t="s">
        <v>961</v>
      </c>
      <c r="H2203" s="1" t="s">
        <v>2</v>
      </c>
      <c r="I2203" s="2">
        <v>46177</v>
      </c>
      <c r="J2203" s="1" t="s">
        <v>17</v>
      </c>
      <c r="K2203" s="1" t="s">
        <v>2598</v>
      </c>
      <c r="L2203" s="2">
        <v>46177.92087962963</v>
      </c>
      <c r="M2203" s="2">
        <v>46177.921329212964</v>
      </c>
    </row>
    <row r="2204" spans="1:13" x14ac:dyDescent="0.35">
      <c r="A2204" s="1" t="s">
        <v>960</v>
      </c>
      <c r="B2204" s="1" t="s">
        <v>13</v>
      </c>
      <c r="C2204" s="1" t="s">
        <v>961</v>
      </c>
      <c r="D2204">
        <v>3.75</v>
      </c>
      <c r="E2204" s="2">
        <v>47879</v>
      </c>
      <c r="F2204" s="1" t="s">
        <v>16</v>
      </c>
      <c r="G2204" s="1" t="s">
        <v>961</v>
      </c>
      <c r="H2204" s="1" t="s">
        <v>2</v>
      </c>
      <c r="I2204" s="2">
        <v>46177</v>
      </c>
      <c r="J2204" s="1" t="s">
        <v>18</v>
      </c>
      <c r="K2204" s="1" t="s">
        <v>2604</v>
      </c>
      <c r="L2204" s="2">
        <v>46177.92087962963</v>
      </c>
      <c r="M2204" s="2">
        <v>46177.921329212964</v>
      </c>
    </row>
    <row r="2205" spans="1:13" x14ac:dyDescent="0.35">
      <c r="A2205" s="1" t="s">
        <v>960</v>
      </c>
      <c r="B2205" s="1" t="s">
        <v>13</v>
      </c>
      <c r="C2205" s="1" t="s">
        <v>961</v>
      </c>
      <c r="D2205">
        <v>3.75</v>
      </c>
      <c r="E2205" s="2">
        <v>47879</v>
      </c>
      <c r="F2205" s="1" t="s">
        <v>16</v>
      </c>
      <c r="G2205" s="1" t="s">
        <v>961</v>
      </c>
      <c r="H2205" s="1" t="s">
        <v>2</v>
      </c>
      <c r="I2205" s="2">
        <v>46177</v>
      </c>
      <c r="J2205" s="1" t="s">
        <v>214</v>
      </c>
      <c r="K2205" s="1" t="s">
        <v>5118</v>
      </c>
      <c r="L2205" s="2">
        <v>46177.918923611112</v>
      </c>
      <c r="M2205" s="2">
        <v>46177.921329212964</v>
      </c>
    </row>
    <row r="2206" spans="1:13" x14ac:dyDescent="0.35">
      <c r="A2206" s="1" t="s">
        <v>960</v>
      </c>
      <c r="B2206" s="1" t="s">
        <v>13</v>
      </c>
      <c r="C2206" s="1" t="s">
        <v>961</v>
      </c>
      <c r="D2206">
        <v>3.75</v>
      </c>
      <c r="E2206" s="2">
        <v>47879</v>
      </c>
      <c r="F2206" s="1" t="s">
        <v>16</v>
      </c>
      <c r="G2206" s="1" t="s">
        <v>961</v>
      </c>
      <c r="H2206" s="1" t="s">
        <v>2</v>
      </c>
      <c r="I2206" s="2">
        <v>46177</v>
      </c>
      <c r="J2206" s="1" t="s">
        <v>215</v>
      </c>
      <c r="K2206" s="1" t="s">
        <v>5004</v>
      </c>
      <c r="L2206" s="2">
        <v>46177.918923611112</v>
      </c>
      <c r="M2206" s="2">
        <v>46177.921329212964</v>
      </c>
    </row>
    <row r="2207" spans="1:13" x14ac:dyDescent="0.35">
      <c r="A2207" s="1" t="s">
        <v>960</v>
      </c>
      <c r="B2207" s="1" t="s">
        <v>13</v>
      </c>
      <c r="C2207" s="1" t="s">
        <v>961</v>
      </c>
      <c r="D2207">
        <v>3.75</v>
      </c>
      <c r="E2207" s="2">
        <v>47879</v>
      </c>
      <c r="F2207" s="1" t="s">
        <v>16</v>
      </c>
      <c r="G2207" s="1" t="s">
        <v>961</v>
      </c>
      <c r="H2207" s="1" t="s">
        <v>2</v>
      </c>
      <c r="I2207" s="2">
        <v>46177</v>
      </c>
      <c r="J2207" s="1" t="s">
        <v>224</v>
      </c>
      <c r="K2207" s="1" t="s">
        <v>5118</v>
      </c>
      <c r="L2207" s="2">
        <v>46177.918923611112</v>
      </c>
      <c r="M2207" s="2">
        <v>46177.921329212964</v>
      </c>
    </row>
    <row r="2208" spans="1:13" x14ac:dyDescent="0.35">
      <c r="A2208" s="1" t="s">
        <v>962</v>
      </c>
      <c r="B2208" s="1" t="s">
        <v>13</v>
      </c>
      <c r="C2208" s="1" t="s">
        <v>963</v>
      </c>
      <c r="D2208">
        <v>4</v>
      </c>
      <c r="E2208" s="2">
        <v>48610</v>
      </c>
      <c r="F2208" s="1" t="s">
        <v>16</v>
      </c>
      <c r="G2208" s="1" t="s">
        <v>963</v>
      </c>
      <c r="H2208" s="1" t="s">
        <v>2</v>
      </c>
      <c r="I2208" s="2">
        <v>46177</v>
      </c>
      <c r="J2208" s="1" t="s">
        <v>214</v>
      </c>
      <c r="K2208" s="1" t="s">
        <v>5099</v>
      </c>
      <c r="L2208" s="2">
        <v>46177.918923611112</v>
      </c>
      <c r="M2208" s="2">
        <v>46177.921329212964</v>
      </c>
    </row>
    <row r="2209" spans="1:13" x14ac:dyDescent="0.35">
      <c r="A2209" s="1" t="s">
        <v>962</v>
      </c>
      <c r="B2209" s="1" t="s">
        <v>13</v>
      </c>
      <c r="C2209" s="1" t="s">
        <v>963</v>
      </c>
      <c r="D2209">
        <v>4</v>
      </c>
      <c r="E2209" s="2">
        <v>48610</v>
      </c>
      <c r="F2209" s="1" t="s">
        <v>16</v>
      </c>
      <c r="G2209" s="1" t="s">
        <v>963</v>
      </c>
      <c r="H2209" s="1" t="s">
        <v>2</v>
      </c>
      <c r="I2209" s="2">
        <v>46177</v>
      </c>
      <c r="J2209" s="1" t="s">
        <v>224</v>
      </c>
      <c r="K2209" s="1" t="s">
        <v>5099</v>
      </c>
      <c r="L2209" s="2">
        <v>46177.918923611112</v>
      </c>
      <c r="M2209" s="2">
        <v>46177.921329212964</v>
      </c>
    </row>
    <row r="2210" spans="1:13" x14ac:dyDescent="0.35">
      <c r="A2210" s="1" t="s">
        <v>962</v>
      </c>
      <c r="B2210" s="1" t="s">
        <v>13</v>
      </c>
      <c r="C2210" s="1" t="s">
        <v>963</v>
      </c>
      <c r="D2210">
        <v>4</v>
      </c>
      <c r="E2210" s="2">
        <v>48610</v>
      </c>
      <c r="F2210" s="1" t="s">
        <v>16</v>
      </c>
      <c r="G2210" s="1" t="s">
        <v>963</v>
      </c>
      <c r="H2210" s="1" t="s">
        <v>2</v>
      </c>
      <c r="I2210" s="2">
        <v>46177</v>
      </c>
      <c r="J2210" s="1" t="s">
        <v>18</v>
      </c>
      <c r="K2210" s="1" t="s">
        <v>2598</v>
      </c>
      <c r="L2210" s="2">
        <v>46177.92087962963</v>
      </c>
      <c r="M2210" s="2">
        <v>46177.921329212964</v>
      </c>
    </row>
    <row r="2211" spans="1:13" x14ac:dyDescent="0.35">
      <c r="A2211" s="1" t="s">
        <v>962</v>
      </c>
      <c r="B2211" s="1" t="s">
        <v>13</v>
      </c>
      <c r="C2211" s="1" t="s">
        <v>963</v>
      </c>
      <c r="D2211">
        <v>4</v>
      </c>
      <c r="E2211" s="2">
        <v>48610</v>
      </c>
      <c r="F2211" s="1" t="s">
        <v>16</v>
      </c>
      <c r="G2211" s="1" t="s">
        <v>963</v>
      </c>
      <c r="H2211" s="1" t="s">
        <v>2</v>
      </c>
      <c r="I2211" s="2">
        <v>46177</v>
      </c>
      <c r="J2211" s="1" t="s">
        <v>17</v>
      </c>
      <c r="K2211" s="1" t="s">
        <v>2394</v>
      </c>
      <c r="L2211" s="2">
        <v>46177.92087962963</v>
      </c>
      <c r="M2211" s="2">
        <v>46177.921329212964</v>
      </c>
    </row>
    <row r="2212" spans="1:13" x14ac:dyDescent="0.35">
      <c r="A2212" s="1" t="s">
        <v>962</v>
      </c>
      <c r="B2212" s="1" t="s">
        <v>13</v>
      </c>
      <c r="C2212" s="1" t="s">
        <v>963</v>
      </c>
      <c r="D2212">
        <v>4</v>
      </c>
      <c r="E2212" s="2">
        <v>48610</v>
      </c>
      <c r="F2212" s="1" t="s">
        <v>16</v>
      </c>
      <c r="G2212" s="1" t="s">
        <v>963</v>
      </c>
      <c r="H2212" s="1" t="s">
        <v>2</v>
      </c>
      <c r="I2212" s="2">
        <v>46177</v>
      </c>
      <c r="J2212" s="1" t="s">
        <v>215</v>
      </c>
      <c r="K2212" s="1" t="s">
        <v>5240</v>
      </c>
      <c r="L2212" s="2">
        <v>46177.918923611112</v>
      </c>
      <c r="M2212" s="2">
        <v>46177.921329212964</v>
      </c>
    </row>
    <row r="2213" spans="1:13" x14ac:dyDescent="0.35">
      <c r="A2213" s="1" t="s">
        <v>962</v>
      </c>
      <c r="B2213" s="1" t="s">
        <v>13</v>
      </c>
      <c r="C2213" s="1" t="s">
        <v>963</v>
      </c>
      <c r="D2213">
        <v>4</v>
      </c>
      <c r="E2213" s="2">
        <v>48610</v>
      </c>
      <c r="F2213" s="1" t="s">
        <v>16</v>
      </c>
      <c r="G2213" s="1" t="s">
        <v>963</v>
      </c>
      <c r="H2213" s="1" t="s">
        <v>2</v>
      </c>
      <c r="I2213" s="2">
        <v>46177</v>
      </c>
      <c r="J2213" s="1" t="s">
        <v>67</v>
      </c>
      <c r="K2213" s="1" t="s">
        <v>5240</v>
      </c>
      <c r="L2213" s="2">
        <v>46177.918923611112</v>
      </c>
      <c r="M2213" s="2">
        <v>46177.921329212964</v>
      </c>
    </row>
    <row r="2214" spans="1:13" x14ac:dyDescent="0.35">
      <c r="A2214" s="1" t="s">
        <v>964</v>
      </c>
      <c r="B2214" s="1" t="s">
        <v>13</v>
      </c>
      <c r="C2214" s="1" t="s">
        <v>965</v>
      </c>
      <c r="D2214">
        <v>4.125</v>
      </c>
      <c r="E2214" s="2">
        <v>49720</v>
      </c>
      <c r="F2214" s="1" t="s">
        <v>16</v>
      </c>
      <c r="G2214" s="1" t="s">
        <v>965</v>
      </c>
      <c r="H2214" s="1" t="s">
        <v>2</v>
      </c>
      <c r="I2214" s="2">
        <v>46177</v>
      </c>
      <c r="J2214" s="1" t="s">
        <v>18</v>
      </c>
      <c r="K2214" s="1" t="s">
        <v>2993</v>
      </c>
      <c r="L2214" s="2">
        <v>46177.92087962963</v>
      </c>
      <c r="M2214" s="2">
        <v>46177.921329212964</v>
      </c>
    </row>
    <row r="2215" spans="1:13" x14ac:dyDescent="0.35">
      <c r="A2215" s="1" t="s">
        <v>964</v>
      </c>
      <c r="B2215" s="1" t="s">
        <v>13</v>
      </c>
      <c r="C2215" s="1" t="s">
        <v>965</v>
      </c>
      <c r="D2215">
        <v>4.125</v>
      </c>
      <c r="E2215" s="2">
        <v>49720</v>
      </c>
      <c r="F2215" s="1" t="s">
        <v>16</v>
      </c>
      <c r="G2215" s="1" t="s">
        <v>965</v>
      </c>
      <c r="H2215" s="1" t="s">
        <v>2</v>
      </c>
      <c r="I2215" s="2">
        <v>46177</v>
      </c>
      <c r="J2215" s="1" t="s">
        <v>67</v>
      </c>
      <c r="K2215" s="1" t="s">
        <v>5120</v>
      </c>
      <c r="L2215" s="2">
        <v>46177.918923611112</v>
      </c>
      <c r="M2215" s="2">
        <v>46177.921329212964</v>
      </c>
    </row>
    <row r="2216" spans="1:13" x14ac:dyDescent="0.35">
      <c r="A2216" s="1" t="s">
        <v>964</v>
      </c>
      <c r="B2216" s="1" t="s">
        <v>13</v>
      </c>
      <c r="C2216" s="1" t="s">
        <v>965</v>
      </c>
      <c r="D2216">
        <v>4.125</v>
      </c>
      <c r="E2216" s="2">
        <v>49720</v>
      </c>
      <c r="F2216" s="1" t="s">
        <v>16</v>
      </c>
      <c r="G2216" s="1" t="s">
        <v>965</v>
      </c>
      <c r="H2216" s="1" t="s">
        <v>2</v>
      </c>
      <c r="I2216" s="2">
        <v>46177</v>
      </c>
      <c r="J2216" s="1" t="s">
        <v>17</v>
      </c>
      <c r="K2216" s="1" t="s">
        <v>2973</v>
      </c>
      <c r="L2216" s="2">
        <v>46177.92087962963</v>
      </c>
      <c r="M2216" s="2">
        <v>46177.921329212964</v>
      </c>
    </row>
    <row r="2217" spans="1:13" x14ac:dyDescent="0.35">
      <c r="A2217" s="1" t="s">
        <v>964</v>
      </c>
      <c r="B2217" s="1" t="s">
        <v>13</v>
      </c>
      <c r="C2217" s="1" t="s">
        <v>965</v>
      </c>
      <c r="D2217">
        <v>4.125</v>
      </c>
      <c r="E2217" s="2">
        <v>49720</v>
      </c>
      <c r="F2217" s="1" t="s">
        <v>16</v>
      </c>
      <c r="G2217" s="1" t="s">
        <v>965</v>
      </c>
      <c r="H2217" s="1" t="s">
        <v>2</v>
      </c>
      <c r="I2217" s="2">
        <v>46177</v>
      </c>
      <c r="J2217" s="1" t="s">
        <v>214</v>
      </c>
      <c r="K2217" s="1" t="s">
        <v>5119</v>
      </c>
      <c r="L2217" s="2">
        <v>46177.918923611112</v>
      </c>
      <c r="M2217" s="2">
        <v>46177.921329212964</v>
      </c>
    </row>
    <row r="2218" spans="1:13" x14ac:dyDescent="0.35">
      <c r="A2218" s="1" t="s">
        <v>964</v>
      </c>
      <c r="B2218" s="1" t="s">
        <v>13</v>
      </c>
      <c r="C2218" s="1" t="s">
        <v>965</v>
      </c>
      <c r="D2218">
        <v>4.125</v>
      </c>
      <c r="E2218" s="2">
        <v>49720</v>
      </c>
      <c r="F2218" s="1" t="s">
        <v>16</v>
      </c>
      <c r="G2218" s="1" t="s">
        <v>965</v>
      </c>
      <c r="H2218" s="1" t="s">
        <v>2</v>
      </c>
      <c r="I2218" s="2">
        <v>46177</v>
      </c>
      <c r="J2218" s="1" t="s">
        <v>215</v>
      </c>
      <c r="K2218" s="1" t="s">
        <v>5120</v>
      </c>
      <c r="L2218" s="2">
        <v>46177.918923611112</v>
      </c>
      <c r="M2218" s="2">
        <v>46177.921329212964</v>
      </c>
    </row>
    <row r="2219" spans="1:13" x14ac:dyDescent="0.35">
      <c r="A2219" s="1" t="s">
        <v>964</v>
      </c>
      <c r="B2219" s="1" t="s">
        <v>13</v>
      </c>
      <c r="C2219" s="1" t="s">
        <v>965</v>
      </c>
      <c r="D2219">
        <v>4.125</v>
      </c>
      <c r="E2219" s="2">
        <v>49720</v>
      </c>
      <c r="F2219" s="1" t="s">
        <v>16</v>
      </c>
      <c r="G2219" s="1" t="s">
        <v>965</v>
      </c>
      <c r="H2219" s="1" t="s">
        <v>2</v>
      </c>
      <c r="I2219" s="2">
        <v>46177</v>
      </c>
      <c r="J2219" s="1" t="s">
        <v>224</v>
      </c>
      <c r="K2219" s="1" t="s">
        <v>5119</v>
      </c>
      <c r="L2219" s="2">
        <v>46177.918923611112</v>
      </c>
      <c r="M2219" s="2">
        <v>46177.921329212964</v>
      </c>
    </row>
    <row r="2220" spans="1:13" x14ac:dyDescent="0.35">
      <c r="A2220" s="1" t="s">
        <v>976</v>
      </c>
      <c r="B2220" s="1" t="s">
        <v>13</v>
      </c>
      <c r="C2220" s="1" t="s">
        <v>977</v>
      </c>
      <c r="D2220">
        <v>3.5</v>
      </c>
      <c r="E2220" s="2">
        <v>47164</v>
      </c>
      <c r="F2220" s="1" t="s">
        <v>16</v>
      </c>
      <c r="G2220" s="1" t="s">
        <v>977</v>
      </c>
      <c r="H2220" s="1" t="s">
        <v>2</v>
      </c>
      <c r="I2220" s="2">
        <v>46177</v>
      </c>
      <c r="J2220" s="1" t="s">
        <v>18</v>
      </c>
      <c r="K2220" s="1" t="s">
        <v>2313</v>
      </c>
      <c r="L2220" s="2">
        <v>46177.92087962963</v>
      </c>
      <c r="M2220" s="2">
        <v>46177.921329212964</v>
      </c>
    </row>
    <row r="2221" spans="1:13" x14ac:dyDescent="0.35">
      <c r="A2221" s="1" t="s">
        <v>976</v>
      </c>
      <c r="B2221" s="1" t="s">
        <v>13</v>
      </c>
      <c r="C2221" s="1" t="s">
        <v>977</v>
      </c>
      <c r="D2221">
        <v>3.5</v>
      </c>
      <c r="E2221" s="2">
        <v>47164</v>
      </c>
      <c r="F2221" s="1" t="s">
        <v>16</v>
      </c>
      <c r="G2221" s="1" t="s">
        <v>977</v>
      </c>
      <c r="H2221" s="1" t="s">
        <v>2</v>
      </c>
      <c r="I2221" s="2">
        <v>46177</v>
      </c>
      <c r="J2221" s="1" t="s">
        <v>224</v>
      </c>
      <c r="K2221" s="1" t="s">
        <v>5005</v>
      </c>
      <c r="L2221" s="2">
        <v>46177.918923611112</v>
      </c>
      <c r="M2221" s="2">
        <v>46177.921329212964</v>
      </c>
    </row>
    <row r="2222" spans="1:13" x14ac:dyDescent="0.35">
      <c r="A2222" s="1" t="s">
        <v>976</v>
      </c>
      <c r="B2222" s="1" t="s">
        <v>13</v>
      </c>
      <c r="C2222" s="1" t="s">
        <v>977</v>
      </c>
      <c r="D2222">
        <v>3.5</v>
      </c>
      <c r="E2222" s="2">
        <v>47164</v>
      </c>
      <c r="F2222" s="1" t="s">
        <v>16</v>
      </c>
      <c r="G2222" s="1" t="s">
        <v>977</v>
      </c>
      <c r="H2222" s="1" t="s">
        <v>2</v>
      </c>
      <c r="I2222" s="2">
        <v>46177</v>
      </c>
      <c r="J2222" s="1" t="s">
        <v>215</v>
      </c>
      <c r="K2222" s="1" t="s">
        <v>5100</v>
      </c>
      <c r="L2222" s="2">
        <v>46177.918923611112</v>
      </c>
      <c r="M2222" s="2">
        <v>46177.921329212964</v>
      </c>
    </row>
    <row r="2223" spans="1:13" x14ac:dyDescent="0.35">
      <c r="A2223" s="1" t="s">
        <v>976</v>
      </c>
      <c r="B2223" s="1" t="s">
        <v>13</v>
      </c>
      <c r="C2223" s="1" t="s">
        <v>977</v>
      </c>
      <c r="D2223">
        <v>3.5</v>
      </c>
      <c r="E2223" s="2">
        <v>47164</v>
      </c>
      <c r="F2223" s="1" t="s">
        <v>16</v>
      </c>
      <c r="G2223" s="1" t="s">
        <v>977</v>
      </c>
      <c r="H2223" s="1" t="s">
        <v>2</v>
      </c>
      <c r="I2223" s="2">
        <v>46177</v>
      </c>
      <c r="J2223" s="1" t="s">
        <v>17</v>
      </c>
      <c r="K2223" s="1" t="s">
        <v>2488</v>
      </c>
      <c r="L2223" s="2">
        <v>46177.92087962963</v>
      </c>
      <c r="M2223" s="2">
        <v>46177.921329212964</v>
      </c>
    </row>
    <row r="2224" spans="1:13" x14ac:dyDescent="0.35">
      <c r="A2224" s="1" t="s">
        <v>976</v>
      </c>
      <c r="B2224" s="1" t="s">
        <v>13</v>
      </c>
      <c r="C2224" s="1" t="s">
        <v>977</v>
      </c>
      <c r="D2224">
        <v>3.5</v>
      </c>
      <c r="E2224" s="2">
        <v>47164</v>
      </c>
      <c r="F2224" s="1" t="s">
        <v>16</v>
      </c>
      <c r="G2224" s="1" t="s">
        <v>977</v>
      </c>
      <c r="H2224" s="1" t="s">
        <v>2</v>
      </c>
      <c r="I2224" s="2">
        <v>46177</v>
      </c>
      <c r="J2224" s="1" t="s">
        <v>214</v>
      </c>
      <c r="K2224" s="1" t="s">
        <v>5005</v>
      </c>
      <c r="L2224" s="2">
        <v>46177.918923611112</v>
      </c>
      <c r="M2224" s="2">
        <v>46177.921329212964</v>
      </c>
    </row>
    <row r="2225" spans="1:13" x14ac:dyDescent="0.35">
      <c r="A2225" s="1" t="s">
        <v>976</v>
      </c>
      <c r="B2225" s="1" t="s">
        <v>13</v>
      </c>
      <c r="C2225" s="1" t="s">
        <v>977</v>
      </c>
      <c r="D2225">
        <v>3.5</v>
      </c>
      <c r="E2225" s="2">
        <v>47164</v>
      </c>
      <c r="F2225" s="1" t="s">
        <v>16</v>
      </c>
      <c r="G2225" s="1" t="s">
        <v>977</v>
      </c>
      <c r="H2225" s="1" t="s">
        <v>2</v>
      </c>
      <c r="I2225" s="2">
        <v>46177</v>
      </c>
      <c r="J2225" s="1" t="s">
        <v>67</v>
      </c>
      <c r="K2225" s="1" t="s">
        <v>5100</v>
      </c>
      <c r="L2225" s="2">
        <v>46177.918923611112</v>
      </c>
      <c r="M2225" s="2">
        <v>46177.921329212964</v>
      </c>
    </row>
    <row r="2226" spans="1:13" x14ac:dyDescent="0.35">
      <c r="A2226" s="1" t="s">
        <v>966</v>
      </c>
      <c r="B2226" s="1" t="s">
        <v>13</v>
      </c>
      <c r="C2226" s="1" t="s">
        <v>967</v>
      </c>
      <c r="D2226">
        <v>3.375</v>
      </c>
      <c r="E2226" s="2">
        <v>46812</v>
      </c>
      <c r="F2226" s="1" t="s">
        <v>16</v>
      </c>
      <c r="G2226" s="1" t="s">
        <v>967</v>
      </c>
      <c r="H2226" s="1" t="s">
        <v>2</v>
      </c>
      <c r="I2226" s="2">
        <v>46177</v>
      </c>
      <c r="J2226" s="1" t="s">
        <v>67</v>
      </c>
      <c r="K2226" s="1" t="s">
        <v>5006</v>
      </c>
      <c r="L2226" s="2">
        <v>46177.918923611112</v>
      </c>
      <c r="M2226" s="2">
        <v>46177.921329212964</v>
      </c>
    </row>
    <row r="2227" spans="1:13" x14ac:dyDescent="0.35">
      <c r="A2227" s="1" t="s">
        <v>966</v>
      </c>
      <c r="B2227" s="1" t="s">
        <v>13</v>
      </c>
      <c r="C2227" s="1" t="s">
        <v>967</v>
      </c>
      <c r="D2227">
        <v>3.375</v>
      </c>
      <c r="E2227" s="2">
        <v>46812</v>
      </c>
      <c r="F2227" s="1" t="s">
        <v>16</v>
      </c>
      <c r="G2227" s="1" t="s">
        <v>967</v>
      </c>
      <c r="H2227" s="1" t="s">
        <v>2</v>
      </c>
      <c r="I2227" s="2">
        <v>46177</v>
      </c>
      <c r="J2227" s="1" t="s">
        <v>224</v>
      </c>
      <c r="K2227" s="1" t="s">
        <v>5121</v>
      </c>
      <c r="L2227" s="2">
        <v>46177.918923611112</v>
      </c>
      <c r="M2227" s="2">
        <v>46177.921329212964</v>
      </c>
    </row>
    <row r="2228" spans="1:13" x14ac:dyDescent="0.35">
      <c r="A2228" s="1" t="s">
        <v>966</v>
      </c>
      <c r="B2228" s="1" t="s">
        <v>13</v>
      </c>
      <c r="C2228" s="1" t="s">
        <v>967</v>
      </c>
      <c r="D2228">
        <v>3.375</v>
      </c>
      <c r="E2228" s="2">
        <v>46812</v>
      </c>
      <c r="F2228" s="1" t="s">
        <v>16</v>
      </c>
      <c r="G2228" s="1" t="s">
        <v>967</v>
      </c>
      <c r="H2228" s="1" t="s">
        <v>2</v>
      </c>
      <c r="I2228" s="2">
        <v>46177</v>
      </c>
      <c r="J2228" s="1" t="s">
        <v>215</v>
      </c>
      <c r="K2228" s="1" t="s">
        <v>5006</v>
      </c>
      <c r="L2228" s="2">
        <v>46177.918923611112</v>
      </c>
      <c r="M2228" s="2">
        <v>46177.921329212964</v>
      </c>
    </row>
    <row r="2229" spans="1:13" x14ac:dyDescent="0.35">
      <c r="A2229" s="1" t="s">
        <v>966</v>
      </c>
      <c r="B2229" s="1" t="s">
        <v>13</v>
      </c>
      <c r="C2229" s="1" t="s">
        <v>967</v>
      </c>
      <c r="D2229">
        <v>3.375</v>
      </c>
      <c r="E2229" s="2">
        <v>46812</v>
      </c>
      <c r="F2229" s="1" t="s">
        <v>16</v>
      </c>
      <c r="G2229" s="1" t="s">
        <v>967</v>
      </c>
      <c r="H2229" s="1" t="s">
        <v>2</v>
      </c>
      <c r="I2229" s="2">
        <v>46177</v>
      </c>
      <c r="J2229" s="1" t="s">
        <v>17</v>
      </c>
      <c r="K2229" s="1" t="s">
        <v>2419</v>
      </c>
      <c r="L2229" s="2">
        <v>46177.92087962963</v>
      </c>
      <c r="M2229" s="2">
        <v>46177.921329212964</v>
      </c>
    </row>
    <row r="2230" spans="1:13" x14ac:dyDescent="0.35">
      <c r="A2230" s="1" t="s">
        <v>966</v>
      </c>
      <c r="B2230" s="1" t="s">
        <v>13</v>
      </c>
      <c r="C2230" s="1" t="s">
        <v>967</v>
      </c>
      <c r="D2230">
        <v>3.375</v>
      </c>
      <c r="E2230" s="2">
        <v>46812</v>
      </c>
      <c r="F2230" s="1" t="s">
        <v>16</v>
      </c>
      <c r="G2230" s="1" t="s">
        <v>967</v>
      </c>
      <c r="H2230" s="1" t="s">
        <v>2</v>
      </c>
      <c r="I2230" s="2">
        <v>46177</v>
      </c>
      <c r="J2230" s="1" t="s">
        <v>214</v>
      </c>
      <c r="K2230" s="1" t="s">
        <v>5121</v>
      </c>
      <c r="L2230" s="2">
        <v>46177.918923611112</v>
      </c>
      <c r="M2230" s="2">
        <v>46177.921329212964</v>
      </c>
    </row>
    <row r="2231" spans="1:13" x14ac:dyDescent="0.35">
      <c r="A2231" s="1" t="s">
        <v>966</v>
      </c>
      <c r="B2231" s="1" t="s">
        <v>13</v>
      </c>
      <c r="C2231" s="1" t="s">
        <v>967</v>
      </c>
      <c r="D2231">
        <v>3.375</v>
      </c>
      <c r="E2231" s="2">
        <v>46812</v>
      </c>
      <c r="F2231" s="1" t="s">
        <v>16</v>
      </c>
      <c r="G2231" s="1" t="s">
        <v>967</v>
      </c>
      <c r="H2231" s="1" t="s">
        <v>2</v>
      </c>
      <c r="I2231" s="2">
        <v>46177</v>
      </c>
      <c r="J2231" s="1" t="s">
        <v>18</v>
      </c>
      <c r="K2231" s="1" t="s">
        <v>2987</v>
      </c>
      <c r="L2231" s="2">
        <v>46177.92087962963</v>
      </c>
      <c r="M2231" s="2">
        <v>46177.921329212964</v>
      </c>
    </row>
    <row r="2232" spans="1:13" x14ac:dyDescent="0.35">
      <c r="A2232" s="1" t="s">
        <v>1036</v>
      </c>
      <c r="B2232" s="1" t="s">
        <v>13</v>
      </c>
      <c r="C2232" s="1" t="s">
        <v>1037</v>
      </c>
      <c r="D2232">
        <v>3.75</v>
      </c>
      <c r="E2232" s="2">
        <v>48638</v>
      </c>
      <c r="F2232" s="1" t="s">
        <v>16</v>
      </c>
      <c r="G2232" s="1" t="s">
        <v>1037</v>
      </c>
      <c r="H2232" s="1" t="s">
        <v>2</v>
      </c>
      <c r="I2232" s="2">
        <v>46177</v>
      </c>
      <c r="J2232" s="1" t="s">
        <v>17</v>
      </c>
      <c r="K2232" s="1" t="s">
        <v>5231</v>
      </c>
      <c r="L2232" s="2">
        <v>46177.92087962963</v>
      </c>
      <c r="M2232" s="2">
        <v>46177.921329212964</v>
      </c>
    </row>
    <row r="2233" spans="1:13" x14ac:dyDescent="0.35">
      <c r="A2233" s="1" t="s">
        <v>1036</v>
      </c>
      <c r="B2233" s="1" t="s">
        <v>13</v>
      </c>
      <c r="C2233" s="1" t="s">
        <v>1037</v>
      </c>
      <c r="D2233">
        <v>3.75</v>
      </c>
      <c r="E2233" s="2">
        <v>48638</v>
      </c>
      <c r="F2233" s="1" t="s">
        <v>16</v>
      </c>
      <c r="G2233" s="1" t="s">
        <v>1037</v>
      </c>
      <c r="H2233" s="1" t="s">
        <v>2</v>
      </c>
      <c r="I2233" s="2">
        <v>46177</v>
      </c>
      <c r="J2233" s="1" t="s">
        <v>215</v>
      </c>
      <c r="K2233" s="1" t="s">
        <v>5101</v>
      </c>
      <c r="L2233" s="2">
        <v>46177.918923611112</v>
      </c>
      <c r="M2233" s="2">
        <v>46177.921329212964</v>
      </c>
    </row>
    <row r="2234" spans="1:13" x14ac:dyDescent="0.35">
      <c r="A2234" s="1" t="s">
        <v>1036</v>
      </c>
      <c r="B2234" s="1" t="s">
        <v>13</v>
      </c>
      <c r="C2234" s="1" t="s">
        <v>1037</v>
      </c>
      <c r="D2234">
        <v>3.75</v>
      </c>
      <c r="E2234" s="2">
        <v>48638</v>
      </c>
      <c r="F2234" s="1" t="s">
        <v>16</v>
      </c>
      <c r="G2234" s="1" t="s">
        <v>1037</v>
      </c>
      <c r="H2234" s="1" t="s">
        <v>2</v>
      </c>
      <c r="I2234" s="2">
        <v>46177</v>
      </c>
      <c r="J2234" s="1" t="s">
        <v>18</v>
      </c>
      <c r="K2234" s="1" t="s">
        <v>2917</v>
      </c>
      <c r="L2234" s="2">
        <v>46177.92087962963</v>
      </c>
      <c r="M2234" s="2">
        <v>46177.921329212964</v>
      </c>
    </row>
    <row r="2235" spans="1:13" x14ac:dyDescent="0.35">
      <c r="A2235" s="1" t="s">
        <v>1036</v>
      </c>
      <c r="B2235" s="1" t="s">
        <v>13</v>
      </c>
      <c r="C2235" s="1" t="s">
        <v>1037</v>
      </c>
      <c r="D2235">
        <v>3.75</v>
      </c>
      <c r="E2235" s="2">
        <v>48638</v>
      </c>
      <c r="F2235" s="1" t="s">
        <v>16</v>
      </c>
      <c r="G2235" s="1" t="s">
        <v>1037</v>
      </c>
      <c r="H2235" s="1" t="s">
        <v>2</v>
      </c>
      <c r="I2235" s="2">
        <v>46177</v>
      </c>
      <c r="J2235" s="1" t="s">
        <v>224</v>
      </c>
      <c r="K2235" s="1" t="s">
        <v>5007</v>
      </c>
      <c r="L2235" s="2">
        <v>46177.918923611112</v>
      </c>
      <c r="M2235" s="2">
        <v>46177.921329212964</v>
      </c>
    </row>
    <row r="2236" spans="1:13" x14ac:dyDescent="0.35">
      <c r="A2236" s="1" t="s">
        <v>1036</v>
      </c>
      <c r="B2236" s="1" t="s">
        <v>13</v>
      </c>
      <c r="C2236" s="1" t="s">
        <v>1037</v>
      </c>
      <c r="D2236">
        <v>3.75</v>
      </c>
      <c r="E2236" s="2">
        <v>48638</v>
      </c>
      <c r="F2236" s="1" t="s">
        <v>16</v>
      </c>
      <c r="G2236" s="1" t="s">
        <v>1037</v>
      </c>
      <c r="H2236" s="1" t="s">
        <v>2</v>
      </c>
      <c r="I2236" s="2">
        <v>46177</v>
      </c>
      <c r="J2236" s="1" t="s">
        <v>214</v>
      </c>
      <c r="K2236" s="1" t="s">
        <v>5007</v>
      </c>
      <c r="L2236" s="2">
        <v>46177.918923611112</v>
      </c>
      <c r="M2236" s="2">
        <v>46177.921329212964</v>
      </c>
    </row>
    <row r="2237" spans="1:13" x14ac:dyDescent="0.35">
      <c r="A2237" s="1" t="s">
        <v>1036</v>
      </c>
      <c r="B2237" s="1" t="s">
        <v>13</v>
      </c>
      <c r="C2237" s="1" t="s">
        <v>1037</v>
      </c>
      <c r="D2237">
        <v>3.75</v>
      </c>
      <c r="E2237" s="2">
        <v>48638</v>
      </c>
      <c r="F2237" s="1" t="s">
        <v>16</v>
      </c>
      <c r="G2237" s="1" t="s">
        <v>1037</v>
      </c>
      <c r="H2237" s="1" t="s">
        <v>2</v>
      </c>
      <c r="I2237" s="2">
        <v>46177</v>
      </c>
      <c r="J2237" s="1" t="s">
        <v>67</v>
      </c>
      <c r="K2237" s="1" t="s">
        <v>5101</v>
      </c>
      <c r="L2237" s="2">
        <v>46177.918923611112</v>
      </c>
      <c r="M2237" s="2">
        <v>46177.921329212964</v>
      </c>
    </row>
    <row r="2238" spans="1:13" x14ac:dyDescent="0.35">
      <c r="A2238" s="1" t="s">
        <v>968</v>
      </c>
      <c r="B2238" s="1" t="s">
        <v>13</v>
      </c>
      <c r="C2238" s="1" t="s">
        <v>969</v>
      </c>
      <c r="D2238">
        <v>3.5</v>
      </c>
      <c r="E2238" s="2">
        <v>47907</v>
      </c>
      <c r="F2238" s="1" t="s">
        <v>16</v>
      </c>
      <c r="G2238" s="1" t="s">
        <v>969</v>
      </c>
      <c r="H2238" s="1" t="s">
        <v>2</v>
      </c>
      <c r="I2238" s="2">
        <v>46177</v>
      </c>
      <c r="J2238" s="1" t="s">
        <v>214</v>
      </c>
      <c r="K2238" s="1" t="s">
        <v>5102</v>
      </c>
      <c r="L2238" s="2">
        <v>46177.918923611112</v>
      </c>
      <c r="M2238" s="2">
        <v>46177.921329212964</v>
      </c>
    </row>
    <row r="2239" spans="1:13" x14ac:dyDescent="0.35">
      <c r="A2239" s="1" t="s">
        <v>968</v>
      </c>
      <c r="B2239" s="1" t="s">
        <v>13</v>
      </c>
      <c r="C2239" s="1" t="s">
        <v>969</v>
      </c>
      <c r="D2239">
        <v>3.5</v>
      </c>
      <c r="E2239" s="2">
        <v>47907</v>
      </c>
      <c r="F2239" s="1" t="s">
        <v>16</v>
      </c>
      <c r="G2239" s="1" t="s">
        <v>969</v>
      </c>
      <c r="H2239" s="1" t="s">
        <v>2</v>
      </c>
      <c r="I2239" s="2">
        <v>46177</v>
      </c>
      <c r="J2239" s="1" t="s">
        <v>67</v>
      </c>
      <c r="K2239" s="1" t="s">
        <v>5008</v>
      </c>
      <c r="L2239" s="2">
        <v>46177.918923611112</v>
      </c>
      <c r="M2239" s="2">
        <v>46177.921329212964</v>
      </c>
    </row>
    <row r="2240" spans="1:13" x14ac:dyDescent="0.35">
      <c r="A2240" s="1" t="s">
        <v>968</v>
      </c>
      <c r="B2240" s="1" t="s">
        <v>13</v>
      </c>
      <c r="C2240" s="1" t="s">
        <v>969</v>
      </c>
      <c r="D2240">
        <v>3.5</v>
      </c>
      <c r="E2240" s="2">
        <v>47907</v>
      </c>
      <c r="F2240" s="1" t="s">
        <v>16</v>
      </c>
      <c r="G2240" s="1" t="s">
        <v>969</v>
      </c>
      <c r="H2240" s="1" t="s">
        <v>2</v>
      </c>
      <c r="I2240" s="2">
        <v>46177</v>
      </c>
      <c r="J2240" s="1" t="s">
        <v>215</v>
      </c>
      <c r="K2240" s="1" t="s">
        <v>5008</v>
      </c>
      <c r="L2240" s="2">
        <v>46177.918923611112</v>
      </c>
      <c r="M2240" s="2">
        <v>46177.921329212964</v>
      </c>
    </row>
    <row r="2241" spans="1:13" x14ac:dyDescent="0.35">
      <c r="A2241" s="1" t="s">
        <v>968</v>
      </c>
      <c r="B2241" s="1" t="s">
        <v>13</v>
      </c>
      <c r="C2241" s="1" t="s">
        <v>969</v>
      </c>
      <c r="D2241">
        <v>3.5</v>
      </c>
      <c r="E2241" s="2">
        <v>47907</v>
      </c>
      <c r="F2241" s="1" t="s">
        <v>16</v>
      </c>
      <c r="G2241" s="1" t="s">
        <v>969</v>
      </c>
      <c r="H2241" s="1" t="s">
        <v>2</v>
      </c>
      <c r="I2241" s="2">
        <v>46177</v>
      </c>
      <c r="J2241" s="1" t="s">
        <v>18</v>
      </c>
      <c r="K2241" s="1" t="s">
        <v>5241</v>
      </c>
      <c r="L2241" s="2">
        <v>46177.92087962963</v>
      </c>
      <c r="M2241" s="2">
        <v>46177.921329212964</v>
      </c>
    </row>
    <row r="2242" spans="1:13" x14ac:dyDescent="0.35">
      <c r="A2242" s="1" t="s">
        <v>968</v>
      </c>
      <c r="B2242" s="1" t="s">
        <v>13</v>
      </c>
      <c r="C2242" s="1" t="s">
        <v>969</v>
      </c>
      <c r="D2242">
        <v>3.5</v>
      </c>
      <c r="E2242" s="2">
        <v>47907</v>
      </c>
      <c r="F2242" s="1" t="s">
        <v>16</v>
      </c>
      <c r="G2242" s="1" t="s">
        <v>969</v>
      </c>
      <c r="H2242" s="1" t="s">
        <v>2</v>
      </c>
      <c r="I2242" s="2">
        <v>46177</v>
      </c>
      <c r="J2242" s="1" t="s">
        <v>224</v>
      </c>
      <c r="K2242" s="1" t="s">
        <v>5102</v>
      </c>
      <c r="L2242" s="2">
        <v>46177.918923611112</v>
      </c>
      <c r="M2242" s="2">
        <v>46177.921329212964</v>
      </c>
    </row>
    <row r="2243" spans="1:13" x14ac:dyDescent="0.35">
      <c r="A2243" s="1" t="s">
        <v>968</v>
      </c>
      <c r="B2243" s="1" t="s">
        <v>13</v>
      </c>
      <c r="C2243" s="1" t="s">
        <v>969</v>
      </c>
      <c r="D2243">
        <v>3.5</v>
      </c>
      <c r="E2243" s="2">
        <v>47907</v>
      </c>
      <c r="F2243" s="1" t="s">
        <v>16</v>
      </c>
      <c r="G2243" s="1" t="s">
        <v>969</v>
      </c>
      <c r="H2243" s="1" t="s">
        <v>2</v>
      </c>
      <c r="I2243" s="2">
        <v>46177</v>
      </c>
      <c r="J2243" s="1" t="s">
        <v>17</v>
      </c>
      <c r="K2243" s="1" t="s">
        <v>4903</v>
      </c>
      <c r="L2243" s="2">
        <v>46177.92087962963</v>
      </c>
      <c r="M2243" s="2">
        <v>46177.921329212964</v>
      </c>
    </row>
    <row r="2244" spans="1:13" x14ac:dyDescent="0.35">
      <c r="A2244" s="1" t="s">
        <v>1038</v>
      </c>
      <c r="B2244" s="1" t="s">
        <v>13</v>
      </c>
      <c r="C2244" s="1" t="s">
        <v>1039</v>
      </c>
      <c r="D2244">
        <v>3.5</v>
      </c>
      <c r="E2244" s="2">
        <v>47192</v>
      </c>
      <c r="F2244" s="1" t="s">
        <v>16</v>
      </c>
      <c r="G2244" s="1" t="s">
        <v>1039</v>
      </c>
      <c r="H2244" s="1" t="s">
        <v>2</v>
      </c>
      <c r="I2244" s="2">
        <v>46177</v>
      </c>
      <c r="J2244" s="1" t="s">
        <v>214</v>
      </c>
      <c r="K2244" s="1" t="s">
        <v>5066</v>
      </c>
      <c r="L2244" s="2">
        <v>46177.918923611112</v>
      </c>
      <c r="M2244" s="2">
        <v>46177.921329212964</v>
      </c>
    </row>
    <row r="2245" spans="1:13" x14ac:dyDescent="0.35">
      <c r="A2245" s="1" t="s">
        <v>1038</v>
      </c>
      <c r="B2245" s="1" t="s">
        <v>13</v>
      </c>
      <c r="C2245" s="1" t="s">
        <v>1039</v>
      </c>
      <c r="D2245">
        <v>3.5</v>
      </c>
      <c r="E2245" s="2">
        <v>47192</v>
      </c>
      <c r="F2245" s="1" t="s">
        <v>16</v>
      </c>
      <c r="G2245" s="1" t="s">
        <v>1039</v>
      </c>
      <c r="H2245" s="1" t="s">
        <v>2</v>
      </c>
      <c r="I2245" s="2">
        <v>46177</v>
      </c>
      <c r="J2245" s="1" t="s">
        <v>215</v>
      </c>
      <c r="K2245" s="1" t="s">
        <v>5103</v>
      </c>
      <c r="L2245" s="2">
        <v>46177.918923611112</v>
      </c>
      <c r="M2245" s="2">
        <v>46177.921329212964</v>
      </c>
    </row>
    <row r="2246" spans="1:13" x14ac:dyDescent="0.35">
      <c r="A2246" s="1" t="s">
        <v>1038</v>
      </c>
      <c r="B2246" s="1" t="s">
        <v>13</v>
      </c>
      <c r="C2246" s="1" t="s">
        <v>1039</v>
      </c>
      <c r="D2246">
        <v>3.5</v>
      </c>
      <c r="E2246" s="2">
        <v>47192</v>
      </c>
      <c r="F2246" s="1" t="s">
        <v>16</v>
      </c>
      <c r="G2246" s="1" t="s">
        <v>1039</v>
      </c>
      <c r="H2246" s="1" t="s">
        <v>2</v>
      </c>
      <c r="I2246" s="2">
        <v>46177</v>
      </c>
      <c r="J2246" s="1" t="s">
        <v>18</v>
      </c>
      <c r="K2246" s="1" t="s">
        <v>2487</v>
      </c>
      <c r="L2246" s="2">
        <v>46177.92087962963</v>
      </c>
      <c r="M2246" s="2">
        <v>46177.921329212964</v>
      </c>
    </row>
    <row r="2247" spans="1:13" x14ac:dyDescent="0.35">
      <c r="A2247" s="1" t="s">
        <v>1038</v>
      </c>
      <c r="B2247" s="1" t="s">
        <v>13</v>
      </c>
      <c r="C2247" s="1" t="s">
        <v>1039</v>
      </c>
      <c r="D2247">
        <v>3.5</v>
      </c>
      <c r="E2247" s="2">
        <v>47192</v>
      </c>
      <c r="F2247" s="1" t="s">
        <v>16</v>
      </c>
      <c r="G2247" s="1" t="s">
        <v>1039</v>
      </c>
      <c r="H2247" s="1" t="s">
        <v>2</v>
      </c>
      <c r="I2247" s="2">
        <v>46177</v>
      </c>
      <c r="J2247" s="1" t="s">
        <v>224</v>
      </c>
      <c r="K2247" s="1" t="s">
        <v>5066</v>
      </c>
      <c r="L2247" s="2">
        <v>46177.918923611112</v>
      </c>
      <c r="M2247" s="2">
        <v>46177.921329212964</v>
      </c>
    </row>
    <row r="2248" spans="1:13" x14ac:dyDescent="0.35">
      <c r="A2248" s="1" t="s">
        <v>1038</v>
      </c>
      <c r="B2248" s="1" t="s">
        <v>13</v>
      </c>
      <c r="C2248" s="1" t="s">
        <v>1039</v>
      </c>
      <c r="D2248">
        <v>3.5</v>
      </c>
      <c r="E2248" s="2">
        <v>47192</v>
      </c>
      <c r="F2248" s="1" t="s">
        <v>16</v>
      </c>
      <c r="G2248" s="1" t="s">
        <v>1039</v>
      </c>
      <c r="H2248" s="1" t="s">
        <v>2</v>
      </c>
      <c r="I2248" s="2">
        <v>46177</v>
      </c>
      <c r="J2248" s="1" t="s">
        <v>67</v>
      </c>
      <c r="K2248" s="1" t="s">
        <v>5103</v>
      </c>
      <c r="L2248" s="2">
        <v>46177.918923611112</v>
      </c>
      <c r="M2248" s="2">
        <v>46177.921329212964</v>
      </c>
    </row>
    <row r="2249" spans="1:13" x14ac:dyDescent="0.35">
      <c r="A2249" s="1" t="s">
        <v>1038</v>
      </c>
      <c r="B2249" s="1" t="s">
        <v>13</v>
      </c>
      <c r="C2249" s="1" t="s">
        <v>1039</v>
      </c>
      <c r="D2249">
        <v>3.5</v>
      </c>
      <c r="E2249" s="2">
        <v>47192</v>
      </c>
      <c r="F2249" s="1" t="s">
        <v>16</v>
      </c>
      <c r="G2249" s="1" t="s">
        <v>1039</v>
      </c>
      <c r="H2249" s="1" t="s">
        <v>2</v>
      </c>
      <c r="I2249" s="2">
        <v>46177</v>
      </c>
      <c r="J2249" s="1" t="s">
        <v>17</v>
      </c>
      <c r="K2249" s="1" t="s">
        <v>2510</v>
      </c>
      <c r="L2249" s="2">
        <v>46177.92087962963</v>
      </c>
      <c r="M2249" s="2">
        <v>46177.921329212964</v>
      </c>
    </row>
    <row r="2250" spans="1:13" x14ac:dyDescent="0.35">
      <c r="A2250" s="1" t="s">
        <v>970</v>
      </c>
      <c r="B2250" s="1" t="s">
        <v>13</v>
      </c>
      <c r="C2250" s="1" t="s">
        <v>971</v>
      </c>
      <c r="D2250">
        <v>4.25</v>
      </c>
      <c r="E2250" s="2">
        <v>48669</v>
      </c>
      <c r="F2250" s="1" t="s">
        <v>16</v>
      </c>
      <c r="G2250" s="1" t="s">
        <v>971</v>
      </c>
      <c r="H2250" s="1" t="s">
        <v>2</v>
      </c>
      <c r="I2250" s="2">
        <v>46177</v>
      </c>
      <c r="J2250" s="1" t="s">
        <v>67</v>
      </c>
      <c r="K2250" s="1" t="s">
        <v>5232</v>
      </c>
      <c r="L2250" s="2">
        <v>46177.918923611112</v>
      </c>
      <c r="M2250" s="2">
        <v>46177.921329212964</v>
      </c>
    </row>
    <row r="2251" spans="1:13" x14ac:dyDescent="0.35">
      <c r="A2251" s="1" t="s">
        <v>970</v>
      </c>
      <c r="B2251" s="1" t="s">
        <v>13</v>
      </c>
      <c r="C2251" s="1" t="s">
        <v>971</v>
      </c>
      <c r="D2251">
        <v>4.25</v>
      </c>
      <c r="E2251" s="2">
        <v>48669</v>
      </c>
      <c r="F2251" s="1" t="s">
        <v>16</v>
      </c>
      <c r="G2251" s="1" t="s">
        <v>971</v>
      </c>
      <c r="H2251" s="1" t="s">
        <v>2</v>
      </c>
      <c r="I2251" s="2">
        <v>46177</v>
      </c>
      <c r="J2251" s="1" t="s">
        <v>224</v>
      </c>
      <c r="K2251" s="1" t="s">
        <v>5067</v>
      </c>
      <c r="L2251" s="2">
        <v>46177.918923611112</v>
      </c>
      <c r="M2251" s="2">
        <v>46177.921329212964</v>
      </c>
    </row>
    <row r="2252" spans="1:13" x14ac:dyDescent="0.35">
      <c r="A2252" s="1" t="s">
        <v>970</v>
      </c>
      <c r="B2252" s="1" t="s">
        <v>13</v>
      </c>
      <c r="C2252" s="1" t="s">
        <v>971</v>
      </c>
      <c r="D2252">
        <v>4.25</v>
      </c>
      <c r="E2252" s="2">
        <v>48669</v>
      </c>
      <c r="F2252" s="1" t="s">
        <v>16</v>
      </c>
      <c r="G2252" s="1" t="s">
        <v>971</v>
      </c>
      <c r="H2252" s="1" t="s">
        <v>2</v>
      </c>
      <c r="I2252" s="2">
        <v>46177</v>
      </c>
      <c r="J2252" s="1" t="s">
        <v>214</v>
      </c>
      <c r="K2252" s="1" t="s">
        <v>5067</v>
      </c>
      <c r="L2252" s="2">
        <v>46177.918923611112</v>
      </c>
      <c r="M2252" s="2">
        <v>46177.921329212964</v>
      </c>
    </row>
    <row r="2253" spans="1:13" x14ac:dyDescent="0.35">
      <c r="A2253" s="1" t="s">
        <v>970</v>
      </c>
      <c r="B2253" s="1" t="s">
        <v>13</v>
      </c>
      <c r="C2253" s="1" t="s">
        <v>971</v>
      </c>
      <c r="D2253">
        <v>4.25</v>
      </c>
      <c r="E2253" s="2">
        <v>48669</v>
      </c>
      <c r="F2253" s="1" t="s">
        <v>16</v>
      </c>
      <c r="G2253" s="1" t="s">
        <v>971</v>
      </c>
      <c r="H2253" s="1" t="s">
        <v>2</v>
      </c>
      <c r="I2253" s="2">
        <v>46177</v>
      </c>
      <c r="J2253" s="1" t="s">
        <v>215</v>
      </c>
      <c r="K2253" s="1" t="s">
        <v>5232</v>
      </c>
      <c r="L2253" s="2">
        <v>46177.918923611112</v>
      </c>
      <c r="M2253" s="2">
        <v>46177.921329212964</v>
      </c>
    </row>
    <row r="2254" spans="1:13" x14ac:dyDescent="0.35">
      <c r="A2254" s="1" t="s">
        <v>970</v>
      </c>
      <c r="B2254" s="1" t="s">
        <v>13</v>
      </c>
      <c r="C2254" s="1" t="s">
        <v>971</v>
      </c>
      <c r="D2254">
        <v>4.25</v>
      </c>
      <c r="E2254" s="2">
        <v>48669</v>
      </c>
      <c r="F2254" s="1" t="s">
        <v>16</v>
      </c>
      <c r="G2254" s="1" t="s">
        <v>971</v>
      </c>
      <c r="H2254" s="1" t="s">
        <v>2</v>
      </c>
      <c r="I2254" s="2">
        <v>46177</v>
      </c>
      <c r="J2254" s="1" t="s">
        <v>17</v>
      </c>
      <c r="K2254" s="1" t="s">
        <v>2576</v>
      </c>
      <c r="L2254" s="2">
        <v>46177.92087962963</v>
      </c>
      <c r="M2254" s="2">
        <v>46177.921329212964</v>
      </c>
    </row>
    <row r="2255" spans="1:13" x14ac:dyDescent="0.35">
      <c r="A2255" s="1" t="s">
        <v>970</v>
      </c>
      <c r="B2255" s="1" t="s">
        <v>13</v>
      </c>
      <c r="C2255" s="1" t="s">
        <v>971</v>
      </c>
      <c r="D2255">
        <v>4.25</v>
      </c>
      <c r="E2255" s="2">
        <v>48669</v>
      </c>
      <c r="F2255" s="1" t="s">
        <v>16</v>
      </c>
      <c r="G2255" s="1" t="s">
        <v>971</v>
      </c>
      <c r="H2255" s="1" t="s">
        <v>2</v>
      </c>
      <c r="I2255" s="2">
        <v>46177</v>
      </c>
      <c r="J2255" s="1" t="s">
        <v>18</v>
      </c>
      <c r="K2255" s="1" t="s">
        <v>2324</v>
      </c>
      <c r="L2255" s="2">
        <v>46177.92087962963</v>
      </c>
      <c r="M2255" s="2">
        <v>46177.921329212964</v>
      </c>
    </row>
    <row r="2256" spans="1:13" x14ac:dyDescent="0.35">
      <c r="A2256" s="1" t="s">
        <v>978</v>
      </c>
      <c r="B2256" s="1" t="s">
        <v>13</v>
      </c>
      <c r="C2256" s="1" t="s">
        <v>979</v>
      </c>
      <c r="D2256">
        <v>3.875</v>
      </c>
      <c r="E2256" s="2">
        <v>47938</v>
      </c>
      <c r="F2256" s="1" t="s">
        <v>16</v>
      </c>
      <c r="G2256" s="1" t="s">
        <v>979</v>
      </c>
      <c r="H2256" s="1" t="s">
        <v>2</v>
      </c>
      <c r="I2256" s="2">
        <v>46177</v>
      </c>
      <c r="J2256" s="1" t="s">
        <v>214</v>
      </c>
      <c r="K2256" s="1" t="s">
        <v>5104</v>
      </c>
      <c r="L2256" s="2">
        <v>46177.918923611112</v>
      </c>
      <c r="M2256" s="2">
        <v>46177.921329212964</v>
      </c>
    </row>
    <row r="2257" spans="1:13" x14ac:dyDescent="0.35">
      <c r="A2257" s="1" t="s">
        <v>978</v>
      </c>
      <c r="B2257" s="1" t="s">
        <v>13</v>
      </c>
      <c r="C2257" s="1" t="s">
        <v>979</v>
      </c>
      <c r="D2257">
        <v>3.875</v>
      </c>
      <c r="E2257" s="2">
        <v>47938</v>
      </c>
      <c r="F2257" s="1" t="s">
        <v>16</v>
      </c>
      <c r="G2257" s="1" t="s">
        <v>979</v>
      </c>
      <c r="H2257" s="1" t="s">
        <v>2</v>
      </c>
      <c r="I2257" s="2">
        <v>46177</v>
      </c>
      <c r="J2257" s="1" t="s">
        <v>215</v>
      </c>
      <c r="K2257" s="1" t="s">
        <v>5105</v>
      </c>
      <c r="L2257" s="2">
        <v>46177.918923611112</v>
      </c>
      <c r="M2257" s="2">
        <v>46177.921329212964</v>
      </c>
    </row>
    <row r="2258" spans="1:13" x14ac:dyDescent="0.35">
      <c r="A2258" s="1" t="s">
        <v>978</v>
      </c>
      <c r="B2258" s="1" t="s">
        <v>13</v>
      </c>
      <c r="C2258" s="1" t="s">
        <v>979</v>
      </c>
      <c r="D2258">
        <v>3.875</v>
      </c>
      <c r="E2258" s="2">
        <v>47938</v>
      </c>
      <c r="F2258" s="1" t="s">
        <v>16</v>
      </c>
      <c r="G2258" s="1" t="s">
        <v>979</v>
      </c>
      <c r="H2258" s="1" t="s">
        <v>2</v>
      </c>
      <c r="I2258" s="2">
        <v>46177</v>
      </c>
      <c r="J2258" s="1" t="s">
        <v>18</v>
      </c>
      <c r="K2258" s="1" t="s">
        <v>2976</v>
      </c>
      <c r="L2258" s="2">
        <v>46177.92087962963</v>
      </c>
      <c r="M2258" s="2">
        <v>46177.921329212964</v>
      </c>
    </row>
    <row r="2259" spans="1:13" x14ac:dyDescent="0.35">
      <c r="A2259" s="1" t="s">
        <v>978</v>
      </c>
      <c r="B2259" s="1" t="s">
        <v>13</v>
      </c>
      <c r="C2259" s="1" t="s">
        <v>979</v>
      </c>
      <c r="D2259">
        <v>3.875</v>
      </c>
      <c r="E2259" s="2">
        <v>47938</v>
      </c>
      <c r="F2259" s="1" t="s">
        <v>16</v>
      </c>
      <c r="G2259" s="1" t="s">
        <v>979</v>
      </c>
      <c r="H2259" s="1" t="s">
        <v>2</v>
      </c>
      <c r="I2259" s="2">
        <v>46177</v>
      </c>
      <c r="J2259" s="1" t="s">
        <v>67</v>
      </c>
      <c r="K2259" s="1" t="s">
        <v>5105</v>
      </c>
      <c r="L2259" s="2">
        <v>46177.918923611112</v>
      </c>
      <c r="M2259" s="2">
        <v>46177.921329212964</v>
      </c>
    </row>
    <row r="2260" spans="1:13" x14ac:dyDescent="0.35">
      <c r="A2260" s="1" t="s">
        <v>978</v>
      </c>
      <c r="B2260" s="1" t="s">
        <v>13</v>
      </c>
      <c r="C2260" s="1" t="s">
        <v>979</v>
      </c>
      <c r="D2260">
        <v>3.875</v>
      </c>
      <c r="E2260" s="2">
        <v>47938</v>
      </c>
      <c r="F2260" s="1" t="s">
        <v>16</v>
      </c>
      <c r="G2260" s="1" t="s">
        <v>979</v>
      </c>
      <c r="H2260" s="1" t="s">
        <v>2</v>
      </c>
      <c r="I2260" s="2">
        <v>46177</v>
      </c>
      <c r="J2260" s="1" t="s">
        <v>224</v>
      </c>
      <c r="K2260" s="1" t="s">
        <v>5104</v>
      </c>
      <c r="L2260" s="2">
        <v>46177.918923611112</v>
      </c>
      <c r="M2260" s="2">
        <v>46177.921329212964</v>
      </c>
    </row>
    <row r="2261" spans="1:13" x14ac:dyDescent="0.35">
      <c r="A2261" s="1" t="s">
        <v>978</v>
      </c>
      <c r="B2261" s="1" t="s">
        <v>13</v>
      </c>
      <c r="C2261" s="1" t="s">
        <v>979</v>
      </c>
      <c r="D2261">
        <v>3.875</v>
      </c>
      <c r="E2261" s="2">
        <v>47938</v>
      </c>
      <c r="F2261" s="1" t="s">
        <v>16</v>
      </c>
      <c r="G2261" s="1" t="s">
        <v>979</v>
      </c>
      <c r="H2261" s="1" t="s">
        <v>2</v>
      </c>
      <c r="I2261" s="2">
        <v>46177</v>
      </c>
      <c r="J2261" s="1" t="s">
        <v>17</v>
      </c>
      <c r="K2261" s="1" t="s">
        <v>2685</v>
      </c>
      <c r="L2261" s="2">
        <v>46177.92087962963</v>
      </c>
      <c r="M2261" s="2">
        <v>46177.921329212964</v>
      </c>
    </row>
    <row r="2262" spans="1:13" x14ac:dyDescent="0.35">
      <c r="A2262" s="1" t="s">
        <v>972</v>
      </c>
      <c r="B2262" s="1" t="s">
        <v>13</v>
      </c>
      <c r="C2262" s="1" t="s">
        <v>973</v>
      </c>
      <c r="D2262">
        <v>3.875</v>
      </c>
      <c r="E2262" s="2">
        <v>46843</v>
      </c>
      <c r="F2262" s="1" t="s">
        <v>16</v>
      </c>
      <c r="G2262" s="1" t="s">
        <v>973</v>
      </c>
      <c r="H2262" s="1" t="s">
        <v>2</v>
      </c>
      <c r="I2262" s="2">
        <v>46177</v>
      </c>
      <c r="J2262" s="1" t="s">
        <v>17</v>
      </c>
      <c r="K2262" s="1" t="s">
        <v>2501</v>
      </c>
      <c r="L2262" s="2">
        <v>46177.92087962963</v>
      </c>
      <c r="M2262" s="2">
        <v>46177.921329212964</v>
      </c>
    </row>
    <row r="2263" spans="1:13" x14ac:dyDescent="0.35">
      <c r="A2263" s="1" t="s">
        <v>972</v>
      </c>
      <c r="B2263" s="1" t="s">
        <v>13</v>
      </c>
      <c r="C2263" s="1" t="s">
        <v>973</v>
      </c>
      <c r="D2263">
        <v>3.875</v>
      </c>
      <c r="E2263" s="2">
        <v>46843</v>
      </c>
      <c r="F2263" s="1" t="s">
        <v>16</v>
      </c>
      <c r="G2263" s="1" t="s">
        <v>973</v>
      </c>
      <c r="H2263" s="1" t="s">
        <v>2</v>
      </c>
      <c r="I2263" s="2">
        <v>46177</v>
      </c>
      <c r="J2263" s="1" t="s">
        <v>224</v>
      </c>
      <c r="K2263" s="1" t="s">
        <v>5233</v>
      </c>
      <c r="L2263" s="2">
        <v>46177.918923611112</v>
      </c>
      <c r="M2263" s="2">
        <v>46177.921329212964</v>
      </c>
    </row>
    <row r="2264" spans="1:13" x14ac:dyDescent="0.35">
      <c r="A2264" s="1" t="s">
        <v>972</v>
      </c>
      <c r="B2264" s="1" t="s">
        <v>13</v>
      </c>
      <c r="C2264" s="1" t="s">
        <v>973</v>
      </c>
      <c r="D2264">
        <v>3.875</v>
      </c>
      <c r="E2264" s="2">
        <v>46843</v>
      </c>
      <c r="F2264" s="1" t="s">
        <v>16</v>
      </c>
      <c r="G2264" s="1" t="s">
        <v>973</v>
      </c>
      <c r="H2264" s="1" t="s">
        <v>2</v>
      </c>
      <c r="I2264" s="2">
        <v>46177</v>
      </c>
      <c r="J2264" s="1" t="s">
        <v>67</v>
      </c>
      <c r="K2264" s="1" t="s">
        <v>5106</v>
      </c>
      <c r="L2264" s="2">
        <v>46177.918923611112</v>
      </c>
      <c r="M2264" s="2">
        <v>46177.921329212964</v>
      </c>
    </row>
    <row r="2265" spans="1:13" x14ac:dyDescent="0.35">
      <c r="A2265" s="1" t="s">
        <v>972</v>
      </c>
      <c r="B2265" s="1" t="s">
        <v>13</v>
      </c>
      <c r="C2265" s="1" t="s">
        <v>973</v>
      </c>
      <c r="D2265">
        <v>3.875</v>
      </c>
      <c r="E2265" s="2">
        <v>46843</v>
      </c>
      <c r="F2265" s="1" t="s">
        <v>16</v>
      </c>
      <c r="G2265" s="1" t="s">
        <v>973</v>
      </c>
      <c r="H2265" s="1" t="s">
        <v>2</v>
      </c>
      <c r="I2265" s="2">
        <v>46177</v>
      </c>
      <c r="J2265" s="1" t="s">
        <v>18</v>
      </c>
      <c r="K2265" s="1" t="s">
        <v>5068</v>
      </c>
      <c r="L2265" s="2">
        <v>46177.92087962963</v>
      </c>
      <c r="M2265" s="2">
        <v>46177.921329212964</v>
      </c>
    </row>
    <row r="2266" spans="1:13" x14ac:dyDescent="0.35">
      <c r="A2266" s="1" t="s">
        <v>972</v>
      </c>
      <c r="B2266" s="1" t="s">
        <v>13</v>
      </c>
      <c r="C2266" s="1" t="s">
        <v>973</v>
      </c>
      <c r="D2266">
        <v>3.875</v>
      </c>
      <c r="E2266" s="2">
        <v>46843</v>
      </c>
      <c r="F2266" s="1" t="s">
        <v>16</v>
      </c>
      <c r="G2266" s="1" t="s">
        <v>973</v>
      </c>
      <c r="H2266" s="1" t="s">
        <v>2</v>
      </c>
      <c r="I2266" s="2">
        <v>46177</v>
      </c>
      <c r="J2266" s="1" t="s">
        <v>215</v>
      </c>
      <c r="K2266" s="1" t="s">
        <v>5106</v>
      </c>
      <c r="L2266" s="2">
        <v>46177.918923611112</v>
      </c>
      <c r="M2266" s="2">
        <v>46177.921329212964</v>
      </c>
    </row>
    <row r="2267" spans="1:13" x14ac:dyDescent="0.35">
      <c r="A2267" s="1" t="s">
        <v>972</v>
      </c>
      <c r="B2267" s="1" t="s">
        <v>13</v>
      </c>
      <c r="C2267" s="1" t="s">
        <v>973</v>
      </c>
      <c r="D2267">
        <v>3.875</v>
      </c>
      <c r="E2267" s="2">
        <v>46843</v>
      </c>
      <c r="F2267" s="1" t="s">
        <v>16</v>
      </c>
      <c r="G2267" s="1" t="s">
        <v>973</v>
      </c>
      <c r="H2267" s="1" t="s">
        <v>2</v>
      </c>
      <c r="I2267" s="2">
        <v>46177</v>
      </c>
      <c r="J2267" s="1" t="s">
        <v>214</v>
      </c>
      <c r="K2267" s="1" t="s">
        <v>5233</v>
      </c>
      <c r="L2267" s="2">
        <v>46177.918923611112</v>
      </c>
      <c r="M2267" s="2">
        <v>46177.921329212964</v>
      </c>
    </row>
    <row r="2268" spans="1:13" x14ac:dyDescent="0.35">
      <c r="A2268" s="1" t="s">
        <v>980</v>
      </c>
      <c r="B2268" s="1" t="s">
        <v>13</v>
      </c>
      <c r="C2268" s="1" t="s">
        <v>981</v>
      </c>
      <c r="D2268">
        <v>3.875</v>
      </c>
      <c r="E2268" s="2">
        <v>47223</v>
      </c>
      <c r="F2268" s="1" t="s">
        <v>16</v>
      </c>
      <c r="G2268" s="1" t="s">
        <v>981</v>
      </c>
      <c r="H2268" s="1" t="s">
        <v>2</v>
      </c>
      <c r="I2268" s="2">
        <v>46177</v>
      </c>
      <c r="J2268" s="1" t="s">
        <v>224</v>
      </c>
      <c r="K2268" s="1" t="s">
        <v>5107</v>
      </c>
      <c r="L2268" s="2">
        <v>46177.918923611112</v>
      </c>
      <c r="M2268" s="2">
        <v>46177.921329212964</v>
      </c>
    </row>
    <row r="2269" spans="1:13" x14ac:dyDescent="0.35">
      <c r="A2269" s="1" t="s">
        <v>980</v>
      </c>
      <c r="B2269" s="1" t="s">
        <v>13</v>
      </c>
      <c r="C2269" s="1" t="s">
        <v>981</v>
      </c>
      <c r="D2269">
        <v>3.875</v>
      </c>
      <c r="E2269" s="2">
        <v>47223</v>
      </c>
      <c r="F2269" s="1" t="s">
        <v>16</v>
      </c>
      <c r="G2269" s="1" t="s">
        <v>981</v>
      </c>
      <c r="H2269" s="1" t="s">
        <v>2</v>
      </c>
      <c r="I2269" s="2">
        <v>46177</v>
      </c>
      <c r="J2269" s="1" t="s">
        <v>215</v>
      </c>
      <c r="K2269" s="1" t="s">
        <v>5108</v>
      </c>
      <c r="L2269" s="2">
        <v>46177.918923611112</v>
      </c>
      <c r="M2269" s="2">
        <v>46177.921329212964</v>
      </c>
    </row>
    <row r="2270" spans="1:13" x14ac:dyDescent="0.35">
      <c r="A2270" s="1" t="s">
        <v>980</v>
      </c>
      <c r="B2270" s="1" t="s">
        <v>13</v>
      </c>
      <c r="C2270" s="1" t="s">
        <v>981</v>
      </c>
      <c r="D2270">
        <v>3.875</v>
      </c>
      <c r="E2270" s="2">
        <v>47223</v>
      </c>
      <c r="F2270" s="1" t="s">
        <v>16</v>
      </c>
      <c r="G2270" s="1" t="s">
        <v>981</v>
      </c>
      <c r="H2270" s="1" t="s">
        <v>2</v>
      </c>
      <c r="I2270" s="2">
        <v>46177</v>
      </c>
      <c r="J2270" s="1" t="s">
        <v>17</v>
      </c>
      <c r="K2270" s="1" t="s">
        <v>2656</v>
      </c>
      <c r="L2270" s="2">
        <v>46177.92087962963</v>
      </c>
      <c r="M2270" s="2">
        <v>46177.921329212964</v>
      </c>
    </row>
    <row r="2271" spans="1:13" x14ac:dyDescent="0.35">
      <c r="A2271" s="1" t="s">
        <v>980</v>
      </c>
      <c r="B2271" s="1" t="s">
        <v>13</v>
      </c>
      <c r="C2271" s="1" t="s">
        <v>981</v>
      </c>
      <c r="D2271">
        <v>3.875</v>
      </c>
      <c r="E2271" s="2">
        <v>47223</v>
      </c>
      <c r="F2271" s="1" t="s">
        <v>16</v>
      </c>
      <c r="G2271" s="1" t="s">
        <v>981</v>
      </c>
      <c r="H2271" s="1" t="s">
        <v>2</v>
      </c>
      <c r="I2271" s="2">
        <v>46177</v>
      </c>
      <c r="J2271" s="1" t="s">
        <v>214</v>
      </c>
      <c r="K2271" s="1" t="s">
        <v>5107</v>
      </c>
      <c r="L2271" s="2">
        <v>46177.918923611112</v>
      </c>
      <c r="M2271" s="2">
        <v>46177.921329212964</v>
      </c>
    </row>
    <row r="2272" spans="1:13" x14ac:dyDescent="0.35">
      <c r="A2272" s="1" t="s">
        <v>980</v>
      </c>
      <c r="B2272" s="1" t="s">
        <v>13</v>
      </c>
      <c r="C2272" s="1" t="s">
        <v>981</v>
      </c>
      <c r="D2272">
        <v>3.875</v>
      </c>
      <c r="E2272" s="2">
        <v>47223</v>
      </c>
      <c r="F2272" s="1" t="s">
        <v>16</v>
      </c>
      <c r="G2272" s="1" t="s">
        <v>981</v>
      </c>
      <c r="H2272" s="1" t="s">
        <v>2</v>
      </c>
      <c r="I2272" s="2">
        <v>46177</v>
      </c>
      <c r="J2272" s="1" t="s">
        <v>18</v>
      </c>
      <c r="K2272" s="1" t="s">
        <v>2458</v>
      </c>
      <c r="L2272" s="2">
        <v>46177.92087962963</v>
      </c>
      <c r="M2272" s="2">
        <v>46177.921329212964</v>
      </c>
    </row>
    <row r="2273" spans="1:13" x14ac:dyDescent="0.35">
      <c r="A2273" s="1" t="s">
        <v>980</v>
      </c>
      <c r="B2273" s="1" t="s">
        <v>13</v>
      </c>
      <c r="C2273" s="1" t="s">
        <v>981</v>
      </c>
      <c r="D2273">
        <v>3.875</v>
      </c>
      <c r="E2273" s="2">
        <v>47223</v>
      </c>
      <c r="F2273" s="1" t="s">
        <v>16</v>
      </c>
      <c r="G2273" s="1" t="s">
        <v>981</v>
      </c>
      <c r="H2273" s="1" t="s">
        <v>2</v>
      </c>
      <c r="I2273" s="2">
        <v>46177</v>
      </c>
      <c r="J2273" s="1" t="s">
        <v>67</v>
      </c>
      <c r="K2273" s="1" t="s">
        <v>5108</v>
      </c>
      <c r="L2273" s="2">
        <v>46177.918923611112</v>
      </c>
      <c r="M2273" s="2">
        <v>46177.921329212964</v>
      </c>
    </row>
    <row r="2274" spans="1:13" x14ac:dyDescent="0.35">
      <c r="A2274" s="1" t="s">
        <v>982</v>
      </c>
      <c r="B2274" s="1" t="s">
        <v>13</v>
      </c>
      <c r="C2274" s="1" t="s">
        <v>983</v>
      </c>
      <c r="D2274">
        <v>3.875</v>
      </c>
      <c r="E2274" s="2">
        <v>47968</v>
      </c>
      <c r="F2274" s="1" t="s">
        <v>16</v>
      </c>
      <c r="G2274" s="1" t="s">
        <v>983</v>
      </c>
      <c r="H2274" s="1" t="s">
        <v>2</v>
      </c>
      <c r="I2274" s="2">
        <v>46177</v>
      </c>
      <c r="J2274" s="1" t="s">
        <v>224</v>
      </c>
      <c r="K2274" s="1" t="s">
        <v>5173</v>
      </c>
      <c r="L2274" s="2">
        <v>46177.918923611112</v>
      </c>
      <c r="M2274" s="2">
        <v>46177.921329212964</v>
      </c>
    </row>
    <row r="2275" spans="1:13" x14ac:dyDescent="0.35">
      <c r="A2275" s="1" t="s">
        <v>982</v>
      </c>
      <c r="B2275" s="1" t="s">
        <v>13</v>
      </c>
      <c r="C2275" s="1" t="s">
        <v>983</v>
      </c>
      <c r="D2275">
        <v>3.875</v>
      </c>
      <c r="E2275" s="2">
        <v>47968</v>
      </c>
      <c r="F2275" s="1" t="s">
        <v>16</v>
      </c>
      <c r="G2275" s="1" t="s">
        <v>983</v>
      </c>
      <c r="H2275" s="1" t="s">
        <v>2</v>
      </c>
      <c r="I2275" s="2">
        <v>46177</v>
      </c>
      <c r="J2275" s="1" t="s">
        <v>214</v>
      </c>
      <c r="K2275" s="1" t="s">
        <v>5173</v>
      </c>
      <c r="L2275" s="2">
        <v>46177.918923611112</v>
      </c>
      <c r="M2275" s="2">
        <v>46177.921329212964</v>
      </c>
    </row>
    <row r="2276" spans="1:13" x14ac:dyDescent="0.35">
      <c r="A2276" s="1" t="s">
        <v>982</v>
      </c>
      <c r="B2276" s="1" t="s">
        <v>13</v>
      </c>
      <c r="C2276" s="1" t="s">
        <v>983</v>
      </c>
      <c r="D2276">
        <v>3.875</v>
      </c>
      <c r="E2276" s="2">
        <v>47968</v>
      </c>
      <c r="F2276" s="1" t="s">
        <v>16</v>
      </c>
      <c r="G2276" s="1" t="s">
        <v>983</v>
      </c>
      <c r="H2276" s="1" t="s">
        <v>2</v>
      </c>
      <c r="I2276" s="2">
        <v>46177</v>
      </c>
      <c r="J2276" s="1" t="s">
        <v>17</v>
      </c>
      <c r="K2276" s="1" t="s">
        <v>2976</v>
      </c>
      <c r="L2276" s="2">
        <v>46177.92087962963</v>
      </c>
      <c r="M2276" s="2">
        <v>46177.921329212964</v>
      </c>
    </row>
    <row r="2277" spans="1:13" x14ac:dyDescent="0.35">
      <c r="A2277" s="1" t="s">
        <v>982</v>
      </c>
      <c r="B2277" s="1" t="s">
        <v>13</v>
      </c>
      <c r="C2277" s="1" t="s">
        <v>983</v>
      </c>
      <c r="D2277">
        <v>3.875</v>
      </c>
      <c r="E2277" s="2">
        <v>47968</v>
      </c>
      <c r="F2277" s="1" t="s">
        <v>16</v>
      </c>
      <c r="G2277" s="1" t="s">
        <v>983</v>
      </c>
      <c r="H2277" s="1" t="s">
        <v>2</v>
      </c>
      <c r="I2277" s="2">
        <v>46177</v>
      </c>
      <c r="J2277" s="1" t="s">
        <v>215</v>
      </c>
      <c r="K2277" s="1" t="s">
        <v>5069</v>
      </c>
      <c r="L2277" s="2">
        <v>46177.918923611112</v>
      </c>
      <c r="M2277" s="2">
        <v>46177.921329212964</v>
      </c>
    </row>
    <row r="2278" spans="1:13" x14ac:dyDescent="0.35">
      <c r="A2278" s="1" t="s">
        <v>982</v>
      </c>
      <c r="B2278" s="1" t="s">
        <v>13</v>
      </c>
      <c r="C2278" s="1" t="s">
        <v>983</v>
      </c>
      <c r="D2278">
        <v>3.875</v>
      </c>
      <c r="E2278" s="2">
        <v>47968</v>
      </c>
      <c r="F2278" s="1" t="s">
        <v>16</v>
      </c>
      <c r="G2278" s="1" t="s">
        <v>983</v>
      </c>
      <c r="H2278" s="1" t="s">
        <v>2</v>
      </c>
      <c r="I2278" s="2">
        <v>46177</v>
      </c>
      <c r="J2278" s="1" t="s">
        <v>18</v>
      </c>
      <c r="K2278" s="1" t="s">
        <v>2901</v>
      </c>
      <c r="L2278" s="2">
        <v>46177.92087962963</v>
      </c>
      <c r="M2278" s="2">
        <v>46177.921329212964</v>
      </c>
    </row>
    <row r="2279" spans="1:13" x14ac:dyDescent="0.35">
      <c r="A2279" s="1" t="s">
        <v>982</v>
      </c>
      <c r="B2279" s="1" t="s">
        <v>13</v>
      </c>
      <c r="C2279" s="1" t="s">
        <v>983</v>
      </c>
      <c r="D2279">
        <v>3.875</v>
      </c>
      <c r="E2279" s="2">
        <v>47968</v>
      </c>
      <c r="F2279" s="1" t="s">
        <v>16</v>
      </c>
      <c r="G2279" s="1" t="s">
        <v>983</v>
      </c>
      <c r="H2279" s="1" t="s">
        <v>2</v>
      </c>
      <c r="I2279" s="2">
        <v>46177</v>
      </c>
      <c r="J2279" s="1" t="s">
        <v>67</v>
      </c>
      <c r="K2279" s="1" t="s">
        <v>5069</v>
      </c>
      <c r="L2279" s="2">
        <v>46177.918923611112</v>
      </c>
      <c r="M2279" s="2">
        <v>46177.921329212964</v>
      </c>
    </row>
    <row r="2280" spans="1:13" x14ac:dyDescent="0.35">
      <c r="A2280" s="1" t="s">
        <v>1048</v>
      </c>
      <c r="B2280" s="1" t="s">
        <v>13</v>
      </c>
      <c r="C2280" s="1" t="s">
        <v>1049</v>
      </c>
      <c r="D2280">
        <v>3.75</v>
      </c>
      <c r="E2280" s="2">
        <v>46873</v>
      </c>
      <c r="F2280" s="1" t="s">
        <v>16</v>
      </c>
      <c r="G2280" s="1" t="s">
        <v>1049</v>
      </c>
      <c r="H2280" s="1" t="s">
        <v>2</v>
      </c>
      <c r="I2280" s="2">
        <v>46177</v>
      </c>
      <c r="J2280" s="1" t="s">
        <v>214</v>
      </c>
      <c r="K2280" s="1" t="s">
        <v>5234</v>
      </c>
      <c r="L2280" s="2">
        <v>46177.918923611112</v>
      </c>
      <c r="M2280" s="2">
        <v>46177.921329212964</v>
      </c>
    </row>
    <row r="2281" spans="1:13" x14ac:dyDescent="0.35">
      <c r="A2281" s="1" t="s">
        <v>1048</v>
      </c>
      <c r="B2281" s="1" t="s">
        <v>13</v>
      </c>
      <c r="C2281" s="1" t="s">
        <v>1049</v>
      </c>
      <c r="D2281">
        <v>3.75</v>
      </c>
      <c r="E2281" s="2">
        <v>46873</v>
      </c>
      <c r="F2281" s="1" t="s">
        <v>16</v>
      </c>
      <c r="G2281" s="1" t="s">
        <v>1049</v>
      </c>
      <c r="H2281" s="1" t="s">
        <v>2</v>
      </c>
      <c r="I2281" s="2">
        <v>46177</v>
      </c>
      <c r="J2281" s="1" t="s">
        <v>18</v>
      </c>
      <c r="K2281" s="1" t="s">
        <v>2582</v>
      </c>
      <c r="L2281" s="2">
        <v>46177.92087962963</v>
      </c>
      <c r="M2281" s="2">
        <v>46177.921329212964</v>
      </c>
    </row>
    <row r="2282" spans="1:13" x14ac:dyDescent="0.35">
      <c r="A2282" s="1" t="s">
        <v>1048</v>
      </c>
      <c r="B2282" s="1" t="s">
        <v>13</v>
      </c>
      <c r="C2282" s="1" t="s">
        <v>1049</v>
      </c>
      <c r="D2282">
        <v>3.75</v>
      </c>
      <c r="E2282" s="2">
        <v>46873</v>
      </c>
      <c r="F2282" s="1" t="s">
        <v>16</v>
      </c>
      <c r="G2282" s="1" t="s">
        <v>1049</v>
      </c>
      <c r="H2282" s="1" t="s">
        <v>2</v>
      </c>
      <c r="I2282" s="2">
        <v>46177</v>
      </c>
      <c r="J2282" s="1" t="s">
        <v>215</v>
      </c>
      <c r="K2282" s="1" t="s">
        <v>5109</v>
      </c>
      <c r="L2282" s="2">
        <v>46177.918923611112</v>
      </c>
      <c r="M2282" s="2">
        <v>46177.921329212964</v>
      </c>
    </row>
    <row r="2283" spans="1:13" x14ac:dyDescent="0.35">
      <c r="A2283" s="1" t="s">
        <v>1048</v>
      </c>
      <c r="B2283" s="1" t="s">
        <v>13</v>
      </c>
      <c r="C2283" s="1" t="s">
        <v>1049</v>
      </c>
      <c r="D2283">
        <v>3.75</v>
      </c>
      <c r="E2283" s="2">
        <v>46873</v>
      </c>
      <c r="F2283" s="1" t="s">
        <v>16</v>
      </c>
      <c r="G2283" s="1" t="s">
        <v>1049</v>
      </c>
      <c r="H2283" s="1" t="s">
        <v>2</v>
      </c>
      <c r="I2283" s="2">
        <v>46177</v>
      </c>
      <c r="J2283" s="1" t="s">
        <v>67</v>
      </c>
      <c r="K2283" s="1" t="s">
        <v>5109</v>
      </c>
      <c r="L2283" s="2">
        <v>46177.918923611112</v>
      </c>
      <c r="M2283" s="2">
        <v>46177.921329212964</v>
      </c>
    </row>
    <row r="2284" spans="1:13" x14ac:dyDescent="0.35">
      <c r="A2284" s="1" t="s">
        <v>1048</v>
      </c>
      <c r="B2284" s="1" t="s">
        <v>13</v>
      </c>
      <c r="C2284" s="1" t="s">
        <v>1049</v>
      </c>
      <c r="D2284">
        <v>3.75</v>
      </c>
      <c r="E2284" s="2">
        <v>46873</v>
      </c>
      <c r="F2284" s="1" t="s">
        <v>16</v>
      </c>
      <c r="G2284" s="1" t="s">
        <v>1049</v>
      </c>
      <c r="H2284" s="1" t="s">
        <v>2</v>
      </c>
      <c r="I2284" s="2">
        <v>46177</v>
      </c>
      <c r="J2284" s="1" t="s">
        <v>224</v>
      </c>
      <c r="K2284" s="1" t="s">
        <v>5234</v>
      </c>
      <c r="L2284" s="2">
        <v>46177.918923611112</v>
      </c>
      <c r="M2284" s="2">
        <v>46177.921329212964</v>
      </c>
    </row>
    <row r="2285" spans="1:13" x14ac:dyDescent="0.35">
      <c r="A2285" s="1" t="s">
        <v>1048</v>
      </c>
      <c r="B2285" s="1" t="s">
        <v>13</v>
      </c>
      <c r="C2285" s="1" t="s">
        <v>1049</v>
      </c>
      <c r="D2285">
        <v>3.75</v>
      </c>
      <c r="E2285" s="2">
        <v>46873</v>
      </c>
      <c r="F2285" s="1" t="s">
        <v>16</v>
      </c>
      <c r="G2285" s="1" t="s">
        <v>1049</v>
      </c>
      <c r="H2285" s="1" t="s">
        <v>2</v>
      </c>
      <c r="I2285" s="2">
        <v>46177</v>
      </c>
      <c r="J2285" s="1" t="s">
        <v>17</v>
      </c>
      <c r="K2285" s="1" t="s">
        <v>2464</v>
      </c>
      <c r="L2285" s="2">
        <v>46177.92087962963</v>
      </c>
      <c r="M2285" s="2">
        <v>46177.921329212964</v>
      </c>
    </row>
    <row r="2286" spans="1:13" x14ac:dyDescent="0.35">
      <c r="A2286" s="1" t="s">
        <v>974</v>
      </c>
      <c r="B2286" s="1" t="s">
        <v>13</v>
      </c>
      <c r="C2286" s="1" t="s">
        <v>975</v>
      </c>
      <c r="D2286">
        <v>4.125</v>
      </c>
      <c r="E2286" s="2">
        <v>48699</v>
      </c>
      <c r="F2286" s="1" t="s">
        <v>16</v>
      </c>
      <c r="G2286" s="1" t="s">
        <v>975</v>
      </c>
      <c r="H2286" s="1" t="s">
        <v>2</v>
      </c>
      <c r="I2286" s="2">
        <v>46177</v>
      </c>
      <c r="J2286" s="1" t="s">
        <v>18</v>
      </c>
      <c r="K2286" s="1" t="s">
        <v>2692</v>
      </c>
      <c r="L2286" s="2">
        <v>46177.92087962963</v>
      </c>
      <c r="M2286" s="2">
        <v>46177.921329212964</v>
      </c>
    </row>
    <row r="2287" spans="1:13" x14ac:dyDescent="0.35">
      <c r="A2287" s="1" t="s">
        <v>974</v>
      </c>
      <c r="B2287" s="1" t="s">
        <v>13</v>
      </c>
      <c r="C2287" s="1" t="s">
        <v>975</v>
      </c>
      <c r="D2287">
        <v>4.125</v>
      </c>
      <c r="E2287" s="2">
        <v>48699</v>
      </c>
      <c r="F2287" s="1" t="s">
        <v>16</v>
      </c>
      <c r="G2287" s="1" t="s">
        <v>975</v>
      </c>
      <c r="H2287" s="1" t="s">
        <v>2</v>
      </c>
      <c r="I2287" s="2">
        <v>46177</v>
      </c>
      <c r="J2287" s="1" t="s">
        <v>67</v>
      </c>
      <c r="K2287" s="1" t="s">
        <v>5110</v>
      </c>
      <c r="L2287" s="2">
        <v>46177.918923611112</v>
      </c>
      <c r="M2287" s="2">
        <v>46177.921329212964</v>
      </c>
    </row>
    <row r="2288" spans="1:13" x14ac:dyDescent="0.35">
      <c r="A2288" s="1" t="s">
        <v>974</v>
      </c>
      <c r="B2288" s="1" t="s">
        <v>13</v>
      </c>
      <c r="C2288" s="1" t="s">
        <v>975</v>
      </c>
      <c r="D2288">
        <v>4.125</v>
      </c>
      <c r="E2288" s="2">
        <v>48699</v>
      </c>
      <c r="F2288" s="1" t="s">
        <v>16</v>
      </c>
      <c r="G2288" s="1" t="s">
        <v>975</v>
      </c>
      <c r="H2288" s="1" t="s">
        <v>2</v>
      </c>
      <c r="I2288" s="2">
        <v>46177</v>
      </c>
      <c r="J2288" s="1" t="s">
        <v>224</v>
      </c>
      <c r="K2288" s="1" t="s">
        <v>5111</v>
      </c>
      <c r="L2288" s="2">
        <v>46177.918923611112</v>
      </c>
      <c r="M2288" s="2">
        <v>46177.921329212964</v>
      </c>
    </row>
    <row r="2289" spans="1:13" x14ac:dyDescent="0.35">
      <c r="A2289" s="1" t="s">
        <v>974</v>
      </c>
      <c r="B2289" s="1" t="s">
        <v>13</v>
      </c>
      <c r="C2289" s="1" t="s">
        <v>975</v>
      </c>
      <c r="D2289">
        <v>4.125</v>
      </c>
      <c r="E2289" s="2">
        <v>48699</v>
      </c>
      <c r="F2289" s="1" t="s">
        <v>16</v>
      </c>
      <c r="G2289" s="1" t="s">
        <v>975</v>
      </c>
      <c r="H2289" s="1" t="s">
        <v>2</v>
      </c>
      <c r="I2289" s="2">
        <v>46177</v>
      </c>
      <c r="J2289" s="1" t="s">
        <v>17</v>
      </c>
      <c r="K2289" s="1" t="s">
        <v>2509</v>
      </c>
      <c r="L2289" s="2">
        <v>46177.92087962963</v>
      </c>
      <c r="M2289" s="2">
        <v>46177.921329212964</v>
      </c>
    </row>
    <row r="2290" spans="1:13" x14ac:dyDescent="0.35">
      <c r="A2290" s="1" t="s">
        <v>974</v>
      </c>
      <c r="B2290" s="1" t="s">
        <v>13</v>
      </c>
      <c r="C2290" s="1" t="s">
        <v>975</v>
      </c>
      <c r="D2290">
        <v>4.125</v>
      </c>
      <c r="E2290" s="2">
        <v>48699</v>
      </c>
      <c r="F2290" s="1" t="s">
        <v>16</v>
      </c>
      <c r="G2290" s="1" t="s">
        <v>975</v>
      </c>
      <c r="H2290" s="1" t="s">
        <v>2</v>
      </c>
      <c r="I2290" s="2">
        <v>46177</v>
      </c>
      <c r="J2290" s="1" t="s">
        <v>214</v>
      </c>
      <c r="K2290" s="1" t="s">
        <v>5111</v>
      </c>
      <c r="L2290" s="2">
        <v>46177.918923611112</v>
      </c>
      <c r="M2290" s="2">
        <v>46177.921329212964</v>
      </c>
    </row>
    <row r="2291" spans="1:13" x14ac:dyDescent="0.35">
      <c r="A2291" s="1" t="s">
        <v>974</v>
      </c>
      <c r="B2291" s="1" t="s">
        <v>13</v>
      </c>
      <c r="C2291" s="1" t="s">
        <v>975</v>
      </c>
      <c r="D2291">
        <v>4.125</v>
      </c>
      <c r="E2291" s="2">
        <v>48699</v>
      </c>
      <c r="F2291" s="1" t="s">
        <v>16</v>
      </c>
      <c r="G2291" s="1" t="s">
        <v>975</v>
      </c>
      <c r="H2291" s="1" t="s">
        <v>2</v>
      </c>
      <c r="I2291" s="2">
        <v>46177</v>
      </c>
      <c r="J2291" s="1" t="s">
        <v>215</v>
      </c>
      <c r="K2291" s="1" t="s">
        <v>5110</v>
      </c>
      <c r="L2291" s="2">
        <v>46177.918923611112</v>
      </c>
      <c r="M2291" s="2">
        <v>46177.921329212964</v>
      </c>
    </row>
    <row r="2292" spans="1:13" x14ac:dyDescent="0.35">
      <c r="A2292" s="1" t="s">
        <v>1064</v>
      </c>
      <c r="B2292" s="1" t="s">
        <v>13</v>
      </c>
      <c r="C2292" s="1" t="s">
        <v>1065</v>
      </c>
      <c r="D2292">
        <v>1.25</v>
      </c>
      <c r="E2292" s="2">
        <v>47953</v>
      </c>
      <c r="F2292" s="1" t="s">
        <v>64</v>
      </c>
      <c r="G2292" s="1" t="s">
        <v>1065</v>
      </c>
      <c r="H2292" s="1" t="s">
        <v>2</v>
      </c>
      <c r="I2292" s="2">
        <v>46177</v>
      </c>
      <c r="J2292" s="1" t="s">
        <v>18</v>
      </c>
      <c r="K2292" s="1" t="s">
        <v>2665</v>
      </c>
      <c r="L2292" s="2">
        <v>46177.92087962963</v>
      </c>
      <c r="M2292" s="2">
        <v>46177.921329212964</v>
      </c>
    </row>
    <row r="2293" spans="1:13" x14ac:dyDescent="0.35">
      <c r="A2293" s="1" t="s">
        <v>1064</v>
      </c>
      <c r="B2293" s="1" t="s">
        <v>13</v>
      </c>
      <c r="C2293" s="1" t="s">
        <v>1065</v>
      </c>
      <c r="D2293">
        <v>1.25</v>
      </c>
      <c r="E2293" s="2">
        <v>47953</v>
      </c>
      <c r="F2293" s="1" t="s">
        <v>64</v>
      </c>
      <c r="G2293" s="1" t="s">
        <v>1065</v>
      </c>
      <c r="H2293" s="1" t="s">
        <v>2</v>
      </c>
      <c r="I2293" s="2">
        <v>46177</v>
      </c>
      <c r="J2293" s="1" t="s">
        <v>17</v>
      </c>
      <c r="K2293" s="1" t="s">
        <v>2315</v>
      </c>
      <c r="L2293" s="2">
        <v>46177.92087962963</v>
      </c>
      <c r="M2293" s="2">
        <v>46177.921329212964</v>
      </c>
    </row>
    <row r="2294" spans="1:13" x14ac:dyDescent="0.35">
      <c r="A2294" s="1" t="s">
        <v>2940</v>
      </c>
      <c r="B2294" s="1" t="s">
        <v>13</v>
      </c>
      <c r="C2294" s="1" t="s">
        <v>2961</v>
      </c>
      <c r="D2294">
        <v>4.375</v>
      </c>
      <c r="E2294" s="2">
        <v>49810</v>
      </c>
      <c r="F2294" s="1" t="s">
        <v>16</v>
      </c>
      <c r="G2294" s="1" t="s">
        <v>2961</v>
      </c>
      <c r="H2294" s="1" t="s">
        <v>2</v>
      </c>
      <c r="I2294" s="2">
        <v>46177</v>
      </c>
      <c r="J2294" s="1" t="s">
        <v>17</v>
      </c>
      <c r="K2294" s="1" t="s">
        <v>2325</v>
      </c>
      <c r="L2294" s="2">
        <v>46177.92087962963</v>
      </c>
      <c r="M2294" s="2">
        <v>46177.921329212964</v>
      </c>
    </row>
    <row r="2295" spans="1:13" x14ac:dyDescent="0.35">
      <c r="A2295" s="1" t="s">
        <v>2940</v>
      </c>
      <c r="B2295" s="1" t="s">
        <v>13</v>
      </c>
      <c r="C2295" s="1" t="s">
        <v>2961</v>
      </c>
      <c r="D2295">
        <v>4.375</v>
      </c>
      <c r="E2295" s="2">
        <v>49810</v>
      </c>
      <c r="F2295" s="1" t="s">
        <v>16</v>
      </c>
      <c r="G2295" s="1" t="s">
        <v>2961</v>
      </c>
      <c r="H2295" s="1" t="s">
        <v>2</v>
      </c>
      <c r="I2295" s="2">
        <v>46177</v>
      </c>
      <c r="J2295" s="1" t="s">
        <v>224</v>
      </c>
      <c r="K2295" s="1" t="s">
        <v>5070</v>
      </c>
      <c r="L2295" s="2">
        <v>46177.918923611112</v>
      </c>
      <c r="M2295" s="2">
        <v>46177.921329212964</v>
      </c>
    </row>
    <row r="2296" spans="1:13" x14ac:dyDescent="0.35">
      <c r="A2296" s="1" t="s">
        <v>2940</v>
      </c>
      <c r="B2296" s="1" t="s">
        <v>13</v>
      </c>
      <c r="C2296" s="1" t="s">
        <v>2961</v>
      </c>
      <c r="D2296">
        <v>4.375</v>
      </c>
      <c r="E2296" s="2">
        <v>49810</v>
      </c>
      <c r="F2296" s="1" t="s">
        <v>16</v>
      </c>
      <c r="G2296" s="1" t="s">
        <v>2961</v>
      </c>
      <c r="H2296" s="1" t="s">
        <v>2</v>
      </c>
      <c r="I2296" s="2">
        <v>46177</v>
      </c>
      <c r="J2296" s="1" t="s">
        <v>215</v>
      </c>
      <c r="K2296" s="1" t="s">
        <v>5122</v>
      </c>
      <c r="L2296" s="2">
        <v>46177.918923611112</v>
      </c>
      <c r="M2296" s="2">
        <v>46177.921329212964</v>
      </c>
    </row>
    <row r="2297" spans="1:13" x14ac:dyDescent="0.35">
      <c r="A2297" s="1" t="s">
        <v>2940</v>
      </c>
      <c r="B2297" s="1" t="s">
        <v>13</v>
      </c>
      <c r="C2297" s="1" t="s">
        <v>2961</v>
      </c>
      <c r="D2297">
        <v>4.375</v>
      </c>
      <c r="E2297" s="2">
        <v>49810</v>
      </c>
      <c r="F2297" s="1" t="s">
        <v>16</v>
      </c>
      <c r="G2297" s="1" t="s">
        <v>2961</v>
      </c>
      <c r="H2297" s="1" t="s">
        <v>2</v>
      </c>
      <c r="I2297" s="2">
        <v>46177</v>
      </c>
      <c r="J2297" s="1" t="s">
        <v>18</v>
      </c>
      <c r="K2297" s="1" t="s">
        <v>2569</v>
      </c>
      <c r="L2297" s="2">
        <v>46177.92087962963</v>
      </c>
      <c r="M2297" s="2">
        <v>46177.921329212964</v>
      </c>
    </row>
    <row r="2298" spans="1:13" x14ac:dyDescent="0.35">
      <c r="A2298" s="1" t="s">
        <v>2940</v>
      </c>
      <c r="B2298" s="1" t="s">
        <v>13</v>
      </c>
      <c r="C2298" s="1" t="s">
        <v>2961</v>
      </c>
      <c r="D2298">
        <v>4.375</v>
      </c>
      <c r="E2298" s="2">
        <v>49810</v>
      </c>
      <c r="F2298" s="1" t="s">
        <v>16</v>
      </c>
      <c r="G2298" s="1" t="s">
        <v>2961</v>
      </c>
      <c r="H2298" s="1" t="s">
        <v>2</v>
      </c>
      <c r="I2298" s="2">
        <v>46177</v>
      </c>
      <c r="J2298" s="1" t="s">
        <v>214</v>
      </c>
      <c r="K2298" s="1" t="s">
        <v>5070</v>
      </c>
      <c r="L2298" s="2">
        <v>46177.918923611112</v>
      </c>
      <c r="M2298" s="2">
        <v>46177.921329212964</v>
      </c>
    </row>
    <row r="2299" spans="1:13" x14ac:dyDescent="0.35">
      <c r="A2299" s="1" t="s">
        <v>2940</v>
      </c>
      <c r="B2299" s="1" t="s">
        <v>13</v>
      </c>
      <c r="C2299" s="1" t="s">
        <v>2961</v>
      </c>
      <c r="D2299">
        <v>4.375</v>
      </c>
      <c r="E2299" s="2">
        <v>49810</v>
      </c>
      <c r="F2299" s="1" t="s">
        <v>16</v>
      </c>
      <c r="G2299" s="1" t="s">
        <v>2961</v>
      </c>
      <c r="H2299" s="1" t="s">
        <v>2</v>
      </c>
      <c r="I2299" s="2">
        <v>46177</v>
      </c>
      <c r="J2299" s="1" t="s">
        <v>67</v>
      </c>
      <c r="K2299" s="1" t="s">
        <v>5122</v>
      </c>
      <c r="L2299" s="2">
        <v>46177.918923611112</v>
      </c>
      <c r="M2299" s="2">
        <v>46177.921329212964</v>
      </c>
    </row>
    <row r="2300" spans="1:13" x14ac:dyDescent="0.35">
      <c r="A2300" s="1" t="s">
        <v>2941</v>
      </c>
      <c r="B2300" s="1" t="s">
        <v>13</v>
      </c>
      <c r="C2300" s="1" t="s">
        <v>2969</v>
      </c>
      <c r="D2300">
        <v>3.875</v>
      </c>
      <c r="E2300" s="2">
        <v>47253</v>
      </c>
      <c r="F2300" s="1" t="s">
        <v>16</v>
      </c>
      <c r="G2300" s="1" t="s">
        <v>2969</v>
      </c>
      <c r="H2300" s="1" t="s">
        <v>2</v>
      </c>
      <c r="I2300" s="2">
        <v>46177</v>
      </c>
      <c r="J2300" s="1" t="s">
        <v>214</v>
      </c>
      <c r="K2300" s="1" t="s">
        <v>5123</v>
      </c>
      <c r="L2300" s="2">
        <v>46177.918923611112</v>
      </c>
      <c r="M2300" s="2">
        <v>46177.921329212964</v>
      </c>
    </row>
    <row r="2301" spans="1:13" x14ac:dyDescent="0.35">
      <c r="A2301" s="1" t="s">
        <v>2941</v>
      </c>
      <c r="B2301" s="1" t="s">
        <v>13</v>
      </c>
      <c r="C2301" s="1" t="s">
        <v>2969</v>
      </c>
      <c r="D2301">
        <v>3.875</v>
      </c>
      <c r="E2301" s="2">
        <v>47253</v>
      </c>
      <c r="F2301" s="1" t="s">
        <v>16</v>
      </c>
      <c r="G2301" s="1" t="s">
        <v>2969</v>
      </c>
      <c r="H2301" s="1" t="s">
        <v>2</v>
      </c>
      <c r="I2301" s="2">
        <v>46177</v>
      </c>
      <c r="J2301" s="1" t="s">
        <v>18</v>
      </c>
      <c r="K2301" s="1" t="s">
        <v>2312</v>
      </c>
      <c r="L2301" s="2">
        <v>46177.92087962963</v>
      </c>
      <c r="M2301" s="2">
        <v>46177.921329212964</v>
      </c>
    </row>
    <row r="2302" spans="1:13" x14ac:dyDescent="0.35">
      <c r="A2302" s="1" t="s">
        <v>2941</v>
      </c>
      <c r="B2302" s="1" t="s">
        <v>13</v>
      </c>
      <c r="C2302" s="1" t="s">
        <v>2969</v>
      </c>
      <c r="D2302">
        <v>3.875</v>
      </c>
      <c r="E2302" s="2">
        <v>47253</v>
      </c>
      <c r="F2302" s="1" t="s">
        <v>16</v>
      </c>
      <c r="G2302" s="1" t="s">
        <v>2969</v>
      </c>
      <c r="H2302" s="1" t="s">
        <v>2</v>
      </c>
      <c r="I2302" s="2">
        <v>46177</v>
      </c>
      <c r="J2302" s="1" t="s">
        <v>67</v>
      </c>
      <c r="K2302" s="1" t="s">
        <v>5136</v>
      </c>
      <c r="L2302" s="2">
        <v>46177.918923611112</v>
      </c>
      <c r="M2302" s="2">
        <v>46177.921329212964</v>
      </c>
    </row>
    <row r="2303" spans="1:13" x14ac:dyDescent="0.35">
      <c r="A2303" s="1" t="s">
        <v>2941</v>
      </c>
      <c r="B2303" s="1" t="s">
        <v>13</v>
      </c>
      <c r="C2303" s="1" t="s">
        <v>2969</v>
      </c>
      <c r="D2303">
        <v>3.875</v>
      </c>
      <c r="E2303" s="2">
        <v>47253</v>
      </c>
      <c r="F2303" s="1" t="s">
        <v>16</v>
      </c>
      <c r="G2303" s="1" t="s">
        <v>2969</v>
      </c>
      <c r="H2303" s="1" t="s">
        <v>2</v>
      </c>
      <c r="I2303" s="2">
        <v>46177</v>
      </c>
      <c r="J2303" s="1" t="s">
        <v>224</v>
      </c>
      <c r="K2303" s="1" t="s">
        <v>5123</v>
      </c>
      <c r="L2303" s="2">
        <v>46177.918923611112</v>
      </c>
      <c r="M2303" s="2">
        <v>46177.921329212964</v>
      </c>
    </row>
    <row r="2304" spans="1:13" x14ac:dyDescent="0.35">
      <c r="A2304" s="1" t="s">
        <v>2941</v>
      </c>
      <c r="B2304" s="1" t="s">
        <v>13</v>
      </c>
      <c r="C2304" s="1" t="s">
        <v>2969</v>
      </c>
      <c r="D2304">
        <v>3.875</v>
      </c>
      <c r="E2304" s="2">
        <v>47253</v>
      </c>
      <c r="F2304" s="1" t="s">
        <v>16</v>
      </c>
      <c r="G2304" s="1" t="s">
        <v>2969</v>
      </c>
      <c r="H2304" s="1" t="s">
        <v>2</v>
      </c>
      <c r="I2304" s="2">
        <v>46177</v>
      </c>
      <c r="J2304" s="1" t="s">
        <v>17</v>
      </c>
      <c r="K2304" s="1" t="s">
        <v>2516</v>
      </c>
      <c r="L2304" s="2">
        <v>46177.92087962963</v>
      </c>
      <c r="M2304" s="2">
        <v>46177.921329212964</v>
      </c>
    </row>
    <row r="2305" spans="1:13" x14ac:dyDescent="0.35">
      <c r="A2305" s="1" t="s">
        <v>2941</v>
      </c>
      <c r="B2305" s="1" t="s">
        <v>13</v>
      </c>
      <c r="C2305" s="1" t="s">
        <v>2969</v>
      </c>
      <c r="D2305">
        <v>3.875</v>
      </c>
      <c r="E2305" s="2">
        <v>47253</v>
      </c>
      <c r="F2305" s="1" t="s">
        <v>16</v>
      </c>
      <c r="G2305" s="1" t="s">
        <v>2969</v>
      </c>
      <c r="H2305" s="1" t="s">
        <v>2</v>
      </c>
      <c r="I2305" s="2">
        <v>46177</v>
      </c>
      <c r="J2305" s="1" t="s">
        <v>215</v>
      </c>
      <c r="K2305" s="1" t="s">
        <v>5136</v>
      </c>
      <c r="L2305" s="2">
        <v>46177.918923611112</v>
      </c>
      <c r="M2305" s="2">
        <v>46177.921329212964</v>
      </c>
    </row>
    <row r="2306" spans="1:13" x14ac:dyDescent="0.35">
      <c r="A2306" s="1" t="s">
        <v>3597</v>
      </c>
      <c r="B2306" s="1" t="s">
        <v>13</v>
      </c>
      <c r="C2306" s="1" t="s">
        <v>5235</v>
      </c>
      <c r="D2306">
        <v>4</v>
      </c>
      <c r="E2306" s="2">
        <v>46904</v>
      </c>
      <c r="F2306" s="1" t="s">
        <v>16</v>
      </c>
      <c r="G2306" s="1" t="s">
        <v>5235</v>
      </c>
      <c r="H2306" s="1" t="s">
        <v>2</v>
      </c>
      <c r="I2306" s="2">
        <v>46177</v>
      </c>
      <c r="J2306" s="1" t="s">
        <v>18</v>
      </c>
      <c r="K2306" s="1" t="s">
        <v>2473</v>
      </c>
      <c r="L2306" s="2">
        <v>46177.92087962963</v>
      </c>
      <c r="M2306" s="2">
        <v>46177.921329212964</v>
      </c>
    </row>
    <row r="2307" spans="1:13" x14ac:dyDescent="0.35">
      <c r="A2307" s="1" t="s">
        <v>3597</v>
      </c>
      <c r="B2307" s="1" t="s">
        <v>13</v>
      </c>
      <c r="C2307" s="1" t="s">
        <v>5235</v>
      </c>
      <c r="D2307">
        <v>4</v>
      </c>
      <c r="E2307" s="2">
        <v>46904</v>
      </c>
      <c r="F2307" s="1" t="s">
        <v>16</v>
      </c>
      <c r="G2307" s="1" t="s">
        <v>5235</v>
      </c>
      <c r="H2307" s="1" t="s">
        <v>2</v>
      </c>
      <c r="I2307" s="2">
        <v>46177</v>
      </c>
      <c r="J2307" s="1" t="s">
        <v>224</v>
      </c>
      <c r="K2307" s="1" t="s">
        <v>5242</v>
      </c>
      <c r="L2307" s="2">
        <v>46177.918923611112</v>
      </c>
      <c r="M2307" s="2">
        <v>46177.921329212964</v>
      </c>
    </row>
    <row r="2308" spans="1:13" x14ac:dyDescent="0.35">
      <c r="A2308" s="1" t="s">
        <v>3597</v>
      </c>
      <c r="B2308" s="1" t="s">
        <v>13</v>
      </c>
      <c r="C2308" s="1" t="s">
        <v>5235</v>
      </c>
      <c r="D2308">
        <v>4</v>
      </c>
      <c r="E2308" s="2">
        <v>46904</v>
      </c>
      <c r="F2308" s="1" t="s">
        <v>16</v>
      </c>
      <c r="G2308" s="1" t="s">
        <v>5235</v>
      </c>
      <c r="H2308" s="1" t="s">
        <v>2</v>
      </c>
      <c r="I2308" s="2">
        <v>46177</v>
      </c>
      <c r="J2308" s="1" t="s">
        <v>215</v>
      </c>
      <c r="K2308" s="1" t="s">
        <v>5259</v>
      </c>
      <c r="L2308" s="2">
        <v>46177.918923611112</v>
      </c>
      <c r="M2308" s="2">
        <v>46177.921329212964</v>
      </c>
    </row>
    <row r="2309" spans="1:13" x14ac:dyDescent="0.35">
      <c r="A2309" s="1" t="s">
        <v>3597</v>
      </c>
      <c r="B2309" s="1" t="s">
        <v>13</v>
      </c>
      <c r="C2309" s="1" t="s">
        <v>5235</v>
      </c>
      <c r="D2309">
        <v>4</v>
      </c>
      <c r="E2309" s="2">
        <v>46904</v>
      </c>
      <c r="F2309" s="1" t="s">
        <v>16</v>
      </c>
      <c r="G2309" s="1" t="s">
        <v>5235</v>
      </c>
      <c r="H2309" s="1" t="s">
        <v>2</v>
      </c>
      <c r="I2309" s="2">
        <v>46177</v>
      </c>
      <c r="J2309" s="1" t="s">
        <v>17</v>
      </c>
      <c r="K2309" s="1" t="s">
        <v>5134</v>
      </c>
      <c r="L2309" s="2">
        <v>46177.92087962963</v>
      </c>
      <c r="M2309" s="2">
        <v>46177.921329212964</v>
      </c>
    </row>
    <row r="2310" spans="1:13" x14ac:dyDescent="0.35">
      <c r="A2310" s="1" t="s">
        <v>3597</v>
      </c>
      <c r="B2310" s="1" t="s">
        <v>13</v>
      </c>
      <c r="C2310" s="1" t="s">
        <v>5235</v>
      </c>
      <c r="D2310">
        <v>4</v>
      </c>
      <c r="E2310" s="2">
        <v>46904</v>
      </c>
      <c r="F2310" s="1" t="s">
        <v>16</v>
      </c>
      <c r="G2310" s="1" t="s">
        <v>5235</v>
      </c>
      <c r="H2310" s="1" t="s">
        <v>2</v>
      </c>
      <c r="I2310" s="2">
        <v>46177</v>
      </c>
      <c r="J2310" s="1" t="s">
        <v>214</v>
      </c>
      <c r="K2310" s="1" t="s">
        <v>5242</v>
      </c>
      <c r="L2310" s="2">
        <v>46177.918923611112</v>
      </c>
      <c r="M2310" s="2">
        <v>46177.921329212964</v>
      </c>
    </row>
    <row r="2311" spans="1:13" x14ac:dyDescent="0.35">
      <c r="A2311" s="1" t="s">
        <v>3597</v>
      </c>
      <c r="B2311" s="1" t="s">
        <v>13</v>
      </c>
      <c r="C2311" s="1" t="s">
        <v>5235</v>
      </c>
      <c r="D2311">
        <v>4</v>
      </c>
      <c r="E2311" s="2">
        <v>46904</v>
      </c>
      <c r="F2311" s="1" t="s">
        <v>16</v>
      </c>
      <c r="G2311" s="1" t="s">
        <v>5235</v>
      </c>
      <c r="H2311" s="1" t="s">
        <v>2</v>
      </c>
      <c r="I2311" s="2">
        <v>46177</v>
      </c>
      <c r="J2311" s="1" t="s">
        <v>67</v>
      </c>
      <c r="K2311" s="1" t="s">
        <v>5259</v>
      </c>
      <c r="L2311" s="2">
        <v>46177.918923611112</v>
      </c>
      <c r="M2311" s="2">
        <v>46177.921329212964</v>
      </c>
    </row>
    <row r="2312" spans="1:13" x14ac:dyDescent="0.35">
      <c r="A2312" s="1" t="s">
        <v>3599</v>
      </c>
      <c r="B2312" s="1" t="s">
        <v>13</v>
      </c>
      <c r="C2312" s="1" t="s">
        <v>5071</v>
      </c>
      <c r="D2312">
        <v>4.25</v>
      </c>
      <c r="E2312" s="2">
        <v>48730</v>
      </c>
      <c r="F2312" s="1" t="s">
        <v>16</v>
      </c>
      <c r="G2312" s="1" t="s">
        <v>5071</v>
      </c>
      <c r="H2312" s="1" t="s">
        <v>2</v>
      </c>
      <c r="I2312" s="2">
        <v>46177</v>
      </c>
      <c r="J2312" s="1" t="s">
        <v>18</v>
      </c>
      <c r="K2312" s="1" t="s">
        <v>831</v>
      </c>
      <c r="L2312" s="2">
        <v>46177.92087962963</v>
      </c>
      <c r="M2312" s="2">
        <v>46177.921329212964</v>
      </c>
    </row>
    <row r="2313" spans="1:13" x14ac:dyDescent="0.35">
      <c r="A2313" s="1" t="s">
        <v>3599</v>
      </c>
      <c r="B2313" s="1" t="s">
        <v>13</v>
      </c>
      <c r="C2313" s="1" t="s">
        <v>5071</v>
      </c>
      <c r="D2313">
        <v>4.25</v>
      </c>
      <c r="E2313" s="2">
        <v>48730</v>
      </c>
      <c r="F2313" s="1" t="s">
        <v>16</v>
      </c>
      <c r="G2313" s="1" t="s">
        <v>5071</v>
      </c>
      <c r="H2313" s="1" t="s">
        <v>2</v>
      </c>
      <c r="I2313" s="2">
        <v>46177</v>
      </c>
      <c r="J2313" s="1" t="s">
        <v>214</v>
      </c>
      <c r="K2313" s="1" t="s">
        <v>5137</v>
      </c>
      <c r="L2313" s="2">
        <v>46177.918923611112</v>
      </c>
      <c r="M2313" s="2">
        <v>46177.921329212964</v>
      </c>
    </row>
    <row r="2314" spans="1:13" x14ac:dyDescent="0.35">
      <c r="A2314" s="1" t="s">
        <v>3599</v>
      </c>
      <c r="B2314" s="1" t="s">
        <v>13</v>
      </c>
      <c r="C2314" s="1" t="s">
        <v>5071</v>
      </c>
      <c r="D2314">
        <v>4.25</v>
      </c>
      <c r="E2314" s="2">
        <v>48730</v>
      </c>
      <c r="F2314" s="1" t="s">
        <v>16</v>
      </c>
      <c r="G2314" s="1" t="s">
        <v>5071</v>
      </c>
      <c r="H2314" s="1" t="s">
        <v>2</v>
      </c>
      <c r="I2314" s="2">
        <v>46177</v>
      </c>
      <c r="J2314" s="1" t="s">
        <v>224</v>
      </c>
      <c r="K2314" s="1" t="s">
        <v>5137</v>
      </c>
      <c r="L2314" s="2">
        <v>46177.918923611112</v>
      </c>
      <c r="M2314" s="2">
        <v>46177.921329212964</v>
      </c>
    </row>
    <row r="2315" spans="1:13" x14ac:dyDescent="0.35">
      <c r="A2315" s="1" t="s">
        <v>3599</v>
      </c>
      <c r="B2315" s="1" t="s">
        <v>13</v>
      </c>
      <c r="C2315" s="1" t="s">
        <v>5071</v>
      </c>
      <c r="D2315">
        <v>4.25</v>
      </c>
      <c r="E2315" s="2">
        <v>48730</v>
      </c>
      <c r="F2315" s="1" t="s">
        <v>16</v>
      </c>
      <c r="G2315" s="1" t="s">
        <v>5071</v>
      </c>
      <c r="H2315" s="1" t="s">
        <v>2</v>
      </c>
      <c r="I2315" s="2">
        <v>46177</v>
      </c>
      <c r="J2315" s="1" t="s">
        <v>67</v>
      </c>
      <c r="K2315" s="1" t="s">
        <v>5072</v>
      </c>
      <c r="L2315" s="2">
        <v>46177.918923611112</v>
      </c>
      <c r="M2315" s="2">
        <v>46177.921329212964</v>
      </c>
    </row>
    <row r="2316" spans="1:13" x14ac:dyDescent="0.35">
      <c r="A2316" s="1" t="s">
        <v>3599</v>
      </c>
      <c r="B2316" s="1" t="s">
        <v>13</v>
      </c>
      <c r="C2316" s="1" t="s">
        <v>5071</v>
      </c>
      <c r="D2316">
        <v>4.25</v>
      </c>
      <c r="E2316" s="2">
        <v>48730</v>
      </c>
      <c r="F2316" s="1" t="s">
        <v>16</v>
      </c>
      <c r="G2316" s="1" t="s">
        <v>5071</v>
      </c>
      <c r="H2316" s="1" t="s">
        <v>2</v>
      </c>
      <c r="I2316" s="2">
        <v>46177</v>
      </c>
      <c r="J2316" s="1" t="s">
        <v>215</v>
      </c>
      <c r="K2316" s="1" t="s">
        <v>5072</v>
      </c>
      <c r="L2316" s="2">
        <v>46177.918923611112</v>
      </c>
      <c r="M2316" s="2">
        <v>46177.921329212964</v>
      </c>
    </row>
    <row r="2317" spans="1:13" x14ac:dyDescent="0.35">
      <c r="A2317" s="1" t="s">
        <v>3599</v>
      </c>
      <c r="B2317" s="1" t="s">
        <v>13</v>
      </c>
      <c r="C2317" s="1" t="s">
        <v>5071</v>
      </c>
      <c r="D2317">
        <v>4.25</v>
      </c>
      <c r="E2317" s="2">
        <v>48730</v>
      </c>
      <c r="F2317" s="1" t="s">
        <v>16</v>
      </c>
      <c r="G2317" s="1" t="s">
        <v>5071</v>
      </c>
      <c r="H2317" s="1" t="s">
        <v>2</v>
      </c>
      <c r="I2317" s="2">
        <v>46177</v>
      </c>
      <c r="J2317" s="1" t="s">
        <v>17</v>
      </c>
      <c r="K2317" s="1" t="s">
        <v>2417</v>
      </c>
      <c r="L2317" s="2">
        <v>46177.92087962963</v>
      </c>
      <c r="M2317" s="2">
        <v>46177.921329212964</v>
      </c>
    </row>
    <row r="2318" spans="1:13" x14ac:dyDescent="0.35">
      <c r="A2318" s="1" t="s">
        <v>3601</v>
      </c>
      <c r="B2318" s="1" t="s">
        <v>13</v>
      </c>
      <c r="C2318" s="1" t="s">
        <v>5138</v>
      </c>
      <c r="D2318">
        <v>4.125</v>
      </c>
      <c r="E2318" s="2">
        <v>47999</v>
      </c>
      <c r="F2318" s="1" t="s">
        <v>16</v>
      </c>
      <c r="G2318" s="1" t="s">
        <v>5138</v>
      </c>
      <c r="H2318" s="1" t="s">
        <v>2</v>
      </c>
      <c r="I2318" s="2">
        <v>46177</v>
      </c>
      <c r="J2318" s="1" t="s">
        <v>224</v>
      </c>
      <c r="K2318" s="1" t="s">
        <v>5139</v>
      </c>
      <c r="L2318" s="2">
        <v>46177.918923611112</v>
      </c>
      <c r="M2318" s="2">
        <v>46177.921329212964</v>
      </c>
    </row>
    <row r="2319" spans="1:13" x14ac:dyDescent="0.35">
      <c r="A2319" s="1" t="s">
        <v>3601</v>
      </c>
      <c r="B2319" s="1" t="s">
        <v>13</v>
      </c>
      <c r="C2319" s="1" t="s">
        <v>5138</v>
      </c>
      <c r="D2319">
        <v>4.125</v>
      </c>
      <c r="E2319" s="2">
        <v>47999</v>
      </c>
      <c r="F2319" s="1" t="s">
        <v>16</v>
      </c>
      <c r="G2319" s="1" t="s">
        <v>5138</v>
      </c>
      <c r="H2319" s="1" t="s">
        <v>2</v>
      </c>
      <c r="I2319" s="2">
        <v>46177</v>
      </c>
      <c r="J2319" s="1" t="s">
        <v>18</v>
      </c>
      <c r="K2319" s="1" t="s">
        <v>2400</v>
      </c>
      <c r="L2319" s="2">
        <v>46177.92087962963</v>
      </c>
      <c r="M2319" s="2">
        <v>46177.921329212964</v>
      </c>
    </row>
    <row r="2320" spans="1:13" x14ac:dyDescent="0.35">
      <c r="A2320" s="1" t="s">
        <v>3601</v>
      </c>
      <c r="B2320" s="1" t="s">
        <v>13</v>
      </c>
      <c r="C2320" s="1" t="s">
        <v>5138</v>
      </c>
      <c r="D2320">
        <v>4.125</v>
      </c>
      <c r="E2320" s="2">
        <v>47999</v>
      </c>
      <c r="F2320" s="1" t="s">
        <v>16</v>
      </c>
      <c r="G2320" s="1" t="s">
        <v>5138</v>
      </c>
      <c r="H2320" s="1" t="s">
        <v>2</v>
      </c>
      <c r="I2320" s="2">
        <v>46177</v>
      </c>
      <c r="J2320" s="1" t="s">
        <v>214</v>
      </c>
      <c r="K2320" s="1" t="s">
        <v>5139</v>
      </c>
      <c r="L2320" s="2">
        <v>46177.918923611112</v>
      </c>
      <c r="M2320" s="2">
        <v>46177.921329212964</v>
      </c>
    </row>
    <row r="2321" spans="1:13" x14ac:dyDescent="0.35">
      <c r="A2321" s="1" t="s">
        <v>3601</v>
      </c>
      <c r="B2321" s="1" t="s">
        <v>13</v>
      </c>
      <c r="C2321" s="1" t="s">
        <v>5138</v>
      </c>
      <c r="D2321">
        <v>4.125</v>
      </c>
      <c r="E2321" s="2">
        <v>47999</v>
      </c>
      <c r="F2321" s="1" t="s">
        <v>16</v>
      </c>
      <c r="G2321" s="1" t="s">
        <v>5138</v>
      </c>
      <c r="H2321" s="1" t="s">
        <v>2</v>
      </c>
      <c r="I2321" s="2">
        <v>46177</v>
      </c>
      <c r="J2321" s="1" t="s">
        <v>215</v>
      </c>
      <c r="K2321" s="1" t="s">
        <v>5140</v>
      </c>
      <c r="L2321" s="2">
        <v>46177.918923611112</v>
      </c>
      <c r="M2321" s="2">
        <v>46177.921329212964</v>
      </c>
    </row>
    <row r="2322" spans="1:13" x14ac:dyDescent="0.35">
      <c r="A2322" s="1" t="s">
        <v>3601</v>
      </c>
      <c r="B2322" s="1" t="s">
        <v>13</v>
      </c>
      <c r="C2322" s="1" t="s">
        <v>5138</v>
      </c>
      <c r="D2322">
        <v>4.125</v>
      </c>
      <c r="E2322" s="2">
        <v>47999</v>
      </c>
      <c r="F2322" s="1" t="s">
        <v>16</v>
      </c>
      <c r="G2322" s="1" t="s">
        <v>5138</v>
      </c>
      <c r="H2322" s="1" t="s">
        <v>2</v>
      </c>
      <c r="I2322" s="2">
        <v>46177</v>
      </c>
      <c r="J2322" s="1" t="s">
        <v>17</v>
      </c>
      <c r="K2322" s="1" t="s">
        <v>2567</v>
      </c>
      <c r="L2322" s="2">
        <v>46177.92087962963</v>
      </c>
      <c r="M2322" s="2">
        <v>46177.921329212964</v>
      </c>
    </row>
    <row r="2323" spans="1:13" x14ac:dyDescent="0.35">
      <c r="A2323" s="1" t="s">
        <v>3601</v>
      </c>
      <c r="B2323" s="1" t="s">
        <v>13</v>
      </c>
      <c r="C2323" s="1" t="s">
        <v>5138</v>
      </c>
      <c r="D2323">
        <v>4.125</v>
      </c>
      <c r="E2323" s="2">
        <v>47999</v>
      </c>
      <c r="F2323" s="1" t="s">
        <v>16</v>
      </c>
      <c r="G2323" s="1" t="s">
        <v>5138</v>
      </c>
      <c r="H2323" s="1" t="s">
        <v>2</v>
      </c>
      <c r="I2323" s="2">
        <v>46177</v>
      </c>
      <c r="J2323" s="1" t="s">
        <v>67</v>
      </c>
      <c r="K2323" s="1" t="s">
        <v>5140</v>
      </c>
      <c r="L2323" s="2">
        <v>46177.918923611112</v>
      </c>
      <c r="M2323" s="2">
        <v>46177.921329212964</v>
      </c>
    </row>
    <row r="2324" spans="1:13" x14ac:dyDescent="0.35">
      <c r="A2324" s="1" t="s">
        <v>984</v>
      </c>
      <c r="B2324" s="1" t="s">
        <v>13</v>
      </c>
      <c r="C2324" s="1" t="s">
        <v>985</v>
      </c>
      <c r="D2324">
        <v>0</v>
      </c>
      <c r="E2324" s="2">
        <v>48075</v>
      </c>
      <c r="F2324" s="1" t="s">
        <v>16</v>
      </c>
      <c r="G2324" s="1" t="s">
        <v>985</v>
      </c>
      <c r="H2324" s="1" t="s">
        <v>2</v>
      </c>
      <c r="I2324" s="2">
        <v>46177</v>
      </c>
      <c r="J2324" s="1" t="s">
        <v>18</v>
      </c>
      <c r="K2324" s="1" t="s">
        <v>5073</v>
      </c>
      <c r="L2324" s="2">
        <v>46177.92087962963</v>
      </c>
      <c r="M2324" s="2">
        <v>46177.921329212964</v>
      </c>
    </row>
    <row r="2325" spans="1:13" x14ac:dyDescent="0.35">
      <c r="A2325" s="1" t="s">
        <v>984</v>
      </c>
      <c r="B2325" s="1" t="s">
        <v>13</v>
      </c>
      <c r="C2325" s="1" t="s">
        <v>985</v>
      </c>
      <c r="D2325">
        <v>0</v>
      </c>
      <c r="E2325" s="2">
        <v>48075</v>
      </c>
      <c r="F2325" s="1" t="s">
        <v>16</v>
      </c>
      <c r="G2325" s="1" t="s">
        <v>985</v>
      </c>
      <c r="H2325" s="1" t="s">
        <v>2</v>
      </c>
      <c r="I2325" s="2">
        <v>46177</v>
      </c>
      <c r="J2325" s="1" t="s">
        <v>17</v>
      </c>
      <c r="K2325" s="1" t="s">
        <v>5260</v>
      </c>
      <c r="L2325" s="2">
        <v>46177.92087962963</v>
      </c>
      <c r="M2325" s="2">
        <v>46177.921329212964</v>
      </c>
    </row>
    <row r="2326" spans="1:13" x14ac:dyDescent="0.35">
      <c r="A2326" s="1" t="s">
        <v>1104</v>
      </c>
      <c r="B2326" s="1" t="s">
        <v>13</v>
      </c>
      <c r="C2326" s="1" t="s">
        <v>1105</v>
      </c>
      <c r="D2326">
        <v>0</v>
      </c>
      <c r="E2326" s="2">
        <v>48259</v>
      </c>
      <c r="F2326" s="1" t="s">
        <v>16</v>
      </c>
      <c r="G2326" s="1" t="s">
        <v>1105</v>
      </c>
      <c r="H2326" s="1" t="s">
        <v>2</v>
      </c>
      <c r="I2326" s="2">
        <v>46177</v>
      </c>
      <c r="J2326" s="1" t="s">
        <v>18</v>
      </c>
      <c r="K2326" s="1" t="s">
        <v>5141</v>
      </c>
      <c r="L2326" s="2">
        <v>46177.92087962963</v>
      </c>
      <c r="M2326" s="2">
        <v>46177.921329212964</v>
      </c>
    </row>
    <row r="2327" spans="1:13" x14ac:dyDescent="0.35">
      <c r="A2327" s="1" t="s">
        <v>1104</v>
      </c>
      <c r="B2327" s="1" t="s">
        <v>13</v>
      </c>
      <c r="C2327" s="1" t="s">
        <v>1105</v>
      </c>
      <c r="D2327">
        <v>0</v>
      </c>
      <c r="E2327" s="2">
        <v>48259</v>
      </c>
      <c r="F2327" s="1" t="s">
        <v>16</v>
      </c>
      <c r="G2327" s="1" t="s">
        <v>1105</v>
      </c>
      <c r="H2327" s="1" t="s">
        <v>2</v>
      </c>
      <c r="I2327" s="2">
        <v>46177</v>
      </c>
      <c r="J2327" s="1" t="s">
        <v>17</v>
      </c>
      <c r="K2327" s="1" t="s">
        <v>5261</v>
      </c>
      <c r="L2327" s="2">
        <v>46177.92087962963</v>
      </c>
      <c r="M2327" s="2">
        <v>46177.921329212964</v>
      </c>
    </row>
    <row r="2328" spans="1:13" x14ac:dyDescent="0.35">
      <c r="A2328" s="1" t="s">
        <v>1050</v>
      </c>
      <c r="B2328" s="1" t="s">
        <v>13</v>
      </c>
      <c r="C2328" s="1" t="s">
        <v>1051</v>
      </c>
      <c r="D2328">
        <v>0</v>
      </c>
      <c r="E2328" s="2">
        <v>48441</v>
      </c>
      <c r="F2328" s="1" t="s">
        <v>16</v>
      </c>
      <c r="G2328" s="1" t="s">
        <v>1051</v>
      </c>
      <c r="H2328" s="1" t="s">
        <v>2</v>
      </c>
      <c r="I2328" s="2">
        <v>46177</v>
      </c>
      <c r="J2328" s="1" t="s">
        <v>17</v>
      </c>
      <c r="K2328" s="1" t="s">
        <v>5246</v>
      </c>
      <c r="L2328" s="2">
        <v>46177.92087962963</v>
      </c>
      <c r="M2328" s="2">
        <v>46177.921329212964</v>
      </c>
    </row>
    <row r="2329" spans="1:13" x14ac:dyDescent="0.35">
      <c r="A2329" s="1" t="s">
        <v>1050</v>
      </c>
      <c r="B2329" s="1" t="s">
        <v>13</v>
      </c>
      <c r="C2329" s="1" t="s">
        <v>1051</v>
      </c>
      <c r="D2329">
        <v>0</v>
      </c>
      <c r="E2329" s="2">
        <v>48441</v>
      </c>
      <c r="F2329" s="1" t="s">
        <v>16</v>
      </c>
      <c r="G2329" s="1" t="s">
        <v>1051</v>
      </c>
      <c r="H2329" s="1" t="s">
        <v>2</v>
      </c>
      <c r="I2329" s="2">
        <v>46177</v>
      </c>
      <c r="J2329" s="1" t="s">
        <v>18</v>
      </c>
      <c r="K2329" s="1" t="s">
        <v>5174</v>
      </c>
      <c r="L2329" s="2">
        <v>46177.92087962963</v>
      </c>
      <c r="M2329" s="2">
        <v>46177.921329212964</v>
      </c>
    </row>
    <row r="2330" spans="1:13" x14ac:dyDescent="0.35">
      <c r="A2330" s="1" t="s">
        <v>1076</v>
      </c>
      <c r="B2330" s="1" t="s">
        <v>13</v>
      </c>
      <c r="C2330" s="1" t="s">
        <v>1077</v>
      </c>
      <c r="D2330">
        <v>0</v>
      </c>
      <c r="E2330" s="2">
        <v>48625</v>
      </c>
      <c r="F2330" s="1" t="s">
        <v>16</v>
      </c>
      <c r="G2330" s="1" t="s">
        <v>1077</v>
      </c>
      <c r="H2330" s="1" t="s">
        <v>2</v>
      </c>
      <c r="I2330" s="2">
        <v>46177</v>
      </c>
      <c r="J2330" s="1" t="s">
        <v>17</v>
      </c>
      <c r="K2330" s="1" t="s">
        <v>5175</v>
      </c>
      <c r="L2330" s="2">
        <v>46177.92087962963</v>
      </c>
      <c r="M2330" s="2">
        <v>46177.921329212964</v>
      </c>
    </row>
    <row r="2331" spans="1:13" x14ac:dyDescent="0.35">
      <c r="A2331" s="1" t="s">
        <v>1076</v>
      </c>
      <c r="B2331" s="1" t="s">
        <v>13</v>
      </c>
      <c r="C2331" s="1" t="s">
        <v>1077</v>
      </c>
      <c r="D2331">
        <v>0</v>
      </c>
      <c r="E2331" s="2">
        <v>48625</v>
      </c>
      <c r="F2331" s="1" t="s">
        <v>16</v>
      </c>
      <c r="G2331" s="1" t="s">
        <v>1077</v>
      </c>
      <c r="H2331" s="1" t="s">
        <v>2</v>
      </c>
      <c r="I2331" s="2">
        <v>46177</v>
      </c>
      <c r="J2331" s="1" t="s">
        <v>18</v>
      </c>
      <c r="K2331" s="1" t="s">
        <v>5074</v>
      </c>
      <c r="L2331" s="2">
        <v>46177.92087962963</v>
      </c>
      <c r="M2331" s="2">
        <v>46177.921329212964</v>
      </c>
    </row>
    <row r="2332" spans="1:13" x14ac:dyDescent="0.35">
      <c r="A2332" s="1" t="s">
        <v>1052</v>
      </c>
      <c r="B2332" s="1" t="s">
        <v>13</v>
      </c>
      <c r="C2332" s="1" t="s">
        <v>1053</v>
      </c>
      <c r="D2332">
        <v>0</v>
      </c>
      <c r="E2332" s="2">
        <v>48806</v>
      </c>
      <c r="F2332" s="1" t="s">
        <v>16</v>
      </c>
      <c r="G2332" s="1" t="s">
        <v>1053</v>
      </c>
      <c r="H2332" s="1" t="s">
        <v>2</v>
      </c>
      <c r="I2332" s="2">
        <v>46177</v>
      </c>
      <c r="J2332" s="1" t="s">
        <v>17</v>
      </c>
      <c r="K2332" s="1" t="s">
        <v>5314</v>
      </c>
      <c r="L2332" s="2">
        <v>46177.92087962963</v>
      </c>
      <c r="M2332" s="2">
        <v>46177.921329212964</v>
      </c>
    </row>
    <row r="2333" spans="1:13" x14ac:dyDescent="0.35">
      <c r="A2333" s="1" t="s">
        <v>1052</v>
      </c>
      <c r="B2333" s="1" t="s">
        <v>13</v>
      </c>
      <c r="C2333" s="1" t="s">
        <v>1053</v>
      </c>
      <c r="D2333">
        <v>0</v>
      </c>
      <c r="E2333" s="2">
        <v>48806</v>
      </c>
      <c r="F2333" s="1" t="s">
        <v>16</v>
      </c>
      <c r="G2333" s="1" t="s">
        <v>1053</v>
      </c>
      <c r="H2333" s="1" t="s">
        <v>2</v>
      </c>
      <c r="I2333" s="2">
        <v>46177</v>
      </c>
      <c r="J2333" s="1" t="s">
        <v>18</v>
      </c>
      <c r="K2333" s="1" t="s">
        <v>5315</v>
      </c>
      <c r="L2333" s="2">
        <v>46177.92087962963</v>
      </c>
      <c r="M2333" s="2">
        <v>46177.921329212964</v>
      </c>
    </row>
    <row r="2334" spans="1:13" x14ac:dyDescent="0.35">
      <c r="A2334" s="1" t="s">
        <v>1054</v>
      </c>
      <c r="B2334" s="1" t="s">
        <v>13</v>
      </c>
      <c r="C2334" s="1" t="s">
        <v>1055</v>
      </c>
      <c r="D2334">
        <v>0</v>
      </c>
      <c r="E2334" s="2">
        <v>48990</v>
      </c>
      <c r="F2334" s="1" t="s">
        <v>16</v>
      </c>
      <c r="G2334" s="1" t="s">
        <v>1055</v>
      </c>
      <c r="H2334" s="1" t="s">
        <v>2</v>
      </c>
      <c r="I2334" s="2">
        <v>46177</v>
      </c>
      <c r="J2334" s="1" t="s">
        <v>17</v>
      </c>
      <c r="K2334" s="1" t="s">
        <v>5180</v>
      </c>
      <c r="L2334" s="2">
        <v>46177.92087962963</v>
      </c>
      <c r="M2334" s="2">
        <v>46177.921329212964</v>
      </c>
    </row>
    <row r="2335" spans="1:13" x14ac:dyDescent="0.35">
      <c r="A2335" s="1" t="s">
        <v>1054</v>
      </c>
      <c r="B2335" s="1" t="s">
        <v>13</v>
      </c>
      <c r="C2335" s="1" t="s">
        <v>1055</v>
      </c>
      <c r="D2335">
        <v>0</v>
      </c>
      <c r="E2335" s="2">
        <v>48990</v>
      </c>
      <c r="F2335" s="1" t="s">
        <v>16</v>
      </c>
      <c r="G2335" s="1" t="s">
        <v>1055</v>
      </c>
      <c r="H2335" s="1" t="s">
        <v>2</v>
      </c>
      <c r="I2335" s="2">
        <v>46177</v>
      </c>
      <c r="J2335" s="1" t="s">
        <v>18</v>
      </c>
      <c r="K2335" s="1" t="s">
        <v>5181</v>
      </c>
      <c r="L2335" s="2">
        <v>46177.92087962963</v>
      </c>
      <c r="M2335" s="2">
        <v>46177.921329212964</v>
      </c>
    </row>
    <row r="2336" spans="1:13" x14ac:dyDescent="0.35">
      <c r="A2336" s="1" t="s">
        <v>1002</v>
      </c>
      <c r="B2336" s="1" t="s">
        <v>13</v>
      </c>
      <c r="C2336" s="1" t="s">
        <v>1003</v>
      </c>
      <c r="D2336">
        <v>0</v>
      </c>
      <c r="E2336" s="2">
        <v>49171</v>
      </c>
      <c r="F2336" s="1" t="s">
        <v>16</v>
      </c>
      <c r="G2336" s="1" t="s">
        <v>1003</v>
      </c>
      <c r="H2336" s="1" t="s">
        <v>2</v>
      </c>
      <c r="I2336" s="2">
        <v>46177</v>
      </c>
      <c r="J2336" s="1" t="s">
        <v>17</v>
      </c>
      <c r="K2336" s="1" t="s">
        <v>5198</v>
      </c>
      <c r="L2336" s="2">
        <v>46177.92087962963</v>
      </c>
      <c r="M2336" s="2">
        <v>46177.921329212964</v>
      </c>
    </row>
    <row r="2337" spans="1:13" x14ac:dyDescent="0.35">
      <c r="A2337" s="1" t="s">
        <v>1002</v>
      </c>
      <c r="B2337" s="1" t="s">
        <v>13</v>
      </c>
      <c r="C2337" s="1" t="s">
        <v>1003</v>
      </c>
      <c r="D2337">
        <v>0</v>
      </c>
      <c r="E2337" s="2">
        <v>49171</v>
      </c>
      <c r="F2337" s="1" t="s">
        <v>16</v>
      </c>
      <c r="G2337" s="1" t="s">
        <v>1003</v>
      </c>
      <c r="H2337" s="1" t="s">
        <v>2</v>
      </c>
      <c r="I2337" s="2">
        <v>46177</v>
      </c>
      <c r="J2337" s="1" t="s">
        <v>18</v>
      </c>
      <c r="K2337" s="1" t="s">
        <v>5279</v>
      </c>
      <c r="L2337" s="2">
        <v>46177.92087962963</v>
      </c>
      <c r="M2337" s="2">
        <v>46177.921329212964</v>
      </c>
    </row>
    <row r="2338" spans="1:13" x14ac:dyDescent="0.35">
      <c r="A2338" s="1" t="s">
        <v>1066</v>
      </c>
      <c r="B2338" s="1" t="s">
        <v>13</v>
      </c>
      <c r="C2338" s="1" t="s">
        <v>1067</v>
      </c>
      <c r="D2338">
        <v>0</v>
      </c>
      <c r="E2338" s="2">
        <v>49355</v>
      </c>
      <c r="F2338" s="1" t="s">
        <v>16</v>
      </c>
      <c r="G2338" s="1" t="s">
        <v>1067</v>
      </c>
      <c r="H2338" s="1" t="s">
        <v>2</v>
      </c>
      <c r="I2338" s="2">
        <v>46177</v>
      </c>
      <c r="J2338" s="1" t="s">
        <v>18</v>
      </c>
      <c r="K2338" s="1" t="s">
        <v>5199</v>
      </c>
      <c r="L2338" s="2">
        <v>46177.92087962963</v>
      </c>
      <c r="M2338" s="2">
        <v>46177.921329212964</v>
      </c>
    </row>
    <row r="2339" spans="1:13" x14ac:dyDescent="0.35">
      <c r="A2339" s="1" t="s">
        <v>1066</v>
      </c>
      <c r="B2339" s="1" t="s">
        <v>13</v>
      </c>
      <c r="C2339" s="1" t="s">
        <v>1067</v>
      </c>
      <c r="D2339">
        <v>0</v>
      </c>
      <c r="E2339" s="2">
        <v>49355</v>
      </c>
      <c r="F2339" s="1" t="s">
        <v>16</v>
      </c>
      <c r="G2339" s="1" t="s">
        <v>1067</v>
      </c>
      <c r="H2339" s="1" t="s">
        <v>2</v>
      </c>
      <c r="I2339" s="2">
        <v>46177</v>
      </c>
      <c r="J2339" s="1" t="s">
        <v>17</v>
      </c>
      <c r="K2339" s="1" t="s">
        <v>5182</v>
      </c>
      <c r="L2339" s="2">
        <v>46177.92087962963</v>
      </c>
      <c r="M2339" s="2">
        <v>46177.921329212964</v>
      </c>
    </row>
    <row r="2340" spans="1:13" x14ac:dyDescent="0.35">
      <c r="A2340" s="1" t="s">
        <v>1068</v>
      </c>
      <c r="B2340" s="1" t="s">
        <v>13</v>
      </c>
      <c r="C2340" s="1" t="s">
        <v>1069</v>
      </c>
      <c r="D2340">
        <v>0</v>
      </c>
      <c r="E2340" s="2">
        <v>49536</v>
      </c>
      <c r="F2340" s="1" t="s">
        <v>16</v>
      </c>
      <c r="G2340" s="1" t="s">
        <v>1069</v>
      </c>
      <c r="H2340" s="1" t="s">
        <v>2</v>
      </c>
      <c r="I2340" s="2">
        <v>46177</v>
      </c>
      <c r="J2340" s="1" t="s">
        <v>17</v>
      </c>
      <c r="K2340" s="1" t="s">
        <v>5142</v>
      </c>
      <c r="L2340" s="2">
        <v>46177.92087962963</v>
      </c>
      <c r="M2340" s="2">
        <v>46177.921329212964</v>
      </c>
    </row>
    <row r="2341" spans="1:13" x14ac:dyDescent="0.35">
      <c r="A2341" s="1" t="s">
        <v>1068</v>
      </c>
      <c r="B2341" s="1" t="s">
        <v>13</v>
      </c>
      <c r="C2341" s="1" t="s">
        <v>1069</v>
      </c>
      <c r="D2341">
        <v>0</v>
      </c>
      <c r="E2341" s="2">
        <v>49536</v>
      </c>
      <c r="F2341" s="1" t="s">
        <v>16</v>
      </c>
      <c r="G2341" s="1" t="s">
        <v>1069</v>
      </c>
      <c r="H2341" s="1" t="s">
        <v>2</v>
      </c>
      <c r="I2341" s="2">
        <v>46177</v>
      </c>
      <c r="J2341" s="1" t="s">
        <v>18</v>
      </c>
      <c r="K2341" s="1" t="s">
        <v>5075</v>
      </c>
      <c r="L2341" s="2">
        <v>46177.92087962963</v>
      </c>
      <c r="M2341" s="2">
        <v>46177.921329212964</v>
      </c>
    </row>
    <row r="2342" spans="1:13" x14ac:dyDescent="0.35">
      <c r="A2342" s="1" t="s">
        <v>1078</v>
      </c>
      <c r="B2342" s="1" t="s">
        <v>13</v>
      </c>
      <c r="C2342" s="1" t="s">
        <v>1079</v>
      </c>
      <c r="D2342">
        <v>0</v>
      </c>
      <c r="E2342" s="2">
        <v>49720</v>
      </c>
      <c r="F2342" s="1" t="s">
        <v>16</v>
      </c>
      <c r="G2342" s="1" t="s">
        <v>1079</v>
      </c>
      <c r="H2342" s="1" t="s">
        <v>2</v>
      </c>
      <c r="I2342" s="2">
        <v>46177</v>
      </c>
      <c r="J2342" s="1" t="s">
        <v>17</v>
      </c>
      <c r="K2342" s="1" t="s">
        <v>5247</v>
      </c>
      <c r="L2342" s="2">
        <v>46177.92087962963</v>
      </c>
      <c r="M2342" s="2">
        <v>46177.921329212964</v>
      </c>
    </row>
    <row r="2343" spans="1:13" x14ac:dyDescent="0.35">
      <c r="A2343" s="1" t="s">
        <v>1078</v>
      </c>
      <c r="B2343" s="1" t="s">
        <v>13</v>
      </c>
      <c r="C2343" s="1" t="s">
        <v>1079</v>
      </c>
      <c r="D2343">
        <v>0</v>
      </c>
      <c r="E2343" s="2">
        <v>49720</v>
      </c>
      <c r="F2343" s="1" t="s">
        <v>16</v>
      </c>
      <c r="G2343" s="1" t="s">
        <v>1079</v>
      </c>
      <c r="H2343" s="1" t="s">
        <v>2</v>
      </c>
      <c r="I2343" s="2">
        <v>46177</v>
      </c>
      <c r="J2343" s="1" t="s">
        <v>18</v>
      </c>
      <c r="K2343" s="1" t="s">
        <v>5262</v>
      </c>
      <c r="L2343" s="2">
        <v>46177.92087962963</v>
      </c>
      <c r="M2343" s="2">
        <v>46177.921329212964</v>
      </c>
    </row>
    <row r="2344" spans="1:13" x14ac:dyDescent="0.35">
      <c r="A2344" s="1" t="s">
        <v>986</v>
      </c>
      <c r="B2344" s="1" t="s">
        <v>13</v>
      </c>
      <c r="C2344" s="1" t="s">
        <v>987</v>
      </c>
      <c r="D2344">
        <v>0</v>
      </c>
      <c r="E2344" s="2">
        <v>50086</v>
      </c>
      <c r="F2344" s="1" t="s">
        <v>16</v>
      </c>
      <c r="G2344" s="1" t="s">
        <v>987</v>
      </c>
      <c r="H2344" s="1" t="s">
        <v>2</v>
      </c>
      <c r="I2344" s="2">
        <v>46177</v>
      </c>
      <c r="J2344" s="1" t="s">
        <v>17</v>
      </c>
      <c r="K2344" s="1" t="s">
        <v>5143</v>
      </c>
      <c r="L2344" s="2">
        <v>46177.92087962963</v>
      </c>
      <c r="M2344" s="2">
        <v>46177.921329212964</v>
      </c>
    </row>
    <row r="2345" spans="1:13" x14ac:dyDescent="0.35">
      <c r="A2345" s="1" t="s">
        <v>986</v>
      </c>
      <c r="B2345" s="1" t="s">
        <v>13</v>
      </c>
      <c r="C2345" s="1" t="s">
        <v>987</v>
      </c>
      <c r="D2345">
        <v>0</v>
      </c>
      <c r="E2345" s="2">
        <v>50086</v>
      </c>
      <c r="F2345" s="1" t="s">
        <v>16</v>
      </c>
      <c r="G2345" s="1" t="s">
        <v>987</v>
      </c>
      <c r="H2345" s="1" t="s">
        <v>2</v>
      </c>
      <c r="I2345" s="2">
        <v>46177</v>
      </c>
      <c r="J2345" s="1" t="s">
        <v>18</v>
      </c>
      <c r="K2345" s="1" t="s">
        <v>5076</v>
      </c>
      <c r="L2345" s="2">
        <v>46177.92087962963</v>
      </c>
      <c r="M2345" s="2">
        <v>46177.921329212964</v>
      </c>
    </row>
    <row r="2346" spans="1:13" x14ac:dyDescent="0.35">
      <c r="A2346" s="1" t="s">
        <v>988</v>
      </c>
      <c r="B2346" s="1" t="s">
        <v>13</v>
      </c>
      <c r="C2346" s="1" t="s">
        <v>989</v>
      </c>
      <c r="D2346">
        <v>0</v>
      </c>
      <c r="E2346" s="2">
        <v>48167</v>
      </c>
      <c r="F2346" s="1" t="s">
        <v>16</v>
      </c>
      <c r="G2346" s="1" t="s">
        <v>989</v>
      </c>
      <c r="H2346" s="1" t="s">
        <v>2</v>
      </c>
      <c r="I2346" s="2">
        <v>46177</v>
      </c>
      <c r="J2346" s="1" t="s">
        <v>17</v>
      </c>
      <c r="K2346" s="1" t="s">
        <v>5183</v>
      </c>
      <c r="L2346" s="2">
        <v>46177.92087962963</v>
      </c>
      <c r="M2346" s="2">
        <v>46177.921329212964</v>
      </c>
    </row>
    <row r="2347" spans="1:13" x14ac:dyDescent="0.35">
      <c r="A2347" s="1" t="s">
        <v>988</v>
      </c>
      <c r="B2347" s="1" t="s">
        <v>13</v>
      </c>
      <c r="C2347" s="1" t="s">
        <v>989</v>
      </c>
      <c r="D2347">
        <v>0</v>
      </c>
      <c r="E2347" s="2">
        <v>48167</v>
      </c>
      <c r="F2347" s="1" t="s">
        <v>16</v>
      </c>
      <c r="G2347" s="1" t="s">
        <v>989</v>
      </c>
      <c r="H2347" s="1" t="s">
        <v>2</v>
      </c>
      <c r="I2347" s="2">
        <v>46177</v>
      </c>
      <c r="J2347" s="1" t="s">
        <v>18</v>
      </c>
      <c r="K2347" s="1" t="s">
        <v>5263</v>
      </c>
      <c r="L2347" s="2">
        <v>46177.92087962963</v>
      </c>
      <c r="M2347" s="2">
        <v>46177.921329212964</v>
      </c>
    </row>
    <row r="2348" spans="1:13" x14ac:dyDescent="0.35">
      <c r="A2348" s="1" t="s">
        <v>1004</v>
      </c>
      <c r="B2348" s="1" t="s">
        <v>13</v>
      </c>
      <c r="C2348" s="1" t="s">
        <v>1005</v>
      </c>
      <c r="D2348">
        <v>0</v>
      </c>
      <c r="E2348" s="2">
        <v>48349</v>
      </c>
      <c r="F2348" s="1" t="s">
        <v>16</v>
      </c>
      <c r="G2348" s="1" t="s">
        <v>1005</v>
      </c>
      <c r="H2348" s="1" t="s">
        <v>2</v>
      </c>
      <c r="I2348" s="2">
        <v>46177</v>
      </c>
      <c r="J2348" s="1" t="s">
        <v>17</v>
      </c>
      <c r="K2348" s="1" t="s">
        <v>5264</v>
      </c>
      <c r="L2348" s="2">
        <v>46177.92087962963</v>
      </c>
      <c r="M2348" s="2">
        <v>46177.921329212964</v>
      </c>
    </row>
    <row r="2349" spans="1:13" x14ac:dyDescent="0.35">
      <c r="A2349" s="1" t="s">
        <v>1004</v>
      </c>
      <c r="B2349" s="1" t="s">
        <v>13</v>
      </c>
      <c r="C2349" s="1" t="s">
        <v>1005</v>
      </c>
      <c r="D2349">
        <v>0</v>
      </c>
      <c r="E2349" s="2">
        <v>48349</v>
      </c>
      <c r="F2349" s="1" t="s">
        <v>16</v>
      </c>
      <c r="G2349" s="1" t="s">
        <v>1005</v>
      </c>
      <c r="H2349" s="1" t="s">
        <v>2</v>
      </c>
      <c r="I2349" s="2">
        <v>46177</v>
      </c>
      <c r="J2349" s="1" t="s">
        <v>18</v>
      </c>
      <c r="K2349" s="1" t="s">
        <v>5316</v>
      </c>
      <c r="L2349" s="2">
        <v>46177.92087962963</v>
      </c>
      <c r="M2349" s="2">
        <v>46177.921329212964</v>
      </c>
    </row>
    <row r="2350" spans="1:13" x14ac:dyDescent="0.35">
      <c r="A2350" s="1" t="s">
        <v>1056</v>
      </c>
      <c r="B2350" s="1" t="s">
        <v>13</v>
      </c>
      <c r="C2350" s="1" t="s">
        <v>1057</v>
      </c>
      <c r="D2350">
        <v>0</v>
      </c>
      <c r="E2350" s="2">
        <v>48533</v>
      </c>
      <c r="F2350" s="1" t="s">
        <v>16</v>
      </c>
      <c r="G2350" s="1" t="s">
        <v>1057</v>
      </c>
      <c r="H2350" s="1" t="s">
        <v>2</v>
      </c>
      <c r="I2350" s="2">
        <v>46177</v>
      </c>
      <c r="J2350" s="1" t="s">
        <v>17</v>
      </c>
      <c r="K2350" s="1" t="s">
        <v>5317</v>
      </c>
      <c r="L2350" s="2">
        <v>46177.92087962963</v>
      </c>
      <c r="M2350" s="2">
        <v>46177.921329212964</v>
      </c>
    </row>
    <row r="2351" spans="1:13" x14ac:dyDescent="0.35">
      <c r="A2351" s="1" t="s">
        <v>1056</v>
      </c>
      <c r="B2351" s="1" t="s">
        <v>13</v>
      </c>
      <c r="C2351" s="1" t="s">
        <v>1057</v>
      </c>
      <c r="D2351">
        <v>0</v>
      </c>
      <c r="E2351" s="2">
        <v>48533</v>
      </c>
      <c r="F2351" s="1" t="s">
        <v>16</v>
      </c>
      <c r="G2351" s="1" t="s">
        <v>1057</v>
      </c>
      <c r="H2351" s="1" t="s">
        <v>2</v>
      </c>
      <c r="I2351" s="2">
        <v>46177</v>
      </c>
      <c r="J2351" s="1" t="s">
        <v>18</v>
      </c>
      <c r="K2351" s="1" t="s">
        <v>5318</v>
      </c>
      <c r="L2351" s="2">
        <v>46177.92087962963</v>
      </c>
      <c r="M2351" s="2">
        <v>46177.921329212964</v>
      </c>
    </row>
    <row r="2352" spans="1:13" x14ac:dyDescent="0.35">
      <c r="A2352" s="1" t="s">
        <v>1058</v>
      </c>
      <c r="B2352" s="1" t="s">
        <v>13</v>
      </c>
      <c r="C2352" s="1" t="s">
        <v>1059</v>
      </c>
      <c r="D2352">
        <v>0</v>
      </c>
      <c r="E2352" s="2">
        <v>48714</v>
      </c>
      <c r="F2352" s="1" t="s">
        <v>16</v>
      </c>
      <c r="G2352" s="1" t="s">
        <v>1059</v>
      </c>
      <c r="H2352" s="1" t="s">
        <v>2</v>
      </c>
      <c r="I2352" s="2">
        <v>46177</v>
      </c>
      <c r="J2352" s="1" t="s">
        <v>18</v>
      </c>
      <c r="K2352" s="1" t="s">
        <v>5184</v>
      </c>
      <c r="L2352" s="2">
        <v>46177.92087962963</v>
      </c>
      <c r="M2352" s="2">
        <v>46177.921329212964</v>
      </c>
    </row>
    <row r="2353" spans="1:13" x14ac:dyDescent="0.35">
      <c r="A2353" s="1" t="s">
        <v>1058</v>
      </c>
      <c r="B2353" s="1" t="s">
        <v>13</v>
      </c>
      <c r="C2353" s="1" t="s">
        <v>1059</v>
      </c>
      <c r="D2353">
        <v>0</v>
      </c>
      <c r="E2353" s="2">
        <v>48714</v>
      </c>
      <c r="F2353" s="1" t="s">
        <v>16</v>
      </c>
      <c r="G2353" s="1" t="s">
        <v>1059</v>
      </c>
      <c r="H2353" s="1" t="s">
        <v>2</v>
      </c>
      <c r="I2353" s="2">
        <v>46177</v>
      </c>
      <c r="J2353" s="1" t="s">
        <v>17</v>
      </c>
      <c r="K2353" s="1" t="s">
        <v>5265</v>
      </c>
      <c r="L2353" s="2">
        <v>46177.92087962963</v>
      </c>
      <c r="M2353" s="2">
        <v>46177.921329212964</v>
      </c>
    </row>
    <row r="2354" spans="1:13" x14ac:dyDescent="0.35">
      <c r="A2354" s="1" t="s">
        <v>1060</v>
      </c>
      <c r="B2354" s="1" t="s">
        <v>13</v>
      </c>
      <c r="C2354" s="1" t="s">
        <v>1061</v>
      </c>
      <c r="D2354">
        <v>0</v>
      </c>
      <c r="E2354" s="2">
        <v>48898</v>
      </c>
      <c r="F2354" s="1" t="s">
        <v>16</v>
      </c>
      <c r="G2354" s="1" t="s">
        <v>1061</v>
      </c>
      <c r="H2354" s="1" t="s">
        <v>2</v>
      </c>
      <c r="I2354" s="2">
        <v>46177</v>
      </c>
      <c r="J2354" s="1" t="s">
        <v>18</v>
      </c>
      <c r="K2354" s="1" t="s">
        <v>5266</v>
      </c>
      <c r="L2354" s="2">
        <v>46177.92087962963</v>
      </c>
      <c r="M2354" s="2">
        <v>46177.921329212964</v>
      </c>
    </row>
    <row r="2355" spans="1:13" x14ac:dyDescent="0.35">
      <c r="A2355" s="1" t="s">
        <v>1060</v>
      </c>
      <c r="B2355" s="1" t="s">
        <v>13</v>
      </c>
      <c r="C2355" s="1" t="s">
        <v>1061</v>
      </c>
      <c r="D2355">
        <v>0</v>
      </c>
      <c r="E2355" s="2">
        <v>48898</v>
      </c>
      <c r="F2355" s="1" t="s">
        <v>16</v>
      </c>
      <c r="G2355" s="1" t="s">
        <v>1061</v>
      </c>
      <c r="H2355" s="1" t="s">
        <v>2</v>
      </c>
      <c r="I2355" s="2">
        <v>46177</v>
      </c>
      <c r="J2355" s="1" t="s">
        <v>17</v>
      </c>
      <c r="K2355" s="1" t="s">
        <v>5319</v>
      </c>
      <c r="L2355" s="2">
        <v>46177.92087962963</v>
      </c>
      <c r="M2355" s="2">
        <v>46177.921329212964</v>
      </c>
    </row>
    <row r="2356" spans="1:13" x14ac:dyDescent="0.35">
      <c r="A2356" s="1" t="s">
        <v>990</v>
      </c>
      <c r="B2356" s="1" t="s">
        <v>13</v>
      </c>
      <c r="C2356" s="1" t="s">
        <v>991</v>
      </c>
      <c r="D2356">
        <v>0</v>
      </c>
      <c r="E2356" s="2">
        <v>49079</v>
      </c>
      <c r="F2356" s="1" t="s">
        <v>16</v>
      </c>
      <c r="G2356" s="1" t="s">
        <v>991</v>
      </c>
      <c r="H2356" s="1" t="s">
        <v>2</v>
      </c>
      <c r="I2356" s="2">
        <v>46177</v>
      </c>
      <c r="J2356" s="1" t="s">
        <v>18</v>
      </c>
      <c r="K2356" s="1" t="s">
        <v>5248</v>
      </c>
      <c r="L2356" s="2">
        <v>46177.92087962963</v>
      </c>
      <c r="M2356" s="2">
        <v>46177.921329212964</v>
      </c>
    </row>
    <row r="2357" spans="1:13" x14ac:dyDescent="0.35">
      <c r="A2357" s="1" t="s">
        <v>990</v>
      </c>
      <c r="B2357" s="1" t="s">
        <v>13</v>
      </c>
      <c r="C2357" s="1" t="s">
        <v>991</v>
      </c>
      <c r="D2357">
        <v>0</v>
      </c>
      <c r="E2357" s="2">
        <v>49079</v>
      </c>
      <c r="F2357" s="1" t="s">
        <v>16</v>
      </c>
      <c r="G2357" s="1" t="s">
        <v>991</v>
      </c>
      <c r="H2357" s="1" t="s">
        <v>2</v>
      </c>
      <c r="I2357" s="2">
        <v>46177</v>
      </c>
      <c r="J2357" s="1" t="s">
        <v>17</v>
      </c>
      <c r="K2357" s="1" t="s">
        <v>5267</v>
      </c>
      <c r="L2357" s="2">
        <v>46177.92087962963</v>
      </c>
      <c r="M2357" s="2">
        <v>46177.921329212964</v>
      </c>
    </row>
    <row r="2358" spans="1:13" x14ac:dyDescent="0.35">
      <c r="A2358" s="1" t="s">
        <v>1080</v>
      </c>
      <c r="B2358" s="1" t="s">
        <v>13</v>
      </c>
      <c r="C2358" s="1" t="s">
        <v>1081</v>
      </c>
      <c r="D2358">
        <v>0</v>
      </c>
      <c r="E2358" s="2">
        <v>49263</v>
      </c>
      <c r="F2358" s="1" t="s">
        <v>16</v>
      </c>
      <c r="G2358" s="1" t="s">
        <v>1081</v>
      </c>
      <c r="H2358" s="1" t="s">
        <v>2</v>
      </c>
      <c r="I2358" s="2">
        <v>46177</v>
      </c>
      <c r="J2358" s="1" t="s">
        <v>18</v>
      </c>
      <c r="K2358" s="1" t="s">
        <v>5280</v>
      </c>
      <c r="L2358" s="2">
        <v>46177.92087962963</v>
      </c>
      <c r="M2358" s="2">
        <v>46177.921329212964</v>
      </c>
    </row>
    <row r="2359" spans="1:13" x14ac:dyDescent="0.35">
      <c r="A2359" s="1" t="s">
        <v>1080</v>
      </c>
      <c r="B2359" s="1" t="s">
        <v>13</v>
      </c>
      <c r="C2359" s="1" t="s">
        <v>1081</v>
      </c>
      <c r="D2359">
        <v>0</v>
      </c>
      <c r="E2359" s="2">
        <v>49263</v>
      </c>
      <c r="F2359" s="1" t="s">
        <v>16</v>
      </c>
      <c r="G2359" s="1" t="s">
        <v>1081</v>
      </c>
      <c r="H2359" s="1" t="s">
        <v>2</v>
      </c>
      <c r="I2359" s="2">
        <v>46177</v>
      </c>
      <c r="J2359" s="1" t="s">
        <v>17</v>
      </c>
      <c r="K2359" s="1" t="s">
        <v>5320</v>
      </c>
      <c r="L2359" s="2">
        <v>46177.92087962963</v>
      </c>
      <c r="M2359" s="2">
        <v>46177.921329212964</v>
      </c>
    </row>
    <row r="2360" spans="1:13" x14ac:dyDescent="0.35">
      <c r="A2360" s="1" t="s">
        <v>1070</v>
      </c>
      <c r="B2360" s="1" t="s">
        <v>13</v>
      </c>
      <c r="C2360" s="1" t="s">
        <v>1071</v>
      </c>
      <c r="D2360">
        <v>0</v>
      </c>
      <c r="E2360" s="2">
        <v>49444</v>
      </c>
      <c r="F2360" s="1" t="s">
        <v>16</v>
      </c>
      <c r="G2360" s="1" t="s">
        <v>1071</v>
      </c>
      <c r="H2360" s="1" t="s">
        <v>2</v>
      </c>
      <c r="I2360" s="2">
        <v>46177</v>
      </c>
      <c r="J2360" s="1" t="s">
        <v>17</v>
      </c>
      <c r="K2360" s="1" t="s">
        <v>5281</v>
      </c>
      <c r="L2360" s="2">
        <v>46177.92087962963</v>
      </c>
      <c r="M2360" s="2">
        <v>46177.921329212964</v>
      </c>
    </row>
    <row r="2361" spans="1:13" x14ac:dyDescent="0.35">
      <c r="A2361" s="1" t="s">
        <v>1070</v>
      </c>
      <c r="B2361" s="1" t="s">
        <v>13</v>
      </c>
      <c r="C2361" s="1" t="s">
        <v>1071</v>
      </c>
      <c r="D2361">
        <v>0</v>
      </c>
      <c r="E2361" s="2">
        <v>49444</v>
      </c>
      <c r="F2361" s="1" t="s">
        <v>16</v>
      </c>
      <c r="G2361" s="1" t="s">
        <v>1071</v>
      </c>
      <c r="H2361" s="1" t="s">
        <v>2</v>
      </c>
      <c r="I2361" s="2">
        <v>46177</v>
      </c>
      <c r="J2361" s="1" t="s">
        <v>18</v>
      </c>
      <c r="K2361" s="1" t="s">
        <v>5282</v>
      </c>
      <c r="L2361" s="2">
        <v>46177.92087962963</v>
      </c>
      <c r="M2361" s="2">
        <v>46177.921329212964</v>
      </c>
    </row>
    <row r="2362" spans="1:13" x14ac:dyDescent="0.35">
      <c r="A2362" s="1" t="s">
        <v>992</v>
      </c>
      <c r="B2362" s="1" t="s">
        <v>13</v>
      </c>
      <c r="C2362" s="1" t="s">
        <v>993</v>
      </c>
      <c r="D2362">
        <v>0</v>
      </c>
      <c r="E2362" s="2">
        <v>49628</v>
      </c>
      <c r="F2362" s="1" t="s">
        <v>16</v>
      </c>
      <c r="G2362" s="1" t="s">
        <v>993</v>
      </c>
      <c r="H2362" s="1" t="s">
        <v>2</v>
      </c>
      <c r="I2362" s="2">
        <v>46177</v>
      </c>
      <c r="J2362" s="1" t="s">
        <v>17</v>
      </c>
      <c r="K2362" s="1" t="s">
        <v>5283</v>
      </c>
      <c r="L2362" s="2">
        <v>46177.92087962963</v>
      </c>
      <c r="M2362" s="2">
        <v>46177.921329212964</v>
      </c>
    </row>
    <row r="2363" spans="1:13" x14ac:dyDescent="0.35">
      <c r="A2363" s="1" t="s">
        <v>992</v>
      </c>
      <c r="B2363" s="1" t="s">
        <v>13</v>
      </c>
      <c r="C2363" s="1" t="s">
        <v>993</v>
      </c>
      <c r="D2363">
        <v>0</v>
      </c>
      <c r="E2363" s="2">
        <v>49628</v>
      </c>
      <c r="F2363" s="1" t="s">
        <v>16</v>
      </c>
      <c r="G2363" s="1" t="s">
        <v>993</v>
      </c>
      <c r="H2363" s="1" t="s">
        <v>2</v>
      </c>
      <c r="I2363" s="2">
        <v>46177</v>
      </c>
      <c r="J2363" s="1" t="s">
        <v>18</v>
      </c>
      <c r="K2363" s="1" t="s">
        <v>5185</v>
      </c>
      <c r="L2363" s="2">
        <v>46177.92087962963</v>
      </c>
      <c r="M2363" s="2">
        <v>46177.921329212964</v>
      </c>
    </row>
    <row r="2364" spans="1:13" x14ac:dyDescent="0.35">
      <c r="A2364" s="1" t="s">
        <v>994</v>
      </c>
      <c r="B2364" s="1" t="s">
        <v>13</v>
      </c>
      <c r="C2364" s="1" t="s">
        <v>995</v>
      </c>
      <c r="D2364">
        <v>0</v>
      </c>
      <c r="E2364" s="2">
        <v>49810</v>
      </c>
      <c r="F2364" s="1" t="s">
        <v>16</v>
      </c>
      <c r="G2364" s="1" t="s">
        <v>995</v>
      </c>
      <c r="H2364" s="1" t="s">
        <v>2</v>
      </c>
      <c r="I2364" s="2">
        <v>46177</v>
      </c>
      <c r="J2364" s="1" t="s">
        <v>17</v>
      </c>
      <c r="K2364" s="1" t="s">
        <v>5200</v>
      </c>
      <c r="L2364" s="2">
        <v>46177.92087962963</v>
      </c>
      <c r="M2364" s="2">
        <v>46177.921329212964</v>
      </c>
    </row>
    <row r="2365" spans="1:13" x14ac:dyDescent="0.35">
      <c r="A2365" s="1" t="s">
        <v>994</v>
      </c>
      <c r="B2365" s="1" t="s">
        <v>13</v>
      </c>
      <c r="C2365" s="1" t="s">
        <v>995</v>
      </c>
      <c r="D2365">
        <v>0</v>
      </c>
      <c r="E2365" s="2">
        <v>49810</v>
      </c>
      <c r="F2365" s="1" t="s">
        <v>16</v>
      </c>
      <c r="G2365" s="1" t="s">
        <v>995</v>
      </c>
      <c r="H2365" s="1" t="s">
        <v>2</v>
      </c>
      <c r="I2365" s="2">
        <v>46177</v>
      </c>
      <c r="J2365" s="1" t="s">
        <v>18</v>
      </c>
      <c r="K2365" s="1" t="s">
        <v>5201</v>
      </c>
      <c r="L2365" s="2">
        <v>46177.92087962963</v>
      </c>
      <c r="M2365" s="2">
        <v>46177.921329212964</v>
      </c>
    </row>
    <row r="2366" spans="1:13" x14ac:dyDescent="0.35">
      <c r="A2366" s="1" t="s">
        <v>1124</v>
      </c>
      <c r="B2366" s="1" t="s">
        <v>13</v>
      </c>
      <c r="C2366" s="1" t="s">
        <v>1125</v>
      </c>
      <c r="D2366">
        <v>0</v>
      </c>
      <c r="E2366" s="2">
        <v>49994</v>
      </c>
      <c r="F2366" s="1" t="s">
        <v>16</v>
      </c>
      <c r="G2366" s="1" t="s">
        <v>1125</v>
      </c>
      <c r="H2366" s="1" t="s">
        <v>2</v>
      </c>
      <c r="I2366" s="2">
        <v>46177</v>
      </c>
      <c r="J2366" s="1" t="s">
        <v>18</v>
      </c>
      <c r="K2366" s="1" t="s">
        <v>5284</v>
      </c>
      <c r="L2366" s="2">
        <v>46177.92087962963</v>
      </c>
      <c r="M2366" s="2">
        <v>46177.921329212964</v>
      </c>
    </row>
    <row r="2367" spans="1:13" x14ac:dyDescent="0.35">
      <c r="A2367" s="1" t="s">
        <v>1124</v>
      </c>
      <c r="B2367" s="1" t="s">
        <v>13</v>
      </c>
      <c r="C2367" s="1" t="s">
        <v>1125</v>
      </c>
      <c r="D2367">
        <v>0</v>
      </c>
      <c r="E2367" s="2">
        <v>49994</v>
      </c>
      <c r="F2367" s="1" t="s">
        <v>16</v>
      </c>
      <c r="G2367" s="1" t="s">
        <v>1125</v>
      </c>
      <c r="H2367" s="1" t="s">
        <v>2</v>
      </c>
      <c r="I2367" s="2">
        <v>46177</v>
      </c>
      <c r="J2367" s="1" t="s">
        <v>17</v>
      </c>
      <c r="K2367" s="1" t="s">
        <v>5321</v>
      </c>
      <c r="L2367" s="2">
        <v>46177.92087962963</v>
      </c>
      <c r="M2367" s="2">
        <v>46177.921329212964</v>
      </c>
    </row>
    <row r="2368" spans="1:13" x14ac:dyDescent="0.35">
      <c r="A2368" s="1" t="s">
        <v>1006</v>
      </c>
      <c r="B2368" s="1" t="s">
        <v>13</v>
      </c>
      <c r="C2368" s="1" t="s">
        <v>1007</v>
      </c>
      <c r="D2368">
        <v>0</v>
      </c>
      <c r="E2368" s="2">
        <v>50175</v>
      </c>
      <c r="F2368" s="1" t="s">
        <v>16</v>
      </c>
      <c r="G2368" s="1" t="s">
        <v>1007</v>
      </c>
      <c r="H2368" s="1" t="s">
        <v>2</v>
      </c>
      <c r="I2368" s="2">
        <v>46177</v>
      </c>
      <c r="J2368" s="1" t="s">
        <v>17</v>
      </c>
      <c r="K2368" s="1" t="s">
        <v>5186</v>
      </c>
      <c r="L2368" s="2">
        <v>46177.92087962963</v>
      </c>
      <c r="M2368" s="2">
        <v>46177.921329212964</v>
      </c>
    </row>
    <row r="2369" spans="1:13" x14ac:dyDescent="0.35">
      <c r="A2369" s="1" t="s">
        <v>1006</v>
      </c>
      <c r="B2369" s="1" t="s">
        <v>13</v>
      </c>
      <c r="C2369" s="1" t="s">
        <v>1007</v>
      </c>
      <c r="D2369">
        <v>0</v>
      </c>
      <c r="E2369" s="2">
        <v>50175</v>
      </c>
      <c r="F2369" s="1" t="s">
        <v>16</v>
      </c>
      <c r="G2369" s="1" t="s">
        <v>1007</v>
      </c>
      <c r="H2369" s="1" t="s">
        <v>2</v>
      </c>
      <c r="I2369" s="2">
        <v>46177</v>
      </c>
      <c r="J2369" s="1" t="s">
        <v>18</v>
      </c>
      <c r="K2369" s="1" t="s">
        <v>5268</v>
      </c>
      <c r="L2369" s="2">
        <v>46177.92087962963</v>
      </c>
      <c r="M2369" s="2">
        <v>46177.921329212964</v>
      </c>
    </row>
    <row r="2370" spans="1:13" x14ac:dyDescent="0.35">
      <c r="A2370" s="1" t="s">
        <v>1106</v>
      </c>
      <c r="B2370" s="1" t="s">
        <v>13</v>
      </c>
      <c r="C2370" s="1" t="s">
        <v>1107</v>
      </c>
      <c r="D2370">
        <v>0</v>
      </c>
      <c r="E2370" s="2">
        <v>50267</v>
      </c>
      <c r="F2370" s="1" t="s">
        <v>16</v>
      </c>
      <c r="G2370" s="1" t="s">
        <v>1107</v>
      </c>
      <c r="H2370" s="1" t="s">
        <v>2</v>
      </c>
      <c r="I2370" s="2">
        <v>46177</v>
      </c>
      <c r="J2370" s="1" t="s">
        <v>18</v>
      </c>
      <c r="K2370" s="1" t="s">
        <v>5144</v>
      </c>
      <c r="L2370" s="2">
        <v>46177.92087962963</v>
      </c>
      <c r="M2370" s="2">
        <v>46177.921329212964</v>
      </c>
    </row>
    <row r="2371" spans="1:13" x14ac:dyDescent="0.35">
      <c r="A2371" s="1" t="s">
        <v>1106</v>
      </c>
      <c r="B2371" s="1" t="s">
        <v>13</v>
      </c>
      <c r="C2371" s="1" t="s">
        <v>1107</v>
      </c>
      <c r="D2371">
        <v>0</v>
      </c>
      <c r="E2371" s="2">
        <v>50267</v>
      </c>
      <c r="F2371" s="1" t="s">
        <v>16</v>
      </c>
      <c r="G2371" s="1" t="s">
        <v>1107</v>
      </c>
      <c r="H2371" s="1" t="s">
        <v>2</v>
      </c>
      <c r="I2371" s="2">
        <v>46177</v>
      </c>
      <c r="J2371" s="1" t="s">
        <v>17</v>
      </c>
      <c r="K2371" s="1" t="s">
        <v>5077</v>
      </c>
      <c r="L2371" s="2">
        <v>46177.92087962963</v>
      </c>
      <c r="M2371" s="2">
        <v>46177.921329212964</v>
      </c>
    </row>
    <row r="2372" spans="1:13" x14ac:dyDescent="0.35">
      <c r="A2372" s="1" t="s">
        <v>1008</v>
      </c>
      <c r="B2372" s="1" t="s">
        <v>13</v>
      </c>
      <c r="C2372" s="1" t="s">
        <v>1009</v>
      </c>
      <c r="D2372">
        <v>0</v>
      </c>
      <c r="E2372" s="2">
        <v>50451</v>
      </c>
      <c r="F2372" s="1" t="s">
        <v>16</v>
      </c>
      <c r="G2372" s="1" t="s">
        <v>1009</v>
      </c>
      <c r="H2372" s="1" t="s">
        <v>2</v>
      </c>
      <c r="I2372" s="2">
        <v>46177</v>
      </c>
      <c r="J2372" s="1" t="s">
        <v>17</v>
      </c>
      <c r="K2372" s="1" t="s">
        <v>5285</v>
      </c>
      <c r="L2372" s="2">
        <v>46177.92087962963</v>
      </c>
      <c r="M2372" s="2">
        <v>46177.921329212964</v>
      </c>
    </row>
    <row r="2373" spans="1:13" x14ac:dyDescent="0.35">
      <c r="A2373" s="1" t="s">
        <v>1008</v>
      </c>
      <c r="B2373" s="1" t="s">
        <v>13</v>
      </c>
      <c r="C2373" s="1" t="s">
        <v>1009</v>
      </c>
      <c r="D2373">
        <v>0</v>
      </c>
      <c r="E2373" s="2">
        <v>50451</v>
      </c>
      <c r="F2373" s="1" t="s">
        <v>16</v>
      </c>
      <c r="G2373" s="1" t="s">
        <v>1009</v>
      </c>
      <c r="H2373" s="1" t="s">
        <v>2</v>
      </c>
      <c r="I2373" s="2">
        <v>46177</v>
      </c>
      <c r="J2373" s="1" t="s">
        <v>18</v>
      </c>
      <c r="K2373" s="1" t="s">
        <v>5322</v>
      </c>
      <c r="L2373" s="2">
        <v>46177.92087962963</v>
      </c>
      <c r="M2373" s="2">
        <v>46177.921329212964</v>
      </c>
    </row>
    <row r="2374" spans="1:13" x14ac:dyDescent="0.35">
      <c r="A2374" s="1" t="s">
        <v>1072</v>
      </c>
      <c r="B2374" s="1" t="s">
        <v>13</v>
      </c>
      <c r="C2374" s="1" t="s">
        <v>1073</v>
      </c>
      <c r="D2374">
        <v>0</v>
      </c>
      <c r="E2374" s="2">
        <v>50359</v>
      </c>
      <c r="F2374" s="1" t="s">
        <v>16</v>
      </c>
      <c r="G2374" s="1" t="s">
        <v>1073</v>
      </c>
      <c r="H2374" s="1" t="s">
        <v>2</v>
      </c>
      <c r="I2374" s="2">
        <v>46177</v>
      </c>
      <c r="J2374" s="1" t="s">
        <v>18</v>
      </c>
      <c r="K2374" s="1" t="s">
        <v>5269</v>
      </c>
      <c r="L2374" s="2">
        <v>46177.92087962963</v>
      </c>
      <c r="M2374" s="2">
        <v>46177.921329212964</v>
      </c>
    </row>
    <row r="2375" spans="1:13" x14ac:dyDescent="0.35">
      <c r="A2375" s="1" t="s">
        <v>1072</v>
      </c>
      <c r="B2375" s="1" t="s">
        <v>13</v>
      </c>
      <c r="C2375" s="1" t="s">
        <v>1073</v>
      </c>
      <c r="D2375">
        <v>0</v>
      </c>
      <c r="E2375" s="2">
        <v>50359</v>
      </c>
      <c r="F2375" s="1" t="s">
        <v>16</v>
      </c>
      <c r="G2375" s="1" t="s">
        <v>1073</v>
      </c>
      <c r="H2375" s="1" t="s">
        <v>2</v>
      </c>
      <c r="I2375" s="2">
        <v>46177</v>
      </c>
      <c r="J2375" s="1" t="s">
        <v>17</v>
      </c>
      <c r="K2375" s="1" t="s">
        <v>5323</v>
      </c>
      <c r="L2375" s="2">
        <v>46177.92087962963</v>
      </c>
      <c r="M2375" s="2">
        <v>46177.921329212964</v>
      </c>
    </row>
    <row r="2376" spans="1:13" x14ac:dyDescent="0.35">
      <c r="A2376" s="1" t="s">
        <v>1010</v>
      </c>
      <c r="B2376" s="1" t="s">
        <v>13</v>
      </c>
      <c r="C2376" s="1" t="s">
        <v>1011</v>
      </c>
      <c r="D2376">
        <v>0</v>
      </c>
      <c r="E2376" s="2">
        <v>50540</v>
      </c>
      <c r="F2376" s="1" t="s">
        <v>16</v>
      </c>
      <c r="G2376" s="1" t="s">
        <v>1011</v>
      </c>
      <c r="H2376" s="1" t="s">
        <v>2</v>
      </c>
      <c r="I2376" s="2">
        <v>46177</v>
      </c>
      <c r="J2376" s="1" t="s">
        <v>17</v>
      </c>
      <c r="K2376" s="1" t="s">
        <v>5249</v>
      </c>
      <c r="L2376" s="2">
        <v>46177.92087962963</v>
      </c>
      <c r="M2376" s="2">
        <v>46177.921329212964</v>
      </c>
    </row>
    <row r="2377" spans="1:13" x14ac:dyDescent="0.35">
      <c r="A2377" s="1" t="s">
        <v>1010</v>
      </c>
      <c r="B2377" s="1" t="s">
        <v>13</v>
      </c>
      <c r="C2377" s="1" t="s">
        <v>1011</v>
      </c>
      <c r="D2377">
        <v>0</v>
      </c>
      <c r="E2377" s="2">
        <v>50540</v>
      </c>
      <c r="F2377" s="1" t="s">
        <v>16</v>
      </c>
      <c r="G2377" s="1" t="s">
        <v>1011</v>
      </c>
      <c r="H2377" s="1" t="s">
        <v>2</v>
      </c>
      <c r="I2377" s="2">
        <v>46177</v>
      </c>
      <c r="J2377" s="1" t="s">
        <v>18</v>
      </c>
      <c r="K2377" s="1" t="s">
        <v>5286</v>
      </c>
      <c r="L2377" s="2">
        <v>46177.92087962963</v>
      </c>
      <c r="M2377" s="2">
        <v>46177.921329212964</v>
      </c>
    </row>
    <row r="2378" spans="1:13" x14ac:dyDescent="0.35">
      <c r="A2378" s="1" t="s">
        <v>996</v>
      </c>
      <c r="B2378" s="1" t="s">
        <v>13</v>
      </c>
      <c r="C2378" s="1" t="s">
        <v>997</v>
      </c>
      <c r="D2378">
        <v>0</v>
      </c>
      <c r="E2378" s="2">
        <v>50632</v>
      </c>
      <c r="F2378" s="1" t="s">
        <v>16</v>
      </c>
      <c r="G2378" s="1" t="s">
        <v>997</v>
      </c>
      <c r="H2378" s="1" t="s">
        <v>2</v>
      </c>
      <c r="I2378" s="2">
        <v>46177</v>
      </c>
      <c r="J2378" s="1" t="s">
        <v>17</v>
      </c>
      <c r="K2378" s="1" t="s">
        <v>5145</v>
      </c>
      <c r="L2378" s="2">
        <v>46177.92087962963</v>
      </c>
      <c r="M2378" s="2">
        <v>46177.921329212964</v>
      </c>
    </row>
    <row r="2379" spans="1:13" x14ac:dyDescent="0.35">
      <c r="A2379" s="1" t="s">
        <v>996</v>
      </c>
      <c r="B2379" s="1" t="s">
        <v>13</v>
      </c>
      <c r="C2379" s="1" t="s">
        <v>997</v>
      </c>
      <c r="D2379">
        <v>0</v>
      </c>
      <c r="E2379" s="2">
        <v>50632</v>
      </c>
      <c r="F2379" s="1" t="s">
        <v>16</v>
      </c>
      <c r="G2379" s="1" t="s">
        <v>997</v>
      </c>
      <c r="H2379" s="1" t="s">
        <v>2</v>
      </c>
      <c r="I2379" s="2">
        <v>46177</v>
      </c>
      <c r="J2379" s="1" t="s">
        <v>18</v>
      </c>
      <c r="K2379" s="1" t="s">
        <v>5146</v>
      </c>
      <c r="L2379" s="2">
        <v>46177.92087962963</v>
      </c>
      <c r="M2379" s="2">
        <v>46177.921329212964</v>
      </c>
    </row>
    <row r="2380" spans="1:13" x14ac:dyDescent="0.35">
      <c r="A2380" s="1" t="s">
        <v>1012</v>
      </c>
      <c r="B2380" s="1" t="s">
        <v>13</v>
      </c>
      <c r="C2380" s="1" t="s">
        <v>1013</v>
      </c>
      <c r="D2380">
        <v>0</v>
      </c>
      <c r="E2380" s="2">
        <v>50816</v>
      </c>
      <c r="F2380" s="1" t="s">
        <v>16</v>
      </c>
      <c r="G2380" s="1" t="s">
        <v>1013</v>
      </c>
      <c r="H2380" s="1" t="s">
        <v>2</v>
      </c>
      <c r="I2380" s="2">
        <v>46177</v>
      </c>
      <c r="J2380" s="1" t="s">
        <v>17</v>
      </c>
      <c r="K2380" s="1" t="s">
        <v>5147</v>
      </c>
      <c r="L2380" s="2">
        <v>46177.92087962963</v>
      </c>
      <c r="M2380" s="2">
        <v>46177.921329212964</v>
      </c>
    </row>
    <row r="2381" spans="1:13" x14ac:dyDescent="0.35">
      <c r="A2381" s="1" t="s">
        <v>1012</v>
      </c>
      <c r="B2381" s="1" t="s">
        <v>13</v>
      </c>
      <c r="C2381" s="1" t="s">
        <v>1013</v>
      </c>
      <c r="D2381">
        <v>0</v>
      </c>
      <c r="E2381" s="2">
        <v>50816</v>
      </c>
      <c r="F2381" s="1" t="s">
        <v>16</v>
      </c>
      <c r="G2381" s="1" t="s">
        <v>1013</v>
      </c>
      <c r="H2381" s="1" t="s">
        <v>2</v>
      </c>
      <c r="I2381" s="2">
        <v>46177</v>
      </c>
      <c r="J2381" s="1" t="s">
        <v>18</v>
      </c>
      <c r="K2381" s="1" t="s">
        <v>5187</v>
      </c>
      <c r="L2381" s="2">
        <v>46177.92087962963</v>
      </c>
      <c r="M2381" s="2">
        <v>46177.921329212964</v>
      </c>
    </row>
    <row r="2382" spans="1:13" x14ac:dyDescent="0.35">
      <c r="A2382" s="1" t="s">
        <v>1082</v>
      </c>
      <c r="B2382" s="1" t="s">
        <v>13</v>
      </c>
      <c r="C2382" s="1" t="s">
        <v>1083</v>
      </c>
      <c r="D2382">
        <v>0</v>
      </c>
      <c r="E2382" s="2">
        <v>50724</v>
      </c>
      <c r="F2382" s="1" t="s">
        <v>16</v>
      </c>
      <c r="G2382" s="1" t="s">
        <v>1083</v>
      </c>
      <c r="H2382" s="1" t="s">
        <v>2</v>
      </c>
      <c r="I2382" s="2">
        <v>46177</v>
      </c>
      <c r="J2382" s="1" t="s">
        <v>17</v>
      </c>
      <c r="K2382" s="1" t="s">
        <v>5078</v>
      </c>
      <c r="L2382" s="2">
        <v>46177.92087962963</v>
      </c>
      <c r="M2382" s="2">
        <v>46177.921329212964</v>
      </c>
    </row>
    <row r="2383" spans="1:13" x14ac:dyDescent="0.35">
      <c r="A2383" s="1" t="s">
        <v>1082</v>
      </c>
      <c r="B2383" s="1" t="s">
        <v>13</v>
      </c>
      <c r="C2383" s="1" t="s">
        <v>1083</v>
      </c>
      <c r="D2383">
        <v>0</v>
      </c>
      <c r="E2383" s="2">
        <v>50724</v>
      </c>
      <c r="F2383" s="1" t="s">
        <v>16</v>
      </c>
      <c r="G2383" s="1" t="s">
        <v>1083</v>
      </c>
      <c r="H2383" s="1" t="s">
        <v>2</v>
      </c>
      <c r="I2383" s="2">
        <v>46177</v>
      </c>
      <c r="J2383" s="1" t="s">
        <v>18</v>
      </c>
      <c r="K2383" s="1" t="s">
        <v>5079</v>
      </c>
      <c r="L2383" s="2">
        <v>46177.92087962963</v>
      </c>
      <c r="M2383" s="2">
        <v>46177.921329212964</v>
      </c>
    </row>
    <row r="2384" spans="1:13" x14ac:dyDescent="0.35">
      <c r="A2384" s="1" t="s">
        <v>1108</v>
      </c>
      <c r="B2384" s="1" t="s">
        <v>13</v>
      </c>
      <c r="C2384" s="1" t="s">
        <v>1109</v>
      </c>
      <c r="D2384">
        <v>0</v>
      </c>
      <c r="E2384" s="2">
        <v>50905</v>
      </c>
      <c r="F2384" s="1" t="s">
        <v>16</v>
      </c>
      <c r="G2384" s="1" t="s">
        <v>1109</v>
      </c>
      <c r="H2384" s="1" t="s">
        <v>2</v>
      </c>
      <c r="I2384" s="2">
        <v>46177</v>
      </c>
      <c r="J2384" s="1" t="s">
        <v>17</v>
      </c>
      <c r="K2384" s="1" t="s">
        <v>5080</v>
      </c>
      <c r="L2384" s="2">
        <v>46177.92087962963</v>
      </c>
      <c r="M2384" s="2">
        <v>46177.921329212964</v>
      </c>
    </row>
    <row r="2385" spans="1:13" x14ac:dyDescent="0.35">
      <c r="A2385" s="1" t="s">
        <v>1108</v>
      </c>
      <c r="B2385" s="1" t="s">
        <v>13</v>
      </c>
      <c r="C2385" s="1" t="s">
        <v>1109</v>
      </c>
      <c r="D2385">
        <v>0</v>
      </c>
      <c r="E2385" s="2">
        <v>50905</v>
      </c>
      <c r="F2385" s="1" t="s">
        <v>16</v>
      </c>
      <c r="G2385" s="1" t="s">
        <v>1109</v>
      </c>
      <c r="H2385" s="1" t="s">
        <v>2</v>
      </c>
      <c r="I2385" s="2">
        <v>46177</v>
      </c>
      <c r="J2385" s="1" t="s">
        <v>18</v>
      </c>
      <c r="K2385" s="1" t="s">
        <v>5081</v>
      </c>
      <c r="L2385" s="2">
        <v>46177.92087962963</v>
      </c>
      <c r="M2385" s="2">
        <v>46177.921329212964</v>
      </c>
    </row>
    <row r="2386" spans="1:13" x14ac:dyDescent="0.35">
      <c r="A2386" s="1" t="s">
        <v>1014</v>
      </c>
      <c r="B2386" s="1" t="s">
        <v>13</v>
      </c>
      <c r="C2386" s="1" t="s">
        <v>1015</v>
      </c>
      <c r="D2386">
        <v>0</v>
      </c>
      <c r="E2386" s="2">
        <v>50997</v>
      </c>
      <c r="F2386" s="1" t="s">
        <v>16</v>
      </c>
      <c r="G2386" s="1" t="s">
        <v>1015</v>
      </c>
      <c r="H2386" s="1" t="s">
        <v>2</v>
      </c>
      <c r="I2386" s="2">
        <v>46177</v>
      </c>
      <c r="J2386" s="1" t="s">
        <v>18</v>
      </c>
      <c r="K2386" s="1" t="s">
        <v>5082</v>
      </c>
      <c r="L2386" s="2">
        <v>46177.92087962963</v>
      </c>
      <c r="M2386" s="2">
        <v>46177.921329212964</v>
      </c>
    </row>
    <row r="2387" spans="1:13" x14ac:dyDescent="0.35">
      <c r="A2387" s="1" t="s">
        <v>1014</v>
      </c>
      <c r="B2387" s="1" t="s">
        <v>13</v>
      </c>
      <c r="C2387" s="1" t="s">
        <v>1015</v>
      </c>
      <c r="D2387">
        <v>0</v>
      </c>
      <c r="E2387" s="2">
        <v>50997</v>
      </c>
      <c r="F2387" s="1" t="s">
        <v>16</v>
      </c>
      <c r="G2387" s="1" t="s">
        <v>1015</v>
      </c>
      <c r="H2387" s="1" t="s">
        <v>2</v>
      </c>
      <c r="I2387" s="2">
        <v>46177</v>
      </c>
      <c r="J2387" s="1" t="s">
        <v>17</v>
      </c>
      <c r="K2387" s="1" t="s">
        <v>5188</v>
      </c>
      <c r="L2387" s="2">
        <v>46177.92087962963</v>
      </c>
      <c r="M2387" s="2">
        <v>46177.921329212964</v>
      </c>
    </row>
    <row r="2388" spans="1:13" x14ac:dyDescent="0.35">
      <c r="A2388" s="1" t="s">
        <v>1110</v>
      </c>
      <c r="B2388" s="1" t="s">
        <v>13</v>
      </c>
      <c r="C2388" s="1" t="s">
        <v>1111</v>
      </c>
      <c r="D2388">
        <v>0</v>
      </c>
      <c r="E2388" s="2">
        <v>51089</v>
      </c>
      <c r="F2388" s="1" t="s">
        <v>16</v>
      </c>
      <c r="G2388" s="1" t="s">
        <v>1111</v>
      </c>
      <c r="H2388" s="1" t="s">
        <v>2</v>
      </c>
      <c r="I2388" s="2">
        <v>46177</v>
      </c>
      <c r="J2388" s="1" t="s">
        <v>17</v>
      </c>
      <c r="K2388" s="1" t="s">
        <v>5202</v>
      </c>
      <c r="L2388" s="2">
        <v>46177.92087962963</v>
      </c>
      <c r="M2388" s="2">
        <v>46177.921329212964</v>
      </c>
    </row>
    <row r="2389" spans="1:13" x14ac:dyDescent="0.35">
      <c r="A2389" s="1" t="s">
        <v>1110</v>
      </c>
      <c r="B2389" s="1" t="s">
        <v>13</v>
      </c>
      <c r="C2389" s="1" t="s">
        <v>1111</v>
      </c>
      <c r="D2389">
        <v>0</v>
      </c>
      <c r="E2389" s="2">
        <v>51089</v>
      </c>
      <c r="F2389" s="1" t="s">
        <v>16</v>
      </c>
      <c r="G2389" s="1" t="s">
        <v>1111</v>
      </c>
      <c r="H2389" s="1" t="s">
        <v>2</v>
      </c>
      <c r="I2389" s="2">
        <v>46177</v>
      </c>
      <c r="J2389" s="1" t="s">
        <v>18</v>
      </c>
      <c r="K2389" s="1" t="s">
        <v>5287</v>
      </c>
      <c r="L2389" s="2">
        <v>46177.92087962963</v>
      </c>
      <c r="M2389" s="2">
        <v>46177.921329212964</v>
      </c>
    </row>
    <row r="2390" spans="1:13" x14ac:dyDescent="0.35">
      <c r="A2390" s="1" t="s">
        <v>1016</v>
      </c>
      <c r="B2390" s="1" t="s">
        <v>13</v>
      </c>
      <c r="C2390" s="1" t="s">
        <v>1017</v>
      </c>
      <c r="D2390">
        <v>0</v>
      </c>
      <c r="E2390" s="2">
        <v>51181</v>
      </c>
      <c r="F2390" s="1" t="s">
        <v>16</v>
      </c>
      <c r="G2390" s="1" t="s">
        <v>1017</v>
      </c>
      <c r="H2390" s="1" t="s">
        <v>2</v>
      </c>
      <c r="I2390" s="2">
        <v>46177</v>
      </c>
      <c r="J2390" s="1" t="s">
        <v>17</v>
      </c>
      <c r="K2390" s="1" t="s">
        <v>5250</v>
      </c>
      <c r="L2390" s="2">
        <v>46177.92087962963</v>
      </c>
      <c r="M2390" s="2">
        <v>46177.921329212964</v>
      </c>
    </row>
    <row r="2391" spans="1:13" x14ac:dyDescent="0.35">
      <c r="A2391" s="1" t="s">
        <v>1016</v>
      </c>
      <c r="B2391" s="1" t="s">
        <v>13</v>
      </c>
      <c r="C2391" s="1" t="s">
        <v>1017</v>
      </c>
      <c r="D2391">
        <v>0</v>
      </c>
      <c r="E2391" s="2">
        <v>51181</v>
      </c>
      <c r="F2391" s="1" t="s">
        <v>16</v>
      </c>
      <c r="G2391" s="1" t="s">
        <v>1017</v>
      </c>
      <c r="H2391" s="1" t="s">
        <v>2</v>
      </c>
      <c r="I2391" s="2">
        <v>46177</v>
      </c>
      <c r="J2391" s="1" t="s">
        <v>18</v>
      </c>
      <c r="K2391" s="1" t="s">
        <v>5270</v>
      </c>
      <c r="L2391" s="2">
        <v>46177.92087962963</v>
      </c>
      <c r="M2391" s="2">
        <v>46177.921329212964</v>
      </c>
    </row>
    <row r="2392" spans="1:13" x14ac:dyDescent="0.35">
      <c r="A2392" s="1" t="s">
        <v>1062</v>
      </c>
      <c r="B2392" s="1" t="s">
        <v>13</v>
      </c>
      <c r="C2392" s="1" t="s">
        <v>1063</v>
      </c>
      <c r="D2392">
        <v>0</v>
      </c>
      <c r="E2392" s="2">
        <v>51271</v>
      </c>
      <c r="F2392" s="1" t="s">
        <v>16</v>
      </c>
      <c r="G2392" s="1" t="s">
        <v>1063</v>
      </c>
      <c r="H2392" s="1" t="s">
        <v>2</v>
      </c>
      <c r="I2392" s="2">
        <v>46177</v>
      </c>
      <c r="J2392" s="1" t="s">
        <v>18</v>
      </c>
      <c r="K2392" s="1" t="s">
        <v>5251</v>
      </c>
      <c r="L2392" s="2">
        <v>46177.92087962963</v>
      </c>
      <c r="M2392" s="2">
        <v>46177.921329212964</v>
      </c>
    </row>
    <row r="2393" spans="1:13" x14ac:dyDescent="0.35">
      <c r="A2393" s="1" t="s">
        <v>1062</v>
      </c>
      <c r="B2393" s="1" t="s">
        <v>13</v>
      </c>
      <c r="C2393" s="1" t="s">
        <v>1063</v>
      </c>
      <c r="D2393">
        <v>0</v>
      </c>
      <c r="E2393" s="2">
        <v>51271</v>
      </c>
      <c r="F2393" s="1" t="s">
        <v>16</v>
      </c>
      <c r="G2393" s="1" t="s">
        <v>1063</v>
      </c>
      <c r="H2393" s="1" t="s">
        <v>2</v>
      </c>
      <c r="I2393" s="2">
        <v>46177</v>
      </c>
      <c r="J2393" s="1" t="s">
        <v>17</v>
      </c>
      <c r="K2393" s="1" t="s">
        <v>5288</v>
      </c>
      <c r="L2393" s="2">
        <v>46177.92087962963</v>
      </c>
      <c r="M2393" s="2">
        <v>46177.921329212964</v>
      </c>
    </row>
    <row r="2394" spans="1:13" x14ac:dyDescent="0.35">
      <c r="A2394" s="1" t="s">
        <v>998</v>
      </c>
      <c r="B2394" s="1" t="s">
        <v>13</v>
      </c>
      <c r="C2394" s="1" t="s">
        <v>999</v>
      </c>
      <c r="D2394">
        <v>0</v>
      </c>
      <c r="E2394" s="2">
        <v>51363</v>
      </c>
      <c r="F2394" s="1" t="s">
        <v>16</v>
      </c>
      <c r="G2394" s="1" t="s">
        <v>999</v>
      </c>
      <c r="H2394" s="1" t="s">
        <v>2</v>
      </c>
      <c r="I2394" s="2">
        <v>46177</v>
      </c>
      <c r="J2394" s="1" t="s">
        <v>17</v>
      </c>
      <c r="K2394" s="1" t="s">
        <v>5252</v>
      </c>
      <c r="L2394" s="2">
        <v>46177.92087962963</v>
      </c>
      <c r="M2394" s="2">
        <v>46177.921329212964</v>
      </c>
    </row>
    <row r="2395" spans="1:13" x14ac:dyDescent="0.35">
      <c r="A2395" s="1" t="s">
        <v>998</v>
      </c>
      <c r="B2395" s="1" t="s">
        <v>13</v>
      </c>
      <c r="C2395" s="1" t="s">
        <v>999</v>
      </c>
      <c r="D2395">
        <v>0</v>
      </c>
      <c r="E2395" s="2">
        <v>51363</v>
      </c>
      <c r="F2395" s="1" t="s">
        <v>16</v>
      </c>
      <c r="G2395" s="1" t="s">
        <v>999</v>
      </c>
      <c r="H2395" s="1" t="s">
        <v>2</v>
      </c>
      <c r="I2395" s="2">
        <v>46177</v>
      </c>
      <c r="J2395" s="1" t="s">
        <v>18</v>
      </c>
      <c r="K2395" s="1" t="s">
        <v>5324</v>
      </c>
      <c r="L2395" s="2">
        <v>46177.92087962963</v>
      </c>
      <c r="M2395" s="2">
        <v>46177.921329212964</v>
      </c>
    </row>
    <row r="2396" spans="1:13" x14ac:dyDescent="0.35">
      <c r="A2396" s="1" t="s">
        <v>1000</v>
      </c>
      <c r="B2396" s="1" t="s">
        <v>13</v>
      </c>
      <c r="C2396" s="1" t="s">
        <v>1001</v>
      </c>
      <c r="D2396">
        <v>0</v>
      </c>
      <c r="E2396" s="2">
        <v>51455</v>
      </c>
      <c r="F2396" s="1" t="s">
        <v>16</v>
      </c>
      <c r="G2396" s="1" t="s">
        <v>1001</v>
      </c>
      <c r="H2396" s="1" t="s">
        <v>2</v>
      </c>
      <c r="I2396" s="2">
        <v>46177</v>
      </c>
      <c r="J2396" s="1" t="s">
        <v>17</v>
      </c>
      <c r="K2396" s="1" t="s">
        <v>5289</v>
      </c>
      <c r="L2396" s="2">
        <v>46177.92087962963</v>
      </c>
      <c r="M2396" s="2">
        <v>46177.921329212964</v>
      </c>
    </row>
    <row r="2397" spans="1:13" x14ac:dyDescent="0.35">
      <c r="A2397" s="1" t="s">
        <v>1000</v>
      </c>
      <c r="B2397" s="1" t="s">
        <v>13</v>
      </c>
      <c r="C2397" s="1" t="s">
        <v>1001</v>
      </c>
      <c r="D2397">
        <v>0</v>
      </c>
      <c r="E2397" s="2">
        <v>51455</v>
      </c>
      <c r="F2397" s="1" t="s">
        <v>16</v>
      </c>
      <c r="G2397" s="1" t="s">
        <v>1001</v>
      </c>
      <c r="H2397" s="1" t="s">
        <v>2</v>
      </c>
      <c r="I2397" s="2">
        <v>46177</v>
      </c>
      <c r="J2397" s="1" t="s">
        <v>18</v>
      </c>
      <c r="K2397" s="1" t="s">
        <v>5271</v>
      </c>
      <c r="L2397" s="2">
        <v>46177.92087962963</v>
      </c>
      <c r="M2397" s="2">
        <v>46177.921329212964</v>
      </c>
    </row>
    <row r="2398" spans="1:13" x14ac:dyDescent="0.35">
      <c r="A2398" s="1" t="s">
        <v>1040</v>
      </c>
      <c r="B2398" s="1" t="s">
        <v>13</v>
      </c>
      <c r="C2398" s="1" t="s">
        <v>1041</v>
      </c>
      <c r="D2398">
        <v>0</v>
      </c>
      <c r="E2398" s="2">
        <v>51547</v>
      </c>
      <c r="F2398" s="1" t="s">
        <v>16</v>
      </c>
      <c r="G2398" s="1" t="s">
        <v>1041</v>
      </c>
      <c r="H2398" s="1" t="s">
        <v>2</v>
      </c>
      <c r="I2398" s="2">
        <v>46177</v>
      </c>
      <c r="J2398" s="1" t="s">
        <v>17</v>
      </c>
      <c r="K2398" s="1" t="s">
        <v>5203</v>
      </c>
      <c r="L2398" s="2">
        <v>46177.92087962963</v>
      </c>
      <c r="M2398" s="2">
        <v>46177.921329212964</v>
      </c>
    </row>
    <row r="2399" spans="1:13" x14ac:dyDescent="0.35">
      <c r="A2399" s="1" t="s">
        <v>1040</v>
      </c>
      <c r="B2399" s="1" t="s">
        <v>13</v>
      </c>
      <c r="C2399" s="1" t="s">
        <v>1041</v>
      </c>
      <c r="D2399">
        <v>0</v>
      </c>
      <c r="E2399" s="2">
        <v>51547</v>
      </c>
      <c r="F2399" s="1" t="s">
        <v>16</v>
      </c>
      <c r="G2399" s="1" t="s">
        <v>1041</v>
      </c>
      <c r="H2399" s="1" t="s">
        <v>2</v>
      </c>
      <c r="I2399" s="2">
        <v>46177</v>
      </c>
      <c r="J2399" s="1" t="s">
        <v>18</v>
      </c>
      <c r="K2399" s="1" t="s">
        <v>5290</v>
      </c>
      <c r="L2399" s="2">
        <v>46177.92087962963</v>
      </c>
      <c r="M2399" s="2">
        <v>46177.921329212964</v>
      </c>
    </row>
    <row r="2400" spans="1:13" x14ac:dyDescent="0.35">
      <c r="A2400" s="1" t="s">
        <v>1096</v>
      </c>
      <c r="B2400" s="1" t="s">
        <v>13</v>
      </c>
      <c r="C2400" s="1" t="s">
        <v>1097</v>
      </c>
      <c r="D2400">
        <v>0</v>
      </c>
      <c r="E2400" s="2">
        <v>53097</v>
      </c>
      <c r="F2400" s="1" t="s">
        <v>16</v>
      </c>
      <c r="G2400" s="1" t="s">
        <v>1097</v>
      </c>
      <c r="H2400" s="1" t="s">
        <v>2</v>
      </c>
      <c r="I2400" s="2">
        <v>46177</v>
      </c>
      <c r="J2400" s="1" t="s">
        <v>17</v>
      </c>
      <c r="K2400" s="1" t="s">
        <v>5083</v>
      </c>
      <c r="L2400" s="2">
        <v>46177.92087962963</v>
      </c>
      <c r="M2400" s="2">
        <v>46177.921329212964</v>
      </c>
    </row>
    <row r="2401" spans="1:13" x14ac:dyDescent="0.35">
      <c r="A2401" s="1" t="s">
        <v>1096</v>
      </c>
      <c r="B2401" s="1" t="s">
        <v>13</v>
      </c>
      <c r="C2401" s="1" t="s">
        <v>1097</v>
      </c>
      <c r="D2401">
        <v>0</v>
      </c>
      <c r="E2401" s="2">
        <v>53097</v>
      </c>
      <c r="F2401" s="1" t="s">
        <v>16</v>
      </c>
      <c r="G2401" s="1" t="s">
        <v>1097</v>
      </c>
      <c r="H2401" s="1" t="s">
        <v>2</v>
      </c>
      <c r="I2401" s="2">
        <v>46177</v>
      </c>
      <c r="J2401" s="1" t="s">
        <v>18</v>
      </c>
      <c r="K2401" s="1" t="s">
        <v>5084</v>
      </c>
      <c r="L2401" s="2">
        <v>46177.92087962963</v>
      </c>
      <c r="M2401" s="2">
        <v>46177.921329212964</v>
      </c>
    </row>
    <row r="2402" spans="1:13" x14ac:dyDescent="0.35">
      <c r="A2402" s="1" t="s">
        <v>1018</v>
      </c>
      <c r="B2402" s="1" t="s">
        <v>13</v>
      </c>
      <c r="C2402" s="1" t="s">
        <v>1019</v>
      </c>
      <c r="D2402">
        <v>0</v>
      </c>
      <c r="E2402" s="2">
        <v>51636</v>
      </c>
      <c r="F2402" s="1" t="s">
        <v>16</v>
      </c>
      <c r="G2402" s="1" t="s">
        <v>1019</v>
      </c>
      <c r="H2402" s="1" t="s">
        <v>2</v>
      </c>
      <c r="I2402" s="2">
        <v>46177</v>
      </c>
      <c r="J2402" s="1" t="s">
        <v>18</v>
      </c>
      <c r="K2402" s="1" t="s">
        <v>5291</v>
      </c>
      <c r="L2402" s="2">
        <v>46177.92087962963</v>
      </c>
      <c r="M2402" s="2">
        <v>46177.921329212964</v>
      </c>
    </row>
    <row r="2403" spans="1:13" x14ac:dyDescent="0.35">
      <c r="A2403" s="1" t="s">
        <v>1018</v>
      </c>
      <c r="B2403" s="1" t="s">
        <v>13</v>
      </c>
      <c r="C2403" s="1" t="s">
        <v>1019</v>
      </c>
      <c r="D2403">
        <v>0</v>
      </c>
      <c r="E2403" s="2">
        <v>51636</v>
      </c>
      <c r="F2403" s="1" t="s">
        <v>16</v>
      </c>
      <c r="G2403" s="1" t="s">
        <v>1019</v>
      </c>
      <c r="H2403" s="1" t="s">
        <v>2</v>
      </c>
      <c r="I2403" s="2">
        <v>46177</v>
      </c>
      <c r="J2403" s="1" t="s">
        <v>17</v>
      </c>
      <c r="K2403" s="1" t="s">
        <v>5325</v>
      </c>
      <c r="L2403" s="2">
        <v>46177.92087962963</v>
      </c>
      <c r="M2403" s="2">
        <v>46177.921329212964</v>
      </c>
    </row>
    <row r="2404" spans="1:13" x14ac:dyDescent="0.35">
      <c r="A2404" s="1" t="s">
        <v>1112</v>
      </c>
      <c r="B2404" s="1" t="s">
        <v>13</v>
      </c>
      <c r="C2404" s="1" t="s">
        <v>1113</v>
      </c>
      <c r="D2404">
        <v>0</v>
      </c>
      <c r="E2404" s="2">
        <v>51728</v>
      </c>
      <c r="F2404" s="1" t="s">
        <v>16</v>
      </c>
      <c r="G2404" s="1" t="s">
        <v>1113</v>
      </c>
      <c r="H2404" s="1" t="s">
        <v>2</v>
      </c>
      <c r="I2404" s="2">
        <v>46177</v>
      </c>
      <c r="J2404" s="1" t="s">
        <v>17</v>
      </c>
      <c r="K2404" s="1" t="s">
        <v>5253</v>
      </c>
      <c r="L2404" s="2">
        <v>46177.92087962963</v>
      </c>
      <c r="M2404" s="2">
        <v>46177.921329212964</v>
      </c>
    </row>
    <row r="2405" spans="1:13" x14ac:dyDescent="0.35">
      <c r="A2405" s="1" t="s">
        <v>1112</v>
      </c>
      <c r="B2405" s="1" t="s">
        <v>13</v>
      </c>
      <c r="C2405" s="1" t="s">
        <v>1113</v>
      </c>
      <c r="D2405">
        <v>0</v>
      </c>
      <c r="E2405" s="2">
        <v>51728</v>
      </c>
      <c r="F2405" s="1" t="s">
        <v>16</v>
      </c>
      <c r="G2405" s="1" t="s">
        <v>1113</v>
      </c>
      <c r="H2405" s="1" t="s">
        <v>2</v>
      </c>
      <c r="I2405" s="2">
        <v>46177</v>
      </c>
      <c r="J2405" s="1" t="s">
        <v>18</v>
      </c>
      <c r="K2405" s="1" t="s">
        <v>5148</v>
      </c>
      <c r="L2405" s="2">
        <v>46177.92087962963</v>
      </c>
      <c r="M2405" s="2">
        <v>46177.921329212964</v>
      </c>
    </row>
    <row r="2406" spans="1:13" x14ac:dyDescent="0.35">
      <c r="A2406" s="1" t="s">
        <v>1074</v>
      </c>
      <c r="B2406" s="1" t="s">
        <v>13</v>
      </c>
      <c r="C2406" s="1" t="s">
        <v>1075</v>
      </c>
      <c r="D2406">
        <v>0</v>
      </c>
      <c r="E2406" s="2">
        <v>51820</v>
      </c>
      <c r="F2406" s="1" t="s">
        <v>16</v>
      </c>
      <c r="G2406" s="1" t="s">
        <v>1075</v>
      </c>
      <c r="H2406" s="1" t="s">
        <v>2</v>
      </c>
      <c r="I2406" s="2">
        <v>46177</v>
      </c>
      <c r="J2406" s="1" t="s">
        <v>18</v>
      </c>
      <c r="K2406" s="1" t="s">
        <v>5149</v>
      </c>
      <c r="L2406" s="2">
        <v>46177.92087962963</v>
      </c>
      <c r="M2406" s="2">
        <v>46177.921329212964</v>
      </c>
    </row>
    <row r="2407" spans="1:13" x14ac:dyDescent="0.35">
      <c r="A2407" s="1" t="s">
        <v>1074</v>
      </c>
      <c r="B2407" s="1" t="s">
        <v>13</v>
      </c>
      <c r="C2407" s="1" t="s">
        <v>1075</v>
      </c>
      <c r="D2407">
        <v>0</v>
      </c>
      <c r="E2407" s="2">
        <v>51820</v>
      </c>
      <c r="F2407" s="1" t="s">
        <v>16</v>
      </c>
      <c r="G2407" s="1" t="s">
        <v>1075</v>
      </c>
      <c r="H2407" s="1" t="s">
        <v>2</v>
      </c>
      <c r="I2407" s="2">
        <v>46177</v>
      </c>
      <c r="J2407" s="1" t="s">
        <v>17</v>
      </c>
      <c r="K2407" s="1" t="s">
        <v>5204</v>
      </c>
      <c r="L2407" s="2">
        <v>46177.92087962963</v>
      </c>
      <c r="M2407" s="2">
        <v>46177.921329212964</v>
      </c>
    </row>
    <row r="2408" spans="1:13" x14ac:dyDescent="0.35">
      <c r="A2408" s="1" t="s">
        <v>1114</v>
      </c>
      <c r="B2408" s="1" t="s">
        <v>13</v>
      </c>
      <c r="C2408" s="1" t="s">
        <v>1115</v>
      </c>
      <c r="D2408">
        <v>0</v>
      </c>
      <c r="E2408" s="2">
        <v>51912</v>
      </c>
      <c r="F2408" s="1" t="s">
        <v>16</v>
      </c>
      <c r="G2408" s="1" t="s">
        <v>1115</v>
      </c>
      <c r="H2408" s="1" t="s">
        <v>2</v>
      </c>
      <c r="I2408" s="2">
        <v>46177</v>
      </c>
      <c r="J2408" s="1" t="s">
        <v>17</v>
      </c>
      <c r="K2408" s="1" t="s">
        <v>5205</v>
      </c>
      <c r="L2408" s="2">
        <v>46177.92087962963</v>
      </c>
      <c r="M2408" s="2">
        <v>46177.921329212964</v>
      </c>
    </row>
    <row r="2409" spans="1:13" x14ac:dyDescent="0.35">
      <c r="A2409" s="1" t="s">
        <v>1114</v>
      </c>
      <c r="B2409" s="1" t="s">
        <v>13</v>
      </c>
      <c r="C2409" s="1" t="s">
        <v>1115</v>
      </c>
      <c r="D2409">
        <v>0</v>
      </c>
      <c r="E2409" s="2">
        <v>51912</v>
      </c>
      <c r="F2409" s="1" t="s">
        <v>16</v>
      </c>
      <c r="G2409" s="1" t="s">
        <v>1115</v>
      </c>
      <c r="H2409" s="1" t="s">
        <v>2</v>
      </c>
      <c r="I2409" s="2">
        <v>46177</v>
      </c>
      <c r="J2409" s="1" t="s">
        <v>18</v>
      </c>
      <c r="K2409" s="1" t="s">
        <v>5085</v>
      </c>
      <c r="L2409" s="2">
        <v>46177.92087962963</v>
      </c>
      <c r="M2409" s="2">
        <v>46177.921329212964</v>
      </c>
    </row>
    <row r="2410" spans="1:13" x14ac:dyDescent="0.35">
      <c r="A2410" s="1" t="s">
        <v>1042</v>
      </c>
      <c r="B2410" s="1" t="s">
        <v>13</v>
      </c>
      <c r="C2410" s="1" t="s">
        <v>1043</v>
      </c>
      <c r="D2410">
        <v>0</v>
      </c>
      <c r="E2410" s="2">
        <v>52001</v>
      </c>
      <c r="F2410" s="1" t="s">
        <v>16</v>
      </c>
      <c r="G2410" s="1" t="s">
        <v>1043</v>
      </c>
      <c r="H2410" s="1" t="s">
        <v>2</v>
      </c>
      <c r="I2410" s="2">
        <v>46177</v>
      </c>
      <c r="J2410" s="1" t="s">
        <v>17</v>
      </c>
      <c r="K2410" s="1" t="s">
        <v>5086</v>
      </c>
      <c r="L2410" s="2">
        <v>46177.92087962963</v>
      </c>
      <c r="M2410" s="2">
        <v>46177.921329212964</v>
      </c>
    </row>
    <row r="2411" spans="1:13" x14ac:dyDescent="0.35">
      <c r="A2411" s="1" t="s">
        <v>1042</v>
      </c>
      <c r="B2411" s="1" t="s">
        <v>13</v>
      </c>
      <c r="C2411" s="1" t="s">
        <v>1043</v>
      </c>
      <c r="D2411">
        <v>0</v>
      </c>
      <c r="E2411" s="2">
        <v>52001</v>
      </c>
      <c r="F2411" s="1" t="s">
        <v>16</v>
      </c>
      <c r="G2411" s="1" t="s">
        <v>1043</v>
      </c>
      <c r="H2411" s="1" t="s">
        <v>2</v>
      </c>
      <c r="I2411" s="2">
        <v>46177</v>
      </c>
      <c r="J2411" s="1" t="s">
        <v>18</v>
      </c>
      <c r="K2411" s="1" t="s">
        <v>5272</v>
      </c>
      <c r="L2411" s="2">
        <v>46177.92087962963</v>
      </c>
      <c r="M2411" s="2">
        <v>46177.921329212964</v>
      </c>
    </row>
    <row r="2412" spans="1:13" x14ac:dyDescent="0.35">
      <c r="A2412" s="1" t="s">
        <v>1116</v>
      </c>
      <c r="B2412" s="1" t="s">
        <v>13</v>
      </c>
      <c r="C2412" s="1" t="s">
        <v>1117</v>
      </c>
      <c r="D2412">
        <v>0</v>
      </c>
      <c r="E2412" s="2">
        <v>52093</v>
      </c>
      <c r="F2412" s="1" t="s">
        <v>16</v>
      </c>
      <c r="G2412" s="1" t="s">
        <v>1117</v>
      </c>
      <c r="H2412" s="1" t="s">
        <v>2</v>
      </c>
      <c r="I2412" s="2">
        <v>46177</v>
      </c>
      <c r="J2412" s="1" t="s">
        <v>17</v>
      </c>
      <c r="K2412" s="1" t="s">
        <v>5206</v>
      </c>
      <c r="L2412" s="2">
        <v>46177.92087962963</v>
      </c>
      <c r="M2412" s="2">
        <v>46177.921329212964</v>
      </c>
    </row>
    <row r="2413" spans="1:13" x14ac:dyDescent="0.35">
      <c r="A2413" s="1" t="s">
        <v>1116</v>
      </c>
      <c r="B2413" s="1" t="s">
        <v>13</v>
      </c>
      <c r="C2413" s="1" t="s">
        <v>1117</v>
      </c>
      <c r="D2413">
        <v>0</v>
      </c>
      <c r="E2413" s="2">
        <v>52093</v>
      </c>
      <c r="F2413" s="1" t="s">
        <v>16</v>
      </c>
      <c r="G2413" s="1" t="s">
        <v>1117</v>
      </c>
      <c r="H2413" s="1" t="s">
        <v>2</v>
      </c>
      <c r="I2413" s="2">
        <v>46177</v>
      </c>
      <c r="J2413" s="1" t="s">
        <v>18</v>
      </c>
      <c r="K2413" s="1" t="s">
        <v>5207</v>
      </c>
      <c r="L2413" s="2">
        <v>46177.92087962963</v>
      </c>
      <c r="M2413" s="2">
        <v>46177.921329212964</v>
      </c>
    </row>
    <row r="2414" spans="1:13" x14ac:dyDescent="0.35">
      <c r="A2414" s="1" t="s">
        <v>1098</v>
      </c>
      <c r="B2414" s="1" t="s">
        <v>13</v>
      </c>
      <c r="C2414" s="1" t="s">
        <v>1099</v>
      </c>
      <c r="D2414">
        <v>0</v>
      </c>
      <c r="E2414" s="2">
        <v>52185</v>
      </c>
      <c r="F2414" s="1" t="s">
        <v>16</v>
      </c>
      <c r="G2414" s="1" t="s">
        <v>1099</v>
      </c>
      <c r="H2414" s="1" t="s">
        <v>2</v>
      </c>
      <c r="I2414" s="2">
        <v>46177</v>
      </c>
      <c r="J2414" s="1" t="s">
        <v>18</v>
      </c>
      <c r="K2414" s="1" t="s">
        <v>5150</v>
      </c>
      <c r="L2414" s="2">
        <v>46177.92087962963</v>
      </c>
      <c r="M2414" s="2">
        <v>46177.921329212964</v>
      </c>
    </row>
    <row r="2415" spans="1:13" x14ac:dyDescent="0.35">
      <c r="A2415" s="1" t="s">
        <v>1098</v>
      </c>
      <c r="B2415" s="1" t="s">
        <v>13</v>
      </c>
      <c r="C2415" s="1" t="s">
        <v>1099</v>
      </c>
      <c r="D2415">
        <v>0</v>
      </c>
      <c r="E2415" s="2">
        <v>52185</v>
      </c>
      <c r="F2415" s="1" t="s">
        <v>16</v>
      </c>
      <c r="G2415" s="1" t="s">
        <v>1099</v>
      </c>
      <c r="H2415" s="1" t="s">
        <v>2</v>
      </c>
      <c r="I2415" s="2">
        <v>46177</v>
      </c>
      <c r="J2415" s="1" t="s">
        <v>17</v>
      </c>
      <c r="K2415" s="1" t="s">
        <v>5292</v>
      </c>
      <c r="L2415" s="2">
        <v>46177.92087962963</v>
      </c>
      <c r="M2415" s="2">
        <v>46177.921329212964</v>
      </c>
    </row>
    <row r="2416" spans="1:13" x14ac:dyDescent="0.35">
      <c r="A2416" s="1" t="s">
        <v>1118</v>
      </c>
      <c r="B2416" s="1" t="s">
        <v>13</v>
      </c>
      <c r="C2416" s="1" t="s">
        <v>1119</v>
      </c>
      <c r="D2416">
        <v>0</v>
      </c>
      <c r="E2416" s="2">
        <v>52277</v>
      </c>
      <c r="F2416" s="1" t="s">
        <v>16</v>
      </c>
      <c r="G2416" s="1" t="s">
        <v>1119</v>
      </c>
      <c r="H2416" s="1" t="s">
        <v>2</v>
      </c>
      <c r="I2416" s="2">
        <v>46177</v>
      </c>
      <c r="J2416" s="1" t="s">
        <v>18</v>
      </c>
      <c r="K2416" s="1" t="s">
        <v>5151</v>
      </c>
      <c r="L2416" s="2">
        <v>46177.92087962963</v>
      </c>
      <c r="M2416" s="2">
        <v>46177.921329212964</v>
      </c>
    </row>
    <row r="2417" spans="1:13" x14ac:dyDescent="0.35">
      <c r="A2417" s="1" t="s">
        <v>1118</v>
      </c>
      <c r="B2417" s="1" t="s">
        <v>13</v>
      </c>
      <c r="C2417" s="1" t="s">
        <v>1119</v>
      </c>
      <c r="D2417">
        <v>0</v>
      </c>
      <c r="E2417" s="2">
        <v>52277</v>
      </c>
      <c r="F2417" s="1" t="s">
        <v>16</v>
      </c>
      <c r="G2417" s="1" t="s">
        <v>1119</v>
      </c>
      <c r="H2417" s="1" t="s">
        <v>2</v>
      </c>
      <c r="I2417" s="2">
        <v>46177</v>
      </c>
      <c r="J2417" s="1" t="s">
        <v>17</v>
      </c>
      <c r="K2417" s="1" t="s">
        <v>5273</v>
      </c>
      <c r="L2417" s="2">
        <v>46177.92087962963</v>
      </c>
      <c r="M2417" s="2">
        <v>46177.921329212964</v>
      </c>
    </row>
    <row r="2418" spans="1:13" x14ac:dyDescent="0.35">
      <c r="A2418" s="1" t="s">
        <v>1084</v>
      </c>
      <c r="B2418" s="1" t="s">
        <v>13</v>
      </c>
      <c r="C2418" s="1" t="s">
        <v>1085</v>
      </c>
      <c r="D2418">
        <v>0</v>
      </c>
      <c r="E2418" s="2">
        <v>52366</v>
      </c>
      <c r="F2418" s="1" t="s">
        <v>16</v>
      </c>
      <c r="G2418" s="1" t="s">
        <v>1085</v>
      </c>
      <c r="H2418" s="1" t="s">
        <v>2</v>
      </c>
      <c r="I2418" s="2">
        <v>46177</v>
      </c>
      <c r="J2418" s="1" t="s">
        <v>17</v>
      </c>
      <c r="K2418" s="1" t="s">
        <v>5254</v>
      </c>
      <c r="L2418" s="2">
        <v>46177.92087962963</v>
      </c>
      <c r="M2418" s="2">
        <v>46177.921329212964</v>
      </c>
    </row>
    <row r="2419" spans="1:13" x14ac:dyDescent="0.35">
      <c r="A2419" s="1" t="s">
        <v>1084</v>
      </c>
      <c r="B2419" s="1" t="s">
        <v>13</v>
      </c>
      <c r="C2419" s="1" t="s">
        <v>1085</v>
      </c>
      <c r="D2419">
        <v>0</v>
      </c>
      <c r="E2419" s="2">
        <v>52366</v>
      </c>
      <c r="F2419" s="1" t="s">
        <v>16</v>
      </c>
      <c r="G2419" s="1" t="s">
        <v>1085</v>
      </c>
      <c r="H2419" s="1" t="s">
        <v>2</v>
      </c>
      <c r="I2419" s="2">
        <v>46177</v>
      </c>
      <c r="J2419" s="1" t="s">
        <v>18</v>
      </c>
      <c r="K2419" s="1" t="s">
        <v>5293</v>
      </c>
      <c r="L2419" s="2">
        <v>46177.92087962963</v>
      </c>
      <c r="M2419" s="2">
        <v>46177.921329212964</v>
      </c>
    </row>
    <row r="2420" spans="1:13" x14ac:dyDescent="0.35">
      <c r="A2420" s="1" t="s">
        <v>1086</v>
      </c>
      <c r="B2420" s="1" t="s">
        <v>13</v>
      </c>
      <c r="C2420" s="1" t="s">
        <v>1087</v>
      </c>
      <c r="D2420">
        <v>0</v>
      </c>
      <c r="E2420" s="2">
        <v>52458</v>
      </c>
      <c r="F2420" s="1" t="s">
        <v>16</v>
      </c>
      <c r="G2420" s="1" t="s">
        <v>1087</v>
      </c>
      <c r="H2420" s="1" t="s">
        <v>2</v>
      </c>
      <c r="I2420" s="2">
        <v>46177</v>
      </c>
      <c r="J2420" s="1" t="s">
        <v>17</v>
      </c>
      <c r="K2420" s="1" t="s">
        <v>5255</v>
      </c>
      <c r="L2420" s="2">
        <v>46177.92087962963</v>
      </c>
      <c r="M2420" s="2">
        <v>46177.921329212964</v>
      </c>
    </row>
    <row r="2421" spans="1:13" x14ac:dyDescent="0.35">
      <c r="A2421" s="1" t="s">
        <v>1086</v>
      </c>
      <c r="B2421" s="1" t="s">
        <v>13</v>
      </c>
      <c r="C2421" s="1" t="s">
        <v>1087</v>
      </c>
      <c r="D2421">
        <v>0</v>
      </c>
      <c r="E2421" s="2">
        <v>52458</v>
      </c>
      <c r="F2421" s="1" t="s">
        <v>16</v>
      </c>
      <c r="G2421" s="1" t="s">
        <v>1087</v>
      </c>
      <c r="H2421" s="1" t="s">
        <v>2</v>
      </c>
      <c r="I2421" s="2">
        <v>46177</v>
      </c>
      <c r="J2421" s="1" t="s">
        <v>18</v>
      </c>
      <c r="K2421" s="1" t="s">
        <v>5274</v>
      </c>
      <c r="L2421" s="2">
        <v>46177.92087962963</v>
      </c>
      <c r="M2421" s="2">
        <v>46177.921329212964</v>
      </c>
    </row>
    <row r="2422" spans="1:13" x14ac:dyDescent="0.35">
      <c r="A2422" s="1" t="s">
        <v>1088</v>
      </c>
      <c r="B2422" s="1" t="s">
        <v>13</v>
      </c>
      <c r="C2422" s="1" t="s">
        <v>1089</v>
      </c>
      <c r="D2422">
        <v>0</v>
      </c>
      <c r="E2422" s="2">
        <v>52550</v>
      </c>
      <c r="F2422" s="1" t="s">
        <v>16</v>
      </c>
      <c r="G2422" s="1" t="s">
        <v>1089</v>
      </c>
      <c r="H2422" s="1" t="s">
        <v>2</v>
      </c>
      <c r="I2422" s="2">
        <v>46177</v>
      </c>
      <c r="J2422" s="1" t="s">
        <v>18</v>
      </c>
      <c r="K2422" s="1" t="s">
        <v>5087</v>
      </c>
      <c r="L2422" s="2">
        <v>46177.92087962963</v>
      </c>
      <c r="M2422" s="2">
        <v>46177.921329212964</v>
      </c>
    </row>
    <row r="2423" spans="1:13" x14ac:dyDescent="0.35">
      <c r="A2423" s="1" t="s">
        <v>1088</v>
      </c>
      <c r="B2423" s="1" t="s">
        <v>13</v>
      </c>
      <c r="C2423" s="1" t="s">
        <v>1089</v>
      </c>
      <c r="D2423">
        <v>0</v>
      </c>
      <c r="E2423" s="2">
        <v>52550</v>
      </c>
      <c r="F2423" s="1" t="s">
        <v>16</v>
      </c>
      <c r="G2423" s="1" t="s">
        <v>1089</v>
      </c>
      <c r="H2423" s="1" t="s">
        <v>2</v>
      </c>
      <c r="I2423" s="2">
        <v>46177</v>
      </c>
      <c r="J2423" s="1" t="s">
        <v>17</v>
      </c>
      <c r="K2423" s="1" t="s">
        <v>5294</v>
      </c>
      <c r="L2423" s="2">
        <v>46177.92087962963</v>
      </c>
      <c r="M2423" s="2">
        <v>46177.921329212964</v>
      </c>
    </row>
    <row r="2424" spans="1:13" x14ac:dyDescent="0.35">
      <c r="A2424" s="1" t="s">
        <v>1020</v>
      </c>
      <c r="B2424" s="1" t="s">
        <v>13</v>
      </c>
      <c r="C2424" s="1" t="s">
        <v>1021</v>
      </c>
      <c r="D2424">
        <v>0</v>
      </c>
      <c r="E2424" s="2">
        <v>52642</v>
      </c>
      <c r="F2424" s="1" t="s">
        <v>16</v>
      </c>
      <c r="G2424" s="1" t="s">
        <v>1021</v>
      </c>
      <c r="H2424" s="1" t="s">
        <v>2</v>
      </c>
      <c r="I2424" s="2">
        <v>46177</v>
      </c>
      <c r="J2424" s="1" t="s">
        <v>18</v>
      </c>
      <c r="K2424" s="1" t="s">
        <v>5208</v>
      </c>
      <c r="L2424" s="2">
        <v>46177.92087962963</v>
      </c>
      <c r="M2424" s="2">
        <v>46177.921329212964</v>
      </c>
    </row>
    <row r="2425" spans="1:13" x14ac:dyDescent="0.35">
      <c r="A2425" s="1" t="s">
        <v>1020</v>
      </c>
      <c r="B2425" s="1" t="s">
        <v>13</v>
      </c>
      <c r="C2425" s="1" t="s">
        <v>1021</v>
      </c>
      <c r="D2425">
        <v>0</v>
      </c>
      <c r="E2425" s="2">
        <v>52642</v>
      </c>
      <c r="F2425" s="1" t="s">
        <v>16</v>
      </c>
      <c r="G2425" s="1" t="s">
        <v>1021</v>
      </c>
      <c r="H2425" s="1" t="s">
        <v>2</v>
      </c>
      <c r="I2425" s="2">
        <v>46177</v>
      </c>
      <c r="J2425" s="1" t="s">
        <v>17</v>
      </c>
      <c r="K2425" s="1" t="s">
        <v>5295</v>
      </c>
      <c r="L2425" s="2">
        <v>46177.92087962963</v>
      </c>
      <c r="M2425" s="2">
        <v>46177.921329212964</v>
      </c>
    </row>
    <row r="2426" spans="1:13" x14ac:dyDescent="0.35">
      <c r="A2426" s="1" t="s">
        <v>1090</v>
      </c>
      <c r="B2426" s="1" t="s">
        <v>13</v>
      </c>
      <c r="C2426" s="1" t="s">
        <v>1091</v>
      </c>
      <c r="D2426">
        <v>0</v>
      </c>
      <c r="E2426" s="2">
        <v>52732</v>
      </c>
      <c r="F2426" s="1" t="s">
        <v>16</v>
      </c>
      <c r="G2426" s="1" t="s">
        <v>1091</v>
      </c>
      <c r="H2426" s="1" t="s">
        <v>2</v>
      </c>
      <c r="I2426" s="2">
        <v>46177</v>
      </c>
      <c r="J2426" s="1" t="s">
        <v>17</v>
      </c>
      <c r="K2426" s="1" t="s">
        <v>5256</v>
      </c>
      <c r="L2426" s="2">
        <v>46177.92087962963</v>
      </c>
      <c r="M2426" s="2">
        <v>46177.921329212964</v>
      </c>
    </row>
    <row r="2427" spans="1:13" x14ac:dyDescent="0.35">
      <c r="A2427" s="1" t="s">
        <v>1090</v>
      </c>
      <c r="B2427" s="1" t="s">
        <v>13</v>
      </c>
      <c r="C2427" s="1" t="s">
        <v>1091</v>
      </c>
      <c r="D2427">
        <v>0</v>
      </c>
      <c r="E2427" s="2">
        <v>52732</v>
      </c>
      <c r="F2427" s="1" t="s">
        <v>16</v>
      </c>
      <c r="G2427" s="1" t="s">
        <v>1091</v>
      </c>
      <c r="H2427" s="1" t="s">
        <v>2</v>
      </c>
      <c r="I2427" s="2">
        <v>46177</v>
      </c>
      <c r="J2427" s="1" t="s">
        <v>18</v>
      </c>
      <c r="K2427" s="1" t="s">
        <v>5209</v>
      </c>
      <c r="L2427" s="2">
        <v>46177.92087962963</v>
      </c>
      <c r="M2427" s="2">
        <v>46177.921329212964</v>
      </c>
    </row>
    <row r="2428" spans="1:13" x14ac:dyDescent="0.35">
      <c r="A2428" s="1" t="s">
        <v>1100</v>
      </c>
      <c r="B2428" s="1" t="s">
        <v>13</v>
      </c>
      <c r="C2428" s="1" t="s">
        <v>1101</v>
      </c>
      <c r="D2428">
        <v>0</v>
      </c>
      <c r="E2428" s="2">
        <v>52824</v>
      </c>
      <c r="F2428" s="1" t="s">
        <v>16</v>
      </c>
      <c r="G2428" s="1" t="s">
        <v>1101</v>
      </c>
      <c r="H2428" s="1" t="s">
        <v>2</v>
      </c>
      <c r="I2428" s="2">
        <v>46177</v>
      </c>
      <c r="J2428" s="1" t="s">
        <v>17</v>
      </c>
      <c r="K2428" s="1" t="s">
        <v>5210</v>
      </c>
      <c r="L2428" s="2">
        <v>46177.92087962963</v>
      </c>
      <c r="M2428" s="2">
        <v>46177.921329212964</v>
      </c>
    </row>
    <row r="2429" spans="1:13" x14ac:dyDescent="0.35">
      <c r="A2429" s="1" t="s">
        <v>1100</v>
      </c>
      <c r="B2429" s="1" t="s">
        <v>13</v>
      </c>
      <c r="C2429" s="1" t="s">
        <v>1101</v>
      </c>
      <c r="D2429">
        <v>0</v>
      </c>
      <c r="E2429" s="2">
        <v>52824</v>
      </c>
      <c r="F2429" s="1" t="s">
        <v>16</v>
      </c>
      <c r="G2429" s="1" t="s">
        <v>1101</v>
      </c>
      <c r="H2429" s="1" t="s">
        <v>2</v>
      </c>
      <c r="I2429" s="2">
        <v>46177</v>
      </c>
      <c r="J2429" s="1" t="s">
        <v>18</v>
      </c>
      <c r="K2429" s="1" t="s">
        <v>5275</v>
      </c>
      <c r="L2429" s="2">
        <v>46177.92087962963</v>
      </c>
      <c r="M2429" s="2">
        <v>46177.921329212964</v>
      </c>
    </row>
    <row r="2430" spans="1:13" x14ac:dyDescent="0.35">
      <c r="A2430" s="1" t="s">
        <v>1092</v>
      </c>
      <c r="B2430" s="1" t="s">
        <v>13</v>
      </c>
      <c r="C2430" s="1" t="s">
        <v>1093</v>
      </c>
      <c r="D2430">
        <v>0</v>
      </c>
      <c r="E2430" s="2">
        <v>52916</v>
      </c>
      <c r="F2430" s="1" t="s">
        <v>16</v>
      </c>
      <c r="G2430" s="1" t="s">
        <v>1093</v>
      </c>
      <c r="H2430" s="1" t="s">
        <v>2</v>
      </c>
      <c r="I2430" s="2">
        <v>46177</v>
      </c>
      <c r="J2430" s="1" t="s">
        <v>18</v>
      </c>
      <c r="K2430" s="1" t="s">
        <v>5152</v>
      </c>
      <c r="L2430" s="2">
        <v>46177.92087962963</v>
      </c>
      <c r="M2430" s="2">
        <v>46177.921329212964</v>
      </c>
    </row>
    <row r="2431" spans="1:13" x14ac:dyDescent="0.35">
      <c r="A2431" s="1" t="s">
        <v>1092</v>
      </c>
      <c r="B2431" s="1" t="s">
        <v>13</v>
      </c>
      <c r="C2431" s="1" t="s">
        <v>1093</v>
      </c>
      <c r="D2431">
        <v>0</v>
      </c>
      <c r="E2431" s="2">
        <v>52916</v>
      </c>
      <c r="F2431" s="1" t="s">
        <v>16</v>
      </c>
      <c r="G2431" s="1" t="s">
        <v>1093</v>
      </c>
      <c r="H2431" s="1" t="s">
        <v>2</v>
      </c>
      <c r="I2431" s="2">
        <v>46177</v>
      </c>
      <c r="J2431" s="1" t="s">
        <v>17</v>
      </c>
      <c r="K2431" s="1" t="s">
        <v>5276</v>
      </c>
      <c r="L2431" s="2">
        <v>46177.92087962963</v>
      </c>
      <c r="M2431" s="2">
        <v>46177.921329212964</v>
      </c>
    </row>
    <row r="2432" spans="1:13" x14ac:dyDescent="0.35">
      <c r="A2432" s="1" t="s">
        <v>1094</v>
      </c>
      <c r="B2432" s="1" t="s">
        <v>13</v>
      </c>
      <c r="C2432" s="1" t="s">
        <v>1095</v>
      </c>
      <c r="D2432">
        <v>0</v>
      </c>
      <c r="E2432" s="2">
        <v>53008</v>
      </c>
      <c r="F2432" s="1" t="s">
        <v>16</v>
      </c>
      <c r="G2432" s="1" t="s">
        <v>1095</v>
      </c>
      <c r="H2432" s="1" t="s">
        <v>2</v>
      </c>
      <c r="I2432" s="2">
        <v>46177</v>
      </c>
      <c r="J2432" s="1" t="s">
        <v>17</v>
      </c>
      <c r="K2432" s="1" t="s">
        <v>5088</v>
      </c>
      <c r="L2432" s="2">
        <v>46177.92087962963</v>
      </c>
      <c r="M2432" s="2">
        <v>46177.921329212964</v>
      </c>
    </row>
    <row r="2433" spans="1:13" x14ac:dyDescent="0.35">
      <c r="A2433" s="1" t="s">
        <v>1094</v>
      </c>
      <c r="B2433" s="1" t="s">
        <v>13</v>
      </c>
      <c r="C2433" s="1" t="s">
        <v>1095</v>
      </c>
      <c r="D2433">
        <v>0</v>
      </c>
      <c r="E2433" s="2">
        <v>53008</v>
      </c>
      <c r="F2433" s="1" t="s">
        <v>16</v>
      </c>
      <c r="G2433" s="1" t="s">
        <v>1095</v>
      </c>
      <c r="H2433" s="1" t="s">
        <v>2</v>
      </c>
      <c r="I2433" s="2">
        <v>46177</v>
      </c>
      <c r="J2433" s="1" t="s">
        <v>18</v>
      </c>
      <c r="K2433" s="1" t="s">
        <v>5277</v>
      </c>
      <c r="L2433" s="2">
        <v>46177.92087962963</v>
      </c>
      <c r="M2433" s="2">
        <v>46177.921329212964</v>
      </c>
    </row>
    <row r="2434" spans="1:13" x14ac:dyDescent="0.35">
      <c r="A2434" s="1" t="s">
        <v>1102</v>
      </c>
      <c r="B2434" s="1" t="s">
        <v>13</v>
      </c>
      <c r="C2434" s="1" t="s">
        <v>1103</v>
      </c>
      <c r="D2434">
        <v>0</v>
      </c>
      <c r="E2434" s="2">
        <v>53189</v>
      </c>
      <c r="F2434" s="1" t="s">
        <v>16</v>
      </c>
      <c r="G2434" s="1" t="s">
        <v>1103</v>
      </c>
      <c r="H2434" s="1" t="s">
        <v>2</v>
      </c>
      <c r="I2434" s="2">
        <v>46177</v>
      </c>
      <c r="J2434" s="1" t="s">
        <v>17</v>
      </c>
      <c r="K2434" s="1" t="s">
        <v>5257</v>
      </c>
      <c r="L2434" s="2">
        <v>46177.92087962963</v>
      </c>
      <c r="M2434" s="2">
        <v>46177.921329212964</v>
      </c>
    </row>
    <row r="2435" spans="1:13" x14ac:dyDescent="0.35">
      <c r="A2435" s="1" t="s">
        <v>1102</v>
      </c>
      <c r="B2435" s="1" t="s">
        <v>13</v>
      </c>
      <c r="C2435" s="1" t="s">
        <v>1103</v>
      </c>
      <c r="D2435">
        <v>0</v>
      </c>
      <c r="E2435" s="2">
        <v>53189</v>
      </c>
      <c r="F2435" s="1" t="s">
        <v>16</v>
      </c>
      <c r="G2435" s="1" t="s">
        <v>1103</v>
      </c>
      <c r="H2435" s="1" t="s">
        <v>2</v>
      </c>
      <c r="I2435" s="2">
        <v>46177</v>
      </c>
      <c r="J2435" s="1" t="s">
        <v>18</v>
      </c>
      <c r="K2435" s="1" t="s">
        <v>5089</v>
      </c>
      <c r="L2435" s="2">
        <v>46177.92087962963</v>
      </c>
      <c r="M2435" s="2">
        <v>46177.921329212964</v>
      </c>
    </row>
    <row r="2436" spans="1:13" x14ac:dyDescent="0.35">
      <c r="A2436" s="1" t="s">
        <v>1022</v>
      </c>
      <c r="B2436" s="1" t="s">
        <v>13</v>
      </c>
      <c r="C2436" s="1" t="s">
        <v>1023</v>
      </c>
      <c r="D2436">
        <v>0</v>
      </c>
      <c r="E2436" s="2">
        <v>53281</v>
      </c>
      <c r="F2436" s="1" t="s">
        <v>16</v>
      </c>
      <c r="G2436" s="1" t="s">
        <v>1023</v>
      </c>
      <c r="H2436" s="1" t="s">
        <v>2</v>
      </c>
      <c r="I2436" s="2">
        <v>46177</v>
      </c>
      <c r="J2436" s="1" t="s">
        <v>18</v>
      </c>
      <c r="K2436" s="1" t="s">
        <v>5211</v>
      </c>
      <c r="L2436" s="2">
        <v>46177.92087962963</v>
      </c>
      <c r="M2436" s="2">
        <v>46177.921329212964</v>
      </c>
    </row>
    <row r="2437" spans="1:13" x14ac:dyDescent="0.35">
      <c r="A2437" s="1" t="s">
        <v>1022</v>
      </c>
      <c r="B2437" s="1" t="s">
        <v>13</v>
      </c>
      <c r="C2437" s="1" t="s">
        <v>1023</v>
      </c>
      <c r="D2437">
        <v>0</v>
      </c>
      <c r="E2437" s="2">
        <v>53281</v>
      </c>
      <c r="F2437" s="1" t="s">
        <v>16</v>
      </c>
      <c r="G2437" s="1" t="s">
        <v>1023</v>
      </c>
      <c r="H2437" s="1" t="s">
        <v>2</v>
      </c>
      <c r="I2437" s="2">
        <v>46177</v>
      </c>
      <c r="J2437" s="1" t="s">
        <v>17</v>
      </c>
      <c r="K2437" s="1" t="s">
        <v>5326</v>
      </c>
      <c r="L2437" s="2">
        <v>46177.92087962963</v>
      </c>
      <c r="M2437" s="2">
        <v>46177.921329212964</v>
      </c>
    </row>
    <row r="2438" spans="1:13" x14ac:dyDescent="0.35">
      <c r="A2438" s="1" t="s">
        <v>1024</v>
      </c>
      <c r="B2438" s="1" t="s">
        <v>13</v>
      </c>
      <c r="C2438" s="1" t="s">
        <v>1025</v>
      </c>
      <c r="D2438">
        <v>0</v>
      </c>
      <c r="E2438" s="2">
        <v>53373</v>
      </c>
      <c r="F2438" s="1" t="s">
        <v>16</v>
      </c>
      <c r="G2438" s="1" t="s">
        <v>1025</v>
      </c>
      <c r="H2438" s="1" t="s">
        <v>2</v>
      </c>
      <c r="I2438" s="2">
        <v>46177</v>
      </c>
      <c r="J2438" s="1" t="s">
        <v>17</v>
      </c>
      <c r="K2438" s="1" t="s">
        <v>5296</v>
      </c>
      <c r="L2438" s="2">
        <v>46177.92087962963</v>
      </c>
      <c r="M2438" s="2">
        <v>46177.921329212964</v>
      </c>
    </row>
    <row r="2439" spans="1:13" x14ac:dyDescent="0.35">
      <c r="A2439" s="1" t="s">
        <v>1024</v>
      </c>
      <c r="B2439" s="1" t="s">
        <v>13</v>
      </c>
      <c r="C2439" s="1" t="s">
        <v>1025</v>
      </c>
      <c r="D2439">
        <v>0</v>
      </c>
      <c r="E2439" s="2">
        <v>53373</v>
      </c>
      <c r="F2439" s="1" t="s">
        <v>16</v>
      </c>
      <c r="G2439" s="1" t="s">
        <v>1025</v>
      </c>
      <c r="H2439" s="1" t="s">
        <v>2</v>
      </c>
      <c r="I2439" s="2">
        <v>46177</v>
      </c>
      <c r="J2439" s="1" t="s">
        <v>18</v>
      </c>
      <c r="K2439" s="1" t="s">
        <v>5278</v>
      </c>
      <c r="L2439" s="2">
        <v>46177.92087962963</v>
      </c>
      <c r="M2439" s="2">
        <v>46177.921329212964</v>
      </c>
    </row>
    <row r="2440" spans="1:13" x14ac:dyDescent="0.35">
      <c r="A2440" s="1" t="s">
        <v>1044</v>
      </c>
      <c r="B2440" s="1" t="s">
        <v>13</v>
      </c>
      <c r="C2440" s="1" t="s">
        <v>1045</v>
      </c>
      <c r="D2440">
        <v>0</v>
      </c>
      <c r="E2440" s="2">
        <v>53462</v>
      </c>
      <c r="F2440" s="1" t="s">
        <v>16</v>
      </c>
      <c r="G2440" s="1" t="s">
        <v>1045</v>
      </c>
      <c r="H2440" s="1" t="s">
        <v>2</v>
      </c>
      <c r="I2440" s="2">
        <v>46177</v>
      </c>
      <c r="J2440" s="1" t="s">
        <v>17</v>
      </c>
      <c r="K2440" s="1" t="s">
        <v>5258</v>
      </c>
      <c r="L2440" s="2">
        <v>46177.92087962963</v>
      </c>
      <c r="M2440" s="2">
        <v>46177.921329212964</v>
      </c>
    </row>
    <row r="2441" spans="1:13" x14ac:dyDescent="0.35">
      <c r="A2441" s="1" t="s">
        <v>1044</v>
      </c>
      <c r="B2441" s="1" t="s">
        <v>13</v>
      </c>
      <c r="C2441" s="1" t="s">
        <v>1045</v>
      </c>
      <c r="D2441">
        <v>0</v>
      </c>
      <c r="E2441" s="2">
        <v>53462</v>
      </c>
      <c r="F2441" s="1" t="s">
        <v>16</v>
      </c>
      <c r="G2441" s="1" t="s">
        <v>1045</v>
      </c>
      <c r="H2441" s="1" t="s">
        <v>2</v>
      </c>
      <c r="I2441" s="2">
        <v>46177</v>
      </c>
      <c r="J2441" s="1" t="s">
        <v>18</v>
      </c>
      <c r="K2441" s="1" t="s">
        <v>5153</v>
      </c>
      <c r="L2441" s="2">
        <v>46177.92087962963</v>
      </c>
      <c r="M2441" s="2">
        <v>46177.921329212964</v>
      </c>
    </row>
    <row r="2442" spans="1:13" x14ac:dyDescent="0.35">
      <c r="A2442" s="1" t="s">
        <v>1026</v>
      </c>
      <c r="B2442" s="1" t="s">
        <v>13</v>
      </c>
      <c r="C2442" s="1" t="s">
        <v>1027</v>
      </c>
      <c r="D2442">
        <v>0</v>
      </c>
      <c r="E2442" s="2">
        <v>53554</v>
      </c>
      <c r="F2442" s="1" t="s">
        <v>16</v>
      </c>
      <c r="G2442" s="1" t="s">
        <v>1027</v>
      </c>
      <c r="H2442" s="1" t="s">
        <v>2</v>
      </c>
      <c r="I2442" s="2">
        <v>46177</v>
      </c>
      <c r="J2442" s="1" t="s">
        <v>18</v>
      </c>
      <c r="K2442" s="1" t="s">
        <v>5297</v>
      </c>
      <c r="L2442" s="2">
        <v>46177.92087962963</v>
      </c>
      <c r="M2442" s="2">
        <v>46177.921329212964</v>
      </c>
    </row>
    <row r="2443" spans="1:13" x14ac:dyDescent="0.35">
      <c r="A2443" s="1" t="s">
        <v>1026</v>
      </c>
      <c r="B2443" s="1" t="s">
        <v>13</v>
      </c>
      <c r="C2443" s="1" t="s">
        <v>1027</v>
      </c>
      <c r="D2443">
        <v>0</v>
      </c>
      <c r="E2443" s="2">
        <v>53554</v>
      </c>
      <c r="F2443" s="1" t="s">
        <v>16</v>
      </c>
      <c r="G2443" s="1" t="s">
        <v>1027</v>
      </c>
      <c r="H2443" s="1" t="s">
        <v>2</v>
      </c>
      <c r="I2443" s="2">
        <v>46177</v>
      </c>
      <c r="J2443" s="1" t="s">
        <v>17</v>
      </c>
      <c r="K2443" s="1" t="s">
        <v>5189</v>
      </c>
      <c r="L2443" s="2">
        <v>46177.92087962963</v>
      </c>
      <c r="M2443" s="2">
        <v>46177.921329212964</v>
      </c>
    </row>
    <row r="2444" spans="1:13" x14ac:dyDescent="0.35">
      <c r="A2444" s="1" t="s">
        <v>1028</v>
      </c>
      <c r="B2444" s="1" t="s">
        <v>13</v>
      </c>
      <c r="C2444" s="1" t="s">
        <v>1029</v>
      </c>
      <c r="D2444">
        <v>0</v>
      </c>
      <c r="E2444" s="2">
        <v>53646</v>
      </c>
      <c r="F2444" s="1" t="s">
        <v>16</v>
      </c>
      <c r="G2444" s="1" t="s">
        <v>1029</v>
      </c>
      <c r="H2444" s="1" t="s">
        <v>2</v>
      </c>
      <c r="I2444" s="2">
        <v>46177</v>
      </c>
      <c r="J2444" s="1" t="s">
        <v>17</v>
      </c>
      <c r="K2444" s="1" t="s">
        <v>5190</v>
      </c>
      <c r="L2444" s="2">
        <v>46177.92087962963</v>
      </c>
      <c r="M2444" s="2">
        <v>46177.921329212964</v>
      </c>
    </row>
    <row r="2445" spans="1:13" x14ac:dyDescent="0.35">
      <c r="A2445" s="1" t="s">
        <v>1028</v>
      </c>
      <c r="B2445" s="1" t="s">
        <v>13</v>
      </c>
      <c r="C2445" s="1" t="s">
        <v>1029</v>
      </c>
      <c r="D2445">
        <v>0</v>
      </c>
      <c r="E2445" s="2">
        <v>53646</v>
      </c>
      <c r="F2445" s="1" t="s">
        <v>16</v>
      </c>
      <c r="G2445" s="1" t="s">
        <v>1029</v>
      </c>
      <c r="H2445" s="1" t="s">
        <v>2</v>
      </c>
      <c r="I2445" s="2">
        <v>46177</v>
      </c>
      <c r="J2445" s="1" t="s">
        <v>18</v>
      </c>
      <c r="K2445" s="1" t="s">
        <v>5327</v>
      </c>
      <c r="L2445" s="2">
        <v>46177.92087962963</v>
      </c>
      <c r="M2445" s="2">
        <v>46177.921329212964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D871-1D37-4A0F-A5A3-A6344EA4F470}">
  <sheetPr codeName="Sheet2"/>
  <dimension ref="A1:J1719"/>
  <sheetViews>
    <sheetView topLeftCell="A1597" workbookViewId="0">
      <selection activeCell="A1617" sqref="A1617"/>
    </sheetView>
  </sheetViews>
  <sheetFormatPr defaultRowHeight="14.5" x14ac:dyDescent="0.35"/>
  <cols>
    <col min="1" max="1" width="15.6328125" bestFit="1" customWidth="1"/>
    <col min="2" max="2" width="5.453125" bestFit="1" customWidth="1"/>
    <col min="3" max="3" width="5.81640625" bestFit="1" customWidth="1"/>
    <col min="4" max="4" width="12" bestFit="1" customWidth="1"/>
    <col min="5" max="5" width="12.453125" bestFit="1" customWidth="1"/>
    <col min="6" max="6" width="65.26953125" bestFit="1" customWidth="1"/>
    <col min="7" max="7" width="13.6328125" bestFit="1" customWidth="1"/>
    <col min="8" max="8" width="23.453125" bestFit="1" customWidth="1"/>
    <col min="9" max="9" width="14.54296875" bestFit="1" customWidth="1"/>
    <col min="10" max="10" width="23.453125" bestFit="1" customWidth="1"/>
    <col min="11" max="11" width="68" bestFit="1" customWidth="1"/>
    <col min="12" max="12" width="14.81640625" bestFit="1" customWidth="1"/>
    <col min="13" max="13" width="18.7265625" bestFit="1" customWidth="1"/>
    <col min="14" max="14" width="15.81640625" bestFit="1" customWidth="1"/>
    <col min="15" max="15" width="18.7265625" bestFit="1" customWidth="1"/>
  </cols>
  <sheetData>
    <row r="1" spans="1:10" x14ac:dyDescent="0.35">
      <c r="A1" t="s">
        <v>1</v>
      </c>
      <c r="B1" t="s">
        <v>1201</v>
      </c>
      <c r="C1" t="s">
        <v>1202</v>
      </c>
      <c r="D1" t="s">
        <v>1200</v>
      </c>
      <c r="E1" t="s">
        <v>1203</v>
      </c>
      <c r="F1" t="s">
        <v>1204</v>
      </c>
      <c r="G1" t="s">
        <v>1205</v>
      </c>
      <c r="H1" t="s">
        <v>1206</v>
      </c>
      <c r="I1" t="s">
        <v>1207</v>
      </c>
      <c r="J1" t="s">
        <v>1208</v>
      </c>
    </row>
    <row r="2" spans="1:10" x14ac:dyDescent="0.35">
      <c r="A2" s="1" t="s">
        <v>5451</v>
      </c>
      <c r="B2" s="1" t="s">
        <v>1209</v>
      </c>
      <c r="C2" s="1" t="s">
        <v>1210</v>
      </c>
      <c r="D2" s="2">
        <v>46177</v>
      </c>
      <c r="E2">
        <v>4.5153109644555101E-2</v>
      </c>
      <c r="F2" s="1"/>
      <c r="G2" s="2">
        <v>46177.669425196756</v>
      </c>
      <c r="H2" s="1" t="s">
        <v>1212</v>
      </c>
      <c r="I2" s="2">
        <v>46177.669425231485</v>
      </c>
      <c r="J2" s="1" t="s">
        <v>1212</v>
      </c>
    </row>
    <row r="3" spans="1:10" x14ac:dyDescent="0.35">
      <c r="A3" s="1" t="s">
        <v>1214</v>
      </c>
      <c r="B3" s="1" t="s">
        <v>1209</v>
      </c>
      <c r="C3" s="1" t="s">
        <v>1210</v>
      </c>
      <c r="D3" s="2">
        <v>46177</v>
      </c>
      <c r="E3">
        <v>0</v>
      </c>
      <c r="F3" s="1"/>
      <c r="G3" s="2">
        <v>46177.669425196756</v>
      </c>
      <c r="H3" s="1" t="s">
        <v>1212</v>
      </c>
      <c r="I3" s="2">
        <v>46177.669425231485</v>
      </c>
      <c r="J3" s="1" t="s">
        <v>1212</v>
      </c>
    </row>
    <row r="4" spans="1:10" x14ac:dyDescent="0.35">
      <c r="A4" s="1" t="s">
        <v>1215</v>
      </c>
      <c r="B4" s="1" t="s">
        <v>1209</v>
      </c>
      <c r="C4" s="1" t="s">
        <v>1210</v>
      </c>
      <c r="D4" s="2">
        <v>46177</v>
      </c>
      <c r="E4">
        <v>4.0589980710598501E-2</v>
      </c>
      <c r="F4" s="1"/>
      <c r="G4" s="2">
        <v>46177.669425196756</v>
      </c>
      <c r="H4" s="1" t="s">
        <v>1212</v>
      </c>
      <c r="I4" s="2">
        <v>46177.669425231485</v>
      </c>
      <c r="J4" s="1" t="s">
        <v>1212</v>
      </c>
    </row>
    <row r="5" spans="1:10" x14ac:dyDescent="0.35">
      <c r="A5" s="1" t="s">
        <v>1216</v>
      </c>
      <c r="B5" s="1" t="s">
        <v>1209</v>
      </c>
      <c r="C5" s="1" t="s">
        <v>1210</v>
      </c>
      <c r="D5" s="2">
        <v>46177</v>
      </c>
      <c r="E5">
        <v>4.0692216564984E-2</v>
      </c>
      <c r="F5" s="1"/>
      <c r="G5" s="2">
        <v>46177.669425196756</v>
      </c>
      <c r="H5" s="1" t="s">
        <v>1212</v>
      </c>
      <c r="I5" s="2">
        <v>46177.669425231485</v>
      </c>
      <c r="J5" s="1" t="s">
        <v>1212</v>
      </c>
    </row>
    <row r="6" spans="1:10" x14ac:dyDescent="0.35">
      <c r="A6" s="1" t="s">
        <v>1217</v>
      </c>
      <c r="B6" s="1" t="s">
        <v>1209</v>
      </c>
      <c r="C6" s="1" t="s">
        <v>1210</v>
      </c>
      <c r="D6" s="2">
        <v>46177</v>
      </c>
      <c r="E6">
        <v>4.0742196104016602E-2</v>
      </c>
      <c r="F6" s="1"/>
      <c r="G6" s="2">
        <v>46177.669425196756</v>
      </c>
      <c r="H6" s="1" t="s">
        <v>1212</v>
      </c>
      <c r="I6" s="2">
        <v>46177.669425231485</v>
      </c>
      <c r="J6" s="1" t="s">
        <v>1212</v>
      </c>
    </row>
    <row r="7" spans="1:10" x14ac:dyDescent="0.35">
      <c r="A7" s="1" t="s">
        <v>1218</v>
      </c>
      <c r="B7" s="1" t="s">
        <v>1209</v>
      </c>
      <c r="C7" s="1" t="s">
        <v>1210</v>
      </c>
      <c r="D7" s="2">
        <v>46177</v>
      </c>
      <c r="E7">
        <v>4.08744742171595E-2</v>
      </c>
      <c r="F7" s="1"/>
      <c r="G7" s="2">
        <v>46177.669425196756</v>
      </c>
      <c r="H7" s="1" t="s">
        <v>1212</v>
      </c>
      <c r="I7" s="2">
        <v>46177.669425231485</v>
      </c>
      <c r="J7" s="1" t="s">
        <v>1212</v>
      </c>
    </row>
    <row r="8" spans="1:10" x14ac:dyDescent="0.35">
      <c r="A8" s="1" t="s">
        <v>5452</v>
      </c>
      <c r="B8" s="1" t="s">
        <v>1209</v>
      </c>
      <c r="C8" s="1" t="s">
        <v>1210</v>
      </c>
      <c r="D8" s="2">
        <v>46177</v>
      </c>
      <c r="E8">
        <v>4.9950215333215302E-2</v>
      </c>
      <c r="F8" s="1"/>
      <c r="G8" s="2">
        <v>46177.669425196756</v>
      </c>
      <c r="H8" s="1" t="s">
        <v>1212</v>
      </c>
      <c r="I8" s="2">
        <v>46177.669425231485</v>
      </c>
      <c r="J8" s="1" t="s">
        <v>1212</v>
      </c>
    </row>
    <row r="9" spans="1:10" x14ac:dyDescent="0.35">
      <c r="A9" s="1" t="s">
        <v>1219</v>
      </c>
      <c r="B9" s="1" t="s">
        <v>1209</v>
      </c>
      <c r="C9" s="1" t="s">
        <v>1210</v>
      </c>
      <c r="D9" s="2">
        <v>46177</v>
      </c>
      <c r="E9">
        <v>0</v>
      </c>
      <c r="F9" s="1"/>
      <c r="G9" s="2">
        <v>46177.669425196756</v>
      </c>
      <c r="H9" s="1" t="s">
        <v>1212</v>
      </c>
      <c r="I9" s="2">
        <v>46177.669425231485</v>
      </c>
      <c r="J9" s="1" t="s">
        <v>1212</v>
      </c>
    </row>
    <row r="10" spans="1:10" x14ac:dyDescent="0.35">
      <c r="A10" s="1" t="s">
        <v>1220</v>
      </c>
      <c r="B10" s="1" t="s">
        <v>1209</v>
      </c>
      <c r="C10" s="1" t="s">
        <v>1210</v>
      </c>
      <c r="D10" s="2">
        <v>46177</v>
      </c>
      <c r="E10">
        <v>4.34080696827693E-2</v>
      </c>
      <c r="F10" s="1"/>
      <c r="G10" s="2">
        <v>46177.669425196756</v>
      </c>
      <c r="H10" s="1" t="s">
        <v>1212</v>
      </c>
      <c r="I10" s="2">
        <v>46177.669425231485</v>
      </c>
      <c r="J10" s="1" t="s">
        <v>1212</v>
      </c>
    </row>
    <row r="11" spans="1:10" x14ac:dyDescent="0.35">
      <c r="A11" s="1" t="s">
        <v>1221</v>
      </c>
      <c r="B11" s="1" t="s">
        <v>1209</v>
      </c>
      <c r="C11" s="1" t="s">
        <v>1210</v>
      </c>
      <c r="D11" s="2">
        <v>46177</v>
      </c>
      <c r="E11">
        <v>4.3575094302227599E-2</v>
      </c>
      <c r="F11" s="1"/>
      <c r="G11" s="2">
        <v>46177.669425196756</v>
      </c>
      <c r="H11" s="1" t="s">
        <v>1212</v>
      </c>
      <c r="I11" s="2">
        <v>46177.669425231485</v>
      </c>
      <c r="J11" s="1" t="s">
        <v>1212</v>
      </c>
    </row>
    <row r="12" spans="1:10" x14ac:dyDescent="0.35">
      <c r="A12" s="1" t="s">
        <v>1222</v>
      </c>
      <c r="B12" s="1" t="s">
        <v>1209</v>
      </c>
      <c r="C12" s="1" t="s">
        <v>1210</v>
      </c>
      <c r="D12" s="2">
        <v>46177</v>
      </c>
      <c r="E12">
        <v>4.3689843688295003E-2</v>
      </c>
      <c r="F12" s="1"/>
      <c r="G12" s="2">
        <v>46177.669425196756</v>
      </c>
      <c r="H12" s="1" t="s">
        <v>1212</v>
      </c>
      <c r="I12" s="2">
        <v>46177.669425231485</v>
      </c>
      <c r="J12" s="1" t="s">
        <v>1212</v>
      </c>
    </row>
    <row r="13" spans="1:10" x14ac:dyDescent="0.35">
      <c r="A13" s="1" t="s">
        <v>1223</v>
      </c>
      <c r="B13" s="1" t="s">
        <v>1224</v>
      </c>
      <c r="C13" s="1" t="s">
        <v>1210</v>
      </c>
      <c r="D13" s="2">
        <v>46177</v>
      </c>
      <c r="E13">
        <v>104.984375</v>
      </c>
      <c r="F13" s="1" t="s">
        <v>5453</v>
      </c>
      <c r="G13" s="2">
        <v>46177.777559571761</v>
      </c>
      <c r="H13" s="1" t="s">
        <v>1211</v>
      </c>
      <c r="I13" s="2">
        <v>46177.777559525464</v>
      </c>
      <c r="J13" s="1" t="s">
        <v>1211</v>
      </c>
    </row>
    <row r="14" spans="1:10" x14ac:dyDescent="0.35">
      <c r="A14" s="1" t="s">
        <v>1225</v>
      </c>
      <c r="B14" s="1" t="s">
        <v>1224</v>
      </c>
      <c r="C14" s="1" t="s">
        <v>1210</v>
      </c>
      <c r="D14" s="2">
        <v>46177</v>
      </c>
      <c r="E14">
        <v>104.828125</v>
      </c>
      <c r="F14" s="1" t="s">
        <v>5454</v>
      </c>
      <c r="G14" s="2">
        <v>46177.777559722221</v>
      </c>
      <c r="H14" s="1" t="s">
        <v>1211</v>
      </c>
      <c r="I14" s="2">
        <v>46177.777559722221</v>
      </c>
      <c r="J14" s="1" t="s">
        <v>1211</v>
      </c>
    </row>
    <row r="15" spans="1:10" x14ac:dyDescent="0.35">
      <c r="A15" s="1" t="s">
        <v>1226</v>
      </c>
      <c r="B15" s="1" t="s">
        <v>1224</v>
      </c>
      <c r="C15" s="1" t="s">
        <v>1210</v>
      </c>
      <c r="D15" s="2">
        <v>46177</v>
      </c>
      <c r="E15">
        <v>104.796875</v>
      </c>
      <c r="F15" s="1" t="s">
        <v>5455</v>
      </c>
      <c r="G15" s="2">
        <v>46177.777559872688</v>
      </c>
      <c r="H15" s="1" t="s">
        <v>1211</v>
      </c>
      <c r="I15" s="2">
        <v>46177.777559918984</v>
      </c>
      <c r="J15" s="1" t="s">
        <v>1211</v>
      </c>
    </row>
    <row r="16" spans="1:10" x14ac:dyDescent="0.35">
      <c r="A16" s="1" t="s">
        <v>1127</v>
      </c>
      <c r="B16" s="1" t="s">
        <v>1209</v>
      </c>
      <c r="C16" s="1" t="s">
        <v>1210</v>
      </c>
      <c r="D16" s="2">
        <v>46177</v>
      </c>
      <c r="E16">
        <v>3.6564213973574199E-2</v>
      </c>
      <c r="F16" s="1" t="s">
        <v>5456</v>
      </c>
      <c r="G16" s="2">
        <v>46177.777471909721</v>
      </c>
      <c r="H16" s="1" t="s">
        <v>1211</v>
      </c>
      <c r="I16" s="2">
        <v>46177.777471793983</v>
      </c>
      <c r="J16" s="1" t="s">
        <v>1211</v>
      </c>
    </row>
    <row r="17" spans="1:10" x14ac:dyDescent="0.35">
      <c r="A17" s="1" t="s">
        <v>1154</v>
      </c>
      <c r="B17" s="1" t="s">
        <v>1209</v>
      </c>
      <c r="C17" s="1" t="s">
        <v>1210</v>
      </c>
      <c r="D17" s="2">
        <v>46177</v>
      </c>
      <c r="E17">
        <v>3.6934699788215397E-2</v>
      </c>
      <c r="F17" s="1" t="s">
        <v>5457</v>
      </c>
      <c r="G17" s="2">
        <v>46177.777472071757</v>
      </c>
      <c r="H17" s="1" t="s">
        <v>1211</v>
      </c>
      <c r="I17" s="2">
        <v>46177.777471990739</v>
      </c>
      <c r="J17" s="1" t="s">
        <v>1211</v>
      </c>
    </row>
    <row r="18" spans="1:10" x14ac:dyDescent="0.35">
      <c r="A18" s="1" t="s">
        <v>1156</v>
      </c>
      <c r="B18" s="1" t="s">
        <v>1209</v>
      </c>
      <c r="C18" s="1" t="s">
        <v>1210</v>
      </c>
      <c r="D18" s="2">
        <v>46177</v>
      </c>
      <c r="E18">
        <v>3.70640757622165E-2</v>
      </c>
      <c r="F18" s="1" t="s">
        <v>5458</v>
      </c>
      <c r="G18" s="2">
        <v>46177.777472222224</v>
      </c>
      <c r="H18" s="1" t="s">
        <v>1211</v>
      </c>
      <c r="I18" s="2">
        <v>46177.777472187503</v>
      </c>
      <c r="J18" s="1" t="s">
        <v>1211</v>
      </c>
    </row>
    <row r="19" spans="1:10" x14ac:dyDescent="0.35">
      <c r="A19" s="1" t="s">
        <v>1129</v>
      </c>
      <c r="B19" s="1" t="s">
        <v>1209</v>
      </c>
      <c r="C19" s="1" t="s">
        <v>1210</v>
      </c>
      <c r="D19" s="2">
        <v>46177</v>
      </c>
      <c r="E19">
        <v>3.7245682925831899E-2</v>
      </c>
      <c r="F19" s="1" t="s">
        <v>5459</v>
      </c>
      <c r="G19" s="2">
        <v>46177.777472372683</v>
      </c>
      <c r="H19" s="1" t="s">
        <v>1211</v>
      </c>
      <c r="I19" s="2">
        <v>46177.777472337963</v>
      </c>
      <c r="J19" s="1" t="s">
        <v>1211</v>
      </c>
    </row>
    <row r="20" spans="1:10" x14ac:dyDescent="0.35">
      <c r="A20" s="1" t="s">
        <v>1158</v>
      </c>
      <c r="B20" s="1" t="s">
        <v>1209</v>
      </c>
      <c r="C20" s="1" t="s">
        <v>1210</v>
      </c>
      <c r="D20" s="2">
        <v>46177</v>
      </c>
      <c r="E20">
        <v>3.7283998972766699E-2</v>
      </c>
      <c r="F20" s="1" t="s">
        <v>5460</v>
      </c>
      <c r="G20" s="2">
        <v>46177.777472488429</v>
      </c>
      <c r="H20" s="1" t="s">
        <v>1211</v>
      </c>
      <c r="I20" s="2">
        <v>46177.777472534719</v>
      </c>
      <c r="J20" s="1" t="s">
        <v>1211</v>
      </c>
    </row>
    <row r="21" spans="1:10" x14ac:dyDescent="0.35">
      <c r="A21" s="1" t="s">
        <v>1160</v>
      </c>
      <c r="B21" s="1" t="s">
        <v>1209</v>
      </c>
      <c r="C21" s="1" t="s">
        <v>1210</v>
      </c>
      <c r="D21" s="2">
        <v>46177</v>
      </c>
      <c r="E21">
        <v>3.7335535244851698E-2</v>
      </c>
      <c r="F21" s="1" t="s">
        <v>5461</v>
      </c>
      <c r="G21" s="2">
        <v>46177.777472650465</v>
      </c>
      <c r="H21" s="1" t="s">
        <v>1211</v>
      </c>
      <c r="I21" s="2">
        <v>46177.777472534719</v>
      </c>
      <c r="J21" s="1" t="s">
        <v>1211</v>
      </c>
    </row>
    <row r="22" spans="1:10" x14ac:dyDescent="0.35">
      <c r="A22" s="1" t="s">
        <v>1162</v>
      </c>
      <c r="B22" s="1" t="s">
        <v>1209</v>
      </c>
      <c r="C22" s="1" t="s">
        <v>1210</v>
      </c>
      <c r="D22" s="2">
        <v>46177</v>
      </c>
      <c r="E22">
        <v>3.7547431977909398E-2</v>
      </c>
      <c r="F22" s="1" t="s">
        <v>5462</v>
      </c>
      <c r="G22" s="2">
        <v>46177.777472800924</v>
      </c>
      <c r="H22" s="1" t="s">
        <v>1211</v>
      </c>
      <c r="I22" s="2">
        <v>46177.777472719907</v>
      </c>
      <c r="J22" s="1" t="s">
        <v>1211</v>
      </c>
    </row>
    <row r="23" spans="1:10" x14ac:dyDescent="0.35">
      <c r="A23" s="1" t="s">
        <v>1131</v>
      </c>
      <c r="B23" s="1" t="s">
        <v>1209</v>
      </c>
      <c r="C23" s="1" t="s">
        <v>1210</v>
      </c>
      <c r="D23" s="2">
        <v>46177</v>
      </c>
      <c r="E23">
        <v>3.7290020034923502E-2</v>
      </c>
      <c r="F23" s="1" t="s">
        <v>5463</v>
      </c>
      <c r="G23" s="2">
        <v>46177.777472951391</v>
      </c>
      <c r="H23" s="1" t="s">
        <v>1211</v>
      </c>
      <c r="I23" s="2">
        <v>46177.777472881942</v>
      </c>
      <c r="J23" s="1" t="s">
        <v>1211</v>
      </c>
    </row>
    <row r="24" spans="1:10" x14ac:dyDescent="0.35">
      <c r="A24" s="1" t="s">
        <v>1178</v>
      </c>
      <c r="B24" s="1" t="s">
        <v>1209</v>
      </c>
      <c r="C24" s="1" t="s">
        <v>1210</v>
      </c>
      <c r="D24" s="2">
        <v>46177</v>
      </c>
      <c r="E24">
        <v>3.6712470197098203E-2</v>
      </c>
      <c r="F24" s="1" t="s">
        <v>5464</v>
      </c>
      <c r="G24" s="2">
        <v>46177.777473113427</v>
      </c>
      <c r="H24" s="1" t="s">
        <v>1211</v>
      </c>
      <c r="I24" s="2">
        <v>46177.77747306713</v>
      </c>
      <c r="J24" s="1" t="s">
        <v>1211</v>
      </c>
    </row>
    <row r="25" spans="1:10" x14ac:dyDescent="0.35">
      <c r="A25" s="1" t="s">
        <v>1133</v>
      </c>
      <c r="B25" s="1" t="s">
        <v>1209</v>
      </c>
      <c r="C25" s="1" t="s">
        <v>1210</v>
      </c>
      <c r="D25" s="2">
        <v>46177</v>
      </c>
      <c r="E25">
        <v>3.6699024363419798E-2</v>
      </c>
      <c r="F25" s="1" t="s">
        <v>5465</v>
      </c>
      <c r="G25" s="2">
        <v>46177.777473263886</v>
      </c>
      <c r="H25" s="1" t="s">
        <v>1211</v>
      </c>
      <c r="I25" s="2">
        <v>46177.777473263886</v>
      </c>
      <c r="J25" s="1" t="s">
        <v>1211</v>
      </c>
    </row>
    <row r="26" spans="1:10" x14ac:dyDescent="0.35">
      <c r="A26" s="1" t="s">
        <v>1190</v>
      </c>
      <c r="B26" s="1" t="s">
        <v>1209</v>
      </c>
      <c r="C26" s="1" t="s">
        <v>1210</v>
      </c>
      <c r="D26" s="2">
        <v>46177</v>
      </c>
      <c r="E26">
        <v>3.68486158403174E-2</v>
      </c>
      <c r="F26" s="1" t="s">
        <v>5466</v>
      </c>
      <c r="G26" s="2">
        <v>46177.777473379632</v>
      </c>
      <c r="H26" s="1" t="s">
        <v>1211</v>
      </c>
      <c r="I26" s="2">
        <v>46177.777473414353</v>
      </c>
      <c r="J26" s="1" t="s">
        <v>1211</v>
      </c>
    </row>
    <row r="27" spans="1:10" x14ac:dyDescent="0.35">
      <c r="A27" s="1" t="s">
        <v>1164</v>
      </c>
      <c r="B27" s="1" t="s">
        <v>1209</v>
      </c>
      <c r="C27" s="1" t="s">
        <v>1210</v>
      </c>
      <c r="D27" s="2">
        <v>46177</v>
      </c>
      <c r="E27">
        <v>3.7145094672875502E-2</v>
      </c>
      <c r="F27" s="1" t="s">
        <v>5467</v>
      </c>
      <c r="G27" s="2">
        <v>46177.777473530092</v>
      </c>
      <c r="H27" s="1" t="s">
        <v>1211</v>
      </c>
      <c r="I27" s="2">
        <v>46177.777473414353</v>
      </c>
      <c r="J27" s="1" t="s">
        <v>1211</v>
      </c>
    </row>
    <row r="28" spans="1:10" x14ac:dyDescent="0.35">
      <c r="A28" s="1" t="s">
        <v>1135</v>
      </c>
      <c r="B28" s="1" t="s">
        <v>1209</v>
      </c>
      <c r="C28" s="1" t="s">
        <v>1210</v>
      </c>
      <c r="D28" s="2">
        <v>46177</v>
      </c>
      <c r="E28">
        <v>3.7002238396098598E-2</v>
      </c>
      <c r="F28" s="1" t="s">
        <v>5468</v>
      </c>
      <c r="G28" s="2">
        <v>46177.777473692127</v>
      </c>
      <c r="H28" s="1" t="s">
        <v>1211</v>
      </c>
      <c r="I28" s="2">
        <v>46177.77747361111</v>
      </c>
      <c r="J28" s="1" t="s">
        <v>1211</v>
      </c>
    </row>
    <row r="29" spans="1:10" x14ac:dyDescent="0.35">
      <c r="A29" s="1" t="s">
        <v>1166</v>
      </c>
      <c r="B29" s="1" t="s">
        <v>1209</v>
      </c>
      <c r="C29" s="1" t="s">
        <v>1210</v>
      </c>
      <c r="D29" s="2">
        <v>46177</v>
      </c>
      <c r="E29">
        <v>3.7015910098076303E-2</v>
      </c>
      <c r="F29" s="1" t="s">
        <v>5469</v>
      </c>
      <c r="G29" s="2">
        <v>46177.777473842594</v>
      </c>
      <c r="H29" s="1" t="s">
        <v>1211</v>
      </c>
      <c r="I29" s="2">
        <v>46177.777473807873</v>
      </c>
      <c r="J29" s="1" t="s">
        <v>1211</v>
      </c>
    </row>
    <row r="30" spans="1:10" x14ac:dyDescent="0.35">
      <c r="A30" s="1" t="s">
        <v>1192</v>
      </c>
      <c r="B30" s="1" t="s">
        <v>1209</v>
      </c>
      <c r="C30" s="1" t="s">
        <v>1210</v>
      </c>
      <c r="D30" s="2">
        <v>46177</v>
      </c>
      <c r="E30">
        <v>3.7034786928948897E-2</v>
      </c>
      <c r="F30" s="1" t="s">
        <v>5470</v>
      </c>
      <c r="G30" s="2">
        <v>46177.777473993054</v>
      </c>
      <c r="H30" s="1" t="s">
        <v>1211</v>
      </c>
      <c r="I30" s="2">
        <v>46177.777473958333</v>
      </c>
      <c r="J30" s="1" t="s">
        <v>1211</v>
      </c>
    </row>
    <row r="31" spans="1:10" x14ac:dyDescent="0.35">
      <c r="A31" s="1" t="s">
        <v>1168</v>
      </c>
      <c r="B31" s="1" t="s">
        <v>1209</v>
      </c>
      <c r="C31" s="1" t="s">
        <v>1210</v>
      </c>
      <c r="D31" s="2">
        <v>46177</v>
      </c>
      <c r="E31">
        <v>3.73469429741808E-2</v>
      </c>
      <c r="F31" s="1" t="s">
        <v>5471</v>
      </c>
      <c r="G31" s="2">
        <v>46177.777474155089</v>
      </c>
      <c r="H31" s="1" t="s">
        <v>1211</v>
      </c>
      <c r="I31" s="2">
        <v>46177.777474155089</v>
      </c>
      <c r="J31" s="1" t="s">
        <v>1211</v>
      </c>
    </row>
    <row r="32" spans="1:10" x14ac:dyDescent="0.35">
      <c r="A32" s="1" t="s">
        <v>1137</v>
      </c>
      <c r="B32" s="1" t="s">
        <v>1209</v>
      </c>
      <c r="C32" s="1" t="s">
        <v>1210</v>
      </c>
      <c r="D32" s="2">
        <v>46177</v>
      </c>
      <c r="E32">
        <v>3.7132396759315803E-2</v>
      </c>
      <c r="F32" s="1" t="s">
        <v>5472</v>
      </c>
      <c r="G32" s="2">
        <v>46177.777474305556</v>
      </c>
      <c r="H32" s="1" t="s">
        <v>1211</v>
      </c>
      <c r="I32" s="2">
        <v>46177.777474340277</v>
      </c>
      <c r="J32" s="1" t="s">
        <v>1211</v>
      </c>
    </row>
    <row r="33" spans="1:10" x14ac:dyDescent="0.35">
      <c r="A33" s="1" t="s">
        <v>1170</v>
      </c>
      <c r="B33" s="1" t="s">
        <v>1209</v>
      </c>
      <c r="C33" s="1" t="s">
        <v>1210</v>
      </c>
      <c r="D33" s="2">
        <v>46177</v>
      </c>
      <c r="E33">
        <v>3.7113914991224302E-2</v>
      </c>
      <c r="F33" s="1" t="s">
        <v>5473</v>
      </c>
      <c r="G33" s="2">
        <v>46177.777474421295</v>
      </c>
      <c r="H33" s="1" t="s">
        <v>1211</v>
      </c>
      <c r="I33" s="2">
        <v>46177.777474340277</v>
      </c>
      <c r="J33" s="1" t="s">
        <v>1211</v>
      </c>
    </row>
    <row r="34" spans="1:10" x14ac:dyDescent="0.35">
      <c r="A34" s="1" t="s">
        <v>1180</v>
      </c>
      <c r="B34" s="1" t="s">
        <v>1209</v>
      </c>
      <c r="C34" s="1" t="s">
        <v>1210</v>
      </c>
      <c r="D34" s="2">
        <v>46177</v>
      </c>
      <c r="E34">
        <v>3.7148511604390103E-2</v>
      </c>
      <c r="F34" s="1" t="s">
        <v>5474</v>
      </c>
      <c r="G34" s="2">
        <v>46177.777474618058</v>
      </c>
      <c r="H34" s="1" t="s">
        <v>1211</v>
      </c>
      <c r="I34" s="2">
        <v>46177.777474502313</v>
      </c>
      <c r="J34" s="1" t="s">
        <v>1211</v>
      </c>
    </row>
    <row r="35" spans="1:10" x14ac:dyDescent="0.35">
      <c r="A35" s="1" t="s">
        <v>1197</v>
      </c>
      <c r="B35" s="1" t="s">
        <v>1209</v>
      </c>
      <c r="C35" s="1" t="s">
        <v>1210</v>
      </c>
      <c r="D35" s="2">
        <v>46177</v>
      </c>
      <c r="E35">
        <v>3.6725294662234703E-2</v>
      </c>
      <c r="F35" s="1" t="s">
        <v>5475</v>
      </c>
      <c r="G35" s="2">
        <v>46177.777474768518</v>
      </c>
      <c r="H35" s="1" t="s">
        <v>1211</v>
      </c>
      <c r="I35" s="2">
        <v>46177.7774746875</v>
      </c>
      <c r="J35" s="1" t="s">
        <v>1211</v>
      </c>
    </row>
    <row r="36" spans="1:10" x14ac:dyDescent="0.35">
      <c r="A36" s="1" t="s">
        <v>1182</v>
      </c>
      <c r="B36" s="1" t="s">
        <v>1209</v>
      </c>
      <c r="C36" s="1" t="s">
        <v>1210</v>
      </c>
      <c r="D36" s="2">
        <v>46177</v>
      </c>
      <c r="E36">
        <v>3.67475381229556E-2</v>
      </c>
      <c r="F36" s="1" t="s">
        <v>5476</v>
      </c>
      <c r="G36" s="2">
        <v>46177.777474918985</v>
      </c>
      <c r="H36" s="1" t="s">
        <v>1211</v>
      </c>
      <c r="I36" s="2">
        <v>46177.777474884257</v>
      </c>
      <c r="J36" s="1" t="s">
        <v>1211</v>
      </c>
    </row>
    <row r="37" spans="1:10" x14ac:dyDescent="0.35">
      <c r="A37" s="1" t="s">
        <v>1139</v>
      </c>
      <c r="B37" s="1" t="s">
        <v>1209</v>
      </c>
      <c r="C37" s="1" t="s">
        <v>1210</v>
      </c>
      <c r="D37" s="2">
        <v>46177</v>
      </c>
      <c r="E37">
        <v>3.6771358476430198E-2</v>
      </c>
      <c r="F37" s="1" t="s">
        <v>5477</v>
      </c>
      <c r="G37" s="2">
        <v>46177.77747508102</v>
      </c>
      <c r="H37" s="1" t="s">
        <v>1211</v>
      </c>
      <c r="I37" s="2">
        <v>46177.77747508102</v>
      </c>
      <c r="J37" s="1" t="s">
        <v>1211</v>
      </c>
    </row>
    <row r="38" spans="1:10" x14ac:dyDescent="0.35">
      <c r="A38" s="1" t="s">
        <v>1141</v>
      </c>
      <c r="B38" s="1" t="s">
        <v>1209</v>
      </c>
      <c r="C38" s="1" t="s">
        <v>1210</v>
      </c>
      <c r="D38" s="2">
        <v>46177</v>
      </c>
      <c r="E38">
        <v>3.6913732002553899E-2</v>
      </c>
      <c r="F38" s="1" t="s">
        <v>5478</v>
      </c>
      <c r="G38" s="2">
        <v>46177.777475266201</v>
      </c>
      <c r="H38" s="1" t="s">
        <v>1211</v>
      </c>
      <c r="I38" s="2">
        <v>46177.77747523148</v>
      </c>
      <c r="J38" s="1" t="s">
        <v>1211</v>
      </c>
    </row>
    <row r="39" spans="1:10" x14ac:dyDescent="0.35">
      <c r="A39" s="1" t="s">
        <v>1143</v>
      </c>
      <c r="B39" s="1" t="s">
        <v>1209</v>
      </c>
      <c r="C39" s="1" t="s">
        <v>1210</v>
      </c>
      <c r="D39" s="2">
        <v>46177</v>
      </c>
      <c r="E39">
        <v>3.74685350847428E-2</v>
      </c>
      <c r="F39" s="1" t="s">
        <v>5479</v>
      </c>
      <c r="G39" s="2">
        <v>46177.777475428244</v>
      </c>
      <c r="H39" s="1" t="s">
        <v>1211</v>
      </c>
      <c r="I39" s="2">
        <v>46177.777475428244</v>
      </c>
      <c r="J39" s="1" t="s">
        <v>1211</v>
      </c>
    </row>
    <row r="40" spans="1:10" x14ac:dyDescent="0.35">
      <c r="A40" s="1" t="s">
        <v>1145</v>
      </c>
      <c r="B40" s="1" t="s">
        <v>1209</v>
      </c>
      <c r="C40" s="1" t="s">
        <v>1210</v>
      </c>
      <c r="D40" s="2">
        <v>46177</v>
      </c>
      <c r="E40">
        <v>3.7943856694059502E-2</v>
      </c>
      <c r="F40" s="1" t="s">
        <v>5480</v>
      </c>
      <c r="G40" s="2">
        <v>46177.777475578703</v>
      </c>
      <c r="H40" s="1" t="s">
        <v>1211</v>
      </c>
      <c r="I40" s="2">
        <v>46177.777475613424</v>
      </c>
      <c r="J40" s="1" t="s">
        <v>1211</v>
      </c>
    </row>
    <row r="41" spans="1:10" x14ac:dyDescent="0.35">
      <c r="A41" s="1" t="s">
        <v>1172</v>
      </c>
      <c r="B41" s="1" t="s">
        <v>1209</v>
      </c>
      <c r="C41" s="1" t="s">
        <v>1210</v>
      </c>
      <c r="D41" s="2">
        <v>46177</v>
      </c>
      <c r="E41">
        <v>3.7137532466540599E-2</v>
      </c>
      <c r="F41" s="1" t="s">
        <v>5481</v>
      </c>
      <c r="G41" s="2">
        <v>46177.777475694442</v>
      </c>
      <c r="H41" s="1" t="s">
        <v>1211</v>
      </c>
      <c r="I41" s="2">
        <v>46177.777475613424</v>
      </c>
      <c r="J41" s="1" t="s">
        <v>1211</v>
      </c>
    </row>
    <row r="42" spans="1:10" x14ac:dyDescent="0.35">
      <c r="A42" s="1" t="s">
        <v>1174</v>
      </c>
      <c r="B42" s="1" t="s">
        <v>1209</v>
      </c>
      <c r="C42" s="1" t="s">
        <v>1210</v>
      </c>
      <c r="D42" s="2">
        <v>46177</v>
      </c>
      <c r="E42">
        <v>3.7255693916511401E-2</v>
      </c>
      <c r="F42" s="1" t="s">
        <v>5482</v>
      </c>
      <c r="G42" s="2">
        <v>46177.777475891206</v>
      </c>
      <c r="H42" s="1" t="s">
        <v>1211</v>
      </c>
      <c r="I42" s="2">
        <v>46177.77747577546</v>
      </c>
      <c r="J42" s="1" t="s">
        <v>1211</v>
      </c>
    </row>
    <row r="43" spans="1:10" x14ac:dyDescent="0.35">
      <c r="A43" s="1" t="s">
        <v>1147</v>
      </c>
      <c r="B43" s="1" t="s">
        <v>1209</v>
      </c>
      <c r="C43" s="1" t="s">
        <v>1210</v>
      </c>
      <c r="D43" s="2">
        <v>46177</v>
      </c>
      <c r="E43">
        <v>3.72690561617528E-2</v>
      </c>
      <c r="F43" s="1" t="s">
        <v>5483</v>
      </c>
      <c r="G43" s="2">
        <v>46177.777476041665</v>
      </c>
      <c r="H43" s="1" t="s">
        <v>1211</v>
      </c>
      <c r="I43" s="2">
        <v>46177.777475960647</v>
      </c>
      <c r="J43" s="1" t="s">
        <v>1211</v>
      </c>
    </row>
    <row r="44" spans="1:10" x14ac:dyDescent="0.35">
      <c r="A44" s="1" t="s">
        <v>1149</v>
      </c>
      <c r="B44" s="1" t="s">
        <v>1209</v>
      </c>
      <c r="C44" s="1" t="s">
        <v>1210</v>
      </c>
      <c r="D44" s="2">
        <v>46177</v>
      </c>
      <c r="E44">
        <v>3.7146780467031799E-2</v>
      </c>
      <c r="F44" s="1" t="s">
        <v>5484</v>
      </c>
      <c r="G44" s="2">
        <v>46177.777476157411</v>
      </c>
      <c r="H44" s="1" t="s">
        <v>1211</v>
      </c>
      <c r="I44" s="2">
        <v>46177.777476157411</v>
      </c>
      <c r="J44" s="1" t="s">
        <v>1211</v>
      </c>
    </row>
    <row r="45" spans="1:10" x14ac:dyDescent="0.35">
      <c r="A45" s="1" t="s">
        <v>1151</v>
      </c>
      <c r="B45" s="1" t="s">
        <v>1209</v>
      </c>
      <c r="C45" s="1" t="s">
        <v>1210</v>
      </c>
      <c r="D45" s="2">
        <v>46177</v>
      </c>
      <c r="E45">
        <v>3.7201414194189202E-2</v>
      </c>
      <c r="F45" s="1" t="s">
        <v>5485</v>
      </c>
      <c r="G45" s="2">
        <v>46177.777476307871</v>
      </c>
      <c r="H45" s="1" t="s">
        <v>1211</v>
      </c>
      <c r="I45" s="2">
        <v>46177.777476307871</v>
      </c>
      <c r="J45" s="1" t="s">
        <v>1211</v>
      </c>
    </row>
    <row r="46" spans="1:10" x14ac:dyDescent="0.35">
      <c r="A46" s="1" t="s">
        <v>1176</v>
      </c>
      <c r="B46" s="1" t="s">
        <v>1209</v>
      </c>
      <c r="C46" s="1" t="s">
        <v>1210</v>
      </c>
      <c r="D46" s="2">
        <v>46177</v>
      </c>
      <c r="E46">
        <v>3.72891149237118E-2</v>
      </c>
      <c r="F46" s="1" t="s">
        <v>5486</v>
      </c>
      <c r="G46" s="2">
        <v>46177.777476469906</v>
      </c>
      <c r="H46" s="1" t="s">
        <v>1211</v>
      </c>
      <c r="I46" s="2">
        <v>46177.777476504627</v>
      </c>
      <c r="J46" s="1" t="s">
        <v>1211</v>
      </c>
    </row>
    <row r="47" spans="1:10" x14ac:dyDescent="0.35">
      <c r="A47" s="1" t="s">
        <v>2704</v>
      </c>
      <c r="B47" s="1" t="s">
        <v>1209</v>
      </c>
      <c r="C47" s="1" t="s">
        <v>1210</v>
      </c>
      <c r="D47" s="2">
        <v>46177</v>
      </c>
      <c r="E47">
        <v>3.7405619774981698E-2</v>
      </c>
      <c r="F47" s="1" t="s">
        <v>5487</v>
      </c>
      <c r="G47" s="2">
        <v>46177.777476620373</v>
      </c>
      <c r="H47" s="1" t="s">
        <v>1211</v>
      </c>
      <c r="I47" s="2">
        <v>46177.777476504627</v>
      </c>
      <c r="J47" s="1" t="s">
        <v>1211</v>
      </c>
    </row>
    <row r="48" spans="1:10" x14ac:dyDescent="0.35">
      <c r="A48" s="1" t="s">
        <v>1184</v>
      </c>
      <c r="B48" s="1" t="s">
        <v>1209</v>
      </c>
      <c r="C48" s="1" t="s">
        <v>1210</v>
      </c>
      <c r="D48" s="2">
        <v>46177</v>
      </c>
      <c r="E48">
        <v>3.6911276148705201E-2</v>
      </c>
      <c r="F48" s="1" t="s">
        <v>5488</v>
      </c>
      <c r="G48" s="2">
        <v>46177.777476770832</v>
      </c>
      <c r="H48" s="1" t="s">
        <v>1211</v>
      </c>
      <c r="I48" s="2">
        <v>46177.777476701391</v>
      </c>
      <c r="J48" s="1" t="s">
        <v>1211</v>
      </c>
    </row>
    <row r="49" spans="1:10" x14ac:dyDescent="0.35">
      <c r="A49" s="1" t="s">
        <v>1194</v>
      </c>
      <c r="B49" s="1" t="s">
        <v>1209</v>
      </c>
      <c r="C49" s="1" t="s">
        <v>1210</v>
      </c>
      <c r="D49" s="2">
        <v>46177</v>
      </c>
      <c r="E49">
        <v>3.6875638496284897E-2</v>
      </c>
      <c r="F49" s="1" t="s">
        <v>5489</v>
      </c>
      <c r="G49" s="2">
        <v>46177.777476932868</v>
      </c>
      <c r="H49" s="1" t="s">
        <v>1211</v>
      </c>
      <c r="I49" s="2">
        <v>46177.77747685185</v>
      </c>
      <c r="J49" s="1" t="s">
        <v>1211</v>
      </c>
    </row>
    <row r="50" spans="1:10" x14ac:dyDescent="0.35">
      <c r="A50" s="1" t="s">
        <v>1186</v>
      </c>
      <c r="B50" s="1" t="s">
        <v>1209</v>
      </c>
      <c r="C50" s="1" t="s">
        <v>1210</v>
      </c>
      <c r="D50" s="2">
        <v>46177</v>
      </c>
      <c r="E50">
        <v>3.6960798492829697E-2</v>
      </c>
      <c r="F50" s="1" t="s">
        <v>5490</v>
      </c>
      <c r="G50" s="2">
        <v>46177.777477083335</v>
      </c>
      <c r="H50" s="1" t="s">
        <v>1211</v>
      </c>
      <c r="I50" s="2">
        <v>46177.777477083335</v>
      </c>
      <c r="J50" s="1" t="s">
        <v>1211</v>
      </c>
    </row>
    <row r="51" spans="1:10" x14ac:dyDescent="0.35">
      <c r="A51" s="1" t="s">
        <v>1153</v>
      </c>
      <c r="B51" s="1" t="s">
        <v>1209</v>
      </c>
      <c r="C51" s="1" t="s">
        <v>1210</v>
      </c>
      <c r="D51" s="2">
        <v>46177</v>
      </c>
      <c r="E51">
        <v>3.7014412103310197E-2</v>
      </c>
      <c r="F51" s="1" t="s">
        <v>5491</v>
      </c>
      <c r="G51" s="2">
        <v>46177.777477233794</v>
      </c>
      <c r="H51" s="1" t="s">
        <v>1211</v>
      </c>
      <c r="I51" s="2">
        <v>46177.777477280091</v>
      </c>
      <c r="J51" s="1" t="s">
        <v>1211</v>
      </c>
    </row>
    <row r="52" spans="1:10" x14ac:dyDescent="0.35">
      <c r="A52" s="1" t="s">
        <v>1199</v>
      </c>
      <c r="B52" s="1" t="s">
        <v>1209</v>
      </c>
      <c r="C52" s="1" t="s">
        <v>1210</v>
      </c>
      <c r="D52" s="2">
        <v>46177</v>
      </c>
      <c r="E52">
        <v>3.7006800951390903E-2</v>
      </c>
      <c r="F52" s="1" t="s">
        <v>5492</v>
      </c>
      <c r="G52" s="2">
        <v>46177.77747739583</v>
      </c>
      <c r="H52" s="1" t="s">
        <v>1211</v>
      </c>
      <c r="I52" s="2">
        <v>46177.777477280091</v>
      </c>
      <c r="J52" s="1" t="s">
        <v>1211</v>
      </c>
    </row>
    <row r="53" spans="1:10" x14ac:dyDescent="0.35">
      <c r="A53" s="1" t="s">
        <v>1188</v>
      </c>
      <c r="B53" s="1" t="s">
        <v>1209</v>
      </c>
      <c r="C53" s="1" t="s">
        <v>1210</v>
      </c>
      <c r="D53" s="2">
        <v>46177</v>
      </c>
      <c r="E53">
        <v>3.6944594003691697E-2</v>
      </c>
      <c r="F53" s="1" t="s">
        <v>5493</v>
      </c>
      <c r="G53" s="2">
        <v>46177.777477546297</v>
      </c>
      <c r="H53" s="1" t="s">
        <v>1211</v>
      </c>
      <c r="I53" s="2">
        <v>46177.777477465279</v>
      </c>
      <c r="J53" s="1" t="s">
        <v>1211</v>
      </c>
    </row>
    <row r="54" spans="1:10" x14ac:dyDescent="0.35">
      <c r="A54" s="1" t="s">
        <v>1189</v>
      </c>
      <c r="B54" s="1" t="s">
        <v>1209</v>
      </c>
      <c r="C54" s="1" t="s">
        <v>1210</v>
      </c>
      <c r="D54" s="2">
        <v>46177</v>
      </c>
      <c r="E54">
        <v>3.70789196122479E-2</v>
      </c>
      <c r="F54" s="1" t="s">
        <v>5494</v>
      </c>
      <c r="G54" s="2">
        <v>46177.777477662035</v>
      </c>
      <c r="H54" s="1" t="s">
        <v>1211</v>
      </c>
      <c r="I54" s="2">
        <v>46177.777477627315</v>
      </c>
      <c r="J54" s="1" t="s">
        <v>1211</v>
      </c>
    </row>
    <row r="55" spans="1:10" x14ac:dyDescent="0.35">
      <c r="A55" s="1" t="s">
        <v>1196</v>
      </c>
      <c r="B55" s="1" t="s">
        <v>1209</v>
      </c>
      <c r="C55" s="1" t="s">
        <v>1210</v>
      </c>
      <c r="D55" s="2">
        <v>46177</v>
      </c>
      <c r="E55">
        <v>3.7166585927711299E-2</v>
      </c>
      <c r="F55" s="1" t="s">
        <v>5495</v>
      </c>
      <c r="G55" s="2">
        <v>46177.777477858799</v>
      </c>
      <c r="H55" s="1" t="s">
        <v>1211</v>
      </c>
      <c r="I55" s="2">
        <v>46177.777477812502</v>
      </c>
      <c r="J55" s="1" t="s">
        <v>1211</v>
      </c>
    </row>
    <row r="56" spans="1:10" x14ac:dyDescent="0.35">
      <c r="A56" s="1" t="s">
        <v>2635</v>
      </c>
      <c r="B56" s="1" t="s">
        <v>1209</v>
      </c>
      <c r="C56" s="1" t="s">
        <v>1210</v>
      </c>
      <c r="D56" s="2">
        <v>46177</v>
      </c>
      <c r="E56">
        <v>3.7141843243606601E-2</v>
      </c>
      <c r="F56" s="1" t="s">
        <v>5496</v>
      </c>
      <c r="G56" s="2">
        <v>46177.777478009259</v>
      </c>
      <c r="H56" s="1" t="s">
        <v>1211</v>
      </c>
      <c r="I56" s="2">
        <v>46177.777478009259</v>
      </c>
      <c r="J56" s="1" t="s">
        <v>1211</v>
      </c>
    </row>
    <row r="57" spans="1:10" x14ac:dyDescent="0.35">
      <c r="A57" s="1" t="s">
        <v>3092</v>
      </c>
      <c r="B57" s="1" t="s">
        <v>1209</v>
      </c>
      <c r="C57" s="1" t="s">
        <v>1210</v>
      </c>
      <c r="D57" s="2">
        <v>46177</v>
      </c>
      <c r="E57">
        <v>3.7986409744348297E-2</v>
      </c>
      <c r="F57" s="1" t="s">
        <v>5497</v>
      </c>
      <c r="G57" s="2">
        <v>46177.777478124997</v>
      </c>
      <c r="H57" s="1" t="s">
        <v>1211</v>
      </c>
      <c r="I57" s="2">
        <v>46177.777478206015</v>
      </c>
      <c r="J57" s="1" t="s">
        <v>1211</v>
      </c>
    </row>
    <row r="58" spans="1:10" x14ac:dyDescent="0.35">
      <c r="A58" s="1" t="s">
        <v>3094</v>
      </c>
      <c r="B58" s="1" t="s">
        <v>1209</v>
      </c>
      <c r="C58" s="1" t="s">
        <v>1210</v>
      </c>
      <c r="D58" s="2">
        <v>46177</v>
      </c>
      <c r="E58">
        <v>3.7456905178938599E-2</v>
      </c>
      <c r="F58" s="1" t="s">
        <v>5498</v>
      </c>
      <c r="G58" s="2">
        <v>46177.777478275464</v>
      </c>
      <c r="H58" s="1" t="s">
        <v>1211</v>
      </c>
      <c r="I58" s="2">
        <v>46177.777478206015</v>
      </c>
      <c r="J58" s="1" t="s">
        <v>1211</v>
      </c>
    </row>
    <row r="59" spans="1:10" x14ac:dyDescent="0.35">
      <c r="A59" s="1" t="s">
        <v>3096</v>
      </c>
      <c r="B59" s="1" t="s">
        <v>1209</v>
      </c>
      <c r="C59" s="1" t="s">
        <v>1210</v>
      </c>
      <c r="D59" s="2">
        <v>46177</v>
      </c>
      <c r="E59">
        <v>3.7527170895407899E-2</v>
      </c>
      <c r="F59" s="1" t="s">
        <v>5499</v>
      </c>
      <c r="G59" s="2">
        <v>46177.7774784375</v>
      </c>
      <c r="H59" s="1" t="s">
        <v>1211</v>
      </c>
      <c r="I59" s="2">
        <v>46177.777478356482</v>
      </c>
      <c r="J59" s="1" t="s">
        <v>1211</v>
      </c>
    </row>
    <row r="60" spans="1:10" x14ac:dyDescent="0.35">
      <c r="A60" s="1" t="s">
        <v>3098</v>
      </c>
      <c r="B60" s="1" t="s">
        <v>1209</v>
      </c>
      <c r="C60" s="1" t="s">
        <v>1210</v>
      </c>
      <c r="D60" s="2">
        <v>46177</v>
      </c>
      <c r="E60">
        <v>3.7598024032017702E-2</v>
      </c>
      <c r="F60" s="1" t="s">
        <v>5500</v>
      </c>
      <c r="G60" s="2">
        <v>46177.777478587966</v>
      </c>
      <c r="H60" s="1" t="s">
        <v>1211</v>
      </c>
      <c r="I60" s="2">
        <v>46177.777478553238</v>
      </c>
      <c r="J60" s="1" t="s">
        <v>1211</v>
      </c>
    </row>
    <row r="61" spans="1:10" x14ac:dyDescent="0.35">
      <c r="A61" s="1" t="s">
        <v>3100</v>
      </c>
      <c r="B61" s="1" t="s">
        <v>1209</v>
      </c>
      <c r="C61" s="1" t="s">
        <v>1210</v>
      </c>
      <c r="D61" s="2">
        <v>46177</v>
      </c>
      <c r="E61">
        <v>3.7159287307880998E-2</v>
      </c>
      <c r="F61" s="1" t="s">
        <v>5501</v>
      </c>
      <c r="G61" s="2">
        <v>46177.777478738426</v>
      </c>
      <c r="H61" s="1" t="s">
        <v>1211</v>
      </c>
      <c r="I61" s="2">
        <v>46177.777478738426</v>
      </c>
      <c r="J61" s="1" t="s">
        <v>1211</v>
      </c>
    </row>
    <row r="62" spans="1:10" x14ac:dyDescent="0.35">
      <c r="A62" s="1" t="s">
        <v>3102</v>
      </c>
      <c r="B62" s="1" t="s">
        <v>1209</v>
      </c>
      <c r="C62" s="1" t="s">
        <v>1210</v>
      </c>
      <c r="D62" s="2">
        <v>46177</v>
      </c>
      <c r="E62">
        <v>3.7244052390452698E-2</v>
      </c>
      <c r="F62" s="1" t="s">
        <v>5502</v>
      </c>
      <c r="G62" s="2">
        <v>46177.777478900462</v>
      </c>
      <c r="H62" s="1" t="s">
        <v>1211</v>
      </c>
      <c r="I62" s="2">
        <v>46177.777478900462</v>
      </c>
      <c r="J62" s="1" t="s">
        <v>1211</v>
      </c>
    </row>
    <row r="63" spans="1:10" x14ac:dyDescent="0.35">
      <c r="A63" s="1" t="s">
        <v>3104</v>
      </c>
      <c r="B63" s="1" t="s">
        <v>1209</v>
      </c>
      <c r="C63" s="1" t="s">
        <v>1210</v>
      </c>
      <c r="D63" s="2">
        <v>46177</v>
      </c>
      <c r="E63">
        <v>3.7245918950600497E-2</v>
      </c>
      <c r="F63" s="1" t="s">
        <v>5503</v>
      </c>
      <c r="G63" s="2">
        <v>46177.777479050928</v>
      </c>
      <c r="H63" s="1" t="s">
        <v>1211</v>
      </c>
      <c r="I63" s="2">
        <v>46177.777479085649</v>
      </c>
      <c r="J63" s="1" t="s">
        <v>1211</v>
      </c>
    </row>
    <row r="64" spans="1:10" x14ac:dyDescent="0.35">
      <c r="A64" s="1" t="s">
        <v>3106</v>
      </c>
      <c r="B64" s="1" t="s">
        <v>1209</v>
      </c>
      <c r="C64" s="1" t="s">
        <v>1210</v>
      </c>
      <c r="D64" s="2">
        <v>46177</v>
      </c>
      <c r="E64">
        <v>3.7280175913450501E-2</v>
      </c>
      <c r="F64" s="1" t="s">
        <v>5504</v>
      </c>
      <c r="G64" s="2">
        <v>46177.777479201388</v>
      </c>
      <c r="H64" s="1" t="s">
        <v>1211</v>
      </c>
      <c r="I64" s="2">
        <v>46177.777479085649</v>
      </c>
      <c r="J64" s="1" t="s">
        <v>1211</v>
      </c>
    </row>
    <row r="65" spans="1:10" x14ac:dyDescent="0.35">
      <c r="A65" s="1" t="s">
        <v>1227</v>
      </c>
      <c r="B65" s="1" t="s">
        <v>1209</v>
      </c>
      <c r="C65" s="1" t="s">
        <v>1210</v>
      </c>
      <c r="D65" s="2">
        <v>46177</v>
      </c>
      <c r="E65">
        <v>3.5915879464175501E-2</v>
      </c>
      <c r="F65" s="1" t="s">
        <v>5505</v>
      </c>
      <c r="G65" s="2">
        <v>46177.777252199077</v>
      </c>
      <c r="H65" s="1" t="s">
        <v>1211</v>
      </c>
      <c r="I65" s="2">
        <v>46177.777252233798</v>
      </c>
      <c r="J65" s="1" t="s">
        <v>1211</v>
      </c>
    </row>
    <row r="66" spans="1:10" x14ac:dyDescent="0.35">
      <c r="A66" s="1" t="s">
        <v>72</v>
      </c>
      <c r="B66" s="1" t="s">
        <v>1209</v>
      </c>
      <c r="C66" s="1" t="s">
        <v>1210</v>
      </c>
      <c r="D66" s="2">
        <v>46177</v>
      </c>
      <c r="E66">
        <v>3.6453603589244599E-2</v>
      </c>
      <c r="F66" s="1" t="s">
        <v>5506</v>
      </c>
      <c r="G66" s="2">
        <v>46177.777252349537</v>
      </c>
      <c r="H66" s="1" t="s">
        <v>1211</v>
      </c>
      <c r="I66" s="2">
        <v>46177.777252233798</v>
      </c>
      <c r="J66" s="1" t="s">
        <v>1211</v>
      </c>
    </row>
    <row r="67" spans="1:10" x14ac:dyDescent="0.35">
      <c r="A67" s="1" t="s">
        <v>225</v>
      </c>
      <c r="B67" s="1" t="s">
        <v>1209</v>
      </c>
      <c r="C67" s="1" t="s">
        <v>1210</v>
      </c>
      <c r="D67" s="2">
        <v>46177</v>
      </c>
      <c r="E67">
        <v>3.6469755957459701E-2</v>
      </c>
      <c r="F67" s="1" t="s">
        <v>5507</v>
      </c>
      <c r="G67" s="2">
        <v>46177.777252546293</v>
      </c>
      <c r="H67" s="1" t="s">
        <v>1211</v>
      </c>
      <c r="I67" s="2">
        <v>46177.777252395834</v>
      </c>
      <c r="J67" s="1" t="s">
        <v>1211</v>
      </c>
    </row>
    <row r="68" spans="1:10" x14ac:dyDescent="0.35">
      <c r="A68" s="1" t="s">
        <v>73</v>
      </c>
      <c r="B68" s="1" t="s">
        <v>1209</v>
      </c>
      <c r="C68" s="1" t="s">
        <v>1210</v>
      </c>
      <c r="D68" s="2">
        <v>46177</v>
      </c>
      <c r="E68">
        <v>3.8933780239786497E-2</v>
      </c>
      <c r="F68" s="1" t="s">
        <v>5508</v>
      </c>
      <c r="G68" s="2">
        <v>46177.77725269676</v>
      </c>
      <c r="H68" s="1" t="s">
        <v>1211</v>
      </c>
      <c r="I68" s="2">
        <v>46177.777252581021</v>
      </c>
      <c r="J68" s="1" t="s">
        <v>1211</v>
      </c>
    </row>
    <row r="69" spans="1:10" x14ac:dyDescent="0.35">
      <c r="A69" s="1" t="s">
        <v>14</v>
      </c>
      <c r="B69" s="1" t="s">
        <v>1209</v>
      </c>
      <c r="C69" s="1" t="s">
        <v>1210</v>
      </c>
      <c r="D69" s="2">
        <v>46177</v>
      </c>
      <c r="E69">
        <v>3.9655421196342001E-2</v>
      </c>
      <c r="F69" s="1" t="s">
        <v>5509</v>
      </c>
      <c r="G69" s="2">
        <v>46177.777252858796</v>
      </c>
      <c r="H69" s="1" t="s">
        <v>1211</v>
      </c>
      <c r="I69" s="2">
        <v>46177.777252777778</v>
      </c>
      <c r="J69" s="1" t="s">
        <v>1211</v>
      </c>
    </row>
    <row r="70" spans="1:10" x14ac:dyDescent="0.35">
      <c r="A70" s="1" t="s">
        <v>19</v>
      </c>
      <c r="B70" s="1" t="s">
        <v>1209</v>
      </c>
      <c r="C70" s="1" t="s">
        <v>1210</v>
      </c>
      <c r="D70" s="2">
        <v>46177</v>
      </c>
      <c r="E70">
        <v>4.0479497146357499E-2</v>
      </c>
      <c r="F70" s="1" t="s">
        <v>5510</v>
      </c>
      <c r="G70" s="2">
        <v>46177.777253009262</v>
      </c>
      <c r="H70" s="1" t="s">
        <v>1211</v>
      </c>
      <c r="I70" s="2">
        <v>46177.777252974534</v>
      </c>
      <c r="J70" s="1" t="s">
        <v>1211</v>
      </c>
    </row>
    <row r="71" spans="1:10" x14ac:dyDescent="0.35">
      <c r="A71" s="1" t="s">
        <v>116</v>
      </c>
      <c r="B71" s="1" t="s">
        <v>1209</v>
      </c>
      <c r="C71" s="1" t="s">
        <v>1210</v>
      </c>
      <c r="D71" s="2">
        <v>46177</v>
      </c>
      <c r="E71">
        <v>4.06353780864201E-2</v>
      </c>
      <c r="F71" s="1" t="s">
        <v>5511</v>
      </c>
      <c r="G71" s="2">
        <v>46177.777253159722</v>
      </c>
      <c r="H71" s="1" t="s">
        <v>1211</v>
      </c>
      <c r="I71" s="2">
        <v>46177.777253125001</v>
      </c>
      <c r="J71" s="1" t="s">
        <v>1211</v>
      </c>
    </row>
    <row r="72" spans="1:10" x14ac:dyDescent="0.35">
      <c r="A72" s="1" t="s">
        <v>75</v>
      </c>
      <c r="B72" s="1" t="s">
        <v>1209</v>
      </c>
      <c r="C72" s="1" t="s">
        <v>1210</v>
      </c>
      <c r="D72" s="2">
        <v>46177</v>
      </c>
      <c r="E72">
        <v>3.9695318145211503E-2</v>
      </c>
      <c r="F72" s="1" t="s">
        <v>5512</v>
      </c>
      <c r="G72" s="2">
        <v>46177.777253356478</v>
      </c>
      <c r="H72" s="1" t="s">
        <v>1211</v>
      </c>
      <c r="I72" s="2">
        <v>46177.777253321758</v>
      </c>
      <c r="J72" s="1" t="s">
        <v>1211</v>
      </c>
    </row>
    <row r="73" spans="1:10" x14ac:dyDescent="0.35">
      <c r="A73" s="1" t="s">
        <v>227</v>
      </c>
      <c r="B73" s="1" t="s">
        <v>1209</v>
      </c>
      <c r="C73" s="1" t="s">
        <v>1210</v>
      </c>
      <c r="D73" s="2">
        <v>46177</v>
      </c>
      <c r="E73">
        <v>4.1183471438095698E-2</v>
      </c>
      <c r="F73" s="1" t="s">
        <v>5513</v>
      </c>
      <c r="G73" s="2">
        <v>46177.777253506945</v>
      </c>
      <c r="H73" s="1" t="s">
        <v>1211</v>
      </c>
      <c r="I73" s="2">
        <v>46177.777253506945</v>
      </c>
      <c r="J73" s="1" t="s">
        <v>1211</v>
      </c>
    </row>
    <row r="74" spans="1:10" x14ac:dyDescent="0.35">
      <c r="A74" s="1" t="s">
        <v>152</v>
      </c>
      <c r="B74" s="1" t="s">
        <v>1209</v>
      </c>
      <c r="C74" s="1" t="s">
        <v>1210</v>
      </c>
      <c r="D74" s="2">
        <v>46177</v>
      </c>
      <c r="E74">
        <v>4.15199772181424E-2</v>
      </c>
      <c r="F74" s="1" t="s">
        <v>5514</v>
      </c>
      <c r="G74" s="2">
        <v>46177.777253668981</v>
      </c>
      <c r="H74" s="1" t="s">
        <v>1211</v>
      </c>
      <c r="I74" s="2">
        <v>46177.777253506945</v>
      </c>
      <c r="J74" s="1" t="s">
        <v>1211</v>
      </c>
    </row>
    <row r="75" spans="1:10" x14ac:dyDescent="0.35">
      <c r="A75" s="1" t="s">
        <v>21</v>
      </c>
      <c r="B75" s="1" t="s">
        <v>1209</v>
      </c>
      <c r="C75" s="1" t="s">
        <v>1210</v>
      </c>
      <c r="D75" s="2">
        <v>46177</v>
      </c>
      <c r="E75">
        <v>4.1569470483913101E-2</v>
      </c>
      <c r="F75" s="1" t="s">
        <v>5515</v>
      </c>
      <c r="G75" s="2">
        <v>46177.777253819448</v>
      </c>
      <c r="H75" s="1" t="s">
        <v>1211</v>
      </c>
      <c r="I75" s="2">
        <v>46177.777253668981</v>
      </c>
      <c r="J75" s="1" t="s">
        <v>1211</v>
      </c>
    </row>
    <row r="76" spans="1:10" x14ac:dyDescent="0.35">
      <c r="A76" s="1" t="s">
        <v>118</v>
      </c>
      <c r="B76" s="1" t="s">
        <v>1209</v>
      </c>
      <c r="C76" s="1" t="s">
        <v>1210</v>
      </c>
      <c r="D76" s="2">
        <v>46177</v>
      </c>
      <c r="E76">
        <v>4.3859612371623301E-2</v>
      </c>
      <c r="F76" s="1" t="s">
        <v>5516</v>
      </c>
      <c r="G76" s="2">
        <v>46177.777253969907</v>
      </c>
      <c r="H76" s="1" t="s">
        <v>1211</v>
      </c>
      <c r="I76" s="2">
        <v>46177.777253854169</v>
      </c>
      <c r="J76" s="1" t="s">
        <v>1211</v>
      </c>
    </row>
    <row r="77" spans="1:10" x14ac:dyDescent="0.35">
      <c r="A77" s="1" t="s">
        <v>154</v>
      </c>
      <c r="B77" s="1" t="s">
        <v>1209</v>
      </c>
      <c r="C77" s="1" t="s">
        <v>1210</v>
      </c>
      <c r="D77" s="2">
        <v>46177</v>
      </c>
      <c r="E77">
        <v>4.4794677638627697E-2</v>
      </c>
      <c r="F77" s="1" t="s">
        <v>5517</v>
      </c>
      <c r="G77" s="2">
        <v>46177.777254131943</v>
      </c>
      <c r="H77" s="1" t="s">
        <v>1211</v>
      </c>
      <c r="I77" s="2">
        <v>46177.777254016204</v>
      </c>
      <c r="J77" s="1" t="s">
        <v>1211</v>
      </c>
    </row>
    <row r="78" spans="1:10" x14ac:dyDescent="0.35">
      <c r="A78" s="1" t="s">
        <v>23</v>
      </c>
      <c r="B78" s="1" t="s">
        <v>1209</v>
      </c>
      <c r="C78" s="1" t="s">
        <v>1210</v>
      </c>
      <c r="D78" s="2">
        <v>46177</v>
      </c>
      <c r="E78">
        <v>4.4759132338607399E-2</v>
      </c>
      <c r="F78" s="1" t="s">
        <v>5518</v>
      </c>
      <c r="G78" s="2">
        <v>46177.77725428241</v>
      </c>
      <c r="H78" s="1" t="s">
        <v>1211</v>
      </c>
      <c r="I78" s="2">
        <v>46177.777254201392</v>
      </c>
      <c r="J78" s="1" t="s">
        <v>1211</v>
      </c>
    </row>
    <row r="79" spans="1:10" x14ac:dyDescent="0.35">
      <c r="A79" s="1" t="s">
        <v>120</v>
      </c>
      <c r="B79" s="1" t="s">
        <v>1209</v>
      </c>
      <c r="C79" s="1" t="s">
        <v>1210</v>
      </c>
      <c r="D79" s="2">
        <v>46177</v>
      </c>
      <c r="E79">
        <v>4.5339505205170001E-2</v>
      </c>
      <c r="F79" s="1" t="s">
        <v>5519</v>
      </c>
      <c r="G79" s="2">
        <v>46177.777254432869</v>
      </c>
      <c r="H79" s="1" t="s">
        <v>1211</v>
      </c>
      <c r="I79" s="2">
        <v>46177.777254398148</v>
      </c>
      <c r="J79" s="1" t="s">
        <v>1211</v>
      </c>
    </row>
    <row r="80" spans="1:10" x14ac:dyDescent="0.35">
      <c r="A80" s="1" t="s">
        <v>229</v>
      </c>
      <c r="B80" s="1" t="s">
        <v>1209</v>
      </c>
      <c r="C80" s="1" t="s">
        <v>1210</v>
      </c>
      <c r="D80" s="2">
        <v>46177</v>
      </c>
      <c r="E80">
        <v>4.5668750033624E-2</v>
      </c>
      <c r="F80" s="1" t="s">
        <v>5520</v>
      </c>
      <c r="G80" s="2">
        <v>46177.777254594905</v>
      </c>
      <c r="H80" s="1" t="s">
        <v>1211</v>
      </c>
      <c r="I80" s="2">
        <v>46177.777254594905</v>
      </c>
      <c r="J80" s="1" t="s">
        <v>1211</v>
      </c>
    </row>
    <row r="81" spans="1:10" x14ac:dyDescent="0.35">
      <c r="A81" s="1" t="s">
        <v>25</v>
      </c>
      <c r="B81" s="1" t="s">
        <v>1209</v>
      </c>
      <c r="C81" s="1" t="s">
        <v>1210</v>
      </c>
      <c r="D81" s="2">
        <v>46177</v>
      </c>
      <c r="E81">
        <v>4.6464257938939102E-2</v>
      </c>
      <c r="F81" s="1" t="s">
        <v>5521</v>
      </c>
      <c r="G81" s="2">
        <v>46177.777254745371</v>
      </c>
      <c r="H81" s="1" t="s">
        <v>1211</v>
      </c>
      <c r="I81" s="2">
        <v>46177.777254745371</v>
      </c>
      <c r="J81" s="1" t="s">
        <v>1211</v>
      </c>
    </row>
    <row r="82" spans="1:10" x14ac:dyDescent="0.35">
      <c r="A82" s="1" t="s">
        <v>122</v>
      </c>
      <c r="B82" s="1" t="s">
        <v>1209</v>
      </c>
      <c r="C82" s="1" t="s">
        <v>1210</v>
      </c>
      <c r="D82" s="2">
        <v>46177</v>
      </c>
      <c r="E82">
        <v>4.7145057391895701E-2</v>
      </c>
      <c r="F82" s="1" t="s">
        <v>5522</v>
      </c>
      <c r="G82" s="2">
        <v>46177.777254895831</v>
      </c>
      <c r="H82" s="1" t="s">
        <v>1211</v>
      </c>
      <c r="I82" s="2">
        <v>46177.777254745371</v>
      </c>
      <c r="J82" s="1" t="s">
        <v>1211</v>
      </c>
    </row>
    <row r="83" spans="1:10" x14ac:dyDescent="0.35">
      <c r="A83" s="1" t="s">
        <v>124</v>
      </c>
      <c r="B83" s="1" t="s">
        <v>1209</v>
      </c>
      <c r="C83" s="1" t="s">
        <v>1210</v>
      </c>
      <c r="D83" s="2">
        <v>46177</v>
      </c>
      <c r="E83">
        <v>4.7624726394740802E-2</v>
      </c>
      <c r="F83" s="1" t="s">
        <v>5523</v>
      </c>
      <c r="G83" s="2">
        <v>46177.777255057874</v>
      </c>
      <c r="H83" s="1" t="s">
        <v>1211</v>
      </c>
      <c r="I83" s="2">
        <v>46177.777254942128</v>
      </c>
      <c r="J83" s="1" t="s">
        <v>1211</v>
      </c>
    </row>
    <row r="84" spans="1:10" x14ac:dyDescent="0.35">
      <c r="A84" s="1" t="s">
        <v>77</v>
      </c>
      <c r="B84" s="1" t="s">
        <v>1209</v>
      </c>
      <c r="C84" s="1" t="s">
        <v>1210</v>
      </c>
      <c r="D84" s="2">
        <v>46177</v>
      </c>
      <c r="E84">
        <v>4.7940012128796401E-2</v>
      </c>
      <c r="F84" s="1" t="s">
        <v>5524</v>
      </c>
      <c r="G84" s="2">
        <v>46177.777255208333</v>
      </c>
      <c r="H84" s="1" t="s">
        <v>1211</v>
      </c>
      <c r="I84" s="2">
        <v>46177.777255127316</v>
      </c>
      <c r="J84" s="1" t="s">
        <v>1211</v>
      </c>
    </row>
    <row r="85" spans="1:10" x14ac:dyDescent="0.35">
      <c r="A85" s="1" t="s">
        <v>79</v>
      </c>
      <c r="B85" s="1" t="s">
        <v>1209</v>
      </c>
      <c r="C85" s="1" t="s">
        <v>1210</v>
      </c>
      <c r="D85" s="2">
        <v>46177</v>
      </c>
      <c r="E85">
        <v>4.8124336668002497E-2</v>
      </c>
      <c r="F85" s="1" t="s">
        <v>5525</v>
      </c>
      <c r="G85" s="2">
        <v>46177.77725540509</v>
      </c>
      <c r="H85" s="1" t="s">
        <v>1211</v>
      </c>
      <c r="I85" s="2">
        <v>46177.777255289351</v>
      </c>
      <c r="J85" s="1" t="s">
        <v>1211</v>
      </c>
    </row>
    <row r="86" spans="1:10" x14ac:dyDescent="0.35">
      <c r="A86" s="1" t="s">
        <v>249</v>
      </c>
      <c r="B86" s="1" t="s">
        <v>1209</v>
      </c>
      <c r="C86" s="1" t="s">
        <v>1210</v>
      </c>
      <c r="D86" s="2">
        <v>46177</v>
      </c>
      <c r="E86">
        <v>4.8319793086949302E-2</v>
      </c>
      <c r="F86" s="1" t="s">
        <v>5526</v>
      </c>
      <c r="G86" s="2">
        <v>46177.777255555557</v>
      </c>
      <c r="H86" s="1" t="s">
        <v>1211</v>
      </c>
      <c r="I86" s="2">
        <v>46177.777255474539</v>
      </c>
      <c r="J86" s="1" t="s">
        <v>1211</v>
      </c>
    </row>
    <row r="87" spans="1:10" x14ac:dyDescent="0.35">
      <c r="A87" s="1" t="s">
        <v>81</v>
      </c>
      <c r="B87" s="1" t="s">
        <v>1209</v>
      </c>
      <c r="C87" s="1" t="s">
        <v>1210</v>
      </c>
      <c r="D87" s="2">
        <v>46177</v>
      </c>
      <c r="E87">
        <v>4.8575015137788002E-2</v>
      </c>
      <c r="F87" s="1" t="s">
        <v>5527</v>
      </c>
      <c r="G87" s="2">
        <v>46177.777255671295</v>
      </c>
      <c r="H87" s="1" t="s">
        <v>1211</v>
      </c>
      <c r="I87" s="2">
        <v>46177.777255671295</v>
      </c>
      <c r="J87" s="1" t="s">
        <v>1211</v>
      </c>
    </row>
    <row r="88" spans="1:10" x14ac:dyDescent="0.35">
      <c r="A88" s="1" t="s">
        <v>251</v>
      </c>
      <c r="B88" s="1" t="s">
        <v>1209</v>
      </c>
      <c r="C88" s="1" t="s">
        <v>1210</v>
      </c>
      <c r="D88" s="2">
        <v>46177</v>
      </c>
      <c r="E88">
        <v>4.8765034877809997E-2</v>
      </c>
      <c r="F88" s="1" t="s">
        <v>5528</v>
      </c>
      <c r="G88" s="2">
        <v>46177.777255821762</v>
      </c>
      <c r="H88" s="1" t="s">
        <v>1211</v>
      </c>
      <c r="I88" s="2">
        <v>46177.777255868059</v>
      </c>
      <c r="J88" s="1" t="s">
        <v>1211</v>
      </c>
    </row>
    <row r="89" spans="1:10" x14ac:dyDescent="0.35">
      <c r="A89" s="1" t="s">
        <v>761</v>
      </c>
      <c r="B89" s="1" t="s">
        <v>1209</v>
      </c>
      <c r="C89" s="1" t="s">
        <v>1210</v>
      </c>
      <c r="D89" s="2">
        <v>46177</v>
      </c>
      <c r="E89">
        <v>4.8869679016187703E-2</v>
      </c>
      <c r="F89" s="1" t="s">
        <v>5529</v>
      </c>
      <c r="G89" s="2">
        <v>46177.777255983798</v>
      </c>
      <c r="H89" s="1" t="s">
        <v>1211</v>
      </c>
      <c r="I89" s="2">
        <v>46177.777255868059</v>
      </c>
      <c r="J89" s="1" t="s">
        <v>1211</v>
      </c>
    </row>
    <row r="90" spans="1:10" x14ac:dyDescent="0.35">
      <c r="A90" s="1" t="s">
        <v>231</v>
      </c>
      <c r="B90" s="1" t="s">
        <v>1209</v>
      </c>
      <c r="C90" s="1" t="s">
        <v>1210</v>
      </c>
      <c r="D90" s="2">
        <v>46177</v>
      </c>
      <c r="E90">
        <v>4.9090054133151102E-2</v>
      </c>
      <c r="F90" s="1" t="s">
        <v>5530</v>
      </c>
      <c r="G90" s="2">
        <v>46177.777256134257</v>
      </c>
      <c r="H90" s="1" t="s">
        <v>1211</v>
      </c>
      <c r="I90" s="2">
        <v>46177.777256018519</v>
      </c>
      <c r="J90" s="1" t="s">
        <v>1211</v>
      </c>
    </row>
    <row r="91" spans="1:10" x14ac:dyDescent="0.35">
      <c r="A91" s="1" t="s">
        <v>27</v>
      </c>
      <c r="B91" s="1" t="s">
        <v>1209</v>
      </c>
      <c r="C91" s="1" t="s">
        <v>1210</v>
      </c>
      <c r="D91" s="2">
        <v>46177</v>
      </c>
      <c r="E91">
        <v>4.9249625943477801E-2</v>
      </c>
      <c r="F91" s="1" t="s">
        <v>5531</v>
      </c>
      <c r="G91" s="2">
        <v>46177.777256331021</v>
      </c>
      <c r="H91" s="1" t="s">
        <v>1211</v>
      </c>
      <c r="I91" s="2">
        <v>46177.777256215275</v>
      </c>
      <c r="J91" s="1" t="s">
        <v>1211</v>
      </c>
    </row>
    <row r="92" spans="1:10" x14ac:dyDescent="0.35">
      <c r="A92" s="1" t="s">
        <v>29</v>
      </c>
      <c r="B92" s="1" t="s">
        <v>1209</v>
      </c>
      <c r="C92" s="1" t="s">
        <v>1210</v>
      </c>
      <c r="D92" s="2">
        <v>46177</v>
      </c>
      <c r="E92">
        <v>4.9560009734436E-2</v>
      </c>
      <c r="F92" s="1" t="s">
        <v>5532</v>
      </c>
      <c r="G92" s="2">
        <v>46177.77725648148</v>
      </c>
      <c r="H92" s="1" t="s">
        <v>1211</v>
      </c>
      <c r="I92" s="2">
        <v>46177.777256400463</v>
      </c>
      <c r="J92" s="1" t="s">
        <v>1211</v>
      </c>
    </row>
    <row r="93" spans="1:10" x14ac:dyDescent="0.35">
      <c r="A93" s="1" t="s">
        <v>31</v>
      </c>
      <c r="B93" s="1" t="s">
        <v>1209</v>
      </c>
      <c r="C93" s="1" t="s">
        <v>1210</v>
      </c>
      <c r="D93" s="2">
        <v>46177</v>
      </c>
      <c r="E93">
        <v>4.9769542246430598E-2</v>
      </c>
      <c r="F93" s="1" t="s">
        <v>5533</v>
      </c>
      <c r="G93" s="2">
        <v>46177.777256597219</v>
      </c>
      <c r="H93" s="1" t="s">
        <v>1211</v>
      </c>
      <c r="I93" s="2">
        <v>46177.777256562498</v>
      </c>
      <c r="J93" s="1" t="s">
        <v>1211</v>
      </c>
    </row>
    <row r="94" spans="1:10" x14ac:dyDescent="0.35">
      <c r="A94" s="1" t="s">
        <v>83</v>
      </c>
      <c r="B94" s="1" t="s">
        <v>1209</v>
      </c>
      <c r="C94" s="1" t="s">
        <v>1210</v>
      </c>
      <c r="D94" s="2">
        <v>46177</v>
      </c>
      <c r="E94">
        <v>4.9904869453773502E-2</v>
      </c>
      <c r="F94" s="1" t="s">
        <v>5534</v>
      </c>
      <c r="G94" s="2">
        <v>46177.777256747686</v>
      </c>
      <c r="H94" s="1" t="s">
        <v>1211</v>
      </c>
      <c r="I94" s="2">
        <v>46177.777256747686</v>
      </c>
      <c r="J94" s="1" t="s">
        <v>1211</v>
      </c>
    </row>
    <row r="95" spans="1:10" x14ac:dyDescent="0.35">
      <c r="A95" s="1" t="s">
        <v>253</v>
      </c>
      <c r="B95" s="1" t="s">
        <v>1209</v>
      </c>
      <c r="C95" s="1" t="s">
        <v>1210</v>
      </c>
      <c r="D95" s="2">
        <v>46177</v>
      </c>
      <c r="E95">
        <v>5.0094640863043501E-2</v>
      </c>
      <c r="F95" s="1" t="s">
        <v>5535</v>
      </c>
      <c r="G95" s="2">
        <v>46177.777256979163</v>
      </c>
      <c r="H95" s="1" t="s">
        <v>1211</v>
      </c>
      <c r="I95" s="2">
        <v>46177.777256909721</v>
      </c>
      <c r="J95" s="1" t="s">
        <v>1211</v>
      </c>
    </row>
    <row r="96" spans="1:10" x14ac:dyDescent="0.35">
      <c r="A96" s="1" t="s">
        <v>85</v>
      </c>
      <c r="B96" s="1" t="s">
        <v>1209</v>
      </c>
      <c r="C96" s="1" t="s">
        <v>1210</v>
      </c>
      <c r="D96" s="2">
        <v>46177</v>
      </c>
      <c r="E96">
        <v>5.0300153908624599E-2</v>
      </c>
      <c r="F96" s="1" t="s">
        <v>5536</v>
      </c>
      <c r="G96" s="2">
        <v>46177.777257141206</v>
      </c>
      <c r="H96" s="1" t="s">
        <v>1211</v>
      </c>
      <c r="I96" s="2">
        <v>46177.777257141206</v>
      </c>
      <c r="J96" s="1" t="s">
        <v>1211</v>
      </c>
    </row>
    <row r="97" spans="1:10" x14ac:dyDescent="0.35">
      <c r="A97" s="1" t="s">
        <v>156</v>
      </c>
      <c r="B97" s="1" t="s">
        <v>1209</v>
      </c>
      <c r="C97" s="1" t="s">
        <v>1210</v>
      </c>
      <c r="D97" s="2">
        <v>46177</v>
      </c>
      <c r="E97">
        <v>5.0465379531185101E-2</v>
      </c>
      <c r="F97" s="1" t="s">
        <v>5537</v>
      </c>
      <c r="G97" s="2">
        <v>46177.777257291666</v>
      </c>
      <c r="H97" s="1" t="s">
        <v>1211</v>
      </c>
      <c r="I97" s="2">
        <v>46177.777257141206</v>
      </c>
      <c r="J97" s="1" t="s">
        <v>1211</v>
      </c>
    </row>
    <row r="98" spans="1:10" x14ac:dyDescent="0.35">
      <c r="A98" s="1" t="s">
        <v>158</v>
      </c>
      <c r="B98" s="1" t="s">
        <v>1209</v>
      </c>
      <c r="C98" s="1" t="s">
        <v>1210</v>
      </c>
      <c r="D98" s="2">
        <v>46177</v>
      </c>
      <c r="E98">
        <v>5.0580311965788799E-2</v>
      </c>
      <c r="F98" s="1" t="s">
        <v>5538</v>
      </c>
      <c r="G98" s="2">
        <v>46177.777257407404</v>
      </c>
      <c r="H98" s="1" t="s">
        <v>1211</v>
      </c>
      <c r="I98" s="2">
        <v>46177.777257326386</v>
      </c>
      <c r="J98" s="1" t="s">
        <v>1211</v>
      </c>
    </row>
    <row r="99" spans="1:10" x14ac:dyDescent="0.35">
      <c r="A99" s="1" t="s">
        <v>87</v>
      </c>
      <c r="B99" s="1" t="s">
        <v>1209</v>
      </c>
      <c r="C99" s="1" t="s">
        <v>1210</v>
      </c>
      <c r="D99" s="2">
        <v>46177</v>
      </c>
      <c r="E99">
        <v>5.06998637488787E-2</v>
      </c>
      <c r="F99" s="1" t="s">
        <v>5539</v>
      </c>
      <c r="G99" s="2">
        <v>46177.777257604168</v>
      </c>
      <c r="H99" s="1" t="s">
        <v>1211</v>
      </c>
      <c r="I99" s="2">
        <v>46177.77725752315</v>
      </c>
      <c r="J99" s="1" t="s">
        <v>1211</v>
      </c>
    </row>
    <row r="100" spans="1:10" x14ac:dyDescent="0.35">
      <c r="A100" s="1" t="s">
        <v>160</v>
      </c>
      <c r="B100" s="1" t="s">
        <v>1209</v>
      </c>
      <c r="C100" s="1" t="s">
        <v>1210</v>
      </c>
      <c r="D100" s="2">
        <v>46177</v>
      </c>
      <c r="E100">
        <v>5.08349277472517E-2</v>
      </c>
      <c r="F100" s="1" t="s">
        <v>5540</v>
      </c>
      <c r="G100" s="2">
        <v>46177.777257719907</v>
      </c>
      <c r="H100" s="1" t="s">
        <v>1211</v>
      </c>
      <c r="I100" s="2">
        <v>46177.777257719907</v>
      </c>
      <c r="J100" s="1" t="s">
        <v>1211</v>
      </c>
    </row>
    <row r="101" spans="1:10" x14ac:dyDescent="0.35">
      <c r="A101" s="1" t="s">
        <v>162</v>
      </c>
      <c r="B101" s="1" t="s">
        <v>1209</v>
      </c>
      <c r="C101" s="1" t="s">
        <v>1210</v>
      </c>
      <c r="D101" s="2">
        <v>46177</v>
      </c>
      <c r="E101">
        <v>5.0949933040801303E-2</v>
      </c>
      <c r="F101" s="1" t="s">
        <v>5541</v>
      </c>
      <c r="G101" s="2">
        <v>46177.777257870373</v>
      </c>
      <c r="H101" s="1" t="s">
        <v>1211</v>
      </c>
      <c r="I101" s="2">
        <v>46177.777257870373</v>
      </c>
      <c r="J101" s="1" t="s">
        <v>1211</v>
      </c>
    </row>
    <row r="102" spans="1:10" x14ac:dyDescent="0.35">
      <c r="A102" s="1" t="s">
        <v>233</v>
      </c>
      <c r="B102" s="1" t="s">
        <v>1209</v>
      </c>
      <c r="C102" s="1" t="s">
        <v>1210</v>
      </c>
      <c r="D102" s="2">
        <v>46177</v>
      </c>
      <c r="E102">
        <v>5.1005190808590402E-2</v>
      </c>
      <c r="F102" s="1" t="s">
        <v>5542</v>
      </c>
      <c r="G102" s="2">
        <v>46177.777258020833</v>
      </c>
      <c r="H102" s="1" t="s">
        <v>1211</v>
      </c>
      <c r="I102" s="2">
        <v>46177.777257870373</v>
      </c>
      <c r="J102" s="1" t="s">
        <v>1211</v>
      </c>
    </row>
    <row r="103" spans="1:10" x14ac:dyDescent="0.35">
      <c r="A103" s="1" t="s">
        <v>235</v>
      </c>
      <c r="B103" s="1" t="s">
        <v>1209</v>
      </c>
      <c r="C103" s="1" t="s">
        <v>1210</v>
      </c>
      <c r="D103" s="2">
        <v>46177</v>
      </c>
      <c r="E103">
        <v>5.1109883441757403E-2</v>
      </c>
      <c r="F103" s="1" t="s">
        <v>5543</v>
      </c>
      <c r="G103" s="2">
        <v>46177.777258182869</v>
      </c>
      <c r="H103" s="1" t="s">
        <v>1211</v>
      </c>
      <c r="I103" s="2">
        <v>46177.77725806713</v>
      </c>
      <c r="J103" s="1" t="s">
        <v>1211</v>
      </c>
    </row>
    <row r="104" spans="1:10" x14ac:dyDescent="0.35">
      <c r="A104" s="1" t="s">
        <v>126</v>
      </c>
      <c r="B104" s="1" t="s">
        <v>1209</v>
      </c>
      <c r="C104" s="1" t="s">
        <v>1210</v>
      </c>
      <c r="D104" s="2">
        <v>46177</v>
      </c>
      <c r="E104">
        <v>5.1200044984033702E-2</v>
      </c>
      <c r="F104" s="1" t="s">
        <v>5544</v>
      </c>
      <c r="G104" s="2">
        <v>46177.777258333335</v>
      </c>
      <c r="H104" s="1" t="s">
        <v>1211</v>
      </c>
      <c r="I104" s="2">
        <v>46177.777258252318</v>
      </c>
      <c r="J104" s="1" t="s">
        <v>1211</v>
      </c>
    </row>
    <row r="105" spans="1:10" x14ac:dyDescent="0.35">
      <c r="A105" s="1" t="s">
        <v>33</v>
      </c>
      <c r="B105" s="1" t="s">
        <v>1209</v>
      </c>
      <c r="C105" s="1" t="s">
        <v>1210</v>
      </c>
      <c r="D105" s="2">
        <v>46177</v>
      </c>
      <c r="E105">
        <v>5.1225022950389297E-2</v>
      </c>
      <c r="F105" s="1" t="s">
        <v>5545</v>
      </c>
      <c r="G105" s="2">
        <v>46177.777258449074</v>
      </c>
      <c r="H105" s="1" t="s">
        <v>1211</v>
      </c>
      <c r="I105" s="2">
        <v>46177.777258414353</v>
      </c>
      <c r="J105" s="1" t="s">
        <v>1211</v>
      </c>
    </row>
    <row r="106" spans="1:10" x14ac:dyDescent="0.35">
      <c r="A106" s="1" t="s">
        <v>164</v>
      </c>
      <c r="B106" s="1" t="s">
        <v>1209</v>
      </c>
      <c r="C106" s="1" t="s">
        <v>1210</v>
      </c>
      <c r="D106" s="2">
        <v>46177</v>
      </c>
      <c r="E106">
        <v>5.1289715372695298E-2</v>
      </c>
      <c r="F106" s="1" t="s">
        <v>5546</v>
      </c>
      <c r="G106" s="2">
        <v>46177.77725864583</v>
      </c>
      <c r="H106" s="1" t="s">
        <v>1211</v>
      </c>
      <c r="I106" s="2">
        <v>46177.777258599534</v>
      </c>
      <c r="J106" s="1" t="s">
        <v>1211</v>
      </c>
    </row>
    <row r="107" spans="1:10" x14ac:dyDescent="0.35">
      <c r="A107" s="1" t="s">
        <v>166</v>
      </c>
      <c r="B107" s="1" t="s">
        <v>1209</v>
      </c>
      <c r="C107" s="1" t="s">
        <v>1210</v>
      </c>
      <c r="D107" s="2">
        <v>46177</v>
      </c>
      <c r="E107">
        <v>5.1334699795088097E-2</v>
      </c>
      <c r="F107" s="1" t="s">
        <v>5547</v>
      </c>
      <c r="G107" s="2">
        <v>46177.777258796297</v>
      </c>
      <c r="H107" s="1" t="s">
        <v>1211</v>
      </c>
      <c r="I107" s="2">
        <v>46177.777258796297</v>
      </c>
      <c r="J107" s="1" t="s">
        <v>1211</v>
      </c>
    </row>
    <row r="108" spans="1:10" x14ac:dyDescent="0.35">
      <c r="A108" s="1" t="s">
        <v>35</v>
      </c>
      <c r="B108" s="1" t="s">
        <v>1209</v>
      </c>
      <c r="C108" s="1" t="s">
        <v>1210</v>
      </c>
      <c r="D108" s="2">
        <v>46177</v>
      </c>
      <c r="E108">
        <v>5.1404909298944299E-2</v>
      </c>
      <c r="F108" s="1" t="s">
        <v>5548</v>
      </c>
      <c r="G108" s="2">
        <v>46177.777258946757</v>
      </c>
      <c r="H108" s="1" t="s">
        <v>1211</v>
      </c>
      <c r="I108" s="2">
        <v>46177.777258796297</v>
      </c>
      <c r="J108" s="1" t="s">
        <v>1211</v>
      </c>
    </row>
    <row r="109" spans="1:10" x14ac:dyDescent="0.35">
      <c r="A109" s="1" t="s">
        <v>128</v>
      </c>
      <c r="B109" s="1" t="s">
        <v>1209</v>
      </c>
      <c r="C109" s="1" t="s">
        <v>1210</v>
      </c>
      <c r="D109" s="2">
        <v>46177</v>
      </c>
      <c r="E109">
        <v>5.1414741950542901E-2</v>
      </c>
      <c r="F109" s="1" t="s">
        <v>5549</v>
      </c>
      <c r="G109" s="2">
        <v>46177.7772591088</v>
      </c>
      <c r="H109" s="1" t="s">
        <v>1211</v>
      </c>
      <c r="I109" s="2">
        <v>46177.777258993054</v>
      </c>
      <c r="J109" s="1" t="s">
        <v>1211</v>
      </c>
    </row>
    <row r="110" spans="1:10" x14ac:dyDescent="0.35">
      <c r="A110" s="1" t="s">
        <v>37</v>
      </c>
      <c r="B110" s="1" t="s">
        <v>1209</v>
      </c>
      <c r="C110" s="1" t="s">
        <v>1210</v>
      </c>
      <c r="D110" s="2">
        <v>46177</v>
      </c>
      <c r="E110">
        <v>5.1460160931867303E-2</v>
      </c>
      <c r="F110" s="1" t="s">
        <v>5550</v>
      </c>
      <c r="G110" s="2">
        <v>46177.77725929398</v>
      </c>
      <c r="H110" s="1" t="s">
        <v>1211</v>
      </c>
      <c r="I110" s="2">
        <v>46177.77725914352</v>
      </c>
      <c r="J110" s="1" t="s">
        <v>1211</v>
      </c>
    </row>
    <row r="111" spans="1:10" x14ac:dyDescent="0.35">
      <c r="A111" s="1" t="s">
        <v>130</v>
      </c>
      <c r="B111" s="1" t="s">
        <v>1209</v>
      </c>
      <c r="C111" s="1" t="s">
        <v>1210</v>
      </c>
      <c r="D111" s="2">
        <v>46177</v>
      </c>
      <c r="E111">
        <v>5.1489767011859103E-2</v>
      </c>
      <c r="F111" s="1" t="s">
        <v>5551</v>
      </c>
      <c r="G111" s="2">
        <v>46177.777259490744</v>
      </c>
      <c r="H111" s="1" t="s">
        <v>1211</v>
      </c>
      <c r="I111" s="2">
        <v>46177.777259340277</v>
      </c>
      <c r="J111" s="1" t="s">
        <v>1211</v>
      </c>
    </row>
    <row r="112" spans="1:10" x14ac:dyDescent="0.35">
      <c r="A112" s="1" t="s">
        <v>168</v>
      </c>
      <c r="B112" s="1" t="s">
        <v>1209</v>
      </c>
      <c r="C112" s="1" t="s">
        <v>1210</v>
      </c>
      <c r="D112" s="2">
        <v>46177</v>
      </c>
      <c r="E112">
        <v>5.1520143369201701E-2</v>
      </c>
      <c r="F112" s="1" t="s">
        <v>5552</v>
      </c>
      <c r="G112" s="2">
        <v>46177.777259722221</v>
      </c>
      <c r="H112" s="1" t="s">
        <v>1211</v>
      </c>
      <c r="I112" s="2">
        <v>46177.7772596875</v>
      </c>
      <c r="J112" s="1" t="s">
        <v>1211</v>
      </c>
    </row>
    <row r="113" spans="1:10" x14ac:dyDescent="0.35">
      <c r="A113" s="1" t="s">
        <v>170</v>
      </c>
      <c r="B113" s="1" t="s">
        <v>1209</v>
      </c>
      <c r="C113" s="1" t="s">
        <v>1210</v>
      </c>
      <c r="D113" s="2">
        <v>46177</v>
      </c>
      <c r="E113">
        <v>5.1554429079402303E-2</v>
      </c>
      <c r="F113" s="1" t="s">
        <v>5553</v>
      </c>
      <c r="G113" s="2">
        <v>46177.77725983796</v>
      </c>
      <c r="H113" s="1" t="s">
        <v>1211</v>
      </c>
      <c r="I113" s="2">
        <v>46177.777259872688</v>
      </c>
      <c r="J113" s="1" t="s">
        <v>1211</v>
      </c>
    </row>
    <row r="114" spans="1:10" x14ac:dyDescent="0.35">
      <c r="A114" s="1" t="s">
        <v>89</v>
      </c>
      <c r="B114" s="1" t="s">
        <v>1209</v>
      </c>
      <c r="C114" s="1" t="s">
        <v>1210</v>
      </c>
      <c r="D114" s="2">
        <v>46177</v>
      </c>
      <c r="E114">
        <v>5.1569575174215801E-2</v>
      </c>
      <c r="F114" s="1" t="s">
        <v>5554</v>
      </c>
      <c r="G114" s="2">
        <v>46177.777260069444</v>
      </c>
      <c r="H114" s="1" t="s">
        <v>1211</v>
      </c>
      <c r="I114" s="2">
        <v>46177.777260150462</v>
      </c>
      <c r="J114" s="1" t="s">
        <v>1211</v>
      </c>
    </row>
    <row r="115" spans="1:10" x14ac:dyDescent="0.35">
      <c r="A115" s="1" t="s">
        <v>132</v>
      </c>
      <c r="B115" s="1" t="s">
        <v>1209</v>
      </c>
      <c r="C115" s="1" t="s">
        <v>1210</v>
      </c>
      <c r="D115" s="2">
        <v>46177</v>
      </c>
      <c r="E115">
        <v>5.1639433095248398E-2</v>
      </c>
      <c r="F115" s="1" t="s">
        <v>5555</v>
      </c>
      <c r="G115" s="2">
        <v>46177.777260300929</v>
      </c>
      <c r="H115" s="1" t="s">
        <v>1211</v>
      </c>
      <c r="I115" s="2">
        <v>46177.777260219904</v>
      </c>
      <c r="J115" s="1" t="s">
        <v>1211</v>
      </c>
    </row>
    <row r="116" spans="1:10" x14ac:dyDescent="0.35">
      <c r="A116" s="1" t="s">
        <v>273</v>
      </c>
      <c r="B116" s="1" t="s">
        <v>1209</v>
      </c>
      <c r="C116" s="1" t="s">
        <v>1210</v>
      </c>
      <c r="D116" s="2">
        <v>46177</v>
      </c>
      <c r="E116">
        <v>5.1620375672046602E-2</v>
      </c>
      <c r="F116" s="1" t="s">
        <v>5556</v>
      </c>
      <c r="G116" s="2">
        <v>46177.777260497685</v>
      </c>
      <c r="H116" s="1" t="s">
        <v>1211</v>
      </c>
      <c r="I116" s="2">
        <v>46177.777260567127</v>
      </c>
      <c r="J116" s="1" t="s">
        <v>1211</v>
      </c>
    </row>
    <row r="117" spans="1:10" x14ac:dyDescent="0.35">
      <c r="A117" s="1" t="s">
        <v>172</v>
      </c>
      <c r="B117" s="1" t="s">
        <v>1209</v>
      </c>
      <c r="C117" s="1" t="s">
        <v>1210</v>
      </c>
      <c r="D117" s="2">
        <v>46177</v>
      </c>
      <c r="E117">
        <v>5.1649883271668098E-2</v>
      </c>
      <c r="F117" s="1" t="s">
        <v>5557</v>
      </c>
      <c r="G117" s="2">
        <v>46177.77726072917</v>
      </c>
      <c r="H117" s="1" t="s">
        <v>1211</v>
      </c>
      <c r="I117" s="2">
        <v>46177.777260763891</v>
      </c>
      <c r="J117" s="1" t="s">
        <v>1211</v>
      </c>
    </row>
    <row r="118" spans="1:10" x14ac:dyDescent="0.35">
      <c r="A118" s="1" t="s">
        <v>237</v>
      </c>
      <c r="B118" s="1" t="s">
        <v>1209</v>
      </c>
      <c r="C118" s="1" t="s">
        <v>1210</v>
      </c>
      <c r="D118" s="2">
        <v>46177</v>
      </c>
      <c r="E118">
        <v>5.16446410976414E-2</v>
      </c>
      <c r="F118" s="1" t="s">
        <v>5558</v>
      </c>
      <c r="G118" s="2">
        <v>46177.777260960647</v>
      </c>
      <c r="H118" s="1" t="s">
        <v>1211</v>
      </c>
      <c r="I118" s="2">
        <v>46177.777260960647</v>
      </c>
      <c r="J118" s="1" t="s">
        <v>1211</v>
      </c>
    </row>
    <row r="119" spans="1:10" x14ac:dyDescent="0.35">
      <c r="A119" s="1" t="s">
        <v>763</v>
      </c>
      <c r="B119" s="1" t="s">
        <v>1209</v>
      </c>
      <c r="C119" s="1" t="s">
        <v>1210</v>
      </c>
      <c r="D119" s="2">
        <v>46177</v>
      </c>
      <c r="E119">
        <v>5.16797516565227E-2</v>
      </c>
      <c r="F119" s="1" t="s">
        <v>5559</v>
      </c>
      <c r="G119" s="2">
        <v>46177.777261145835</v>
      </c>
      <c r="H119" s="1" t="s">
        <v>1211</v>
      </c>
      <c r="I119" s="2">
        <v>46177.777261111114</v>
      </c>
      <c r="J119" s="1" t="s">
        <v>1211</v>
      </c>
    </row>
    <row r="120" spans="1:10" x14ac:dyDescent="0.35">
      <c r="A120" s="1" t="s">
        <v>39</v>
      </c>
      <c r="B120" s="1" t="s">
        <v>1209</v>
      </c>
      <c r="C120" s="1" t="s">
        <v>1210</v>
      </c>
      <c r="D120" s="2">
        <v>46177</v>
      </c>
      <c r="E120">
        <v>5.1655025770455602E-2</v>
      </c>
      <c r="F120" s="1" t="s">
        <v>5560</v>
      </c>
      <c r="G120" s="2">
        <v>46177.777261377312</v>
      </c>
      <c r="H120" s="1" t="s">
        <v>1211</v>
      </c>
      <c r="I120" s="2">
        <v>46177.777261307871</v>
      </c>
      <c r="J120" s="1" t="s">
        <v>1211</v>
      </c>
    </row>
    <row r="121" spans="1:10" x14ac:dyDescent="0.35">
      <c r="A121" s="1" t="s">
        <v>41</v>
      </c>
      <c r="B121" s="1" t="s">
        <v>1209</v>
      </c>
      <c r="C121" s="1" t="s">
        <v>1210</v>
      </c>
      <c r="D121" s="2">
        <v>46177</v>
      </c>
      <c r="E121">
        <v>5.1664443835029598E-2</v>
      </c>
      <c r="F121" s="1" t="s">
        <v>5561</v>
      </c>
      <c r="G121" s="2">
        <v>46177.777261574076</v>
      </c>
      <c r="H121" s="1" t="s">
        <v>1211</v>
      </c>
      <c r="I121" s="2">
        <v>46177.777261493058</v>
      </c>
      <c r="J121" s="1" t="s">
        <v>1211</v>
      </c>
    </row>
    <row r="122" spans="1:10" x14ac:dyDescent="0.35">
      <c r="A122" s="1" t="s">
        <v>43</v>
      </c>
      <c r="B122" s="1" t="s">
        <v>1209</v>
      </c>
      <c r="C122" s="1" t="s">
        <v>1210</v>
      </c>
      <c r="D122" s="2">
        <v>46177</v>
      </c>
      <c r="E122">
        <v>5.16845088479179E-2</v>
      </c>
      <c r="F122" s="1" t="s">
        <v>5562</v>
      </c>
      <c r="G122" s="2">
        <v>46177.777261805553</v>
      </c>
      <c r="H122" s="1" t="s">
        <v>1211</v>
      </c>
      <c r="I122" s="2">
        <v>46177.777261840274</v>
      </c>
      <c r="J122" s="1" t="s">
        <v>1211</v>
      </c>
    </row>
    <row r="123" spans="1:10" x14ac:dyDescent="0.35">
      <c r="A123" s="1" t="s">
        <v>174</v>
      </c>
      <c r="B123" s="1" t="s">
        <v>1209</v>
      </c>
      <c r="C123" s="1" t="s">
        <v>1210</v>
      </c>
      <c r="D123" s="2">
        <v>46177</v>
      </c>
      <c r="E123">
        <v>5.1669880368549602E-2</v>
      </c>
      <c r="F123" s="1" t="s">
        <v>5563</v>
      </c>
      <c r="G123" s="2">
        <v>46177.777262037038</v>
      </c>
      <c r="H123" s="1" t="s">
        <v>1211</v>
      </c>
      <c r="I123" s="2">
        <v>46177.777262037038</v>
      </c>
      <c r="J123" s="1" t="s">
        <v>1211</v>
      </c>
    </row>
    <row r="124" spans="1:10" x14ac:dyDescent="0.35">
      <c r="A124" s="1" t="s">
        <v>45</v>
      </c>
      <c r="B124" s="1" t="s">
        <v>1209</v>
      </c>
      <c r="C124" s="1" t="s">
        <v>1210</v>
      </c>
      <c r="D124" s="2">
        <v>46177</v>
      </c>
      <c r="E124">
        <v>5.1700025569666297E-2</v>
      </c>
      <c r="F124" s="1" t="s">
        <v>5564</v>
      </c>
      <c r="G124" s="2">
        <v>46177.777262268515</v>
      </c>
      <c r="H124" s="1" t="s">
        <v>1211</v>
      </c>
      <c r="I124" s="2">
        <v>46177.777262233794</v>
      </c>
      <c r="J124" s="1" t="s">
        <v>1211</v>
      </c>
    </row>
    <row r="125" spans="1:10" x14ac:dyDescent="0.35">
      <c r="A125" s="1" t="s">
        <v>47</v>
      </c>
      <c r="B125" s="1" t="s">
        <v>1209</v>
      </c>
      <c r="C125" s="1" t="s">
        <v>1210</v>
      </c>
      <c r="D125" s="2">
        <v>46177</v>
      </c>
      <c r="E125">
        <v>5.1669879911291301E-2</v>
      </c>
      <c r="F125" s="1" t="s">
        <v>5565</v>
      </c>
      <c r="G125" s="2">
        <v>46177.777262418982</v>
      </c>
      <c r="H125" s="1" t="s">
        <v>1211</v>
      </c>
      <c r="I125" s="2">
        <v>46177.777262384261</v>
      </c>
      <c r="J125" s="1" t="s">
        <v>1211</v>
      </c>
    </row>
    <row r="126" spans="1:10" x14ac:dyDescent="0.35">
      <c r="A126" s="1" t="s">
        <v>239</v>
      </c>
      <c r="B126" s="1" t="s">
        <v>1209</v>
      </c>
      <c r="C126" s="1" t="s">
        <v>1210</v>
      </c>
      <c r="D126" s="2">
        <v>46177</v>
      </c>
      <c r="E126">
        <v>5.1519996612377501E-2</v>
      </c>
      <c r="F126" s="1" t="s">
        <v>5566</v>
      </c>
      <c r="G126" s="2">
        <v>46177.777262581018</v>
      </c>
      <c r="H126" s="1" t="s">
        <v>1211</v>
      </c>
      <c r="I126" s="2">
        <v>46177.777262581018</v>
      </c>
      <c r="J126" s="1" t="s">
        <v>1211</v>
      </c>
    </row>
    <row r="127" spans="1:10" x14ac:dyDescent="0.35">
      <c r="A127" s="1" t="s">
        <v>275</v>
      </c>
      <c r="B127" s="1" t="s">
        <v>1209</v>
      </c>
      <c r="C127" s="1" t="s">
        <v>1210</v>
      </c>
      <c r="D127" s="2">
        <v>46177</v>
      </c>
      <c r="E127">
        <v>5.1555440630648999E-2</v>
      </c>
      <c r="F127" s="1" t="s">
        <v>5567</v>
      </c>
      <c r="G127" s="2">
        <v>46177.777262766205</v>
      </c>
      <c r="H127" s="1" t="s">
        <v>1211</v>
      </c>
      <c r="I127" s="2">
        <v>46177.777262766205</v>
      </c>
      <c r="J127" s="1" t="s">
        <v>1211</v>
      </c>
    </row>
    <row r="128" spans="1:10" x14ac:dyDescent="0.35">
      <c r="A128" s="1" t="s">
        <v>255</v>
      </c>
      <c r="B128" s="1" t="s">
        <v>1209</v>
      </c>
      <c r="C128" s="1" t="s">
        <v>1210</v>
      </c>
      <c r="D128" s="2">
        <v>46177</v>
      </c>
      <c r="E128">
        <v>5.1640273858761097E-2</v>
      </c>
      <c r="F128" s="1" t="s">
        <v>5568</v>
      </c>
      <c r="G128" s="2">
        <v>46177.777262997683</v>
      </c>
      <c r="H128" s="1" t="s">
        <v>1211</v>
      </c>
      <c r="I128" s="2">
        <v>46177.777262928241</v>
      </c>
      <c r="J128" s="1" t="s">
        <v>1211</v>
      </c>
    </row>
    <row r="129" spans="1:10" x14ac:dyDescent="0.35">
      <c r="A129" s="1" t="s">
        <v>176</v>
      </c>
      <c r="B129" s="1" t="s">
        <v>1209</v>
      </c>
      <c r="C129" s="1" t="s">
        <v>1210</v>
      </c>
      <c r="D129" s="2">
        <v>46177</v>
      </c>
      <c r="E129">
        <v>5.1655000674212699E-2</v>
      </c>
      <c r="F129" s="1" t="s">
        <v>5569</v>
      </c>
      <c r="G129" s="2">
        <v>46177.777263194446</v>
      </c>
      <c r="H129" s="1" t="s">
        <v>1211</v>
      </c>
      <c r="I129" s="2">
        <v>46177.777263310185</v>
      </c>
      <c r="J129" s="1" t="s">
        <v>1211</v>
      </c>
    </row>
    <row r="130" spans="1:10" x14ac:dyDescent="0.35">
      <c r="A130" s="1" t="s">
        <v>91</v>
      </c>
      <c r="B130" s="1" t="s">
        <v>1209</v>
      </c>
      <c r="C130" s="1" t="s">
        <v>1210</v>
      </c>
      <c r="D130" s="2">
        <v>46177</v>
      </c>
      <c r="E130">
        <v>5.1639918683470502E-2</v>
      </c>
      <c r="F130" s="1" t="s">
        <v>5570</v>
      </c>
      <c r="G130" s="2">
        <v>46177.777263425924</v>
      </c>
      <c r="H130" s="1" t="s">
        <v>1211</v>
      </c>
      <c r="I130" s="2">
        <v>46177.777263460652</v>
      </c>
      <c r="J130" s="1" t="s">
        <v>1211</v>
      </c>
    </row>
    <row r="131" spans="1:10" x14ac:dyDescent="0.35">
      <c r="A131" s="1" t="s">
        <v>765</v>
      </c>
      <c r="B131" s="1" t="s">
        <v>1209</v>
      </c>
      <c r="C131" s="1" t="s">
        <v>1210</v>
      </c>
      <c r="D131" s="2">
        <v>46177</v>
      </c>
      <c r="E131">
        <v>5.1614600502218999E-2</v>
      </c>
      <c r="F131" s="1" t="s">
        <v>5571</v>
      </c>
      <c r="G131" s="2">
        <v>46177.777263657408</v>
      </c>
      <c r="H131" s="1" t="s">
        <v>1211</v>
      </c>
      <c r="I131" s="2">
        <v>46177.777263657408</v>
      </c>
      <c r="J131" s="1" t="s">
        <v>1211</v>
      </c>
    </row>
    <row r="132" spans="1:10" x14ac:dyDescent="0.35">
      <c r="A132" s="1" t="s">
        <v>49</v>
      </c>
      <c r="B132" s="1" t="s">
        <v>1209</v>
      </c>
      <c r="C132" s="1" t="s">
        <v>1210</v>
      </c>
      <c r="D132" s="2">
        <v>46177</v>
      </c>
      <c r="E132">
        <v>5.1559921050047398E-2</v>
      </c>
      <c r="F132" s="1" t="s">
        <v>5572</v>
      </c>
      <c r="G132" s="2">
        <v>46177.777263854165</v>
      </c>
      <c r="H132" s="1" t="s">
        <v>1211</v>
      </c>
      <c r="I132" s="2">
        <v>46177.777263854165</v>
      </c>
      <c r="J132" s="1" t="s">
        <v>1211</v>
      </c>
    </row>
    <row r="133" spans="1:10" x14ac:dyDescent="0.35">
      <c r="A133" s="1" t="s">
        <v>93</v>
      </c>
      <c r="B133" s="1" t="s">
        <v>1209</v>
      </c>
      <c r="C133" s="1" t="s">
        <v>1210</v>
      </c>
      <c r="D133" s="2">
        <v>46177</v>
      </c>
      <c r="E133">
        <v>5.1555197627865097E-2</v>
      </c>
      <c r="F133" s="1" t="s">
        <v>5573</v>
      </c>
      <c r="G133" s="2">
        <v>46177.777264085649</v>
      </c>
      <c r="H133" s="1" t="s">
        <v>1211</v>
      </c>
      <c r="I133" s="2">
        <v>46177.777264004631</v>
      </c>
      <c r="J133" s="1" t="s">
        <v>1211</v>
      </c>
    </row>
    <row r="134" spans="1:10" x14ac:dyDescent="0.35">
      <c r="A134" s="1" t="s">
        <v>178</v>
      </c>
      <c r="B134" s="1" t="s">
        <v>1209</v>
      </c>
      <c r="C134" s="1" t="s">
        <v>1210</v>
      </c>
      <c r="D134" s="2">
        <v>46177</v>
      </c>
      <c r="E134">
        <v>5.15004613773992E-2</v>
      </c>
      <c r="F134" s="1" t="s">
        <v>5574</v>
      </c>
      <c r="G134" s="2">
        <v>46177.777264270837</v>
      </c>
      <c r="H134" s="1" t="s">
        <v>1211</v>
      </c>
      <c r="I134" s="2">
        <v>46177.777264201388</v>
      </c>
      <c r="J134" s="1" t="s">
        <v>1211</v>
      </c>
    </row>
    <row r="135" spans="1:10" x14ac:dyDescent="0.35">
      <c r="A135" s="1" t="s">
        <v>134</v>
      </c>
      <c r="B135" s="1" t="s">
        <v>1209</v>
      </c>
      <c r="C135" s="1" t="s">
        <v>1210</v>
      </c>
      <c r="D135" s="2">
        <v>46177</v>
      </c>
      <c r="E135">
        <v>5.1449975750027799E-2</v>
      </c>
      <c r="F135" s="1" t="s">
        <v>5575</v>
      </c>
      <c r="G135" s="2">
        <v>46177.777264502314</v>
      </c>
      <c r="H135" s="1" t="s">
        <v>1211</v>
      </c>
      <c r="I135" s="2">
        <v>46177.777264548611</v>
      </c>
      <c r="J135" s="1" t="s">
        <v>1211</v>
      </c>
    </row>
    <row r="136" spans="1:10" x14ac:dyDescent="0.35">
      <c r="A136" s="1" t="s">
        <v>95</v>
      </c>
      <c r="B136" s="1" t="s">
        <v>1209</v>
      </c>
      <c r="C136" s="1" t="s">
        <v>1210</v>
      </c>
      <c r="D136" s="2">
        <v>46177</v>
      </c>
      <c r="E136">
        <v>5.1374592280647002E-2</v>
      </c>
      <c r="F136" s="1" t="s">
        <v>5576</v>
      </c>
      <c r="G136" s="2">
        <v>46177.777264699071</v>
      </c>
      <c r="H136" s="1" t="s">
        <v>1211</v>
      </c>
      <c r="I136" s="2">
        <v>46177.777264733799</v>
      </c>
      <c r="J136" s="1" t="s">
        <v>1211</v>
      </c>
    </row>
    <row r="137" spans="1:10" x14ac:dyDescent="0.35">
      <c r="A137" s="1" t="s">
        <v>136</v>
      </c>
      <c r="B137" s="1" t="s">
        <v>1209</v>
      </c>
      <c r="C137" s="1" t="s">
        <v>1210</v>
      </c>
      <c r="D137" s="2">
        <v>46177</v>
      </c>
      <c r="E137">
        <v>5.1310341953108303E-2</v>
      </c>
      <c r="F137" s="1" t="s">
        <v>5577</v>
      </c>
      <c r="G137" s="2">
        <v>46177.777264930555</v>
      </c>
      <c r="H137" s="1" t="s">
        <v>1211</v>
      </c>
      <c r="I137" s="2">
        <v>46177.777264930555</v>
      </c>
      <c r="J137" s="1" t="s">
        <v>1211</v>
      </c>
    </row>
    <row r="138" spans="1:10" x14ac:dyDescent="0.35">
      <c r="A138" s="1" t="s">
        <v>51</v>
      </c>
      <c r="B138" s="1" t="s">
        <v>1209</v>
      </c>
      <c r="C138" s="1" t="s">
        <v>1210</v>
      </c>
      <c r="D138" s="2">
        <v>46177</v>
      </c>
      <c r="E138">
        <v>5.1259958636791503E-2</v>
      </c>
      <c r="F138" s="1" t="s">
        <v>5578</v>
      </c>
      <c r="G138" s="2">
        <v>46177.777265127312</v>
      </c>
      <c r="H138" s="1" t="s">
        <v>1211</v>
      </c>
      <c r="I138" s="2">
        <v>46177.777265127312</v>
      </c>
      <c r="J138" s="1" t="s">
        <v>1211</v>
      </c>
    </row>
    <row r="139" spans="1:10" x14ac:dyDescent="0.35">
      <c r="A139" s="1" t="s">
        <v>241</v>
      </c>
      <c r="B139" s="1" t="s">
        <v>1209</v>
      </c>
      <c r="C139" s="1" t="s">
        <v>1210</v>
      </c>
      <c r="D139" s="2">
        <v>46177</v>
      </c>
      <c r="E139">
        <v>3.4119246420532101E-2</v>
      </c>
      <c r="F139" s="1" t="s">
        <v>5579</v>
      </c>
      <c r="G139" s="2">
        <v>46177.777265358796</v>
      </c>
      <c r="H139" s="1" t="s">
        <v>1211</v>
      </c>
      <c r="I139" s="2">
        <v>46177.777265277778</v>
      </c>
      <c r="J139" s="1" t="s">
        <v>1211</v>
      </c>
    </row>
    <row r="140" spans="1:10" x14ac:dyDescent="0.35">
      <c r="A140" s="1" t="s">
        <v>53</v>
      </c>
      <c r="B140" s="1" t="s">
        <v>1209</v>
      </c>
      <c r="C140" s="1" t="s">
        <v>1210</v>
      </c>
      <c r="D140" s="2">
        <v>46177</v>
      </c>
      <c r="E140">
        <v>3.6324758093862798E-2</v>
      </c>
      <c r="F140" s="1" t="s">
        <v>5580</v>
      </c>
      <c r="G140" s="2">
        <v>46177.777265543984</v>
      </c>
      <c r="H140" s="1" t="s">
        <v>1211</v>
      </c>
      <c r="I140" s="2">
        <v>46177.777265659723</v>
      </c>
      <c r="J140" s="1" t="s">
        <v>1211</v>
      </c>
    </row>
    <row r="141" spans="1:10" x14ac:dyDescent="0.35">
      <c r="A141" s="1" t="s">
        <v>180</v>
      </c>
      <c r="B141" s="1" t="s">
        <v>1209</v>
      </c>
      <c r="C141" s="1" t="s">
        <v>1210</v>
      </c>
      <c r="D141" s="2">
        <v>46177</v>
      </c>
      <c r="E141">
        <v>3.7174996490539701E-2</v>
      </c>
      <c r="F141" s="1" t="s">
        <v>5581</v>
      </c>
      <c r="G141" s="2">
        <v>46177.777265775461</v>
      </c>
      <c r="H141" s="1" t="s">
        <v>1211</v>
      </c>
      <c r="I141" s="2">
        <v>46177.777265821758</v>
      </c>
      <c r="J141" s="1" t="s">
        <v>1211</v>
      </c>
    </row>
    <row r="142" spans="1:10" x14ac:dyDescent="0.35">
      <c r="A142" s="1" t="s">
        <v>138</v>
      </c>
      <c r="B142" s="1" t="s">
        <v>1209</v>
      </c>
      <c r="C142" s="1" t="s">
        <v>1210</v>
      </c>
      <c r="D142" s="2">
        <v>46177</v>
      </c>
      <c r="E142">
        <v>3.9251639601370902E-2</v>
      </c>
      <c r="F142" s="1" t="s">
        <v>5582</v>
      </c>
      <c r="G142" s="2">
        <v>46177.777265972225</v>
      </c>
      <c r="H142" s="1" t="s">
        <v>1211</v>
      </c>
      <c r="I142" s="2">
        <v>46177.777266006946</v>
      </c>
      <c r="J142" s="1" t="s">
        <v>1211</v>
      </c>
    </row>
    <row r="143" spans="1:10" x14ac:dyDescent="0.35">
      <c r="A143" s="1" t="s">
        <v>55</v>
      </c>
      <c r="B143" s="1" t="s">
        <v>1209</v>
      </c>
      <c r="C143" s="1" t="s">
        <v>1210</v>
      </c>
      <c r="D143" s="2">
        <v>46177</v>
      </c>
      <c r="E143">
        <v>3.96869025048135E-2</v>
      </c>
      <c r="F143" s="1" t="s">
        <v>5583</v>
      </c>
      <c r="G143" s="2">
        <v>46177.777266203702</v>
      </c>
      <c r="H143" s="1" t="s">
        <v>1211</v>
      </c>
      <c r="I143" s="2">
        <v>46177.777266203702</v>
      </c>
      <c r="J143" s="1" t="s">
        <v>1211</v>
      </c>
    </row>
    <row r="144" spans="1:10" x14ac:dyDescent="0.35">
      <c r="A144" s="1" t="s">
        <v>243</v>
      </c>
      <c r="B144" s="1" t="s">
        <v>1209</v>
      </c>
      <c r="C144" s="1" t="s">
        <v>1210</v>
      </c>
      <c r="D144" s="2">
        <v>46177</v>
      </c>
      <c r="E144">
        <v>1.3651310768762101E-2</v>
      </c>
      <c r="F144" s="1" t="s">
        <v>5584</v>
      </c>
      <c r="G144" s="2">
        <v>46177.777266435187</v>
      </c>
      <c r="H144" s="1" t="s">
        <v>1211</v>
      </c>
      <c r="I144" s="2">
        <v>46177.777266354169</v>
      </c>
      <c r="J144" s="1" t="s">
        <v>1211</v>
      </c>
    </row>
    <row r="145" spans="1:10" x14ac:dyDescent="0.35">
      <c r="A145" s="1" t="s">
        <v>182</v>
      </c>
      <c r="B145" s="1" t="s">
        <v>1209</v>
      </c>
      <c r="C145" s="1" t="s">
        <v>1210</v>
      </c>
      <c r="D145" s="2">
        <v>46177</v>
      </c>
      <c r="E145">
        <v>4.0423886365072798E-2</v>
      </c>
      <c r="F145" s="1" t="s">
        <v>5585</v>
      </c>
      <c r="G145" s="2">
        <v>46177.777266631943</v>
      </c>
      <c r="H145" s="1" t="s">
        <v>1211</v>
      </c>
      <c r="I145" s="2">
        <v>46177.777266550926</v>
      </c>
      <c r="J145" s="1" t="s">
        <v>1211</v>
      </c>
    </row>
    <row r="146" spans="1:10" x14ac:dyDescent="0.35">
      <c r="A146" s="1" t="s">
        <v>184</v>
      </c>
      <c r="B146" s="1" t="s">
        <v>1209</v>
      </c>
      <c r="C146" s="1" t="s">
        <v>1210</v>
      </c>
      <c r="D146" s="2">
        <v>46177</v>
      </c>
      <c r="E146">
        <v>4.0701133453429801E-2</v>
      </c>
      <c r="F146" s="1" t="s">
        <v>5586</v>
      </c>
      <c r="G146" s="2">
        <v>46177.777266863428</v>
      </c>
      <c r="H146" s="1" t="s">
        <v>1211</v>
      </c>
      <c r="I146" s="2">
        <v>46177.777266898149</v>
      </c>
      <c r="J146" s="1" t="s">
        <v>1211</v>
      </c>
    </row>
    <row r="147" spans="1:10" x14ac:dyDescent="0.35">
      <c r="A147" s="1" t="s">
        <v>140</v>
      </c>
      <c r="B147" s="1" t="s">
        <v>1209</v>
      </c>
      <c r="C147" s="1" t="s">
        <v>1210</v>
      </c>
      <c r="D147" s="2">
        <v>46177</v>
      </c>
      <c r="E147">
        <v>3.9676947365158102E-2</v>
      </c>
      <c r="F147" s="1" t="s">
        <v>5587</v>
      </c>
      <c r="G147" s="2">
        <v>46177.777267048608</v>
      </c>
      <c r="H147" s="1" t="s">
        <v>1211</v>
      </c>
      <c r="I147" s="2">
        <v>46177.777267094905</v>
      </c>
      <c r="J147" s="1" t="s">
        <v>1211</v>
      </c>
    </row>
    <row r="148" spans="1:10" x14ac:dyDescent="0.35">
      <c r="A148" s="1" t="s">
        <v>142</v>
      </c>
      <c r="B148" s="1" t="s">
        <v>1209</v>
      </c>
      <c r="C148" s="1" t="s">
        <v>1210</v>
      </c>
      <c r="D148" s="2">
        <v>46177</v>
      </c>
      <c r="E148">
        <v>1.49178744123977E-2</v>
      </c>
      <c r="F148" s="1" t="s">
        <v>5588</v>
      </c>
      <c r="G148" s="2">
        <v>46177.777267210651</v>
      </c>
      <c r="H148" s="1" t="s">
        <v>1211</v>
      </c>
      <c r="I148" s="2">
        <v>46177.777267280093</v>
      </c>
      <c r="J148" s="1" t="s">
        <v>1211</v>
      </c>
    </row>
    <row r="149" spans="1:10" x14ac:dyDescent="0.35">
      <c r="A149" s="1" t="s">
        <v>97</v>
      </c>
      <c r="B149" s="1" t="s">
        <v>1209</v>
      </c>
      <c r="C149" s="1" t="s">
        <v>1210</v>
      </c>
      <c r="D149" s="2">
        <v>46177</v>
      </c>
      <c r="E149">
        <v>4.10673421465595E-2</v>
      </c>
      <c r="F149" s="1" t="s">
        <v>5589</v>
      </c>
      <c r="G149" s="2">
        <v>46177.777267395832</v>
      </c>
      <c r="H149" s="1" t="s">
        <v>1211</v>
      </c>
      <c r="I149" s="2">
        <v>46177.777267442129</v>
      </c>
      <c r="J149" s="1" t="s">
        <v>1211</v>
      </c>
    </row>
    <row r="150" spans="1:10" x14ac:dyDescent="0.35">
      <c r="A150" s="1" t="s">
        <v>99</v>
      </c>
      <c r="B150" s="1" t="s">
        <v>1209</v>
      </c>
      <c r="C150" s="1" t="s">
        <v>1210</v>
      </c>
      <c r="D150" s="2">
        <v>46177</v>
      </c>
      <c r="E150">
        <v>4.1438968747769103E-2</v>
      </c>
      <c r="F150" s="1" t="s">
        <v>5590</v>
      </c>
      <c r="G150" s="2">
        <v>46177.777267557867</v>
      </c>
      <c r="H150" s="1" t="s">
        <v>1211</v>
      </c>
      <c r="I150" s="2">
        <v>46177.777267627316</v>
      </c>
      <c r="J150" s="1" t="s">
        <v>1211</v>
      </c>
    </row>
    <row r="151" spans="1:10" x14ac:dyDescent="0.35">
      <c r="A151" s="1" t="s">
        <v>144</v>
      </c>
      <c r="B151" s="1" t="s">
        <v>1209</v>
      </c>
      <c r="C151" s="1" t="s">
        <v>1210</v>
      </c>
      <c r="D151" s="2">
        <v>46177</v>
      </c>
      <c r="E151">
        <v>4.14908990775553E-2</v>
      </c>
      <c r="F151" s="1" t="s">
        <v>5591</v>
      </c>
      <c r="G151" s="2">
        <v>46177.777267708334</v>
      </c>
      <c r="H151" s="1" t="s">
        <v>1211</v>
      </c>
      <c r="I151" s="2">
        <v>46177.777267627316</v>
      </c>
      <c r="J151" s="1" t="s">
        <v>1211</v>
      </c>
    </row>
    <row r="152" spans="1:10" x14ac:dyDescent="0.35">
      <c r="A152" s="1" t="s">
        <v>146</v>
      </c>
      <c r="B152" s="1" t="s">
        <v>1209</v>
      </c>
      <c r="C152" s="1" t="s">
        <v>1210</v>
      </c>
      <c r="D152" s="2">
        <v>46177</v>
      </c>
      <c r="E152">
        <v>1.7400991528456301E-2</v>
      </c>
      <c r="F152" s="1" t="s">
        <v>5592</v>
      </c>
      <c r="G152" s="2">
        <v>46177.777267824073</v>
      </c>
      <c r="H152" s="1" t="s">
        <v>1211</v>
      </c>
      <c r="I152" s="2">
        <v>46177.777267824073</v>
      </c>
      <c r="J152" s="1" t="s">
        <v>1211</v>
      </c>
    </row>
    <row r="153" spans="1:10" x14ac:dyDescent="0.35">
      <c r="A153" s="1" t="s">
        <v>277</v>
      </c>
      <c r="B153" s="1" t="s">
        <v>1209</v>
      </c>
      <c r="C153" s="1" t="s">
        <v>1210</v>
      </c>
      <c r="D153" s="2">
        <v>46177</v>
      </c>
      <c r="E153">
        <v>4.3765775866240801E-2</v>
      </c>
      <c r="F153" s="1" t="s">
        <v>5593</v>
      </c>
      <c r="G153" s="2">
        <v>46177.777267974539</v>
      </c>
      <c r="H153" s="1" t="s">
        <v>1211</v>
      </c>
      <c r="I153" s="2">
        <v>46177.777268020836</v>
      </c>
      <c r="J153" s="1" t="s">
        <v>1211</v>
      </c>
    </row>
    <row r="154" spans="1:10" x14ac:dyDescent="0.35">
      <c r="A154" s="1" t="s">
        <v>101</v>
      </c>
      <c r="B154" s="1" t="s">
        <v>1209</v>
      </c>
      <c r="C154" s="1" t="s">
        <v>1210</v>
      </c>
      <c r="D154" s="2">
        <v>46177</v>
      </c>
      <c r="E154">
        <v>8.2521879213123105E-3</v>
      </c>
      <c r="F154" s="1" t="s">
        <v>5594</v>
      </c>
      <c r="G154" s="2">
        <v>46177.777268136575</v>
      </c>
      <c r="H154" s="1" t="s">
        <v>1211</v>
      </c>
      <c r="I154" s="2">
        <v>46177.777268171296</v>
      </c>
      <c r="J154" s="1" t="s">
        <v>1211</v>
      </c>
    </row>
    <row r="155" spans="1:10" x14ac:dyDescent="0.35">
      <c r="A155" s="1" t="s">
        <v>186</v>
      </c>
      <c r="B155" s="1" t="s">
        <v>1209</v>
      </c>
      <c r="C155" s="1" t="s">
        <v>1210</v>
      </c>
      <c r="D155" s="2">
        <v>46177</v>
      </c>
      <c r="E155">
        <v>4.4556601503726201E-2</v>
      </c>
      <c r="F155" s="1" t="s">
        <v>5595</v>
      </c>
      <c r="G155" s="2">
        <v>46177.777268287035</v>
      </c>
      <c r="H155" s="1" t="s">
        <v>1211</v>
      </c>
      <c r="I155" s="2">
        <v>46177.777268368052</v>
      </c>
      <c r="J155" s="1" t="s">
        <v>1211</v>
      </c>
    </row>
    <row r="156" spans="1:10" x14ac:dyDescent="0.35">
      <c r="A156" s="1" t="s">
        <v>148</v>
      </c>
      <c r="B156" s="1" t="s">
        <v>1209</v>
      </c>
      <c r="C156" s="1" t="s">
        <v>1210</v>
      </c>
      <c r="D156" s="2">
        <v>46177</v>
      </c>
      <c r="E156">
        <v>4.4555951967177897E-2</v>
      </c>
      <c r="F156" s="1" t="s">
        <v>5596</v>
      </c>
      <c r="G156" s="2">
        <v>46177.777268437501</v>
      </c>
      <c r="H156" s="1" t="s">
        <v>1211</v>
      </c>
      <c r="I156" s="2">
        <v>46177.777268368052</v>
      </c>
      <c r="J156" s="1" t="s">
        <v>1211</v>
      </c>
    </row>
    <row r="157" spans="1:10" x14ac:dyDescent="0.35">
      <c r="A157" s="1" t="s">
        <v>257</v>
      </c>
      <c r="B157" s="1" t="s">
        <v>1209</v>
      </c>
      <c r="C157" s="1" t="s">
        <v>1210</v>
      </c>
      <c r="D157" s="2">
        <v>46177</v>
      </c>
      <c r="E157">
        <v>1.3437749438156701E-2</v>
      </c>
      <c r="F157" s="1" t="s">
        <v>5597</v>
      </c>
      <c r="G157" s="2">
        <v>46177.777268668979</v>
      </c>
      <c r="H157" s="1" t="s">
        <v>1211</v>
      </c>
      <c r="I157" s="2">
        <v>46177.777268749996</v>
      </c>
      <c r="J157" s="1" t="s">
        <v>1211</v>
      </c>
    </row>
    <row r="158" spans="1:10" x14ac:dyDescent="0.35">
      <c r="A158" s="1" t="s">
        <v>57</v>
      </c>
      <c r="B158" s="1" t="s">
        <v>1209</v>
      </c>
      <c r="C158" s="1" t="s">
        <v>1210</v>
      </c>
      <c r="D158" s="2">
        <v>46177</v>
      </c>
      <c r="E158">
        <v>4.5095843119179302E-2</v>
      </c>
      <c r="F158" s="1" t="s">
        <v>5598</v>
      </c>
      <c r="G158" s="2">
        <v>46177.777268831022</v>
      </c>
      <c r="H158" s="1" t="s">
        <v>1211</v>
      </c>
      <c r="I158" s="2">
        <v>46177.777268749996</v>
      </c>
      <c r="J158" s="1" t="s">
        <v>1211</v>
      </c>
    </row>
    <row r="159" spans="1:10" x14ac:dyDescent="0.35">
      <c r="A159" s="1" t="s">
        <v>259</v>
      </c>
      <c r="B159" s="1" t="s">
        <v>1209</v>
      </c>
      <c r="C159" s="1" t="s">
        <v>1210</v>
      </c>
      <c r="D159" s="2">
        <v>46177</v>
      </c>
      <c r="E159">
        <v>4.5364651279771503E-2</v>
      </c>
      <c r="F159" s="1" t="s">
        <v>5599</v>
      </c>
      <c r="G159" s="2">
        <v>46177.777268981481</v>
      </c>
      <c r="H159" s="1" t="s">
        <v>1211</v>
      </c>
      <c r="I159" s="2">
        <v>46177.77726894676</v>
      </c>
      <c r="J159" s="1" t="s">
        <v>1211</v>
      </c>
    </row>
    <row r="160" spans="1:10" x14ac:dyDescent="0.35">
      <c r="A160" s="1" t="s">
        <v>104</v>
      </c>
      <c r="B160" s="1" t="s">
        <v>1209</v>
      </c>
      <c r="C160" s="1" t="s">
        <v>1210</v>
      </c>
      <c r="D160" s="2">
        <v>46177</v>
      </c>
      <c r="E160">
        <v>1.44088301503538E-2</v>
      </c>
      <c r="F160" s="1" t="s">
        <v>5600</v>
      </c>
      <c r="G160" s="2">
        <v>46177.77726909722</v>
      </c>
      <c r="H160" s="1" t="s">
        <v>1211</v>
      </c>
      <c r="I160" s="2">
        <v>46177.777269131948</v>
      </c>
      <c r="J160" s="1" t="s">
        <v>1211</v>
      </c>
    </row>
    <row r="161" spans="1:10" x14ac:dyDescent="0.35">
      <c r="A161" s="1" t="s">
        <v>245</v>
      </c>
      <c r="B161" s="1" t="s">
        <v>1209</v>
      </c>
      <c r="C161" s="1" t="s">
        <v>1210</v>
      </c>
      <c r="D161" s="2">
        <v>46177</v>
      </c>
      <c r="E161">
        <v>4.60853974761831E-2</v>
      </c>
      <c r="F161" s="1" t="s">
        <v>5601</v>
      </c>
      <c r="G161" s="2">
        <v>46177.777269247686</v>
      </c>
      <c r="H161" s="1" t="s">
        <v>1211</v>
      </c>
      <c r="I161" s="2">
        <v>46177.777269328704</v>
      </c>
      <c r="J161" s="1" t="s">
        <v>1211</v>
      </c>
    </row>
    <row r="162" spans="1:10" x14ac:dyDescent="0.35">
      <c r="A162" s="1" t="s">
        <v>261</v>
      </c>
      <c r="B162" s="1" t="s">
        <v>1209</v>
      </c>
      <c r="C162" s="1" t="s">
        <v>1210</v>
      </c>
      <c r="D162" s="2">
        <v>46177</v>
      </c>
      <c r="E162">
        <v>4.6565980937359197E-2</v>
      </c>
      <c r="F162" s="1" t="s">
        <v>5602</v>
      </c>
      <c r="G162" s="2">
        <v>46177.777269409722</v>
      </c>
      <c r="H162" s="1" t="s">
        <v>1211</v>
      </c>
      <c r="I162" s="2">
        <v>46177.777269479164</v>
      </c>
      <c r="J162" s="1" t="s">
        <v>1211</v>
      </c>
    </row>
    <row r="163" spans="1:10" x14ac:dyDescent="0.35">
      <c r="A163" s="1" t="s">
        <v>106</v>
      </c>
      <c r="B163" s="1" t="s">
        <v>1209</v>
      </c>
      <c r="C163" s="1" t="s">
        <v>1210</v>
      </c>
      <c r="D163" s="2">
        <v>46177</v>
      </c>
      <c r="E163">
        <v>4.6891209457735998E-2</v>
      </c>
      <c r="F163" s="1" t="s">
        <v>5603</v>
      </c>
      <c r="G163" s="2">
        <v>46177.777269560182</v>
      </c>
      <c r="H163" s="1" t="s">
        <v>1211</v>
      </c>
      <c r="I163" s="2">
        <v>46177.777269479164</v>
      </c>
      <c r="J163" s="1" t="s">
        <v>1211</v>
      </c>
    </row>
    <row r="164" spans="1:10" x14ac:dyDescent="0.35">
      <c r="A164" s="1" t="s">
        <v>150</v>
      </c>
      <c r="B164" s="1" t="s">
        <v>1209</v>
      </c>
      <c r="C164" s="1" t="s">
        <v>1210</v>
      </c>
      <c r="D164" s="2">
        <v>46177</v>
      </c>
      <c r="E164">
        <v>4.7190269294299501E-2</v>
      </c>
      <c r="F164" s="1" t="s">
        <v>5604</v>
      </c>
      <c r="G164" s="2">
        <v>46177.777269710648</v>
      </c>
      <c r="H164" s="1" t="s">
        <v>1211</v>
      </c>
      <c r="I164" s="2">
        <v>46177.777269675928</v>
      </c>
      <c r="J164" s="1" t="s">
        <v>1211</v>
      </c>
    </row>
    <row r="165" spans="1:10" x14ac:dyDescent="0.35">
      <c r="A165" s="1" t="s">
        <v>319</v>
      </c>
      <c r="B165" s="1" t="s">
        <v>1209</v>
      </c>
      <c r="C165" s="1" t="s">
        <v>1210</v>
      </c>
      <c r="D165" s="2">
        <v>46177</v>
      </c>
      <c r="E165">
        <v>4.7290680068382801E-2</v>
      </c>
      <c r="F165" s="1" t="s">
        <v>5605</v>
      </c>
      <c r="G165" s="2">
        <v>46177.777269872684</v>
      </c>
      <c r="H165" s="1" t="s">
        <v>1211</v>
      </c>
      <c r="I165" s="2">
        <v>46177.777269872684</v>
      </c>
      <c r="J165" s="1" t="s">
        <v>1211</v>
      </c>
    </row>
    <row r="166" spans="1:10" x14ac:dyDescent="0.35">
      <c r="A166" s="1" t="s">
        <v>263</v>
      </c>
      <c r="B166" s="1" t="s">
        <v>1209</v>
      </c>
      <c r="C166" s="1" t="s">
        <v>1210</v>
      </c>
      <c r="D166" s="2">
        <v>46177</v>
      </c>
      <c r="E166">
        <v>2.3202575375456599E-2</v>
      </c>
      <c r="F166" s="1" t="s">
        <v>5606</v>
      </c>
      <c r="G166" s="2">
        <v>46177.777270023151</v>
      </c>
      <c r="H166" s="1" t="s">
        <v>1211</v>
      </c>
      <c r="I166" s="2">
        <v>46177.777270023151</v>
      </c>
      <c r="J166" s="1" t="s">
        <v>1211</v>
      </c>
    </row>
    <row r="167" spans="1:10" x14ac:dyDescent="0.35">
      <c r="A167" s="1" t="s">
        <v>59</v>
      </c>
      <c r="B167" s="1" t="s">
        <v>1209</v>
      </c>
      <c r="C167" s="1" t="s">
        <v>1210</v>
      </c>
      <c r="D167" s="2">
        <v>46177</v>
      </c>
      <c r="E167">
        <v>4.7486470981925599E-2</v>
      </c>
      <c r="F167" s="1" t="s">
        <v>5607</v>
      </c>
      <c r="G167" s="2">
        <v>46177.77727017361</v>
      </c>
      <c r="H167" s="1" t="s">
        <v>1211</v>
      </c>
      <c r="I167" s="2">
        <v>46177.777270219907</v>
      </c>
      <c r="J167" s="1" t="s">
        <v>1211</v>
      </c>
    </row>
    <row r="168" spans="1:10" x14ac:dyDescent="0.35">
      <c r="A168" s="1" t="s">
        <v>108</v>
      </c>
      <c r="B168" s="1" t="s">
        <v>1209</v>
      </c>
      <c r="C168" s="1" t="s">
        <v>1210</v>
      </c>
      <c r="D168" s="2">
        <v>46177</v>
      </c>
      <c r="E168">
        <v>4.7761274846542301E-2</v>
      </c>
      <c r="F168" s="1" t="s">
        <v>5608</v>
      </c>
      <c r="G168" s="2">
        <v>46177.777270335646</v>
      </c>
      <c r="H168" s="1" t="s">
        <v>1211</v>
      </c>
      <c r="I168" s="2">
        <v>46177.777270405095</v>
      </c>
      <c r="J168" s="1" t="s">
        <v>1211</v>
      </c>
    </row>
    <row r="169" spans="1:10" x14ac:dyDescent="0.35">
      <c r="A169" s="1" t="s">
        <v>110</v>
      </c>
      <c r="B169" s="1" t="s">
        <v>1209</v>
      </c>
      <c r="C169" s="1" t="s">
        <v>1210</v>
      </c>
      <c r="D169" s="2">
        <v>46177</v>
      </c>
      <c r="E169">
        <v>4.7861235771956799E-2</v>
      </c>
      <c r="F169" s="1" t="s">
        <v>5609</v>
      </c>
      <c r="G169" s="2">
        <v>46177.777270486113</v>
      </c>
      <c r="H169" s="1" t="s">
        <v>1211</v>
      </c>
      <c r="I169" s="2">
        <v>46177.777270405095</v>
      </c>
      <c r="J169" s="1" t="s">
        <v>1211</v>
      </c>
    </row>
    <row r="170" spans="1:10" x14ac:dyDescent="0.35">
      <c r="A170" s="1" t="s">
        <v>247</v>
      </c>
      <c r="B170" s="1" t="s">
        <v>1209</v>
      </c>
      <c r="C170" s="1" t="s">
        <v>1210</v>
      </c>
      <c r="D170" s="2">
        <v>46177</v>
      </c>
      <c r="E170">
        <v>4.7874284208796303E-2</v>
      </c>
      <c r="F170" s="1" t="s">
        <v>5610</v>
      </c>
      <c r="G170" s="2">
        <v>46177.777270636572</v>
      </c>
      <c r="H170" s="1" t="s">
        <v>1211</v>
      </c>
      <c r="I170" s="2">
        <v>46177.77727056713</v>
      </c>
      <c r="J170" s="1" t="s">
        <v>1211</v>
      </c>
    </row>
    <row r="171" spans="1:10" x14ac:dyDescent="0.35">
      <c r="A171" s="1" t="s">
        <v>62</v>
      </c>
      <c r="B171" s="1" t="s">
        <v>1209</v>
      </c>
      <c r="C171" s="1" t="s">
        <v>1210</v>
      </c>
      <c r="D171" s="2">
        <v>46177</v>
      </c>
      <c r="E171">
        <v>2.3935725071954201E-2</v>
      </c>
      <c r="F171" s="1" t="s">
        <v>5611</v>
      </c>
      <c r="G171" s="2">
        <v>46177.777270752318</v>
      </c>
      <c r="H171" s="1" t="s">
        <v>1211</v>
      </c>
      <c r="I171" s="2">
        <v>46177.777270752318</v>
      </c>
      <c r="J171" s="1" t="s">
        <v>1211</v>
      </c>
    </row>
    <row r="172" spans="1:10" x14ac:dyDescent="0.35">
      <c r="A172" s="1" t="s">
        <v>65</v>
      </c>
      <c r="B172" s="1" t="s">
        <v>1209</v>
      </c>
      <c r="C172" s="1" t="s">
        <v>1210</v>
      </c>
      <c r="D172" s="2">
        <v>46177</v>
      </c>
      <c r="E172">
        <v>4.8108042562989999E-2</v>
      </c>
      <c r="F172" s="1" t="s">
        <v>5612</v>
      </c>
      <c r="G172" s="2">
        <v>46177.777270914354</v>
      </c>
      <c r="H172" s="1" t="s">
        <v>1211</v>
      </c>
      <c r="I172" s="2">
        <v>46177.777270949075</v>
      </c>
      <c r="J172" s="1" t="s">
        <v>1211</v>
      </c>
    </row>
    <row r="173" spans="1:10" x14ac:dyDescent="0.35">
      <c r="A173" s="1" t="s">
        <v>279</v>
      </c>
      <c r="B173" s="1" t="s">
        <v>1209</v>
      </c>
      <c r="C173" s="1" t="s">
        <v>1210</v>
      </c>
      <c r="D173" s="2">
        <v>46177</v>
      </c>
      <c r="E173">
        <v>4.8339857086209199E-2</v>
      </c>
      <c r="F173" s="1" t="s">
        <v>5613</v>
      </c>
      <c r="G173" s="2">
        <v>46177.777271064813</v>
      </c>
      <c r="H173" s="1" t="s">
        <v>1211</v>
      </c>
      <c r="I173" s="2">
        <v>46177.777271145831</v>
      </c>
      <c r="J173" s="1" t="s">
        <v>1211</v>
      </c>
    </row>
    <row r="174" spans="1:10" x14ac:dyDescent="0.35">
      <c r="A174" s="1" t="s">
        <v>112</v>
      </c>
      <c r="B174" s="1" t="s">
        <v>1209</v>
      </c>
      <c r="C174" s="1" t="s">
        <v>1210</v>
      </c>
      <c r="D174" s="2">
        <v>46177</v>
      </c>
      <c r="E174">
        <v>4.87155058012863E-2</v>
      </c>
      <c r="F174" s="1" t="s">
        <v>5614</v>
      </c>
      <c r="G174" s="2">
        <v>46177.77727121528</v>
      </c>
      <c r="H174" s="1" t="s">
        <v>1211</v>
      </c>
      <c r="I174" s="2">
        <v>46177.777271296298</v>
      </c>
      <c r="J174" s="1" t="s">
        <v>1211</v>
      </c>
    </row>
    <row r="175" spans="1:10" x14ac:dyDescent="0.35">
      <c r="A175" s="1" t="s">
        <v>114</v>
      </c>
      <c r="B175" s="1" t="s">
        <v>1209</v>
      </c>
      <c r="C175" s="1" t="s">
        <v>1210</v>
      </c>
      <c r="D175" s="2">
        <v>46177</v>
      </c>
      <c r="E175">
        <v>4.8872810953865101E-2</v>
      </c>
      <c r="F175" s="1" t="s">
        <v>5615</v>
      </c>
      <c r="G175" s="2">
        <v>46177.777271412036</v>
      </c>
      <c r="H175" s="1" t="s">
        <v>1211</v>
      </c>
      <c r="I175" s="2">
        <v>46177.777271493054</v>
      </c>
      <c r="J175" s="1" t="s">
        <v>1211</v>
      </c>
    </row>
    <row r="176" spans="1:10" x14ac:dyDescent="0.35">
      <c r="A176" s="1" t="s">
        <v>265</v>
      </c>
      <c r="B176" s="1" t="s">
        <v>1209</v>
      </c>
      <c r="C176" s="1" t="s">
        <v>1210</v>
      </c>
      <c r="D176" s="2">
        <v>46177</v>
      </c>
      <c r="E176">
        <v>2.5205930977354501E-2</v>
      </c>
      <c r="F176" s="1" t="s">
        <v>5616</v>
      </c>
      <c r="G176" s="2">
        <v>46177.777271608793</v>
      </c>
      <c r="H176" s="1" t="s">
        <v>1211</v>
      </c>
      <c r="I176" s="2">
        <v>46177.777271678242</v>
      </c>
      <c r="J176" s="1" t="s">
        <v>1211</v>
      </c>
    </row>
    <row r="177" spans="1:10" x14ac:dyDescent="0.35">
      <c r="A177" s="1" t="s">
        <v>321</v>
      </c>
      <c r="B177" s="1" t="s">
        <v>1209</v>
      </c>
      <c r="C177" s="1" t="s">
        <v>1210</v>
      </c>
      <c r="D177" s="2">
        <v>46177</v>
      </c>
      <c r="E177">
        <v>4.9020156134791902E-2</v>
      </c>
      <c r="F177" s="1" t="s">
        <v>5617</v>
      </c>
      <c r="G177" s="2">
        <v>46177.777271793981</v>
      </c>
      <c r="H177" s="1" t="s">
        <v>1211</v>
      </c>
      <c r="I177" s="2">
        <v>46177.777271840278</v>
      </c>
      <c r="J177" s="1" t="s">
        <v>1211</v>
      </c>
    </row>
    <row r="178" spans="1:10" x14ac:dyDescent="0.35">
      <c r="A178" s="1" t="s">
        <v>323</v>
      </c>
      <c r="B178" s="1" t="s">
        <v>1209</v>
      </c>
      <c r="C178" s="1" t="s">
        <v>1210</v>
      </c>
      <c r="D178" s="2">
        <v>46177</v>
      </c>
      <c r="E178">
        <v>4.9244424734183001E-2</v>
      </c>
      <c r="F178" s="1" t="s">
        <v>5618</v>
      </c>
      <c r="G178" s="2">
        <v>46177.777271990744</v>
      </c>
      <c r="H178" s="1" t="s">
        <v>1211</v>
      </c>
      <c r="I178" s="2">
        <v>46177.777271840278</v>
      </c>
      <c r="J178" s="1" t="s">
        <v>1211</v>
      </c>
    </row>
    <row r="179" spans="1:10" x14ac:dyDescent="0.35">
      <c r="A179" s="1" t="s">
        <v>68</v>
      </c>
      <c r="B179" s="1" t="s">
        <v>1209</v>
      </c>
      <c r="C179" s="1" t="s">
        <v>1210</v>
      </c>
      <c r="D179" s="2">
        <v>46177</v>
      </c>
      <c r="E179">
        <v>4.9407167218763003E-2</v>
      </c>
      <c r="F179" s="1" t="s">
        <v>5619</v>
      </c>
      <c r="G179" s="2">
        <v>46177.777272141204</v>
      </c>
      <c r="H179" s="1" t="s">
        <v>1211</v>
      </c>
      <c r="I179" s="2">
        <v>46177.777272025465</v>
      </c>
      <c r="J179" s="1" t="s">
        <v>1211</v>
      </c>
    </row>
    <row r="180" spans="1:10" x14ac:dyDescent="0.35">
      <c r="A180" s="1" t="s">
        <v>267</v>
      </c>
      <c r="B180" s="1" t="s">
        <v>1209</v>
      </c>
      <c r="C180" s="1" t="s">
        <v>1210</v>
      </c>
      <c r="D180" s="2">
        <v>46177</v>
      </c>
      <c r="E180">
        <v>4.9453719852371299E-2</v>
      </c>
      <c r="F180" s="1" t="s">
        <v>5620</v>
      </c>
      <c r="G180" s="2">
        <v>46177.777272303239</v>
      </c>
      <c r="H180" s="1" t="s">
        <v>1211</v>
      </c>
      <c r="I180" s="2">
        <v>46177.777272222222</v>
      </c>
      <c r="J180" s="1" t="s">
        <v>1211</v>
      </c>
    </row>
    <row r="181" spans="1:10" x14ac:dyDescent="0.35">
      <c r="A181" s="1" t="s">
        <v>325</v>
      </c>
      <c r="B181" s="1" t="s">
        <v>1209</v>
      </c>
      <c r="C181" s="1" t="s">
        <v>1210</v>
      </c>
      <c r="D181" s="2">
        <v>46177</v>
      </c>
      <c r="E181">
        <v>2.5620513286227001E-2</v>
      </c>
      <c r="F181" s="1" t="s">
        <v>5621</v>
      </c>
      <c r="G181" s="2">
        <v>46177.777272453706</v>
      </c>
      <c r="H181" s="1" t="s">
        <v>1211</v>
      </c>
      <c r="I181" s="2">
        <v>46177.777272418978</v>
      </c>
      <c r="J181" s="1" t="s">
        <v>1211</v>
      </c>
    </row>
    <row r="182" spans="1:10" x14ac:dyDescent="0.35">
      <c r="A182" s="1" t="s">
        <v>281</v>
      </c>
      <c r="B182" s="1" t="s">
        <v>1209</v>
      </c>
      <c r="C182" s="1" t="s">
        <v>1210</v>
      </c>
      <c r="D182" s="2">
        <v>46177</v>
      </c>
      <c r="E182">
        <v>4.96168673612521E-2</v>
      </c>
      <c r="F182" s="1" t="s">
        <v>5622</v>
      </c>
      <c r="G182" s="2">
        <v>46177.777272569445</v>
      </c>
      <c r="H182" s="1" t="s">
        <v>1211</v>
      </c>
      <c r="I182" s="2">
        <v>46177.777272569445</v>
      </c>
      <c r="J182" s="1" t="s">
        <v>1211</v>
      </c>
    </row>
    <row r="183" spans="1:10" x14ac:dyDescent="0.35">
      <c r="A183" s="1" t="s">
        <v>269</v>
      </c>
      <c r="B183" s="1" t="s">
        <v>1209</v>
      </c>
      <c r="C183" s="1" t="s">
        <v>1210</v>
      </c>
      <c r="D183" s="2">
        <v>46177</v>
      </c>
      <c r="E183">
        <v>4.9522375544981102E-2</v>
      </c>
      <c r="F183" s="1" t="s">
        <v>5623</v>
      </c>
      <c r="G183" s="2">
        <v>46177.777272719904</v>
      </c>
      <c r="H183" s="1" t="s">
        <v>1211</v>
      </c>
      <c r="I183" s="2">
        <v>46177.777272766201</v>
      </c>
      <c r="J183" s="1" t="s">
        <v>1211</v>
      </c>
    </row>
    <row r="184" spans="1:10" x14ac:dyDescent="0.35">
      <c r="A184" s="1" t="s">
        <v>70</v>
      </c>
      <c r="B184" s="1" t="s">
        <v>1209</v>
      </c>
      <c r="C184" s="1" t="s">
        <v>1210</v>
      </c>
      <c r="D184" s="2">
        <v>46177</v>
      </c>
      <c r="E184">
        <v>4.9611986934145598E-2</v>
      </c>
      <c r="F184" s="1" t="s">
        <v>5624</v>
      </c>
      <c r="G184" s="2">
        <v>46177.777272881947</v>
      </c>
      <c r="H184" s="1" t="s">
        <v>1211</v>
      </c>
      <c r="I184" s="2">
        <v>46177.777272766201</v>
      </c>
      <c r="J184" s="1" t="s">
        <v>1211</v>
      </c>
    </row>
    <row r="185" spans="1:10" x14ac:dyDescent="0.35">
      <c r="A185" s="1" t="s">
        <v>271</v>
      </c>
      <c r="B185" s="1" t="s">
        <v>1209</v>
      </c>
      <c r="C185" s="1" t="s">
        <v>1210</v>
      </c>
      <c r="D185" s="2">
        <v>46177</v>
      </c>
      <c r="E185">
        <v>4.9732781240518803E-2</v>
      </c>
      <c r="F185" s="1" t="s">
        <v>5625</v>
      </c>
      <c r="G185" s="2">
        <v>46177.777273032407</v>
      </c>
      <c r="H185" s="1" t="s">
        <v>1211</v>
      </c>
      <c r="I185" s="2">
        <v>46177.777272951389</v>
      </c>
      <c r="J185" s="1" t="s">
        <v>1211</v>
      </c>
    </row>
    <row r="186" spans="1:10" x14ac:dyDescent="0.35">
      <c r="A186" s="1" t="s">
        <v>1120</v>
      </c>
      <c r="B186" s="1" t="s">
        <v>1209</v>
      </c>
      <c r="C186" s="1" t="s">
        <v>1210</v>
      </c>
      <c r="D186" s="2">
        <v>46177</v>
      </c>
      <c r="E186">
        <v>2.6031727202876699E-2</v>
      </c>
      <c r="F186" s="1" t="s">
        <v>5626</v>
      </c>
      <c r="G186" s="2">
        <v>46177.777273182874</v>
      </c>
      <c r="H186" s="1" t="s">
        <v>1211</v>
      </c>
      <c r="I186" s="2">
        <v>46177.777273113425</v>
      </c>
      <c r="J186" s="1" t="s">
        <v>1211</v>
      </c>
    </row>
    <row r="187" spans="1:10" x14ac:dyDescent="0.35">
      <c r="A187" s="1" t="s">
        <v>441</v>
      </c>
      <c r="B187" s="1" t="s">
        <v>1209</v>
      </c>
      <c r="C187" s="1" t="s">
        <v>1210</v>
      </c>
      <c r="D187" s="2">
        <v>46177</v>
      </c>
      <c r="E187">
        <v>4.9838398228331998E-2</v>
      </c>
      <c r="F187" s="1" t="s">
        <v>5627</v>
      </c>
      <c r="G187" s="2">
        <v>46177.777273344909</v>
      </c>
      <c r="H187" s="1" t="s">
        <v>1211</v>
      </c>
      <c r="I187" s="2">
        <v>46177.777273298612</v>
      </c>
      <c r="J187" s="1" t="s">
        <v>1211</v>
      </c>
    </row>
    <row r="188" spans="1:10" x14ac:dyDescent="0.35">
      <c r="A188" s="1" t="s">
        <v>443</v>
      </c>
      <c r="B188" s="1" t="s">
        <v>1209</v>
      </c>
      <c r="C188" s="1" t="s">
        <v>1210</v>
      </c>
      <c r="D188" s="2">
        <v>46177</v>
      </c>
      <c r="E188">
        <v>5.0004939632331297E-2</v>
      </c>
      <c r="F188" s="1" t="s">
        <v>5628</v>
      </c>
      <c r="G188" s="2">
        <v>46177.777273495369</v>
      </c>
      <c r="H188" s="1" t="s">
        <v>1211</v>
      </c>
      <c r="I188" s="2">
        <v>46177.777273495369</v>
      </c>
      <c r="J188" s="1" t="s">
        <v>1211</v>
      </c>
    </row>
    <row r="189" spans="1:10" x14ac:dyDescent="0.35">
      <c r="A189" s="1" t="s">
        <v>418</v>
      </c>
      <c r="B189" s="1" t="s">
        <v>1209</v>
      </c>
      <c r="C189" s="1" t="s">
        <v>1210</v>
      </c>
      <c r="D189" s="2">
        <v>46177</v>
      </c>
      <c r="E189">
        <v>5.0101105892811602E-2</v>
      </c>
      <c r="F189" s="1" t="s">
        <v>5629</v>
      </c>
      <c r="G189" s="2">
        <v>46177.777273611115</v>
      </c>
      <c r="H189" s="1" t="s">
        <v>1211</v>
      </c>
      <c r="I189" s="2">
        <v>46177.777273692132</v>
      </c>
      <c r="J189" s="1" t="s">
        <v>1211</v>
      </c>
    </row>
    <row r="190" spans="1:10" x14ac:dyDescent="0.35">
      <c r="A190" s="1" t="s">
        <v>188</v>
      </c>
      <c r="B190" s="1" t="s">
        <v>1209</v>
      </c>
      <c r="C190" s="1" t="s">
        <v>1210</v>
      </c>
      <c r="D190" s="2">
        <v>46177</v>
      </c>
      <c r="E190">
        <v>5.0272741864377697E-2</v>
      </c>
      <c r="F190" s="1" t="s">
        <v>5630</v>
      </c>
      <c r="G190" s="2">
        <v>46177.777273761574</v>
      </c>
      <c r="H190" s="1" t="s">
        <v>1211</v>
      </c>
      <c r="I190" s="2">
        <v>46177.777273692132</v>
      </c>
      <c r="J190" s="1" t="s">
        <v>1211</v>
      </c>
    </row>
    <row r="191" spans="1:10" x14ac:dyDescent="0.35">
      <c r="A191" s="1" t="s">
        <v>355</v>
      </c>
      <c r="B191" s="1" t="s">
        <v>1209</v>
      </c>
      <c r="C191" s="1" t="s">
        <v>1210</v>
      </c>
      <c r="D191" s="2">
        <v>46177</v>
      </c>
      <c r="E191">
        <v>2.6711300742517399E-2</v>
      </c>
      <c r="F191" s="1" t="s">
        <v>5631</v>
      </c>
      <c r="G191" s="2">
        <v>46177.77727392361</v>
      </c>
      <c r="H191" s="1" t="s">
        <v>1211</v>
      </c>
      <c r="I191" s="2">
        <v>46177.777273842592</v>
      </c>
      <c r="J191" s="1" t="s">
        <v>1211</v>
      </c>
    </row>
    <row r="192" spans="1:10" x14ac:dyDescent="0.35">
      <c r="A192" s="1" t="s">
        <v>190</v>
      </c>
      <c r="B192" s="1" t="s">
        <v>1209</v>
      </c>
      <c r="C192" s="1" t="s">
        <v>1210</v>
      </c>
      <c r="D192" s="2">
        <v>46177</v>
      </c>
      <c r="E192">
        <v>5.0190351543943003E-2</v>
      </c>
      <c r="F192" s="1" t="s">
        <v>5632</v>
      </c>
      <c r="G192" s="2">
        <v>46177.777274074077</v>
      </c>
      <c r="H192" s="1" t="s">
        <v>1211</v>
      </c>
      <c r="I192" s="2">
        <v>46177.777274039348</v>
      </c>
      <c r="J192" s="1" t="s">
        <v>1211</v>
      </c>
    </row>
    <row r="193" spans="1:10" x14ac:dyDescent="0.35">
      <c r="A193" s="1" t="s">
        <v>357</v>
      </c>
      <c r="B193" s="1" t="s">
        <v>1209</v>
      </c>
      <c r="C193" s="1" t="s">
        <v>1210</v>
      </c>
      <c r="D193" s="2">
        <v>46177</v>
      </c>
      <c r="E193">
        <v>5.0266945509679799E-2</v>
      </c>
      <c r="F193" s="1" t="s">
        <v>5633</v>
      </c>
      <c r="G193" s="2">
        <v>46177.777274224536</v>
      </c>
      <c r="H193" s="1" t="s">
        <v>1211</v>
      </c>
      <c r="I193" s="2">
        <v>46177.777274224536</v>
      </c>
      <c r="J193" s="1" t="s">
        <v>1211</v>
      </c>
    </row>
    <row r="194" spans="1:10" x14ac:dyDescent="0.35">
      <c r="A194" s="1" t="s">
        <v>359</v>
      </c>
      <c r="B194" s="1" t="s">
        <v>1209</v>
      </c>
      <c r="C194" s="1" t="s">
        <v>1210</v>
      </c>
      <c r="D194" s="2">
        <v>46177</v>
      </c>
      <c r="E194">
        <v>5.0302289872695999E-2</v>
      </c>
      <c r="F194" s="1" t="s">
        <v>5634</v>
      </c>
      <c r="G194" s="2">
        <v>46177.777274386572</v>
      </c>
      <c r="H194" s="1" t="s">
        <v>1211</v>
      </c>
      <c r="I194" s="2">
        <v>46177.777274386572</v>
      </c>
      <c r="J194" s="1" t="s">
        <v>1211</v>
      </c>
    </row>
    <row r="195" spans="1:10" x14ac:dyDescent="0.35">
      <c r="A195" s="1" t="s">
        <v>361</v>
      </c>
      <c r="B195" s="1" t="s">
        <v>1209</v>
      </c>
      <c r="C195" s="1" t="s">
        <v>1210</v>
      </c>
      <c r="D195" s="2">
        <v>46177</v>
      </c>
      <c r="E195">
        <v>5.0446797273719299E-2</v>
      </c>
      <c r="F195" s="1" t="s">
        <v>5635</v>
      </c>
      <c r="G195" s="2">
        <v>46177.777274537038</v>
      </c>
      <c r="H195" s="1" t="s">
        <v>1211</v>
      </c>
      <c r="I195" s="2">
        <v>46177.777274571759</v>
      </c>
      <c r="J195" s="1" t="s">
        <v>1211</v>
      </c>
    </row>
    <row r="196" spans="1:10" x14ac:dyDescent="0.35">
      <c r="A196" s="1" t="s">
        <v>192</v>
      </c>
      <c r="B196" s="1" t="s">
        <v>1209</v>
      </c>
      <c r="C196" s="1" t="s">
        <v>1210</v>
      </c>
      <c r="D196" s="2">
        <v>46177</v>
      </c>
      <c r="E196">
        <v>2.6940571745798399E-2</v>
      </c>
      <c r="F196" s="1" t="s">
        <v>5636</v>
      </c>
      <c r="G196" s="2">
        <v>46177.777274652777</v>
      </c>
      <c r="H196" s="1" t="s">
        <v>1211</v>
      </c>
      <c r="I196" s="2">
        <v>46177.777274571759</v>
      </c>
      <c r="J196" s="1" t="s">
        <v>1211</v>
      </c>
    </row>
    <row r="197" spans="1:10" x14ac:dyDescent="0.35">
      <c r="A197" s="1" t="s">
        <v>194</v>
      </c>
      <c r="B197" s="1" t="s">
        <v>1209</v>
      </c>
      <c r="C197" s="1" t="s">
        <v>1210</v>
      </c>
      <c r="D197" s="2">
        <v>46177</v>
      </c>
      <c r="E197">
        <v>5.0500117081041199E-2</v>
      </c>
      <c r="F197" s="1" t="s">
        <v>5637</v>
      </c>
      <c r="G197" s="2">
        <v>46177.777274803244</v>
      </c>
      <c r="H197" s="1" t="s">
        <v>1211</v>
      </c>
      <c r="I197" s="2">
        <v>46177.777274733795</v>
      </c>
      <c r="J197" s="1" t="s">
        <v>1211</v>
      </c>
    </row>
    <row r="198" spans="1:10" x14ac:dyDescent="0.35">
      <c r="A198" s="1" t="s">
        <v>283</v>
      </c>
      <c r="B198" s="1" t="s">
        <v>1209</v>
      </c>
      <c r="C198" s="1" t="s">
        <v>1210</v>
      </c>
      <c r="D198" s="2">
        <v>46177</v>
      </c>
      <c r="E198">
        <v>5.0602382506862102E-2</v>
      </c>
      <c r="F198" s="1" t="s">
        <v>5638</v>
      </c>
      <c r="G198" s="2">
        <v>46177.77727496528</v>
      </c>
      <c r="H198" s="1" t="s">
        <v>1211</v>
      </c>
      <c r="I198" s="2">
        <v>46177.777274918983</v>
      </c>
      <c r="J198" s="1" t="s">
        <v>1211</v>
      </c>
    </row>
    <row r="199" spans="1:10" x14ac:dyDescent="0.35">
      <c r="A199" s="1" t="s">
        <v>363</v>
      </c>
      <c r="B199" s="1" t="s">
        <v>1209</v>
      </c>
      <c r="C199" s="1" t="s">
        <v>1210</v>
      </c>
      <c r="D199" s="2">
        <v>46177</v>
      </c>
      <c r="E199">
        <v>5.0444729264486503E-2</v>
      </c>
      <c r="F199" s="1" t="s">
        <v>5639</v>
      </c>
      <c r="G199" s="2">
        <v>46177.777275115739</v>
      </c>
      <c r="H199" s="1" t="s">
        <v>1211</v>
      </c>
      <c r="I199" s="2">
        <v>46177.777275115739</v>
      </c>
      <c r="J199" s="1" t="s">
        <v>1211</v>
      </c>
    </row>
    <row r="200" spans="1:10" x14ac:dyDescent="0.35">
      <c r="A200" s="1" t="s">
        <v>445</v>
      </c>
      <c r="B200" s="1" t="s">
        <v>1209</v>
      </c>
      <c r="C200" s="1" t="s">
        <v>1210</v>
      </c>
      <c r="D200" s="2">
        <v>46177</v>
      </c>
      <c r="E200">
        <v>5.0443268236347198E-2</v>
      </c>
      <c r="F200" s="1" t="s">
        <v>5640</v>
      </c>
      <c r="G200" s="2">
        <v>46177.777275266206</v>
      </c>
      <c r="H200" s="1" t="s">
        <v>1211</v>
      </c>
      <c r="I200" s="2">
        <v>46177.777275312503</v>
      </c>
      <c r="J200" s="1" t="s">
        <v>1211</v>
      </c>
    </row>
    <row r="201" spans="1:10" x14ac:dyDescent="0.35">
      <c r="A201" s="1" t="s">
        <v>447</v>
      </c>
      <c r="B201" s="1" t="s">
        <v>1209</v>
      </c>
      <c r="C201" s="1" t="s">
        <v>1210</v>
      </c>
      <c r="D201" s="2">
        <v>46177</v>
      </c>
      <c r="E201">
        <v>2.7090346898327799E-2</v>
      </c>
      <c r="F201" s="1" t="s">
        <v>5641</v>
      </c>
      <c r="G201" s="2">
        <v>46177.777275428241</v>
      </c>
      <c r="H201" s="1" t="s">
        <v>1211</v>
      </c>
      <c r="I201" s="2">
        <v>46177.777275312503</v>
      </c>
      <c r="J201" s="1" t="s">
        <v>1211</v>
      </c>
    </row>
    <row r="202" spans="1:10" x14ac:dyDescent="0.35">
      <c r="A202" s="1" t="s">
        <v>365</v>
      </c>
      <c r="B202" s="1" t="s">
        <v>1209</v>
      </c>
      <c r="C202" s="1" t="s">
        <v>1210</v>
      </c>
      <c r="D202" s="2">
        <v>46177</v>
      </c>
      <c r="E202">
        <v>5.0485644842459002E-2</v>
      </c>
      <c r="F202" s="1" t="s">
        <v>5642</v>
      </c>
      <c r="G202" s="2">
        <v>46177.777275578701</v>
      </c>
      <c r="H202" s="1" t="s">
        <v>1211</v>
      </c>
      <c r="I202" s="2">
        <v>46177.777275462962</v>
      </c>
      <c r="J202" s="1" t="s">
        <v>1211</v>
      </c>
    </row>
    <row r="203" spans="1:10" x14ac:dyDescent="0.35">
      <c r="A203" s="1" t="s">
        <v>449</v>
      </c>
      <c r="B203" s="1" t="s">
        <v>1209</v>
      </c>
      <c r="C203" s="1" t="s">
        <v>1210</v>
      </c>
      <c r="D203" s="2">
        <v>46177</v>
      </c>
      <c r="E203">
        <v>5.0586046242741801E-2</v>
      </c>
      <c r="F203" s="1" t="s">
        <v>5643</v>
      </c>
      <c r="G203" s="2">
        <v>46177.777275729168</v>
      </c>
      <c r="H203" s="1" t="s">
        <v>1211</v>
      </c>
      <c r="I203" s="2">
        <v>46177.777275659719</v>
      </c>
      <c r="J203" s="1" t="s">
        <v>1211</v>
      </c>
    </row>
    <row r="204" spans="1:10" x14ac:dyDescent="0.35">
      <c r="A204" s="1" t="s">
        <v>420</v>
      </c>
      <c r="B204" s="1" t="s">
        <v>1209</v>
      </c>
      <c r="C204" s="1" t="s">
        <v>1210</v>
      </c>
      <c r="D204" s="2">
        <v>46177</v>
      </c>
      <c r="E204">
        <v>5.05820837101233E-2</v>
      </c>
      <c r="F204" s="1" t="s">
        <v>5644</v>
      </c>
      <c r="G204" s="2">
        <v>46177.777275891203</v>
      </c>
      <c r="H204" s="1" t="s">
        <v>1211</v>
      </c>
      <c r="I204" s="2">
        <v>46177.777275844906</v>
      </c>
      <c r="J204" s="1" t="s">
        <v>1211</v>
      </c>
    </row>
    <row r="205" spans="1:10" x14ac:dyDescent="0.35">
      <c r="A205" s="1" t="s">
        <v>327</v>
      </c>
      <c r="B205" s="1" t="s">
        <v>1209</v>
      </c>
      <c r="C205" s="1" t="s">
        <v>1210</v>
      </c>
      <c r="D205" s="2">
        <v>46177</v>
      </c>
      <c r="E205">
        <v>5.0546258761876003E-2</v>
      </c>
      <c r="F205" s="1" t="s">
        <v>5645</v>
      </c>
      <c r="G205" s="2">
        <v>46177.77727604167</v>
      </c>
      <c r="H205" s="1" t="s">
        <v>1211</v>
      </c>
      <c r="I205" s="2">
        <v>46177.777276006942</v>
      </c>
      <c r="J205" s="1" t="s">
        <v>1211</v>
      </c>
    </row>
    <row r="206" spans="1:10" x14ac:dyDescent="0.35">
      <c r="A206" s="1" t="s">
        <v>367</v>
      </c>
      <c r="B206" s="1" t="s">
        <v>1209</v>
      </c>
      <c r="C206" s="1" t="s">
        <v>1210</v>
      </c>
      <c r="D206" s="2">
        <v>46177</v>
      </c>
      <c r="E206">
        <v>2.7196197078693501E-2</v>
      </c>
      <c r="F206" s="1" t="s">
        <v>5646</v>
      </c>
      <c r="G206" s="2">
        <v>46177.777276157409</v>
      </c>
      <c r="H206" s="1" t="s">
        <v>1211</v>
      </c>
      <c r="I206" s="2">
        <v>46177.77727619213</v>
      </c>
      <c r="J206" s="1" t="s">
        <v>1211</v>
      </c>
    </row>
    <row r="207" spans="1:10" x14ac:dyDescent="0.35">
      <c r="A207" s="1" t="s">
        <v>329</v>
      </c>
      <c r="B207" s="1" t="s">
        <v>1209</v>
      </c>
      <c r="C207" s="1" t="s">
        <v>1210</v>
      </c>
      <c r="D207" s="2">
        <v>46177</v>
      </c>
      <c r="E207">
        <v>5.0542191781961503E-2</v>
      </c>
      <c r="F207" s="1" t="s">
        <v>5647</v>
      </c>
      <c r="G207" s="2">
        <v>46177.777276307868</v>
      </c>
      <c r="H207" s="1" t="s">
        <v>1211</v>
      </c>
      <c r="I207" s="2">
        <v>46177.777276388886</v>
      </c>
      <c r="J207" s="1" t="s">
        <v>1211</v>
      </c>
    </row>
    <row r="208" spans="1:10" x14ac:dyDescent="0.35">
      <c r="A208" s="1" t="s">
        <v>196</v>
      </c>
      <c r="B208" s="1" t="s">
        <v>1209</v>
      </c>
      <c r="C208" s="1" t="s">
        <v>1210</v>
      </c>
      <c r="D208" s="2">
        <v>46177</v>
      </c>
      <c r="E208">
        <v>5.0593984128443098E-2</v>
      </c>
      <c r="F208" s="1" t="s">
        <v>5648</v>
      </c>
      <c r="G208" s="2">
        <v>46177.777276469904</v>
      </c>
      <c r="H208" s="1" t="s">
        <v>1211</v>
      </c>
      <c r="I208" s="2">
        <v>46177.777276388886</v>
      </c>
      <c r="J208" s="1" t="s">
        <v>1211</v>
      </c>
    </row>
    <row r="209" spans="1:10" x14ac:dyDescent="0.35">
      <c r="A209" s="1" t="s">
        <v>451</v>
      </c>
      <c r="B209" s="1" t="s">
        <v>1209</v>
      </c>
      <c r="C209" s="1" t="s">
        <v>1210</v>
      </c>
      <c r="D209" s="2">
        <v>46177</v>
      </c>
      <c r="E209">
        <v>5.0502736420701397E-2</v>
      </c>
      <c r="F209" s="1" t="s">
        <v>5649</v>
      </c>
      <c r="G209" s="2">
        <v>46177.777276620371</v>
      </c>
      <c r="H209" s="1" t="s">
        <v>1211</v>
      </c>
      <c r="I209" s="2">
        <v>46177.77727658565</v>
      </c>
      <c r="J209" s="1" t="s">
        <v>1211</v>
      </c>
    </row>
    <row r="210" spans="1:10" x14ac:dyDescent="0.35">
      <c r="A210" s="1" t="s">
        <v>331</v>
      </c>
      <c r="B210" s="1" t="s">
        <v>1209</v>
      </c>
      <c r="C210" s="1" t="s">
        <v>1210</v>
      </c>
      <c r="D210" s="2">
        <v>46177</v>
      </c>
      <c r="E210">
        <v>5.0598260834099698E-2</v>
      </c>
      <c r="F210" s="1" t="s">
        <v>5650</v>
      </c>
      <c r="G210" s="2">
        <v>46177.77727677083</v>
      </c>
      <c r="H210" s="1" t="s">
        <v>1211</v>
      </c>
      <c r="I210" s="2">
        <v>46177.777276736109</v>
      </c>
      <c r="J210" s="1" t="s">
        <v>1211</v>
      </c>
    </row>
    <row r="211" spans="1:10" x14ac:dyDescent="0.35">
      <c r="A211" s="1" t="s">
        <v>369</v>
      </c>
      <c r="B211" s="1" t="s">
        <v>1209</v>
      </c>
      <c r="C211" s="1" t="s">
        <v>1210</v>
      </c>
      <c r="D211" s="2">
        <v>46177</v>
      </c>
      <c r="E211">
        <v>2.7246712879850699E-2</v>
      </c>
      <c r="F211" s="1" t="s">
        <v>5651</v>
      </c>
      <c r="G211" s="2">
        <v>46177.777276932873</v>
      </c>
      <c r="H211" s="1" t="s">
        <v>1211</v>
      </c>
      <c r="I211" s="2">
        <v>46177.777276932873</v>
      </c>
      <c r="J211" s="1" t="s">
        <v>1211</v>
      </c>
    </row>
    <row r="212" spans="1:10" x14ac:dyDescent="0.35">
      <c r="A212" s="1" t="s">
        <v>285</v>
      </c>
      <c r="B212" s="1" t="s">
        <v>1209</v>
      </c>
      <c r="C212" s="1" t="s">
        <v>1210</v>
      </c>
      <c r="D212" s="2">
        <v>46177</v>
      </c>
      <c r="E212">
        <v>5.0649689723156303E-2</v>
      </c>
      <c r="F212" s="1" t="s">
        <v>5652</v>
      </c>
      <c r="G212" s="2">
        <v>46177.777277083333</v>
      </c>
      <c r="H212" s="1" t="s">
        <v>1211</v>
      </c>
      <c r="I212" s="2">
        <v>46177.777277118053</v>
      </c>
      <c r="J212" s="1" t="s">
        <v>1211</v>
      </c>
    </row>
    <row r="213" spans="1:10" x14ac:dyDescent="0.35">
      <c r="A213" s="1" t="s">
        <v>287</v>
      </c>
      <c r="B213" s="1" t="s">
        <v>1209</v>
      </c>
      <c r="C213" s="1" t="s">
        <v>1210</v>
      </c>
      <c r="D213" s="2">
        <v>46177</v>
      </c>
      <c r="E213">
        <v>5.0800798200348503E-2</v>
      </c>
      <c r="F213" s="1" t="s">
        <v>5653</v>
      </c>
      <c r="G213" s="2">
        <v>46177.777277233799</v>
      </c>
      <c r="H213" s="1" t="s">
        <v>1211</v>
      </c>
      <c r="I213" s="2">
        <v>46177.777277280089</v>
      </c>
      <c r="J213" s="1" t="s">
        <v>1211</v>
      </c>
    </row>
    <row r="214" spans="1:10" x14ac:dyDescent="0.35">
      <c r="A214" s="1" t="s">
        <v>198</v>
      </c>
      <c r="B214" s="1" t="s">
        <v>1209</v>
      </c>
      <c r="C214" s="1" t="s">
        <v>1210</v>
      </c>
      <c r="D214" s="2">
        <v>46177</v>
      </c>
      <c r="E214">
        <v>5.07901936845482E-2</v>
      </c>
      <c r="F214" s="1" t="s">
        <v>5654</v>
      </c>
      <c r="G214" s="2">
        <v>46177.777277395835</v>
      </c>
      <c r="H214" s="1" t="s">
        <v>1211</v>
      </c>
      <c r="I214" s="2">
        <v>46177.777277280089</v>
      </c>
      <c r="J214" s="1" t="s">
        <v>1211</v>
      </c>
    </row>
    <row r="215" spans="1:10" x14ac:dyDescent="0.35">
      <c r="A215" s="1" t="s">
        <v>333</v>
      </c>
      <c r="B215" s="1" t="s">
        <v>1209</v>
      </c>
      <c r="C215" s="1" t="s">
        <v>1210</v>
      </c>
      <c r="D215" s="2">
        <v>46177</v>
      </c>
      <c r="E215">
        <v>5.0888552005565899E-2</v>
      </c>
      <c r="F215" s="1" t="s">
        <v>5655</v>
      </c>
      <c r="G215" s="2">
        <v>46177.777277546294</v>
      </c>
      <c r="H215" s="1" t="s">
        <v>1211</v>
      </c>
      <c r="I215" s="2">
        <v>46177.777277465277</v>
      </c>
      <c r="J215" s="1" t="s">
        <v>1211</v>
      </c>
    </row>
    <row r="216" spans="1:10" x14ac:dyDescent="0.35">
      <c r="A216" s="1" t="s">
        <v>335</v>
      </c>
      <c r="B216" s="1" t="s">
        <v>1209</v>
      </c>
      <c r="C216" s="1" t="s">
        <v>1210</v>
      </c>
      <c r="D216" s="2">
        <v>46177</v>
      </c>
      <c r="E216">
        <v>2.73240071215557E-2</v>
      </c>
      <c r="F216" s="1" t="s">
        <v>5656</v>
      </c>
      <c r="G216" s="2">
        <v>46177.77727766204</v>
      </c>
      <c r="H216" s="1" t="s">
        <v>1211</v>
      </c>
      <c r="I216" s="2">
        <v>46177.777277627312</v>
      </c>
      <c r="J216" s="1" t="s">
        <v>1211</v>
      </c>
    </row>
    <row r="217" spans="1:10" x14ac:dyDescent="0.35">
      <c r="A217" s="1" t="s">
        <v>422</v>
      </c>
      <c r="B217" s="1" t="s">
        <v>1209</v>
      </c>
      <c r="C217" s="1" t="s">
        <v>1210</v>
      </c>
      <c r="D217" s="2">
        <v>46177</v>
      </c>
      <c r="E217">
        <v>5.0988628095438998E-2</v>
      </c>
      <c r="F217" s="1" t="s">
        <v>5657</v>
      </c>
      <c r="G217" s="2">
        <v>46177.7772778125</v>
      </c>
      <c r="H217" s="1" t="s">
        <v>1211</v>
      </c>
      <c r="I217" s="2">
        <v>46177.7772778125</v>
      </c>
      <c r="J217" s="1" t="s">
        <v>1211</v>
      </c>
    </row>
    <row r="218" spans="1:10" x14ac:dyDescent="0.35">
      <c r="A218" s="1" t="s">
        <v>337</v>
      </c>
      <c r="B218" s="1" t="s">
        <v>1209</v>
      </c>
      <c r="C218" s="1" t="s">
        <v>1210</v>
      </c>
      <c r="D218" s="2">
        <v>46177</v>
      </c>
      <c r="E218">
        <v>5.0990117893846901E-2</v>
      </c>
      <c r="F218" s="1" t="s">
        <v>5658</v>
      </c>
      <c r="G218" s="2">
        <v>46177.777278009256</v>
      </c>
      <c r="H218" s="1" t="s">
        <v>1211</v>
      </c>
      <c r="I218" s="2">
        <v>46177.777278009256</v>
      </c>
      <c r="J218" s="1" t="s">
        <v>1211</v>
      </c>
    </row>
    <row r="219" spans="1:10" x14ac:dyDescent="0.35">
      <c r="A219" s="1" t="s">
        <v>424</v>
      </c>
      <c r="B219" s="1" t="s">
        <v>1209</v>
      </c>
      <c r="C219" s="1" t="s">
        <v>1210</v>
      </c>
      <c r="D219" s="2">
        <v>46177</v>
      </c>
      <c r="E219">
        <v>4.8458728533605999E-2</v>
      </c>
      <c r="F219" s="1" t="s">
        <v>5659</v>
      </c>
      <c r="G219" s="2">
        <v>46177.777278125002</v>
      </c>
      <c r="H219" s="1" t="s">
        <v>1211</v>
      </c>
      <c r="I219" s="2">
        <v>46177.77727820602</v>
      </c>
      <c r="J219" s="1" t="s">
        <v>1211</v>
      </c>
    </row>
    <row r="220" spans="1:10" x14ac:dyDescent="0.35">
      <c r="A220" s="1" t="s">
        <v>289</v>
      </c>
      <c r="B220" s="1" t="s">
        <v>1209</v>
      </c>
      <c r="C220" s="1" t="s">
        <v>1210</v>
      </c>
      <c r="D220" s="2">
        <v>46177</v>
      </c>
      <c r="E220">
        <v>4.8224255922518902E-2</v>
      </c>
      <c r="F220" s="1" t="s">
        <v>5660</v>
      </c>
      <c r="G220" s="2">
        <v>46177.777278321759</v>
      </c>
      <c r="H220" s="1" t="s">
        <v>1211</v>
      </c>
      <c r="I220" s="2">
        <v>46177.77727820602</v>
      </c>
      <c r="J220" s="1" t="s">
        <v>1211</v>
      </c>
    </row>
    <row r="221" spans="1:10" x14ac:dyDescent="0.35">
      <c r="A221" s="1" t="s">
        <v>453</v>
      </c>
      <c r="B221" s="1" t="s">
        <v>1209</v>
      </c>
      <c r="C221" s="1" t="s">
        <v>1210</v>
      </c>
      <c r="D221" s="2">
        <v>46177</v>
      </c>
      <c r="E221">
        <v>5.0975297855858498E-2</v>
      </c>
      <c r="F221" s="1" t="s">
        <v>5661</v>
      </c>
      <c r="G221" s="2">
        <v>46177.777278472226</v>
      </c>
      <c r="H221" s="1" t="s">
        <v>1211</v>
      </c>
      <c r="I221" s="2">
        <v>46177.77727835648</v>
      </c>
      <c r="J221" s="1" t="s">
        <v>1211</v>
      </c>
    </row>
    <row r="222" spans="1:10" x14ac:dyDescent="0.35">
      <c r="A222" s="1" t="s">
        <v>339</v>
      </c>
      <c r="B222" s="1" t="s">
        <v>1209</v>
      </c>
      <c r="C222" s="1" t="s">
        <v>1210</v>
      </c>
      <c r="D222" s="2">
        <v>46177</v>
      </c>
      <c r="E222">
        <v>4.8578608635041799E-2</v>
      </c>
      <c r="F222" s="1" t="s">
        <v>5662</v>
      </c>
      <c r="G222" s="2">
        <v>46177.777278622685</v>
      </c>
      <c r="H222" s="1" t="s">
        <v>1211</v>
      </c>
      <c r="I222" s="2">
        <v>46177.777278553243</v>
      </c>
      <c r="J222" s="1" t="s">
        <v>1211</v>
      </c>
    </row>
    <row r="223" spans="1:10" x14ac:dyDescent="0.35">
      <c r="A223" s="1" t="s">
        <v>455</v>
      </c>
      <c r="B223" s="1" t="s">
        <v>1209</v>
      </c>
      <c r="C223" s="1" t="s">
        <v>1210</v>
      </c>
      <c r="D223" s="2">
        <v>46177</v>
      </c>
      <c r="E223">
        <v>5.0919277621984102E-2</v>
      </c>
      <c r="F223" s="1" t="s">
        <v>5663</v>
      </c>
      <c r="G223" s="2">
        <v>46177.777278784721</v>
      </c>
      <c r="H223" s="1" t="s">
        <v>1211</v>
      </c>
      <c r="I223" s="2">
        <v>46177.777278738424</v>
      </c>
      <c r="J223" s="1" t="s">
        <v>1211</v>
      </c>
    </row>
    <row r="224" spans="1:10" x14ac:dyDescent="0.35">
      <c r="A224" s="1" t="s">
        <v>200</v>
      </c>
      <c r="B224" s="1" t="s">
        <v>1209</v>
      </c>
      <c r="C224" s="1" t="s">
        <v>1210</v>
      </c>
      <c r="D224" s="2">
        <v>46177</v>
      </c>
      <c r="E224">
        <v>2.7369205613340001E-2</v>
      </c>
      <c r="F224" s="1" t="s">
        <v>5664</v>
      </c>
      <c r="G224" s="2">
        <v>46177.777278900459</v>
      </c>
      <c r="H224" s="1" t="s">
        <v>1211</v>
      </c>
      <c r="I224" s="2">
        <v>46177.777278900459</v>
      </c>
      <c r="J224" s="1" t="s">
        <v>1211</v>
      </c>
    </row>
    <row r="225" spans="1:10" x14ac:dyDescent="0.35">
      <c r="A225" s="1" t="s">
        <v>459</v>
      </c>
      <c r="B225" s="1" t="s">
        <v>1209</v>
      </c>
      <c r="C225" s="1" t="s">
        <v>1210</v>
      </c>
      <c r="D225" s="2">
        <v>46177</v>
      </c>
      <c r="E225">
        <v>4.86073493260347E-2</v>
      </c>
      <c r="F225" s="1" t="s">
        <v>5665</v>
      </c>
      <c r="G225" s="2">
        <v>46177.777279050926</v>
      </c>
      <c r="H225" s="1" t="s">
        <v>1211</v>
      </c>
      <c r="I225" s="2">
        <v>46177.777279085647</v>
      </c>
      <c r="J225" s="1" t="s">
        <v>1211</v>
      </c>
    </row>
    <row r="226" spans="1:10" x14ac:dyDescent="0.35">
      <c r="A226" s="1" t="s">
        <v>341</v>
      </c>
      <c r="B226" s="1" t="s">
        <v>1209</v>
      </c>
      <c r="C226" s="1" t="s">
        <v>1210</v>
      </c>
      <c r="D226" s="2">
        <v>46177</v>
      </c>
      <c r="E226">
        <v>5.0779581662804697E-2</v>
      </c>
      <c r="F226" s="1" t="s">
        <v>5666</v>
      </c>
      <c r="G226" s="2">
        <v>46177.777279201386</v>
      </c>
      <c r="H226" s="1" t="s">
        <v>1211</v>
      </c>
      <c r="I226" s="2">
        <v>46177.777279085647</v>
      </c>
      <c r="J226" s="1" t="s">
        <v>1211</v>
      </c>
    </row>
    <row r="227" spans="1:10" x14ac:dyDescent="0.35">
      <c r="A227" s="1" t="s">
        <v>1122</v>
      </c>
      <c r="B227" s="1" t="s">
        <v>1209</v>
      </c>
      <c r="C227" s="1" t="s">
        <v>1210</v>
      </c>
      <c r="D227" s="2">
        <v>46177</v>
      </c>
      <c r="E227">
        <v>4.8653468978009401E-2</v>
      </c>
      <c r="F227" s="1" t="s">
        <v>5667</v>
      </c>
      <c r="G227" s="2">
        <v>46177.777279363429</v>
      </c>
      <c r="H227" s="1" t="s">
        <v>1211</v>
      </c>
      <c r="I227" s="2">
        <v>46177.777279282411</v>
      </c>
      <c r="J227" s="1" t="s">
        <v>1211</v>
      </c>
    </row>
    <row r="228" spans="1:10" x14ac:dyDescent="0.35">
      <c r="A228" s="1" t="s">
        <v>291</v>
      </c>
      <c r="B228" s="1" t="s">
        <v>1209</v>
      </c>
      <c r="C228" s="1" t="s">
        <v>1210</v>
      </c>
      <c r="D228" s="2">
        <v>46177</v>
      </c>
      <c r="E228">
        <v>5.0852656214904403E-2</v>
      </c>
      <c r="F228" s="1" t="s">
        <v>5668</v>
      </c>
      <c r="G228" s="2">
        <v>46177.777279513888</v>
      </c>
      <c r="H228" s="1" t="s">
        <v>1211</v>
      </c>
      <c r="I228" s="2">
        <v>46177.777279479167</v>
      </c>
      <c r="J228" s="1" t="s">
        <v>1211</v>
      </c>
    </row>
    <row r="229" spans="1:10" x14ac:dyDescent="0.35">
      <c r="A229" s="1" t="s">
        <v>293</v>
      </c>
      <c r="B229" s="1" t="s">
        <v>1209</v>
      </c>
      <c r="C229" s="1" t="s">
        <v>1210</v>
      </c>
      <c r="D229" s="2">
        <v>46177</v>
      </c>
      <c r="E229">
        <v>4.8955600912036899E-2</v>
      </c>
      <c r="F229" s="1" t="s">
        <v>5669</v>
      </c>
      <c r="G229" s="2">
        <v>46177.777279664355</v>
      </c>
      <c r="H229" s="1" t="s">
        <v>1211</v>
      </c>
      <c r="I229" s="2">
        <v>46177.777279629627</v>
      </c>
      <c r="J229" s="1" t="s">
        <v>1211</v>
      </c>
    </row>
    <row r="230" spans="1:10" x14ac:dyDescent="0.35">
      <c r="A230" s="1" t="s">
        <v>343</v>
      </c>
      <c r="B230" s="1" t="s">
        <v>1209</v>
      </c>
      <c r="C230" s="1" t="s">
        <v>1210</v>
      </c>
      <c r="D230" s="2">
        <v>46177</v>
      </c>
      <c r="E230">
        <v>5.0863176286540697E-2</v>
      </c>
      <c r="F230" s="1" t="s">
        <v>5670</v>
      </c>
      <c r="G230" s="2">
        <v>46177.77727982639</v>
      </c>
      <c r="H230" s="1" t="s">
        <v>1211</v>
      </c>
      <c r="I230" s="2">
        <v>46177.77727982639</v>
      </c>
      <c r="J230" s="1" t="s">
        <v>1211</v>
      </c>
    </row>
    <row r="231" spans="1:10" x14ac:dyDescent="0.35">
      <c r="A231" s="1" t="s">
        <v>202</v>
      </c>
      <c r="B231" s="1" t="s">
        <v>1209</v>
      </c>
      <c r="C231" s="1" t="s">
        <v>1210</v>
      </c>
      <c r="D231" s="2">
        <v>46177</v>
      </c>
      <c r="E231">
        <v>4.9049118054677397E-2</v>
      </c>
      <c r="F231" s="1" t="s">
        <v>5671</v>
      </c>
      <c r="G231" s="2">
        <v>46177.77727997685</v>
      </c>
      <c r="H231" s="1" t="s">
        <v>1211</v>
      </c>
      <c r="I231" s="2">
        <v>46177.777280011571</v>
      </c>
      <c r="J231" s="1" t="s">
        <v>1211</v>
      </c>
    </row>
    <row r="232" spans="1:10" x14ac:dyDescent="0.35">
      <c r="A232" s="1" t="s">
        <v>461</v>
      </c>
      <c r="B232" s="1" t="s">
        <v>1209</v>
      </c>
      <c r="C232" s="1" t="s">
        <v>1210</v>
      </c>
      <c r="D232" s="2">
        <v>46177</v>
      </c>
      <c r="E232">
        <v>5.0758360308120899E-2</v>
      </c>
      <c r="F232" s="1" t="s">
        <v>5672</v>
      </c>
      <c r="G232" s="2">
        <v>46177.777280127317</v>
      </c>
      <c r="H232" s="1" t="s">
        <v>1211</v>
      </c>
      <c r="I232" s="2">
        <v>46177.777280011571</v>
      </c>
      <c r="J232" s="1" t="s">
        <v>1211</v>
      </c>
    </row>
    <row r="233" spans="1:10" x14ac:dyDescent="0.35">
      <c r="A233" s="1" t="s">
        <v>463</v>
      </c>
      <c r="B233" s="1" t="s">
        <v>1209</v>
      </c>
      <c r="C233" s="1" t="s">
        <v>1210</v>
      </c>
      <c r="D233" s="2">
        <v>46177</v>
      </c>
      <c r="E233">
        <v>2.71971536687153E-2</v>
      </c>
      <c r="F233" s="1" t="s">
        <v>5673</v>
      </c>
      <c r="G233" s="2">
        <v>46177.777280289352</v>
      </c>
      <c r="H233" s="1" t="s">
        <v>1211</v>
      </c>
      <c r="I233" s="2">
        <v>46177.777280173614</v>
      </c>
      <c r="J233" s="1" t="s">
        <v>1211</v>
      </c>
    </row>
    <row r="234" spans="1:10" x14ac:dyDescent="0.35">
      <c r="A234" s="1" t="s">
        <v>371</v>
      </c>
      <c r="B234" s="1" t="s">
        <v>1209</v>
      </c>
      <c r="C234" s="1" t="s">
        <v>1210</v>
      </c>
      <c r="D234" s="2">
        <v>46177</v>
      </c>
      <c r="E234">
        <v>4.9111944470199301E-2</v>
      </c>
      <c r="F234" s="1" t="s">
        <v>5674</v>
      </c>
      <c r="G234" s="2">
        <v>46177.77728047454</v>
      </c>
      <c r="H234" s="1" t="s">
        <v>1211</v>
      </c>
      <c r="I234" s="2">
        <v>46177.777280405091</v>
      </c>
      <c r="J234" s="1" t="s">
        <v>1211</v>
      </c>
    </row>
    <row r="235" spans="1:10" x14ac:dyDescent="0.35">
      <c r="A235" s="1" t="s">
        <v>345</v>
      </c>
      <c r="B235" s="1" t="s">
        <v>1209</v>
      </c>
      <c r="C235" s="1" t="s">
        <v>1210</v>
      </c>
      <c r="D235" s="2">
        <v>46177</v>
      </c>
      <c r="E235">
        <v>5.0595189994164597E-2</v>
      </c>
      <c r="F235" s="1" t="s">
        <v>5675</v>
      </c>
      <c r="G235" s="2">
        <v>46177.777280636576</v>
      </c>
      <c r="H235" s="1" t="s">
        <v>1211</v>
      </c>
      <c r="I235" s="2">
        <v>46177.777280590279</v>
      </c>
      <c r="J235" s="1" t="s">
        <v>1211</v>
      </c>
    </row>
    <row r="236" spans="1:10" x14ac:dyDescent="0.35">
      <c r="A236" s="1" t="s">
        <v>426</v>
      </c>
      <c r="B236" s="1" t="s">
        <v>1209</v>
      </c>
      <c r="C236" s="1" t="s">
        <v>1210</v>
      </c>
      <c r="D236" s="2">
        <v>46177</v>
      </c>
      <c r="E236">
        <v>4.9013358734250799E-2</v>
      </c>
      <c r="F236" s="1" t="s">
        <v>5676</v>
      </c>
      <c r="G236" s="2">
        <v>46177.777280787035</v>
      </c>
      <c r="H236" s="1" t="s">
        <v>1211</v>
      </c>
      <c r="I236" s="2">
        <v>46177.777280752314</v>
      </c>
      <c r="J236" s="1" t="s">
        <v>1211</v>
      </c>
    </row>
    <row r="237" spans="1:10" x14ac:dyDescent="0.35">
      <c r="A237" s="1" t="s">
        <v>347</v>
      </c>
      <c r="B237" s="1" t="s">
        <v>1209</v>
      </c>
      <c r="C237" s="1" t="s">
        <v>1210</v>
      </c>
      <c r="D237" s="2">
        <v>46177</v>
      </c>
      <c r="E237">
        <v>5.0543448260220898E-2</v>
      </c>
      <c r="F237" s="1" t="s">
        <v>5677</v>
      </c>
      <c r="G237" s="2">
        <v>46177.777280902781</v>
      </c>
      <c r="H237" s="1" t="s">
        <v>1211</v>
      </c>
      <c r="I237" s="2">
        <v>46177.777280937502</v>
      </c>
      <c r="J237" s="1" t="s">
        <v>1211</v>
      </c>
    </row>
    <row r="238" spans="1:10" x14ac:dyDescent="0.35">
      <c r="A238" s="1" t="s">
        <v>373</v>
      </c>
      <c r="B238" s="1" t="s">
        <v>1209</v>
      </c>
      <c r="C238" s="1" t="s">
        <v>1210</v>
      </c>
      <c r="D238" s="2">
        <v>46177</v>
      </c>
      <c r="E238">
        <v>4.9082799355888398E-2</v>
      </c>
      <c r="F238" s="1" t="s">
        <v>5678</v>
      </c>
      <c r="G238" s="2">
        <v>46177.777281099538</v>
      </c>
      <c r="H238" s="1" t="s">
        <v>1211</v>
      </c>
      <c r="I238" s="2">
        <v>46177.777281134258</v>
      </c>
      <c r="J238" s="1" t="s">
        <v>1211</v>
      </c>
    </row>
    <row r="239" spans="1:10" x14ac:dyDescent="0.35">
      <c r="A239" s="1" t="s">
        <v>428</v>
      </c>
      <c r="B239" s="1" t="s">
        <v>1209</v>
      </c>
      <c r="C239" s="1" t="s">
        <v>1210</v>
      </c>
      <c r="D239" s="2">
        <v>46177</v>
      </c>
      <c r="E239">
        <v>5.0355782445013403E-2</v>
      </c>
      <c r="F239" s="1" t="s">
        <v>5679</v>
      </c>
      <c r="G239" s="2">
        <v>46177.777281249997</v>
      </c>
      <c r="H239" s="1" t="s">
        <v>1211</v>
      </c>
      <c r="I239" s="2">
        <v>46177.777281134258</v>
      </c>
      <c r="J239" s="1" t="s">
        <v>1211</v>
      </c>
    </row>
    <row r="240" spans="1:10" x14ac:dyDescent="0.35">
      <c r="A240" s="1" t="s">
        <v>295</v>
      </c>
      <c r="B240" s="1" t="s">
        <v>1209</v>
      </c>
      <c r="C240" s="1" t="s">
        <v>1210</v>
      </c>
      <c r="D240" s="2">
        <v>46177</v>
      </c>
      <c r="E240">
        <v>4.9091737460389001E-2</v>
      </c>
      <c r="F240" s="1" t="s">
        <v>5680</v>
      </c>
      <c r="G240" s="2">
        <v>46177.777281365743</v>
      </c>
      <c r="H240" s="1" t="s">
        <v>1211</v>
      </c>
      <c r="I240" s="2">
        <v>46177.777281331022</v>
      </c>
      <c r="J240" s="1" t="s">
        <v>1211</v>
      </c>
    </row>
    <row r="241" spans="1:10" x14ac:dyDescent="0.35">
      <c r="A241" s="1" t="s">
        <v>297</v>
      </c>
      <c r="B241" s="1" t="s">
        <v>1209</v>
      </c>
      <c r="C241" s="1" t="s">
        <v>1210</v>
      </c>
      <c r="D241" s="2">
        <v>46177</v>
      </c>
      <c r="E241">
        <v>5.0376305930482097E-2</v>
      </c>
      <c r="F241" s="1" t="s">
        <v>5681</v>
      </c>
      <c r="G241" s="2">
        <v>46177.777281516202</v>
      </c>
      <c r="H241" s="1" t="s">
        <v>1211</v>
      </c>
      <c r="I241" s="2">
        <v>46177.777281481482</v>
      </c>
      <c r="J241" s="1" t="s">
        <v>1211</v>
      </c>
    </row>
    <row r="242" spans="1:10" x14ac:dyDescent="0.35">
      <c r="A242" s="1" t="s">
        <v>299</v>
      </c>
      <c r="B242" s="1" t="s">
        <v>1209</v>
      </c>
      <c r="C242" s="1" t="s">
        <v>1210</v>
      </c>
      <c r="D242" s="2">
        <v>46177</v>
      </c>
      <c r="E242">
        <v>2.73512612996386E-2</v>
      </c>
      <c r="F242" s="1" t="s">
        <v>5682</v>
      </c>
      <c r="G242" s="2">
        <v>46177.777281678238</v>
      </c>
      <c r="H242" s="1" t="s">
        <v>1211</v>
      </c>
      <c r="I242" s="2">
        <v>46177.777281678238</v>
      </c>
      <c r="J242" s="1" t="s">
        <v>1211</v>
      </c>
    </row>
    <row r="243" spans="1:10" x14ac:dyDescent="0.35">
      <c r="A243" s="1" t="s">
        <v>349</v>
      </c>
      <c r="B243" s="1" t="s">
        <v>1209</v>
      </c>
      <c r="C243" s="1" t="s">
        <v>1210</v>
      </c>
      <c r="D243" s="2">
        <v>46177</v>
      </c>
      <c r="E243">
        <v>4.9246383984208802E-2</v>
      </c>
      <c r="F243" s="1" t="s">
        <v>5683</v>
      </c>
      <c r="G243" s="2">
        <v>46177.777281828705</v>
      </c>
      <c r="H243" s="1" t="s">
        <v>1211</v>
      </c>
      <c r="I243" s="2">
        <v>46177.777281863426</v>
      </c>
      <c r="J243" s="1" t="s">
        <v>1211</v>
      </c>
    </row>
    <row r="244" spans="1:10" x14ac:dyDescent="0.35">
      <c r="A244" s="1" t="s">
        <v>351</v>
      </c>
      <c r="B244" s="1" t="s">
        <v>1209</v>
      </c>
      <c r="C244" s="1" t="s">
        <v>1210</v>
      </c>
      <c r="D244" s="2">
        <v>46177</v>
      </c>
      <c r="E244">
        <v>5.0368739397639702E-2</v>
      </c>
      <c r="F244" s="1" t="s">
        <v>5684</v>
      </c>
      <c r="G244" s="2">
        <v>46177.777281979164</v>
      </c>
      <c r="H244" s="1" t="s">
        <v>1211</v>
      </c>
      <c r="I244" s="2">
        <v>46177.777282025461</v>
      </c>
      <c r="J244" s="1" t="s">
        <v>1211</v>
      </c>
    </row>
    <row r="245" spans="1:10" x14ac:dyDescent="0.35">
      <c r="A245" s="1" t="s">
        <v>457</v>
      </c>
      <c r="B245" s="1" t="s">
        <v>1209</v>
      </c>
      <c r="C245" s="1" t="s">
        <v>1210</v>
      </c>
      <c r="D245" s="2">
        <v>46177</v>
      </c>
      <c r="E245">
        <v>4.9342752037127603E-2</v>
      </c>
      <c r="F245" s="1" t="s">
        <v>5685</v>
      </c>
      <c r="G245" s="2">
        <v>46177.777282141207</v>
      </c>
      <c r="H245" s="1" t="s">
        <v>1211</v>
      </c>
      <c r="I245" s="2">
        <v>46177.777282025461</v>
      </c>
      <c r="J245" s="1" t="s">
        <v>1211</v>
      </c>
    </row>
    <row r="246" spans="1:10" x14ac:dyDescent="0.35">
      <c r="A246" s="1" t="s">
        <v>431</v>
      </c>
      <c r="B246" s="1" t="s">
        <v>1209</v>
      </c>
      <c r="C246" s="1" t="s">
        <v>1210</v>
      </c>
      <c r="D246" s="2">
        <v>46177</v>
      </c>
      <c r="E246">
        <v>5.0227538273865301E-2</v>
      </c>
      <c r="F246" s="1" t="s">
        <v>5686</v>
      </c>
      <c r="G246" s="2">
        <v>46177.777282291667</v>
      </c>
      <c r="H246" s="1" t="s">
        <v>1211</v>
      </c>
      <c r="I246" s="2">
        <v>46177.777282210649</v>
      </c>
      <c r="J246" s="1" t="s">
        <v>1211</v>
      </c>
    </row>
    <row r="247" spans="1:10" x14ac:dyDescent="0.35">
      <c r="A247" s="1" t="s">
        <v>465</v>
      </c>
      <c r="B247" s="1" t="s">
        <v>1209</v>
      </c>
      <c r="C247" s="1" t="s">
        <v>1210</v>
      </c>
      <c r="D247" s="2">
        <v>46177</v>
      </c>
      <c r="E247">
        <v>4.93627933921814E-2</v>
      </c>
      <c r="F247" s="1" t="s">
        <v>5687</v>
      </c>
      <c r="G247" s="2">
        <v>46177.777282442126</v>
      </c>
      <c r="H247" s="1" t="s">
        <v>1211</v>
      </c>
      <c r="I247" s="2">
        <v>46177.777282407405</v>
      </c>
      <c r="J247" s="1" t="s">
        <v>1211</v>
      </c>
    </row>
    <row r="248" spans="1:10" x14ac:dyDescent="0.35">
      <c r="A248" s="1" t="s">
        <v>204</v>
      </c>
      <c r="B248" s="1" t="s">
        <v>1209</v>
      </c>
      <c r="C248" s="1" t="s">
        <v>1210</v>
      </c>
      <c r="D248" s="2">
        <v>46177</v>
      </c>
      <c r="E248">
        <v>5.0111877905009899E-2</v>
      </c>
      <c r="F248" s="1" t="s">
        <v>5688</v>
      </c>
      <c r="G248" s="2">
        <v>46177.777282604169</v>
      </c>
      <c r="H248" s="1" t="s">
        <v>1211</v>
      </c>
      <c r="I248" s="2">
        <v>46177.777282604169</v>
      </c>
      <c r="J248" s="1" t="s">
        <v>1211</v>
      </c>
    </row>
    <row r="249" spans="1:10" x14ac:dyDescent="0.35">
      <c r="A249" s="1" t="s">
        <v>353</v>
      </c>
      <c r="B249" s="1" t="s">
        <v>1209</v>
      </c>
      <c r="C249" s="1" t="s">
        <v>1210</v>
      </c>
      <c r="D249" s="2">
        <v>46177</v>
      </c>
      <c r="E249">
        <v>4.9335014887805201E-2</v>
      </c>
      <c r="F249" s="1" t="s">
        <v>5689</v>
      </c>
      <c r="G249" s="2">
        <v>46177.777282754629</v>
      </c>
      <c r="H249" s="1" t="s">
        <v>1211</v>
      </c>
      <c r="I249" s="2">
        <v>46177.777282754629</v>
      </c>
      <c r="J249" s="1" t="s">
        <v>1211</v>
      </c>
    </row>
    <row r="250" spans="1:10" x14ac:dyDescent="0.35">
      <c r="A250" s="1" t="s">
        <v>433</v>
      </c>
      <c r="B250" s="1" t="s">
        <v>1209</v>
      </c>
      <c r="C250" s="1" t="s">
        <v>1210</v>
      </c>
      <c r="D250" s="2">
        <v>46177</v>
      </c>
      <c r="E250">
        <v>5.01494287246914E-2</v>
      </c>
      <c r="F250" s="1" t="s">
        <v>5690</v>
      </c>
      <c r="G250" s="2">
        <v>46177.777282870367</v>
      </c>
      <c r="H250" s="1" t="s">
        <v>1211</v>
      </c>
      <c r="I250" s="2">
        <v>46177.777282754629</v>
      </c>
      <c r="J250" s="1" t="s">
        <v>1211</v>
      </c>
    </row>
    <row r="251" spans="1:10" x14ac:dyDescent="0.35">
      <c r="A251" s="1" t="s">
        <v>301</v>
      </c>
      <c r="B251" s="1" t="s">
        <v>1209</v>
      </c>
      <c r="C251" s="1" t="s">
        <v>1210</v>
      </c>
      <c r="D251" s="2">
        <v>46177</v>
      </c>
      <c r="E251">
        <v>2.7360017137143498E-2</v>
      </c>
      <c r="F251" s="1" t="s">
        <v>5691</v>
      </c>
      <c r="G251" s="2">
        <v>46177.777282905095</v>
      </c>
      <c r="H251" s="1" t="s">
        <v>1211</v>
      </c>
      <c r="I251" s="2">
        <v>46177.777282951392</v>
      </c>
      <c r="J251" s="1" t="s">
        <v>1211</v>
      </c>
    </row>
    <row r="252" spans="1:10" x14ac:dyDescent="0.35">
      <c r="A252" s="1" t="s">
        <v>375</v>
      </c>
      <c r="B252" s="1" t="s">
        <v>1209</v>
      </c>
      <c r="C252" s="1" t="s">
        <v>1210</v>
      </c>
      <c r="D252" s="2">
        <v>46177</v>
      </c>
      <c r="E252">
        <v>4.9502284960766099E-2</v>
      </c>
      <c r="F252" s="1" t="s">
        <v>5692</v>
      </c>
      <c r="G252" s="2">
        <v>46177.777283067131</v>
      </c>
      <c r="H252" s="1" t="s">
        <v>1211</v>
      </c>
      <c r="I252" s="2">
        <v>46177.777283101852</v>
      </c>
      <c r="J252" s="1" t="s">
        <v>1211</v>
      </c>
    </row>
    <row r="253" spans="1:10" x14ac:dyDescent="0.35">
      <c r="A253" s="1" t="s">
        <v>377</v>
      </c>
      <c r="B253" s="1" t="s">
        <v>1209</v>
      </c>
      <c r="C253" s="1" t="s">
        <v>1210</v>
      </c>
      <c r="D253" s="2">
        <v>46177</v>
      </c>
      <c r="E253">
        <v>5.0038940318290898E-2</v>
      </c>
      <c r="F253" s="1" t="s">
        <v>5693</v>
      </c>
      <c r="G253" s="2">
        <v>46177.777283217591</v>
      </c>
      <c r="H253" s="1" t="s">
        <v>1211</v>
      </c>
      <c r="I253" s="2">
        <v>46177.777283298608</v>
      </c>
      <c r="J253" s="1" t="s">
        <v>1211</v>
      </c>
    </row>
    <row r="254" spans="1:10" x14ac:dyDescent="0.35">
      <c r="A254" s="1" t="s">
        <v>435</v>
      </c>
      <c r="B254" s="1" t="s">
        <v>1209</v>
      </c>
      <c r="C254" s="1" t="s">
        <v>1210</v>
      </c>
      <c r="D254" s="2">
        <v>46177</v>
      </c>
      <c r="E254">
        <v>4.95525644891801E-2</v>
      </c>
      <c r="F254" s="1" t="s">
        <v>5694</v>
      </c>
      <c r="G254" s="2">
        <v>46177.777283368057</v>
      </c>
      <c r="H254" s="1" t="s">
        <v>1211</v>
      </c>
      <c r="I254" s="2">
        <v>46177.777283483796</v>
      </c>
      <c r="J254" s="1" t="s">
        <v>1211</v>
      </c>
    </row>
    <row r="255" spans="1:10" x14ac:dyDescent="0.35">
      <c r="A255" s="1" t="s">
        <v>206</v>
      </c>
      <c r="B255" s="1" t="s">
        <v>1209</v>
      </c>
      <c r="C255" s="1" t="s">
        <v>1210</v>
      </c>
      <c r="D255" s="2">
        <v>46177</v>
      </c>
      <c r="E255">
        <v>5.0046677692070697E-2</v>
      </c>
      <c r="F255" s="1" t="s">
        <v>5695</v>
      </c>
      <c r="G255" s="2">
        <v>46177.777283530093</v>
      </c>
      <c r="H255" s="1" t="s">
        <v>1211</v>
      </c>
      <c r="I255" s="2">
        <v>46177.777283645832</v>
      </c>
      <c r="J255" s="1" t="s">
        <v>1211</v>
      </c>
    </row>
    <row r="256" spans="1:10" x14ac:dyDescent="0.35">
      <c r="A256" s="1" t="s">
        <v>497</v>
      </c>
      <c r="B256" s="1" t="s">
        <v>1209</v>
      </c>
      <c r="C256" s="1" t="s">
        <v>1210</v>
      </c>
      <c r="D256" s="2">
        <v>46177</v>
      </c>
      <c r="E256">
        <v>4.9754374441502602E-2</v>
      </c>
      <c r="F256" s="1" t="s">
        <v>5696</v>
      </c>
      <c r="G256" s="2">
        <v>46177.777283680553</v>
      </c>
      <c r="H256" s="1" t="s">
        <v>1211</v>
      </c>
      <c r="I256" s="2">
        <v>46177.777283645832</v>
      </c>
      <c r="J256" s="1" t="s">
        <v>1211</v>
      </c>
    </row>
    <row r="257" spans="1:10" x14ac:dyDescent="0.35">
      <c r="A257" s="1" t="s">
        <v>208</v>
      </c>
      <c r="B257" s="1" t="s">
        <v>1209</v>
      </c>
      <c r="C257" s="1" t="s">
        <v>1210</v>
      </c>
      <c r="D257" s="2">
        <v>46177</v>
      </c>
      <c r="E257">
        <v>5.0009958980498002E-2</v>
      </c>
      <c r="F257" s="1" t="s">
        <v>5697</v>
      </c>
      <c r="G257" s="2">
        <v>46177.777283796298</v>
      </c>
      <c r="H257" s="1" t="s">
        <v>1211</v>
      </c>
      <c r="I257" s="2">
        <v>46177.777283831019</v>
      </c>
      <c r="J257" s="1" t="s">
        <v>1211</v>
      </c>
    </row>
    <row r="258" spans="1:10" x14ac:dyDescent="0.35">
      <c r="A258" s="1" t="s">
        <v>437</v>
      </c>
      <c r="B258" s="1" t="s">
        <v>1209</v>
      </c>
      <c r="C258" s="1" t="s">
        <v>1210</v>
      </c>
      <c r="D258" s="2">
        <v>46177</v>
      </c>
      <c r="E258">
        <v>4.9716107680875497E-2</v>
      </c>
      <c r="F258" s="1" t="s">
        <v>5698</v>
      </c>
      <c r="G258" s="2">
        <v>46177.777283946758</v>
      </c>
      <c r="H258" s="1" t="s">
        <v>1211</v>
      </c>
      <c r="I258" s="2">
        <v>46177.777284027776</v>
      </c>
      <c r="J258" s="1" t="s">
        <v>1211</v>
      </c>
    </row>
    <row r="259" spans="1:10" x14ac:dyDescent="0.35">
      <c r="A259" s="1" t="s">
        <v>210</v>
      </c>
      <c r="B259" s="1" t="s">
        <v>1209</v>
      </c>
      <c r="C259" s="1" t="s">
        <v>1210</v>
      </c>
      <c r="D259" s="2">
        <v>46177</v>
      </c>
      <c r="E259">
        <v>4.99507201420279E-2</v>
      </c>
      <c r="F259" s="1" t="s">
        <v>5699</v>
      </c>
      <c r="G259" s="2">
        <v>46177.777284108794</v>
      </c>
      <c r="H259" s="1" t="s">
        <v>1211</v>
      </c>
      <c r="I259" s="2">
        <v>46177.777284224539</v>
      </c>
      <c r="J259" s="1" t="s">
        <v>1211</v>
      </c>
    </row>
    <row r="260" spans="1:10" x14ac:dyDescent="0.35">
      <c r="A260" s="1" t="s">
        <v>379</v>
      </c>
      <c r="B260" s="1" t="s">
        <v>1209</v>
      </c>
      <c r="C260" s="1" t="s">
        <v>1210</v>
      </c>
      <c r="D260" s="2">
        <v>46177</v>
      </c>
      <c r="E260">
        <v>2.7294774313942401E-2</v>
      </c>
      <c r="F260" s="1" t="s">
        <v>5700</v>
      </c>
      <c r="G260" s="2">
        <v>46177.77728425926</v>
      </c>
      <c r="H260" s="1" t="s">
        <v>1211</v>
      </c>
      <c r="I260" s="2">
        <v>46177.777284374999</v>
      </c>
      <c r="J260" s="1" t="s">
        <v>1211</v>
      </c>
    </row>
    <row r="261" spans="1:10" x14ac:dyDescent="0.35">
      <c r="A261" s="1" t="s">
        <v>467</v>
      </c>
      <c r="B261" s="1" t="s">
        <v>1209</v>
      </c>
      <c r="C261" s="1" t="s">
        <v>1210</v>
      </c>
      <c r="D261" s="2">
        <v>46177</v>
      </c>
      <c r="E261">
        <v>4.9744751328532899E-2</v>
      </c>
      <c r="F261" s="1" t="s">
        <v>5701</v>
      </c>
      <c r="G261" s="2">
        <v>46177.77728440972</v>
      </c>
      <c r="H261" s="1" t="s">
        <v>1211</v>
      </c>
      <c r="I261" s="2">
        <v>46177.777284571763</v>
      </c>
      <c r="J261" s="1" t="s">
        <v>1211</v>
      </c>
    </row>
    <row r="262" spans="1:10" x14ac:dyDescent="0.35">
      <c r="A262" s="1" t="s">
        <v>303</v>
      </c>
      <c r="B262" s="1" t="s">
        <v>1209</v>
      </c>
      <c r="C262" s="1" t="s">
        <v>1210</v>
      </c>
      <c r="D262" s="2">
        <v>46177</v>
      </c>
      <c r="E262">
        <v>4.9920189116336701E-2</v>
      </c>
      <c r="F262" s="1" t="s">
        <v>5702</v>
      </c>
      <c r="G262" s="2">
        <v>46177.777284571763</v>
      </c>
      <c r="H262" s="1" t="s">
        <v>1211</v>
      </c>
      <c r="I262" s="2">
        <v>46177.777284756943</v>
      </c>
      <c r="J262" s="1" t="s">
        <v>1211</v>
      </c>
    </row>
    <row r="263" spans="1:10" x14ac:dyDescent="0.35">
      <c r="A263" s="1" t="s">
        <v>212</v>
      </c>
      <c r="B263" s="1" t="s">
        <v>1209</v>
      </c>
      <c r="C263" s="1" t="s">
        <v>1210</v>
      </c>
      <c r="D263" s="2">
        <v>46177</v>
      </c>
      <c r="E263">
        <v>4.9721638840097698E-2</v>
      </c>
      <c r="F263" s="1" t="s">
        <v>5703</v>
      </c>
      <c r="G263" s="2">
        <v>46177.777284722222</v>
      </c>
      <c r="H263" s="1" t="s">
        <v>1211</v>
      </c>
      <c r="I263" s="2">
        <v>46177.777284756943</v>
      </c>
      <c r="J263" s="1" t="s">
        <v>1211</v>
      </c>
    </row>
    <row r="264" spans="1:10" x14ac:dyDescent="0.35">
      <c r="A264" s="1" t="s">
        <v>216</v>
      </c>
      <c r="B264" s="1" t="s">
        <v>1209</v>
      </c>
      <c r="C264" s="1" t="s">
        <v>1210</v>
      </c>
      <c r="D264" s="2">
        <v>46177</v>
      </c>
      <c r="E264">
        <v>4.9876270679841697E-2</v>
      </c>
      <c r="F264" s="1" t="s">
        <v>5704</v>
      </c>
      <c r="G264" s="2">
        <v>46177.777284872682</v>
      </c>
      <c r="H264" s="1" t="s">
        <v>1211</v>
      </c>
      <c r="I264" s="2">
        <v>46177.777284918979</v>
      </c>
      <c r="J264" s="1" t="s">
        <v>1211</v>
      </c>
    </row>
    <row r="265" spans="1:10" x14ac:dyDescent="0.35">
      <c r="A265" s="1" t="s">
        <v>305</v>
      </c>
      <c r="B265" s="1" t="s">
        <v>1209</v>
      </c>
      <c r="C265" s="1" t="s">
        <v>1210</v>
      </c>
      <c r="D265" s="2">
        <v>46177</v>
      </c>
      <c r="E265">
        <v>4.9807573827093603E-2</v>
      </c>
      <c r="F265" s="1" t="s">
        <v>5705</v>
      </c>
      <c r="G265" s="2">
        <v>46177.777285034725</v>
      </c>
      <c r="H265" s="1" t="s">
        <v>1211</v>
      </c>
      <c r="I265" s="2">
        <v>46177.777285104166</v>
      </c>
      <c r="J265" s="1" t="s">
        <v>1211</v>
      </c>
    </row>
    <row r="266" spans="1:10" x14ac:dyDescent="0.35">
      <c r="A266" s="1" t="s">
        <v>218</v>
      </c>
      <c r="B266" s="1" t="s">
        <v>1209</v>
      </c>
      <c r="C266" s="1" t="s">
        <v>1210</v>
      </c>
      <c r="D266" s="2">
        <v>46177</v>
      </c>
      <c r="E266">
        <v>4.9861387957268098E-2</v>
      </c>
      <c r="F266" s="1" t="s">
        <v>5706</v>
      </c>
      <c r="G266" s="2">
        <v>46177.777285185184</v>
      </c>
      <c r="H266" s="1" t="s">
        <v>1211</v>
      </c>
      <c r="I266" s="2">
        <v>46177.777285300923</v>
      </c>
      <c r="J266" s="1" t="s">
        <v>1211</v>
      </c>
    </row>
    <row r="267" spans="1:10" x14ac:dyDescent="0.35">
      <c r="A267" s="1" t="s">
        <v>307</v>
      </c>
      <c r="B267" s="1" t="s">
        <v>1209</v>
      </c>
      <c r="C267" s="1" t="s">
        <v>1210</v>
      </c>
      <c r="D267" s="2">
        <v>46177</v>
      </c>
      <c r="E267">
        <v>4.9889980521656302E-2</v>
      </c>
      <c r="F267" s="1" t="s">
        <v>5707</v>
      </c>
      <c r="G267" s="2">
        <v>46177.777285335651</v>
      </c>
      <c r="H267" s="1" t="s">
        <v>1211</v>
      </c>
      <c r="I267" s="2">
        <v>46177.777285497687</v>
      </c>
      <c r="J267" s="1" t="s">
        <v>1211</v>
      </c>
    </row>
    <row r="268" spans="1:10" x14ac:dyDescent="0.35">
      <c r="A268" s="1" t="s">
        <v>220</v>
      </c>
      <c r="B268" s="1" t="s">
        <v>1209</v>
      </c>
      <c r="C268" s="1" t="s">
        <v>1210</v>
      </c>
      <c r="D268" s="2">
        <v>46177</v>
      </c>
      <c r="E268">
        <v>4.9800673749153999E-2</v>
      </c>
      <c r="F268" s="1" t="s">
        <v>5708</v>
      </c>
      <c r="G268" s="2">
        <v>46177.77728545139</v>
      </c>
      <c r="H268" s="1" t="s">
        <v>1211</v>
      </c>
      <c r="I268" s="2">
        <v>46177.777285648146</v>
      </c>
      <c r="J268" s="1" t="s">
        <v>1211</v>
      </c>
    </row>
    <row r="269" spans="1:10" x14ac:dyDescent="0.35">
      <c r="A269" s="1" t="s">
        <v>439</v>
      </c>
      <c r="B269" s="1" t="s">
        <v>1209</v>
      </c>
      <c r="C269" s="1" t="s">
        <v>1210</v>
      </c>
      <c r="D269" s="2">
        <v>46177</v>
      </c>
      <c r="E269">
        <v>2.7206269778340699E-2</v>
      </c>
      <c r="F269" s="1" t="s">
        <v>5709</v>
      </c>
      <c r="G269" s="2">
        <v>46177.777285613425</v>
      </c>
      <c r="H269" s="1" t="s">
        <v>1211</v>
      </c>
      <c r="I269" s="2">
        <v>46177.777285648146</v>
      </c>
      <c r="J269" s="1" t="s">
        <v>1211</v>
      </c>
    </row>
    <row r="270" spans="1:10" x14ac:dyDescent="0.35">
      <c r="A270" s="1" t="s">
        <v>222</v>
      </c>
      <c r="B270" s="1" t="s">
        <v>1209</v>
      </c>
      <c r="C270" s="1" t="s">
        <v>1210</v>
      </c>
      <c r="D270" s="2">
        <v>46177</v>
      </c>
      <c r="E270">
        <v>4.9909752067397797E-2</v>
      </c>
      <c r="F270" s="1" t="s">
        <v>5710</v>
      </c>
      <c r="G270" s="2">
        <v>46177.777285763892</v>
      </c>
      <c r="H270" s="1" t="s">
        <v>1211</v>
      </c>
      <c r="I270" s="2">
        <v>46177.77728584491</v>
      </c>
      <c r="J270" s="1" t="s">
        <v>1211</v>
      </c>
    </row>
    <row r="271" spans="1:10" x14ac:dyDescent="0.35">
      <c r="A271" s="1" t="s">
        <v>2939</v>
      </c>
      <c r="B271" s="1" t="s">
        <v>1209</v>
      </c>
      <c r="C271" s="1" t="s">
        <v>1210</v>
      </c>
      <c r="D271" s="2">
        <v>46177</v>
      </c>
      <c r="E271">
        <v>4.9770918940725897E-2</v>
      </c>
      <c r="F271" s="1" t="s">
        <v>5711</v>
      </c>
      <c r="G271" s="2">
        <v>46177.777285914352</v>
      </c>
      <c r="H271" s="1" t="s">
        <v>1211</v>
      </c>
      <c r="I271" s="2">
        <v>46177.77728603009</v>
      </c>
      <c r="J271" s="1" t="s">
        <v>1211</v>
      </c>
    </row>
    <row r="272" spans="1:10" x14ac:dyDescent="0.35">
      <c r="A272" s="1" t="s">
        <v>3319</v>
      </c>
      <c r="B272" s="1" t="s">
        <v>1209</v>
      </c>
      <c r="C272" s="1" t="s">
        <v>1210</v>
      </c>
      <c r="D272" s="2">
        <v>46177</v>
      </c>
      <c r="E272">
        <v>4.9816997315009999E-2</v>
      </c>
      <c r="F272" s="1" t="s">
        <v>5712</v>
      </c>
      <c r="G272" s="2">
        <v>46177.777286076387</v>
      </c>
      <c r="H272" s="1" t="s">
        <v>1211</v>
      </c>
      <c r="I272" s="2">
        <v>46177.777286192133</v>
      </c>
      <c r="J272" s="1" t="s">
        <v>1211</v>
      </c>
    </row>
    <row r="273" spans="1:10" x14ac:dyDescent="0.35">
      <c r="A273" s="1" t="s">
        <v>549</v>
      </c>
      <c r="B273" s="1" t="s">
        <v>1209</v>
      </c>
      <c r="C273" s="1" t="s">
        <v>1210</v>
      </c>
      <c r="D273" s="2">
        <v>46177</v>
      </c>
      <c r="E273">
        <v>4.0380157949003598E-2</v>
      </c>
      <c r="F273" s="1" t="s">
        <v>5713</v>
      </c>
      <c r="G273" s="2">
        <v>46177.777286226854</v>
      </c>
      <c r="H273" s="1" t="s">
        <v>1211</v>
      </c>
      <c r="I273" s="2">
        <v>46177.777286377313</v>
      </c>
      <c r="J273" s="1" t="s">
        <v>1211</v>
      </c>
    </row>
    <row r="274" spans="1:10" x14ac:dyDescent="0.35">
      <c r="A274" s="1" t="s">
        <v>309</v>
      </c>
      <c r="B274" s="1" t="s">
        <v>1209</v>
      </c>
      <c r="C274" s="1" t="s">
        <v>1210</v>
      </c>
      <c r="D274" s="2">
        <v>46177</v>
      </c>
      <c r="E274">
        <v>4.0570623467782403E-2</v>
      </c>
      <c r="F274" s="1" t="s">
        <v>5714</v>
      </c>
      <c r="G274" s="2">
        <v>46177.777286377313</v>
      </c>
      <c r="H274" s="1" t="s">
        <v>1211</v>
      </c>
      <c r="I274" s="2">
        <v>46177.777286574077</v>
      </c>
      <c r="J274" s="1" t="s">
        <v>1211</v>
      </c>
    </row>
    <row r="275" spans="1:10" x14ac:dyDescent="0.35">
      <c r="A275" s="1" t="s">
        <v>469</v>
      </c>
      <c r="B275" s="1" t="s">
        <v>1209</v>
      </c>
      <c r="C275" s="1" t="s">
        <v>1210</v>
      </c>
      <c r="D275" s="2">
        <v>46177</v>
      </c>
      <c r="E275">
        <v>3.8960472823657201E-2</v>
      </c>
      <c r="F275" s="1" t="s">
        <v>5715</v>
      </c>
      <c r="G275" s="2">
        <v>46177.777286539349</v>
      </c>
      <c r="H275" s="1" t="s">
        <v>1211</v>
      </c>
      <c r="I275" s="2">
        <v>46177.777286574077</v>
      </c>
      <c r="J275" s="1" t="s">
        <v>1211</v>
      </c>
    </row>
    <row r="276" spans="1:10" x14ac:dyDescent="0.35">
      <c r="A276" s="1" t="s">
        <v>541</v>
      </c>
      <c r="B276" s="1" t="s">
        <v>1209</v>
      </c>
      <c r="C276" s="1" t="s">
        <v>1210</v>
      </c>
      <c r="D276" s="2">
        <v>46177</v>
      </c>
      <c r="E276">
        <v>4.0994947473670301E-2</v>
      </c>
      <c r="F276" s="1" t="s">
        <v>5716</v>
      </c>
      <c r="G276" s="2">
        <v>46177.777286689816</v>
      </c>
      <c r="H276" s="1" t="s">
        <v>1211</v>
      </c>
      <c r="I276" s="2">
        <v>46177.777286724537</v>
      </c>
      <c r="J276" s="1" t="s">
        <v>1211</v>
      </c>
    </row>
    <row r="277" spans="1:10" x14ac:dyDescent="0.35">
      <c r="A277" s="1" t="s">
        <v>551</v>
      </c>
      <c r="B277" s="1" t="s">
        <v>1209</v>
      </c>
      <c r="C277" s="1" t="s">
        <v>1210</v>
      </c>
      <c r="D277" s="2">
        <v>46177</v>
      </c>
      <c r="E277">
        <v>4.1214986362254798E-2</v>
      </c>
      <c r="F277" s="1" t="s">
        <v>5717</v>
      </c>
      <c r="G277" s="2">
        <v>46177.777286840275</v>
      </c>
      <c r="H277" s="1" t="s">
        <v>1211</v>
      </c>
      <c r="I277" s="2">
        <v>46177.777286921293</v>
      </c>
      <c r="J277" s="1" t="s">
        <v>1211</v>
      </c>
    </row>
    <row r="278" spans="1:10" x14ac:dyDescent="0.35">
      <c r="A278" s="1" t="s">
        <v>311</v>
      </c>
      <c r="B278" s="1" t="s">
        <v>1209</v>
      </c>
      <c r="C278" s="1" t="s">
        <v>1210</v>
      </c>
      <c r="D278" s="2">
        <v>46177</v>
      </c>
      <c r="E278">
        <v>4.1324350089720699E-2</v>
      </c>
      <c r="F278" s="1" t="s">
        <v>5718</v>
      </c>
      <c r="G278" s="2">
        <v>46177.777286956021</v>
      </c>
      <c r="H278" s="1" t="s">
        <v>1211</v>
      </c>
      <c r="I278" s="2">
        <v>46177.777287118057</v>
      </c>
      <c r="J278" s="1" t="s">
        <v>1211</v>
      </c>
    </row>
    <row r="279" spans="1:10" x14ac:dyDescent="0.35">
      <c r="A279" s="1" t="s">
        <v>543</v>
      </c>
      <c r="B279" s="1" t="s">
        <v>1209</v>
      </c>
      <c r="C279" s="1" t="s">
        <v>1210</v>
      </c>
      <c r="D279" s="2">
        <v>46177</v>
      </c>
      <c r="E279">
        <v>4.1639724302852801E-2</v>
      </c>
      <c r="F279" s="1" t="s">
        <v>5719</v>
      </c>
      <c r="G279" s="2">
        <v>46177.777287118057</v>
      </c>
      <c r="H279" s="1" t="s">
        <v>1211</v>
      </c>
      <c r="I279" s="2">
        <v>46177.777287268516</v>
      </c>
      <c r="J279" s="1" t="s">
        <v>1211</v>
      </c>
    </row>
    <row r="280" spans="1:10" x14ac:dyDescent="0.35">
      <c r="A280" s="1" t="s">
        <v>382</v>
      </c>
      <c r="B280" s="1" t="s">
        <v>1209</v>
      </c>
      <c r="C280" s="1" t="s">
        <v>1210</v>
      </c>
      <c r="D280" s="2">
        <v>46177</v>
      </c>
      <c r="E280">
        <v>4.1749395916498601E-2</v>
      </c>
      <c r="F280" s="1" t="s">
        <v>5720</v>
      </c>
      <c r="G280" s="2">
        <v>46177.777287268516</v>
      </c>
      <c r="H280" s="1" t="s">
        <v>1211</v>
      </c>
      <c r="I280" s="2">
        <v>46177.777287268516</v>
      </c>
      <c r="J280" s="1" t="s">
        <v>1211</v>
      </c>
    </row>
    <row r="281" spans="1:10" x14ac:dyDescent="0.35">
      <c r="A281" s="1" t="s">
        <v>553</v>
      </c>
      <c r="B281" s="1" t="s">
        <v>1209</v>
      </c>
      <c r="C281" s="1" t="s">
        <v>1210</v>
      </c>
      <c r="D281" s="2">
        <v>46177</v>
      </c>
      <c r="E281">
        <v>4.2374348328086099E-2</v>
      </c>
      <c r="F281" s="1" t="s">
        <v>5721</v>
      </c>
      <c r="G281" s="2">
        <v>46177.777287418983</v>
      </c>
      <c r="H281" s="1" t="s">
        <v>1211</v>
      </c>
      <c r="I281" s="2">
        <v>46177.77728746528</v>
      </c>
      <c r="J281" s="1" t="s">
        <v>1211</v>
      </c>
    </row>
    <row r="282" spans="1:10" x14ac:dyDescent="0.35">
      <c r="A282" s="1" t="s">
        <v>545</v>
      </c>
      <c r="B282" s="1" t="s">
        <v>1209</v>
      </c>
      <c r="C282" s="1" t="s">
        <v>1210</v>
      </c>
      <c r="D282" s="2">
        <v>46177</v>
      </c>
      <c r="E282">
        <v>4.2539289523133503E-2</v>
      </c>
      <c r="F282" s="1" t="s">
        <v>5722</v>
      </c>
      <c r="G282" s="2">
        <v>46177.777287581019</v>
      </c>
      <c r="H282" s="1" t="s">
        <v>1211</v>
      </c>
      <c r="I282" s="2">
        <v>46177.77728765046</v>
      </c>
      <c r="J282" s="1" t="s">
        <v>1211</v>
      </c>
    </row>
    <row r="283" spans="1:10" x14ac:dyDescent="0.35">
      <c r="A283" s="1" t="s">
        <v>313</v>
      </c>
      <c r="B283" s="1" t="s">
        <v>1209</v>
      </c>
      <c r="C283" s="1" t="s">
        <v>1210</v>
      </c>
      <c r="D283" s="2">
        <v>46177</v>
      </c>
      <c r="E283">
        <v>4.2724636566750199E-2</v>
      </c>
      <c r="F283" s="1" t="s">
        <v>5723</v>
      </c>
      <c r="G283" s="2">
        <v>46177.777287731478</v>
      </c>
      <c r="H283" s="1" t="s">
        <v>1211</v>
      </c>
      <c r="I283" s="2">
        <v>46177.777287812503</v>
      </c>
      <c r="J283" s="1" t="s">
        <v>1211</v>
      </c>
    </row>
    <row r="284" spans="1:10" x14ac:dyDescent="0.35">
      <c r="A284" s="1" t="s">
        <v>384</v>
      </c>
      <c r="B284" s="1" t="s">
        <v>1209</v>
      </c>
      <c r="C284" s="1" t="s">
        <v>1210</v>
      </c>
      <c r="D284" s="2">
        <v>46177</v>
      </c>
      <c r="E284">
        <v>4.2929879150498999E-2</v>
      </c>
      <c r="F284" s="1" t="s">
        <v>5724</v>
      </c>
      <c r="G284" s="2">
        <v>46177.777287881945</v>
      </c>
      <c r="H284" s="1" t="s">
        <v>1211</v>
      </c>
      <c r="I284" s="2">
        <v>46177.777287997684</v>
      </c>
      <c r="J284" s="1" t="s">
        <v>1211</v>
      </c>
    </row>
    <row r="285" spans="1:10" x14ac:dyDescent="0.35">
      <c r="A285" s="1" t="s">
        <v>499</v>
      </c>
      <c r="B285" s="1" t="s">
        <v>1209</v>
      </c>
      <c r="C285" s="1" t="s">
        <v>1210</v>
      </c>
      <c r="D285" s="2">
        <v>46177</v>
      </c>
      <c r="E285">
        <v>4.3060171877179101E-2</v>
      </c>
      <c r="F285" s="1" t="s">
        <v>5725</v>
      </c>
      <c r="G285" s="2">
        <v>46177.777287997684</v>
      </c>
      <c r="H285" s="1" t="s">
        <v>1211</v>
      </c>
      <c r="I285" s="2">
        <v>46177.777288194447</v>
      </c>
      <c r="J285" s="1" t="s">
        <v>1211</v>
      </c>
    </row>
    <row r="286" spans="1:10" x14ac:dyDescent="0.35">
      <c r="A286" s="1" t="s">
        <v>503</v>
      </c>
      <c r="B286" s="1" t="s">
        <v>1209</v>
      </c>
      <c r="C286" s="1" t="s">
        <v>1210</v>
      </c>
      <c r="D286" s="2">
        <v>46177</v>
      </c>
      <c r="E286">
        <v>4.3295009322159003E-2</v>
      </c>
      <c r="F286" s="1" t="s">
        <v>5726</v>
      </c>
      <c r="G286" s="2">
        <v>46177.777288159719</v>
      </c>
      <c r="H286" s="1" t="s">
        <v>1211</v>
      </c>
      <c r="I286" s="2">
        <v>46177.777288194447</v>
      </c>
      <c r="J286" s="1" t="s">
        <v>1211</v>
      </c>
    </row>
    <row r="287" spans="1:10" x14ac:dyDescent="0.35">
      <c r="A287" s="1" t="s">
        <v>386</v>
      </c>
      <c r="B287" s="1" t="s">
        <v>1209</v>
      </c>
      <c r="C287" s="1" t="s">
        <v>1210</v>
      </c>
      <c r="D287" s="2">
        <v>46177</v>
      </c>
      <c r="E287">
        <v>4.3454871447190999E-2</v>
      </c>
      <c r="F287" s="1" t="s">
        <v>5727</v>
      </c>
      <c r="G287" s="2">
        <v>46177.777288310186</v>
      </c>
      <c r="H287" s="1" t="s">
        <v>1211</v>
      </c>
      <c r="I287" s="2">
        <v>46177.777288391204</v>
      </c>
      <c r="J287" s="1" t="s">
        <v>1211</v>
      </c>
    </row>
    <row r="288" spans="1:10" x14ac:dyDescent="0.35">
      <c r="A288" s="1" t="s">
        <v>388</v>
      </c>
      <c r="B288" s="1" t="s">
        <v>1209</v>
      </c>
      <c r="C288" s="1" t="s">
        <v>1210</v>
      </c>
      <c r="D288" s="2">
        <v>46177</v>
      </c>
      <c r="E288">
        <v>4.2010408377756103E-2</v>
      </c>
      <c r="F288" s="1" t="s">
        <v>5728</v>
      </c>
      <c r="G288" s="2">
        <v>46177.777288460646</v>
      </c>
      <c r="H288" s="1" t="s">
        <v>1211</v>
      </c>
      <c r="I288" s="2">
        <v>46177.777288541663</v>
      </c>
      <c r="J288" s="1" t="s">
        <v>1211</v>
      </c>
    </row>
    <row r="289" spans="1:10" x14ac:dyDescent="0.35">
      <c r="A289" s="1" t="s">
        <v>315</v>
      </c>
      <c r="B289" s="1" t="s">
        <v>1209</v>
      </c>
      <c r="C289" s="1" t="s">
        <v>1210</v>
      </c>
      <c r="D289" s="2">
        <v>46177</v>
      </c>
      <c r="E289">
        <v>4.2160606839281502E-2</v>
      </c>
      <c r="F289" s="1" t="s">
        <v>5729</v>
      </c>
      <c r="G289" s="2">
        <v>46177.777288622689</v>
      </c>
      <c r="H289" s="1" t="s">
        <v>1211</v>
      </c>
      <c r="I289" s="2">
        <v>46177.777288738427</v>
      </c>
      <c r="J289" s="1" t="s">
        <v>1211</v>
      </c>
    </row>
    <row r="290" spans="1:10" x14ac:dyDescent="0.35">
      <c r="A290" s="1" t="s">
        <v>317</v>
      </c>
      <c r="B290" s="1" t="s">
        <v>1209</v>
      </c>
      <c r="C290" s="1" t="s">
        <v>1210</v>
      </c>
      <c r="D290" s="2">
        <v>46177</v>
      </c>
      <c r="E290">
        <v>3.7600405485841898E-2</v>
      </c>
      <c r="F290" s="1" t="s">
        <v>5730</v>
      </c>
      <c r="G290" s="2">
        <v>46177.777288773148</v>
      </c>
      <c r="H290" s="1" t="s">
        <v>1211</v>
      </c>
      <c r="I290" s="2">
        <v>46177.777288923608</v>
      </c>
      <c r="J290" s="1" t="s">
        <v>1211</v>
      </c>
    </row>
    <row r="291" spans="1:10" x14ac:dyDescent="0.35">
      <c r="A291" s="1" t="s">
        <v>390</v>
      </c>
      <c r="B291" s="1" t="s">
        <v>1209</v>
      </c>
      <c r="C291" s="1" t="s">
        <v>1210</v>
      </c>
      <c r="D291" s="2">
        <v>46177</v>
      </c>
      <c r="E291">
        <v>8.2819351451707598E-3</v>
      </c>
      <c r="F291" s="1" t="s">
        <v>5731</v>
      </c>
      <c r="G291" s="2">
        <v>46177.777288923608</v>
      </c>
      <c r="H291" s="1" t="s">
        <v>1211</v>
      </c>
      <c r="I291" s="2">
        <v>46177.77728908565</v>
      </c>
      <c r="J291" s="1" t="s">
        <v>1211</v>
      </c>
    </row>
    <row r="292" spans="1:10" x14ac:dyDescent="0.35">
      <c r="A292" s="1" t="s">
        <v>392</v>
      </c>
      <c r="B292" s="1" t="s">
        <v>1209</v>
      </c>
      <c r="C292" s="1" t="s">
        <v>1210</v>
      </c>
      <c r="D292" s="2">
        <v>46177</v>
      </c>
      <c r="E292">
        <v>3.9747040454628499E-2</v>
      </c>
      <c r="F292" s="1" t="s">
        <v>5732</v>
      </c>
      <c r="G292" s="2">
        <v>46177.77728908565</v>
      </c>
      <c r="H292" s="1" t="s">
        <v>1211</v>
      </c>
      <c r="I292" s="2">
        <v>46177.77728908565</v>
      </c>
      <c r="J292" s="1" t="s">
        <v>1211</v>
      </c>
    </row>
    <row r="293" spans="1:10" x14ac:dyDescent="0.35">
      <c r="A293" s="1" t="s">
        <v>394</v>
      </c>
      <c r="B293" s="1" t="s">
        <v>1209</v>
      </c>
      <c r="C293" s="1" t="s">
        <v>1210</v>
      </c>
      <c r="D293" s="2">
        <v>46177</v>
      </c>
      <c r="E293">
        <v>4.0145941265556699E-2</v>
      </c>
      <c r="F293" s="1" t="s">
        <v>5733</v>
      </c>
      <c r="G293" s="2">
        <v>46177.77728923611</v>
      </c>
      <c r="H293" s="1" t="s">
        <v>1211</v>
      </c>
      <c r="I293" s="2">
        <v>46177.777289270831</v>
      </c>
      <c r="J293" s="1" t="s">
        <v>1211</v>
      </c>
    </row>
    <row r="294" spans="1:10" x14ac:dyDescent="0.35">
      <c r="A294" s="1" t="s">
        <v>471</v>
      </c>
      <c r="B294" s="1" t="s">
        <v>1209</v>
      </c>
      <c r="C294" s="1" t="s">
        <v>1210</v>
      </c>
      <c r="D294" s="2">
        <v>46177</v>
      </c>
      <c r="E294">
        <v>1.34119880593646E-2</v>
      </c>
      <c r="F294" s="1" t="s">
        <v>5734</v>
      </c>
      <c r="G294" s="2">
        <v>46177.777289351849</v>
      </c>
      <c r="H294" s="1" t="s">
        <v>1211</v>
      </c>
      <c r="I294" s="2">
        <v>46177.777289467595</v>
      </c>
      <c r="J294" s="1" t="s">
        <v>1211</v>
      </c>
    </row>
    <row r="295" spans="1:10" x14ac:dyDescent="0.35">
      <c r="A295" s="1" t="s">
        <v>501</v>
      </c>
      <c r="B295" s="1" t="s">
        <v>1209</v>
      </c>
      <c r="C295" s="1" t="s">
        <v>1210</v>
      </c>
      <c r="D295" s="2">
        <v>46177</v>
      </c>
      <c r="E295">
        <v>4.0387906318640497E-2</v>
      </c>
      <c r="F295" s="1" t="s">
        <v>5735</v>
      </c>
      <c r="G295" s="2">
        <v>46177.777289502315</v>
      </c>
      <c r="H295" s="1" t="s">
        <v>1211</v>
      </c>
      <c r="I295" s="2">
        <v>46177.777289618054</v>
      </c>
      <c r="J295" s="1" t="s">
        <v>1211</v>
      </c>
    </row>
    <row r="296" spans="1:10" x14ac:dyDescent="0.35">
      <c r="A296" s="1" t="s">
        <v>396</v>
      </c>
      <c r="B296" s="1" t="s">
        <v>1209</v>
      </c>
      <c r="C296" s="1" t="s">
        <v>1210</v>
      </c>
      <c r="D296" s="2">
        <v>46177</v>
      </c>
      <c r="E296">
        <v>4.0574811380279401E-2</v>
      </c>
      <c r="F296" s="1" t="s">
        <v>5736</v>
      </c>
      <c r="G296" s="2">
        <v>46177.777289664351</v>
      </c>
      <c r="H296" s="1" t="s">
        <v>1211</v>
      </c>
      <c r="I296" s="2">
        <v>46177.777289814818</v>
      </c>
      <c r="J296" s="1" t="s">
        <v>1211</v>
      </c>
    </row>
    <row r="297" spans="1:10" x14ac:dyDescent="0.35">
      <c r="A297" s="1" t="s">
        <v>398</v>
      </c>
      <c r="B297" s="1" t="s">
        <v>1209</v>
      </c>
      <c r="C297" s="1" t="s">
        <v>1210</v>
      </c>
      <c r="D297" s="2">
        <v>46177</v>
      </c>
      <c r="E297">
        <v>4.0654173443795197E-2</v>
      </c>
      <c r="F297" s="1" t="s">
        <v>5737</v>
      </c>
      <c r="G297" s="2">
        <v>46177.777289814818</v>
      </c>
      <c r="H297" s="1" t="s">
        <v>1211</v>
      </c>
      <c r="I297" s="2">
        <v>46177.777290011574</v>
      </c>
      <c r="J297" s="1" t="s">
        <v>1211</v>
      </c>
    </row>
    <row r="298" spans="1:10" x14ac:dyDescent="0.35">
      <c r="A298" s="1" t="s">
        <v>400</v>
      </c>
      <c r="B298" s="1" t="s">
        <v>1209</v>
      </c>
      <c r="C298" s="1" t="s">
        <v>1210</v>
      </c>
      <c r="D298" s="2">
        <v>46177</v>
      </c>
      <c r="E298">
        <v>4.0827279576158303E-2</v>
      </c>
      <c r="F298" s="1" t="s">
        <v>5738</v>
      </c>
      <c r="G298" s="2">
        <v>46177.777290011574</v>
      </c>
      <c r="H298" s="1" t="s">
        <v>1211</v>
      </c>
      <c r="I298" s="2">
        <v>46177.777290162034</v>
      </c>
      <c r="J298" s="1" t="s">
        <v>1211</v>
      </c>
    </row>
    <row r="299" spans="1:10" x14ac:dyDescent="0.35">
      <c r="A299" s="1" t="s">
        <v>402</v>
      </c>
      <c r="B299" s="1" t="s">
        <v>1209</v>
      </c>
      <c r="C299" s="1" t="s">
        <v>1210</v>
      </c>
      <c r="D299" s="2">
        <v>46177</v>
      </c>
      <c r="E299">
        <v>1.4456509126414999E-2</v>
      </c>
      <c r="F299" s="1" t="s">
        <v>5739</v>
      </c>
      <c r="G299" s="2">
        <v>46177.777290162034</v>
      </c>
      <c r="H299" s="1" t="s">
        <v>1211</v>
      </c>
      <c r="I299" s="2">
        <v>46177.777290162034</v>
      </c>
      <c r="J299" s="1" t="s">
        <v>1211</v>
      </c>
    </row>
    <row r="300" spans="1:10" x14ac:dyDescent="0.35">
      <c r="A300" s="1" t="s">
        <v>473</v>
      </c>
      <c r="B300" s="1" t="s">
        <v>1209</v>
      </c>
      <c r="C300" s="1" t="s">
        <v>1210</v>
      </c>
      <c r="D300" s="2">
        <v>46177</v>
      </c>
      <c r="E300">
        <v>4.0993694528912598E-2</v>
      </c>
      <c r="F300" s="1" t="s">
        <v>5740</v>
      </c>
      <c r="G300" s="2">
        <v>46177.777290312501</v>
      </c>
      <c r="H300" s="1" t="s">
        <v>1211</v>
      </c>
      <c r="I300" s="2">
        <v>46177.777290358797</v>
      </c>
      <c r="J300" s="1" t="s">
        <v>1211</v>
      </c>
    </row>
    <row r="301" spans="1:10" x14ac:dyDescent="0.35">
      <c r="A301" s="1" t="s">
        <v>404</v>
      </c>
      <c r="B301" s="1" t="s">
        <v>1209</v>
      </c>
      <c r="C301" s="1" t="s">
        <v>1210</v>
      </c>
      <c r="D301" s="2">
        <v>46177</v>
      </c>
      <c r="E301">
        <v>4.0972009835612701E-2</v>
      </c>
      <c r="F301" s="1" t="s">
        <v>5741</v>
      </c>
      <c r="G301" s="2">
        <v>46177.777290474536</v>
      </c>
      <c r="H301" s="1" t="s">
        <v>1211</v>
      </c>
      <c r="I301" s="2">
        <v>46177.777290543978</v>
      </c>
      <c r="J301" s="1" t="s">
        <v>1211</v>
      </c>
    </row>
    <row r="302" spans="1:10" x14ac:dyDescent="0.35">
      <c r="A302" s="1" t="s">
        <v>475</v>
      </c>
      <c r="B302" s="1" t="s">
        <v>1209</v>
      </c>
      <c r="C302" s="1" t="s">
        <v>1210</v>
      </c>
      <c r="D302" s="2">
        <v>46177</v>
      </c>
      <c r="E302">
        <v>3.5755255122143698E-2</v>
      </c>
      <c r="F302" s="1" t="s">
        <v>5742</v>
      </c>
      <c r="G302" s="2">
        <v>46177.777290625003</v>
      </c>
      <c r="H302" s="1" t="s">
        <v>1211</v>
      </c>
      <c r="I302" s="2">
        <v>46177.777290706021</v>
      </c>
      <c r="J302" s="1" t="s">
        <v>1211</v>
      </c>
    </row>
    <row r="303" spans="1:10" x14ac:dyDescent="0.35">
      <c r="A303" s="1" t="s">
        <v>406</v>
      </c>
      <c r="B303" s="1" t="s">
        <v>1209</v>
      </c>
      <c r="C303" s="1" t="s">
        <v>1210</v>
      </c>
      <c r="D303" s="2">
        <v>46177</v>
      </c>
      <c r="E303">
        <v>1.39337113217769E-2</v>
      </c>
      <c r="F303" s="1" t="s">
        <v>5743</v>
      </c>
      <c r="G303" s="2">
        <v>46177.777290740742</v>
      </c>
      <c r="H303" s="1" t="s">
        <v>1211</v>
      </c>
      <c r="I303" s="2">
        <v>46177.777290891201</v>
      </c>
      <c r="J303" s="1" t="s">
        <v>1211</v>
      </c>
    </row>
    <row r="304" spans="1:10" x14ac:dyDescent="0.35">
      <c r="A304" s="1" t="s">
        <v>477</v>
      </c>
      <c r="B304" s="1" t="s">
        <v>1209</v>
      </c>
      <c r="C304" s="1" t="s">
        <v>1210</v>
      </c>
      <c r="D304" s="2">
        <v>46177</v>
      </c>
      <c r="E304">
        <v>-5.5992084065441199E-2</v>
      </c>
      <c r="F304" s="1" t="s">
        <v>5744</v>
      </c>
      <c r="G304" s="2">
        <v>46177.777290937498</v>
      </c>
      <c r="H304" s="1" t="s">
        <v>1211</v>
      </c>
      <c r="I304" s="2">
        <v>46177.777291087965</v>
      </c>
      <c r="J304" s="1" t="s">
        <v>1211</v>
      </c>
    </row>
    <row r="305" spans="1:10" x14ac:dyDescent="0.35">
      <c r="A305" s="1" t="s">
        <v>479</v>
      </c>
      <c r="B305" s="1" t="s">
        <v>1209</v>
      </c>
      <c r="C305" s="1" t="s">
        <v>1210</v>
      </c>
      <c r="D305" s="2">
        <v>46177</v>
      </c>
      <c r="E305">
        <v>3.7665154728389501E-2</v>
      </c>
      <c r="F305" s="1" t="s">
        <v>5745</v>
      </c>
      <c r="G305" s="2">
        <v>46177.777291087965</v>
      </c>
      <c r="H305" s="1" t="s">
        <v>1211</v>
      </c>
      <c r="I305" s="2">
        <v>46177.777291284721</v>
      </c>
      <c r="J305" s="1" t="s">
        <v>1211</v>
      </c>
    </row>
    <row r="306" spans="1:10" x14ac:dyDescent="0.35">
      <c r="A306" s="1" t="s">
        <v>481</v>
      </c>
      <c r="B306" s="1" t="s">
        <v>1209</v>
      </c>
      <c r="C306" s="1" t="s">
        <v>1210</v>
      </c>
      <c r="D306" s="2">
        <v>46177</v>
      </c>
      <c r="E306">
        <v>8.4416422656862899E-3</v>
      </c>
      <c r="F306" s="1" t="s">
        <v>5746</v>
      </c>
      <c r="G306" s="2">
        <v>46177.777291238424</v>
      </c>
      <c r="H306" s="1" t="s">
        <v>1211</v>
      </c>
      <c r="I306" s="2">
        <v>46177.777291284721</v>
      </c>
      <c r="J306" s="1" t="s">
        <v>1211</v>
      </c>
    </row>
    <row r="307" spans="1:10" x14ac:dyDescent="0.35">
      <c r="A307" s="1" t="s">
        <v>483</v>
      </c>
      <c r="B307" s="1" t="s">
        <v>1209</v>
      </c>
      <c r="C307" s="1" t="s">
        <v>1210</v>
      </c>
      <c r="D307" s="2">
        <v>46177</v>
      </c>
      <c r="E307">
        <v>3.8305183309964998E-2</v>
      </c>
      <c r="F307" s="1" t="s">
        <v>5747</v>
      </c>
      <c r="G307" s="2">
        <v>46177.77729140046</v>
      </c>
      <c r="H307" s="1" t="s">
        <v>1211</v>
      </c>
      <c r="I307" s="2">
        <v>46177.777291435188</v>
      </c>
      <c r="J307" s="1" t="s">
        <v>1211</v>
      </c>
    </row>
    <row r="308" spans="1:10" x14ac:dyDescent="0.35">
      <c r="A308" s="1" t="s">
        <v>408</v>
      </c>
      <c r="B308" s="1" t="s">
        <v>1209</v>
      </c>
      <c r="C308" s="1" t="s">
        <v>1210</v>
      </c>
      <c r="D308" s="2">
        <v>46177</v>
      </c>
      <c r="E308">
        <v>3.9007946312662099E-2</v>
      </c>
      <c r="F308" s="1" t="s">
        <v>5748</v>
      </c>
      <c r="G308" s="2">
        <v>46177.777291550927</v>
      </c>
      <c r="H308" s="1" t="s">
        <v>1211</v>
      </c>
      <c r="I308" s="2">
        <v>46177.777291631945</v>
      </c>
      <c r="J308" s="1" t="s">
        <v>1211</v>
      </c>
    </row>
    <row r="309" spans="1:10" x14ac:dyDescent="0.35">
      <c r="A309" s="1" t="s">
        <v>410</v>
      </c>
      <c r="B309" s="1" t="s">
        <v>1209</v>
      </c>
      <c r="C309" s="1" t="s">
        <v>1210</v>
      </c>
      <c r="D309" s="2">
        <v>46177</v>
      </c>
      <c r="E309">
        <v>1.2105587254310501E-2</v>
      </c>
      <c r="F309" s="1" t="s">
        <v>5749</v>
      </c>
      <c r="G309" s="2">
        <v>46177.777291666665</v>
      </c>
      <c r="H309" s="1" t="s">
        <v>1211</v>
      </c>
      <c r="I309" s="2">
        <v>46177.777291817132</v>
      </c>
      <c r="J309" s="1" t="s">
        <v>1211</v>
      </c>
    </row>
    <row r="310" spans="1:10" x14ac:dyDescent="0.35">
      <c r="A310" s="1" t="s">
        <v>412</v>
      </c>
      <c r="B310" s="1" t="s">
        <v>1209</v>
      </c>
      <c r="C310" s="1" t="s">
        <v>1210</v>
      </c>
      <c r="D310" s="2">
        <v>46177</v>
      </c>
      <c r="E310">
        <v>3.6669549822122498E-2</v>
      </c>
      <c r="F310" s="1" t="s">
        <v>5750</v>
      </c>
      <c r="G310" s="2">
        <v>46177.77729189815</v>
      </c>
      <c r="H310" s="1" t="s">
        <v>1211</v>
      </c>
      <c r="I310" s="2">
        <v>46177.77729204861</v>
      </c>
      <c r="J310" s="1" t="s">
        <v>1211</v>
      </c>
    </row>
    <row r="311" spans="1:10" x14ac:dyDescent="0.35">
      <c r="A311" s="1" t="s">
        <v>485</v>
      </c>
      <c r="B311" s="1" t="s">
        <v>1209</v>
      </c>
      <c r="C311" s="1" t="s">
        <v>1210</v>
      </c>
      <c r="D311" s="2">
        <v>46177</v>
      </c>
      <c r="E311">
        <v>4.0992767269995199E-2</v>
      </c>
      <c r="F311" s="1" t="s">
        <v>5751</v>
      </c>
      <c r="G311" s="2">
        <v>46177.77729204861</v>
      </c>
      <c r="H311" s="1" t="s">
        <v>1211</v>
      </c>
      <c r="I311" s="2">
        <v>46177.777292210645</v>
      </c>
      <c r="J311" s="1" t="s">
        <v>1211</v>
      </c>
    </row>
    <row r="312" spans="1:10" x14ac:dyDescent="0.35">
      <c r="A312" s="1" t="s">
        <v>547</v>
      </c>
      <c r="B312" s="1" t="s">
        <v>1209</v>
      </c>
      <c r="C312" s="1" t="s">
        <v>1210</v>
      </c>
      <c r="D312" s="2">
        <v>46177</v>
      </c>
      <c r="E312">
        <v>3.72843248189468E-2</v>
      </c>
      <c r="F312" s="1" t="s">
        <v>5752</v>
      </c>
      <c r="G312" s="2">
        <v>46177.777292210645</v>
      </c>
      <c r="H312" s="1" t="s">
        <v>1211</v>
      </c>
      <c r="I312" s="2">
        <v>46177.777292210645</v>
      </c>
      <c r="J312" s="1" t="s">
        <v>1211</v>
      </c>
    </row>
    <row r="313" spans="1:10" x14ac:dyDescent="0.35">
      <c r="A313" s="1" t="s">
        <v>487</v>
      </c>
      <c r="B313" s="1" t="s">
        <v>1209</v>
      </c>
      <c r="C313" s="1" t="s">
        <v>1210</v>
      </c>
      <c r="D313" s="2">
        <v>46177</v>
      </c>
      <c r="E313">
        <v>3.7285228422593998E-2</v>
      </c>
      <c r="F313" s="1" t="s">
        <v>5753</v>
      </c>
      <c r="G313" s="2">
        <v>46177.777292361112</v>
      </c>
      <c r="H313" s="1" t="s">
        <v>1211</v>
      </c>
      <c r="I313" s="2">
        <v>46177.777292395833</v>
      </c>
      <c r="J313" s="1" t="s">
        <v>1211</v>
      </c>
    </row>
    <row r="314" spans="1:10" x14ac:dyDescent="0.35">
      <c r="A314" s="1" t="s">
        <v>489</v>
      </c>
      <c r="B314" s="1" t="s">
        <v>1209</v>
      </c>
      <c r="C314" s="1" t="s">
        <v>1210</v>
      </c>
      <c r="D314" s="2">
        <v>46177</v>
      </c>
      <c r="E314">
        <v>3.7784282908697203E-2</v>
      </c>
      <c r="F314" s="1" t="s">
        <v>5754</v>
      </c>
      <c r="G314" s="2">
        <v>46177.777292511571</v>
      </c>
      <c r="H314" s="1" t="s">
        <v>1211</v>
      </c>
      <c r="I314" s="2">
        <v>46177.777292592589</v>
      </c>
      <c r="J314" s="1" t="s">
        <v>1211</v>
      </c>
    </row>
    <row r="315" spans="1:10" x14ac:dyDescent="0.35">
      <c r="A315" s="1" t="s">
        <v>505</v>
      </c>
      <c r="B315" s="1" t="s">
        <v>1209</v>
      </c>
      <c r="C315" s="1" t="s">
        <v>1210</v>
      </c>
      <c r="D315" s="2">
        <v>46177</v>
      </c>
      <c r="E315">
        <v>4.1196059508445203E-2</v>
      </c>
      <c r="F315" s="1" t="s">
        <v>5755</v>
      </c>
      <c r="G315" s="2">
        <v>46177.777292673614</v>
      </c>
      <c r="H315" s="1" t="s">
        <v>1211</v>
      </c>
      <c r="I315" s="2">
        <v>46177.777292789353</v>
      </c>
      <c r="J315" s="1" t="s">
        <v>1211</v>
      </c>
    </row>
    <row r="316" spans="1:10" x14ac:dyDescent="0.35">
      <c r="A316" s="1" t="s">
        <v>507</v>
      </c>
      <c r="B316" s="1" t="s">
        <v>1209</v>
      </c>
      <c r="C316" s="1" t="s">
        <v>1210</v>
      </c>
      <c r="D316" s="2">
        <v>46177</v>
      </c>
      <c r="E316">
        <v>3.7670890172483297E-2</v>
      </c>
      <c r="F316" s="1" t="s">
        <v>5756</v>
      </c>
      <c r="G316" s="2">
        <v>46177.777292824074</v>
      </c>
      <c r="H316" s="1" t="s">
        <v>1211</v>
      </c>
      <c r="I316" s="2">
        <v>46177.777292939812</v>
      </c>
      <c r="J316" s="1" t="s">
        <v>1211</v>
      </c>
    </row>
    <row r="317" spans="1:10" x14ac:dyDescent="0.35">
      <c r="A317" s="1" t="s">
        <v>414</v>
      </c>
      <c r="B317" s="1" t="s">
        <v>1209</v>
      </c>
      <c r="C317" s="1" t="s">
        <v>1210</v>
      </c>
      <c r="D317" s="2">
        <v>46177</v>
      </c>
      <c r="E317">
        <v>3.7862243615102403E-2</v>
      </c>
      <c r="F317" s="1" t="s">
        <v>5757</v>
      </c>
      <c r="G317" s="2">
        <v>46177.777292974541</v>
      </c>
      <c r="H317" s="1" t="s">
        <v>1211</v>
      </c>
      <c r="I317" s="2">
        <v>46177.777293136576</v>
      </c>
      <c r="J317" s="1" t="s">
        <v>1211</v>
      </c>
    </row>
    <row r="318" spans="1:10" x14ac:dyDescent="0.35">
      <c r="A318" s="1" t="s">
        <v>639</v>
      </c>
      <c r="B318" s="1" t="s">
        <v>1209</v>
      </c>
      <c r="C318" s="1" t="s">
        <v>1210</v>
      </c>
      <c r="D318" s="2">
        <v>46177</v>
      </c>
      <c r="E318">
        <v>1.54638751571709E-2</v>
      </c>
      <c r="F318" s="1" t="s">
        <v>5758</v>
      </c>
      <c r="G318" s="2">
        <v>46177.777293136576</v>
      </c>
      <c r="H318" s="1" t="s">
        <v>1211</v>
      </c>
      <c r="I318" s="2">
        <v>46177.777293136576</v>
      </c>
      <c r="J318" s="1" t="s">
        <v>1211</v>
      </c>
    </row>
    <row r="319" spans="1:10" x14ac:dyDescent="0.35">
      <c r="A319" s="1" t="s">
        <v>416</v>
      </c>
      <c r="B319" s="1" t="s">
        <v>1209</v>
      </c>
      <c r="C319" s="1" t="s">
        <v>1210</v>
      </c>
      <c r="D319" s="2">
        <v>46177</v>
      </c>
      <c r="E319">
        <v>3.8210681324669003E-2</v>
      </c>
      <c r="F319" s="1" t="s">
        <v>5759</v>
      </c>
      <c r="G319" s="2">
        <v>46177.777293287036</v>
      </c>
      <c r="H319" s="1" t="s">
        <v>1211</v>
      </c>
      <c r="I319" s="2">
        <v>46177.777293321757</v>
      </c>
      <c r="J319" s="1" t="s">
        <v>1211</v>
      </c>
    </row>
    <row r="320" spans="1:10" x14ac:dyDescent="0.35">
      <c r="A320" s="1" t="s">
        <v>491</v>
      </c>
      <c r="B320" s="1" t="s">
        <v>1209</v>
      </c>
      <c r="C320" s="1" t="s">
        <v>1210</v>
      </c>
      <c r="D320" s="2">
        <v>46177</v>
      </c>
      <c r="E320">
        <v>4.13413562076849E-2</v>
      </c>
      <c r="F320" s="1" t="s">
        <v>5760</v>
      </c>
      <c r="G320" s="2">
        <v>46177.777293437503</v>
      </c>
      <c r="H320" s="1" t="s">
        <v>1211</v>
      </c>
      <c r="I320" s="2">
        <v>46177.777293483799</v>
      </c>
      <c r="J320" s="1" t="s">
        <v>1211</v>
      </c>
    </row>
    <row r="321" spans="1:10" x14ac:dyDescent="0.35">
      <c r="A321" s="1" t="s">
        <v>493</v>
      </c>
      <c r="B321" s="1" t="s">
        <v>1209</v>
      </c>
      <c r="C321" s="1" t="s">
        <v>1210</v>
      </c>
      <c r="D321" s="2">
        <v>46177</v>
      </c>
      <c r="E321">
        <v>3.8190775089827801E-2</v>
      </c>
      <c r="F321" s="1" t="s">
        <v>5761</v>
      </c>
      <c r="G321" s="2">
        <v>46177.777293599538</v>
      </c>
      <c r="H321" s="1" t="s">
        <v>1211</v>
      </c>
      <c r="I321" s="2">
        <v>46177.77729366898</v>
      </c>
      <c r="J321" s="1" t="s">
        <v>1211</v>
      </c>
    </row>
    <row r="322" spans="1:10" x14ac:dyDescent="0.35">
      <c r="A322" s="1" t="s">
        <v>495</v>
      </c>
      <c r="B322" s="1" t="s">
        <v>1209</v>
      </c>
      <c r="C322" s="1" t="s">
        <v>1210</v>
      </c>
      <c r="D322" s="2">
        <v>46177</v>
      </c>
      <c r="E322">
        <v>3.8295520998297701E-2</v>
      </c>
      <c r="F322" s="1" t="s">
        <v>5762</v>
      </c>
      <c r="G322" s="2">
        <v>46177.777293749998</v>
      </c>
      <c r="H322" s="1" t="s">
        <v>1211</v>
      </c>
      <c r="I322" s="2">
        <v>46177.777293865744</v>
      </c>
      <c r="J322" s="1" t="s">
        <v>1211</v>
      </c>
    </row>
    <row r="323" spans="1:10" x14ac:dyDescent="0.35">
      <c r="A323" s="1" t="s">
        <v>555</v>
      </c>
      <c r="B323" s="1" t="s">
        <v>1209</v>
      </c>
      <c r="C323" s="1" t="s">
        <v>1210</v>
      </c>
      <c r="D323" s="2">
        <v>46177</v>
      </c>
      <c r="E323">
        <v>3.8822528213682497E-2</v>
      </c>
      <c r="F323" s="1" t="s">
        <v>5763</v>
      </c>
      <c r="G323" s="2">
        <v>46177.777293865744</v>
      </c>
      <c r="H323" s="1" t="s">
        <v>1211</v>
      </c>
      <c r="I323" s="2">
        <v>46177.7772940625</v>
      </c>
      <c r="J323" s="1" t="s">
        <v>1211</v>
      </c>
    </row>
    <row r="324" spans="1:10" x14ac:dyDescent="0.35">
      <c r="A324" s="1" t="s">
        <v>509</v>
      </c>
      <c r="B324" s="1" t="s">
        <v>1209</v>
      </c>
      <c r="C324" s="1" t="s">
        <v>1210</v>
      </c>
      <c r="D324" s="2">
        <v>46177</v>
      </c>
      <c r="E324">
        <v>4.1542369658596402E-2</v>
      </c>
      <c r="F324" s="1" t="s">
        <v>5764</v>
      </c>
      <c r="G324" s="2">
        <v>46177.7772940625</v>
      </c>
      <c r="H324" s="1" t="s">
        <v>1211</v>
      </c>
      <c r="I324" s="2">
        <v>46177.77729421296</v>
      </c>
      <c r="J324" s="1" t="s">
        <v>1211</v>
      </c>
    </row>
    <row r="325" spans="1:10" x14ac:dyDescent="0.35">
      <c r="A325" s="1" t="s">
        <v>511</v>
      </c>
      <c r="B325" s="1" t="s">
        <v>1209</v>
      </c>
      <c r="C325" s="1" t="s">
        <v>1210</v>
      </c>
      <c r="D325" s="2">
        <v>46177</v>
      </c>
      <c r="E325">
        <v>3.9155870459170898E-2</v>
      </c>
      <c r="F325" s="1" t="s">
        <v>5765</v>
      </c>
      <c r="G325" s="2">
        <v>46177.77729421296</v>
      </c>
      <c r="H325" s="1" t="s">
        <v>1211</v>
      </c>
      <c r="I325" s="2">
        <v>46177.77729421296</v>
      </c>
      <c r="J325" s="1" t="s">
        <v>1211</v>
      </c>
    </row>
    <row r="326" spans="1:10" x14ac:dyDescent="0.35">
      <c r="A326" s="1" t="s">
        <v>607</v>
      </c>
      <c r="B326" s="1" t="s">
        <v>1209</v>
      </c>
      <c r="C326" s="1" t="s">
        <v>1210</v>
      </c>
      <c r="D326" s="2">
        <v>46177</v>
      </c>
      <c r="E326">
        <v>3.9295448776070101E-2</v>
      </c>
      <c r="F326" s="1" t="s">
        <v>5766</v>
      </c>
      <c r="G326" s="2">
        <v>46177.777294363426</v>
      </c>
      <c r="H326" s="1" t="s">
        <v>1211</v>
      </c>
      <c r="I326" s="2">
        <v>46177.777294409723</v>
      </c>
      <c r="J326" s="1" t="s">
        <v>1211</v>
      </c>
    </row>
    <row r="327" spans="1:10" x14ac:dyDescent="0.35">
      <c r="A327" s="1" t="s">
        <v>513</v>
      </c>
      <c r="B327" s="1" t="s">
        <v>1209</v>
      </c>
      <c r="C327" s="1" t="s">
        <v>1210</v>
      </c>
      <c r="D327" s="2">
        <v>46177</v>
      </c>
      <c r="E327">
        <v>1.51408861321499E-2</v>
      </c>
      <c r="F327" s="1" t="s">
        <v>5767</v>
      </c>
      <c r="G327" s="2">
        <v>46177.777294560183</v>
      </c>
      <c r="H327" s="1" t="s">
        <v>1211</v>
      </c>
      <c r="I327" s="2">
        <v>46177.777294560183</v>
      </c>
      <c r="J327" s="1" t="s">
        <v>1211</v>
      </c>
    </row>
    <row r="328" spans="1:10" x14ac:dyDescent="0.35">
      <c r="A328" s="1" t="s">
        <v>515</v>
      </c>
      <c r="B328" s="1" t="s">
        <v>1209</v>
      </c>
      <c r="C328" s="1" t="s">
        <v>1210</v>
      </c>
      <c r="D328" s="2">
        <v>46177</v>
      </c>
      <c r="E328">
        <v>3.9651212974179603E-2</v>
      </c>
      <c r="F328" s="1" t="s">
        <v>5768</v>
      </c>
      <c r="G328" s="2">
        <v>46177.77729471065</v>
      </c>
      <c r="H328" s="1" t="s">
        <v>1211</v>
      </c>
      <c r="I328" s="2">
        <v>46177.777294872685</v>
      </c>
      <c r="J328" s="1" t="s">
        <v>1211</v>
      </c>
    </row>
    <row r="329" spans="1:10" x14ac:dyDescent="0.35">
      <c r="A329" s="1" t="s">
        <v>517</v>
      </c>
      <c r="B329" s="1" t="s">
        <v>1209</v>
      </c>
      <c r="C329" s="1" t="s">
        <v>1210</v>
      </c>
      <c r="D329" s="2">
        <v>46177</v>
      </c>
      <c r="E329">
        <v>4.16241631461058E-2</v>
      </c>
      <c r="F329" s="1" t="s">
        <v>5769</v>
      </c>
      <c r="G329" s="2">
        <v>46177.777294872685</v>
      </c>
      <c r="H329" s="1" t="s">
        <v>1211</v>
      </c>
      <c r="I329" s="2">
        <v>46177.777294942127</v>
      </c>
      <c r="J329" s="1" t="s">
        <v>1211</v>
      </c>
    </row>
    <row r="330" spans="1:10" x14ac:dyDescent="0.35">
      <c r="A330" s="1" t="s">
        <v>557</v>
      </c>
      <c r="B330" s="1" t="s">
        <v>1209</v>
      </c>
      <c r="C330" s="1" t="s">
        <v>1210</v>
      </c>
      <c r="D330" s="2">
        <v>46177</v>
      </c>
      <c r="E330">
        <v>3.9726234393318002E-2</v>
      </c>
      <c r="F330" s="1" t="s">
        <v>5770</v>
      </c>
      <c r="G330" s="2">
        <v>46177.777295023145</v>
      </c>
      <c r="H330" s="1" t="s">
        <v>1211</v>
      </c>
      <c r="I330" s="2">
        <v>46177.77729510417</v>
      </c>
      <c r="J330" s="1" t="s">
        <v>1211</v>
      </c>
    </row>
    <row r="331" spans="1:10" x14ac:dyDescent="0.35">
      <c r="A331" s="1" t="s">
        <v>519</v>
      </c>
      <c r="B331" s="1" t="s">
        <v>1209</v>
      </c>
      <c r="C331" s="1" t="s">
        <v>1210</v>
      </c>
      <c r="D331" s="2">
        <v>46177</v>
      </c>
      <c r="E331">
        <v>3.9824522862027499E-2</v>
      </c>
      <c r="F331" s="1" t="s">
        <v>5771</v>
      </c>
      <c r="G331" s="2">
        <v>46177.777295173611</v>
      </c>
      <c r="H331" s="1" t="s">
        <v>1211</v>
      </c>
      <c r="I331" s="2">
        <v>46177.777295335647</v>
      </c>
      <c r="J331" s="1" t="s">
        <v>1211</v>
      </c>
    </row>
    <row r="332" spans="1:10" x14ac:dyDescent="0.35">
      <c r="A332" s="1" t="s">
        <v>609</v>
      </c>
      <c r="B332" s="1" t="s">
        <v>1209</v>
      </c>
      <c r="C332" s="1" t="s">
        <v>1210</v>
      </c>
      <c r="D332" s="2">
        <v>46177</v>
      </c>
      <c r="E332">
        <v>4.0100474043220799E-2</v>
      </c>
      <c r="F332" s="1" t="s">
        <v>5772</v>
      </c>
      <c r="G332" s="2">
        <v>46177.777295335647</v>
      </c>
      <c r="H332" s="1" t="s">
        <v>1211</v>
      </c>
      <c r="I332" s="2">
        <v>46177.777295335647</v>
      </c>
      <c r="J332" s="1" t="s">
        <v>1211</v>
      </c>
    </row>
    <row r="333" spans="1:10" x14ac:dyDescent="0.35">
      <c r="A333" s="1" t="s">
        <v>611</v>
      </c>
      <c r="B333" s="1" t="s">
        <v>1209</v>
      </c>
      <c r="C333" s="1" t="s">
        <v>1210</v>
      </c>
      <c r="D333" s="2">
        <v>46177</v>
      </c>
      <c r="E333">
        <v>4.1741262437970703E-2</v>
      </c>
      <c r="F333" s="1" t="s">
        <v>5773</v>
      </c>
      <c r="G333" s="2">
        <v>46177.777295486114</v>
      </c>
      <c r="H333" s="1" t="s">
        <v>1211</v>
      </c>
      <c r="I333" s="2">
        <v>46177.777295486114</v>
      </c>
      <c r="J333" s="1" t="s">
        <v>1211</v>
      </c>
    </row>
    <row r="334" spans="1:10" x14ac:dyDescent="0.35">
      <c r="A334" s="1" t="s">
        <v>559</v>
      </c>
      <c r="B334" s="1" t="s">
        <v>1209</v>
      </c>
      <c r="C334" s="1" t="s">
        <v>1210</v>
      </c>
      <c r="D334" s="2">
        <v>46177</v>
      </c>
      <c r="E334">
        <v>4.0173993065455701E-2</v>
      </c>
      <c r="F334" s="1" t="s">
        <v>5774</v>
      </c>
      <c r="G334" s="2">
        <v>46177.777295636573</v>
      </c>
      <c r="H334" s="1" t="s">
        <v>1211</v>
      </c>
      <c r="I334" s="2">
        <v>46177.77729568287</v>
      </c>
      <c r="J334" s="1" t="s">
        <v>1211</v>
      </c>
    </row>
    <row r="335" spans="1:10" x14ac:dyDescent="0.35">
      <c r="A335" s="1" t="s">
        <v>613</v>
      </c>
      <c r="B335" s="1" t="s">
        <v>1209</v>
      </c>
      <c r="C335" s="1" t="s">
        <v>1210</v>
      </c>
      <c r="D335" s="2">
        <v>46177</v>
      </c>
      <c r="E335">
        <v>4.0334905284976803E-2</v>
      </c>
      <c r="F335" s="1" t="s">
        <v>5775</v>
      </c>
      <c r="G335" s="2">
        <v>46177.777295798609</v>
      </c>
      <c r="H335" s="1" t="s">
        <v>1211</v>
      </c>
      <c r="I335" s="2">
        <v>46177.77729583333</v>
      </c>
      <c r="J335" s="1" t="s">
        <v>1211</v>
      </c>
    </row>
    <row r="336" spans="1:10" x14ac:dyDescent="0.35">
      <c r="A336" s="1" t="s">
        <v>615</v>
      </c>
      <c r="B336" s="1" t="s">
        <v>1209</v>
      </c>
      <c r="C336" s="1" t="s">
        <v>1210</v>
      </c>
      <c r="D336" s="2">
        <v>46177</v>
      </c>
      <c r="E336">
        <v>1.6294873688502499E-2</v>
      </c>
      <c r="F336" s="1" t="s">
        <v>5776</v>
      </c>
      <c r="G336" s="2">
        <v>46177.777295949076</v>
      </c>
      <c r="H336" s="1" t="s">
        <v>1211</v>
      </c>
      <c r="I336" s="2">
        <v>46177.777296030094</v>
      </c>
      <c r="J336" s="1" t="s">
        <v>1211</v>
      </c>
    </row>
    <row r="337" spans="1:10" x14ac:dyDescent="0.35">
      <c r="A337" s="1" t="s">
        <v>641</v>
      </c>
      <c r="B337" s="1" t="s">
        <v>1209</v>
      </c>
      <c r="C337" s="1" t="s">
        <v>1210</v>
      </c>
      <c r="D337" s="2">
        <v>46177</v>
      </c>
      <c r="E337">
        <v>4.0417874294201302E-2</v>
      </c>
      <c r="F337" s="1" t="s">
        <v>5777</v>
      </c>
      <c r="G337" s="2">
        <v>46177.777296064814</v>
      </c>
      <c r="H337" s="1" t="s">
        <v>1211</v>
      </c>
      <c r="I337" s="2">
        <v>46177.777296030094</v>
      </c>
      <c r="J337" s="1" t="s">
        <v>1211</v>
      </c>
    </row>
    <row r="338" spans="1:10" x14ac:dyDescent="0.35">
      <c r="A338" s="1" t="s">
        <v>617</v>
      </c>
      <c r="B338" s="1" t="s">
        <v>1209</v>
      </c>
      <c r="C338" s="1" t="s">
        <v>1210</v>
      </c>
      <c r="D338" s="2">
        <v>46177</v>
      </c>
      <c r="E338">
        <v>4.1650386983855099E-2</v>
      </c>
      <c r="F338" s="1" t="s">
        <v>5778</v>
      </c>
      <c r="G338" s="2">
        <v>46177.777296215281</v>
      </c>
      <c r="H338" s="1" t="s">
        <v>1211</v>
      </c>
      <c r="I338" s="2">
        <v>46177.777296215281</v>
      </c>
      <c r="J338" s="1" t="s">
        <v>1211</v>
      </c>
    </row>
    <row r="339" spans="1:10" x14ac:dyDescent="0.35">
      <c r="A339" s="1" t="s">
        <v>521</v>
      </c>
      <c r="B339" s="1" t="s">
        <v>1209</v>
      </c>
      <c r="C339" s="1" t="s">
        <v>1210</v>
      </c>
      <c r="D339" s="2">
        <v>46177</v>
      </c>
      <c r="E339">
        <v>4.0431792192870901E-2</v>
      </c>
      <c r="F339" s="1" t="s">
        <v>5779</v>
      </c>
      <c r="G339" s="2">
        <v>46177.777296377317</v>
      </c>
      <c r="H339" s="1" t="s">
        <v>1211</v>
      </c>
      <c r="I339" s="2">
        <v>46177.777296377317</v>
      </c>
      <c r="J339" s="1" t="s">
        <v>1211</v>
      </c>
    </row>
    <row r="340" spans="1:10" x14ac:dyDescent="0.35">
      <c r="A340" s="1" t="s">
        <v>619</v>
      </c>
      <c r="B340" s="1" t="s">
        <v>1209</v>
      </c>
      <c r="C340" s="1" t="s">
        <v>1210</v>
      </c>
      <c r="D340" s="2">
        <v>46177</v>
      </c>
      <c r="E340">
        <v>4.0518630400370202E-2</v>
      </c>
      <c r="F340" s="1" t="s">
        <v>5780</v>
      </c>
      <c r="G340" s="2">
        <v>46177.777296527776</v>
      </c>
      <c r="H340" s="1" t="s">
        <v>1211</v>
      </c>
      <c r="I340" s="2">
        <v>46177.777296562497</v>
      </c>
      <c r="J340" s="1" t="s">
        <v>1211</v>
      </c>
    </row>
    <row r="341" spans="1:10" x14ac:dyDescent="0.35">
      <c r="A341" s="1" t="s">
        <v>627</v>
      </c>
      <c r="B341" s="1" t="s">
        <v>1209</v>
      </c>
      <c r="C341" s="1" t="s">
        <v>1210</v>
      </c>
      <c r="D341" s="2">
        <v>46177</v>
      </c>
      <c r="E341">
        <v>4.05686610257949E-2</v>
      </c>
      <c r="F341" s="1" t="s">
        <v>5781</v>
      </c>
      <c r="G341" s="2">
        <v>46177.777296678243</v>
      </c>
      <c r="H341" s="1" t="s">
        <v>1211</v>
      </c>
      <c r="I341" s="2">
        <v>46177.777296759261</v>
      </c>
      <c r="J341" s="1" t="s">
        <v>1211</v>
      </c>
    </row>
    <row r="342" spans="1:10" x14ac:dyDescent="0.35">
      <c r="A342" s="1" t="s">
        <v>523</v>
      </c>
      <c r="B342" s="1" t="s">
        <v>1209</v>
      </c>
      <c r="C342" s="1" t="s">
        <v>1210</v>
      </c>
      <c r="D342" s="2">
        <v>46177</v>
      </c>
      <c r="E342">
        <v>4.19983983907267E-2</v>
      </c>
      <c r="F342" s="1" t="s">
        <v>5782</v>
      </c>
      <c r="G342" s="2">
        <v>46177.777296840279</v>
      </c>
      <c r="H342" s="1" t="s">
        <v>1211</v>
      </c>
      <c r="I342" s="2">
        <v>46177.777296956017</v>
      </c>
      <c r="J342" s="1" t="s">
        <v>1211</v>
      </c>
    </row>
    <row r="343" spans="1:10" x14ac:dyDescent="0.35">
      <c r="A343" s="1" t="s">
        <v>525</v>
      </c>
      <c r="B343" s="1" t="s">
        <v>1209</v>
      </c>
      <c r="C343" s="1" t="s">
        <v>1210</v>
      </c>
      <c r="D343" s="2">
        <v>46177</v>
      </c>
      <c r="E343">
        <v>4.0597217501672E-2</v>
      </c>
      <c r="F343" s="1" t="s">
        <v>5783</v>
      </c>
      <c r="G343" s="2">
        <v>46177.777296990738</v>
      </c>
      <c r="H343" s="1" t="s">
        <v>1211</v>
      </c>
      <c r="I343" s="2">
        <v>46177.777296956017</v>
      </c>
      <c r="J343" s="1" t="s">
        <v>1211</v>
      </c>
    </row>
    <row r="344" spans="1:10" x14ac:dyDescent="0.35">
      <c r="A344" s="1" t="s">
        <v>621</v>
      </c>
      <c r="B344" s="1" t="s">
        <v>1209</v>
      </c>
      <c r="C344" s="1" t="s">
        <v>1210</v>
      </c>
      <c r="D344" s="2">
        <v>46177</v>
      </c>
      <c r="E344">
        <v>4.0598363148448197E-2</v>
      </c>
      <c r="F344" s="1" t="s">
        <v>5784</v>
      </c>
      <c r="G344" s="2">
        <v>46177.777297106484</v>
      </c>
      <c r="H344" s="1" t="s">
        <v>1211</v>
      </c>
      <c r="I344" s="2">
        <v>46177.777297106484</v>
      </c>
      <c r="J344" s="1" t="s">
        <v>1211</v>
      </c>
    </row>
    <row r="345" spans="1:10" x14ac:dyDescent="0.35">
      <c r="A345" s="1" t="s">
        <v>643</v>
      </c>
      <c r="B345" s="1" t="s">
        <v>1209</v>
      </c>
      <c r="C345" s="1" t="s">
        <v>1210</v>
      </c>
      <c r="D345" s="2">
        <v>46177</v>
      </c>
      <c r="E345">
        <v>3.6681049844917699E-2</v>
      </c>
      <c r="F345" s="1" t="s">
        <v>5785</v>
      </c>
      <c r="G345" s="2">
        <v>46177.777297256944</v>
      </c>
      <c r="H345" s="1" t="s">
        <v>1211</v>
      </c>
      <c r="I345" s="2">
        <v>46177.777297303241</v>
      </c>
      <c r="J345" s="1" t="s">
        <v>1211</v>
      </c>
    </row>
    <row r="346" spans="1:10" x14ac:dyDescent="0.35">
      <c r="A346" s="1" t="s">
        <v>645</v>
      </c>
      <c r="B346" s="1" t="s">
        <v>1209</v>
      </c>
      <c r="C346" s="1" t="s">
        <v>1210</v>
      </c>
      <c r="D346" s="2">
        <v>46177</v>
      </c>
      <c r="E346">
        <v>1.6092711046317001E-2</v>
      </c>
      <c r="F346" s="1" t="s">
        <v>5786</v>
      </c>
      <c r="G346" s="2">
        <v>46177.777297418979</v>
      </c>
      <c r="H346" s="1" t="s">
        <v>1211</v>
      </c>
      <c r="I346" s="2">
        <v>46177.777297488428</v>
      </c>
      <c r="J346" s="1" t="s">
        <v>1211</v>
      </c>
    </row>
    <row r="347" spans="1:10" x14ac:dyDescent="0.35">
      <c r="A347" s="1" t="s">
        <v>527</v>
      </c>
      <c r="B347" s="1" t="s">
        <v>1209</v>
      </c>
      <c r="C347" s="1" t="s">
        <v>1210</v>
      </c>
      <c r="D347" s="2">
        <v>46177</v>
      </c>
      <c r="E347">
        <v>3.63894483434987E-2</v>
      </c>
      <c r="F347" s="1" t="s">
        <v>5787</v>
      </c>
      <c r="G347" s="2">
        <v>46177.777297569446</v>
      </c>
      <c r="H347" s="1" t="s">
        <v>1211</v>
      </c>
      <c r="I347" s="2">
        <v>46177.777297650464</v>
      </c>
      <c r="J347" s="1" t="s">
        <v>1211</v>
      </c>
    </row>
    <row r="348" spans="1:10" x14ac:dyDescent="0.35">
      <c r="A348" s="1" t="s">
        <v>629</v>
      </c>
      <c r="B348" s="1" t="s">
        <v>1209</v>
      </c>
      <c r="C348" s="1" t="s">
        <v>1210</v>
      </c>
      <c r="D348" s="2">
        <v>46177</v>
      </c>
      <c r="E348">
        <v>4.0640584850705298E-2</v>
      </c>
      <c r="F348" s="1" t="s">
        <v>5788</v>
      </c>
      <c r="G348" s="2">
        <v>46177.777297719906</v>
      </c>
      <c r="H348" s="1" t="s">
        <v>1211</v>
      </c>
      <c r="I348" s="2">
        <v>46177.777297835652</v>
      </c>
      <c r="J348" s="1" t="s">
        <v>1211</v>
      </c>
    </row>
    <row r="349" spans="1:10" x14ac:dyDescent="0.35">
      <c r="A349" s="1" t="s">
        <v>529</v>
      </c>
      <c r="B349" s="1" t="s">
        <v>1209</v>
      </c>
      <c r="C349" s="1" t="s">
        <v>1210</v>
      </c>
      <c r="D349" s="2">
        <v>46177</v>
      </c>
      <c r="E349">
        <v>4.2136430525218899E-2</v>
      </c>
      <c r="F349" s="1" t="s">
        <v>5789</v>
      </c>
      <c r="G349" s="2">
        <v>46177.777297881941</v>
      </c>
      <c r="H349" s="1" t="s">
        <v>1211</v>
      </c>
      <c r="I349" s="2">
        <v>46177.777297835652</v>
      </c>
      <c r="J349" s="1" t="s">
        <v>1211</v>
      </c>
    </row>
    <row r="350" spans="1:10" x14ac:dyDescent="0.35">
      <c r="A350" s="1" t="s">
        <v>623</v>
      </c>
      <c r="B350" s="1" t="s">
        <v>1209</v>
      </c>
      <c r="C350" s="1" t="s">
        <v>1210</v>
      </c>
      <c r="D350" s="2">
        <v>46177</v>
      </c>
      <c r="E350">
        <v>4.0728445304630601E-2</v>
      </c>
      <c r="F350" s="1" t="s">
        <v>5790</v>
      </c>
      <c r="G350" s="2">
        <v>46177.777298032408</v>
      </c>
      <c r="H350" s="1" t="s">
        <v>1211</v>
      </c>
      <c r="I350" s="2">
        <v>46177.777298032408</v>
      </c>
      <c r="J350" s="1" t="s">
        <v>1211</v>
      </c>
    </row>
    <row r="351" spans="1:10" x14ac:dyDescent="0.35">
      <c r="A351" s="1" t="s">
        <v>625</v>
      </c>
      <c r="B351" s="1" t="s">
        <v>1209</v>
      </c>
      <c r="C351" s="1" t="s">
        <v>1210</v>
      </c>
      <c r="D351" s="2">
        <v>46177</v>
      </c>
      <c r="E351">
        <v>3.7514337464789098E-2</v>
      </c>
      <c r="F351" s="1" t="s">
        <v>5791</v>
      </c>
      <c r="G351" s="2">
        <v>46177.777298182868</v>
      </c>
      <c r="H351" s="1" t="s">
        <v>1211</v>
      </c>
      <c r="I351" s="2">
        <v>46177.777298229164</v>
      </c>
      <c r="J351" s="1" t="s">
        <v>1211</v>
      </c>
    </row>
    <row r="352" spans="1:10" x14ac:dyDescent="0.35">
      <c r="A352" s="1" t="s">
        <v>531</v>
      </c>
      <c r="B352" s="1" t="s">
        <v>1209</v>
      </c>
      <c r="C352" s="1" t="s">
        <v>1210</v>
      </c>
      <c r="D352" s="2">
        <v>46177</v>
      </c>
      <c r="E352">
        <v>4.0828532089198198E-2</v>
      </c>
      <c r="F352" s="1" t="s">
        <v>5792</v>
      </c>
      <c r="G352" s="2">
        <v>46177.77729834491</v>
      </c>
      <c r="H352" s="1" t="s">
        <v>1211</v>
      </c>
      <c r="I352" s="2">
        <v>46177.777298379631</v>
      </c>
      <c r="J352" s="1" t="s">
        <v>1211</v>
      </c>
    </row>
    <row r="353" spans="1:10" x14ac:dyDescent="0.35">
      <c r="A353" s="1" t="s">
        <v>533</v>
      </c>
      <c r="B353" s="1" t="s">
        <v>1209</v>
      </c>
      <c r="C353" s="1" t="s">
        <v>1210</v>
      </c>
      <c r="D353" s="2">
        <v>46177</v>
      </c>
      <c r="E353">
        <v>3.7254544731771401E-2</v>
      </c>
      <c r="F353" s="1" t="s">
        <v>5793</v>
      </c>
      <c r="G353" s="2">
        <v>46177.77729849537</v>
      </c>
      <c r="H353" s="1" t="s">
        <v>1211</v>
      </c>
      <c r="I353" s="2">
        <v>46177.777298576388</v>
      </c>
      <c r="J353" s="1" t="s">
        <v>1211</v>
      </c>
    </row>
    <row r="354" spans="1:10" x14ac:dyDescent="0.35">
      <c r="A354" s="1" t="s">
        <v>667</v>
      </c>
      <c r="B354" s="1" t="s">
        <v>1209</v>
      </c>
      <c r="C354" s="1" t="s">
        <v>1210</v>
      </c>
      <c r="D354" s="2">
        <v>46177</v>
      </c>
      <c r="E354">
        <v>-5.8832824767895602E-3</v>
      </c>
      <c r="F354" s="1" t="s">
        <v>5794</v>
      </c>
      <c r="G354" s="2">
        <v>46177.777298645837</v>
      </c>
      <c r="H354" s="1" t="s">
        <v>1211</v>
      </c>
      <c r="I354" s="2">
        <v>46177.777298726854</v>
      </c>
      <c r="J354" s="1" t="s">
        <v>1211</v>
      </c>
    </row>
    <row r="355" spans="1:10" x14ac:dyDescent="0.35">
      <c r="A355" s="1" t="s">
        <v>535</v>
      </c>
      <c r="B355" s="1" t="s">
        <v>1209</v>
      </c>
      <c r="C355" s="1" t="s">
        <v>1210</v>
      </c>
      <c r="D355" s="2">
        <v>46177</v>
      </c>
      <c r="E355">
        <v>4.0914056972684097E-2</v>
      </c>
      <c r="F355" s="1" t="s">
        <v>5795</v>
      </c>
      <c r="G355" s="2">
        <v>46177.777298761575</v>
      </c>
      <c r="H355" s="1" t="s">
        <v>1211</v>
      </c>
      <c r="I355" s="2">
        <v>46177.777298726854</v>
      </c>
      <c r="J355" s="1" t="s">
        <v>1211</v>
      </c>
    </row>
    <row r="356" spans="1:10" x14ac:dyDescent="0.35">
      <c r="A356" s="1" t="s">
        <v>631</v>
      </c>
      <c r="B356" s="1" t="s">
        <v>1209</v>
      </c>
      <c r="C356" s="1" t="s">
        <v>1210</v>
      </c>
      <c r="D356" s="2">
        <v>46177</v>
      </c>
      <c r="E356">
        <v>3.7981364763524997E-2</v>
      </c>
      <c r="F356" s="1" t="s">
        <v>5796</v>
      </c>
      <c r="G356" s="2">
        <v>46177.777298958332</v>
      </c>
      <c r="H356" s="1" t="s">
        <v>1211</v>
      </c>
      <c r="I356" s="2">
        <v>46177.777298923611</v>
      </c>
      <c r="J356" s="1" t="s">
        <v>1211</v>
      </c>
    </row>
    <row r="357" spans="1:10" x14ac:dyDescent="0.35">
      <c r="A357" s="1" t="s">
        <v>537</v>
      </c>
      <c r="B357" s="1" t="s">
        <v>1209</v>
      </c>
      <c r="C357" s="1" t="s">
        <v>1210</v>
      </c>
      <c r="D357" s="2">
        <v>46177</v>
      </c>
      <c r="E357">
        <v>4.23654090015399E-2</v>
      </c>
      <c r="F357" s="1" t="s">
        <v>5797</v>
      </c>
      <c r="G357" s="2">
        <v>46177.77729907407</v>
      </c>
      <c r="H357" s="1" t="s">
        <v>1211</v>
      </c>
      <c r="I357" s="2">
        <v>46177.777299108799</v>
      </c>
      <c r="J357" s="1" t="s">
        <v>1211</v>
      </c>
    </row>
    <row r="358" spans="1:10" x14ac:dyDescent="0.35">
      <c r="A358" s="1" t="s">
        <v>539</v>
      </c>
      <c r="B358" s="1" t="s">
        <v>1209</v>
      </c>
      <c r="C358" s="1" t="s">
        <v>1210</v>
      </c>
      <c r="D358" s="2">
        <v>46177</v>
      </c>
      <c r="E358">
        <v>3.7726767290017997E-2</v>
      </c>
      <c r="F358" s="1" t="s">
        <v>5798</v>
      </c>
      <c r="G358" s="2">
        <v>46177.777299270834</v>
      </c>
      <c r="H358" s="1" t="s">
        <v>1211</v>
      </c>
      <c r="I358" s="2">
        <v>46177.777299270834</v>
      </c>
      <c r="J358" s="1" t="s">
        <v>1211</v>
      </c>
    </row>
    <row r="359" spans="1:10" x14ac:dyDescent="0.35">
      <c r="A359" s="1" t="s">
        <v>561</v>
      </c>
      <c r="B359" s="1" t="s">
        <v>1209</v>
      </c>
      <c r="C359" s="1" t="s">
        <v>1210</v>
      </c>
      <c r="D359" s="2">
        <v>46177</v>
      </c>
      <c r="E359">
        <v>4.08911063421694E-2</v>
      </c>
      <c r="F359" s="1" t="s">
        <v>5799</v>
      </c>
      <c r="G359" s="2">
        <v>46177.777299421294</v>
      </c>
      <c r="H359" s="1" t="s">
        <v>1211</v>
      </c>
      <c r="I359" s="2">
        <v>46177.777299456022</v>
      </c>
      <c r="J359" s="1" t="s">
        <v>1211</v>
      </c>
    </row>
    <row r="360" spans="1:10" x14ac:dyDescent="0.35">
      <c r="A360" s="1" t="s">
        <v>633</v>
      </c>
      <c r="B360" s="1" t="s">
        <v>1209</v>
      </c>
      <c r="C360" s="1" t="s">
        <v>1210</v>
      </c>
      <c r="D360" s="2">
        <v>46177</v>
      </c>
      <c r="E360">
        <v>4.0883511531064301E-2</v>
      </c>
      <c r="F360" s="1" t="s">
        <v>5800</v>
      </c>
      <c r="G360" s="2">
        <v>46177.77729953704</v>
      </c>
      <c r="H360" s="1" t="s">
        <v>1211</v>
      </c>
      <c r="I360" s="2">
        <v>46177.777299652778</v>
      </c>
      <c r="J360" s="1" t="s">
        <v>1211</v>
      </c>
    </row>
    <row r="361" spans="1:10" x14ac:dyDescent="0.35">
      <c r="A361" s="1" t="s">
        <v>635</v>
      </c>
      <c r="B361" s="1" t="s">
        <v>1209</v>
      </c>
      <c r="C361" s="1" t="s">
        <v>1210</v>
      </c>
      <c r="D361" s="2">
        <v>46177</v>
      </c>
      <c r="E361">
        <v>3.7803875982294302E-2</v>
      </c>
      <c r="F361" s="1" t="s">
        <v>5801</v>
      </c>
      <c r="G361" s="2">
        <v>46177.777299687499</v>
      </c>
      <c r="H361" s="1" t="s">
        <v>1211</v>
      </c>
      <c r="I361" s="2">
        <v>46177.777299849535</v>
      </c>
      <c r="J361" s="1" t="s">
        <v>1211</v>
      </c>
    </row>
    <row r="362" spans="1:10" x14ac:dyDescent="0.35">
      <c r="A362" s="1" t="s">
        <v>637</v>
      </c>
      <c r="B362" s="1" t="s">
        <v>1209</v>
      </c>
      <c r="C362" s="1" t="s">
        <v>1210</v>
      </c>
      <c r="D362" s="2">
        <v>46177</v>
      </c>
      <c r="E362">
        <v>4.0963998164145803E-2</v>
      </c>
      <c r="F362" s="1" t="s">
        <v>5802</v>
      </c>
      <c r="G362" s="2">
        <v>46177.777299849535</v>
      </c>
      <c r="H362" s="1" t="s">
        <v>1211</v>
      </c>
      <c r="I362" s="2">
        <v>46177.777299849535</v>
      </c>
      <c r="J362" s="1" t="s">
        <v>1211</v>
      </c>
    </row>
    <row r="363" spans="1:10" x14ac:dyDescent="0.35">
      <c r="A363" s="1" t="s">
        <v>647</v>
      </c>
      <c r="B363" s="1" t="s">
        <v>1209</v>
      </c>
      <c r="C363" s="1" t="s">
        <v>1210</v>
      </c>
      <c r="D363" s="2">
        <v>46177</v>
      </c>
      <c r="E363">
        <v>1.73237870622709E-2</v>
      </c>
      <c r="F363" s="1" t="s">
        <v>5803</v>
      </c>
      <c r="G363" s="2">
        <v>46177.777300000002</v>
      </c>
      <c r="H363" s="1" t="s">
        <v>1211</v>
      </c>
      <c r="I363" s="2">
        <v>46177.777300000002</v>
      </c>
      <c r="J363" s="1" t="s">
        <v>1211</v>
      </c>
    </row>
    <row r="364" spans="1:10" x14ac:dyDescent="0.35">
      <c r="A364" s="1" t="s">
        <v>563</v>
      </c>
      <c r="B364" s="1" t="s">
        <v>1209</v>
      </c>
      <c r="C364" s="1" t="s">
        <v>1210</v>
      </c>
      <c r="D364" s="2">
        <v>46177</v>
      </c>
      <c r="E364">
        <v>4.2533447878760601E-2</v>
      </c>
      <c r="F364" s="1" t="s">
        <v>5804</v>
      </c>
      <c r="G364" s="2">
        <v>46177.777300150461</v>
      </c>
      <c r="H364" s="1" t="s">
        <v>1211</v>
      </c>
      <c r="I364" s="2">
        <v>46177.777300196758</v>
      </c>
      <c r="J364" s="1" t="s">
        <v>1211</v>
      </c>
    </row>
    <row r="365" spans="1:10" x14ac:dyDescent="0.35">
      <c r="A365" s="1" t="s">
        <v>649</v>
      </c>
      <c r="B365" s="1" t="s">
        <v>1209</v>
      </c>
      <c r="C365" s="1" t="s">
        <v>1210</v>
      </c>
      <c r="D365" s="2">
        <v>46177</v>
      </c>
      <c r="E365">
        <v>4.0969760344350098E-2</v>
      </c>
      <c r="F365" s="1" t="s">
        <v>5805</v>
      </c>
      <c r="G365" s="2">
        <v>46177.777300312497</v>
      </c>
      <c r="H365" s="1" t="s">
        <v>1211</v>
      </c>
      <c r="I365" s="2">
        <v>46177.777300381946</v>
      </c>
      <c r="J365" s="1" t="s">
        <v>1211</v>
      </c>
    </row>
    <row r="366" spans="1:10" x14ac:dyDescent="0.35">
      <c r="A366" s="1" t="s">
        <v>565</v>
      </c>
      <c r="B366" s="1" t="s">
        <v>1209</v>
      </c>
      <c r="C366" s="1" t="s">
        <v>1210</v>
      </c>
      <c r="D366" s="2">
        <v>46177</v>
      </c>
      <c r="E366">
        <v>3.8295038199515401E-2</v>
      </c>
      <c r="F366" s="1" t="s">
        <v>5806</v>
      </c>
      <c r="G366" s="2">
        <v>46177.777300462963</v>
      </c>
      <c r="H366" s="1" t="s">
        <v>1211</v>
      </c>
      <c r="I366" s="2">
        <v>46177.777300543981</v>
      </c>
      <c r="J366" s="1" t="s">
        <v>1211</v>
      </c>
    </row>
    <row r="367" spans="1:10" x14ac:dyDescent="0.35">
      <c r="A367" s="1" t="s">
        <v>567</v>
      </c>
      <c r="B367" s="1" t="s">
        <v>1209</v>
      </c>
      <c r="C367" s="1" t="s">
        <v>1210</v>
      </c>
      <c r="D367" s="2">
        <v>46177</v>
      </c>
      <c r="E367">
        <v>4.10095150564799E-2</v>
      </c>
      <c r="F367" s="1" t="s">
        <v>5807</v>
      </c>
      <c r="G367" s="2">
        <v>46177.777300613423</v>
      </c>
      <c r="H367" s="1" t="s">
        <v>1211</v>
      </c>
      <c r="I367" s="2">
        <v>46177.777300729169</v>
      </c>
      <c r="J367" s="1" t="s">
        <v>1211</v>
      </c>
    </row>
    <row r="368" spans="1:10" x14ac:dyDescent="0.35">
      <c r="A368" s="1" t="s">
        <v>569</v>
      </c>
      <c r="B368" s="1" t="s">
        <v>1209</v>
      </c>
      <c r="C368" s="1" t="s">
        <v>1210</v>
      </c>
      <c r="D368" s="2">
        <v>46177</v>
      </c>
      <c r="E368">
        <v>3.8305486861105201E-2</v>
      </c>
      <c r="F368" s="1" t="s">
        <v>5808</v>
      </c>
      <c r="G368" s="2">
        <v>46177.777300775466</v>
      </c>
      <c r="H368" s="1" t="s">
        <v>1211</v>
      </c>
      <c r="I368" s="2">
        <v>46177.777300729169</v>
      </c>
      <c r="J368" s="1" t="s">
        <v>1211</v>
      </c>
    </row>
    <row r="369" spans="1:10" x14ac:dyDescent="0.35">
      <c r="A369" s="1" t="s">
        <v>571</v>
      </c>
      <c r="B369" s="1" t="s">
        <v>1209</v>
      </c>
      <c r="C369" s="1" t="s">
        <v>1210</v>
      </c>
      <c r="D369" s="2">
        <v>46177</v>
      </c>
      <c r="E369">
        <v>1.15879078563377E-2</v>
      </c>
      <c r="F369" s="1" t="s">
        <v>5809</v>
      </c>
      <c r="G369" s="2">
        <v>46177.777300925925</v>
      </c>
      <c r="H369" s="1" t="s">
        <v>1211</v>
      </c>
      <c r="I369" s="2">
        <v>46177.777300925925</v>
      </c>
      <c r="J369" s="1" t="s">
        <v>1211</v>
      </c>
    </row>
    <row r="370" spans="1:10" x14ac:dyDescent="0.35">
      <c r="A370" s="1" t="s">
        <v>573</v>
      </c>
      <c r="B370" s="1" t="s">
        <v>1209</v>
      </c>
      <c r="C370" s="1" t="s">
        <v>1210</v>
      </c>
      <c r="D370" s="2">
        <v>46177</v>
      </c>
      <c r="E370">
        <v>4.1037202651618601E-2</v>
      </c>
      <c r="F370" s="1" t="s">
        <v>5810</v>
      </c>
      <c r="G370" s="2">
        <v>46177.777301122682</v>
      </c>
      <c r="H370" s="1" t="s">
        <v>1211</v>
      </c>
      <c r="I370" s="2">
        <v>46177.777301122682</v>
      </c>
      <c r="J370" s="1" t="s">
        <v>1211</v>
      </c>
    </row>
    <row r="371" spans="1:10" x14ac:dyDescent="0.35">
      <c r="A371" s="1" t="s">
        <v>651</v>
      </c>
      <c r="B371" s="1" t="s">
        <v>1209</v>
      </c>
      <c r="C371" s="1" t="s">
        <v>1210</v>
      </c>
      <c r="D371" s="2">
        <v>46177</v>
      </c>
      <c r="E371">
        <v>3.8841062379262097E-2</v>
      </c>
      <c r="F371" s="1" t="s">
        <v>5811</v>
      </c>
      <c r="G371" s="2">
        <v>46177.777301273149</v>
      </c>
      <c r="H371" s="1" t="s">
        <v>1211</v>
      </c>
      <c r="I371" s="2">
        <v>46177.777301273149</v>
      </c>
      <c r="J371" s="1" t="s">
        <v>1211</v>
      </c>
    </row>
    <row r="372" spans="1:10" x14ac:dyDescent="0.35">
      <c r="A372" s="1" t="s">
        <v>575</v>
      </c>
      <c r="B372" s="1" t="s">
        <v>1209</v>
      </c>
      <c r="C372" s="1" t="s">
        <v>1210</v>
      </c>
      <c r="D372" s="2">
        <v>46177</v>
      </c>
      <c r="E372">
        <v>4.2672589880545002E-2</v>
      </c>
      <c r="F372" s="1" t="s">
        <v>5812</v>
      </c>
      <c r="G372" s="2">
        <v>46177.777301469905</v>
      </c>
      <c r="H372" s="1" t="s">
        <v>1211</v>
      </c>
      <c r="I372" s="2">
        <v>46177.777301469905</v>
      </c>
      <c r="J372" s="1" t="s">
        <v>1211</v>
      </c>
    </row>
    <row r="373" spans="1:10" x14ac:dyDescent="0.35">
      <c r="A373" s="1" t="s">
        <v>577</v>
      </c>
      <c r="B373" s="1" t="s">
        <v>1209</v>
      </c>
      <c r="C373" s="1" t="s">
        <v>1210</v>
      </c>
      <c r="D373" s="2">
        <v>46177</v>
      </c>
      <c r="E373">
        <v>4.1053814531347002E-2</v>
      </c>
      <c r="F373" s="1" t="s">
        <v>5813</v>
      </c>
      <c r="G373" s="2">
        <v>46177.777301620372</v>
      </c>
      <c r="H373" s="1" t="s">
        <v>1211</v>
      </c>
      <c r="I373" s="2">
        <v>46177.777301620372</v>
      </c>
      <c r="J373" s="1" t="s">
        <v>1211</v>
      </c>
    </row>
    <row r="374" spans="1:10" x14ac:dyDescent="0.35">
      <c r="A374" s="1" t="s">
        <v>670</v>
      </c>
      <c r="B374" s="1" t="s">
        <v>1209</v>
      </c>
      <c r="C374" s="1" t="s">
        <v>1210</v>
      </c>
      <c r="D374" s="2">
        <v>46177</v>
      </c>
      <c r="E374">
        <v>3.9126239759297701E-2</v>
      </c>
      <c r="F374" s="1" t="s">
        <v>5814</v>
      </c>
      <c r="G374" s="2">
        <v>46177.777301770831</v>
      </c>
      <c r="H374" s="1" t="s">
        <v>1211</v>
      </c>
      <c r="I374" s="2">
        <v>46177.777301817128</v>
      </c>
      <c r="J374" s="1" t="s">
        <v>1211</v>
      </c>
    </row>
    <row r="375" spans="1:10" x14ac:dyDescent="0.35">
      <c r="A375" s="1" t="s">
        <v>653</v>
      </c>
      <c r="B375" s="1" t="s">
        <v>1209</v>
      </c>
      <c r="C375" s="1" t="s">
        <v>1210</v>
      </c>
      <c r="D375" s="2">
        <v>46177</v>
      </c>
      <c r="E375">
        <v>4.1124014717973001E-2</v>
      </c>
      <c r="F375" s="1" t="s">
        <v>5815</v>
      </c>
      <c r="G375" s="2">
        <v>46177.777301932867</v>
      </c>
      <c r="H375" s="1" t="s">
        <v>1211</v>
      </c>
      <c r="I375" s="2">
        <v>46177.777302002316</v>
      </c>
      <c r="J375" s="1" t="s">
        <v>1211</v>
      </c>
    </row>
    <row r="376" spans="1:10" x14ac:dyDescent="0.35">
      <c r="A376" s="1" t="s">
        <v>579</v>
      </c>
      <c r="B376" s="1" t="s">
        <v>1209</v>
      </c>
      <c r="C376" s="1" t="s">
        <v>1210</v>
      </c>
      <c r="D376" s="2">
        <v>46177</v>
      </c>
      <c r="E376">
        <v>3.9262194918170998E-2</v>
      </c>
      <c r="F376" s="1" t="s">
        <v>5816</v>
      </c>
      <c r="G376" s="2">
        <v>46177.777302083334</v>
      </c>
      <c r="H376" s="1" t="s">
        <v>1211</v>
      </c>
      <c r="I376" s="2">
        <v>46177.777302164352</v>
      </c>
      <c r="J376" s="1" t="s">
        <v>1211</v>
      </c>
    </row>
    <row r="377" spans="1:10" x14ac:dyDescent="0.35">
      <c r="A377" s="1" t="s">
        <v>672</v>
      </c>
      <c r="B377" s="1" t="s">
        <v>1209</v>
      </c>
      <c r="C377" s="1" t="s">
        <v>1210</v>
      </c>
      <c r="D377" s="2">
        <v>46177</v>
      </c>
      <c r="E377">
        <v>1.7197068817879899E-2</v>
      </c>
      <c r="F377" s="1" t="s">
        <v>5817</v>
      </c>
      <c r="G377" s="2">
        <v>46177.777302199072</v>
      </c>
      <c r="H377" s="1" t="s">
        <v>1211</v>
      </c>
      <c r="I377" s="2">
        <v>46177.777302164352</v>
      </c>
      <c r="J377" s="1" t="s">
        <v>1211</v>
      </c>
    </row>
    <row r="378" spans="1:10" x14ac:dyDescent="0.35">
      <c r="A378" s="1" t="s">
        <v>581</v>
      </c>
      <c r="B378" s="1" t="s">
        <v>1209</v>
      </c>
      <c r="C378" s="1" t="s">
        <v>1210</v>
      </c>
      <c r="D378" s="2">
        <v>46177</v>
      </c>
      <c r="E378">
        <v>3.9652086118322397E-2</v>
      </c>
      <c r="F378" s="1" t="s">
        <v>5818</v>
      </c>
      <c r="G378" s="2">
        <v>46177.777302349539</v>
      </c>
      <c r="H378" s="1" t="s">
        <v>1211</v>
      </c>
      <c r="I378" s="2">
        <v>46177.777302349539</v>
      </c>
      <c r="J378" s="1" t="s">
        <v>1211</v>
      </c>
    </row>
    <row r="379" spans="1:10" x14ac:dyDescent="0.35">
      <c r="A379" s="1" t="s">
        <v>655</v>
      </c>
      <c r="B379" s="1" t="s">
        <v>1209</v>
      </c>
      <c r="C379" s="1" t="s">
        <v>1210</v>
      </c>
      <c r="D379" s="2">
        <v>46177</v>
      </c>
      <c r="E379">
        <v>4.1170605514918399E-2</v>
      </c>
      <c r="F379" s="1" t="s">
        <v>5819</v>
      </c>
      <c r="G379" s="2">
        <v>46177.777302546296</v>
      </c>
      <c r="H379" s="1" t="s">
        <v>1211</v>
      </c>
      <c r="I379" s="2">
        <v>46177.777302546296</v>
      </c>
      <c r="J379" s="1" t="s">
        <v>1211</v>
      </c>
    </row>
    <row r="380" spans="1:10" x14ac:dyDescent="0.35">
      <c r="A380" s="1" t="s">
        <v>583</v>
      </c>
      <c r="B380" s="1" t="s">
        <v>1209</v>
      </c>
      <c r="C380" s="1" t="s">
        <v>1210</v>
      </c>
      <c r="D380" s="2">
        <v>46177</v>
      </c>
      <c r="E380">
        <v>4.2868652388729202E-2</v>
      </c>
      <c r="F380" s="1" t="s">
        <v>5820</v>
      </c>
      <c r="G380" s="2">
        <v>46177.777302696762</v>
      </c>
      <c r="H380" s="1" t="s">
        <v>1211</v>
      </c>
      <c r="I380" s="2">
        <v>46177.777302743052</v>
      </c>
      <c r="J380" s="1" t="s">
        <v>1211</v>
      </c>
    </row>
    <row r="381" spans="1:10" x14ac:dyDescent="0.35">
      <c r="A381" s="1" t="s">
        <v>657</v>
      </c>
      <c r="B381" s="1" t="s">
        <v>1209</v>
      </c>
      <c r="C381" s="1" t="s">
        <v>1210</v>
      </c>
      <c r="D381" s="2">
        <v>46177</v>
      </c>
      <c r="E381">
        <v>3.9667507657740998E-2</v>
      </c>
      <c r="F381" s="1" t="s">
        <v>5821</v>
      </c>
      <c r="G381" s="2">
        <v>46177.777302812501</v>
      </c>
      <c r="H381" s="1" t="s">
        <v>1211</v>
      </c>
      <c r="I381" s="2">
        <v>46177.777302893519</v>
      </c>
      <c r="J381" s="1" t="s">
        <v>1211</v>
      </c>
    </row>
    <row r="382" spans="1:10" x14ac:dyDescent="0.35">
      <c r="A382" s="1" t="s">
        <v>585</v>
      </c>
      <c r="B382" s="1" t="s">
        <v>1209</v>
      </c>
      <c r="C382" s="1" t="s">
        <v>1210</v>
      </c>
      <c r="D382" s="2">
        <v>46177</v>
      </c>
      <c r="E382">
        <v>4.1286628286036901E-2</v>
      </c>
      <c r="F382" s="1" t="s">
        <v>5822</v>
      </c>
      <c r="G382" s="2">
        <v>46177.777302974537</v>
      </c>
      <c r="H382" s="1" t="s">
        <v>1211</v>
      </c>
      <c r="I382" s="2">
        <v>46177.777303090275</v>
      </c>
      <c r="J382" s="1" t="s">
        <v>1211</v>
      </c>
    </row>
    <row r="383" spans="1:10" x14ac:dyDescent="0.35">
      <c r="A383" s="1" t="s">
        <v>587</v>
      </c>
      <c r="B383" s="1" t="s">
        <v>1209</v>
      </c>
      <c r="C383" s="1" t="s">
        <v>1210</v>
      </c>
      <c r="D383" s="2">
        <v>46177</v>
      </c>
      <c r="E383">
        <v>4.12648793033061E-2</v>
      </c>
      <c r="F383" s="1" t="s">
        <v>5823</v>
      </c>
      <c r="G383" s="2">
        <v>46177.777303159724</v>
      </c>
      <c r="H383" s="1" t="s">
        <v>1211</v>
      </c>
      <c r="I383" s="2">
        <v>46177.777303275463</v>
      </c>
      <c r="J383" s="1" t="s">
        <v>1211</v>
      </c>
    </row>
    <row r="384" spans="1:10" x14ac:dyDescent="0.35">
      <c r="A384" s="1" t="s">
        <v>659</v>
      </c>
      <c r="B384" s="1" t="s">
        <v>1209</v>
      </c>
      <c r="C384" s="1" t="s">
        <v>1210</v>
      </c>
      <c r="D384" s="2">
        <v>46177</v>
      </c>
      <c r="E384">
        <v>3.9893892288514497E-2</v>
      </c>
      <c r="F384" s="1" t="s">
        <v>5824</v>
      </c>
      <c r="G384" s="2">
        <v>46177.77730332176</v>
      </c>
      <c r="H384" s="1" t="s">
        <v>1211</v>
      </c>
      <c r="I384" s="2">
        <v>46177.777303275463</v>
      </c>
      <c r="J384" s="1" t="s">
        <v>1211</v>
      </c>
    </row>
    <row r="385" spans="1:10" x14ac:dyDescent="0.35">
      <c r="A385" s="1" t="s">
        <v>589</v>
      </c>
      <c r="B385" s="1" t="s">
        <v>1209</v>
      </c>
      <c r="C385" s="1" t="s">
        <v>1210</v>
      </c>
      <c r="D385" s="2">
        <v>46177</v>
      </c>
      <c r="E385">
        <v>1.00169796111259E-2</v>
      </c>
      <c r="F385" s="1" t="s">
        <v>5825</v>
      </c>
      <c r="G385" s="2">
        <v>46177.77730347222</v>
      </c>
      <c r="H385" s="1" t="s">
        <v>1211</v>
      </c>
      <c r="I385" s="2">
        <v>46177.77730347222</v>
      </c>
      <c r="J385" s="1" t="s">
        <v>1211</v>
      </c>
    </row>
    <row r="386" spans="1:10" x14ac:dyDescent="0.35">
      <c r="A386" s="1" t="s">
        <v>591</v>
      </c>
      <c r="B386" s="1" t="s">
        <v>1209</v>
      </c>
      <c r="C386" s="1" t="s">
        <v>1210</v>
      </c>
      <c r="D386" s="2">
        <v>46177</v>
      </c>
      <c r="E386">
        <v>4.1331772636808498E-2</v>
      </c>
      <c r="F386" s="1" t="s">
        <v>5826</v>
      </c>
      <c r="G386" s="2">
        <v>46177.777303587965</v>
      </c>
      <c r="H386" s="1" t="s">
        <v>1211</v>
      </c>
      <c r="I386" s="2">
        <v>46177.777303668983</v>
      </c>
      <c r="J386" s="1" t="s">
        <v>1211</v>
      </c>
    </row>
    <row r="387" spans="1:10" x14ac:dyDescent="0.35">
      <c r="A387" s="1" t="s">
        <v>674</v>
      </c>
      <c r="B387" s="1" t="s">
        <v>1209</v>
      </c>
      <c r="C387" s="1" t="s">
        <v>1210</v>
      </c>
      <c r="D387" s="2">
        <v>46177</v>
      </c>
      <c r="E387">
        <v>4.0112466361969301E-2</v>
      </c>
      <c r="F387" s="1" t="s">
        <v>5827</v>
      </c>
      <c r="G387" s="2">
        <v>46177.777303738425</v>
      </c>
      <c r="H387" s="1" t="s">
        <v>1211</v>
      </c>
      <c r="I387" s="2">
        <v>46177.777303854164</v>
      </c>
      <c r="J387" s="1" t="s">
        <v>1211</v>
      </c>
    </row>
    <row r="388" spans="1:10" x14ac:dyDescent="0.35">
      <c r="A388" s="1" t="s">
        <v>593</v>
      </c>
      <c r="B388" s="1" t="s">
        <v>1209</v>
      </c>
      <c r="C388" s="1" t="s">
        <v>1210</v>
      </c>
      <c r="D388" s="2">
        <v>46177</v>
      </c>
      <c r="E388">
        <v>4.2948197451127303E-2</v>
      </c>
      <c r="F388" s="1" t="s">
        <v>5828</v>
      </c>
      <c r="G388" s="2">
        <v>46177.777303900461</v>
      </c>
      <c r="H388" s="1" t="s">
        <v>1211</v>
      </c>
      <c r="I388" s="2">
        <v>46177.777303854164</v>
      </c>
      <c r="J388" s="1" t="s">
        <v>1211</v>
      </c>
    </row>
    <row r="389" spans="1:10" x14ac:dyDescent="0.35">
      <c r="A389" s="1" t="s">
        <v>595</v>
      </c>
      <c r="B389" s="1" t="s">
        <v>1209</v>
      </c>
      <c r="C389" s="1" t="s">
        <v>1210</v>
      </c>
      <c r="D389" s="2">
        <v>46177</v>
      </c>
      <c r="E389">
        <v>4.1335542201028301E-2</v>
      </c>
      <c r="F389" s="1" t="s">
        <v>5829</v>
      </c>
      <c r="G389" s="2">
        <v>46177.777304050927</v>
      </c>
      <c r="H389" s="1" t="s">
        <v>1211</v>
      </c>
      <c r="I389" s="2">
        <v>46177.777304050927</v>
      </c>
      <c r="J389" s="1" t="s">
        <v>1211</v>
      </c>
    </row>
    <row r="390" spans="1:10" x14ac:dyDescent="0.35">
      <c r="A390" s="1" t="s">
        <v>676</v>
      </c>
      <c r="B390" s="1" t="s">
        <v>1209</v>
      </c>
      <c r="C390" s="1" t="s">
        <v>1210</v>
      </c>
      <c r="D390" s="2">
        <v>46177</v>
      </c>
      <c r="E390">
        <v>4.0208975897648602E-2</v>
      </c>
      <c r="F390" s="1" t="s">
        <v>5830</v>
      </c>
      <c r="G390" s="2">
        <v>46177.777304201387</v>
      </c>
      <c r="H390" s="1" t="s">
        <v>1211</v>
      </c>
      <c r="I390" s="2">
        <v>46177.777304247684</v>
      </c>
      <c r="J390" s="1" t="s">
        <v>1211</v>
      </c>
    </row>
    <row r="391" spans="1:10" x14ac:dyDescent="0.35">
      <c r="A391" s="1" t="s">
        <v>597</v>
      </c>
      <c r="B391" s="1" t="s">
        <v>1209</v>
      </c>
      <c r="C391" s="1" t="s">
        <v>1210</v>
      </c>
      <c r="D391" s="2">
        <v>46177</v>
      </c>
      <c r="E391">
        <v>4.1429163382419303E-2</v>
      </c>
      <c r="F391" s="1" t="s">
        <v>5831</v>
      </c>
      <c r="G391" s="2">
        <v>46177.777304363422</v>
      </c>
      <c r="H391" s="1" t="s">
        <v>1211</v>
      </c>
      <c r="I391" s="2">
        <v>46177.777304398151</v>
      </c>
      <c r="J391" s="1" t="s">
        <v>1211</v>
      </c>
    </row>
    <row r="392" spans="1:10" x14ac:dyDescent="0.35">
      <c r="A392" s="1" t="s">
        <v>599</v>
      </c>
      <c r="B392" s="1" t="s">
        <v>1209</v>
      </c>
      <c r="C392" s="1" t="s">
        <v>1210</v>
      </c>
      <c r="D392" s="2">
        <v>46177</v>
      </c>
      <c r="E392">
        <v>4.0343065838907399E-2</v>
      </c>
      <c r="F392" s="1" t="s">
        <v>5832</v>
      </c>
      <c r="G392" s="2">
        <v>46177.777304513889</v>
      </c>
      <c r="H392" s="1" t="s">
        <v>1211</v>
      </c>
      <c r="I392" s="2">
        <v>46177.777304594907</v>
      </c>
      <c r="J392" s="1" t="s">
        <v>1211</v>
      </c>
    </row>
    <row r="393" spans="1:10" x14ac:dyDescent="0.35">
      <c r="A393" s="1" t="s">
        <v>661</v>
      </c>
      <c r="B393" s="1" t="s">
        <v>1209</v>
      </c>
      <c r="C393" s="1" t="s">
        <v>1210</v>
      </c>
      <c r="D393" s="2">
        <v>46177</v>
      </c>
      <c r="E393">
        <v>4.03853278221619E-2</v>
      </c>
      <c r="F393" s="1" t="s">
        <v>5833</v>
      </c>
      <c r="G393" s="2">
        <v>46177.777304664349</v>
      </c>
      <c r="H393" s="1" t="s">
        <v>1211</v>
      </c>
      <c r="I393" s="2">
        <v>46177.777304780095</v>
      </c>
      <c r="J393" s="1" t="s">
        <v>1211</v>
      </c>
    </row>
    <row r="394" spans="1:10" x14ac:dyDescent="0.35">
      <c r="A394" s="1" t="s">
        <v>601</v>
      </c>
      <c r="B394" s="1" t="s">
        <v>1209</v>
      </c>
      <c r="C394" s="1" t="s">
        <v>1210</v>
      </c>
      <c r="D394" s="2">
        <v>46177</v>
      </c>
      <c r="E394">
        <v>4.1477606380531301E-2</v>
      </c>
      <c r="F394" s="1" t="s">
        <v>5834</v>
      </c>
      <c r="G394" s="2">
        <v>46177.777304826392</v>
      </c>
      <c r="H394" s="1" t="s">
        <v>1211</v>
      </c>
      <c r="I394" s="2">
        <v>46177.77730494213</v>
      </c>
      <c r="J394" s="1" t="s">
        <v>1211</v>
      </c>
    </row>
    <row r="395" spans="1:10" x14ac:dyDescent="0.35">
      <c r="A395" s="1" t="s">
        <v>603</v>
      </c>
      <c r="B395" s="1" t="s">
        <v>1209</v>
      </c>
      <c r="C395" s="1" t="s">
        <v>1210</v>
      </c>
      <c r="D395" s="2">
        <v>46177</v>
      </c>
      <c r="E395">
        <v>1.8319193016034099E-2</v>
      </c>
      <c r="F395" s="1" t="s">
        <v>5835</v>
      </c>
      <c r="G395" s="2">
        <v>46177.777304976851</v>
      </c>
      <c r="H395" s="1" t="s">
        <v>1211</v>
      </c>
      <c r="I395" s="2">
        <v>46177.77730494213</v>
      </c>
      <c r="J395" s="1" t="s">
        <v>1211</v>
      </c>
    </row>
    <row r="396" spans="1:10" x14ac:dyDescent="0.35">
      <c r="A396" s="1" t="s">
        <v>605</v>
      </c>
      <c r="B396" s="1" t="s">
        <v>1209</v>
      </c>
      <c r="C396" s="1" t="s">
        <v>1210</v>
      </c>
      <c r="D396" s="2">
        <v>46177</v>
      </c>
      <c r="E396">
        <v>4.3168449170774399E-2</v>
      </c>
      <c r="F396" s="1" t="s">
        <v>5836</v>
      </c>
      <c r="G396" s="2">
        <v>46177.777305127318</v>
      </c>
      <c r="H396" s="1" t="s">
        <v>1211</v>
      </c>
      <c r="I396" s="2">
        <v>46177.777305127318</v>
      </c>
      <c r="J396" s="1" t="s">
        <v>1211</v>
      </c>
    </row>
    <row r="397" spans="1:10" x14ac:dyDescent="0.35">
      <c r="A397" s="1" t="s">
        <v>663</v>
      </c>
      <c r="B397" s="1" t="s">
        <v>1209</v>
      </c>
      <c r="C397" s="1" t="s">
        <v>1210</v>
      </c>
      <c r="D397" s="2">
        <v>46177</v>
      </c>
      <c r="E397">
        <v>4.0381597957861101E-2</v>
      </c>
      <c r="F397" s="1" t="s">
        <v>5837</v>
      </c>
      <c r="G397" s="2">
        <v>46177.777305289354</v>
      </c>
      <c r="H397" s="1" t="s">
        <v>1211</v>
      </c>
      <c r="I397" s="2">
        <v>46177.777305324074</v>
      </c>
      <c r="J397" s="1" t="s">
        <v>1211</v>
      </c>
    </row>
    <row r="398" spans="1:10" x14ac:dyDescent="0.35">
      <c r="A398" s="1" t="s">
        <v>665</v>
      </c>
      <c r="B398" s="1" t="s">
        <v>1209</v>
      </c>
      <c r="C398" s="1" t="s">
        <v>1210</v>
      </c>
      <c r="D398" s="2">
        <v>46177</v>
      </c>
      <c r="E398">
        <v>4.1431918540427E-2</v>
      </c>
      <c r="F398" s="1" t="s">
        <v>5838</v>
      </c>
      <c r="G398" s="2">
        <v>46177.777305439813</v>
      </c>
      <c r="H398" s="1" t="s">
        <v>1211</v>
      </c>
      <c r="I398" s="2">
        <v>46177.777305474534</v>
      </c>
      <c r="J398" s="1" t="s">
        <v>1211</v>
      </c>
    </row>
    <row r="399" spans="1:10" x14ac:dyDescent="0.35">
      <c r="A399" s="1" t="s">
        <v>767</v>
      </c>
      <c r="B399" s="1" t="s">
        <v>1209</v>
      </c>
      <c r="C399" s="1" t="s">
        <v>1210</v>
      </c>
      <c r="D399" s="2">
        <v>46177</v>
      </c>
      <c r="E399">
        <v>4.1518578838906799E-2</v>
      </c>
      <c r="F399" s="1" t="s">
        <v>5839</v>
      </c>
      <c r="G399" s="2">
        <v>46177.777305555559</v>
      </c>
      <c r="H399" s="1" t="s">
        <v>1211</v>
      </c>
      <c r="I399" s="2">
        <v>46177.777305671298</v>
      </c>
      <c r="J399" s="1" t="s">
        <v>1211</v>
      </c>
    </row>
    <row r="400" spans="1:10" x14ac:dyDescent="0.35">
      <c r="A400" s="1" t="s">
        <v>769</v>
      </c>
      <c r="B400" s="1" t="s">
        <v>1209</v>
      </c>
      <c r="C400" s="1" t="s">
        <v>1210</v>
      </c>
      <c r="D400" s="2">
        <v>46177</v>
      </c>
      <c r="E400">
        <v>4.0475289494825401E-2</v>
      </c>
      <c r="F400" s="1" t="s">
        <v>5840</v>
      </c>
      <c r="G400" s="2">
        <v>46177.777305706019</v>
      </c>
      <c r="H400" s="1" t="s">
        <v>1211</v>
      </c>
      <c r="I400" s="2">
        <v>46177.777305671298</v>
      </c>
      <c r="J400" s="1" t="s">
        <v>1211</v>
      </c>
    </row>
    <row r="401" spans="1:10" x14ac:dyDescent="0.35">
      <c r="A401" s="1" t="s">
        <v>689</v>
      </c>
      <c r="B401" s="1" t="s">
        <v>1209</v>
      </c>
      <c r="C401" s="1" t="s">
        <v>1210</v>
      </c>
      <c r="D401" s="2">
        <v>46177</v>
      </c>
      <c r="E401">
        <v>1.42053377368654E-2</v>
      </c>
      <c r="F401" s="1" t="s">
        <v>5841</v>
      </c>
      <c r="G401" s="2">
        <v>46177.777305868054</v>
      </c>
      <c r="H401" s="1" t="s">
        <v>1211</v>
      </c>
      <c r="I401" s="2">
        <v>46177.777305868054</v>
      </c>
      <c r="J401" s="1" t="s">
        <v>1211</v>
      </c>
    </row>
    <row r="402" spans="1:10" x14ac:dyDescent="0.35">
      <c r="A402" s="1" t="s">
        <v>679</v>
      </c>
      <c r="B402" s="1" t="s">
        <v>1209</v>
      </c>
      <c r="C402" s="1" t="s">
        <v>1210</v>
      </c>
      <c r="D402" s="2">
        <v>46177</v>
      </c>
      <c r="E402">
        <v>4.15384044635475E-2</v>
      </c>
      <c r="F402" s="1" t="s">
        <v>5842</v>
      </c>
      <c r="G402" s="2">
        <v>46177.777306018521</v>
      </c>
      <c r="H402" s="1" t="s">
        <v>1211</v>
      </c>
      <c r="I402" s="2">
        <v>46177.777306018521</v>
      </c>
      <c r="J402" s="1" t="s">
        <v>1211</v>
      </c>
    </row>
    <row r="403" spans="1:10" x14ac:dyDescent="0.35">
      <c r="A403" s="1" t="s">
        <v>691</v>
      </c>
      <c r="B403" s="1" t="s">
        <v>1209</v>
      </c>
      <c r="C403" s="1" t="s">
        <v>1210</v>
      </c>
      <c r="D403" s="2">
        <v>46177</v>
      </c>
      <c r="E403">
        <v>4.0521749073317001E-2</v>
      </c>
      <c r="F403" s="1" t="s">
        <v>5843</v>
      </c>
      <c r="G403" s="2">
        <v>46177.77730616898</v>
      </c>
      <c r="H403" s="1" t="s">
        <v>1211</v>
      </c>
      <c r="I403" s="2">
        <v>46177.777306215277</v>
      </c>
      <c r="J403" s="1" t="s">
        <v>1211</v>
      </c>
    </row>
    <row r="404" spans="1:10" x14ac:dyDescent="0.35">
      <c r="A404" s="1" t="s">
        <v>681</v>
      </c>
      <c r="B404" s="1" t="s">
        <v>1209</v>
      </c>
      <c r="C404" s="1" t="s">
        <v>1210</v>
      </c>
      <c r="D404" s="2">
        <v>46177</v>
      </c>
      <c r="E404">
        <v>4.3340433444365403E-2</v>
      </c>
      <c r="F404" s="1" t="s">
        <v>5844</v>
      </c>
      <c r="G404" s="2">
        <v>46177.777306331016</v>
      </c>
      <c r="H404" s="1" t="s">
        <v>1211</v>
      </c>
      <c r="I404" s="2">
        <v>46177.777306446762</v>
      </c>
      <c r="J404" s="1" t="s">
        <v>1211</v>
      </c>
    </row>
    <row r="405" spans="1:10" x14ac:dyDescent="0.35">
      <c r="A405" s="1" t="s">
        <v>683</v>
      </c>
      <c r="B405" s="1" t="s">
        <v>1209</v>
      </c>
      <c r="C405" s="1" t="s">
        <v>1210</v>
      </c>
      <c r="D405" s="2">
        <v>46177</v>
      </c>
      <c r="E405">
        <v>4.0577283087921003E-2</v>
      </c>
      <c r="F405" s="1" t="s">
        <v>5845</v>
      </c>
      <c r="G405" s="2">
        <v>46177.777306481483</v>
      </c>
      <c r="H405" s="1" t="s">
        <v>1211</v>
      </c>
      <c r="I405" s="2">
        <v>46177.777306446762</v>
      </c>
      <c r="J405" s="1" t="s">
        <v>1211</v>
      </c>
    </row>
    <row r="406" spans="1:10" x14ac:dyDescent="0.35">
      <c r="A406" s="1" t="s">
        <v>685</v>
      </c>
      <c r="B406" s="1" t="s">
        <v>1209</v>
      </c>
      <c r="C406" s="1" t="s">
        <v>1210</v>
      </c>
      <c r="D406" s="2">
        <v>46177</v>
      </c>
      <c r="E406">
        <v>4.15345291730757E-2</v>
      </c>
      <c r="F406" s="1" t="s">
        <v>5846</v>
      </c>
      <c r="G406" s="2">
        <v>46177.777306631942</v>
      </c>
      <c r="H406" s="1" t="s">
        <v>1211</v>
      </c>
      <c r="I406" s="2">
        <v>46177.777306631942</v>
      </c>
      <c r="J406" s="1" t="s">
        <v>1211</v>
      </c>
    </row>
    <row r="407" spans="1:10" x14ac:dyDescent="0.35">
      <c r="A407" s="1" t="s">
        <v>693</v>
      </c>
      <c r="B407" s="1" t="s">
        <v>1209</v>
      </c>
      <c r="C407" s="1" t="s">
        <v>1210</v>
      </c>
      <c r="D407" s="2">
        <v>46177</v>
      </c>
      <c r="E407">
        <v>3.55751514581224E-2</v>
      </c>
      <c r="F407" s="1" t="s">
        <v>5847</v>
      </c>
      <c r="G407" s="2">
        <v>46177.777306793978</v>
      </c>
      <c r="H407" s="1" t="s">
        <v>1211</v>
      </c>
      <c r="I407" s="2">
        <v>46177.777306828706</v>
      </c>
      <c r="J407" s="1" t="s">
        <v>1211</v>
      </c>
    </row>
    <row r="408" spans="1:10" x14ac:dyDescent="0.35">
      <c r="A408" s="1" t="s">
        <v>775</v>
      </c>
      <c r="B408" s="1" t="s">
        <v>1209</v>
      </c>
      <c r="C408" s="1" t="s">
        <v>1210</v>
      </c>
      <c r="D408" s="2">
        <v>46177</v>
      </c>
      <c r="E408">
        <v>4.16022847117768E-2</v>
      </c>
      <c r="F408" s="1" t="s">
        <v>5848</v>
      </c>
      <c r="G408" s="2">
        <v>46177.777306944445</v>
      </c>
      <c r="H408" s="1" t="s">
        <v>1211</v>
      </c>
      <c r="I408" s="2">
        <v>46177.777307025463</v>
      </c>
      <c r="J408" s="1" t="s">
        <v>1211</v>
      </c>
    </row>
    <row r="409" spans="1:10" x14ac:dyDescent="0.35">
      <c r="A409" s="1" t="s">
        <v>771</v>
      </c>
      <c r="B409" s="1" t="s">
        <v>1209</v>
      </c>
      <c r="C409" s="1" t="s">
        <v>1210</v>
      </c>
      <c r="D409" s="2">
        <v>46177</v>
      </c>
      <c r="E409">
        <v>4.0584020062594803E-2</v>
      </c>
      <c r="F409" s="1" t="s">
        <v>5849</v>
      </c>
      <c r="G409" s="2">
        <v>46177.777307094904</v>
      </c>
      <c r="H409" s="1" t="s">
        <v>1211</v>
      </c>
      <c r="I409" s="2">
        <v>46177.777307175929</v>
      </c>
      <c r="J409" s="1" t="s">
        <v>1211</v>
      </c>
    </row>
    <row r="410" spans="1:10" x14ac:dyDescent="0.35">
      <c r="A410" s="1" t="s">
        <v>687</v>
      </c>
      <c r="B410" s="1" t="s">
        <v>1209</v>
      </c>
      <c r="C410" s="1" t="s">
        <v>1210</v>
      </c>
      <c r="D410" s="2">
        <v>46177</v>
      </c>
      <c r="E410">
        <v>3.6027828155539302E-2</v>
      </c>
      <c r="F410" s="1" t="s">
        <v>5850</v>
      </c>
      <c r="G410" s="2">
        <v>46177.777307256947</v>
      </c>
      <c r="H410" s="1" t="s">
        <v>1211</v>
      </c>
      <c r="I410" s="2">
        <v>46177.777307175929</v>
      </c>
      <c r="J410" s="1" t="s">
        <v>1211</v>
      </c>
    </row>
    <row r="411" spans="1:10" x14ac:dyDescent="0.35">
      <c r="A411" s="1" t="s">
        <v>695</v>
      </c>
      <c r="B411" s="1" t="s">
        <v>1209</v>
      </c>
      <c r="C411" s="1" t="s">
        <v>1210</v>
      </c>
      <c r="D411" s="2">
        <v>46177</v>
      </c>
      <c r="E411">
        <v>1.8291398164058999E-2</v>
      </c>
      <c r="F411" s="1" t="s">
        <v>5851</v>
      </c>
      <c r="G411" s="2">
        <v>46177.777307407407</v>
      </c>
      <c r="H411" s="1" t="s">
        <v>1211</v>
      </c>
      <c r="I411" s="2">
        <v>46177.777307372686</v>
      </c>
      <c r="J411" s="1" t="s">
        <v>1211</v>
      </c>
    </row>
    <row r="412" spans="1:10" x14ac:dyDescent="0.35">
      <c r="A412" s="1" t="s">
        <v>725</v>
      </c>
      <c r="B412" s="1" t="s">
        <v>1209</v>
      </c>
      <c r="C412" s="1" t="s">
        <v>1210</v>
      </c>
      <c r="D412" s="2">
        <v>46177</v>
      </c>
      <c r="E412">
        <v>4.0635632947226698E-2</v>
      </c>
      <c r="F412" s="1" t="s">
        <v>5852</v>
      </c>
      <c r="G412" s="2">
        <v>46177.777307557873</v>
      </c>
      <c r="H412" s="1" t="s">
        <v>1211</v>
      </c>
      <c r="I412" s="2">
        <v>46177.777307557873</v>
      </c>
      <c r="J412" s="1" t="s">
        <v>1211</v>
      </c>
    </row>
    <row r="413" spans="1:10" x14ac:dyDescent="0.35">
      <c r="A413" s="1" t="s">
        <v>777</v>
      </c>
      <c r="B413" s="1" t="s">
        <v>1209</v>
      </c>
      <c r="C413" s="1" t="s">
        <v>1210</v>
      </c>
      <c r="D413" s="2">
        <v>46177</v>
      </c>
      <c r="E413">
        <v>4.1610995398252297E-2</v>
      </c>
      <c r="F413" s="1" t="s">
        <v>5853</v>
      </c>
      <c r="G413" s="2">
        <v>46177.777307673612</v>
      </c>
      <c r="H413" s="1" t="s">
        <v>1211</v>
      </c>
      <c r="I413" s="2">
        <v>46177.777307719909</v>
      </c>
      <c r="J413" s="1" t="s">
        <v>1211</v>
      </c>
    </row>
    <row r="414" spans="1:10" x14ac:dyDescent="0.35">
      <c r="A414" s="1" t="s">
        <v>697</v>
      </c>
      <c r="B414" s="1" t="s">
        <v>1209</v>
      </c>
      <c r="C414" s="1" t="s">
        <v>1210</v>
      </c>
      <c r="D414" s="2">
        <v>46177</v>
      </c>
      <c r="E414">
        <v>4.3423883047433297E-2</v>
      </c>
      <c r="F414" s="1" t="s">
        <v>5854</v>
      </c>
      <c r="G414" s="2">
        <v>46177.777307835648</v>
      </c>
      <c r="H414" s="1" t="s">
        <v>1211</v>
      </c>
      <c r="I414" s="2">
        <v>46177.777307905089</v>
      </c>
      <c r="J414" s="1" t="s">
        <v>1211</v>
      </c>
    </row>
    <row r="415" spans="1:10" x14ac:dyDescent="0.35">
      <c r="A415" s="1" t="s">
        <v>727</v>
      </c>
      <c r="B415" s="1" t="s">
        <v>1209</v>
      </c>
      <c r="C415" s="1" t="s">
        <v>1210</v>
      </c>
      <c r="D415" s="2">
        <v>46177</v>
      </c>
      <c r="E415">
        <v>3.7829764235989299E-2</v>
      </c>
      <c r="F415" s="1" t="s">
        <v>5855</v>
      </c>
      <c r="G415" s="2">
        <v>46177.777307986114</v>
      </c>
      <c r="H415" s="1" t="s">
        <v>1211</v>
      </c>
      <c r="I415" s="2">
        <v>46177.777308101853</v>
      </c>
      <c r="J415" s="1" t="s">
        <v>1211</v>
      </c>
    </row>
    <row r="416" spans="1:10" x14ac:dyDescent="0.35">
      <c r="A416" s="1" t="s">
        <v>729</v>
      </c>
      <c r="B416" s="1" t="s">
        <v>1209</v>
      </c>
      <c r="C416" s="1" t="s">
        <v>1210</v>
      </c>
      <c r="D416" s="2">
        <v>46177</v>
      </c>
      <c r="E416">
        <v>4.1703323296067601E-2</v>
      </c>
      <c r="F416" s="1" t="s">
        <v>5856</v>
      </c>
      <c r="G416" s="2">
        <v>46177.777308136574</v>
      </c>
      <c r="H416" s="1" t="s">
        <v>1211</v>
      </c>
      <c r="I416" s="2">
        <v>46177.777308101853</v>
      </c>
      <c r="J416" s="1" t="s">
        <v>1211</v>
      </c>
    </row>
    <row r="417" spans="1:10" x14ac:dyDescent="0.35">
      <c r="A417" s="1" t="s">
        <v>699</v>
      </c>
      <c r="B417" s="1" t="s">
        <v>1209</v>
      </c>
      <c r="C417" s="1" t="s">
        <v>1210</v>
      </c>
      <c r="D417" s="2">
        <v>46177</v>
      </c>
      <c r="E417">
        <v>4.0734899555218397E-2</v>
      </c>
      <c r="F417" s="1" t="s">
        <v>5857</v>
      </c>
      <c r="G417" s="2">
        <v>46177.77730829861</v>
      </c>
      <c r="H417" s="1" t="s">
        <v>1211</v>
      </c>
      <c r="I417" s="2">
        <v>46177.77730829861</v>
      </c>
      <c r="J417" s="1" t="s">
        <v>1211</v>
      </c>
    </row>
    <row r="418" spans="1:10" x14ac:dyDescent="0.35">
      <c r="A418" s="1" t="s">
        <v>701</v>
      </c>
      <c r="B418" s="1" t="s">
        <v>1209</v>
      </c>
      <c r="C418" s="1" t="s">
        <v>1210</v>
      </c>
      <c r="D418" s="2">
        <v>46177</v>
      </c>
      <c r="E418">
        <v>3.6970521805007601E-2</v>
      </c>
      <c r="F418" s="1" t="s">
        <v>5858</v>
      </c>
      <c r="G418" s="2">
        <v>46177.777308449076</v>
      </c>
      <c r="H418" s="1" t="s">
        <v>1211</v>
      </c>
      <c r="I418" s="2">
        <v>46177.777308449076</v>
      </c>
      <c r="J418" s="1" t="s">
        <v>1211</v>
      </c>
    </row>
    <row r="419" spans="1:10" x14ac:dyDescent="0.35">
      <c r="A419" s="1" t="s">
        <v>731</v>
      </c>
      <c r="B419" s="1" t="s">
        <v>1209</v>
      </c>
      <c r="C419" s="1" t="s">
        <v>1210</v>
      </c>
      <c r="D419" s="2">
        <v>46177</v>
      </c>
      <c r="E419">
        <v>4.1697132975984E-2</v>
      </c>
      <c r="F419" s="1" t="s">
        <v>5859</v>
      </c>
      <c r="G419" s="2">
        <v>46177.777308599536</v>
      </c>
      <c r="H419" s="1" t="s">
        <v>1211</v>
      </c>
      <c r="I419" s="2">
        <v>46177.777308645833</v>
      </c>
      <c r="J419" s="1" t="s">
        <v>1211</v>
      </c>
    </row>
    <row r="420" spans="1:10" x14ac:dyDescent="0.35">
      <c r="A420" s="1" t="s">
        <v>733</v>
      </c>
      <c r="B420" s="1" t="s">
        <v>1209</v>
      </c>
      <c r="C420" s="1" t="s">
        <v>1210</v>
      </c>
      <c r="D420" s="2">
        <v>46177</v>
      </c>
      <c r="E420">
        <v>4.0755033602891198E-2</v>
      </c>
      <c r="F420" s="1" t="s">
        <v>5860</v>
      </c>
      <c r="G420" s="2">
        <v>46177.777308715275</v>
      </c>
      <c r="H420" s="1" t="s">
        <v>1211</v>
      </c>
      <c r="I420" s="2">
        <v>46177.77730883102</v>
      </c>
      <c r="J420" s="1" t="s">
        <v>1211</v>
      </c>
    </row>
    <row r="421" spans="1:10" x14ac:dyDescent="0.35">
      <c r="A421" s="1" t="s">
        <v>703</v>
      </c>
      <c r="B421" s="1" t="s">
        <v>1209</v>
      </c>
      <c r="C421" s="1" t="s">
        <v>1210</v>
      </c>
      <c r="D421" s="2">
        <v>46177</v>
      </c>
      <c r="E421">
        <v>3.7283321132935698E-2</v>
      </c>
      <c r="F421" s="1" t="s">
        <v>5861</v>
      </c>
      <c r="G421" s="2">
        <v>46177.777308877317</v>
      </c>
      <c r="H421" s="1" t="s">
        <v>1211</v>
      </c>
      <c r="I421" s="2">
        <v>46177.77730883102</v>
      </c>
      <c r="J421" s="1" t="s">
        <v>1211</v>
      </c>
    </row>
    <row r="422" spans="1:10" x14ac:dyDescent="0.35">
      <c r="A422" s="1" t="s">
        <v>705</v>
      </c>
      <c r="B422" s="1" t="s">
        <v>1209</v>
      </c>
      <c r="C422" s="1" t="s">
        <v>1210</v>
      </c>
      <c r="D422" s="2">
        <v>46177</v>
      </c>
      <c r="E422">
        <v>4.0855283827874199E-2</v>
      </c>
      <c r="F422" s="1" t="s">
        <v>5862</v>
      </c>
      <c r="G422" s="2">
        <v>46177.777309027777</v>
      </c>
      <c r="H422" s="1" t="s">
        <v>1211</v>
      </c>
      <c r="I422" s="2">
        <v>46177.777308993056</v>
      </c>
      <c r="J422" s="1" t="s">
        <v>1211</v>
      </c>
    </row>
    <row r="423" spans="1:10" x14ac:dyDescent="0.35">
      <c r="A423" s="1" t="s">
        <v>707</v>
      </c>
      <c r="B423" s="1" t="s">
        <v>1209</v>
      </c>
      <c r="C423" s="1" t="s">
        <v>1210</v>
      </c>
      <c r="D423" s="2">
        <v>46177</v>
      </c>
      <c r="E423">
        <v>4.1729207154951702E-2</v>
      </c>
      <c r="F423" s="1" t="s">
        <v>5863</v>
      </c>
      <c r="G423" s="2">
        <v>46177.777309178244</v>
      </c>
      <c r="H423" s="1" t="s">
        <v>1211</v>
      </c>
      <c r="I423" s="2">
        <v>46177.777309178244</v>
      </c>
      <c r="J423" s="1" t="s">
        <v>1211</v>
      </c>
    </row>
    <row r="424" spans="1:10" x14ac:dyDescent="0.35">
      <c r="A424" s="1" t="s">
        <v>709</v>
      </c>
      <c r="B424" s="1" t="s">
        <v>1209</v>
      </c>
      <c r="C424" s="1" t="s">
        <v>1210</v>
      </c>
      <c r="D424" s="2">
        <v>46177</v>
      </c>
      <c r="E424">
        <v>1.2876251554541401E-2</v>
      </c>
      <c r="F424" s="1" t="s">
        <v>5864</v>
      </c>
      <c r="G424" s="2">
        <v>46177.777309340279</v>
      </c>
      <c r="H424" s="1" t="s">
        <v>1211</v>
      </c>
      <c r="I424" s="2">
        <v>46177.777309375</v>
      </c>
      <c r="J424" s="1" t="s">
        <v>1211</v>
      </c>
    </row>
    <row r="425" spans="1:10" x14ac:dyDescent="0.35">
      <c r="A425" s="1" t="s">
        <v>711</v>
      </c>
      <c r="B425" s="1" t="s">
        <v>1209</v>
      </c>
      <c r="C425" s="1" t="s">
        <v>1210</v>
      </c>
      <c r="D425" s="2">
        <v>46177</v>
      </c>
      <c r="E425">
        <v>4.35574101205711E-2</v>
      </c>
      <c r="F425" s="1" t="s">
        <v>5865</v>
      </c>
      <c r="G425" s="2">
        <v>46177.777309490739</v>
      </c>
      <c r="H425" s="1" t="s">
        <v>1211</v>
      </c>
      <c r="I425" s="2">
        <v>46177.77730952546</v>
      </c>
      <c r="J425" s="1" t="s">
        <v>1211</v>
      </c>
    </row>
    <row r="426" spans="1:10" x14ac:dyDescent="0.35">
      <c r="A426" s="1" t="s">
        <v>713</v>
      </c>
      <c r="B426" s="1" t="s">
        <v>1209</v>
      </c>
      <c r="C426" s="1" t="s">
        <v>1210</v>
      </c>
      <c r="D426" s="2">
        <v>46177</v>
      </c>
      <c r="E426">
        <v>3.7543864582377101E-2</v>
      </c>
      <c r="F426" s="1" t="s">
        <v>5866</v>
      </c>
      <c r="G426" s="2">
        <v>46177.777309641206</v>
      </c>
      <c r="H426" s="1" t="s">
        <v>1211</v>
      </c>
      <c r="I426" s="2">
        <v>46177.777309722223</v>
      </c>
      <c r="J426" s="1" t="s">
        <v>1211</v>
      </c>
    </row>
    <row r="427" spans="1:10" x14ac:dyDescent="0.35">
      <c r="A427" s="1" t="s">
        <v>773</v>
      </c>
      <c r="B427" s="1" t="s">
        <v>1209</v>
      </c>
      <c r="C427" s="1" t="s">
        <v>1210</v>
      </c>
      <c r="D427" s="2">
        <v>46177</v>
      </c>
      <c r="E427">
        <v>4.1772592661818299E-2</v>
      </c>
      <c r="F427" s="1" t="s">
        <v>5867</v>
      </c>
      <c r="G427" s="2">
        <v>46177.777309837962</v>
      </c>
      <c r="H427" s="1" t="s">
        <v>1211</v>
      </c>
      <c r="I427" s="2">
        <v>46177.77730991898</v>
      </c>
      <c r="J427" s="1" t="s">
        <v>1211</v>
      </c>
    </row>
    <row r="428" spans="1:10" x14ac:dyDescent="0.35">
      <c r="A428" s="1" t="s">
        <v>715</v>
      </c>
      <c r="B428" s="1" t="s">
        <v>1209</v>
      </c>
      <c r="C428" s="1" t="s">
        <v>1210</v>
      </c>
      <c r="D428" s="2">
        <v>46177</v>
      </c>
      <c r="E428">
        <v>4.0861467529106903E-2</v>
      </c>
      <c r="F428" s="1" t="s">
        <v>5868</v>
      </c>
      <c r="G428" s="2">
        <v>46177.777309988429</v>
      </c>
      <c r="H428" s="1" t="s">
        <v>1211</v>
      </c>
      <c r="I428" s="2">
        <v>46177.777310069447</v>
      </c>
      <c r="J428" s="1" t="s">
        <v>1211</v>
      </c>
    </row>
    <row r="429" spans="1:10" x14ac:dyDescent="0.35">
      <c r="A429" s="1" t="s">
        <v>717</v>
      </c>
      <c r="B429" s="1" t="s">
        <v>1209</v>
      </c>
      <c r="C429" s="1" t="s">
        <v>1210</v>
      </c>
      <c r="D429" s="2">
        <v>46177</v>
      </c>
      <c r="E429">
        <v>3.7163840554207302E-2</v>
      </c>
      <c r="F429" s="1" t="s">
        <v>5869</v>
      </c>
      <c r="G429" s="2">
        <v>46177.777310150464</v>
      </c>
      <c r="H429" s="1" t="s">
        <v>1211</v>
      </c>
      <c r="I429" s="2">
        <v>46177.777310069447</v>
      </c>
      <c r="J429" s="1" t="s">
        <v>1211</v>
      </c>
    </row>
    <row r="430" spans="1:10" x14ac:dyDescent="0.35">
      <c r="A430" s="1" t="s">
        <v>719</v>
      </c>
      <c r="B430" s="1" t="s">
        <v>1209</v>
      </c>
      <c r="C430" s="1" t="s">
        <v>1210</v>
      </c>
      <c r="D430" s="2">
        <v>46177</v>
      </c>
      <c r="E430">
        <v>4.1827249548464299E-2</v>
      </c>
      <c r="F430" s="1" t="s">
        <v>5870</v>
      </c>
      <c r="G430" s="2">
        <v>46177.777310300924</v>
      </c>
      <c r="H430" s="1" t="s">
        <v>1211</v>
      </c>
      <c r="I430" s="2">
        <v>46177.777310266203</v>
      </c>
      <c r="J430" s="1" t="s">
        <v>1211</v>
      </c>
    </row>
    <row r="431" spans="1:10" x14ac:dyDescent="0.35">
      <c r="A431" s="1" t="s">
        <v>721</v>
      </c>
      <c r="B431" s="1" t="s">
        <v>1209</v>
      </c>
      <c r="C431" s="1" t="s">
        <v>1210</v>
      </c>
      <c r="D431" s="2">
        <v>46177</v>
      </c>
      <c r="E431">
        <v>4.0951811752181801E-2</v>
      </c>
      <c r="F431" s="1" t="s">
        <v>5871</v>
      </c>
      <c r="G431" s="2">
        <v>46177.777310451391</v>
      </c>
      <c r="H431" s="1" t="s">
        <v>1211</v>
      </c>
      <c r="I431" s="2">
        <v>46177.777310451391</v>
      </c>
      <c r="J431" s="1" t="s">
        <v>1211</v>
      </c>
    </row>
    <row r="432" spans="1:10" x14ac:dyDescent="0.35">
      <c r="A432" s="1" t="s">
        <v>723</v>
      </c>
      <c r="B432" s="1" t="s">
        <v>1209</v>
      </c>
      <c r="C432" s="1" t="s">
        <v>1210</v>
      </c>
      <c r="D432" s="2">
        <v>46177</v>
      </c>
      <c r="E432">
        <v>3.7692449427771203E-2</v>
      </c>
      <c r="F432" s="1" t="s">
        <v>5872</v>
      </c>
      <c r="G432" s="2">
        <v>46177.777310613426</v>
      </c>
      <c r="H432" s="1" t="s">
        <v>1211</v>
      </c>
      <c r="I432" s="2">
        <v>46177.777310613426</v>
      </c>
      <c r="J432" s="1" t="s">
        <v>1211</v>
      </c>
    </row>
    <row r="433" spans="1:10" x14ac:dyDescent="0.35">
      <c r="A433" s="1" t="s">
        <v>735</v>
      </c>
      <c r="B433" s="1" t="s">
        <v>1209</v>
      </c>
      <c r="C433" s="1" t="s">
        <v>1210</v>
      </c>
      <c r="D433" s="2">
        <v>46177</v>
      </c>
      <c r="E433">
        <v>4.1001772482707803E-2</v>
      </c>
      <c r="F433" s="1" t="s">
        <v>5873</v>
      </c>
      <c r="G433" s="2">
        <v>46177.777310763886</v>
      </c>
      <c r="H433" s="1" t="s">
        <v>1211</v>
      </c>
      <c r="I433" s="2">
        <v>46177.777310798614</v>
      </c>
      <c r="J433" s="1" t="s">
        <v>1211</v>
      </c>
    </row>
    <row r="434" spans="1:10" x14ac:dyDescent="0.35">
      <c r="A434" s="1" t="s">
        <v>737</v>
      </c>
      <c r="B434" s="1" t="s">
        <v>1209</v>
      </c>
      <c r="C434" s="1" t="s">
        <v>1210</v>
      </c>
      <c r="D434" s="2">
        <v>46177</v>
      </c>
      <c r="E434">
        <v>4.1835354827114701E-2</v>
      </c>
      <c r="F434" s="1" t="s">
        <v>5874</v>
      </c>
      <c r="G434" s="2">
        <v>46177.777310914353</v>
      </c>
      <c r="H434" s="1" t="s">
        <v>1211</v>
      </c>
      <c r="I434" s="2">
        <v>46177.77731099537</v>
      </c>
      <c r="J434" s="1" t="s">
        <v>1211</v>
      </c>
    </row>
    <row r="435" spans="1:10" x14ac:dyDescent="0.35">
      <c r="A435" s="1" t="s">
        <v>739</v>
      </c>
      <c r="B435" s="1" t="s">
        <v>1209</v>
      </c>
      <c r="C435" s="1" t="s">
        <v>1210</v>
      </c>
      <c r="D435" s="2">
        <v>46177</v>
      </c>
      <c r="E435">
        <v>1.9317387456064102E-2</v>
      </c>
      <c r="F435" s="1" t="s">
        <v>5875</v>
      </c>
      <c r="G435" s="2">
        <v>46177.777311076388</v>
      </c>
      <c r="H435" s="1" t="s">
        <v>1211</v>
      </c>
      <c r="I435" s="2">
        <v>46177.77731099537</v>
      </c>
      <c r="J435" s="1" t="s">
        <v>1211</v>
      </c>
    </row>
    <row r="436" spans="1:10" x14ac:dyDescent="0.35">
      <c r="A436" s="1" t="s">
        <v>741</v>
      </c>
      <c r="B436" s="1" t="s">
        <v>1209</v>
      </c>
      <c r="C436" s="1" t="s">
        <v>1210</v>
      </c>
      <c r="D436" s="2">
        <v>46177</v>
      </c>
      <c r="E436">
        <v>4.3732084180857903E-2</v>
      </c>
      <c r="F436" s="1" t="s">
        <v>5876</v>
      </c>
      <c r="G436" s="2">
        <v>46177.777311226855</v>
      </c>
      <c r="H436" s="1" t="s">
        <v>1211</v>
      </c>
      <c r="I436" s="2">
        <v>46177.777311192127</v>
      </c>
      <c r="J436" s="1" t="s">
        <v>1211</v>
      </c>
    </row>
    <row r="437" spans="1:10" x14ac:dyDescent="0.35">
      <c r="A437" s="1" t="s">
        <v>779</v>
      </c>
      <c r="B437" s="1" t="s">
        <v>1209</v>
      </c>
      <c r="C437" s="1" t="s">
        <v>1210</v>
      </c>
      <c r="D437" s="2">
        <v>46177</v>
      </c>
      <c r="E437">
        <v>3.8282761902850203E-2</v>
      </c>
      <c r="F437" s="1" t="s">
        <v>5877</v>
      </c>
      <c r="G437" s="2">
        <v>46177.777311377315</v>
      </c>
      <c r="H437" s="1" t="s">
        <v>1211</v>
      </c>
      <c r="I437" s="2">
        <v>46177.777311342594</v>
      </c>
      <c r="J437" s="1" t="s">
        <v>1211</v>
      </c>
    </row>
    <row r="438" spans="1:10" x14ac:dyDescent="0.35">
      <c r="A438" s="1" t="s">
        <v>743</v>
      </c>
      <c r="B438" s="1" t="s">
        <v>1209</v>
      </c>
      <c r="C438" s="1" t="s">
        <v>1210</v>
      </c>
      <c r="D438" s="2">
        <v>46177</v>
      </c>
      <c r="E438">
        <v>4.1863027417422698E-2</v>
      </c>
      <c r="F438" s="1" t="s">
        <v>5878</v>
      </c>
      <c r="G438" s="2">
        <v>46177.77731153935</v>
      </c>
      <c r="H438" s="1" t="s">
        <v>1211</v>
      </c>
      <c r="I438" s="2">
        <v>46177.77731153935</v>
      </c>
      <c r="J438" s="1" t="s">
        <v>1211</v>
      </c>
    </row>
    <row r="439" spans="1:10" x14ac:dyDescent="0.35">
      <c r="A439" s="1" t="s">
        <v>823</v>
      </c>
      <c r="B439" s="1" t="s">
        <v>1209</v>
      </c>
      <c r="C439" s="1" t="s">
        <v>1210</v>
      </c>
      <c r="D439" s="2">
        <v>46177</v>
      </c>
      <c r="E439">
        <v>4.1001089960376803E-2</v>
      </c>
      <c r="F439" s="1" t="s">
        <v>5879</v>
      </c>
      <c r="G439" s="2">
        <v>46177.777311724538</v>
      </c>
      <c r="H439" s="1" t="s">
        <v>1211</v>
      </c>
      <c r="I439" s="2">
        <v>46177.777311724538</v>
      </c>
      <c r="J439" s="1" t="s">
        <v>1211</v>
      </c>
    </row>
    <row r="440" spans="1:10" x14ac:dyDescent="0.35">
      <c r="A440" s="1" t="s">
        <v>745</v>
      </c>
      <c r="B440" s="1" t="s">
        <v>1209</v>
      </c>
      <c r="C440" s="1" t="s">
        <v>1210</v>
      </c>
      <c r="D440" s="2">
        <v>46177</v>
      </c>
      <c r="E440">
        <v>3.8058502866418001E-2</v>
      </c>
      <c r="F440" s="1" t="s">
        <v>5880</v>
      </c>
      <c r="G440" s="2">
        <v>46177.777311886573</v>
      </c>
      <c r="H440" s="1" t="s">
        <v>1211</v>
      </c>
      <c r="I440" s="2">
        <v>46177.777311886573</v>
      </c>
      <c r="J440" s="1" t="s">
        <v>1211</v>
      </c>
    </row>
    <row r="441" spans="1:10" x14ac:dyDescent="0.35">
      <c r="A441" s="1" t="s">
        <v>825</v>
      </c>
      <c r="B441" s="1" t="s">
        <v>1209</v>
      </c>
      <c r="C441" s="1" t="s">
        <v>1210</v>
      </c>
      <c r="D441" s="2">
        <v>46177</v>
      </c>
      <c r="E441">
        <v>4.1925304782177902E-2</v>
      </c>
      <c r="F441" s="1" t="s">
        <v>5881</v>
      </c>
      <c r="G441" s="2">
        <v>46177.777312118058</v>
      </c>
      <c r="H441" s="1" t="s">
        <v>1211</v>
      </c>
      <c r="I441" s="2">
        <v>46177.777312071761</v>
      </c>
      <c r="J441" s="1" t="s">
        <v>1211</v>
      </c>
    </row>
    <row r="442" spans="1:10" x14ac:dyDescent="0.35">
      <c r="A442" s="1" t="s">
        <v>834</v>
      </c>
      <c r="B442" s="1" t="s">
        <v>1209</v>
      </c>
      <c r="C442" s="1" t="s">
        <v>1210</v>
      </c>
      <c r="D442" s="2">
        <v>46177</v>
      </c>
      <c r="E442">
        <v>4.1024345878858101E-2</v>
      </c>
      <c r="F442" s="1" t="s">
        <v>5882</v>
      </c>
      <c r="G442" s="2">
        <v>46177.777312268518</v>
      </c>
      <c r="H442" s="1" t="s">
        <v>1211</v>
      </c>
      <c r="I442" s="2">
        <v>46177.777312268518</v>
      </c>
      <c r="J442" s="1" t="s">
        <v>1211</v>
      </c>
    </row>
    <row r="443" spans="1:10" x14ac:dyDescent="0.35">
      <c r="A443" s="1" t="s">
        <v>836</v>
      </c>
      <c r="B443" s="1" t="s">
        <v>1209</v>
      </c>
      <c r="C443" s="1" t="s">
        <v>1210</v>
      </c>
      <c r="D443" s="2">
        <v>46177</v>
      </c>
      <c r="E443">
        <v>3.8613357724408902E-2</v>
      </c>
      <c r="F443" s="1" t="s">
        <v>5883</v>
      </c>
      <c r="G443" s="2">
        <v>46177.777312418984</v>
      </c>
      <c r="H443" s="1" t="s">
        <v>1211</v>
      </c>
      <c r="I443" s="2">
        <v>46177.777312418984</v>
      </c>
      <c r="J443" s="1" t="s">
        <v>1211</v>
      </c>
    </row>
    <row r="444" spans="1:10" x14ac:dyDescent="0.35">
      <c r="A444" s="1" t="s">
        <v>838</v>
      </c>
      <c r="B444" s="1" t="s">
        <v>1209</v>
      </c>
      <c r="C444" s="1" t="s">
        <v>1210</v>
      </c>
      <c r="D444" s="2">
        <v>46177</v>
      </c>
      <c r="E444">
        <v>1.53213570096081E-2</v>
      </c>
      <c r="F444" s="1" t="s">
        <v>5884</v>
      </c>
      <c r="G444" s="2">
        <v>46177.77731258102</v>
      </c>
      <c r="H444" s="1" t="s">
        <v>1211</v>
      </c>
      <c r="I444" s="2">
        <v>46177.777312615741</v>
      </c>
      <c r="J444" s="1" t="s">
        <v>1211</v>
      </c>
    </row>
    <row r="445" spans="1:10" x14ac:dyDescent="0.35">
      <c r="A445" s="1" t="s">
        <v>747</v>
      </c>
      <c r="B445" s="1" t="s">
        <v>1209</v>
      </c>
      <c r="C445" s="1" t="s">
        <v>1210</v>
      </c>
      <c r="D445" s="2">
        <v>46177</v>
      </c>
      <c r="E445">
        <v>4.19345721933614E-2</v>
      </c>
      <c r="F445" s="1" t="s">
        <v>5885</v>
      </c>
      <c r="G445" s="2">
        <v>46177.777312731479</v>
      </c>
      <c r="H445" s="1" t="s">
        <v>1211</v>
      </c>
      <c r="I445" s="2">
        <v>46177.777312812497</v>
      </c>
      <c r="J445" s="1" t="s">
        <v>1211</v>
      </c>
    </row>
    <row r="446" spans="1:10" x14ac:dyDescent="0.35">
      <c r="A446" s="1" t="s">
        <v>827</v>
      </c>
      <c r="B446" s="1" t="s">
        <v>1209</v>
      </c>
      <c r="C446" s="1" t="s">
        <v>1210</v>
      </c>
      <c r="D446" s="2">
        <v>46177</v>
      </c>
      <c r="E446">
        <v>4.1047043099900898E-2</v>
      </c>
      <c r="F446" s="1" t="s">
        <v>5886</v>
      </c>
      <c r="G446" s="2">
        <v>46177.777312881946</v>
      </c>
      <c r="H446" s="1" t="s">
        <v>1211</v>
      </c>
      <c r="I446" s="2">
        <v>46177.777312962964</v>
      </c>
      <c r="J446" s="1" t="s">
        <v>1211</v>
      </c>
    </row>
    <row r="447" spans="1:10" x14ac:dyDescent="0.35">
      <c r="A447" s="1" t="s">
        <v>749</v>
      </c>
      <c r="B447" s="1" t="s">
        <v>1209</v>
      </c>
      <c r="C447" s="1" t="s">
        <v>1210</v>
      </c>
      <c r="D447" s="2">
        <v>46177</v>
      </c>
      <c r="E447">
        <v>4.3828676756388699E-2</v>
      </c>
      <c r="F447" s="1" t="s">
        <v>5887</v>
      </c>
      <c r="G447" s="2">
        <v>46177.777313043982</v>
      </c>
      <c r="H447" s="1" t="s">
        <v>1211</v>
      </c>
      <c r="I447" s="2">
        <v>46177.777312962964</v>
      </c>
      <c r="J447" s="1" t="s">
        <v>1211</v>
      </c>
    </row>
    <row r="448" spans="1:10" x14ac:dyDescent="0.35">
      <c r="A448" s="1" t="s">
        <v>751</v>
      </c>
      <c r="B448" s="1" t="s">
        <v>1209</v>
      </c>
      <c r="C448" s="1" t="s">
        <v>1210</v>
      </c>
      <c r="D448" s="2">
        <v>46177</v>
      </c>
      <c r="E448">
        <v>3.9033876182979703E-2</v>
      </c>
      <c r="F448" s="1" t="s">
        <v>5888</v>
      </c>
      <c r="G448" s="2">
        <v>46177.777313194441</v>
      </c>
      <c r="H448" s="1" t="s">
        <v>1211</v>
      </c>
      <c r="I448" s="2">
        <v>46177.777313159721</v>
      </c>
      <c r="J448" s="1" t="s">
        <v>1211</v>
      </c>
    </row>
    <row r="449" spans="1:10" x14ac:dyDescent="0.35">
      <c r="A449" s="1" t="s">
        <v>840</v>
      </c>
      <c r="B449" s="1" t="s">
        <v>1209</v>
      </c>
      <c r="C449" s="1" t="s">
        <v>1210</v>
      </c>
      <c r="D449" s="2">
        <v>46177</v>
      </c>
      <c r="E449">
        <v>4.1124462995197703E-2</v>
      </c>
      <c r="F449" s="1" t="s">
        <v>5889</v>
      </c>
      <c r="G449" s="2">
        <v>46177.777313344908</v>
      </c>
      <c r="H449" s="1" t="s">
        <v>1211</v>
      </c>
      <c r="I449" s="2">
        <v>46177.777313344908</v>
      </c>
      <c r="J449" s="1" t="s">
        <v>1211</v>
      </c>
    </row>
    <row r="450" spans="1:10" x14ac:dyDescent="0.35">
      <c r="A450" s="1" t="s">
        <v>753</v>
      </c>
      <c r="B450" s="1" t="s">
        <v>1209</v>
      </c>
      <c r="C450" s="1" t="s">
        <v>1210</v>
      </c>
      <c r="D450" s="2">
        <v>46177</v>
      </c>
      <c r="E450">
        <v>4.2023818342189899E-2</v>
      </c>
      <c r="F450" s="1" t="s">
        <v>5890</v>
      </c>
      <c r="G450" s="2">
        <v>46177.777313506944</v>
      </c>
      <c r="H450" s="1" t="s">
        <v>1211</v>
      </c>
      <c r="I450" s="2">
        <v>46177.777313506944</v>
      </c>
      <c r="J450" s="1" t="s">
        <v>1211</v>
      </c>
    </row>
    <row r="451" spans="1:10" x14ac:dyDescent="0.35">
      <c r="A451" s="1" t="s">
        <v>842</v>
      </c>
      <c r="B451" s="1" t="s">
        <v>1209</v>
      </c>
      <c r="C451" s="1" t="s">
        <v>1210</v>
      </c>
      <c r="D451" s="2">
        <v>46177</v>
      </c>
      <c r="E451">
        <v>3.9228461658298998E-2</v>
      </c>
      <c r="F451" s="1" t="s">
        <v>5891</v>
      </c>
      <c r="G451" s="2">
        <v>46177.777313657411</v>
      </c>
      <c r="H451" s="1" t="s">
        <v>1211</v>
      </c>
      <c r="I451" s="2">
        <v>46177.777313692131</v>
      </c>
      <c r="J451" s="1" t="s">
        <v>1211</v>
      </c>
    </row>
    <row r="452" spans="1:10" x14ac:dyDescent="0.35">
      <c r="A452" s="1" t="s">
        <v>755</v>
      </c>
      <c r="B452" s="1" t="s">
        <v>1209</v>
      </c>
      <c r="C452" s="1" t="s">
        <v>1210</v>
      </c>
      <c r="D452" s="2">
        <v>46177</v>
      </c>
      <c r="E452">
        <v>4.1993307965626198E-2</v>
      </c>
      <c r="F452" s="1" t="s">
        <v>5892</v>
      </c>
      <c r="G452" s="2">
        <v>46177.777313773149</v>
      </c>
      <c r="H452" s="1" t="s">
        <v>1211</v>
      </c>
      <c r="I452" s="2">
        <v>46177.777313888888</v>
      </c>
      <c r="J452" s="1" t="s">
        <v>1211</v>
      </c>
    </row>
    <row r="453" spans="1:10" x14ac:dyDescent="0.35">
      <c r="A453" s="1" t="s">
        <v>844</v>
      </c>
      <c r="B453" s="1" t="s">
        <v>1209</v>
      </c>
      <c r="C453" s="1" t="s">
        <v>1210</v>
      </c>
      <c r="D453" s="2">
        <v>46177</v>
      </c>
      <c r="E453">
        <v>4.11504357335968E-2</v>
      </c>
      <c r="F453" s="1" t="s">
        <v>5893</v>
      </c>
      <c r="G453" s="2">
        <v>46177.777313923609</v>
      </c>
      <c r="H453" s="1" t="s">
        <v>1211</v>
      </c>
      <c r="I453" s="2">
        <v>46177.777313888888</v>
      </c>
      <c r="J453" s="1" t="s">
        <v>1211</v>
      </c>
    </row>
    <row r="454" spans="1:10" x14ac:dyDescent="0.35">
      <c r="A454" s="1" t="s">
        <v>757</v>
      </c>
      <c r="B454" s="1" t="s">
        <v>1209</v>
      </c>
      <c r="C454" s="1" t="s">
        <v>1210</v>
      </c>
      <c r="D454" s="2">
        <v>46177</v>
      </c>
      <c r="E454">
        <v>3.6450721190449599E-2</v>
      </c>
      <c r="F454" s="1" t="s">
        <v>5894</v>
      </c>
      <c r="G454" s="2">
        <v>46177.777314085652</v>
      </c>
      <c r="H454" s="1" t="s">
        <v>1211</v>
      </c>
      <c r="I454" s="2">
        <v>46177.777314085652</v>
      </c>
      <c r="J454" s="1" t="s">
        <v>1211</v>
      </c>
    </row>
    <row r="455" spans="1:10" x14ac:dyDescent="0.35">
      <c r="A455" s="1" t="s">
        <v>759</v>
      </c>
      <c r="B455" s="1" t="s">
        <v>1209</v>
      </c>
      <c r="C455" s="1" t="s">
        <v>1210</v>
      </c>
      <c r="D455" s="2">
        <v>46177</v>
      </c>
      <c r="E455">
        <v>3.9342372339461702E-2</v>
      </c>
      <c r="F455" s="1" t="s">
        <v>5895</v>
      </c>
      <c r="G455" s="2">
        <v>46177.777314236111</v>
      </c>
      <c r="H455" s="1" t="s">
        <v>1211</v>
      </c>
      <c r="I455" s="2">
        <v>46177.777314236111</v>
      </c>
      <c r="J455" s="1" t="s">
        <v>1211</v>
      </c>
    </row>
    <row r="456" spans="1:10" x14ac:dyDescent="0.35">
      <c r="A456" s="1" t="s">
        <v>781</v>
      </c>
      <c r="B456" s="1" t="s">
        <v>1209</v>
      </c>
      <c r="C456" s="1" t="s">
        <v>1210</v>
      </c>
      <c r="D456" s="2">
        <v>46177</v>
      </c>
      <c r="E456">
        <v>3.6469752190896203E-2</v>
      </c>
      <c r="F456" s="1" t="s">
        <v>5896</v>
      </c>
      <c r="G456" s="2">
        <v>46177.777314386571</v>
      </c>
      <c r="H456" s="1" t="s">
        <v>1211</v>
      </c>
      <c r="I456" s="2">
        <v>46177.777314432868</v>
      </c>
      <c r="J456" s="1" t="s">
        <v>1211</v>
      </c>
    </row>
    <row r="457" spans="1:10" x14ac:dyDescent="0.35">
      <c r="A457" s="1" t="s">
        <v>829</v>
      </c>
      <c r="B457" s="1" t="s">
        <v>1209</v>
      </c>
      <c r="C457" s="1" t="s">
        <v>1210</v>
      </c>
      <c r="D457" s="2">
        <v>46177</v>
      </c>
      <c r="E457">
        <v>4.11849093770493E-2</v>
      </c>
      <c r="F457" s="1" t="s">
        <v>5897</v>
      </c>
      <c r="G457" s="2">
        <v>46177.777314548614</v>
      </c>
      <c r="H457" s="1" t="s">
        <v>1211</v>
      </c>
      <c r="I457" s="2">
        <v>46177.777314618055</v>
      </c>
      <c r="J457" s="1" t="s">
        <v>1211</v>
      </c>
    </row>
    <row r="458" spans="1:10" x14ac:dyDescent="0.35">
      <c r="A458" s="1" t="s">
        <v>846</v>
      </c>
      <c r="B458" s="1" t="s">
        <v>1209</v>
      </c>
      <c r="C458" s="1" t="s">
        <v>1210</v>
      </c>
      <c r="D458" s="2">
        <v>46177</v>
      </c>
      <c r="E458">
        <v>4.2048263214023503E-2</v>
      </c>
      <c r="F458" s="1" t="s">
        <v>5898</v>
      </c>
      <c r="G458" s="2">
        <v>46177.777314699073</v>
      </c>
      <c r="H458" s="1" t="s">
        <v>1211</v>
      </c>
      <c r="I458" s="2">
        <v>46177.777314780091</v>
      </c>
      <c r="J458" s="1" t="s">
        <v>1211</v>
      </c>
    </row>
    <row r="459" spans="1:10" x14ac:dyDescent="0.35">
      <c r="A459" s="1" t="s">
        <v>783</v>
      </c>
      <c r="B459" s="1" t="s">
        <v>1209</v>
      </c>
      <c r="C459" s="1" t="s">
        <v>1210</v>
      </c>
      <c r="D459" s="2">
        <v>46177</v>
      </c>
      <c r="E459">
        <v>1.9266289708528301E-2</v>
      </c>
      <c r="F459" s="1" t="s">
        <v>5899</v>
      </c>
      <c r="G459" s="2">
        <v>46177.77731484954</v>
      </c>
      <c r="H459" s="1" t="s">
        <v>1211</v>
      </c>
      <c r="I459" s="2">
        <v>46177.777314780091</v>
      </c>
      <c r="J459" s="1" t="s">
        <v>1211</v>
      </c>
    </row>
    <row r="460" spans="1:10" x14ac:dyDescent="0.35">
      <c r="A460" s="1" t="s">
        <v>848</v>
      </c>
      <c r="B460" s="1" t="s">
        <v>1209</v>
      </c>
      <c r="C460" s="1" t="s">
        <v>1210</v>
      </c>
      <c r="D460" s="2">
        <v>46177</v>
      </c>
      <c r="E460">
        <v>4.39663739261782E-2</v>
      </c>
      <c r="F460" s="1" t="s">
        <v>5900</v>
      </c>
      <c r="G460" s="2">
        <v>46177.777315011575</v>
      </c>
      <c r="H460" s="1" t="s">
        <v>1211</v>
      </c>
      <c r="I460" s="2">
        <v>46177.777315011575</v>
      </c>
      <c r="J460" s="1" t="s">
        <v>1211</v>
      </c>
    </row>
    <row r="461" spans="1:10" x14ac:dyDescent="0.35">
      <c r="A461" s="1" t="s">
        <v>785</v>
      </c>
      <c r="B461" s="1" t="s">
        <v>1209</v>
      </c>
      <c r="C461" s="1" t="s">
        <v>1210</v>
      </c>
      <c r="D461" s="2">
        <v>46177</v>
      </c>
      <c r="E461">
        <v>3.9639595952592498E-2</v>
      </c>
      <c r="F461" s="1" t="s">
        <v>5901</v>
      </c>
      <c r="G461" s="2">
        <v>46177.777315162035</v>
      </c>
      <c r="H461" s="1" t="s">
        <v>1211</v>
      </c>
      <c r="I461" s="2">
        <v>46177.777315196756</v>
      </c>
      <c r="J461" s="1" t="s">
        <v>1211</v>
      </c>
    </row>
    <row r="462" spans="1:10" x14ac:dyDescent="0.35">
      <c r="A462" s="1" t="s">
        <v>850</v>
      </c>
      <c r="B462" s="1" t="s">
        <v>1209</v>
      </c>
      <c r="C462" s="1" t="s">
        <v>1210</v>
      </c>
      <c r="D462" s="2">
        <v>46177</v>
      </c>
      <c r="E462">
        <v>3.7215484942042597E-2</v>
      </c>
      <c r="F462" s="1" t="s">
        <v>5902</v>
      </c>
      <c r="G462" s="2">
        <v>46177.777315277781</v>
      </c>
      <c r="H462" s="1" t="s">
        <v>1211</v>
      </c>
      <c r="I462" s="2">
        <v>46177.77731539352</v>
      </c>
      <c r="J462" s="1" t="s">
        <v>1211</v>
      </c>
    </row>
    <row r="463" spans="1:10" x14ac:dyDescent="0.35">
      <c r="A463" s="1" t="s">
        <v>787</v>
      </c>
      <c r="B463" s="1" t="s">
        <v>1209</v>
      </c>
      <c r="C463" s="1" t="s">
        <v>1210</v>
      </c>
      <c r="D463" s="2">
        <v>46177</v>
      </c>
      <c r="E463">
        <v>4.2172151681860698E-2</v>
      </c>
      <c r="F463" s="1" t="s">
        <v>5903</v>
      </c>
      <c r="G463" s="2">
        <v>46177.777315474537</v>
      </c>
      <c r="H463" s="1" t="s">
        <v>1211</v>
      </c>
      <c r="I463" s="2">
        <v>46177.777315543979</v>
      </c>
      <c r="J463" s="1" t="s">
        <v>1211</v>
      </c>
    </row>
    <row r="464" spans="1:10" x14ac:dyDescent="0.35">
      <c r="A464" s="1" t="s">
        <v>852</v>
      </c>
      <c r="B464" s="1" t="s">
        <v>1209</v>
      </c>
      <c r="C464" s="1" t="s">
        <v>1210</v>
      </c>
      <c r="D464" s="2">
        <v>46177</v>
      </c>
      <c r="E464">
        <v>4.1259324960394299E-2</v>
      </c>
      <c r="F464" s="1" t="s">
        <v>5904</v>
      </c>
      <c r="G464" s="2">
        <v>46177.777315624997</v>
      </c>
      <c r="H464" s="1" t="s">
        <v>1211</v>
      </c>
      <c r="I464" s="2">
        <v>46177.777315543979</v>
      </c>
      <c r="J464" s="1" t="s">
        <v>1211</v>
      </c>
    </row>
    <row r="465" spans="1:10" x14ac:dyDescent="0.35">
      <c r="A465" s="1" t="s">
        <v>832</v>
      </c>
      <c r="B465" s="1" t="s">
        <v>1209</v>
      </c>
      <c r="C465" s="1" t="s">
        <v>1210</v>
      </c>
      <c r="D465" s="2">
        <v>46177</v>
      </c>
      <c r="E465">
        <v>3.9765968201031697E-2</v>
      </c>
      <c r="F465" s="1" t="s">
        <v>5905</v>
      </c>
      <c r="G465" s="2">
        <v>46177.777315740743</v>
      </c>
      <c r="H465" s="1" t="s">
        <v>1211</v>
      </c>
      <c r="I465" s="2">
        <v>46177.777315740743</v>
      </c>
      <c r="J465" s="1" t="s">
        <v>1211</v>
      </c>
    </row>
    <row r="466" spans="1:10" x14ac:dyDescent="0.35">
      <c r="A466" s="1" t="s">
        <v>854</v>
      </c>
      <c r="B466" s="1" t="s">
        <v>1209</v>
      </c>
      <c r="C466" s="1" t="s">
        <v>1210</v>
      </c>
      <c r="D466" s="2">
        <v>46177</v>
      </c>
      <c r="E466">
        <v>4.2165059848096799E-2</v>
      </c>
      <c r="F466" s="1" t="s">
        <v>5906</v>
      </c>
      <c r="G466" s="2">
        <v>46177.777315891202</v>
      </c>
      <c r="H466" s="1" t="s">
        <v>1211</v>
      </c>
      <c r="I466" s="2">
        <v>46177.777315937499</v>
      </c>
      <c r="J466" s="1" t="s">
        <v>1211</v>
      </c>
    </row>
    <row r="467" spans="1:10" x14ac:dyDescent="0.35">
      <c r="A467" s="1" t="s">
        <v>789</v>
      </c>
      <c r="B467" s="1" t="s">
        <v>1209</v>
      </c>
      <c r="C467" s="1" t="s">
        <v>1210</v>
      </c>
      <c r="D467" s="2">
        <v>46177</v>
      </c>
      <c r="E467">
        <v>4.1304976104607399E-2</v>
      </c>
      <c r="F467" s="1" t="s">
        <v>5907</v>
      </c>
      <c r="G467" s="2">
        <v>46177.777316122687</v>
      </c>
      <c r="H467" s="1" t="s">
        <v>1211</v>
      </c>
      <c r="I467" s="2">
        <v>46177.777316087966</v>
      </c>
      <c r="J467" s="1" t="s">
        <v>1211</v>
      </c>
    </row>
    <row r="468" spans="1:10" x14ac:dyDescent="0.35">
      <c r="A468" s="1" t="s">
        <v>791</v>
      </c>
      <c r="B468" s="1" t="s">
        <v>1209</v>
      </c>
      <c r="C468" s="1" t="s">
        <v>1210</v>
      </c>
      <c r="D468" s="2">
        <v>46177</v>
      </c>
      <c r="E468">
        <v>3.7360950702456097E-2</v>
      </c>
      <c r="F468" s="1" t="s">
        <v>5908</v>
      </c>
      <c r="G468" s="2">
        <v>46177.777316319443</v>
      </c>
      <c r="H468" s="1" t="s">
        <v>1211</v>
      </c>
      <c r="I468" s="2">
        <v>46177.777316284722</v>
      </c>
      <c r="J468" s="1" t="s">
        <v>1211</v>
      </c>
    </row>
    <row r="469" spans="1:10" x14ac:dyDescent="0.35">
      <c r="A469" s="1" t="s">
        <v>793</v>
      </c>
      <c r="B469" s="1" t="s">
        <v>1209</v>
      </c>
      <c r="C469" s="1" t="s">
        <v>1210</v>
      </c>
      <c r="D469" s="2">
        <v>46177</v>
      </c>
      <c r="E469">
        <v>3.9986412278353298E-2</v>
      </c>
      <c r="F469" s="1" t="s">
        <v>5909</v>
      </c>
      <c r="G469" s="2">
        <v>46177.77731646991</v>
      </c>
      <c r="H469" s="1" t="s">
        <v>1211</v>
      </c>
      <c r="I469" s="2">
        <v>46177.77731646991</v>
      </c>
      <c r="J469" s="1" t="s">
        <v>1211</v>
      </c>
    </row>
    <row r="470" spans="1:10" x14ac:dyDescent="0.35">
      <c r="A470" s="1" t="s">
        <v>884</v>
      </c>
      <c r="B470" s="1" t="s">
        <v>1209</v>
      </c>
      <c r="C470" s="1" t="s">
        <v>1210</v>
      </c>
      <c r="D470" s="2">
        <v>46177</v>
      </c>
      <c r="E470">
        <v>4.1363719207433897E-2</v>
      </c>
      <c r="F470" s="1" t="s">
        <v>5910</v>
      </c>
      <c r="G470" s="2">
        <v>46177.777316631946</v>
      </c>
      <c r="H470" s="1" t="s">
        <v>1211</v>
      </c>
      <c r="I470" s="2">
        <v>46177.777316631946</v>
      </c>
      <c r="J470" s="1" t="s">
        <v>1211</v>
      </c>
    </row>
    <row r="471" spans="1:10" x14ac:dyDescent="0.35">
      <c r="A471" s="1" t="s">
        <v>795</v>
      </c>
      <c r="B471" s="1" t="s">
        <v>1209</v>
      </c>
      <c r="C471" s="1" t="s">
        <v>1210</v>
      </c>
      <c r="D471" s="2">
        <v>46177</v>
      </c>
      <c r="E471">
        <v>3.80394552612731E-2</v>
      </c>
      <c r="F471" s="1" t="s">
        <v>5911</v>
      </c>
      <c r="G471" s="2">
        <v>46177.777316782405</v>
      </c>
      <c r="H471" s="1" t="s">
        <v>1211</v>
      </c>
      <c r="I471" s="2">
        <v>46177.777316817126</v>
      </c>
      <c r="J471" s="1" t="s">
        <v>1211</v>
      </c>
    </row>
    <row r="472" spans="1:10" x14ac:dyDescent="0.35">
      <c r="A472" s="1" t="s">
        <v>856</v>
      </c>
      <c r="B472" s="1" t="s">
        <v>1209</v>
      </c>
      <c r="C472" s="1" t="s">
        <v>1210</v>
      </c>
      <c r="D472" s="2">
        <v>46177</v>
      </c>
      <c r="E472">
        <v>4.2222442234705101E-2</v>
      </c>
      <c r="F472" s="1" t="s">
        <v>5912</v>
      </c>
      <c r="G472" s="2">
        <v>46177.777316932872</v>
      </c>
      <c r="H472" s="1" t="s">
        <v>1211</v>
      </c>
      <c r="I472" s="2">
        <v>46177.77731701389</v>
      </c>
      <c r="J472" s="1" t="s">
        <v>1211</v>
      </c>
    </row>
    <row r="473" spans="1:10" x14ac:dyDescent="0.35">
      <c r="A473" s="1" t="s">
        <v>864</v>
      </c>
      <c r="B473" s="1" t="s">
        <v>1209</v>
      </c>
      <c r="C473" s="1" t="s">
        <v>1210</v>
      </c>
      <c r="D473" s="2">
        <v>46177</v>
      </c>
      <c r="E473">
        <v>1.44675456752472E-2</v>
      </c>
      <c r="F473" s="1" t="s">
        <v>5913</v>
      </c>
      <c r="G473" s="2">
        <v>46177.777317094908</v>
      </c>
      <c r="H473" s="1" t="s">
        <v>1211</v>
      </c>
      <c r="I473" s="2">
        <v>46177.777317210646</v>
      </c>
      <c r="J473" s="1" t="s">
        <v>1211</v>
      </c>
    </row>
    <row r="474" spans="1:10" x14ac:dyDescent="0.35">
      <c r="A474" s="1" t="s">
        <v>858</v>
      </c>
      <c r="B474" s="1" t="s">
        <v>1209</v>
      </c>
      <c r="C474" s="1" t="s">
        <v>1210</v>
      </c>
      <c r="D474" s="2">
        <v>46177</v>
      </c>
      <c r="E474">
        <v>4.4129585157565203E-2</v>
      </c>
      <c r="F474" s="1" t="s">
        <v>5914</v>
      </c>
      <c r="G474" s="2">
        <v>46177.777317245367</v>
      </c>
      <c r="H474" s="1" t="s">
        <v>1211</v>
      </c>
      <c r="I474" s="2">
        <v>46177.777317210646</v>
      </c>
      <c r="J474" s="1" t="s">
        <v>1211</v>
      </c>
    </row>
    <row r="475" spans="1:10" x14ac:dyDescent="0.35">
      <c r="A475" s="1" t="s">
        <v>886</v>
      </c>
      <c r="B475" s="1" t="s">
        <v>1209</v>
      </c>
      <c r="C475" s="1" t="s">
        <v>1210</v>
      </c>
      <c r="D475" s="2">
        <v>46177</v>
      </c>
      <c r="E475">
        <v>4.0180043283058298E-2</v>
      </c>
      <c r="F475" s="1" t="s">
        <v>5915</v>
      </c>
      <c r="G475" s="2">
        <v>46177.777317395834</v>
      </c>
      <c r="H475" s="1" t="s">
        <v>1211</v>
      </c>
      <c r="I475" s="2">
        <v>46177.777317361113</v>
      </c>
      <c r="J475" s="1" t="s">
        <v>1211</v>
      </c>
    </row>
    <row r="476" spans="1:10" x14ac:dyDescent="0.35">
      <c r="A476" s="1" t="s">
        <v>866</v>
      </c>
      <c r="B476" s="1" t="s">
        <v>1209</v>
      </c>
      <c r="C476" s="1" t="s">
        <v>1210</v>
      </c>
      <c r="D476" s="2">
        <v>46177</v>
      </c>
      <c r="E476">
        <v>3.7611733104413902E-2</v>
      </c>
      <c r="F476" s="1" t="s">
        <v>5916</v>
      </c>
      <c r="G476" s="2">
        <v>46177.77731755787</v>
      </c>
      <c r="H476" s="1" t="s">
        <v>1211</v>
      </c>
      <c r="I476" s="2">
        <v>46177.77731755787</v>
      </c>
      <c r="J476" s="1" t="s">
        <v>1211</v>
      </c>
    </row>
    <row r="477" spans="1:10" x14ac:dyDescent="0.35">
      <c r="A477" s="1" t="s">
        <v>868</v>
      </c>
      <c r="B477" s="1" t="s">
        <v>1209</v>
      </c>
      <c r="C477" s="1" t="s">
        <v>1210</v>
      </c>
      <c r="D477" s="2">
        <v>46177</v>
      </c>
      <c r="E477">
        <v>4.22633644736558E-2</v>
      </c>
      <c r="F477" s="1" t="s">
        <v>5917</v>
      </c>
      <c r="G477" s="2">
        <v>46177.777317708336</v>
      </c>
      <c r="H477" s="1" t="s">
        <v>1211</v>
      </c>
      <c r="I477" s="2">
        <v>46177.777317743057</v>
      </c>
      <c r="J477" s="1" t="s">
        <v>1211</v>
      </c>
    </row>
    <row r="478" spans="1:10" x14ac:dyDescent="0.35">
      <c r="A478" s="1" t="s">
        <v>860</v>
      </c>
      <c r="B478" s="1" t="s">
        <v>1209</v>
      </c>
      <c r="C478" s="1" t="s">
        <v>1210</v>
      </c>
      <c r="D478" s="2">
        <v>46177</v>
      </c>
      <c r="E478">
        <v>4.1357583140749103E-2</v>
      </c>
      <c r="F478" s="1" t="s">
        <v>5918</v>
      </c>
      <c r="G478" s="2">
        <v>46177.777317905093</v>
      </c>
      <c r="H478" s="1" t="s">
        <v>1211</v>
      </c>
      <c r="I478" s="2">
        <v>46177.777317905093</v>
      </c>
      <c r="J478" s="1" t="s">
        <v>1211</v>
      </c>
    </row>
    <row r="479" spans="1:10" x14ac:dyDescent="0.35">
      <c r="A479" s="1" t="s">
        <v>797</v>
      </c>
      <c r="B479" s="1" t="s">
        <v>1209</v>
      </c>
      <c r="C479" s="1" t="s">
        <v>1210</v>
      </c>
      <c r="D479" s="2">
        <v>46177</v>
      </c>
      <c r="E479">
        <v>4.0205917123555299E-2</v>
      </c>
      <c r="F479" s="1" t="s">
        <v>5919</v>
      </c>
      <c r="G479" s="2">
        <v>46177.777318055552</v>
      </c>
      <c r="H479" s="1" t="s">
        <v>1211</v>
      </c>
      <c r="I479" s="2">
        <v>46177.777318020831</v>
      </c>
      <c r="J479" s="1" t="s">
        <v>1211</v>
      </c>
    </row>
    <row r="480" spans="1:10" x14ac:dyDescent="0.35">
      <c r="A480" s="1" t="s">
        <v>862</v>
      </c>
      <c r="B480" s="1" t="s">
        <v>1209</v>
      </c>
      <c r="C480" s="1" t="s">
        <v>1210</v>
      </c>
      <c r="D480" s="2">
        <v>46177</v>
      </c>
      <c r="E480">
        <v>4.2339890905587298E-2</v>
      </c>
      <c r="F480" s="1" t="s">
        <v>5920</v>
      </c>
      <c r="G480" s="2">
        <v>46177.777318206019</v>
      </c>
      <c r="H480" s="1" t="s">
        <v>1211</v>
      </c>
      <c r="I480" s="2">
        <v>46177.777318206019</v>
      </c>
      <c r="J480" s="1" t="s">
        <v>1211</v>
      </c>
    </row>
    <row r="481" spans="1:10" x14ac:dyDescent="0.35">
      <c r="A481" s="1" t="s">
        <v>799</v>
      </c>
      <c r="B481" s="1" t="s">
        <v>1209</v>
      </c>
      <c r="C481" s="1" t="s">
        <v>1210</v>
      </c>
      <c r="D481" s="2">
        <v>46177</v>
      </c>
      <c r="E481">
        <v>4.1400330126052903E-2</v>
      </c>
      <c r="F481" s="1" t="s">
        <v>5921</v>
      </c>
      <c r="G481" s="2">
        <v>46177.777318402776</v>
      </c>
      <c r="H481" s="1" t="s">
        <v>1211</v>
      </c>
      <c r="I481" s="2">
        <v>46177.777318402776</v>
      </c>
      <c r="J481" s="1" t="s">
        <v>1211</v>
      </c>
    </row>
    <row r="482" spans="1:10" x14ac:dyDescent="0.35">
      <c r="A482" s="1" t="s">
        <v>801</v>
      </c>
      <c r="B482" s="1" t="s">
        <v>1209</v>
      </c>
      <c r="C482" s="1" t="s">
        <v>1210</v>
      </c>
      <c r="D482" s="2">
        <v>46177</v>
      </c>
      <c r="E482">
        <v>3.7939931733161202E-2</v>
      </c>
      <c r="F482" s="1" t="s">
        <v>5922</v>
      </c>
      <c r="G482" s="2">
        <v>46177.777318553242</v>
      </c>
      <c r="H482" s="1" t="s">
        <v>1211</v>
      </c>
      <c r="I482" s="2">
        <v>46177.777318553242</v>
      </c>
      <c r="J482" s="1" t="s">
        <v>1211</v>
      </c>
    </row>
    <row r="483" spans="1:10" x14ac:dyDescent="0.35">
      <c r="A483" s="1" t="s">
        <v>803</v>
      </c>
      <c r="B483" s="1" t="s">
        <v>1209</v>
      </c>
      <c r="C483" s="1" t="s">
        <v>1210</v>
      </c>
      <c r="D483" s="2">
        <v>46177</v>
      </c>
      <c r="E483">
        <v>4.0427166531667197E-2</v>
      </c>
      <c r="F483" s="1" t="s">
        <v>5923</v>
      </c>
      <c r="G483" s="2">
        <v>46177.777318715278</v>
      </c>
      <c r="H483" s="1" t="s">
        <v>1211</v>
      </c>
      <c r="I483" s="2">
        <v>46177.777318749999</v>
      </c>
      <c r="J483" s="1" t="s">
        <v>1211</v>
      </c>
    </row>
    <row r="484" spans="1:10" x14ac:dyDescent="0.35">
      <c r="A484" s="1" t="s">
        <v>805</v>
      </c>
      <c r="B484" s="1" t="s">
        <v>1209</v>
      </c>
      <c r="C484" s="1" t="s">
        <v>1210</v>
      </c>
      <c r="D484" s="2">
        <v>46177</v>
      </c>
      <c r="E484">
        <v>4.1462782278859502E-2</v>
      </c>
      <c r="F484" s="1" t="s">
        <v>5924</v>
      </c>
      <c r="G484" s="2">
        <v>46177.777318865737</v>
      </c>
      <c r="H484" s="1" t="s">
        <v>1211</v>
      </c>
      <c r="I484" s="2">
        <v>46177.777318749999</v>
      </c>
      <c r="J484" s="1" t="s">
        <v>1211</v>
      </c>
    </row>
    <row r="485" spans="1:10" x14ac:dyDescent="0.35">
      <c r="A485" s="1" t="s">
        <v>807</v>
      </c>
      <c r="B485" s="1" t="s">
        <v>1209</v>
      </c>
      <c r="C485" s="1" t="s">
        <v>1210</v>
      </c>
      <c r="D485" s="2">
        <v>46177</v>
      </c>
      <c r="E485">
        <v>3.8075179322717798E-2</v>
      </c>
      <c r="F485" s="1" t="s">
        <v>5925</v>
      </c>
      <c r="G485" s="2">
        <v>46177.777318981483</v>
      </c>
      <c r="H485" s="1" t="s">
        <v>1211</v>
      </c>
      <c r="I485" s="2">
        <v>46177.777318946763</v>
      </c>
      <c r="J485" s="1" t="s">
        <v>1211</v>
      </c>
    </row>
    <row r="486" spans="1:10" x14ac:dyDescent="0.35">
      <c r="A486" s="1" t="s">
        <v>809</v>
      </c>
      <c r="B486" s="1" t="s">
        <v>1209</v>
      </c>
      <c r="C486" s="1" t="s">
        <v>1210</v>
      </c>
      <c r="D486" s="2">
        <v>46177</v>
      </c>
      <c r="E486">
        <v>4.2414822530795301E-2</v>
      </c>
      <c r="F486" s="1" t="s">
        <v>5926</v>
      </c>
      <c r="G486" s="2">
        <v>46177.777319131943</v>
      </c>
      <c r="H486" s="1" t="s">
        <v>1211</v>
      </c>
      <c r="I486" s="2">
        <v>46177.777319097222</v>
      </c>
      <c r="J486" s="1" t="s">
        <v>1211</v>
      </c>
    </row>
    <row r="487" spans="1:10" x14ac:dyDescent="0.35">
      <c r="A487" s="1" t="s">
        <v>870</v>
      </c>
      <c r="B487" s="1" t="s">
        <v>1209</v>
      </c>
      <c r="C487" s="1" t="s">
        <v>1210</v>
      </c>
      <c r="D487" s="2">
        <v>46177</v>
      </c>
      <c r="E487">
        <v>2.0176418727740199E-2</v>
      </c>
      <c r="F487" s="1" t="s">
        <v>5927</v>
      </c>
      <c r="G487" s="2">
        <v>46177.777319293979</v>
      </c>
      <c r="H487" s="1" t="s">
        <v>1211</v>
      </c>
      <c r="I487" s="2">
        <v>46177.777319293979</v>
      </c>
      <c r="J487" s="1" t="s">
        <v>1211</v>
      </c>
    </row>
    <row r="488" spans="1:10" x14ac:dyDescent="0.35">
      <c r="A488" s="1" t="s">
        <v>811</v>
      </c>
      <c r="B488" s="1" t="s">
        <v>1209</v>
      </c>
      <c r="C488" s="1" t="s">
        <v>1210</v>
      </c>
      <c r="D488" s="2">
        <v>46177</v>
      </c>
      <c r="E488">
        <v>4.4243114738646103E-2</v>
      </c>
      <c r="F488" s="1" t="s">
        <v>5928</v>
      </c>
      <c r="G488" s="2">
        <v>46177.777319444445</v>
      </c>
      <c r="H488" s="1" t="s">
        <v>1211</v>
      </c>
      <c r="I488" s="2">
        <v>46177.777319479166</v>
      </c>
      <c r="J488" s="1" t="s">
        <v>1211</v>
      </c>
    </row>
    <row r="489" spans="1:10" x14ac:dyDescent="0.35">
      <c r="A489" s="1" t="s">
        <v>813</v>
      </c>
      <c r="B489" s="1" t="s">
        <v>1209</v>
      </c>
      <c r="C489" s="1" t="s">
        <v>1210</v>
      </c>
      <c r="D489" s="2">
        <v>46177</v>
      </c>
      <c r="E489">
        <v>4.03996056792746E-2</v>
      </c>
      <c r="F489" s="1" t="s">
        <v>5929</v>
      </c>
      <c r="G489" s="2">
        <v>46177.777319594905</v>
      </c>
      <c r="H489" s="1" t="s">
        <v>1211</v>
      </c>
      <c r="I489" s="2">
        <v>46177.777319479166</v>
      </c>
      <c r="J489" s="1" t="s">
        <v>1211</v>
      </c>
    </row>
    <row r="490" spans="1:10" x14ac:dyDescent="0.35">
      <c r="A490" s="1" t="s">
        <v>815</v>
      </c>
      <c r="B490" s="1" t="s">
        <v>1209</v>
      </c>
      <c r="C490" s="1" t="s">
        <v>1210</v>
      </c>
      <c r="D490" s="2">
        <v>46177</v>
      </c>
      <c r="E490">
        <v>3.8358292408115301E-2</v>
      </c>
      <c r="F490" s="1" t="s">
        <v>5930</v>
      </c>
      <c r="G490" s="2">
        <v>46177.777319756948</v>
      </c>
      <c r="H490" s="1" t="s">
        <v>1211</v>
      </c>
      <c r="I490" s="2">
        <v>46177.777319641202</v>
      </c>
      <c r="J490" s="1" t="s">
        <v>1211</v>
      </c>
    </row>
    <row r="491" spans="1:10" x14ac:dyDescent="0.35">
      <c r="A491" s="1" t="s">
        <v>872</v>
      </c>
      <c r="B491" s="1" t="s">
        <v>1209</v>
      </c>
      <c r="C491" s="1" t="s">
        <v>1210</v>
      </c>
      <c r="D491" s="2">
        <v>46177</v>
      </c>
      <c r="E491">
        <v>4.2462881857626297E-2</v>
      </c>
      <c r="F491" s="1" t="s">
        <v>5931</v>
      </c>
      <c r="G491" s="2">
        <v>46177.777319907407</v>
      </c>
      <c r="H491" s="1" t="s">
        <v>1211</v>
      </c>
      <c r="I491" s="2">
        <v>46177.777319826389</v>
      </c>
      <c r="J491" s="1" t="s">
        <v>1211</v>
      </c>
    </row>
    <row r="492" spans="1:10" x14ac:dyDescent="0.35">
      <c r="A492" s="1" t="s">
        <v>817</v>
      </c>
      <c r="B492" s="1" t="s">
        <v>1209</v>
      </c>
      <c r="C492" s="1" t="s">
        <v>1210</v>
      </c>
      <c r="D492" s="2">
        <v>46177</v>
      </c>
      <c r="E492">
        <v>4.0423841772654498E-2</v>
      </c>
      <c r="F492" s="1" t="s">
        <v>5932</v>
      </c>
      <c r="G492" s="2">
        <v>46177.777320023146</v>
      </c>
      <c r="H492" s="1" t="s">
        <v>1211</v>
      </c>
      <c r="I492" s="2">
        <v>46177.777320023146</v>
      </c>
      <c r="J492" s="1" t="s">
        <v>1211</v>
      </c>
    </row>
    <row r="493" spans="1:10" x14ac:dyDescent="0.35">
      <c r="A493" s="1" t="s">
        <v>874</v>
      </c>
      <c r="B493" s="1" t="s">
        <v>1209</v>
      </c>
      <c r="C493" s="1" t="s">
        <v>1210</v>
      </c>
      <c r="D493" s="2">
        <v>46177</v>
      </c>
      <c r="E493">
        <v>4.2494328879251697E-2</v>
      </c>
      <c r="F493" s="1" t="s">
        <v>5933</v>
      </c>
      <c r="G493" s="2">
        <v>46177.777320173613</v>
      </c>
      <c r="H493" s="1" t="s">
        <v>1211</v>
      </c>
      <c r="I493" s="2">
        <v>46177.77732021991</v>
      </c>
      <c r="J493" s="1" t="s">
        <v>1211</v>
      </c>
    </row>
    <row r="494" spans="1:10" x14ac:dyDescent="0.35">
      <c r="A494" s="1" t="s">
        <v>876</v>
      </c>
      <c r="B494" s="1" t="s">
        <v>1209</v>
      </c>
      <c r="C494" s="1" t="s">
        <v>1210</v>
      </c>
      <c r="D494" s="2">
        <v>46177</v>
      </c>
      <c r="E494">
        <v>4.1482424322171203E-2</v>
      </c>
      <c r="F494" s="1" t="s">
        <v>5934</v>
      </c>
      <c r="G494" s="2">
        <v>46177.777320335648</v>
      </c>
      <c r="H494" s="1" t="s">
        <v>1211</v>
      </c>
      <c r="I494" s="2">
        <v>46177.777320370369</v>
      </c>
      <c r="J494" s="1" t="s">
        <v>1211</v>
      </c>
    </row>
    <row r="495" spans="1:10" x14ac:dyDescent="0.35">
      <c r="A495" s="1" t="s">
        <v>888</v>
      </c>
      <c r="B495" s="1" t="s">
        <v>1209</v>
      </c>
      <c r="C495" s="1" t="s">
        <v>1210</v>
      </c>
      <c r="D495" s="2">
        <v>46177</v>
      </c>
      <c r="E495">
        <v>3.8428095115429502E-2</v>
      </c>
      <c r="F495" s="1" t="s">
        <v>5935</v>
      </c>
      <c r="G495" s="2">
        <v>46177.777320486108</v>
      </c>
      <c r="H495" s="1" t="s">
        <v>1211</v>
      </c>
      <c r="I495" s="2">
        <v>46177.777320370369</v>
      </c>
      <c r="J495" s="1" t="s">
        <v>1211</v>
      </c>
    </row>
    <row r="496" spans="1:10" x14ac:dyDescent="0.35">
      <c r="A496" s="1" t="s">
        <v>878</v>
      </c>
      <c r="B496" s="1" t="s">
        <v>1209</v>
      </c>
      <c r="C496" s="1" t="s">
        <v>1210</v>
      </c>
      <c r="D496" s="2">
        <v>46177</v>
      </c>
      <c r="E496">
        <v>4.0493638744926598E-2</v>
      </c>
      <c r="F496" s="1" t="s">
        <v>5936</v>
      </c>
      <c r="G496" s="2">
        <v>46177.777320636575</v>
      </c>
      <c r="H496" s="1" t="s">
        <v>1211</v>
      </c>
      <c r="I496" s="2">
        <v>46177.777320567133</v>
      </c>
      <c r="J496" s="1" t="s">
        <v>1211</v>
      </c>
    </row>
    <row r="497" spans="1:10" x14ac:dyDescent="0.35">
      <c r="A497" s="1" t="s">
        <v>890</v>
      </c>
      <c r="B497" s="1" t="s">
        <v>1209</v>
      </c>
      <c r="C497" s="1" t="s">
        <v>1210</v>
      </c>
      <c r="D497" s="2">
        <v>46177</v>
      </c>
      <c r="E497">
        <v>3.88243968398925E-2</v>
      </c>
      <c r="F497" s="1" t="s">
        <v>5937</v>
      </c>
      <c r="G497" s="2">
        <v>46177.77732079861</v>
      </c>
      <c r="H497" s="1" t="s">
        <v>1211</v>
      </c>
      <c r="I497" s="2">
        <v>46177.777320752313</v>
      </c>
      <c r="J497" s="1" t="s">
        <v>1211</v>
      </c>
    </row>
    <row r="498" spans="1:10" x14ac:dyDescent="0.35">
      <c r="A498" s="1" t="s">
        <v>892</v>
      </c>
      <c r="B498" s="1" t="s">
        <v>1209</v>
      </c>
      <c r="C498" s="1" t="s">
        <v>1210</v>
      </c>
      <c r="D498" s="2">
        <v>46177</v>
      </c>
      <c r="E498">
        <v>4.1532694674683103E-2</v>
      </c>
      <c r="F498" s="1" t="s">
        <v>5938</v>
      </c>
      <c r="G498" s="2">
        <v>46177.777320949077</v>
      </c>
      <c r="H498" s="1" t="s">
        <v>1211</v>
      </c>
      <c r="I498" s="2">
        <v>46177.777320914349</v>
      </c>
      <c r="J498" s="1" t="s">
        <v>1211</v>
      </c>
    </row>
    <row r="499" spans="1:10" x14ac:dyDescent="0.35">
      <c r="A499" s="1" t="s">
        <v>819</v>
      </c>
      <c r="B499" s="1" t="s">
        <v>1209</v>
      </c>
      <c r="C499" s="1" t="s">
        <v>1210</v>
      </c>
      <c r="D499" s="2">
        <v>46177</v>
      </c>
      <c r="E499">
        <v>4.25620306336532E-2</v>
      </c>
      <c r="F499" s="1" t="s">
        <v>5939</v>
      </c>
      <c r="G499" s="2">
        <v>46177.777321064816</v>
      </c>
      <c r="H499" s="1" t="s">
        <v>1211</v>
      </c>
      <c r="I499" s="2">
        <v>46177.777321099536</v>
      </c>
      <c r="J499" s="1" t="s">
        <v>1211</v>
      </c>
    </row>
    <row r="500" spans="1:10" x14ac:dyDescent="0.35">
      <c r="A500" s="1" t="s">
        <v>821</v>
      </c>
      <c r="B500" s="1" t="s">
        <v>1209</v>
      </c>
      <c r="C500" s="1" t="s">
        <v>1210</v>
      </c>
      <c r="D500" s="2">
        <v>46177</v>
      </c>
      <c r="E500">
        <v>1.6174872743214899E-2</v>
      </c>
      <c r="F500" s="1" t="s">
        <v>5940</v>
      </c>
      <c r="G500" s="2">
        <v>46177.777321215275</v>
      </c>
      <c r="H500" s="1" t="s">
        <v>1211</v>
      </c>
      <c r="I500" s="2">
        <v>46177.777321296293</v>
      </c>
      <c r="J500" s="1" t="s">
        <v>1211</v>
      </c>
    </row>
    <row r="501" spans="1:10" x14ac:dyDescent="0.35">
      <c r="A501" s="1" t="s">
        <v>880</v>
      </c>
      <c r="B501" s="1" t="s">
        <v>1209</v>
      </c>
      <c r="C501" s="1" t="s">
        <v>1210</v>
      </c>
      <c r="D501" s="2">
        <v>46177</v>
      </c>
      <c r="E501">
        <v>4.4397836587114402E-2</v>
      </c>
      <c r="F501" s="1" t="s">
        <v>5941</v>
      </c>
      <c r="G501" s="2">
        <v>46177.777321377318</v>
      </c>
      <c r="H501" s="1" t="s">
        <v>1211</v>
      </c>
      <c r="I501" s="2">
        <v>46177.777321296293</v>
      </c>
      <c r="J501" s="1" t="s">
        <v>1211</v>
      </c>
    </row>
    <row r="502" spans="1:10" x14ac:dyDescent="0.35">
      <c r="A502" s="1" t="s">
        <v>894</v>
      </c>
      <c r="B502" s="1" t="s">
        <v>1209</v>
      </c>
      <c r="C502" s="1" t="s">
        <v>1210</v>
      </c>
      <c r="D502" s="2">
        <v>46177</v>
      </c>
      <c r="E502">
        <v>4.0582516341087102E-2</v>
      </c>
      <c r="F502" s="1" t="s">
        <v>5942</v>
      </c>
      <c r="G502" s="2">
        <v>46177.777321527778</v>
      </c>
      <c r="H502" s="1" t="s">
        <v>1211</v>
      </c>
      <c r="I502" s="2">
        <v>46177.77732144676</v>
      </c>
      <c r="J502" s="1" t="s">
        <v>1211</v>
      </c>
    </row>
    <row r="503" spans="1:10" x14ac:dyDescent="0.35">
      <c r="A503" s="1" t="s">
        <v>914</v>
      </c>
      <c r="B503" s="1" t="s">
        <v>1209</v>
      </c>
      <c r="C503" s="1" t="s">
        <v>1210</v>
      </c>
      <c r="D503" s="2">
        <v>46177</v>
      </c>
      <c r="E503">
        <v>3.9070875407178102E-2</v>
      </c>
      <c r="F503" s="1" t="s">
        <v>5943</v>
      </c>
      <c r="G503" s="2">
        <v>46177.777321678244</v>
      </c>
      <c r="H503" s="1" t="s">
        <v>1211</v>
      </c>
      <c r="I503" s="2">
        <v>46177.777321643516</v>
      </c>
      <c r="J503" s="1" t="s">
        <v>1211</v>
      </c>
    </row>
    <row r="504" spans="1:10" x14ac:dyDescent="0.35">
      <c r="A504" s="1" t="s">
        <v>896</v>
      </c>
      <c r="B504" s="1" t="s">
        <v>1209</v>
      </c>
      <c r="C504" s="1" t="s">
        <v>1210</v>
      </c>
      <c r="D504" s="2">
        <v>46177</v>
      </c>
      <c r="E504">
        <v>4.2651885034471697E-2</v>
      </c>
      <c r="F504" s="1" t="s">
        <v>5944</v>
      </c>
      <c r="G504" s="2">
        <v>46177.77732184028</v>
      </c>
      <c r="H504" s="1" t="s">
        <v>1211</v>
      </c>
      <c r="I504" s="2">
        <v>46177.77732184028</v>
      </c>
      <c r="J504" s="1" t="s">
        <v>1211</v>
      </c>
    </row>
    <row r="505" spans="1:10" x14ac:dyDescent="0.35">
      <c r="A505" s="1" t="s">
        <v>882</v>
      </c>
      <c r="B505" s="1" t="s">
        <v>1209</v>
      </c>
      <c r="C505" s="1" t="s">
        <v>1210</v>
      </c>
      <c r="D505" s="2">
        <v>46177</v>
      </c>
      <c r="E505">
        <v>4.1565751318214501E-2</v>
      </c>
      <c r="F505" s="1" t="s">
        <v>5945</v>
      </c>
      <c r="G505" s="2">
        <v>46177.777321990739</v>
      </c>
      <c r="H505" s="1" t="s">
        <v>1211</v>
      </c>
      <c r="I505" s="2">
        <v>46177.777321990739</v>
      </c>
      <c r="J505" s="1" t="s">
        <v>1211</v>
      </c>
    </row>
    <row r="506" spans="1:10" x14ac:dyDescent="0.35">
      <c r="A506" s="1" t="s">
        <v>898</v>
      </c>
      <c r="B506" s="1" t="s">
        <v>1209</v>
      </c>
      <c r="C506" s="1" t="s">
        <v>1210</v>
      </c>
      <c r="D506" s="2">
        <v>46177</v>
      </c>
      <c r="E506">
        <v>4.0588852665612303E-2</v>
      </c>
      <c r="F506" s="1" t="s">
        <v>5946</v>
      </c>
      <c r="G506" s="2">
        <v>46177.777322141206</v>
      </c>
      <c r="H506" s="1" t="s">
        <v>1211</v>
      </c>
      <c r="I506" s="2">
        <v>46177.777322187503</v>
      </c>
      <c r="J506" s="1" t="s">
        <v>1211</v>
      </c>
    </row>
    <row r="507" spans="1:10" x14ac:dyDescent="0.35">
      <c r="A507" s="1" t="s">
        <v>900</v>
      </c>
      <c r="B507" s="1" t="s">
        <v>1209</v>
      </c>
      <c r="C507" s="1" t="s">
        <v>1210</v>
      </c>
      <c r="D507" s="2">
        <v>46177</v>
      </c>
      <c r="E507">
        <v>4.2701653901398497E-2</v>
      </c>
      <c r="F507" s="1" t="s">
        <v>5947</v>
      </c>
      <c r="G507" s="2">
        <v>46177.777322303242</v>
      </c>
      <c r="H507" s="1" t="s">
        <v>1211</v>
      </c>
      <c r="I507" s="2">
        <v>46177.777322187503</v>
      </c>
      <c r="J507" s="1" t="s">
        <v>1211</v>
      </c>
    </row>
    <row r="508" spans="1:10" x14ac:dyDescent="0.35">
      <c r="A508" s="1" t="s">
        <v>902</v>
      </c>
      <c r="B508" s="1" t="s">
        <v>1209</v>
      </c>
      <c r="C508" s="1" t="s">
        <v>1210</v>
      </c>
      <c r="D508" s="2">
        <v>46177</v>
      </c>
      <c r="E508">
        <v>4.16196347176035E-2</v>
      </c>
      <c r="F508" s="1" t="s">
        <v>5948</v>
      </c>
      <c r="G508" s="2">
        <v>46177.777322453701</v>
      </c>
      <c r="H508" s="1" t="s">
        <v>1211</v>
      </c>
      <c r="I508" s="2">
        <v>46177.777322372684</v>
      </c>
      <c r="J508" s="1" t="s">
        <v>1211</v>
      </c>
    </row>
    <row r="509" spans="1:10" x14ac:dyDescent="0.35">
      <c r="A509" s="1" t="s">
        <v>904</v>
      </c>
      <c r="B509" s="1" t="s">
        <v>1209</v>
      </c>
      <c r="C509" s="1" t="s">
        <v>1210</v>
      </c>
      <c r="D509" s="2">
        <v>46177</v>
      </c>
      <c r="E509">
        <v>3.9268297827602799E-2</v>
      </c>
      <c r="F509" s="1" t="s">
        <v>5949</v>
      </c>
      <c r="G509" s="2">
        <v>46177.777322604168</v>
      </c>
      <c r="H509" s="1" t="s">
        <v>1211</v>
      </c>
      <c r="I509" s="2">
        <v>46177.777322534719</v>
      </c>
      <c r="J509" s="1" t="s">
        <v>1211</v>
      </c>
    </row>
    <row r="510" spans="1:10" x14ac:dyDescent="0.35">
      <c r="A510" s="1" t="s">
        <v>906</v>
      </c>
      <c r="B510" s="1" t="s">
        <v>1209</v>
      </c>
      <c r="C510" s="1" t="s">
        <v>1210</v>
      </c>
      <c r="D510" s="2">
        <v>46177</v>
      </c>
      <c r="E510">
        <v>4.0683415606901502E-2</v>
      </c>
      <c r="F510" s="1" t="s">
        <v>5950</v>
      </c>
      <c r="G510" s="2">
        <v>46177.777322766204</v>
      </c>
      <c r="H510" s="1" t="s">
        <v>1211</v>
      </c>
      <c r="I510" s="2">
        <v>46177.777322719907</v>
      </c>
      <c r="J510" s="1" t="s">
        <v>1211</v>
      </c>
    </row>
    <row r="511" spans="1:10" x14ac:dyDescent="0.35">
      <c r="A511" s="1" t="s">
        <v>908</v>
      </c>
      <c r="B511" s="1" t="s">
        <v>1209</v>
      </c>
      <c r="C511" s="1" t="s">
        <v>1210</v>
      </c>
      <c r="D511" s="2">
        <v>46177</v>
      </c>
      <c r="E511">
        <v>4.1622343316298202E-2</v>
      </c>
      <c r="F511" s="1" t="s">
        <v>5951</v>
      </c>
      <c r="G511" s="2">
        <v>46177.777322916663</v>
      </c>
      <c r="H511" s="1" t="s">
        <v>1211</v>
      </c>
      <c r="I511" s="2">
        <v>46177.777322916663</v>
      </c>
      <c r="J511" s="1" t="s">
        <v>1211</v>
      </c>
    </row>
    <row r="512" spans="1:10" x14ac:dyDescent="0.35">
      <c r="A512" s="1" t="s">
        <v>910</v>
      </c>
      <c r="B512" s="1" t="s">
        <v>1209</v>
      </c>
      <c r="C512" s="1" t="s">
        <v>1210</v>
      </c>
      <c r="D512" s="2">
        <v>46177</v>
      </c>
      <c r="E512">
        <v>3.9604680328692403E-2</v>
      </c>
      <c r="F512" s="1" t="s">
        <v>5952</v>
      </c>
      <c r="G512" s="2">
        <v>46177.77732306713</v>
      </c>
      <c r="H512" s="1" t="s">
        <v>1211</v>
      </c>
      <c r="I512" s="2">
        <v>46177.777323113427</v>
      </c>
      <c r="J512" s="1" t="s">
        <v>1211</v>
      </c>
    </row>
    <row r="513" spans="1:10" x14ac:dyDescent="0.35">
      <c r="A513" s="1" t="s">
        <v>912</v>
      </c>
      <c r="B513" s="1" t="s">
        <v>1209</v>
      </c>
      <c r="C513" s="1" t="s">
        <v>1210</v>
      </c>
      <c r="D513" s="2">
        <v>46177</v>
      </c>
      <c r="E513">
        <v>4.2782188605755E-2</v>
      </c>
      <c r="F513" s="1" t="s">
        <v>5953</v>
      </c>
      <c r="G513" s="2">
        <v>46177.777323229166</v>
      </c>
      <c r="H513" s="1" t="s">
        <v>1211</v>
      </c>
      <c r="I513" s="2">
        <v>46177.777323263887</v>
      </c>
      <c r="J513" s="1" t="s">
        <v>1211</v>
      </c>
    </row>
    <row r="514" spans="1:10" x14ac:dyDescent="0.35">
      <c r="A514" s="1" t="s">
        <v>916</v>
      </c>
      <c r="B514" s="1" t="s">
        <v>1209</v>
      </c>
      <c r="C514" s="1" t="s">
        <v>1210</v>
      </c>
      <c r="D514" s="2">
        <v>46177</v>
      </c>
      <c r="E514">
        <v>2.0163528899001699E-2</v>
      </c>
      <c r="F514" s="1" t="s">
        <v>5954</v>
      </c>
      <c r="G514" s="2">
        <v>46177.777323379632</v>
      </c>
      <c r="H514" s="1" t="s">
        <v>1211</v>
      </c>
      <c r="I514" s="2">
        <v>46177.777323263887</v>
      </c>
      <c r="J514" s="1" t="s">
        <v>1211</v>
      </c>
    </row>
    <row r="515" spans="1:10" x14ac:dyDescent="0.35">
      <c r="A515" s="1" t="s">
        <v>918</v>
      </c>
      <c r="B515" s="1" t="s">
        <v>1209</v>
      </c>
      <c r="C515" s="1" t="s">
        <v>1210</v>
      </c>
      <c r="D515" s="2">
        <v>46177</v>
      </c>
      <c r="E515">
        <v>4.45084636634221E-2</v>
      </c>
      <c r="F515" s="1" t="s">
        <v>5955</v>
      </c>
      <c r="G515" s="2">
        <v>46177.777323530092</v>
      </c>
      <c r="H515" s="1" t="s">
        <v>1211</v>
      </c>
      <c r="I515" s="2">
        <v>46177.77732346065</v>
      </c>
      <c r="J515" s="1" t="s">
        <v>1211</v>
      </c>
    </row>
    <row r="516" spans="1:10" x14ac:dyDescent="0.35">
      <c r="A516" s="1" t="s">
        <v>936</v>
      </c>
      <c r="B516" s="1" t="s">
        <v>1209</v>
      </c>
      <c r="C516" s="1" t="s">
        <v>1210</v>
      </c>
      <c r="D516" s="2">
        <v>46177</v>
      </c>
      <c r="E516">
        <v>4.0678383353701802E-2</v>
      </c>
      <c r="F516" s="1" t="s">
        <v>5956</v>
      </c>
      <c r="G516" s="2">
        <v>46177.777323692128</v>
      </c>
      <c r="H516" s="1" t="s">
        <v>1211</v>
      </c>
      <c r="I516" s="2">
        <v>46177.777323645831</v>
      </c>
      <c r="J516" s="1" t="s">
        <v>1211</v>
      </c>
    </row>
    <row r="517" spans="1:10" x14ac:dyDescent="0.35">
      <c r="A517" s="1" t="s">
        <v>920</v>
      </c>
      <c r="B517" s="1" t="s">
        <v>1209</v>
      </c>
      <c r="C517" s="1" t="s">
        <v>1210</v>
      </c>
      <c r="D517" s="2">
        <v>46177</v>
      </c>
      <c r="E517">
        <v>3.97595673152552E-2</v>
      </c>
      <c r="F517" s="1" t="s">
        <v>5957</v>
      </c>
      <c r="G517" s="2">
        <v>46177.777323842594</v>
      </c>
      <c r="H517" s="1" t="s">
        <v>1211</v>
      </c>
      <c r="I517" s="2">
        <v>46177.777323807873</v>
      </c>
      <c r="J517" s="1" t="s">
        <v>1211</v>
      </c>
    </row>
    <row r="518" spans="1:10" x14ac:dyDescent="0.35">
      <c r="A518" s="1" t="s">
        <v>922</v>
      </c>
      <c r="B518" s="1" t="s">
        <v>1209</v>
      </c>
      <c r="C518" s="1" t="s">
        <v>1210</v>
      </c>
      <c r="D518" s="2">
        <v>46177</v>
      </c>
      <c r="E518">
        <v>4.2832336329852699E-2</v>
      </c>
      <c r="F518" s="1" t="s">
        <v>5958</v>
      </c>
      <c r="G518" s="2">
        <v>46177.777323993054</v>
      </c>
      <c r="H518" s="1" t="s">
        <v>1211</v>
      </c>
      <c r="I518" s="2">
        <v>46177.777323993054</v>
      </c>
      <c r="J518" s="1" t="s">
        <v>1211</v>
      </c>
    </row>
    <row r="519" spans="1:10" x14ac:dyDescent="0.35">
      <c r="A519" s="1" t="s">
        <v>938</v>
      </c>
      <c r="B519" s="1" t="s">
        <v>1209</v>
      </c>
      <c r="C519" s="1" t="s">
        <v>1210</v>
      </c>
      <c r="D519" s="2">
        <v>46177</v>
      </c>
      <c r="E519">
        <v>4.17113590111617E-2</v>
      </c>
      <c r="F519" s="1" t="s">
        <v>5959</v>
      </c>
      <c r="G519" s="2">
        <v>46177.777324155089</v>
      </c>
      <c r="H519" s="1" t="s">
        <v>1211</v>
      </c>
      <c r="I519" s="2">
        <v>46177.777324189818</v>
      </c>
      <c r="J519" s="1" t="s">
        <v>1211</v>
      </c>
    </row>
    <row r="520" spans="1:10" x14ac:dyDescent="0.35">
      <c r="A520" s="1" t="s">
        <v>956</v>
      </c>
      <c r="B520" s="1" t="s">
        <v>1209</v>
      </c>
      <c r="C520" s="1" t="s">
        <v>1210</v>
      </c>
      <c r="D520" s="2">
        <v>46177</v>
      </c>
      <c r="E520">
        <v>4.07857857798333E-2</v>
      </c>
      <c r="F520" s="1" t="s">
        <v>5960</v>
      </c>
      <c r="G520" s="2">
        <v>46177.777324305556</v>
      </c>
      <c r="H520" s="1" t="s">
        <v>1211</v>
      </c>
      <c r="I520" s="2">
        <v>46177.777324340277</v>
      </c>
      <c r="J520" s="1" t="s">
        <v>1211</v>
      </c>
    </row>
    <row r="521" spans="1:10" x14ac:dyDescent="0.35">
      <c r="A521" s="1" t="s">
        <v>924</v>
      </c>
      <c r="B521" s="1" t="s">
        <v>1209</v>
      </c>
      <c r="C521" s="1" t="s">
        <v>1210</v>
      </c>
      <c r="D521" s="2">
        <v>46177</v>
      </c>
      <c r="E521">
        <v>4.2886459512609401E-2</v>
      </c>
      <c r="F521" s="1" t="s">
        <v>5961</v>
      </c>
      <c r="G521" s="2">
        <v>46177.777324456016</v>
      </c>
      <c r="H521" s="1" t="s">
        <v>1211</v>
      </c>
      <c r="I521" s="2">
        <v>46177.777324340277</v>
      </c>
      <c r="J521" s="1" t="s">
        <v>1211</v>
      </c>
    </row>
    <row r="522" spans="1:10" x14ac:dyDescent="0.35">
      <c r="A522" s="1" t="s">
        <v>926</v>
      </c>
      <c r="B522" s="1" t="s">
        <v>1209</v>
      </c>
      <c r="C522" s="1" t="s">
        <v>1210</v>
      </c>
      <c r="D522" s="2">
        <v>46177</v>
      </c>
      <c r="E522">
        <v>4.1675356185568599E-2</v>
      </c>
      <c r="F522" s="1" t="s">
        <v>5962</v>
      </c>
      <c r="G522" s="2">
        <v>46177.777324768518</v>
      </c>
      <c r="H522" s="1" t="s">
        <v>1211</v>
      </c>
      <c r="I522" s="2">
        <v>46177.777324733797</v>
      </c>
      <c r="J522" s="1" t="s">
        <v>1211</v>
      </c>
    </row>
    <row r="523" spans="1:10" x14ac:dyDescent="0.35">
      <c r="A523" s="1" t="s">
        <v>928</v>
      </c>
      <c r="B523" s="1" t="s">
        <v>1209</v>
      </c>
      <c r="C523" s="1" t="s">
        <v>1210</v>
      </c>
      <c r="D523" s="2">
        <v>46177</v>
      </c>
      <c r="E523">
        <v>3.9877528301816997E-2</v>
      </c>
      <c r="F523" s="1" t="s">
        <v>5963</v>
      </c>
      <c r="G523" s="2">
        <v>46177.777324918985</v>
      </c>
      <c r="H523" s="1" t="s">
        <v>1211</v>
      </c>
      <c r="I523" s="2">
        <v>46177.777324884257</v>
      </c>
      <c r="J523" s="1" t="s">
        <v>1211</v>
      </c>
    </row>
    <row r="524" spans="1:10" x14ac:dyDescent="0.35">
      <c r="A524" s="1" t="s">
        <v>930</v>
      </c>
      <c r="B524" s="1" t="s">
        <v>1209</v>
      </c>
      <c r="C524" s="1" t="s">
        <v>1210</v>
      </c>
      <c r="D524" s="2">
        <v>46177</v>
      </c>
      <c r="E524">
        <v>4.0837747949202398E-2</v>
      </c>
      <c r="F524" s="1" t="s">
        <v>5964</v>
      </c>
      <c r="G524" s="2">
        <v>46177.777325081021</v>
      </c>
      <c r="H524" s="1" t="s">
        <v>1211</v>
      </c>
      <c r="I524" s="2">
        <v>46177.777325081021</v>
      </c>
      <c r="J524" s="1" t="s">
        <v>1211</v>
      </c>
    </row>
    <row r="525" spans="1:10" x14ac:dyDescent="0.35">
      <c r="A525" s="1" t="s">
        <v>1030</v>
      </c>
      <c r="B525" s="1" t="s">
        <v>1209</v>
      </c>
      <c r="C525" s="1" t="s">
        <v>1210</v>
      </c>
      <c r="D525" s="2">
        <v>46177</v>
      </c>
      <c r="E525">
        <v>4.1763507484709902E-2</v>
      </c>
      <c r="F525" s="1" t="s">
        <v>5965</v>
      </c>
      <c r="G525" s="2">
        <v>46177.77732523148</v>
      </c>
      <c r="H525" s="1" t="s">
        <v>1211</v>
      </c>
      <c r="I525" s="2">
        <v>46177.777325266201</v>
      </c>
      <c r="J525" s="1" t="s">
        <v>1211</v>
      </c>
    </row>
    <row r="526" spans="1:10" x14ac:dyDescent="0.35">
      <c r="A526" s="1" t="s">
        <v>940</v>
      </c>
      <c r="B526" s="1" t="s">
        <v>1209</v>
      </c>
      <c r="C526" s="1" t="s">
        <v>1210</v>
      </c>
      <c r="D526" s="2">
        <v>46177</v>
      </c>
      <c r="E526">
        <v>4.0172569444589197E-2</v>
      </c>
      <c r="F526" s="1" t="s">
        <v>5966</v>
      </c>
      <c r="G526" s="2">
        <v>46177.777325347219</v>
      </c>
      <c r="H526" s="1" t="s">
        <v>1211</v>
      </c>
      <c r="I526" s="2">
        <v>46177.777325266201</v>
      </c>
      <c r="J526" s="1" t="s">
        <v>1211</v>
      </c>
    </row>
    <row r="527" spans="1:10" x14ac:dyDescent="0.35">
      <c r="A527" s="1" t="s">
        <v>942</v>
      </c>
      <c r="B527" s="1" t="s">
        <v>1209</v>
      </c>
      <c r="C527" s="1" t="s">
        <v>1210</v>
      </c>
      <c r="D527" s="2">
        <v>46177</v>
      </c>
      <c r="E527">
        <v>4.2967531769879302E-2</v>
      </c>
      <c r="F527" s="1" t="s">
        <v>5967</v>
      </c>
      <c r="G527" s="2">
        <v>46177.777325497686</v>
      </c>
      <c r="H527" s="1" t="s">
        <v>1211</v>
      </c>
      <c r="I527" s="2">
        <v>46177.777325428244</v>
      </c>
      <c r="J527" s="1" t="s">
        <v>1211</v>
      </c>
    </row>
    <row r="528" spans="1:10" x14ac:dyDescent="0.35">
      <c r="A528" s="1" t="s">
        <v>944</v>
      </c>
      <c r="B528" s="1" t="s">
        <v>1209</v>
      </c>
      <c r="C528" s="1" t="s">
        <v>1210</v>
      </c>
      <c r="D528" s="2">
        <v>46177</v>
      </c>
      <c r="E528">
        <v>1.5460900426806401E-2</v>
      </c>
      <c r="F528" s="1" t="s">
        <v>5968</v>
      </c>
      <c r="G528" s="2">
        <v>46177.777325659721</v>
      </c>
      <c r="H528" s="1" t="s">
        <v>1211</v>
      </c>
      <c r="I528" s="2">
        <v>46177.777325613424</v>
      </c>
      <c r="J528" s="1" t="s">
        <v>1211</v>
      </c>
    </row>
    <row r="529" spans="1:10" x14ac:dyDescent="0.35">
      <c r="A529" s="1" t="s">
        <v>932</v>
      </c>
      <c r="B529" s="1" t="s">
        <v>1209</v>
      </c>
      <c r="C529" s="1" t="s">
        <v>1210</v>
      </c>
      <c r="D529" s="2">
        <v>46177</v>
      </c>
      <c r="E529">
        <v>4.46310582670119E-2</v>
      </c>
      <c r="F529" s="1" t="s">
        <v>5969</v>
      </c>
      <c r="G529" s="2">
        <v>46177.777325810188</v>
      </c>
      <c r="H529" s="1" t="s">
        <v>1211</v>
      </c>
      <c r="I529" s="2">
        <v>46177.777325810188</v>
      </c>
      <c r="J529" s="1" t="s">
        <v>1211</v>
      </c>
    </row>
    <row r="530" spans="1:10" x14ac:dyDescent="0.35">
      <c r="A530" s="1" t="s">
        <v>946</v>
      </c>
      <c r="B530" s="1" t="s">
        <v>1209</v>
      </c>
      <c r="C530" s="1" t="s">
        <v>1210</v>
      </c>
      <c r="D530" s="2">
        <v>46177</v>
      </c>
      <c r="E530">
        <v>4.09131105857585E-2</v>
      </c>
      <c r="F530" s="1" t="s">
        <v>5970</v>
      </c>
      <c r="G530" s="2">
        <v>46177.777325960647</v>
      </c>
      <c r="H530" s="1" t="s">
        <v>1211</v>
      </c>
      <c r="I530" s="2">
        <v>46177.777326006944</v>
      </c>
      <c r="J530" s="1" t="s">
        <v>1211</v>
      </c>
    </row>
    <row r="531" spans="1:10" x14ac:dyDescent="0.35">
      <c r="A531" s="1" t="s">
        <v>948</v>
      </c>
      <c r="B531" s="1" t="s">
        <v>1209</v>
      </c>
      <c r="C531" s="1" t="s">
        <v>1210</v>
      </c>
      <c r="D531" s="2">
        <v>46177</v>
      </c>
      <c r="E531">
        <v>4.0184695287274003E-2</v>
      </c>
      <c r="F531" s="1" t="s">
        <v>5971</v>
      </c>
      <c r="G531" s="2">
        <v>46177.777326122683</v>
      </c>
      <c r="H531" s="1" t="s">
        <v>1211</v>
      </c>
      <c r="I531" s="2">
        <v>46177.777326006944</v>
      </c>
      <c r="J531" s="1" t="s">
        <v>1211</v>
      </c>
    </row>
    <row r="532" spans="1:10" x14ac:dyDescent="0.35">
      <c r="A532" s="1" t="s">
        <v>950</v>
      </c>
      <c r="B532" s="1" t="s">
        <v>1209</v>
      </c>
      <c r="C532" s="1" t="s">
        <v>1210</v>
      </c>
      <c r="D532" s="2">
        <v>46177</v>
      </c>
      <c r="E532">
        <v>4.3008691085097799E-2</v>
      </c>
      <c r="F532" s="1" t="s">
        <v>5972</v>
      </c>
      <c r="G532" s="2">
        <v>46177.77732627315</v>
      </c>
      <c r="H532" s="1" t="s">
        <v>1211</v>
      </c>
      <c r="I532" s="2">
        <v>46177.777326157404</v>
      </c>
      <c r="J532" s="1" t="s">
        <v>1211</v>
      </c>
    </row>
    <row r="533" spans="1:10" x14ac:dyDescent="0.35">
      <c r="A533" s="1" t="s">
        <v>934</v>
      </c>
      <c r="B533" s="1" t="s">
        <v>1209</v>
      </c>
      <c r="C533" s="1" t="s">
        <v>1210</v>
      </c>
      <c r="D533" s="2">
        <v>46177</v>
      </c>
      <c r="E533">
        <v>4.1774846541017902E-2</v>
      </c>
      <c r="F533" s="1" t="s">
        <v>5973</v>
      </c>
      <c r="G533" s="2">
        <v>46177.777326423609</v>
      </c>
      <c r="H533" s="1" t="s">
        <v>1211</v>
      </c>
      <c r="I533" s="2">
        <v>46177.777326354168</v>
      </c>
      <c r="J533" s="1" t="s">
        <v>1211</v>
      </c>
    </row>
    <row r="534" spans="1:10" x14ac:dyDescent="0.35">
      <c r="A534" s="1" t="s">
        <v>1032</v>
      </c>
      <c r="B534" s="1" t="s">
        <v>1209</v>
      </c>
      <c r="C534" s="1" t="s">
        <v>1210</v>
      </c>
      <c r="D534" s="2">
        <v>46177</v>
      </c>
      <c r="E534">
        <v>4.0876106643936198E-2</v>
      </c>
      <c r="F534" s="1" t="s">
        <v>5974</v>
      </c>
      <c r="G534" s="2">
        <v>46177.777326585645</v>
      </c>
      <c r="H534" s="1" t="s">
        <v>1211</v>
      </c>
      <c r="I534" s="2">
        <v>46177.777326539355</v>
      </c>
      <c r="J534" s="1" t="s">
        <v>1211</v>
      </c>
    </row>
    <row r="535" spans="1:10" x14ac:dyDescent="0.35">
      <c r="A535" s="1" t="s">
        <v>952</v>
      </c>
      <c r="B535" s="1" t="s">
        <v>1209</v>
      </c>
      <c r="C535" s="1" t="s">
        <v>1210</v>
      </c>
      <c r="D535" s="2">
        <v>46177</v>
      </c>
      <c r="E535">
        <v>4.3073021153831201E-2</v>
      </c>
      <c r="F535" s="1" t="s">
        <v>5975</v>
      </c>
      <c r="G535" s="2">
        <v>46177.777326736112</v>
      </c>
      <c r="H535" s="1" t="s">
        <v>1211</v>
      </c>
      <c r="I535" s="2">
        <v>46177.777326770833</v>
      </c>
      <c r="J535" s="1" t="s">
        <v>1211</v>
      </c>
    </row>
    <row r="536" spans="1:10" x14ac:dyDescent="0.35">
      <c r="A536" s="1" t="s">
        <v>1046</v>
      </c>
      <c r="B536" s="1" t="s">
        <v>1209</v>
      </c>
      <c r="C536" s="1" t="s">
        <v>1210</v>
      </c>
      <c r="D536" s="2">
        <v>46177</v>
      </c>
      <c r="E536">
        <v>4.1800141355830399E-2</v>
      </c>
      <c r="F536" s="1" t="s">
        <v>5976</v>
      </c>
      <c r="G536" s="2">
        <v>46177.777326886571</v>
      </c>
      <c r="H536" s="1" t="s">
        <v>1211</v>
      </c>
      <c r="I536" s="2">
        <v>46177.777326770833</v>
      </c>
      <c r="J536" s="1" t="s">
        <v>1211</v>
      </c>
    </row>
    <row r="537" spans="1:10" x14ac:dyDescent="0.35">
      <c r="A537" s="1" t="s">
        <v>954</v>
      </c>
      <c r="B537" s="1" t="s">
        <v>1209</v>
      </c>
      <c r="C537" s="1" t="s">
        <v>1210</v>
      </c>
      <c r="D537" s="2">
        <v>46177</v>
      </c>
      <c r="E537">
        <v>4.0338833394961103E-2</v>
      </c>
      <c r="F537" s="1" t="s">
        <v>5977</v>
      </c>
      <c r="G537" s="2">
        <v>46177.777327048614</v>
      </c>
      <c r="H537" s="1" t="s">
        <v>1211</v>
      </c>
      <c r="I537" s="2">
        <v>46177.777326932868</v>
      </c>
      <c r="J537" s="1" t="s">
        <v>1211</v>
      </c>
    </row>
    <row r="538" spans="1:10" x14ac:dyDescent="0.35">
      <c r="A538" s="1" t="s">
        <v>1034</v>
      </c>
      <c r="B538" s="1" t="s">
        <v>1209</v>
      </c>
      <c r="C538" s="1" t="s">
        <v>1210</v>
      </c>
      <c r="D538" s="2">
        <v>46177</v>
      </c>
      <c r="E538">
        <v>4.09453823308897E-2</v>
      </c>
      <c r="F538" s="1" t="s">
        <v>5978</v>
      </c>
      <c r="G538" s="2">
        <v>46177.777327199074</v>
      </c>
      <c r="H538" s="1" t="s">
        <v>1211</v>
      </c>
      <c r="I538" s="2">
        <v>46177.777327118056</v>
      </c>
      <c r="J538" s="1" t="s">
        <v>1211</v>
      </c>
    </row>
    <row r="539" spans="1:10" x14ac:dyDescent="0.35">
      <c r="A539" s="1" t="s">
        <v>958</v>
      </c>
      <c r="B539" s="1" t="s">
        <v>1209</v>
      </c>
      <c r="C539" s="1" t="s">
        <v>1210</v>
      </c>
      <c r="D539" s="2">
        <v>46177</v>
      </c>
      <c r="E539">
        <v>2.0935570134047701E-2</v>
      </c>
      <c r="F539" s="1" t="s">
        <v>5979</v>
      </c>
      <c r="G539" s="2">
        <v>46177.77732734954</v>
      </c>
      <c r="H539" s="1" t="s">
        <v>1211</v>
      </c>
      <c r="I539" s="2">
        <v>46177.777327314812</v>
      </c>
      <c r="J539" s="1" t="s">
        <v>1211</v>
      </c>
    </row>
    <row r="540" spans="1:10" x14ac:dyDescent="0.35">
      <c r="A540" s="1" t="s">
        <v>960</v>
      </c>
      <c r="B540" s="1" t="s">
        <v>1209</v>
      </c>
      <c r="C540" s="1" t="s">
        <v>1210</v>
      </c>
      <c r="D540" s="2">
        <v>46177</v>
      </c>
      <c r="E540">
        <v>4.18156918976881E-2</v>
      </c>
      <c r="F540" s="1" t="s">
        <v>5980</v>
      </c>
      <c r="G540" s="2">
        <v>46177.777327511576</v>
      </c>
      <c r="H540" s="1" t="s">
        <v>1211</v>
      </c>
      <c r="I540" s="2">
        <v>46177.777327511576</v>
      </c>
      <c r="J540" s="1" t="s">
        <v>1211</v>
      </c>
    </row>
    <row r="541" spans="1:10" x14ac:dyDescent="0.35">
      <c r="A541" s="1" t="s">
        <v>962</v>
      </c>
      <c r="B541" s="1" t="s">
        <v>1209</v>
      </c>
      <c r="C541" s="1" t="s">
        <v>1210</v>
      </c>
      <c r="D541" s="2">
        <v>46177</v>
      </c>
      <c r="E541">
        <v>4.3120101433250298E-2</v>
      </c>
      <c r="F541" s="1" t="s">
        <v>5981</v>
      </c>
      <c r="G541" s="2">
        <v>46177.777327662036</v>
      </c>
      <c r="H541" s="1" t="s">
        <v>1211</v>
      </c>
      <c r="I541" s="2">
        <v>46177.777327662036</v>
      </c>
      <c r="J541" s="1" t="s">
        <v>1211</v>
      </c>
    </row>
    <row r="542" spans="1:10" x14ac:dyDescent="0.35">
      <c r="A542" s="1" t="s">
        <v>964</v>
      </c>
      <c r="B542" s="1" t="s">
        <v>1209</v>
      </c>
      <c r="C542" s="1" t="s">
        <v>1210</v>
      </c>
      <c r="D542" s="2">
        <v>46177</v>
      </c>
      <c r="E542">
        <v>4.4719409648756703E-2</v>
      </c>
      <c r="F542" s="1" t="s">
        <v>5982</v>
      </c>
      <c r="G542" s="2">
        <v>46177.777327812502</v>
      </c>
      <c r="H542" s="1" t="s">
        <v>1211</v>
      </c>
      <c r="I542" s="2">
        <v>46177.777327858799</v>
      </c>
      <c r="J542" s="1" t="s">
        <v>1211</v>
      </c>
    </row>
    <row r="543" spans="1:10" x14ac:dyDescent="0.35">
      <c r="A543" s="1" t="s">
        <v>976</v>
      </c>
      <c r="B543" s="1" t="s">
        <v>1209</v>
      </c>
      <c r="C543" s="1" t="s">
        <v>1210</v>
      </c>
      <c r="D543" s="2">
        <v>46177</v>
      </c>
      <c r="E543">
        <v>4.0978324422251203E-2</v>
      </c>
      <c r="F543" s="1" t="s">
        <v>5983</v>
      </c>
      <c r="G543" s="2">
        <v>46177.777327974538</v>
      </c>
      <c r="H543" s="1" t="s">
        <v>1211</v>
      </c>
      <c r="I543" s="2">
        <v>46177.777327858799</v>
      </c>
      <c r="J543" s="1" t="s">
        <v>1211</v>
      </c>
    </row>
    <row r="544" spans="1:10" x14ac:dyDescent="0.35">
      <c r="A544" s="1" t="s">
        <v>966</v>
      </c>
      <c r="B544" s="1" t="s">
        <v>1209</v>
      </c>
      <c r="C544" s="1" t="s">
        <v>1210</v>
      </c>
      <c r="D544" s="2">
        <v>46177</v>
      </c>
      <c r="E544">
        <v>4.0309889399676398E-2</v>
      </c>
      <c r="F544" s="1" t="s">
        <v>5984</v>
      </c>
      <c r="G544" s="2">
        <v>46177.777328159726</v>
      </c>
      <c r="H544" s="1" t="s">
        <v>1211</v>
      </c>
      <c r="I544" s="2">
        <v>46177.777328009259</v>
      </c>
      <c r="J544" s="1" t="s">
        <v>1211</v>
      </c>
    </row>
    <row r="545" spans="1:10" x14ac:dyDescent="0.35">
      <c r="A545" s="1" t="s">
        <v>1036</v>
      </c>
      <c r="B545" s="1" t="s">
        <v>1209</v>
      </c>
      <c r="C545" s="1" t="s">
        <v>1210</v>
      </c>
      <c r="D545" s="2">
        <v>46177</v>
      </c>
      <c r="E545">
        <v>4.3135977689738897E-2</v>
      </c>
      <c r="F545" s="1" t="s">
        <v>5985</v>
      </c>
      <c r="G545" s="2">
        <v>46177.777328321761</v>
      </c>
      <c r="H545" s="1" t="s">
        <v>1211</v>
      </c>
      <c r="I545" s="2">
        <v>46177.777328206015</v>
      </c>
      <c r="J545" s="1" t="s">
        <v>1211</v>
      </c>
    </row>
    <row r="546" spans="1:10" x14ac:dyDescent="0.35">
      <c r="A546" s="1" t="s">
        <v>968</v>
      </c>
      <c r="B546" s="1" t="s">
        <v>1209</v>
      </c>
      <c r="C546" s="1" t="s">
        <v>1210</v>
      </c>
      <c r="D546" s="2">
        <v>46177</v>
      </c>
      <c r="E546">
        <v>4.1779455793870102E-2</v>
      </c>
      <c r="F546" s="1" t="s">
        <v>5986</v>
      </c>
      <c r="G546" s="2">
        <v>46177.777328472221</v>
      </c>
      <c r="H546" s="1" t="s">
        <v>1211</v>
      </c>
      <c r="I546" s="2">
        <v>46177.777328391203</v>
      </c>
      <c r="J546" s="1" t="s">
        <v>1211</v>
      </c>
    </row>
    <row r="547" spans="1:10" x14ac:dyDescent="0.35">
      <c r="A547" s="1" t="s">
        <v>1038</v>
      </c>
      <c r="B547" s="1" t="s">
        <v>1209</v>
      </c>
      <c r="C547" s="1" t="s">
        <v>1210</v>
      </c>
      <c r="D547" s="2">
        <v>46177</v>
      </c>
      <c r="E547">
        <v>4.0962773083141203E-2</v>
      </c>
      <c r="F547" s="1" t="s">
        <v>5987</v>
      </c>
      <c r="G547" s="2">
        <v>46177.777328622687</v>
      </c>
      <c r="H547" s="1" t="s">
        <v>1211</v>
      </c>
      <c r="I547" s="2">
        <v>46177.777328553238</v>
      </c>
      <c r="J547" s="1" t="s">
        <v>1211</v>
      </c>
    </row>
    <row r="548" spans="1:10" x14ac:dyDescent="0.35">
      <c r="A548" s="1" t="s">
        <v>970</v>
      </c>
      <c r="B548" s="1" t="s">
        <v>1209</v>
      </c>
      <c r="C548" s="1" t="s">
        <v>1210</v>
      </c>
      <c r="D548" s="2">
        <v>46177</v>
      </c>
      <c r="E548">
        <v>4.3171776487428003E-2</v>
      </c>
      <c r="F548" s="1" t="s">
        <v>5988</v>
      </c>
      <c r="G548" s="2">
        <v>46177.777328784723</v>
      </c>
      <c r="H548" s="1" t="s">
        <v>1211</v>
      </c>
      <c r="I548" s="2">
        <v>46177.777328738426</v>
      </c>
      <c r="J548" s="1" t="s">
        <v>1211</v>
      </c>
    </row>
    <row r="549" spans="1:10" x14ac:dyDescent="0.35">
      <c r="A549" s="1" t="s">
        <v>978</v>
      </c>
      <c r="B549" s="1" t="s">
        <v>1209</v>
      </c>
      <c r="C549" s="1" t="s">
        <v>1210</v>
      </c>
      <c r="D549" s="2">
        <v>46177</v>
      </c>
      <c r="E549">
        <v>4.1865145731234503E-2</v>
      </c>
      <c r="F549" s="1" t="s">
        <v>5989</v>
      </c>
      <c r="G549" s="2">
        <v>46177.777328935183</v>
      </c>
      <c r="H549" s="1" t="s">
        <v>1211</v>
      </c>
      <c r="I549" s="2">
        <v>46177.777328935183</v>
      </c>
      <c r="J549" s="1" t="s">
        <v>1211</v>
      </c>
    </row>
    <row r="550" spans="1:10" x14ac:dyDescent="0.35">
      <c r="A550" s="1" t="s">
        <v>972</v>
      </c>
      <c r="B550" s="1" t="s">
        <v>1209</v>
      </c>
      <c r="C550" s="1" t="s">
        <v>1210</v>
      </c>
      <c r="D550" s="2">
        <v>46177</v>
      </c>
      <c r="E550">
        <v>4.0477973962734101E-2</v>
      </c>
      <c r="F550" s="1" t="s">
        <v>5990</v>
      </c>
      <c r="G550" s="2">
        <v>46177.777329085649</v>
      </c>
      <c r="H550" s="1" t="s">
        <v>1211</v>
      </c>
      <c r="I550" s="2">
        <v>46177.777329131946</v>
      </c>
      <c r="J550" s="1" t="s">
        <v>1211</v>
      </c>
    </row>
    <row r="551" spans="1:10" x14ac:dyDescent="0.35">
      <c r="A551" s="1" t="s">
        <v>980</v>
      </c>
      <c r="B551" s="1" t="s">
        <v>1209</v>
      </c>
      <c r="C551" s="1" t="s">
        <v>1210</v>
      </c>
      <c r="D551" s="2">
        <v>46177</v>
      </c>
      <c r="E551">
        <v>4.0999922582359301E-2</v>
      </c>
      <c r="F551" s="1" t="s">
        <v>5991</v>
      </c>
      <c r="G551" s="2">
        <v>46177.777329247685</v>
      </c>
      <c r="H551" s="1" t="s">
        <v>1211</v>
      </c>
      <c r="I551" s="2">
        <v>46177.777329282406</v>
      </c>
      <c r="J551" s="1" t="s">
        <v>1211</v>
      </c>
    </row>
    <row r="552" spans="1:10" x14ac:dyDescent="0.35">
      <c r="A552" s="1" t="s">
        <v>982</v>
      </c>
      <c r="B552" s="1" t="s">
        <v>1209</v>
      </c>
      <c r="C552" s="1" t="s">
        <v>1210</v>
      </c>
      <c r="D552" s="2">
        <v>46177</v>
      </c>
      <c r="E552">
        <v>4.1856654731664202E-2</v>
      </c>
      <c r="F552" s="1" t="s">
        <v>5992</v>
      </c>
      <c r="G552" s="2">
        <v>46177.777329398152</v>
      </c>
      <c r="H552" s="1" t="s">
        <v>1211</v>
      </c>
      <c r="I552" s="2">
        <v>46177.777329282406</v>
      </c>
      <c r="J552" s="1" t="s">
        <v>1211</v>
      </c>
    </row>
    <row r="553" spans="1:10" x14ac:dyDescent="0.35">
      <c r="A553" s="1" t="s">
        <v>1048</v>
      </c>
      <c r="B553" s="1" t="s">
        <v>1209</v>
      </c>
      <c r="C553" s="1" t="s">
        <v>1210</v>
      </c>
      <c r="D553" s="2">
        <v>46177</v>
      </c>
      <c r="E553">
        <v>4.0521493439465997E-2</v>
      </c>
      <c r="F553" s="1" t="s">
        <v>5993</v>
      </c>
      <c r="G553" s="2">
        <v>46177.777329594908</v>
      </c>
      <c r="H553" s="1" t="s">
        <v>1211</v>
      </c>
      <c r="I553" s="2">
        <v>46177.777329594908</v>
      </c>
      <c r="J553" s="1" t="s">
        <v>1211</v>
      </c>
    </row>
    <row r="554" spans="1:10" x14ac:dyDescent="0.35">
      <c r="A554" s="1" t="s">
        <v>974</v>
      </c>
      <c r="B554" s="1" t="s">
        <v>1209</v>
      </c>
      <c r="C554" s="1" t="s">
        <v>1210</v>
      </c>
      <c r="D554" s="2">
        <v>46177</v>
      </c>
      <c r="E554">
        <v>4.3265889851545801E-2</v>
      </c>
      <c r="F554" s="1" t="s">
        <v>5994</v>
      </c>
      <c r="G554" s="2">
        <v>46177.777329745368</v>
      </c>
      <c r="H554" s="1" t="s">
        <v>1211</v>
      </c>
      <c r="I554" s="2">
        <v>46177.777329594908</v>
      </c>
      <c r="J554" s="1" t="s">
        <v>1211</v>
      </c>
    </row>
    <row r="555" spans="1:10" x14ac:dyDescent="0.35">
      <c r="A555" s="1" t="s">
        <v>1064</v>
      </c>
      <c r="B555" s="1" t="s">
        <v>1209</v>
      </c>
      <c r="C555" s="1" t="s">
        <v>1210</v>
      </c>
      <c r="D555" s="2">
        <v>46177</v>
      </c>
      <c r="E555">
        <v>1.68435835163043E-2</v>
      </c>
      <c r="F555" s="1" t="s">
        <v>5995</v>
      </c>
      <c r="G555" s="2">
        <v>46177.777329895835</v>
      </c>
      <c r="H555" s="1" t="s">
        <v>1211</v>
      </c>
      <c r="I555" s="2">
        <v>46177.777329780096</v>
      </c>
      <c r="J555" s="1" t="s">
        <v>1211</v>
      </c>
    </row>
    <row r="556" spans="1:10" x14ac:dyDescent="0.35">
      <c r="A556" s="1" t="s">
        <v>2940</v>
      </c>
      <c r="B556" s="1" t="s">
        <v>1209</v>
      </c>
      <c r="C556" s="1" t="s">
        <v>1210</v>
      </c>
      <c r="D556" s="2">
        <v>46177</v>
      </c>
      <c r="E556">
        <v>4.4758510707736898E-2</v>
      </c>
      <c r="F556" s="1" t="s">
        <v>5996</v>
      </c>
      <c r="G556" s="2">
        <v>46177.77733005787</v>
      </c>
      <c r="H556" s="1" t="s">
        <v>1211</v>
      </c>
      <c r="I556" s="2">
        <v>46177.777329976852</v>
      </c>
      <c r="J556" s="1" t="s">
        <v>1211</v>
      </c>
    </row>
    <row r="557" spans="1:10" x14ac:dyDescent="0.35">
      <c r="A557" s="1" t="s">
        <v>2941</v>
      </c>
      <c r="B557" s="1" t="s">
        <v>1209</v>
      </c>
      <c r="C557" s="1" t="s">
        <v>1210</v>
      </c>
      <c r="D557" s="2">
        <v>46177</v>
      </c>
      <c r="E557">
        <v>4.1004671627679401E-2</v>
      </c>
      <c r="F557" s="1" t="s">
        <v>5997</v>
      </c>
      <c r="G557" s="2">
        <v>46177.777330208337</v>
      </c>
      <c r="H557" s="1" t="s">
        <v>1211</v>
      </c>
      <c r="I557" s="2">
        <v>46177.777330173609</v>
      </c>
      <c r="J557" s="1" t="s">
        <v>1211</v>
      </c>
    </row>
    <row r="558" spans="1:10" x14ac:dyDescent="0.35">
      <c r="A558" s="1" t="s">
        <v>3597</v>
      </c>
      <c r="B558" s="1" t="s">
        <v>1209</v>
      </c>
      <c r="C558" s="1" t="s">
        <v>1210</v>
      </c>
      <c r="D558" s="2">
        <v>46177</v>
      </c>
      <c r="E558">
        <v>4.0482821646692903E-2</v>
      </c>
      <c r="F558" s="1" t="s">
        <v>5998</v>
      </c>
      <c r="G558" s="2">
        <v>46177.777330358796</v>
      </c>
      <c r="H558" s="1" t="s">
        <v>1211</v>
      </c>
      <c r="I558" s="2">
        <v>46177.777330324076</v>
      </c>
      <c r="J558" s="1" t="s">
        <v>1211</v>
      </c>
    </row>
    <row r="559" spans="1:10" x14ac:dyDescent="0.35">
      <c r="A559" s="1" t="s">
        <v>3599</v>
      </c>
      <c r="B559" s="1" t="s">
        <v>1209</v>
      </c>
      <c r="C559" s="1" t="s">
        <v>1210</v>
      </c>
      <c r="D559" s="2">
        <v>46177</v>
      </c>
      <c r="E559">
        <v>4.3277118203363302E-2</v>
      </c>
      <c r="F559" s="1" t="s">
        <v>5999</v>
      </c>
      <c r="G559" s="2">
        <v>46177.777330520832</v>
      </c>
      <c r="H559" s="1" t="s">
        <v>1211</v>
      </c>
      <c r="I559" s="2">
        <v>46177.777330520832</v>
      </c>
      <c r="J559" s="1" t="s">
        <v>1211</v>
      </c>
    </row>
    <row r="560" spans="1:10" x14ac:dyDescent="0.35">
      <c r="A560" s="1" t="s">
        <v>3601</v>
      </c>
      <c r="B560" s="1" t="s">
        <v>1209</v>
      </c>
      <c r="C560" s="1" t="s">
        <v>1210</v>
      </c>
      <c r="D560" s="2">
        <v>46177</v>
      </c>
      <c r="E560">
        <v>4.1870800977739299E-2</v>
      </c>
      <c r="F560" s="1" t="s">
        <v>6000</v>
      </c>
      <c r="G560" s="2">
        <v>46177.777330671299</v>
      </c>
      <c r="H560" s="1" t="s">
        <v>1211</v>
      </c>
      <c r="I560" s="2">
        <v>46177.777330520832</v>
      </c>
      <c r="J560" s="1" t="s">
        <v>1211</v>
      </c>
    </row>
    <row r="561" spans="1:10" x14ac:dyDescent="0.35">
      <c r="A561" s="1" t="s">
        <v>6001</v>
      </c>
      <c r="B561" s="1" t="s">
        <v>1209</v>
      </c>
      <c r="C561" s="1" t="s">
        <v>1210</v>
      </c>
      <c r="D561" s="2">
        <v>46177</v>
      </c>
      <c r="E561">
        <v>4.1064999999999997E-2</v>
      </c>
      <c r="F561" s="1"/>
      <c r="G561" s="2">
        <v>46177.669425196756</v>
      </c>
      <c r="H561" s="1" t="s">
        <v>1212</v>
      </c>
      <c r="I561" s="2">
        <v>46177.669425231485</v>
      </c>
      <c r="J561" s="1" t="s">
        <v>1212</v>
      </c>
    </row>
    <row r="562" spans="1:10" x14ac:dyDescent="0.35">
      <c r="A562" s="1" t="s">
        <v>984</v>
      </c>
      <c r="B562" s="1" t="s">
        <v>1209</v>
      </c>
      <c r="C562" s="1" t="s">
        <v>1210</v>
      </c>
      <c r="D562" s="2">
        <v>46177</v>
      </c>
      <c r="E562">
        <v>4.2479414810025803E-2</v>
      </c>
      <c r="F562" s="1" t="s">
        <v>6002</v>
      </c>
      <c r="G562" s="2">
        <v>46177.777330821758</v>
      </c>
      <c r="H562" s="1" t="s">
        <v>1211</v>
      </c>
      <c r="I562" s="2">
        <v>46177.77733070602</v>
      </c>
      <c r="J562" s="1" t="s">
        <v>1211</v>
      </c>
    </row>
    <row r="563" spans="1:10" x14ac:dyDescent="0.35">
      <c r="A563" s="1" t="s">
        <v>1104</v>
      </c>
      <c r="B563" s="1" t="s">
        <v>1209</v>
      </c>
      <c r="C563" s="1" t="s">
        <v>1210</v>
      </c>
      <c r="D563" s="2">
        <v>46177</v>
      </c>
      <c r="E563">
        <v>4.2824375588839801E-2</v>
      </c>
      <c r="F563" s="1" t="s">
        <v>6003</v>
      </c>
      <c r="G563" s="2">
        <v>46177.777330983794</v>
      </c>
      <c r="H563" s="1" t="s">
        <v>1211</v>
      </c>
      <c r="I563" s="2">
        <v>46177.777330868055</v>
      </c>
      <c r="J563" s="1" t="s">
        <v>1211</v>
      </c>
    </row>
    <row r="564" spans="1:10" x14ac:dyDescent="0.35">
      <c r="A564" s="1" t="s">
        <v>1050</v>
      </c>
      <c r="B564" s="1" t="s">
        <v>1209</v>
      </c>
      <c r="C564" s="1" t="s">
        <v>1210</v>
      </c>
      <c r="D564" s="2">
        <v>46177</v>
      </c>
      <c r="E564">
        <v>4.3039307113585501E-2</v>
      </c>
      <c r="F564" s="1" t="s">
        <v>6004</v>
      </c>
      <c r="G564" s="2">
        <v>46177.777331134261</v>
      </c>
      <c r="H564" s="1" t="s">
        <v>1211</v>
      </c>
      <c r="I564" s="2">
        <v>46177.777331053243</v>
      </c>
      <c r="J564" s="1" t="s">
        <v>1211</v>
      </c>
    </row>
    <row r="565" spans="1:10" x14ac:dyDescent="0.35">
      <c r="A565" s="1" t="s">
        <v>1076</v>
      </c>
      <c r="B565" s="1" t="s">
        <v>1209</v>
      </c>
      <c r="C565" s="1" t="s">
        <v>1210</v>
      </c>
      <c r="D565" s="2">
        <v>46177</v>
      </c>
      <c r="E565">
        <v>4.3454653597463297E-2</v>
      </c>
      <c r="F565" s="1" t="s">
        <v>6005</v>
      </c>
      <c r="G565" s="2">
        <v>46177.777331249999</v>
      </c>
      <c r="H565" s="1" t="s">
        <v>1211</v>
      </c>
      <c r="I565" s="2">
        <v>46177.777331249999</v>
      </c>
      <c r="J565" s="1" t="s">
        <v>1211</v>
      </c>
    </row>
    <row r="566" spans="1:10" x14ac:dyDescent="0.35">
      <c r="A566" s="1" t="s">
        <v>1052</v>
      </c>
      <c r="B566" s="1" t="s">
        <v>1209</v>
      </c>
      <c r="C566" s="1" t="s">
        <v>1210</v>
      </c>
      <c r="D566" s="2">
        <v>46177</v>
      </c>
      <c r="E566">
        <v>4.3864237410897802E-2</v>
      </c>
      <c r="F566" s="1" t="s">
        <v>6006</v>
      </c>
      <c r="G566" s="2">
        <v>46177.777331446756</v>
      </c>
      <c r="H566" s="1" t="s">
        <v>1211</v>
      </c>
      <c r="I566" s="2">
        <v>46177.777331446756</v>
      </c>
      <c r="J566" s="1" t="s">
        <v>1211</v>
      </c>
    </row>
    <row r="567" spans="1:10" x14ac:dyDescent="0.35">
      <c r="A567" s="1" t="s">
        <v>1054</v>
      </c>
      <c r="B567" s="1" t="s">
        <v>1209</v>
      </c>
      <c r="C567" s="1" t="s">
        <v>1210</v>
      </c>
      <c r="D567" s="2">
        <v>46177</v>
      </c>
      <c r="E567">
        <v>4.4279252609471603E-2</v>
      </c>
      <c r="F567" s="1" t="s">
        <v>6007</v>
      </c>
      <c r="G567" s="2">
        <v>46177.777331597223</v>
      </c>
      <c r="H567" s="1" t="s">
        <v>1211</v>
      </c>
      <c r="I567" s="2">
        <v>46177.777331446756</v>
      </c>
      <c r="J567" s="1" t="s">
        <v>1211</v>
      </c>
    </row>
    <row r="568" spans="1:10" x14ac:dyDescent="0.35">
      <c r="A568" s="1" t="s">
        <v>1002</v>
      </c>
      <c r="B568" s="1" t="s">
        <v>1209</v>
      </c>
      <c r="C568" s="1" t="s">
        <v>1210</v>
      </c>
      <c r="D568" s="2">
        <v>46177</v>
      </c>
      <c r="E568">
        <v>4.4589941499123799E-2</v>
      </c>
      <c r="F568" s="1" t="s">
        <v>6008</v>
      </c>
      <c r="G568" s="2">
        <v>46177.777331712961</v>
      </c>
      <c r="H568" s="1" t="s">
        <v>1211</v>
      </c>
      <c r="I568" s="2">
        <v>46177.777331597223</v>
      </c>
      <c r="J568" s="1" t="s">
        <v>1211</v>
      </c>
    </row>
    <row r="569" spans="1:10" x14ac:dyDescent="0.35">
      <c r="A569" s="1" t="s">
        <v>1066</v>
      </c>
      <c r="B569" s="1" t="s">
        <v>1209</v>
      </c>
      <c r="C569" s="1" t="s">
        <v>1210</v>
      </c>
      <c r="D569" s="2">
        <v>46177</v>
      </c>
      <c r="E569">
        <v>4.4985095218913897E-2</v>
      </c>
      <c r="F569" s="1" t="s">
        <v>6009</v>
      </c>
      <c r="G569" s="2">
        <v>46177.777331863428</v>
      </c>
      <c r="H569" s="1" t="s">
        <v>1211</v>
      </c>
      <c r="I569" s="2">
        <v>46177.777331793979</v>
      </c>
      <c r="J569" s="1" t="s">
        <v>1211</v>
      </c>
    </row>
    <row r="570" spans="1:10" x14ac:dyDescent="0.35">
      <c r="A570" s="1" t="s">
        <v>1068</v>
      </c>
      <c r="B570" s="1" t="s">
        <v>1209</v>
      </c>
      <c r="C570" s="1" t="s">
        <v>1210</v>
      </c>
      <c r="D570" s="2">
        <v>46177</v>
      </c>
      <c r="E570">
        <v>4.53144363306138E-2</v>
      </c>
      <c r="F570" s="1" t="s">
        <v>6010</v>
      </c>
      <c r="G570" s="2">
        <v>46177.777332060185</v>
      </c>
      <c r="H570" s="1" t="s">
        <v>1211</v>
      </c>
      <c r="I570" s="2">
        <v>46177.777331979167</v>
      </c>
      <c r="J570" s="1" t="s">
        <v>1211</v>
      </c>
    </row>
    <row r="571" spans="1:10" x14ac:dyDescent="0.35">
      <c r="A571" s="1" t="s">
        <v>1078</v>
      </c>
      <c r="B571" s="1" t="s">
        <v>1209</v>
      </c>
      <c r="C571" s="1" t="s">
        <v>1210</v>
      </c>
      <c r="D571" s="2">
        <v>46177</v>
      </c>
      <c r="E571">
        <v>4.5690051550512298E-2</v>
      </c>
      <c r="F571" s="1" t="s">
        <v>6011</v>
      </c>
      <c r="G571" s="2">
        <v>46177.777332175923</v>
      </c>
      <c r="H571" s="1" t="s">
        <v>1211</v>
      </c>
      <c r="I571" s="2">
        <v>46177.777332141202</v>
      </c>
      <c r="J571" s="1" t="s">
        <v>1211</v>
      </c>
    </row>
    <row r="572" spans="1:10" x14ac:dyDescent="0.35">
      <c r="A572" s="1" t="s">
        <v>986</v>
      </c>
      <c r="B572" s="1" t="s">
        <v>1209</v>
      </c>
      <c r="C572" s="1" t="s">
        <v>1210</v>
      </c>
      <c r="D572" s="2">
        <v>46177</v>
      </c>
      <c r="E572">
        <v>4.6629965552879599E-2</v>
      </c>
      <c r="F572" s="1" t="s">
        <v>6012</v>
      </c>
      <c r="G572" s="2">
        <v>46177.77733232639</v>
      </c>
      <c r="H572" s="1" t="s">
        <v>1211</v>
      </c>
      <c r="I572" s="2">
        <v>46177.77733232639</v>
      </c>
      <c r="J572" s="1" t="s">
        <v>1211</v>
      </c>
    </row>
    <row r="573" spans="1:10" x14ac:dyDescent="0.35">
      <c r="A573" s="1" t="s">
        <v>988</v>
      </c>
      <c r="B573" s="1" t="s">
        <v>1209</v>
      </c>
      <c r="C573" s="1" t="s">
        <v>1210</v>
      </c>
      <c r="D573" s="2">
        <v>46177</v>
      </c>
      <c r="E573">
        <v>4.2654548218360303E-2</v>
      </c>
      <c r="F573" s="1" t="s">
        <v>6013</v>
      </c>
      <c r="G573" s="2">
        <v>46177.777332488426</v>
      </c>
      <c r="H573" s="1" t="s">
        <v>1211</v>
      </c>
      <c r="I573" s="2">
        <v>46177.777332523146</v>
      </c>
      <c r="J573" s="1" t="s">
        <v>1211</v>
      </c>
    </row>
    <row r="574" spans="1:10" x14ac:dyDescent="0.35">
      <c r="A574" s="1" t="s">
        <v>1004</v>
      </c>
      <c r="B574" s="1" t="s">
        <v>1209</v>
      </c>
      <c r="C574" s="1" t="s">
        <v>1210</v>
      </c>
      <c r="D574" s="2">
        <v>46177</v>
      </c>
      <c r="E574">
        <v>4.2867027357481199E-2</v>
      </c>
      <c r="F574" s="1" t="s">
        <v>6014</v>
      </c>
      <c r="G574" s="2">
        <v>46177.777332638892</v>
      </c>
      <c r="H574" s="1" t="s">
        <v>1211</v>
      </c>
      <c r="I574" s="2">
        <v>46177.777332523146</v>
      </c>
      <c r="J574" s="1" t="s">
        <v>1211</v>
      </c>
    </row>
    <row r="575" spans="1:10" x14ac:dyDescent="0.35">
      <c r="A575" s="1" t="s">
        <v>1056</v>
      </c>
      <c r="B575" s="1" t="s">
        <v>1209</v>
      </c>
      <c r="C575" s="1" t="s">
        <v>1210</v>
      </c>
      <c r="D575" s="2">
        <v>46177</v>
      </c>
      <c r="E575">
        <v>4.3178359929692801E-2</v>
      </c>
      <c r="F575" s="1" t="s">
        <v>6015</v>
      </c>
      <c r="G575" s="2">
        <v>46177.777332789352</v>
      </c>
      <c r="H575" s="1" t="s">
        <v>1211</v>
      </c>
      <c r="I575" s="2">
        <v>46177.777332673613</v>
      </c>
      <c r="J575" s="1" t="s">
        <v>1211</v>
      </c>
    </row>
    <row r="576" spans="1:10" x14ac:dyDescent="0.35">
      <c r="A576" s="1" t="s">
        <v>1058</v>
      </c>
      <c r="B576" s="1" t="s">
        <v>1209</v>
      </c>
      <c r="C576" s="1" t="s">
        <v>1210</v>
      </c>
      <c r="D576" s="2">
        <v>46177</v>
      </c>
      <c r="E576">
        <v>4.3701094695585099E-2</v>
      </c>
      <c r="F576" s="1" t="s">
        <v>6016</v>
      </c>
      <c r="G576" s="2">
        <v>46177.777332951388</v>
      </c>
      <c r="H576" s="1" t="s">
        <v>1211</v>
      </c>
      <c r="I576" s="2">
        <v>46177.77733287037</v>
      </c>
      <c r="J576" s="1" t="s">
        <v>1211</v>
      </c>
    </row>
    <row r="577" spans="1:10" x14ac:dyDescent="0.35">
      <c r="A577" s="1" t="s">
        <v>1060</v>
      </c>
      <c r="B577" s="1" t="s">
        <v>1209</v>
      </c>
      <c r="C577" s="1" t="s">
        <v>1210</v>
      </c>
      <c r="D577" s="2">
        <v>46177</v>
      </c>
      <c r="E577">
        <v>4.4080475413548599E-2</v>
      </c>
      <c r="F577" s="1" t="s">
        <v>6017</v>
      </c>
      <c r="G577" s="2">
        <v>46177.777333136575</v>
      </c>
      <c r="H577" s="1" t="s">
        <v>1211</v>
      </c>
      <c r="I577" s="2">
        <v>46177.777333067126</v>
      </c>
      <c r="J577" s="1" t="s">
        <v>1211</v>
      </c>
    </row>
    <row r="578" spans="1:10" x14ac:dyDescent="0.35">
      <c r="A578" s="1" t="s">
        <v>990</v>
      </c>
      <c r="B578" s="1" t="s">
        <v>1209</v>
      </c>
      <c r="C578" s="1" t="s">
        <v>1210</v>
      </c>
      <c r="D578" s="2">
        <v>46177</v>
      </c>
      <c r="E578">
        <v>4.4440575794527502E-2</v>
      </c>
      <c r="F578" s="1" t="s">
        <v>6018</v>
      </c>
      <c r="G578" s="2">
        <v>46177.777333298611</v>
      </c>
      <c r="H578" s="1" t="s">
        <v>1211</v>
      </c>
      <c r="I578" s="2">
        <v>46177.777333217593</v>
      </c>
      <c r="J578" s="1" t="s">
        <v>1211</v>
      </c>
    </row>
    <row r="579" spans="1:10" x14ac:dyDescent="0.35">
      <c r="A579" s="1" t="s">
        <v>1080</v>
      </c>
      <c r="B579" s="1" t="s">
        <v>1209</v>
      </c>
      <c r="C579" s="1" t="s">
        <v>1210</v>
      </c>
      <c r="D579" s="2">
        <v>46177</v>
      </c>
      <c r="E579">
        <v>4.4797664515337503E-2</v>
      </c>
      <c r="F579" s="1" t="s">
        <v>6019</v>
      </c>
      <c r="G579" s="2">
        <v>46177.777333449078</v>
      </c>
      <c r="H579" s="1" t="s">
        <v>1211</v>
      </c>
      <c r="I579" s="2">
        <v>46177.777333414349</v>
      </c>
      <c r="J579" s="1" t="s">
        <v>1211</v>
      </c>
    </row>
    <row r="580" spans="1:10" x14ac:dyDescent="0.35">
      <c r="A580" s="1" t="s">
        <v>1070</v>
      </c>
      <c r="B580" s="1" t="s">
        <v>1209</v>
      </c>
      <c r="C580" s="1" t="s">
        <v>1210</v>
      </c>
      <c r="D580" s="2">
        <v>46177</v>
      </c>
      <c r="E580">
        <v>4.5174537316687302E-2</v>
      </c>
      <c r="F580" s="1" t="s">
        <v>6020</v>
      </c>
      <c r="G580" s="2">
        <v>46177.777333564816</v>
      </c>
      <c r="H580" s="1" t="s">
        <v>1211</v>
      </c>
      <c r="I580" s="2">
        <v>46177.777333599537</v>
      </c>
      <c r="J580" s="1" t="s">
        <v>1211</v>
      </c>
    </row>
    <row r="581" spans="1:10" x14ac:dyDescent="0.35">
      <c r="A581" s="1" t="s">
        <v>992</v>
      </c>
      <c r="B581" s="1" t="s">
        <v>1209</v>
      </c>
      <c r="C581" s="1" t="s">
        <v>1210</v>
      </c>
      <c r="D581" s="2">
        <v>46177</v>
      </c>
      <c r="E581">
        <v>4.55490178023083E-2</v>
      </c>
      <c r="F581" s="1" t="s">
        <v>6021</v>
      </c>
      <c r="G581" s="2">
        <v>46177.777333715276</v>
      </c>
      <c r="H581" s="1" t="s">
        <v>1211</v>
      </c>
      <c r="I581" s="2">
        <v>46177.777333599537</v>
      </c>
      <c r="J581" s="1" t="s">
        <v>1211</v>
      </c>
    </row>
    <row r="582" spans="1:10" x14ac:dyDescent="0.35">
      <c r="A582" s="1" t="s">
        <v>994</v>
      </c>
      <c r="B582" s="1" t="s">
        <v>1209</v>
      </c>
      <c r="C582" s="1" t="s">
        <v>1210</v>
      </c>
      <c r="D582" s="2">
        <v>46177</v>
      </c>
      <c r="E582">
        <v>4.5947845053256199E-2</v>
      </c>
      <c r="F582" s="1" t="s">
        <v>6022</v>
      </c>
      <c r="G582" s="2">
        <v>46177.777333912039</v>
      </c>
      <c r="H582" s="1" t="s">
        <v>1211</v>
      </c>
      <c r="I582" s="2">
        <v>46177.777333761573</v>
      </c>
      <c r="J582" s="1" t="s">
        <v>1211</v>
      </c>
    </row>
    <row r="583" spans="1:10" x14ac:dyDescent="0.35">
      <c r="A583" s="1" t="s">
        <v>1124</v>
      </c>
      <c r="B583" s="1" t="s">
        <v>1209</v>
      </c>
      <c r="C583" s="1" t="s">
        <v>1210</v>
      </c>
      <c r="D583" s="2">
        <v>46177</v>
      </c>
      <c r="E583">
        <v>4.6400192844394603E-2</v>
      </c>
      <c r="F583" s="1" t="s">
        <v>6023</v>
      </c>
      <c r="G583" s="2">
        <v>46177.777334027778</v>
      </c>
      <c r="H583" s="1" t="s">
        <v>1211</v>
      </c>
      <c r="I583" s="2">
        <v>46177.77733394676</v>
      </c>
      <c r="J583" s="1" t="s">
        <v>1211</v>
      </c>
    </row>
    <row r="584" spans="1:10" x14ac:dyDescent="0.35">
      <c r="A584" s="1" t="s">
        <v>1006</v>
      </c>
      <c r="B584" s="1" t="s">
        <v>1209</v>
      </c>
      <c r="C584" s="1" t="s">
        <v>1210</v>
      </c>
      <c r="D584" s="2">
        <v>46177</v>
      </c>
      <c r="E584">
        <v>4.68489694447402E-2</v>
      </c>
      <c r="F584" s="1" t="s">
        <v>6024</v>
      </c>
      <c r="G584" s="2">
        <v>46177.777334178238</v>
      </c>
      <c r="H584" s="1" t="s">
        <v>1211</v>
      </c>
      <c r="I584" s="2">
        <v>46177.777334143517</v>
      </c>
      <c r="J584" s="1" t="s">
        <v>1211</v>
      </c>
    </row>
    <row r="585" spans="1:10" x14ac:dyDescent="0.35">
      <c r="A585" s="1" t="s">
        <v>1106</v>
      </c>
      <c r="B585" s="1" t="s">
        <v>1209</v>
      </c>
      <c r="C585" s="1" t="s">
        <v>1210</v>
      </c>
      <c r="D585" s="2">
        <v>46177</v>
      </c>
      <c r="E585">
        <v>4.7089709602131297E-2</v>
      </c>
      <c r="F585" s="1" t="s">
        <v>6025</v>
      </c>
      <c r="G585" s="2">
        <v>46177.777334340281</v>
      </c>
      <c r="H585" s="1" t="s">
        <v>1211</v>
      </c>
      <c r="I585" s="2">
        <v>46177.777334340281</v>
      </c>
      <c r="J585" s="1" t="s">
        <v>1211</v>
      </c>
    </row>
    <row r="586" spans="1:10" x14ac:dyDescent="0.35">
      <c r="A586" s="1" t="s">
        <v>1008</v>
      </c>
      <c r="B586" s="1" t="s">
        <v>1209</v>
      </c>
      <c r="C586" s="1" t="s">
        <v>1210</v>
      </c>
      <c r="D586" s="2">
        <v>46177</v>
      </c>
      <c r="E586">
        <v>4.7579719259834903E-2</v>
      </c>
      <c r="F586" s="1" t="s">
        <v>6026</v>
      </c>
      <c r="G586" s="2">
        <v>46177.77733449074</v>
      </c>
      <c r="H586" s="1" t="s">
        <v>1211</v>
      </c>
      <c r="I586" s="2">
        <v>46177.77733449074</v>
      </c>
      <c r="J586" s="1" t="s">
        <v>1211</v>
      </c>
    </row>
    <row r="587" spans="1:10" x14ac:dyDescent="0.35">
      <c r="A587" s="1" t="s">
        <v>1072</v>
      </c>
      <c r="B587" s="1" t="s">
        <v>1209</v>
      </c>
      <c r="C587" s="1" t="s">
        <v>1210</v>
      </c>
      <c r="D587" s="2">
        <v>46177</v>
      </c>
      <c r="E587">
        <v>4.7376576706621501E-2</v>
      </c>
      <c r="F587" s="1" t="s">
        <v>6027</v>
      </c>
      <c r="G587" s="2">
        <v>46177.777334641207</v>
      </c>
      <c r="H587" s="1" t="s">
        <v>1211</v>
      </c>
      <c r="I587" s="2">
        <v>46177.77733449074</v>
      </c>
      <c r="J587" s="1" t="s">
        <v>1211</v>
      </c>
    </row>
    <row r="588" spans="1:10" x14ac:dyDescent="0.35">
      <c r="A588" s="1" t="s">
        <v>1010</v>
      </c>
      <c r="B588" s="1" t="s">
        <v>1209</v>
      </c>
      <c r="C588" s="1" t="s">
        <v>1210</v>
      </c>
      <c r="D588" s="2">
        <v>46177</v>
      </c>
      <c r="E588">
        <v>4.7853494576282601E-2</v>
      </c>
      <c r="F588" s="1" t="s">
        <v>6028</v>
      </c>
      <c r="G588" s="2">
        <v>46177.777334803242</v>
      </c>
      <c r="H588" s="1" t="s">
        <v>1211</v>
      </c>
      <c r="I588" s="2">
        <v>46177.777334687496</v>
      </c>
      <c r="J588" s="1" t="s">
        <v>1211</v>
      </c>
    </row>
    <row r="589" spans="1:10" x14ac:dyDescent="0.35">
      <c r="A589" s="1" t="s">
        <v>996</v>
      </c>
      <c r="B589" s="1" t="s">
        <v>1209</v>
      </c>
      <c r="C589" s="1" t="s">
        <v>1210</v>
      </c>
      <c r="D589" s="2">
        <v>46177</v>
      </c>
      <c r="E589">
        <v>4.8029046320033297E-2</v>
      </c>
      <c r="F589" s="1" t="s">
        <v>6029</v>
      </c>
      <c r="G589" s="2">
        <v>46177.777334953702</v>
      </c>
      <c r="H589" s="1" t="s">
        <v>1211</v>
      </c>
      <c r="I589" s="2">
        <v>46177.777334872684</v>
      </c>
      <c r="J589" s="1" t="s">
        <v>1211</v>
      </c>
    </row>
    <row r="590" spans="1:10" x14ac:dyDescent="0.35">
      <c r="A590" s="1" t="s">
        <v>1012</v>
      </c>
      <c r="B590" s="1" t="s">
        <v>1209</v>
      </c>
      <c r="C590" s="1" t="s">
        <v>1210</v>
      </c>
      <c r="D590" s="2">
        <v>46177</v>
      </c>
      <c r="E590">
        <v>4.8449687441282002E-2</v>
      </c>
      <c r="F590" s="1" t="s">
        <v>6030</v>
      </c>
      <c r="G590" s="2">
        <v>46177.777335104169</v>
      </c>
      <c r="H590" s="1" t="s">
        <v>1211</v>
      </c>
      <c r="I590" s="2">
        <v>46177.77733503472</v>
      </c>
      <c r="J590" s="1" t="s">
        <v>1211</v>
      </c>
    </row>
    <row r="591" spans="1:10" x14ac:dyDescent="0.35">
      <c r="A591" s="1" t="s">
        <v>1082</v>
      </c>
      <c r="B591" s="1" t="s">
        <v>1209</v>
      </c>
      <c r="C591" s="1" t="s">
        <v>1210</v>
      </c>
      <c r="D591" s="2">
        <v>46177</v>
      </c>
      <c r="E591">
        <v>4.82294378400282E-2</v>
      </c>
      <c r="F591" s="1" t="s">
        <v>6031</v>
      </c>
      <c r="G591" s="2">
        <v>46177.777335266204</v>
      </c>
      <c r="H591" s="1" t="s">
        <v>1211</v>
      </c>
      <c r="I591" s="2">
        <v>46177.777335219907</v>
      </c>
      <c r="J591" s="1" t="s">
        <v>1211</v>
      </c>
    </row>
    <row r="592" spans="1:10" x14ac:dyDescent="0.35">
      <c r="A592" s="1" t="s">
        <v>1108</v>
      </c>
      <c r="B592" s="1" t="s">
        <v>1209</v>
      </c>
      <c r="C592" s="1" t="s">
        <v>1210</v>
      </c>
      <c r="D592" s="2">
        <v>46177</v>
      </c>
      <c r="E592">
        <v>4.8719457238280403E-2</v>
      </c>
      <c r="F592" s="1" t="s">
        <v>6032</v>
      </c>
      <c r="G592" s="2">
        <v>46177.777335416664</v>
      </c>
      <c r="H592" s="1" t="s">
        <v>1211</v>
      </c>
      <c r="I592" s="2">
        <v>46177.777335416664</v>
      </c>
      <c r="J592" s="1" t="s">
        <v>1211</v>
      </c>
    </row>
    <row r="593" spans="1:10" x14ac:dyDescent="0.35">
      <c r="A593" s="1" t="s">
        <v>1014</v>
      </c>
      <c r="B593" s="1" t="s">
        <v>1209</v>
      </c>
      <c r="C593" s="1" t="s">
        <v>1210</v>
      </c>
      <c r="D593" s="2">
        <v>46177</v>
      </c>
      <c r="E593">
        <v>4.8924567531865998E-2</v>
      </c>
      <c r="F593" s="1" t="s">
        <v>6033</v>
      </c>
      <c r="G593" s="2">
        <v>46177.77733553241</v>
      </c>
      <c r="H593" s="1" t="s">
        <v>1211</v>
      </c>
      <c r="I593" s="2">
        <v>46177.777335416664</v>
      </c>
      <c r="J593" s="1" t="s">
        <v>1211</v>
      </c>
    </row>
    <row r="594" spans="1:10" x14ac:dyDescent="0.35">
      <c r="A594" s="1" t="s">
        <v>1110</v>
      </c>
      <c r="B594" s="1" t="s">
        <v>1209</v>
      </c>
      <c r="C594" s="1" t="s">
        <v>1210</v>
      </c>
      <c r="D594" s="2">
        <v>46177</v>
      </c>
      <c r="E594">
        <v>4.9149467709007598E-2</v>
      </c>
      <c r="F594" s="1" t="s">
        <v>6034</v>
      </c>
      <c r="G594" s="2">
        <v>46177.777335682869</v>
      </c>
      <c r="H594" s="1" t="s">
        <v>1211</v>
      </c>
      <c r="I594" s="2">
        <v>46177.777335567131</v>
      </c>
      <c r="J594" s="1" t="s">
        <v>1211</v>
      </c>
    </row>
    <row r="595" spans="1:10" x14ac:dyDescent="0.35">
      <c r="A595" s="1" t="s">
        <v>1016</v>
      </c>
      <c r="B595" s="1" t="s">
        <v>1209</v>
      </c>
      <c r="C595" s="1" t="s">
        <v>1210</v>
      </c>
      <c r="D595" s="2">
        <v>46177</v>
      </c>
      <c r="E595">
        <v>4.9394621756612703E-2</v>
      </c>
      <c r="F595" s="1" t="s">
        <v>6035</v>
      </c>
      <c r="G595" s="2">
        <v>46177.777335844905</v>
      </c>
      <c r="H595" s="1" t="s">
        <v>1211</v>
      </c>
      <c r="I595" s="2">
        <v>46177.777335763887</v>
      </c>
      <c r="J595" s="1" t="s">
        <v>1211</v>
      </c>
    </row>
    <row r="596" spans="1:10" x14ac:dyDescent="0.35">
      <c r="A596" s="1" t="s">
        <v>1062</v>
      </c>
      <c r="B596" s="1" t="s">
        <v>1209</v>
      </c>
      <c r="C596" s="1" t="s">
        <v>1210</v>
      </c>
      <c r="D596" s="2">
        <v>46177</v>
      </c>
      <c r="E596">
        <v>4.9580147851414902E-2</v>
      </c>
      <c r="F596" s="1" t="s">
        <v>6036</v>
      </c>
      <c r="G596" s="2">
        <v>46177.777335995372</v>
      </c>
      <c r="H596" s="1" t="s">
        <v>1211</v>
      </c>
      <c r="I596" s="2">
        <v>46177.777335960651</v>
      </c>
      <c r="J596" s="1" t="s">
        <v>1211</v>
      </c>
    </row>
    <row r="597" spans="1:10" x14ac:dyDescent="0.35">
      <c r="A597" s="1" t="s">
        <v>998</v>
      </c>
      <c r="B597" s="1" t="s">
        <v>1209</v>
      </c>
      <c r="C597" s="1" t="s">
        <v>1210</v>
      </c>
      <c r="D597" s="2">
        <v>46177</v>
      </c>
      <c r="E597">
        <v>4.9834888795248299E-2</v>
      </c>
      <c r="F597" s="1" t="s">
        <v>6037</v>
      </c>
      <c r="G597" s="2">
        <v>46177.777336145831</v>
      </c>
      <c r="H597" s="1" t="s">
        <v>1211</v>
      </c>
      <c r="I597" s="2">
        <v>46177.77733611111</v>
      </c>
      <c r="J597" s="1" t="s">
        <v>1211</v>
      </c>
    </row>
    <row r="598" spans="1:10" x14ac:dyDescent="0.35">
      <c r="A598" s="1" t="s">
        <v>1000</v>
      </c>
      <c r="B598" s="1" t="s">
        <v>1209</v>
      </c>
      <c r="C598" s="1" t="s">
        <v>1210</v>
      </c>
      <c r="D598" s="2">
        <v>46177</v>
      </c>
      <c r="E598">
        <v>5.0010186038546699E-2</v>
      </c>
      <c r="F598" s="1" t="s">
        <v>6038</v>
      </c>
      <c r="G598" s="2">
        <v>46177.777336307867</v>
      </c>
      <c r="H598" s="1" t="s">
        <v>1211</v>
      </c>
      <c r="I598" s="2">
        <v>46177.777336307867</v>
      </c>
      <c r="J598" s="1" t="s">
        <v>1211</v>
      </c>
    </row>
    <row r="599" spans="1:10" x14ac:dyDescent="0.35">
      <c r="A599" s="1" t="s">
        <v>1040</v>
      </c>
      <c r="B599" s="1" t="s">
        <v>1209</v>
      </c>
      <c r="C599" s="1" t="s">
        <v>1210</v>
      </c>
      <c r="D599" s="2">
        <v>46177</v>
      </c>
      <c r="E599">
        <v>5.0249917404531899E-2</v>
      </c>
      <c r="F599" s="1" t="s">
        <v>6039</v>
      </c>
      <c r="G599" s="2">
        <v>46177.777336458334</v>
      </c>
      <c r="H599" s="1" t="s">
        <v>1211</v>
      </c>
      <c r="I599" s="2">
        <v>46177.777336307867</v>
      </c>
      <c r="J599" s="1" t="s">
        <v>1211</v>
      </c>
    </row>
    <row r="600" spans="1:10" x14ac:dyDescent="0.35">
      <c r="A600" s="1" t="s">
        <v>1096</v>
      </c>
      <c r="B600" s="1" t="s">
        <v>1209</v>
      </c>
      <c r="C600" s="1" t="s">
        <v>1210</v>
      </c>
      <c r="D600" s="2">
        <v>46177</v>
      </c>
      <c r="E600">
        <v>5.2374772517819503E-2</v>
      </c>
      <c r="F600" s="1" t="s">
        <v>6040</v>
      </c>
      <c r="G600" s="2">
        <v>46177.777336608793</v>
      </c>
      <c r="H600" s="1" t="s">
        <v>1211</v>
      </c>
      <c r="I600" s="2">
        <v>46177.777336493054</v>
      </c>
      <c r="J600" s="1" t="s">
        <v>1211</v>
      </c>
    </row>
    <row r="601" spans="1:10" x14ac:dyDescent="0.35">
      <c r="A601" s="1" t="s">
        <v>1018</v>
      </c>
      <c r="B601" s="1" t="s">
        <v>1209</v>
      </c>
      <c r="C601" s="1" t="s">
        <v>1210</v>
      </c>
      <c r="D601" s="2">
        <v>46177</v>
      </c>
      <c r="E601">
        <v>5.0429547512023401E-2</v>
      </c>
      <c r="F601" s="1" t="s">
        <v>6041</v>
      </c>
      <c r="G601" s="2">
        <v>46177.777336770836</v>
      </c>
      <c r="H601" s="1" t="s">
        <v>1211</v>
      </c>
      <c r="I601" s="2">
        <v>46177.77733665509</v>
      </c>
      <c r="J601" s="1" t="s">
        <v>1211</v>
      </c>
    </row>
    <row r="602" spans="1:10" x14ac:dyDescent="0.35">
      <c r="A602" s="1" t="s">
        <v>1112</v>
      </c>
      <c r="B602" s="1" t="s">
        <v>1209</v>
      </c>
      <c r="C602" s="1" t="s">
        <v>1210</v>
      </c>
      <c r="D602" s="2">
        <v>46177</v>
      </c>
      <c r="E602">
        <v>5.0554824914381701E-2</v>
      </c>
      <c r="F602" s="1" t="s">
        <v>6042</v>
      </c>
      <c r="G602" s="2">
        <v>46177.777336921296</v>
      </c>
      <c r="H602" s="1" t="s">
        <v>1211</v>
      </c>
      <c r="I602" s="2">
        <v>46177.777336840278</v>
      </c>
      <c r="J602" s="1" t="s">
        <v>1211</v>
      </c>
    </row>
    <row r="603" spans="1:10" x14ac:dyDescent="0.35">
      <c r="A603" s="1" t="s">
        <v>1074</v>
      </c>
      <c r="B603" s="1" t="s">
        <v>1209</v>
      </c>
      <c r="C603" s="1" t="s">
        <v>1210</v>
      </c>
      <c r="D603" s="2">
        <v>46177</v>
      </c>
      <c r="E603">
        <v>5.0754688567635702E-2</v>
      </c>
      <c r="F603" s="1" t="s">
        <v>6043</v>
      </c>
      <c r="G603" s="2">
        <v>46177.777337071762</v>
      </c>
      <c r="H603" s="1" t="s">
        <v>1211</v>
      </c>
      <c r="I603" s="2">
        <v>46177.777337037034</v>
      </c>
      <c r="J603" s="1" t="s">
        <v>1211</v>
      </c>
    </row>
    <row r="604" spans="1:10" x14ac:dyDescent="0.35">
      <c r="A604" s="1" t="s">
        <v>1114</v>
      </c>
      <c r="B604" s="1" t="s">
        <v>1209</v>
      </c>
      <c r="C604" s="1" t="s">
        <v>1210</v>
      </c>
      <c r="D604" s="2">
        <v>46177</v>
      </c>
      <c r="E604">
        <v>5.0939981001130799E-2</v>
      </c>
      <c r="F604" s="1" t="s">
        <v>6044</v>
      </c>
      <c r="G604" s="2">
        <v>46177.777337233798</v>
      </c>
      <c r="H604" s="1" t="s">
        <v>1211</v>
      </c>
      <c r="I604" s="2">
        <v>46177.777337233798</v>
      </c>
      <c r="J604" s="1" t="s">
        <v>1211</v>
      </c>
    </row>
    <row r="605" spans="1:10" x14ac:dyDescent="0.35">
      <c r="A605" s="1" t="s">
        <v>1042</v>
      </c>
      <c r="B605" s="1" t="s">
        <v>1209</v>
      </c>
      <c r="C605" s="1" t="s">
        <v>1210</v>
      </c>
      <c r="D605" s="2">
        <v>46177</v>
      </c>
      <c r="E605">
        <v>5.1009292149663897E-2</v>
      </c>
      <c r="F605" s="1" t="s">
        <v>6045</v>
      </c>
      <c r="G605" s="2">
        <v>46177.777337384257</v>
      </c>
      <c r="H605" s="1" t="s">
        <v>1211</v>
      </c>
      <c r="I605" s="2">
        <v>46177.777337384257</v>
      </c>
      <c r="J605" s="1" t="s">
        <v>1211</v>
      </c>
    </row>
    <row r="606" spans="1:10" x14ac:dyDescent="0.35">
      <c r="A606" s="1" t="s">
        <v>1116</v>
      </c>
      <c r="B606" s="1" t="s">
        <v>1209</v>
      </c>
      <c r="C606" s="1" t="s">
        <v>1210</v>
      </c>
      <c r="D606" s="2">
        <v>46177</v>
      </c>
      <c r="E606">
        <v>5.1179624925061999E-2</v>
      </c>
      <c r="F606" s="1" t="s">
        <v>6046</v>
      </c>
      <c r="G606" s="2">
        <v>46177.777337534724</v>
      </c>
      <c r="H606" s="1" t="s">
        <v>1211</v>
      </c>
      <c r="I606" s="2">
        <v>46177.777337384257</v>
      </c>
      <c r="J606" s="1" t="s">
        <v>1211</v>
      </c>
    </row>
    <row r="607" spans="1:10" x14ac:dyDescent="0.35">
      <c r="A607" s="1" t="s">
        <v>1098</v>
      </c>
      <c r="B607" s="1" t="s">
        <v>1209</v>
      </c>
      <c r="C607" s="1" t="s">
        <v>1210</v>
      </c>
      <c r="D607" s="2">
        <v>46177</v>
      </c>
      <c r="E607">
        <v>5.1354929910781298E-2</v>
      </c>
      <c r="F607" s="1" t="s">
        <v>6047</v>
      </c>
      <c r="G607" s="2">
        <v>46177.77733769676</v>
      </c>
      <c r="H607" s="1" t="s">
        <v>1211</v>
      </c>
      <c r="I607" s="2">
        <v>46177.777337581021</v>
      </c>
      <c r="J607" s="1" t="s">
        <v>1211</v>
      </c>
    </row>
    <row r="608" spans="1:10" x14ac:dyDescent="0.35">
      <c r="A608" s="1" t="s">
        <v>1118</v>
      </c>
      <c r="B608" s="1" t="s">
        <v>1209</v>
      </c>
      <c r="C608" s="1" t="s">
        <v>1210</v>
      </c>
      <c r="D608" s="2">
        <v>46177</v>
      </c>
      <c r="E608">
        <v>5.1484466754761801E-2</v>
      </c>
      <c r="F608" s="1" t="s">
        <v>6048</v>
      </c>
      <c r="G608" s="2">
        <v>46177.777337847219</v>
      </c>
      <c r="H608" s="1" t="s">
        <v>1211</v>
      </c>
      <c r="I608" s="2">
        <v>46177.777337766202</v>
      </c>
      <c r="J608" s="1" t="s">
        <v>1211</v>
      </c>
    </row>
    <row r="609" spans="1:10" x14ac:dyDescent="0.35">
      <c r="A609" s="1" t="s">
        <v>1084</v>
      </c>
      <c r="B609" s="1" t="s">
        <v>1209</v>
      </c>
      <c r="C609" s="1" t="s">
        <v>1210</v>
      </c>
      <c r="D609" s="2">
        <v>46177</v>
      </c>
      <c r="E609">
        <v>5.16292433250084E-2</v>
      </c>
      <c r="F609" s="1" t="s">
        <v>6049</v>
      </c>
      <c r="G609" s="2">
        <v>46177.777337962965</v>
      </c>
      <c r="H609" s="1" t="s">
        <v>1211</v>
      </c>
      <c r="I609" s="2">
        <v>46177.777337928244</v>
      </c>
      <c r="J609" s="1" t="s">
        <v>1211</v>
      </c>
    </row>
    <row r="610" spans="1:10" x14ac:dyDescent="0.35">
      <c r="A610" s="1" t="s">
        <v>1086</v>
      </c>
      <c r="B610" s="1" t="s">
        <v>1209</v>
      </c>
      <c r="C610" s="1" t="s">
        <v>1210</v>
      </c>
      <c r="D610" s="2">
        <v>46177</v>
      </c>
      <c r="E610">
        <v>5.1724390943998201E-2</v>
      </c>
      <c r="F610" s="1" t="s">
        <v>6050</v>
      </c>
      <c r="G610" s="2">
        <v>46177.777338159722</v>
      </c>
      <c r="H610" s="1" t="s">
        <v>1211</v>
      </c>
      <c r="I610" s="2">
        <v>46177.777338159722</v>
      </c>
      <c r="J610" s="1" t="s">
        <v>1211</v>
      </c>
    </row>
    <row r="611" spans="1:10" x14ac:dyDescent="0.35">
      <c r="A611" s="1" t="s">
        <v>1088</v>
      </c>
      <c r="B611" s="1" t="s">
        <v>1209</v>
      </c>
      <c r="C611" s="1" t="s">
        <v>1210</v>
      </c>
      <c r="D611" s="2">
        <v>46177</v>
      </c>
      <c r="E611">
        <v>5.1844984789970801E-2</v>
      </c>
      <c r="F611" s="1" t="s">
        <v>6051</v>
      </c>
      <c r="G611" s="2">
        <v>46177.777338310188</v>
      </c>
      <c r="H611" s="1" t="s">
        <v>1211</v>
      </c>
      <c r="I611" s="2">
        <v>46177.777338159722</v>
      </c>
      <c r="J611" s="1" t="s">
        <v>1211</v>
      </c>
    </row>
    <row r="612" spans="1:10" x14ac:dyDescent="0.35">
      <c r="A612" s="1" t="s">
        <v>1020</v>
      </c>
      <c r="B612" s="1" t="s">
        <v>1209</v>
      </c>
      <c r="C612" s="1" t="s">
        <v>1210</v>
      </c>
      <c r="D612" s="2">
        <v>46177</v>
      </c>
      <c r="E612">
        <v>5.1964773363410599E-2</v>
      </c>
      <c r="F612" s="1" t="s">
        <v>6052</v>
      </c>
      <c r="G612" s="2">
        <v>46177.777338460648</v>
      </c>
      <c r="H612" s="1" t="s">
        <v>1211</v>
      </c>
      <c r="I612" s="2">
        <v>46177.777338344909</v>
      </c>
      <c r="J612" s="1" t="s">
        <v>1211</v>
      </c>
    </row>
    <row r="613" spans="1:10" x14ac:dyDescent="0.35">
      <c r="A613" s="1" t="s">
        <v>1090</v>
      </c>
      <c r="B613" s="1" t="s">
        <v>1209</v>
      </c>
      <c r="C613" s="1" t="s">
        <v>1210</v>
      </c>
      <c r="D613" s="2">
        <v>46177</v>
      </c>
      <c r="E613">
        <v>5.2064988530751997E-2</v>
      </c>
      <c r="F613" s="1" t="s">
        <v>6053</v>
      </c>
      <c r="G613" s="2">
        <v>46177.777338622684</v>
      </c>
      <c r="H613" s="1" t="s">
        <v>1211</v>
      </c>
      <c r="I613" s="2">
        <v>46177.777338541666</v>
      </c>
      <c r="J613" s="1" t="s">
        <v>1211</v>
      </c>
    </row>
    <row r="614" spans="1:10" x14ac:dyDescent="0.35">
      <c r="A614" s="1" t="s">
        <v>1100</v>
      </c>
      <c r="B614" s="1" t="s">
        <v>1209</v>
      </c>
      <c r="C614" s="1" t="s">
        <v>1210</v>
      </c>
      <c r="D614" s="2">
        <v>46177</v>
      </c>
      <c r="E614">
        <v>5.2164756927081703E-2</v>
      </c>
      <c r="F614" s="1" t="s">
        <v>6054</v>
      </c>
      <c r="G614" s="2">
        <v>46177.77733877315</v>
      </c>
      <c r="H614" s="1" t="s">
        <v>1211</v>
      </c>
      <c r="I614" s="2">
        <v>46177.77733873843</v>
      </c>
      <c r="J614" s="1" t="s">
        <v>1211</v>
      </c>
    </row>
    <row r="615" spans="1:10" x14ac:dyDescent="0.35">
      <c r="A615" s="1" t="s">
        <v>1092</v>
      </c>
      <c r="B615" s="1" t="s">
        <v>1209</v>
      </c>
      <c r="C615" s="1" t="s">
        <v>1210</v>
      </c>
      <c r="D615" s="2">
        <v>46177</v>
      </c>
      <c r="E615">
        <v>5.2244220288316601E-2</v>
      </c>
      <c r="F615" s="1" t="s">
        <v>6055</v>
      </c>
      <c r="G615" s="2">
        <v>46177.77733892361</v>
      </c>
      <c r="H615" s="1" t="s">
        <v>1211</v>
      </c>
      <c r="I615" s="2">
        <v>46177.777338888889</v>
      </c>
      <c r="J615" s="1" t="s">
        <v>1211</v>
      </c>
    </row>
    <row r="616" spans="1:10" x14ac:dyDescent="0.35">
      <c r="A616" s="1" t="s">
        <v>1094</v>
      </c>
      <c r="B616" s="1" t="s">
        <v>1209</v>
      </c>
      <c r="C616" s="1" t="s">
        <v>1210</v>
      </c>
      <c r="D616" s="2">
        <v>46177</v>
      </c>
      <c r="E616">
        <v>5.2319374946661001E-2</v>
      </c>
      <c r="F616" s="1" t="s">
        <v>6056</v>
      </c>
      <c r="G616" s="2">
        <v>46177.777339085646</v>
      </c>
      <c r="H616" s="1" t="s">
        <v>1211</v>
      </c>
      <c r="I616" s="2">
        <v>46177.777339085646</v>
      </c>
      <c r="J616" s="1" t="s">
        <v>1211</v>
      </c>
    </row>
    <row r="617" spans="1:10" x14ac:dyDescent="0.35">
      <c r="A617" s="1" t="s">
        <v>1102</v>
      </c>
      <c r="B617" s="1" t="s">
        <v>1209</v>
      </c>
      <c r="C617" s="1" t="s">
        <v>1210</v>
      </c>
      <c r="D617" s="2">
        <v>46177</v>
      </c>
      <c r="E617">
        <v>5.2429734815859198E-2</v>
      </c>
      <c r="F617" s="1" t="s">
        <v>6057</v>
      </c>
      <c r="G617" s="2">
        <v>46177.777339236112</v>
      </c>
      <c r="H617" s="1" t="s">
        <v>1211</v>
      </c>
      <c r="I617" s="2">
        <v>46177.777339085646</v>
      </c>
      <c r="J617" s="1" t="s">
        <v>1211</v>
      </c>
    </row>
    <row r="618" spans="1:10" x14ac:dyDescent="0.35">
      <c r="A618" s="1" t="s">
        <v>1022</v>
      </c>
      <c r="B618" s="1" t="s">
        <v>1209</v>
      </c>
      <c r="C618" s="1" t="s">
        <v>1210</v>
      </c>
      <c r="D618" s="2">
        <v>46177</v>
      </c>
      <c r="E618">
        <v>5.2434124062567103E-2</v>
      </c>
      <c r="F618" s="1" t="s">
        <v>6058</v>
      </c>
      <c r="G618" s="2">
        <v>46177.777339351851</v>
      </c>
      <c r="H618" s="1" t="s">
        <v>1211</v>
      </c>
      <c r="I618" s="2">
        <v>46177.777339270833</v>
      </c>
      <c r="J618" s="1" t="s">
        <v>1211</v>
      </c>
    </row>
    <row r="619" spans="1:10" x14ac:dyDescent="0.35">
      <c r="A619" s="1" t="s">
        <v>1024</v>
      </c>
      <c r="B619" s="1" t="s">
        <v>1209</v>
      </c>
      <c r="C619" s="1" t="s">
        <v>1210</v>
      </c>
      <c r="D619" s="2">
        <v>46177</v>
      </c>
      <c r="E619">
        <v>5.2455032805929398E-2</v>
      </c>
      <c r="F619" s="1" t="s">
        <v>6059</v>
      </c>
      <c r="G619" s="2">
        <v>46177.777339502318</v>
      </c>
      <c r="H619" s="1" t="s">
        <v>1211</v>
      </c>
      <c r="I619" s="2">
        <v>46177.777339432869</v>
      </c>
      <c r="J619" s="1" t="s">
        <v>1211</v>
      </c>
    </row>
    <row r="620" spans="1:10" x14ac:dyDescent="0.35">
      <c r="A620" s="1" t="s">
        <v>1044</v>
      </c>
      <c r="B620" s="1" t="s">
        <v>1209</v>
      </c>
      <c r="C620" s="1" t="s">
        <v>1210</v>
      </c>
      <c r="D620" s="2">
        <v>46177</v>
      </c>
      <c r="E620">
        <v>5.2494382886183001E-2</v>
      </c>
      <c r="F620" s="1" t="s">
        <v>6060</v>
      </c>
      <c r="G620" s="2">
        <v>46177.777339664353</v>
      </c>
      <c r="H620" s="1" t="s">
        <v>1211</v>
      </c>
      <c r="I620" s="2">
        <v>46177.777339618056</v>
      </c>
      <c r="J620" s="1" t="s">
        <v>1211</v>
      </c>
    </row>
    <row r="621" spans="1:10" x14ac:dyDescent="0.35">
      <c r="A621" s="1" t="s">
        <v>1026</v>
      </c>
      <c r="B621" s="1" t="s">
        <v>1209</v>
      </c>
      <c r="C621" s="1" t="s">
        <v>1210</v>
      </c>
      <c r="D621" s="2">
        <v>46177</v>
      </c>
      <c r="E621">
        <v>5.2509081804848097E-2</v>
      </c>
      <c r="F621" s="1" t="s">
        <v>6061</v>
      </c>
      <c r="G621" s="2">
        <v>46177.777339814813</v>
      </c>
      <c r="H621" s="1" t="s">
        <v>1211</v>
      </c>
      <c r="I621" s="2">
        <v>46177.777339780092</v>
      </c>
      <c r="J621" s="1" t="s">
        <v>1211</v>
      </c>
    </row>
    <row r="622" spans="1:10" x14ac:dyDescent="0.35">
      <c r="A622" s="1" t="s">
        <v>1028</v>
      </c>
      <c r="B622" s="1" t="s">
        <v>1209</v>
      </c>
      <c r="C622" s="1" t="s">
        <v>1210</v>
      </c>
      <c r="D622" s="2">
        <v>46177</v>
      </c>
      <c r="E622">
        <v>5.2504416384983203E-2</v>
      </c>
      <c r="F622" s="1" t="s">
        <v>6062</v>
      </c>
      <c r="G622" s="2">
        <v>46177.77733996528</v>
      </c>
      <c r="H622" s="1" t="s">
        <v>1211</v>
      </c>
      <c r="I622" s="2">
        <v>46177.77733996528</v>
      </c>
      <c r="J622" s="1" t="s">
        <v>1211</v>
      </c>
    </row>
    <row r="623" spans="1:10" x14ac:dyDescent="0.35">
      <c r="A623" s="1" t="s">
        <v>1228</v>
      </c>
      <c r="B623" s="1" t="s">
        <v>1209</v>
      </c>
      <c r="C623" s="1" t="s">
        <v>1210</v>
      </c>
      <c r="D623" s="2">
        <v>46177</v>
      </c>
      <c r="E623">
        <v>3.6447368257162098E-2</v>
      </c>
      <c r="F623" s="1" t="s">
        <v>6063</v>
      </c>
      <c r="G623" s="2">
        <v>46177.777340127315</v>
      </c>
      <c r="H623" s="1" t="s">
        <v>1211</v>
      </c>
      <c r="I623" s="2">
        <v>46177.77733996528</v>
      </c>
      <c r="J623" s="1" t="s">
        <v>1211</v>
      </c>
    </row>
    <row r="624" spans="1:10" x14ac:dyDescent="0.35">
      <c r="A624" s="1" t="s">
        <v>1229</v>
      </c>
      <c r="B624" s="1" t="s">
        <v>1209</v>
      </c>
      <c r="C624" s="1" t="s">
        <v>1210</v>
      </c>
      <c r="D624" s="2">
        <v>46177</v>
      </c>
      <c r="E624">
        <v>2.53810414781338E-2</v>
      </c>
      <c r="F624" s="1" t="s">
        <v>6064</v>
      </c>
      <c r="G624" s="2">
        <v>46177.777340277775</v>
      </c>
      <c r="H624" s="1" t="s">
        <v>1211</v>
      </c>
      <c r="I624" s="2">
        <v>46177.777340162036</v>
      </c>
      <c r="J624" s="1" t="s">
        <v>1211</v>
      </c>
    </row>
    <row r="625" spans="1:10" x14ac:dyDescent="0.35">
      <c r="A625" s="1" t="s">
        <v>1230</v>
      </c>
      <c r="B625" s="1" t="s">
        <v>1209</v>
      </c>
      <c r="C625" s="1" t="s">
        <v>1210</v>
      </c>
      <c r="D625" s="2">
        <v>46177</v>
      </c>
      <c r="E625">
        <v>2.6596478283266899E-2</v>
      </c>
      <c r="F625" s="1" t="s">
        <v>6065</v>
      </c>
      <c r="G625" s="2">
        <v>46177.777340428242</v>
      </c>
      <c r="H625" s="1" t="s">
        <v>1211</v>
      </c>
      <c r="I625" s="2">
        <v>46177.7773403588</v>
      </c>
      <c r="J625" s="1" t="s">
        <v>1211</v>
      </c>
    </row>
    <row r="626" spans="1:10" x14ac:dyDescent="0.35">
      <c r="A626" s="1" t="s">
        <v>1231</v>
      </c>
      <c r="B626" s="1" t="s">
        <v>1209</v>
      </c>
      <c r="C626" s="1" t="s">
        <v>1210</v>
      </c>
      <c r="D626" s="2">
        <v>46177</v>
      </c>
      <c r="E626">
        <v>2.77244382607333E-2</v>
      </c>
      <c r="F626" s="1" t="s">
        <v>6066</v>
      </c>
      <c r="G626" s="2">
        <v>46177.777340590277</v>
      </c>
      <c r="H626" s="1" t="s">
        <v>1211</v>
      </c>
      <c r="I626" s="2">
        <v>46177.777340509259</v>
      </c>
      <c r="J626" s="1" t="s">
        <v>1211</v>
      </c>
    </row>
    <row r="627" spans="1:10" x14ac:dyDescent="0.35">
      <c r="A627" s="1" t="s">
        <v>1232</v>
      </c>
      <c r="B627" s="1" t="s">
        <v>1209</v>
      </c>
      <c r="C627" s="1" t="s">
        <v>1210</v>
      </c>
      <c r="D627" s="2">
        <v>46177</v>
      </c>
      <c r="E627">
        <v>3.78319075203064E-2</v>
      </c>
      <c r="F627" s="1" t="s">
        <v>6067</v>
      </c>
      <c r="G627" s="2">
        <v>46177.777340740744</v>
      </c>
      <c r="H627" s="1" t="s">
        <v>1211</v>
      </c>
      <c r="I627" s="2">
        <v>46177.777340706016</v>
      </c>
      <c r="J627" s="1" t="s">
        <v>1211</v>
      </c>
    </row>
    <row r="628" spans="1:10" x14ac:dyDescent="0.35">
      <c r="A628" s="1" t="s">
        <v>1233</v>
      </c>
      <c r="B628" s="1" t="s">
        <v>1209</v>
      </c>
      <c r="C628" s="1" t="s">
        <v>1210</v>
      </c>
      <c r="D628" s="2">
        <v>46177</v>
      </c>
      <c r="E628">
        <v>3.57163071816207E-2</v>
      </c>
      <c r="F628" s="1" t="s">
        <v>6068</v>
      </c>
      <c r="G628" s="2">
        <v>46177.777340891203</v>
      </c>
      <c r="H628" s="1" t="s">
        <v>1211</v>
      </c>
      <c r="I628" s="2">
        <v>46177.777340891203</v>
      </c>
      <c r="J628" s="1" t="s">
        <v>1211</v>
      </c>
    </row>
    <row r="629" spans="1:10" x14ac:dyDescent="0.35">
      <c r="A629" s="1" t="s">
        <v>1234</v>
      </c>
      <c r="B629" s="1" t="s">
        <v>1209</v>
      </c>
      <c r="C629" s="1" t="s">
        <v>1210</v>
      </c>
      <c r="D629" s="2">
        <v>46177</v>
      </c>
      <c r="E629">
        <v>2.8401543658384602E-2</v>
      </c>
      <c r="F629" s="1" t="s">
        <v>6069</v>
      </c>
      <c r="G629" s="2">
        <v>46177.777341053239</v>
      </c>
      <c r="H629" s="1" t="s">
        <v>1211</v>
      </c>
      <c r="I629" s="2">
        <v>46177.777340891203</v>
      </c>
      <c r="J629" s="1" t="s">
        <v>1211</v>
      </c>
    </row>
    <row r="630" spans="1:10" x14ac:dyDescent="0.35">
      <c r="A630" s="1" t="s">
        <v>1235</v>
      </c>
      <c r="B630" s="1" t="s">
        <v>1209</v>
      </c>
      <c r="C630" s="1" t="s">
        <v>1210</v>
      </c>
      <c r="D630" s="2">
        <v>46177</v>
      </c>
      <c r="E630">
        <v>3.2970153954779598E-2</v>
      </c>
      <c r="F630" s="1" t="s">
        <v>6070</v>
      </c>
      <c r="G630" s="2">
        <v>46177.777341203706</v>
      </c>
      <c r="H630" s="1" t="s">
        <v>1211</v>
      </c>
      <c r="I630" s="2">
        <v>46177.777341203706</v>
      </c>
      <c r="J630" s="1" t="s">
        <v>1211</v>
      </c>
    </row>
    <row r="631" spans="1:10" x14ac:dyDescent="0.35">
      <c r="A631" s="1" t="s">
        <v>1236</v>
      </c>
      <c r="B631" s="1" t="s">
        <v>1209</v>
      </c>
      <c r="C631" s="1" t="s">
        <v>1210</v>
      </c>
      <c r="D631" s="2">
        <v>46177</v>
      </c>
      <c r="E631">
        <v>2.9304767656649099E-2</v>
      </c>
      <c r="F631" s="1" t="s">
        <v>6071</v>
      </c>
      <c r="G631" s="2">
        <v>46177.777341354165</v>
      </c>
      <c r="H631" s="1" t="s">
        <v>1211</v>
      </c>
      <c r="I631" s="2">
        <v>46177.777341400462</v>
      </c>
      <c r="J631" s="1" t="s">
        <v>1211</v>
      </c>
    </row>
    <row r="632" spans="1:10" x14ac:dyDescent="0.35">
      <c r="A632" s="1" t="s">
        <v>1237</v>
      </c>
      <c r="B632" s="1" t="s">
        <v>1209</v>
      </c>
      <c r="C632" s="1" t="s">
        <v>1210</v>
      </c>
      <c r="D632" s="2">
        <v>46177</v>
      </c>
      <c r="E632">
        <v>3.7238815273257002E-2</v>
      </c>
      <c r="F632" s="1" t="s">
        <v>6072</v>
      </c>
      <c r="G632" s="2">
        <v>46177.777341550929</v>
      </c>
      <c r="H632" s="1" t="s">
        <v>1211</v>
      </c>
      <c r="I632" s="2">
        <v>46177.77734158565</v>
      </c>
      <c r="J632" s="1" t="s">
        <v>1211</v>
      </c>
    </row>
    <row r="633" spans="1:10" x14ac:dyDescent="0.35">
      <c r="A633" s="1" t="s">
        <v>1238</v>
      </c>
      <c r="B633" s="1" t="s">
        <v>1209</v>
      </c>
      <c r="C633" s="1" t="s">
        <v>1210</v>
      </c>
      <c r="D633" s="2">
        <v>46177</v>
      </c>
      <c r="E633">
        <v>2.1006480853070799E-2</v>
      </c>
      <c r="F633" s="1" t="s">
        <v>6073</v>
      </c>
      <c r="G633" s="2">
        <v>46177.777341666668</v>
      </c>
      <c r="H633" s="1" t="s">
        <v>1211</v>
      </c>
      <c r="I633" s="2">
        <v>46177.77734158565</v>
      </c>
      <c r="J633" s="1" t="s">
        <v>1211</v>
      </c>
    </row>
    <row r="634" spans="1:10" x14ac:dyDescent="0.35">
      <c r="A634" s="1" t="s">
        <v>1239</v>
      </c>
      <c r="B634" s="1" t="s">
        <v>1209</v>
      </c>
      <c r="C634" s="1" t="s">
        <v>1210</v>
      </c>
      <c r="D634" s="2">
        <v>46177</v>
      </c>
      <c r="E634">
        <v>3.01044521162196E-2</v>
      </c>
      <c r="F634" s="1" t="s">
        <v>6074</v>
      </c>
      <c r="G634" s="2">
        <v>46177.777341817127</v>
      </c>
      <c r="H634" s="1" t="s">
        <v>1211</v>
      </c>
      <c r="I634" s="2">
        <v>46177.777341747686</v>
      </c>
      <c r="J634" s="1" t="s">
        <v>1211</v>
      </c>
    </row>
    <row r="635" spans="1:10" x14ac:dyDescent="0.35">
      <c r="A635" s="1" t="s">
        <v>1240</v>
      </c>
      <c r="B635" s="1" t="s">
        <v>1209</v>
      </c>
      <c r="C635" s="1" t="s">
        <v>1210</v>
      </c>
      <c r="D635" s="2">
        <v>46177</v>
      </c>
      <c r="E635">
        <v>3.7861896036020103E-2</v>
      </c>
      <c r="F635" s="1" t="s">
        <v>6075</v>
      </c>
      <c r="G635" s="2">
        <v>46177.77734197917</v>
      </c>
      <c r="H635" s="1" t="s">
        <v>1211</v>
      </c>
      <c r="I635" s="2">
        <v>46177.777341932873</v>
      </c>
      <c r="J635" s="1" t="s">
        <v>1211</v>
      </c>
    </row>
    <row r="636" spans="1:10" x14ac:dyDescent="0.35">
      <c r="A636" s="1" t="s">
        <v>1241</v>
      </c>
      <c r="B636" s="1" t="s">
        <v>1209</v>
      </c>
      <c r="C636" s="1" t="s">
        <v>1210</v>
      </c>
      <c r="D636" s="2">
        <v>46177</v>
      </c>
      <c r="E636">
        <v>2.8295208973615201E-2</v>
      </c>
      <c r="F636" s="1" t="s">
        <v>6076</v>
      </c>
      <c r="G636" s="2">
        <v>46177.77734212963</v>
      </c>
      <c r="H636" s="1" t="s">
        <v>1211</v>
      </c>
      <c r="I636" s="2">
        <v>46177.77734212963</v>
      </c>
      <c r="J636" s="1" t="s">
        <v>1211</v>
      </c>
    </row>
    <row r="637" spans="1:10" x14ac:dyDescent="0.35">
      <c r="A637" s="1" t="s">
        <v>1242</v>
      </c>
      <c r="B637" s="1" t="s">
        <v>1209</v>
      </c>
      <c r="C637" s="1" t="s">
        <v>1210</v>
      </c>
      <c r="D637" s="2">
        <v>46177</v>
      </c>
      <c r="E637">
        <v>3.0843019152866399E-2</v>
      </c>
      <c r="F637" s="1" t="s">
        <v>6077</v>
      </c>
      <c r="G637" s="2">
        <v>46177.777342280089</v>
      </c>
      <c r="H637" s="1" t="s">
        <v>1211</v>
      </c>
      <c r="I637" s="2">
        <v>46177.777342280089</v>
      </c>
      <c r="J637" s="1" t="s">
        <v>1211</v>
      </c>
    </row>
    <row r="638" spans="1:10" x14ac:dyDescent="0.35">
      <c r="A638" s="1" t="s">
        <v>1243</v>
      </c>
      <c r="B638" s="1" t="s">
        <v>1209</v>
      </c>
      <c r="C638" s="1" t="s">
        <v>1210</v>
      </c>
      <c r="D638" s="2">
        <v>46177</v>
      </c>
      <c r="E638">
        <v>3.4803170770816703E-2</v>
      </c>
      <c r="F638" s="1" t="s">
        <v>6078</v>
      </c>
      <c r="G638" s="2">
        <v>46177.777342442132</v>
      </c>
      <c r="H638" s="1" t="s">
        <v>1211</v>
      </c>
      <c r="I638" s="2">
        <v>46177.777342280089</v>
      </c>
      <c r="J638" s="1" t="s">
        <v>1211</v>
      </c>
    </row>
    <row r="639" spans="1:10" x14ac:dyDescent="0.35">
      <c r="A639" s="1" t="s">
        <v>1244</v>
      </c>
      <c r="B639" s="1" t="s">
        <v>1209</v>
      </c>
      <c r="C639" s="1" t="s">
        <v>1210</v>
      </c>
      <c r="D639" s="2">
        <v>46177</v>
      </c>
      <c r="E639">
        <v>2.7588593715406499E-2</v>
      </c>
      <c r="F639" s="1" t="s">
        <v>6079</v>
      </c>
      <c r="G639" s="2">
        <v>46177.777342592592</v>
      </c>
      <c r="H639" s="1" t="s">
        <v>1211</v>
      </c>
      <c r="I639" s="2">
        <v>46177.777342476853</v>
      </c>
      <c r="J639" s="1" t="s">
        <v>1211</v>
      </c>
    </row>
    <row r="640" spans="1:10" x14ac:dyDescent="0.35">
      <c r="A640" s="1" t="s">
        <v>1245</v>
      </c>
      <c r="B640" s="1" t="s">
        <v>1209</v>
      </c>
      <c r="C640" s="1" t="s">
        <v>1210</v>
      </c>
      <c r="D640" s="2">
        <v>46177</v>
      </c>
      <c r="E640">
        <v>4.6705999999999998E-2</v>
      </c>
      <c r="F640" s="1" t="s">
        <v>6080</v>
      </c>
      <c r="G640" s="2">
        <v>46177.777342743058</v>
      </c>
      <c r="H640" s="1" t="s">
        <v>1211</v>
      </c>
      <c r="I640" s="2">
        <v>46177.777342673609</v>
      </c>
      <c r="J640" s="1" t="s">
        <v>1211</v>
      </c>
    </row>
    <row r="641" spans="1:10" x14ac:dyDescent="0.35">
      <c r="A641" s="1" t="s">
        <v>1246</v>
      </c>
      <c r="B641" s="1" t="s">
        <v>1209</v>
      </c>
      <c r="C641" s="1" t="s">
        <v>1210</v>
      </c>
      <c r="D641" s="2">
        <v>46177</v>
      </c>
      <c r="E641">
        <v>4.63335E-2</v>
      </c>
      <c r="F641" s="1" t="s">
        <v>6081</v>
      </c>
      <c r="G641" s="2">
        <v>46177.777342905094</v>
      </c>
      <c r="H641" s="1" t="s">
        <v>1211</v>
      </c>
      <c r="I641" s="2">
        <v>46177.777342824076</v>
      </c>
      <c r="J641" s="1" t="s">
        <v>1211</v>
      </c>
    </row>
    <row r="642" spans="1:10" x14ac:dyDescent="0.35">
      <c r="A642" s="1" t="s">
        <v>1247</v>
      </c>
      <c r="B642" s="1" t="s">
        <v>1209</v>
      </c>
      <c r="C642" s="1" t="s">
        <v>1210</v>
      </c>
      <c r="D642" s="2">
        <v>46177</v>
      </c>
      <c r="E642">
        <v>4.4785499999999999E-2</v>
      </c>
      <c r="F642" s="1" t="s">
        <v>6082</v>
      </c>
      <c r="G642" s="2">
        <v>46177.777343055554</v>
      </c>
      <c r="H642" s="1" t="s">
        <v>1211</v>
      </c>
      <c r="I642" s="2">
        <v>46177.777343020833</v>
      </c>
      <c r="J642" s="1" t="s">
        <v>1211</v>
      </c>
    </row>
    <row r="643" spans="1:10" x14ac:dyDescent="0.35">
      <c r="A643" s="1" t="s">
        <v>1248</v>
      </c>
      <c r="B643" s="1" t="s">
        <v>1209</v>
      </c>
      <c r="C643" s="1" t="s">
        <v>1210</v>
      </c>
      <c r="D643" s="2">
        <v>46177</v>
      </c>
      <c r="E643">
        <v>4.7135499999999997E-2</v>
      </c>
      <c r="F643" s="1" t="s">
        <v>6083</v>
      </c>
      <c r="G643" s="2">
        <v>46177.77734320602</v>
      </c>
      <c r="H643" s="1" t="s">
        <v>1211</v>
      </c>
      <c r="I643" s="2">
        <v>46177.77734320602</v>
      </c>
      <c r="J643" s="1" t="s">
        <v>1211</v>
      </c>
    </row>
    <row r="644" spans="1:10" x14ac:dyDescent="0.35">
      <c r="A644" s="1" t="s">
        <v>1249</v>
      </c>
      <c r="B644" s="1" t="s">
        <v>1209</v>
      </c>
      <c r="C644" s="1" t="s">
        <v>1210</v>
      </c>
      <c r="D644" s="2">
        <v>46177</v>
      </c>
      <c r="E644">
        <v>4.7756E-2</v>
      </c>
      <c r="F644" s="1" t="s">
        <v>6084</v>
      </c>
      <c r="G644" s="2">
        <v>46177.777343368056</v>
      </c>
      <c r="H644" s="1" t="s">
        <v>1211</v>
      </c>
      <c r="I644" s="2">
        <v>46177.777343368056</v>
      </c>
      <c r="J644" s="1" t="s">
        <v>1211</v>
      </c>
    </row>
    <row r="645" spans="1:10" x14ac:dyDescent="0.35">
      <c r="A645" s="1" t="s">
        <v>1250</v>
      </c>
      <c r="B645" s="1" t="s">
        <v>1209</v>
      </c>
      <c r="C645" s="1" t="s">
        <v>1210</v>
      </c>
      <c r="D645" s="2">
        <v>46177</v>
      </c>
      <c r="E645">
        <v>4.8529500000000003E-2</v>
      </c>
      <c r="F645" s="1" t="s">
        <v>6085</v>
      </c>
      <c r="G645" s="2">
        <v>46177.777343518515</v>
      </c>
      <c r="H645" s="1" t="s">
        <v>1211</v>
      </c>
      <c r="I645" s="2">
        <v>46177.777343368056</v>
      </c>
      <c r="J645" s="1" t="s">
        <v>1211</v>
      </c>
    </row>
    <row r="646" spans="1:10" x14ac:dyDescent="0.35">
      <c r="A646" s="1" t="s">
        <v>1251</v>
      </c>
      <c r="B646" s="1" t="s">
        <v>1209</v>
      </c>
      <c r="C646" s="1" t="s">
        <v>1210</v>
      </c>
      <c r="D646" s="2">
        <v>46177</v>
      </c>
      <c r="E646">
        <v>4.9070000000000003E-2</v>
      </c>
      <c r="F646" s="1" t="s">
        <v>6086</v>
      </c>
      <c r="G646" s="2">
        <v>46177.777343634261</v>
      </c>
      <c r="H646" s="1" t="s">
        <v>1211</v>
      </c>
      <c r="I646" s="2">
        <v>46177.777343553244</v>
      </c>
      <c r="J646" s="1" t="s">
        <v>1211</v>
      </c>
    </row>
    <row r="647" spans="1:10" x14ac:dyDescent="0.35">
      <c r="A647" s="1" t="s">
        <v>1252</v>
      </c>
      <c r="B647" s="1" t="s">
        <v>1209</v>
      </c>
      <c r="C647" s="1" t="s">
        <v>1210</v>
      </c>
      <c r="D647" s="2">
        <v>46177</v>
      </c>
      <c r="E647">
        <v>2.5087499999999999E-2</v>
      </c>
      <c r="F647" s="1" t="s">
        <v>6087</v>
      </c>
      <c r="G647" s="2">
        <v>46177.777343784721</v>
      </c>
      <c r="H647" s="1" t="s">
        <v>1211</v>
      </c>
      <c r="I647" s="2">
        <v>46177.77734375</v>
      </c>
      <c r="J647" s="1" t="s">
        <v>1211</v>
      </c>
    </row>
    <row r="648" spans="1:10" x14ac:dyDescent="0.35">
      <c r="A648" s="1" t="s">
        <v>1253</v>
      </c>
      <c r="B648" s="1" t="s">
        <v>1209</v>
      </c>
      <c r="C648" s="1" t="s">
        <v>1210</v>
      </c>
      <c r="D648" s="2">
        <v>46177</v>
      </c>
      <c r="E648">
        <v>4.7314000000000002E-2</v>
      </c>
      <c r="F648" s="1" t="s">
        <v>6088</v>
      </c>
      <c r="G648" s="2">
        <v>46177.777343946756</v>
      </c>
      <c r="H648" s="1" t="s">
        <v>1211</v>
      </c>
      <c r="I648" s="2">
        <v>46177.777343946756</v>
      </c>
      <c r="J648" s="1" t="s">
        <v>1211</v>
      </c>
    </row>
    <row r="649" spans="1:10" x14ac:dyDescent="0.35">
      <c r="A649" s="1" t="s">
        <v>1254</v>
      </c>
      <c r="B649" s="1" t="s">
        <v>1209</v>
      </c>
      <c r="C649" s="1" t="s">
        <v>1210</v>
      </c>
      <c r="D649" s="2">
        <v>46177</v>
      </c>
      <c r="E649">
        <v>4.8893499999999999E-2</v>
      </c>
      <c r="F649" s="1" t="s">
        <v>6089</v>
      </c>
      <c r="G649" s="2">
        <v>46177.777344097223</v>
      </c>
      <c r="H649" s="1" t="s">
        <v>1211</v>
      </c>
      <c r="I649" s="2">
        <v>46177.777344097223</v>
      </c>
      <c r="J649" s="1" t="s">
        <v>1211</v>
      </c>
    </row>
    <row r="650" spans="1:10" x14ac:dyDescent="0.35">
      <c r="A650" s="1" t="s">
        <v>1255</v>
      </c>
      <c r="B650" s="1" t="s">
        <v>1209</v>
      </c>
      <c r="C650" s="1" t="s">
        <v>1210</v>
      </c>
      <c r="D650" s="2">
        <v>46177</v>
      </c>
      <c r="E650">
        <v>2.85375E-2</v>
      </c>
      <c r="F650" s="1" t="s">
        <v>6090</v>
      </c>
      <c r="G650" s="2">
        <v>46177.777344247683</v>
      </c>
      <c r="H650" s="1" t="s">
        <v>1211</v>
      </c>
      <c r="I650" s="2">
        <v>46177.77734429398</v>
      </c>
      <c r="J650" s="1" t="s">
        <v>1211</v>
      </c>
    </row>
    <row r="651" spans="1:10" x14ac:dyDescent="0.35">
      <c r="A651" s="1" t="s">
        <v>1256</v>
      </c>
      <c r="B651" s="1" t="s">
        <v>1209</v>
      </c>
      <c r="C651" s="1" t="s">
        <v>1210</v>
      </c>
      <c r="D651" s="2">
        <v>46177</v>
      </c>
      <c r="E651">
        <v>4.6337999999999997E-2</v>
      </c>
      <c r="F651" s="1" t="s">
        <v>6091</v>
      </c>
      <c r="G651" s="2">
        <v>46177.777344409726</v>
      </c>
      <c r="H651" s="1" t="s">
        <v>1211</v>
      </c>
      <c r="I651" s="2">
        <v>46177.77734429398</v>
      </c>
      <c r="J651" s="1" t="s">
        <v>1211</v>
      </c>
    </row>
    <row r="652" spans="1:10" x14ac:dyDescent="0.35">
      <c r="A652" s="1" t="s">
        <v>1257</v>
      </c>
      <c r="B652" s="1" t="s">
        <v>1209</v>
      </c>
      <c r="C652" s="1" t="s">
        <v>1210</v>
      </c>
      <c r="D652" s="2">
        <v>46177</v>
      </c>
      <c r="E652">
        <v>4.6013499999999999E-2</v>
      </c>
      <c r="F652" s="1" t="s">
        <v>6092</v>
      </c>
      <c r="G652" s="2">
        <v>46177.777344560185</v>
      </c>
      <c r="H652" s="1" t="s">
        <v>1211</v>
      </c>
      <c r="I652" s="2">
        <v>46177.777344479167</v>
      </c>
      <c r="J652" s="1" t="s">
        <v>1211</v>
      </c>
    </row>
    <row r="653" spans="1:10" x14ac:dyDescent="0.35">
      <c r="A653" s="1" t="s">
        <v>1258</v>
      </c>
      <c r="B653" s="1" t="s">
        <v>1209</v>
      </c>
      <c r="C653" s="1" t="s">
        <v>1210</v>
      </c>
      <c r="D653" s="2">
        <v>46177</v>
      </c>
      <c r="E653">
        <v>5.3353499999999998E-2</v>
      </c>
      <c r="F653" s="1" t="s">
        <v>6093</v>
      </c>
      <c r="G653" s="2">
        <v>46177.777344710645</v>
      </c>
      <c r="H653" s="1" t="s">
        <v>1211</v>
      </c>
      <c r="I653" s="2">
        <v>46177.777344641203</v>
      </c>
      <c r="J653" s="1" t="s">
        <v>1211</v>
      </c>
    </row>
    <row r="654" spans="1:10" x14ac:dyDescent="0.35">
      <c r="A654" s="1" t="s">
        <v>1259</v>
      </c>
      <c r="B654" s="1" t="s">
        <v>1209</v>
      </c>
      <c r="C654" s="1" t="s">
        <v>1210</v>
      </c>
      <c r="D654" s="2">
        <v>46177</v>
      </c>
      <c r="E654">
        <v>4.5754499999999997E-2</v>
      </c>
      <c r="F654" s="1" t="s">
        <v>6094</v>
      </c>
      <c r="G654" s="2">
        <v>46177.777344872688</v>
      </c>
      <c r="H654" s="1" t="s">
        <v>1211</v>
      </c>
      <c r="I654" s="2">
        <v>46177.777344826391</v>
      </c>
      <c r="J654" s="1" t="s">
        <v>1211</v>
      </c>
    </row>
    <row r="655" spans="1:10" x14ac:dyDescent="0.35">
      <c r="A655" s="1" t="s">
        <v>1260</v>
      </c>
      <c r="B655" s="1" t="s">
        <v>1209</v>
      </c>
      <c r="C655" s="1" t="s">
        <v>1210</v>
      </c>
      <c r="D655" s="2">
        <v>46177</v>
      </c>
      <c r="E655">
        <v>4.6272500000000001E-2</v>
      </c>
      <c r="F655" s="1" t="s">
        <v>6095</v>
      </c>
      <c r="G655" s="2">
        <v>46177.777345023147</v>
      </c>
      <c r="H655" s="1" t="s">
        <v>1211</v>
      </c>
      <c r="I655" s="2">
        <v>46177.777345023147</v>
      </c>
      <c r="J655" s="1" t="s">
        <v>1211</v>
      </c>
    </row>
    <row r="656" spans="1:10" x14ac:dyDescent="0.35">
      <c r="A656" s="1" t="s">
        <v>1261</v>
      </c>
      <c r="B656" s="1" t="s">
        <v>1209</v>
      </c>
      <c r="C656" s="1" t="s">
        <v>1210</v>
      </c>
      <c r="D656" s="2">
        <v>46177</v>
      </c>
      <c r="E656">
        <v>4.5627000000000001E-2</v>
      </c>
      <c r="F656" s="1" t="s">
        <v>6096</v>
      </c>
      <c r="G656" s="2">
        <v>46177.777345173614</v>
      </c>
      <c r="H656" s="1" t="s">
        <v>1211</v>
      </c>
      <c r="I656" s="2">
        <v>46177.777345173614</v>
      </c>
      <c r="J656" s="1" t="s">
        <v>1211</v>
      </c>
    </row>
    <row r="657" spans="1:10" x14ac:dyDescent="0.35">
      <c r="A657" s="1" t="s">
        <v>1262</v>
      </c>
      <c r="B657" s="1" t="s">
        <v>1209</v>
      </c>
      <c r="C657" s="1" t="s">
        <v>1210</v>
      </c>
      <c r="D657" s="2">
        <v>46177</v>
      </c>
      <c r="E657">
        <v>4.9692500000000001E-2</v>
      </c>
      <c r="F657" s="1" t="s">
        <v>6097</v>
      </c>
      <c r="G657" s="2">
        <v>46177.777345335649</v>
      </c>
      <c r="H657" s="1" t="s">
        <v>1211</v>
      </c>
      <c r="I657" s="2">
        <v>46177.777345173614</v>
      </c>
      <c r="J657" s="1" t="s">
        <v>1211</v>
      </c>
    </row>
    <row r="658" spans="1:10" x14ac:dyDescent="0.35">
      <c r="A658" s="1" t="s">
        <v>1263</v>
      </c>
      <c r="B658" s="1" t="s">
        <v>1209</v>
      </c>
      <c r="C658" s="1" t="s">
        <v>1210</v>
      </c>
      <c r="D658" s="2">
        <v>46177</v>
      </c>
      <c r="E658">
        <v>2.7052260419799998E-2</v>
      </c>
      <c r="F658" s="1" t="s">
        <v>6098</v>
      </c>
      <c r="G658" s="2">
        <v>46177.777345486109</v>
      </c>
      <c r="H658" s="1" t="s">
        <v>1211</v>
      </c>
      <c r="I658" s="2">
        <v>46177.77734537037</v>
      </c>
      <c r="J658" s="1" t="s">
        <v>1211</v>
      </c>
    </row>
    <row r="659" spans="1:10" x14ac:dyDescent="0.35">
      <c r="A659" s="1" t="s">
        <v>1264</v>
      </c>
      <c r="B659" s="1" t="s">
        <v>1209</v>
      </c>
      <c r="C659" s="1" t="s">
        <v>1210</v>
      </c>
      <c r="D659" s="2">
        <v>46177</v>
      </c>
      <c r="E659">
        <v>3.4116799386509099E-2</v>
      </c>
      <c r="F659" s="1" t="s">
        <v>6099</v>
      </c>
      <c r="G659" s="2">
        <v>46177.777345636576</v>
      </c>
      <c r="H659" s="1" t="s">
        <v>1211</v>
      </c>
      <c r="I659" s="2">
        <v>46177.777345567127</v>
      </c>
      <c r="J659" s="1" t="s">
        <v>1211</v>
      </c>
    </row>
    <row r="660" spans="1:10" x14ac:dyDescent="0.35">
      <c r="A660" s="1" t="s">
        <v>1265</v>
      </c>
      <c r="B660" s="1" t="s">
        <v>1209</v>
      </c>
      <c r="C660" s="1" t="s">
        <v>1210</v>
      </c>
      <c r="D660" s="2">
        <v>46177</v>
      </c>
      <c r="E660">
        <v>3.9157452591641002E-2</v>
      </c>
      <c r="F660" s="1" t="s">
        <v>6100</v>
      </c>
      <c r="G660" s="2">
        <v>46177.777345798611</v>
      </c>
      <c r="H660" s="1" t="s">
        <v>1211</v>
      </c>
      <c r="I660" s="2">
        <v>46177.777345717594</v>
      </c>
      <c r="J660" s="1" t="s">
        <v>1211</v>
      </c>
    </row>
    <row r="661" spans="1:10" x14ac:dyDescent="0.35">
      <c r="A661" s="1" t="s">
        <v>1266</v>
      </c>
      <c r="B661" s="1" t="s">
        <v>1209</v>
      </c>
      <c r="C661" s="1" t="s">
        <v>1210</v>
      </c>
      <c r="D661" s="2">
        <v>46177</v>
      </c>
      <c r="E661">
        <v>3.0562359060125201E-2</v>
      </c>
      <c r="F661" s="1" t="s">
        <v>6101</v>
      </c>
      <c r="G661" s="2">
        <v>46177.777345949071</v>
      </c>
      <c r="H661" s="1" t="s">
        <v>1211</v>
      </c>
      <c r="I661" s="2">
        <v>46177.77734591435</v>
      </c>
      <c r="J661" s="1" t="s">
        <v>1211</v>
      </c>
    </row>
    <row r="662" spans="1:10" x14ac:dyDescent="0.35">
      <c r="A662" s="1" t="s">
        <v>1267</v>
      </c>
      <c r="B662" s="1" t="s">
        <v>1209</v>
      </c>
      <c r="C662" s="1" t="s">
        <v>1210</v>
      </c>
      <c r="D662" s="2">
        <v>46177</v>
      </c>
      <c r="E662">
        <v>4.1181243378666098E-2</v>
      </c>
      <c r="F662" s="1" t="s">
        <v>6102</v>
      </c>
      <c r="G662" s="2">
        <v>46177.777346064817</v>
      </c>
      <c r="H662" s="1" t="s">
        <v>1211</v>
      </c>
      <c r="I662" s="2">
        <v>46177.777346099538</v>
      </c>
      <c r="J662" s="1" t="s">
        <v>1211</v>
      </c>
    </row>
    <row r="663" spans="1:10" x14ac:dyDescent="0.35">
      <c r="A663" s="1" t="s">
        <v>1268</v>
      </c>
      <c r="B663" s="1" t="s">
        <v>1209</v>
      </c>
      <c r="C663" s="1" t="s">
        <v>1210</v>
      </c>
      <c r="D663" s="2">
        <v>46177</v>
      </c>
      <c r="E663">
        <v>3.3172469392970999E-2</v>
      </c>
      <c r="F663" s="1" t="s">
        <v>6103</v>
      </c>
      <c r="G663" s="2">
        <v>46177.777346215276</v>
      </c>
      <c r="H663" s="1" t="s">
        <v>1211</v>
      </c>
      <c r="I663" s="2">
        <v>46177.777346099538</v>
      </c>
      <c r="J663" s="1" t="s">
        <v>1211</v>
      </c>
    </row>
    <row r="664" spans="1:10" x14ac:dyDescent="0.35">
      <c r="A664" s="1" t="s">
        <v>1269</v>
      </c>
      <c r="B664" s="1" t="s">
        <v>1209</v>
      </c>
      <c r="C664" s="1" t="s">
        <v>1210</v>
      </c>
      <c r="D664" s="2">
        <v>46177</v>
      </c>
      <c r="E664">
        <v>3.0075636581007401E-2</v>
      </c>
      <c r="F664" s="1" t="s">
        <v>6104</v>
      </c>
      <c r="G664" s="2">
        <v>46177.777346377312</v>
      </c>
      <c r="H664" s="1" t="s">
        <v>1211</v>
      </c>
      <c r="I664" s="2">
        <v>46177.777346261573</v>
      </c>
      <c r="J664" s="1" t="s">
        <v>1211</v>
      </c>
    </row>
    <row r="665" spans="1:10" x14ac:dyDescent="0.35">
      <c r="A665" s="1" t="s">
        <v>1270</v>
      </c>
      <c r="B665" s="1" t="s">
        <v>1209</v>
      </c>
      <c r="C665" s="1" t="s">
        <v>1210</v>
      </c>
      <c r="D665" s="2">
        <v>46177</v>
      </c>
      <c r="E665">
        <v>3.7547551265500703E-2</v>
      </c>
      <c r="F665" s="1" t="s">
        <v>6105</v>
      </c>
      <c r="G665" s="2">
        <v>46177.777346527779</v>
      </c>
      <c r="H665" s="1" t="s">
        <v>1211</v>
      </c>
      <c r="I665" s="2">
        <v>46177.777346446761</v>
      </c>
      <c r="J665" s="1" t="s">
        <v>1211</v>
      </c>
    </row>
    <row r="666" spans="1:10" x14ac:dyDescent="0.35">
      <c r="A666" s="1" t="s">
        <v>1271</v>
      </c>
      <c r="B666" s="1" t="s">
        <v>1209</v>
      </c>
      <c r="C666" s="1" t="s">
        <v>1210</v>
      </c>
      <c r="D666" s="2">
        <v>46177</v>
      </c>
      <c r="E666">
        <v>2.03712797834706E-2</v>
      </c>
      <c r="F666" s="1" t="s">
        <v>6106</v>
      </c>
      <c r="G666" s="2">
        <v>46177.777346678238</v>
      </c>
      <c r="H666" s="1" t="s">
        <v>1211</v>
      </c>
      <c r="I666" s="2">
        <v>46177.777346643517</v>
      </c>
      <c r="J666" s="1" t="s">
        <v>1211</v>
      </c>
    </row>
    <row r="667" spans="1:10" x14ac:dyDescent="0.35">
      <c r="A667" s="1" t="s">
        <v>1272</v>
      </c>
      <c r="B667" s="1" t="s">
        <v>1209</v>
      </c>
      <c r="C667" s="1" t="s">
        <v>1210</v>
      </c>
      <c r="D667" s="2">
        <v>46177</v>
      </c>
      <c r="E667">
        <v>4.2166299217530602E-2</v>
      </c>
      <c r="F667" s="1" t="s">
        <v>6107</v>
      </c>
      <c r="G667" s="2">
        <v>46177.777346840281</v>
      </c>
      <c r="H667" s="1" t="s">
        <v>1211</v>
      </c>
      <c r="I667" s="2">
        <v>46177.777346840281</v>
      </c>
      <c r="J667" s="1" t="s">
        <v>1211</v>
      </c>
    </row>
    <row r="668" spans="1:10" x14ac:dyDescent="0.35">
      <c r="A668" s="1" t="s">
        <v>1273</v>
      </c>
      <c r="B668" s="1" t="s">
        <v>1209</v>
      </c>
      <c r="C668" s="1" t="s">
        <v>1210</v>
      </c>
      <c r="D668" s="2">
        <v>46177</v>
      </c>
      <c r="E668">
        <v>4.3636002201951699E-2</v>
      </c>
      <c r="F668" s="1" t="s">
        <v>6108</v>
      </c>
      <c r="G668" s="2">
        <v>46177.777346990741</v>
      </c>
      <c r="H668" s="1" t="s">
        <v>1211</v>
      </c>
      <c r="I668" s="2">
        <v>46177.777346990741</v>
      </c>
      <c r="J668" s="1" t="s">
        <v>1211</v>
      </c>
    </row>
    <row r="669" spans="1:10" x14ac:dyDescent="0.35">
      <c r="A669" s="1" t="s">
        <v>1274</v>
      </c>
      <c r="B669" s="1" t="s">
        <v>1209</v>
      </c>
      <c r="C669" s="1" t="s">
        <v>1210</v>
      </c>
      <c r="D669" s="2">
        <v>46177</v>
      </c>
      <c r="E669">
        <v>2.6088925481799401E-2</v>
      </c>
      <c r="F669" s="1" t="s">
        <v>6109</v>
      </c>
      <c r="G669" s="2">
        <v>46177.7773471412</v>
      </c>
      <c r="H669" s="1" t="s">
        <v>1211</v>
      </c>
      <c r="I669" s="2">
        <v>46177.777346990741</v>
      </c>
      <c r="J669" s="1" t="s">
        <v>1211</v>
      </c>
    </row>
    <row r="670" spans="1:10" x14ac:dyDescent="0.35">
      <c r="A670" s="1" t="s">
        <v>1275</v>
      </c>
      <c r="B670" s="1" t="s">
        <v>1209</v>
      </c>
      <c r="C670" s="1" t="s">
        <v>1210</v>
      </c>
      <c r="D670" s="2">
        <v>46177</v>
      </c>
      <c r="E670">
        <v>4.3909447633916403E-2</v>
      </c>
      <c r="F670" s="1" t="s">
        <v>6110</v>
      </c>
      <c r="G670" s="2">
        <v>46177.777347303243</v>
      </c>
      <c r="H670" s="1" t="s">
        <v>1211</v>
      </c>
      <c r="I670" s="2">
        <v>46177.777347187497</v>
      </c>
      <c r="J670" s="1" t="s">
        <v>1211</v>
      </c>
    </row>
    <row r="671" spans="1:10" x14ac:dyDescent="0.35">
      <c r="A671" s="1" t="s">
        <v>1276</v>
      </c>
      <c r="B671" s="1" t="s">
        <v>1209</v>
      </c>
      <c r="C671" s="1" t="s">
        <v>1210</v>
      </c>
      <c r="D671" s="2">
        <v>46177</v>
      </c>
      <c r="E671">
        <v>3.6571312643943497E-2</v>
      </c>
      <c r="F671" s="1" t="s">
        <v>6111</v>
      </c>
      <c r="G671" s="2">
        <v>46177.777347453703</v>
      </c>
      <c r="H671" s="1" t="s">
        <v>1211</v>
      </c>
      <c r="I671" s="2">
        <v>46177.777347372685</v>
      </c>
      <c r="J671" s="1" t="s">
        <v>1211</v>
      </c>
    </row>
    <row r="672" spans="1:10" x14ac:dyDescent="0.35">
      <c r="A672" s="1" t="s">
        <v>1277</v>
      </c>
      <c r="B672" s="1" t="s">
        <v>1209</v>
      </c>
      <c r="C672" s="1" t="s">
        <v>1210</v>
      </c>
      <c r="D672" s="2">
        <v>46177</v>
      </c>
      <c r="E672">
        <v>2.71787169540922E-2</v>
      </c>
      <c r="F672" s="1" t="s">
        <v>6112</v>
      </c>
      <c r="G672" s="2">
        <v>46177.777347604169</v>
      </c>
      <c r="H672" s="1" t="s">
        <v>1211</v>
      </c>
      <c r="I672" s="2">
        <v>46177.77734753472</v>
      </c>
      <c r="J672" s="1" t="s">
        <v>1211</v>
      </c>
    </row>
    <row r="673" spans="1:10" x14ac:dyDescent="0.35">
      <c r="A673" s="1" t="s">
        <v>1278</v>
      </c>
      <c r="B673" s="1" t="s">
        <v>1209</v>
      </c>
      <c r="C673" s="1" t="s">
        <v>1210</v>
      </c>
      <c r="D673" s="2">
        <v>46177</v>
      </c>
      <c r="E673">
        <v>3.1563014974458903E-2</v>
      </c>
      <c r="F673" s="1" t="s">
        <v>6113</v>
      </c>
      <c r="G673" s="2">
        <v>46177.777347881944</v>
      </c>
      <c r="H673" s="1" t="s">
        <v>1211</v>
      </c>
      <c r="I673" s="2">
        <v>46177.777347916664</v>
      </c>
      <c r="J673" s="1" t="s">
        <v>1211</v>
      </c>
    </row>
    <row r="674" spans="1:10" x14ac:dyDescent="0.35">
      <c r="A674" s="1" t="s">
        <v>1279</v>
      </c>
      <c r="B674" s="1" t="s">
        <v>1209</v>
      </c>
      <c r="C674" s="1" t="s">
        <v>1210</v>
      </c>
      <c r="D674" s="2">
        <v>46177</v>
      </c>
      <c r="E674">
        <v>2.7974064726488501E-2</v>
      </c>
      <c r="F674" s="1" t="s">
        <v>6114</v>
      </c>
      <c r="G674" s="2">
        <v>46177.77734803241</v>
      </c>
      <c r="H674" s="1" t="s">
        <v>1211</v>
      </c>
      <c r="I674" s="2">
        <v>46177.777347916664</v>
      </c>
      <c r="J674" s="1" t="s">
        <v>1211</v>
      </c>
    </row>
    <row r="675" spans="1:10" x14ac:dyDescent="0.35">
      <c r="A675" s="1" t="s">
        <v>1280</v>
      </c>
      <c r="B675" s="1" t="s">
        <v>1209</v>
      </c>
      <c r="C675" s="1" t="s">
        <v>1210</v>
      </c>
      <c r="D675" s="2">
        <v>46177</v>
      </c>
      <c r="E675">
        <v>4.2931037452207201E-2</v>
      </c>
      <c r="F675" s="1" t="s">
        <v>6115</v>
      </c>
      <c r="G675" s="2">
        <v>46177.77734818287</v>
      </c>
      <c r="H675" s="1" t="s">
        <v>1211</v>
      </c>
      <c r="I675" s="2">
        <v>46177.777348067131</v>
      </c>
      <c r="J675" s="1" t="s">
        <v>1211</v>
      </c>
    </row>
    <row r="676" spans="1:10" x14ac:dyDescent="0.35">
      <c r="A676" s="1" t="s">
        <v>1281</v>
      </c>
      <c r="B676" s="1" t="s">
        <v>1209</v>
      </c>
      <c r="C676" s="1" t="s">
        <v>1210</v>
      </c>
      <c r="D676" s="2">
        <v>46177</v>
      </c>
      <c r="E676">
        <v>2.89821922852978E-2</v>
      </c>
      <c r="F676" s="1" t="s">
        <v>6116</v>
      </c>
      <c r="G676" s="2">
        <v>46177.777348344905</v>
      </c>
      <c r="H676" s="1" t="s">
        <v>1211</v>
      </c>
      <c r="I676" s="2">
        <v>46177.777348263888</v>
      </c>
      <c r="J676" s="1" t="s">
        <v>1211</v>
      </c>
    </row>
    <row r="677" spans="1:10" x14ac:dyDescent="0.35">
      <c r="A677" s="1" t="s">
        <v>1282</v>
      </c>
      <c r="B677" s="1" t="s">
        <v>1209</v>
      </c>
      <c r="C677" s="1" t="s">
        <v>1210</v>
      </c>
      <c r="D677" s="2">
        <v>46177</v>
      </c>
      <c r="E677">
        <v>3.9270072945023403E-2</v>
      </c>
      <c r="F677" s="1" t="s">
        <v>6117</v>
      </c>
      <c r="G677" s="2">
        <v>46177.777348495372</v>
      </c>
      <c r="H677" s="1" t="s">
        <v>1211</v>
      </c>
      <c r="I677" s="2">
        <v>46177.777348460651</v>
      </c>
      <c r="J677" s="1" t="s">
        <v>1211</v>
      </c>
    </row>
    <row r="678" spans="1:10" x14ac:dyDescent="0.35">
      <c r="A678" s="1" t="s">
        <v>1283</v>
      </c>
      <c r="B678" s="1" t="s">
        <v>1209</v>
      </c>
      <c r="C678" s="1" t="s">
        <v>1210</v>
      </c>
      <c r="D678" s="2">
        <v>46177</v>
      </c>
      <c r="E678">
        <v>2.6718199047570002E-2</v>
      </c>
      <c r="F678" s="1" t="s">
        <v>6118</v>
      </c>
      <c r="G678" s="2">
        <v>46177.777348611111</v>
      </c>
      <c r="H678" s="1" t="s">
        <v>1211</v>
      </c>
      <c r="I678" s="2">
        <v>46177.777348611111</v>
      </c>
      <c r="J678" s="1" t="s">
        <v>1211</v>
      </c>
    </row>
    <row r="679" spans="1:10" x14ac:dyDescent="0.35">
      <c r="A679" s="1" t="s">
        <v>1284</v>
      </c>
      <c r="B679" s="1" t="s">
        <v>1209</v>
      </c>
      <c r="C679" s="1" t="s">
        <v>1210</v>
      </c>
      <c r="D679" s="2">
        <v>46177</v>
      </c>
      <c r="E679">
        <v>3.04062017796091E-2</v>
      </c>
      <c r="F679" s="1" t="s">
        <v>6119</v>
      </c>
      <c r="G679" s="2">
        <v>46177.77734876157</v>
      </c>
      <c r="H679" s="1" t="s">
        <v>1211</v>
      </c>
      <c r="I679" s="2">
        <v>46177.777348807867</v>
      </c>
      <c r="J679" s="1" t="s">
        <v>1211</v>
      </c>
    </row>
    <row r="680" spans="1:10" x14ac:dyDescent="0.35">
      <c r="A680" s="1" t="s">
        <v>1285</v>
      </c>
      <c r="B680" s="1" t="s">
        <v>1209</v>
      </c>
      <c r="C680" s="1" t="s">
        <v>1210</v>
      </c>
      <c r="D680" s="2">
        <v>46177</v>
      </c>
      <c r="E680">
        <v>4.0441627359156698E-2</v>
      </c>
      <c r="F680" s="1" t="s">
        <v>6120</v>
      </c>
      <c r="G680" s="2">
        <v>46177.777348923613</v>
      </c>
      <c r="H680" s="1" t="s">
        <v>1211</v>
      </c>
      <c r="I680" s="2">
        <v>46177.777348807867</v>
      </c>
      <c r="J680" s="1" t="s">
        <v>1211</v>
      </c>
    </row>
    <row r="681" spans="1:10" x14ac:dyDescent="0.35">
      <c r="A681" s="1" t="s">
        <v>1286</v>
      </c>
      <c r="B681" s="1" t="s">
        <v>1209</v>
      </c>
      <c r="C681" s="1" t="s">
        <v>1210</v>
      </c>
      <c r="D681" s="2">
        <v>46177</v>
      </c>
      <c r="E681">
        <v>3.11558058679916E-2</v>
      </c>
      <c r="F681" s="1" t="s">
        <v>6121</v>
      </c>
      <c r="G681" s="2">
        <v>46177.777349074073</v>
      </c>
      <c r="H681" s="1" t="s">
        <v>1211</v>
      </c>
      <c r="I681" s="2">
        <v>46177.777348993055</v>
      </c>
      <c r="J681" s="1" t="s">
        <v>1211</v>
      </c>
    </row>
    <row r="682" spans="1:10" x14ac:dyDescent="0.35">
      <c r="A682" s="1" t="s">
        <v>1287</v>
      </c>
      <c r="B682" s="1" t="s">
        <v>1209</v>
      </c>
      <c r="C682" s="1" t="s">
        <v>1210</v>
      </c>
      <c r="D682" s="2">
        <v>46177</v>
      </c>
      <c r="E682">
        <v>4.3495628561993599E-2</v>
      </c>
      <c r="F682" s="1" t="s">
        <v>6122</v>
      </c>
      <c r="G682" s="2">
        <v>46177.77734922454</v>
      </c>
      <c r="H682" s="1" t="s">
        <v>1211</v>
      </c>
      <c r="I682" s="2">
        <v>46177.777349155091</v>
      </c>
      <c r="J682" s="1" t="s">
        <v>1211</v>
      </c>
    </row>
    <row r="683" spans="1:10" x14ac:dyDescent="0.35">
      <c r="A683" s="1" t="s">
        <v>1288</v>
      </c>
      <c r="B683" s="1" t="s">
        <v>1209</v>
      </c>
      <c r="C683" s="1" t="s">
        <v>1210</v>
      </c>
      <c r="D683" s="2">
        <v>46177</v>
      </c>
      <c r="E683">
        <v>3.7914165555794799E-2</v>
      </c>
      <c r="F683" s="1" t="s">
        <v>6123</v>
      </c>
      <c r="G683" s="2">
        <v>46177.777349386575</v>
      </c>
      <c r="H683" s="1" t="s">
        <v>1211</v>
      </c>
      <c r="I683" s="2">
        <v>46177.777349340278</v>
      </c>
      <c r="J683" s="1" t="s">
        <v>1211</v>
      </c>
    </row>
    <row r="684" spans="1:10" x14ac:dyDescent="0.35">
      <c r="A684" s="1" t="s">
        <v>1289</v>
      </c>
      <c r="B684" s="1" t="s">
        <v>1209</v>
      </c>
      <c r="C684" s="1" t="s">
        <v>1210</v>
      </c>
      <c r="D684" s="2">
        <v>46177</v>
      </c>
      <c r="E684">
        <v>3.2116755585443302E-2</v>
      </c>
      <c r="F684" s="1" t="s">
        <v>6124</v>
      </c>
      <c r="G684" s="2">
        <v>46177.777349537035</v>
      </c>
      <c r="H684" s="1" t="s">
        <v>1211</v>
      </c>
      <c r="I684" s="2">
        <v>46177.777349537035</v>
      </c>
      <c r="J684" s="1" t="s">
        <v>1211</v>
      </c>
    </row>
    <row r="685" spans="1:10" x14ac:dyDescent="0.35">
      <c r="A685" s="1" t="s">
        <v>1290</v>
      </c>
      <c r="B685" s="1" t="s">
        <v>1209</v>
      </c>
      <c r="C685" s="1" t="s">
        <v>1210</v>
      </c>
      <c r="D685" s="2">
        <v>46177</v>
      </c>
      <c r="E685">
        <v>4.35185963689428E-2</v>
      </c>
      <c r="F685" s="1" t="s">
        <v>6125</v>
      </c>
      <c r="G685" s="2">
        <v>46177.777349687502</v>
      </c>
      <c r="H685" s="1" t="s">
        <v>1211</v>
      </c>
      <c r="I685" s="2">
        <v>46177.777349733798</v>
      </c>
      <c r="J685" s="1" t="s">
        <v>1211</v>
      </c>
    </row>
    <row r="686" spans="1:10" x14ac:dyDescent="0.35">
      <c r="A686" s="1" t="s">
        <v>1291</v>
      </c>
      <c r="B686" s="1" t="s">
        <v>1209</v>
      </c>
      <c r="C686" s="1" t="s">
        <v>1210</v>
      </c>
      <c r="D686" s="2">
        <v>46177</v>
      </c>
      <c r="E686">
        <v>4.0626968824168899E-2</v>
      </c>
      <c r="F686" s="1" t="s">
        <v>6126</v>
      </c>
      <c r="G686" s="2">
        <v>46177.777349849537</v>
      </c>
      <c r="H686" s="1" t="s">
        <v>1211</v>
      </c>
      <c r="I686" s="2">
        <v>46177.777349733798</v>
      </c>
      <c r="J686" s="1" t="s">
        <v>1211</v>
      </c>
    </row>
    <row r="687" spans="1:10" x14ac:dyDescent="0.35">
      <c r="A687" s="1" t="s">
        <v>1292</v>
      </c>
      <c r="B687" s="1" t="s">
        <v>1209</v>
      </c>
      <c r="C687" s="1" t="s">
        <v>1210</v>
      </c>
      <c r="D687" s="2">
        <v>46177</v>
      </c>
      <c r="E687">
        <v>3.3713847432847603E-2</v>
      </c>
      <c r="F687" s="1" t="s">
        <v>6127</v>
      </c>
      <c r="G687" s="2">
        <v>46177.777349999997</v>
      </c>
      <c r="H687" s="1" t="s">
        <v>1211</v>
      </c>
      <c r="I687" s="2">
        <v>46177.777349965276</v>
      </c>
      <c r="J687" s="1" t="s">
        <v>1211</v>
      </c>
    </row>
    <row r="688" spans="1:10" x14ac:dyDescent="0.35">
      <c r="A688" s="1" t="s">
        <v>1293</v>
      </c>
      <c r="B688" s="1" t="s">
        <v>1209</v>
      </c>
      <c r="C688" s="1" t="s">
        <v>1210</v>
      </c>
      <c r="D688" s="2">
        <v>46177</v>
      </c>
      <c r="E688">
        <v>4.3817527092191597E-2</v>
      </c>
      <c r="F688" s="1" t="s">
        <v>6128</v>
      </c>
      <c r="G688" s="2">
        <v>46177.777350150463</v>
      </c>
      <c r="H688" s="1" t="s">
        <v>1211</v>
      </c>
      <c r="I688" s="2">
        <v>46177.777350115743</v>
      </c>
      <c r="J688" s="1" t="s">
        <v>1211</v>
      </c>
    </row>
    <row r="689" spans="1:10" x14ac:dyDescent="0.35">
      <c r="A689" s="1" t="s">
        <v>1294</v>
      </c>
      <c r="B689" s="1" t="s">
        <v>1209</v>
      </c>
      <c r="C689" s="1" t="s">
        <v>1210</v>
      </c>
      <c r="D689" s="2">
        <v>46177</v>
      </c>
      <c r="E689">
        <v>2.8396458043546E-2</v>
      </c>
      <c r="F689" s="1" t="s">
        <v>6129</v>
      </c>
      <c r="G689" s="2">
        <v>46177.777350312499</v>
      </c>
      <c r="H689" s="1" t="s">
        <v>1211</v>
      </c>
      <c r="I689" s="2">
        <v>46177.777350312499</v>
      </c>
      <c r="J689" s="1" t="s">
        <v>1211</v>
      </c>
    </row>
    <row r="690" spans="1:10" x14ac:dyDescent="0.35">
      <c r="A690" s="1" t="s">
        <v>1295</v>
      </c>
      <c r="B690" s="1" t="s">
        <v>1209</v>
      </c>
      <c r="C690" s="1" t="s">
        <v>1210</v>
      </c>
      <c r="D690" s="2">
        <v>46177</v>
      </c>
      <c r="E690">
        <v>3.45757192249707E-2</v>
      </c>
      <c r="F690" s="1" t="s">
        <v>6130</v>
      </c>
      <c r="G690" s="2">
        <v>46177.777350462966</v>
      </c>
      <c r="H690" s="1" t="s">
        <v>1211</v>
      </c>
      <c r="I690" s="2">
        <v>46177.777350497687</v>
      </c>
      <c r="J690" s="1" t="s">
        <v>1211</v>
      </c>
    </row>
    <row r="691" spans="1:10" x14ac:dyDescent="0.35">
      <c r="A691" s="1" t="s">
        <v>1296</v>
      </c>
      <c r="B691" s="1" t="s">
        <v>1209</v>
      </c>
      <c r="C691" s="1" t="s">
        <v>1210</v>
      </c>
      <c r="D691" s="2">
        <v>46177</v>
      </c>
      <c r="E691">
        <v>2.9508261680342599E-2</v>
      </c>
      <c r="F691" s="1" t="s">
        <v>6131</v>
      </c>
      <c r="G691" s="2">
        <v>46177.777350613425</v>
      </c>
      <c r="H691" s="1" t="s">
        <v>1211</v>
      </c>
      <c r="I691" s="2">
        <v>46177.777350497687</v>
      </c>
      <c r="J691" s="1" t="s">
        <v>1211</v>
      </c>
    </row>
    <row r="692" spans="1:10" x14ac:dyDescent="0.35">
      <c r="A692" s="1" t="s">
        <v>1297</v>
      </c>
      <c r="B692" s="1" t="s">
        <v>1209</v>
      </c>
      <c r="C692" s="1" t="s">
        <v>1210</v>
      </c>
      <c r="D692" s="2">
        <v>46177</v>
      </c>
      <c r="E692">
        <v>3.5647253623597601E-2</v>
      </c>
      <c r="F692" s="1" t="s">
        <v>6132</v>
      </c>
      <c r="G692" s="2">
        <v>46177.777350810182</v>
      </c>
      <c r="H692" s="1" t="s">
        <v>1211</v>
      </c>
      <c r="I692" s="2">
        <v>46177.777350659722</v>
      </c>
      <c r="J692" s="1" t="s">
        <v>1211</v>
      </c>
    </row>
    <row r="693" spans="1:10" x14ac:dyDescent="0.35">
      <c r="A693" s="1" t="s">
        <v>1298</v>
      </c>
      <c r="B693" s="1" t="s">
        <v>1209</v>
      </c>
      <c r="C693" s="1" t="s">
        <v>1210</v>
      </c>
      <c r="D693" s="2">
        <v>46177</v>
      </c>
      <c r="E693">
        <v>4.40073175697719E-2</v>
      </c>
      <c r="F693" s="1" t="s">
        <v>6133</v>
      </c>
      <c r="G693" s="2">
        <v>46177.777350925928</v>
      </c>
      <c r="H693" s="1" t="s">
        <v>1211</v>
      </c>
      <c r="I693" s="2">
        <v>46177.77735084491</v>
      </c>
      <c r="J693" s="1" t="s">
        <v>1211</v>
      </c>
    </row>
    <row r="694" spans="1:10" x14ac:dyDescent="0.35">
      <c r="A694" s="1" t="s">
        <v>3717</v>
      </c>
      <c r="B694" s="1" t="s">
        <v>1209</v>
      </c>
      <c r="C694" s="1" t="s">
        <v>1210</v>
      </c>
      <c r="D694" s="2">
        <v>46177</v>
      </c>
      <c r="E694">
        <v>3.0379945348084601E-2</v>
      </c>
      <c r="F694" s="1" t="s">
        <v>6134</v>
      </c>
      <c r="G694" s="2">
        <v>46177.777351122684</v>
      </c>
      <c r="H694" s="1" t="s">
        <v>1211</v>
      </c>
      <c r="I694" s="2">
        <v>46177.777351041666</v>
      </c>
      <c r="J694" s="1" t="s">
        <v>1211</v>
      </c>
    </row>
    <row r="695" spans="1:10" x14ac:dyDescent="0.35">
      <c r="A695" s="1" t="s">
        <v>1299</v>
      </c>
      <c r="B695" s="1" t="s">
        <v>1224</v>
      </c>
      <c r="C695" s="1" t="s">
        <v>1210</v>
      </c>
      <c r="D695" s="2">
        <v>46177</v>
      </c>
      <c r="E695">
        <v>121.01</v>
      </c>
      <c r="F695" s="1" t="s">
        <v>6135</v>
      </c>
      <c r="G695" s="2">
        <v>46177.777560034723</v>
      </c>
      <c r="H695" s="1" t="s">
        <v>1211</v>
      </c>
      <c r="I695" s="2">
        <v>46177.777559918984</v>
      </c>
      <c r="J695" s="1" t="s">
        <v>1211</v>
      </c>
    </row>
    <row r="696" spans="1:10" x14ac:dyDescent="0.35">
      <c r="A696" s="1" t="s">
        <v>1300</v>
      </c>
      <c r="B696" s="1" t="s">
        <v>1209</v>
      </c>
      <c r="C696" s="1" t="s">
        <v>1210</v>
      </c>
      <c r="D696" s="2">
        <v>46177</v>
      </c>
      <c r="E696">
        <v>4.1462300000000001E-2</v>
      </c>
      <c r="F696" s="1" t="s">
        <v>6136</v>
      </c>
      <c r="G696" s="2">
        <v>46177.777510532411</v>
      </c>
      <c r="H696" s="1" t="s">
        <v>1211</v>
      </c>
      <c r="I696" s="2">
        <v>46177.777510451386</v>
      </c>
      <c r="J696" s="1" t="s">
        <v>1211</v>
      </c>
    </row>
    <row r="697" spans="1:10" x14ac:dyDescent="0.35">
      <c r="A697" s="1" t="s">
        <v>1301</v>
      </c>
      <c r="B697" s="1" t="s">
        <v>1209</v>
      </c>
      <c r="C697" s="1" t="s">
        <v>1210</v>
      </c>
      <c r="D697" s="2">
        <v>46177</v>
      </c>
      <c r="E697">
        <v>4.4877050000000002E-2</v>
      </c>
      <c r="F697" s="1" t="s">
        <v>6137</v>
      </c>
      <c r="G697" s="2">
        <v>46177.777512071756</v>
      </c>
      <c r="H697" s="1" t="s">
        <v>1211</v>
      </c>
      <c r="I697" s="2">
        <v>46177.777511956017</v>
      </c>
      <c r="J697" s="1" t="s">
        <v>1211</v>
      </c>
    </row>
    <row r="698" spans="1:10" x14ac:dyDescent="0.35">
      <c r="A698" s="1" t="s">
        <v>1302</v>
      </c>
      <c r="B698" s="1" t="s">
        <v>1209</v>
      </c>
      <c r="C698" s="1" t="s">
        <v>1210</v>
      </c>
      <c r="D698" s="2">
        <v>46177</v>
      </c>
      <c r="E698">
        <v>4.5922449999999997E-2</v>
      </c>
      <c r="F698" s="1" t="s">
        <v>6138</v>
      </c>
      <c r="G698" s="2">
        <v>46177.777512233799</v>
      </c>
      <c r="H698" s="1" t="s">
        <v>1211</v>
      </c>
      <c r="I698" s="2">
        <v>46177.777512152781</v>
      </c>
      <c r="J698" s="1" t="s">
        <v>1211</v>
      </c>
    </row>
    <row r="699" spans="1:10" x14ac:dyDescent="0.35">
      <c r="A699" s="1" t="s">
        <v>1303</v>
      </c>
      <c r="B699" s="1" t="s">
        <v>1209</v>
      </c>
      <c r="C699" s="1" t="s">
        <v>1210</v>
      </c>
      <c r="D699" s="2">
        <v>46177</v>
      </c>
      <c r="E699">
        <v>4.7206699999999997E-2</v>
      </c>
      <c r="F699" s="1" t="s">
        <v>6139</v>
      </c>
      <c r="G699" s="2">
        <v>46177.777512384258</v>
      </c>
      <c r="H699" s="1" t="s">
        <v>1211</v>
      </c>
      <c r="I699" s="2">
        <v>46177.777512303241</v>
      </c>
      <c r="J699" s="1" t="s">
        <v>1211</v>
      </c>
    </row>
    <row r="700" spans="1:10" x14ac:dyDescent="0.35">
      <c r="A700" s="1" t="s">
        <v>1304</v>
      </c>
      <c r="B700" s="1" t="s">
        <v>1209</v>
      </c>
      <c r="C700" s="1" t="s">
        <v>1210</v>
      </c>
      <c r="D700" s="2">
        <v>46177</v>
      </c>
      <c r="E700">
        <v>4.199845E-2</v>
      </c>
      <c r="F700" s="1" t="s">
        <v>6140</v>
      </c>
      <c r="G700" s="2">
        <v>46177.77751068287</v>
      </c>
      <c r="H700" s="1" t="s">
        <v>1211</v>
      </c>
      <c r="I700" s="2">
        <v>46177.777510648149</v>
      </c>
      <c r="J700" s="1" t="s">
        <v>1211</v>
      </c>
    </row>
    <row r="701" spans="1:10" x14ac:dyDescent="0.35">
      <c r="A701" s="1" t="s">
        <v>1305</v>
      </c>
      <c r="B701" s="1" t="s">
        <v>1209</v>
      </c>
      <c r="C701" s="1" t="s">
        <v>1210</v>
      </c>
      <c r="D701" s="2">
        <v>46177</v>
      </c>
      <c r="E701">
        <v>3.7321399999999998E-2</v>
      </c>
      <c r="F701" s="1" t="s">
        <v>6141</v>
      </c>
      <c r="G701" s="2">
        <v>46177.777508564817</v>
      </c>
      <c r="H701" s="1" t="s">
        <v>1211</v>
      </c>
      <c r="I701" s="2">
        <v>46177.777508449071</v>
      </c>
      <c r="J701" s="1" t="s">
        <v>1211</v>
      </c>
    </row>
    <row r="702" spans="1:10" x14ac:dyDescent="0.35">
      <c r="A702" s="1" t="s">
        <v>1306</v>
      </c>
      <c r="B702" s="1" t="s">
        <v>1209</v>
      </c>
      <c r="C702" s="1" t="s">
        <v>1210</v>
      </c>
      <c r="D702" s="2">
        <v>46177</v>
      </c>
      <c r="E702">
        <v>4.2217299999999999E-2</v>
      </c>
      <c r="F702" s="1" t="s">
        <v>6142</v>
      </c>
      <c r="G702" s="2">
        <v>46177.777510844906</v>
      </c>
      <c r="H702" s="1" t="s">
        <v>1211</v>
      </c>
      <c r="I702" s="2">
        <v>46177.777510798609</v>
      </c>
      <c r="J702" s="1" t="s">
        <v>1211</v>
      </c>
    </row>
    <row r="703" spans="1:10" x14ac:dyDescent="0.35">
      <c r="A703" s="1" t="s">
        <v>1307</v>
      </c>
      <c r="B703" s="1" t="s">
        <v>1209</v>
      </c>
      <c r="C703" s="1" t="s">
        <v>1210</v>
      </c>
      <c r="D703" s="2">
        <v>46177</v>
      </c>
      <c r="E703">
        <v>4.847945E-2</v>
      </c>
      <c r="F703" s="1" t="s">
        <v>6143</v>
      </c>
      <c r="G703" s="2">
        <v>46177.777512534725</v>
      </c>
      <c r="H703" s="1" t="s">
        <v>1211</v>
      </c>
      <c r="I703" s="2">
        <v>46177.777512499997</v>
      </c>
      <c r="J703" s="1" t="s">
        <v>1211</v>
      </c>
    </row>
    <row r="704" spans="1:10" x14ac:dyDescent="0.35">
      <c r="A704" s="1" t="s">
        <v>1308</v>
      </c>
      <c r="B704" s="1" t="s">
        <v>1209</v>
      </c>
      <c r="C704" s="1" t="s">
        <v>1210</v>
      </c>
      <c r="D704" s="2">
        <v>46177</v>
      </c>
      <c r="E704">
        <v>4.89676E-2</v>
      </c>
      <c r="F704" s="1" t="s">
        <v>6144</v>
      </c>
      <c r="G704" s="2">
        <v>46177.777512696761</v>
      </c>
      <c r="H704" s="1" t="s">
        <v>1211</v>
      </c>
      <c r="I704" s="2">
        <v>46177.777512696761</v>
      </c>
      <c r="J704" s="1" t="s">
        <v>1211</v>
      </c>
    </row>
    <row r="705" spans="1:10" x14ac:dyDescent="0.35">
      <c r="A705" s="1" t="s">
        <v>1309</v>
      </c>
      <c r="B705" s="1" t="s">
        <v>1209</v>
      </c>
      <c r="C705" s="1" t="s">
        <v>1210</v>
      </c>
      <c r="D705" s="2">
        <v>46177</v>
      </c>
      <c r="E705">
        <v>3.7338999999999997E-2</v>
      </c>
      <c r="F705" s="1" t="s">
        <v>6145</v>
      </c>
      <c r="G705" s="2">
        <v>46177.777508715277</v>
      </c>
      <c r="H705" s="1" t="s">
        <v>1211</v>
      </c>
      <c r="I705" s="2">
        <v>46177.777508645835</v>
      </c>
      <c r="J705" s="1" t="s">
        <v>1211</v>
      </c>
    </row>
    <row r="706" spans="1:10" x14ac:dyDescent="0.35">
      <c r="A706" s="1" t="s">
        <v>1310</v>
      </c>
      <c r="B706" s="1" t="s">
        <v>1209</v>
      </c>
      <c r="C706" s="1" t="s">
        <v>1210</v>
      </c>
      <c r="D706" s="2">
        <v>46177</v>
      </c>
      <c r="E706">
        <v>4.2106150000000002E-2</v>
      </c>
      <c r="F706" s="1" t="s">
        <v>6146</v>
      </c>
      <c r="G706" s="2">
        <v>46177.777510995373</v>
      </c>
      <c r="H706" s="1" t="s">
        <v>1211</v>
      </c>
      <c r="I706" s="2">
        <v>46177.777510995373</v>
      </c>
      <c r="J706" s="1" t="s">
        <v>1211</v>
      </c>
    </row>
    <row r="707" spans="1:10" x14ac:dyDescent="0.35">
      <c r="A707" s="1" t="s">
        <v>1311</v>
      </c>
      <c r="B707" s="1" t="s">
        <v>1209</v>
      </c>
      <c r="C707" s="1" t="s">
        <v>1210</v>
      </c>
      <c r="D707" s="2">
        <v>46177</v>
      </c>
      <c r="E707">
        <v>4.8953099999999999E-2</v>
      </c>
      <c r="F707" s="1" t="s">
        <v>6147</v>
      </c>
      <c r="G707" s="2">
        <v>46177.77751284722</v>
      </c>
      <c r="H707" s="1" t="s">
        <v>1211</v>
      </c>
      <c r="I707" s="2">
        <v>46177.777512696761</v>
      </c>
      <c r="J707" s="1" t="s">
        <v>1211</v>
      </c>
    </row>
    <row r="708" spans="1:10" x14ac:dyDescent="0.35">
      <c r="A708" s="1" t="s">
        <v>1312</v>
      </c>
      <c r="B708" s="1" t="s">
        <v>1209</v>
      </c>
      <c r="C708" s="1" t="s">
        <v>1210</v>
      </c>
      <c r="D708" s="2">
        <v>46177</v>
      </c>
      <c r="E708">
        <v>4.2155150000000002E-2</v>
      </c>
      <c r="F708" s="1" t="s">
        <v>6148</v>
      </c>
      <c r="G708" s="2">
        <v>46177.777511145832</v>
      </c>
      <c r="H708" s="1" t="s">
        <v>1211</v>
      </c>
      <c r="I708" s="2">
        <v>46177.777510995373</v>
      </c>
      <c r="J708" s="1" t="s">
        <v>1211</v>
      </c>
    </row>
    <row r="709" spans="1:10" x14ac:dyDescent="0.35">
      <c r="A709" s="1" t="s">
        <v>1313</v>
      </c>
      <c r="B709" s="1" t="s">
        <v>1209</v>
      </c>
      <c r="C709" s="1" t="s">
        <v>1210</v>
      </c>
      <c r="D709" s="2">
        <v>46177</v>
      </c>
      <c r="E709">
        <v>4.8283649999999997E-2</v>
      </c>
      <c r="F709" s="1" t="s">
        <v>6149</v>
      </c>
      <c r="G709" s="2">
        <v>46177.777512997687</v>
      </c>
      <c r="H709" s="1" t="s">
        <v>1211</v>
      </c>
      <c r="I709" s="2">
        <v>46177.77751284722</v>
      </c>
      <c r="J709" s="1" t="s">
        <v>1211</v>
      </c>
    </row>
    <row r="710" spans="1:10" x14ac:dyDescent="0.35">
      <c r="A710" s="1" t="s">
        <v>1314</v>
      </c>
      <c r="B710" s="1" t="s">
        <v>1209</v>
      </c>
      <c r="C710" s="1" t="s">
        <v>1210</v>
      </c>
      <c r="D710" s="2">
        <v>46177</v>
      </c>
      <c r="E710">
        <v>4.2386849999999997E-2</v>
      </c>
      <c r="F710" s="1" t="s">
        <v>6150</v>
      </c>
      <c r="G710" s="2">
        <v>46177.777511307868</v>
      </c>
      <c r="H710" s="1" t="s">
        <v>1211</v>
      </c>
      <c r="I710" s="2">
        <v>46177.777511192129</v>
      </c>
      <c r="J710" s="1" t="s">
        <v>1211</v>
      </c>
    </row>
    <row r="711" spans="1:10" x14ac:dyDescent="0.35">
      <c r="A711" s="1" t="s">
        <v>1315</v>
      </c>
      <c r="B711" s="1" t="s">
        <v>1209</v>
      </c>
      <c r="C711" s="1" t="s">
        <v>1210</v>
      </c>
      <c r="D711" s="2">
        <v>46177</v>
      </c>
      <c r="E711">
        <v>4.7353550000000001E-2</v>
      </c>
      <c r="F711" s="1" t="s">
        <v>6151</v>
      </c>
      <c r="G711" s="2">
        <v>46177.777513159723</v>
      </c>
      <c r="H711" s="1" t="s">
        <v>1211</v>
      </c>
      <c r="I711" s="2">
        <v>46177.777513043984</v>
      </c>
      <c r="J711" s="1" t="s">
        <v>1211</v>
      </c>
    </row>
    <row r="712" spans="1:10" x14ac:dyDescent="0.35">
      <c r="A712" s="1" t="s">
        <v>1316</v>
      </c>
      <c r="B712" s="1" t="s">
        <v>1209</v>
      </c>
      <c r="C712" s="1" t="s">
        <v>1210</v>
      </c>
      <c r="D712" s="2">
        <v>46177</v>
      </c>
      <c r="E712">
        <v>4.2754500000000001E-2</v>
      </c>
      <c r="F712" s="1" t="s">
        <v>6152</v>
      </c>
      <c r="G712" s="2">
        <v>46177.777511458335</v>
      </c>
      <c r="H712" s="1" t="s">
        <v>1211</v>
      </c>
      <c r="I712" s="2">
        <v>46177.777511342596</v>
      </c>
      <c r="J712" s="1" t="s">
        <v>1211</v>
      </c>
    </row>
    <row r="713" spans="1:10" x14ac:dyDescent="0.35">
      <c r="A713" s="1" t="s">
        <v>1317</v>
      </c>
      <c r="B713" s="1" t="s">
        <v>1209</v>
      </c>
      <c r="C713" s="1" t="s">
        <v>1210</v>
      </c>
      <c r="D713" s="2">
        <v>46177</v>
      </c>
      <c r="E713">
        <v>4.323105E-2</v>
      </c>
      <c r="F713" s="1" t="s">
        <v>6153</v>
      </c>
      <c r="G713" s="2">
        <v>46177.777511608794</v>
      </c>
      <c r="H713" s="1" t="s">
        <v>1211</v>
      </c>
      <c r="I713" s="2">
        <v>46177.777511539352</v>
      </c>
      <c r="J713" s="1" t="s">
        <v>1211</v>
      </c>
    </row>
    <row r="714" spans="1:10" x14ac:dyDescent="0.35">
      <c r="A714" s="1" t="s">
        <v>1318</v>
      </c>
      <c r="B714" s="1" t="s">
        <v>1209</v>
      </c>
      <c r="C714" s="1" t="s">
        <v>1210</v>
      </c>
      <c r="D714" s="2">
        <v>46177</v>
      </c>
      <c r="E714">
        <v>4.3765400000000003E-2</v>
      </c>
      <c r="F714" s="1" t="s">
        <v>6154</v>
      </c>
      <c r="G714" s="2">
        <v>46177.77751177083</v>
      </c>
      <c r="H714" s="1" t="s">
        <v>1211</v>
      </c>
      <c r="I714" s="2">
        <v>46177.77751177083</v>
      </c>
      <c r="J714" s="1" t="s">
        <v>1211</v>
      </c>
    </row>
    <row r="715" spans="1:10" x14ac:dyDescent="0.35">
      <c r="A715" s="1" t="s">
        <v>1319</v>
      </c>
      <c r="B715" s="1" t="s">
        <v>1209</v>
      </c>
      <c r="C715" s="1" t="s">
        <v>1210</v>
      </c>
      <c r="D715" s="2">
        <v>46177</v>
      </c>
      <c r="E715">
        <v>4.4320999999999999E-2</v>
      </c>
      <c r="F715" s="1" t="s">
        <v>6155</v>
      </c>
      <c r="G715" s="2">
        <v>46177.777511921297</v>
      </c>
      <c r="H715" s="1" t="s">
        <v>1211</v>
      </c>
      <c r="I715" s="2">
        <v>46177.777511921297</v>
      </c>
      <c r="J715" s="1" t="s">
        <v>1211</v>
      </c>
    </row>
    <row r="716" spans="1:10" x14ac:dyDescent="0.35">
      <c r="A716" s="1" t="s">
        <v>1320</v>
      </c>
      <c r="B716" s="1" t="s">
        <v>1209</v>
      </c>
      <c r="C716" s="1" t="s">
        <v>1210</v>
      </c>
      <c r="D716" s="2">
        <v>46177</v>
      </c>
      <c r="E716">
        <v>3.746265E-2</v>
      </c>
      <c r="F716" s="1" t="s">
        <v>6156</v>
      </c>
      <c r="G716" s="2">
        <v>46177.777508877312</v>
      </c>
      <c r="H716" s="1" t="s">
        <v>1211</v>
      </c>
      <c r="I716" s="2">
        <v>46177.777508831015</v>
      </c>
      <c r="J716" s="1" t="s">
        <v>1211</v>
      </c>
    </row>
    <row r="717" spans="1:10" x14ac:dyDescent="0.35">
      <c r="A717" s="1" t="s">
        <v>1321</v>
      </c>
      <c r="B717" s="1" t="s">
        <v>1209</v>
      </c>
      <c r="C717" s="1" t="s">
        <v>1210</v>
      </c>
      <c r="D717" s="2">
        <v>46177</v>
      </c>
      <c r="E717">
        <v>3.76434E-2</v>
      </c>
      <c r="F717" s="1" t="s">
        <v>6157</v>
      </c>
      <c r="G717" s="2">
        <v>46177.777509027779</v>
      </c>
      <c r="H717" s="1" t="s">
        <v>1211</v>
      </c>
      <c r="I717" s="2">
        <v>46177.777508993058</v>
      </c>
      <c r="J717" s="1" t="s">
        <v>1211</v>
      </c>
    </row>
    <row r="718" spans="1:10" x14ac:dyDescent="0.35">
      <c r="A718" s="1" t="s">
        <v>1322</v>
      </c>
      <c r="B718" s="1" t="s">
        <v>1209</v>
      </c>
      <c r="C718" s="1" t="s">
        <v>1210</v>
      </c>
      <c r="D718" s="2">
        <v>46177</v>
      </c>
      <c r="E718">
        <v>3.806155E-2</v>
      </c>
      <c r="F718" s="1" t="s">
        <v>6158</v>
      </c>
      <c r="G718" s="2">
        <v>46177.777509143518</v>
      </c>
      <c r="H718" s="1" t="s">
        <v>1211</v>
      </c>
      <c r="I718" s="2">
        <v>46177.777508993058</v>
      </c>
      <c r="J718" s="1" t="s">
        <v>1211</v>
      </c>
    </row>
    <row r="719" spans="1:10" x14ac:dyDescent="0.35">
      <c r="A719" s="1" t="s">
        <v>1323</v>
      </c>
      <c r="B719" s="1" t="s">
        <v>1209</v>
      </c>
      <c r="C719" s="1" t="s">
        <v>1210</v>
      </c>
      <c r="D719" s="2">
        <v>46177</v>
      </c>
      <c r="E719">
        <v>3.8486449999999998E-2</v>
      </c>
      <c r="F719" s="1" t="s">
        <v>6159</v>
      </c>
      <c r="G719" s="2">
        <v>46177.777509340274</v>
      </c>
      <c r="H719" s="1" t="s">
        <v>1211</v>
      </c>
      <c r="I719" s="2">
        <v>46177.777509178239</v>
      </c>
      <c r="J719" s="1" t="s">
        <v>1211</v>
      </c>
    </row>
    <row r="720" spans="1:10" x14ac:dyDescent="0.35">
      <c r="A720" s="1" t="s">
        <v>1324</v>
      </c>
      <c r="B720" s="1" t="s">
        <v>1209</v>
      </c>
      <c r="C720" s="1" t="s">
        <v>1210</v>
      </c>
      <c r="D720" s="2">
        <v>46177</v>
      </c>
      <c r="E720">
        <v>3.8866449999999997E-2</v>
      </c>
      <c r="F720" s="1" t="s">
        <v>6160</v>
      </c>
      <c r="G720" s="2">
        <v>46177.777509490741</v>
      </c>
      <c r="H720" s="1" t="s">
        <v>1211</v>
      </c>
      <c r="I720" s="2">
        <v>46177.777509375002</v>
      </c>
      <c r="J720" s="1" t="s">
        <v>1211</v>
      </c>
    </row>
    <row r="721" spans="1:10" x14ac:dyDescent="0.35">
      <c r="A721" s="1" t="s">
        <v>1325</v>
      </c>
      <c r="B721" s="1" t="s">
        <v>1209</v>
      </c>
      <c r="C721" s="1" t="s">
        <v>1210</v>
      </c>
      <c r="D721" s="2">
        <v>46177</v>
      </c>
      <c r="E721">
        <v>3.9347149999999997E-2</v>
      </c>
      <c r="F721" s="1" t="s">
        <v>6161</v>
      </c>
      <c r="G721" s="2">
        <v>46177.777509641201</v>
      </c>
      <c r="H721" s="1" t="s">
        <v>1211</v>
      </c>
      <c r="I721" s="2">
        <v>46177.777509571759</v>
      </c>
      <c r="J721" s="1" t="s">
        <v>1211</v>
      </c>
    </row>
    <row r="722" spans="1:10" x14ac:dyDescent="0.35">
      <c r="A722" s="1" t="s">
        <v>1326</v>
      </c>
      <c r="B722" s="1" t="s">
        <v>1209</v>
      </c>
      <c r="C722" s="1" t="s">
        <v>1210</v>
      </c>
      <c r="D722" s="2">
        <v>46177</v>
      </c>
      <c r="E722">
        <v>3.9794099999999999E-2</v>
      </c>
      <c r="F722" s="1" t="s">
        <v>6162</v>
      </c>
      <c r="G722" s="2">
        <v>46177.777509803243</v>
      </c>
      <c r="H722" s="1" t="s">
        <v>1211</v>
      </c>
      <c r="I722" s="2">
        <v>46177.777509722226</v>
      </c>
      <c r="J722" s="1" t="s">
        <v>1211</v>
      </c>
    </row>
    <row r="723" spans="1:10" x14ac:dyDescent="0.35">
      <c r="A723" s="1" t="s">
        <v>1327</v>
      </c>
      <c r="B723" s="1" t="s">
        <v>1209</v>
      </c>
      <c r="C723" s="1" t="s">
        <v>1210</v>
      </c>
      <c r="D723" s="2">
        <v>46177</v>
      </c>
      <c r="E723">
        <v>4.018915E-2</v>
      </c>
      <c r="F723" s="1" t="s">
        <v>6163</v>
      </c>
      <c r="G723" s="2">
        <v>46177.777509953703</v>
      </c>
      <c r="H723" s="1" t="s">
        <v>1211</v>
      </c>
      <c r="I723" s="2">
        <v>46177.777509918982</v>
      </c>
      <c r="J723" s="1" t="s">
        <v>1211</v>
      </c>
    </row>
    <row r="724" spans="1:10" x14ac:dyDescent="0.35">
      <c r="A724" s="1" t="s">
        <v>1328</v>
      </c>
      <c r="B724" s="1" t="s">
        <v>1209</v>
      </c>
      <c r="C724" s="1" t="s">
        <v>1210</v>
      </c>
      <c r="D724" s="2">
        <v>46177</v>
      </c>
      <c r="E724">
        <v>4.0537700000000003E-2</v>
      </c>
      <c r="F724" s="1" t="s">
        <v>6164</v>
      </c>
      <c r="G724" s="2">
        <v>46177.777510069442</v>
      </c>
      <c r="H724" s="1" t="s">
        <v>1211</v>
      </c>
      <c r="I724" s="2">
        <v>46177.77751010417</v>
      </c>
      <c r="J724" s="1" t="s">
        <v>1211</v>
      </c>
    </row>
    <row r="725" spans="1:10" x14ac:dyDescent="0.35">
      <c r="A725" s="1" t="s">
        <v>1329</v>
      </c>
      <c r="B725" s="1" t="s">
        <v>1209</v>
      </c>
      <c r="C725" s="1" t="s">
        <v>1210</v>
      </c>
      <c r="D725" s="2">
        <v>46177</v>
      </c>
      <c r="E725">
        <v>4.0888050000000002E-2</v>
      </c>
      <c r="F725" s="1" t="s">
        <v>6165</v>
      </c>
      <c r="G725" s="2">
        <v>46177.777510219908</v>
      </c>
      <c r="H725" s="1" t="s">
        <v>1211</v>
      </c>
      <c r="I725" s="2">
        <v>46177.77751010417</v>
      </c>
      <c r="J725" s="1" t="s">
        <v>1211</v>
      </c>
    </row>
    <row r="726" spans="1:10" x14ac:dyDescent="0.35">
      <c r="A726" s="1" t="s">
        <v>1330</v>
      </c>
      <c r="B726" s="1" t="s">
        <v>1209</v>
      </c>
      <c r="C726" s="1" t="s">
        <v>1210</v>
      </c>
      <c r="D726" s="2">
        <v>46177</v>
      </c>
      <c r="E726">
        <v>4.1177199999999997E-2</v>
      </c>
      <c r="F726" s="1" t="s">
        <v>6166</v>
      </c>
      <c r="G726" s="2">
        <v>46177.777510416665</v>
      </c>
      <c r="H726" s="1" t="s">
        <v>1211</v>
      </c>
      <c r="I726" s="2">
        <v>46177.777510266205</v>
      </c>
      <c r="J726" s="1" t="s">
        <v>1211</v>
      </c>
    </row>
    <row r="727" spans="1:10" x14ac:dyDescent="0.35">
      <c r="A727" s="1" t="s">
        <v>1331</v>
      </c>
      <c r="B727" s="1" t="s">
        <v>1224</v>
      </c>
      <c r="C727" s="1" t="s">
        <v>1210</v>
      </c>
      <c r="D727" s="2">
        <v>46177</v>
      </c>
      <c r="E727">
        <v>106.13500000000001</v>
      </c>
      <c r="F727" s="1" t="s">
        <v>6167</v>
      </c>
      <c r="G727" s="2">
        <v>46177.777560185183</v>
      </c>
      <c r="H727" s="1" t="s">
        <v>1211</v>
      </c>
      <c r="I727" s="2">
        <v>46177.777560069444</v>
      </c>
      <c r="J727" s="1" t="s">
        <v>1211</v>
      </c>
    </row>
    <row r="728" spans="1:10" x14ac:dyDescent="0.35">
      <c r="A728" s="1" t="s">
        <v>1332</v>
      </c>
      <c r="B728" s="1" t="s">
        <v>1224</v>
      </c>
      <c r="C728" s="1" t="s">
        <v>1210</v>
      </c>
      <c r="D728" s="2">
        <v>46177</v>
      </c>
      <c r="E728">
        <v>106.645</v>
      </c>
      <c r="F728" s="1" t="s">
        <v>6168</v>
      </c>
      <c r="G728" s="2">
        <v>46177.777560335649</v>
      </c>
      <c r="H728" s="1" t="s">
        <v>1211</v>
      </c>
      <c r="I728" s="2">
        <v>46177.7775602662</v>
      </c>
      <c r="J728" s="1" t="s">
        <v>1211</v>
      </c>
    </row>
    <row r="729" spans="1:10" x14ac:dyDescent="0.35">
      <c r="A729" s="1" t="s">
        <v>1333</v>
      </c>
      <c r="B729" s="1" t="s">
        <v>1224</v>
      </c>
      <c r="C729" s="1" t="s">
        <v>1210</v>
      </c>
      <c r="D729" s="2">
        <v>46177</v>
      </c>
      <c r="E729">
        <v>106.09</v>
      </c>
      <c r="F729" s="1" t="s">
        <v>6169</v>
      </c>
      <c r="G729" s="2">
        <v>46177.777560497685</v>
      </c>
      <c r="H729" s="1" t="s">
        <v>1211</v>
      </c>
      <c r="I729" s="2">
        <v>46177.777560451388</v>
      </c>
      <c r="J729" s="1" t="s">
        <v>1211</v>
      </c>
    </row>
    <row r="730" spans="1:10" x14ac:dyDescent="0.35">
      <c r="A730" s="1" t="s">
        <v>1334</v>
      </c>
      <c r="B730" s="1" t="s">
        <v>1209</v>
      </c>
      <c r="C730" s="1" t="s">
        <v>1210</v>
      </c>
      <c r="D730" s="2">
        <v>46177</v>
      </c>
      <c r="E730">
        <v>4.5390131607610802E-2</v>
      </c>
      <c r="F730" s="1" t="s">
        <v>6170</v>
      </c>
      <c r="G730" s="2">
        <v>46177.777351273151</v>
      </c>
      <c r="H730" s="1" t="s">
        <v>1211</v>
      </c>
      <c r="I730" s="2">
        <v>46177.777351238423</v>
      </c>
      <c r="J730" s="1" t="s">
        <v>1211</v>
      </c>
    </row>
    <row r="731" spans="1:10" x14ac:dyDescent="0.35">
      <c r="A731" s="1" t="s">
        <v>1335</v>
      </c>
      <c r="B731" s="1" t="s">
        <v>1209</v>
      </c>
      <c r="C731" s="1" t="s">
        <v>1210</v>
      </c>
      <c r="D731" s="2">
        <v>46177</v>
      </c>
      <c r="E731">
        <v>4.5338628867355901E-2</v>
      </c>
      <c r="F731" s="1" t="s">
        <v>6171</v>
      </c>
      <c r="G731" s="2">
        <v>46177.77735138889</v>
      </c>
      <c r="H731" s="1" t="s">
        <v>1211</v>
      </c>
      <c r="I731" s="2">
        <v>46177.77735138889</v>
      </c>
      <c r="J731" s="1" t="s">
        <v>1211</v>
      </c>
    </row>
    <row r="732" spans="1:10" x14ac:dyDescent="0.35">
      <c r="A732" s="1" t="s">
        <v>1336</v>
      </c>
      <c r="B732" s="1" t="s">
        <v>1224</v>
      </c>
      <c r="C732" s="1" t="s">
        <v>1210</v>
      </c>
      <c r="D732" s="2">
        <v>46177</v>
      </c>
      <c r="E732">
        <v>106.55</v>
      </c>
      <c r="F732" s="1"/>
      <c r="G732" s="2">
        <v>46177.668355671296</v>
      </c>
      <c r="H732" s="1" t="s">
        <v>1212</v>
      </c>
      <c r="I732" s="2">
        <v>46177.668355590278</v>
      </c>
      <c r="J732" s="1" t="s">
        <v>1212</v>
      </c>
    </row>
    <row r="733" spans="1:10" x14ac:dyDescent="0.35">
      <c r="A733" s="1" t="s">
        <v>1337</v>
      </c>
      <c r="B733" s="1" t="s">
        <v>1209</v>
      </c>
      <c r="C733" s="1" t="s">
        <v>1210</v>
      </c>
      <c r="D733" s="2">
        <v>46177</v>
      </c>
      <c r="E733">
        <v>3.8021485045341301E-2</v>
      </c>
      <c r="F733" s="1" t="s">
        <v>6172</v>
      </c>
      <c r="G733" s="2">
        <v>46177.777351539349</v>
      </c>
      <c r="H733" s="1" t="s">
        <v>1211</v>
      </c>
      <c r="I733" s="2">
        <v>46177.777351585646</v>
      </c>
      <c r="J733" s="1" t="s">
        <v>1211</v>
      </c>
    </row>
    <row r="734" spans="1:10" x14ac:dyDescent="0.35">
      <c r="A734" s="1" t="s">
        <v>1338</v>
      </c>
      <c r="B734" s="1" t="s">
        <v>1209</v>
      </c>
      <c r="C734" s="1" t="s">
        <v>1210</v>
      </c>
      <c r="D734" s="2">
        <v>46177</v>
      </c>
      <c r="E734">
        <v>3.7391082015417701E-2</v>
      </c>
      <c r="F734" s="1" t="s">
        <v>6173</v>
      </c>
      <c r="G734" s="2">
        <v>46177.777351701392</v>
      </c>
      <c r="H734" s="1" t="s">
        <v>1211</v>
      </c>
      <c r="I734" s="2">
        <v>46177.777351585646</v>
      </c>
      <c r="J734" s="1" t="s">
        <v>1211</v>
      </c>
    </row>
    <row r="735" spans="1:10" x14ac:dyDescent="0.35">
      <c r="A735" s="1" t="s">
        <v>1339</v>
      </c>
      <c r="B735" s="1" t="s">
        <v>1209</v>
      </c>
      <c r="C735" s="1" t="s">
        <v>1210</v>
      </c>
      <c r="D735" s="2">
        <v>46177</v>
      </c>
      <c r="E735">
        <v>2.5880413293487298E-2</v>
      </c>
      <c r="F735" s="1" t="s">
        <v>6174</v>
      </c>
      <c r="G735" s="2">
        <v>46177.777351851852</v>
      </c>
      <c r="H735" s="1" t="s">
        <v>1211</v>
      </c>
      <c r="I735" s="2">
        <v>46177.777351770834</v>
      </c>
      <c r="J735" s="1" t="s">
        <v>1211</v>
      </c>
    </row>
    <row r="736" spans="1:10" x14ac:dyDescent="0.35">
      <c r="A736" s="1" t="s">
        <v>1340</v>
      </c>
      <c r="B736" s="1" t="s">
        <v>1224</v>
      </c>
      <c r="C736" s="1" t="s">
        <v>1210</v>
      </c>
      <c r="D736" s="2">
        <v>46177</v>
      </c>
      <c r="E736">
        <v>0</v>
      </c>
      <c r="F736" s="1"/>
      <c r="G736" s="2">
        <v>46177.668355671296</v>
      </c>
      <c r="H736" s="1" t="s">
        <v>1212</v>
      </c>
      <c r="I736" s="2">
        <v>46177.668355590278</v>
      </c>
      <c r="J736" s="1" t="s">
        <v>1212</v>
      </c>
    </row>
    <row r="737" spans="1:10" x14ac:dyDescent="0.35">
      <c r="A737" s="1" t="s">
        <v>1341</v>
      </c>
      <c r="B737" s="1" t="s">
        <v>1209</v>
      </c>
      <c r="C737" s="1" t="s">
        <v>1210</v>
      </c>
      <c r="D737" s="2">
        <v>46177</v>
      </c>
      <c r="E737">
        <v>2.7897726802576302E-2</v>
      </c>
      <c r="F737" s="1" t="s">
        <v>6175</v>
      </c>
      <c r="G737" s="2">
        <v>46177.777352002318</v>
      </c>
      <c r="H737" s="1" t="s">
        <v>1211</v>
      </c>
      <c r="I737" s="2">
        <v>46177.777351932869</v>
      </c>
      <c r="J737" s="1" t="s">
        <v>1211</v>
      </c>
    </row>
    <row r="738" spans="1:10" x14ac:dyDescent="0.35">
      <c r="A738" s="1" t="s">
        <v>1342</v>
      </c>
      <c r="B738" s="1" t="s">
        <v>1209</v>
      </c>
      <c r="C738" s="1" t="s">
        <v>1210</v>
      </c>
      <c r="D738" s="2">
        <v>46177</v>
      </c>
      <c r="E738">
        <v>3.7951123305957103E-2</v>
      </c>
      <c r="F738" s="1" t="s">
        <v>6176</v>
      </c>
      <c r="G738" s="2">
        <v>46177.777352164354</v>
      </c>
      <c r="H738" s="1" t="s">
        <v>1211</v>
      </c>
      <c r="I738" s="2">
        <v>46177.777352118057</v>
      </c>
      <c r="J738" s="1" t="s">
        <v>1211</v>
      </c>
    </row>
    <row r="739" spans="1:10" x14ac:dyDescent="0.35">
      <c r="A739" s="1" t="s">
        <v>1343</v>
      </c>
      <c r="B739" s="1" t="s">
        <v>1209</v>
      </c>
      <c r="C739" s="1" t="s">
        <v>1210</v>
      </c>
      <c r="D739" s="2">
        <v>46177</v>
      </c>
      <c r="E739">
        <v>2.8914863120910399E-2</v>
      </c>
      <c r="F739" s="1" t="s">
        <v>6177</v>
      </c>
      <c r="G739" s="2">
        <v>46177.777352314813</v>
      </c>
      <c r="H739" s="1" t="s">
        <v>1211</v>
      </c>
      <c r="I739" s="2">
        <v>46177.777352314813</v>
      </c>
      <c r="J739" s="1" t="s">
        <v>1211</v>
      </c>
    </row>
    <row r="740" spans="1:10" x14ac:dyDescent="0.35">
      <c r="A740" s="1" t="s">
        <v>1344</v>
      </c>
      <c r="B740" s="1" t="s">
        <v>1209</v>
      </c>
      <c r="C740" s="1" t="s">
        <v>1210</v>
      </c>
      <c r="D740" s="2">
        <v>46177</v>
      </c>
      <c r="E740">
        <v>3.01283181373815E-2</v>
      </c>
      <c r="F740" s="1" t="s">
        <v>6178</v>
      </c>
      <c r="G740" s="2">
        <v>46177.77735246528</v>
      </c>
      <c r="H740" s="1" t="s">
        <v>1211</v>
      </c>
      <c r="I740" s="2">
        <v>46177.77735246528</v>
      </c>
      <c r="J740" s="1" t="s">
        <v>1211</v>
      </c>
    </row>
    <row r="741" spans="1:10" x14ac:dyDescent="0.35">
      <c r="A741" s="1" t="s">
        <v>1345</v>
      </c>
      <c r="B741" s="1" t="s">
        <v>1209</v>
      </c>
      <c r="C741" s="1" t="s">
        <v>1210</v>
      </c>
      <c r="D741" s="2">
        <v>46177</v>
      </c>
      <c r="E741">
        <v>3.0342250662842199E-2</v>
      </c>
      <c r="F741" s="1" t="s">
        <v>6179</v>
      </c>
      <c r="G741" s="2">
        <v>46177.777352627316</v>
      </c>
      <c r="H741" s="1" t="s">
        <v>1211</v>
      </c>
      <c r="I741" s="2">
        <v>46177.77735246528</v>
      </c>
      <c r="J741" s="1" t="s">
        <v>1211</v>
      </c>
    </row>
    <row r="742" spans="1:10" x14ac:dyDescent="0.35">
      <c r="A742" s="1" t="s">
        <v>1346</v>
      </c>
      <c r="B742" s="1" t="s">
        <v>1209</v>
      </c>
      <c r="C742" s="1" t="s">
        <v>1210</v>
      </c>
      <c r="D742" s="2">
        <v>46177</v>
      </c>
      <c r="E742">
        <v>2.3059062926405301E-2</v>
      </c>
      <c r="F742" s="1" t="s">
        <v>6180</v>
      </c>
      <c r="G742" s="2">
        <v>46177.777352662037</v>
      </c>
      <c r="H742" s="1" t="s">
        <v>1211</v>
      </c>
      <c r="I742" s="2">
        <v>46177.777352662037</v>
      </c>
      <c r="J742" s="1" t="s">
        <v>1211</v>
      </c>
    </row>
    <row r="743" spans="1:10" x14ac:dyDescent="0.35">
      <c r="A743" s="1" t="s">
        <v>1347</v>
      </c>
      <c r="B743" s="1" t="s">
        <v>1209</v>
      </c>
      <c r="C743" s="1" t="s">
        <v>1210</v>
      </c>
      <c r="D743" s="2">
        <v>46177</v>
      </c>
      <c r="E743">
        <v>3.0939758033684001E-2</v>
      </c>
      <c r="F743" s="1" t="s">
        <v>6181</v>
      </c>
      <c r="G743" s="2">
        <v>46177.777352777775</v>
      </c>
      <c r="H743" s="1" t="s">
        <v>1211</v>
      </c>
      <c r="I743" s="2">
        <v>46177.777352858793</v>
      </c>
      <c r="J743" s="1" t="s">
        <v>1211</v>
      </c>
    </row>
    <row r="744" spans="1:10" x14ac:dyDescent="0.35">
      <c r="A744" s="1" t="s">
        <v>1348</v>
      </c>
      <c r="B744" s="1" t="s">
        <v>1224</v>
      </c>
      <c r="C744" s="1" t="s">
        <v>1210</v>
      </c>
      <c r="D744" s="2">
        <v>46177</v>
      </c>
      <c r="E744">
        <v>0</v>
      </c>
      <c r="F744" s="1"/>
      <c r="G744" s="2">
        <v>46177.668355671296</v>
      </c>
      <c r="H744" s="1" t="s">
        <v>1212</v>
      </c>
      <c r="I744" s="2">
        <v>46177.668355590278</v>
      </c>
      <c r="J744" s="1" t="s">
        <v>1212</v>
      </c>
    </row>
    <row r="745" spans="1:10" x14ac:dyDescent="0.35">
      <c r="A745" s="1" t="s">
        <v>1349</v>
      </c>
      <c r="B745" s="1" t="s">
        <v>1209</v>
      </c>
      <c r="C745" s="1" t="s">
        <v>1210</v>
      </c>
      <c r="D745" s="2">
        <v>46177</v>
      </c>
      <c r="E745">
        <v>3.80247331172699E-2</v>
      </c>
      <c r="F745" s="1" t="s">
        <v>6182</v>
      </c>
      <c r="G745" s="2">
        <v>46177.777352974539</v>
      </c>
      <c r="H745" s="1" t="s">
        <v>1211</v>
      </c>
      <c r="I745" s="2">
        <v>46177.777353043981</v>
      </c>
      <c r="J745" s="1" t="s">
        <v>1211</v>
      </c>
    </row>
    <row r="746" spans="1:10" x14ac:dyDescent="0.35">
      <c r="A746" s="1" t="s">
        <v>1350</v>
      </c>
      <c r="B746" s="1" t="s">
        <v>1209</v>
      </c>
      <c r="C746" s="1" t="s">
        <v>1210</v>
      </c>
      <c r="D746" s="2">
        <v>46177</v>
      </c>
      <c r="E746">
        <v>2.4982347162267701E-2</v>
      </c>
      <c r="F746" s="1" t="s">
        <v>6183</v>
      </c>
      <c r="G746" s="2">
        <v>46177.777353124999</v>
      </c>
      <c r="H746" s="1" t="s">
        <v>1211</v>
      </c>
      <c r="I746" s="2">
        <v>46177.777353206016</v>
      </c>
      <c r="J746" s="1" t="s">
        <v>1211</v>
      </c>
    </row>
    <row r="747" spans="1:10" x14ac:dyDescent="0.35">
      <c r="A747" s="1" t="s">
        <v>1351</v>
      </c>
      <c r="B747" s="1" t="s">
        <v>1209</v>
      </c>
      <c r="C747" s="1" t="s">
        <v>1210</v>
      </c>
      <c r="D747" s="2">
        <v>46177</v>
      </c>
      <c r="E747">
        <v>3.1411051006005102E-2</v>
      </c>
      <c r="F747" s="1" t="s">
        <v>6184</v>
      </c>
      <c r="G747" s="2">
        <v>46177.777353240737</v>
      </c>
      <c r="H747" s="1" t="s">
        <v>1211</v>
      </c>
      <c r="I747" s="2">
        <v>46177.777353391204</v>
      </c>
      <c r="J747" s="1" t="s">
        <v>1211</v>
      </c>
    </row>
    <row r="748" spans="1:10" x14ac:dyDescent="0.35">
      <c r="A748" s="1" t="s">
        <v>1352</v>
      </c>
      <c r="B748" s="1" t="s">
        <v>1209</v>
      </c>
      <c r="C748" s="1" t="s">
        <v>1210</v>
      </c>
      <c r="D748" s="2">
        <v>46177</v>
      </c>
      <c r="E748">
        <v>3.1814236880345799E-2</v>
      </c>
      <c r="F748" s="1" t="s">
        <v>6185</v>
      </c>
      <c r="G748" s="2">
        <v>46177.777353391204</v>
      </c>
      <c r="H748" s="1" t="s">
        <v>1211</v>
      </c>
      <c r="I748" s="2">
        <v>46177.777353391204</v>
      </c>
      <c r="J748" s="1" t="s">
        <v>1211</v>
      </c>
    </row>
    <row r="749" spans="1:10" x14ac:dyDescent="0.35">
      <c r="A749" s="1" t="s">
        <v>1353</v>
      </c>
      <c r="B749" s="1" t="s">
        <v>1209</v>
      </c>
      <c r="C749" s="1" t="s">
        <v>1210</v>
      </c>
      <c r="D749" s="2">
        <v>46177</v>
      </c>
      <c r="E749">
        <v>2.9447855481023501E-2</v>
      </c>
      <c r="F749" s="1" t="s">
        <v>6186</v>
      </c>
      <c r="G749" s="2">
        <v>46177.777353587961</v>
      </c>
      <c r="H749" s="1" t="s">
        <v>1211</v>
      </c>
      <c r="I749" s="2">
        <v>46177.777353784724</v>
      </c>
      <c r="J749" s="1" t="s">
        <v>1211</v>
      </c>
    </row>
    <row r="750" spans="1:10" x14ac:dyDescent="0.35">
      <c r="A750" s="1" t="s">
        <v>1354</v>
      </c>
      <c r="B750" s="1" t="s">
        <v>1209</v>
      </c>
      <c r="C750" s="1" t="s">
        <v>1210</v>
      </c>
      <c r="D750" s="2">
        <v>46177</v>
      </c>
      <c r="E750">
        <v>2.6704937138476399E-2</v>
      </c>
      <c r="F750" s="1" t="s">
        <v>6187</v>
      </c>
      <c r="G750" s="2">
        <v>46177.777353784724</v>
      </c>
      <c r="H750" s="1" t="s">
        <v>1211</v>
      </c>
      <c r="I750" s="2">
        <v>46177.777353935184</v>
      </c>
      <c r="J750" s="1" t="s">
        <v>1211</v>
      </c>
    </row>
    <row r="751" spans="1:10" x14ac:dyDescent="0.35">
      <c r="A751" s="1" t="s">
        <v>1355</v>
      </c>
      <c r="B751" s="1" t="s">
        <v>1209</v>
      </c>
      <c r="C751" s="1" t="s">
        <v>1210</v>
      </c>
      <c r="D751" s="2">
        <v>46177</v>
      </c>
      <c r="E751">
        <v>3.2176564061622101E-2</v>
      </c>
      <c r="F751" s="1" t="s">
        <v>6188</v>
      </c>
      <c r="G751" s="2">
        <v>46177.777353935184</v>
      </c>
      <c r="H751" s="1" t="s">
        <v>1211</v>
      </c>
      <c r="I751" s="2">
        <v>46177.777353935184</v>
      </c>
      <c r="J751" s="1" t="s">
        <v>1211</v>
      </c>
    </row>
    <row r="752" spans="1:10" x14ac:dyDescent="0.35">
      <c r="A752" s="1" t="s">
        <v>1356</v>
      </c>
      <c r="B752" s="1" t="s">
        <v>1209</v>
      </c>
      <c r="C752" s="1" t="s">
        <v>1210</v>
      </c>
      <c r="D752" s="2">
        <v>46177</v>
      </c>
      <c r="E752">
        <v>2.7745054137634201E-2</v>
      </c>
      <c r="F752" s="1" t="s">
        <v>6189</v>
      </c>
      <c r="G752" s="2">
        <v>46177.777354131948</v>
      </c>
      <c r="H752" s="1" t="s">
        <v>1211</v>
      </c>
      <c r="I752" s="2">
        <v>46177.777354131948</v>
      </c>
      <c r="J752" s="1" t="s">
        <v>1211</v>
      </c>
    </row>
    <row r="753" spans="1:10" x14ac:dyDescent="0.35">
      <c r="A753" s="1" t="s">
        <v>1357</v>
      </c>
      <c r="B753" s="1" t="s">
        <v>1209</v>
      </c>
      <c r="C753" s="1" t="s">
        <v>1210</v>
      </c>
      <c r="D753" s="2">
        <v>46177</v>
      </c>
      <c r="E753">
        <v>2.6738330391746602E-2</v>
      </c>
      <c r="F753" s="1" t="s">
        <v>6190</v>
      </c>
      <c r="G753" s="2">
        <v>46177.777354282407</v>
      </c>
      <c r="H753" s="1" t="s">
        <v>1211</v>
      </c>
      <c r="I753" s="2">
        <v>46177.777354317128</v>
      </c>
      <c r="J753" s="1" t="s">
        <v>1211</v>
      </c>
    </row>
    <row r="754" spans="1:10" x14ac:dyDescent="0.35">
      <c r="A754" s="1" t="s">
        <v>1358</v>
      </c>
      <c r="B754" s="1" t="s">
        <v>1209</v>
      </c>
      <c r="C754" s="1" t="s">
        <v>1210</v>
      </c>
      <c r="D754" s="2">
        <v>46177</v>
      </c>
      <c r="E754">
        <v>3.8017677057537599E-2</v>
      </c>
      <c r="F754" s="1" t="s">
        <v>6191</v>
      </c>
      <c r="G754" s="2">
        <v>46177.777354432874</v>
      </c>
      <c r="H754" s="1" t="s">
        <v>1211</v>
      </c>
      <c r="I754" s="2">
        <v>46177.777354479163</v>
      </c>
      <c r="J754" s="1" t="s">
        <v>1211</v>
      </c>
    </row>
    <row r="755" spans="1:10" x14ac:dyDescent="0.35">
      <c r="A755" s="1" t="s">
        <v>1359</v>
      </c>
      <c r="B755" s="1" t="s">
        <v>1209</v>
      </c>
      <c r="C755" s="1" t="s">
        <v>1210</v>
      </c>
      <c r="D755" s="2">
        <v>46177</v>
      </c>
      <c r="E755">
        <v>3.2492775068108902E-2</v>
      </c>
      <c r="F755" s="1" t="s">
        <v>6192</v>
      </c>
      <c r="G755" s="2">
        <v>46177.777354594909</v>
      </c>
      <c r="H755" s="1" t="s">
        <v>1211</v>
      </c>
      <c r="I755" s="2">
        <v>46177.777354664351</v>
      </c>
      <c r="J755" s="1" t="s">
        <v>1211</v>
      </c>
    </row>
    <row r="756" spans="1:10" x14ac:dyDescent="0.35">
      <c r="A756" s="1" t="s">
        <v>1360</v>
      </c>
      <c r="B756" s="1" t="s">
        <v>1209</v>
      </c>
      <c r="C756" s="1" t="s">
        <v>1210</v>
      </c>
      <c r="D756" s="2">
        <v>46177</v>
      </c>
      <c r="E756">
        <v>2.8407119792513601E-2</v>
      </c>
      <c r="F756" s="1" t="s">
        <v>6193</v>
      </c>
      <c r="G756" s="2">
        <v>46177.777354745369</v>
      </c>
      <c r="H756" s="1" t="s">
        <v>1211</v>
      </c>
      <c r="I756" s="2">
        <v>46177.777354861108</v>
      </c>
      <c r="J756" s="1" t="s">
        <v>1211</v>
      </c>
    </row>
    <row r="757" spans="1:10" x14ac:dyDescent="0.35">
      <c r="A757" s="1" t="s">
        <v>1361</v>
      </c>
      <c r="B757" s="1" t="s">
        <v>1209</v>
      </c>
      <c r="C757" s="1" t="s">
        <v>1210</v>
      </c>
      <c r="D757" s="2">
        <v>46177</v>
      </c>
      <c r="E757">
        <v>3.28431949172577E-2</v>
      </c>
      <c r="F757" s="1" t="s">
        <v>6194</v>
      </c>
      <c r="G757" s="2">
        <v>46177.777354861108</v>
      </c>
      <c r="H757" s="1" t="s">
        <v>1211</v>
      </c>
      <c r="I757" s="2">
        <v>46177.777355011574</v>
      </c>
      <c r="J757" s="1" t="s">
        <v>1211</v>
      </c>
    </row>
    <row r="758" spans="1:10" x14ac:dyDescent="0.35">
      <c r="A758" s="1" t="s">
        <v>1362</v>
      </c>
      <c r="B758" s="1" t="s">
        <v>1209</v>
      </c>
      <c r="C758" s="1" t="s">
        <v>1210</v>
      </c>
      <c r="D758" s="2">
        <v>46177</v>
      </c>
      <c r="E758">
        <v>2.8928241357518699E-2</v>
      </c>
      <c r="F758" s="1" t="s">
        <v>6195</v>
      </c>
      <c r="G758" s="2">
        <v>46177.777355011574</v>
      </c>
      <c r="H758" s="1" t="s">
        <v>1211</v>
      </c>
      <c r="I758" s="2">
        <v>46177.777355011574</v>
      </c>
      <c r="J758" s="1" t="s">
        <v>1211</v>
      </c>
    </row>
    <row r="759" spans="1:10" x14ac:dyDescent="0.35">
      <c r="A759" s="1" t="s">
        <v>1363</v>
      </c>
      <c r="B759" s="1" t="s">
        <v>1209</v>
      </c>
      <c r="C759" s="1" t="s">
        <v>1210</v>
      </c>
      <c r="D759" s="2">
        <v>46177</v>
      </c>
      <c r="E759">
        <v>3.3189532273635899E-2</v>
      </c>
      <c r="F759" s="1" t="s">
        <v>6196</v>
      </c>
      <c r="G759" s="2">
        <v>46177.77735517361</v>
      </c>
      <c r="H759" s="1" t="s">
        <v>1211</v>
      </c>
      <c r="I759" s="2">
        <v>46177.777355208331</v>
      </c>
      <c r="J759" s="1" t="s">
        <v>1211</v>
      </c>
    </row>
    <row r="760" spans="1:10" x14ac:dyDescent="0.35">
      <c r="A760" s="1" t="s">
        <v>1364</v>
      </c>
      <c r="B760" s="1" t="s">
        <v>1209</v>
      </c>
      <c r="C760" s="1" t="s">
        <v>1210</v>
      </c>
      <c r="D760" s="2">
        <v>46177</v>
      </c>
      <c r="E760">
        <v>3.29555470459909E-2</v>
      </c>
      <c r="F760" s="1" t="s">
        <v>6197</v>
      </c>
      <c r="G760" s="2">
        <v>46177.777355358798</v>
      </c>
      <c r="H760" s="1" t="s">
        <v>1211</v>
      </c>
      <c r="I760" s="2">
        <v>46177.777355405095</v>
      </c>
      <c r="J760" s="1" t="s">
        <v>1211</v>
      </c>
    </row>
    <row r="761" spans="1:10" x14ac:dyDescent="0.35">
      <c r="A761" s="1" t="s">
        <v>1365</v>
      </c>
      <c r="B761" s="1" t="s">
        <v>1209</v>
      </c>
      <c r="C761" s="1" t="s">
        <v>1210</v>
      </c>
      <c r="D761" s="2">
        <v>46177</v>
      </c>
      <c r="E761">
        <v>2.9454919706073002E-2</v>
      </c>
      <c r="F761" s="1" t="s">
        <v>6198</v>
      </c>
      <c r="G761" s="2">
        <v>46177.777355520833</v>
      </c>
      <c r="H761" s="1" t="s">
        <v>1211</v>
      </c>
      <c r="I761" s="2">
        <v>46177.777355555554</v>
      </c>
      <c r="J761" s="1" t="s">
        <v>1211</v>
      </c>
    </row>
    <row r="762" spans="1:10" x14ac:dyDescent="0.35">
      <c r="A762" s="1" t="s">
        <v>1366</v>
      </c>
      <c r="B762" s="1" t="s">
        <v>1209</v>
      </c>
      <c r="C762" s="1" t="s">
        <v>1210</v>
      </c>
      <c r="D762" s="2">
        <v>46177</v>
      </c>
      <c r="E762">
        <v>2.2797400160230099E-2</v>
      </c>
      <c r="F762" s="1" t="s">
        <v>6199</v>
      </c>
      <c r="G762" s="2">
        <v>46177.777355671293</v>
      </c>
      <c r="H762" s="1" t="s">
        <v>1211</v>
      </c>
      <c r="I762" s="2">
        <v>46177.777355752318</v>
      </c>
      <c r="J762" s="1" t="s">
        <v>1211</v>
      </c>
    </row>
    <row r="763" spans="1:10" x14ac:dyDescent="0.35">
      <c r="A763" s="1" t="s">
        <v>1367</v>
      </c>
      <c r="B763" s="1" t="s">
        <v>1209</v>
      </c>
      <c r="C763" s="1" t="s">
        <v>1210</v>
      </c>
      <c r="D763" s="2">
        <v>46177</v>
      </c>
      <c r="E763">
        <v>3.3491289390206E-2</v>
      </c>
      <c r="F763" s="1" t="s">
        <v>6200</v>
      </c>
      <c r="G763" s="2">
        <v>46177.777355787039</v>
      </c>
      <c r="H763" s="1" t="s">
        <v>1211</v>
      </c>
      <c r="I763" s="2">
        <v>46177.777355937498</v>
      </c>
      <c r="J763" s="1" t="s">
        <v>1211</v>
      </c>
    </row>
    <row r="764" spans="1:10" x14ac:dyDescent="0.35">
      <c r="A764" s="1" t="s">
        <v>1368</v>
      </c>
      <c r="B764" s="1" t="s">
        <v>1209</v>
      </c>
      <c r="C764" s="1" t="s">
        <v>1210</v>
      </c>
      <c r="D764" s="2">
        <v>46177</v>
      </c>
      <c r="E764">
        <v>2.3662343505326401E-2</v>
      </c>
      <c r="F764" s="1" t="s">
        <v>6201</v>
      </c>
      <c r="G764" s="2">
        <v>46177.777355937498</v>
      </c>
      <c r="H764" s="1" t="s">
        <v>1211</v>
      </c>
      <c r="I764" s="2">
        <v>46177.777356099534</v>
      </c>
      <c r="J764" s="1" t="s">
        <v>1211</v>
      </c>
    </row>
    <row r="765" spans="1:10" x14ac:dyDescent="0.35">
      <c r="A765" s="1" t="s">
        <v>1369</v>
      </c>
      <c r="B765" s="1" t="s">
        <v>1209</v>
      </c>
      <c r="C765" s="1" t="s">
        <v>1210</v>
      </c>
      <c r="D765" s="2">
        <v>46177</v>
      </c>
      <c r="E765">
        <v>2.9942476339178799E-2</v>
      </c>
      <c r="F765" s="1" t="s">
        <v>6202</v>
      </c>
      <c r="G765" s="2">
        <v>46177.777356099534</v>
      </c>
      <c r="H765" s="1" t="s">
        <v>1211</v>
      </c>
      <c r="I765" s="2">
        <v>46177.777356099534</v>
      </c>
      <c r="J765" s="1" t="s">
        <v>1211</v>
      </c>
    </row>
    <row r="766" spans="1:10" x14ac:dyDescent="0.35">
      <c r="A766" s="1" t="s">
        <v>1370</v>
      </c>
      <c r="B766" s="1" t="s">
        <v>1209</v>
      </c>
      <c r="C766" s="1" t="s">
        <v>1210</v>
      </c>
      <c r="D766" s="2">
        <v>46177</v>
      </c>
      <c r="E766">
        <v>2.4631664467297799E-2</v>
      </c>
      <c r="F766" s="1" t="s">
        <v>6203</v>
      </c>
      <c r="G766" s="2">
        <v>46177.777356250001</v>
      </c>
      <c r="H766" s="1" t="s">
        <v>1211</v>
      </c>
      <c r="I766" s="2">
        <v>46177.777356284721</v>
      </c>
      <c r="J766" s="1" t="s">
        <v>1211</v>
      </c>
    </row>
    <row r="767" spans="1:10" x14ac:dyDescent="0.35">
      <c r="A767" s="1" t="s">
        <v>1371</v>
      </c>
      <c r="B767" s="1" t="s">
        <v>1209</v>
      </c>
      <c r="C767" s="1" t="s">
        <v>1210</v>
      </c>
      <c r="D767" s="2">
        <v>46177</v>
      </c>
      <c r="E767">
        <v>3.3851865439961402E-2</v>
      </c>
      <c r="F767" s="1" t="s">
        <v>6204</v>
      </c>
      <c r="G767" s="2">
        <v>46177.777356446757</v>
      </c>
      <c r="H767" s="1" t="s">
        <v>1211</v>
      </c>
      <c r="I767" s="2">
        <v>46177.777356481478</v>
      </c>
      <c r="J767" s="1" t="s">
        <v>1211</v>
      </c>
    </row>
    <row r="768" spans="1:10" x14ac:dyDescent="0.35">
      <c r="A768" s="1" t="s">
        <v>1372</v>
      </c>
      <c r="B768" s="1" t="s">
        <v>1209</v>
      </c>
      <c r="C768" s="1" t="s">
        <v>1210</v>
      </c>
      <c r="D768" s="2">
        <v>46177</v>
      </c>
      <c r="E768">
        <v>3.7980848373293699E-2</v>
      </c>
      <c r="F768" s="1" t="s">
        <v>6205</v>
      </c>
      <c r="G768" s="2">
        <v>46177.777356597224</v>
      </c>
      <c r="H768" s="1" t="s">
        <v>1211</v>
      </c>
      <c r="I768" s="2">
        <v>46177.777356678242</v>
      </c>
      <c r="J768" s="1" t="s">
        <v>1211</v>
      </c>
    </row>
    <row r="769" spans="1:10" x14ac:dyDescent="0.35">
      <c r="A769" s="1" t="s">
        <v>1373</v>
      </c>
      <c r="B769" s="1" t="s">
        <v>1209</v>
      </c>
      <c r="C769" s="1" t="s">
        <v>1210</v>
      </c>
      <c r="D769" s="2">
        <v>46177</v>
      </c>
      <c r="E769">
        <v>2.5566785774624099E-2</v>
      </c>
      <c r="F769" s="1" t="s">
        <v>6206</v>
      </c>
      <c r="G769" s="2">
        <v>46177.777356712963</v>
      </c>
      <c r="H769" s="1" t="s">
        <v>1211</v>
      </c>
      <c r="I769" s="2">
        <v>46177.777356828701</v>
      </c>
      <c r="J769" s="1" t="s">
        <v>1211</v>
      </c>
    </row>
    <row r="770" spans="1:10" x14ac:dyDescent="0.35">
      <c r="A770" s="1" t="s">
        <v>1374</v>
      </c>
      <c r="B770" s="1" t="s">
        <v>1209</v>
      </c>
      <c r="C770" s="1" t="s">
        <v>1210</v>
      </c>
      <c r="D770" s="2">
        <v>46177</v>
      </c>
      <c r="E770">
        <v>3.1446332022714102E-2</v>
      </c>
      <c r="F770" s="1" t="s">
        <v>6207</v>
      </c>
      <c r="G770" s="2">
        <v>46177.777356863429</v>
      </c>
      <c r="H770" s="1" t="s">
        <v>1211</v>
      </c>
      <c r="I770" s="2">
        <v>46177.777357025465</v>
      </c>
      <c r="J770" s="1" t="s">
        <v>1211</v>
      </c>
    </row>
    <row r="771" spans="1:10" x14ac:dyDescent="0.35">
      <c r="A771" s="1" t="s">
        <v>1375</v>
      </c>
      <c r="B771" s="1" t="s">
        <v>1209</v>
      </c>
      <c r="C771" s="1" t="s">
        <v>1210</v>
      </c>
      <c r="D771" s="2">
        <v>46177</v>
      </c>
      <c r="E771">
        <v>3.0383730850649798E-2</v>
      </c>
      <c r="F771" s="1" t="s">
        <v>6208</v>
      </c>
      <c r="G771" s="2">
        <v>46177.777357060186</v>
      </c>
      <c r="H771" s="1" t="s">
        <v>1211</v>
      </c>
      <c r="I771" s="2">
        <v>46177.777357210645</v>
      </c>
      <c r="J771" s="1" t="s">
        <v>1211</v>
      </c>
    </row>
    <row r="772" spans="1:10" x14ac:dyDescent="0.35">
      <c r="A772" s="1" t="s">
        <v>1376</v>
      </c>
      <c r="B772" s="1" t="s">
        <v>1209</v>
      </c>
      <c r="C772" s="1" t="s">
        <v>1210</v>
      </c>
      <c r="D772" s="2">
        <v>46177</v>
      </c>
      <c r="E772">
        <v>2.6529567624852601E-2</v>
      </c>
      <c r="F772" s="1" t="s">
        <v>6209</v>
      </c>
      <c r="G772" s="2">
        <v>46177.777357175924</v>
      </c>
      <c r="H772" s="1" t="s">
        <v>1211</v>
      </c>
      <c r="I772" s="2">
        <v>46177.777357210645</v>
      </c>
      <c r="J772" s="1" t="s">
        <v>1211</v>
      </c>
    </row>
    <row r="773" spans="1:10" x14ac:dyDescent="0.35">
      <c r="A773" s="1" t="s">
        <v>1377</v>
      </c>
      <c r="B773" s="1" t="s">
        <v>1209</v>
      </c>
      <c r="C773" s="1" t="s">
        <v>1210</v>
      </c>
      <c r="D773" s="2">
        <v>46177</v>
      </c>
      <c r="E773">
        <v>3.4216326037385801E-2</v>
      </c>
      <c r="F773" s="1" t="s">
        <v>6210</v>
      </c>
      <c r="G773" s="2">
        <v>46177.777357372688</v>
      </c>
      <c r="H773" s="1" t="s">
        <v>1211</v>
      </c>
      <c r="I773" s="2">
        <v>46177.777357372688</v>
      </c>
      <c r="J773" s="1" t="s">
        <v>1211</v>
      </c>
    </row>
    <row r="774" spans="1:10" x14ac:dyDescent="0.35">
      <c r="A774" s="1" t="s">
        <v>1378</v>
      </c>
      <c r="B774" s="1" t="s">
        <v>1209</v>
      </c>
      <c r="C774" s="1" t="s">
        <v>1210</v>
      </c>
      <c r="D774" s="2">
        <v>46177</v>
      </c>
      <c r="E774">
        <v>2.7159481052566201E-2</v>
      </c>
      <c r="F774" s="1" t="s">
        <v>6211</v>
      </c>
      <c r="G774" s="2">
        <v>46177.777357523148</v>
      </c>
      <c r="H774" s="1" t="s">
        <v>1211</v>
      </c>
      <c r="I774" s="2">
        <v>46177.777357557869</v>
      </c>
      <c r="J774" s="1" t="s">
        <v>1211</v>
      </c>
    </row>
    <row r="775" spans="1:10" x14ac:dyDescent="0.35">
      <c r="A775" s="1" t="s">
        <v>1379</v>
      </c>
      <c r="B775" s="1" t="s">
        <v>1209</v>
      </c>
      <c r="C775" s="1" t="s">
        <v>1210</v>
      </c>
      <c r="D775" s="2">
        <v>46177</v>
      </c>
      <c r="E775">
        <v>3.0769038776608599E-2</v>
      </c>
      <c r="F775" s="1" t="s">
        <v>6212</v>
      </c>
      <c r="G775" s="2">
        <v>46177.777357673614</v>
      </c>
      <c r="H775" s="1" t="s">
        <v>1211</v>
      </c>
      <c r="I775" s="2">
        <v>46177.777357754632</v>
      </c>
      <c r="J775" s="1" t="s">
        <v>1211</v>
      </c>
    </row>
    <row r="776" spans="1:10" x14ac:dyDescent="0.35">
      <c r="A776" s="1" t="s">
        <v>1380</v>
      </c>
      <c r="B776" s="1" t="s">
        <v>1209</v>
      </c>
      <c r="C776" s="1" t="s">
        <v>1210</v>
      </c>
      <c r="D776" s="2">
        <v>46177</v>
      </c>
      <c r="E776">
        <v>3.7973928663419303E-2</v>
      </c>
      <c r="F776" s="1" t="s">
        <v>6213</v>
      </c>
      <c r="G776" s="2">
        <v>46177.77735783565</v>
      </c>
      <c r="H776" s="1" t="s">
        <v>1211</v>
      </c>
      <c r="I776" s="2">
        <v>46177.777357905092</v>
      </c>
      <c r="J776" s="1" t="s">
        <v>1211</v>
      </c>
    </row>
    <row r="777" spans="1:10" x14ac:dyDescent="0.35">
      <c r="A777" s="1" t="s">
        <v>1381</v>
      </c>
      <c r="B777" s="1" t="s">
        <v>1209</v>
      </c>
      <c r="C777" s="1" t="s">
        <v>1210</v>
      </c>
      <c r="D777" s="2">
        <v>46177</v>
      </c>
      <c r="E777">
        <v>2.7619338807552699E-2</v>
      </c>
      <c r="F777" s="1" t="s">
        <v>6214</v>
      </c>
      <c r="G777" s="2">
        <v>46177.77735798611</v>
      </c>
      <c r="H777" s="1" t="s">
        <v>1211</v>
      </c>
      <c r="I777" s="2">
        <v>46177.777358101848</v>
      </c>
      <c r="J777" s="1" t="s">
        <v>1211</v>
      </c>
    </row>
    <row r="778" spans="1:10" x14ac:dyDescent="0.35">
      <c r="A778" s="1" t="s">
        <v>1382</v>
      </c>
      <c r="B778" s="1" t="s">
        <v>1209</v>
      </c>
      <c r="C778" s="1" t="s">
        <v>1210</v>
      </c>
      <c r="D778" s="2">
        <v>46177</v>
      </c>
      <c r="E778">
        <v>3.4567266552971203E-2</v>
      </c>
      <c r="F778" s="1" t="s">
        <v>6215</v>
      </c>
      <c r="G778" s="2">
        <v>46177.777358101848</v>
      </c>
      <c r="H778" s="1" t="s">
        <v>1211</v>
      </c>
      <c r="I778" s="2">
        <v>46177.777358101848</v>
      </c>
      <c r="J778" s="1" t="s">
        <v>1211</v>
      </c>
    </row>
    <row r="779" spans="1:10" x14ac:dyDescent="0.35">
      <c r="A779" s="1" t="s">
        <v>1383</v>
      </c>
      <c r="B779" s="1" t="s">
        <v>1209</v>
      </c>
      <c r="C779" s="1" t="s">
        <v>1210</v>
      </c>
      <c r="D779" s="2">
        <v>46177</v>
      </c>
      <c r="E779">
        <v>3.4353281008543499E-2</v>
      </c>
      <c r="F779" s="1" t="s">
        <v>6216</v>
      </c>
      <c r="G779" s="2">
        <v>46177.777358252315</v>
      </c>
      <c r="H779" s="1" t="s">
        <v>1211</v>
      </c>
      <c r="I779" s="2">
        <v>46177.777358298612</v>
      </c>
      <c r="J779" s="1" t="s">
        <v>1211</v>
      </c>
    </row>
    <row r="780" spans="1:10" x14ac:dyDescent="0.35">
      <c r="A780" s="1" t="s">
        <v>1384</v>
      </c>
      <c r="B780" s="1" t="s">
        <v>1209</v>
      </c>
      <c r="C780" s="1" t="s">
        <v>1210</v>
      </c>
      <c r="D780" s="2">
        <v>46177</v>
      </c>
      <c r="E780">
        <v>2.79996026417219E-2</v>
      </c>
      <c r="F780" s="1" t="s">
        <v>6217</v>
      </c>
      <c r="G780" s="2">
        <v>46177.777358414351</v>
      </c>
      <c r="H780" s="1" t="s">
        <v>1211</v>
      </c>
      <c r="I780" s="2">
        <v>46177.777358449071</v>
      </c>
      <c r="J780" s="1" t="s">
        <v>1211</v>
      </c>
    </row>
    <row r="781" spans="1:10" x14ac:dyDescent="0.35">
      <c r="A781" s="1" t="s">
        <v>1385</v>
      </c>
      <c r="B781" s="1" t="s">
        <v>1209</v>
      </c>
      <c r="C781" s="1" t="s">
        <v>1210</v>
      </c>
      <c r="D781" s="2">
        <v>46177</v>
      </c>
      <c r="E781">
        <v>3.1155205512000999E-2</v>
      </c>
      <c r="F781" s="1" t="s">
        <v>6218</v>
      </c>
      <c r="G781" s="2">
        <v>46177.777358564817</v>
      </c>
      <c r="H781" s="1" t="s">
        <v>1211</v>
      </c>
      <c r="I781" s="2">
        <v>46177.777358645835</v>
      </c>
      <c r="J781" s="1" t="s">
        <v>1211</v>
      </c>
    </row>
    <row r="782" spans="1:10" x14ac:dyDescent="0.35">
      <c r="A782" s="1" t="s">
        <v>3771</v>
      </c>
      <c r="B782" s="1" t="s">
        <v>1209</v>
      </c>
      <c r="C782" s="1" t="s">
        <v>1210</v>
      </c>
      <c r="D782" s="2">
        <v>46177</v>
      </c>
      <c r="E782">
        <v>2.8364092785424899E-2</v>
      </c>
      <c r="F782" s="1" t="s">
        <v>6219</v>
      </c>
      <c r="G782" s="2">
        <v>46177.777358715277</v>
      </c>
      <c r="H782" s="1" t="s">
        <v>1211</v>
      </c>
      <c r="I782" s="2">
        <v>46177.777358831016</v>
      </c>
      <c r="J782" s="1" t="s">
        <v>1211</v>
      </c>
    </row>
    <row r="783" spans="1:10" x14ac:dyDescent="0.35">
      <c r="A783" s="1" t="s">
        <v>1386</v>
      </c>
      <c r="B783" s="1" t="s">
        <v>1224</v>
      </c>
      <c r="C783" s="1" t="s">
        <v>1210</v>
      </c>
      <c r="D783" s="2">
        <v>46177</v>
      </c>
      <c r="E783">
        <v>102.05</v>
      </c>
      <c r="F783" s="1"/>
      <c r="G783" s="2">
        <v>46177.668355671296</v>
      </c>
      <c r="H783" s="1" t="s">
        <v>1212</v>
      </c>
      <c r="I783" s="2">
        <v>46177.668355590278</v>
      </c>
      <c r="J783" s="1" t="s">
        <v>1212</v>
      </c>
    </row>
    <row r="784" spans="1:10" x14ac:dyDescent="0.35">
      <c r="A784" s="1" t="s">
        <v>1387</v>
      </c>
      <c r="B784" s="1" t="s">
        <v>1209</v>
      </c>
      <c r="C784" s="1" t="s">
        <v>1210</v>
      </c>
      <c r="D784" s="2">
        <v>46177</v>
      </c>
      <c r="E784">
        <v>2.5958331597384799E-2</v>
      </c>
      <c r="F784" s="1" t="s">
        <v>6220</v>
      </c>
      <c r="G784" s="2">
        <v>46177.777358877313</v>
      </c>
      <c r="H784" s="1" t="s">
        <v>1211</v>
      </c>
      <c r="I784" s="2">
        <v>46177.777358993058</v>
      </c>
      <c r="J784" s="1" t="s">
        <v>1211</v>
      </c>
    </row>
    <row r="785" spans="1:10" x14ac:dyDescent="0.35">
      <c r="A785" s="1" t="s">
        <v>1388</v>
      </c>
      <c r="B785" s="1" t="s">
        <v>1209</v>
      </c>
      <c r="C785" s="1" t="s">
        <v>1210</v>
      </c>
      <c r="D785" s="2">
        <v>46177</v>
      </c>
      <c r="E785">
        <v>2.9080587852524899E-2</v>
      </c>
      <c r="F785" s="1" t="s">
        <v>6221</v>
      </c>
      <c r="G785" s="2">
        <v>46177.777359027779</v>
      </c>
      <c r="H785" s="1" t="s">
        <v>1211</v>
      </c>
      <c r="I785" s="2">
        <v>46177.777358993058</v>
      </c>
      <c r="J785" s="1" t="s">
        <v>1211</v>
      </c>
    </row>
    <row r="786" spans="1:10" x14ac:dyDescent="0.35">
      <c r="A786" s="1" t="s">
        <v>1389</v>
      </c>
      <c r="B786" s="1" t="s">
        <v>1224</v>
      </c>
      <c r="C786" s="1" t="s">
        <v>1210</v>
      </c>
      <c r="D786" s="2">
        <v>46177</v>
      </c>
      <c r="E786">
        <v>0</v>
      </c>
      <c r="F786" s="1"/>
      <c r="G786" s="2">
        <v>46177.668355671296</v>
      </c>
      <c r="H786" s="1" t="s">
        <v>1212</v>
      </c>
      <c r="I786" s="2">
        <v>46177.668355590278</v>
      </c>
      <c r="J786" s="1" t="s">
        <v>1212</v>
      </c>
    </row>
    <row r="787" spans="1:10" x14ac:dyDescent="0.35">
      <c r="A787" s="1" t="s">
        <v>1390</v>
      </c>
      <c r="B787" s="1" t="s">
        <v>1209</v>
      </c>
      <c r="C787" s="1" t="s">
        <v>1210</v>
      </c>
      <c r="D787" s="2">
        <v>46177</v>
      </c>
      <c r="E787">
        <v>3.2553047469343503E-2</v>
      </c>
      <c r="F787" s="1" t="s">
        <v>6222</v>
      </c>
      <c r="G787" s="2">
        <v>46177.777359178239</v>
      </c>
      <c r="H787" s="1" t="s">
        <v>1211</v>
      </c>
      <c r="I787" s="2">
        <v>46177.777359178239</v>
      </c>
      <c r="J787" s="1" t="s">
        <v>1211</v>
      </c>
    </row>
    <row r="788" spans="1:10" x14ac:dyDescent="0.35">
      <c r="A788" s="1" t="s">
        <v>1391</v>
      </c>
      <c r="B788" s="1" t="s">
        <v>1224</v>
      </c>
      <c r="C788" s="1" t="s">
        <v>1210</v>
      </c>
      <c r="D788" s="2">
        <v>46177</v>
      </c>
      <c r="E788">
        <v>0</v>
      </c>
      <c r="F788" s="1"/>
      <c r="G788" s="2">
        <v>46177.668355671296</v>
      </c>
      <c r="H788" s="1" t="s">
        <v>1212</v>
      </c>
      <c r="I788" s="2">
        <v>46177.668355590278</v>
      </c>
      <c r="J788" s="1" t="s">
        <v>1212</v>
      </c>
    </row>
    <row r="789" spans="1:10" x14ac:dyDescent="0.35">
      <c r="A789" s="1" t="s">
        <v>1392</v>
      </c>
      <c r="B789" s="1" t="s">
        <v>1209</v>
      </c>
      <c r="C789" s="1" t="s">
        <v>1210</v>
      </c>
      <c r="D789" s="2">
        <v>46177</v>
      </c>
      <c r="E789">
        <v>3.4929097465378499E-2</v>
      </c>
      <c r="F789" s="1" t="s">
        <v>6223</v>
      </c>
      <c r="G789" s="2">
        <v>46177.777359409723</v>
      </c>
      <c r="H789" s="1" t="s">
        <v>1211</v>
      </c>
      <c r="I789" s="2">
        <v>46177.777359571759</v>
      </c>
      <c r="J789" s="1" t="s">
        <v>1211</v>
      </c>
    </row>
    <row r="790" spans="1:10" x14ac:dyDescent="0.35">
      <c r="A790" s="1" t="s">
        <v>1393</v>
      </c>
      <c r="B790" s="1" t="s">
        <v>1224</v>
      </c>
      <c r="C790" s="1" t="s">
        <v>1210</v>
      </c>
      <c r="D790" s="2">
        <v>46177</v>
      </c>
      <c r="E790">
        <v>0</v>
      </c>
      <c r="F790" s="1"/>
      <c r="G790" s="2">
        <v>46177.668355671296</v>
      </c>
      <c r="H790" s="1" t="s">
        <v>1212</v>
      </c>
      <c r="I790" s="2">
        <v>46177.668355590278</v>
      </c>
      <c r="J790" s="1" t="s">
        <v>1212</v>
      </c>
    </row>
    <row r="791" spans="1:10" x14ac:dyDescent="0.35">
      <c r="A791" s="1" t="s">
        <v>1394</v>
      </c>
      <c r="B791" s="1" t="s">
        <v>1209</v>
      </c>
      <c r="C791" s="1" t="s">
        <v>1210</v>
      </c>
      <c r="D791" s="2">
        <v>46177</v>
      </c>
      <c r="E791">
        <v>3.61036927109658E-2</v>
      </c>
      <c r="F791" s="1" t="s">
        <v>6224</v>
      </c>
      <c r="G791" s="2">
        <v>46177.777359571759</v>
      </c>
      <c r="H791" s="1" t="s">
        <v>1211</v>
      </c>
      <c r="I791" s="2">
        <v>46177.777359571759</v>
      </c>
      <c r="J791" s="1" t="s">
        <v>1211</v>
      </c>
    </row>
    <row r="792" spans="1:10" x14ac:dyDescent="0.35">
      <c r="A792" s="1" t="s">
        <v>1395</v>
      </c>
      <c r="B792" s="1" t="s">
        <v>1224</v>
      </c>
      <c r="C792" s="1" t="s">
        <v>1210</v>
      </c>
      <c r="D792" s="2">
        <v>46177</v>
      </c>
      <c r="E792">
        <v>0</v>
      </c>
      <c r="F792" s="1"/>
      <c r="G792" s="2">
        <v>46177.668355671296</v>
      </c>
      <c r="H792" s="1" t="s">
        <v>1212</v>
      </c>
      <c r="I792" s="2">
        <v>46177.668355590278</v>
      </c>
      <c r="J792" s="1" t="s">
        <v>1212</v>
      </c>
    </row>
    <row r="793" spans="1:10" x14ac:dyDescent="0.35">
      <c r="A793" s="1" t="s">
        <v>1396</v>
      </c>
      <c r="B793" s="1" t="s">
        <v>1209</v>
      </c>
      <c r="C793" s="1" t="s">
        <v>1210</v>
      </c>
      <c r="D793" s="2">
        <v>46177</v>
      </c>
      <c r="E793">
        <v>3.6799635203799599E-2</v>
      </c>
      <c r="F793" s="1" t="s">
        <v>6225</v>
      </c>
      <c r="G793" s="2">
        <v>46177.777359722226</v>
      </c>
      <c r="H793" s="1" t="s">
        <v>1211</v>
      </c>
      <c r="I793" s="2">
        <v>46177.777359722226</v>
      </c>
      <c r="J793" s="1" t="s">
        <v>1211</v>
      </c>
    </row>
    <row r="794" spans="1:10" x14ac:dyDescent="0.35">
      <c r="A794" s="1" t="s">
        <v>1397</v>
      </c>
      <c r="B794" s="1" t="s">
        <v>1209</v>
      </c>
      <c r="C794" s="1" t="s">
        <v>1210</v>
      </c>
      <c r="D794" s="2">
        <v>46177</v>
      </c>
      <c r="E794">
        <v>2.3150251146795101E-2</v>
      </c>
      <c r="F794" s="1" t="s">
        <v>6226</v>
      </c>
      <c r="G794" s="2">
        <v>46177.777359872685</v>
      </c>
      <c r="H794" s="1" t="s">
        <v>1211</v>
      </c>
      <c r="I794" s="2">
        <v>46177.777359918982</v>
      </c>
      <c r="J794" s="1" t="s">
        <v>1211</v>
      </c>
    </row>
    <row r="795" spans="1:10" x14ac:dyDescent="0.35">
      <c r="A795" s="1" t="s">
        <v>1398</v>
      </c>
      <c r="B795" s="1" t="s">
        <v>1209</v>
      </c>
      <c r="C795" s="1" t="s">
        <v>1210</v>
      </c>
      <c r="D795" s="2">
        <v>46177</v>
      </c>
      <c r="E795">
        <v>2.6131760581749399E-2</v>
      </c>
      <c r="F795" s="1" t="s">
        <v>6227</v>
      </c>
      <c r="G795" s="2">
        <v>46177.777360034721</v>
      </c>
      <c r="H795" s="1" t="s">
        <v>1211</v>
      </c>
      <c r="I795" s="2">
        <v>46177.77736010417</v>
      </c>
      <c r="J795" s="1" t="s">
        <v>1211</v>
      </c>
    </row>
    <row r="796" spans="1:10" x14ac:dyDescent="0.35">
      <c r="A796" s="1" t="s">
        <v>1399</v>
      </c>
      <c r="B796" s="1" t="s">
        <v>1209</v>
      </c>
      <c r="C796" s="1" t="s">
        <v>1210</v>
      </c>
      <c r="D796" s="2">
        <v>46177</v>
      </c>
      <c r="E796">
        <v>2.7881020977180902E-2</v>
      </c>
      <c r="F796" s="1" t="s">
        <v>6228</v>
      </c>
      <c r="G796" s="2">
        <v>46177.777360185188</v>
      </c>
      <c r="H796" s="1" t="s">
        <v>1211</v>
      </c>
      <c r="I796" s="2">
        <v>46177.777360266206</v>
      </c>
      <c r="J796" s="1" t="s">
        <v>1211</v>
      </c>
    </row>
    <row r="797" spans="1:10" x14ac:dyDescent="0.35">
      <c r="A797" s="1" t="s">
        <v>1400</v>
      </c>
      <c r="B797" s="1" t="s">
        <v>1209</v>
      </c>
      <c r="C797" s="1" t="s">
        <v>1210</v>
      </c>
      <c r="D797" s="2">
        <v>46177</v>
      </c>
      <c r="E797">
        <v>2.7892053224698201E-2</v>
      </c>
      <c r="F797" s="1" t="s">
        <v>6229</v>
      </c>
      <c r="G797" s="2">
        <v>46177.777360335647</v>
      </c>
      <c r="H797" s="1" t="s">
        <v>1211</v>
      </c>
      <c r="I797" s="2">
        <v>46177.777360451386</v>
      </c>
      <c r="J797" s="1" t="s">
        <v>1211</v>
      </c>
    </row>
    <row r="798" spans="1:10" x14ac:dyDescent="0.35">
      <c r="A798" s="1" t="s">
        <v>1401</v>
      </c>
      <c r="B798" s="1" t="s">
        <v>1209</v>
      </c>
      <c r="C798" s="1" t="s">
        <v>1210</v>
      </c>
      <c r="D798" s="2">
        <v>46177</v>
      </c>
      <c r="E798">
        <v>2.9178176445669599E-2</v>
      </c>
      <c r="F798" s="1" t="s">
        <v>6230</v>
      </c>
      <c r="G798" s="2">
        <v>46177.777360497683</v>
      </c>
      <c r="H798" s="1" t="s">
        <v>1211</v>
      </c>
      <c r="I798" s="2">
        <v>46177.77736064815</v>
      </c>
      <c r="J798" s="1" t="s">
        <v>1211</v>
      </c>
    </row>
    <row r="799" spans="1:10" x14ac:dyDescent="0.35">
      <c r="A799" s="1" t="s">
        <v>1402</v>
      </c>
      <c r="B799" s="1" t="s">
        <v>1209</v>
      </c>
      <c r="C799" s="1" t="s">
        <v>1210</v>
      </c>
      <c r="D799" s="2">
        <v>46177</v>
      </c>
      <c r="E799">
        <v>3.00994822414841E-2</v>
      </c>
      <c r="F799" s="1" t="s">
        <v>6231</v>
      </c>
      <c r="G799" s="2">
        <v>46177.77736064815</v>
      </c>
      <c r="H799" s="1" t="s">
        <v>1211</v>
      </c>
      <c r="I799" s="2">
        <v>46177.77736064815</v>
      </c>
      <c r="J799" s="1" t="s">
        <v>1211</v>
      </c>
    </row>
    <row r="800" spans="1:10" x14ac:dyDescent="0.35">
      <c r="A800" s="1" t="s">
        <v>1403</v>
      </c>
      <c r="B800" s="1" t="s">
        <v>1209</v>
      </c>
      <c r="C800" s="1" t="s">
        <v>1210</v>
      </c>
      <c r="D800" s="2">
        <v>46177</v>
      </c>
      <c r="E800">
        <v>3.0892048994549701E-2</v>
      </c>
      <c r="F800" s="1" t="s">
        <v>6232</v>
      </c>
      <c r="G800" s="2">
        <v>46177.777360798609</v>
      </c>
      <c r="H800" s="1" t="s">
        <v>1211</v>
      </c>
      <c r="I800" s="2">
        <v>46177.777360798609</v>
      </c>
      <c r="J800" s="1" t="s">
        <v>1211</v>
      </c>
    </row>
    <row r="801" spans="1:10" x14ac:dyDescent="0.35">
      <c r="A801" s="1" t="s">
        <v>1404</v>
      </c>
      <c r="B801" s="1" t="s">
        <v>1209</v>
      </c>
      <c r="C801" s="1" t="s">
        <v>1210</v>
      </c>
      <c r="D801" s="2">
        <v>46177</v>
      </c>
      <c r="E801">
        <v>3.1688547302234298E-2</v>
      </c>
      <c r="F801" s="1" t="s">
        <v>6233</v>
      </c>
      <c r="G801" s="2">
        <v>46177.777360960645</v>
      </c>
      <c r="H801" s="1" t="s">
        <v>1211</v>
      </c>
      <c r="I801" s="2">
        <v>46177.777360995373</v>
      </c>
      <c r="J801" s="1" t="s">
        <v>1211</v>
      </c>
    </row>
    <row r="802" spans="1:10" x14ac:dyDescent="0.35">
      <c r="A802" s="1" t="s">
        <v>1405</v>
      </c>
      <c r="B802" s="1" t="s">
        <v>1209</v>
      </c>
      <c r="C802" s="1" t="s">
        <v>1210</v>
      </c>
      <c r="D802" s="2">
        <v>46177</v>
      </c>
      <c r="E802">
        <v>3.1686155856661902E-2</v>
      </c>
      <c r="F802" s="1" t="s">
        <v>6234</v>
      </c>
      <c r="G802" s="2">
        <v>46177.777361111112</v>
      </c>
      <c r="H802" s="1" t="s">
        <v>1211</v>
      </c>
      <c r="I802" s="2">
        <v>46177.777361192129</v>
      </c>
      <c r="J802" s="1" t="s">
        <v>1211</v>
      </c>
    </row>
    <row r="803" spans="1:10" x14ac:dyDescent="0.35">
      <c r="A803" s="1" t="s">
        <v>1406</v>
      </c>
      <c r="B803" s="1" t="s">
        <v>1209</v>
      </c>
      <c r="C803" s="1" t="s">
        <v>1210</v>
      </c>
      <c r="D803" s="2">
        <v>46177</v>
      </c>
      <c r="E803">
        <v>2.4919408382642401E-2</v>
      </c>
      <c r="F803" s="1" t="s">
        <v>6235</v>
      </c>
      <c r="G803" s="2">
        <v>46177.777361261571</v>
      </c>
      <c r="H803" s="1" t="s">
        <v>1211</v>
      </c>
      <c r="I803" s="2">
        <v>46177.777361423614</v>
      </c>
      <c r="J803" s="1" t="s">
        <v>1211</v>
      </c>
    </row>
    <row r="804" spans="1:10" x14ac:dyDescent="0.35">
      <c r="A804" s="1" t="s">
        <v>1407</v>
      </c>
      <c r="B804" s="1" t="s">
        <v>1209</v>
      </c>
      <c r="C804" s="1" t="s">
        <v>1210</v>
      </c>
      <c r="D804" s="2">
        <v>46177</v>
      </c>
      <c r="E804">
        <v>3.1655650999088299E-2</v>
      </c>
      <c r="F804" s="1" t="s">
        <v>6236</v>
      </c>
      <c r="G804" s="2">
        <v>46177.777361423614</v>
      </c>
      <c r="H804" s="1" t="s">
        <v>1211</v>
      </c>
      <c r="I804" s="2">
        <v>46177.777361574073</v>
      </c>
      <c r="J804" s="1" t="s">
        <v>1211</v>
      </c>
    </row>
    <row r="805" spans="1:10" x14ac:dyDescent="0.35">
      <c r="A805" s="1" t="s">
        <v>1408</v>
      </c>
      <c r="B805" s="1" t="s">
        <v>1209</v>
      </c>
      <c r="C805" s="1" t="s">
        <v>1210</v>
      </c>
      <c r="D805" s="2">
        <v>46177</v>
      </c>
      <c r="E805">
        <v>3.2445457839166601E-2</v>
      </c>
      <c r="F805" s="1" t="s">
        <v>6237</v>
      </c>
      <c r="G805" s="2">
        <v>46177.777361574073</v>
      </c>
      <c r="H805" s="1" t="s">
        <v>1211</v>
      </c>
      <c r="I805" s="2">
        <v>46177.777361574073</v>
      </c>
      <c r="J805" s="1" t="s">
        <v>1211</v>
      </c>
    </row>
    <row r="806" spans="1:10" x14ac:dyDescent="0.35">
      <c r="A806" s="1" t="s">
        <v>1409</v>
      </c>
      <c r="B806" s="1" t="s">
        <v>1209</v>
      </c>
      <c r="C806" s="1" t="s">
        <v>1210</v>
      </c>
      <c r="D806" s="2">
        <v>46177</v>
      </c>
      <c r="E806">
        <v>2.3487608945129499E-2</v>
      </c>
      <c r="F806" s="1" t="s">
        <v>6238</v>
      </c>
      <c r="G806" s="2">
        <v>46177.77736172454</v>
      </c>
      <c r="H806" s="1" t="s">
        <v>1211</v>
      </c>
      <c r="I806" s="2">
        <v>46177.77736177083</v>
      </c>
      <c r="J806" s="1" t="s">
        <v>1211</v>
      </c>
    </row>
    <row r="807" spans="1:10" x14ac:dyDescent="0.35">
      <c r="A807" s="1" t="s">
        <v>1410</v>
      </c>
      <c r="B807" s="1" t="s">
        <v>1209</v>
      </c>
      <c r="C807" s="1" t="s">
        <v>1210</v>
      </c>
      <c r="D807" s="2">
        <v>46177</v>
      </c>
      <c r="E807">
        <v>3.2452801142419802E-2</v>
      </c>
      <c r="F807" s="1" t="s">
        <v>6239</v>
      </c>
      <c r="G807" s="2">
        <v>46177.777361886576</v>
      </c>
      <c r="H807" s="1" t="s">
        <v>1211</v>
      </c>
      <c r="I807" s="2">
        <v>46177.777361956018</v>
      </c>
      <c r="J807" s="1" t="s">
        <v>1211</v>
      </c>
    </row>
    <row r="808" spans="1:10" x14ac:dyDescent="0.35">
      <c r="A808" s="1" t="s">
        <v>1411</v>
      </c>
      <c r="B808" s="1" t="s">
        <v>1209</v>
      </c>
      <c r="C808" s="1" t="s">
        <v>1210</v>
      </c>
      <c r="D808" s="2">
        <v>46177</v>
      </c>
      <c r="E808">
        <v>2.3486916356303001E-2</v>
      </c>
      <c r="F808" s="1" t="s">
        <v>6240</v>
      </c>
      <c r="G808" s="2">
        <v>46177.777362037035</v>
      </c>
      <c r="H808" s="1" t="s">
        <v>1211</v>
      </c>
      <c r="I808" s="2">
        <v>46177.777362118053</v>
      </c>
      <c r="J808" s="1" t="s">
        <v>1211</v>
      </c>
    </row>
    <row r="809" spans="1:10" x14ac:dyDescent="0.35">
      <c r="A809" s="1" t="s">
        <v>1412</v>
      </c>
      <c r="B809" s="1" t="s">
        <v>1209</v>
      </c>
      <c r="C809" s="1" t="s">
        <v>1210</v>
      </c>
      <c r="D809" s="2">
        <v>46177</v>
      </c>
      <c r="E809">
        <v>3.2424941009377303E-2</v>
      </c>
      <c r="F809" s="1" t="s">
        <v>6241</v>
      </c>
      <c r="G809" s="2">
        <v>46177.777362187502</v>
      </c>
      <c r="H809" s="1" t="s">
        <v>1211</v>
      </c>
      <c r="I809" s="2">
        <v>46177.777362303241</v>
      </c>
      <c r="J809" s="1" t="s">
        <v>1211</v>
      </c>
    </row>
    <row r="810" spans="1:10" x14ac:dyDescent="0.35">
      <c r="A810" s="1" t="s">
        <v>1413</v>
      </c>
      <c r="B810" s="1" t="s">
        <v>1209</v>
      </c>
      <c r="C810" s="1" t="s">
        <v>1210</v>
      </c>
      <c r="D810" s="2">
        <v>46177</v>
      </c>
      <c r="E810">
        <v>3.33332769490522E-2</v>
      </c>
      <c r="F810" s="1" t="s">
        <v>6242</v>
      </c>
      <c r="G810" s="2">
        <v>46177.777362349538</v>
      </c>
      <c r="H810" s="1" t="s">
        <v>1211</v>
      </c>
      <c r="I810" s="2">
        <v>46177.777362499997</v>
      </c>
      <c r="J810" s="1" t="s">
        <v>1211</v>
      </c>
    </row>
    <row r="811" spans="1:10" x14ac:dyDescent="0.35">
      <c r="A811" s="1" t="s">
        <v>1414</v>
      </c>
      <c r="B811" s="1" t="s">
        <v>1209</v>
      </c>
      <c r="C811" s="1" t="s">
        <v>1210</v>
      </c>
      <c r="D811" s="2">
        <v>46177</v>
      </c>
      <c r="E811">
        <v>2.6150187017282799E-2</v>
      </c>
      <c r="F811" s="1" t="s">
        <v>6243</v>
      </c>
      <c r="G811" s="2">
        <v>46177.777362499997</v>
      </c>
      <c r="H811" s="1" t="s">
        <v>1211</v>
      </c>
      <c r="I811" s="2">
        <v>46177.777362499997</v>
      </c>
      <c r="J811" s="1" t="s">
        <v>1211</v>
      </c>
    </row>
    <row r="812" spans="1:10" x14ac:dyDescent="0.35">
      <c r="A812" s="1" t="s">
        <v>1415</v>
      </c>
      <c r="B812" s="1" t="s">
        <v>1209</v>
      </c>
      <c r="C812" s="1" t="s">
        <v>1210</v>
      </c>
      <c r="D812" s="2">
        <v>46177</v>
      </c>
      <c r="E812">
        <v>2.7402178638466699E-2</v>
      </c>
      <c r="F812" s="1" t="s">
        <v>6244</v>
      </c>
      <c r="G812" s="2">
        <v>46177.777362650464</v>
      </c>
      <c r="H812" s="1" t="s">
        <v>1211</v>
      </c>
      <c r="I812" s="2">
        <v>46177.777362696761</v>
      </c>
      <c r="J812" s="1" t="s">
        <v>1211</v>
      </c>
    </row>
    <row r="813" spans="1:10" x14ac:dyDescent="0.35">
      <c r="A813" s="1" t="s">
        <v>1416</v>
      </c>
      <c r="B813" s="1" t="s">
        <v>1209</v>
      </c>
      <c r="C813" s="1" t="s">
        <v>1210</v>
      </c>
      <c r="D813" s="2">
        <v>46177</v>
      </c>
      <c r="E813">
        <v>3.4100362059790001E-2</v>
      </c>
      <c r="F813" s="1" t="s">
        <v>6245</v>
      </c>
      <c r="G813" s="2">
        <v>46177.7773628125</v>
      </c>
      <c r="H813" s="1" t="s">
        <v>1211</v>
      </c>
      <c r="I813" s="2">
        <v>46177.777362847221</v>
      </c>
      <c r="J813" s="1" t="s">
        <v>1211</v>
      </c>
    </row>
    <row r="814" spans="1:10" x14ac:dyDescent="0.35">
      <c r="A814" s="1" t="s">
        <v>1417</v>
      </c>
      <c r="B814" s="1" t="s">
        <v>1209</v>
      </c>
      <c r="C814" s="1" t="s">
        <v>1210</v>
      </c>
      <c r="D814" s="2">
        <v>46177</v>
      </c>
      <c r="E814">
        <v>2.8484991058665799E-2</v>
      </c>
      <c r="F814" s="1" t="s">
        <v>6246</v>
      </c>
      <c r="G814" s="2">
        <v>46177.777362962966</v>
      </c>
      <c r="H814" s="1" t="s">
        <v>1211</v>
      </c>
      <c r="I814" s="2">
        <v>46177.777363043984</v>
      </c>
      <c r="J814" s="1" t="s">
        <v>1211</v>
      </c>
    </row>
    <row r="815" spans="1:10" x14ac:dyDescent="0.35">
      <c r="A815" s="1" t="s">
        <v>1418</v>
      </c>
      <c r="B815" s="1" t="s">
        <v>1209</v>
      </c>
      <c r="C815" s="1" t="s">
        <v>1210</v>
      </c>
      <c r="D815" s="2">
        <v>46177</v>
      </c>
      <c r="E815">
        <v>2.8479437097064401E-2</v>
      </c>
      <c r="F815" s="1" t="s">
        <v>6247</v>
      </c>
      <c r="G815" s="2">
        <v>46177.777363194444</v>
      </c>
      <c r="H815" s="1" t="s">
        <v>1211</v>
      </c>
      <c r="I815" s="2">
        <v>46177.777363229165</v>
      </c>
      <c r="J815" s="1" t="s">
        <v>1211</v>
      </c>
    </row>
    <row r="816" spans="1:10" x14ac:dyDescent="0.35">
      <c r="A816" s="1" t="s">
        <v>3804</v>
      </c>
      <c r="B816" s="1" t="s">
        <v>1209</v>
      </c>
      <c r="C816" s="1" t="s">
        <v>1210</v>
      </c>
      <c r="D816" s="2">
        <v>46177</v>
      </c>
      <c r="E816">
        <v>3.6787078809865897E-2</v>
      </c>
      <c r="F816" s="1" t="s">
        <v>6248</v>
      </c>
      <c r="G816" s="2">
        <v>46177.777363310182</v>
      </c>
      <c r="H816" s="1" t="s">
        <v>1211</v>
      </c>
      <c r="I816" s="2">
        <v>46177.7773633912</v>
      </c>
      <c r="J816" s="1" t="s">
        <v>1211</v>
      </c>
    </row>
    <row r="817" spans="1:10" x14ac:dyDescent="0.35">
      <c r="A817" s="1" t="s">
        <v>1419</v>
      </c>
      <c r="B817" s="1" t="s">
        <v>1209</v>
      </c>
      <c r="C817" s="1" t="s">
        <v>1210</v>
      </c>
      <c r="D817" s="2">
        <v>46177</v>
      </c>
      <c r="E817">
        <v>2.6963428980182599E-2</v>
      </c>
      <c r="F817" s="1" t="s">
        <v>6249</v>
      </c>
      <c r="G817" s="2">
        <v>46177.777363460649</v>
      </c>
      <c r="H817" s="1" t="s">
        <v>1211</v>
      </c>
      <c r="I817" s="2">
        <v>46177.777363576388</v>
      </c>
      <c r="J817" s="1" t="s">
        <v>1211</v>
      </c>
    </row>
    <row r="818" spans="1:10" x14ac:dyDescent="0.35">
      <c r="A818" s="1" t="s">
        <v>1420</v>
      </c>
      <c r="B818" s="1" t="s">
        <v>1209</v>
      </c>
      <c r="C818" s="1" t="s">
        <v>1210</v>
      </c>
      <c r="D818" s="2">
        <v>46177</v>
      </c>
      <c r="E818">
        <v>2.4521424337392399E-2</v>
      </c>
      <c r="F818" s="1" t="s">
        <v>6250</v>
      </c>
      <c r="G818" s="2">
        <v>46177.777363622685</v>
      </c>
      <c r="H818" s="1" t="s">
        <v>1211</v>
      </c>
      <c r="I818" s="2">
        <v>46177.777363738423</v>
      </c>
      <c r="J818" s="1" t="s">
        <v>1211</v>
      </c>
    </row>
    <row r="819" spans="1:10" x14ac:dyDescent="0.35">
      <c r="A819" s="1" t="s">
        <v>1421</v>
      </c>
      <c r="B819" s="1" t="s">
        <v>1209</v>
      </c>
      <c r="C819" s="1" t="s">
        <v>1210</v>
      </c>
      <c r="D819" s="2">
        <v>46177</v>
      </c>
      <c r="E819">
        <v>3.6933360406298597E-2</v>
      </c>
      <c r="F819" s="1" t="s">
        <v>6251</v>
      </c>
      <c r="G819" s="2">
        <v>46177.777363773152</v>
      </c>
      <c r="H819" s="1" t="s">
        <v>1211</v>
      </c>
      <c r="I819" s="2">
        <v>46177.777363923611</v>
      </c>
      <c r="J819" s="1" t="s">
        <v>1211</v>
      </c>
    </row>
    <row r="820" spans="1:10" x14ac:dyDescent="0.35">
      <c r="A820" s="1" t="s">
        <v>1422</v>
      </c>
      <c r="B820" s="1" t="s">
        <v>1209</v>
      </c>
      <c r="C820" s="1" t="s">
        <v>1210</v>
      </c>
      <c r="D820" s="2">
        <v>46177</v>
      </c>
      <c r="E820">
        <v>4.26763685421764E-2</v>
      </c>
      <c r="F820" s="1" t="s">
        <v>6252</v>
      </c>
      <c r="G820" s="2">
        <v>46177.777363923611</v>
      </c>
      <c r="H820" s="1" t="s">
        <v>1211</v>
      </c>
      <c r="I820" s="2">
        <v>46177.777363923611</v>
      </c>
      <c r="J820" s="1" t="s">
        <v>1211</v>
      </c>
    </row>
    <row r="821" spans="1:10" x14ac:dyDescent="0.35">
      <c r="A821" s="1" t="s">
        <v>1423</v>
      </c>
      <c r="B821" s="1" t="s">
        <v>1209</v>
      </c>
      <c r="C821" s="1" t="s">
        <v>1210</v>
      </c>
      <c r="D821" s="2">
        <v>46177</v>
      </c>
      <c r="E821">
        <v>3.9731749054303003E-2</v>
      </c>
      <c r="F821" s="1" t="s">
        <v>6253</v>
      </c>
      <c r="G821" s="2">
        <v>46177.777364085647</v>
      </c>
      <c r="H821" s="1" t="s">
        <v>1211</v>
      </c>
      <c r="I821" s="2">
        <v>46177.777364120368</v>
      </c>
      <c r="J821" s="1" t="s">
        <v>1211</v>
      </c>
    </row>
    <row r="822" spans="1:10" x14ac:dyDescent="0.35">
      <c r="A822" s="1" t="s">
        <v>1424</v>
      </c>
      <c r="B822" s="1" t="s">
        <v>1209</v>
      </c>
      <c r="C822" s="1" t="s">
        <v>1210</v>
      </c>
      <c r="D822" s="2">
        <v>46177</v>
      </c>
      <c r="E822">
        <v>4.5240088926648998E-2</v>
      </c>
      <c r="F822" s="1" t="s">
        <v>6254</v>
      </c>
      <c r="G822" s="2">
        <v>46177.777364270834</v>
      </c>
      <c r="H822" s="1" t="s">
        <v>1211</v>
      </c>
      <c r="I822" s="2">
        <v>46177.777364317131</v>
      </c>
      <c r="J822" s="1" t="s">
        <v>1211</v>
      </c>
    </row>
    <row r="823" spans="1:10" x14ac:dyDescent="0.35">
      <c r="A823" s="1" t="s">
        <v>1425</v>
      </c>
      <c r="B823" s="1" t="s">
        <v>1209</v>
      </c>
      <c r="C823" s="1" t="s">
        <v>1210</v>
      </c>
      <c r="D823" s="2">
        <v>46177</v>
      </c>
      <c r="E823">
        <v>2.6065421979468002E-2</v>
      </c>
      <c r="F823" s="1" t="s">
        <v>6255</v>
      </c>
      <c r="G823" s="2">
        <v>46177.77736443287</v>
      </c>
      <c r="H823" s="1" t="s">
        <v>1211</v>
      </c>
      <c r="I823" s="2">
        <v>46177.777364502312</v>
      </c>
      <c r="J823" s="1" t="s">
        <v>1211</v>
      </c>
    </row>
    <row r="824" spans="1:10" x14ac:dyDescent="0.35">
      <c r="A824" s="1" t="s">
        <v>1426</v>
      </c>
      <c r="B824" s="1" t="s">
        <v>1209</v>
      </c>
      <c r="C824" s="1" t="s">
        <v>1210</v>
      </c>
      <c r="D824" s="2">
        <v>46177</v>
      </c>
      <c r="E824">
        <v>2.74253463308336E-2</v>
      </c>
      <c r="F824" s="1" t="s">
        <v>6256</v>
      </c>
      <c r="G824" s="2">
        <v>46177.777364583337</v>
      </c>
      <c r="H824" s="1" t="s">
        <v>1211</v>
      </c>
      <c r="I824" s="2">
        <v>46177.777364664355</v>
      </c>
      <c r="J824" s="1" t="s">
        <v>1211</v>
      </c>
    </row>
    <row r="825" spans="1:10" x14ac:dyDescent="0.35">
      <c r="A825" s="1" t="s">
        <v>1427</v>
      </c>
      <c r="B825" s="1" t="s">
        <v>1209</v>
      </c>
      <c r="C825" s="1" t="s">
        <v>1210</v>
      </c>
      <c r="D825" s="2">
        <v>46177</v>
      </c>
      <c r="E825">
        <v>2.75012704844445E-2</v>
      </c>
      <c r="F825" s="1" t="s">
        <v>6257</v>
      </c>
      <c r="G825" s="2">
        <v>46177.777364733796</v>
      </c>
      <c r="H825" s="1" t="s">
        <v>1211</v>
      </c>
      <c r="I825" s="2">
        <v>46177.777364664355</v>
      </c>
      <c r="J825" s="1" t="s">
        <v>1211</v>
      </c>
    </row>
    <row r="826" spans="1:10" x14ac:dyDescent="0.35">
      <c r="A826" s="1" t="s">
        <v>1428</v>
      </c>
      <c r="B826" s="1" t="s">
        <v>1209</v>
      </c>
      <c r="C826" s="1" t="s">
        <v>1210</v>
      </c>
      <c r="D826" s="2">
        <v>46177</v>
      </c>
      <c r="E826">
        <v>2.86454676279373E-2</v>
      </c>
      <c r="F826" s="1" t="s">
        <v>6258</v>
      </c>
      <c r="G826" s="2">
        <v>46177.777364895832</v>
      </c>
      <c r="H826" s="1" t="s">
        <v>1211</v>
      </c>
      <c r="I826" s="2">
        <v>46177.777364849535</v>
      </c>
      <c r="J826" s="1" t="s">
        <v>1211</v>
      </c>
    </row>
    <row r="827" spans="1:10" x14ac:dyDescent="0.35">
      <c r="A827" s="1" t="s">
        <v>1429</v>
      </c>
      <c r="B827" s="1" t="s">
        <v>1209</v>
      </c>
      <c r="C827" s="1" t="s">
        <v>1210</v>
      </c>
      <c r="D827" s="2">
        <v>46177</v>
      </c>
      <c r="E827">
        <v>3.0240633696335902E-2</v>
      </c>
      <c r="F827" s="1" t="s">
        <v>6259</v>
      </c>
      <c r="G827" s="2">
        <v>46177.777365046299</v>
      </c>
      <c r="H827" s="1" t="s">
        <v>1211</v>
      </c>
      <c r="I827" s="2">
        <v>46177.777365046299</v>
      </c>
      <c r="J827" s="1" t="s">
        <v>1211</v>
      </c>
    </row>
    <row r="828" spans="1:10" x14ac:dyDescent="0.35">
      <c r="A828" s="1" t="s">
        <v>1430</v>
      </c>
      <c r="B828" s="1" t="s">
        <v>1209</v>
      </c>
      <c r="C828" s="1" t="s">
        <v>1210</v>
      </c>
      <c r="D828" s="2">
        <v>46177</v>
      </c>
      <c r="E828">
        <v>4.5161195884425902E-2</v>
      </c>
      <c r="F828" s="1" t="s">
        <v>6260</v>
      </c>
      <c r="G828" s="2">
        <v>46177.777365196758</v>
      </c>
      <c r="H828" s="1" t="s">
        <v>1211</v>
      </c>
      <c r="I828" s="2">
        <v>46177.777365243055</v>
      </c>
      <c r="J828" s="1" t="s">
        <v>1211</v>
      </c>
    </row>
    <row r="829" spans="1:10" x14ac:dyDescent="0.35">
      <c r="A829" s="1" t="s">
        <v>1431</v>
      </c>
      <c r="B829" s="1" t="s">
        <v>1209</v>
      </c>
      <c r="C829" s="1" t="s">
        <v>1210</v>
      </c>
      <c r="D829" s="2">
        <v>46177</v>
      </c>
      <c r="E829">
        <v>3.1428280720487603E-2</v>
      </c>
      <c r="F829" s="1" t="s">
        <v>6261</v>
      </c>
      <c r="G829" s="2">
        <v>46177.777365358794</v>
      </c>
      <c r="H829" s="1" t="s">
        <v>1211</v>
      </c>
      <c r="I829" s="2">
        <v>46177.777365393522</v>
      </c>
      <c r="J829" s="1" t="s">
        <v>1211</v>
      </c>
    </row>
    <row r="830" spans="1:10" x14ac:dyDescent="0.35">
      <c r="A830" s="1" t="s">
        <v>1432</v>
      </c>
      <c r="B830" s="1" t="s">
        <v>1209</v>
      </c>
      <c r="C830" s="1" t="s">
        <v>1210</v>
      </c>
      <c r="D830" s="2">
        <v>46177</v>
      </c>
      <c r="E830">
        <v>4.5066838244526501E-2</v>
      </c>
      <c r="F830" s="1" t="s">
        <v>6262</v>
      </c>
      <c r="G830" s="2">
        <v>46177.77736547454</v>
      </c>
      <c r="H830" s="1" t="s">
        <v>1211</v>
      </c>
      <c r="I830" s="2">
        <v>46177.777365590278</v>
      </c>
      <c r="J830" s="1" t="s">
        <v>1211</v>
      </c>
    </row>
    <row r="831" spans="1:10" x14ac:dyDescent="0.35">
      <c r="A831" s="1" t="s">
        <v>1433</v>
      </c>
      <c r="B831" s="1" t="s">
        <v>1209</v>
      </c>
      <c r="C831" s="1" t="s">
        <v>1210</v>
      </c>
      <c r="D831" s="2">
        <v>46177</v>
      </c>
      <c r="E831">
        <v>3.3131533669762903E-2</v>
      </c>
      <c r="F831" s="1" t="s">
        <v>6263</v>
      </c>
      <c r="G831" s="2">
        <v>46177.777365624999</v>
      </c>
      <c r="H831" s="1" t="s">
        <v>1211</v>
      </c>
      <c r="I831" s="2">
        <v>46177.777365590278</v>
      </c>
      <c r="J831" s="1" t="s">
        <v>1211</v>
      </c>
    </row>
    <row r="832" spans="1:10" x14ac:dyDescent="0.35">
      <c r="A832" s="1" t="s">
        <v>1434</v>
      </c>
      <c r="B832" s="1" t="s">
        <v>1209</v>
      </c>
      <c r="C832" s="1" t="s">
        <v>1210</v>
      </c>
      <c r="D832" s="2">
        <v>46177</v>
      </c>
      <c r="E832">
        <v>3.3687082977141403E-2</v>
      </c>
      <c r="F832" s="1" t="s">
        <v>6264</v>
      </c>
      <c r="G832" s="2">
        <v>46177.777365821756</v>
      </c>
      <c r="H832" s="1" t="s">
        <v>1211</v>
      </c>
      <c r="I832" s="2">
        <v>46177.777365775466</v>
      </c>
      <c r="J832" s="1" t="s">
        <v>1211</v>
      </c>
    </row>
    <row r="833" spans="1:10" x14ac:dyDescent="0.35">
      <c r="A833" s="1" t="s">
        <v>1435</v>
      </c>
      <c r="B833" s="1" t="s">
        <v>1209</v>
      </c>
      <c r="C833" s="1" t="s">
        <v>1210</v>
      </c>
      <c r="D833" s="2">
        <v>46177</v>
      </c>
      <c r="E833">
        <v>4.52119293688878E-2</v>
      </c>
      <c r="F833" s="1" t="s">
        <v>6265</v>
      </c>
      <c r="G833" s="2">
        <v>46177.777365972222</v>
      </c>
      <c r="H833" s="1" t="s">
        <v>1211</v>
      </c>
      <c r="I833" s="2">
        <v>46177.777365937502</v>
      </c>
      <c r="J833" s="1" t="s">
        <v>1211</v>
      </c>
    </row>
    <row r="834" spans="1:10" x14ac:dyDescent="0.35">
      <c r="A834" s="1" t="s">
        <v>1436</v>
      </c>
      <c r="B834" s="1" t="s">
        <v>1209</v>
      </c>
      <c r="C834" s="1" t="s">
        <v>1210</v>
      </c>
      <c r="D834" s="2">
        <v>46177</v>
      </c>
      <c r="E834">
        <v>3.50192980939373E-2</v>
      </c>
      <c r="F834" s="1" t="s">
        <v>6266</v>
      </c>
      <c r="G834" s="2">
        <v>46177.777366087961</v>
      </c>
      <c r="H834" s="1" t="s">
        <v>1211</v>
      </c>
      <c r="I834" s="2">
        <v>46177.777366122682</v>
      </c>
      <c r="J834" s="1" t="s">
        <v>1211</v>
      </c>
    </row>
    <row r="835" spans="1:10" x14ac:dyDescent="0.35">
      <c r="A835" s="1" t="s">
        <v>1437</v>
      </c>
      <c r="B835" s="1" t="s">
        <v>1209</v>
      </c>
      <c r="C835" s="1" t="s">
        <v>1210</v>
      </c>
      <c r="D835" s="2">
        <v>46177</v>
      </c>
      <c r="E835">
        <v>2.9188721710309899E-2</v>
      </c>
      <c r="F835" s="1" t="s">
        <v>6267</v>
      </c>
      <c r="G835" s="2">
        <v>46177.777366238428</v>
      </c>
      <c r="H835" s="1" t="s">
        <v>1211</v>
      </c>
      <c r="I835" s="2">
        <v>46177.777366319446</v>
      </c>
      <c r="J835" s="1" t="s">
        <v>1211</v>
      </c>
    </row>
    <row r="836" spans="1:10" x14ac:dyDescent="0.35">
      <c r="A836" s="1" t="s">
        <v>1438</v>
      </c>
      <c r="B836" s="1" t="s">
        <v>1209</v>
      </c>
      <c r="C836" s="1" t="s">
        <v>1210</v>
      </c>
      <c r="D836" s="2">
        <v>46177</v>
      </c>
      <c r="E836">
        <v>4.51363510968225E-2</v>
      </c>
      <c r="F836" s="1" t="s">
        <v>6268</v>
      </c>
      <c r="G836" s="2">
        <v>46177.777366400464</v>
      </c>
      <c r="H836" s="1" t="s">
        <v>1211</v>
      </c>
      <c r="I836" s="2">
        <v>46177.777366516202</v>
      </c>
      <c r="J836" s="1" t="s">
        <v>1211</v>
      </c>
    </row>
    <row r="837" spans="1:10" x14ac:dyDescent="0.35">
      <c r="A837" s="1" t="s">
        <v>1439</v>
      </c>
      <c r="B837" s="1" t="s">
        <v>1224</v>
      </c>
      <c r="C837" s="1" t="s">
        <v>1210</v>
      </c>
      <c r="D837" s="2">
        <v>46177</v>
      </c>
      <c r="E837">
        <v>0.71945000000000003</v>
      </c>
      <c r="F837" s="1" t="s">
        <v>6269</v>
      </c>
      <c r="G837" s="2">
        <v>46177.777479745368</v>
      </c>
      <c r="H837" s="1" t="s">
        <v>1211</v>
      </c>
      <c r="I837" s="2">
        <v>46177.777479629629</v>
      </c>
      <c r="J837" s="1" t="s">
        <v>1211</v>
      </c>
    </row>
    <row r="838" spans="1:10" x14ac:dyDescent="0.35">
      <c r="A838" s="1" t="s">
        <v>1440</v>
      </c>
      <c r="B838" s="1" t="s">
        <v>1224</v>
      </c>
      <c r="C838" s="1" t="s">
        <v>1210</v>
      </c>
      <c r="D838" s="2">
        <v>46177</v>
      </c>
      <c r="E838">
        <v>2.2799999999999998</v>
      </c>
      <c r="F838" s="1" t="s">
        <v>2942</v>
      </c>
      <c r="G838" s="2">
        <v>46177.77756736111</v>
      </c>
      <c r="H838" s="1" t="s">
        <v>1211</v>
      </c>
      <c r="I838" s="2">
        <v>46177.77756736111</v>
      </c>
      <c r="J838" s="1" t="s">
        <v>1211</v>
      </c>
    </row>
    <row r="839" spans="1:10" x14ac:dyDescent="0.35">
      <c r="A839" s="1" t="s">
        <v>1441</v>
      </c>
      <c r="B839" s="1" t="s">
        <v>1209</v>
      </c>
      <c r="C839" s="1" t="s">
        <v>1210</v>
      </c>
      <c r="D839" s="2">
        <v>46177</v>
      </c>
      <c r="E839">
        <v>2.5200549999999999E-2</v>
      </c>
      <c r="F839" s="1" t="s">
        <v>6270</v>
      </c>
      <c r="G839" s="2">
        <v>46177.777514965281</v>
      </c>
      <c r="H839" s="1" t="s">
        <v>1211</v>
      </c>
      <c r="I839" s="2">
        <v>46177.777514849535</v>
      </c>
      <c r="J839" s="1" t="s">
        <v>1211</v>
      </c>
    </row>
    <row r="840" spans="1:10" x14ac:dyDescent="0.35">
      <c r="A840" s="1" t="s">
        <v>1442</v>
      </c>
      <c r="B840" s="1" t="s">
        <v>1209</v>
      </c>
      <c r="C840" s="1" t="s">
        <v>1210</v>
      </c>
      <c r="D840" s="2">
        <v>46177</v>
      </c>
      <c r="E840">
        <v>3.1961000000000003E-2</v>
      </c>
      <c r="F840" s="1" t="s">
        <v>6271</v>
      </c>
      <c r="G840" s="2">
        <v>46177.777516238428</v>
      </c>
      <c r="H840" s="1" t="s">
        <v>1211</v>
      </c>
      <c r="I840" s="2">
        <v>46177.777516284725</v>
      </c>
      <c r="J840" s="1" t="s">
        <v>1211</v>
      </c>
    </row>
    <row r="841" spans="1:10" x14ac:dyDescent="0.35">
      <c r="A841" s="1" t="s">
        <v>1443</v>
      </c>
      <c r="B841" s="1" t="s">
        <v>1209</v>
      </c>
      <c r="C841" s="1" t="s">
        <v>1210</v>
      </c>
      <c r="D841" s="2">
        <v>46177</v>
      </c>
      <c r="E841">
        <v>3.2960000000000003E-2</v>
      </c>
      <c r="F841" s="1" t="s">
        <v>6272</v>
      </c>
      <c r="G841" s="2">
        <v>46177.777516400463</v>
      </c>
      <c r="H841" s="1" t="s">
        <v>1211</v>
      </c>
      <c r="I841" s="2">
        <v>46177.777516469905</v>
      </c>
      <c r="J841" s="1" t="s">
        <v>1211</v>
      </c>
    </row>
    <row r="842" spans="1:10" x14ac:dyDescent="0.35">
      <c r="A842" s="1" t="s">
        <v>1444</v>
      </c>
      <c r="B842" s="1" t="s">
        <v>1209</v>
      </c>
      <c r="C842" s="1" t="s">
        <v>1210</v>
      </c>
      <c r="D842" s="2">
        <v>46177</v>
      </c>
      <c r="E842">
        <v>3.4153999999999997E-2</v>
      </c>
      <c r="F842" s="1" t="s">
        <v>6273</v>
      </c>
      <c r="G842" s="2">
        <v>46177.777516550923</v>
      </c>
      <c r="H842" s="1" t="s">
        <v>1211</v>
      </c>
      <c r="I842" s="2">
        <v>46177.777516666669</v>
      </c>
      <c r="J842" s="1" t="s">
        <v>1211</v>
      </c>
    </row>
    <row r="843" spans="1:10" x14ac:dyDescent="0.35">
      <c r="A843" s="1" t="s">
        <v>1445</v>
      </c>
      <c r="B843" s="1" t="s">
        <v>1209</v>
      </c>
      <c r="C843" s="1" t="s">
        <v>1210</v>
      </c>
      <c r="D843" s="2">
        <v>46177</v>
      </c>
      <c r="E843">
        <v>2.7089999999999999E-2</v>
      </c>
      <c r="F843" s="1" t="s">
        <v>6274</v>
      </c>
      <c r="G843" s="2">
        <v>46177.777515081019</v>
      </c>
      <c r="H843" s="1" t="s">
        <v>1211</v>
      </c>
      <c r="I843" s="2">
        <v>46177.777515011578</v>
      </c>
      <c r="J843" s="1" t="s">
        <v>1211</v>
      </c>
    </row>
    <row r="844" spans="1:10" x14ac:dyDescent="0.35">
      <c r="A844" s="1" t="s">
        <v>1446</v>
      </c>
      <c r="B844" s="1" t="s">
        <v>1209</v>
      </c>
      <c r="C844" s="1" t="s">
        <v>1210</v>
      </c>
      <c r="D844" s="2">
        <v>46177</v>
      </c>
      <c r="E844">
        <v>3.5295E-2</v>
      </c>
      <c r="F844" s="1" t="s">
        <v>6275</v>
      </c>
      <c r="G844" s="2">
        <v>46177.77751670139</v>
      </c>
      <c r="H844" s="1" t="s">
        <v>1211</v>
      </c>
      <c r="I844" s="2">
        <v>46177.777516863425</v>
      </c>
      <c r="J844" s="1" t="s">
        <v>1211</v>
      </c>
    </row>
    <row r="845" spans="1:10" x14ac:dyDescent="0.35">
      <c r="A845" s="1" t="s">
        <v>1447</v>
      </c>
      <c r="B845" s="1" t="s">
        <v>1209</v>
      </c>
      <c r="C845" s="1" t="s">
        <v>1210</v>
      </c>
      <c r="D845" s="2">
        <v>46177</v>
      </c>
      <c r="E845">
        <v>3.5314999999999999E-2</v>
      </c>
      <c r="F845" s="1" t="s">
        <v>6276</v>
      </c>
      <c r="G845" s="2">
        <v>46177.777516863425</v>
      </c>
      <c r="H845" s="1" t="s">
        <v>1211</v>
      </c>
      <c r="I845" s="2">
        <v>46177.777517013892</v>
      </c>
      <c r="J845" s="1" t="s">
        <v>1211</v>
      </c>
    </row>
    <row r="846" spans="1:10" x14ac:dyDescent="0.35">
      <c r="A846" s="1" t="s">
        <v>1448</v>
      </c>
      <c r="B846" s="1" t="s">
        <v>1209</v>
      </c>
      <c r="C846" s="1" t="s">
        <v>1210</v>
      </c>
      <c r="D846" s="2">
        <v>46177</v>
      </c>
      <c r="E846">
        <v>2.8049999999999999E-2</v>
      </c>
      <c r="F846" s="1" t="s">
        <v>6277</v>
      </c>
      <c r="G846" s="2">
        <v>46177.777515243055</v>
      </c>
      <c r="H846" s="1" t="s">
        <v>1211</v>
      </c>
      <c r="I846" s="2">
        <v>46177.777515196758</v>
      </c>
      <c r="J846" s="1" t="s">
        <v>1211</v>
      </c>
    </row>
    <row r="847" spans="1:10" x14ac:dyDescent="0.35">
      <c r="A847" s="1" t="s">
        <v>1449</v>
      </c>
      <c r="B847" s="1" t="s">
        <v>1209</v>
      </c>
      <c r="C847" s="1" t="s">
        <v>1210</v>
      </c>
      <c r="D847" s="2">
        <v>46177</v>
      </c>
      <c r="E847">
        <v>3.4860000000000002E-2</v>
      </c>
      <c r="F847" s="1" t="s">
        <v>6278</v>
      </c>
      <c r="G847" s="2">
        <v>46177.777517013892</v>
      </c>
      <c r="H847" s="1" t="s">
        <v>1211</v>
      </c>
      <c r="I847" s="2">
        <v>46177.777517210649</v>
      </c>
      <c r="J847" s="1" t="s">
        <v>1211</v>
      </c>
    </row>
    <row r="848" spans="1:10" x14ac:dyDescent="0.35">
      <c r="A848" s="1" t="s">
        <v>1450</v>
      </c>
      <c r="B848" s="1" t="s">
        <v>1209</v>
      </c>
      <c r="C848" s="1" t="s">
        <v>1210</v>
      </c>
      <c r="D848" s="2">
        <v>46177</v>
      </c>
      <c r="E848">
        <v>2.862E-2</v>
      </c>
      <c r="F848" s="1" t="s">
        <v>6279</v>
      </c>
      <c r="G848" s="2">
        <v>46177.777515393522</v>
      </c>
      <c r="H848" s="1" t="s">
        <v>1211</v>
      </c>
      <c r="I848" s="2">
        <v>46177.777515393522</v>
      </c>
      <c r="J848" s="1" t="s">
        <v>1211</v>
      </c>
    </row>
    <row r="849" spans="1:10" x14ac:dyDescent="0.35">
      <c r="A849" s="1" t="s">
        <v>1451</v>
      </c>
      <c r="B849" s="1" t="s">
        <v>1209</v>
      </c>
      <c r="C849" s="1" t="s">
        <v>1210</v>
      </c>
      <c r="D849" s="2">
        <v>46177</v>
      </c>
      <c r="E849">
        <v>3.3445000000000003E-2</v>
      </c>
      <c r="F849" s="1" t="s">
        <v>6280</v>
      </c>
      <c r="G849" s="2">
        <v>46177.777517164352</v>
      </c>
      <c r="H849" s="1" t="s">
        <v>1211</v>
      </c>
      <c r="I849" s="2">
        <v>46177.777517210649</v>
      </c>
      <c r="J849" s="1" t="s">
        <v>1211</v>
      </c>
    </row>
    <row r="850" spans="1:10" x14ac:dyDescent="0.35">
      <c r="A850" s="1" t="s">
        <v>1452</v>
      </c>
      <c r="B850" s="1" t="s">
        <v>1209</v>
      </c>
      <c r="C850" s="1" t="s">
        <v>1210</v>
      </c>
      <c r="D850" s="2">
        <v>46177</v>
      </c>
      <c r="E850">
        <v>2.9080000000000002E-2</v>
      </c>
      <c r="F850" s="1" t="s">
        <v>6281</v>
      </c>
      <c r="G850" s="2">
        <v>46177.777515543981</v>
      </c>
      <c r="H850" s="1" t="s">
        <v>1211</v>
      </c>
      <c r="I850" s="2">
        <v>46177.777515393522</v>
      </c>
      <c r="J850" s="1" t="s">
        <v>1211</v>
      </c>
    </row>
    <row r="851" spans="1:10" x14ac:dyDescent="0.35">
      <c r="A851" s="1" t="s">
        <v>1453</v>
      </c>
      <c r="B851" s="1" t="s">
        <v>1209</v>
      </c>
      <c r="C851" s="1" t="s">
        <v>1210</v>
      </c>
      <c r="D851" s="2">
        <v>46177</v>
      </c>
      <c r="E851">
        <v>2.9605050000000001E-2</v>
      </c>
      <c r="F851" s="1" t="s">
        <v>6282</v>
      </c>
      <c r="G851" s="2">
        <v>46177.777515775466</v>
      </c>
      <c r="H851" s="1" t="s">
        <v>1211</v>
      </c>
      <c r="I851" s="2">
        <v>46177.777515740738</v>
      </c>
      <c r="J851" s="1" t="s">
        <v>1211</v>
      </c>
    </row>
    <row r="852" spans="1:10" x14ac:dyDescent="0.35">
      <c r="A852" s="1" t="s">
        <v>1454</v>
      </c>
      <c r="B852" s="1" t="s">
        <v>1209</v>
      </c>
      <c r="C852" s="1" t="s">
        <v>1210</v>
      </c>
      <c r="D852" s="2">
        <v>46177</v>
      </c>
      <c r="E852">
        <v>3.0210000000000001E-2</v>
      </c>
      <c r="F852" s="1" t="s">
        <v>6283</v>
      </c>
      <c r="G852" s="2">
        <v>46177.777515937501</v>
      </c>
      <c r="H852" s="1" t="s">
        <v>1211</v>
      </c>
      <c r="I852" s="2">
        <v>46177.777515937501</v>
      </c>
      <c r="J852" s="1" t="s">
        <v>1211</v>
      </c>
    </row>
    <row r="853" spans="1:10" x14ac:dyDescent="0.35">
      <c r="A853" s="1" t="s">
        <v>1455</v>
      </c>
      <c r="B853" s="1" t="s">
        <v>1209</v>
      </c>
      <c r="C853" s="1" t="s">
        <v>1210</v>
      </c>
      <c r="D853" s="2">
        <v>46177</v>
      </c>
      <c r="E853">
        <v>3.0823E-2</v>
      </c>
      <c r="F853" s="1" t="s">
        <v>6284</v>
      </c>
      <c r="G853" s="2">
        <v>46177.777516122682</v>
      </c>
      <c r="H853" s="1" t="s">
        <v>1211</v>
      </c>
      <c r="I853" s="2">
        <v>46177.777516122682</v>
      </c>
      <c r="J853" s="1" t="s">
        <v>1211</v>
      </c>
    </row>
    <row r="854" spans="1:10" x14ac:dyDescent="0.35">
      <c r="A854" s="1" t="s">
        <v>1456</v>
      </c>
      <c r="B854" s="1" t="s">
        <v>1209</v>
      </c>
      <c r="C854" s="1" t="s">
        <v>1210</v>
      </c>
      <c r="D854" s="2">
        <v>46177</v>
      </c>
      <c r="E854">
        <v>3.1419999999999997E-2</v>
      </c>
      <c r="F854" s="1" t="s">
        <v>6285</v>
      </c>
      <c r="G854" s="2">
        <v>46177.777516122682</v>
      </c>
      <c r="H854" s="1" t="s">
        <v>1211</v>
      </c>
      <c r="I854" s="2">
        <v>46177.777516122682</v>
      </c>
      <c r="J854" s="1" t="s">
        <v>1211</v>
      </c>
    </row>
    <row r="855" spans="1:10" x14ac:dyDescent="0.35">
      <c r="A855" s="1" t="s">
        <v>1457</v>
      </c>
      <c r="B855" s="1" t="s">
        <v>1209</v>
      </c>
      <c r="C855" s="1" t="s">
        <v>1210</v>
      </c>
      <c r="D855" s="2">
        <v>46177</v>
      </c>
      <c r="E855">
        <v>2.264E-2</v>
      </c>
      <c r="F855" s="1" t="s">
        <v>6286</v>
      </c>
      <c r="G855" s="2">
        <v>46177.777513310182</v>
      </c>
      <c r="H855" s="1" t="s">
        <v>1211</v>
      </c>
      <c r="I855" s="2">
        <v>46177.777513229164</v>
      </c>
      <c r="J855" s="1" t="s">
        <v>1211</v>
      </c>
    </row>
    <row r="856" spans="1:10" x14ac:dyDescent="0.35">
      <c r="A856" s="1" t="s">
        <v>1458</v>
      </c>
      <c r="B856" s="1" t="s">
        <v>1209</v>
      </c>
      <c r="C856" s="1" t="s">
        <v>1210</v>
      </c>
      <c r="D856" s="2">
        <v>46177</v>
      </c>
      <c r="E856">
        <v>2.2769999999999999E-2</v>
      </c>
      <c r="F856" s="1" t="s">
        <v>6287</v>
      </c>
      <c r="G856" s="2">
        <v>46177.777513425928</v>
      </c>
      <c r="H856" s="1" t="s">
        <v>1211</v>
      </c>
      <c r="I856" s="2">
        <v>46177.777513391207</v>
      </c>
      <c r="J856" s="1" t="s">
        <v>1211</v>
      </c>
    </row>
    <row r="857" spans="1:10" x14ac:dyDescent="0.35">
      <c r="A857" s="1" t="s">
        <v>1459</v>
      </c>
      <c r="B857" s="1" t="s">
        <v>1209</v>
      </c>
      <c r="C857" s="1" t="s">
        <v>1210</v>
      </c>
      <c r="D857" s="2">
        <v>46177</v>
      </c>
      <c r="E857">
        <v>2.2814999999999998E-2</v>
      </c>
      <c r="F857" s="1" t="s">
        <v>6288</v>
      </c>
      <c r="G857" s="2">
        <v>46177.777513576388</v>
      </c>
      <c r="H857" s="1" t="s">
        <v>1211</v>
      </c>
      <c r="I857" s="2">
        <v>46177.777513576388</v>
      </c>
      <c r="J857" s="1" t="s">
        <v>1211</v>
      </c>
    </row>
    <row r="858" spans="1:10" x14ac:dyDescent="0.35">
      <c r="A858" s="1" t="s">
        <v>1460</v>
      </c>
      <c r="B858" s="1" t="s">
        <v>1209</v>
      </c>
      <c r="C858" s="1" t="s">
        <v>1210</v>
      </c>
      <c r="D858" s="2">
        <v>46177</v>
      </c>
      <c r="E858">
        <v>2.2959500000000001E-2</v>
      </c>
      <c r="F858" s="1" t="s">
        <v>6289</v>
      </c>
      <c r="G858" s="2">
        <v>46177.777513738423</v>
      </c>
      <c r="H858" s="1" t="s">
        <v>1211</v>
      </c>
      <c r="I858" s="2">
        <v>46177.777513576388</v>
      </c>
      <c r="J858" s="1" t="s">
        <v>1211</v>
      </c>
    </row>
    <row r="859" spans="1:10" x14ac:dyDescent="0.35">
      <c r="A859" s="1" t="s">
        <v>1461</v>
      </c>
      <c r="B859" s="1" t="s">
        <v>1209</v>
      </c>
      <c r="C859" s="1" t="s">
        <v>1210</v>
      </c>
      <c r="D859" s="2">
        <v>46177</v>
      </c>
      <c r="E859">
        <v>2.3105049999999999E-2</v>
      </c>
      <c r="F859" s="1" t="s">
        <v>6290</v>
      </c>
      <c r="G859" s="2">
        <v>46177.77751388889</v>
      </c>
      <c r="H859" s="1" t="s">
        <v>1211</v>
      </c>
      <c r="I859" s="2">
        <v>46177.777513773151</v>
      </c>
      <c r="J859" s="1" t="s">
        <v>1211</v>
      </c>
    </row>
    <row r="860" spans="1:10" x14ac:dyDescent="0.35">
      <c r="A860" s="1" t="s">
        <v>1462</v>
      </c>
      <c r="B860" s="1" t="s">
        <v>1209</v>
      </c>
      <c r="C860" s="1" t="s">
        <v>1210</v>
      </c>
      <c r="D860" s="2">
        <v>46177</v>
      </c>
      <c r="E860">
        <v>2.3390000000000001E-2</v>
      </c>
      <c r="F860" s="1" t="s">
        <v>6291</v>
      </c>
      <c r="G860" s="2">
        <v>46177.77751403935</v>
      </c>
      <c r="H860" s="1" t="s">
        <v>1211</v>
      </c>
      <c r="I860" s="2">
        <v>46177.777513969908</v>
      </c>
      <c r="J860" s="1" t="s">
        <v>1211</v>
      </c>
    </row>
    <row r="861" spans="1:10" x14ac:dyDescent="0.35">
      <c r="A861" s="1" t="s">
        <v>1463</v>
      </c>
      <c r="B861" s="1" t="s">
        <v>1209</v>
      </c>
      <c r="C861" s="1" t="s">
        <v>1210</v>
      </c>
      <c r="D861" s="2">
        <v>46177</v>
      </c>
      <c r="E861">
        <v>2.3599999999999999E-2</v>
      </c>
      <c r="F861" s="1" t="s">
        <v>6292</v>
      </c>
      <c r="G861" s="2">
        <v>46177.777514201392</v>
      </c>
      <c r="H861" s="1" t="s">
        <v>1211</v>
      </c>
      <c r="I861" s="2">
        <v>46177.777514120367</v>
      </c>
      <c r="J861" s="1" t="s">
        <v>1211</v>
      </c>
    </row>
    <row r="862" spans="1:10" x14ac:dyDescent="0.35">
      <c r="A862" s="1" t="s">
        <v>1464</v>
      </c>
      <c r="B862" s="1" t="s">
        <v>1209</v>
      </c>
      <c r="C862" s="1" t="s">
        <v>1210</v>
      </c>
      <c r="D862" s="2">
        <v>46177</v>
      </c>
      <c r="E862">
        <v>2.3928000000000001E-2</v>
      </c>
      <c r="F862" s="1" t="s">
        <v>6293</v>
      </c>
      <c r="G862" s="2">
        <v>46177.777514351852</v>
      </c>
      <c r="H862" s="1" t="s">
        <v>1211</v>
      </c>
      <c r="I862" s="2">
        <v>46177.777514317131</v>
      </c>
      <c r="J862" s="1" t="s">
        <v>1211</v>
      </c>
    </row>
    <row r="863" spans="1:10" x14ac:dyDescent="0.35">
      <c r="A863" s="1" t="s">
        <v>1465</v>
      </c>
      <c r="B863" s="1" t="s">
        <v>1209</v>
      </c>
      <c r="C863" s="1" t="s">
        <v>1210</v>
      </c>
      <c r="D863" s="2">
        <v>46177</v>
      </c>
      <c r="E863">
        <v>2.4229000000000001E-2</v>
      </c>
      <c r="F863" s="1" t="s">
        <v>6294</v>
      </c>
      <c r="G863" s="2">
        <v>46177.777514502312</v>
      </c>
      <c r="H863" s="1" t="s">
        <v>1211</v>
      </c>
      <c r="I863" s="2">
        <v>46177.777514502312</v>
      </c>
      <c r="J863" s="1" t="s">
        <v>1211</v>
      </c>
    </row>
    <row r="864" spans="1:10" x14ac:dyDescent="0.35">
      <c r="A864" s="1" t="s">
        <v>1466</v>
      </c>
      <c r="B864" s="1" t="s">
        <v>1209</v>
      </c>
      <c r="C864" s="1" t="s">
        <v>1210</v>
      </c>
      <c r="D864" s="2">
        <v>46177</v>
      </c>
      <c r="E864">
        <v>2.4549999999999999E-2</v>
      </c>
      <c r="F864" s="1" t="s">
        <v>6295</v>
      </c>
      <c r="G864" s="2">
        <v>46177.777514664354</v>
      </c>
      <c r="H864" s="1" t="s">
        <v>1211</v>
      </c>
      <c r="I864" s="2">
        <v>46177.777514664354</v>
      </c>
      <c r="J864" s="1" t="s">
        <v>1211</v>
      </c>
    </row>
    <row r="865" spans="1:10" x14ac:dyDescent="0.35">
      <c r="A865" s="1" t="s">
        <v>1467</v>
      </c>
      <c r="B865" s="1" t="s">
        <v>1209</v>
      </c>
      <c r="C865" s="1" t="s">
        <v>1210</v>
      </c>
      <c r="D865" s="2">
        <v>46177</v>
      </c>
      <c r="E865">
        <v>2.4857500000000001E-2</v>
      </c>
      <c r="F865" s="1" t="s">
        <v>6296</v>
      </c>
      <c r="G865" s="2">
        <v>46177.777514814814</v>
      </c>
      <c r="H865" s="1" t="s">
        <v>1211</v>
      </c>
      <c r="I865" s="2">
        <v>46177.777514814814</v>
      </c>
      <c r="J865" s="1" t="s">
        <v>1211</v>
      </c>
    </row>
    <row r="866" spans="1:10" x14ac:dyDescent="0.35">
      <c r="A866" s="1" t="s">
        <v>1468</v>
      </c>
      <c r="B866" s="1" t="s">
        <v>1224</v>
      </c>
      <c r="C866" s="1" t="s">
        <v>1210</v>
      </c>
      <c r="D866" s="2">
        <v>46177</v>
      </c>
      <c r="E866">
        <v>120.35</v>
      </c>
      <c r="F866" s="1" t="s">
        <v>6297</v>
      </c>
      <c r="G866" s="2">
        <v>46177.777560648145</v>
      </c>
      <c r="H866" s="1" t="s">
        <v>1211</v>
      </c>
      <c r="I866" s="2">
        <v>46177.777560613424</v>
      </c>
      <c r="J866" s="1" t="s">
        <v>1211</v>
      </c>
    </row>
    <row r="867" spans="1:10" x14ac:dyDescent="0.35">
      <c r="A867" s="1" t="s">
        <v>3824</v>
      </c>
      <c r="B867" s="1" t="s">
        <v>1224</v>
      </c>
      <c r="C867" s="1" t="s">
        <v>1210</v>
      </c>
      <c r="D867" s="2">
        <v>46177</v>
      </c>
      <c r="E867">
        <v>120.25</v>
      </c>
      <c r="F867" s="1" t="s">
        <v>6298</v>
      </c>
      <c r="G867" s="2">
        <v>46177.777560798611</v>
      </c>
      <c r="H867" s="1" t="s">
        <v>1211</v>
      </c>
      <c r="I867" s="2">
        <v>46177.777560798611</v>
      </c>
      <c r="J867" s="1" t="s">
        <v>1211</v>
      </c>
    </row>
    <row r="868" spans="1:10" x14ac:dyDescent="0.35">
      <c r="A868" s="1" t="s">
        <v>1469</v>
      </c>
      <c r="B868" s="1" t="s">
        <v>1224</v>
      </c>
      <c r="C868" s="1" t="s">
        <v>1210</v>
      </c>
      <c r="D868" s="2">
        <v>46177</v>
      </c>
      <c r="E868">
        <v>97.717500000000001</v>
      </c>
      <c r="F868" s="1" t="s">
        <v>6299</v>
      </c>
      <c r="G868" s="2">
        <v>46177.780113425928</v>
      </c>
      <c r="H868" s="1" t="s">
        <v>1211</v>
      </c>
      <c r="I868" s="2">
        <v>46177.78011334491</v>
      </c>
      <c r="J868" s="1" t="s">
        <v>1211</v>
      </c>
    </row>
    <row r="869" spans="1:10" x14ac:dyDescent="0.35">
      <c r="A869" s="1" t="s">
        <v>1470</v>
      </c>
      <c r="B869" s="1" t="s">
        <v>1224</v>
      </c>
      <c r="C869" s="1" t="s">
        <v>1210</v>
      </c>
      <c r="D869" s="2">
        <v>46177</v>
      </c>
      <c r="E869">
        <v>97.224999999999994</v>
      </c>
      <c r="F869" s="1" t="s">
        <v>6300</v>
      </c>
      <c r="G869" s="2">
        <v>46177.780114004629</v>
      </c>
      <c r="H869" s="1" t="s">
        <v>1211</v>
      </c>
      <c r="I869" s="2">
        <v>46177.78011388889</v>
      </c>
      <c r="J869" s="1" t="s">
        <v>1211</v>
      </c>
    </row>
    <row r="870" spans="1:10" x14ac:dyDescent="0.35">
      <c r="A870" s="1" t="s">
        <v>1471</v>
      </c>
      <c r="B870" s="1" t="s">
        <v>1224</v>
      </c>
      <c r="C870" s="1" t="s">
        <v>1210</v>
      </c>
      <c r="D870" s="2">
        <v>46177</v>
      </c>
      <c r="E870">
        <v>97.715000000000003</v>
      </c>
      <c r="F870" s="1" t="s">
        <v>6301</v>
      </c>
      <c r="G870" s="2">
        <v>46177.780113541667</v>
      </c>
      <c r="H870" s="1" t="s">
        <v>1211</v>
      </c>
      <c r="I870" s="2">
        <v>46177.780113541667</v>
      </c>
      <c r="J870" s="1" t="s">
        <v>1211</v>
      </c>
    </row>
    <row r="871" spans="1:10" x14ac:dyDescent="0.35">
      <c r="A871" s="1" t="s">
        <v>1472</v>
      </c>
      <c r="B871" s="1" t="s">
        <v>1224</v>
      </c>
      <c r="C871" s="1" t="s">
        <v>1210</v>
      </c>
      <c r="D871" s="2">
        <v>46177</v>
      </c>
      <c r="E871">
        <v>97.13</v>
      </c>
      <c r="F871" s="1" t="s">
        <v>6302</v>
      </c>
      <c r="G871" s="2">
        <v>46177.780114155095</v>
      </c>
      <c r="H871" s="1" t="s">
        <v>1211</v>
      </c>
      <c r="I871" s="2">
        <v>46177.780114085646</v>
      </c>
      <c r="J871" s="1" t="s">
        <v>1211</v>
      </c>
    </row>
    <row r="872" spans="1:10" x14ac:dyDescent="0.35">
      <c r="A872" s="1" t="s">
        <v>1473</v>
      </c>
      <c r="B872" s="1" t="s">
        <v>1224</v>
      </c>
      <c r="C872" s="1" t="s">
        <v>1210</v>
      </c>
      <c r="D872" s="2">
        <v>46177</v>
      </c>
      <c r="E872">
        <v>97.61</v>
      </c>
      <c r="F872" s="1" t="s">
        <v>6303</v>
      </c>
      <c r="G872" s="2">
        <v>46177.780113692126</v>
      </c>
      <c r="H872" s="1" t="s">
        <v>1211</v>
      </c>
      <c r="I872" s="2">
        <v>46177.780113692126</v>
      </c>
      <c r="J872" s="1" t="s">
        <v>1211</v>
      </c>
    </row>
    <row r="873" spans="1:10" x14ac:dyDescent="0.35">
      <c r="A873" s="1" t="s">
        <v>1474</v>
      </c>
      <c r="B873" s="1" t="s">
        <v>1224</v>
      </c>
      <c r="C873" s="1" t="s">
        <v>1210</v>
      </c>
      <c r="D873" s="2">
        <v>46177</v>
      </c>
      <c r="E873">
        <v>97.09</v>
      </c>
      <c r="F873" s="1" t="s">
        <v>6304</v>
      </c>
      <c r="G873" s="2">
        <v>46177.780114351852</v>
      </c>
      <c r="H873" s="1" t="s">
        <v>1211</v>
      </c>
      <c r="I873" s="2">
        <v>46177.780114236113</v>
      </c>
      <c r="J873" s="1" t="s">
        <v>1211</v>
      </c>
    </row>
    <row r="874" spans="1:10" x14ac:dyDescent="0.35">
      <c r="A874" s="1" t="s">
        <v>1475</v>
      </c>
      <c r="B874" s="1" t="s">
        <v>1224</v>
      </c>
      <c r="C874" s="1" t="s">
        <v>1210</v>
      </c>
      <c r="D874" s="2">
        <v>46177</v>
      </c>
      <c r="E874">
        <v>97.405000000000001</v>
      </c>
      <c r="F874" s="1" t="s">
        <v>6305</v>
      </c>
      <c r="G874" s="2">
        <v>46177.780113854169</v>
      </c>
      <c r="H874" s="1" t="s">
        <v>1211</v>
      </c>
      <c r="I874" s="2">
        <v>46177.780113692126</v>
      </c>
      <c r="J874" s="1" t="s">
        <v>1211</v>
      </c>
    </row>
    <row r="875" spans="1:10" x14ac:dyDescent="0.35">
      <c r="A875" s="1" t="s">
        <v>1476</v>
      </c>
      <c r="B875" s="1" t="s">
        <v>1224</v>
      </c>
      <c r="C875" s="1" t="s">
        <v>1210</v>
      </c>
      <c r="D875" s="2">
        <v>46177</v>
      </c>
      <c r="E875">
        <v>97.064999999999998</v>
      </c>
      <c r="F875" s="1" t="s">
        <v>6306</v>
      </c>
      <c r="G875" s="2">
        <v>46177.780115081019</v>
      </c>
      <c r="H875" s="1" t="s">
        <v>1211</v>
      </c>
      <c r="I875" s="2">
        <v>46177.780114965281</v>
      </c>
      <c r="J875" s="1" t="s">
        <v>1211</v>
      </c>
    </row>
    <row r="876" spans="1:10" x14ac:dyDescent="0.35">
      <c r="A876" s="1" t="s">
        <v>1477</v>
      </c>
      <c r="B876" s="1" t="s">
        <v>1224</v>
      </c>
      <c r="C876" s="1" t="s">
        <v>1210</v>
      </c>
      <c r="D876" s="2">
        <v>46177</v>
      </c>
      <c r="E876">
        <v>105.36</v>
      </c>
      <c r="F876" s="1" t="s">
        <v>6307</v>
      </c>
      <c r="G876" s="2">
        <v>46177.777560960647</v>
      </c>
      <c r="H876" s="1" t="s">
        <v>1211</v>
      </c>
      <c r="I876" s="2">
        <v>46177.777560798611</v>
      </c>
      <c r="J876" s="1" t="s">
        <v>1211</v>
      </c>
    </row>
    <row r="877" spans="1:10" x14ac:dyDescent="0.35">
      <c r="A877" s="1" t="s">
        <v>1478</v>
      </c>
      <c r="B877" s="1" t="s">
        <v>1224</v>
      </c>
      <c r="C877" s="1" t="s">
        <v>1210</v>
      </c>
      <c r="D877" s="2">
        <v>46177</v>
      </c>
      <c r="E877">
        <v>105.16500000000001</v>
      </c>
      <c r="F877" s="1" t="s">
        <v>6308</v>
      </c>
      <c r="G877" s="2">
        <v>46177.777561111114</v>
      </c>
      <c r="H877" s="1" t="s">
        <v>1211</v>
      </c>
      <c r="I877" s="2">
        <v>46177.777560995368</v>
      </c>
      <c r="J877" s="1" t="s">
        <v>1211</v>
      </c>
    </row>
    <row r="878" spans="1:10" x14ac:dyDescent="0.35">
      <c r="A878" s="1" t="s">
        <v>1479</v>
      </c>
      <c r="B878" s="1" t="s">
        <v>1209</v>
      </c>
      <c r="C878" s="1" t="s">
        <v>1210</v>
      </c>
      <c r="D878" s="2">
        <v>46177</v>
      </c>
      <c r="E878">
        <v>2.6673484711827601E-2</v>
      </c>
      <c r="F878" s="1" t="s">
        <v>6309</v>
      </c>
      <c r="G878" s="2">
        <v>46177.777366550923</v>
      </c>
      <c r="H878" s="1" t="s">
        <v>1211</v>
      </c>
      <c r="I878" s="2">
        <v>46177.777366516202</v>
      </c>
      <c r="J878" s="1" t="s">
        <v>1211</v>
      </c>
    </row>
    <row r="879" spans="1:10" x14ac:dyDescent="0.35">
      <c r="A879" s="1" t="s">
        <v>1480</v>
      </c>
      <c r="B879" s="1" t="s">
        <v>1209</v>
      </c>
      <c r="C879" s="1" t="s">
        <v>1210</v>
      </c>
      <c r="D879" s="2">
        <v>46177</v>
      </c>
      <c r="E879">
        <v>3.5302441058553999E-2</v>
      </c>
      <c r="F879" s="1" t="s">
        <v>6310</v>
      </c>
      <c r="G879" s="2">
        <v>46177.777366666669</v>
      </c>
      <c r="H879" s="1" t="s">
        <v>1211</v>
      </c>
      <c r="I879" s="2">
        <v>46177.777366666669</v>
      </c>
      <c r="J879" s="1" t="s">
        <v>1211</v>
      </c>
    </row>
    <row r="880" spans="1:10" x14ac:dyDescent="0.35">
      <c r="A880" s="1" t="s">
        <v>1481</v>
      </c>
      <c r="B880" s="1" t="s">
        <v>1209</v>
      </c>
      <c r="C880" s="1" t="s">
        <v>1210</v>
      </c>
      <c r="D880" s="2">
        <v>46177</v>
      </c>
      <c r="E880">
        <v>2.7216803430903401E-2</v>
      </c>
      <c r="F880" s="1" t="s">
        <v>6311</v>
      </c>
      <c r="G880" s="2">
        <v>46177.777366817128</v>
      </c>
      <c r="H880" s="1" t="s">
        <v>1211</v>
      </c>
      <c r="I880" s="2">
        <v>46177.777366863425</v>
      </c>
      <c r="J880" s="1" t="s">
        <v>1211</v>
      </c>
    </row>
    <row r="881" spans="1:10" x14ac:dyDescent="0.35">
      <c r="A881" s="1" t="s">
        <v>1482</v>
      </c>
      <c r="B881" s="1" t="s">
        <v>1209</v>
      </c>
      <c r="C881" s="1" t="s">
        <v>1210</v>
      </c>
      <c r="D881" s="2">
        <v>46177</v>
      </c>
      <c r="E881">
        <v>2.5788010975560601E-2</v>
      </c>
      <c r="F881" s="1" t="s">
        <v>6312</v>
      </c>
      <c r="G881" s="2">
        <v>46177.777366979164</v>
      </c>
      <c r="H881" s="1" t="s">
        <v>1211</v>
      </c>
      <c r="I881" s="2">
        <v>46177.777367048613</v>
      </c>
      <c r="J881" s="1" t="s">
        <v>1211</v>
      </c>
    </row>
    <row r="882" spans="1:10" x14ac:dyDescent="0.35">
      <c r="A882" s="1" t="s">
        <v>1483</v>
      </c>
      <c r="B882" s="1" t="s">
        <v>1209</v>
      </c>
      <c r="C882" s="1" t="s">
        <v>1210</v>
      </c>
      <c r="D882" s="2">
        <v>46177</v>
      </c>
      <c r="E882">
        <v>3.5370961646911302E-2</v>
      </c>
      <c r="F882" s="1" t="s">
        <v>6313</v>
      </c>
      <c r="G882" s="2">
        <v>46177.777367129631</v>
      </c>
      <c r="H882" s="1" t="s">
        <v>1211</v>
      </c>
      <c r="I882" s="2">
        <v>46177.777367210649</v>
      </c>
      <c r="J882" s="1" t="s">
        <v>1211</v>
      </c>
    </row>
    <row r="883" spans="1:10" x14ac:dyDescent="0.35">
      <c r="A883" s="1" t="s">
        <v>1484</v>
      </c>
      <c r="B883" s="1" t="s">
        <v>1209</v>
      </c>
      <c r="C883" s="1" t="s">
        <v>1210</v>
      </c>
      <c r="D883" s="2">
        <v>46177</v>
      </c>
      <c r="E883">
        <v>3.4775748337901098E-2</v>
      </c>
      <c r="F883" s="1" t="s">
        <v>6314</v>
      </c>
      <c r="G883" s="2">
        <v>46177.77736728009</v>
      </c>
      <c r="H883" s="1" t="s">
        <v>1211</v>
      </c>
      <c r="I883" s="2">
        <v>46177.777367395836</v>
      </c>
      <c r="J883" s="1" t="s">
        <v>1211</v>
      </c>
    </row>
    <row r="884" spans="1:10" x14ac:dyDescent="0.35">
      <c r="A884" s="1" t="s">
        <v>1485</v>
      </c>
      <c r="B884" s="1" t="s">
        <v>1209</v>
      </c>
      <c r="C884" s="1" t="s">
        <v>1210</v>
      </c>
      <c r="D884" s="2">
        <v>46177</v>
      </c>
      <c r="E884">
        <v>2.1827371442578201E-2</v>
      </c>
      <c r="F884" s="1" t="s">
        <v>6315</v>
      </c>
      <c r="G884" s="2">
        <v>46177.777367442133</v>
      </c>
      <c r="H884" s="1" t="s">
        <v>1211</v>
      </c>
      <c r="I884" s="2">
        <v>46177.777367395836</v>
      </c>
      <c r="J884" s="1" t="s">
        <v>1211</v>
      </c>
    </row>
    <row r="885" spans="1:10" x14ac:dyDescent="0.35">
      <c r="A885" s="1" t="s">
        <v>1486</v>
      </c>
      <c r="B885" s="1" t="s">
        <v>1209</v>
      </c>
      <c r="C885" s="1" t="s">
        <v>1210</v>
      </c>
      <c r="D885" s="2">
        <v>46177</v>
      </c>
      <c r="E885">
        <v>2.4650522647783599E-2</v>
      </c>
      <c r="F885" s="1" t="s">
        <v>6316</v>
      </c>
      <c r="G885" s="2">
        <v>46177.777367627314</v>
      </c>
      <c r="H885" s="1" t="s">
        <v>1211</v>
      </c>
      <c r="I885" s="2">
        <v>46177.777367557872</v>
      </c>
      <c r="J885" s="1" t="s">
        <v>1211</v>
      </c>
    </row>
    <row r="886" spans="1:10" x14ac:dyDescent="0.35">
      <c r="A886" s="1" t="s">
        <v>1487</v>
      </c>
      <c r="B886" s="1" t="s">
        <v>1209</v>
      </c>
      <c r="C886" s="1" t="s">
        <v>1210</v>
      </c>
      <c r="D886" s="2">
        <v>46177</v>
      </c>
      <c r="E886">
        <v>2.5855474207976101E-2</v>
      </c>
      <c r="F886" s="1" t="s">
        <v>6317</v>
      </c>
      <c r="G886" s="2">
        <v>46177.777367789349</v>
      </c>
      <c r="H886" s="1" t="s">
        <v>1211</v>
      </c>
      <c r="I886" s="2">
        <v>46177.777367743052</v>
      </c>
      <c r="J886" s="1" t="s">
        <v>1211</v>
      </c>
    </row>
    <row r="887" spans="1:10" x14ac:dyDescent="0.35">
      <c r="A887" s="1" t="s">
        <v>1488</v>
      </c>
      <c r="B887" s="1" t="s">
        <v>1209</v>
      </c>
      <c r="C887" s="1" t="s">
        <v>1210</v>
      </c>
      <c r="D887" s="2">
        <v>46177</v>
      </c>
      <c r="E887">
        <v>3.5219951867415202E-2</v>
      </c>
      <c r="F887" s="1" t="s">
        <v>6318</v>
      </c>
      <c r="G887" s="2">
        <v>46177.777367939816</v>
      </c>
      <c r="H887" s="1" t="s">
        <v>1211</v>
      </c>
      <c r="I887" s="2">
        <v>46177.777367939816</v>
      </c>
      <c r="J887" s="1" t="s">
        <v>1211</v>
      </c>
    </row>
    <row r="888" spans="1:10" x14ac:dyDescent="0.35">
      <c r="A888" s="1" t="s">
        <v>1489</v>
      </c>
      <c r="B888" s="1" t="s">
        <v>1209</v>
      </c>
      <c r="C888" s="1" t="s">
        <v>1210</v>
      </c>
      <c r="D888" s="2">
        <v>46177</v>
      </c>
      <c r="E888">
        <v>2.6101170351907899E-2</v>
      </c>
      <c r="F888" s="1" t="s">
        <v>6319</v>
      </c>
      <c r="G888" s="2">
        <v>46177.777368090276</v>
      </c>
      <c r="H888" s="1" t="s">
        <v>1211</v>
      </c>
      <c r="I888" s="2">
        <v>46177.777368136572</v>
      </c>
      <c r="J888" s="1" t="s">
        <v>1211</v>
      </c>
    </row>
    <row r="889" spans="1:10" x14ac:dyDescent="0.35">
      <c r="A889" s="1" t="s">
        <v>1490</v>
      </c>
      <c r="B889" s="1" t="s">
        <v>1209</v>
      </c>
      <c r="C889" s="1" t="s">
        <v>1210</v>
      </c>
      <c r="D889" s="2">
        <v>46177</v>
      </c>
      <c r="E889">
        <v>2.60645317239479E-2</v>
      </c>
      <c r="F889" s="1" t="s">
        <v>6320</v>
      </c>
      <c r="G889" s="2">
        <v>46177.777368252318</v>
      </c>
      <c r="H889" s="1" t="s">
        <v>1211</v>
      </c>
      <c r="I889" s="2">
        <v>46177.777368287039</v>
      </c>
      <c r="J889" s="1" t="s">
        <v>1211</v>
      </c>
    </row>
    <row r="890" spans="1:10" x14ac:dyDescent="0.35">
      <c r="A890" s="1" t="s">
        <v>1491</v>
      </c>
      <c r="B890" s="1" t="s">
        <v>1209</v>
      </c>
      <c r="C890" s="1" t="s">
        <v>1210</v>
      </c>
      <c r="D890" s="2">
        <v>46177</v>
      </c>
      <c r="E890">
        <v>2.62004915138686E-2</v>
      </c>
      <c r="F890" s="1" t="s">
        <v>6321</v>
      </c>
      <c r="G890" s="2">
        <v>46177.777368402778</v>
      </c>
      <c r="H890" s="1" t="s">
        <v>1211</v>
      </c>
      <c r="I890" s="2">
        <v>46177.777368483796</v>
      </c>
      <c r="J890" s="1" t="s">
        <v>1211</v>
      </c>
    </row>
    <row r="891" spans="1:10" x14ac:dyDescent="0.35">
      <c r="A891" s="1" t="s">
        <v>1492</v>
      </c>
      <c r="B891" s="1" t="s">
        <v>1209</v>
      </c>
      <c r="C891" s="1" t="s">
        <v>1210</v>
      </c>
      <c r="D891" s="2">
        <v>46177</v>
      </c>
      <c r="E891">
        <v>2.6393403443772698E-2</v>
      </c>
      <c r="F891" s="1" t="s">
        <v>6322</v>
      </c>
      <c r="G891" s="2">
        <v>46177.777368553237</v>
      </c>
      <c r="H891" s="1" t="s">
        <v>1211</v>
      </c>
      <c r="I891" s="2">
        <v>46177.777368668983</v>
      </c>
      <c r="J891" s="1" t="s">
        <v>1211</v>
      </c>
    </row>
    <row r="892" spans="1:10" x14ac:dyDescent="0.35">
      <c r="A892" s="1" t="s">
        <v>1493</v>
      </c>
      <c r="B892" s="1" t="s">
        <v>1209</v>
      </c>
      <c r="C892" s="1" t="s">
        <v>1210</v>
      </c>
      <c r="D892" s="2">
        <v>46177</v>
      </c>
      <c r="E892">
        <v>3.5462742549187201E-2</v>
      </c>
      <c r="F892" s="1" t="s">
        <v>6323</v>
      </c>
      <c r="G892" s="2">
        <v>46177.777368668983</v>
      </c>
      <c r="H892" s="1" t="s">
        <v>1211</v>
      </c>
      <c r="I892" s="2">
        <v>46177.777368668983</v>
      </c>
      <c r="J892" s="1" t="s">
        <v>1211</v>
      </c>
    </row>
    <row r="893" spans="1:10" x14ac:dyDescent="0.35">
      <c r="A893" s="1" t="s">
        <v>1494</v>
      </c>
      <c r="B893" s="1" t="s">
        <v>1209</v>
      </c>
      <c r="C893" s="1" t="s">
        <v>1210</v>
      </c>
      <c r="D893" s="2">
        <v>46177</v>
      </c>
      <c r="E893">
        <v>2.6631590974769598E-2</v>
      </c>
      <c r="F893" s="1" t="s">
        <v>6324</v>
      </c>
      <c r="G893" s="2">
        <v>46177.777368831019</v>
      </c>
      <c r="H893" s="1" t="s">
        <v>1211</v>
      </c>
      <c r="I893" s="2">
        <v>46177.777368831019</v>
      </c>
      <c r="J893" s="1" t="s">
        <v>1211</v>
      </c>
    </row>
    <row r="894" spans="1:10" x14ac:dyDescent="0.35">
      <c r="A894" s="1" t="s">
        <v>1495</v>
      </c>
      <c r="B894" s="1" t="s">
        <v>1209</v>
      </c>
      <c r="C894" s="1" t="s">
        <v>1210</v>
      </c>
      <c r="D894" s="2">
        <v>46177</v>
      </c>
      <c r="E894">
        <v>2.6729625246214E-2</v>
      </c>
      <c r="F894" s="1" t="s">
        <v>6325</v>
      </c>
      <c r="G894" s="2">
        <v>46177.777368981479</v>
      </c>
      <c r="H894" s="1" t="s">
        <v>1211</v>
      </c>
      <c r="I894" s="2">
        <v>46177.777369016207</v>
      </c>
      <c r="J894" s="1" t="s">
        <v>1211</v>
      </c>
    </row>
    <row r="895" spans="1:10" x14ac:dyDescent="0.35">
      <c r="A895" s="1" t="s">
        <v>1496</v>
      </c>
      <c r="B895" s="1" t="s">
        <v>1209</v>
      </c>
      <c r="C895" s="1" t="s">
        <v>1210</v>
      </c>
      <c r="D895" s="2">
        <v>46177</v>
      </c>
      <c r="E895">
        <v>2.9869885521840701E-2</v>
      </c>
      <c r="F895" s="1" t="s">
        <v>6326</v>
      </c>
      <c r="G895" s="2">
        <v>46177.777369131945</v>
      </c>
      <c r="H895" s="1" t="s">
        <v>1211</v>
      </c>
      <c r="I895" s="2">
        <v>46177.777369212963</v>
      </c>
      <c r="J895" s="1" t="s">
        <v>1211</v>
      </c>
    </row>
    <row r="896" spans="1:10" x14ac:dyDescent="0.35">
      <c r="A896" s="1" t="s">
        <v>1497</v>
      </c>
      <c r="B896" s="1" t="s">
        <v>1209</v>
      </c>
      <c r="C896" s="1" t="s">
        <v>1210</v>
      </c>
      <c r="D896" s="2">
        <v>46177</v>
      </c>
      <c r="E896">
        <v>2.5840047051790899E-2</v>
      </c>
      <c r="F896" s="1" t="s">
        <v>6327</v>
      </c>
      <c r="G896" s="2">
        <v>46177.777369293981</v>
      </c>
      <c r="H896" s="1" t="s">
        <v>1211</v>
      </c>
      <c r="I896" s="2">
        <v>46177.77736940972</v>
      </c>
      <c r="J896" s="1" t="s">
        <v>1211</v>
      </c>
    </row>
    <row r="897" spans="1:10" x14ac:dyDescent="0.35">
      <c r="A897" s="1" t="s">
        <v>1498</v>
      </c>
      <c r="B897" s="1" t="s">
        <v>1209</v>
      </c>
      <c r="C897" s="1" t="s">
        <v>1210</v>
      </c>
      <c r="D897" s="2">
        <v>46177</v>
      </c>
      <c r="E897">
        <v>2.6965464280425101E-2</v>
      </c>
      <c r="F897" s="1" t="s">
        <v>6328</v>
      </c>
      <c r="G897" s="2">
        <v>46177.777369444448</v>
      </c>
      <c r="H897" s="1" t="s">
        <v>1211</v>
      </c>
      <c r="I897" s="2">
        <v>46177.777369560186</v>
      </c>
      <c r="J897" s="1" t="s">
        <v>1211</v>
      </c>
    </row>
    <row r="898" spans="1:10" x14ac:dyDescent="0.35">
      <c r="A898" s="1" t="s">
        <v>1499</v>
      </c>
      <c r="B898" s="1" t="s">
        <v>1209</v>
      </c>
      <c r="C898" s="1" t="s">
        <v>1210</v>
      </c>
      <c r="D898" s="2">
        <v>46177</v>
      </c>
      <c r="E898">
        <v>3.0558139788929E-2</v>
      </c>
      <c r="F898" s="1" t="s">
        <v>6329</v>
      </c>
      <c r="G898" s="2">
        <v>46177.777369594907</v>
      </c>
      <c r="H898" s="1" t="s">
        <v>1211</v>
      </c>
      <c r="I898" s="2">
        <v>46177.777369560186</v>
      </c>
      <c r="J898" s="1" t="s">
        <v>1211</v>
      </c>
    </row>
    <row r="899" spans="1:10" x14ac:dyDescent="0.35">
      <c r="A899" s="1" t="s">
        <v>1500</v>
      </c>
      <c r="B899" s="1" t="s">
        <v>1209</v>
      </c>
      <c r="C899" s="1" t="s">
        <v>1210</v>
      </c>
      <c r="D899" s="2">
        <v>46177</v>
      </c>
      <c r="E899">
        <v>2.6155137196715798E-2</v>
      </c>
      <c r="F899" s="1" t="s">
        <v>6330</v>
      </c>
      <c r="G899" s="2">
        <v>46177.777369756943</v>
      </c>
      <c r="H899" s="1" t="s">
        <v>1211</v>
      </c>
      <c r="I899" s="2">
        <v>46177.777369756943</v>
      </c>
      <c r="J899" s="1" t="s">
        <v>1211</v>
      </c>
    </row>
    <row r="900" spans="1:10" x14ac:dyDescent="0.35">
      <c r="A900" s="1" t="s">
        <v>1501</v>
      </c>
      <c r="B900" s="1" t="s">
        <v>1209</v>
      </c>
      <c r="C900" s="1" t="s">
        <v>1210</v>
      </c>
      <c r="D900" s="2">
        <v>46177</v>
      </c>
      <c r="E900">
        <v>2.7262341766662399E-2</v>
      </c>
      <c r="F900" s="1" t="s">
        <v>6331</v>
      </c>
      <c r="G900" s="2">
        <v>46177.77736990741</v>
      </c>
      <c r="H900" s="1" t="s">
        <v>1211</v>
      </c>
      <c r="I900" s="2">
        <v>46177.77736994213</v>
      </c>
      <c r="J900" s="1" t="s">
        <v>1211</v>
      </c>
    </row>
    <row r="901" spans="1:10" x14ac:dyDescent="0.35">
      <c r="A901" s="1" t="s">
        <v>1502</v>
      </c>
      <c r="B901" s="1" t="s">
        <v>1209</v>
      </c>
      <c r="C901" s="1" t="s">
        <v>1210</v>
      </c>
      <c r="D901" s="2">
        <v>46177</v>
      </c>
      <c r="E901">
        <v>3.54759016816035E-2</v>
      </c>
      <c r="F901" s="1" t="s">
        <v>6332</v>
      </c>
      <c r="G901" s="2">
        <v>46177.777370057869</v>
      </c>
      <c r="H901" s="1" t="s">
        <v>1211</v>
      </c>
      <c r="I901" s="2">
        <v>46177.777370104166</v>
      </c>
      <c r="J901" s="1" t="s">
        <v>1211</v>
      </c>
    </row>
    <row r="902" spans="1:10" x14ac:dyDescent="0.35">
      <c r="A902" s="1" t="s">
        <v>1503</v>
      </c>
      <c r="B902" s="1" t="s">
        <v>1209</v>
      </c>
      <c r="C902" s="1" t="s">
        <v>1210</v>
      </c>
      <c r="D902" s="2">
        <v>46177</v>
      </c>
      <c r="E902">
        <v>2.7608993834309301E-2</v>
      </c>
      <c r="F902" s="1" t="s">
        <v>6333</v>
      </c>
      <c r="G902" s="2">
        <v>46177.777370219905</v>
      </c>
      <c r="H902" s="1" t="s">
        <v>1211</v>
      </c>
      <c r="I902" s="2">
        <v>46177.777370289354</v>
      </c>
      <c r="J902" s="1" t="s">
        <v>1211</v>
      </c>
    </row>
    <row r="903" spans="1:10" x14ac:dyDescent="0.35">
      <c r="A903" s="1" t="s">
        <v>1504</v>
      </c>
      <c r="B903" s="1" t="s">
        <v>1209</v>
      </c>
      <c r="C903" s="1" t="s">
        <v>1210</v>
      </c>
      <c r="D903" s="2">
        <v>46177</v>
      </c>
      <c r="E903">
        <v>3.2140459558913897E-2</v>
      </c>
      <c r="F903" s="1" t="s">
        <v>6334</v>
      </c>
      <c r="G903" s="2">
        <v>46177.777370370372</v>
      </c>
      <c r="H903" s="1" t="s">
        <v>1211</v>
      </c>
      <c r="I903" s="2">
        <v>46177.777370451389</v>
      </c>
      <c r="J903" s="1" t="s">
        <v>1211</v>
      </c>
    </row>
    <row r="904" spans="1:10" x14ac:dyDescent="0.35">
      <c r="A904" s="1" t="s">
        <v>1505</v>
      </c>
      <c r="B904" s="1" t="s">
        <v>1209</v>
      </c>
      <c r="C904" s="1" t="s">
        <v>1210</v>
      </c>
      <c r="D904" s="2">
        <v>46177</v>
      </c>
      <c r="E904">
        <v>2.7849140799925998E-2</v>
      </c>
      <c r="F904" s="1" t="s">
        <v>6335</v>
      </c>
      <c r="G904" s="2">
        <v>46177.777370520831</v>
      </c>
      <c r="H904" s="1" t="s">
        <v>1211</v>
      </c>
      <c r="I904" s="2">
        <v>46177.777370451389</v>
      </c>
      <c r="J904" s="1" t="s">
        <v>1211</v>
      </c>
    </row>
    <row r="905" spans="1:10" x14ac:dyDescent="0.35">
      <c r="A905" s="1" t="s">
        <v>1506</v>
      </c>
      <c r="B905" s="1" t="s">
        <v>1209</v>
      </c>
      <c r="C905" s="1" t="s">
        <v>1210</v>
      </c>
      <c r="D905" s="2">
        <v>46177</v>
      </c>
      <c r="E905">
        <v>3.5521871420005902E-2</v>
      </c>
      <c r="F905" s="1" t="s">
        <v>6336</v>
      </c>
      <c r="G905" s="2">
        <v>46177.777370682874</v>
      </c>
      <c r="H905" s="1" t="s">
        <v>1211</v>
      </c>
      <c r="I905" s="2">
        <v>46177.777370636577</v>
      </c>
      <c r="J905" s="1" t="s">
        <v>1211</v>
      </c>
    </row>
    <row r="906" spans="1:10" x14ac:dyDescent="0.35">
      <c r="A906" s="1" t="s">
        <v>1507</v>
      </c>
      <c r="B906" s="1" t="s">
        <v>1209</v>
      </c>
      <c r="C906" s="1" t="s">
        <v>1210</v>
      </c>
      <c r="D906" s="2">
        <v>46177</v>
      </c>
      <c r="E906">
        <v>2.67188943242141E-2</v>
      </c>
      <c r="F906" s="1" t="s">
        <v>6337</v>
      </c>
      <c r="G906" s="2">
        <v>46177.777370833333</v>
      </c>
      <c r="H906" s="1" t="s">
        <v>1211</v>
      </c>
      <c r="I906" s="2">
        <v>46177.777370833333</v>
      </c>
      <c r="J906" s="1" t="s">
        <v>1211</v>
      </c>
    </row>
    <row r="907" spans="1:10" x14ac:dyDescent="0.35">
      <c r="A907" s="1" t="s">
        <v>1508</v>
      </c>
      <c r="B907" s="1" t="s">
        <v>1209</v>
      </c>
      <c r="C907" s="1" t="s">
        <v>1210</v>
      </c>
      <c r="D907" s="2">
        <v>46177</v>
      </c>
      <c r="E907">
        <v>2.5569313572506702E-2</v>
      </c>
      <c r="F907" s="1" t="s">
        <v>6338</v>
      </c>
      <c r="G907" s="2">
        <v>46177.777370983793</v>
      </c>
      <c r="H907" s="1" t="s">
        <v>1211</v>
      </c>
      <c r="I907" s="2">
        <v>46177.77737103009</v>
      </c>
      <c r="J907" s="1" t="s">
        <v>1211</v>
      </c>
    </row>
    <row r="908" spans="1:10" x14ac:dyDescent="0.35">
      <c r="A908" s="1" t="s">
        <v>1509</v>
      </c>
      <c r="B908" s="1" t="s">
        <v>1209</v>
      </c>
      <c r="C908" s="1" t="s">
        <v>1210</v>
      </c>
      <c r="D908" s="2">
        <v>46177</v>
      </c>
      <c r="E908">
        <v>2.6141924581352002E-2</v>
      </c>
      <c r="F908" s="1" t="s">
        <v>6339</v>
      </c>
      <c r="G908" s="2">
        <v>46177.777371145836</v>
      </c>
      <c r="H908" s="1" t="s">
        <v>1211</v>
      </c>
      <c r="I908" s="2">
        <v>46177.777371180557</v>
      </c>
      <c r="J908" s="1" t="s">
        <v>1211</v>
      </c>
    </row>
    <row r="909" spans="1:10" x14ac:dyDescent="0.35">
      <c r="A909" s="1" t="s">
        <v>1510</v>
      </c>
      <c r="B909" s="1" t="s">
        <v>1209</v>
      </c>
      <c r="C909" s="1" t="s">
        <v>1210</v>
      </c>
      <c r="D909" s="2">
        <v>46177</v>
      </c>
      <c r="E909">
        <v>2.6230444551197801E-2</v>
      </c>
      <c r="F909" s="1" t="s">
        <v>6340</v>
      </c>
      <c r="G909" s="2">
        <v>46177.777371296295</v>
      </c>
      <c r="H909" s="1" t="s">
        <v>1211</v>
      </c>
      <c r="I909" s="2">
        <v>46177.777371377313</v>
      </c>
      <c r="J909" s="1" t="s">
        <v>1211</v>
      </c>
    </row>
    <row r="910" spans="1:10" x14ac:dyDescent="0.35">
      <c r="A910" s="1" t="s">
        <v>1511</v>
      </c>
      <c r="B910" s="1" t="s">
        <v>1209</v>
      </c>
      <c r="C910" s="1" t="s">
        <v>1210</v>
      </c>
      <c r="D910" s="2">
        <v>46177</v>
      </c>
      <c r="E910">
        <v>2.6644960450489301E-2</v>
      </c>
      <c r="F910" s="1" t="s">
        <v>6341</v>
      </c>
      <c r="G910" s="2">
        <v>46177.777371446762</v>
      </c>
      <c r="H910" s="1" t="s">
        <v>1211</v>
      </c>
      <c r="I910" s="2">
        <v>46177.777371562501</v>
      </c>
      <c r="J910" s="1" t="s">
        <v>1211</v>
      </c>
    </row>
    <row r="911" spans="1:10" x14ac:dyDescent="0.35">
      <c r="A911" s="1" t="s">
        <v>1512</v>
      </c>
      <c r="B911" s="1" t="s">
        <v>1209</v>
      </c>
      <c r="C911" s="1" t="s">
        <v>1210</v>
      </c>
      <c r="D911" s="2">
        <v>46177</v>
      </c>
      <c r="E911">
        <v>2.7101890864902198E-2</v>
      </c>
      <c r="F911" s="1" t="s">
        <v>6342</v>
      </c>
      <c r="G911" s="2">
        <v>46177.777371608798</v>
      </c>
      <c r="H911" s="1" t="s">
        <v>1211</v>
      </c>
      <c r="I911" s="2">
        <v>46177.777371562501</v>
      </c>
      <c r="J911" s="1" t="s">
        <v>1211</v>
      </c>
    </row>
    <row r="912" spans="1:10" x14ac:dyDescent="0.35">
      <c r="A912" s="1" t="s">
        <v>1513</v>
      </c>
      <c r="B912" s="1" t="s">
        <v>1209</v>
      </c>
      <c r="C912" s="1" t="s">
        <v>1210</v>
      </c>
      <c r="D912" s="2">
        <v>46177</v>
      </c>
      <c r="E912">
        <v>2.8861324644447298E-2</v>
      </c>
      <c r="F912" s="1" t="s">
        <v>6343</v>
      </c>
      <c r="G912" s="2">
        <v>46177.777371759257</v>
      </c>
      <c r="H912" s="1" t="s">
        <v>1211</v>
      </c>
      <c r="I912" s="2">
        <v>46177.777371724536</v>
      </c>
      <c r="J912" s="1" t="s">
        <v>1211</v>
      </c>
    </row>
    <row r="913" spans="1:10" x14ac:dyDescent="0.35">
      <c r="A913" s="1" t="s">
        <v>1514</v>
      </c>
      <c r="B913" s="1" t="s">
        <v>1209</v>
      </c>
      <c r="C913" s="1" t="s">
        <v>1210</v>
      </c>
      <c r="D913" s="2">
        <v>46177</v>
      </c>
      <c r="E913">
        <v>3.0688452732029699E-2</v>
      </c>
      <c r="F913" s="1" t="s">
        <v>6344</v>
      </c>
      <c r="G913" s="2">
        <v>46177.777371909724</v>
      </c>
      <c r="H913" s="1" t="s">
        <v>1211</v>
      </c>
      <c r="I913" s="2">
        <v>46177.777371909724</v>
      </c>
      <c r="J913" s="1" t="s">
        <v>1211</v>
      </c>
    </row>
    <row r="914" spans="1:10" x14ac:dyDescent="0.35">
      <c r="A914" s="1" t="s">
        <v>1515</v>
      </c>
      <c r="B914" s="1" t="s">
        <v>1209</v>
      </c>
      <c r="C914" s="1" t="s">
        <v>1210</v>
      </c>
      <c r="D914" s="2">
        <v>46177</v>
      </c>
      <c r="E914">
        <v>3.2343769306995403E-2</v>
      </c>
      <c r="F914" s="1" t="s">
        <v>6345</v>
      </c>
      <c r="G914" s="2">
        <v>46177.77737207176</v>
      </c>
      <c r="H914" s="1" t="s">
        <v>1211</v>
      </c>
      <c r="I914" s="2">
        <v>46177.77737210648</v>
      </c>
      <c r="J914" s="1" t="s">
        <v>1211</v>
      </c>
    </row>
    <row r="915" spans="1:10" x14ac:dyDescent="0.35">
      <c r="A915" s="1" t="s">
        <v>1516</v>
      </c>
      <c r="B915" s="1" t="s">
        <v>1209</v>
      </c>
      <c r="C915" s="1" t="s">
        <v>1210</v>
      </c>
      <c r="D915" s="2">
        <v>46177</v>
      </c>
      <c r="E915">
        <v>3.2822140468240099E-2</v>
      </c>
      <c r="F915" s="1" t="s">
        <v>6346</v>
      </c>
      <c r="G915" s="2">
        <v>46177.777372222219</v>
      </c>
      <c r="H915" s="1" t="s">
        <v>1211</v>
      </c>
      <c r="I915" s="2">
        <v>46177.777372303244</v>
      </c>
      <c r="J915" s="1" t="s">
        <v>1211</v>
      </c>
    </row>
    <row r="916" spans="1:10" x14ac:dyDescent="0.35">
      <c r="A916" s="1" t="s">
        <v>1517</v>
      </c>
      <c r="B916" s="1" t="s">
        <v>1209</v>
      </c>
      <c r="C916" s="1" t="s">
        <v>1210</v>
      </c>
      <c r="D916" s="2">
        <v>46177</v>
      </c>
      <c r="E916">
        <v>3.3840478112214301E-2</v>
      </c>
      <c r="F916" s="1" t="s">
        <v>6347</v>
      </c>
      <c r="G916" s="2">
        <v>46177.777372372686</v>
      </c>
      <c r="H916" s="1" t="s">
        <v>1211</v>
      </c>
      <c r="I916" s="2">
        <v>46177.777372453704</v>
      </c>
      <c r="J916" s="1" t="s">
        <v>1211</v>
      </c>
    </row>
    <row r="917" spans="1:10" x14ac:dyDescent="0.35">
      <c r="A917" s="1" t="s">
        <v>1518</v>
      </c>
      <c r="B917" s="1" t="s">
        <v>1209</v>
      </c>
      <c r="C917" s="1" t="s">
        <v>1210</v>
      </c>
      <c r="D917" s="2">
        <v>46177</v>
      </c>
      <c r="E917">
        <v>3.4433654449856799E-2</v>
      </c>
      <c r="F917" s="1" t="s">
        <v>6348</v>
      </c>
      <c r="G917" s="2">
        <v>46177.777372534722</v>
      </c>
      <c r="H917" s="1" t="s">
        <v>1211</v>
      </c>
      <c r="I917" s="2">
        <v>46177.77737265046</v>
      </c>
      <c r="J917" s="1" t="s">
        <v>1211</v>
      </c>
    </row>
    <row r="918" spans="1:10" x14ac:dyDescent="0.35">
      <c r="A918" s="1" t="s">
        <v>1519</v>
      </c>
      <c r="B918" s="1" t="s">
        <v>1209</v>
      </c>
      <c r="C918" s="1" t="s">
        <v>1210</v>
      </c>
      <c r="D918" s="2">
        <v>46177</v>
      </c>
      <c r="E918">
        <v>2.29816956317433E-2</v>
      </c>
      <c r="F918" s="1" t="s">
        <v>6349</v>
      </c>
      <c r="G918" s="2">
        <v>46177.777372685188</v>
      </c>
      <c r="H918" s="1" t="s">
        <v>1211</v>
      </c>
      <c r="I918" s="2">
        <v>46177.77737265046</v>
      </c>
      <c r="J918" s="1" t="s">
        <v>1211</v>
      </c>
    </row>
    <row r="919" spans="1:10" x14ac:dyDescent="0.35">
      <c r="A919" s="1" t="s">
        <v>1520</v>
      </c>
      <c r="B919" s="1" t="s">
        <v>1209</v>
      </c>
      <c r="C919" s="1" t="s">
        <v>1210</v>
      </c>
      <c r="D919" s="2">
        <v>46177</v>
      </c>
      <c r="E919">
        <v>2.5228568674413601E-2</v>
      </c>
      <c r="F919" s="1" t="s">
        <v>6350</v>
      </c>
      <c r="G919" s="2">
        <v>46177.777372835648</v>
      </c>
      <c r="H919" s="1" t="s">
        <v>1211</v>
      </c>
      <c r="I919" s="2">
        <v>46177.777372835648</v>
      </c>
      <c r="J919" s="1" t="s">
        <v>1211</v>
      </c>
    </row>
    <row r="920" spans="1:10" x14ac:dyDescent="0.35">
      <c r="A920" s="1" t="s">
        <v>1521</v>
      </c>
      <c r="B920" s="1" t="s">
        <v>1209</v>
      </c>
      <c r="C920" s="1" t="s">
        <v>1210</v>
      </c>
      <c r="D920" s="2">
        <v>46177</v>
      </c>
      <c r="E920">
        <v>2.5930812268072E-2</v>
      </c>
      <c r="F920" s="1" t="s">
        <v>6351</v>
      </c>
      <c r="G920" s="2">
        <v>46177.777372997683</v>
      </c>
      <c r="H920" s="1" t="s">
        <v>1211</v>
      </c>
      <c r="I920" s="2">
        <v>46177.777373067132</v>
      </c>
      <c r="J920" s="1" t="s">
        <v>1211</v>
      </c>
    </row>
    <row r="921" spans="1:10" x14ac:dyDescent="0.35">
      <c r="A921" s="1" t="s">
        <v>1522</v>
      </c>
      <c r="B921" s="1" t="s">
        <v>1209</v>
      </c>
      <c r="C921" s="1" t="s">
        <v>1210</v>
      </c>
      <c r="D921" s="2">
        <v>46177</v>
      </c>
      <c r="E921">
        <v>4.3609266374398402E-2</v>
      </c>
      <c r="F921" s="1" t="s">
        <v>6352</v>
      </c>
      <c r="G921" s="2">
        <v>46177.77737314815</v>
      </c>
      <c r="H921" s="1" t="s">
        <v>1211</v>
      </c>
      <c r="I921" s="2">
        <v>46177.777373229168</v>
      </c>
      <c r="J921" s="1" t="s">
        <v>1211</v>
      </c>
    </row>
    <row r="922" spans="1:10" x14ac:dyDescent="0.35">
      <c r="A922" s="1" t="s">
        <v>1523</v>
      </c>
      <c r="B922" s="1" t="s">
        <v>1209</v>
      </c>
      <c r="C922" s="1" t="s">
        <v>1210</v>
      </c>
      <c r="D922" s="2">
        <v>46177</v>
      </c>
      <c r="E922">
        <v>2.0923065672639799E-2</v>
      </c>
      <c r="F922" s="1" t="s">
        <v>6353</v>
      </c>
      <c r="G922" s="2">
        <v>46177.77737329861</v>
      </c>
      <c r="H922" s="1" t="s">
        <v>1211</v>
      </c>
      <c r="I922" s="2">
        <v>46177.777373414348</v>
      </c>
      <c r="J922" s="1" t="s">
        <v>1211</v>
      </c>
    </row>
    <row r="923" spans="1:10" x14ac:dyDescent="0.35">
      <c r="A923" s="1" t="s">
        <v>1524</v>
      </c>
      <c r="B923" s="1" t="s">
        <v>1209</v>
      </c>
      <c r="C923" s="1" t="s">
        <v>1210</v>
      </c>
      <c r="D923" s="2">
        <v>46177</v>
      </c>
      <c r="E923">
        <v>2.2666271077363499E-2</v>
      </c>
      <c r="F923" s="1" t="s">
        <v>6354</v>
      </c>
      <c r="G923" s="2">
        <v>46177.777373495373</v>
      </c>
      <c r="H923" s="1" t="s">
        <v>1211</v>
      </c>
      <c r="I923" s="2">
        <v>46177.777373611112</v>
      </c>
      <c r="J923" s="1" t="s">
        <v>1211</v>
      </c>
    </row>
    <row r="924" spans="1:10" x14ac:dyDescent="0.35">
      <c r="A924" s="1" t="s">
        <v>1525</v>
      </c>
      <c r="B924" s="1" t="s">
        <v>1209</v>
      </c>
      <c r="C924" s="1" t="s">
        <v>1210</v>
      </c>
      <c r="D924" s="2">
        <v>46177</v>
      </c>
      <c r="E924">
        <v>2.3907725227284699E-2</v>
      </c>
      <c r="F924" s="1" t="s">
        <v>6355</v>
      </c>
      <c r="G924" s="2">
        <v>46177.777373611112</v>
      </c>
      <c r="H924" s="1" t="s">
        <v>1211</v>
      </c>
      <c r="I924" s="2">
        <v>46177.777373611112</v>
      </c>
      <c r="J924" s="1" t="s">
        <v>1211</v>
      </c>
    </row>
    <row r="925" spans="1:10" x14ac:dyDescent="0.35">
      <c r="A925" s="1" t="s">
        <v>1526</v>
      </c>
      <c r="B925" s="1" t="s">
        <v>1209</v>
      </c>
      <c r="C925" s="1" t="s">
        <v>1210</v>
      </c>
      <c r="D925" s="2">
        <v>46177</v>
      </c>
      <c r="E925">
        <v>2.50121814072739E-2</v>
      </c>
      <c r="F925" s="1" t="s">
        <v>6356</v>
      </c>
      <c r="G925" s="2">
        <v>46177.777373807869</v>
      </c>
      <c r="H925" s="1" t="s">
        <v>1211</v>
      </c>
      <c r="I925" s="2">
        <v>46177.777373761572</v>
      </c>
      <c r="J925" s="1" t="s">
        <v>1211</v>
      </c>
    </row>
    <row r="926" spans="1:10" x14ac:dyDescent="0.35">
      <c r="A926" s="1" t="s">
        <v>1527</v>
      </c>
      <c r="B926" s="1" t="s">
        <v>1209</v>
      </c>
      <c r="C926" s="1" t="s">
        <v>1210</v>
      </c>
      <c r="D926" s="2">
        <v>46177</v>
      </c>
      <c r="E926">
        <v>2.58910113546168E-2</v>
      </c>
      <c r="F926" s="1" t="s">
        <v>6357</v>
      </c>
      <c r="G926" s="2">
        <v>46177.777373958335</v>
      </c>
      <c r="H926" s="1" t="s">
        <v>1211</v>
      </c>
      <c r="I926" s="2">
        <v>46177.777373958335</v>
      </c>
      <c r="J926" s="1" t="s">
        <v>1211</v>
      </c>
    </row>
    <row r="927" spans="1:10" x14ac:dyDescent="0.35">
      <c r="A927" s="1" t="s">
        <v>1528</v>
      </c>
      <c r="B927" s="1" t="s">
        <v>1209</v>
      </c>
      <c r="C927" s="1" t="s">
        <v>1210</v>
      </c>
      <c r="D927" s="2">
        <v>46177</v>
      </c>
      <c r="E927">
        <v>2.6213541160937999E-2</v>
      </c>
      <c r="F927" s="1" t="s">
        <v>6358</v>
      </c>
      <c r="G927" s="2">
        <v>46177.777374074074</v>
      </c>
      <c r="H927" s="1" t="s">
        <v>1211</v>
      </c>
      <c r="I927" s="2">
        <v>46177.777374155092</v>
      </c>
      <c r="J927" s="1" t="s">
        <v>1211</v>
      </c>
    </row>
    <row r="928" spans="1:10" x14ac:dyDescent="0.35">
      <c r="A928" s="1" t="s">
        <v>1529</v>
      </c>
      <c r="B928" s="1" t="s">
        <v>1209</v>
      </c>
      <c r="C928" s="1" t="s">
        <v>1210</v>
      </c>
      <c r="D928" s="2">
        <v>46177</v>
      </c>
      <c r="E928">
        <v>2.6499317200100601E-2</v>
      </c>
      <c r="F928" s="1" t="s">
        <v>6359</v>
      </c>
      <c r="G928" s="2">
        <v>46177.777374224534</v>
      </c>
      <c r="H928" s="1" t="s">
        <v>1211</v>
      </c>
      <c r="I928" s="2">
        <v>46177.777374305559</v>
      </c>
      <c r="J928" s="1" t="s">
        <v>1211</v>
      </c>
    </row>
    <row r="929" spans="1:10" x14ac:dyDescent="0.35">
      <c r="A929" s="1" t="s">
        <v>1530</v>
      </c>
      <c r="B929" s="1" t="s">
        <v>1209</v>
      </c>
      <c r="C929" s="1" t="s">
        <v>1210</v>
      </c>
      <c r="D929" s="2">
        <v>46177</v>
      </c>
      <c r="E929">
        <v>2.6562109083755399E-2</v>
      </c>
      <c r="F929" s="1" t="s">
        <v>6360</v>
      </c>
      <c r="G929" s="2">
        <v>46177.777374386576</v>
      </c>
      <c r="H929" s="1" t="s">
        <v>1211</v>
      </c>
      <c r="I929" s="2">
        <v>46177.777374502315</v>
      </c>
      <c r="J929" s="1" t="s">
        <v>1211</v>
      </c>
    </row>
    <row r="930" spans="1:10" x14ac:dyDescent="0.35">
      <c r="A930" s="1" t="s">
        <v>1531</v>
      </c>
      <c r="B930" s="1" t="s">
        <v>1209</v>
      </c>
      <c r="C930" s="1" t="s">
        <v>1210</v>
      </c>
      <c r="D930" s="2">
        <v>46177</v>
      </c>
      <c r="E930">
        <v>2.6540816089139298E-2</v>
      </c>
      <c r="F930" s="1" t="s">
        <v>6361</v>
      </c>
      <c r="G930" s="2">
        <v>46177.777374537036</v>
      </c>
      <c r="H930" s="1" t="s">
        <v>1211</v>
      </c>
      <c r="I930" s="2">
        <v>46177.777374502315</v>
      </c>
      <c r="J930" s="1" t="s">
        <v>1211</v>
      </c>
    </row>
    <row r="931" spans="1:10" x14ac:dyDescent="0.35">
      <c r="A931" s="1" t="s">
        <v>1532</v>
      </c>
      <c r="B931" s="1" t="s">
        <v>1209</v>
      </c>
      <c r="C931" s="1" t="s">
        <v>1210</v>
      </c>
      <c r="D931" s="2">
        <v>46177</v>
      </c>
      <c r="E931">
        <v>2.6421599424310799E-2</v>
      </c>
      <c r="F931" s="1" t="s">
        <v>6362</v>
      </c>
      <c r="G931" s="2">
        <v>46177.777374687503</v>
      </c>
      <c r="H931" s="1" t="s">
        <v>1211</v>
      </c>
      <c r="I931" s="2">
        <v>46177.777374687503</v>
      </c>
      <c r="J931" s="1" t="s">
        <v>1211</v>
      </c>
    </row>
    <row r="932" spans="1:10" x14ac:dyDescent="0.35">
      <c r="A932" s="1" t="s">
        <v>1533</v>
      </c>
      <c r="B932" s="1" t="s">
        <v>1209</v>
      </c>
      <c r="C932" s="1" t="s">
        <v>1210</v>
      </c>
      <c r="D932" s="2">
        <v>46177</v>
      </c>
      <c r="E932">
        <v>2.6435724707208098E-2</v>
      </c>
      <c r="F932" s="1" t="s">
        <v>6363</v>
      </c>
      <c r="G932" s="2">
        <v>46177.777374884259</v>
      </c>
      <c r="H932" s="1" t="s">
        <v>1211</v>
      </c>
      <c r="I932" s="2">
        <v>46177.777374849538</v>
      </c>
      <c r="J932" s="1" t="s">
        <v>1211</v>
      </c>
    </row>
    <row r="933" spans="1:10" x14ac:dyDescent="0.35">
      <c r="A933" s="1" t="s">
        <v>1534</v>
      </c>
      <c r="B933" s="1" t="s">
        <v>1209</v>
      </c>
      <c r="C933" s="1" t="s">
        <v>1210</v>
      </c>
      <c r="D933" s="2">
        <v>46177</v>
      </c>
      <c r="E933">
        <v>2.65099400541264E-2</v>
      </c>
      <c r="F933" s="1" t="s">
        <v>6364</v>
      </c>
      <c r="G933" s="2">
        <v>46177.777374999998</v>
      </c>
      <c r="H933" s="1" t="s">
        <v>1211</v>
      </c>
      <c r="I933" s="2">
        <v>46177.777375034719</v>
      </c>
      <c r="J933" s="1" t="s">
        <v>1211</v>
      </c>
    </row>
    <row r="934" spans="1:10" x14ac:dyDescent="0.35">
      <c r="A934" s="1" t="s">
        <v>1535</v>
      </c>
      <c r="B934" s="1" t="s">
        <v>1209</v>
      </c>
      <c r="C934" s="1" t="s">
        <v>1210</v>
      </c>
      <c r="D934" s="2">
        <v>46177</v>
      </c>
      <c r="E934">
        <v>2.6650123631308201E-2</v>
      </c>
      <c r="F934" s="1" t="s">
        <v>6365</v>
      </c>
      <c r="G934" s="2">
        <v>46177.777375150465</v>
      </c>
      <c r="H934" s="1" t="s">
        <v>1211</v>
      </c>
      <c r="I934" s="2">
        <v>46177.777375231482</v>
      </c>
      <c r="J934" s="1" t="s">
        <v>1211</v>
      </c>
    </row>
    <row r="935" spans="1:10" x14ac:dyDescent="0.35">
      <c r="A935" s="1" t="s">
        <v>1536</v>
      </c>
      <c r="B935" s="1" t="s">
        <v>1209</v>
      </c>
      <c r="C935" s="1" t="s">
        <v>1210</v>
      </c>
      <c r="D935" s="2">
        <v>46177</v>
      </c>
      <c r="E935">
        <v>2.6906142712707699E-2</v>
      </c>
      <c r="F935" s="1" t="s">
        <v>6366</v>
      </c>
      <c r="G935" s="2">
        <v>46177.7773753125</v>
      </c>
      <c r="H935" s="1" t="s">
        <v>1211</v>
      </c>
      <c r="I935" s="2">
        <v>46177.777375428239</v>
      </c>
      <c r="J935" s="1" t="s">
        <v>1211</v>
      </c>
    </row>
    <row r="936" spans="1:10" x14ac:dyDescent="0.35">
      <c r="A936" s="1" t="s">
        <v>1537</v>
      </c>
      <c r="B936" s="1" t="s">
        <v>1209</v>
      </c>
      <c r="C936" s="1" t="s">
        <v>1210</v>
      </c>
      <c r="D936" s="2">
        <v>46177</v>
      </c>
      <c r="E936">
        <v>2.7101302464036001E-2</v>
      </c>
      <c r="F936" s="1" t="s">
        <v>6367</v>
      </c>
      <c r="G936" s="2">
        <v>46177.77737546296</v>
      </c>
      <c r="H936" s="1" t="s">
        <v>1211</v>
      </c>
      <c r="I936" s="2">
        <v>46177.777375428239</v>
      </c>
      <c r="J936" s="1" t="s">
        <v>1211</v>
      </c>
    </row>
    <row r="937" spans="1:10" x14ac:dyDescent="0.35">
      <c r="A937" s="1" t="s">
        <v>1538</v>
      </c>
      <c r="B937" s="1" t="s">
        <v>1209</v>
      </c>
      <c r="C937" s="1" t="s">
        <v>1210</v>
      </c>
      <c r="D937" s="2">
        <v>46177</v>
      </c>
      <c r="E937">
        <v>2.7338058331868101E-2</v>
      </c>
      <c r="F937" s="1" t="s">
        <v>6368</v>
      </c>
      <c r="G937" s="2">
        <v>46177.777375613427</v>
      </c>
      <c r="H937" s="1" t="s">
        <v>1211</v>
      </c>
      <c r="I937" s="2">
        <v>46177.777375578706</v>
      </c>
      <c r="J937" s="1" t="s">
        <v>1211</v>
      </c>
    </row>
    <row r="938" spans="1:10" x14ac:dyDescent="0.35">
      <c r="A938" s="1" t="s">
        <v>1539</v>
      </c>
      <c r="B938" s="1" t="s">
        <v>1209</v>
      </c>
      <c r="C938" s="1" t="s">
        <v>1210</v>
      </c>
      <c r="D938" s="2">
        <v>46177</v>
      </c>
      <c r="E938">
        <v>2.71450950159089E-2</v>
      </c>
      <c r="F938" s="1" t="s">
        <v>6369</v>
      </c>
      <c r="G938" s="2">
        <v>46177.777375775462</v>
      </c>
      <c r="H938" s="1" t="s">
        <v>1211</v>
      </c>
      <c r="I938" s="2">
        <v>46177.777375891201</v>
      </c>
      <c r="J938" s="1" t="s">
        <v>1211</v>
      </c>
    </row>
    <row r="939" spans="1:10" x14ac:dyDescent="0.35">
      <c r="A939" s="1" t="s">
        <v>1540</v>
      </c>
      <c r="B939" s="1" t="s">
        <v>1209</v>
      </c>
      <c r="C939" s="1" t="s">
        <v>1210</v>
      </c>
      <c r="D939" s="2">
        <v>46177</v>
      </c>
      <c r="E939">
        <v>2.8240349921379301E-2</v>
      </c>
      <c r="F939" s="1" t="s">
        <v>6370</v>
      </c>
      <c r="G939" s="2">
        <v>46177.77737596065</v>
      </c>
      <c r="H939" s="1" t="s">
        <v>1211</v>
      </c>
      <c r="I939" s="2">
        <v>46177.777376006947</v>
      </c>
      <c r="J939" s="1" t="s">
        <v>1211</v>
      </c>
    </row>
    <row r="940" spans="1:10" x14ac:dyDescent="0.35">
      <c r="A940" s="1" t="s">
        <v>1541</v>
      </c>
      <c r="B940" s="1" t="s">
        <v>1209</v>
      </c>
      <c r="C940" s="1" t="s">
        <v>1210</v>
      </c>
      <c r="D940" s="2">
        <v>46177</v>
      </c>
      <c r="E940">
        <v>3.5553500561485998E-2</v>
      </c>
      <c r="F940" s="1" t="s">
        <v>6371</v>
      </c>
      <c r="G940" s="2">
        <v>46177.777376122685</v>
      </c>
      <c r="H940" s="1" t="s">
        <v>1211</v>
      </c>
      <c r="I940" s="2">
        <v>46177.777376192127</v>
      </c>
      <c r="J940" s="1" t="s">
        <v>1211</v>
      </c>
    </row>
    <row r="941" spans="1:10" x14ac:dyDescent="0.35">
      <c r="A941" s="1" t="s">
        <v>1542</v>
      </c>
      <c r="B941" s="1" t="s">
        <v>1209</v>
      </c>
      <c r="C941" s="1" t="s">
        <v>1210</v>
      </c>
      <c r="D941" s="2">
        <v>46177</v>
      </c>
      <c r="E941">
        <v>3.5585457389402303E-2</v>
      </c>
      <c r="F941" s="1" t="s">
        <v>6372</v>
      </c>
      <c r="G941" s="2">
        <v>46177.777376273145</v>
      </c>
      <c r="H941" s="1" t="s">
        <v>1211</v>
      </c>
      <c r="I941" s="2">
        <v>46177.777376192127</v>
      </c>
      <c r="J941" s="1" t="s">
        <v>1211</v>
      </c>
    </row>
    <row r="942" spans="1:10" x14ac:dyDescent="0.35">
      <c r="A942" s="1" t="s">
        <v>1543</v>
      </c>
      <c r="B942" s="1" t="s">
        <v>1209</v>
      </c>
      <c r="C942" s="1" t="s">
        <v>1210</v>
      </c>
      <c r="D942" s="2">
        <v>46177</v>
      </c>
      <c r="E942">
        <v>3.3590716408676301E-2</v>
      </c>
      <c r="F942" s="1" t="s">
        <v>6373</v>
      </c>
      <c r="G942" s="2">
        <v>46177.777376423612</v>
      </c>
      <c r="H942" s="1" t="s">
        <v>1211</v>
      </c>
      <c r="I942" s="2">
        <v>46177.77737635417</v>
      </c>
      <c r="J942" s="1" t="s">
        <v>1211</v>
      </c>
    </row>
    <row r="943" spans="1:10" x14ac:dyDescent="0.35">
      <c r="A943" s="1" t="s">
        <v>1544</v>
      </c>
      <c r="B943" s="1" t="s">
        <v>1209</v>
      </c>
      <c r="C943" s="1" t="s">
        <v>1210</v>
      </c>
      <c r="D943" s="2">
        <v>46177</v>
      </c>
      <c r="E943">
        <v>3.48307230690078E-2</v>
      </c>
      <c r="F943" s="1" t="s">
        <v>6374</v>
      </c>
      <c r="G943" s="2">
        <v>46177.777376585647</v>
      </c>
      <c r="H943" s="1" t="s">
        <v>1211</v>
      </c>
      <c r="I943" s="2">
        <v>46177.77737653935</v>
      </c>
      <c r="J943" s="1" t="s">
        <v>1211</v>
      </c>
    </row>
    <row r="944" spans="1:10" x14ac:dyDescent="0.35">
      <c r="A944" s="1" t="s">
        <v>1545</v>
      </c>
      <c r="B944" s="1" t="s">
        <v>1209</v>
      </c>
      <c r="C944" s="1" t="s">
        <v>1210</v>
      </c>
      <c r="D944" s="2">
        <v>46177</v>
      </c>
      <c r="E944">
        <v>2.8387267923635402E-2</v>
      </c>
      <c r="F944" s="1" t="s">
        <v>6375</v>
      </c>
      <c r="G944" s="2">
        <v>46177.777376736114</v>
      </c>
      <c r="H944" s="1" t="s">
        <v>1211</v>
      </c>
      <c r="I944" s="2">
        <v>46177.777376736114</v>
      </c>
      <c r="J944" s="1" t="s">
        <v>1211</v>
      </c>
    </row>
    <row r="945" spans="1:10" x14ac:dyDescent="0.35">
      <c r="A945" s="1" t="s">
        <v>1546</v>
      </c>
      <c r="B945" s="1" t="s">
        <v>1209</v>
      </c>
      <c r="C945" s="1" t="s">
        <v>1210</v>
      </c>
      <c r="D945" s="2">
        <v>46177</v>
      </c>
      <c r="E945">
        <v>2.8703755981769601E-2</v>
      </c>
      <c r="F945" s="1" t="s">
        <v>6376</v>
      </c>
      <c r="G945" s="2">
        <v>46177.777376886574</v>
      </c>
      <c r="H945" s="1" t="s">
        <v>1211</v>
      </c>
      <c r="I945" s="2">
        <v>46177.777376932871</v>
      </c>
      <c r="J945" s="1" t="s">
        <v>1211</v>
      </c>
    </row>
    <row r="946" spans="1:10" x14ac:dyDescent="0.35">
      <c r="A946" s="1" t="s">
        <v>1547</v>
      </c>
      <c r="B946" s="1" t="s">
        <v>1209</v>
      </c>
      <c r="C946" s="1" t="s">
        <v>1210</v>
      </c>
      <c r="D946" s="2">
        <v>46177</v>
      </c>
      <c r="E946">
        <v>2.90497949191133E-2</v>
      </c>
      <c r="F946" s="1" t="s">
        <v>6377</v>
      </c>
      <c r="G946" s="2">
        <v>46177.777377048609</v>
      </c>
      <c r="H946" s="1" t="s">
        <v>1211</v>
      </c>
      <c r="I946" s="2">
        <v>46177.77737708333</v>
      </c>
      <c r="J946" s="1" t="s">
        <v>1211</v>
      </c>
    </row>
    <row r="947" spans="1:10" x14ac:dyDescent="0.35">
      <c r="A947" s="1" t="s">
        <v>1548</v>
      </c>
      <c r="B947" s="1" t="s">
        <v>1209</v>
      </c>
      <c r="C947" s="1" t="s">
        <v>1210</v>
      </c>
      <c r="D947" s="2">
        <v>46177</v>
      </c>
      <c r="E947">
        <v>2.9323247943436201E-2</v>
      </c>
      <c r="F947" s="1" t="s">
        <v>6378</v>
      </c>
      <c r="G947" s="2">
        <v>46177.777377199076</v>
      </c>
      <c r="H947" s="1" t="s">
        <v>1211</v>
      </c>
      <c r="I947" s="2">
        <v>46177.777377280094</v>
      </c>
      <c r="J947" s="1" t="s">
        <v>1211</v>
      </c>
    </row>
    <row r="948" spans="1:10" x14ac:dyDescent="0.35">
      <c r="A948" s="1" t="s">
        <v>1549</v>
      </c>
      <c r="B948" s="1" t="s">
        <v>1209</v>
      </c>
      <c r="C948" s="1" t="s">
        <v>1210</v>
      </c>
      <c r="D948" s="2">
        <v>46177</v>
      </c>
      <c r="E948">
        <v>2.96139661053842E-2</v>
      </c>
      <c r="F948" s="1" t="s">
        <v>6379</v>
      </c>
      <c r="G948" s="2">
        <v>46177.777377349536</v>
      </c>
      <c r="H948" s="1" t="s">
        <v>1211</v>
      </c>
      <c r="I948" s="2">
        <v>46177.777377280094</v>
      </c>
      <c r="J948" s="1" t="s">
        <v>1211</v>
      </c>
    </row>
    <row r="949" spans="1:10" x14ac:dyDescent="0.35">
      <c r="A949" s="1" t="s">
        <v>1550</v>
      </c>
      <c r="B949" s="1" t="s">
        <v>1209</v>
      </c>
      <c r="C949" s="1" t="s">
        <v>1210</v>
      </c>
      <c r="D949" s="2">
        <v>46177</v>
      </c>
      <c r="E949">
        <v>2.99067718647438E-2</v>
      </c>
      <c r="F949" s="1" t="s">
        <v>6380</v>
      </c>
      <c r="G949" s="2">
        <v>46177.777377465274</v>
      </c>
      <c r="H949" s="1" t="s">
        <v>1211</v>
      </c>
      <c r="I949" s="2">
        <v>46177.777377465274</v>
      </c>
      <c r="J949" s="1" t="s">
        <v>1211</v>
      </c>
    </row>
    <row r="950" spans="1:10" x14ac:dyDescent="0.35">
      <c r="A950" s="1" t="s">
        <v>1551</v>
      </c>
      <c r="B950" s="1" t="s">
        <v>1209</v>
      </c>
      <c r="C950" s="1" t="s">
        <v>1210</v>
      </c>
      <c r="D950" s="2">
        <v>46177</v>
      </c>
      <c r="E950">
        <v>3.0189146485889599E-2</v>
      </c>
      <c r="F950" s="1" t="s">
        <v>6381</v>
      </c>
      <c r="G950" s="2">
        <v>46177.777377662038</v>
      </c>
      <c r="H950" s="1" t="s">
        <v>1211</v>
      </c>
      <c r="I950" s="2">
        <v>46177.777377627317</v>
      </c>
      <c r="J950" s="1" t="s">
        <v>1211</v>
      </c>
    </row>
    <row r="951" spans="1:10" x14ac:dyDescent="0.35">
      <c r="A951" s="1" t="s">
        <v>1552</v>
      </c>
      <c r="B951" s="1" t="s">
        <v>1209</v>
      </c>
      <c r="C951" s="1" t="s">
        <v>1210</v>
      </c>
      <c r="D951" s="2">
        <v>46177</v>
      </c>
      <c r="E951">
        <v>2.6412890938054E-2</v>
      </c>
      <c r="F951" s="1" t="s">
        <v>6382</v>
      </c>
      <c r="G951" s="2">
        <v>46177.777377777777</v>
      </c>
      <c r="H951" s="1" t="s">
        <v>1211</v>
      </c>
      <c r="I951" s="2">
        <v>46177.777377812497</v>
      </c>
      <c r="J951" s="1" t="s">
        <v>1211</v>
      </c>
    </row>
    <row r="952" spans="1:10" x14ac:dyDescent="0.35">
      <c r="A952" s="1" t="s">
        <v>1553</v>
      </c>
      <c r="B952" s="1" t="s">
        <v>1209</v>
      </c>
      <c r="C952" s="1" t="s">
        <v>1210</v>
      </c>
      <c r="D952" s="2">
        <v>46177</v>
      </c>
      <c r="E952">
        <v>3.3474116651508699E-2</v>
      </c>
      <c r="F952" s="1" t="s">
        <v>6383</v>
      </c>
      <c r="G952" s="2">
        <v>46177.777377928243</v>
      </c>
      <c r="H952" s="1" t="s">
        <v>1211</v>
      </c>
      <c r="I952" s="2">
        <v>46177.77737797454</v>
      </c>
      <c r="J952" s="1" t="s">
        <v>1211</v>
      </c>
    </row>
    <row r="953" spans="1:10" x14ac:dyDescent="0.35">
      <c r="A953" s="1" t="s">
        <v>1554</v>
      </c>
      <c r="B953" s="1" t="s">
        <v>1209</v>
      </c>
      <c r="C953" s="1" t="s">
        <v>1210</v>
      </c>
      <c r="D953" s="2">
        <v>46177</v>
      </c>
      <c r="E953">
        <v>2.8353377781618099E-2</v>
      </c>
      <c r="F953" s="1" t="s">
        <v>6384</v>
      </c>
      <c r="G953" s="2">
        <v>46177.777378090279</v>
      </c>
      <c r="H953" s="1" t="s">
        <v>1211</v>
      </c>
      <c r="I953" s="2">
        <v>46177.777378159721</v>
      </c>
      <c r="J953" s="1" t="s">
        <v>1211</v>
      </c>
    </row>
    <row r="954" spans="1:10" x14ac:dyDescent="0.35">
      <c r="A954" s="1" t="s">
        <v>1555</v>
      </c>
      <c r="B954" s="1" t="s">
        <v>1209</v>
      </c>
      <c r="C954" s="1" t="s">
        <v>1210</v>
      </c>
      <c r="D954" s="2">
        <v>46177</v>
      </c>
      <c r="E954">
        <v>2.95377333507938E-2</v>
      </c>
      <c r="F954" s="1" t="s">
        <v>6385</v>
      </c>
      <c r="G954" s="2">
        <v>46177.777378240738</v>
      </c>
      <c r="H954" s="1" t="s">
        <v>1211</v>
      </c>
      <c r="I954" s="2">
        <v>46177.777378159721</v>
      </c>
      <c r="J954" s="1" t="s">
        <v>1211</v>
      </c>
    </row>
    <row r="955" spans="1:10" x14ac:dyDescent="0.35">
      <c r="A955" s="1" t="s">
        <v>1556</v>
      </c>
      <c r="B955" s="1" t="s">
        <v>1224</v>
      </c>
      <c r="C955" s="1" t="s">
        <v>1210</v>
      </c>
      <c r="D955" s="2">
        <v>46177</v>
      </c>
      <c r="E955">
        <v>105.77500000000001</v>
      </c>
      <c r="F955" s="1" t="s">
        <v>6386</v>
      </c>
      <c r="G955" s="2">
        <v>46177.777561261573</v>
      </c>
      <c r="H955" s="1" t="s">
        <v>1211</v>
      </c>
      <c r="I955" s="2">
        <v>46177.777561192132</v>
      </c>
      <c r="J955" s="1" t="s">
        <v>1211</v>
      </c>
    </row>
    <row r="956" spans="1:10" x14ac:dyDescent="0.35">
      <c r="A956" s="1" t="s">
        <v>1557</v>
      </c>
      <c r="B956" s="1" t="s">
        <v>1224</v>
      </c>
      <c r="C956" s="1" t="s">
        <v>1210</v>
      </c>
      <c r="D956" s="2">
        <v>46177</v>
      </c>
      <c r="E956">
        <v>105.685</v>
      </c>
      <c r="F956" s="1" t="s">
        <v>6387</v>
      </c>
      <c r="G956" s="2">
        <v>46177.77756145833</v>
      </c>
      <c r="H956" s="1" t="s">
        <v>1211</v>
      </c>
      <c r="I956" s="2">
        <v>46177.777561377312</v>
      </c>
      <c r="J956" s="1" t="s">
        <v>1211</v>
      </c>
    </row>
    <row r="957" spans="1:10" x14ac:dyDescent="0.35">
      <c r="A957" s="1" t="s">
        <v>1558</v>
      </c>
      <c r="B957" s="1" t="s">
        <v>1224</v>
      </c>
      <c r="C957" s="1" t="s">
        <v>1210</v>
      </c>
      <c r="D957" s="2">
        <v>46177</v>
      </c>
      <c r="E957">
        <v>106.06</v>
      </c>
      <c r="F957" s="1" t="s">
        <v>6388</v>
      </c>
      <c r="G957" s="2">
        <v>46177.777561608797</v>
      </c>
      <c r="H957" s="1" t="s">
        <v>1211</v>
      </c>
      <c r="I957" s="2">
        <v>46177.777561574076</v>
      </c>
      <c r="J957" s="1" t="s">
        <v>1211</v>
      </c>
    </row>
    <row r="958" spans="1:10" x14ac:dyDescent="0.35">
      <c r="A958" s="1" t="s">
        <v>1559</v>
      </c>
      <c r="B958" s="1" t="s">
        <v>1209</v>
      </c>
      <c r="C958" s="1" t="s">
        <v>1210</v>
      </c>
      <c r="D958" s="2">
        <v>46177</v>
      </c>
      <c r="E958">
        <v>2.4916000000000001E-2</v>
      </c>
      <c r="F958" s="1" t="s">
        <v>6389</v>
      </c>
      <c r="G958" s="2">
        <v>46177.777504247686</v>
      </c>
      <c r="H958" s="1" t="s">
        <v>1211</v>
      </c>
      <c r="I958" s="2">
        <v>46177.777504131947</v>
      </c>
      <c r="J958" s="1" t="s">
        <v>1211</v>
      </c>
    </row>
    <row r="959" spans="1:10" x14ac:dyDescent="0.35">
      <c r="A959" s="1" t="s">
        <v>1560</v>
      </c>
      <c r="B959" s="1" t="s">
        <v>1209</v>
      </c>
      <c r="C959" s="1" t="s">
        <v>1210</v>
      </c>
      <c r="D959" s="2">
        <v>46177</v>
      </c>
      <c r="E959">
        <v>2.8393499999999999E-2</v>
      </c>
      <c r="F959" s="1" t="s">
        <v>6390</v>
      </c>
      <c r="G959" s="2">
        <v>46177.777506099534</v>
      </c>
      <c r="H959" s="1" t="s">
        <v>1211</v>
      </c>
      <c r="I959" s="2">
        <v>46177.777505937498</v>
      </c>
      <c r="J959" s="1" t="s">
        <v>1211</v>
      </c>
    </row>
    <row r="960" spans="1:10" x14ac:dyDescent="0.35">
      <c r="A960" s="1" t="s">
        <v>1561</v>
      </c>
      <c r="B960" s="1" t="s">
        <v>1209</v>
      </c>
      <c r="C960" s="1" t="s">
        <v>1210</v>
      </c>
      <c r="D960" s="2">
        <v>46177</v>
      </c>
      <c r="E960">
        <v>2.8850000000000001E-2</v>
      </c>
      <c r="F960" s="1" t="s">
        <v>6391</v>
      </c>
      <c r="G960" s="2">
        <v>46177.77750625</v>
      </c>
      <c r="H960" s="1" t="s">
        <v>1211</v>
      </c>
      <c r="I960" s="2">
        <v>46177.777506099534</v>
      </c>
      <c r="J960" s="1" t="s">
        <v>1211</v>
      </c>
    </row>
    <row r="961" spans="1:10" x14ac:dyDescent="0.35">
      <c r="A961" s="1" t="s">
        <v>1562</v>
      </c>
      <c r="B961" s="1" t="s">
        <v>1209</v>
      </c>
      <c r="C961" s="1" t="s">
        <v>1210</v>
      </c>
      <c r="D961" s="2">
        <v>46177</v>
      </c>
      <c r="E961">
        <v>2.92795E-2</v>
      </c>
      <c r="F961" s="1" t="s">
        <v>6392</v>
      </c>
      <c r="G961" s="2">
        <v>46177.777506446757</v>
      </c>
      <c r="H961" s="1" t="s">
        <v>1211</v>
      </c>
      <c r="I961" s="2">
        <v>46177.777506284721</v>
      </c>
      <c r="J961" s="1" t="s">
        <v>1211</v>
      </c>
    </row>
    <row r="962" spans="1:10" x14ac:dyDescent="0.35">
      <c r="A962" s="1" t="s">
        <v>1563</v>
      </c>
      <c r="B962" s="1" t="s">
        <v>1209</v>
      </c>
      <c r="C962" s="1" t="s">
        <v>1210</v>
      </c>
      <c r="D962" s="2">
        <v>46177</v>
      </c>
      <c r="E962">
        <v>2.9676999999999999E-2</v>
      </c>
      <c r="F962" s="1" t="s">
        <v>6393</v>
      </c>
      <c r="G962" s="2">
        <v>46177.777506597224</v>
      </c>
      <c r="H962" s="1" t="s">
        <v>1211</v>
      </c>
      <c r="I962" s="2">
        <v>46177.777506481485</v>
      </c>
      <c r="J962" s="1" t="s">
        <v>1211</v>
      </c>
    </row>
    <row r="963" spans="1:10" x14ac:dyDescent="0.35">
      <c r="A963" s="1" t="s">
        <v>1564</v>
      </c>
      <c r="B963" s="1" t="s">
        <v>1209</v>
      </c>
      <c r="C963" s="1" t="s">
        <v>1210</v>
      </c>
      <c r="D963" s="2">
        <v>46177</v>
      </c>
      <c r="E963">
        <v>3.0026500000000001E-2</v>
      </c>
      <c r="F963" s="1" t="s">
        <v>6394</v>
      </c>
      <c r="G963" s="2">
        <v>46177.777506747683</v>
      </c>
      <c r="H963" s="1" t="s">
        <v>1211</v>
      </c>
      <c r="I963" s="2">
        <v>46177.777506678241</v>
      </c>
      <c r="J963" s="1" t="s">
        <v>1211</v>
      </c>
    </row>
    <row r="964" spans="1:10" x14ac:dyDescent="0.35">
      <c r="A964" s="1" t="s">
        <v>1565</v>
      </c>
      <c r="B964" s="1" t="s">
        <v>1209</v>
      </c>
      <c r="C964" s="1" t="s">
        <v>1210</v>
      </c>
      <c r="D964" s="2">
        <v>46177</v>
      </c>
      <c r="E964">
        <v>3.032E-2</v>
      </c>
      <c r="F964" s="1" t="s">
        <v>6395</v>
      </c>
      <c r="G964" s="2">
        <v>46177.777506909719</v>
      </c>
      <c r="H964" s="1" t="s">
        <v>1211</v>
      </c>
      <c r="I964" s="2">
        <v>46177.777506828701</v>
      </c>
      <c r="J964" s="1" t="s">
        <v>1211</v>
      </c>
    </row>
    <row r="965" spans="1:10" x14ac:dyDescent="0.35">
      <c r="A965" s="1" t="s">
        <v>1566</v>
      </c>
      <c r="B965" s="1" t="s">
        <v>1209</v>
      </c>
      <c r="C965" s="1" t="s">
        <v>1210</v>
      </c>
      <c r="D965" s="2">
        <v>46177</v>
      </c>
      <c r="E965">
        <v>3.0561499999999998E-2</v>
      </c>
      <c r="F965" s="1" t="s">
        <v>6396</v>
      </c>
      <c r="G965" s="2">
        <v>46177.777507060186</v>
      </c>
      <c r="H965" s="1" t="s">
        <v>1211</v>
      </c>
      <c r="I965" s="2">
        <v>46177.777507025465</v>
      </c>
      <c r="J965" s="1" t="s">
        <v>1211</v>
      </c>
    </row>
    <row r="966" spans="1:10" x14ac:dyDescent="0.35">
      <c r="A966" s="1" t="s">
        <v>1567</v>
      </c>
      <c r="B966" s="1" t="s">
        <v>1209</v>
      </c>
      <c r="C966" s="1" t="s">
        <v>1210</v>
      </c>
      <c r="D966" s="2">
        <v>46177</v>
      </c>
      <c r="E966">
        <v>3.0745000000000001E-2</v>
      </c>
      <c r="F966" s="1" t="s">
        <v>6397</v>
      </c>
      <c r="G966" s="2">
        <v>46177.777507175924</v>
      </c>
      <c r="H966" s="1" t="s">
        <v>1211</v>
      </c>
      <c r="I966" s="2">
        <v>46177.777507210645</v>
      </c>
      <c r="J966" s="1" t="s">
        <v>1211</v>
      </c>
    </row>
    <row r="967" spans="1:10" x14ac:dyDescent="0.35">
      <c r="A967" s="1" t="s">
        <v>1568</v>
      </c>
      <c r="B967" s="1" t="s">
        <v>1209</v>
      </c>
      <c r="C967" s="1" t="s">
        <v>1210</v>
      </c>
      <c r="D967" s="2">
        <v>46177</v>
      </c>
      <c r="E967">
        <v>3.0884999999999999E-2</v>
      </c>
      <c r="F967" s="1" t="s">
        <v>6398</v>
      </c>
      <c r="G967" s="2">
        <v>46177.777507326391</v>
      </c>
      <c r="H967" s="1" t="s">
        <v>1211</v>
      </c>
      <c r="I967" s="2">
        <v>46177.777507210645</v>
      </c>
      <c r="J967" s="1" t="s">
        <v>1211</v>
      </c>
    </row>
    <row r="968" spans="1:10" x14ac:dyDescent="0.35">
      <c r="A968" s="1" t="s">
        <v>1569</v>
      </c>
      <c r="B968" s="1" t="s">
        <v>1209</v>
      </c>
      <c r="C968" s="1" t="s">
        <v>1210</v>
      </c>
      <c r="D968" s="2">
        <v>46177</v>
      </c>
      <c r="E968">
        <v>3.0990050000000002E-2</v>
      </c>
      <c r="F968" s="1" t="s">
        <v>6399</v>
      </c>
      <c r="G968" s="2">
        <v>46177.777507523148</v>
      </c>
      <c r="H968" s="1" t="s">
        <v>1211</v>
      </c>
      <c r="I968" s="2">
        <v>46177.777507372688</v>
      </c>
      <c r="J968" s="1" t="s">
        <v>1211</v>
      </c>
    </row>
    <row r="969" spans="1:10" x14ac:dyDescent="0.35">
      <c r="A969" s="1" t="s">
        <v>1570</v>
      </c>
      <c r="B969" s="1" t="s">
        <v>1209</v>
      </c>
      <c r="C969" s="1" t="s">
        <v>1210</v>
      </c>
      <c r="D969" s="2">
        <v>46177</v>
      </c>
      <c r="E969">
        <v>2.5275100000000002E-2</v>
      </c>
      <c r="F969" s="1" t="s">
        <v>6400</v>
      </c>
      <c r="G969" s="2">
        <v>46177.777504398146</v>
      </c>
      <c r="H969" s="1" t="s">
        <v>1211</v>
      </c>
      <c r="I969" s="2">
        <v>46177.777504317128</v>
      </c>
      <c r="J969" s="1" t="s">
        <v>1211</v>
      </c>
    </row>
    <row r="970" spans="1:10" x14ac:dyDescent="0.35">
      <c r="A970" s="1" t="s">
        <v>1571</v>
      </c>
      <c r="B970" s="1" t="s">
        <v>1209</v>
      </c>
      <c r="C970" s="1" t="s">
        <v>1210</v>
      </c>
      <c r="D970" s="2">
        <v>46177</v>
      </c>
      <c r="E970">
        <v>2.5432E-2</v>
      </c>
      <c r="F970" s="1" t="s">
        <v>6401</v>
      </c>
      <c r="G970" s="2">
        <v>46177.777504513891</v>
      </c>
      <c r="H970" s="1" t="s">
        <v>1211</v>
      </c>
      <c r="I970" s="2">
        <v>46177.777504479163</v>
      </c>
      <c r="J970" s="1" t="s">
        <v>1211</v>
      </c>
    </row>
    <row r="971" spans="1:10" x14ac:dyDescent="0.35">
      <c r="A971" s="1" t="s">
        <v>1572</v>
      </c>
      <c r="B971" s="1" t="s">
        <v>1209</v>
      </c>
      <c r="C971" s="1" t="s">
        <v>1210</v>
      </c>
      <c r="D971" s="2">
        <v>46177</v>
      </c>
      <c r="E971">
        <v>2.5500499999999999E-2</v>
      </c>
      <c r="F971" s="1" t="s">
        <v>6402</v>
      </c>
      <c r="G971" s="2">
        <v>46177.777504710648</v>
      </c>
      <c r="H971" s="1" t="s">
        <v>1211</v>
      </c>
      <c r="I971" s="2">
        <v>46177.777504664351</v>
      </c>
      <c r="J971" s="1" t="s">
        <v>1211</v>
      </c>
    </row>
    <row r="972" spans="1:10" x14ac:dyDescent="0.35">
      <c r="A972" s="1" t="s">
        <v>1573</v>
      </c>
      <c r="B972" s="1" t="s">
        <v>1209</v>
      </c>
      <c r="C972" s="1" t="s">
        <v>1210</v>
      </c>
      <c r="D972" s="2">
        <v>46177</v>
      </c>
      <c r="E972">
        <v>1.9336550000000001E-2</v>
      </c>
      <c r="F972" s="1" t="s">
        <v>6403</v>
      </c>
      <c r="G972" s="2">
        <v>46177.777502118057</v>
      </c>
      <c r="H972" s="1" t="s">
        <v>1211</v>
      </c>
      <c r="I972" s="2">
        <v>46177.777502002318</v>
      </c>
      <c r="J972" s="1" t="s">
        <v>1211</v>
      </c>
    </row>
    <row r="973" spans="1:10" x14ac:dyDescent="0.35">
      <c r="A973" s="1" t="s">
        <v>1574</v>
      </c>
      <c r="B973" s="1" t="s">
        <v>1209</v>
      </c>
      <c r="C973" s="1" t="s">
        <v>1210</v>
      </c>
      <c r="D973" s="2">
        <v>46177</v>
      </c>
      <c r="E973">
        <v>2.55325E-2</v>
      </c>
      <c r="F973" s="1" t="s">
        <v>6404</v>
      </c>
      <c r="G973" s="2">
        <v>46177.777504861115</v>
      </c>
      <c r="H973" s="1" t="s">
        <v>1211</v>
      </c>
      <c r="I973" s="2">
        <v>46177.777504861115</v>
      </c>
      <c r="J973" s="1" t="s">
        <v>1211</v>
      </c>
    </row>
    <row r="974" spans="1:10" x14ac:dyDescent="0.35">
      <c r="A974" s="1" t="s">
        <v>1575</v>
      </c>
      <c r="B974" s="1" t="s">
        <v>1209</v>
      </c>
      <c r="C974" s="1" t="s">
        <v>1210</v>
      </c>
      <c r="D974" s="2">
        <v>46177</v>
      </c>
      <c r="E974">
        <v>3.1052E-2</v>
      </c>
      <c r="F974" s="1" t="s">
        <v>6405</v>
      </c>
      <c r="G974" s="2">
        <v>46177.777507638886</v>
      </c>
      <c r="H974" s="1" t="s">
        <v>1211</v>
      </c>
      <c r="I974" s="2">
        <v>46177.777507557868</v>
      </c>
      <c r="J974" s="1" t="s">
        <v>1211</v>
      </c>
    </row>
    <row r="975" spans="1:10" x14ac:dyDescent="0.35">
      <c r="A975" s="1" t="s">
        <v>1576</v>
      </c>
      <c r="B975" s="1" t="s">
        <v>1209</v>
      </c>
      <c r="C975" s="1" t="s">
        <v>1210</v>
      </c>
      <c r="D975" s="2">
        <v>46177</v>
      </c>
      <c r="E975">
        <v>3.1026499999999999E-2</v>
      </c>
      <c r="F975" s="1" t="s">
        <v>6406</v>
      </c>
      <c r="G975" s="2">
        <v>46177.777507789353</v>
      </c>
      <c r="H975" s="1" t="s">
        <v>1211</v>
      </c>
      <c r="I975" s="2">
        <v>46177.777507754632</v>
      </c>
      <c r="J975" s="1" t="s">
        <v>1211</v>
      </c>
    </row>
    <row r="976" spans="1:10" x14ac:dyDescent="0.35">
      <c r="A976" s="1" t="s">
        <v>1577</v>
      </c>
      <c r="B976" s="1" t="s">
        <v>1209</v>
      </c>
      <c r="C976" s="1" t="s">
        <v>1210</v>
      </c>
      <c r="D976" s="2">
        <v>46177</v>
      </c>
      <c r="E976">
        <v>2.0209499999999998E-2</v>
      </c>
      <c r="F976" s="1" t="s">
        <v>6407</v>
      </c>
      <c r="G976" s="2">
        <v>46177.777502280092</v>
      </c>
      <c r="H976" s="1" t="s">
        <v>1211</v>
      </c>
      <c r="I976" s="2">
        <v>46177.777502164354</v>
      </c>
      <c r="J976" s="1" t="s">
        <v>1211</v>
      </c>
    </row>
    <row r="977" spans="1:10" x14ac:dyDescent="0.35">
      <c r="A977" s="1" t="s">
        <v>1578</v>
      </c>
      <c r="B977" s="1" t="s">
        <v>1209</v>
      </c>
      <c r="C977" s="1" t="s">
        <v>1210</v>
      </c>
      <c r="D977" s="2">
        <v>46177</v>
      </c>
      <c r="E977">
        <v>2.5540050000000002E-2</v>
      </c>
      <c r="F977" s="1" t="s">
        <v>6408</v>
      </c>
      <c r="G977" s="2">
        <v>46177.777505011574</v>
      </c>
      <c r="H977" s="1" t="s">
        <v>1211</v>
      </c>
      <c r="I977" s="2">
        <v>46177.777505011574</v>
      </c>
      <c r="J977" s="1" t="s">
        <v>1211</v>
      </c>
    </row>
    <row r="978" spans="1:10" x14ac:dyDescent="0.35">
      <c r="A978" s="1" t="s">
        <v>1579</v>
      </c>
      <c r="B978" s="1" t="s">
        <v>1209</v>
      </c>
      <c r="C978" s="1" t="s">
        <v>1210</v>
      </c>
      <c r="D978" s="2">
        <v>46177</v>
      </c>
      <c r="E978">
        <v>3.07195E-2</v>
      </c>
      <c r="F978" s="1" t="s">
        <v>6409</v>
      </c>
      <c r="G978" s="2">
        <v>46177.777507951389</v>
      </c>
      <c r="H978" s="1" t="s">
        <v>1211</v>
      </c>
      <c r="I978" s="2">
        <v>46177.777507905092</v>
      </c>
      <c r="J978" s="1" t="s">
        <v>1211</v>
      </c>
    </row>
    <row r="979" spans="1:10" x14ac:dyDescent="0.35">
      <c r="A979" s="1" t="s">
        <v>1580</v>
      </c>
      <c r="B979" s="1" t="s">
        <v>1209</v>
      </c>
      <c r="C979" s="1" t="s">
        <v>1210</v>
      </c>
      <c r="D979" s="2">
        <v>46177</v>
      </c>
      <c r="E979">
        <v>3.0277200000000001E-2</v>
      </c>
      <c r="F979" s="1" t="s">
        <v>6410</v>
      </c>
      <c r="G979" s="2">
        <v>46177.777508101855</v>
      </c>
      <c r="H979" s="1" t="s">
        <v>1211</v>
      </c>
      <c r="I979" s="2">
        <v>46177.777508101855</v>
      </c>
      <c r="J979" s="1" t="s">
        <v>1211</v>
      </c>
    </row>
    <row r="980" spans="1:10" x14ac:dyDescent="0.35">
      <c r="A980" s="1" t="s">
        <v>1581</v>
      </c>
      <c r="B980" s="1" t="s">
        <v>1209</v>
      </c>
      <c r="C980" s="1" t="s">
        <v>1210</v>
      </c>
      <c r="D980" s="2">
        <v>46177</v>
      </c>
      <c r="E980">
        <v>2.0740000000000001E-2</v>
      </c>
      <c r="F980" s="1" t="s">
        <v>6411</v>
      </c>
      <c r="G980" s="2">
        <v>46177.777502430552</v>
      </c>
      <c r="H980" s="1" t="s">
        <v>1211</v>
      </c>
      <c r="I980" s="2">
        <v>46177.777502349534</v>
      </c>
      <c r="J980" s="1" t="s">
        <v>1211</v>
      </c>
    </row>
    <row r="981" spans="1:10" x14ac:dyDescent="0.35">
      <c r="A981" s="1" t="s">
        <v>1582</v>
      </c>
      <c r="B981" s="1" t="s">
        <v>1209</v>
      </c>
      <c r="C981" s="1" t="s">
        <v>1210</v>
      </c>
      <c r="D981" s="2">
        <v>46177</v>
      </c>
      <c r="E981">
        <v>2.5746499999999999E-2</v>
      </c>
      <c r="F981" s="1" t="s">
        <v>6412</v>
      </c>
      <c r="G981" s="2">
        <v>46177.77750517361</v>
      </c>
      <c r="H981" s="1" t="s">
        <v>1211</v>
      </c>
      <c r="I981" s="2">
        <v>46177.777505011574</v>
      </c>
      <c r="J981" s="1" t="s">
        <v>1211</v>
      </c>
    </row>
    <row r="982" spans="1:10" x14ac:dyDescent="0.35">
      <c r="A982" s="1" t="s">
        <v>1583</v>
      </c>
      <c r="B982" s="1" t="s">
        <v>1209</v>
      </c>
      <c r="C982" s="1" t="s">
        <v>1210</v>
      </c>
      <c r="D982" s="2">
        <v>46177</v>
      </c>
      <c r="E982">
        <v>2.9749500000000002E-2</v>
      </c>
      <c r="F982" s="1" t="s">
        <v>6413</v>
      </c>
      <c r="G982" s="2">
        <v>46177.777508252315</v>
      </c>
      <c r="H982" s="1" t="s">
        <v>1211</v>
      </c>
      <c r="I982" s="2">
        <v>46177.777508101855</v>
      </c>
      <c r="J982" s="1" t="s">
        <v>1211</v>
      </c>
    </row>
    <row r="983" spans="1:10" x14ac:dyDescent="0.35">
      <c r="A983" s="1" t="s">
        <v>1584</v>
      </c>
      <c r="B983" s="1" t="s">
        <v>1209</v>
      </c>
      <c r="C983" s="1" t="s">
        <v>1210</v>
      </c>
      <c r="D983" s="2">
        <v>46177</v>
      </c>
      <c r="E983">
        <v>2.6067E-2</v>
      </c>
      <c r="F983" s="1" t="s">
        <v>6414</v>
      </c>
      <c r="G983" s="2">
        <v>46177.777505324077</v>
      </c>
      <c r="H983" s="1" t="s">
        <v>1211</v>
      </c>
      <c r="I983" s="2">
        <v>46177.777505208331</v>
      </c>
      <c r="J983" s="1" t="s">
        <v>1211</v>
      </c>
    </row>
    <row r="984" spans="1:10" x14ac:dyDescent="0.35">
      <c r="A984" s="1" t="s">
        <v>1585</v>
      </c>
      <c r="B984" s="1" t="s">
        <v>1209</v>
      </c>
      <c r="C984" s="1" t="s">
        <v>1210</v>
      </c>
      <c r="D984" s="2">
        <v>46177</v>
      </c>
      <c r="E984">
        <v>2.8529499999999999E-2</v>
      </c>
      <c r="F984" s="1" t="s">
        <v>6415</v>
      </c>
      <c r="G984" s="2">
        <v>46177.77750841435</v>
      </c>
      <c r="H984" s="1" t="s">
        <v>1211</v>
      </c>
      <c r="I984" s="2">
        <v>46177.777508298612</v>
      </c>
      <c r="J984" s="1" t="s">
        <v>1211</v>
      </c>
    </row>
    <row r="985" spans="1:10" x14ac:dyDescent="0.35">
      <c r="A985" s="1" t="s">
        <v>1586</v>
      </c>
      <c r="B985" s="1" t="s">
        <v>1209</v>
      </c>
      <c r="C985" s="1" t="s">
        <v>1210</v>
      </c>
      <c r="D985" s="2">
        <v>46177</v>
      </c>
      <c r="E985">
        <v>2.6466E-2</v>
      </c>
      <c r="F985" s="1" t="s">
        <v>6416</v>
      </c>
      <c r="G985" s="2">
        <v>46177.777505474536</v>
      </c>
      <c r="H985" s="1" t="s">
        <v>1211</v>
      </c>
      <c r="I985" s="2">
        <v>46177.777505405094</v>
      </c>
      <c r="J985" s="1" t="s">
        <v>1211</v>
      </c>
    </row>
    <row r="986" spans="1:10" x14ac:dyDescent="0.35">
      <c r="A986" s="1" t="s">
        <v>1587</v>
      </c>
      <c r="B986" s="1" t="s">
        <v>1209</v>
      </c>
      <c r="C986" s="1" t="s">
        <v>1210</v>
      </c>
      <c r="D986" s="2">
        <v>46177</v>
      </c>
      <c r="E986">
        <v>2.692955E-2</v>
      </c>
      <c r="F986" s="1" t="s">
        <v>6417</v>
      </c>
      <c r="G986" s="2">
        <v>46177.777505636572</v>
      </c>
      <c r="H986" s="1" t="s">
        <v>1211</v>
      </c>
      <c r="I986" s="2">
        <v>46177.777505555554</v>
      </c>
      <c r="J986" s="1" t="s">
        <v>1211</v>
      </c>
    </row>
    <row r="987" spans="1:10" x14ac:dyDescent="0.35">
      <c r="A987" s="1" t="s">
        <v>1588</v>
      </c>
      <c r="B987" s="1" t="s">
        <v>1209</v>
      </c>
      <c r="C987" s="1" t="s">
        <v>1210</v>
      </c>
      <c r="D987" s="2">
        <v>46177</v>
      </c>
      <c r="E987">
        <v>2.7427E-2</v>
      </c>
      <c r="F987" s="1" t="s">
        <v>6418</v>
      </c>
      <c r="G987" s="2">
        <v>46177.777505787039</v>
      </c>
      <c r="H987" s="1" t="s">
        <v>1211</v>
      </c>
      <c r="I987" s="2">
        <v>46177.777505752318</v>
      </c>
      <c r="J987" s="1" t="s">
        <v>1211</v>
      </c>
    </row>
    <row r="988" spans="1:10" x14ac:dyDescent="0.35">
      <c r="A988" s="1" t="s">
        <v>1589</v>
      </c>
      <c r="B988" s="1" t="s">
        <v>1209</v>
      </c>
      <c r="C988" s="1" t="s">
        <v>1210</v>
      </c>
      <c r="D988" s="2">
        <v>46177</v>
      </c>
      <c r="E988">
        <v>2.79125E-2</v>
      </c>
      <c r="F988" s="1" t="s">
        <v>6419</v>
      </c>
      <c r="G988" s="2">
        <v>46177.777505937498</v>
      </c>
      <c r="H988" s="1" t="s">
        <v>1211</v>
      </c>
      <c r="I988" s="2">
        <v>46177.777505937498</v>
      </c>
      <c r="J988" s="1" t="s">
        <v>1211</v>
      </c>
    </row>
    <row r="989" spans="1:10" x14ac:dyDescent="0.35">
      <c r="A989" s="1" t="s">
        <v>1590</v>
      </c>
      <c r="B989" s="1" t="s">
        <v>1209</v>
      </c>
      <c r="C989" s="1" t="s">
        <v>1210</v>
      </c>
      <c r="D989" s="2">
        <v>46177</v>
      </c>
      <c r="E989">
        <v>2.1058049999999998E-2</v>
      </c>
      <c r="F989" s="1" t="s">
        <v>6420</v>
      </c>
      <c r="G989" s="2">
        <v>46177.777502546298</v>
      </c>
      <c r="H989" s="1" t="s">
        <v>1211</v>
      </c>
      <c r="I989" s="2">
        <v>46177.777502546298</v>
      </c>
      <c r="J989" s="1" t="s">
        <v>1211</v>
      </c>
    </row>
    <row r="990" spans="1:10" x14ac:dyDescent="0.35">
      <c r="A990" s="1" t="s">
        <v>1591</v>
      </c>
      <c r="B990" s="1" t="s">
        <v>1209</v>
      </c>
      <c r="C990" s="1" t="s">
        <v>1210</v>
      </c>
      <c r="D990" s="2">
        <v>46177</v>
      </c>
      <c r="E990">
        <v>2.162E-2</v>
      </c>
      <c r="F990" s="1" t="s">
        <v>6421</v>
      </c>
      <c r="G990" s="2">
        <v>46177.777502696757</v>
      </c>
      <c r="H990" s="1" t="s">
        <v>1211</v>
      </c>
      <c r="I990" s="2">
        <v>46177.777502743054</v>
      </c>
      <c r="J990" s="1" t="s">
        <v>1211</v>
      </c>
    </row>
    <row r="991" spans="1:10" x14ac:dyDescent="0.35">
      <c r="A991" s="1" t="s">
        <v>1592</v>
      </c>
      <c r="B991" s="1" t="s">
        <v>1209</v>
      </c>
      <c r="C991" s="1" t="s">
        <v>1210</v>
      </c>
      <c r="D991" s="2">
        <v>46177</v>
      </c>
      <c r="E991">
        <v>2.1957000000000001E-2</v>
      </c>
      <c r="F991" s="1" t="s">
        <v>6422</v>
      </c>
      <c r="G991" s="2">
        <v>46177.777502858793</v>
      </c>
      <c r="H991" s="1" t="s">
        <v>1211</v>
      </c>
      <c r="I991" s="2">
        <v>46177.777502743054</v>
      </c>
      <c r="J991" s="1" t="s">
        <v>1211</v>
      </c>
    </row>
    <row r="992" spans="1:10" x14ac:dyDescent="0.35">
      <c r="A992" s="1" t="s">
        <v>1593</v>
      </c>
      <c r="B992" s="1" t="s">
        <v>1209</v>
      </c>
      <c r="C992" s="1" t="s">
        <v>1210</v>
      </c>
      <c r="D992" s="2">
        <v>46177</v>
      </c>
      <c r="E992">
        <v>2.2460000000000001E-2</v>
      </c>
      <c r="F992" s="1" t="s">
        <v>6423</v>
      </c>
      <c r="G992" s="2">
        <v>46177.777503043981</v>
      </c>
      <c r="H992" s="1" t="s">
        <v>1211</v>
      </c>
      <c r="I992" s="2">
        <v>46177.777503090278</v>
      </c>
      <c r="J992" s="1" t="s">
        <v>1211</v>
      </c>
    </row>
    <row r="993" spans="1:10" x14ac:dyDescent="0.35">
      <c r="A993" s="1" t="s">
        <v>1594</v>
      </c>
      <c r="B993" s="1" t="s">
        <v>1209</v>
      </c>
      <c r="C993" s="1" t="s">
        <v>1210</v>
      </c>
      <c r="D993" s="2">
        <v>46177</v>
      </c>
      <c r="E993">
        <v>2.2901999999999999E-2</v>
      </c>
      <c r="F993" s="1" t="s">
        <v>6424</v>
      </c>
      <c r="G993" s="2">
        <v>46177.777503206016</v>
      </c>
      <c r="H993" s="1" t="s">
        <v>1211</v>
      </c>
      <c r="I993" s="2">
        <v>46177.777503206016</v>
      </c>
      <c r="J993" s="1" t="s">
        <v>1211</v>
      </c>
    </row>
    <row r="994" spans="1:10" x14ac:dyDescent="0.35">
      <c r="A994" s="1" t="s">
        <v>1595</v>
      </c>
      <c r="B994" s="1" t="s">
        <v>1209</v>
      </c>
      <c r="C994" s="1" t="s">
        <v>1210</v>
      </c>
      <c r="D994" s="2">
        <v>46177</v>
      </c>
      <c r="E994">
        <v>2.3264E-2</v>
      </c>
      <c r="F994" s="1" t="s">
        <v>6425</v>
      </c>
      <c r="G994" s="2">
        <v>46177.777503356483</v>
      </c>
      <c r="H994" s="1" t="s">
        <v>1211</v>
      </c>
      <c r="I994" s="2">
        <v>46177.777503206016</v>
      </c>
      <c r="J994" s="1" t="s">
        <v>1211</v>
      </c>
    </row>
    <row r="995" spans="1:10" x14ac:dyDescent="0.35">
      <c r="A995" s="1" t="s">
        <v>1596</v>
      </c>
      <c r="B995" s="1" t="s">
        <v>1209</v>
      </c>
      <c r="C995" s="1" t="s">
        <v>1210</v>
      </c>
      <c r="D995" s="2">
        <v>46177</v>
      </c>
      <c r="E995">
        <v>2.3619000000000001E-2</v>
      </c>
      <c r="F995" s="1" t="s">
        <v>6426</v>
      </c>
      <c r="G995" s="2">
        <v>46177.777503506943</v>
      </c>
      <c r="H995" s="1" t="s">
        <v>1211</v>
      </c>
      <c r="I995" s="2">
        <v>46177.777503391204</v>
      </c>
      <c r="J995" s="1" t="s">
        <v>1211</v>
      </c>
    </row>
    <row r="996" spans="1:10" x14ac:dyDescent="0.35">
      <c r="A996" s="1" t="s">
        <v>1597</v>
      </c>
      <c r="B996" s="1" t="s">
        <v>1209</v>
      </c>
      <c r="C996" s="1" t="s">
        <v>1210</v>
      </c>
      <c r="D996" s="2">
        <v>46177</v>
      </c>
      <c r="E996">
        <v>2.3948000000000001E-2</v>
      </c>
      <c r="F996" s="1" t="s">
        <v>6427</v>
      </c>
      <c r="G996" s="2">
        <v>46177.777503668978</v>
      </c>
      <c r="H996" s="1" t="s">
        <v>1211</v>
      </c>
      <c r="I996" s="2">
        <v>46177.77750358796</v>
      </c>
      <c r="J996" s="1" t="s">
        <v>1211</v>
      </c>
    </row>
    <row r="997" spans="1:10" x14ac:dyDescent="0.35">
      <c r="A997" s="1" t="s">
        <v>1598</v>
      </c>
      <c r="B997" s="1" t="s">
        <v>1209</v>
      </c>
      <c r="C997" s="1" t="s">
        <v>1210</v>
      </c>
      <c r="D997" s="2">
        <v>46177</v>
      </c>
      <c r="E997">
        <v>2.4214050000000001E-2</v>
      </c>
      <c r="F997" s="1" t="s">
        <v>6428</v>
      </c>
      <c r="G997" s="2">
        <v>46177.777503819445</v>
      </c>
      <c r="H997" s="1" t="s">
        <v>1211</v>
      </c>
      <c r="I997" s="2">
        <v>46177.777503784724</v>
      </c>
      <c r="J997" s="1" t="s">
        <v>1211</v>
      </c>
    </row>
    <row r="998" spans="1:10" x14ac:dyDescent="0.35">
      <c r="A998" s="1" t="s">
        <v>1599</v>
      </c>
      <c r="B998" s="1" t="s">
        <v>1209</v>
      </c>
      <c r="C998" s="1" t="s">
        <v>1210</v>
      </c>
      <c r="D998" s="2">
        <v>46177</v>
      </c>
      <c r="E998">
        <v>2.4477499999999999E-2</v>
      </c>
      <c r="F998" s="1" t="s">
        <v>6429</v>
      </c>
      <c r="G998" s="2">
        <v>46177.777503935184</v>
      </c>
      <c r="H998" s="1" t="s">
        <v>1211</v>
      </c>
      <c r="I998" s="2">
        <v>46177.777503935184</v>
      </c>
      <c r="J998" s="1" t="s">
        <v>1211</v>
      </c>
    </row>
    <row r="999" spans="1:10" x14ac:dyDescent="0.35">
      <c r="A999" s="1" t="s">
        <v>1600</v>
      </c>
      <c r="B999" s="1" t="s">
        <v>1209</v>
      </c>
      <c r="C999" s="1" t="s">
        <v>1210</v>
      </c>
      <c r="D999" s="2">
        <v>46177</v>
      </c>
      <c r="E999">
        <v>2.4718E-2</v>
      </c>
      <c r="F999" s="1" t="s">
        <v>6430</v>
      </c>
      <c r="G999" s="2">
        <v>46177.77750408565</v>
      </c>
      <c r="H999" s="1" t="s">
        <v>1211</v>
      </c>
      <c r="I999" s="2">
        <v>46177.777503935184</v>
      </c>
      <c r="J999" s="1" t="s">
        <v>1211</v>
      </c>
    </row>
    <row r="1000" spans="1:10" x14ac:dyDescent="0.35">
      <c r="A1000" s="1" t="s">
        <v>1601</v>
      </c>
      <c r="B1000" s="1" t="s">
        <v>1224</v>
      </c>
      <c r="C1000" s="1" t="s">
        <v>1210</v>
      </c>
      <c r="D1000" s="2">
        <v>46177</v>
      </c>
      <c r="E1000">
        <v>97.19</v>
      </c>
      <c r="F1000" s="1" t="s">
        <v>6431</v>
      </c>
      <c r="G1000" s="2">
        <v>46177.780112118053</v>
      </c>
      <c r="H1000" s="1" t="s">
        <v>1211</v>
      </c>
      <c r="I1000" s="2">
        <v>46177.780112071756</v>
      </c>
      <c r="J1000" s="1" t="s">
        <v>1211</v>
      </c>
    </row>
    <row r="1001" spans="1:10" x14ac:dyDescent="0.35">
      <c r="A1001" s="1" t="s">
        <v>1602</v>
      </c>
      <c r="B1001" s="1" t="s">
        <v>1224</v>
      </c>
      <c r="C1001" s="1" t="s">
        <v>1210</v>
      </c>
      <c r="D1001" s="2">
        <v>46177</v>
      </c>
      <c r="E1001">
        <v>97.064999999999998</v>
      </c>
      <c r="F1001" s="1" t="s">
        <v>6432</v>
      </c>
      <c r="G1001" s="2">
        <v>46177.780112731481</v>
      </c>
      <c r="H1001" s="1" t="s">
        <v>1211</v>
      </c>
      <c r="I1001" s="2">
        <v>46177.780112615743</v>
      </c>
      <c r="J1001" s="1" t="s">
        <v>1211</v>
      </c>
    </row>
    <row r="1002" spans="1:10" x14ac:dyDescent="0.35">
      <c r="A1002" s="1" t="s">
        <v>1603</v>
      </c>
      <c r="B1002" s="1" t="s">
        <v>1224</v>
      </c>
      <c r="C1002" s="1" t="s">
        <v>1210</v>
      </c>
      <c r="D1002" s="2">
        <v>46177</v>
      </c>
      <c r="E1002">
        <v>97.204999999999998</v>
      </c>
      <c r="F1002" s="1" t="s">
        <v>6433</v>
      </c>
      <c r="G1002" s="2">
        <v>46177.780110300926</v>
      </c>
      <c r="H1002" s="1" t="s">
        <v>1211</v>
      </c>
      <c r="I1002" s="2">
        <v>46177.780110266205</v>
      </c>
      <c r="J1002" s="1" t="s">
        <v>1211</v>
      </c>
    </row>
    <row r="1003" spans="1:10" x14ac:dyDescent="0.35">
      <c r="A1003" s="1" t="s">
        <v>1604</v>
      </c>
      <c r="B1003" s="1" t="s">
        <v>1224</v>
      </c>
      <c r="C1003" s="1" t="s">
        <v>1210</v>
      </c>
      <c r="D1003" s="2">
        <v>46177</v>
      </c>
      <c r="E1003">
        <v>97.33</v>
      </c>
      <c r="F1003" s="1" t="s">
        <v>6434</v>
      </c>
      <c r="G1003" s="2">
        <v>46177.780110879627</v>
      </c>
      <c r="H1003" s="1" t="s">
        <v>1211</v>
      </c>
      <c r="I1003" s="2">
        <v>46177.780110798609</v>
      </c>
      <c r="J1003" s="1" t="s">
        <v>1211</v>
      </c>
    </row>
    <row r="1004" spans="1:10" x14ac:dyDescent="0.35">
      <c r="A1004" s="1" t="s">
        <v>1605</v>
      </c>
      <c r="B1004" s="1" t="s">
        <v>1224</v>
      </c>
      <c r="C1004" s="1" t="s">
        <v>1210</v>
      </c>
      <c r="D1004" s="2">
        <v>46177</v>
      </c>
      <c r="E1004">
        <v>97.29</v>
      </c>
      <c r="F1004" s="1" t="s">
        <v>6435</v>
      </c>
      <c r="G1004" s="2">
        <v>46177.780111493055</v>
      </c>
      <c r="H1004" s="1" t="s">
        <v>1211</v>
      </c>
      <c r="I1004" s="2">
        <v>46177.780111342596</v>
      </c>
      <c r="J1004" s="1" t="s">
        <v>1211</v>
      </c>
    </row>
    <row r="1005" spans="1:10" x14ac:dyDescent="0.35">
      <c r="A1005" s="1" t="s">
        <v>1606</v>
      </c>
      <c r="B1005" s="1" t="s">
        <v>1224</v>
      </c>
      <c r="C1005" s="1" t="s">
        <v>1210</v>
      </c>
      <c r="D1005" s="2">
        <v>46177</v>
      </c>
      <c r="E1005">
        <v>97.155000000000001</v>
      </c>
      <c r="F1005" s="1" t="s">
        <v>6436</v>
      </c>
      <c r="G1005" s="2">
        <v>46177.78011226852</v>
      </c>
      <c r="H1005" s="1" t="s">
        <v>1211</v>
      </c>
      <c r="I1005" s="2">
        <v>46177.78011226852</v>
      </c>
      <c r="J1005" s="1" t="s">
        <v>1211</v>
      </c>
    </row>
    <row r="1006" spans="1:10" x14ac:dyDescent="0.35">
      <c r="A1006" s="1" t="s">
        <v>1607</v>
      </c>
      <c r="B1006" s="1" t="s">
        <v>1224</v>
      </c>
      <c r="C1006" s="1" t="s">
        <v>1210</v>
      </c>
      <c r="D1006" s="2">
        <v>46177</v>
      </c>
      <c r="E1006">
        <v>97.03</v>
      </c>
      <c r="F1006" s="1" t="s">
        <v>6437</v>
      </c>
      <c r="G1006" s="2">
        <v>46177.780112928238</v>
      </c>
      <c r="H1006" s="1" t="s">
        <v>1211</v>
      </c>
      <c r="I1006" s="2">
        <v>46177.780112812499</v>
      </c>
      <c r="J1006" s="1" t="s">
        <v>1211</v>
      </c>
    </row>
    <row r="1007" spans="1:10" x14ac:dyDescent="0.35">
      <c r="A1007" s="1" t="s">
        <v>1608</v>
      </c>
      <c r="B1007" s="1" t="s">
        <v>1224</v>
      </c>
      <c r="C1007" s="1" t="s">
        <v>1210</v>
      </c>
      <c r="D1007" s="2">
        <v>46177</v>
      </c>
      <c r="E1007">
        <v>97.65</v>
      </c>
      <c r="F1007" s="1" t="s">
        <v>6438</v>
      </c>
      <c r="G1007" s="2">
        <v>46177.780109837964</v>
      </c>
      <c r="H1007" s="1" t="s">
        <v>1211</v>
      </c>
      <c r="I1007" s="2">
        <v>46177.780109722225</v>
      </c>
      <c r="J1007" s="1" t="s">
        <v>1211</v>
      </c>
    </row>
    <row r="1008" spans="1:10" x14ac:dyDescent="0.35">
      <c r="A1008" s="1" t="s">
        <v>1609</v>
      </c>
      <c r="B1008" s="1" t="s">
        <v>1224</v>
      </c>
      <c r="C1008" s="1" t="s">
        <v>1210</v>
      </c>
      <c r="D1008" s="2">
        <v>46177</v>
      </c>
      <c r="E1008">
        <v>97.2</v>
      </c>
      <c r="F1008" s="1" t="s">
        <v>6439</v>
      </c>
      <c r="G1008" s="2">
        <v>46177.780110451386</v>
      </c>
      <c r="H1008" s="1" t="s">
        <v>1211</v>
      </c>
      <c r="I1008" s="2">
        <v>46177.780110451386</v>
      </c>
      <c r="J1008" s="1" t="s">
        <v>1211</v>
      </c>
    </row>
    <row r="1009" spans="1:10" x14ac:dyDescent="0.35">
      <c r="A1009" s="1" t="s">
        <v>1610</v>
      </c>
      <c r="B1009" s="1" t="s">
        <v>1224</v>
      </c>
      <c r="C1009" s="1" t="s">
        <v>1210</v>
      </c>
      <c r="D1009" s="2">
        <v>46177</v>
      </c>
      <c r="E1009">
        <v>97.34</v>
      </c>
      <c r="F1009" s="1" t="s">
        <v>6440</v>
      </c>
      <c r="G1009" s="2">
        <v>46177.780111030093</v>
      </c>
      <c r="H1009" s="1" t="s">
        <v>1211</v>
      </c>
      <c r="I1009" s="2">
        <v>46177.780110995373</v>
      </c>
      <c r="J1009" s="1" t="s">
        <v>1211</v>
      </c>
    </row>
    <row r="1010" spans="1:10" x14ac:dyDescent="0.35">
      <c r="A1010" s="1" t="s">
        <v>1611</v>
      </c>
      <c r="B1010" s="1" t="s">
        <v>1224</v>
      </c>
      <c r="C1010" s="1" t="s">
        <v>1210</v>
      </c>
      <c r="D1010" s="2">
        <v>46177</v>
      </c>
      <c r="E1010">
        <v>97.27</v>
      </c>
      <c r="F1010" s="1" t="s">
        <v>6441</v>
      </c>
      <c r="G1010" s="2">
        <v>46177.780111655091</v>
      </c>
      <c r="H1010" s="1" t="s">
        <v>1211</v>
      </c>
      <c r="I1010" s="2">
        <v>46177.780111539352</v>
      </c>
      <c r="J1010" s="1" t="s">
        <v>1211</v>
      </c>
    </row>
    <row r="1011" spans="1:10" x14ac:dyDescent="0.35">
      <c r="A1011" s="1" t="s">
        <v>1612</v>
      </c>
      <c r="B1011" s="1" t="s">
        <v>1224</v>
      </c>
      <c r="C1011" s="1" t="s">
        <v>1210</v>
      </c>
      <c r="D1011" s="2">
        <v>46177</v>
      </c>
      <c r="E1011">
        <v>97.125</v>
      </c>
      <c r="F1011" s="1" t="s">
        <v>6442</v>
      </c>
      <c r="G1011" s="2">
        <v>46177.780112418979</v>
      </c>
      <c r="H1011" s="1" t="s">
        <v>1211</v>
      </c>
      <c r="I1011" s="2">
        <v>46177.780112465276</v>
      </c>
      <c r="J1011" s="1" t="s">
        <v>1211</v>
      </c>
    </row>
    <row r="1012" spans="1:10" x14ac:dyDescent="0.35">
      <c r="A1012" s="1" t="s">
        <v>1613</v>
      </c>
      <c r="B1012" s="1" t="s">
        <v>1224</v>
      </c>
      <c r="C1012" s="1" t="s">
        <v>1210</v>
      </c>
      <c r="D1012" s="2">
        <v>46177</v>
      </c>
      <c r="E1012">
        <v>96.995000000000005</v>
      </c>
      <c r="F1012" s="1" t="s">
        <v>6443</v>
      </c>
      <c r="G1012" s="2">
        <v>46177.780113078705</v>
      </c>
      <c r="H1012" s="1" t="s">
        <v>1211</v>
      </c>
      <c r="I1012" s="2">
        <v>46177.780112997687</v>
      </c>
      <c r="J1012" s="1" t="s">
        <v>1211</v>
      </c>
    </row>
    <row r="1013" spans="1:10" x14ac:dyDescent="0.35">
      <c r="A1013" s="1" t="s">
        <v>1614</v>
      </c>
      <c r="B1013" s="1" t="s">
        <v>1224</v>
      </c>
      <c r="C1013" s="1" t="s">
        <v>1210</v>
      </c>
      <c r="D1013" s="2">
        <v>46177</v>
      </c>
      <c r="E1013">
        <v>97.405000000000001</v>
      </c>
      <c r="F1013" s="1" t="s">
        <v>2943</v>
      </c>
      <c r="G1013" s="2">
        <v>46177.780109988424</v>
      </c>
      <c r="H1013" s="1" t="s">
        <v>1211</v>
      </c>
      <c r="I1013" s="2">
        <v>46177.780109918982</v>
      </c>
      <c r="J1013" s="1" t="s">
        <v>1211</v>
      </c>
    </row>
    <row r="1014" spans="1:10" x14ac:dyDescent="0.35">
      <c r="A1014" s="1" t="s">
        <v>1615</v>
      </c>
      <c r="B1014" s="1" t="s">
        <v>1224</v>
      </c>
      <c r="C1014" s="1" t="s">
        <v>1210</v>
      </c>
      <c r="D1014" s="2">
        <v>46177</v>
      </c>
      <c r="E1014">
        <v>97.24</v>
      </c>
      <c r="F1014" s="1" t="s">
        <v>6444</v>
      </c>
      <c r="G1014" s="2">
        <v>46177.780110613428</v>
      </c>
      <c r="H1014" s="1" t="s">
        <v>1211</v>
      </c>
      <c r="I1014" s="2">
        <v>46177.780110451386</v>
      </c>
      <c r="J1014" s="1" t="s">
        <v>1211</v>
      </c>
    </row>
    <row r="1015" spans="1:10" x14ac:dyDescent="0.35">
      <c r="A1015" s="1" t="s">
        <v>1616</v>
      </c>
      <c r="B1015" s="1" t="s">
        <v>1224</v>
      </c>
      <c r="C1015" s="1" t="s">
        <v>1210</v>
      </c>
      <c r="D1015" s="2">
        <v>46177</v>
      </c>
      <c r="E1015">
        <v>97.334999999999994</v>
      </c>
      <c r="F1015" s="1" t="s">
        <v>6445</v>
      </c>
      <c r="G1015" s="2">
        <v>46177.78011122685</v>
      </c>
      <c r="H1015" s="1" t="s">
        <v>1211</v>
      </c>
      <c r="I1015" s="2">
        <v>46177.780111192129</v>
      </c>
      <c r="J1015" s="1" t="s">
        <v>1211</v>
      </c>
    </row>
    <row r="1016" spans="1:10" x14ac:dyDescent="0.35">
      <c r="A1016" s="1" t="s">
        <v>1617</v>
      </c>
      <c r="B1016" s="1" t="s">
        <v>1224</v>
      </c>
      <c r="C1016" s="1" t="s">
        <v>1210</v>
      </c>
      <c r="D1016" s="2">
        <v>46177</v>
      </c>
      <c r="E1016">
        <v>97.245000000000005</v>
      </c>
      <c r="F1016" s="1" t="s">
        <v>6446</v>
      </c>
      <c r="G1016" s="2">
        <v>46177.780111805558</v>
      </c>
      <c r="H1016" s="1" t="s">
        <v>1211</v>
      </c>
      <c r="I1016" s="2">
        <v>46177.78011172454</v>
      </c>
      <c r="J1016" s="1" t="s">
        <v>1211</v>
      </c>
    </row>
    <row r="1017" spans="1:10" x14ac:dyDescent="0.35">
      <c r="A1017" s="1" t="s">
        <v>1618</v>
      </c>
      <c r="B1017" s="1" t="s">
        <v>1224</v>
      </c>
      <c r="C1017" s="1" t="s">
        <v>1210</v>
      </c>
      <c r="D1017" s="2">
        <v>46177</v>
      </c>
      <c r="E1017">
        <v>97.094999999999999</v>
      </c>
      <c r="F1017" s="1" t="s">
        <v>6447</v>
      </c>
      <c r="G1017" s="2">
        <v>46177.780112581022</v>
      </c>
      <c r="H1017" s="1" t="s">
        <v>1211</v>
      </c>
      <c r="I1017" s="2">
        <v>46177.780112465276</v>
      </c>
      <c r="J1017" s="1" t="s">
        <v>1211</v>
      </c>
    </row>
    <row r="1018" spans="1:10" x14ac:dyDescent="0.35">
      <c r="A1018" s="1" t="s">
        <v>1619</v>
      </c>
      <c r="B1018" s="1" t="s">
        <v>1224</v>
      </c>
      <c r="C1018" s="1" t="s">
        <v>1210</v>
      </c>
      <c r="D1018" s="2">
        <v>46177</v>
      </c>
      <c r="E1018">
        <v>96.96</v>
      </c>
      <c r="F1018" s="1" t="s">
        <v>6448</v>
      </c>
      <c r="G1018" s="2">
        <v>46177.780113229164</v>
      </c>
      <c r="H1018" s="1" t="s">
        <v>1211</v>
      </c>
      <c r="I1018" s="2">
        <v>46177.780113159723</v>
      </c>
      <c r="J1018" s="1" t="s">
        <v>1211</v>
      </c>
    </row>
    <row r="1019" spans="1:10" x14ac:dyDescent="0.35">
      <c r="A1019" s="1" t="s">
        <v>1620</v>
      </c>
      <c r="B1019" s="1" t="s">
        <v>1224</v>
      </c>
      <c r="C1019" s="1" t="s">
        <v>1210</v>
      </c>
      <c r="D1019" s="2">
        <v>46177</v>
      </c>
      <c r="E1019">
        <v>97.27</v>
      </c>
      <c r="F1019" s="1" t="s">
        <v>6449</v>
      </c>
      <c r="G1019" s="2">
        <v>46177.780110150466</v>
      </c>
      <c r="H1019" s="1" t="s">
        <v>1211</v>
      </c>
      <c r="I1019" s="2">
        <v>46177.78011010417</v>
      </c>
      <c r="J1019" s="1" t="s">
        <v>1211</v>
      </c>
    </row>
    <row r="1020" spans="1:10" x14ac:dyDescent="0.35">
      <c r="A1020" s="1" t="s">
        <v>1621</v>
      </c>
      <c r="B1020" s="1" t="s">
        <v>1224</v>
      </c>
      <c r="C1020" s="1" t="s">
        <v>1210</v>
      </c>
      <c r="D1020" s="2">
        <v>46177</v>
      </c>
      <c r="E1020">
        <v>97.295000000000002</v>
      </c>
      <c r="F1020" s="1" t="s">
        <v>6450</v>
      </c>
      <c r="G1020" s="2">
        <v>46177.780110763888</v>
      </c>
      <c r="H1020" s="1" t="s">
        <v>1211</v>
      </c>
      <c r="I1020" s="2">
        <v>46177.780110648149</v>
      </c>
      <c r="J1020" s="1" t="s">
        <v>1211</v>
      </c>
    </row>
    <row r="1021" spans="1:10" x14ac:dyDescent="0.35">
      <c r="A1021" s="1" t="s">
        <v>1622</v>
      </c>
      <c r="B1021" s="1" t="s">
        <v>1224</v>
      </c>
      <c r="C1021" s="1" t="s">
        <v>1210</v>
      </c>
      <c r="D1021" s="2">
        <v>46177</v>
      </c>
      <c r="E1021">
        <v>97.314999999999998</v>
      </c>
      <c r="F1021" s="1" t="s">
        <v>6451</v>
      </c>
      <c r="G1021" s="2">
        <v>46177.780111342596</v>
      </c>
      <c r="H1021" s="1" t="s">
        <v>1211</v>
      </c>
      <c r="I1021" s="2">
        <v>46177.780111342596</v>
      </c>
      <c r="J1021" s="1" t="s">
        <v>1211</v>
      </c>
    </row>
    <row r="1022" spans="1:10" x14ac:dyDescent="0.35">
      <c r="A1022" s="1" t="s">
        <v>1623</v>
      </c>
      <c r="B1022" s="1" t="s">
        <v>1224</v>
      </c>
      <c r="C1022" s="1" t="s">
        <v>1210</v>
      </c>
      <c r="D1022" s="2">
        <v>46177</v>
      </c>
      <c r="E1022">
        <v>97.22</v>
      </c>
      <c r="F1022" s="1" t="s">
        <v>6452</v>
      </c>
      <c r="G1022" s="2">
        <v>46177.780111956017</v>
      </c>
      <c r="H1022" s="1" t="s">
        <v>1211</v>
      </c>
      <c r="I1022" s="2">
        <v>46177.780111886575</v>
      </c>
      <c r="J1022" s="1" t="s">
        <v>1211</v>
      </c>
    </row>
    <row r="1023" spans="1:10" x14ac:dyDescent="0.35">
      <c r="A1023" s="1" t="s">
        <v>1624</v>
      </c>
      <c r="B1023" s="1" t="s">
        <v>1209</v>
      </c>
      <c r="C1023" s="1" t="s">
        <v>1210</v>
      </c>
      <c r="D1023" s="2">
        <v>46177</v>
      </c>
      <c r="E1023">
        <v>2.71539349075616E-2</v>
      </c>
      <c r="F1023" s="1" t="s">
        <v>6453</v>
      </c>
      <c r="G1023" s="2">
        <v>46177.777378391205</v>
      </c>
      <c r="H1023" s="1" t="s">
        <v>1211</v>
      </c>
      <c r="I1023" s="2">
        <v>46177.777378356484</v>
      </c>
      <c r="J1023" s="1" t="s">
        <v>1211</v>
      </c>
    </row>
    <row r="1024" spans="1:10" x14ac:dyDescent="0.35">
      <c r="A1024" s="1" t="s">
        <v>1625</v>
      </c>
      <c r="B1024" s="1" t="s">
        <v>1209</v>
      </c>
      <c r="C1024" s="1" t="s">
        <v>1210</v>
      </c>
      <c r="D1024" s="2">
        <v>46177</v>
      </c>
      <c r="E1024">
        <v>3.7529425631786302E-2</v>
      </c>
      <c r="F1024" s="1" t="s">
        <v>6454</v>
      </c>
      <c r="G1024" s="2">
        <v>46177.777378587962</v>
      </c>
      <c r="H1024" s="1" t="s">
        <v>1211</v>
      </c>
      <c r="I1024" s="2">
        <v>46177.777378553241</v>
      </c>
      <c r="J1024" s="1" t="s">
        <v>1211</v>
      </c>
    </row>
    <row r="1025" spans="1:10" x14ac:dyDescent="0.35">
      <c r="A1025" s="1" t="s">
        <v>1626</v>
      </c>
      <c r="B1025" s="1" t="s">
        <v>1209</v>
      </c>
      <c r="C1025" s="1" t="s">
        <v>1210</v>
      </c>
      <c r="D1025" s="2">
        <v>46177</v>
      </c>
      <c r="E1025">
        <v>3.8095179359423401E-2</v>
      </c>
      <c r="F1025" s="1" t="s">
        <v>6455</v>
      </c>
      <c r="G1025" s="2">
        <v>46177.7773787037</v>
      </c>
      <c r="H1025" s="1" t="s">
        <v>1211</v>
      </c>
      <c r="I1025" s="2">
        <v>46177.7773787037</v>
      </c>
      <c r="J1025" s="1" t="s">
        <v>1211</v>
      </c>
    </row>
    <row r="1026" spans="1:10" x14ac:dyDescent="0.35">
      <c r="A1026" s="1" t="s">
        <v>1627</v>
      </c>
      <c r="B1026" s="1" t="s">
        <v>1209</v>
      </c>
      <c r="C1026" s="1" t="s">
        <v>1210</v>
      </c>
      <c r="D1026" s="2">
        <v>46177</v>
      </c>
      <c r="E1026">
        <v>2.3011837428450602E-2</v>
      </c>
      <c r="F1026" s="1" t="s">
        <v>6456</v>
      </c>
      <c r="G1026" s="2">
        <v>46177.777378854167</v>
      </c>
      <c r="H1026" s="1" t="s">
        <v>1211</v>
      </c>
      <c r="I1026" s="2">
        <v>46177.777378900464</v>
      </c>
      <c r="J1026" s="1" t="s">
        <v>1211</v>
      </c>
    </row>
    <row r="1027" spans="1:10" x14ac:dyDescent="0.35">
      <c r="A1027" s="1" t="s">
        <v>1628</v>
      </c>
      <c r="B1027" s="1" t="s">
        <v>1209</v>
      </c>
      <c r="C1027" s="1" t="s">
        <v>1210</v>
      </c>
      <c r="D1027" s="2">
        <v>46177</v>
      </c>
      <c r="E1027">
        <v>3.0270326775286401E-2</v>
      </c>
      <c r="F1027" s="1" t="s">
        <v>6457</v>
      </c>
      <c r="G1027" s="2">
        <v>46177.777379016203</v>
      </c>
      <c r="H1027" s="1" t="s">
        <v>1211</v>
      </c>
      <c r="I1027" s="2">
        <v>46177.777379085652</v>
      </c>
      <c r="J1027" s="1" t="s">
        <v>1211</v>
      </c>
    </row>
    <row r="1028" spans="1:10" x14ac:dyDescent="0.35">
      <c r="A1028" s="1" t="s">
        <v>1629</v>
      </c>
      <c r="B1028" s="1" t="s">
        <v>1209</v>
      </c>
      <c r="C1028" s="1" t="s">
        <v>1210</v>
      </c>
      <c r="D1028" s="2">
        <v>46177</v>
      </c>
      <c r="E1028">
        <v>2.7195745700706202E-2</v>
      </c>
      <c r="F1028" s="1" t="s">
        <v>6458</v>
      </c>
      <c r="G1028" s="2">
        <v>46177.77737916667</v>
      </c>
      <c r="H1028" s="1" t="s">
        <v>1211</v>
      </c>
      <c r="I1028" s="2">
        <v>46177.777379247687</v>
      </c>
      <c r="J1028" s="1" t="s">
        <v>1211</v>
      </c>
    </row>
    <row r="1029" spans="1:10" x14ac:dyDescent="0.35">
      <c r="A1029" s="1" t="s">
        <v>1630</v>
      </c>
      <c r="B1029" s="1" t="s">
        <v>1209</v>
      </c>
      <c r="C1029" s="1" t="s">
        <v>1210</v>
      </c>
      <c r="D1029" s="2">
        <v>46177</v>
      </c>
      <c r="E1029">
        <v>3.91723149562015E-2</v>
      </c>
      <c r="F1029" s="1" t="s">
        <v>6459</v>
      </c>
      <c r="G1029" s="2">
        <v>46177.777379317129</v>
      </c>
      <c r="H1029" s="1" t="s">
        <v>1211</v>
      </c>
      <c r="I1029" s="2">
        <v>46177.777379247687</v>
      </c>
      <c r="J1029" s="1" t="s">
        <v>1211</v>
      </c>
    </row>
    <row r="1030" spans="1:10" x14ac:dyDescent="0.35">
      <c r="A1030" s="1" t="s">
        <v>1631</v>
      </c>
      <c r="B1030" s="1" t="s">
        <v>1209</v>
      </c>
      <c r="C1030" s="1" t="s">
        <v>1210</v>
      </c>
      <c r="D1030" s="2">
        <v>46177</v>
      </c>
      <c r="E1030">
        <v>2.8383260372011498E-2</v>
      </c>
      <c r="F1030" s="1" t="s">
        <v>6460</v>
      </c>
      <c r="G1030" s="2">
        <v>46177.777379513886</v>
      </c>
      <c r="H1030" s="1" t="s">
        <v>1211</v>
      </c>
      <c r="I1030" s="2">
        <v>46177.777379432868</v>
      </c>
      <c r="J1030" s="1" t="s">
        <v>1211</v>
      </c>
    </row>
    <row r="1031" spans="1:10" x14ac:dyDescent="0.35">
      <c r="A1031" s="1" t="s">
        <v>1632</v>
      </c>
      <c r="B1031" s="1" t="s">
        <v>1209</v>
      </c>
      <c r="C1031" s="1" t="s">
        <v>1210</v>
      </c>
      <c r="D1031" s="2">
        <v>46177</v>
      </c>
      <c r="E1031">
        <v>3.98675607245201E-2</v>
      </c>
      <c r="F1031" s="1" t="s">
        <v>6461</v>
      </c>
      <c r="G1031" s="2">
        <v>46177.777379664352</v>
      </c>
      <c r="H1031" s="1" t="s">
        <v>1211</v>
      </c>
      <c r="I1031" s="2">
        <v>46177.777379629631</v>
      </c>
      <c r="J1031" s="1" t="s">
        <v>1211</v>
      </c>
    </row>
    <row r="1032" spans="1:10" x14ac:dyDescent="0.35">
      <c r="A1032" s="1" t="s">
        <v>1633</v>
      </c>
      <c r="B1032" s="1" t="s">
        <v>1209</v>
      </c>
      <c r="C1032" s="1" t="s">
        <v>1210</v>
      </c>
      <c r="D1032" s="2">
        <v>46177</v>
      </c>
      <c r="E1032">
        <v>4.1782561396547901E-2</v>
      </c>
      <c r="F1032" s="1" t="s">
        <v>6462</v>
      </c>
      <c r="G1032" s="2">
        <v>46177.777379826388</v>
      </c>
      <c r="H1032" s="1" t="s">
        <v>1211</v>
      </c>
      <c r="I1032" s="2">
        <v>46177.777379826388</v>
      </c>
      <c r="J1032" s="1" t="s">
        <v>1211</v>
      </c>
    </row>
    <row r="1033" spans="1:10" x14ac:dyDescent="0.35">
      <c r="A1033" s="1" t="s">
        <v>1634</v>
      </c>
      <c r="B1033" s="1" t="s">
        <v>1209</v>
      </c>
      <c r="C1033" s="1" t="s">
        <v>1210</v>
      </c>
      <c r="D1033" s="2">
        <v>46177</v>
      </c>
      <c r="E1033">
        <v>2.4474702434489199E-2</v>
      </c>
      <c r="F1033" s="1" t="s">
        <v>6463</v>
      </c>
      <c r="G1033" s="2">
        <v>46177.777379976855</v>
      </c>
      <c r="H1033" s="1" t="s">
        <v>1211</v>
      </c>
      <c r="I1033" s="2">
        <v>46177.777379976855</v>
      </c>
      <c r="J1033" s="1" t="s">
        <v>1211</v>
      </c>
    </row>
    <row r="1034" spans="1:10" x14ac:dyDescent="0.35">
      <c r="A1034" s="1" t="s">
        <v>1635</v>
      </c>
      <c r="B1034" s="1" t="s">
        <v>1209</v>
      </c>
      <c r="C1034" s="1" t="s">
        <v>1210</v>
      </c>
      <c r="D1034" s="2">
        <v>46177</v>
      </c>
      <c r="E1034">
        <v>2.6019562300125101E-2</v>
      </c>
      <c r="F1034" s="1" t="s">
        <v>6464</v>
      </c>
      <c r="G1034" s="2">
        <v>46177.777380127314</v>
      </c>
      <c r="H1034" s="1" t="s">
        <v>1211</v>
      </c>
      <c r="I1034" s="2">
        <v>46177.777380173611</v>
      </c>
      <c r="J1034" s="1" t="s">
        <v>1211</v>
      </c>
    </row>
    <row r="1035" spans="1:10" x14ac:dyDescent="0.35">
      <c r="A1035" s="1" t="s">
        <v>1636</v>
      </c>
      <c r="B1035" s="1" t="s">
        <v>1209</v>
      </c>
      <c r="C1035" s="1" t="s">
        <v>1210</v>
      </c>
      <c r="D1035" s="2">
        <v>46177</v>
      </c>
      <c r="E1035">
        <v>3.1641081793844797E-2</v>
      </c>
      <c r="F1035" s="1" t="s">
        <v>6465</v>
      </c>
      <c r="G1035" s="2">
        <v>46177.77738028935</v>
      </c>
      <c r="H1035" s="1" t="s">
        <v>1211</v>
      </c>
      <c r="I1035" s="2">
        <v>46177.777380358799</v>
      </c>
      <c r="J1035" s="1" t="s">
        <v>1211</v>
      </c>
    </row>
    <row r="1036" spans="1:10" x14ac:dyDescent="0.35">
      <c r="A1036" s="1" t="s">
        <v>1637</v>
      </c>
      <c r="B1036" s="1" t="s">
        <v>1209</v>
      </c>
      <c r="C1036" s="1" t="s">
        <v>1210</v>
      </c>
      <c r="D1036" s="2">
        <v>46177</v>
      </c>
      <c r="E1036">
        <v>3.5158352420394098E-2</v>
      </c>
      <c r="F1036" s="1" t="s">
        <v>6466</v>
      </c>
      <c r="G1036" s="2">
        <v>46177.777380439817</v>
      </c>
      <c r="H1036" s="1" t="s">
        <v>1211</v>
      </c>
      <c r="I1036" s="2">
        <v>46177.777380358799</v>
      </c>
      <c r="J1036" s="1" t="s">
        <v>1211</v>
      </c>
    </row>
    <row r="1037" spans="1:10" x14ac:dyDescent="0.35">
      <c r="A1037" s="1" t="s">
        <v>1638</v>
      </c>
      <c r="B1037" s="1" t="s">
        <v>1209</v>
      </c>
      <c r="C1037" s="1" t="s">
        <v>1210</v>
      </c>
      <c r="D1037" s="2">
        <v>46177</v>
      </c>
      <c r="E1037">
        <v>2.6712846018059601E-2</v>
      </c>
      <c r="F1037" s="1" t="s">
        <v>6467</v>
      </c>
      <c r="G1037" s="2">
        <v>46177.777380590276</v>
      </c>
      <c r="H1037" s="1" t="s">
        <v>1211</v>
      </c>
      <c r="I1037" s="2">
        <v>46177.777380520834</v>
      </c>
      <c r="J1037" s="1" t="s">
        <v>1211</v>
      </c>
    </row>
    <row r="1038" spans="1:10" x14ac:dyDescent="0.35">
      <c r="A1038" s="1" t="s">
        <v>1639</v>
      </c>
      <c r="B1038" s="1" t="s">
        <v>1209</v>
      </c>
      <c r="C1038" s="1" t="s">
        <v>1210</v>
      </c>
      <c r="D1038" s="2">
        <v>46177</v>
      </c>
      <c r="E1038">
        <v>2.6809985329515101E-2</v>
      </c>
      <c r="F1038" s="1" t="s">
        <v>6468</v>
      </c>
      <c r="G1038" s="2">
        <v>46177.777380752312</v>
      </c>
      <c r="H1038" s="1" t="s">
        <v>1211</v>
      </c>
      <c r="I1038" s="2">
        <v>46177.777380706022</v>
      </c>
      <c r="J1038" s="1" t="s">
        <v>1211</v>
      </c>
    </row>
    <row r="1039" spans="1:10" x14ac:dyDescent="0.35">
      <c r="A1039" s="1" t="s">
        <v>1640</v>
      </c>
      <c r="B1039" s="1" t="s">
        <v>1209</v>
      </c>
      <c r="C1039" s="1" t="s">
        <v>1210</v>
      </c>
      <c r="D1039" s="2">
        <v>46177</v>
      </c>
      <c r="E1039">
        <v>4.0261218943319098E-2</v>
      </c>
      <c r="F1039" s="1" t="s">
        <v>6469</v>
      </c>
      <c r="G1039" s="2">
        <v>46177.777380902779</v>
      </c>
      <c r="H1039" s="1" t="s">
        <v>1211</v>
      </c>
      <c r="I1039" s="2">
        <v>46177.777380868058</v>
      </c>
      <c r="J1039" s="1" t="s">
        <v>1211</v>
      </c>
    </row>
    <row r="1040" spans="1:10" x14ac:dyDescent="0.35">
      <c r="A1040" s="1" t="s">
        <v>1641</v>
      </c>
      <c r="B1040" s="1" t="s">
        <v>1209</v>
      </c>
      <c r="C1040" s="1" t="s">
        <v>1210</v>
      </c>
      <c r="D1040" s="2">
        <v>46177</v>
      </c>
      <c r="E1040">
        <v>2.7006994138441799E-2</v>
      </c>
      <c r="F1040" s="1" t="s">
        <v>6470</v>
      </c>
      <c r="G1040" s="2">
        <v>46177.777381053238</v>
      </c>
      <c r="H1040" s="1" t="s">
        <v>1211</v>
      </c>
      <c r="I1040" s="2">
        <v>46177.777381053238</v>
      </c>
      <c r="J1040" s="1" t="s">
        <v>1211</v>
      </c>
    </row>
    <row r="1041" spans="1:10" x14ac:dyDescent="0.35">
      <c r="A1041" s="1" t="s">
        <v>1642</v>
      </c>
      <c r="B1041" s="1" t="s">
        <v>1209</v>
      </c>
      <c r="C1041" s="1" t="s">
        <v>1210</v>
      </c>
      <c r="D1041" s="2">
        <v>46177</v>
      </c>
      <c r="E1041">
        <v>2.7394332198488001E-2</v>
      </c>
      <c r="F1041" s="1" t="s">
        <v>6471</v>
      </c>
      <c r="G1041" s="2">
        <v>46177.777381215281</v>
      </c>
      <c r="H1041" s="1" t="s">
        <v>1211</v>
      </c>
      <c r="I1041" s="2">
        <v>46177.777381250002</v>
      </c>
      <c r="J1041" s="1" t="s">
        <v>1211</v>
      </c>
    </row>
    <row r="1042" spans="1:10" x14ac:dyDescent="0.35">
      <c r="A1042" s="1" t="s">
        <v>1643</v>
      </c>
      <c r="B1042" s="1" t="s">
        <v>1209</v>
      </c>
      <c r="C1042" s="1" t="s">
        <v>1210</v>
      </c>
      <c r="D1042" s="2">
        <v>46177</v>
      </c>
      <c r="E1042">
        <v>3.3619918478949601E-2</v>
      </c>
      <c r="F1042" s="1" t="s">
        <v>6472</v>
      </c>
      <c r="G1042" s="2">
        <v>46177.77738136574</v>
      </c>
      <c r="H1042" s="1" t="s">
        <v>1211</v>
      </c>
      <c r="I1042" s="2">
        <v>46177.777381446758</v>
      </c>
      <c r="J1042" s="1" t="s">
        <v>1211</v>
      </c>
    </row>
    <row r="1043" spans="1:10" x14ac:dyDescent="0.35">
      <c r="A1043" s="1" t="s">
        <v>1644</v>
      </c>
      <c r="B1043" s="1" t="s">
        <v>1209</v>
      </c>
      <c r="C1043" s="1" t="s">
        <v>1210</v>
      </c>
      <c r="D1043" s="2">
        <v>46177</v>
      </c>
      <c r="E1043">
        <v>2.7906482282191201E-2</v>
      </c>
      <c r="F1043" s="1" t="s">
        <v>6473</v>
      </c>
      <c r="G1043" s="2">
        <v>46177.777381481479</v>
      </c>
      <c r="H1043" s="1" t="s">
        <v>1211</v>
      </c>
      <c r="I1043" s="2">
        <v>46177.777381446758</v>
      </c>
      <c r="J1043" s="1" t="s">
        <v>1211</v>
      </c>
    </row>
    <row r="1044" spans="1:10" x14ac:dyDescent="0.35">
      <c r="A1044" s="1" t="s">
        <v>1645</v>
      </c>
      <c r="B1044" s="1" t="s">
        <v>1209</v>
      </c>
      <c r="C1044" s="1" t="s">
        <v>1210</v>
      </c>
      <c r="D1044" s="2">
        <v>46177</v>
      </c>
      <c r="E1044">
        <v>2.82900314303389E-2</v>
      </c>
      <c r="F1044" s="1" t="s">
        <v>6474</v>
      </c>
      <c r="G1044" s="2">
        <v>46177.777381678243</v>
      </c>
      <c r="H1044" s="1" t="s">
        <v>1211</v>
      </c>
      <c r="I1044" s="2">
        <v>46177.777381597225</v>
      </c>
      <c r="J1044" s="1" t="s">
        <v>1211</v>
      </c>
    </row>
    <row r="1045" spans="1:10" x14ac:dyDescent="0.35">
      <c r="A1045" s="1" t="s">
        <v>1646</v>
      </c>
      <c r="B1045" s="1" t="s">
        <v>1209</v>
      </c>
      <c r="C1045" s="1" t="s">
        <v>1210</v>
      </c>
      <c r="D1045" s="2">
        <v>46177</v>
      </c>
      <c r="E1045">
        <v>4.0793929844309698E-2</v>
      </c>
      <c r="F1045" s="1" t="s">
        <v>6475</v>
      </c>
      <c r="G1045" s="2">
        <v>46177.777381828702</v>
      </c>
      <c r="H1045" s="1" t="s">
        <v>1211</v>
      </c>
      <c r="I1045" s="2">
        <v>46177.777381793981</v>
      </c>
      <c r="J1045" s="1" t="s">
        <v>1211</v>
      </c>
    </row>
    <row r="1046" spans="1:10" x14ac:dyDescent="0.35">
      <c r="A1046" s="1" t="s">
        <v>1647</v>
      </c>
      <c r="B1046" s="1" t="s">
        <v>1209</v>
      </c>
      <c r="C1046" s="1" t="s">
        <v>1210</v>
      </c>
      <c r="D1046" s="2">
        <v>46177</v>
      </c>
      <c r="E1046">
        <v>2.64727918859777E-2</v>
      </c>
      <c r="F1046" s="1" t="s">
        <v>6476</v>
      </c>
      <c r="G1046" s="2">
        <v>46177.777381944441</v>
      </c>
      <c r="H1046" s="1" t="s">
        <v>1211</v>
      </c>
      <c r="I1046" s="2">
        <v>46177.777381979169</v>
      </c>
      <c r="J1046" s="1" t="s">
        <v>1211</v>
      </c>
    </row>
    <row r="1047" spans="1:10" x14ac:dyDescent="0.35">
      <c r="A1047" s="1" t="s">
        <v>1648</v>
      </c>
      <c r="B1047" s="1" t="s">
        <v>1209</v>
      </c>
      <c r="C1047" s="1" t="s">
        <v>1210</v>
      </c>
      <c r="D1047" s="2">
        <v>46177</v>
      </c>
      <c r="E1047">
        <v>2.86907056121205E-2</v>
      </c>
      <c r="F1047" s="1" t="s">
        <v>6477</v>
      </c>
      <c r="G1047" s="2">
        <v>46177.777382094908</v>
      </c>
      <c r="H1047" s="1" t="s">
        <v>1211</v>
      </c>
      <c r="I1047" s="2">
        <v>46177.777382141205</v>
      </c>
      <c r="J1047" s="1" t="s">
        <v>1211</v>
      </c>
    </row>
    <row r="1048" spans="1:10" x14ac:dyDescent="0.35">
      <c r="A1048" s="1" t="s">
        <v>1649</v>
      </c>
      <c r="B1048" s="1" t="s">
        <v>1209</v>
      </c>
      <c r="C1048" s="1" t="s">
        <v>1210</v>
      </c>
      <c r="D1048" s="2">
        <v>46177</v>
      </c>
      <c r="E1048">
        <v>3.7953736091690497E-2</v>
      </c>
      <c r="F1048" s="1" t="s">
        <v>6478</v>
      </c>
      <c r="G1048" s="2">
        <v>46177.777382256943</v>
      </c>
      <c r="H1048" s="1" t="s">
        <v>1211</v>
      </c>
      <c r="I1048" s="2">
        <v>46177.777382326392</v>
      </c>
      <c r="J1048" s="1" t="s">
        <v>1211</v>
      </c>
    </row>
    <row r="1049" spans="1:10" x14ac:dyDescent="0.35">
      <c r="A1049" s="1" t="s">
        <v>1650</v>
      </c>
      <c r="B1049" s="1" t="s">
        <v>1209</v>
      </c>
      <c r="C1049" s="1" t="s">
        <v>1210</v>
      </c>
      <c r="D1049" s="2">
        <v>46177</v>
      </c>
      <c r="E1049">
        <v>2.91592647780392E-2</v>
      </c>
      <c r="F1049" s="1" t="s">
        <v>6479</v>
      </c>
      <c r="G1049" s="2">
        <v>46177.77738240741</v>
      </c>
      <c r="H1049" s="1" t="s">
        <v>1211</v>
      </c>
      <c r="I1049" s="2">
        <v>46177.777382326392</v>
      </c>
      <c r="J1049" s="1" t="s">
        <v>1211</v>
      </c>
    </row>
    <row r="1050" spans="1:10" x14ac:dyDescent="0.35">
      <c r="A1050" s="1" t="s">
        <v>1651</v>
      </c>
      <c r="B1050" s="1" t="s">
        <v>1209</v>
      </c>
      <c r="C1050" s="1" t="s">
        <v>1210</v>
      </c>
      <c r="D1050" s="2">
        <v>46177</v>
      </c>
      <c r="E1050">
        <v>4.0911434025343203E-2</v>
      </c>
      <c r="F1050" s="1" t="s">
        <v>6480</v>
      </c>
      <c r="G1050" s="2">
        <v>46177.777382604167</v>
      </c>
      <c r="H1050" s="1" t="s">
        <v>1211</v>
      </c>
      <c r="I1050" s="2">
        <v>46177.777382719905</v>
      </c>
      <c r="J1050" s="1" t="s">
        <v>1211</v>
      </c>
    </row>
    <row r="1051" spans="1:10" x14ac:dyDescent="0.35">
      <c r="A1051" s="1" t="s">
        <v>1652</v>
      </c>
      <c r="B1051" s="1" t="s">
        <v>1209</v>
      </c>
      <c r="C1051" s="1" t="s">
        <v>1210</v>
      </c>
      <c r="D1051" s="2">
        <v>46177</v>
      </c>
      <c r="E1051">
        <v>2.6564617826960901E-2</v>
      </c>
      <c r="F1051" s="1" t="s">
        <v>6481</v>
      </c>
      <c r="G1051" s="2">
        <v>46177.777382754626</v>
      </c>
      <c r="H1051" s="1" t="s">
        <v>1211</v>
      </c>
      <c r="I1051" s="2">
        <v>46177.777382719905</v>
      </c>
      <c r="J1051" s="1" t="s">
        <v>1211</v>
      </c>
    </row>
    <row r="1052" spans="1:10" x14ac:dyDescent="0.35">
      <c r="A1052" s="1" t="s">
        <v>1653</v>
      </c>
      <c r="B1052" s="1" t="s">
        <v>1209</v>
      </c>
      <c r="C1052" s="1" t="s">
        <v>1210</v>
      </c>
      <c r="D1052" s="2">
        <v>46177</v>
      </c>
      <c r="E1052">
        <v>3.5964116570130197E-2</v>
      </c>
      <c r="F1052" s="1" t="s">
        <v>6482</v>
      </c>
      <c r="G1052" s="2">
        <v>46177.77738295139</v>
      </c>
      <c r="H1052" s="1" t="s">
        <v>1211</v>
      </c>
      <c r="I1052" s="2">
        <v>46177.777382870372</v>
      </c>
      <c r="J1052" s="1" t="s">
        <v>1211</v>
      </c>
    </row>
    <row r="1053" spans="1:10" x14ac:dyDescent="0.35">
      <c r="A1053" s="1" t="s">
        <v>1654</v>
      </c>
      <c r="B1053" s="1" t="s">
        <v>1209</v>
      </c>
      <c r="C1053" s="1" t="s">
        <v>1210</v>
      </c>
      <c r="D1053" s="2">
        <v>46177</v>
      </c>
      <c r="E1053">
        <v>2.9677371180023698E-2</v>
      </c>
      <c r="F1053" s="1" t="s">
        <v>6483</v>
      </c>
      <c r="G1053" s="2">
        <v>46177.777383101849</v>
      </c>
      <c r="H1053" s="1" t="s">
        <v>1211</v>
      </c>
      <c r="I1053" s="2">
        <v>46177.777383067129</v>
      </c>
      <c r="J1053" s="1" t="s">
        <v>1211</v>
      </c>
    </row>
    <row r="1054" spans="1:10" x14ac:dyDescent="0.35">
      <c r="A1054" s="1" t="s">
        <v>1655</v>
      </c>
      <c r="B1054" s="1" t="s">
        <v>1209</v>
      </c>
      <c r="C1054" s="1" t="s">
        <v>1210</v>
      </c>
      <c r="D1054" s="2">
        <v>46177</v>
      </c>
      <c r="E1054">
        <v>3.8914952494646098E-2</v>
      </c>
      <c r="F1054" s="1" t="s">
        <v>6484</v>
      </c>
      <c r="G1054" s="2">
        <v>46177.777383217595</v>
      </c>
      <c r="H1054" s="1" t="s">
        <v>1211</v>
      </c>
      <c r="I1054" s="2">
        <v>46177.777383252316</v>
      </c>
      <c r="J1054" s="1" t="s">
        <v>1211</v>
      </c>
    </row>
    <row r="1055" spans="1:10" x14ac:dyDescent="0.35">
      <c r="A1055" s="1" t="s">
        <v>1656</v>
      </c>
      <c r="B1055" s="1" t="s">
        <v>1209</v>
      </c>
      <c r="C1055" s="1" t="s">
        <v>1210</v>
      </c>
      <c r="D1055" s="2">
        <v>46177</v>
      </c>
      <c r="E1055">
        <v>2.5185187472330301E-2</v>
      </c>
      <c r="F1055" s="1" t="s">
        <v>6485</v>
      </c>
      <c r="G1055" s="2">
        <v>46177.777383368055</v>
      </c>
      <c r="H1055" s="1" t="s">
        <v>1211</v>
      </c>
      <c r="I1055" s="2">
        <v>46177.777383414352</v>
      </c>
      <c r="J1055" s="1" t="s">
        <v>1211</v>
      </c>
    </row>
    <row r="1056" spans="1:10" x14ac:dyDescent="0.35">
      <c r="A1056" s="1" t="s">
        <v>1657</v>
      </c>
      <c r="B1056" s="1" t="s">
        <v>1209</v>
      </c>
      <c r="C1056" s="1" t="s">
        <v>1210</v>
      </c>
      <c r="D1056" s="2">
        <v>46177</v>
      </c>
      <c r="E1056">
        <v>3.03058204332411E-2</v>
      </c>
      <c r="F1056" s="1" t="s">
        <v>6486</v>
      </c>
      <c r="G1056" s="2">
        <v>46177.77738353009</v>
      </c>
      <c r="H1056" s="1" t="s">
        <v>1211</v>
      </c>
      <c r="I1056" s="2">
        <v>46177.777383599539</v>
      </c>
      <c r="J1056" s="1" t="s">
        <v>1211</v>
      </c>
    </row>
    <row r="1057" spans="1:10" x14ac:dyDescent="0.35">
      <c r="A1057" s="1" t="s">
        <v>1658</v>
      </c>
      <c r="B1057" s="1" t="s">
        <v>1209</v>
      </c>
      <c r="C1057" s="1" t="s">
        <v>1210</v>
      </c>
      <c r="D1057" s="2">
        <v>46177</v>
      </c>
      <c r="E1057">
        <v>4.11330860401843E-2</v>
      </c>
      <c r="F1057" s="1" t="s">
        <v>6487</v>
      </c>
      <c r="G1057" s="2">
        <v>46177.777383680557</v>
      </c>
      <c r="H1057" s="1" t="s">
        <v>1211</v>
      </c>
      <c r="I1057" s="2">
        <v>46177.777383599539</v>
      </c>
      <c r="J1057" s="1" t="s">
        <v>1211</v>
      </c>
    </row>
    <row r="1058" spans="1:10" x14ac:dyDescent="0.35">
      <c r="A1058" s="1" t="s">
        <v>1659</v>
      </c>
      <c r="B1058" s="1" t="s">
        <v>1209</v>
      </c>
      <c r="C1058" s="1" t="s">
        <v>1210</v>
      </c>
      <c r="D1058" s="2">
        <v>46177</v>
      </c>
      <c r="E1058">
        <v>2.7957680176613299E-2</v>
      </c>
      <c r="F1058" s="1" t="s">
        <v>6488</v>
      </c>
      <c r="G1058" s="2">
        <v>46177.777383831017</v>
      </c>
      <c r="H1058" s="1" t="s">
        <v>1211</v>
      </c>
      <c r="I1058" s="2">
        <v>46177.777383761575</v>
      </c>
      <c r="J1058" s="1" t="s">
        <v>1211</v>
      </c>
    </row>
    <row r="1059" spans="1:10" x14ac:dyDescent="0.35">
      <c r="A1059" s="1" t="s">
        <v>1660</v>
      </c>
      <c r="B1059" s="1" t="s">
        <v>1209</v>
      </c>
      <c r="C1059" s="1" t="s">
        <v>1210</v>
      </c>
      <c r="D1059" s="2">
        <v>46177</v>
      </c>
      <c r="E1059">
        <v>3.08211431738682E-2</v>
      </c>
      <c r="F1059" s="1" t="s">
        <v>6489</v>
      </c>
      <c r="G1059" s="2">
        <v>46177.777383993052</v>
      </c>
      <c r="H1059" s="1" t="s">
        <v>1211</v>
      </c>
      <c r="I1059" s="2">
        <v>46177.777383946763</v>
      </c>
      <c r="J1059" s="1" t="s">
        <v>1211</v>
      </c>
    </row>
    <row r="1060" spans="1:10" x14ac:dyDescent="0.35">
      <c r="A1060" s="1" t="s">
        <v>1661</v>
      </c>
      <c r="B1060" s="1" t="s">
        <v>1209</v>
      </c>
      <c r="C1060" s="1" t="s">
        <v>1210</v>
      </c>
      <c r="D1060" s="2">
        <v>46177</v>
      </c>
      <c r="E1060">
        <v>3.9230596476111802E-2</v>
      </c>
      <c r="F1060" s="1" t="s">
        <v>6490</v>
      </c>
      <c r="G1060" s="2">
        <v>46177.777384143519</v>
      </c>
      <c r="H1060" s="1" t="s">
        <v>1211</v>
      </c>
      <c r="I1060" s="2">
        <v>46177.777384143519</v>
      </c>
      <c r="J1060" s="1" t="s">
        <v>1211</v>
      </c>
    </row>
    <row r="1061" spans="1:10" x14ac:dyDescent="0.35">
      <c r="A1061" s="1" t="s">
        <v>1662</v>
      </c>
      <c r="B1061" s="1" t="s">
        <v>1209</v>
      </c>
      <c r="C1061" s="1" t="s">
        <v>1210</v>
      </c>
      <c r="D1061" s="2">
        <v>46177</v>
      </c>
      <c r="E1061">
        <v>3.1474408489094101E-2</v>
      </c>
      <c r="F1061" s="1" t="s">
        <v>6491</v>
      </c>
      <c r="G1061" s="2">
        <v>46177.777384293979</v>
      </c>
      <c r="H1061" s="1" t="s">
        <v>1211</v>
      </c>
      <c r="I1061" s="2">
        <v>46177.777384340276</v>
      </c>
      <c r="J1061" s="1" t="s">
        <v>1211</v>
      </c>
    </row>
    <row r="1062" spans="1:10" x14ac:dyDescent="0.35">
      <c r="A1062" s="1" t="s">
        <v>1663</v>
      </c>
      <c r="B1062" s="1" t="s">
        <v>1209</v>
      </c>
      <c r="C1062" s="1" t="s">
        <v>1210</v>
      </c>
      <c r="D1062" s="2">
        <v>46177</v>
      </c>
      <c r="E1062">
        <v>3.7165700565166403E-2</v>
      </c>
      <c r="F1062" s="1" t="s">
        <v>6492</v>
      </c>
      <c r="G1062" s="2">
        <v>46177.777384490742</v>
      </c>
      <c r="H1062" s="1" t="s">
        <v>1211</v>
      </c>
      <c r="I1062" s="2">
        <v>46177.77738457176</v>
      </c>
      <c r="J1062" s="1" t="s">
        <v>1211</v>
      </c>
    </row>
    <row r="1063" spans="1:10" x14ac:dyDescent="0.35">
      <c r="A1063" s="1" t="s">
        <v>1664</v>
      </c>
      <c r="B1063" s="1" t="s">
        <v>1209</v>
      </c>
      <c r="C1063" s="1" t="s">
        <v>1210</v>
      </c>
      <c r="D1063" s="2">
        <v>46177</v>
      </c>
      <c r="E1063">
        <v>3.2055336090076499E-2</v>
      </c>
      <c r="F1063" s="1" t="s">
        <v>6493</v>
      </c>
      <c r="G1063" s="2">
        <v>46177.777384606481</v>
      </c>
      <c r="H1063" s="1" t="s">
        <v>1211</v>
      </c>
      <c r="I1063" s="2">
        <v>46177.77738457176</v>
      </c>
      <c r="J1063" s="1" t="s">
        <v>1211</v>
      </c>
    </row>
    <row r="1064" spans="1:10" x14ac:dyDescent="0.35">
      <c r="A1064" s="1" t="s">
        <v>1665</v>
      </c>
      <c r="B1064" s="1" t="s">
        <v>1209</v>
      </c>
      <c r="C1064" s="1" t="s">
        <v>1210</v>
      </c>
      <c r="D1064" s="2">
        <v>46177</v>
      </c>
      <c r="E1064">
        <v>2.77156794634669E-2</v>
      </c>
      <c r="F1064" s="1" t="s">
        <v>6494</v>
      </c>
      <c r="G1064" s="2">
        <v>46177.777384803238</v>
      </c>
      <c r="H1064" s="1" t="s">
        <v>1211</v>
      </c>
      <c r="I1064" s="2">
        <v>46177.77738472222</v>
      </c>
      <c r="J1064" s="1" t="s">
        <v>1211</v>
      </c>
    </row>
    <row r="1065" spans="1:10" x14ac:dyDescent="0.35">
      <c r="A1065" s="1" t="s">
        <v>1666</v>
      </c>
      <c r="B1065" s="1" t="s">
        <v>1209</v>
      </c>
      <c r="C1065" s="1" t="s">
        <v>1210</v>
      </c>
      <c r="D1065" s="2">
        <v>46177</v>
      </c>
      <c r="E1065">
        <v>2.6669157146970698E-2</v>
      </c>
      <c r="F1065" s="1" t="s">
        <v>6495</v>
      </c>
      <c r="G1065" s="2">
        <v>46177.777384953704</v>
      </c>
      <c r="H1065" s="1" t="s">
        <v>1211</v>
      </c>
      <c r="I1065" s="2">
        <v>46177.777384918983</v>
      </c>
      <c r="J1065" s="1" t="s">
        <v>1211</v>
      </c>
    </row>
    <row r="1066" spans="1:10" x14ac:dyDescent="0.35">
      <c r="A1066" s="1" t="s">
        <v>1667</v>
      </c>
      <c r="B1066" s="1" t="s">
        <v>1209</v>
      </c>
      <c r="C1066" s="1" t="s">
        <v>1210</v>
      </c>
      <c r="D1066" s="2">
        <v>46177</v>
      </c>
      <c r="E1066">
        <v>3.2653838458326603E-2</v>
      </c>
      <c r="F1066" s="1" t="s">
        <v>6496</v>
      </c>
      <c r="G1066" s="2">
        <v>46177.777385069443</v>
      </c>
      <c r="H1066" s="1" t="s">
        <v>1211</v>
      </c>
      <c r="I1066" s="2">
        <v>46177.777385104164</v>
      </c>
      <c r="J1066" s="1" t="s">
        <v>1211</v>
      </c>
    </row>
    <row r="1067" spans="1:10" x14ac:dyDescent="0.35">
      <c r="A1067" s="1" t="s">
        <v>1668</v>
      </c>
      <c r="B1067" s="1" t="s">
        <v>1209</v>
      </c>
      <c r="C1067" s="1" t="s">
        <v>1210</v>
      </c>
      <c r="D1067" s="2">
        <v>46177</v>
      </c>
      <c r="E1067">
        <v>4.1456965982004199E-2</v>
      </c>
      <c r="F1067" s="1" t="s">
        <v>6497</v>
      </c>
      <c r="G1067" s="2">
        <v>46177.77738521991</v>
      </c>
      <c r="H1067" s="1" t="s">
        <v>1211</v>
      </c>
      <c r="I1067" s="2">
        <v>46177.777385266207</v>
      </c>
      <c r="J1067" s="1" t="s">
        <v>1211</v>
      </c>
    </row>
    <row r="1068" spans="1:10" x14ac:dyDescent="0.35">
      <c r="A1068" s="1" t="s">
        <v>1669</v>
      </c>
      <c r="B1068" s="1" t="s">
        <v>1209</v>
      </c>
      <c r="C1068" s="1" t="s">
        <v>1210</v>
      </c>
      <c r="D1068" s="2">
        <v>46177</v>
      </c>
      <c r="E1068">
        <v>3.3084830379577899E-2</v>
      </c>
      <c r="F1068" s="1" t="s">
        <v>6498</v>
      </c>
      <c r="G1068" s="2">
        <v>46177.777385381945</v>
      </c>
      <c r="H1068" s="1" t="s">
        <v>1211</v>
      </c>
      <c r="I1068" s="2">
        <v>46177.777385451387</v>
      </c>
      <c r="J1068" s="1" t="s">
        <v>1211</v>
      </c>
    </row>
    <row r="1069" spans="1:10" x14ac:dyDescent="0.35">
      <c r="A1069" s="1" t="s">
        <v>1670</v>
      </c>
      <c r="B1069" s="1" t="s">
        <v>1209</v>
      </c>
      <c r="C1069" s="1" t="s">
        <v>1210</v>
      </c>
      <c r="D1069" s="2">
        <v>46177</v>
      </c>
      <c r="E1069">
        <v>2.9566794809030201E-2</v>
      </c>
      <c r="F1069" s="1" t="s">
        <v>6499</v>
      </c>
      <c r="G1069" s="2">
        <v>46177.777385532405</v>
      </c>
      <c r="H1069" s="1" t="s">
        <v>1211</v>
      </c>
      <c r="I1069" s="2">
        <v>46177.777385648151</v>
      </c>
      <c r="J1069" s="1" t="s">
        <v>1211</v>
      </c>
    </row>
    <row r="1070" spans="1:10" x14ac:dyDescent="0.35">
      <c r="A1070" s="1" t="s">
        <v>1671</v>
      </c>
      <c r="B1070" s="1" t="s">
        <v>1209</v>
      </c>
      <c r="C1070" s="1" t="s">
        <v>1210</v>
      </c>
      <c r="D1070" s="2">
        <v>46177</v>
      </c>
      <c r="E1070">
        <v>2.8376582453567799E-2</v>
      </c>
      <c r="F1070" s="1" t="s">
        <v>6500</v>
      </c>
      <c r="G1070" s="2">
        <v>46177.777385729169</v>
      </c>
      <c r="H1070" s="1" t="s">
        <v>1211</v>
      </c>
      <c r="I1070" s="2">
        <v>46177.777385648151</v>
      </c>
      <c r="J1070" s="1" t="s">
        <v>1211</v>
      </c>
    </row>
    <row r="1071" spans="1:10" x14ac:dyDescent="0.35">
      <c r="A1071" s="1" t="s">
        <v>1672</v>
      </c>
      <c r="B1071" s="1" t="s">
        <v>1209</v>
      </c>
      <c r="C1071" s="1" t="s">
        <v>1210</v>
      </c>
      <c r="D1071" s="2">
        <v>46177</v>
      </c>
      <c r="E1071">
        <v>2.7134311680529401E-2</v>
      </c>
      <c r="F1071" s="1" t="s">
        <v>6501</v>
      </c>
      <c r="G1071" s="2">
        <v>46177.777385879628</v>
      </c>
      <c r="H1071" s="1" t="s">
        <v>1211</v>
      </c>
      <c r="I1071" s="2">
        <v>46177.777385844907</v>
      </c>
      <c r="J1071" s="1" t="s">
        <v>1211</v>
      </c>
    </row>
    <row r="1072" spans="1:10" x14ac:dyDescent="0.35">
      <c r="A1072" s="1" t="s">
        <v>1673</v>
      </c>
      <c r="B1072" s="1" t="s">
        <v>1209</v>
      </c>
      <c r="C1072" s="1" t="s">
        <v>1210</v>
      </c>
      <c r="D1072" s="2">
        <v>46177</v>
      </c>
      <c r="E1072">
        <v>3.3570699906117399E-2</v>
      </c>
      <c r="F1072" s="1" t="s">
        <v>6502</v>
      </c>
      <c r="G1072" s="2">
        <v>46177.777386030095</v>
      </c>
      <c r="H1072" s="1" t="s">
        <v>1211</v>
      </c>
      <c r="I1072" s="2">
        <v>46177.777385995367</v>
      </c>
      <c r="J1072" s="1" t="s">
        <v>1211</v>
      </c>
    </row>
    <row r="1073" spans="1:10" x14ac:dyDescent="0.35">
      <c r="A1073" s="1" t="s">
        <v>1674</v>
      </c>
      <c r="B1073" s="1" t="s">
        <v>1209</v>
      </c>
      <c r="C1073" s="1" t="s">
        <v>1210</v>
      </c>
      <c r="D1073" s="2">
        <v>46177</v>
      </c>
      <c r="E1073">
        <v>3.8260253457726899E-2</v>
      </c>
      <c r="F1073" s="1" t="s">
        <v>6503</v>
      </c>
      <c r="G1073" s="2">
        <v>46177.777386192131</v>
      </c>
      <c r="H1073" s="1" t="s">
        <v>1211</v>
      </c>
      <c r="I1073" s="2">
        <v>46177.777386192131</v>
      </c>
      <c r="J1073" s="1" t="s">
        <v>1211</v>
      </c>
    </row>
    <row r="1074" spans="1:10" x14ac:dyDescent="0.35">
      <c r="A1074" s="1" t="s">
        <v>1675</v>
      </c>
      <c r="B1074" s="1" t="s">
        <v>1209</v>
      </c>
      <c r="C1074" s="1" t="s">
        <v>1210</v>
      </c>
      <c r="D1074" s="2">
        <v>46177</v>
      </c>
      <c r="E1074">
        <v>3.3994470697191401E-2</v>
      </c>
      <c r="F1074" s="1" t="s">
        <v>6504</v>
      </c>
      <c r="G1074" s="2">
        <v>46177.77738634259</v>
      </c>
      <c r="H1074" s="1" t="s">
        <v>1211</v>
      </c>
      <c r="I1074" s="2">
        <v>46177.77738634259</v>
      </c>
      <c r="J1074" s="1" t="s">
        <v>1211</v>
      </c>
    </row>
    <row r="1075" spans="1:10" x14ac:dyDescent="0.35">
      <c r="A1075" s="1" t="s">
        <v>1676</v>
      </c>
      <c r="B1075" s="1" t="s">
        <v>1209</v>
      </c>
      <c r="C1075" s="1" t="s">
        <v>1210</v>
      </c>
      <c r="D1075" s="2">
        <v>46177</v>
      </c>
      <c r="E1075">
        <v>3.1332029533084602E-2</v>
      </c>
      <c r="F1075" s="1" t="s">
        <v>6505</v>
      </c>
      <c r="G1075" s="2">
        <v>46177.777386493057</v>
      </c>
      <c r="H1075" s="1" t="s">
        <v>1211</v>
      </c>
      <c r="I1075" s="2">
        <v>46177.777386539354</v>
      </c>
      <c r="J1075" s="1" t="s">
        <v>1211</v>
      </c>
    </row>
    <row r="1076" spans="1:10" x14ac:dyDescent="0.35">
      <c r="A1076" s="1" t="s">
        <v>1677</v>
      </c>
      <c r="B1076" s="1" t="s">
        <v>1209</v>
      </c>
      <c r="C1076" s="1" t="s">
        <v>1210</v>
      </c>
      <c r="D1076" s="2">
        <v>46177</v>
      </c>
      <c r="E1076">
        <v>2.7908162011158599E-2</v>
      </c>
      <c r="F1076" s="1" t="s">
        <v>6506</v>
      </c>
      <c r="G1076" s="2">
        <v>46177.777386689813</v>
      </c>
      <c r="H1076" s="1" t="s">
        <v>1211</v>
      </c>
      <c r="I1076" s="2">
        <v>46177.777386724534</v>
      </c>
      <c r="J1076" s="1" t="s">
        <v>1211</v>
      </c>
    </row>
    <row r="1077" spans="1:10" x14ac:dyDescent="0.35">
      <c r="A1077" s="1" t="s">
        <v>1678</v>
      </c>
      <c r="B1077" s="1" t="s">
        <v>1209</v>
      </c>
      <c r="C1077" s="1" t="s">
        <v>1210</v>
      </c>
      <c r="D1077" s="2">
        <v>46177</v>
      </c>
      <c r="E1077">
        <v>3.4494864029167099E-2</v>
      </c>
      <c r="F1077" s="1" t="s">
        <v>6507</v>
      </c>
      <c r="G1077" s="2">
        <v>46177.77738684028</v>
      </c>
      <c r="H1077" s="1" t="s">
        <v>1211</v>
      </c>
      <c r="I1077" s="2">
        <v>46177.777386886577</v>
      </c>
      <c r="J1077" s="1" t="s">
        <v>1211</v>
      </c>
    </row>
    <row r="1078" spans="1:10" x14ac:dyDescent="0.35">
      <c r="A1078" s="1" t="s">
        <v>1679</v>
      </c>
      <c r="B1078" s="1" t="s">
        <v>1209</v>
      </c>
      <c r="C1078" s="1" t="s">
        <v>1210</v>
      </c>
      <c r="D1078" s="2">
        <v>46177</v>
      </c>
      <c r="E1078">
        <v>2.9444825868939099E-2</v>
      </c>
      <c r="F1078" s="1" t="s">
        <v>6508</v>
      </c>
      <c r="G1078" s="2">
        <v>46177.777387002316</v>
      </c>
      <c r="H1078" s="1" t="s">
        <v>1211</v>
      </c>
      <c r="I1078" s="2">
        <v>46177.777387071757</v>
      </c>
      <c r="J1078" s="1" t="s">
        <v>1211</v>
      </c>
    </row>
    <row r="1079" spans="1:10" x14ac:dyDescent="0.35">
      <c r="A1079" s="1" t="s">
        <v>1680</v>
      </c>
      <c r="B1079" s="1" t="s">
        <v>1209</v>
      </c>
      <c r="C1079" s="1" t="s">
        <v>1210</v>
      </c>
      <c r="D1079" s="2">
        <v>46177</v>
      </c>
      <c r="E1079">
        <v>4.1954249882941601E-2</v>
      </c>
      <c r="F1079" s="1" t="s">
        <v>6509</v>
      </c>
      <c r="G1079" s="2">
        <v>46177.777387152775</v>
      </c>
      <c r="H1079" s="1" t="s">
        <v>1211</v>
      </c>
      <c r="I1079" s="2">
        <v>46177.777387071757</v>
      </c>
      <c r="J1079" s="1" t="s">
        <v>1211</v>
      </c>
    </row>
    <row r="1080" spans="1:10" x14ac:dyDescent="0.35">
      <c r="A1080" s="1" t="s">
        <v>1681</v>
      </c>
      <c r="B1080" s="1" t="s">
        <v>1209</v>
      </c>
      <c r="C1080" s="1" t="s">
        <v>1210</v>
      </c>
      <c r="D1080" s="2">
        <v>46177</v>
      </c>
      <c r="E1080">
        <v>3.0144225327611698E-2</v>
      </c>
      <c r="F1080" s="1" t="s">
        <v>6510</v>
      </c>
      <c r="G1080" s="2">
        <v>46177.777387303242</v>
      </c>
      <c r="H1080" s="1" t="s">
        <v>1211</v>
      </c>
      <c r="I1080" s="2">
        <v>46177.777387268521</v>
      </c>
      <c r="J1080" s="1" t="s">
        <v>1211</v>
      </c>
    </row>
    <row r="1081" spans="1:10" x14ac:dyDescent="0.35">
      <c r="A1081" s="1" t="s">
        <v>1682</v>
      </c>
      <c r="B1081" s="1" t="s">
        <v>1209</v>
      </c>
      <c r="C1081" s="1" t="s">
        <v>1210</v>
      </c>
      <c r="D1081" s="2">
        <v>46177</v>
      </c>
      <c r="E1081">
        <v>3.44580525647687E-2</v>
      </c>
      <c r="F1081" s="1" t="s">
        <v>6511</v>
      </c>
      <c r="G1081" s="2">
        <v>46177.777387465278</v>
      </c>
      <c r="H1081" s="1" t="s">
        <v>1211</v>
      </c>
      <c r="I1081" s="2">
        <v>46177.777387499998</v>
      </c>
      <c r="J1081" s="1" t="s">
        <v>1211</v>
      </c>
    </row>
    <row r="1082" spans="1:10" x14ac:dyDescent="0.35">
      <c r="A1082" s="1" t="s">
        <v>1683</v>
      </c>
      <c r="B1082" s="1" t="s">
        <v>1209</v>
      </c>
      <c r="C1082" s="1" t="s">
        <v>1210</v>
      </c>
      <c r="D1082" s="2">
        <v>46177</v>
      </c>
      <c r="E1082">
        <v>3.2098691017718797E-2</v>
      </c>
      <c r="F1082" s="1" t="s">
        <v>6512</v>
      </c>
      <c r="G1082" s="2">
        <v>46177.777387650465</v>
      </c>
      <c r="H1082" s="1" t="s">
        <v>1211</v>
      </c>
      <c r="I1082" s="2">
        <v>46177.777387696762</v>
      </c>
      <c r="J1082" s="1" t="s">
        <v>1211</v>
      </c>
    </row>
    <row r="1083" spans="1:10" x14ac:dyDescent="0.35">
      <c r="A1083" s="1" t="s">
        <v>1684</v>
      </c>
      <c r="B1083" s="1" t="s">
        <v>1209</v>
      </c>
      <c r="C1083" s="1" t="s">
        <v>1210</v>
      </c>
      <c r="D1083" s="2">
        <v>46177</v>
      </c>
      <c r="E1083">
        <v>3.6054152296082997E-2</v>
      </c>
      <c r="F1083" s="1" t="s">
        <v>6513</v>
      </c>
      <c r="G1083" s="2">
        <v>46177.777387812501</v>
      </c>
      <c r="H1083" s="1" t="s">
        <v>1211</v>
      </c>
      <c r="I1083" s="2">
        <v>46177.777387847222</v>
      </c>
      <c r="J1083" s="1" t="s">
        <v>1211</v>
      </c>
    </row>
    <row r="1084" spans="1:10" x14ac:dyDescent="0.35">
      <c r="A1084" s="1" t="s">
        <v>1685</v>
      </c>
      <c r="B1084" s="1" t="s">
        <v>1209</v>
      </c>
      <c r="C1084" s="1" t="s">
        <v>1210</v>
      </c>
      <c r="D1084" s="2">
        <v>46177</v>
      </c>
      <c r="E1084">
        <v>2.38433680678731E-2</v>
      </c>
      <c r="F1084" s="1" t="s">
        <v>6514</v>
      </c>
      <c r="G1084" s="2">
        <v>46177.77738796296</v>
      </c>
      <c r="H1084" s="1" t="s">
        <v>1211</v>
      </c>
      <c r="I1084" s="2">
        <v>46177.777387847222</v>
      </c>
      <c r="J1084" s="1" t="s">
        <v>1211</v>
      </c>
    </row>
    <row r="1085" spans="1:10" x14ac:dyDescent="0.35">
      <c r="A1085" s="1" t="s">
        <v>1686</v>
      </c>
      <c r="B1085" s="1" t="s">
        <v>1209</v>
      </c>
      <c r="C1085" s="1" t="s">
        <v>1210</v>
      </c>
      <c r="D1085" s="2">
        <v>46177</v>
      </c>
      <c r="E1085">
        <v>3.0256613365180499E-2</v>
      </c>
      <c r="F1085" s="1" t="s">
        <v>6515</v>
      </c>
      <c r="G1085" s="2">
        <v>46177.777388113427</v>
      </c>
      <c r="H1085" s="1" t="s">
        <v>1211</v>
      </c>
      <c r="I1085" s="2">
        <v>46177.777388043978</v>
      </c>
      <c r="J1085" s="1" t="s">
        <v>1211</v>
      </c>
    </row>
    <row r="1086" spans="1:10" x14ac:dyDescent="0.35">
      <c r="A1086" s="1" t="s">
        <v>1687</v>
      </c>
      <c r="B1086" s="1" t="s">
        <v>1209</v>
      </c>
      <c r="C1086" s="1" t="s">
        <v>1210</v>
      </c>
      <c r="D1086" s="2">
        <v>46177</v>
      </c>
      <c r="E1086">
        <v>3.8406132319927698E-2</v>
      </c>
      <c r="F1086" s="1" t="s">
        <v>6516</v>
      </c>
      <c r="G1086" s="2">
        <v>46177.777388275463</v>
      </c>
      <c r="H1086" s="1" t="s">
        <v>1211</v>
      </c>
      <c r="I1086" s="2">
        <v>46177.777388229166</v>
      </c>
      <c r="J1086" s="1" t="s">
        <v>1211</v>
      </c>
    </row>
    <row r="1087" spans="1:10" x14ac:dyDescent="0.35">
      <c r="A1087" s="1" t="s">
        <v>1688</v>
      </c>
      <c r="B1087" s="1" t="s">
        <v>1209</v>
      </c>
      <c r="C1087" s="1" t="s">
        <v>1210</v>
      </c>
      <c r="D1087" s="2">
        <v>46177</v>
      </c>
      <c r="E1087">
        <v>4.0085782876446201E-2</v>
      </c>
      <c r="F1087" s="1" t="s">
        <v>6517</v>
      </c>
      <c r="G1087" s="2">
        <v>46177.77738842593</v>
      </c>
      <c r="H1087" s="1" t="s">
        <v>1211</v>
      </c>
      <c r="I1087" s="2">
        <v>46177.777388391201</v>
      </c>
      <c r="J1087" s="1" t="s">
        <v>1211</v>
      </c>
    </row>
    <row r="1088" spans="1:10" x14ac:dyDescent="0.35">
      <c r="A1088" s="1" t="s">
        <v>1689</v>
      </c>
      <c r="B1088" s="1" t="s">
        <v>1209</v>
      </c>
      <c r="C1088" s="1" t="s">
        <v>1210</v>
      </c>
      <c r="D1088" s="2">
        <v>46177</v>
      </c>
      <c r="E1088">
        <v>2.7051529903346899E-2</v>
      </c>
      <c r="F1088" s="1" t="s">
        <v>6518</v>
      </c>
      <c r="G1088" s="2">
        <v>46177.777388622686</v>
      </c>
      <c r="H1088" s="1" t="s">
        <v>1211</v>
      </c>
      <c r="I1088" s="2">
        <v>46177.777388576389</v>
      </c>
      <c r="J1088" s="1" t="s">
        <v>1211</v>
      </c>
    </row>
    <row r="1089" spans="1:10" x14ac:dyDescent="0.35">
      <c r="A1089" s="1" t="s">
        <v>1690</v>
      </c>
      <c r="B1089" s="1" t="s">
        <v>1209</v>
      </c>
      <c r="C1089" s="1" t="s">
        <v>1210</v>
      </c>
      <c r="D1089" s="2">
        <v>46177</v>
      </c>
      <c r="E1089">
        <v>4.1104965288744702E-2</v>
      </c>
      <c r="F1089" s="1" t="s">
        <v>6519</v>
      </c>
      <c r="G1089" s="2">
        <v>46177.777388773146</v>
      </c>
      <c r="H1089" s="1" t="s">
        <v>1211</v>
      </c>
      <c r="I1089" s="2">
        <v>46177.777388773146</v>
      </c>
      <c r="J1089" s="1" t="s">
        <v>1211</v>
      </c>
    </row>
    <row r="1090" spans="1:10" x14ac:dyDescent="0.35">
      <c r="A1090" s="1" t="s">
        <v>1691</v>
      </c>
      <c r="B1090" s="1" t="s">
        <v>1209</v>
      </c>
      <c r="C1090" s="1" t="s">
        <v>1210</v>
      </c>
      <c r="D1090" s="2">
        <v>46177</v>
      </c>
      <c r="E1090">
        <v>3.8509360433449297E-2</v>
      </c>
      <c r="F1090" s="1" t="s">
        <v>6520</v>
      </c>
      <c r="G1090" s="2">
        <v>46177.777388888891</v>
      </c>
      <c r="H1090" s="1" t="s">
        <v>1211</v>
      </c>
      <c r="I1090" s="2">
        <v>46177.777388923612</v>
      </c>
      <c r="J1090" s="1" t="s">
        <v>1211</v>
      </c>
    </row>
    <row r="1091" spans="1:10" x14ac:dyDescent="0.35">
      <c r="A1091" s="1" t="s">
        <v>1692</v>
      </c>
      <c r="B1091" s="1" t="s">
        <v>1209</v>
      </c>
      <c r="C1091" s="1" t="s">
        <v>1210</v>
      </c>
      <c r="D1091" s="2">
        <v>46177</v>
      </c>
      <c r="E1091">
        <v>3.0782298172201201E-2</v>
      </c>
      <c r="F1091" s="1" t="s">
        <v>6521</v>
      </c>
      <c r="G1091" s="2">
        <v>46177.777389039351</v>
      </c>
      <c r="H1091" s="1" t="s">
        <v>1211</v>
      </c>
      <c r="I1091" s="2">
        <v>46177.777389120369</v>
      </c>
      <c r="J1091" s="1" t="s">
        <v>1211</v>
      </c>
    </row>
    <row r="1092" spans="1:10" x14ac:dyDescent="0.35">
      <c r="A1092" s="1" t="s">
        <v>1693</v>
      </c>
      <c r="B1092" s="1" t="s">
        <v>1209</v>
      </c>
      <c r="C1092" s="1" t="s">
        <v>1210</v>
      </c>
      <c r="D1092" s="2">
        <v>46177</v>
      </c>
      <c r="E1092">
        <v>4.1166823811859599E-2</v>
      </c>
      <c r="F1092" s="1" t="s">
        <v>6522</v>
      </c>
      <c r="G1092" s="2">
        <v>46177.777389236115</v>
      </c>
      <c r="H1092" s="1" t="s">
        <v>1211</v>
      </c>
      <c r="I1092" s="2">
        <v>46177.777389120369</v>
      </c>
      <c r="J1092" s="1" t="s">
        <v>1211</v>
      </c>
    </row>
    <row r="1093" spans="1:10" x14ac:dyDescent="0.35">
      <c r="A1093" s="1" t="s">
        <v>1694</v>
      </c>
      <c r="B1093" s="1" t="s">
        <v>1209</v>
      </c>
      <c r="C1093" s="1" t="s">
        <v>1210</v>
      </c>
      <c r="D1093" s="2">
        <v>46177</v>
      </c>
      <c r="E1093">
        <v>3.9096179719397099E-2</v>
      </c>
      <c r="F1093" s="1" t="s">
        <v>6523</v>
      </c>
      <c r="G1093" s="2">
        <v>46177.777389351853</v>
      </c>
      <c r="H1093" s="1" t="s">
        <v>1211</v>
      </c>
      <c r="I1093" s="2">
        <v>46177.777389317132</v>
      </c>
      <c r="J1093" s="1" t="s">
        <v>1211</v>
      </c>
    </row>
    <row r="1094" spans="1:10" x14ac:dyDescent="0.35">
      <c r="A1094" s="1" t="s">
        <v>1695</v>
      </c>
      <c r="B1094" s="1" t="s">
        <v>1209</v>
      </c>
      <c r="C1094" s="1" t="s">
        <v>1210</v>
      </c>
      <c r="D1094" s="2">
        <v>46177</v>
      </c>
      <c r="E1094">
        <v>2.78181179537162E-2</v>
      </c>
      <c r="F1094" s="1" t="s">
        <v>6524</v>
      </c>
      <c r="G1094" s="2">
        <v>46177.777389502313</v>
      </c>
      <c r="H1094" s="1" t="s">
        <v>1211</v>
      </c>
      <c r="I1094" s="2">
        <v>46177.777389467592</v>
      </c>
      <c r="J1094" s="1" t="s">
        <v>1211</v>
      </c>
    </row>
    <row r="1095" spans="1:10" x14ac:dyDescent="0.35">
      <c r="A1095" s="1" t="s">
        <v>1696</v>
      </c>
      <c r="B1095" s="1" t="s">
        <v>1209</v>
      </c>
      <c r="C1095" s="1" t="s">
        <v>1210</v>
      </c>
      <c r="D1095" s="2">
        <v>46177</v>
      </c>
      <c r="E1095">
        <v>3.2397506403677001E-2</v>
      </c>
      <c r="F1095" s="1" t="s">
        <v>6525</v>
      </c>
      <c r="G1095" s="2">
        <v>46177.777389664348</v>
      </c>
      <c r="H1095" s="1" t="s">
        <v>1211</v>
      </c>
      <c r="I1095" s="2">
        <v>46177.777389664348</v>
      </c>
      <c r="J1095" s="1" t="s">
        <v>1211</v>
      </c>
    </row>
    <row r="1096" spans="1:10" x14ac:dyDescent="0.35">
      <c r="A1096" s="1" t="s">
        <v>1697</v>
      </c>
      <c r="B1096" s="1" t="s">
        <v>1209</v>
      </c>
      <c r="C1096" s="1" t="s">
        <v>1210</v>
      </c>
      <c r="D1096" s="2">
        <v>46177</v>
      </c>
      <c r="E1096">
        <v>4.0661991575995003E-2</v>
      </c>
      <c r="F1096" s="1" t="s">
        <v>6526</v>
      </c>
      <c r="G1096" s="2">
        <v>46177.777389814815</v>
      </c>
      <c r="H1096" s="1" t="s">
        <v>1211</v>
      </c>
      <c r="I1096" s="2">
        <v>46177.777389849536</v>
      </c>
      <c r="J1096" s="1" t="s">
        <v>1211</v>
      </c>
    </row>
    <row r="1097" spans="1:10" x14ac:dyDescent="0.35">
      <c r="A1097" s="1" t="s">
        <v>1698</v>
      </c>
      <c r="B1097" s="1" t="s">
        <v>1209</v>
      </c>
      <c r="C1097" s="1" t="s">
        <v>1210</v>
      </c>
      <c r="D1097" s="2">
        <v>46177</v>
      </c>
      <c r="E1097">
        <v>2.7362402581378498E-2</v>
      </c>
      <c r="F1097" s="1" t="s">
        <v>6527</v>
      </c>
      <c r="G1097" s="2">
        <v>46177.777389965275</v>
      </c>
      <c r="H1097" s="1" t="s">
        <v>1211</v>
      </c>
      <c r="I1097" s="2">
        <v>46177.777390011572</v>
      </c>
      <c r="J1097" s="1" t="s">
        <v>1211</v>
      </c>
    </row>
    <row r="1098" spans="1:10" x14ac:dyDescent="0.35">
      <c r="A1098" s="1" t="s">
        <v>1699</v>
      </c>
      <c r="B1098" s="1" t="s">
        <v>1209</v>
      </c>
      <c r="C1098" s="1" t="s">
        <v>1210</v>
      </c>
      <c r="D1098" s="2">
        <v>46177</v>
      </c>
      <c r="E1098">
        <v>4.1219278686157101E-2</v>
      </c>
      <c r="F1098" s="1" t="s">
        <v>6528</v>
      </c>
      <c r="G1098" s="2">
        <v>46177.777390127318</v>
      </c>
      <c r="H1098" s="1" t="s">
        <v>1211</v>
      </c>
      <c r="I1098" s="2">
        <v>46177.777390011572</v>
      </c>
      <c r="J1098" s="1" t="s">
        <v>1211</v>
      </c>
    </row>
    <row r="1099" spans="1:10" x14ac:dyDescent="0.35">
      <c r="A1099" s="1" t="s">
        <v>1700</v>
      </c>
      <c r="B1099" s="1" t="s">
        <v>1209</v>
      </c>
      <c r="C1099" s="1" t="s">
        <v>1210</v>
      </c>
      <c r="D1099" s="2">
        <v>46177</v>
      </c>
      <c r="E1099">
        <v>2.83544416901482E-2</v>
      </c>
      <c r="F1099" s="1" t="s">
        <v>6529</v>
      </c>
      <c r="G1099" s="2">
        <v>46177.777390277777</v>
      </c>
      <c r="H1099" s="1" t="s">
        <v>1211</v>
      </c>
      <c r="I1099" s="2">
        <v>46177.777390196759</v>
      </c>
      <c r="J1099" s="1" t="s">
        <v>1211</v>
      </c>
    </row>
    <row r="1100" spans="1:10" x14ac:dyDescent="0.35">
      <c r="A1100" s="1" t="s">
        <v>1701</v>
      </c>
      <c r="B1100" s="1" t="s">
        <v>1209</v>
      </c>
      <c r="C1100" s="1" t="s">
        <v>1210</v>
      </c>
      <c r="D1100" s="2">
        <v>46177</v>
      </c>
      <c r="E1100">
        <v>2.9280557281692099E-2</v>
      </c>
      <c r="F1100" s="1" t="s">
        <v>6530</v>
      </c>
      <c r="G1100" s="2">
        <v>46177.777390428244</v>
      </c>
      <c r="H1100" s="1" t="s">
        <v>1211</v>
      </c>
      <c r="I1100" s="2">
        <v>46177.777390393516</v>
      </c>
      <c r="J1100" s="1" t="s">
        <v>1211</v>
      </c>
    </row>
    <row r="1101" spans="1:10" x14ac:dyDescent="0.35">
      <c r="A1101" s="1" t="s">
        <v>1702</v>
      </c>
      <c r="B1101" s="1" t="s">
        <v>1209</v>
      </c>
      <c r="C1101" s="1" t="s">
        <v>1210</v>
      </c>
      <c r="D1101" s="2">
        <v>46177</v>
      </c>
      <c r="E1101">
        <v>3.7769783232185203E-2</v>
      </c>
      <c r="F1101" s="1" t="s">
        <v>6531</v>
      </c>
      <c r="G1101" s="2">
        <v>46177.77739059028</v>
      </c>
      <c r="H1101" s="1" t="s">
        <v>1211</v>
      </c>
      <c r="I1101" s="2">
        <v>46177.77739059028</v>
      </c>
      <c r="J1101" s="1" t="s">
        <v>1211</v>
      </c>
    </row>
    <row r="1102" spans="1:10" x14ac:dyDescent="0.35">
      <c r="A1102" s="1" t="s">
        <v>1703</v>
      </c>
      <c r="B1102" s="1" t="s">
        <v>1209</v>
      </c>
      <c r="C1102" s="1" t="s">
        <v>1210</v>
      </c>
      <c r="D1102" s="2">
        <v>46177</v>
      </c>
      <c r="E1102">
        <v>2.1675266656770699E-2</v>
      </c>
      <c r="F1102" s="1" t="s">
        <v>6532</v>
      </c>
      <c r="G1102" s="2">
        <v>46177.777390740739</v>
      </c>
      <c r="H1102" s="1" t="s">
        <v>1211</v>
      </c>
      <c r="I1102" s="2">
        <v>46177.777390740739</v>
      </c>
      <c r="J1102" s="1" t="s">
        <v>1211</v>
      </c>
    </row>
    <row r="1103" spans="1:10" x14ac:dyDescent="0.35">
      <c r="A1103" s="1" t="s">
        <v>1704</v>
      </c>
      <c r="B1103" s="1" t="s">
        <v>1209</v>
      </c>
      <c r="C1103" s="1" t="s">
        <v>1210</v>
      </c>
      <c r="D1103" s="2">
        <v>46177</v>
      </c>
      <c r="E1103">
        <v>4.0424796758737502E-2</v>
      </c>
      <c r="F1103" s="1" t="s">
        <v>6533</v>
      </c>
      <c r="G1103" s="2">
        <v>46177.777390856485</v>
      </c>
      <c r="H1103" s="1" t="s">
        <v>1211</v>
      </c>
      <c r="I1103" s="2">
        <v>46177.777390937503</v>
      </c>
      <c r="J1103" s="1" t="s">
        <v>1211</v>
      </c>
    </row>
    <row r="1104" spans="1:10" x14ac:dyDescent="0.35">
      <c r="A1104" s="1" t="s">
        <v>1705</v>
      </c>
      <c r="B1104" s="1" t="s">
        <v>1209</v>
      </c>
      <c r="C1104" s="1" t="s">
        <v>1210</v>
      </c>
      <c r="D1104" s="2">
        <v>46177</v>
      </c>
      <c r="E1104">
        <v>2.7708486752801301E-2</v>
      </c>
      <c r="F1104" s="1" t="s">
        <v>6534</v>
      </c>
      <c r="G1104" s="2">
        <v>46177.777391053241</v>
      </c>
      <c r="H1104" s="1" t="s">
        <v>1211</v>
      </c>
      <c r="I1104" s="2">
        <v>46177.777390937503</v>
      </c>
      <c r="J1104" s="1" t="s">
        <v>1211</v>
      </c>
    </row>
    <row r="1105" spans="1:10" x14ac:dyDescent="0.35">
      <c r="A1105" s="1" t="s">
        <v>1706</v>
      </c>
      <c r="B1105" s="1" t="s">
        <v>1209</v>
      </c>
      <c r="C1105" s="1" t="s">
        <v>1210</v>
      </c>
      <c r="D1105" s="2">
        <v>46177</v>
      </c>
      <c r="E1105">
        <v>2.8292419018829E-2</v>
      </c>
      <c r="F1105" s="1" t="s">
        <v>6535</v>
      </c>
      <c r="G1105" s="2">
        <v>46177.77739116898</v>
      </c>
      <c r="H1105" s="1" t="s">
        <v>1211</v>
      </c>
      <c r="I1105" s="2">
        <v>46177.777391122683</v>
      </c>
      <c r="J1105" s="1" t="s">
        <v>1211</v>
      </c>
    </row>
    <row r="1106" spans="1:10" x14ac:dyDescent="0.35">
      <c r="A1106" s="1" t="s">
        <v>1707</v>
      </c>
      <c r="B1106" s="1" t="s">
        <v>1209</v>
      </c>
      <c r="C1106" s="1" t="s">
        <v>1210</v>
      </c>
      <c r="D1106" s="2">
        <v>46177</v>
      </c>
      <c r="E1106">
        <v>2.98781046101225E-2</v>
      </c>
      <c r="F1106" s="1" t="s">
        <v>6536</v>
      </c>
      <c r="G1106" s="2">
        <v>46177.777391354168</v>
      </c>
      <c r="H1106" s="1" t="s">
        <v>1211</v>
      </c>
      <c r="I1106" s="2">
        <v>46177.777391284719</v>
      </c>
      <c r="J1106" s="1" t="s">
        <v>1211</v>
      </c>
    </row>
    <row r="1107" spans="1:10" x14ac:dyDescent="0.35">
      <c r="A1107" s="1" t="s">
        <v>1708</v>
      </c>
      <c r="B1107" s="1" t="s">
        <v>1209</v>
      </c>
      <c r="C1107" s="1" t="s">
        <v>1210</v>
      </c>
      <c r="D1107" s="2">
        <v>46177</v>
      </c>
      <c r="E1107">
        <v>2.90000712160885E-2</v>
      </c>
      <c r="F1107" s="1" t="s">
        <v>6537</v>
      </c>
      <c r="G1107" s="2">
        <v>46177.777391516203</v>
      </c>
      <c r="H1107" s="1" t="s">
        <v>1211</v>
      </c>
      <c r="I1107" s="2">
        <v>46177.777391469906</v>
      </c>
      <c r="J1107" s="1" t="s">
        <v>1211</v>
      </c>
    </row>
    <row r="1108" spans="1:10" x14ac:dyDescent="0.35">
      <c r="A1108" s="1" t="s">
        <v>1709</v>
      </c>
      <c r="B1108" s="1" t="s">
        <v>1209</v>
      </c>
      <c r="C1108" s="1" t="s">
        <v>1210</v>
      </c>
      <c r="D1108" s="2">
        <v>46177</v>
      </c>
      <c r="E1108">
        <v>3.6871656539445602E-2</v>
      </c>
      <c r="F1108" s="1" t="s">
        <v>6538</v>
      </c>
      <c r="G1108" s="2">
        <v>46177.77739166667</v>
      </c>
      <c r="H1108" s="1" t="s">
        <v>1211</v>
      </c>
      <c r="I1108" s="2">
        <v>46177.77739166667</v>
      </c>
      <c r="J1108" s="1" t="s">
        <v>1211</v>
      </c>
    </row>
    <row r="1109" spans="1:10" x14ac:dyDescent="0.35">
      <c r="A1109" s="1" t="s">
        <v>1710</v>
      </c>
      <c r="B1109" s="1" t="s">
        <v>1209</v>
      </c>
      <c r="C1109" s="1" t="s">
        <v>1210</v>
      </c>
      <c r="D1109" s="2">
        <v>46177</v>
      </c>
      <c r="E1109">
        <v>3.3414647948805699E-2</v>
      </c>
      <c r="F1109" s="1" t="s">
        <v>6539</v>
      </c>
      <c r="G1109" s="2">
        <v>46177.777391863427</v>
      </c>
      <c r="H1109" s="1" t="s">
        <v>1211</v>
      </c>
      <c r="I1109" s="2">
        <v>46177.77739181713</v>
      </c>
      <c r="J1109" s="1" t="s">
        <v>1211</v>
      </c>
    </row>
    <row r="1110" spans="1:10" x14ac:dyDescent="0.35">
      <c r="A1110" s="1" t="s">
        <v>1711</v>
      </c>
      <c r="B1110" s="1" t="s">
        <v>1209</v>
      </c>
      <c r="C1110" s="1" t="s">
        <v>1210</v>
      </c>
      <c r="D1110" s="2">
        <v>46177</v>
      </c>
      <c r="E1110">
        <v>3.9605312756053099E-2</v>
      </c>
      <c r="F1110" s="1" t="s">
        <v>6540</v>
      </c>
      <c r="G1110" s="2">
        <v>46177.777392013886</v>
      </c>
      <c r="H1110" s="1" t="s">
        <v>1211</v>
      </c>
      <c r="I1110" s="2">
        <v>46177.777392013886</v>
      </c>
      <c r="J1110" s="1" t="s">
        <v>1211</v>
      </c>
    </row>
    <row r="1111" spans="1:10" x14ac:dyDescent="0.35">
      <c r="A1111" s="1" t="s">
        <v>1712</v>
      </c>
      <c r="B1111" s="1" t="s">
        <v>1224</v>
      </c>
      <c r="C1111" s="1" t="s">
        <v>1210</v>
      </c>
      <c r="D1111" s="2">
        <v>46177</v>
      </c>
      <c r="E1111">
        <v>1.1598999999999999</v>
      </c>
      <c r="F1111" s="1" t="s">
        <v>6541</v>
      </c>
      <c r="G1111" s="2">
        <v>46177.777479363423</v>
      </c>
      <c r="H1111" s="1" t="s">
        <v>1211</v>
      </c>
      <c r="I1111" s="2">
        <v>46177.777479282406</v>
      </c>
      <c r="J1111" s="1" t="s">
        <v>1211</v>
      </c>
    </row>
    <row r="1112" spans="1:10" x14ac:dyDescent="0.35">
      <c r="A1112" s="1" t="s">
        <v>1713</v>
      </c>
      <c r="B1112" s="1" t="s">
        <v>1224</v>
      </c>
      <c r="C1112" s="1" t="s">
        <v>1210</v>
      </c>
      <c r="D1112" s="2">
        <v>46177</v>
      </c>
      <c r="E1112">
        <v>96.21</v>
      </c>
      <c r="F1112" s="1" t="s">
        <v>6542</v>
      </c>
      <c r="G1112" s="2">
        <v>46177.780106053244</v>
      </c>
      <c r="H1112" s="1" t="s">
        <v>1211</v>
      </c>
      <c r="I1112" s="2">
        <v>46177.780105983795</v>
      </c>
      <c r="J1112" s="1" t="s">
        <v>1211</v>
      </c>
    </row>
    <row r="1113" spans="1:10" x14ac:dyDescent="0.35">
      <c r="A1113" s="1" t="s">
        <v>1714</v>
      </c>
      <c r="B1113" s="1" t="s">
        <v>1224</v>
      </c>
      <c r="C1113" s="1" t="s">
        <v>1210</v>
      </c>
      <c r="D1113" s="2">
        <v>46177</v>
      </c>
      <c r="E1113">
        <v>96.174999999999997</v>
      </c>
      <c r="F1113" s="1" t="s">
        <v>6543</v>
      </c>
      <c r="G1113" s="2">
        <v>46177.78010625</v>
      </c>
      <c r="H1113" s="1" t="s">
        <v>1211</v>
      </c>
      <c r="I1113" s="2">
        <v>46177.780106168982</v>
      </c>
      <c r="J1113" s="1" t="s">
        <v>1211</v>
      </c>
    </row>
    <row r="1114" spans="1:10" x14ac:dyDescent="0.35">
      <c r="A1114" s="1" t="s">
        <v>1715</v>
      </c>
      <c r="B1114" s="1" t="s">
        <v>1224</v>
      </c>
      <c r="C1114" s="1" t="s">
        <v>1210</v>
      </c>
      <c r="D1114" s="2">
        <v>46177</v>
      </c>
      <c r="E1114">
        <v>96.144999999999996</v>
      </c>
      <c r="F1114" s="1" t="s">
        <v>6544</v>
      </c>
      <c r="G1114" s="2">
        <v>46177.780106365739</v>
      </c>
      <c r="H1114" s="1" t="s">
        <v>1211</v>
      </c>
      <c r="I1114" s="2">
        <v>46177.780106365739</v>
      </c>
      <c r="J1114" s="1" t="s">
        <v>1211</v>
      </c>
    </row>
    <row r="1115" spans="1:10" x14ac:dyDescent="0.35">
      <c r="A1115" s="1" t="s">
        <v>1716</v>
      </c>
      <c r="B1115" s="1" t="s">
        <v>1224</v>
      </c>
      <c r="C1115" s="1" t="s">
        <v>1210</v>
      </c>
      <c r="D1115" s="2">
        <v>46177</v>
      </c>
      <c r="E1115">
        <v>96.11</v>
      </c>
      <c r="F1115" s="1" t="s">
        <v>6545</v>
      </c>
      <c r="G1115" s="2">
        <v>46177.780106516206</v>
      </c>
      <c r="H1115" s="1" t="s">
        <v>1211</v>
      </c>
      <c r="I1115" s="2">
        <v>46177.780106562503</v>
      </c>
      <c r="J1115" s="1" t="s">
        <v>1211</v>
      </c>
    </row>
    <row r="1116" spans="1:10" x14ac:dyDescent="0.35">
      <c r="A1116" s="1" t="s">
        <v>1717</v>
      </c>
      <c r="B1116" s="1" t="s">
        <v>1224</v>
      </c>
      <c r="C1116" s="1" t="s">
        <v>1210</v>
      </c>
      <c r="D1116" s="2">
        <v>46177</v>
      </c>
      <c r="E1116">
        <v>96.08</v>
      </c>
      <c r="F1116" s="1" t="s">
        <v>6546</v>
      </c>
      <c r="G1116" s="2">
        <v>46177.780106712962</v>
      </c>
      <c r="H1116" s="1" t="s">
        <v>1211</v>
      </c>
      <c r="I1116" s="2">
        <v>46177.780106712962</v>
      </c>
      <c r="J1116" s="1" t="s">
        <v>1211</v>
      </c>
    </row>
    <row r="1117" spans="1:10" x14ac:dyDescent="0.35">
      <c r="A1117" s="1" t="s">
        <v>1718</v>
      </c>
      <c r="B1117" s="1" t="s">
        <v>1224</v>
      </c>
      <c r="C1117" s="1" t="s">
        <v>1210</v>
      </c>
      <c r="D1117" s="2">
        <v>46177</v>
      </c>
      <c r="E1117">
        <v>96.382499999999993</v>
      </c>
      <c r="F1117" s="1" t="s">
        <v>6547</v>
      </c>
      <c r="G1117" s="2">
        <v>46177.780104976853</v>
      </c>
      <c r="H1117" s="1" t="s">
        <v>1211</v>
      </c>
      <c r="I1117" s="2">
        <v>46177.780104895835</v>
      </c>
      <c r="J1117" s="1" t="s">
        <v>1211</v>
      </c>
    </row>
    <row r="1118" spans="1:10" x14ac:dyDescent="0.35">
      <c r="A1118" s="1" t="s">
        <v>1719</v>
      </c>
      <c r="B1118" s="1" t="s">
        <v>1224</v>
      </c>
      <c r="C1118" s="1" t="s">
        <v>1210</v>
      </c>
      <c r="D1118" s="2">
        <v>46177</v>
      </c>
      <c r="E1118">
        <v>96.075000000000003</v>
      </c>
      <c r="F1118" s="1" t="s">
        <v>6548</v>
      </c>
      <c r="G1118" s="2">
        <v>46177.780106828701</v>
      </c>
      <c r="H1118" s="1" t="s">
        <v>1211</v>
      </c>
      <c r="I1118" s="2">
        <v>46177.780106712962</v>
      </c>
      <c r="J1118" s="1" t="s">
        <v>1211</v>
      </c>
    </row>
    <row r="1119" spans="1:10" x14ac:dyDescent="0.35">
      <c r="A1119" s="1" t="s">
        <v>1720</v>
      </c>
      <c r="B1119" s="1" t="s">
        <v>1224</v>
      </c>
      <c r="C1119" s="1" t="s">
        <v>1210</v>
      </c>
      <c r="D1119" s="2">
        <v>46177</v>
      </c>
      <c r="E1119">
        <v>96.38</v>
      </c>
      <c r="F1119" s="1" t="s">
        <v>6549</v>
      </c>
      <c r="G1119" s="2">
        <v>46177.780105127313</v>
      </c>
      <c r="H1119" s="1" t="s">
        <v>1211</v>
      </c>
      <c r="I1119" s="2">
        <v>46177.780105092592</v>
      </c>
      <c r="J1119" s="1" t="s">
        <v>1211</v>
      </c>
    </row>
    <row r="1120" spans="1:10" x14ac:dyDescent="0.35">
      <c r="A1120" s="1" t="s">
        <v>1721</v>
      </c>
      <c r="B1120" s="1" t="s">
        <v>1224</v>
      </c>
      <c r="C1120" s="1" t="s">
        <v>1210</v>
      </c>
      <c r="D1120" s="2">
        <v>46177</v>
      </c>
      <c r="E1120">
        <v>96.075000000000003</v>
      </c>
      <c r="F1120" s="1" t="s">
        <v>6550</v>
      </c>
      <c r="G1120" s="2">
        <v>46177.780107025465</v>
      </c>
      <c r="H1120" s="1" t="s">
        <v>1211</v>
      </c>
      <c r="I1120" s="2">
        <v>46177.780106909719</v>
      </c>
      <c r="J1120" s="1" t="s">
        <v>1211</v>
      </c>
    </row>
    <row r="1121" spans="1:10" x14ac:dyDescent="0.35">
      <c r="A1121" s="1" t="s">
        <v>1722</v>
      </c>
      <c r="B1121" s="1" t="s">
        <v>1224</v>
      </c>
      <c r="C1121" s="1" t="s">
        <v>1210</v>
      </c>
      <c r="D1121" s="2">
        <v>46177</v>
      </c>
      <c r="E1121">
        <v>96.36</v>
      </c>
      <c r="F1121" s="1" t="s">
        <v>6551</v>
      </c>
      <c r="G1121" s="2">
        <v>46177.780105324076</v>
      </c>
      <c r="H1121" s="1" t="s">
        <v>1211</v>
      </c>
      <c r="I1121" s="2">
        <v>46177.780105289348</v>
      </c>
      <c r="J1121" s="1" t="s">
        <v>1211</v>
      </c>
    </row>
    <row r="1122" spans="1:10" x14ac:dyDescent="0.35">
      <c r="A1122" s="1" t="s">
        <v>1723</v>
      </c>
      <c r="B1122" s="1" t="s">
        <v>1224</v>
      </c>
      <c r="C1122" s="1" t="s">
        <v>1210</v>
      </c>
      <c r="D1122" s="2">
        <v>46177</v>
      </c>
      <c r="E1122">
        <v>96.075000000000003</v>
      </c>
      <c r="F1122" s="1" t="s">
        <v>6552</v>
      </c>
      <c r="G1122" s="2">
        <v>46177.780107175924</v>
      </c>
      <c r="H1122" s="1" t="s">
        <v>1211</v>
      </c>
      <c r="I1122" s="2">
        <v>46177.780107060185</v>
      </c>
      <c r="J1122" s="1" t="s">
        <v>1211</v>
      </c>
    </row>
    <row r="1123" spans="1:10" x14ac:dyDescent="0.35">
      <c r="A1123" s="1" t="s">
        <v>1724</v>
      </c>
      <c r="B1123" s="1" t="s">
        <v>1224</v>
      </c>
      <c r="C1123" s="1" t="s">
        <v>1210</v>
      </c>
      <c r="D1123" s="2">
        <v>46177</v>
      </c>
      <c r="E1123">
        <v>96.334999999999994</v>
      </c>
      <c r="F1123" s="1" t="s">
        <v>6553</v>
      </c>
      <c r="G1123" s="2">
        <v>46177.780105439815</v>
      </c>
      <c r="H1123" s="1" t="s">
        <v>1211</v>
      </c>
      <c r="I1123" s="2">
        <v>46177.780105439815</v>
      </c>
      <c r="J1123" s="1" t="s">
        <v>1211</v>
      </c>
    </row>
    <row r="1124" spans="1:10" x14ac:dyDescent="0.35">
      <c r="A1124" s="1" t="s">
        <v>3990</v>
      </c>
      <c r="B1124" s="1" t="s">
        <v>1224</v>
      </c>
      <c r="C1124" s="1" t="s">
        <v>1210</v>
      </c>
      <c r="D1124" s="2">
        <v>46177</v>
      </c>
      <c r="E1124">
        <v>96.094999999999999</v>
      </c>
      <c r="F1124" s="1" t="s">
        <v>6554</v>
      </c>
      <c r="G1124" s="2">
        <v>46177.780107326391</v>
      </c>
      <c r="H1124" s="1" t="s">
        <v>1211</v>
      </c>
      <c r="I1124" s="2">
        <v>46177.780107326391</v>
      </c>
      <c r="J1124" s="1" t="s">
        <v>1211</v>
      </c>
    </row>
    <row r="1125" spans="1:10" x14ac:dyDescent="0.35">
      <c r="A1125" s="1" t="s">
        <v>1725</v>
      </c>
      <c r="B1125" s="1" t="s">
        <v>1224</v>
      </c>
      <c r="C1125" s="1" t="s">
        <v>1210</v>
      </c>
      <c r="D1125" s="2">
        <v>46177</v>
      </c>
      <c r="E1125">
        <v>96.31</v>
      </c>
      <c r="F1125" s="1" t="s">
        <v>6555</v>
      </c>
      <c r="G1125" s="2">
        <v>46177.780105590275</v>
      </c>
      <c r="H1125" s="1" t="s">
        <v>1211</v>
      </c>
      <c r="I1125" s="2">
        <v>46177.780105439815</v>
      </c>
      <c r="J1125" s="1" t="s">
        <v>1211</v>
      </c>
    </row>
    <row r="1126" spans="1:10" x14ac:dyDescent="0.35">
      <c r="A1126" s="1" t="s">
        <v>1726</v>
      </c>
      <c r="B1126" s="1" t="s">
        <v>1224</v>
      </c>
      <c r="C1126" s="1" t="s">
        <v>1210</v>
      </c>
      <c r="D1126" s="2">
        <v>46177</v>
      </c>
      <c r="E1126">
        <v>96.28</v>
      </c>
      <c r="F1126" s="1" t="s">
        <v>6556</v>
      </c>
      <c r="G1126" s="2">
        <v>46177.780105752317</v>
      </c>
      <c r="H1126" s="1" t="s">
        <v>1211</v>
      </c>
      <c r="I1126" s="2">
        <v>46177.780105636572</v>
      </c>
      <c r="J1126" s="1" t="s">
        <v>1211</v>
      </c>
    </row>
    <row r="1127" spans="1:10" x14ac:dyDescent="0.35">
      <c r="A1127" s="1" t="s">
        <v>1727</v>
      </c>
      <c r="B1127" s="1" t="s">
        <v>1224</v>
      </c>
      <c r="C1127" s="1" t="s">
        <v>1210</v>
      </c>
      <c r="D1127" s="2">
        <v>46177</v>
      </c>
      <c r="E1127">
        <v>96.23</v>
      </c>
      <c r="F1127" s="1" t="s">
        <v>6557</v>
      </c>
      <c r="G1127" s="2">
        <v>46177.780105902777</v>
      </c>
      <c r="H1127" s="1" t="s">
        <v>1211</v>
      </c>
      <c r="I1127" s="2">
        <v>46177.780105821759</v>
      </c>
      <c r="J1127" s="1" t="s">
        <v>1211</v>
      </c>
    </row>
    <row r="1128" spans="1:10" x14ac:dyDescent="0.35">
      <c r="A1128" s="1" t="s">
        <v>1728</v>
      </c>
      <c r="B1128" s="1" t="s">
        <v>1209</v>
      </c>
      <c r="C1128" s="1" t="s">
        <v>1210</v>
      </c>
      <c r="D1128" s="2">
        <v>46177</v>
      </c>
      <c r="E1128">
        <v>2.69020854643367E-2</v>
      </c>
      <c r="F1128" s="1" t="s">
        <v>6558</v>
      </c>
      <c r="G1128" s="2">
        <v>46177.77739221065</v>
      </c>
      <c r="H1128" s="1" t="s">
        <v>1211</v>
      </c>
      <c r="I1128" s="2">
        <v>46177.77739221065</v>
      </c>
      <c r="J1128" s="1" t="s">
        <v>1211</v>
      </c>
    </row>
    <row r="1129" spans="1:10" x14ac:dyDescent="0.35">
      <c r="A1129" s="1" t="s">
        <v>1729</v>
      </c>
      <c r="B1129" s="1" t="s">
        <v>1209</v>
      </c>
      <c r="C1129" s="1" t="s">
        <v>1210</v>
      </c>
      <c r="D1129" s="2">
        <v>46177</v>
      </c>
      <c r="E1129">
        <v>3.35455930295585E-2</v>
      </c>
      <c r="F1129" s="1" t="s">
        <v>6559</v>
      </c>
      <c r="G1129" s="2">
        <v>46177.777392361109</v>
      </c>
      <c r="H1129" s="1" t="s">
        <v>1211</v>
      </c>
      <c r="I1129" s="2">
        <v>46177.777392361109</v>
      </c>
      <c r="J1129" s="1" t="s">
        <v>1211</v>
      </c>
    </row>
    <row r="1130" spans="1:10" x14ac:dyDescent="0.35">
      <c r="A1130" s="1" t="s">
        <v>1730</v>
      </c>
      <c r="B1130" s="1" t="s">
        <v>1209</v>
      </c>
      <c r="C1130" s="1" t="s">
        <v>1210</v>
      </c>
      <c r="D1130" s="2">
        <v>46177</v>
      </c>
      <c r="E1130">
        <v>3.4766916303895098E-2</v>
      </c>
      <c r="F1130" s="1" t="s">
        <v>6560</v>
      </c>
      <c r="G1130" s="2">
        <v>46177.777392511576</v>
      </c>
      <c r="H1130" s="1" t="s">
        <v>1211</v>
      </c>
      <c r="I1130" s="2">
        <v>46177.777392557873</v>
      </c>
      <c r="J1130" s="1" t="s">
        <v>1211</v>
      </c>
    </row>
    <row r="1131" spans="1:10" x14ac:dyDescent="0.35">
      <c r="A1131" s="1" t="s">
        <v>1731</v>
      </c>
      <c r="B1131" s="1" t="s">
        <v>1209</v>
      </c>
      <c r="C1131" s="1" t="s">
        <v>1210</v>
      </c>
      <c r="D1131" s="2">
        <v>46177</v>
      </c>
      <c r="E1131">
        <v>1.2418471374785901E-2</v>
      </c>
      <c r="F1131" s="1" t="s">
        <v>6561</v>
      </c>
      <c r="G1131" s="2">
        <v>46177.777392673612</v>
      </c>
      <c r="H1131" s="1" t="s">
        <v>1211</v>
      </c>
      <c r="I1131" s="2">
        <v>46177.777392557873</v>
      </c>
      <c r="J1131" s="1" t="s">
        <v>1211</v>
      </c>
    </row>
    <row r="1132" spans="1:10" x14ac:dyDescent="0.35">
      <c r="A1132" s="1" t="s">
        <v>1732</v>
      </c>
      <c r="B1132" s="1" t="s">
        <v>1209</v>
      </c>
      <c r="C1132" s="1" t="s">
        <v>1210</v>
      </c>
      <c r="D1132" s="2">
        <v>46177</v>
      </c>
      <c r="E1132">
        <v>3.2609907728158E-2</v>
      </c>
      <c r="F1132" s="1" t="s">
        <v>6562</v>
      </c>
      <c r="G1132" s="2">
        <v>46177.777392824071</v>
      </c>
      <c r="H1132" s="1" t="s">
        <v>1211</v>
      </c>
      <c r="I1132" s="2">
        <v>46177.777392743053</v>
      </c>
      <c r="J1132" s="1" t="s">
        <v>1211</v>
      </c>
    </row>
    <row r="1133" spans="1:10" x14ac:dyDescent="0.35">
      <c r="A1133" s="1" t="s">
        <v>1733</v>
      </c>
      <c r="B1133" s="1" t="s">
        <v>1209</v>
      </c>
      <c r="C1133" s="1" t="s">
        <v>1210</v>
      </c>
      <c r="D1133" s="2">
        <v>46177</v>
      </c>
      <c r="E1133">
        <v>9.7006932208103195E-3</v>
      </c>
      <c r="F1133" s="1" t="s">
        <v>6563</v>
      </c>
      <c r="G1133" s="2">
        <v>46177.777392939817</v>
      </c>
      <c r="H1133" s="1" t="s">
        <v>1211</v>
      </c>
      <c r="I1133" s="2">
        <v>46177.777392905089</v>
      </c>
      <c r="J1133" s="1" t="s">
        <v>1211</v>
      </c>
    </row>
    <row r="1134" spans="1:10" x14ac:dyDescent="0.35">
      <c r="A1134" s="1" t="s">
        <v>1734</v>
      </c>
      <c r="B1134" s="1" t="s">
        <v>1209</v>
      </c>
      <c r="C1134" s="1" t="s">
        <v>1210</v>
      </c>
      <c r="D1134" s="2">
        <v>46177</v>
      </c>
      <c r="E1134">
        <v>2.8691381919977499E-2</v>
      </c>
      <c r="F1134" s="1" t="s">
        <v>6564</v>
      </c>
      <c r="G1134" s="2">
        <v>46177.777393090277</v>
      </c>
      <c r="H1134" s="1" t="s">
        <v>1211</v>
      </c>
      <c r="I1134" s="2">
        <v>46177.777393090277</v>
      </c>
      <c r="J1134" s="1" t="s">
        <v>1211</v>
      </c>
    </row>
    <row r="1135" spans="1:10" x14ac:dyDescent="0.35">
      <c r="A1135" s="1" t="s">
        <v>1735</v>
      </c>
      <c r="B1135" s="1" t="s">
        <v>1209</v>
      </c>
      <c r="C1135" s="1" t="s">
        <v>1210</v>
      </c>
      <c r="D1135" s="2">
        <v>46177</v>
      </c>
      <c r="E1135">
        <v>3.5749033646766203E-2</v>
      </c>
      <c r="F1135" s="1" t="s">
        <v>6565</v>
      </c>
      <c r="G1135" s="2">
        <v>46177.77739328704</v>
      </c>
      <c r="H1135" s="1" t="s">
        <v>1211</v>
      </c>
      <c r="I1135" s="2">
        <v>46177.77739328704</v>
      </c>
      <c r="J1135" s="1" t="s">
        <v>1211</v>
      </c>
    </row>
    <row r="1136" spans="1:10" x14ac:dyDescent="0.35">
      <c r="A1136" s="1" t="s">
        <v>1736</v>
      </c>
      <c r="B1136" s="1" t="s">
        <v>1209</v>
      </c>
      <c r="C1136" s="1" t="s">
        <v>1210</v>
      </c>
      <c r="D1136" s="2">
        <v>46177</v>
      </c>
      <c r="E1136">
        <v>4.4759403075638103E-2</v>
      </c>
      <c r="F1136" s="1" t="s">
        <v>6566</v>
      </c>
      <c r="G1136" s="2">
        <v>46177.777393402779</v>
      </c>
      <c r="H1136" s="1" t="s">
        <v>1211</v>
      </c>
      <c r="I1136" s="2">
        <v>46177.777393483797</v>
      </c>
      <c r="J1136" s="1" t="s">
        <v>1211</v>
      </c>
    </row>
    <row r="1137" spans="1:10" x14ac:dyDescent="0.35">
      <c r="A1137" s="1" t="s">
        <v>1737</v>
      </c>
      <c r="B1137" s="1" t="s">
        <v>1209</v>
      </c>
      <c r="C1137" s="1" t="s">
        <v>1210</v>
      </c>
      <c r="D1137" s="2">
        <v>46177</v>
      </c>
      <c r="E1137">
        <v>3.9032195256352098E-2</v>
      </c>
      <c r="F1137" s="1" t="s">
        <v>6567</v>
      </c>
      <c r="G1137" s="2">
        <v>46177.777393553239</v>
      </c>
      <c r="H1137" s="1" t="s">
        <v>1211</v>
      </c>
      <c r="I1137" s="2">
        <v>46177.777393483797</v>
      </c>
      <c r="J1137" s="1" t="s">
        <v>1211</v>
      </c>
    </row>
    <row r="1138" spans="1:10" x14ac:dyDescent="0.35">
      <c r="A1138" s="1" t="s">
        <v>1738</v>
      </c>
      <c r="B1138" s="1" t="s">
        <v>1209</v>
      </c>
      <c r="C1138" s="1" t="s">
        <v>1210</v>
      </c>
      <c r="D1138" s="2">
        <v>46177</v>
      </c>
      <c r="E1138">
        <v>1.7580130971831E-2</v>
      </c>
      <c r="F1138" s="1" t="s">
        <v>6568</v>
      </c>
      <c r="G1138" s="2">
        <v>46177.777393715274</v>
      </c>
      <c r="H1138" s="1" t="s">
        <v>1211</v>
      </c>
      <c r="I1138" s="2">
        <v>46177.777393634256</v>
      </c>
      <c r="J1138" s="1" t="s">
        <v>1211</v>
      </c>
    </row>
    <row r="1139" spans="1:10" x14ac:dyDescent="0.35">
      <c r="A1139" s="1" t="s">
        <v>1739</v>
      </c>
      <c r="B1139" s="1" t="s">
        <v>1209</v>
      </c>
      <c r="C1139" s="1" t="s">
        <v>1210</v>
      </c>
      <c r="D1139" s="2">
        <v>46177</v>
      </c>
      <c r="E1139">
        <v>4.0437985034464503E-2</v>
      </c>
      <c r="F1139" s="1" t="s">
        <v>6569</v>
      </c>
      <c r="G1139" s="2">
        <v>46177.777393865741</v>
      </c>
      <c r="H1139" s="1" t="s">
        <v>1211</v>
      </c>
      <c r="I1139" s="2">
        <v>46177.77739383102</v>
      </c>
      <c r="J1139" s="1" t="s">
        <v>1211</v>
      </c>
    </row>
    <row r="1140" spans="1:10" x14ac:dyDescent="0.35">
      <c r="A1140" s="1" t="s">
        <v>1740</v>
      </c>
      <c r="B1140" s="1" t="s">
        <v>1209</v>
      </c>
      <c r="C1140" s="1" t="s">
        <v>1210</v>
      </c>
      <c r="D1140" s="2">
        <v>46177</v>
      </c>
      <c r="E1140">
        <v>4.5202816770531097E-2</v>
      </c>
      <c r="F1140" s="1" t="s">
        <v>6570</v>
      </c>
      <c r="G1140" s="2">
        <v>46177.777394097226</v>
      </c>
      <c r="H1140" s="1" t="s">
        <v>1211</v>
      </c>
      <c r="I1140" s="2">
        <v>46177.777394016201</v>
      </c>
      <c r="J1140" s="1" t="s">
        <v>1211</v>
      </c>
    </row>
    <row r="1141" spans="1:10" x14ac:dyDescent="0.35">
      <c r="A1141" s="1" t="s">
        <v>1741</v>
      </c>
      <c r="B1141" s="1" t="s">
        <v>1209</v>
      </c>
      <c r="C1141" s="1" t="s">
        <v>1210</v>
      </c>
      <c r="D1141" s="2">
        <v>46177</v>
      </c>
      <c r="E1141">
        <v>-3.2161399978251899E-3</v>
      </c>
      <c r="F1141" s="1" t="s">
        <v>6571</v>
      </c>
      <c r="G1141" s="2">
        <v>46177.777394247685</v>
      </c>
      <c r="H1141" s="1" t="s">
        <v>1211</v>
      </c>
      <c r="I1141" s="2">
        <v>46177.777394178243</v>
      </c>
      <c r="J1141" s="1" t="s">
        <v>1211</v>
      </c>
    </row>
    <row r="1142" spans="1:10" x14ac:dyDescent="0.35">
      <c r="A1142" s="1" t="s">
        <v>1742</v>
      </c>
      <c r="B1142" s="1" t="s">
        <v>1209</v>
      </c>
      <c r="C1142" s="1" t="s">
        <v>1210</v>
      </c>
      <c r="D1142" s="2">
        <v>46177</v>
      </c>
      <c r="E1142">
        <v>2.77291035579523E-2</v>
      </c>
      <c r="F1142" s="1" t="s">
        <v>6572</v>
      </c>
      <c r="G1142" s="2">
        <v>46177.777394409721</v>
      </c>
      <c r="H1142" s="1" t="s">
        <v>1211</v>
      </c>
      <c r="I1142" s="2">
        <v>46177.777394363424</v>
      </c>
      <c r="J1142" s="1" t="s">
        <v>1211</v>
      </c>
    </row>
    <row r="1143" spans="1:10" x14ac:dyDescent="0.35">
      <c r="A1143" s="1" t="s">
        <v>1743</v>
      </c>
      <c r="B1143" s="1" t="s">
        <v>1209</v>
      </c>
      <c r="C1143" s="1" t="s">
        <v>1210</v>
      </c>
      <c r="D1143" s="2">
        <v>46177</v>
      </c>
      <c r="E1143">
        <v>4.2271120154455402E-2</v>
      </c>
      <c r="F1143" s="1" t="s">
        <v>6573</v>
      </c>
      <c r="G1143" s="2">
        <v>46177.777394560188</v>
      </c>
      <c r="H1143" s="1" t="s">
        <v>1211</v>
      </c>
      <c r="I1143" s="2">
        <v>46177.777394560188</v>
      </c>
      <c r="J1143" s="1" t="s">
        <v>1211</v>
      </c>
    </row>
    <row r="1144" spans="1:10" x14ac:dyDescent="0.35">
      <c r="A1144" s="1" t="s">
        <v>1744</v>
      </c>
      <c r="B1144" s="1" t="s">
        <v>1209</v>
      </c>
      <c r="C1144" s="1" t="s">
        <v>1210</v>
      </c>
      <c r="D1144" s="2">
        <v>46177</v>
      </c>
      <c r="E1144">
        <v>2.9756729358776799E-2</v>
      </c>
      <c r="F1144" s="1" t="s">
        <v>6574</v>
      </c>
      <c r="G1144" s="2">
        <v>46177.777394710647</v>
      </c>
      <c r="H1144" s="1" t="s">
        <v>1211</v>
      </c>
      <c r="I1144" s="2">
        <v>46177.777394710647</v>
      </c>
      <c r="J1144" s="1" t="s">
        <v>1211</v>
      </c>
    </row>
    <row r="1145" spans="1:10" x14ac:dyDescent="0.35">
      <c r="A1145" s="1" t="s">
        <v>1745</v>
      </c>
      <c r="B1145" s="1" t="s">
        <v>1209</v>
      </c>
      <c r="C1145" s="1" t="s">
        <v>1210</v>
      </c>
      <c r="D1145" s="2">
        <v>46177</v>
      </c>
      <c r="E1145">
        <v>3.0933981023456701E-2</v>
      </c>
      <c r="F1145" s="1" t="s">
        <v>6575</v>
      </c>
      <c r="G1145" s="2">
        <v>46177.777394872683</v>
      </c>
      <c r="H1145" s="1" t="s">
        <v>1211</v>
      </c>
      <c r="I1145" s="2">
        <v>46177.777394907411</v>
      </c>
      <c r="J1145" s="1" t="s">
        <v>1211</v>
      </c>
    </row>
    <row r="1146" spans="1:10" x14ac:dyDescent="0.35">
      <c r="A1146" s="1" t="s">
        <v>1746</v>
      </c>
      <c r="B1146" s="1" t="s">
        <v>1209</v>
      </c>
      <c r="C1146" s="1" t="s">
        <v>1210</v>
      </c>
      <c r="D1146" s="2">
        <v>46177</v>
      </c>
      <c r="E1146">
        <v>4.4380059855945002E-2</v>
      </c>
      <c r="F1146" s="1" t="s">
        <v>6576</v>
      </c>
      <c r="G1146" s="2">
        <v>46177.777395023149</v>
      </c>
      <c r="H1146" s="1" t="s">
        <v>1211</v>
      </c>
      <c r="I1146" s="2">
        <v>46177.777395104167</v>
      </c>
      <c r="J1146" s="1" t="s">
        <v>1211</v>
      </c>
    </row>
    <row r="1147" spans="1:10" x14ac:dyDescent="0.35">
      <c r="A1147" s="1" t="s">
        <v>1747</v>
      </c>
      <c r="B1147" s="1" t="s">
        <v>1209</v>
      </c>
      <c r="C1147" s="1" t="s">
        <v>1210</v>
      </c>
      <c r="D1147" s="2">
        <v>46177</v>
      </c>
      <c r="E1147">
        <v>3.7253808954359001E-2</v>
      </c>
      <c r="F1147" s="1" t="s">
        <v>6577</v>
      </c>
      <c r="G1147" s="2">
        <v>46177.777395173609</v>
      </c>
      <c r="H1147" s="1" t="s">
        <v>1211</v>
      </c>
      <c r="I1147" s="2">
        <v>46177.777395104167</v>
      </c>
      <c r="J1147" s="1" t="s">
        <v>1211</v>
      </c>
    </row>
    <row r="1148" spans="1:10" x14ac:dyDescent="0.35">
      <c r="A1148" s="1" t="s">
        <v>1748</v>
      </c>
      <c r="B1148" s="1" t="s">
        <v>1209</v>
      </c>
      <c r="C1148" s="1" t="s">
        <v>1210</v>
      </c>
      <c r="D1148" s="2">
        <v>46177</v>
      </c>
      <c r="E1148">
        <v>4.71597515903815E-2</v>
      </c>
      <c r="F1148" s="1" t="s">
        <v>6578</v>
      </c>
      <c r="G1148" s="2">
        <v>46177.777395335645</v>
      </c>
      <c r="H1148" s="1" t="s">
        <v>1211</v>
      </c>
      <c r="I1148" s="2">
        <v>46177.777395254627</v>
      </c>
      <c r="J1148" s="1" t="s">
        <v>1211</v>
      </c>
    </row>
    <row r="1149" spans="1:10" x14ac:dyDescent="0.35">
      <c r="A1149" s="1" t="s">
        <v>1749</v>
      </c>
      <c r="B1149" s="1" t="s">
        <v>1209</v>
      </c>
      <c r="C1149" s="1" t="s">
        <v>1210</v>
      </c>
      <c r="D1149" s="2">
        <v>46177</v>
      </c>
      <c r="E1149">
        <v>2.4607269948762799E-2</v>
      </c>
      <c r="F1149" s="1" t="s">
        <v>6579</v>
      </c>
      <c r="G1149" s="2">
        <v>46177.777395486111</v>
      </c>
      <c r="H1149" s="1" t="s">
        <v>1211</v>
      </c>
      <c r="I1149" s="2">
        <v>46177.77739545139</v>
      </c>
      <c r="J1149" s="1" t="s">
        <v>1211</v>
      </c>
    </row>
    <row r="1150" spans="1:10" x14ac:dyDescent="0.35">
      <c r="A1150" s="1" t="s">
        <v>1750</v>
      </c>
      <c r="B1150" s="1" t="s">
        <v>1209</v>
      </c>
      <c r="C1150" s="1" t="s">
        <v>1210</v>
      </c>
      <c r="D1150" s="2">
        <v>46177</v>
      </c>
      <c r="E1150">
        <v>2.0122919182046999E-2</v>
      </c>
      <c r="F1150" s="1" t="s">
        <v>6580</v>
      </c>
      <c r="G1150" s="2">
        <v>46177.777395636571</v>
      </c>
      <c r="H1150" s="1" t="s">
        <v>1211</v>
      </c>
      <c r="I1150" s="2">
        <v>46177.777395636571</v>
      </c>
      <c r="J1150" s="1" t="s">
        <v>1211</v>
      </c>
    </row>
    <row r="1151" spans="1:10" x14ac:dyDescent="0.35">
      <c r="A1151" s="1" t="s">
        <v>1751</v>
      </c>
      <c r="B1151" s="1" t="s">
        <v>1209</v>
      </c>
      <c r="C1151" s="1" t="s">
        <v>1210</v>
      </c>
      <c r="D1151" s="2">
        <v>46177</v>
      </c>
      <c r="E1151">
        <v>3.9618429436542098E-2</v>
      </c>
      <c r="F1151" s="1" t="s">
        <v>6581</v>
      </c>
      <c r="G1151" s="2">
        <v>46177.777395798614</v>
      </c>
      <c r="H1151" s="1" t="s">
        <v>1211</v>
      </c>
      <c r="I1151" s="2">
        <v>46177.777395798614</v>
      </c>
      <c r="J1151" s="1" t="s">
        <v>1211</v>
      </c>
    </row>
    <row r="1152" spans="1:10" x14ac:dyDescent="0.35">
      <c r="A1152" s="1" t="s">
        <v>1752</v>
      </c>
      <c r="B1152" s="1" t="s">
        <v>1209</v>
      </c>
      <c r="C1152" s="1" t="s">
        <v>1210</v>
      </c>
      <c r="D1152" s="2">
        <v>46177</v>
      </c>
      <c r="E1152">
        <v>1.27043091356166E-2</v>
      </c>
      <c r="F1152" s="1" t="s">
        <v>6582</v>
      </c>
      <c r="G1152" s="2">
        <v>46177.777395949073</v>
      </c>
      <c r="H1152" s="1" t="s">
        <v>1211</v>
      </c>
      <c r="I1152" s="2">
        <v>46177.777396030091</v>
      </c>
      <c r="J1152" s="1" t="s">
        <v>1211</v>
      </c>
    </row>
    <row r="1153" spans="1:10" x14ac:dyDescent="0.35">
      <c r="A1153" s="1" t="s">
        <v>1753</v>
      </c>
      <c r="B1153" s="1" t="s">
        <v>1209</v>
      </c>
      <c r="C1153" s="1" t="s">
        <v>1210</v>
      </c>
      <c r="D1153" s="2">
        <v>46177</v>
      </c>
      <c r="E1153">
        <v>2.6768203999994501E-2</v>
      </c>
      <c r="F1153" s="1" t="s">
        <v>6583</v>
      </c>
      <c r="G1153" s="2">
        <v>46177.77739609954</v>
      </c>
      <c r="H1153" s="1" t="s">
        <v>1211</v>
      </c>
      <c r="I1153" s="2">
        <v>46177.777396030091</v>
      </c>
      <c r="J1153" s="1" t="s">
        <v>1211</v>
      </c>
    </row>
    <row r="1154" spans="1:10" x14ac:dyDescent="0.35">
      <c r="A1154" s="1" t="s">
        <v>1754</v>
      </c>
      <c r="B1154" s="1" t="s">
        <v>1209</v>
      </c>
      <c r="C1154" s="1" t="s">
        <v>1210</v>
      </c>
      <c r="D1154" s="2">
        <v>46177</v>
      </c>
      <c r="E1154">
        <v>4.3473101109732598E-2</v>
      </c>
      <c r="F1154" s="1" t="s">
        <v>6584</v>
      </c>
      <c r="G1154" s="2">
        <v>46177.777396261576</v>
      </c>
      <c r="H1154" s="1" t="s">
        <v>1211</v>
      </c>
      <c r="I1154" s="2">
        <v>46177.777396215279</v>
      </c>
      <c r="J1154" s="1" t="s">
        <v>1211</v>
      </c>
    </row>
    <row r="1155" spans="1:10" x14ac:dyDescent="0.35">
      <c r="A1155" s="1" t="s">
        <v>1755</v>
      </c>
      <c r="B1155" s="1" t="s">
        <v>1209</v>
      </c>
      <c r="C1155" s="1" t="s">
        <v>1210</v>
      </c>
      <c r="D1155" s="2">
        <v>46177</v>
      </c>
      <c r="E1155">
        <v>2.8123271984378299E-2</v>
      </c>
      <c r="F1155" s="1" t="s">
        <v>6585</v>
      </c>
      <c r="G1155" s="2">
        <v>46177.777396412035</v>
      </c>
      <c r="H1155" s="1" t="s">
        <v>1211</v>
      </c>
      <c r="I1155" s="2">
        <v>46177.777396412035</v>
      </c>
      <c r="J1155" s="1" t="s">
        <v>1211</v>
      </c>
    </row>
    <row r="1156" spans="1:10" x14ac:dyDescent="0.35">
      <c r="A1156" s="1" t="s">
        <v>1756</v>
      </c>
      <c r="B1156" s="1" t="s">
        <v>1209</v>
      </c>
      <c r="C1156" s="1" t="s">
        <v>1210</v>
      </c>
      <c r="D1156" s="2">
        <v>46177</v>
      </c>
      <c r="E1156">
        <v>3.5015747431529097E-2</v>
      </c>
      <c r="F1156" s="1" t="s">
        <v>6586</v>
      </c>
      <c r="G1156" s="2">
        <v>46177.777396527781</v>
      </c>
      <c r="H1156" s="1" t="s">
        <v>1211</v>
      </c>
      <c r="I1156" s="2">
        <v>46177.777396608799</v>
      </c>
      <c r="J1156" s="1" t="s">
        <v>1211</v>
      </c>
    </row>
    <row r="1157" spans="1:10" x14ac:dyDescent="0.35">
      <c r="A1157" s="1" t="s">
        <v>1757</v>
      </c>
      <c r="B1157" s="1" t="s">
        <v>1209</v>
      </c>
      <c r="C1157" s="1" t="s">
        <v>1210</v>
      </c>
      <c r="D1157" s="2">
        <v>46177</v>
      </c>
      <c r="E1157">
        <v>2.84187827248778E-2</v>
      </c>
      <c r="F1157" s="1" t="s">
        <v>6587</v>
      </c>
      <c r="G1157" s="2">
        <v>46177.777396724538</v>
      </c>
      <c r="H1157" s="1" t="s">
        <v>1211</v>
      </c>
      <c r="I1157" s="2">
        <v>46177.777396608799</v>
      </c>
      <c r="J1157" s="1" t="s">
        <v>1211</v>
      </c>
    </row>
    <row r="1158" spans="1:10" x14ac:dyDescent="0.35">
      <c r="A1158" s="1" t="s">
        <v>1758</v>
      </c>
      <c r="B1158" s="1" t="s">
        <v>1209</v>
      </c>
      <c r="C1158" s="1" t="s">
        <v>1210</v>
      </c>
      <c r="D1158" s="2">
        <v>46177</v>
      </c>
      <c r="E1158">
        <v>4.3939791696287797E-2</v>
      </c>
      <c r="F1158" s="1" t="s">
        <v>6588</v>
      </c>
      <c r="G1158" s="2">
        <v>46177.777396874997</v>
      </c>
      <c r="H1158" s="1" t="s">
        <v>1211</v>
      </c>
      <c r="I1158" s="2">
        <v>46177.777396759258</v>
      </c>
      <c r="J1158" s="1" t="s">
        <v>1211</v>
      </c>
    </row>
    <row r="1159" spans="1:10" x14ac:dyDescent="0.35">
      <c r="A1159" s="1" t="s">
        <v>1759</v>
      </c>
      <c r="B1159" s="1" t="s">
        <v>1209</v>
      </c>
      <c r="C1159" s="1" t="s">
        <v>1210</v>
      </c>
      <c r="D1159" s="2">
        <v>46177</v>
      </c>
      <c r="E1159">
        <v>2.8845926288785E-2</v>
      </c>
      <c r="F1159" s="1" t="s">
        <v>6589</v>
      </c>
      <c r="G1159" s="2">
        <v>46177.777397025464</v>
      </c>
      <c r="H1159" s="1" t="s">
        <v>1211</v>
      </c>
      <c r="I1159" s="2">
        <v>46177.777396956022</v>
      </c>
      <c r="J1159" s="1" t="s">
        <v>1211</v>
      </c>
    </row>
    <row r="1160" spans="1:10" x14ac:dyDescent="0.35">
      <c r="A1160" s="1" t="s">
        <v>1760</v>
      </c>
      <c r="B1160" s="1" t="s">
        <v>1209</v>
      </c>
      <c r="C1160" s="1" t="s">
        <v>1210</v>
      </c>
      <c r="D1160" s="2">
        <v>46177</v>
      </c>
      <c r="E1160">
        <v>2.9315881950093801E-2</v>
      </c>
      <c r="F1160" s="1" t="s">
        <v>6590</v>
      </c>
      <c r="G1160" s="2">
        <v>46177.777397187499</v>
      </c>
      <c r="H1160" s="1" t="s">
        <v>1211</v>
      </c>
      <c r="I1160" s="2">
        <v>46177.777397141203</v>
      </c>
      <c r="J1160" s="1" t="s">
        <v>1211</v>
      </c>
    </row>
    <row r="1161" spans="1:10" x14ac:dyDescent="0.35">
      <c r="A1161" s="1" t="s">
        <v>1761</v>
      </c>
      <c r="B1161" s="1" t="s">
        <v>1209</v>
      </c>
      <c r="C1161" s="1" t="s">
        <v>1210</v>
      </c>
      <c r="D1161" s="2">
        <v>46177</v>
      </c>
      <c r="E1161">
        <v>4.4285188313906099E-2</v>
      </c>
      <c r="F1161" s="1" t="s">
        <v>6591</v>
      </c>
      <c r="G1161" s="2">
        <v>46177.777397337966</v>
      </c>
      <c r="H1161" s="1" t="s">
        <v>1211</v>
      </c>
      <c r="I1161" s="2">
        <v>46177.777397303238</v>
      </c>
      <c r="J1161" s="1" t="s">
        <v>1211</v>
      </c>
    </row>
    <row r="1162" spans="1:10" x14ac:dyDescent="0.35">
      <c r="A1162" s="1" t="s">
        <v>1762</v>
      </c>
      <c r="B1162" s="1" t="s">
        <v>1209</v>
      </c>
      <c r="C1162" s="1" t="s">
        <v>1210</v>
      </c>
      <c r="D1162" s="2">
        <v>46177</v>
      </c>
      <c r="E1162">
        <v>4.0674227686635402E-2</v>
      </c>
      <c r="F1162" s="1" t="s">
        <v>6592</v>
      </c>
      <c r="G1162" s="2">
        <v>46177.777397453705</v>
      </c>
      <c r="H1162" s="1" t="s">
        <v>1211</v>
      </c>
      <c r="I1162" s="2">
        <v>46177.777397488426</v>
      </c>
      <c r="J1162" s="1" t="s">
        <v>1211</v>
      </c>
    </row>
    <row r="1163" spans="1:10" x14ac:dyDescent="0.35">
      <c r="A1163" s="1" t="s">
        <v>1763</v>
      </c>
      <c r="B1163" s="1" t="s">
        <v>1209</v>
      </c>
      <c r="C1163" s="1" t="s">
        <v>1210</v>
      </c>
      <c r="D1163" s="2">
        <v>46177</v>
      </c>
      <c r="E1163">
        <v>3.0344821191360401E-2</v>
      </c>
      <c r="F1163" s="1" t="s">
        <v>6593</v>
      </c>
      <c r="G1163" s="2">
        <v>46177.777397604164</v>
      </c>
      <c r="H1163" s="1" t="s">
        <v>1211</v>
      </c>
      <c r="I1163" s="2">
        <v>46177.777397685182</v>
      </c>
      <c r="J1163" s="1" t="s">
        <v>1211</v>
      </c>
    </row>
    <row r="1164" spans="1:10" x14ac:dyDescent="0.35">
      <c r="A1164" s="1" t="s">
        <v>1764</v>
      </c>
      <c r="B1164" s="1" t="s">
        <v>1209</v>
      </c>
      <c r="C1164" s="1" t="s">
        <v>1210</v>
      </c>
      <c r="D1164" s="2">
        <v>46177</v>
      </c>
      <c r="E1164">
        <v>4.1379279700756597E-2</v>
      </c>
      <c r="F1164" s="1" t="s">
        <v>6594</v>
      </c>
      <c r="G1164" s="2">
        <v>46177.777397766207</v>
      </c>
      <c r="H1164" s="1" t="s">
        <v>1211</v>
      </c>
      <c r="I1164" s="2">
        <v>46177.777397685182</v>
      </c>
      <c r="J1164" s="1" t="s">
        <v>1211</v>
      </c>
    </row>
    <row r="1165" spans="1:10" x14ac:dyDescent="0.35">
      <c r="A1165" s="1" t="s">
        <v>1765</v>
      </c>
      <c r="B1165" s="1" t="s">
        <v>1209</v>
      </c>
      <c r="C1165" s="1" t="s">
        <v>1210</v>
      </c>
      <c r="D1165" s="2">
        <v>46177</v>
      </c>
      <c r="E1165">
        <v>4.2174647946212097E-2</v>
      </c>
      <c r="F1165" s="1" t="s">
        <v>6595</v>
      </c>
      <c r="G1165" s="2">
        <v>46177.777397916667</v>
      </c>
      <c r="H1165" s="1" t="s">
        <v>1211</v>
      </c>
      <c r="I1165" s="2">
        <v>46177.777397881946</v>
      </c>
      <c r="J1165" s="1" t="s">
        <v>1211</v>
      </c>
    </row>
    <row r="1166" spans="1:10" x14ac:dyDescent="0.35">
      <c r="A1166" s="1" t="s">
        <v>1766</v>
      </c>
      <c r="B1166" s="1" t="s">
        <v>1209</v>
      </c>
      <c r="C1166" s="1" t="s">
        <v>1210</v>
      </c>
      <c r="D1166" s="2">
        <v>46177</v>
      </c>
      <c r="E1166">
        <v>3.1620545650795501E-2</v>
      </c>
      <c r="F1166" s="1" t="s">
        <v>6596</v>
      </c>
      <c r="G1166" s="2">
        <v>46177.777398067126</v>
      </c>
      <c r="H1166" s="1" t="s">
        <v>1211</v>
      </c>
      <c r="I1166" s="2">
        <v>46177.777398032405</v>
      </c>
      <c r="J1166" s="1" t="s">
        <v>1211</v>
      </c>
    </row>
    <row r="1167" spans="1:10" x14ac:dyDescent="0.35">
      <c r="A1167" s="1" t="s">
        <v>1767</v>
      </c>
      <c r="B1167" s="1" t="s">
        <v>1209</v>
      </c>
      <c r="C1167" s="1" t="s">
        <v>1210</v>
      </c>
      <c r="D1167" s="2">
        <v>46177</v>
      </c>
      <c r="E1167">
        <v>2.5846655610555099E-2</v>
      </c>
      <c r="F1167" s="1" t="s">
        <v>6597</v>
      </c>
      <c r="G1167" s="2">
        <v>46177.77739826389</v>
      </c>
      <c r="H1167" s="1" t="s">
        <v>1211</v>
      </c>
      <c r="I1167" s="2">
        <v>46177.777398229169</v>
      </c>
      <c r="J1167" s="1" t="s">
        <v>1211</v>
      </c>
    </row>
    <row r="1168" spans="1:10" x14ac:dyDescent="0.35">
      <c r="A1168" s="1" t="s">
        <v>1768</v>
      </c>
      <c r="B1168" s="1" t="s">
        <v>1209</v>
      </c>
      <c r="C1168" s="1" t="s">
        <v>1210</v>
      </c>
      <c r="D1168" s="2">
        <v>46177</v>
      </c>
      <c r="E1168">
        <v>1.59251902030406E-2</v>
      </c>
      <c r="F1168" s="1" t="s">
        <v>6598</v>
      </c>
      <c r="G1168" s="2">
        <v>46177.77739841435</v>
      </c>
      <c r="H1168" s="1" t="s">
        <v>1211</v>
      </c>
      <c r="I1168" s="2">
        <v>46177.777398379629</v>
      </c>
      <c r="J1168" s="1" t="s">
        <v>1211</v>
      </c>
    </row>
    <row r="1169" spans="1:10" x14ac:dyDescent="0.35">
      <c r="A1169" s="1" t="s">
        <v>1769</v>
      </c>
      <c r="B1169" s="1" t="s">
        <v>1209</v>
      </c>
      <c r="C1169" s="1" t="s">
        <v>1210</v>
      </c>
      <c r="D1169" s="2">
        <v>46177</v>
      </c>
      <c r="E1169">
        <v>4.4566093061463703E-2</v>
      </c>
      <c r="F1169" s="1" t="s">
        <v>6599</v>
      </c>
      <c r="G1169" s="2">
        <v>46177.777398576392</v>
      </c>
      <c r="H1169" s="1" t="s">
        <v>1211</v>
      </c>
      <c r="I1169" s="2">
        <v>46177.777398576392</v>
      </c>
      <c r="J1169" s="1" t="s">
        <v>1211</v>
      </c>
    </row>
    <row r="1170" spans="1:10" x14ac:dyDescent="0.35">
      <c r="A1170" s="1" t="s">
        <v>1770</v>
      </c>
      <c r="B1170" s="1" t="s">
        <v>1209</v>
      </c>
      <c r="C1170" s="1" t="s">
        <v>1210</v>
      </c>
      <c r="D1170" s="2">
        <v>46177</v>
      </c>
      <c r="E1170">
        <v>3.2358396230729301E-2</v>
      </c>
      <c r="F1170" s="1" t="s">
        <v>6600</v>
      </c>
      <c r="G1170" s="2">
        <v>46177.777398726852</v>
      </c>
      <c r="H1170" s="1" t="s">
        <v>1211</v>
      </c>
      <c r="I1170" s="2">
        <v>46177.777398761573</v>
      </c>
      <c r="J1170" s="1" t="s">
        <v>1211</v>
      </c>
    </row>
    <row r="1171" spans="1:10" x14ac:dyDescent="0.35">
      <c r="A1171" s="1" t="s">
        <v>1771</v>
      </c>
      <c r="B1171" s="1" t="s">
        <v>1209</v>
      </c>
      <c r="C1171" s="1" t="s">
        <v>1210</v>
      </c>
      <c r="D1171" s="2">
        <v>46177</v>
      </c>
      <c r="E1171">
        <v>3.9237279363968799E-2</v>
      </c>
      <c r="F1171" s="1" t="s">
        <v>6601</v>
      </c>
      <c r="G1171" s="2">
        <v>46177.777398993057</v>
      </c>
      <c r="H1171" s="1" t="s">
        <v>1211</v>
      </c>
      <c r="I1171" s="2">
        <v>46177.777399074075</v>
      </c>
      <c r="J1171" s="1" t="s">
        <v>1211</v>
      </c>
    </row>
    <row r="1172" spans="1:10" x14ac:dyDescent="0.35">
      <c r="A1172" s="1" t="s">
        <v>1772</v>
      </c>
      <c r="B1172" s="1" t="s">
        <v>1209</v>
      </c>
      <c r="C1172" s="1" t="s">
        <v>1210</v>
      </c>
      <c r="D1172" s="2">
        <v>46177</v>
      </c>
      <c r="E1172">
        <v>2.7993108706860399E-2</v>
      </c>
      <c r="F1172" s="1" t="s">
        <v>6602</v>
      </c>
      <c r="G1172" s="2">
        <v>46177.777399155093</v>
      </c>
      <c r="H1172" s="1" t="s">
        <v>1211</v>
      </c>
      <c r="I1172" s="2">
        <v>46177.777399074075</v>
      </c>
      <c r="J1172" s="1" t="s">
        <v>1211</v>
      </c>
    </row>
    <row r="1173" spans="1:10" x14ac:dyDescent="0.35">
      <c r="A1173" s="1" t="s">
        <v>1773</v>
      </c>
      <c r="B1173" s="1" t="s">
        <v>1209</v>
      </c>
      <c r="C1173" s="1" t="s">
        <v>1210</v>
      </c>
      <c r="D1173" s="2">
        <v>46177</v>
      </c>
      <c r="E1173">
        <v>3.2998148619177901E-2</v>
      </c>
      <c r="F1173" s="1" t="s">
        <v>6603</v>
      </c>
      <c r="G1173" s="2">
        <v>46177.777399270832</v>
      </c>
      <c r="H1173" s="1" t="s">
        <v>1211</v>
      </c>
      <c r="I1173" s="2">
        <v>46177.777399270832</v>
      </c>
      <c r="J1173" s="1" t="s">
        <v>1211</v>
      </c>
    </row>
    <row r="1174" spans="1:10" x14ac:dyDescent="0.35">
      <c r="A1174" s="1" t="s">
        <v>1774</v>
      </c>
      <c r="B1174" s="1" t="s">
        <v>1209</v>
      </c>
      <c r="C1174" s="1" t="s">
        <v>1210</v>
      </c>
      <c r="D1174" s="2">
        <v>46177</v>
      </c>
      <c r="E1174">
        <v>4.1854832239576797E-2</v>
      </c>
      <c r="F1174" s="1" t="s">
        <v>6604</v>
      </c>
      <c r="G1174" s="2">
        <v>46177.777399421298</v>
      </c>
      <c r="H1174" s="1" t="s">
        <v>1211</v>
      </c>
      <c r="I1174" s="2">
        <v>46177.777399456019</v>
      </c>
      <c r="J1174" s="1" t="s">
        <v>1211</v>
      </c>
    </row>
    <row r="1175" spans="1:10" x14ac:dyDescent="0.35">
      <c r="A1175" s="1" t="s">
        <v>1775</v>
      </c>
      <c r="B1175" s="1" t="s">
        <v>1209</v>
      </c>
      <c r="C1175" s="1" t="s">
        <v>1210</v>
      </c>
      <c r="D1175" s="2">
        <v>46177</v>
      </c>
      <c r="E1175">
        <v>4.4768599054670503E-2</v>
      </c>
      <c r="F1175" s="1" t="s">
        <v>6605</v>
      </c>
      <c r="G1175" s="2">
        <v>46177.777399537037</v>
      </c>
      <c r="H1175" s="1" t="s">
        <v>1211</v>
      </c>
      <c r="I1175" s="2">
        <v>46177.777399618055</v>
      </c>
      <c r="J1175" s="1" t="s">
        <v>1211</v>
      </c>
    </row>
    <row r="1176" spans="1:10" x14ac:dyDescent="0.35">
      <c r="A1176" s="1" t="s">
        <v>1776</v>
      </c>
      <c r="B1176" s="1" t="s">
        <v>1209</v>
      </c>
      <c r="C1176" s="1" t="s">
        <v>1210</v>
      </c>
      <c r="D1176" s="2">
        <v>46177</v>
      </c>
      <c r="E1176">
        <v>2.3346943383079698E-2</v>
      </c>
      <c r="F1176" s="1" t="s">
        <v>6606</v>
      </c>
      <c r="G1176" s="2">
        <v>46177.777399687497</v>
      </c>
      <c r="H1176" s="1" t="s">
        <v>1211</v>
      </c>
      <c r="I1176" s="2">
        <v>46177.777399803243</v>
      </c>
      <c r="J1176" s="1" t="s">
        <v>1211</v>
      </c>
    </row>
    <row r="1177" spans="1:10" x14ac:dyDescent="0.35">
      <c r="A1177" s="1" t="s">
        <v>1777</v>
      </c>
      <c r="B1177" s="1" t="s">
        <v>1209</v>
      </c>
      <c r="C1177" s="1" t="s">
        <v>1210</v>
      </c>
      <c r="D1177" s="2">
        <v>46177</v>
      </c>
      <c r="E1177">
        <v>3.3688148362128197E-2</v>
      </c>
      <c r="F1177" s="1" t="s">
        <v>6607</v>
      </c>
      <c r="G1177" s="2">
        <v>46177.77739988426</v>
      </c>
      <c r="H1177" s="1" t="s">
        <v>1211</v>
      </c>
      <c r="I1177" s="2">
        <v>46177.777399803243</v>
      </c>
      <c r="J1177" s="1" t="s">
        <v>1211</v>
      </c>
    </row>
    <row r="1178" spans="1:10" x14ac:dyDescent="0.35">
      <c r="A1178" s="1" t="s">
        <v>1778</v>
      </c>
      <c r="B1178" s="1" t="s">
        <v>1209</v>
      </c>
      <c r="C1178" s="1" t="s">
        <v>1210</v>
      </c>
      <c r="D1178" s="2">
        <v>46177</v>
      </c>
      <c r="E1178">
        <v>2.8673387585665001E-2</v>
      </c>
      <c r="F1178" s="1" t="s">
        <v>6608</v>
      </c>
      <c r="G1178" s="2">
        <v>46177.777399999999</v>
      </c>
      <c r="H1178" s="1" t="s">
        <v>1211</v>
      </c>
      <c r="I1178" s="2">
        <v>46177.777399999999</v>
      </c>
      <c r="J1178" s="1" t="s">
        <v>1211</v>
      </c>
    </row>
    <row r="1179" spans="1:10" x14ac:dyDescent="0.35">
      <c r="A1179" s="1" t="s">
        <v>1779</v>
      </c>
      <c r="B1179" s="1" t="s">
        <v>1209</v>
      </c>
      <c r="C1179" s="1" t="s">
        <v>1210</v>
      </c>
      <c r="D1179" s="2">
        <v>46177</v>
      </c>
      <c r="E1179">
        <v>3.4299332451793903E-2</v>
      </c>
      <c r="F1179" s="1" t="s">
        <v>6609</v>
      </c>
      <c r="G1179" s="2">
        <v>46177.777400150466</v>
      </c>
      <c r="H1179" s="1" t="s">
        <v>1211</v>
      </c>
      <c r="I1179" s="2">
        <v>46177.777400196763</v>
      </c>
      <c r="J1179" s="1" t="s">
        <v>1211</v>
      </c>
    </row>
    <row r="1180" spans="1:10" x14ac:dyDescent="0.35">
      <c r="A1180" s="1" t="s">
        <v>1780</v>
      </c>
      <c r="B1180" s="1" t="s">
        <v>1209</v>
      </c>
      <c r="C1180" s="1" t="s">
        <v>1210</v>
      </c>
      <c r="D1180" s="2">
        <v>46177</v>
      </c>
      <c r="E1180">
        <v>2.74950343068892E-2</v>
      </c>
      <c r="F1180" s="1" t="s">
        <v>6610</v>
      </c>
      <c r="G1180" s="2">
        <v>46177.777400312501</v>
      </c>
      <c r="H1180" s="1" t="s">
        <v>1211</v>
      </c>
      <c r="I1180" s="2">
        <v>46177.777400347222</v>
      </c>
      <c r="J1180" s="1" t="s">
        <v>1211</v>
      </c>
    </row>
    <row r="1181" spans="1:10" x14ac:dyDescent="0.35">
      <c r="A1181" s="1" t="s">
        <v>1781</v>
      </c>
      <c r="B1181" s="1" t="s">
        <v>1209</v>
      </c>
      <c r="C1181" s="1" t="s">
        <v>1210</v>
      </c>
      <c r="D1181" s="2">
        <v>46177</v>
      </c>
      <c r="E1181">
        <v>4.34957755146059E-2</v>
      </c>
      <c r="F1181" s="1" t="s">
        <v>6611</v>
      </c>
      <c r="G1181" s="2">
        <v>46177.777400462961</v>
      </c>
      <c r="H1181" s="1" t="s">
        <v>1211</v>
      </c>
      <c r="I1181" s="2">
        <v>46177.777400543979</v>
      </c>
      <c r="J1181" s="1" t="s">
        <v>1211</v>
      </c>
    </row>
    <row r="1182" spans="1:10" x14ac:dyDescent="0.35">
      <c r="A1182" s="1" t="s">
        <v>1782</v>
      </c>
      <c r="B1182" s="1" t="s">
        <v>1209</v>
      </c>
      <c r="C1182" s="1" t="s">
        <v>1210</v>
      </c>
      <c r="D1182" s="2">
        <v>46177</v>
      </c>
      <c r="E1182">
        <v>3.95340287783294E-2</v>
      </c>
      <c r="F1182" s="1" t="s">
        <v>6612</v>
      </c>
      <c r="G1182" s="2">
        <v>46177.777400659725</v>
      </c>
      <c r="H1182" s="1" t="s">
        <v>1211</v>
      </c>
      <c r="I1182" s="2">
        <v>46177.777400729166</v>
      </c>
      <c r="J1182" s="1" t="s">
        <v>1211</v>
      </c>
    </row>
    <row r="1183" spans="1:10" x14ac:dyDescent="0.35">
      <c r="A1183" s="1" t="s">
        <v>1783</v>
      </c>
      <c r="B1183" s="1" t="s">
        <v>1209</v>
      </c>
      <c r="C1183" s="1" t="s">
        <v>1210</v>
      </c>
      <c r="D1183" s="2">
        <v>46177</v>
      </c>
      <c r="E1183">
        <v>4.4919598123691597E-2</v>
      </c>
      <c r="F1183" s="1" t="s">
        <v>6613</v>
      </c>
      <c r="G1183" s="2">
        <v>46177.777400810184</v>
      </c>
      <c r="H1183" s="1" t="s">
        <v>1211</v>
      </c>
      <c r="I1183" s="2">
        <v>46177.777400891202</v>
      </c>
      <c r="J1183" s="1" t="s">
        <v>1211</v>
      </c>
    </row>
    <row r="1184" spans="1:10" x14ac:dyDescent="0.35">
      <c r="A1184" s="1" t="s">
        <v>1784</v>
      </c>
      <c r="B1184" s="1" t="s">
        <v>1209</v>
      </c>
      <c r="C1184" s="1" t="s">
        <v>1210</v>
      </c>
      <c r="D1184" s="2">
        <v>46177</v>
      </c>
      <c r="E1184">
        <v>2.9626713147279798E-2</v>
      </c>
      <c r="F1184" s="1" t="s">
        <v>6614</v>
      </c>
      <c r="G1184" s="2">
        <v>46177.777400960651</v>
      </c>
      <c r="H1184" s="1" t="s">
        <v>1211</v>
      </c>
      <c r="I1184" s="2">
        <v>46177.77740107639</v>
      </c>
      <c r="J1184" s="1" t="s">
        <v>1211</v>
      </c>
    </row>
    <row r="1185" spans="1:10" x14ac:dyDescent="0.35">
      <c r="A1185" s="1" t="s">
        <v>1785</v>
      </c>
      <c r="B1185" s="1" t="s">
        <v>1209</v>
      </c>
      <c r="C1185" s="1" t="s">
        <v>1210</v>
      </c>
      <c r="D1185" s="2">
        <v>46177</v>
      </c>
      <c r="E1185">
        <v>3.5453504951194599E-2</v>
      </c>
      <c r="F1185" s="1" t="s">
        <v>6615</v>
      </c>
      <c r="G1185" s="2">
        <v>46177.777401122687</v>
      </c>
      <c r="H1185" s="1" t="s">
        <v>1211</v>
      </c>
      <c r="I1185" s="2">
        <v>46177.77740107639</v>
      </c>
      <c r="J1185" s="1" t="s">
        <v>1211</v>
      </c>
    </row>
    <row r="1186" spans="1:10" x14ac:dyDescent="0.35">
      <c r="A1186" s="1" t="s">
        <v>1786</v>
      </c>
      <c r="B1186" s="1" t="s">
        <v>1209</v>
      </c>
      <c r="C1186" s="1" t="s">
        <v>1210</v>
      </c>
      <c r="D1186" s="2">
        <v>46177</v>
      </c>
      <c r="E1186">
        <v>4.1402429335643101E-2</v>
      </c>
      <c r="F1186" s="1" t="s">
        <v>6616</v>
      </c>
      <c r="G1186" s="2">
        <v>46177.777401273146</v>
      </c>
      <c r="H1186" s="1" t="s">
        <v>1211</v>
      </c>
      <c r="I1186" s="2">
        <v>46177.777401273146</v>
      </c>
      <c r="J1186" s="1" t="s">
        <v>1211</v>
      </c>
    </row>
    <row r="1187" spans="1:10" x14ac:dyDescent="0.35">
      <c r="A1187" s="1" t="s">
        <v>1787</v>
      </c>
      <c r="B1187" s="1" t="s">
        <v>1209</v>
      </c>
      <c r="C1187" s="1" t="s">
        <v>1210</v>
      </c>
      <c r="D1187" s="2">
        <v>46177</v>
      </c>
      <c r="E1187">
        <v>3.6026732507160202E-2</v>
      </c>
      <c r="F1187" s="1" t="s">
        <v>6617</v>
      </c>
      <c r="G1187" s="2">
        <v>46177.777401423613</v>
      </c>
      <c r="H1187" s="1" t="s">
        <v>1211</v>
      </c>
      <c r="I1187" s="2">
        <v>46177.77740146991</v>
      </c>
      <c r="J1187" s="1" t="s">
        <v>1211</v>
      </c>
    </row>
    <row r="1188" spans="1:10" x14ac:dyDescent="0.35">
      <c r="A1188" s="1" t="s">
        <v>1788</v>
      </c>
      <c r="B1188" s="1" t="s">
        <v>1209</v>
      </c>
      <c r="C1188" s="1" t="s">
        <v>1210</v>
      </c>
      <c r="D1188" s="2">
        <v>46177</v>
      </c>
      <c r="E1188">
        <v>4.5118617164440301E-2</v>
      </c>
      <c r="F1188" s="1" t="s">
        <v>6618</v>
      </c>
      <c r="G1188" s="2">
        <v>46177.777401585648</v>
      </c>
      <c r="H1188" s="1" t="s">
        <v>1211</v>
      </c>
      <c r="I1188" s="2">
        <v>46177.777401620369</v>
      </c>
      <c r="J1188" s="1" t="s">
        <v>1211</v>
      </c>
    </row>
    <row r="1189" spans="1:10" x14ac:dyDescent="0.35">
      <c r="A1189" s="1" t="s">
        <v>1789</v>
      </c>
      <c r="B1189" s="1" t="s">
        <v>1209</v>
      </c>
      <c r="C1189" s="1" t="s">
        <v>1210</v>
      </c>
      <c r="D1189" s="2">
        <v>46177</v>
      </c>
      <c r="E1189">
        <v>2.83436650934814E-2</v>
      </c>
      <c r="F1189" s="1" t="s">
        <v>6619</v>
      </c>
      <c r="G1189" s="2">
        <v>46177.777401736108</v>
      </c>
      <c r="H1189" s="1" t="s">
        <v>1211</v>
      </c>
      <c r="I1189" s="2">
        <v>46177.777401817133</v>
      </c>
      <c r="J1189" s="1" t="s">
        <v>1211</v>
      </c>
    </row>
    <row r="1190" spans="1:10" x14ac:dyDescent="0.35">
      <c r="A1190" s="1" t="s">
        <v>1790</v>
      </c>
      <c r="B1190" s="1" t="s">
        <v>1209</v>
      </c>
      <c r="C1190" s="1" t="s">
        <v>1210</v>
      </c>
      <c r="D1190" s="2">
        <v>46177</v>
      </c>
      <c r="E1190">
        <v>3.0781441566330999E-2</v>
      </c>
      <c r="F1190" s="1" t="s">
        <v>6620</v>
      </c>
      <c r="G1190" s="2">
        <v>46177.777401886575</v>
      </c>
      <c r="H1190" s="1" t="s">
        <v>1211</v>
      </c>
      <c r="I1190" s="2">
        <v>46177.777402002313</v>
      </c>
      <c r="J1190" s="1" t="s">
        <v>1211</v>
      </c>
    </row>
    <row r="1191" spans="1:10" x14ac:dyDescent="0.35">
      <c r="A1191" s="1" t="s">
        <v>1791</v>
      </c>
      <c r="B1191" s="1" t="s">
        <v>1209</v>
      </c>
      <c r="C1191" s="1" t="s">
        <v>1210</v>
      </c>
      <c r="D1191" s="2">
        <v>46177</v>
      </c>
      <c r="E1191">
        <v>3.6619839537507602E-2</v>
      </c>
      <c r="F1191" s="1" t="s">
        <v>6621</v>
      </c>
      <c r="G1191" s="2">
        <v>46177.77740204861</v>
      </c>
      <c r="H1191" s="1" t="s">
        <v>1211</v>
      </c>
      <c r="I1191" s="2">
        <v>46177.777402164349</v>
      </c>
      <c r="J1191" s="1" t="s">
        <v>1211</v>
      </c>
    </row>
    <row r="1192" spans="1:10" x14ac:dyDescent="0.35">
      <c r="A1192" s="1" t="s">
        <v>1792</v>
      </c>
      <c r="B1192" s="1" t="s">
        <v>1209</v>
      </c>
      <c r="C1192" s="1" t="s">
        <v>1210</v>
      </c>
      <c r="D1192" s="2">
        <v>46177</v>
      </c>
      <c r="E1192">
        <v>4.2718029069831097E-2</v>
      </c>
      <c r="F1192" s="1" t="s">
        <v>6622</v>
      </c>
      <c r="G1192" s="2">
        <v>46177.777402199077</v>
      </c>
      <c r="H1192" s="1" t="s">
        <v>1211</v>
      </c>
      <c r="I1192" s="2">
        <v>46177.777402164349</v>
      </c>
      <c r="J1192" s="1" t="s">
        <v>1211</v>
      </c>
    </row>
    <row r="1193" spans="1:10" x14ac:dyDescent="0.35">
      <c r="A1193" s="1" t="s">
        <v>1793</v>
      </c>
      <c r="B1193" s="1" t="s">
        <v>1209</v>
      </c>
      <c r="C1193" s="1" t="s">
        <v>1210</v>
      </c>
      <c r="D1193" s="2">
        <v>46177</v>
      </c>
      <c r="E1193">
        <v>4.5301012776320197E-2</v>
      </c>
      <c r="F1193" s="1" t="s">
        <v>6623</v>
      </c>
      <c r="G1193" s="2">
        <v>46177.777402349537</v>
      </c>
      <c r="H1193" s="1" t="s">
        <v>1211</v>
      </c>
      <c r="I1193" s="2">
        <v>46177.777402349537</v>
      </c>
      <c r="J1193" s="1" t="s">
        <v>1211</v>
      </c>
    </row>
    <row r="1194" spans="1:10" x14ac:dyDescent="0.35">
      <c r="A1194" s="1" t="s">
        <v>1794</v>
      </c>
      <c r="B1194" s="1" t="s">
        <v>1209</v>
      </c>
      <c r="C1194" s="1" t="s">
        <v>1210</v>
      </c>
      <c r="D1194" s="2">
        <v>46177</v>
      </c>
      <c r="E1194">
        <v>2.91922574410493E-2</v>
      </c>
      <c r="F1194" s="1" t="s">
        <v>6624</v>
      </c>
      <c r="G1194" s="2">
        <v>46177.777402511572</v>
      </c>
      <c r="H1194" s="1" t="s">
        <v>1211</v>
      </c>
      <c r="I1194" s="2">
        <v>46177.777402511572</v>
      </c>
      <c r="J1194" s="1" t="s">
        <v>1211</v>
      </c>
    </row>
    <row r="1195" spans="1:10" x14ac:dyDescent="0.35">
      <c r="A1195" s="1" t="s">
        <v>6625</v>
      </c>
      <c r="B1195" s="1" t="s">
        <v>1209</v>
      </c>
      <c r="C1195" s="1" t="s">
        <v>1210</v>
      </c>
      <c r="D1195" s="2">
        <v>46177</v>
      </c>
      <c r="E1195">
        <v>3.7762702394076399E-2</v>
      </c>
      <c r="F1195" s="1" t="s">
        <v>6626</v>
      </c>
      <c r="G1195" s="2">
        <v>46177.777402662039</v>
      </c>
      <c r="H1195" s="1" t="s">
        <v>1211</v>
      </c>
      <c r="I1195" s="2">
        <v>46177.77740269676</v>
      </c>
      <c r="J1195" s="1" t="s">
        <v>1211</v>
      </c>
    </row>
    <row r="1196" spans="1:10" x14ac:dyDescent="0.35">
      <c r="A1196" s="1" t="s">
        <v>1795</v>
      </c>
      <c r="B1196" s="1" t="s">
        <v>1224</v>
      </c>
      <c r="C1196" s="1" t="s">
        <v>1210</v>
      </c>
      <c r="D1196" s="2">
        <v>46177</v>
      </c>
      <c r="E1196">
        <v>107.15625</v>
      </c>
      <c r="F1196" s="1" t="s">
        <v>6627</v>
      </c>
      <c r="G1196" s="2">
        <v>46177.777561770832</v>
      </c>
      <c r="H1196" s="1" t="s">
        <v>1211</v>
      </c>
      <c r="I1196" s="2">
        <v>46177.777561770832</v>
      </c>
      <c r="J1196" s="1" t="s">
        <v>1211</v>
      </c>
    </row>
    <row r="1197" spans="1:10" x14ac:dyDescent="0.35">
      <c r="A1197" s="1" t="s">
        <v>1796</v>
      </c>
      <c r="B1197" s="1" t="s">
        <v>1224</v>
      </c>
      <c r="C1197" s="1" t="s">
        <v>1210</v>
      </c>
      <c r="D1197" s="2">
        <v>46177</v>
      </c>
      <c r="E1197">
        <v>107.03125</v>
      </c>
      <c r="F1197" s="1" t="s">
        <v>6628</v>
      </c>
      <c r="G1197" s="2">
        <v>46177.777561921299</v>
      </c>
      <c r="H1197" s="1" t="s">
        <v>1211</v>
      </c>
      <c r="I1197" s="2">
        <v>46177.777561921299</v>
      </c>
      <c r="J1197" s="1" t="s">
        <v>1211</v>
      </c>
    </row>
    <row r="1198" spans="1:10" x14ac:dyDescent="0.35">
      <c r="A1198" s="1" t="s">
        <v>1797</v>
      </c>
      <c r="B1198" s="1" t="s">
        <v>1224</v>
      </c>
      <c r="C1198" s="1" t="s">
        <v>1210</v>
      </c>
      <c r="D1198" s="2">
        <v>46177</v>
      </c>
      <c r="E1198">
        <v>106.9921875</v>
      </c>
      <c r="F1198" s="1" t="s">
        <v>6629</v>
      </c>
      <c r="G1198" s="2">
        <v>46177.777562037038</v>
      </c>
      <c r="H1198" s="1" t="s">
        <v>1211</v>
      </c>
      <c r="I1198" s="2">
        <v>46177.777561921299</v>
      </c>
      <c r="J1198" s="1" t="s">
        <v>1211</v>
      </c>
    </row>
    <row r="1199" spans="1:10" x14ac:dyDescent="0.35">
      <c r="A1199" s="1" t="s">
        <v>1798</v>
      </c>
      <c r="B1199" s="1" t="s">
        <v>1224</v>
      </c>
      <c r="C1199" s="1" t="s">
        <v>1210</v>
      </c>
      <c r="D1199" s="2">
        <v>46177</v>
      </c>
      <c r="E1199">
        <v>87.92</v>
      </c>
      <c r="F1199" s="1" t="s">
        <v>6630</v>
      </c>
      <c r="G1199" s="2">
        <v>46177.777562268515</v>
      </c>
      <c r="H1199" s="1" t="s">
        <v>1211</v>
      </c>
      <c r="I1199" s="2">
        <v>46177.777562303243</v>
      </c>
      <c r="J1199" s="1" t="s">
        <v>1211</v>
      </c>
    </row>
    <row r="1200" spans="1:10" x14ac:dyDescent="0.35">
      <c r="A1200" s="1" t="s">
        <v>1799</v>
      </c>
      <c r="B1200" s="1" t="s">
        <v>1224</v>
      </c>
      <c r="C1200" s="1" t="s">
        <v>1210</v>
      </c>
      <c r="D1200" s="2">
        <v>46177</v>
      </c>
      <c r="E1200">
        <v>87.8</v>
      </c>
      <c r="F1200" s="1" t="s">
        <v>6631</v>
      </c>
      <c r="G1200" s="2">
        <v>46177.777562418982</v>
      </c>
      <c r="H1200" s="1" t="s">
        <v>1211</v>
      </c>
      <c r="I1200" s="2">
        <v>46177.777562303243</v>
      </c>
      <c r="J1200" s="1" t="s">
        <v>1211</v>
      </c>
    </row>
    <row r="1201" spans="1:10" x14ac:dyDescent="0.35">
      <c r="A1201" s="1" t="s">
        <v>1800</v>
      </c>
      <c r="B1201" s="1" t="s">
        <v>1224</v>
      </c>
      <c r="C1201" s="1" t="s">
        <v>1210</v>
      </c>
      <c r="D1201" s="2">
        <v>46177</v>
      </c>
      <c r="E1201">
        <v>87.72</v>
      </c>
      <c r="F1201" s="1" t="s">
        <v>6632</v>
      </c>
      <c r="G1201" s="2">
        <v>46177.777562581017</v>
      </c>
      <c r="H1201" s="1" t="s">
        <v>1211</v>
      </c>
      <c r="I1201" s="2">
        <v>46177.777562465279</v>
      </c>
      <c r="J1201" s="1" t="s">
        <v>1211</v>
      </c>
    </row>
    <row r="1202" spans="1:10" x14ac:dyDescent="0.35">
      <c r="A1202" s="1" t="s">
        <v>1801</v>
      </c>
      <c r="B1202" s="1" t="s">
        <v>1209</v>
      </c>
      <c r="C1202" s="1" t="s">
        <v>1210</v>
      </c>
      <c r="D1202" s="2">
        <v>46177</v>
      </c>
      <c r="E1202">
        <v>4.24886857183535E-2</v>
      </c>
      <c r="F1202" s="1" t="s">
        <v>6633</v>
      </c>
      <c r="G1202" s="2">
        <v>46177.777402812499</v>
      </c>
      <c r="H1202" s="1" t="s">
        <v>1211</v>
      </c>
      <c r="I1202" s="2">
        <v>46177.777402893516</v>
      </c>
      <c r="J1202" s="1" t="s">
        <v>1211</v>
      </c>
    </row>
    <row r="1203" spans="1:10" x14ac:dyDescent="0.35">
      <c r="A1203" s="1" t="s">
        <v>1802</v>
      </c>
      <c r="B1203" s="1" t="s">
        <v>1209</v>
      </c>
      <c r="C1203" s="1" t="s">
        <v>1210</v>
      </c>
      <c r="D1203" s="2">
        <v>46177</v>
      </c>
      <c r="E1203">
        <v>4.5051972141641798E-2</v>
      </c>
      <c r="F1203" s="1" t="s">
        <v>6634</v>
      </c>
      <c r="G1203" s="2">
        <v>46177.777402974534</v>
      </c>
      <c r="H1203" s="1" t="s">
        <v>1211</v>
      </c>
      <c r="I1203" s="2">
        <v>46177.77740309028</v>
      </c>
      <c r="J1203" s="1" t="s">
        <v>1211</v>
      </c>
    </row>
    <row r="1204" spans="1:10" x14ac:dyDescent="0.35">
      <c r="A1204" s="1" t="s">
        <v>1803</v>
      </c>
      <c r="B1204" s="1" t="s">
        <v>1209</v>
      </c>
      <c r="C1204" s="1" t="s">
        <v>1210</v>
      </c>
      <c r="D1204" s="2">
        <v>46177</v>
      </c>
      <c r="E1204">
        <v>-0.25512371891575703</v>
      </c>
      <c r="F1204" s="1" t="s">
        <v>6635</v>
      </c>
      <c r="G1204" s="2">
        <v>46177.777403125001</v>
      </c>
      <c r="H1204" s="1" t="s">
        <v>1211</v>
      </c>
      <c r="I1204" s="2">
        <v>46177.77740309028</v>
      </c>
      <c r="J1204" s="1" t="s">
        <v>1211</v>
      </c>
    </row>
    <row r="1205" spans="1:10" x14ac:dyDescent="0.35">
      <c r="A1205" s="1" t="s">
        <v>1804</v>
      </c>
      <c r="B1205" s="1" t="s">
        <v>1209</v>
      </c>
      <c r="C1205" s="1" t="s">
        <v>1210</v>
      </c>
      <c r="D1205" s="2">
        <v>46177</v>
      </c>
      <c r="E1205">
        <v>-8.7098148913971593E-2</v>
      </c>
      <c r="F1205" s="1" t="s">
        <v>6636</v>
      </c>
      <c r="G1205" s="2">
        <v>46177.777403275461</v>
      </c>
      <c r="H1205" s="1" t="s">
        <v>1211</v>
      </c>
      <c r="I1205" s="2">
        <v>46177.77740324074</v>
      </c>
      <c r="J1205" s="1" t="s">
        <v>1211</v>
      </c>
    </row>
    <row r="1206" spans="1:10" x14ac:dyDescent="0.35">
      <c r="A1206" s="1" t="s">
        <v>1805</v>
      </c>
      <c r="B1206" s="1" t="s">
        <v>1209</v>
      </c>
      <c r="C1206" s="1" t="s">
        <v>1210</v>
      </c>
      <c r="D1206" s="2">
        <v>46177</v>
      </c>
      <c r="E1206">
        <v>4.9307005076300099E-2</v>
      </c>
      <c r="F1206" s="1" t="s">
        <v>6637</v>
      </c>
      <c r="G1206" s="2">
        <v>46177.777403437503</v>
      </c>
      <c r="H1206" s="1" t="s">
        <v>1211</v>
      </c>
      <c r="I1206" s="2">
        <v>46177.777403437503</v>
      </c>
      <c r="J1206" s="1" t="s">
        <v>1211</v>
      </c>
    </row>
    <row r="1207" spans="1:10" x14ac:dyDescent="0.35">
      <c r="A1207" s="1" t="s">
        <v>1806</v>
      </c>
      <c r="B1207" s="1" t="s">
        <v>1209</v>
      </c>
      <c r="C1207" s="1" t="s">
        <v>1210</v>
      </c>
      <c r="D1207" s="2">
        <v>46177</v>
      </c>
      <c r="E1207">
        <v>5.1450982711045402E-2</v>
      </c>
      <c r="F1207" s="1" t="s">
        <v>6638</v>
      </c>
      <c r="G1207" s="2">
        <v>46177.777403622684</v>
      </c>
      <c r="H1207" s="1" t="s">
        <v>1211</v>
      </c>
      <c r="I1207" s="2">
        <v>46177.777403622684</v>
      </c>
      <c r="J1207" s="1" t="s">
        <v>1211</v>
      </c>
    </row>
    <row r="1208" spans="1:10" x14ac:dyDescent="0.35">
      <c r="A1208" s="1" t="s">
        <v>1807</v>
      </c>
      <c r="B1208" s="1" t="s">
        <v>1209</v>
      </c>
      <c r="C1208" s="1" t="s">
        <v>1210</v>
      </c>
      <c r="D1208" s="2">
        <v>46177</v>
      </c>
      <c r="E1208">
        <v>5.5912250032095101E-2</v>
      </c>
      <c r="F1208" s="1" t="s">
        <v>6639</v>
      </c>
      <c r="G1208" s="2">
        <v>46177.777403784719</v>
      </c>
      <c r="H1208" s="1" t="s">
        <v>1211</v>
      </c>
      <c r="I1208" s="2">
        <v>46177.777403784719</v>
      </c>
      <c r="J1208" s="1" t="s">
        <v>1211</v>
      </c>
    </row>
    <row r="1209" spans="1:10" x14ac:dyDescent="0.35">
      <c r="A1209" s="1" t="s">
        <v>1808</v>
      </c>
      <c r="B1209" s="1" t="s">
        <v>1209</v>
      </c>
      <c r="C1209" s="1" t="s">
        <v>1210</v>
      </c>
      <c r="D1209" s="2">
        <v>46177</v>
      </c>
      <c r="E1209">
        <v>2.3261010238605499E-2</v>
      </c>
      <c r="F1209" s="1" t="s">
        <v>6640</v>
      </c>
      <c r="G1209" s="2">
        <v>46177.777403935186</v>
      </c>
      <c r="H1209" s="1" t="s">
        <v>1211</v>
      </c>
      <c r="I1209" s="2">
        <v>46177.777403969907</v>
      </c>
      <c r="J1209" s="1" t="s">
        <v>1211</v>
      </c>
    </row>
    <row r="1210" spans="1:10" x14ac:dyDescent="0.35">
      <c r="A1210" s="1" t="s">
        <v>1809</v>
      </c>
      <c r="B1210" s="1" t="s">
        <v>1209</v>
      </c>
      <c r="C1210" s="1" t="s">
        <v>1210</v>
      </c>
      <c r="D1210" s="2">
        <v>46177</v>
      </c>
      <c r="E1210">
        <v>-2.4909135972467698E-3</v>
      </c>
      <c r="F1210" s="1" t="s">
        <v>6641</v>
      </c>
      <c r="G1210" s="2">
        <v>46177.777404050925</v>
      </c>
      <c r="H1210" s="1" t="s">
        <v>1211</v>
      </c>
      <c r="I1210" s="2">
        <v>46177.777404166663</v>
      </c>
      <c r="J1210" s="1" t="s">
        <v>1211</v>
      </c>
    </row>
    <row r="1211" spans="1:10" x14ac:dyDescent="0.35">
      <c r="A1211" s="1" t="s">
        <v>1810</v>
      </c>
      <c r="B1211" s="1" t="s">
        <v>1209</v>
      </c>
      <c r="C1211" s="1" t="s">
        <v>1210</v>
      </c>
      <c r="D1211" s="2">
        <v>46177</v>
      </c>
      <c r="E1211">
        <v>5.5275575834583597E-2</v>
      </c>
      <c r="F1211" s="1" t="s">
        <v>6642</v>
      </c>
      <c r="G1211" s="2">
        <v>46177.777404201392</v>
      </c>
      <c r="H1211" s="1" t="s">
        <v>1211</v>
      </c>
      <c r="I1211" s="2">
        <v>46177.777404363427</v>
      </c>
      <c r="J1211" s="1" t="s">
        <v>1211</v>
      </c>
    </row>
    <row r="1212" spans="1:10" x14ac:dyDescent="0.35">
      <c r="A1212" s="1" t="s">
        <v>1811</v>
      </c>
      <c r="B1212" s="1" t="s">
        <v>1209</v>
      </c>
      <c r="C1212" s="1" t="s">
        <v>1210</v>
      </c>
      <c r="D1212" s="2">
        <v>46177</v>
      </c>
      <c r="E1212">
        <v>4.2442831260034897E-2</v>
      </c>
      <c r="F1212" s="1" t="s">
        <v>6643</v>
      </c>
      <c r="G1212" s="2">
        <v>46177.777404398148</v>
      </c>
      <c r="H1212" s="1" t="s">
        <v>1211</v>
      </c>
      <c r="I1212" s="2">
        <v>46177.777404363427</v>
      </c>
      <c r="J1212" s="1" t="s">
        <v>1211</v>
      </c>
    </row>
    <row r="1213" spans="1:10" x14ac:dyDescent="0.35">
      <c r="A1213" s="1" t="s">
        <v>1812</v>
      </c>
      <c r="B1213" s="1" t="s">
        <v>1209</v>
      </c>
      <c r="C1213" s="1" t="s">
        <v>1210</v>
      </c>
      <c r="D1213" s="2">
        <v>46177</v>
      </c>
      <c r="E1213">
        <v>1.7992552091998699E-2</v>
      </c>
      <c r="F1213" s="1" t="s">
        <v>6644</v>
      </c>
      <c r="G1213" s="2">
        <v>46177.777404513887</v>
      </c>
      <c r="H1213" s="1" t="s">
        <v>1211</v>
      </c>
      <c r="I1213" s="2">
        <v>46177.777404513887</v>
      </c>
      <c r="J1213" s="1" t="s">
        <v>1211</v>
      </c>
    </row>
    <row r="1214" spans="1:10" x14ac:dyDescent="0.35">
      <c r="A1214" s="1" t="s">
        <v>1813</v>
      </c>
      <c r="B1214" s="1" t="s">
        <v>1209</v>
      </c>
      <c r="C1214" s="1" t="s">
        <v>1210</v>
      </c>
      <c r="D1214" s="2">
        <v>46177</v>
      </c>
      <c r="E1214">
        <v>5.3911129629849501E-2</v>
      </c>
      <c r="F1214" s="1" t="s">
        <v>6645</v>
      </c>
      <c r="G1214" s="2">
        <v>46177.77740471065</v>
      </c>
      <c r="H1214" s="1" t="s">
        <v>1211</v>
      </c>
      <c r="I1214" s="2">
        <v>46177.77740471065</v>
      </c>
      <c r="J1214" s="1" t="s">
        <v>1211</v>
      </c>
    </row>
    <row r="1215" spans="1:10" x14ac:dyDescent="0.35">
      <c r="A1215" s="1" t="s">
        <v>1814</v>
      </c>
      <c r="B1215" s="1" t="s">
        <v>1209</v>
      </c>
      <c r="C1215" s="1" t="s">
        <v>1210</v>
      </c>
      <c r="D1215" s="2">
        <v>46177</v>
      </c>
      <c r="E1215">
        <v>4.3510932037649101E-2</v>
      </c>
      <c r="F1215" s="1" t="s">
        <v>6646</v>
      </c>
      <c r="G1215" s="2">
        <v>46177.77740486111</v>
      </c>
      <c r="H1215" s="1" t="s">
        <v>1211</v>
      </c>
      <c r="I1215" s="2">
        <v>46177.777404895831</v>
      </c>
      <c r="J1215" s="1" t="s">
        <v>1211</v>
      </c>
    </row>
    <row r="1216" spans="1:10" x14ac:dyDescent="0.35">
      <c r="A1216" s="1" t="s">
        <v>1815</v>
      </c>
      <c r="B1216" s="1" t="s">
        <v>1209</v>
      </c>
      <c r="C1216" s="1" t="s">
        <v>1210</v>
      </c>
      <c r="D1216" s="2">
        <v>46177</v>
      </c>
      <c r="E1216">
        <v>2.3056785114806199E-2</v>
      </c>
      <c r="F1216" s="1" t="s">
        <v>6647</v>
      </c>
      <c r="G1216" s="2">
        <v>46177.777404976849</v>
      </c>
      <c r="H1216" s="1" t="s">
        <v>1211</v>
      </c>
      <c r="I1216" s="2">
        <v>46177.777405057874</v>
      </c>
      <c r="J1216" s="1" t="s">
        <v>1211</v>
      </c>
    </row>
    <row r="1217" spans="1:10" x14ac:dyDescent="0.35">
      <c r="A1217" s="1" t="s">
        <v>1816</v>
      </c>
      <c r="B1217" s="1" t="s">
        <v>1209</v>
      </c>
      <c r="C1217" s="1" t="s">
        <v>1210</v>
      </c>
      <c r="D1217" s="2">
        <v>46177</v>
      </c>
      <c r="E1217">
        <v>5.5597297081972898E-2</v>
      </c>
      <c r="F1217" s="1" t="s">
        <v>6648</v>
      </c>
      <c r="G1217" s="2">
        <v>46177.777405127315</v>
      </c>
      <c r="H1217" s="1" t="s">
        <v>1211</v>
      </c>
      <c r="I1217" s="2">
        <v>46177.777405243054</v>
      </c>
      <c r="J1217" s="1" t="s">
        <v>1211</v>
      </c>
    </row>
    <row r="1218" spans="1:10" x14ac:dyDescent="0.35">
      <c r="A1218" s="1" t="s">
        <v>1817</v>
      </c>
      <c r="B1218" s="1" t="s">
        <v>1209</v>
      </c>
      <c r="C1218" s="1" t="s">
        <v>1210</v>
      </c>
      <c r="D1218" s="2">
        <v>46177</v>
      </c>
      <c r="E1218">
        <v>1.06335308986011E-2</v>
      </c>
      <c r="F1218" s="1" t="s">
        <v>6649</v>
      </c>
      <c r="G1218" s="2">
        <v>46177.777405289351</v>
      </c>
      <c r="H1218" s="1" t="s">
        <v>1211</v>
      </c>
      <c r="I1218" s="2">
        <v>46177.777405243054</v>
      </c>
      <c r="J1218" s="1" t="s">
        <v>1211</v>
      </c>
    </row>
    <row r="1219" spans="1:10" x14ac:dyDescent="0.35">
      <c r="A1219" s="1" t="s">
        <v>1818</v>
      </c>
      <c r="B1219" s="1" t="s">
        <v>1209</v>
      </c>
      <c r="C1219" s="1" t="s">
        <v>1210</v>
      </c>
      <c r="D1219" s="2">
        <v>46177</v>
      </c>
      <c r="E1219">
        <v>5.2035260740973303E-2</v>
      </c>
      <c r="F1219" s="1" t="s">
        <v>6650</v>
      </c>
      <c r="G1219" s="2">
        <v>46177.777405439818</v>
      </c>
      <c r="H1219" s="1" t="s">
        <v>1211</v>
      </c>
      <c r="I1219" s="2">
        <v>46177.77740540509</v>
      </c>
      <c r="J1219" s="1" t="s">
        <v>1211</v>
      </c>
    </row>
    <row r="1220" spans="1:10" x14ac:dyDescent="0.35">
      <c r="A1220" s="1" t="s">
        <v>1819</v>
      </c>
      <c r="B1220" s="1" t="s">
        <v>1209</v>
      </c>
      <c r="C1220" s="1" t="s">
        <v>1210</v>
      </c>
      <c r="D1220" s="2">
        <v>46177</v>
      </c>
      <c r="E1220">
        <v>2.0411296879571699E-2</v>
      </c>
      <c r="F1220" s="1" t="s">
        <v>6651</v>
      </c>
      <c r="G1220" s="2">
        <v>46177.777405590277</v>
      </c>
      <c r="H1220" s="1" t="s">
        <v>1211</v>
      </c>
      <c r="I1220" s="2">
        <v>46177.777405590277</v>
      </c>
      <c r="J1220" s="1" t="s">
        <v>1211</v>
      </c>
    </row>
    <row r="1221" spans="1:10" x14ac:dyDescent="0.35">
      <c r="A1221" s="1" t="s">
        <v>1820</v>
      </c>
      <c r="B1221" s="1" t="s">
        <v>1209</v>
      </c>
      <c r="C1221" s="1" t="s">
        <v>1210</v>
      </c>
      <c r="D1221" s="2">
        <v>46177</v>
      </c>
      <c r="E1221">
        <v>2.1591790466190801E-2</v>
      </c>
      <c r="F1221" s="1" t="s">
        <v>6652</v>
      </c>
      <c r="G1221" s="2">
        <v>46177.777405787034</v>
      </c>
      <c r="H1221" s="1" t="s">
        <v>1211</v>
      </c>
      <c r="I1221" s="2">
        <v>46177.777405787034</v>
      </c>
      <c r="J1221" s="1" t="s">
        <v>1211</v>
      </c>
    </row>
    <row r="1222" spans="1:10" x14ac:dyDescent="0.35">
      <c r="A1222" s="1" t="s">
        <v>1821</v>
      </c>
      <c r="B1222" s="1" t="s">
        <v>1209</v>
      </c>
      <c r="C1222" s="1" t="s">
        <v>1210</v>
      </c>
      <c r="D1222" s="2">
        <v>46177</v>
      </c>
      <c r="E1222">
        <v>4.5015251116151704E-3</v>
      </c>
      <c r="F1222" s="1" t="s">
        <v>6653</v>
      </c>
      <c r="G1222" s="2">
        <v>46177.77740590278</v>
      </c>
      <c r="H1222" s="1" t="s">
        <v>1211</v>
      </c>
      <c r="I1222" s="2">
        <v>46177.777405983798</v>
      </c>
      <c r="J1222" s="1" t="s">
        <v>1211</v>
      </c>
    </row>
    <row r="1223" spans="1:10" x14ac:dyDescent="0.35">
      <c r="A1223" s="1" t="s">
        <v>1822</v>
      </c>
      <c r="B1223" s="1" t="s">
        <v>1209</v>
      </c>
      <c r="C1223" s="1" t="s">
        <v>1210</v>
      </c>
      <c r="D1223" s="2">
        <v>46177</v>
      </c>
      <c r="E1223">
        <v>2.36135575817423E-2</v>
      </c>
      <c r="F1223" s="1" t="s">
        <v>6654</v>
      </c>
      <c r="G1223" s="2">
        <v>46177.777406053239</v>
      </c>
      <c r="H1223" s="1" t="s">
        <v>1211</v>
      </c>
      <c r="I1223" s="2">
        <v>46177.777406134257</v>
      </c>
      <c r="J1223" s="1" t="s">
        <v>1211</v>
      </c>
    </row>
    <row r="1224" spans="1:10" x14ac:dyDescent="0.35">
      <c r="A1224" s="1" t="s">
        <v>1823</v>
      </c>
      <c r="B1224" s="1" t="s">
        <v>1209</v>
      </c>
      <c r="C1224" s="1" t="s">
        <v>1210</v>
      </c>
      <c r="D1224" s="2">
        <v>46177</v>
      </c>
      <c r="E1224">
        <v>1.3872759374551799E-2</v>
      </c>
      <c r="F1224" s="1" t="s">
        <v>6655</v>
      </c>
      <c r="G1224" s="2">
        <v>46177.777406215275</v>
      </c>
      <c r="H1224" s="1" t="s">
        <v>1211</v>
      </c>
      <c r="I1224" s="2">
        <v>46177.777406331021</v>
      </c>
      <c r="J1224" s="1" t="s">
        <v>1211</v>
      </c>
    </row>
    <row r="1225" spans="1:10" x14ac:dyDescent="0.35">
      <c r="A1225" s="1" t="s">
        <v>1824</v>
      </c>
      <c r="B1225" s="1" t="s">
        <v>1209</v>
      </c>
      <c r="C1225" s="1" t="s">
        <v>1210</v>
      </c>
      <c r="D1225" s="2">
        <v>46177</v>
      </c>
      <c r="E1225">
        <v>2.2401838492457998E-2</v>
      </c>
      <c r="F1225" s="1" t="s">
        <v>6656</v>
      </c>
      <c r="G1225" s="2">
        <v>46177.777406365742</v>
      </c>
      <c r="H1225" s="1" t="s">
        <v>1211</v>
      </c>
      <c r="I1225" s="2">
        <v>46177.777406331021</v>
      </c>
      <c r="J1225" s="1" t="s">
        <v>1211</v>
      </c>
    </row>
    <row r="1226" spans="1:10" x14ac:dyDescent="0.35">
      <c r="A1226" s="1" t="s">
        <v>1825</v>
      </c>
      <c r="B1226" s="1" t="s">
        <v>1209</v>
      </c>
      <c r="C1226" s="1" t="s">
        <v>1210</v>
      </c>
      <c r="D1226" s="2">
        <v>46177</v>
      </c>
      <c r="E1226">
        <v>4.7665022021294197E-2</v>
      </c>
      <c r="F1226" s="1" t="s">
        <v>6657</v>
      </c>
      <c r="G1226" s="2">
        <v>46177.777406516201</v>
      </c>
      <c r="H1226" s="1" t="s">
        <v>1211</v>
      </c>
      <c r="I1226" s="2">
        <v>46177.777406516201</v>
      </c>
      <c r="J1226" s="1" t="s">
        <v>1211</v>
      </c>
    </row>
    <row r="1227" spans="1:10" x14ac:dyDescent="0.35">
      <c r="A1227" s="1" t="s">
        <v>1826</v>
      </c>
      <c r="B1227" s="1" t="s">
        <v>1209</v>
      </c>
      <c r="C1227" s="1" t="s">
        <v>1210</v>
      </c>
      <c r="D1227" s="2">
        <v>46177</v>
      </c>
      <c r="E1227">
        <v>5.55543190552907E-2</v>
      </c>
      <c r="F1227" s="1" t="s">
        <v>6658</v>
      </c>
      <c r="G1227" s="2">
        <v>46177.777406678244</v>
      </c>
      <c r="H1227" s="1" t="s">
        <v>1211</v>
      </c>
      <c r="I1227" s="2">
        <v>46177.777406678244</v>
      </c>
      <c r="J1227" s="1" t="s">
        <v>1211</v>
      </c>
    </row>
    <row r="1228" spans="1:10" x14ac:dyDescent="0.35">
      <c r="A1228" s="1" t="s">
        <v>1827</v>
      </c>
      <c r="B1228" s="1" t="s">
        <v>1209</v>
      </c>
      <c r="C1228" s="1" t="s">
        <v>1210</v>
      </c>
      <c r="D1228" s="2">
        <v>46177</v>
      </c>
      <c r="E1228">
        <v>5.2820520651934301E-2</v>
      </c>
      <c r="F1228" s="1" t="s">
        <v>6659</v>
      </c>
      <c r="G1228" s="2">
        <v>46177.777406828704</v>
      </c>
      <c r="H1228" s="1" t="s">
        <v>1211</v>
      </c>
      <c r="I1228" s="2">
        <v>46177.777406863424</v>
      </c>
      <c r="J1228" s="1" t="s">
        <v>1211</v>
      </c>
    </row>
    <row r="1229" spans="1:10" x14ac:dyDescent="0.35">
      <c r="A1229" s="1" t="s">
        <v>1828</v>
      </c>
      <c r="B1229" s="1" t="s">
        <v>1209</v>
      </c>
      <c r="C1229" s="1" t="s">
        <v>1210</v>
      </c>
      <c r="D1229" s="2">
        <v>46177</v>
      </c>
      <c r="E1229">
        <v>5.5888763836456003E-2</v>
      </c>
      <c r="F1229" s="1" t="s">
        <v>6660</v>
      </c>
      <c r="G1229" s="2">
        <v>46177.777406944442</v>
      </c>
      <c r="H1229" s="1" t="s">
        <v>1211</v>
      </c>
      <c r="I1229" s="2">
        <v>46177.777407060188</v>
      </c>
      <c r="J1229" s="1" t="s">
        <v>1211</v>
      </c>
    </row>
    <row r="1230" spans="1:10" x14ac:dyDescent="0.35">
      <c r="A1230" s="1" t="s">
        <v>1829</v>
      </c>
      <c r="B1230" s="1" t="s">
        <v>1209</v>
      </c>
      <c r="C1230" s="1" t="s">
        <v>1210</v>
      </c>
      <c r="D1230" s="2">
        <v>46177</v>
      </c>
      <c r="E1230">
        <v>2.3546351971361699E-2</v>
      </c>
      <c r="F1230" s="1" t="s">
        <v>6661</v>
      </c>
      <c r="G1230" s="2">
        <v>46177.777407141206</v>
      </c>
      <c r="H1230" s="1" t="s">
        <v>1211</v>
      </c>
      <c r="I1230" s="2">
        <v>46177.777407256945</v>
      </c>
      <c r="J1230" s="1" t="s">
        <v>1211</v>
      </c>
    </row>
    <row r="1231" spans="1:10" x14ac:dyDescent="0.35">
      <c r="A1231" s="1" t="s">
        <v>1830</v>
      </c>
      <c r="B1231" s="1" t="s">
        <v>1209</v>
      </c>
      <c r="C1231" s="1" t="s">
        <v>1210</v>
      </c>
      <c r="D1231" s="2">
        <v>46177</v>
      </c>
      <c r="E1231">
        <v>2.2618628632793601E-2</v>
      </c>
      <c r="F1231" s="1" t="s">
        <v>6662</v>
      </c>
      <c r="G1231" s="2">
        <v>46177.777407291665</v>
      </c>
      <c r="H1231" s="1" t="s">
        <v>1211</v>
      </c>
      <c r="I1231" s="2">
        <v>46177.777407256945</v>
      </c>
      <c r="J1231" s="1" t="s">
        <v>1211</v>
      </c>
    </row>
    <row r="1232" spans="1:10" x14ac:dyDescent="0.35">
      <c r="A1232" s="1" t="s">
        <v>1831</v>
      </c>
      <c r="B1232" s="1" t="s">
        <v>1209</v>
      </c>
      <c r="C1232" s="1" t="s">
        <v>1210</v>
      </c>
      <c r="D1232" s="2">
        <v>46177</v>
      </c>
      <c r="E1232">
        <v>5.4802883039885598E-2</v>
      </c>
      <c r="F1232" s="1" t="s">
        <v>6663</v>
      </c>
      <c r="G1232" s="2">
        <v>46177.777407442132</v>
      </c>
      <c r="H1232" s="1" t="s">
        <v>1211</v>
      </c>
      <c r="I1232" s="2">
        <v>46177.777407407404</v>
      </c>
      <c r="J1232" s="1" t="s">
        <v>1211</v>
      </c>
    </row>
    <row r="1233" spans="1:10" x14ac:dyDescent="0.35">
      <c r="A1233" s="1" t="s">
        <v>1832</v>
      </c>
      <c r="B1233" s="1" t="s">
        <v>1209</v>
      </c>
      <c r="C1233" s="1" t="s">
        <v>1210</v>
      </c>
      <c r="D1233" s="2">
        <v>46177</v>
      </c>
      <c r="E1233">
        <v>5.4851303998730699E-2</v>
      </c>
      <c r="F1233" s="1" t="s">
        <v>6664</v>
      </c>
      <c r="G1233" s="2">
        <v>46177.777407604168</v>
      </c>
      <c r="H1233" s="1" t="s">
        <v>1211</v>
      </c>
      <c r="I1233" s="2">
        <v>46177.777407604168</v>
      </c>
      <c r="J1233" s="1" t="s">
        <v>1211</v>
      </c>
    </row>
    <row r="1234" spans="1:10" x14ac:dyDescent="0.35">
      <c r="A1234" s="1" t="s">
        <v>1833</v>
      </c>
      <c r="B1234" s="1" t="s">
        <v>1209</v>
      </c>
      <c r="C1234" s="1" t="s">
        <v>1210</v>
      </c>
      <c r="D1234" s="2">
        <v>46177</v>
      </c>
      <c r="E1234">
        <v>5.57636519116829E-2</v>
      </c>
      <c r="F1234" s="1" t="s">
        <v>6665</v>
      </c>
      <c r="G1234" s="2">
        <v>46177.777407754627</v>
      </c>
      <c r="H1234" s="1" t="s">
        <v>1211</v>
      </c>
      <c r="I1234" s="2">
        <v>46177.777407835645</v>
      </c>
      <c r="J1234" s="1" t="s">
        <v>1211</v>
      </c>
    </row>
    <row r="1235" spans="1:10" x14ac:dyDescent="0.35">
      <c r="A1235" s="1" t="s">
        <v>1834</v>
      </c>
      <c r="B1235" s="1" t="s">
        <v>1209</v>
      </c>
      <c r="C1235" s="1" t="s">
        <v>1210</v>
      </c>
      <c r="D1235" s="2">
        <v>46177</v>
      </c>
      <c r="E1235">
        <v>2.1736532479001001E-2</v>
      </c>
      <c r="F1235" s="1" t="s">
        <v>6666</v>
      </c>
      <c r="G1235" s="2">
        <v>46177.777407905094</v>
      </c>
      <c r="H1235" s="1" t="s">
        <v>1211</v>
      </c>
      <c r="I1235" s="2">
        <v>46177.777408020833</v>
      </c>
      <c r="J1235" s="1" t="s">
        <v>1211</v>
      </c>
    </row>
    <row r="1236" spans="1:10" x14ac:dyDescent="0.35">
      <c r="A1236" s="1" t="s">
        <v>1835</v>
      </c>
      <c r="B1236" s="1" t="s">
        <v>1209</v>
      </c>
      <c r="C1236" s="1" t="s">
        <v>1210</v>
      </c>
      <c r="D1236" s="2">
        <v>46177</v>
      </c>
      <c r="E1236">
        <v>5.5639830173047002E-2</v>
      </c>
      <c r="F1236" s="1" t="s">
        <v>6667</v>
      </c>
      <c r="G1236" s="2">
        <v>46177.77740806713</v>
      </c>
      <c r="H1236" s="1" t="s">
        <v>1211</v>
      </c>
      <c r="I1236" s="2">
        <v>46177.777408182868</v>
      </c>
      <c r="J1236" s="1" t="s">
        <v>1211</v>
      </c>
    </row>
    <row r="1237" spans="1:10" x14ac:dyDescent="0.35">
      <c r="A1237" s="1" t="s">
        <v>1836</v>
      </c>
      <c r="B1237" s="1" t="s">
        <v>1209</v>
      </c>
      <c r="C1237" s="1" t="s">
        <v>1210</v>
      </c>
      <c r="D1237" s="2">
        <v>46177</v>
      </c>
      <c r="E1237">
        <v>4.2028171192679598E-2</v>
      </c>
      <c r="F1237" s="1" t="s">
        <v>6668</v>
      </c>
      <c r="G1237" s="2">
        <v>46177.777408252317</v>
      </c>
      <c r="H1237" s="1" t="s">
        <v>1211</v>
      </c>
      <c r="I1237" s="2">
        <v>46177.777408182868</v>
      </c>
      <c r="J1237" s="1" t="s">
        <v>1211</v>
      </c>
    </row>
    <row r="1238" spans="1:10" x14ac:dyDescent="0.35">
      <c r="A1238" s="1" t="s">
        <v>1837</v>
      </c>
      <c r="B1238" s="1" t="s">
        <v>1209</v>
      </c>
      <c r="C1238" s="1" t="s">
        <v>1210</v>
      </c>
      <c r="D1238" s="2">
        <v>46177</v>
      </c>
      <c r="E1238">
        <v>2.1138696185117399E-2</v>
      </c>
      <c r="F1238" s="1" t="s">
        <v>6669</v>
      </c>
      <c r="G1238" s="2">
        <v>46177.777408414353</v>
      </c>
      <c r="H1238" s="1" t="s">
        <v>1211</v>
      </c>
      <c r="I1238" s="2">
        <v>46177.777408368056</v>
      </c>
      <c r="J1238" s="1" t="s">
        <v>1211</v>
      </c>
    </row>
    <row r="1239" spans="1:10" x14ac:dyDescent="0.35">
      <c r="A1239" s="1" t="s">
        <v>1838</v>
      </c>
      <c r="B1239" s="1" t="s">
        <v>1209</v>
      </c>
      <c r="C1239" s="1" t="s">
        <v>1210</v>
      </c>
      <c r="D1239" s="2">
        <v>46177</v>
      </c>
      <c r="E1239">
        <v>5.2859858268163501E-2</v>
      </c>
      <c r="F1239" s="1" t="s">
        <v>6670</v>
      </c>
      <c r="G1239" s="2">
        <v>46177.777408564813</v>
      </c>
      <c r="H1239" s="1" t="s">
        <v>1211</v>
      </c>
      <c r="I1239" s="2">
        <v>46177.777408564813</v>
      </c>
      <c r="J1239" s="1" t="s">
        <v>1211</v>
      </c>
    </row>
    <row r="1240" spans="1:10" x14ac:dyDescent="0.35">
      <c r="A1240" s="1" t="s">
        <v>1839</v>
      </c>
      <c r="B1240" s="1" t="s">
        <v>1209</v>
      </c>
      <c r="C1240" s="1" t="s">
        <v>1210</v>
      </c>
      <c r="D1240" s="2">
        <v>46177</v>
      </c>
      <c r="E1240">
        <v>5.57132438277523E-2</v>
      </c>
      <c r="F1240" s="1" t="s">
        <v>6671</v>
      </c>
      <c r="G1240" s="2">
        <v>46177.777408715279</v>
      </c>
      <c r="H1240" s="1" t="s">
        <v>1211</v>
      </c>
      <c r="I1240" s="2">
        <v>46177.777408715279</v>
      </c>
      <c r="J1240" s="1" t="s">
        <v>1211</v>
      </c>
    </row>
    <row r="1241" spans="1:10" x14ac:dyDescent="0.35">
      <c r="A1241" s="1" t="s">
        <v>1840</v>
      </c>
      <c r="B1241" s="1" t="s">
        <v>1209</v>
      </c>
      <c r="C1241" s="1" t="s">
        <v>1210</v>
      </c>
      <c r="D1241" s="2">
        <v>46177</v>
      </c>
      <c r="E1241">
        <v>4.2519557249446102E-2</v>
      </c>
      <c r="F1241" s="1" t="s">
        <v>6672</v>
      </c>
      <c r="G1241" s="2">
        <v>46177.777408877315</v>
      </c>
      <c r="H1241" s="1" t="s">
        <v>1211</v>
      </c>
      <c r="I1241" s="2">
        <v>46177.777408912036</v>
      </c>
      <c r="J1241" s="1" t="s">
        <v>1211</v>
      </c>
    </row>
    <row r="1242" spans="1:10" x14ac:dyDescent="0.35">
      <c r="A1242" s="1" t="s">
        <v>1841</v>
      </c>
      <c r="B1242" s="1" t="s">
        <v>1209</v>
      </c>
      <c r="C1242" s="1" t="s">
        <v>1210</v>
      </c>
      <c r="D1242" s="2">
        <v>46177</v>
      </c>
      <c r="E1242">
        <v>5.6004743692807002E-2</v>
      </c>
      <c r="F1242" s="1" t="s">
        <v>6673</v>
      </c>
      <c r="G1242" s="2">
        <v>46177.777409027774</v>
      </c>
      <c r="H1242" s="1" t="s">
        <v>1211</v>
      </c>
      <c r="I1242" s="2">
        <v>46177.777409108799</v>
      </c>
      <c r="J1242" s="1" t="s">
        <v>1211</v>
      </c>
    </row>
    <row r="1243" spans="1:10" x14ac:dyDescent="0.35">
      <c r="A1243" s="1" t="s">
        <v>1842</v>
      </c>
      <c r="B1243" s="1" t="s">
        <v>1209</v>
      </c>
      <c r="C1243" s="1" t="s">
        <v>1210</v>
      </c>
      <c r="D1243" s="2">
        <v>46177</v>
      </c>
      <c r="E1243">
        <v>4.2968856786778198E-2</v>
      </c>
      <c r="F1243" s="1" t="s">
        <v>6674</v>
      </c>
      <c r="G1243" s="2">
        <v>46177.77740914352</v>
      </c>
      <c r="H1243" s="1" t="s">
        <v>1211</v>
      </c>
      <c r="I1243" s="2">
        <v>46177.777409259259</v>
      </c>
      <c r="J1243" s="1" t="s">
        <v>1211</v>
      </c>
    </row>
    <row r="1244" spans="1:10" x14ac:dyDescent="0.35">
      <c r="A1244" s="1" t="s">
        <v>1843</v>
      </c>
      <c r="B1244" s="1" t="s">
        <v>1209</v>
      </c>
      <c r="C1244" s="1" t="s">
        <v>1210</v>
      </c>
      <c r="D1244" s="2">
        <v>46177</v>
      </c>
      <c r="E1244">
        <v>5.3051799627110097E-2</v>
      </c>
      <c r="F1244" s="1" t="s">
        <v>6675</v>
      </c>
      <c r="G1244" s="2">
        <v>46177.777409340277</v>
      </c>
      <c r="H1244" s="1" t="s">
        <v>1211</v>
      </c>
      <c r="I1244" s="2">
        <v>46177.777409259259</v>
      </c>
      <c r="J1244" s="1" t="s">
        <v>1211</v>
      </c>
    </row>
    <row r="1245" spans="1:10" x14ac:dyDescent="0.35">
      <c r="A1245" s="1" t="s">
        <v>1844</v>
      </c>
      <c r="B1245" s="1" t="s">
        <v>1209</v>
      </c>
      <c r="C1245" s="1" t="s">
        <v>1210</v>
      </c>
      <c r="D1245" s="2">
        <v>46177</v>
      </c>
      <c r="E1245">
        <v>4.3339284833833598E-2</v>
      </c>
      <c r="F1245" s="1" t="s">
        <v>6676</v>
      </c>
      <c r="G1245" s="2">
        <v>46177.777409490744</v>
      </c>
      <c r="H1245" s="1" t="s">
        <v>1211</v>
      </c>
      <c r="I1245" s="2">
        <v>46177.777409456015</v>
      </c>
      <c r="J1245" s="1" t="s">
        <v>1211</v>
      </c>
    </row>
    <row r="1246" spans="1:10" x14ac:dyDescent="0.35">
      <c r="A1246" s="1" t="s">
        <v>1845</v>
      </c>
      <c r="B1246" s="1" t="s">
        <v>1209</v>
      </c>
      <c r="C1246" s="1" t="s">
        <v>1210</v>
      </c>
      <c r="D1246" s="2">
        <v>46177</v>
      </c>
      <c r="E1246">
        <v>4.1267110671408098E-2</v>
      </c>
      <c r="F1246" s="1" t="s">
        <v>6677</v>
      </c>
      <c r="G1246" s="2">
        <v>46177.777409606482</v>
      </c>
      <c r="H1246" s="1" t="s">
        <v>1211</v>
      </c>
      <c r="I1246" s="2">
        <v>46177.777409641203</v>
      </c>
      <c r="J1246" s="1" t="s">
        <v>1211</v>
      </c>
    </row>
    <row r="1247" spans="1:10" x14ac:dyDescent="0.35">
      <c r="A1247" s="1" t="s">
        <v>1846</v>
      </c>
      <c r="B1247" s="1" t="s">
        <v>1209</v>
      </c>
      <c r="C1247" s="1" t="s">
        <v>1210</v>
      </c>
      <c r="D1247" s="2">
        <v>46177</v>
      </c>
      <c r="E1247">
        <v>5.1503822646458197E-2</v>
      </c>
      <c r="F1247" s="1" t="s">
        <v>6678</v>
      </c>
      <c r="G1247" s="2">
        <v>46177.777409803239</v>
      </c>
      <c r="H1247" s="1" t="s">
        <v>1211</v>
      </c>
      <c r="I1247" s="2">
        <v>46177.777409803239</v>
      </c>
      <c r="J1247" s="1" t="s">
        <v>1211</v>
      </c>
    </row>
    <row r="1248" spans="1:10" x14ac:dyDescent="0.35">
      <c r="A1248" s="1" t="s">
        <v>1847</v>
      </c>
      <c r="B1248" s="1" t="s">
        <v>1209</v>
      </c>
      <c r="C1248" s="1" t="s">
        <v>1210</v>
      </c>
      <c r="D1248" s="2">
        <v>46177</v>
      </c>
      <c r="E1248">
        <v>5.6183296018603501E-2</v>
      </c>
      <c r="F1248" s="1" t="s">
        <v>6679</v>
      </c>
      <c r="G1248" s="2">
        <v>46177.777409953706</v>
      </c>
      <c r="H1248" s="1" t="s">
        <v>1211</v>
      </c>
      <c r="I1248" s="2">
        <v>46177.777409988426</v>
      </c>
      <c r="J1248" s="1" t="s">
        <v>1211</v>
      </c>
    </row>
    <row r="1249" spans="1:10" x14ac:dyDescent="0.35">
      <c r="A1249" s="1" t="s">
        <v>1848</v>
      </c>
      <c r="B1249" s="1" t="s">
        <v>1209</v>
      </c>
      <c r="C1249" s="1" t="s">
        <v>1210</v>
      </c>
      <c r="D1249" s="2">
        <v>46177</v>
      </c>
      <c r="E1249">
        <v>4.2545249184934297E-2</v>
      </c>
      <c r="F1249" s="1" t="s">
        <v>6680</v>
      </c>
      <c r="G1249" s="2">
        <v>46177.777410069444</v>
      </c>
      <c r="H1249" s="1" t="s">
        <v>1211</v>
      </c>
      <c r="I1249" s="2">
        <v>46177.777410185183</v>
      </c>
      <c r="J1249" s="1" t="s">
        <v>1211</v>
      </c>
    </row>
    <row r="1250" spans="1:10" x14ac:dyDescent="0.35">
      <c r="A1250" s="1" t="s">
        <v>1849</v>
      </c>
      <c r="B1250" s="1" t="s">
        <v>1209</v>
      </c>
      <c r="C1250" s="1" t="s">
        <v>1210</v>
      </c>
      <c r="D1250" s="2">
        <v>46177</v>
      </c>
      <c r="E1250">
        <v>5.1419818166077901E-2</v>
      </c>
      <c r="F1250" s="1" t="s">
        <v>6681</v>
      </c>
      <c r="G1250" s="2">
        <v>46177.777410266201</v>
      </c>
      <c r="H1250" s="1" t="s">
        <v>1211</v>
      </c>
      <c r="I1250" s="2">
        <v>46177.777410381947</v>
      </c>
      <c r="J1250" s="1" t="s">
        <v>1211</v>
      </c>
    </row>
    <row r="1251" spans="1:10" x14ac:dyDescent="0.35">
      <c r="A1251" s="1" t="s">
        <v>1850</v>
      </c>
      <c r="B1251" s="1" t="s">
        <v>1209</v>
      </c>
      <c r="C1251" s="1" t="s">
        <v>1210</v>
      </c>
      <c r="D1251" s="2">
        <v>46177</v>
      </c>
      <c r="E1251">
        <v>4.6811660016977202E-2</v>
      </c>
      <c r="F1251" s="1" t="s">
        <v>6682</v>
      </c>
      <c r="G1251" s="2">
        <v>46177.777410416667</v>
      </c>
      <c r="H1251" s="1" t="s">
        <v>1211</v>
      </c>
      <c r="I1251" s="2">
        <v>46177.777410381947</v>
      </c>
      <c r="J1251" s="1" t="s">
        <v>1211</v>
      </c>
    </row>
    <row r="1252" spans="1:10" x14ac:dyDescent="0.35">
      <c r="A1252" s="1" t="s">
        <v>1851</v>
      </c>
      <c r="B1252" s="1" t="s">
        <v>1209</v>
      </c>
      <c r="C1252" s="1" t="s">
        <v>1210</v>
      </c>
      <c r="D1252" s="2">
        <v>46177</v>
      </c>
      <c r="E1252">
        <v>4.5254768444901401E-2</v>
      </c>
      <c r="F1252" s="1" t="s">
        <v>6683</v>
      </c>
      <c r="G1252" s="2">
        <v>46177.777410567127</v>
      </c>
      <c r="H1252" s="1" t="s">
        <v>1211</v>
      </c>
      <c r="I1252" s="2">
        <v>46177.777410613424</v>
      </c>
      <c r="J1252" s="1" t="s">
        <v>1211</v>
      </c>
    </row>
    <row r="1253" spans="1:10" x14ac:dyDescent="0.35">
      <c r="A1253" s="1" t="s">
        <v>1852</v>
      </c>
      <c r="B1253" s="1" t="s">
        <v>1209</v>
      </c>
      <c r="C1253" s="1" t="s">
        <v>1210</v>
      </c>
      <c r="D1253" s="2">
        <v>46177</v>
      </c>
      <c r="E1253">
        <v>5.6240580846601503E-2</v>
      </c>
      <c r="F1253" s="1" t="s">
        <v>6684</v>
      </c>
      <c r="G1253" s="2">
        <v>46177.77741072917</v>
      </c>
      <c r="H1253" s="1" t="s">
        <v>1211</v>
      </c>
      <c r="I1253" s="2">
        <v>46177.777410682873</v>
      </c>
      <c r="J1253" s="1" t="s">
        <v>1211</v>
      </c>
    </row>
    <row r="1254" spans="1:10" x14ac:dyDescent="0.35">
      <c r="A1254" s="1" t="s">
        <v>1853</v>
      </c>
      <c r="B1254" s="1" t="s">
        <v>1209</v>
      </c>
      <c r="C1254" s="1" t="s">
        <v>1210</v>
      </c>
      <c r="D1254" s="2">
        <v>46177</v>
      </c>
      <c r="E1254">
        <v>1.80892467843034E-2</v>
      </c>
      <c r="F1254" s="1" t="s">
        <v>6685</v>
      </c>
      <c r="G1254" s="2">
        <v>46177.777410879629</v>
      </c>
      <c r="H1254" s="1" t="s">
        <v>1211</v>
      </c>
      <c r="I1254" s="2">
        <v>46177.777410879629</v>
      </c>
      <c r="J1254" s="1" t="s">
        <v>1211</v>
      </c>
    </row>
    <row r="1255" spans="1:10" x14ac:dyDescent="0.35">
      <c r="A1255" s="1" t="s">
        <v>1854</v>
      </c>
      <c r="B1255" s="1" t="s">
        <v>1209</v>
      </c>
      <c r="C1255" s="1" t="s">
        <v>1210</v>
      </c>
      <c r="D1255" s="2">
        <v>46177</v>
      </c>
      <c r="E1255">
        <v>5.3137792199659403E-2</v>
      </c>
      <c r="F1255" s="1" t="s">
        <v>6686</v>
      </c>
      <c r="G1255" s="2">
        <v>46177.777410995368</v>
      </c>
      <c r="H1255" s="1" t="s">
        <v>1211</v>
      </c>
      <c r="I1255" s="2">
        <v>46177.777411076386</v>
      </c>
      <c r="J1255" s="1" t="s">
        <v>1211</v>
      </c>
    </row>
    <row r="1256" spans="1:10" x14ac:dyDescent="0.35">
      <c r="A1256" s="1" t="s">
        <v>1855</v>
      </c>
      <c r="B1256" s="1" t="s">
        <v>1209</v>
      </c>
      <c r="C1256" s="1" t="s">
        <v>1210</v>
      </c>
      <c r="D1256" s="2">
        <v>46177</v>
      </c>
      <c r="E1256">
        <v>5.5642517290284098E-2</v>
      </c>
      <c r="F1256" s="1" t="s">
        <v>6687</v>
      </c>
      <c r="G1256" s="2">
        <v>46177.777411192132</v>
      </c>
      <c r="H1256" s="1" t="s">
        <v>1211</v>
      </c>
      <c r="I1256" s="2">
        <v>46177.777411226853</v>
      </c>
      <c r="J1256" s="1" t="s">
        <v>1211</v>
      </c>
    </row>
    <row r="1257" spans="1:10" x14ac:dyDescent="0.35">
      <c r="A1257" s="1" t="s">
        <v>1856</v>
      </c>
      <c r="B1257" s="1" t="s">
        <v>1209</v>
      </c>
      <c r="C1257" s="1" t="s">
        <v>1210</v>
      </c>
      <c r="D1257" s="2">
        <v>46177</v>
      </c>
      <c r="E1257">
        <v>4.13444049571925E-2</v>
      </c>
      <c r="F1257" s="1" t="s">
        <v>6688</v>
      </c>
      <c r="G1257" s="2">
        <v>46177.777411342591</v>
      </c>
      <c r="H1257" s="1" t="s">
        <v>1211</v>
      </c>
      <c r="I1257" s="2">
        <v>46177.777411423609</v>
      </c>
      <c r="J1257" s="1" t="s">
        <v>1211</v>
      </c>
    </row>
    <row r="1258" spans="1:10" x14ac:dyDescent="0.35">
      <c r="A1258" s="1" t="s">
        <v>1857</v>
      </c>
      <c r="B1258" s="1" t="s">
        <v>1209</v>
      </c>
      <c r="C1258" s="1" t="s">
        <v>1210</v>
      </c>
      <c r="D1258" s="2">
        <v>46177</v>
      </c>
      <c r="E1258">
        <v>5.5562372756266902E-2</v>
      </c>
      <c r="F1258" s="1" t="s">
        <v>6689</v>
      </c>
      <c r="G1258" s="2">
        <v>46177.77741145833</v>
      </c>
      <c r="H1258" s="1" t="s">
        <v>1211</v>
      </c>
      <c r="I1258" s="2">
        <v>46177.777411423609</v>
      </c>
      <c r="J1258" s="1" t="s">
        <v>1211</v>
      </c>
    </row>
    <row r="1259" spans="1:10" x14ac:dyDescent="0.35">
      <c r="A1259" s="1" t="s">
        <v>1858</v>
      </c>
      <c r="B1259" s="1" t="s">
        <v>1209</v>
      </c>
      <c r="C1259" s="1" t="s">
        <v>1210</v>
      </c>
      <c r="D1259" s="2">
        <v>46177</v>
      </c>
      <c r="E1259">
        <v>4.34101393330142E-2</v>
      </c>
      <c r="F1259" s="1" t="s">
        <v>6690</v>
      </c>
      <c r="G1259" s="2">
        <v>46177.777411655094</v>
      </c>
      <c r="H1259" s="1" t="s">
        <v>1211</v>
      </c>
      <c r="I1259" s="2">
        <v>46177.777411608797</v>
      </c>
      <c r="J1259" s="1" t="s">
        <v>1211</v>
      </c>
    </row>
    <row r="1260" spans="1:10" x14ac:dyDescent="0.35">
      <c r="A1260" s="1" t="s">
        <v>1859</v>
      </c>
      <c r="B1260" s="1" t="s">
        <v>1209</v>
      </c>
      <c r="C1260" s="1" t="s">
        <v>1210</v>
      </c>
      <c r="D1260" s="2">
        <v>46177</v>
      </c>
      <c r="E1260">
        <v>4.3808668693669402E-2</v>
      </c>
      <c r="F1260" s="1" t="s">
        <v>6691</v>
      </c>
      <c r="G1260" s="2">
        <v>46177.777411805553</v>
      </c>
      <c r="H1260" s="1" t="s">
        <v>1211</v>
      </c>
      <c r="I1260" s="2">
        <v>46177.777411770832</v>
      </c>
      <c r="J1260" s="1" t="s">
        <v>1211</v>
      </c>
    </row>
    <row r="1261" spans="1:10" x14ac:dyDescent="0.35">
      <c r="A1261" s="1" t="s">
        <v>1860</v>
      </c>
      <c r="B1261" s="1" t="s">
        <v>1209</v>
      </c>
      <c r="C1261" s="1" t="s">
        <v>1210</v>
      </c>
      <c r="D1261" s="2">
        <v>46177</v>
      </c>
      <c r="E1261">
        <v>4.8540610410066298E-2</v>
      </c>
      <c r="F1261" s="1" t="s">
        <v>6692</v>
      </c>
      <c r="G1261" s="2">
        <v>46177.77741195602</v>
      </c>
      <c r="H1261" s="1" t="s">
        <v>1211</v>
      </c>
      <c r="I1261" s="2">
        <v>46177.77741195602</v>
      </c>
      <c r="J1261" s="1" t="s">
        <v>1211</v>
      </c>
    </row>
    <row r="1262" spans="1:10" x14ac:dyDescent="0.35">
      <c r="A1262" s="1" t="s">
        <v>1861</v>
      </c>
      <c r="B1262" s="1" t="s">
        <v>1209</v>
      </c>
      <c r="C1262" s="1" t="s">
        <v>1210</v>
      </c>
      <c r="D1262" s="2">
        <v>46177</v>
      </c>
      <c r="E1262">
        <v>4.62780264570304E-2</v>
      </c>
      <c r="F1262" s="1" t="s">
        <v>6693</v>
      </c>
      <c r="G1262" s="2">
        <v>46177.777412152776</v>
      </c>
      <c r="H1262" s="1" t="s">
        <v>1211</v>
      </c>
      <c r="I1262" s="2">
        <v>46177.777412152776</v>
      </c>
      <c r="J1262" s="1" t="s">
        <v>1211</v>
      </c>
    </row>
    <row r="1263" spans="1:10" x14ac:dyDescent="0.35">
      <c r="A1263" s="1" t="s">
        <v>1862</v>
      </c>
      <c r="B1263" s="1" t="s">
        <v>1209</v>
      </c>
      <c r="C1263" s="1" t="s">
        <v>1210</v>
      </c>
      <c r="D1263" s="2">
        <v>46177</v>
      </c>
      <c r="E1263">
        <v>5.4985613608456899E-2</v>
      </c>
      <c r="F1263" s="1" t="s">
        <v>6694</v>
      </c>
      <c r="G1263" s="2">
        <v>46177.777412303243</v>
      </c>
      <c r="H1263" s="1" t="s">
        <v>1211</v>
      </c>
      <c r="I1263" s="2">
        <v>46177.77741234954</v>
      </c>
      <c r="J1263" s="1" t="s">
        <v>1211</v>
      </c>
    </row>
    <row r="1264" spans="1:10" x14ac:dyDescent="0.35">
      <c r="A1264" s="1" t="s">
        <v>1863</v>
      </c>
      <c r="B1264" s="1" t="s">
        <v>1209</v>
      </c>
      <c r="C1264" s="1" t="s">
        <v>1210</v>
      </c>
      <c r="D1264" s="2">
        <v>46177</v>
      </c>
      <c r="E1264">
        <v>7.8353381352713903E-3</v>
      </c>
      <c r="F1264" s="1" t="s">
        <v>6695</v>
      </c>
      <c r="G1264" s="2">
        <v>46177.777412465279</v>
      </c>
      <c r="H1264" s="1" t="s">
        <v>1211</v>
      </c>
      <c r="I1264" s="2">
        <v>46177.7774125</v>
      </c>
      <c r="J1264" s="1" t="s">
        <v>1211</v>
      </c>
    </row>
    <row r="1265" spans="1:10" x14ac:dyDescent="0.35">
      <c r="A1265" s="1" t="s">
        <v>1864</v>
      </c>
      <c r="B1265" s="1" t="s">
        <v>1209</v>
      </c>
      <c r="C1265" s="1" t="s">
        <v>1210</v>
      </c>
      <c r="D1265" s="2">
        <v>46177</v>
      </c>
      <c r="E1265">
        <v>3.7179769370235198E-2</v>
      </c>
      <c r="F1265" s="1" t="s">
        <v>6696</v>
      </c>
      <c r="G1265" s="2">
        <v>46177.777412615738</v>
      </c>
      <c r="H1265" s="1" t="s">
        <v>1211</v>
      </c>
      <c r="I1265" s="2">
        <v>46177.777412696756</v>
      </c>
      <c r="J1265" s="1" t="s">
        <v>1211</v>
      </c>
    </row>
    <row r="1266" spans="1:10" x14ac:dyDescent="0.35">
      <c r="A1266" s="1" t="s">
        <v>1865</v>
      </c>
      <c r="B1266" s="1" t="s">
        <v>1209</v>
      </c>
      <c r="C1266" s="1" t="s">
        <v>1210</v>
      </c>
      <c r="D1266" s="2">
        <v>46177</v>
      </c>
      <c r="E1266">
        <v>5.5272289761722299E-2</v>
      </c>
      <c r="F1266" s="1" t="s">
        <v>6697</v>
      </c>
      <c r="G1266" s="2">
        <v>46177.777412766205</v>
      </c>
      <c r="H1266" s="1" t="s">
        <v>1211</v>
      </c>
      <c r="I1266" s="2">
        <v>46177.777412881944</v>
      </c>
      <c r="J1266" s="1" t="s">
        <v>1211</v>
      </c>
    </row>
    <row r="1267" spans="1:10" x14ac:dyDescent="0.35">
      <c r="A1267" s="1" t="s">
        <v>1866</v>
      </c>
      <c r="B1267" s="1" t="s">
        <v>1209</v>
      </c>
      <c r="C1267" s="1" t="s">
        <v>1210</v>
      </c>
      <c r="D1267" s="2">
        <v>46177</v>
      </c>
      <c r="E1267">
        <v>2.2807210756598299E-2</v>
      </c>
      <c r="F1267" s="1" t="s">
        <v>6698</v>
      </c>
      <c r="G1267" s="2">
        <v>46177.777412928241</v>
      </c>
      <c r="H1267" s="1" t="s">
        <v>1211</v>
      </c>
      <c r="I1267" s="2">
        <v>46177.777413043979</v>
      </c>
      <c r="J1267" s="1" t="s">
        <v>1211</v>
      </c>
    </row>
    <row r="1268" spans="1:10" x14ac:dyDescent="0.35">
      <c r="A1268" s="1" t="s">
        <v>1867</v>
      </c>
      <c r="B1268" s="1" t="s">
        <v>1209</v>
      </c>
      <c r="C1268" s="1" t="s">
        <v>1210</v>
      </c>
      <c r="D1268" s="2">
        <v>46177</v>
      </c>
      <c r="E1268">
        <v>5.6154302985344802E-2</v>
      </c>
      <c r="F1268" s="1" t="s">
        <v>6699</v>
      </c>
      <c r="G1268" s="2">
        <v>46177.7774130787</v>
      </c>
      <c r="H1268" s="1" t="s">
        <v>1211</v>
      </c>
      <c r="I1268" s="2">
        <v>46177.777413043979</v>
      </c>
      <c r="J1268" s="1" t="s">
        <v>1211</v>
      </c>
    </row>
    <row r="1269" spans="1:10" x14ac:dyDescent="0.35">
      <c r="A1269" s="1" t="s">
        <v>1868</v>
      </c>
      <c r="B1269" s="1" t="s">
        <v>1209</v>
      </c>
      <c r="C1269" s="1" t="s">
        <v>1210</v>
      </c>
      <c r="D1269" s="2">
        <v>46177</v>
      </c>
      <c r="E1269">
        <v>4.7325139292212298E-2</v>
      </c>
      <c r="F1269" s="1" t="s">
        <v>6700</v>
      </c>
      <c r="G1269" s="2">
        <v>46177.777413229167</v>
      </c>
      <c r="H1269" s="1" t="s">
        <v>1211</v>
      </c>
      <c r="I1269" s="2">
        <v>46177.777413229167</v>
      </c>
      <c r="J1269" s="1" t="s">
        <v>1211</v>
      </c>
    </row>
    <row r="1270" spans="1:10" x14ac:dyDescent="0.35">
      <c r="A1270" s="1" t="s">
        <v>1869</v>
      </c>
      <c r="B1270" s="1" t="s">
        <v>1209</v>
      </c>
      <c r="C1270" s="1" t="s">
        <v>1210</v>
      </c>
      <c r="D1270" s="2">
        <v>46177</v>
      </c>
      <c r="E1270">
        <v>5.4589450000338602E-2</v>
      </c>
      <c r="F1270" s="1" t="s">
        <v>6701</v>
      </c>
      <c r="G1270" s="2">
        <v>46177.777413391203</v>
      </c>
      <c r="H1270" s="1" t="s">
        <v>1211</v>
      </c>
      <c r="I1270" s="2">
        <v>46177.777413425923</v>
      </c>
      <c r="J1270" s="1" t="s">
        <v>1211</v>
      </c>
    </row>
    <row r="1271" spans="1:10" x14ac:dyDescent="0.35">
      <c r="A1271" s="1" t="s">
        <v>1870</v>
      </c>
      <c r="B1271" s="1" t="s">
        <v>1209</v>
      </c>
      <c r="C1271" s="1" t="s">
        <v>1210</v>
      </c>
      <c r="D1271" s="2">
        <v>46177</v>
      </c>
      <c r="E1271">
        <v>4.1781468567638098E-2</v>
      </c>
      <c r="F1271" s="1" t="s">
        <v>6702</v>
      </c>
      <c r="G1271" s="2">
        <v>46177.77741357639</v>
      </c>
      <c r="H1271" s="1" t="s">
        <v>1211</v>
      </c>
      <c r="I1271" s="2">
        <v>46177.777413622687</v>
      </c>
      <c r="J1271" s="1" t="s">
        <v>1211</v>
      </c>
    </row>
    <row r="1272" spans="1:10" x14ac:dyDescent="0.35">
      <c r="A1272" s="1" t="s">
        <v>1871</v>
      </c>
      <c r="B1272" s="1" t="s">
        <v>1209</v>
      </c>
      <c r="C1272" s="1" t="s">
        <v>1210</v>
      </c>
      <c r="D1272" s="2">
        <v>46177</v>
      </c>
      <c r="E1272">
        <v>5.6139837526761299E-2</v>
      </c>
      <c r="F1272" s="1" t="s">
        <v>6703</v>
      </c>
      <c r="G1272" s="2">
        <v>46177.777413738426</v>
      </c>
      <c r="H1272" s="1" t="s">
        <v>1211</v>
      </c>
      <c r="I1272" s="2">
        <v>46177.777413773147</v>
      </c>
      <c r="J1272" s="1" t="s">
        <v>1211</v>
      </c>
    </row>
    <row r="1273" spans="1:10" x14ac:dyDescent="0.35">
      <c r="A1273" s="1" t="s">
        <v>1872</v>
      </c>
      <c r="B1273" s="1" t="s">
        <v>1209</v>
      </c>
      <c r="C1273" s="1" t="s">
        <v>1210</v>
      </c>
      <c r="D1273" s="2">
        <v>46177</v>
      </c>
      <c r="E1273">
        <v>4.4986776226983501E-2</v>
      </c>
      <c r="F1273" s="1" t="s">
        <v>6704</v>
      </c>
      <c r="G1273" s="2">
        <v>46177.777413888885</v>
      </c>
      <c r="H1273" s="1" t="s">
        <v>1211</v>
      </c>
      <c r="I1273" s="2">
        <v>46177.77741396991</v>
      </c>
      <c r="J1273" s="1" t="s">
        <v>1211</v>
      </c>
    </row>
    <row r="1274" spans="1:10" x14ac:dyDescent="0.35">
      <c r="A1274" s="1" t="s">
        <v>1873</v>
      </c>
      <c r="B1274" s="1" t="s">
        <v>1209</v>
      </c>
      <c r="C1274" s="1" t="s">
        <v>1210</v>
      </c>
      <c r="D1274" s="2">
        <v>46177</v>
      </c>
      <c r="E1274">
        <v>5.1182208085493203E-2</v>
      </c>
      <c r="F1274" s="1" t="s">
        <v>6705</v>
      </c>
      <c r="G1274" s="2">
        <v>46177.777414039352</v>
      </c>
      <c r="H1274" s="1" t="s">
        <v>1211</v>
      </c>
      <c r="I1274" s="2">
        <v>46177.77741412037</v>
      </c>
      <c r="J1274" s="1" t="s">
        <v>1211</v>
      </c>
    </row>
    <row r="1275" spans="1:10" x14ac:dyDescent="0.35">
      <c r="A1275" s="1" t="s">
        <v>1874</v>
      </c>
      <c r="B1275" s="1" t="s">
        <v>1209</v>
      </c>
      <c r="C1275" s="1" t="s">
        <v>1210</v>
      </c>
      <c r="D1275" s="2">
        <v>46177</v>
      </c>
      <c r="E1275">
        <v>4.3813506842815701E-2</v>
      </c>
      <c r="F1275" s="1" t="s">
        <v>6706</v>
      </c>
      <c r="G1275" s="2">
        <v>46177.777414236109</v>
      </c>
      <c r="H1275" s="1" t="s">
        <v>1211</v>
      </c>
      <c r="I1275" s="2">
        <v>46177.777414317126</v>
      </c>
      <c r="J1275" s="1" t="s">
        <v>1211</v>
      </c>
    </row>
    <row r="1276" spans="1:10" x14ac:dyDescent="0.35">
      <c r="A1276" s="1" t="s">
        <v>1875</v>
      </c>
      <c r="B1276" s="1" t="s">
        <v>1209</v>
      </c>
      <c r="C1276" s="1" t="s">
        <v>1210</v>
      </c>
      <c r="D1276" s="2">
        <v>46177</v>
      </c>
      <c r="E1276">
        <v>4.7794548634725501E-2</v>
      </c>
      <c r="F1276" s="1" t="s">
        <v>6707</v>
      </c>
      <c r="G1276" s="2">
        <v>46177.777414351855</v>
      </c>
      <c r="H1276" s="1" t="s">
        <v>1211</v>
      </c>
      <c r="I1276" s="2">
        <v>46177.777414317126</v>
      </c>
      <c r="J1276" s="1" t="s">
        <v>1211</v>
      </c>
    </row>
    <row r="1277" spans="1:10" x14ac:dyDescent="0.35">
      <c r="A1277" s="1" t="s">
        <v>1876</v>
      </c>
      <c r="B1277" s="1" t="s">
        <v>1209</v>
      </c>
      <c r="C1277" s="1" t="s">
        <v>1210</v>
      </c>
      <c r="D1277" s="2">
        <v>46177</v>
      </c>
      <c r="E1277">
        <v>5.24462476983691E-2</v>
      </c>
      <c r="F1277" s="1" t="s">
        <v>6708</v>
      </c>
      <c r="G1277" s="2">
        <v>46177.777414502314</v>
      </c>
      <c r="H1277" s="1" t="s">
        <v>1211</v>
      </c>
      <c r="I1277" s="2">
        <v>46177.777414502314</v>
      </c>
      <c r="J1277" s="1" t="s">
        <v>1211</v>
      </c>
    </row>
    <row r="1278" spans="1:10" x14ac:dyDescent="0.35">
      <c r="A1278" s="1" t="s">
        <v>1877</v>
      </c>
      <c r="B1278" s="1" t="s">
        <v>1209</v>
      </c>
      <c r="C1278" s="1" t="s">
        <v>1210</v>
      </c>
      <c r="D1278" s="2">
        <v>46177</v>
      </c>
      <c r="E1278">
        <v>4.3365263382172101E-2</v>
      </c>
      <c r="F1278" s="1" t="s">
        <v>6709</v>
      </c>
      <c r="G1278" s="2">
        <v>46177.77741466435</v>
      </c>
      <c r="H1278" s="1" t="s">
        <v>1211</v>
      </c>
      <c r="I1278" s="2">
        <v>46177.77741466435</v>
      </c>
      <c r="J1278" s="1" t="s">
        <v>1211</v>
      </c>
    </row>
    <row r="1279" spans="1:10" x14ac:dyDescent="0.35">
      <c r="A1279" s="1" t="s">
        <v>1878</v>
      </c>
      <c r="B1279" s="1" t="s">
        <v>1209</v>
      </c>
      <c r="C1279" s="1" t="s">
        <v>1210</v>
      </c>
      <c r="D1279" s="2">
        <v>46177</v>
      </c>
      <c r="E1279">
        <v>4.4059474819659099E-2</v>
      </c>
      <c r="F1279" s="1" t="s">
        <v>6710</v>
      </c>
      <c r="G1279" s="2">
        <v>46177.777414814816</v>
      </c>
      <c r="H1279" s="1" t="s">
        <v>1211</v>
      </c>
      <c r="I1279" s="2">
        <v>46177.777414849537</v>
      </c>
      <c r="J1279" s="1" t="s">
        <v>1211</v>
      </c>
    </row>
    <row r="1280" spans="1:10" x14ac:dyDescent="0.35">
      <c r="A1280" s="1" t="s">
        <v>1879</v>
      </c>
      <c r="B1280" s="1" t="s">
        <v>1209</v>
      </c>
      <c r="C1280" s="1" t="s">
        <v>1210</v>
      </c>
      <c r="D1280" s="2">
        <v>46177</v>
      </c>
      <c r="E1280">
        <v>4.8429465939848697E-2</v>
      </c>
      <c r="F1280" s="1" t="s">
        <v>6711</v>
      </c>
      <c r="G1280" s="2">
        <v>46177.777414965276</v>
      </c>
      <c r="H1280" s="1" t="s">
        <v>1211</v>
      </c>
      <c r="I1280" s="2">
        <v>46177.777415046294</v>
      </c>
      <c r="J1280" s="1" t="s">
        <v>1211</v>
      </c>
    </row>
    <row r="1281" spans="1:10" x14ac:dyDescent="0.35">
      <c r="A1281" s="1" t="s">
        <v>1880</v>
      </c>
      <c r="B1281" s="1" t="s">
        <v>1209</v>
      </c>
      <c r="C1281" s="1" t="s">
        <v>1210</v>
      </c>
      <c r="D1281" s="2">
        <v>46177</v>
      </c>
      <c r="E1281">
        <v>5.5929706216598103E-2</v>
      </c>
      <c r="F1281" s="1" t="s">
        <v>6712</v>
      </c>
      <c r="G1281" s="2">
        <v>46177.777415127312</v>
      </c>
      <c r="H1281" s="1" t="s">
        <v>1211</v>
      </c>
      <c r="I1281" s="2">
        <v>46177.777415243057</v>
      </c>
      <c r="J1281" s="1" t="s">
        <v>1211</v>
      </c>
    </row>
    <row r="1282" spans="1:10" x14ac:dyDescent="0.35">
      <c r="A1282" s="1" t="s">
        <v>1881</v>
      </c>
      <c r="B1282" s="1" t="s">
        <v>1209</v>
      </c>
      <c r="C1282" s="1" t="s">
        <v>1210</v>
      </c>
      <c r="D1282" s="2">
        <v>46177</v>
      </c>
      <c r="E1282">
        <v>4.9039921115749403E-2</v>
      </c>
      <c r="F1282" s="1" t="s">
        <v>6713</v>
      </c>
      <c r="G1282" s="2">
        <v>46177.777415277778</v>
      </c>
      <c r="H1282" s="1" t="s">
        <v>1211</v>
      </c>
      <c r="I1282" s="2">
        <v>46177.777415243057</v>
      </c>
      <c r="J1282" s="1" t="s">
        <v>1211</v>
      </c>
    </row>
    <row r="1283" spans="1:10" x14ac:dyDescent="0.35">
      <c r="A1283" s="1" t="s">
        <v>1882</v>
      </c>
      <c r="B1283" s="1" t="s">
        <v>1209</v>
      </c>
      <c r="C1283" s="1" t="s">
        <v>1210</v>
      </c>
      <c r="D1283" s="2">
        <v>46177</v>
      </c>
      <c r="E1283">
        <v>4.3816717674767802E-2</v>
      </c>
      <c r="F1283" s="1" t="s">
        <v>6714</v>
      </c>
      <c r="G1283" s="2">
        <v>46177.777415428238</v>
      </c>
      <c r="H1283" s="1" t="s">
        <v>1211</v>
      </c>
      <c r="I1283" s="2">
        <v>46177.777415393517</v>
      </c>
      <c r="J1283" s="1" t="s">
        <v>1211</v>
      </c>
    </row>
    <row r="1284" spans="1:10" x14ac:dyDescent="0.35">
      <c r="A1284" s="1" t="s">
        <v>1883</v>
      </c>
      <c r="B1284" s="1" t="s">
        <v>1209</v>
      </c>
      <c r="C1284" s="1" t="s">
        <v>1210</v>
      </c>
      <c r="D1284" s="2">
        <v>46177</v>
      </c>
      <c r="E1284">
        <v>4.4566793738801E-2</v>
      </c>
      <c r="F1284" s="1" t="s">
        <v>6715</v>
      </c>
      <c r="G1284" s="2">
        <v>46177.777415590281</v>
      </c>
      <c r="H1284" s="1" t="s">
        <v>1211</v>
      </c>
      <c r="I1284" s="2">
        <v>46177.777415590281</v>
      </c>
      <c r="J1284" s="1" t="s">
        <v>1211</v>
      </c>
    </row>
    <row r="1285" spans="1:10" x14ac:dyDescent="0.35">
      <c r="A1285" s="1" t="s">
        <v>1884</v>
      </c>
      <c r="B1285" s="1" t="s">
        <v>1209</v>
      </c>
      <c r="C1285" s="1" t="s">
        <v>1210</v>
      </c>
      <c r="D1285" s="2">
        <v>46177</v>
      </c>
      <c r="E1285">
        <v>4.6364796068951802E-2</v>
      </c>
      <c r="F1285" s="1" t="s">
        <v>6716</v>
      </c>
      <c r="G1285" s="2">
        <v>46177.77741574074</v>
      </c>
      <c r="H1285" s="1" t="s">
        <v>1211</v>
      </c>
      <c r="I1285" s="2">
        <v>46177.777415775461</v>
      </c>
      <c r="J1285" s="1" t="s">
        <v>1211</v>
      </c>
    </row>
    <row r="1286" spans="1:10" x14ac:dyDescent="0.35">
      <c r="A1286" s="1" t="s">
        <v>1885</v>
      </c>
      <c r="B1286" s="1" t="s">
        <v>1209</v>
      </c>
      <c r="C1286" s="1" t="s">
        <v>1210</v>
      </c>
      <c r="D1286" s="2">
        <v>46177</v>
      </c>
      <c r="E1286">
        <v>5.3026870419791303E-2</v>
      </c>
      <c r="F1286" s="1" t="s">
        <v>6717</v>
      </c>
      <c r="G1286" s="2">
        <v>46177.777415937497</v>
      </c>
      <c r="H1286" s="1" t="s">
        <v>1211</v>
      </c>
      <c r="I1286" s="2">
        <v>46177.777415937497</v>
      </c>
      <c r="J1286" s="1" t="s">
        <v>1211</v>
      </c>
    </row>
    <row r="1287" spans="1:10" x14ac:dyDescent="0.35">
      <c r="A1287" s="1" t="s">
        <v>1886</v>
      </c>
      <c r="B1287" s="1" t="s">
        <v>1209</v>
      </c>
      <c r="C1287" s="1" t="s">
        <v>1210</v>
      </c>
      <c r="D1287" s="2">
        <v>46177</v>
      </c>
      <c r="E1287">
        <v>5.03882996081974E-2</v>
      </c>
      <c r="F1287" s="1" t="s">
        <v>6718</v>
      </c>
      <c r="G1287" s="2">
        <v>46177.777416087964</v>
      </c>
      <c r="H1287" s="1" t="s">
        <v>1211</v>
      </c>
      <c r="I1287" s="2">
        <v>46177.777416122684</v>
      </c>
      <c r="J1287" s="1" t="s">
        <v>1211</v>
      </c>
    </row>
    <row r="1288" spans="1:10" x14ac:dyDescent="0.35">
      <c r="A1288" s="1" t="s">
        <v>1887</v>
      </c>
      <c r="B1288" s="1" t="s">
        <v>1209</v>
      </c>
      <c r="C1288" s="1" t="s">
        <v>1210</v>
      </c>
      <c r="D1288" s="2">
        <v>46177</v>
      </c>
      <c r="E1288">
        <v>4.9778566395843299E-2</v>
      </c>
      <c r="F1288" s="1" t="s">
        <v>6719</v>
      </c>
      <c r="G1288" s="2">
        <v>46177.777416238423</v>
      </c>
      <c r="H1288" s="1" t="s">
        <v>1211</v>
      </c>
      <c r="I1288" s="2">
        <v>46177.777416319441</v>
      </c>
      <c r="J1288" s="1" t="s">
        <v>1211</v>
      </c>
    </row>
    <row r="1289" spans="1:10" x14ac:dyDescent="0.35">
      <c r="A1289" s="1" t="s">
        <v>1888</v>
      </c>
      <c r="B1289" s="1" t="s">
        <v>1209</v>
      </c>
      <c r="C1289" s="1" t="s">
        <v>1210</v>
      </c>
      <c r="D1289" s="2">
        <v>46177</v>
      </c>
      <c r="E1289">
        <v>2.32092323840269E-2</v>
      </c>
      <c r="F1289" s="1" t="s">
        <v>6720</v>
      </c>
      <c r="G1289" s="2">
        <v>46177.777416400466</v>
      </c>
      <c r="H1289" s="1" t="s">
        <v>1211</v>
      </c>
      <c r="I1289" s="2">
        <v>46177.777416516205</v>
      </c>
      <c r="J1289" s="1" t="s">
        <v>1211</v>
      </c>
    </row>
    <row r="1290" spans="1:10" x14ac:dyDescent="0.35">
      <c r="A1290" s="1" t="s">
        <v>1889</v>
      </c>
      <c r="B1290" s="1" t="s">
        <v>1209</v>
      </c>
      <c r="C1290" s="1" t="s">
        <v>1210</v>
      </c>
      <c r="D1290" s="2">
        <v>46177</v>
      </c>
      <c r="E1290">
        <v>2.2996498465209399E-2</v>
      </c>
      <c r="F1290" s="1" t="s">
        <v>6721</v>
      </c>
      <c r="G1290" s="2">
        <v>46177.777416550925</v>
      </c>
      <c r="H1290" s="1" t="s">
        <v>1211</v>
      </c>
      <c r="I1290" s="2">
        <v>46177.777416516205</v>
      </c>
      <c r="J1290" s="1" t="s">
        <v>1211</v>
      </c>
    </row>
    <row r="1291" spans="1:10" x14ac:dyDescent="0.35">
      <c r="A1291" s="1" t="s">
        <v>1890</v>
      </c>
      <c r="B1291" s="1" t="s">
        <v>1209</v>
      </c>
      <c r="C1291" s="1" t="s">
        <v>1210</v>
      </c>
      <c r="D1291" s="2">
        <v>46177</v>
      </c>
      <c r="E1291">
        <v>5.49624464302216E-2</v>
      </c>
      <c r="F1291" s="1" t="s">
        <v>6722</v>
      </c>
      <c r="G1291" s="2">
        <v>46177.777416701392</v>
      </c>
      <c r="H1291" s="1" t="s">
        <v>1211</v>
      </c>
      <c r="I1291" s="2">
        <v>46177.777416666664</v>
      </c>
      <c r="J1291" s="1" t="s">
        <v>1211</v>
      </c>
    </row>
    <row r="1292" spans="1:10" x14ac:dyDescent="0.35">
      <c r="A1292" s="1" t="s">
        <v>1891</v>
      </c>
      <c r="B1292" s="1" t="s">
        <v>1209</v>
      </c>
      <c r="C1292" s="1" t="s">
        <v>1210</v>
      </c>
      <c r="D1292" s="2">
        <v>46177</v>
      </c>
      <c r="E1292">
        <v>3.7494805225999399E-2</v>
      </c>
      <c r="F1292" s="1" t="s">
        <v>6723</v>
      </c>
      <c r="G1292" s="2">
        <v>46177.777416863428</v>
      </c>
      <c r="H1292" s="1" t="s">
        <v>1211</v>
      </c>
      <c r="I1292" s="2">
        <v>46177.777416863428</v>
      </c>
      <c r="J1292" s="1" t="s">
        <v>1211</v>
      </c>
    </row>
    <row r="1293" spans="1:10" x14ac:dyDescent="0.35">
      <c r="A1293" s="1" t="s">
        <v>1892</v>
      </c>
      <c r="B1293" s="1" t="s">
        <v>1209</v>
      </c>
      <c r="C1293" s="1" t="s">
        <v>1210</v>
      </c>
      <c r="D1293" s="2">
        <v>46177</v>
      </c>
      <c r="E1293">
        <v>1.6974146356555399E-2</v>
      </c>
      <c r="F1293" s="1" t="s">
        <v>6724</v>
      </c>
      <c r="G1293" s="2">
        <v>46177.777417013887</v>
      </c>
      <c r="H1293" s="1" t="s">
        <v>1211</v>
      </c>
      <c r="I1293" s="2">
        <v>46177.777417048608</v>
      </c>
      <c r="J1293" s="1" t="s">
        <v>1211</v>
      </c>
    </row>
    <row r="1294" spans="1:10" x14ac:dyDescent="0.35">
      <c r="A1294" s="1" t="s">
        <v>1893</v>
      </c>
      <c r="B1294" s="1" t="s">
        <v>1209</v>
      </c>
      <c r="C1294" s="1" t="s">
        <v>1210</v>
      </c>
      <c r="D1294" s="2">
        <v>46177</v>
      </c>
      <c r="E1294">
        <v>2.3402284980455799E-2</v>
      </c>
      <c r="F1294" s="1" t="s">
        <v>6725</v>
      </c>
      <c r="G1294" s="2">
        <v>46177.77741732639</v>
      </c>
      <c r="H1294" s="1" t="s">
        <v>1211</v>
      </c>
      <c r="I1294" s="2">
        <v>46177.777417395831</v>
      </c>
      <c r="J1294" s="1" t="s">
        <v>1211</v>
      </c>
    </row>
    <row r="1295" spans="1:10" x14ac:dyDescent="0.35">
      <c r="A1295" s="1" t="s">
        <v>1894</v>
      </c>
      <c r="B1295" s="1" t="s">
        <v>1209</v>
      </c>
      <c r="C1295" s="1" t="s">
        <v>1210</v>
      </c>
      <c r="D1295" s="2">
        <v>46177</v>
      </c>
      <c r="E1295">
        <v>5.0430734314114503E-2</v>
      </c>
      <c r="F1295" s="1" t="s">
        <v>6726</v>
      </c>
      <c r="G1295" s="2">
        <v>46177.777417476849</v>
      </c>
      <c r="H1295" s="1" t="s">
        <v>1211</v>
      </c>
      <c r="I1295" s="2">
        <v>46177.777417557867</v>
      </c>
      <c r="J1295" s="1" t="s">
        <v>1211</v>
      </c>
    </row>
    <row r="1296" spans="1:10" x14ac:dyDescent="0.35">
      <c r="A1296" s="1" t="s">
        <v>1895</v>
      </c>
      <c r="B1296" s="1" t="s">
        <v>1224</v>
      </c>
      <c r="C1296" s="1" t="s">
        <v>1210</v>
      </c>
      <c r="D1296" s="2">
        <v>46177</v>
      </c>
      <c r="E1296">
        <v>1.3416999999999999</v>
      </c>
      <c r="F1296" s="1" t="s">
        <v>6727</v>
      </c>
      <c r="G1296" s="2">
        <v>46177.777479594908</v>
      </c>
      <c r="H1296" s="1" t="s">
        <v>1211</v>
      </c>
      <c r="I1296" s="2">
        <v>46177.777479629629</v>
      </c>
      <c r="J1296" s="1" t="s">
        <v>1211</v>
      </c>
    </row>
    <row r="1297" spans="1:10" x14ac:dyDescent="0.35">
      <c r="A1297" s="1" t="s">
        <v>1896</v>
      </c>
      <c r="B1297" s="1" t="s">
        <v>1224</v>
      </c>
      <c r="C1297" s="1" t="s">
        <v>1210</v>
      </c>
      <c r="D1297" s="2">
        <v>46177</v>
      </c>
      <c r="E1297">
        <v>3.6720000000000002</v>
      </c>
      <c r="F1297" s="1" t="s">
        <v>6728</v>
      </c>
      <c r="G1297" s="2">
        <v>46177.777567245372</v>
      </c>
      <c r="H1297" s="1" t="s">
        <v>1211</v>
      </c>
      <c r="I1297" s="2">
        <v>46177.777567164354</v>
      </c>
      <c r="J1297" s="1" t="s">
        <v>1211</v>
      </c>
    </row>
    <row r="1298" spans="1:10" x14ac:dyDescent="0.35">
      <c r="A1298" s="1" t="s">
        <v>1897</v>
      </c>
      <c r="B1298" s="1" t="s">
        <v>1209</v>
      </c>
      <c r="C1298" s="1" t="s">
        <v>1210</v>
      </c>
      <c r="D1298" s="2">
        <v>46177</v>
      </c>
      <c r="E1298">
        <v>3.4994317384171601E-2</v>
      </c>
      <c r="F1298" s="1" t="s">
        <v>6729</v>
      </c>
      <c r="G1298" s="2">
        <v>46177.777417627316</v>
      </c>
      <c r="H1298" s="1" t="s">
        <v>1211</v>
      </c>
      <c r="I1298" s="2">
        <v>46177.777417743055</v>
      </c>
      <c r="J1298" s="1" t="s">
        <v>1211</v>
      </c>
    </row>
    <row r="1299" spans="1:10" x14ac:dyDescent="0.35">
      <c r="A1299" s="1" t="s">
        <v>1898</v>
      </c>
      <c r="B1299" s="1" t="s">
        <v>1209</v>
      </c>
      <c r="C1299" s="1" t="s">
        <v>1210</v>
      </c>
      <c r="D1299" s="2">
        <v>46177</v>
      </c>
      <c r="E1299">
        <v>3.1009336794424702E-2</v>
      </c>
      <c r="F1299" s="1" t="s">
        <v>6730</v>
      </c>
      <c r="G1299" s="2">
        <v>46177.777417824072</v>
      </c>
      <c r="H1299" s="1" t="s">
        <v>1211</v>
      </c>
      <c r="I1299" s="2">
        <v>46177.777417743055</v>
      </c>
      <c r="J1299" s="1" t="s">
        <v>1211</v>
      </c>
    </row>
    <row r="1300" spans="1:10" x14ac:dyDescent="0.35">
      <c r="A1300" s="1" t="s">
        <v>1899</v>
      </c>
      <c r="B1300" s="1" t="s">
        <v>1209</v>
      </c>
      <c r="C1300" s="1" t="s">
        <v>1210</v>
      </c>
      <c r="D1300" s="2">
        <v>46177</v>
      </c>
      <c r="E1300">
        <v>2.7340888982574401E-2</v>
      </c>
      <c r="F1300" s="1" t="s">
        <v>6731</v>
      </c>
      <c r="G1300" s="2">
        <v>46177.777417939818</v>
      </c>
      <c r="H1300" s="1" t="s">
        <v>1211</v>
      </c>
      <c r="I1300" s="2">
        <v>46177.777417939818</v>
      </c>
      <c r="J1300" s="1" t="s">
        <v>1211</v>
      </c>
    </row>
    <row r="1301" spans="1:10" x14ac:dyDescent="0.35">
      <c r="A1301" s="1" t="s">
        <v>1900</v>
      </c>
      <c r="B1301" s="1" t="s">
        <v>1209</v>
      </c>
      <c r="C1301" s="1" t="s">
        <v>1210</v>
      </c>
      <c r="D1301" s="2">
        <v>46177</v>
      </c>
      <c r="E1301">
        <v>2.9105814867357499E-2</v>
      </c>
      <c r="F1301" s="1" t="s">
        <v>6732</v>
      </c>
      <c r="G1301" s="2">
        <v>46177.777418090278</v>
      </c>
      <c r="H1301" s="1" t="s">
        <v>1211</v>
      </c>
      <c r="I1301" s="2">
        <v>46177.777418136575</v>
      </c>
      <c r="J1301" s="1" t="s">
        <v>1211</v>
      </c>
    </row>
    <row r="1302" spans="1:10" x14ac:dyDescent="0.35">
      <c r="A1302" s="1" t="s">
        <v>1901</v>
      </c>
      <c r="B1302" s="1" t="s">
        <v>1209</v>
      </c>
      <c r="C1302" s="1" t="s">
        <v>1210</v>
      </c>
      <c r="D1302" s="2">
        <v>46177</v>
      </c>
      <c r="E1302">
        <v>2.78138061059948E-2</v>
      </c>
      <c r="F1302" s="1" t="s">
        <v>6733</v>
      </c>
      <c r="G1302" s="2">
        <v>46177.777418252314</v>
      </c>
      <c r="H1302" s="1" t="s">
        <v>1211</v>
      </c>
      <c r="I1302" s="2">
        <v>46177.777418287034</v>
      </c>
      <c r="J1302" s="1" t="s">
        <v>1211</v>
      </c>
    </row>
    <row r="1303" spans="1:10" x14ac:dyDescent="0.35">
      <c r="A1303" s="1" t="s">
        <v>1902</v>
      </c>
      <c r="B1303" s="1" t="s">
        <v>1209</v>
      </c>
      <c r="C1303" s="1" t="s">
        <v>1210</v>
      </c>
      <c r="D1303" s="2">
        <v>46177</v>
      </c>
      <c r="E1303">
        <v>3.45061327775446E-2</v>
      </c>
      <c r="F1303" s="1" t="s">
        <v>6734</v>
      </c>
      <c r="G1303" s="2">
        <v>46177.777418437501</v>
      </c>
      <c r="H1303" s="1" t="s">
        <v>1211</v>
      </c>
      <c r="I1303" s="2">
        <v>46177.777418483798</v>
      </c>
      <c r="J1303" s="1" t="s">
        <v>1211</v>
      </c>
    </row>
    <row r="1304" spans="1:10" x14ac:dyDescent="0.35">
      <c r="A1304" s="1" t="s">
        <v>1903</v>
      </c>
      <c r="B1304" s="1" t="s">
        <v>1224</v>
      </c>
      <c r="C1304" s="1" t="s">
        <v>1210</v>
      </c>
      <c r="D1304" s="2">
        <v>46177</v>
      </c>
      <c r="E1304">
        <v>117.92</v>
      </c>
      <c r="F1304" s="1" t="s">
        <v>6735</v>
      </c>
      <c r="G1304" s="2">
        <v>46177.777562731484</v>
      </c>
      <c r="H1304" s="1" t="s">
        <v>1211</v>
      </c>
      <c r="I1304" s="2">
        <v>46177.777562650466</v>
      </c>
      <c r="J1304" s="1" t="s">
        <v>1211</v>
      </c>
    </row>
    <row r="1305" spans="1:10" x14ac:dyDescent="0.35">
      <c r="A1305" s="1" t="s">
        <v>1904</v>
      </c>
      <c r="B1305" s="1" t="s">
        <v>1224</v>
      </c>
      <c r="C1305" s="1" t="s">
        <v>1210</v>
      </c>
      <c r="D1305" s="2">
        <v>46177</v>
      </c>
      <c r="E1305">
        <v>117.62</v>
      </c>
      <c r="F1305" s="1" t="s">
        <v>6736</v>
      </c>
      <c r="G1305" s="2">
        <v>46177.777562881944</v>
      </c>
      <c r="H1305" s="1" t="s">
        <v>1211</v>
      </c>
      <c r="I1305" s="2">
        <v>46177.777562847223</v>
      </c>
      <c r="J1305" s="1" t="s">
        <v>1211</v>
      </c>
    </row>
    <row r="1306" spans="1:10" x14ac:dyDescent="0.35">
      <c r="A1306" s="1" t="s">
        <v>1905</v>
      </c>
      <c r="B1306" s="1" t="s">
        <v>1209</v>
      </c>
      <c r="C1306" s="1" t="s">
        <v>1210</v>
      </c>
      <c r="D1306" s="2">
        <v>46177</v>
      </c>
      <c r="E1306">
        <v>2.4498282515578399E-2</v>
      </c>
      <c r="F1306" s="1" t="s">
        <v>6737</v>
      </c>
      <c r="G1306" s="2">
        <v>46177.777418599537</v>
      </c>
      <c r="H1306" s="1" t="s">
        <v>1211</v>
      </c>
      <c r="I1306" s="2">
        <v>46177.777418668978</v>
      </c>
      <c r="J1306" s="1" t="s">
        <v>1211</v>
      </c>
    </row>
    <row r="1307" spans="1:10" x14ac:dyDescent="0.35">
      <c r="A1307" s="1" t="s">
        <v>1906</v>
      </c>
      <c r="B1307" s="1" t="s">
        <v>1209</v>
      </c>
      <c r="C1307" s="1" t="s">
        <v>1210</v>
      </c>
      <c r="D1307" s="2">
        <v>46177</v>
      </c>
      <c r="E1307">
        <v>2.7611916282985999E-2</v>
      </c>
      <c r="F1307" s="1" t="s">
        <v>6738</v>
      </c>
      <c r="G1307" s="2">
        <v>46177.777418750004</v>
      </c>
      <c r="H1307" s="1" t="s">
        <v>1211</v>
      </c>
      <c r="I1307" s="2">
        <v>46177.777418831021</v>
      </c>
      <c r="J1307" s="1" t="s">
        <v>1211</v>
      </c>
    </row>
    <row r="1308" spans="1:10" x14ac:dyDescent="0.35">
      <c r="A1308" s="1" t="s">
        <v>1907</v>
      </c>
      <c r="B1308" s="1" t="s">
        <v>1209</v>
      </c>
      <c r="C1308" s="1" t="s">
        <v>1210</v>
      </c>
      <c r="D1308" s="2">
        <v>46177</v>
      </c>
      <c r="E1308">
        <v>2.9575406535427801E-2</v>
      </c>
      <c r="F1308" s="1" t="s">
        <v>6739</v>
      </c>
      <c r="G1308" s="2">
        <v>46177.777418900463</v>
      </c>
      <c r="H1308" s="1" t="s">
        <v>1211</v>
      </c>
      <c r="I1308" s="2">
        <v>46177.777419016202</v>
      </c>
      <c r="J1308" s="1" t="s">
        <v>1211</v>
      </c>
    </row>
    <row r="1309" spans="1:10" x14ac:dyDescent="0.35">
      <c r="A1309" s="1" t="s">
        <v>1908</v>
      </c>
      <c r="B1309" s="1" t="s">
        <v>1209</v>
      </c>
      <c r="C1309" s="1" t="s">
        <v>1210</v>
      </c>
      <c r="D1309" s="2">
        <v>46177</v>
      </c>
      <c r="E1309">
        <v>3.1466335176051803E-2</v>
      </c>
      <c r="F1309" s="1" t="s">
        <v>6740</v>
      </c>
      <c r="G1309" s="2">
        <v>46177.777419062499</v>
      </c>
      <c r="H1309" s="1" t="s">
        <v>1211</v>
      </c>
      <c r="I1309" s="2">
        <v>46177.777419016202</v>
      </c>
      <c r="J1309" s="1" t="s">
        <v>1211</v>
      </c>
    </row>
    <row r="1310" spans="1:10" x14ac:dyDescent="0.35">
      <c r="A1310" s="1" t="s">
        <v>1909</v>
      </c>
      <c r="B1310" s="1" t="s">
        <v>1209</v>
      </c>
      <c r="C1310" s="1" t="s">
        <v>1210</v>
      </c>
      <c r="D1310" s="2">
        <v>46177</v>
      </c>
      <c r="E1310">
        <v>3.3985003238747098E-2</v>
      </c>
      <c r="F1310" s="1" t="s">
        <v>6741</v>
      </c>
      <c r="G1310" s="2">
        <v>46177.777419212965</v>
      </c>
      <c r="H1310" s="1" t="s">
        <v>1211</v>
      </c>
      <c r="I1310" s="2">
        <v>46177.777419247686</v>
      </c>
      <c r="J1310" s="1" t="s">
        <v>1211</v>
      </c>
    </row>
    <row r="1311" spans="1:10" x14ac:dyDescent="0.35">
      <c r="A1311" s="1" t="s">
        <v>1910</v>
      </c>
      <c r="B1311" s="1" t="s">
        <v>1209</v>
      </c>
      <c r="C1311" s="1" t="s">
        <v>1210</v>
      </c>
      <c r="D1311" s="2">
        <v>46177</v>
      </c>
      <c r="E1311">
        <v>3.5783362952644698E-2</v>
      </c>
      <c r="F1311" s="1" t="s">
        <v>6742</v>
      </c>
      <c r="G1311" s="2">
        <v>46177.777419363425</v>
      </c>
      <c r="H1311" s="1" t="s">
        <v>1211</v>
      </c>
      <c r="I1311" s="2">
        <v>46177.777419444443</v>
      </c>
      <c r="J1311" s="1" t="s">
        <v>1211</v>
      </c>
    </row>
    <row r="1312" spans="1:10" x14ac:dyDescent="0.35">
      <c r="A1312" s="1" t="s">
        <v>1911</v>
      </c>
      <c r="B1312" s="1" t="s">
        <v>1209</v>
      </c>
      <c r="C1312" s="1" t="s">
        <v>1210</v>
      </c>
      <c r="D1312" s="2">
        <v>46177</v>
      </c>
      <c r="E1312">
        <v>1.4508123073568999E-2</v>
      </c>
      <c r="F1312" s="1" t="s">
        <v>6743</v>
      </c>
      <c r="G1312" s="2">
        <v>46177.777419525461</v>
      </c>
      <c r="H1312" s="1" t="s">
        <v>1211</v>
      </c>
      <c r="I1312" s="2">
        <v>46177.777419641207</v>
      </c>
      <c r="J1312" s="1" t="s">
        <v>1211</v>
      </c>
    </row>
    <row r="1313" spans="1:10" x14ac:dyDescent="0.35">
      <c r="A1313" s="1" t="s">
        <v>1912</v>
      </c>
      <c r="B1313" s="1" t="s">
        <v>1209</v>
      </c>
      <c r="C1313" s="1" t="s">
        <v>1210</v>
      </c>
      <c r="D1313" s="2">
        <v>46177</v>
      </c>
      <c r="E1313">
        <v>3.8065486034259501E-2</v>
      </c>
      <c r="F1313" s="1" t="s">
        <v>6744</v>
      </c>
      <c r="G1313" s="2">
        <v>46177.777419710648</v>
      </c>
      <c r="H1313" s="1" t="s">
        <v>1211</v>
      </c>
      <c r="I1313" s="2">
        <v>46177.777419791666</v>
      </c>
      <c r="J1313" s="1" t="s">
        <v>1211</v>
      </c>
    </row>
    <row r="1314" spans="1:10" x14ac:dyDescent="0.35">
      <c r="A1314" s="1" t="s">
        <v>1913</v>
      </c>
      <c r="B1314" s="1" t="s">
        <v>1209</v>
      </c>
      <c r="C1314" s="1" t="s">
        <v>1210</v>
      </c>
      <c r="D1314" s="2">
        <v>46177</v>
      </c>
      <c r="E1314">
        <v>4.0270827110387403E-2</v>
      </c>
      <c r="F1314" s="1" t="s">
        <v>6745</v>
      </c>
      <c r="G1314" s="2">
        <v>46177.777419872684</v>
      </c>
      <c r="H1314" s="1" t="s">
        <v>1211</v>
      </c>
      <c r="I1314" s="2">
        <v>46177.777419988422</v>
      </c>
      <c r="J1314" s="1" t="s">
        <v>1211</v>
      </c>
    </row>
    <row r="1315" spans="1:10" x14ac:dyDescent="0.35">
      <c r="A1315" s="1" t="s">
        <v>1914</v>
      </c>
      <c r="B1315" s="1" t="s">
        <v>1209</v>
      </c>
      <c r="C1315" s="1" t="s">
        <v>1210</v>
      </c>
      <c r="D1315" s="2">
        <v>46177</v>
      </c>
      <c r="E1315">
        <v>4.0918676784890202E-2</v>
      </c>
      <c r="F1315" s="1" t="s">
        <v>6746</v>
      </c>
      <c r="G1315" s="2">
        <v>46177.777420023151</v>
      </c>
      <c r="H1315" s="1" t="s">
        <v>1211</v>
      </c>
      <c r="I1315" s="2">
        <v>46177.777419988422</v>
      </c>
      <c r="J1315" s="1" t="s">
        <v>1211</v>
      </c>
    </row>
    <row r="1316" spans="1:10" x14ac:dyDescent="0.35">
      <c r="A1316" s="1" t="s">
        <v>1915</v>
      </c>
      <c r="B1316" s="1" t="s">
        <v>1209</v>
      </c>
      <c r="C1316" s="1" t="s">
        <v>1210</v>
      </c>
      <c r="D1316" s="2">
        <v>46177</v>
      </c>
      <c r="E1316">
        <v>1.9653618860152901E-2</v>
      </c>
      <c r="F1316" s="1" t="s">
        <v>6747</v>
      </c>
      <c r="G1316" s="2">
        <v>46177.77742017361</v>
      </c>
      <c r="H1316" s="1" t="s">
        <v>1211</v>
      </c>
      <c r="I1316" s="2">
        <v>46177.77742017361</v>
      </c>
      <c r="J1316" s="1" t="s">
        <v>1211</v>
      </c>
    </row>
    <row r="1317" spans="1:10" x14ac:dyDescent="0.35">
      <c r="A1317" s="1" t="s">
        <v>1916</v>
      </c>
      <c r="B1317" s="1" t="s">
        <v>1209</v>
      </c>
      <c r="C1317" s="1" t="s">
        <v>1210</v>
      </c>
      <c r="D1317" s="2">
        <v>46177</v>
      </c>
      <c r="E1317">
        <v>-1.9083396062023399E-2</v>
      </c>
      <c r="F1317" s="1" t="s">
        <v>6748</v>
      </c>
      <c r="G1317" s="2">
        <v>46177.777420335646</v>
      </c>
      <c r="H1317" s="1" t="s">
        <v>1211</v>
      </c>
      <c r="I1317" s="2">
        <v>46177.777420335646</v>
      </c>
      <c r="J1317" s="1" t="s">
        <v>1211</v>
      </c>
    </row>
    <row r="1318" spans="1:10" x14ac:dyDescent="0.35">
      <c r="A1318" s="1" t="s">
        <v>1917</v>
      </c>
      <c r="B1318" s="1" t="s">
        <v>1209</v>
      </c>
      <c r="C1318" s="1" t="s">
        <v>1210</v>
      </c>
      <c r="D1318" s="2">
        <v>46177</v>
      </c>
      <c r="E1318">
        <v>2.8409201496510099E-2</v>
      </c>
      <c r="F1318" s="1" t="s">
        <v>6749</v>
      </c>
      <c r="G1318" s="2">
        <v>46177.777420486113</v>
      </c>
      <c r="H1318" s="1" t="s">
        <v>1211</v>
      </c>
      <c r="I1318" s="2">
        <v>46177.777420520833</v>
      </c>
      <c r="J1318" s="1" t="s">
        <v>1211</v>
      </c>
    </row>
    <row r="1319" spans="1:10" x14ac:dyDescent="0.35">
      <c r="A1319" s="1" t="s">
        <v>1918</v>
      </c>
      <c r="B1319" s="1" t="s">
        <v>1209</v>
      </c>
      <c r="C1319" s="1" t="s">
        <v>1210</v>
      </c>
      <c r="D1319" s="2">
        <v>46177</v>
      </c>
      <c r="E1319">
        <v>4.2871244780804597E-2</v>
      </c>
      <c r="F1319" s="1" t="s">
        <v>6750</v>
      </c>
      <c r="G1319" s="2">
        <v>46177.777420601851</v>
      </c>
      <c r="H1319" s="1" t="s">
        <v>1211</v>
      </c>
      <c r="I1319" s="2">
        <v>46177.77742071759</v>
      </c>
      <c r="J1319" s="1" t="s">
        <v>1211</v>
      </c>
    </row>
    <row r="1320" spans="1:10" x14ac:dyDescent="0.35">
      <c r="A1320" s="1" t="s">
        <v>1919</v>
      </c>
      <c r="B1320" s="1" t="s">
        <v>1209</v>
      </c>
      <c r="C1320" s="1" t="s">
        <v>1210</v>
      </c>
      <c r="D1320" s="2">
        <v>46177</v>
      </c>
      <c r="E1320">
        <v>2.9991536922616E-2</v>
      </c>
      <c r="F1320" s="1" t="s">
        <v>6751</v>
      </c>
      <c r="G1320" s="2">
        <v>46177.777420752318</v>
      </c>
      <c r="H1320" s="1" t="s">
        <v>1211</v>
      </c>
      <c r="I1320" s="2">
        <v>46177.777420868057</v>
      </c>
      <c r="J1320" s="1" t="s">
        <v>1211</v>
      </c>
    </row>
    <row r="1321" spans="1:10" x14ac:dyDescent="0.35">
      <c r="A1321" s="1" t="s">
        <v>1920</v>
      </c>
      <c r="B1321" s="1" t="s">
        <v>1209</v>
      </c>
      <c r="C1321" s="1" t="s">
        <v>1210</v>
      </c>
      <c r="D1321" s="2">
        <v>46177</v>
      </c>
      <c r="E1321">
        <v>4.3813738529471902E-2</v>
      </c>
      <c r="F1321" s="1" t="s">
        <v>6752</v>
      </c>
      <c r="G1321" s="2">
        <v>46177.777420949074</v>
      </c>
      <c r="H1321" s="1" t="s">
        <v>1211</v>
      </c>
      <c r="I1321" s="2">
        <v>46177.777420868057</v>
      </c>
      <c r="J1321" s="1" t="s">
        <v>1211</v>
      </c>
    </row>
    <row r="1322" spans="1:10" x14ac:dyDescent="0.35">
      <c r="A1322" s="1" t="s">
        <v>1921</v>
      </c>
      <c r="B1322" s="1" t="s">
        <v>1209</v>
      </c>
      <c r="C1322" s="1" t="s">
        <v>1210</v>
      </c>
      <c r="D1322" s="2">
        <v>46177</v>
      </c>
      <c r="E1322">
        <v>3.2604824793669301E-2</v>
      </c>
      <c r="F1322" s="1" t="s">
        <v>6753</v>
      </c>
      <c r="G1322" s="2">
        <v>46177.777421064813</v>
      </c>
      <c r="H1322" s="1" t="s">
        <v>1211</v>
      </c>
      <c r="I1322" s="2">
        <v>46177.777421064813</v>
      </c>
      <c r="J1322" s="1" t="s">
        <v>1211</v>
      </c>
    </row>
    <row r="1323" spans="1:10" x14ac:dyDescent="0.35">
      <c r="A1323" s="1" t="s">
        <v>1922</v>
      </c>
      <c r="B1323" s="1" t="s">
        <v>1209</v>
      </c>
      <c r="C1323" s="1" t="s">
        <v>1210</v>
      </c>
      <c r="D1323" s="2">
        <v>46177</v>
      </c>
      <c r="E1323">
        <v>1.05215659724597E-2</v>
      </c>
      <c r="F1323" s="1" t="s">
        <v>6754</v>
      </c>
      <c r="G1323" s="2">
        <v>46177.77742121528</v>
      </c>
      <c r="H1323" s="1" t="s">
        <v>1211</v>
      </c>
      <c r="I1323" s="2">
        <v>46177.777421261577</v>
      </c>
      <c r="J1323" s="1" t="s">
        <v>1211</v>
      </c>
    </row>
    <row r="1324" spans="1:10" x14ac:dyDescent="0.35">
      <c r="A1324" s="1" t="s">
        <v>1923</v>
      </c>
      <c r="B1324" s="1" t="s">
        <v>1209</v>
      </c>
      <c r="C1324" s="1" t="s">
        <v>1210</v>
      </c>
      <c r="D1324" s="2">
        <v>46177</v>
      </c>
      <c r="E1324">
        <v>4.39073319530437E-2</v>
      </c>
      <c r="F1324" s="1" t="s">
        <v>6755</v>
      </c>
      <c r="G1324" s="2">
        <v>46177.777421377315</v>
      </c>
      <c r="H1324" s="1" t="s">
        <v>1211</v>
      </c>
      <c r="I1324" s="2">
        <v>46177.777421412036</v>
      </c>
      <c r="J1324" s="1" t="s">
        <v>1211</v>
      </c>
    </row>
    <row r="1325" spans="1:10" x14ac:dyDescent="0.35">
      <c r="A1325" s="1" t="s">
        <v>1924</v>
      </c>
      <c r="B1325" s="1" t="s">
        <v>1209</v>
      </c>
      <c r="C1325" s="1" t="s">
        <v>1210</v>
      </c>
      <c r="D1325" s="2">
        <v>46177</v>
      </c>
      <c r="E1325">
        <v>3.7918862615789702E-2</v>
      </c>
      <c r="F1325" s="1" t="s">
        <v>6756</v>
      </c>
      <c r="G1325" s="2">
        <v>46177.777421527775</v>
      </c>
      <c r="H1325" s="1" t="s">
        <v>1211</v>
      </c>
      <c r="I1325" s="2">
        <v>46177.777421608793</v>
      </c>
      <c r="J1325" s="1" t="s">
        <v>1211</v>
      </c>
    </row>
    <row r="1326" spans="1:10" x14ac:dyDescent="0.35">
      <c r="A1326" s="1" t="s">
        <v>1925</v>
      </c>
      <c r="B1326" s="1" t="s">
        <v>1209</v>
      </c>
      <c r="C1326" s="1" t="s">
        <v>1210</v>
      </c>
      <c r="D1326" s="2">
        <v>46177</v>
      </c>
      <c r="E1326">
        <v>2.3577822897524799E-2</v>
      </c>
      <c r="F1326" s="1" t="s">
        <v>6757</v>
      </c>
      <c r="G1326" s="2">
        <v>46177.777421678242</v>
      </c>
      <c r="H1326" s="1" t="s">
        <v>1211</v>
      </c>
      <c r="I1326" s="2">
        <v>46177.77742179398</v>
      </c>
      <c r="J1326" s="1" t="s">
        <v>1211</v>
      </c>
    </row>
    <row r="1327" spans="1:10" x14ac:dyDescent="0.35">
      <c r="A1327" s="1" t="s">
        <v>1926</v>
      </c>
      <c r="B1327" s="1" t="s">
        <v>1209</v>
      </c>
      <c r="C1327" s="1" t="s">
        <v>1210</v>
      </c>
      <c r="D1327" s="2">
        <v>46177</v>
      </c>
      <c r="E1327">
        <v>4.4631953840393097E-2</v>
      </c>
      <c r="F1327" s="1" t="s">
        <v>6758</v>
      </c>
      <c r="G1327" s="2">
        <v>46177.777421840277</v>
      </c>
      <c r="H1327" s="1" t="s">
        <v>1211</v>
      </c>
      <c r="I1327" s="2">
        <v>46177.77742179398</v>
      </c>
      <c r="J1327" s="1" t="s">
        <v>1211</v>
      </c>
    </row>
    <row r="1328" spans="1:10" x14ac:dyDescent="0.35">
      <c r="A1328" s="1" t="s">
        <v>1927</v>
      </c>
      <c r="B1328" s="1" t="s">
        <v>1209</v>
      </c>
      <c r="C1328" s="1" t="s">
        <v>1210</v>
      </c>
      <c r="D1328" s="2">
        <v>46177</v>
      </c>
      <c r="E1328">
        <v>3.4477033964959103E-2</v>
      </c>
      <c r="F1328" s="1" t="s">
        <v>6759</v>
      </c>
      <c r="G1328" s="2">
        <v>46177.777421990744</v>
      </c>
      <c r="H1328" s="1" t="s">
        <v>1211</v>
      </c>
      <c r="I1328" s="2">
        <v>46177.777421956016</v>
      </c>
      <c r="J1328" s="1" t="s">
        <v>1211</v>
      </c>
    </row>
    <row r="1329" spans="1:10" x14ac:dyDescent="0.35">
      <c r="A1329" s="1" t="s">
        <v>1928</v>
      </c>
      <c r="B1329" s="1" t="s">
        <v>1209</v>
      </c>
      <c r="C1329" s="1" t="s">
        <v>1210</v>
      </c>
      <c r="D1329" s="2">
        <v>46177</v>
      </c>
      <c r="E1329">
        <v>2.6225111766912598E-2</v>
      </c>
      <c r="F1329" s="1" t="s">
        <v>6760</v>
      </c>
      <c r="G1329" s="2">
        <v>46177.777422141204</v>
      </c>
      <c r="H1329" s="1" t="s">
        <v>1211</v>
      </c>
      <c r="I1329" s="2">
        <v>46177.777422256942</v>
      </c>
      <c r="J1329" s="1" t="s">
        <v>1211</v>
      </c>
    </row>
    <row r="1330" spans="1:10" x14ac:dyDescent="0.35">
      <c r="A1330" s="1" t="s">
        <v>1929</v>
      </c>
      <c r="B1330" s="1" t="s">
        <v>1209</v>
      </c>
      <c r="C1330" s="1" t="s">
        <v>1210</v>
      </c>
      <c r="D1330" s="2">
        <v>46177</v>
      </c>
      <c r="E1330">
        <v>4.4090324122825299E-2</v>
      </c>
      <c r="F1330" s="1" t="s">
        <v>6761</v>
      </c>
      <c r="G1330" s="2">
        <v>46177.777422303239</v>
      </c>
      <c r="H1330" s="1" t="s">
        <v>1211</v>
      </c>
      <c r="I1330" s="2">
        <v>46177.777422256942</v>
      </c>
      <c r="J1330" s="1" t="s">
        <v>1211</v>
      </c>
    </row>
    <row r="1331" spans="1:10" x14ac:dyDescent="0.35">
      <c r="A1331" s="1" t="s">
        <v>1930</v>
      </c>
      <c r="B1331" s="1" t="s">
        <v>1209</v>
      </c>
      <c r="C1331" s="1" t="s">
        <v>1210</v>
      </c>
      <c r="D1331" s="2">
        <v>46177</v>
      </c>
      <c r="E1331">
        <v>2.6749714894809099E-2</v>
      </c>
      <c r="F1331" s="1" t="s">
        <v>6762</v>
      </c>
      <c r="G1331" s="2">
        <v>46177.777422418978</v>
      </c>
      <c r="H1331" s="1" t="s">
        <v>1211</v>
      </c>
      <c r="I1331" s="2">
        <v>46177.777422453706</v>
      </c>
      <c r="J1331" s="1" t="s">
        <v>1211</v>
      </c>
    </row>
    <row r="1332" spans="1:10" x14ac:dyDescent="0.35">
      <c r="A1332" s="1" t="s">
        <v>1931</v>
      </c>
      <c r="B1332" s="1" t="s">
        <v>1209</v>
      </c>
      <c r="C1332" s="1" t="s">
        <v>1210</v>
      </c>
      <c r="D1332" s="2">
        <v>46177</v>
      </c>
      <c r="E1332">
        <v>3.9707045619260702E-2</v>
      </c>
      <c r="F1332" s="1" t="s">
        <v>6763</v>
      </c>
      <c r="G1332" s="2">
        <v>46177.777422569445</v>
      </c>
      <c r="H1332" s="1" t="s">
        <v>1211</v>
      </c>
      <c r="I1332" s="2">
        <v>46177.777422650463</v>
      </c>
      <c r="J1332" s="1" t="s">
        <v>1211</v>
      </c>
    </row>
    <row r="1333" spans="1:10" x14ac:dyDescent="0.35">
      <c r="A1333" s="1" t="s">
        <v>1932</v>
      </c>
      <c r="B1333" s="1" t="s">
        <v>1209</v>
      </c>
      <c r="C1333" s="1" t="s">
        <v>1210</v>
      </c>
      <c r="D1333" s="2">
        <v>46177</v>
      </c>
      <c r="E1333">
        <v>2.7667719986168599E-2</v>
      </c>
      <c r="F1333" s="1" t="s">
        <v>6764</v>
      </c>
      <c r="G1333" s="2">
        <v>46177.777422719904</v>
      </c>
      <c r="H1333" s="1" t="s">
        <v>1211</v>
      </c>
      <c r="I1333" s="2">
        <v>46177.777422800929</v>
      </c>
      <c r="J1333" s="1" t="s">
        <v>1211</v>
      </c>
    </row>
    <row r="1334" spans="1:10" x14ac:dyDescent="0.35">
      <c r="A1334" s="1" t="s">
        <v>1933</v>
      </c>
      <c r="B1334" s="1" t="s">
        <v>1209</v>
      </c>
      <c r="C1334" s="1" t="s">
        <v>1210</v>
      </c>
      <c r="D1334" s="2">
        <v>46177</v>
      </c>
      <c r="E1334">
        <v>2.8358501106374601E-2</v>
      </c>
      <c r="F1334" s="1" t="s">
        <v>6765</v>
      </c>
      <c r="G1334" s="2">
        <v>46177.777422881947</v>
      </c>
      <c r="H1334" s="1" t="s">
        <v>1211</v>
      </c>
      <c r="I1334" s="2">
        <v>46177.777422997686</v>
      </c>
      <c r="J1334" s="1" t="s">
        <v>1211</v>
      </c>
    </row>
    <row r="1335" spans="1:10" x14ac:dyDescent="0.35">
      <c r="A1335" s="1" t="s">
        <v>1934</v>
      </c>
      <c r="B1335" s="1" t="s">
        <v>1209</v>
      </c>
      <c r="C1335" s="1" t="s">
        <v>1210</v>
      </c>
      <c r="D1335" s="2">
        <v>46177</v>
      </c>
      <c r="E1335">
        <v>3.6367291269084098E-2</v>
      </c>
      <c r="F1335" s="1" t="s">
        <v>6766</v>
      </c>
      <c r="G1335" s="2">
        <v>46177.777423032407</v>
      </c>
      <c r="H1335" s="1" t="s">
        <v>1211</v>
      </c>
      <c r="I1335" s="2">
        <v>46177.777423182873</v>
      </c>
      <c r="J1335" s="1" t="s">
        <v>1211</v>
      </c>
    </row>
    <row r="1336" spans="1:10" x14ac:dyDescent="0.35">
      <c r="A1336" s="1" t="s">
        <v>1935</v>
      </c>
      <c r="B1336" s="1" t="s">
        <v>1209</v>
      </c>
      <c r="C1336" s="1" t="s">
        <v>1210</v>
      </c>
      <c r="D1336" s="2">
        <v>46177</v>
      </c>
      <c r="E1336">
        <v>4.43686252086158E-2</v>
      </c>
      <c r="F1336" s="1" t="s">
        <v>6767</v>
      </c>
      <c r="G1336" s="2">
        <v>46177.777423182873</v>
      </c>
      <c r="H1336" s="1" t="s">
        <v>1211</v>
      </c>
      <c r="I1336" s="2">
        <v>46177.777423182873</v>
      </c>
      <c r="J1336" s="1" t="s">
        <v>1211</v>
      </c>
    </row>
    <row r="1337" spans="1:10" x14ac:dyDescent="0.35">
      <c r="A1337" s="1" t="s">
        <v>1936</v>
      </c>
      <c r="B1337" s="1" t="s">
        <v>1209</v>
      </c>
      <c r="C1337" s="1" t="s">
        <v>1210</v>
      </c>
      <c r="D1337" s="2">
        <v>46177</v>
      </c>
      <c r="E1337">
        <v>2.9179059697372001E-2</v>
      </c>
      <c r="F1337" s="1" t="s">
        <v>6768</v>
      </c>
      <c r="G1337" s="2">
        <v>46177.777423344909</v>
      </c>
      <c r="H1337" s="1" t="s">
        <v>1211</v>
      </c>
      <c r="I1337" s="2">
        <v>46177.777423344909</v>
      </c>
      <c r="J1337" s="1" t="s">
        <v>1211</v>
      </c>
    </row>
    <row r="1338" spans="1:10" x14ac:dyDescent="0.35">
      <c r="A1338" s="1" t="s">
        <v>1937</v>
      </c>
      <c r="B1338" s="1" t="s">
        <v>1209</v>
      </c>
      <c r="C1338" s="1" t="s">
        <v>1210</v>
      </c>
      <c r="D1338" s="2">
        <v>46177</v>
      </c>
      <c r="E1338">
        <v>2.20902308646269E-2</v>
      </c>
      <c r="F1338" s="1" t="s">
        <v>6769</v>
      </c>
      <c r="G1338" s="2">
        <v>46177.777423495369</v>
      </c>
      <c r="H1338" s="1" t="s">
        <v>1211</v>
      </c>
      <c r="I1338" s="2">
        <v>46177.777423530089</v>
      </c>
      <c r="J1338" s="1" t="s">
        <v>1211</v>
      </c>
    </row>
    <row r="1339" spans="1:10" x14ac:dyDescent="0.35">
      <c r="A1339" s="1" t="s">
        <v>1938</v>
      </c>
      <c r="B1339" s="1" t="s">
        <v>1209</v>
      </c>
      <c r="C1339" s="1" t="s">
        <v>1210</v>
      </c>
      <c r="D1339" s="2">
        <v>46177</v>
      </c>
      <c r="E1339">
        <v>4.0824953478926299E-2</v>
      </c>
      <c r="F1339" s="1" t="s">
        <v>6770</v>
      </c>
      <c r="G1339" s="2">
        <v>46177.777423645835</v>
      </c>
      <c r="H1339" s="1" t="s">
        <v>1211</v>
      </c>
      <c r="I1339" s="2">
        <v>46177.777423726853</v>
      </c>
      <c r="J1339" s="1" t="s">
        <v>1211</v>
      </c>
    </row>
    <row r="1340" spans="1:10" x14ac:dyDescent="0.35">
      <c r="A1340" s="1" t="s">
        <v>1939</v>
      </c>
      <c r="B1340" s="1" t="s">
        <v>1209</v>
      </c>
      <c r="C1340" s="1" t="s">
        <v>1210</v>
      </c>
      <c r="D1340" s="2">
        <v>46177</v>
      </c>
      <c r="E1340">
        <v>3.0026971024820201E-2</v>
      </c>
      <c r="F1340" s="1" t="s">
        <v>6771</v>
      </c>
      <c r="G1340" s="2">
        <v>46177.777423807871</v>
      </c>
      <c r="H1340" s="1" t="s">
        <v>1211</v>
      </c>
      <c r="I1340" s="2">
        <v>46177.777423877313</v>
      </c>
      <c r="J1340" s="1" t="s">
        <v>1211</v>
      </c>
    </row>
    <row r="1341" spans="1:10" x14ac:dyDescent="0.35">
      <c r="A1341" s="1" t="s">
        <v>1940</v>
      </c>
      <c r="B1341" s="1" t="s">
        <v>1209</v>
      </c>
      <c r="C1341" s="1" t="s">
        <v>1210</v>
      </c>
      <c r="D1341" s="2">
        <v>46177</v>
      </c>
      <c r="E1341">
        <v>2.4579359058035901E-2</v>
      </c>
      <c r="F1341" s="1" t="s">
        <v>6772</v>
      </c>
      <c r="G1341" s="2">
        <v>46177.77742392361</v>
      </c>
      <c r="H1341" s="1" t="s">
        <v>1211</v>
      </c>
      <c r="I1341" s="2">
        <v>46177.777423877313</v>
      </c>
      <c r="J1341" s="1" t="s">
        <v>1211</v>
      </c>
    </row>
    <row r="1342" spans="1:10" x14ac:dyDescent="0.35">
      <c r="A1342" s="1" t="s">
        <v>1941</v>
      </c>
      <c r="B1342" s="1" t="s">
        <v>1209</v>
      </c>
      <c r="C1342" s="1" t="s">
        <v>1210</v>
      </c>
      <c r="D1342" s="2">
        <v>46177</v>
      </c>
      <c r="E1342">
        <v>4.4777658456322401E-2</v>
      </c>
      <c r="F1342" s="1" t="s">
        <v>6773</v>
      </c>
      <c r="G1342" s="2">
        <v>46177.777424074076</v>
      </c>
      <c r="H1342" s="1" t="s">
        <v>1211</v>
      </c>
      <c r="I1342" s="2">
        <v>46177.777424074076</v>
      </c>
      <c r="J1342" s="1" t="s">
        <v>1211</v>
      </c>
    </row>
    <row r="1343" spans="1:10" x14ac:dyDescent="0.35">
      <c r="A1343" s="1" t="s">
        <v>1942</v>
      </c>
      <c r="B1343" s="1" t="s">
        <v>1209</v>
      </c>
      <c r="C1343" s="1" t="s">
        <v>1210</v>
      </c>
      <c r="D1343" s="2">
        <v>46177</v>
      </c>
      <c r="E1343">
        <v>3.7529577478459003E-2</v>
      </c>
      <c r="F1343" s="1" t="s">
        <v>6774</v>
      </c>
      <c r="G1343" s="2">
        <v>46177.777424224536</v>
      </c>
      <c r="H1343" s="1" t="s">
        <v>1211</v>
      </c>
      <c r="I1343" s="2">
        <v>46177.777424270833</v>
      </c>
      <c r="J1343" s="1" t="s">
        <v>1211</v>
      </c>
    </row>
    <row r="1344" spans="1:10" x14ac:dyDescent="0.35">
      <c r="A1344" s="1" t="s">
        <v>1943</v>
      </c>
      <c r="B1344" s="1" t="s">
        <v>1209</v>
      </c>
      <c r="C1344" s="1" t="s">
        <v>1210</v>
      </c>
      <c r="D1344" s="2">
        <v>46177</v>
      </c>
      <c r="E1344">
        <v>3.0600840572239201E-2</v>
      </c>
      <c r="F1344" s="1" t="s">
        <v>6775</v>
      </c>
      <c r="G1344" s="2">
        <v>46177.777424386572</v>
      </c>
      <c r="H1344" s="1" t="s">
        <v>1211</v>
      </c>
      <c r="I1344" s="2">
        <v>46177.7774244213</v>
      </c>
      <c r="J1344" s="1" t="s">
        <v>1211</v>
      </c>
    </row>
    <row r="1345" spans="1:10" x14ac:dyDescent="0.35">
      <c r="A1345" s="1" t="s">
        <v>1944</v>
      </c>
      <c r="B1345" s="1" t="s">
        <v>1209</v>
      </c>
      <c r="C1345" s="1" t="s">
        <v>1210</v>
      </c>
      <c r="D1345" s="2">
        <v>46177</v>
      </c>
      <c r="E1345">
        <v>3.1073982678404301E-2</v>
      </c>
      <c r="F1345" s="1" t="s">
        <v>6776</v>
      </c>
      <c r="G1345" s="2">
        <v>46177.777424537038</v>
      </c>
      <c r="H1345" s="1" t="s">
        <v>1211</v>
      </c>
      <c r="I1345" s="2">
        <v>46177.777424618056</v>
      </c>
      <c r="J1345" s="1" t="s">
        <v>1211</v>
      </c>
    </row>
    <row r="1346" spans="1:10" x14ac:dyDescent="0.35">
      <c r="A1346" s="1" t="s">
        <v>1945</v>
      </c>
      <c r="B1346" s="1" t="s">
        <v>1209</v>
      </c>
      <c r="C1346" s="1" t="s">
        <v>1210</v>
      </c>
      <c r="D1346" s="2">
        <v>46177</v>
      </c>
      <c r="E1346">
        <v>2.7065151125435099E-2</v>
      </c>
      <c r="F1346" s="1" t="s">
        <v>6777</v>
      </c>
      <c r="G1346" s="2">
        <v>46177.777424687498</v>
      </c>
      <c r="H1346" s="1" t="s">
        <v>1211</v>
      </c>
      <c r="I1346" s="2">
        <v>46177.777424803244</v>
      </c>
      <c r="J1346" s="1" t="s">
        <v>1211</v>
      </c>
    </row>
    <row r="1347" spans="1:10" x14ac:dyDescent="0.35">
      <c r="A1347" s="1" t="s">
        <v>1946</v>
      </c>
      <c r="B1347" s="1" t="s">
        <v>1209</v>
      </c>
      <c r="C1347" s="1" t="s">
        <v>1210</v>
      </c>
      <c r="D1347" s="2">
        <v>46177</v>
      </c>
      <c r="E1347">
        <v>4.1666270662022498E-2</v>
      </c>
      <c r="F1347" s="1" t="s">
        <v>6778</v>
      </c>
      <c r="G1347" s="2">
        <v>46177.777424849533</v>
      </c>
      <c r="H1347" s="1" t="s">
        <v>1211</v>
      </c>
      <c r="I1347" s="2">
        <v>46177.777424965279</v>
      </c>
      <c r="J1347" s="1" t="s">
        <v>1211</v>
      </c>
    </row>
    <row r="1348" spans="1:10" x14ac:dyDescent="0.35">
      <c r="A1348" s="1" t="s">
        <v>1947</v>
      </c>
      <c r="B1348" s="1" t="s">
        <v>1209</v>
      </c>
      <c r="C1348" s="1" t="s">
        <v>1210</v>
      </c>
      <c r="D1348" s="2">
        <v>46177</v>
      </c>
      <c r="E1348">
        <v>3.1458981025734599E-2</v>
      </c>
      <c r="F1348" s="1" t="s">
        <v>6779</v>
      </c>
      <c r="G1348" s="2">
        <v>46177.777425</v>
      </c>
      <c r="H1348" s="1" t="s">
        <v>1211</v>
      </c>
      <c r="I1348" s="2">
        <v>46177.777424965279</v>
      </c>
      <c r="J1348" s="1" t="s">
        <v>1211</v>
      </c>
    </row>
    <row r="1349" spans="1:10" x14ac:dyDescent="0.35">
      <c r="A1349" s="1" t="s">
        <v>1948</v>
      </c>
      <c r="B1349" s="1" t="s">
        <v>1209</v>
      </c>
      <c r="C1349" s="1" t="s">
        <v>1210</v>
      </c>
      <c r="D1349" s="2">
        <v>46177</v>
      </c>
      <c r="E1349">
        <v>4.4811622834669801E-2</v>
      </c>
      <c r="F1349" s="1" t="s">
        <v>6780</v>
      </c>
      <c r="G1349" s="2">
        <v>46177.77742515046</v>
      </c>
      <c r="H1349" s="1" t="s">
        <v>1211</v>
      </c>
      <c r="I1349" s="2">
        <v>46177.77742515046</v>
      </c>
      <c r="J1349" s="1" t="s">
        <v>1211</v>
      </c>
    </row>
    <row r="1350" spans="1:10" x14ac:dyDescent="0.35">
      <c r="A1350" s="1" t="s">
        <v>1949</v>
      </c>
      <c r="B1350" s="1" t="s">
        <v>1209</v>
      </c>
      <c r="C1350" s="1" t="s">
        <v>1210</v>
      </c>
      <c r="D1350" s="2">
        <v>46177</v>
      </c>
      <c r="E1350">
        <v>3.8554333369986503E-2</v>
      </c>
      <c r="F1350" s="1" t="s">
        <v>6781</v>
      </c>
      <c r="G1350" s="2">
        <v>46177.777425312503</v>
      </c>
      <c r="H1350" s="1" t="s">
        <v>1211</v>
      </c>
      <c r="I1350" s="2">
        <v>46177.777425347223</v>
      </c>
      <c r="J1350" s="1" t="s">
        <v>1211</v>
      </c>
    </row>
    <row r="1351" spans="1:10" x14ac:dyDescent="0.35">
      <c r="A1351" s="1" t="s">
        <v>1950</v>
      </c>
      <c r="B1351" s="1" t="s">
        <v>1209</v>
      </c>
      <c r="C1351" s="1" t="s">
        <v>1210</v>
      </c>
      <c r="D1351" s="2">
        <v>46177</v>
      </c>
      <c r="E1351">
        <v>2.77911335935692E-2</v>
      </c>
      <c r="F1351" s="1" t="s">
        <v>6782</v>
      </c>
      <c r="G1351" s="2">
        <v>46177.777425462962</v>
      </c>
      <c r="H1351" s="1" t="s">
        <v>1211</v>
      </c>
      <c r="I1351" s="2">
        <v>46177.77742554398</v>
      </c>
      <c r="J1351" s="1" t="s">
        <v>1211</v>
      </c>
    </row>
    <row r="1352" spans="1:10" x14ac:dyDescent="0.35">
      <c r="A1352" s="1" t="s">
        <v>1951</v>
      </c>
      <c r="B1352" s="1" t="s">
        <v>1209</v>
      </c>
      <c r="C1352" s="1" t="s">
        <v>1210</v>
      </c>
      <c r="D1352" s="2">
        <v>46177</v>
      </c>
      <c r="E1352">
        <v>3.1823504307776598E-2</v>
      </c>
      <c r="F1352" s="1" t="s">
        <v>6783</v>
      </c>
      <c r="G1352" s="2">
        <v>46177.777425578701</v>
      </c>
      <c r="H1352" s="1" t="s">
        <v>1211</v>
      </c>
      <c r="I1352" s="2">
        <v>46177.777425694447</v>
      </c>
      <c r="J1352" s="1" t="s">
        <v>1211</v>
      </c>
    </row>
    <row r="1353" spans="1:10" x14ac:dyDescent="0.35">
      <c r="A1353" s="1" t="s">
        <v>1952</v>
      </c>
      <c r="B1353" s="1" t="s">
        <v>1209</v>
      </c>
      <c r="C1353" s="1" t="s">
        <v>1210</v>
      </c>
      <c r="D1353" s="2">
        <v>46177</v>
      </c>
      <c r="E1353">
        <v>2.2741541198723399E-2</v>
      </c>
      <c r="F1353" s="1" t="s">
        <v>6784</v>
      </c>
      <c r="G1353" s="2">
        <v>46177.777425729168</v>
      </c>
      <c r="H1353" s="1" t="s">
        <v>1211</v>
      </c>
      <c r="I1353" s="2">
        <v>46177.777425694447</v>
      </c>
      <c r="J1353" s="1" t="s">
        <v>1211</v>
      </c>
    </row>
    <row r="1354" spans="1:10" x14ac:dyDescent="0.35">
      <c r="A1354" s="1" t="s">
        <v>1953</v>
      </c>
      <c r="B1354" s="1" t="s">
        <v>1209</v>
      </c>
      <c r="C1354" s="1" t="s">
        <v>1210</v>
      </c>
      <c r="D1354" s="2">
        <v>46177</v>
      </c>
      <c r="E1354">
        <v>4.3368307426803497E-2</v>
      </c>
      <c r="F1354" s="1" t="s">
        <v>6785</v>
      </c>
      <c r="G1354" s="2">
        <v>46177.777425891203</v>
      </c>
      <c r="H1354" s="1" t="s">
        <v>1211</v>
      </c>
      <c r="I1354" s="2">
        <v>46177.777425891203</v>
      </c>
      <c r="J1354" s="1" t="s">
        <v>1211</v>
      </c>
    </row>
    <row r="1355" spans="1:10" x14ac:dyDescent="0.35">
      <c r="A1355" s="1" t="s">
        <v>1954</v>
      </c>
      <c r="B1355" s="1" t="s">
        <v>1209</v>
      </c>
      <c r="C1355" s="1" t="s">
        <v>1210</v>
      </c>
      <c r="D1355" s="2">
        <v>46177</v>
      </c>
      <c r="E1355">
        <v>4.2380078418577397E-2</v>
      </c>
      <c r="F1355" s="1" t="s">
        <v>6786</v>
      </c>
      <c r="G1355" s="2">
        <v>46177.77742604167</v>
      </c>
      <c r="H1355" s="1" t="s">
        <v>1211</v>
      </c>
      <c r="I1355" s="2">
        <v>46177.777426076391</v>
      </c>
      <c r="J1355" s="1" t="s">
        <v>1211</v>
      </c>
    </row>
    <row r="1356" spans="1:10" x14ac:dyDescent="0.35">
      <c r="A1356" s="1" t="s">
        <v>1955</v>
      </c>
      <c r="B1356" s="1" t="s">
        <v>1209</v>
      </c>
      <c r="C1356" s="1" t="s">
        <v>1210</v>
      </c>
      <c r="D1356" s="2">
        <v>46177</v>
      </c>
      <c r="E1356">
        <v>2.8016099486090101E-2</v>
      </c>
      <c r="F1356" s="1" t="s">
        <v>6787</v>
      </c>
      <c r="G1356" s="2">
        <v>46177.777426192129</v>
      </c>
      <c r="H1356" s="1" t="s">
        <v>1211</v>
      </c>
      <c r="I1356" s="2">
        <v>46177.777426238426</v>
      </c>
      <c r="J1356" s="1" t="s">
        <v>1211</v>
      </c>
    </row>
    <row r="1357" spans="1:10" x14ac:dyDescent="0.35">
      <c r="A1357" s="1" t="s">
        <v>1956</v>
      </c>
      <c r="B1357" s="1" t="s">
        <v>1209</v>
      </c>
      <c r="C1357" s="1" t="s">
        <v>1210</v>
      </c>
      <c r="D1357" s="2">
        <v>46177</v>
      </c>
      <c r="E1357">
        <v>3.2300700669809002E-2</v>
      </c>
      <c r="F1357" s="1" t="s">
        <v>6788</v>
      </c>
      <c r="G1357" s="2">
        <v>46177.777426354165</v>
      </c>
      <c r="H1357" s="1" t="s">
        <v>1211</v>
      </c>
      <c r="I1357" s="2">
        <v>46177.777426423614</v>
      </c>
      <c r="J1357" s="1" t="s">
        <v>1211</v>
      </c>
    </row>
    <row r="1358" spans="1:10" x14ac:dyDescent="0.35">
      <c r="A1358" s="1" t="s">
        <v>1957</v>
      </c>
      <c r="B1358" s="1" t="s">
        <v>1209</v>
      </c>
      <c r="C1358" s="1" t="s">
        <v>1210</v>
      </c>
      <c r="D1358" s="2">
        <v>46177</v>
      </c>
      <c r="E1358">
        <v>2.1805922785000199E-2</v>
      </c>
      <c r="F1358" s="1" t="s">
        <v>6789</v>
      </c>
      <c r="G1358" s="2">
        <v>46177.777426504632</v>
      </c>
      <c r="H1358" s="1" t="s">
        <v>1211</v>
      </c>
      <c r="I1358" s="2">
        <v>46177.777426620371</v>
      </c>
      <c r="J1358" s="1" t="s">
        <v>1211</v>
      </c>
    </row>
    <row r="1359" spans="1:10" x14ac:dyDescent="0.35">
      <c r="A1359" s="1" t="s">
        <v>1958</v>
      </c>
      <c r="B1359" s="1" t="s">
        <v>1209</v>
      </c>
      <c r="C1359" s="1" t="s">
        <v>1210</v>
      </c>
      <c r="D1359" s="2">
        <v>46177</v>
      </c>
      <c r="E1359">
        <v>3.2889020010583997E-2</v>
      </c>
      <c r="F1359" s="1" t="s">
        <v>6790</v>
      </c>
      <c r="G1359" s="2">
        <v>46177.777426655091</v>
      </c>
      <c r="H1359" s="1" t="s">
        <v>1211</v>
      </c>
      <c r="I1359" s="2">
        <v>46177.77742677083</v>
      </c>
      <c r="J1359" s="1" t="s">
        <v>1211</v>
      </c>
    </row>
    <row r="1360" spans="1:10" x14ac:dyDescent="0.35">
      <c r="A1360" s="1" t="s">
        <v>1959</v>
      </c>
      <c r="B1360" s="1" t="s">
        <v>1209</v>
      </c>
      <c r="C1360" s="1" t="s">
        <v>1210</v>
      </c>
      <c r="D1360" s="2">
        <v>46177</v>
      </c>
      <c r="E1360">
        <v>2.8817127457235601E-2</v>
      </c>
      <c r="F1360" s="1" t="s">
        <v>6791</v>
      </c>
      <c r="G1360" s="2">
        <v>46177.777426817127</v>
      </c>
      <c r="H1360" s="1" t="s">
        <v>1211</v>
      </c>
      <c r="I1360" s="2">
        <v>46177.77742677083</v>
      </c>
      <c r="J1360" s="1" t="s">
        <v>1211</v>
      </c>
    </row>
    <row r="1361" spans="1:10" x14ac:dyDescent="0.35">
      <c r="A1361" s="1" t="s">
        <v>1960</v>
      </c>
      <c r="B1361" s="1" t="s">
        <v>1209</v>
      </c>
      <c r="C1361" s="1" t="s">
        <v>1210</v>
      </c>
      <c r="D1361" s="2">
        <v>46177</v>
      </c>
      <c r="E1361">
        <v>4.50043325634681E-2</v>
      </c>
      <c r="F1361" s="1" t="s">
        <v>6792</v>
      </c>
      <c r="G1361" s="2">
        <v>46177.777426967594</v>
      </c>
      <c r="H1361" s="1" t="s">
        <v>1211</v>
      </c>
      <c r="I1361" s="2">
        <v>46177.777426967594</v>
      </c>
      <c r="J1361" s="1" t="s">
        <v>1211</v>
      </c>
    </row>
    <row r="1362" spans="1:10" x14ac:dyDescent="0.35">
      <c r="A1362" s="1" t="s">
        <v>1961</v>
      </c>
      <c r="B1362" s="1" t="s">
        <v>1209</v>
      </c>
      <c r="C1362" s="1" t="s">
        <v>1210</v>
      </c>
      <c r="D1362" s="2">
        <v>46177</v>
      </c>
      <c r="E1362">
        <v>2.6097499945126501E-2</v>
      </c>
      <c r="F1362" s="1" t="s">
        <v>6793</v>
      </c>
      <c r="G1362" s="2">
        <v>46177.777427118053</v>
      </c>
      <c r="H1362" s="1" t="s">
        <v>1211</v>
      </c>
      <c r="I1362" s="2">
        <v>46177.77742716435</v>
      </c>
      <c r="J1362" s="1" t="s">
        <v>1211</v>
      </c>
    </row>
    <row r="1363" spans="1:10" x14ac:dyDescent="0.35">
      <c r="A1363" s="1" t="s">
        <v>1962</v>
      </c>
      <c r="B1363" s="1" t="s">
        <v>1209</v>
      </c>
      <c r="C1363" s="1" t="s">
        <v>1210</v>
      </c>
      <c r="D1363" s="2">
        <v>46177</v>
      </c>
      <c r="E1363">
        <v>3.3560010861891802E-2</v>
      </c>
      <c r="F1363" s="1" t="s">
        <v>6794</v>
      </c>
      <c r="G1363" s="2">
        <v>46177.777427280096</v>
      </c>
      <c r="H1363" s="1" t="s">
        <v>1211</v>
      </c>
      <c r="I1363" s="2">
        <v>46177.777427314817</v>
      </c>
      <c r="J1363" s="1" t="s">
        <v>1211</v>
      </c>
    </row>
    <row r="1364" spans="1:10" x14ac:dyDescent="0.35">
      <c r="A1364" s="1" t="s">
        <v>1963</v>
      </c>
      <c r="B1364" s="1" t="s">
        <v>1209</v>
      </c>
      <c r="C1364" s="1" t="s">
        <v>1210</v>
      </c>
      <c r="D1364" s="2">
        <v>46177</v>
      </c>
      <c r="E1364">
        <v>2.93643757770377E-2</v>
      </c>
      <c r="F1364" s="1" t="s">
        <v>6795</v>
      </c>
      <c r="G1364" s="2">
        <v>46177.777427430556</v>
      </c>
      <c r="H1364" s="1" t="s">
        <v>1211</v>
      </c>
      <c r="I1364" s="2">
        <v>46177.777427511573</v>
      </c>
      <c r="J1364" s="1" t="s">
        <v>1211</v>
      </c>
    </row>
    <row r="1365" spans="1:10" x14ac:dyDescent="0.35">
      <c r="A1365" s="1" t="s">
        <v>1964</v>
      </c>
      <c r="B1365" s="1" t="s">
        <v>1209</v>
      </c>
      <c r="C1365" s="1" t="s">
        <v>1210</v>
      </c>
      <c r="D1365" s="2">
        <v>46177</v>
      </c>
      <c r="E1365">
        <v>3.9428151138614302E-2</v>
      </c>
      <c r="F1365" s="1" t="s">
        <v>6796</v>
      </c>
      <c r="G1365" s="2">
        <v>46177.777427581015</v>
      </c>
      <c r="H1365" s="1" t="s">
        <v>1211</v>
      </c>
      <c r="I1365" s="2">
        <v>46177.777427696761</v>
      </c>
      <c r="J1365" s="1" t="s">
        <v>1211</v>
      </c>
    </row>
    <row r="1366" spans="1:10" x14ac:dyDescent="0.35">
      <c r="A1366" s="1" t="s">
        <v>1965</v>
      </c>
      <c r="B1366" s="1" t="s">
        <v>1209</v>
      </c>
      <c r="C1366" s="1" t="s">
        <v>1210</v>
      </c>
      <c r="D1366" s="2">
        <v>46177</v>
      </c>
      <c r="E1366">
        <v>2.7495699420474601E-2</v>
      </c>
      <c r="F1366" s="1" t="s">
        <v>6797</v>
      </c>
      <c r="G1366" s="2">
        <v>46177.777427743058</v>
      </c>
      <c r="H1366" s="1" t="s">
        <v>1211</v>
      </c>
      <c r="I1366" s="2">
        <v>46177.777427858797</v>
      </c>
      <c r="J1366" s="1" t="s">
        <v>1211</v>
      </c>
    </row>
    <row r="1367" spans="1:10" x14ac:dyDescent="0.35">
      <c r="A1367" s="1" t="s">
        <v>1966</v>
      </c>
      <c r="B1367" s="1" t="s">
        <v>1209</v>
      </c>
      <c r="C1367" s="1" t="s">
        <v>1210</v>
      </c>
      <c r="D1367" s="2">
        <v>46177</v>
      </c>
      <c r="E1367">
        <v>3.6547826584062602E-2</v>
      </c>
      <c r="F1367" s="1" t="s">
        <v>6798</v>
      </c>
      <c r="G1367" s="2">
        <v>46177.777427893518</v>
      </c>
      <c r="H1367" s="1" t="s">
        <v>1211</v>
      </c>
      <c r="I1367" s="2">
        <v>46177.777427858797</v>
      </c>
      <c r="J1367" s="1" t="s">
        <v>1211</v>
      </c>
    </row>
    <row r="1368" spans="1:10" x14ac:dyDescent="0.35">
      <c r="A1368" s="1" t="s">
        <v>1967</v>
      </c>
      <c r="B1368" s="1" t="s">
        <v>1209</v>
      </c>
      <c r="C1368" s="1" t="s">
        <v>1210</v>
      </c>
      <c r="D1368" s="2">
        <v>46177</v>
      </c>
      <c r="E1368">
        <v>3.4235845767741302E-2</v>
      </c>
      <c r="F1368" s="1" t="s">
        <v>6799</v>
      </c>
      <c r="G1368" s="2">
        <v>46177.777428043984</v>
      </c>
      <c r="H1368" s="1" t="s">
        <v>1211</v>
      </c>
      <c r="I1368" s="2">
        <v>46177.777428043984</v>
      </c>
      <c r="J1368" s="1" t="s">
        <v>1211</v>
      </c>
    </row>
    <row r="1369" spans="1:10" x14ac:dyDescent="0.35">
      <c r="A1369" s="1" t="s">
        <v>1968</v>
      </c>
      <c r="B1369" s="1" t="s">
        <v>1209</v>
      </c>
      <c r="C1369" s="1" t="s">
        <v>1210</v>
      </c>
      <c r="D1369" s="2">
        <v>46177</v>
      </c>
      <c r="E1369">
        <v>3.00050472515501E-2</v>
      </c>
      <c r="F1369" s="1" t="s">
        <v>6800</v>
      </c>
      <c r="G1369" s="2">
        <v>46177.77742820602</v>
      </c>
      <c r="H1369" s="1" t="s">
        <v>1211</v>
      </c>
      <c r="I1369" s="2">
        <v>46177.777428240741</v>
      </c>
      <c r="J1369" s="1" t="s">
        <v>1211</v>
      </c>
    </row>
    <row r="1370" spans="1:10" x14ac:dyDescent="0.35">
      <c r="A1370" s="1" t="s">
        <v>1969</v>
      </c>
      <c r="B1370" s="1" t="s">
        <v>1209</v>
      </c>
      <c r="C1370" s="1" t="s">
        <v>1210</v>
      </c>
      <c r="D1370" s="2">
        <v>46177</v>
      </c>
      <c r="E1370">
        <v>2.8000165147337799E-2</v>
      </c>
      <c r="F1370" s="1" t="s">
        <v>6801</v>
      </c>
      <c r="G1370" s="2">
        <v>46177.77742835648</v>
      </c>
      <c r="H1370" s="1" t="s">
        <v>1211</v>
      </c>
      <c r="I1370" s="2">
        <v>46177.777428437497</v>
      </c>
      <c r="J1370" s="1" t="s">
        <v>1211</v>
      </c>
    </row>
    <row r="1371" spans="1:10" x14ac:dyDescent="0.35">
      <c r="A1371" s="1" t="s">
        <v>1970</v>
      </c>
      <c r="B1371" s="1" t="s">
        <v>1209</v>
      </c>
      <c r="C1371" s="1" t="s">
        <v>1210</v>
      </c>
      <c r="D1371" s="2">
        <v>46177</v>
      </c>
      <c r="E1371">
        <v>4.2864845209198303E-2</v>
      </c>
      <c r="F1371" s="1" t="s">
        <v>6802</v>
      </c>
      <c r="G1371" s="2">
        <v>46177.777428472225</v>
      </c>
      <c r="H1371" s="1" t="s">
        <v>1211</v>
      </c>
      <c r="I1371" s="2">
        <v>46177.777428587964</v>
      </c>
      <c r="J1371" s="1" t="s">
        <v>1211</v>
      </c>
    </row>
    <row r="1372" spans="1:10" x14ac:dyDescent="0.35">
      <c r="A1372" s="1" t="s">
        <v>1971</v>
      </c>
      <c r="B1372" s="1" t="s">
        <v>1209</v>
      </c>
      <c r="C1372" s="1" t="s">
        <v>1210</v>
      </c>
      <c r="D1372" s="2">
        <v>46177</v>
      </c>
      <c r="E1372">
        <v>4.55736066731895E-2</v>
      </c>
      <c r="F1372" s="1" t="s">
        <v>6803</v>
      </c>
      <c r="G1372" s="2">
        <v>46177.777428784721</v>
      </c>
      <c r="H1372" s="1" t="s">
        <v>1211</v>
      </c>
      <c r="I1372" s="2">
        <v>46177.777428784721</v>
      </c>
      <c r="J1372" s="1" t="s">
        <v>1211</v>
      </c>
    </row>
    <row r="1373" spans="1:10" x14ac:dyDescent="0.35">
      <c r="A1373" s="1" t="s">
        <v>1972</v>
      </c>
      <c r="B1373" s="1" t="s">
        <v>1209</v>
      </c>
      <c r="C1373" s="1" t="s">
        <v>1210</v>
      </c>
      <c r="D1373" s="2">
        <v>46177</v>
      </c>
      <c r="E1373">
        <v>3.2154758654567898E-2</v>
      </c>
      <c r="F1373" s="1" t="s">
        <v>6804</v>
      </c>
      <c r="G1373" s="2">
        <v>46177.777428935187</v>
      </c>
      <c r="H1373" s="1" t="s">
        <v>1211</v>
      </c>
      <c r="I1373" s="2">
        <v>46177.777428969908</v>
      </c>
      <c r="J1373" s="1" t="s">
        <v>1211</v>
      </c>
    </row>
    <row r="1374" spans="1:10" x14ac:dyDescent="0.35">
      <c r="A1374" s="1" t="s">
        <v>1973</v>
      </c>
      <c r="B1374" s="1" t="s">
        <v>1209</v>
      </c>
      <c r="C1374" s="1" t="s">
        <v>1210</v>
      </c>
      <c r="D1374" s="2">
        <v>46177</v>
      </c>
      <c r="E1374">
        <v>3.0702095263884899E-2</v>
      </c>
      <c r="F1374" s="1" t="s">
        <v>6805</v>
      </c>
      <c r="G1374" s="2">
        <v>46177.777429085647</v>
      </c>
      <c r="H1374" s="1" t="s">
        <v>1211</v>
      </c>
      <c r="I1374" s="2">
        <v>46177.777429131944</v>
      </c>
      <c r="J1374" s="1" t="s">
        <v>1211</v>
      </c>
    </row>
    <row r="1375" spans="1:10" x14ac:dyDescent="0.35">
      <c r="A1375" s="1" t="s">
        <v>1974</v>
      </c>
      <c r="B1375" s="1" t="s">
        <v>1209</v>
      </c>
      <c r="C1375" s="1" t="s">
        <v>1210</v>
      </c>
      <c r="D1375" s="2">
        <v>46177</v>
      </c>
      <c r="E1375">
        <v>7.6981664721786401E-3</v>
      </c>
      <c r="F1375" s="1" t="s">
        <v>6806</v>
      </c>
      <c r="G1375" s="2">
        <v>46177.777429201386</v>
      </c>
      <c r="H1375" s="1" t="s">
        <v>1211</v>
      </c>
      <c r="I1375" s="2">
        <v>46177.777429317131</v>
      </c>
      <c r="J1375" s="1" t="s">
        <v>1211</v>
      </c>
    </row>
    <row r="1376" spans="1:10" x14ac:dyDescent="0.35">
      <c r="A1376" s="1" t="s">
        <v>1975</v>
      </c>
      <c r="B1376" s="1" t="s">
        <v>1209</v>
      </c>
      <c r="C1376" s="1" t="s">
        <v>1210</v>
      </c>
      <c r="D1376" s="2">
        <v>46177</v>
      </c>
      <c r="E1376">
        <v>3.50526728998325E-2</v>
      </c>
      <c r="F1376" s="1" t="s">
        <v>6807</v>
      </c>
      <c r="G1376" s="2">
        <v>46177.777429363428</v>
      </c>
      <c r="H1376" s="1" t="s">
        <v>1211</v>
      </c>
      <c r="I1376" s="2">
        <v>46177.777429513888</v>
      </c>
      <c r="J1376" s="1" t="s">
        <v>1211</v>
      </c>
    </row>
    <row r="1377" spans="1:10" x14ac:dyDescent="0.35">
      <c r="A1377" s="1" t="s">
        <v>1976</v>
      </c>
      <c r="B1377" s="1" t="s">
        <v>1209</v>
      </c>
      <c r="C1377" s="1" t="s">
        <v>1210</v>
      </c>
      <c r="D1377" s="2">
        <v>46177</v>
      </c>
      <c r="E1377">
        <v>2.85030566551722E-2</v>
      </c>
      <c r="F1377" s="1" t="s">
        <v>6808</v>
      </c>
      <c r="G1377" s="2">
        <v>46177.777429513888</v>
      </c>
      <c r="H1377" s="1" t="s">
        <v>1211</v>
      </c>
      <c r="I1377" s="2">
        <v>46177.777429513888</v>
      </c>
      <c r="J1377" s="1" t="s">
        <v>1211</v>
      </c>
    </row>
    <row r="1378" spans="1:10" x14ac:dyDescent="0.35">
      <c r="A1378" s="1" t="s">
        <v>1977</v>
      </c>
      <c r="B1378" s="1" t="s">
        <v>1209</v>
      </c>
      <c r="C1378" s="1" t="s">
        <v>1210</v>
      </c>
      <c r="D1378" s="2">
        <v>46177</v>
      </c>
      <c r="E1378">
        <v>2.39030063074047E-2</v>
      </c>
      <c r="F1378" s="1" t="s">
        <v>6809</v>
      </c>
      <c r="G1378" s="2">
        <v>46177.777429710652</v>
      </c>
      <c r="H1378" s="1" t="s">
        <v>1211</v>
      </c>
      <c r="I1378" s="2">
        <v>46177.777429664355</v>
      </c>
      <c r="J1378" s="1" t="s">
        <v>1211</v>
      </c>
    </row>
    <row r="1379" spans="1:10" x14ac:dyDescent="0.35">
      <c r="A1379" s="1" t="s">
        <v>1978</v>
      </c>
      <c r="B1379" s="1" t="s">
        <v>1209</v>
      </c>
      <c r="C1379" s="1" t="s">
        <v>1210</v>
      </c>
      <c r="D1379" s="2">
        <v>46177</v>
      </c>
      <c r="E1379">
        <v>3.54849116846346E-2</v>
      </c>
      <c r="F1379" s="1" t="s">
        <v>6810</v>
      </c>
      <c r="G1379" s="2">
        <v>46177.777429861111</v>
      </c>
      <c r="H1379" s="1" t="s">
        <v>1211</v>
      </c>
      <c r="I1379" s="2">
        <v>46177.777429861111</v>
      </c>
      <c r="J1379" s="1" t="s">
        <v>1211</v>
      </c>
    </row>
    <row r="1380" spans="1:10" x14ac:dyDescent="0.35">
      <c r="A1380" s="1" t="s">
        <v>1979</v>
      </c>
      <c r="B1380" s="1" t="s">
        <v>1209</v>
      </c>
      <c r="C1380" s="1" t="s">
        <v>1210</v>
      </c>
      <c r="D1380" s="2">
        <v>46177</v>
      </c>
      <c r="E1380">
        <v>3.1299860498647497E-2</v>
      </c>
      <c r="F1380" s="1" t="s">
        <v>6811</v>
      </c>
      <c r="G1380" s="2">
        <v>46177.77742997685</v>
      </c>
      <c r="H1380" s="1" t="s">
        <v>1211</v>
      </c>
      <c r="I1380" s="2">
        <v>46177.777430057868</v>
      </c>
      <c r="J1380" s="1" t="s">
        <v>1211</v>
      </c>
    </row>
    <row r="1381" spans="1:10" x14ac:dyDescent="0.35">
      <c r="A1381" s="1" t="s">
        <v>1980</v>
      </c>
      <c r="B1381" s="1" t="s">
        <v>1209</v>
      </c>
      <c r="C1381" s="1" t="s">
        <v>1210</v>
      </c>
      <c r="D1381" s="2">
        <v>46177</v>
      </c>
      <c r="E1381">
        <v>2.90913256858433E-2</v>
      </c>
      <c r="F1381" s="1" t="s">
        <v>6812</v>
      </c>
      <c r="G1381" s="2">
        <v>46177.777430127317</v>
      </c>
      <c r="H1381" s="1" t="s">
        <v>1211</v>
      </c>
      <c r="I1381" s="2">
        <v>46177.777430208334</v>
      </c>
      <c r="J1381" s="1" t="s">
        <v>1211</v>
      </c>
    </row>
    <row r="1382" spans="1:10" x14ac:dyDescent="0.35">
      <c r="A1382" s="1" t="s">
        <v>1981</v>
      </c>
      <c r="B1382" s="1" t="s">
        <v>1209</v>
      </c>
      <c r="C1382" s="1" t="s">
        <v>1210</v>
      </c>
      <c r="D1382" s="2">
        <v>46177</v>
      </c>
      <c r="E1382">
        <v>2.6074226017048299E-2</v>
      </c>
      <c r="F1382" s="1" t="s">
        <v>6813</v>
      </c>
      <c r="G1382" s="2">
        <v>46177.777430289352</v>
      </c>
      <c r="H1382" s="1" t="s">
        <v>1211</v>
      </c>
      <c r="I1382" s="2">
        <v>46177.777430405091</v>
      </c>
      <c r="J1382" s="1" t="s">
        <v>1211</v>
      </c>
    </row>
    <row r="1383" spans="1:10" x14ac:dyDescent="0.35">
      <c r="A1383" s="1" t="s">
        <v>1982</v>
      </c>
      <c r="B1383" s="1" t="s">
        <v>1209</v>
      </c>
      <c r="C1383" s="1" t="s">
        <v>1210</v>
      </c>
      <c r="D1383" s="2">
        <v>46177</v>
      </c>
      <c r="E1383">
        <v>3.1526185354081401E-2</v>
      </c>
      <c r="F1383" s="1" t="s">
        <v>6814</v>
      </c>
      <c r="G1383" s="2">
        <v>46177.777430439812</v>
      </c>
      <c r="H1383" s="1" t="s">
        <v>1211</v>
      </c>
      <c r="I1383" s="2">
        <v>46177.777430405091</v>
      </c>
      <c r="J1383" s="1" t="s">
        <v>1211</v>
      </c>
    </row>
    <row r="1384" spans="1:10" x14ac:dyDescent="0.35">
      <c r="A1384" s="1" t="s">
        <v>1983</v>
      </c>
      <c r="B1384" s="1" t="s">
        <v>1209</v>
      </c>
      <c r="C1384" s="1" t="s">
        <v>1210</v>
      </c>
      <c r="D1384" s="2">
        <v>46177</v>
      </c>
      <c r="E1384">
        <v>4.0662687876767203E-2</v>
      </c>
      <c r="F1384" s="1" t="s">
        <v>6815</v>
      </c>
      <c r="G1384" s="2">
        <v>46177.777430590279</v>
      </c>
      <c r="H1384" s="1" t="s">
        <v>1211</v>
      </c>
      <c r="I1384" s="2">
        <v>46177.777430590279</v>
      </c>
      <c r="J1384" s="1" t="s">
        <v>1211</v>
      </c>
    </row>
    <row r="1385" spans="1:10" x14ac:dyDescent="0.35">
      <c r="A1385" s="1" t="s">
        <v>1984</v>
      </c>
      <c r="B1385" s="1" t="s">
        <v>1209</v>
      </c>
      <c r="C1385" s="1" t="s">
        <v>1210</v>
      </c>
      <c r="D1385" s="2">
        <v>46177</v>
      </c>
      <c r="E1385">
        <v>2.9578124269780799E-2</v>
      </c>
      <c r="F1385" s="1" t="s">
        <v>6816</v>
      </c>
      <c r="G1385" s="2">
        <v>46177.777430752314</v>
      </c>
      <c r="H1385" s="1" t="s">
        <v>1211</v>
      </c>
      <c r="I1385" s="2">
        <v>46177.777430787035</v>
      </c>
      <c r="J1385" s="1" t="s">
        <v>1211</v>
      </c>
    </row>
    <row r="1386" spans="1:10" x14ac:dyDescent="0.35">
      <c r="A1386" s="1" t="s">
        <v>1985</v>
      </c>
      <c r="B1386" s="1" t="s">
        <v>1209</v>
      </c>
      <c r="C1386" s="1" t="s">
        <v>1210</v>
      </c>
      <c r="D1386" s="2">
        <v>46177</v>
      </c>
      <c r="E1386">
        <v>3.5908418222251097E-2</v>
      </c>
      <c r="F1386" s="1" t="s">
        <v>6817</v>
      </c>
      <c r="G1386" s="2">
        <v>46177.777430902781</v>
      </c>
      <c r="H1386" s="1" t="s">
        <v>1211</v>
      </c>
      <c r="I1386" s="2">
        <v>46177.77743101852</v>
      </c>
      <c r="J1386" s="1" t="s">
        <v>1211</v>
      </c>
    </row>
    <row r="1387" spans="1:10" x14ac:dyDescent="0.35">
      <c r="A1387" s="1" t="s">
        <v>1986</v>
      </c>
      <c r="B1387" s="1" t="s">
        <v>1209</v>
      </c>
      <c r="C1387" s="1" t="s">
        <v>1210</v>
      </c>
      <c r="D1387" s="2">
        <v>46177</v>
      </c>
      <c r="E1387">
        <v>3.20183380634236E-2</v>
      </c>
      <c r="F1387" s="1" t="s">
        <v>6818</v>
      </c>
      <c r="G1387" s="2">
        <v>46177.77743105324</v>
      </c>
      <c r="H1387" s="1" t="s">
        <v>1211</v>
      </c>
      <c r="I1387" s="2">
        <v>46177.777431168979</v>
      </c>
      <c r="J1387" s="1" t="s">
        <v>1211</v>
      </c>
    </row>
    <row r="1388" spans="1:10" x14ac:dyDescent="0.35">
      <c r="A1388" s="1" t="s">
        <v>1987</v>
      </c>
      <c r="B1388" s="1" t="s">
        <v>1209</v>
      </c>
      <c r="C1388" s="1" t="s">
        <v>1210</v>
      </c>
      <c r="D1388" s="2">
        <v>46177</v>
      </c>
      <c r="E1388">
        <v>3.8998403515965098E-2</v>
      </c>
      <c r="F1388" s="1" t="s">
        <v>6819</v>
      </c>
      <c r="G1388" s="2">
        <v>46177.777431215276</v>
      </c>
      <c r="H1388" s="1" t="s">
        <v>1211</v>
      </c>
      <c r="I1388" s="2">
        <v>46177.777431168979</v>
      </c>
      <c r="J1388" s="1" t="s">
        <v>1211</v>
      </c>
    </row>
    <row r="1389" spans="1:10" x14ac:dyDescent="0.35">
      <c r="A1389" s="1" t="s">
        <v>1988</v>
      </c>
      <c r="B1389" s="1" t="s">
        <v>1209</v>
      </c>
      <c r="C1389" s="1" t="s">
        <v>1210</v>
      </c>
      <c r="D1389" s="2">
        <v>46177</v>
      </c>
      <c r="E1389">
        <v>2.7249697662155899E-2</v>
      </c>
      <c r="F1389" s="1" t="s">
        <v>6820</v>
      </c>
      <c r="G1389" s="2">
        <v>46177.777431365743</v>
      </c>
      <c r="H1389" s="1" t="s">
        <v>1211</v>
      </c>
      <c r="I1389" s="2">
        <v>46177.777431365743</v>
      </c>
      <c r="J1389" s="1" t="s">
        <v>1211</v>
      </c>
    </row>
    <row r="1390" spans="1:10" x14ac:dyDescent="0.35">
      <c r="A1390" s="1" t="s">
        <v>1989</v>
      </c>
      <c r="B1390" s="1" t="s">
        <v>1209</v>
      </c>
      <c r="C1390" s="1" t="s">
        <v>1210</v>
      </c>
      <c r="D1390" s="2">
        <v>46177</v>
      </c>
      <c r="E1390">
        <v>2.3431532797645E-2</v>
      </c>
      <c r="F1390" s="1" t="s">
        <v>6821</v>
      </c>
      <c r="G1390" s="2">
        <v>46177.777431516202</v>
      </c>
      <c r="H1390" s="1" t="s">
        <v>1211</v>
      </c>
      <c r="I1390" s="2">
        <v>46177.777431562499</v>
      </c>
      <c r="J1390" s="1" t="s">
        <v>1211</v>
      </c>
    </row>
    <row r="1391" spans="1:10" x14ac:dyDescent="0.35">
      <c r="A1391" s="1" t="s">
        <v>1990</v>
      </c>
      <c r="B1391" s="1" t="s">
        <v>1209</v>
      </c>
      <c r="C1391" s="1" t="s">
        <v>1210</v>
      </c>
      <c r="D1391" s="2">
        <v>46177</v>
      </c>
      <c r="E1391">
        <v>3.6579144468230303E-2</v>
      </c>
      <c r="F1391" s="1" t="s">
        <v>6822</v>
      </c>
      <c r="G1391" s="2">
        <v>46177.777431678238</v>
      </c>
      <c r="H1391" s="1" t="s">
        <v>1211</v>
      </c>
      <c r="I1391" s="2">
        <v>46177.777431712966</v>
      </c>
      <c r="J1391" s="1" t="s">
        <v>1211</v>
      </c>
    </row>
    <row r="1392" spans="1:10" x14ac:dyDescent="0.35">
      <c r="A1392" s="1" t="s">
        <v>1991</v>
      </c>
      <c r="B1392" s="1" t="s">
        <v>1209</v>
      </c>
      <c r="C1392" s="1" t="s">
        <v>1210</v>
      </c>
      <c r="D1392" s="2">
        <v>46177</v>
      </c>
      <c r="E1392">
        <v>2.9845745134885301E-2</v>
      </c>
      <c r="F1392" s="1" t="s">
        <v>6823</v>
      </c>
      <c r="G1392" s="2">
        <v>46177.777431828705</v>
      </c>
      <c r="H1392" s="1" t="s">
        <v>1211</v>
      </c>
      <c r="I1392" s="2">
        <v>46177.777431909723</v>
      </c>
      <c r="J1392" s="1" t="s">
        <v>1211</v>
      </c>
    </row>
    <row r="1393" spans="1:10" x14ac:dyDescent="0.35">
      <c r="A1393" s="1" t="s">
        <v>1992</v>
      </c>
      <c r="B1393" s="1" t="s">
        <v>1209</v>
      </c>
      <c r="C1393" s="1" t="s">
        <v>1210</v>
      </c>
      <c r="D1393" s="2">
        <v>46177</v>
      </c>
      <c r="E1393">
        <v>4.5681091470268401E-2</v>
      </c>
      <c r="F1393" s="1" t="s">
        <v>6824</v>
      </c>
      <c r="G1393" s="2">
        <v>46177.777431979164</v>
      </c>
      <c r="H1393" s="1" t="s">
        <v>1211</v>
      </c>
      <c r="I1393" s="2">
        <v>46177.77743209491</v>
      </c>
      <c r="J1393" s="1" t="s">
        <v>1211</v>
      </c>
    </row>
    <row r="1394" spans="1:10" x14ac:dyDescent="0.35">
      <c r="A1394" s="1" t="s">
        <v>1993</v>
      </c>
      <c r="B1394" s="1" t="s">
        <v>1209</v>
      </c>
      <c r="C1394" s="1" t="s">
        <v>1210</v>
      </c>
      <c r="D1394" s="2">
        <v>46177</v>
      </c>
      <c r="E1394">
        <v>3.24237146544109E-2</v>
      </c>
      <c r="F1394" s="1" t="s">
        <v>6825</v>
      </c>
      <c r="G1394" s="2">
        <v>46177.777432141207</v>
      </c>
      <c r="H1394" s="1" t="s">
        <v>1211</v>
      </c>
      <c r="I1394" s="2">
        <v>46177.77743209491</v>
      </c>
      <c r="J1394" s="1" t="s">
        <v>1211</v>
      </c>
    </row>
    <row r="1395" spans="1:10" x14ac:dyDescent="0.35">
      <c r="A1395" s="1" t="s">
        <v>1994</v>
      </c>
      <c r="B1395" s="1" t="s">
        <v>1209</v>
      </c>
      <c r="C1395" s="1" t="s">
        <v>1210</v>
      </c>
      <c r="D1395" s="2">
        <v>46177</v>
      </c>
      <c r="E1395">
        <v>2.7820890166593799E-2</v>
      </c>
      <c r="F1395" s="1" t="s">
        <v>6826</v>
      </c>
      <c r="G1395" s="2">
        <v>46177.777432291667</v>
      </c>
      <c r="H1395" s="1" t="s">
        <v>1211</v>
      </c>
      <c r="I1395" s="2">
        <v>46177.777432256946</v>
      </c>
      <c r="J1395" s="1" t="s">
        <v>1211</v>
      </c>
    </row>
    <row r="1396" spans="1:10" x14ac:dyDescent="0.35">
      <c r="A1396" s="1" t="s">
        <v>1995</v>
      </c>
      <c r="B1396" s="1" t="s">
        <v>1209</v>
      </c>
      <c r="C1396" s="1" t="s">
        <v>1210</v>
      </c>
      <c r="D1396" s="2">
        <v>46177</v>
      </c>
      <c r="E1396">
        <v>3.7145325338681999E-2</v>
      </c>
      <c r="F1396" s="1" t="s">
        <v>6827</v>
      </c>
      <c r="G1396" s="2">
        <v>46177.777432442126</v>
      </c>
      <c r="H1396" s="1" t="s">
        <v>1211</v>
      </c>
      <c r="I1396" s="2">
        <v>46177.777432442126</v>
      </c>
      <c r="J1396" s="1" t="s">
        <v>1211</v>
      </c>
    </row>
    <row r="1397" spans="1:10" x14ac:dyDescent="0.35">
      <c r="A1397" s="1" t="s">
        <v>1996</v>
      </c>
      <c r="B1397" s="1" t="s">
        <v>1209</v>
      </c>
      <c r="C1397" s="1" t="s">
        <v>1210</v>
      </c>
      <c r="D1397" s="2">
        <v>46177</v>
      </c>
      <c r="E1397">
        <v>4.3721900553850002E-2</v>
      </c>
      <c r="F1397" s="1" t="s">
        <v>6828</v>
      </c>
      <c r="G1397" s="2">
        <v>46177.77743263889</v>
      </c>
      <c r="H1397" s="1" t="s">
        <v>1211</v>
      </c>
      <c r="I1397" s="2">
        <v>46177.77743263889</v>
      </c>
      <c r="J1397" s="1" t="s">
        <v>1211</v>
      </c>
    </row>
    <row r="1398" spans="1:10" x14ac:dyDescent="0.35">
      <c r="A1398" s="1" t="s">
        <v>1997</v>
      </c>
      <c r="B1398" s="1" t="s">
        <v>1209</v>
      </c>
      <c r="C1398" s="1" t="s">
        <v>1210</v>
      </c>
      <c r="D1398" s="2">
        <v>46177</v>
      </c>
      <c r="E1398">
        <v>2.6179974524555501E-2</v>
      </c>
      <c r="F1398" s="1" t="s">
        <v>6829</v>
      </c>
      <c r="G1398" s="2">
        <v>46177.777432754629</v>
      </c>
      <c r="H1398" s="1" t="s">
        <v>1211</v>
      </c>
      <c r="I1398" s="2">
        <v>46177.777432835646</v>
      </c>
      <c r="J1398" s="1" t="s">
        <v>1211</v>
      </c>
    </row>
    <row r="1399" spans="1:10" x14ac:dyDescent="0.35">
      <c r="A1399" s="1" t="s">
        <v>1998</v>
      </c>
      <c r="B1399" s="1" t="s">
        <v>1209</v>
      </c>
      <c r="C1399" s="1" t="s">
        <v>1210</v>
      </c>
      <c r="D1399" s="2">
        <v>46177</v>
      </c>
      <c r="E1399">
        <v>4.14393313039014E-2</v>
      </c>
      <c r="F1399" s="1" t="s">
        <v>6830</v>
      </c>
      <c r="G1399" s="2">
        <v>46177.777432905095</v>
      </c>
      <c r="H1399" s="1" t="s">
        <v>1211</v>
      </c>
      <c r="I1399" s="2">
        <v>46177.777432986113</v>
      </c>
      <c r="J1399" s="1" t="s">
        <v>1211</v>
      </c>
    </row>
    <row r="1400" spans="1:10" x14ac:dyDescent="0.35">
      <c r="A1400" s="1" t="s">
        <v>1999</v>
      </c>
      <c r="B1400" s="1" t="s">
        <v>1209</v>
      </c>
      <c r="C1400" s="1" t="s">
        <v>1210</v>
      </c>
      <c r="D1400" s="2">
        <v>46177</v>
      </c>
      <c r="E1400">
        <v>3.0748992253078099E-2</v>
      </c>
      <c r="F1400" s="1" t="s">
        <v>6831</v>
      </c>
      <c r="G1400" s="2">
        <v>46177.777433067131</v>
      </c>
      <c r="H1400" s="1" t="s">
        <v>1211</v>
      </c>
      <c r="I1400" s="2">
        <v>46177.77743318287</v>
      </c>
      <c r="J1400" s="1" t="s">
        <v>1211</v>
      </c>
    </row>
    <row r="1401" spans="1:10" x14ac:dyDescent="0.35">
      <c r="A1401" s="1" t="s">
        <v>2000</v>
      </c>
      <c r="B1401" s="1" t="s">
        <v>1209</v>
      </c>
      <c r="C1401" s="1" t="s">
        <v>1210</v>
      </c>
      <c r="D1401" s="2">
        <v>46177</v>
      </c>
      <c r="E1401">
        <v>2.84834847972745E-2</v>
      </c>
      <c r="F1401" s="1" t="s">
        <v>6832</v>
      </c>
      <c r="G1401" s="2">
        <v>46177.77743321759</v>
      </c>
      <c r="H1401" s="1" t="s">
        <v>1211</v>
      </c>
      <c r="I1401" s="2">
        <v>46177.77743318287</v>
      </c>
      <c r="J1401" s="1" t="s">
        <v>1211</v>
      </c>
    </row>
    <row r="1402" spans="1:10" x14ac:dyDescent="0.35">
      <c r="A1402" s="1" t="s">
        <v>2001</v>
      </c>
      <c r="B1402" s="1" t="s">
        <v>1209</v>
      </c>
      <c r="C1402" s="1" t="s">
        <v>1210</v>
      </c>
      <c r="D1402" s="2">
        <v>46177</v>
      </c>
      <c r="E1402">
        <v>3.3413034816795001E-2</v>
      </c>
      <c r="F1402" s="1" t="s">
        <v>6833</v>
      </c>
      <c r="G1402" s="2">
        <v>46177.777433414354</v>
      </c>
      <c r="H1402" s="1" t="s">
        <v>1211</v>
      </c>
      <c r="I1402" s="2">
        <v>46177.777433530093</v>
      </c>
      <c r="J1402" s="1" t="s">
        <v>1211</v>
      </c>
    </row>
    <row r="1403" spans="1:10" x14ac:dyDescent="0.35">
      <c r="A1403" s="1" t="s">
        <v>2002</v>
      </c>
      <c r="B1403" s="1" t="s">
        <v>1209</v>
      </c>
      <c r="C1403" s="1" t="s">
        <v>1210</v>
      </c>
      <c r="D1403" s="2">
        <v>46177</v>
      </c>
      <c r="E1403">
        <v>2.4861349962400501E-2</v>
      </c>
      <c r="F1403" s="1" t="s">
        <v>6834</v>
      </c>
      <c r="G1403" s="2">
        <v>46177.777433680552</v>
      </c>
      <c r="H1403" s="1" t="s">
        <v>1211</v>
      </c>
      <c r="I1403" s="2">
        <v>46177.777433761577</v>
      </c>
      <c r="J1403" s="1" t="s">
        <v>1211</v>
      </c>
    </row>
    <row r="1404" spans="1:10" x14ac:dyDescent="0.35">
      <c r="A1404" s="1" t="s">
        <v>2003</v>
      </c>
      <c r="B1404" s="1" t="s">
        <v>1209</v>
      </c>
      <c r="C1404" s="1" t="s">
        <v>1210</v>
      </c>
      <c r="D1404" s="2">
        <v>46177</v>
      </c>
      <c r="E1404">
        <v>3.73261203362594E-2</v>
      </c>
      <c r="F1404" s="1" t="s">
        <v>6835</v>
      </c>
      <c r="G1404" s="2">
        <v>46177.777433912037</v>
      </c>
      <c r="H1404" s="1" t="s">
        <v>1211</v>
      </c>
      <c r="I1404" s="2">
        <v>46177.777433946758</v>
      </c>
      <c r="J1404" s="1" t="s">
        <v>1211</v>
      </c>
    </row>
    <row r="1405" spans="1:10" x14ac:dyDescent="0.35">
      <c r="A1405" s="1" t="s">
        <v>2004</v>
      </c>
      <c r="B1405" s="1" t="s">
        <v>1209</v>
      </c>
      <c r="C1405" s="1" t="s">
        <v>1210</v>
      </c>
      <c r="D1405" s="2">
        <v>46177</v>
      </c>
      <c r="E1405">
        <v>3.1098109255749198E-2</v>
      </c>
      <c r="F1405" s="1" t="s">
        <v>6836</v>
      </c>
      <c r="G1405" s="2">
        <v>46177.777434224539</v>
      </c>
      <c r="H1405" s="1" t="s">
        <v>1211</v>
      </c>
      <c r="I1405" s="2">
        <v>46177.777434143522</v>
      </c>
      <c r="J1405" s="1" t="s">
        <v>1211</v>
      </c>
    </row>
    <row r="1406" spans="1:10" x14ac:dyDescent="0.35">
      <c r="A1406" s="1" t="s">
        <v>2005</v>
      </c>
      <c r="B1406" s="1" t="s">
        <v>1209</v>
      </c>
      <c r="C1406" s="1" t="s">
        <v>1210</v>
      </c>
      <c r="D1406" s="2">
        <v>46177</v>
      </c>
      <c r="E1406">
        <v>2.75325895185345E-2</v>
      </c>
      <c r="F1406" s="1" t="s">
        <v>6837</v>
      </c>
      <c r="G1406" s="2">
        <v>46177.77743440972</v>
      </c>
      <c r="H1406" s="1" t="s">
        <v>1211</v>
      </c>
      <c r="I1406" s="2">
        <v>46177.777434340278</v>
      </c>
      <c r="J1406" s="1" t="s">
        <v>1211</v>
      </c>
    </row>
    <row r="1407" spans="1:10" x14ac:dyDescent="0.35">
      <c r="A1407" s="1" t="s">
        <v>2006</v>
      </c>
      <c r="B1407" s="1" t="s">
        <v>1209</v>
      </c>
      <c r="C1407" s="1" t="s">
        <v>1210</v>
      </c>
      <c r="D1407" s="2">
        <v>46177</v>
      </c>
      <c r="E1407">
        <v>2.91229832555987E-2</v>
      </c>
      <c r="F1407" s="1" t="s">
        <v>6838</v>
      </c>
      <c r="G1407" s="2">
        <v>46177.777434641204</v>
      </c>
      <c r="H1407" s="1" t="s">
        <v>1211</v>
      </c>
      <c r="I1407" s="2">
        <v>46177.777434490738</v>
      </c>
      <c r="J1407" s="1" t="s">
        <v>1211</v>
      </c>
    </row>
    <row r="1408" spans="1:10" x14ac:dyDescent="0.35">
      <c r="A1408" s="1" t="s">
        <v>2007</v>
      </c>
      <c r="B1408" s="1" t="s">
        <v>1209</v>
      </c>
      <c r="C1408" s="1" t="s">
        <v>1210</v>
      </c>
      <c r="D1408" s="2">
        <v>46177</v>
      </c>
      <c r="E1408">
        <v>3.3905781982164498E-2</v>
      </c>
      <c r="F1408" s="1" t="s">
        <v>6839</v>
      </c>
      <c r="G1408" s="2">
        <v>46177.777434837961</v>
      </c>
      <c r="H1408" s="1" t="s">
        <v>1211</v>
      </c>
      <c r="I1408" s="2">
        <v>46177.777434872682</v>
      </c>
      <c r="J1408" s="1" t="s">
        <v>1211</v>
      </c>
    </row>
    <row r="1409" spans="1:10" x14ac:dyDescent="0.35">
      <c r="A1409" s="1" t="s">
        <v>2008</v>
      </c>
      <c r="B1409" s="1" t="s">
        <v>1209</v>
      </c>
      <c r="C1409" s="1" t="s">
        <v>1210</v>
      </c>
      <c r="D1409" s="2">
        <v>46177</v>
      </c>
      <c r="E1409">
        <v>4.6028867360493997E-2</v>
      </c>
      <c r="F1409" s="1" t="s">
        <v>6840</v>
      </c>
      <c r="G1409" s="2">
        <v>46177.777435069445</v>
      </c>
      <c r="H1409" s="1" t="s">
        <v>1211</v>
      </c>
      <c r="I1409" s="2">
        <v>46177.777435034724</v>
      </c>
      <c r="J1409" s="1" t="s">
        <v>1211</v>
      </c>
    </row>
    <row r="1410" spans="1:10" x14ac:dyDescent="0.35">
      <c r="A1410" s="1" t="s">
        <v>2009</v>
      </c>
      <c r="B1410" s="1" t="s">
        <v>1209</v>
      </c>
      <c r="C1410" s="1" t="s">
        <v>1210</v>
      </c>
      <c r="D1410" s="2">
        <v>46177</v>
      </c>
      <c r="E1410">
        <v>3.1567518805345703E-2</v>
      </c>
      <c r="F1410" s="1" t="s">
        <v>6841</v>
      </c>
      <c r="G1410" s="2">
        <v>46177.777435300923</v>
      </c>
      <c r="H1410" s="1" t="s">
        <v>1211</v>
      </c>
      <c r="I1410" s="2">
        <v>46177.777435219905</v>
      </c>
      <c r="J1410" s="1" t="s">
        <v>1211</v>
      </c>
    </row>
    <row r="1411" spans="1:10" x14ac:dyDescent="0.35">
      <c r="A1411" s="1" t="s">
        <v>2010</v>
      </c>
      <c r="B1411" s="1" t="s">
        <v>1209</v>
      </c>
      <c r="C1411" s="1" t="s">
        <v>1210</v>
      </c>
      <c r="D1411" s="2">
        <v>46177</v>
      </c>
      <c r="E1411">
        <v>3.7668951021173298E-2</v>
      </c>
      <c r="F1411" s="1" t="s">
        <v>6842</v>
      </c>
      <c r="G1411" s="2">
        <v>46177.777435532407</v>
      </c>
      <c r="H1411" s="1" t="s">
        <v>1211</v>
      </c>
      <c r="I1411" s="2">
        <v>46177.777435416669</v>
      </c>
      <c r="J1411" s="1" t="s">
        <v>1211</v>
      </c>
    </row>
    <row r="1412" spans="1:10" x14ac:dyDescent="0.35">
      <c r="A1412" s="1" t="s">
        <v>2011</v>
      </c>
      <c r="B1412" s="1" t="s">
        <v>1209</v>
      </c>
      <c r="C1412" s="1" t="s">
        <v>1210</v>
      </c>
      <c r="D1412" s="2">
        <v>46177</v>
      </c>
      <c r="E1412">
        <v>2.9274679500575301E-2</v>
      </c>
      <c r="F1412" s="1" t="s">
        <v>6843</v>
      </c>
      <c r="G1412" s="2">
        <v>46177.777435729164</v>
      </c>
      <c r="H1412" s="1" t="s">
        <v>1211</v>
      </c>
      <c r="I1412" s="2">
        <v>46177.777435613425</v>
      </c>
      <c r="J1412" s="1" t="s">
        <v>1211</v>
      </c>
    </row>
    <row r="1413" spans="1:10" x14ac:dyDescent="0.35">
      <c r="A1413" s="1" t="s">
        <v>2012</v>
      </c>
      <c r="B1413" s="1" t="s">
        <v>1209</v>
      </c>
      <c r="C1413" s="1" t="s">
        <v>1210</v>
      </c>
      <c r="D1413" s="2">
        <v>46177</v>
      </c>
      <c r="E1413">
        <v>3.43458138965725E-2</v>
      </c>
      <c r="F1413" s="1" t="s">
        <v>6844</v>
      </c>
      <c r="G1413" s="2">
        <v>46177.777435960648</v>
      </c>
      <c r="H1413" s="1" t="s">
        <v>1211</v>
      </c>
      <c r="I1413" s="2">
        <v>46177.777435960648</v>
      </c>
      <c r="J1413" s="1" t="s">
        <v>1211</v>
      </c>
    </row>
    <row r="1414" spans="1:10" x14ac:dyDescent="0.35">
      <c r="A1414" s="1" t="s">
        <v>2013</v>
      </c>
      <c r="B1414" s="1" t="s">
        <v>1209</v>
      </c>
      <c r="C1414" s="1" t="s">
        <v>1210</v>
      </c>
      <c r="D1414" s="2">
        <v>46177</v>
      </c>
      <c r="E1414">
        <v>2.8171645885059601E-2</v>
      </c>
      <c r="F1414" s="1" t="s">
        <v>6845</v>
      </c>
      <c r="G1414" s="2">
        <v>46177.777436145836</v>
      </c>
      <c r="H1414" s="1" t="s">
        <v>1211</v>
      </c>
      <c r="I1414" s="2">
        <v>46177.777436145836</v>
      </c>
      <c r="J1414" s="1" t="s">
        <v>1211</v>
      </c>
    </row>
    <row r="1415" spans="1:10" x14ac:dyDescent="0.35">
      <c r="A1415" s="1" t="s">
        <v>2014</v>
      </c>
      <c r="B1415" s="1" t="s">
        <v>1209</v>
      </c>
      <c r="C1415" s="1" t="s">
        <v>1210</v>
      </c>
      <c r="D1415" s="2">
        <v>46177</v>
      </c>
      <c r="E1415">
        <v>4.2103449982163497E-2</v>
      </c>
      <c r="F1415" s="1" t="s">
        <v>6846</v>
      </c>
      <c r="G1415" s="2">
        <v>46177.777436342592</v>
      </c>
      <c r="H1415" s="1" t="s">
        <v>1211</v>
      </c>
      <c r="I1415" s="2">
        <v>46177.777436307872</v>
      </c>
      <c r="J1415" s="1" t="s">
        <v>1211</v>
      </c>
    </row>
    <row r="1416" spans="1:10" x14ac:dyDescent="0.35">
      <c r="A1416" s="1" t="s">
        <v>2015</v>
      </c>
      <c r="B1416" s="1" t="s">
        <v>1209</v>
      </c>
      <c r="C1416" s="1" t="s">
        <v>1210</v>
      </c>
      <c r="D1416" s="2">
        <v>46177</v>
      </c>
      <c r="E1416">
        <v>3.4718821407966997E-2</v>
      </c>
      <c r="F1416" s="1" t="s">
        <v>6847</v>
      </c>
      <c r="G1416" s="2">
        <v>46177.777436574077</v>
      </c>
      <c r="H1416" s="1" t="s">
        <v>1211</v>
      </c>
      <c r="I1416" s="2">
        <v>46177.777436493052</v>
      </c>
      <c r="J1416" s="1" t="s">
        <v>1211</v>
      </c>
    </row>
    <row r="1417" spans="1:10" x14ac:dyDescent="0.35">
      <c r="A1417" s="1" t="s">
        <v>2016</v>
      </c>
      <c r="B1417" s="1" t="s">
        <v>1209</v>
      </c>
      <c r="C1417" s="1" t="s">
        <v>1210</v>
      </c>
      <c r="D1417" s="2">
        <v>46177</v>
      </c>
      <c r="E1417">
        <v>3.8124265321646499E-2</v>
      </c>
      <c r="F1417" s="1" t="s">
        <v>6848</v>
      </c>
      <c r="G1417" s="2">
        <v>46177.777436805554</v>
      </c>
      <c r="H1417" s="1" t="s">
        <v>1211</v>
      </c>
      <c r="I1417" s="2">
        <v>46177.777436689816</v>
      </c>
      <c r="J1417" s="1" t="s">
        <v>1211</v>
      </c>
    </row>
    <row r="1418" spans="1:10" x14ac:dyDescent="0.35">
      <c r="A1418" s="1" t="s">
        <v>2017</v>
      </c>
      <c r="B1418" s="1" t="s">
        <v>1209</v>
      </c>
      <c r="C1418" s="1" t="s">
        <v>1210</v>
      </c>
      <c r="D1418" s="2">
        <v>46177</v>
      </c>
      <c r="E1418">
        <v>2.2836508452374501E-2</v>
      </c>
      <c r="F1418" s="1" t="s">
        <v>6849</v>
      </c>
      <c r="G1418" s="2">
        <v>46177.777436956021</v>
      </c>
      <c r="H1418" s="1" t="s">
        <v>1211</v>
      </c>
      <c r="I1418" s="2">
        <v>46177.777436840275</v>
      </c>
      <c r="J1418" s="1" t="s">
        <v>1211</v>
      </c>
    </row>
    <row r="1419" spans="1:10" x14ac:dyDescent="0.35">
      <c r="A1419" s="1" t="s">
        <v>2018</v>
      </c>
      <c r="B1419" s="1" t="s">
        <v>1209</v>
      </c>
      <c r="C1419" s="1" t="s">
        <v>1210</v>
      </c>
      <c r="D1419" s="2">
        <v>46177</v>
      </c>
      <c r="E1419">
        <v>0</v>
      </c>
      <c r="F1419" s="1" t="s">
        <v>2712</v>
      </c>
      <c r="G1419" s="2">
        <v>46177.777437152778</v>
      </c>
      <c r="H1419" s="1" t="s">
        <v>1211</v>
      </c>
      <c r="I1419" s="2">
        <v>46177.777437037039</v>
      </c>
      <c r="J1419" s="1" t="s">
        <v>1211</v>
      </c>
    </row>
    <row r="1420" spans="1:10" x14ac:dyDescent="0.35">
      <c r="A1420" s="1" t="s">
        <v>2019</v>
      </c>
      <c r="B1420" s="1" t="s">
        <v>1209</v>
      </c>
      <c r="C1420" s="1" t="s">
        <v>1210</v>
      </c>
      <c r="D1420" s="2">
        <v>46177</v>
      </c>
      <c r="E1420">
        <v>0</v>
      </c>
      <c r="F1420" s="1" t="s">
        <v>2713</v>
      </c>
      <c r="G1420" s="2">
        <v>46177.777437303244</v>
      </c>
      <c r="H1420" s="1" t="s">
        <v>1211</v>
      </c>
      <c r="I1420" s="2">
        <v>46177.777437233795</v>
      </c>
      <c r="J1420" s="1" t="s">
        <v>1211</v>
      </c>
    </row>
    <row r="1421" spans="1:10" x14ac:dyDescent="0.35">
      <c r="A1421" s="1" t="s">
        <v>2534</v>
      </c>
      <c r="B1421" s="1" t="s">
        <v>1209</v>
      </c>
      <c r="C1421" s="1" t="s">
        <v>1210</v>
      </c>
      <c r="D1421" s="2">
        <v>46177</v>
      </c>
      <c r="E1421">
        <v>0</v>
      </c>
      <c r="F1421" s="1" t="s">
        <v>2714</v>
      </c>
      <c r="G1421" s="2">
        <v>46177.777437500001</v>
      </c>
      <c r="H1421" s="1" t="s">
        <v>1211</v>
      </c>
      <c r="I1421" s="2">
        <v>46177.777437384262</v>
      </c>
      <c r="J1421" s="1" t="s">
        <v>1211</v>
      </c>
    </row>
    <row r="1422" spans="1:10" x14ac:dyDescent="0.35">
      <c r="A1422" s="1" t="s">
        <v>6850</v>
      </c>
      <c r="B1422" s="1" t="s">
        <v>1209</v>
      </c>
      <c r="C1422" s="1" t="s">
        <v>1210</v>
      </c>
      <c r="D1422" s="2">
        <v>46177</v>
      </c>
      <c r="E1422">
        <v>0</v>
      </c>
      <c r="F1422" s="1" t="s">
        <v>6851</v>
      </c>
      <c r="G1422" s="2">
        <v>46177.777437696757</v>
      </c>
      <c r="H1422" s="1" t="s">
        <v>1211</v>
      </c>
      <c r="I1422" s="2">
        <v>46177.777437581019</v>
      </c>
      <c r="J1422" s="1" t="s">
        <v>1211</v>
      </c>
    </row>
    <row r="1423" spans="1:10" x14ac:dyDescent="0.35">
      <c r="A1423" s="1" t="s">
        <v>2020</v>
      </c>
      <c r="B1423" s="1" t="s">
        <v>1209</v>
      </c>
      <c r="C1423" s="1" t="s">
        <v>1210</v>
      </c>
      <c r="D1423" s="2">
        <v>46177</v>
      </c>
      <c r="E1423">
        <v>0</v>
      </c>
      <c r="F1423" s="1" t="s">
        <v>2715</v>
      </c>
      <c r="G1423" s="2">
        <v>46177.777437928242</v>
      </c>
      <c r="H1423" s="1" t="s">
        <v>1211</v>
      </c>
      <c r="I1423" s="2">
        <v>46177.777437928242</v>
      </c>
      <c r="J1423" s="1" t="s">
        <v>1211</v>
      </c>
    </row>
    <row r="1424" spans="1:10" x14ac:dyDescent="0.35">
      <c r="A1424" s="1" t="s">
        <v>2021</v>
      </c>
      <c r="B1424" s="1" t="s">
        <v>1209</v>
      </c>
      <c r="C1424" s="1" t="s">
        <v>1210</v>
      </c>
      <c r="D1424" s="2">
        <v>46177</v>
      </c>
      <c r="E1424">
        <v>0</v>
      </c>
      <c r="F1424" s="1" t="s">
        <v>2716</v>
      </c>
      <c r="G1424" s="2">
        <v>46177.77743811343</v>
      </c>
      <c r="H1424" s="1" t="s">
        <v>1211</v>
      </c>
      <c r="I1424" s="2">
        <v>46177.77743811343</v>
      </c>
      <c r="J1424" s="1" t="s">
        <v>1211</v>
      </c>
    </row>
    <row r="1425" spans="1:10" x14ac:dyDescent="0.35">
      <c r="A1425" s="1" t="s">
        <v>2022</v>
      </c>
      <c r="B1425" s="1" t="s">
        <v>1209</v>
      </c>
      <c r="C1425" s="1" t="s">
        <v>1210</v>
      </c>
      <c r="D1425" s="2">
        <v>46177</v>
      </c>
      <c r="E1425">
        <v>0</v>
      </c>
      <c r="F1425" s="1" t="s">
        <v>2717</v>
      </c>
      <c r="G1425" s="2">
        <v>46177.777438344907</v>
      </c>
      <c r="H1425" s="1" t="s">
        <v>1211</v>
      </c>
      <c r="I1425" s="2">
        <v>46177.777438310186</v>
      </c>
      <c r="J1425" s="1" t="s">
        <v>1211</v>
      </c>
    </row>
    <row r="1426" spans="1:10" x14ac:dyDescent="0.35">
      <c r="A1426" s="1" t="s">
        <v>4272</v>
      </c>
      <c r="B1426" s="1" t="s">
        <v>1209</v>
      </c>
      <c r="C1426" s="1" t="s">
        <v>1210</v>
      </c>
      <c r="D1426" s="2">
        <v>46177</v>
      </c>
      <c r="E1426">
        <v>0</v>
      </c>
      <c r="F1426" s="1" t="s">
        <v>6852</v>
      </c>
      <c r="G1426" s="2">
        <v>46177.777438541663</v>
      </c>
      <c r="H1426" s="1" t="s">
        <v>1211</v>
      </c>
      <c r="I1426" s="2">
        <v>46177.777438506942</v>
      </c>
      <c r="J1426" s="1" t="s">
        <v>1211</v>
      </c>
    </row>
    <row r="1427" spans="1:10" x14ac:dyDescent="0.35">
      <c r="A1427" s="1" t="s">
        <v>2023</v>
      </c>
      <c r="B1427" s="1" t="s">
        <v>1209</v>
      </c>
      <c r="C1427" s="1" t="s">
        <v>1210</v>
      </c>
      <c r="D1427" s="2">
        <v>46177</v>
      </c>
      <c r="E1427">
        <v>0</v>
      </c>
      <c r="F1427" s="1" t="s">
        <v>2718</v>
      </c>
      <c r="G1427" s="2">
        <v>46177.777438773148</v>
      </c>
      <c r="H1427" s="1" t="s">
        <v>1211</v>
      </c>
      <c r="I1427" s="2">
        <v>46177.777438657409</v>
      </c>
      <c r="J1427" s="1" t="s">
        <v>1211</v>
      </c>
    </row>
    <row r="1428" spans="1:10" x14ac:dyDescent="0.35">
      <c r="A1428" s="1" t="s">
        <v>2024</v>
      </c>
      <c r="B1428" s="1" t="s">
        <v>1209</v>
      </c>
      <c r="C1428" s="1" t="s">
        <v>1210</v>
      </c>
      <c r="D1428" s="2">
        <v>46177</v>
      </c>
      <c r="E1428">
        <v>0</v>
      </c>
      <c r="F1428" s="1" t="s">
        <v>2719</v>
      </c>
      <c r="G1428" s="2">
        <v>46177.777439004632</v>
      </c>
      <c r="H1428" s="1" t="s">
        <v>1211</v>
      </c>
      <c r="I1428" s="2">
        <v>46177.777438854166</v>
      </c>
      <c r="J1428" s="1" t="s">
        <v>1211</v>
      </c>
    </row>
    <row r="1429" spans="1:10" x14ac:dyDescent="0.35">
      <c r="A1429" s="1" t="s">
        <v>2025</v>
      </c>
      <c r="B1429" s="1" t="s">
        <v>1209</v>
      </c>
      <c r="C1429" s="1" t="s">
        <v>1210</v>
      </c>
      <c r="D1429" s="2">
        <v>46177</v>
      </c>
      <c r="E1429">
        <v>0</v>
      </c>
      <c r="F1429" s="1" t="s">
        <v>2720</v>
      </c>
      <c r="G1429" s="2">
        <v>46177.777439201389</v>
      </c>
      <c r="H1429" s="1" t="s">
        <v>1211</v>
      </c>
      <c r="I1429" s="2">
        <v>46177.777439201389</v>
      </c>
      <c r="J1429" s="1" t="s">
        <v>1211</v>
      </c>
    </row>
    <row r="1430" spans="1:10" x14ac:dyDescent="0.35">
      <c r="A1430" s="1" t="s">
        <v>2026</v>
      </c>
      <c r="B1430" s="1" t="s">
        <v>1209</v>
      </c>
      <c r="C1430" s="1" t="s">
        <v>1210</v>
      </c>
      <c r="D1430" s="2">
        <v>46177</v>
      </c>
      <c r="E1430">
        <v>0</v>
      </c>
      <c r="F1430" s="1" t="s">
        <v>2721</v>
      </c>
      <c r="G1430" s="2">
        <v>46177.777439432874</v>
      </c>
      <c r="H1430" s="1" t="s">
        <v>1211</v>
      </c>
      <c r="I1430" s="2">
        <v>46177.777439386577</v>
      </c>
      <c r="J1430" s="1" t="s">
        <v>1211</v>
      </c>
    </row>
    <row r="1431" spans="1:10" x14ac:dyDescent="0.35">
      <c r="A1431" s="1" t="s">
        <v>2027</v>
      </c>
      <c r="B1431" s="1" t="s">
        <v>1209</v>
      </c>
      <c r="C1431" s="1" t="s">
        <v>1210</v>
      </c>
      <c r="D1431" s="2">
        <v>46177</v>
      </c>
      <c r="E1431">
        <v>0</v>
      </c>
      <c r="F1431" s="1" t="s">
        <v>2722</v>
      </c>
      <c r="G1431" s="2">
        <v>46177.777439664351</v>
      </c>
      <c r="H1431" s="1" t="s">
        <v>1211</v>
      </c>
      <c r="I1431" s="2">
        <v>46177.777439583333</v>
      </c>
      <c r="J1431" s="1" t="s">
        <v>1211</v>
      </c>
    </row>
    <row r="1432" spans="1:10" x14ac:dyDescent="0.35">
      <c r="A1432" s="1" t="s">
        <v>2028</v>
      </c>
      <c r="B1432" s="1" t="s">
        <v>1209</v>
      </c>
      <c r="C1432" s="1" t="s">
        <v>1210</v>
      </c>
      <c r="D1432" s="2">
        <v>46177</v>
      </c>
      <c r="E1432">
        <v>0</v>
      </c>
      <c r="F1432" s="1" t="s">
        <v>2723</v>
      </c>
      <c r="G1432" s="2">
        <v>46177.777439849538</v>
      </c>
      <c r="H1432" s="1" t="s">
        <v>1211</v>
      </c>
      <c r="I1432" s="2">
        <v>46177.7774397338</v>
      </c>
      <c r="J1432" s="1" t="s">
        <v>1211</v>
      </c>
    </row>
    <row r="1433" spans="1:10" x14ac:dyDescent="0.35">
      <c r="A1433" s="1" t="s">
        <v>2029</v>
      </c>
      <c r="B1433" s="1" t="s">
        <v>1209</v>
      </c>
      <c r="C1433" s="1" t="s">
        <v>1210</v>
      </c>
      <c r="D1433" s="2">
        <v>46177</v>
      </c>
      <c r="E1433">
        <v>0</v>
      </c>
      <c r="F1433" s="1" t="s">
        <v>2724</v>
      </c>
      <c r="G1433" s="2">
        <v>46177.777440081016</v>
      </c>
      <c r="H1433" s="1" t="s">
        <v>1211</v>
      </c>
      <c r="I1433" s="2">
        <v>46177.777439930556</v>
      </c>
      <c r="J1433" s="1" t="s">
        <v>1211</v>
      </c>
    </row>
    <row r="1434" spans="1:10" x14ac:dyDescent="0.35">
      <c r="A1434" s="1" t="s">
        <v>2030</v>
      </c>
      <c r="B1434" s="1" t="s">
        <v>1209</v>
      </c>
      <c r="C1434" s="1" t="s">
        <v>1210</v>
      </c>
      <c r="D1434" s="2">
        <v>46177</v>
      </c>
      <c r="E1434">
        <v>0</v>
      </c>
      <c r="F1434" s="1" t="s">
        <v>2725</v>
      </c>
      <c r="G1434" s="2">
        <v>46177.77744027778</v>
      </c>
      <c r="H1434" s="1" t="s">
        <v>1211</v>
      </c>
      <c r="I1434" s="2">
        <v>46177.77744027778</v>
      </c>
      <c r="J1434" s="1" t="s">
        <v>1211</v>
      </c>
    </row>
    <row r="1435" spans="1:10" x14ac:dyDescent="0.35">
      <c r="A1435" s="1" t="s">
        <v>2031</v>
      </c>
      <c r="B1435" s="1" t="s">
        <v>1209</v>
      </c>
      <c r="C1435" s="1" t="s">
        <v>1210</v>
      </c>
      <c r="D1435" s="2">
        <v>46177</v>
      </c>
      <c r="E1435">
        <v>0</v>
      </c>
      <c r="F1435" s="1" t="s">
        <v>2726</v>
      </c>
      <c r="G1435" s="2">
        <v>46177.777440509257</v>
      </c>
      <c r="H1435" s="1" t="s">
        <v>1211</v>
      </c>
      <c r="I1435" s="2">
        <v>46177.777440474536</v>
      </c>
      <c r="J1435" s="1" t="s">
        <v>1211</v>
      </c>
    </row>
    <row r="1436" spans="1:10" x14ac:dyDescent="0.35">
      <c r="A1436" s="1" t="s">
        <v>2032</v>
      </c>
      <c r="B1436" s="1" t="s">
        <v>1209</v>
      </c>
      <c r="C1436" s="1" t="s">
        <v>1210</v>
      </c>
      <c r="D1436" s="2">
        <v>46177</v>
      </c>
      <c r="E1436">
        <v>0</v>
      </c>
      <c r="F1436" s="1" t="s">
        <v>2727</v>
      </c>
      <c r="G1436" s="2">
        <v>46177.777440706021</v>
      </c>
      <c r="H1436" s="1" t="s">
        <v>1211</v>
      </c>
      <c r="I1436" s="2">
        <v>46177.777440659724</v>
      </c>
      <c r="J1436" s="1" t="s">
        <v>1211</v>
      </c>
    </row>
    <row r="1437" spans="1:10" x14ac:dyDescent="0.35">
      <c r="A1437" s="1" t="s">
        <v>2033</v>
      </c>
      <c r="B1437" s="1" t="s">
        <v>1209</v>
      </c>
      <c r="C1437" s="1" t="s">
        <v>1210</v>
      </c>
      <c r="D1437" s="2">
        <v>46177</v>
      </c>
      <c r="E1437">
        <v>0</v>
      </c>
      <c r="F1437" s="1" t="s">
        <v>2728</v>
      </c>
      <c r="G1437" s="2">
        <v>46177.777440937498</v>
      </c>
      <c r="H1437" s="1" t="s">
        <v>1211</v>
      </c>
      <c r="I1437" s="2">
        <v>46177.777440821759</v>
      </c>
      <c r="J1437" s="1" t="s">
        <v>1211</v>
      </c>
    </row>
    <row r="1438" spans="1:10" x14ac:dyDescent="0.35">
      <c r="A1438" s="1" t="s">
        <v>2034</v>
      </c>
      <c r="B1438" s="1" t="s">
        <v>1209</v>
      </c>
      <c r="C1438" s="1" t="s">
        <v>1210</v>
      </c>
      <c r="D1438" s="2">
        <v>46177</v>
      </c>
      <c r="E1438">
        <v>0</v>
      </c>
      <c r="F1438" s="1" t="s">
        <v>2729</v>
      </c>
      <c r="G1438" s="2">
        <v>46177.777441122686</v>
      </c>
      <c r="H1438" s="1" t="s">
        <v>1211</v>
      </c>
      <c r="I1438" s="2">
        <v>46177.777441006947</v>
      </c>
      <c r="J1438" s="1" t="s">
        <v>1211</v>
      </c>
    </row>
    <row r="1439" spans="1:10" x14ac:dyDescent="0.35">
      <c r="A1439" s="1" t="s">
        <v>2035</v>
      </c>
      <c r="B1439" s="1" t="s">
        <v>1209</v>
      </c>
      <c r="C1439" s="1" t="s">
        <v>1210</v>
      </c>
      <c r="D1439" s="2">
        <v>46177</v>
      </c>
      <c r="E1439">
        <v>0</v>
      </c>
      <c r="F1439" s="1" t="s">
        <v>2730</v>
      </c>
      <c r="G1439" s="2">
        <v>46177.77744135417</v>
      </c>
      <c r="H1439" s="1" t="s">
        <v>1211</v>
      </c>
      <c r="I1439" s="2">
        <v>46177.77744140046</v>
      </c>
      <c r="J1439" s="1" t="s">
        <v>1211</v>
      </c>
    </row>
    <row r="1440" spans="1:10" x14ac:dyDescent="0.35">
      <c r="A1440" s="1" t="s">
        <v>2036</v>
      </c>
      <c r="B1440" s="1" t="s">
        <v>1209</v>
      </c>
      <c r="C1440" s="1" t="s">
        <v>1210</v>
      </c>
      <c r="D1440" s="2">
        <v>46177</v>
      </c>
      <c r="E1440">
        <v>0</v>
      </c>
      <c r="F1440" s="1" t="s">
        <v>2731</v>
      </c>
      <c r="G1440" s="2">
        <v>46177.777441550927</v>
      </c>
      <c r="H1440" s="1" t="s">
        <v>1211</v>
      </c>
      <c r="I1440" s="2">
        <v>46177.777441550927</v>
      </c>
      <c r="J1440" s="1" t="s">
        <v>1211</v>
      </c>
    </row>
    <row r="1441" spans="1:10" x14ac:dyDescent="0.35">
      <c r="A1441" s="1" t="s">
        <v>2037</v>
      </c>
      <c r="B1441" s="1" t="s">
        <v>1209</v>
      </c>
      <c r="C1441" s="1" t="s">
        <v>1210</v>
      </c>
      <c r="D1441" s="2">
        <v>46177</v>
      </c>
      <c r="E1441">
        <v>0</v>
      </c>
      <c r="F1441" s="1" t="s">
        <v>2732</v>
      </c>
      <c r="G1441" s="2">
        <v>46177.777441782404</v>
      </c>
      <c r="H1441" s="1" t="s">
        <v>1211</v>
      </c>
      <c r="I1441" s="2">
        <v>46177.777441747683</v>
      </c>
      <c r="J1441" s="1" t="s">
        <v>1211</v>
      </c>
    </row>
    <row r="1442" spans="1:10" x14ac:dyDescent="0.35">
      <c r="A1442" s="1" t="s">
        <v>2038</v>
      </c>
      <c r="B1442" s="1" t="s">
        <v>1209</v>
      </c>
      <c r="C1442" s="1" t="s">
        <v>1210</v>
      </c>
      <c r="D1442" s="2">
        <v>46177</v>
      </c>
      <c r="E1442">
        <v>0</v>
      </c>
      <c r="F1442" s="1" t="s">
        <v>2733</v>
      </c>
      <c r="G1442" s="2">
        <v>46177.777441979168</v>
      </c>
      <c r="H1442" s="1" t="s">
        <v>1211</v>
      </c>
      <c r="I1442" s="2">
        <v>46177.777441932871</v>
      </c>
      <c r="J1442" s="1" t="s">
        <v>1211</v>
      </c>
    </row>
    <row r="1443" spans="1:10" x14ac:dyDescent="0.35">
      <c r="A1443" s="1" t="s">
        <v>2039</v>
      </c>
      <c r="B1443" s="1" t="s">
        <v>1209</v>
      </c>
      <c r="C1443" s="1" t="s">
        <v>1210</v>
      </c>
      <c r="D1443" s="2">
        <v>46177</v>
      </c>
      <c r="E1443">
        <v>0</v>
      </c>
      <c r="F1443" s="1" t="s">
        <v>2734</v>
      </c>
      <c r="G1443" s="2">
        <v>46177.777442129627</v>
      </c>
      <c r="H1443" s="1" t="s">
        <v>1211</v>
      </c>
      <c r="I1443" s="2">
        <v>46177.777442094906</v>
      </c>
      <c r="J1443" s="1" t="s">
        <v>1211</v>
      </c>
    </row>
    <row r="1444" spans="1:10" x14ac:dyDescent="0.35">
      <c r="A1444" s="1" t="s">
        <v>2040</v>
      </c>
      <c r="B1444" s="1" t="s">
        <v>1209</v>
      </c>
      <c r="C1444" s="1" t="s">
        <v>1210</v>
      </c>
      <c r="D1444" s="2">
        <v>46177</v>
      </c>
      <c r="E1444">
        <v>0</v>
      </c>
      <c r="F1444" s="1" t="s">
        <v>2735</v>
      </c>
      <c r="G1444" s="2">
        <v>46177.777442245373</v>
      </c>
      <c r="H1444" s="1" t="s">
        <v>1211</v>
      </c>
      <c r="I1444" s="2">
        <v>46177.777442280094</v>
      </c>
      <c r="J1444" s="1" t="s">
        <v>1211</v>
      </c>
    </row>
    <row r="1445" spans="1:10" x14ac:dyDescent="0.35">
      <c r="A1445" s="1" t="s">
        <v>2041</v>
      </c>
      <c r="B1445" s="1" t="s">
        <v>1209</v>
      </c>
      <c r="C1445" s="1" t="s">
        <v>1210</v>
      </c>
      <c r="D1445" s="2">
        <v>46177</v>
      </c>
      <c r="E1445">
        <v>0</v>
      </c>
      <c r="F1445" s="1" t="s">
        <v>2736</v>
      </c>
      <c r="G1445" s="2">
        <v>46177.777442395833</v>
      </c>
      <c r="H1445" s="1" t="s">
        <v>1211</v>
      </c>
      <c r="I1445" s="2">
        <v>46177.777442326391</v>
      </c>
      <c r="J1445" s="1" t="s">
        <v>1211</v>
      </c>
    </row>
    <row r="1446" spans="1:10" x14ac:dyDescent="0.35">
      <c r="A1446" s="1" t="s">
        <v>2042</v>
      </c>
      <c r="B1446" s="1" t="s">
        <v>1209</v>
      </c>
      <c r="C1446" s="1" t="s">
        <v>1210</v>
      </c>
      <c r="D1446" s="2">
        <v>46177</v>
      </c>
      <c r="E1446">
        <v>0</v>
      </c>
      <c r="F1446" s="1" t="s">
        <v>2737</v>
      </c>
      <c r="G1446" s="2">
        <v>46177.777442557868</v>
      </c>
      <c r="H1446" s="1" t="s">
        <v>1211</v>
      </c>
      <c r="I1446" s="2">
        <v>46177.777442511571</v>
      </c>
      <c r="J1446" s="1" t="s">
        <v>1211</v>
      </c>
    </row>
    <row r="1447" spans="1:10" x14ac:dyDescent="0.35">
      <c r="A1447" s="1" t="s">
        <v>2043</v>
      </c>
      <c r="B1447" s="1" t="s">
        <v>1209</v>
      </c>
      <c r="C1447" s="1" t="s">
        <v>1210</v>
      </c>
      <c r="D1447" s="2">
        <v>46177</v>
      </c>
      <c r="E1447">
        <v>0</v>
      </c>
      <c r="F1447" s="1" t="s">
        <v>2738</v>
      </c>
      <c r="G1447" s="2">
        <v>46177.777442708335</v>
      </c>
      <c r="H1447" s="1" t="s">
        <v>1211</v>
      </c>
      <c r="I1447" s="2">
        <v>46177.777442708335</v>
      </c>
      <c r="J1447" s="1" t="s">
        <v>1211</v>
      </c>
    </row>
    <row r="1448" spans="1:10" x14ac:dyDescent="0.35">
      <c r="A1448" s="1" t="s">
        <v>2044</v>
      </c>
      <c r="B1448" s="1" t="s">
        <v>1209</v>
      </c>
      <c r="C1448" s="1" t="s">
        <v>1210</v>
      </c>
      <c r="D1448" s="2">
        <v>46177</v>
      </c>
      <c r="E1448">
        <v>0</v>
      </c>
      <c r="F1448" s="1" t="s">
        <v>2739</v>
      </c>
      <c r="G1448" s="2">
        <v>46177.777442858795</v>
      </c>
      <c r="H1448" s="1" t="s">
        <v>1211</v>
      </c>
      <c r="I1448" s="2">
        <v>46177.777442905091</v>
      </c>
      <c r="J1448" s="1" t="s">
        <v>1211</v>
      </c>
    </row>
    <row r="1449" spans="1:10" x14ac:dyDescent="0.35">
      <c r="A1449" s="1" t="s">
        <v>2045</v>
      </c>
      <c r="B1449" s="1" t="s">
        <v>1209</v>
      </c>
      <c r="C1449" s="1" t="s">
        <v>1210</v>
      </c>
      <c r="D1449" s="2">
        <v>46177</v>
      </c>
      <c r="E1449">
        <v>0</v>
      </c>
      <c r="F1449" s="1" t="s">
        <v>2740</v>
      </c>
      <c r="G1449" s="2">
        <v>46177.77744302083</v>
      </c>
      <c r="H1449" s="1" t="s">
        <v>1211</v>
      </c>
      <c r="I1449" s="2">
        <v>46177.777442905091</v>
      </c>
      <c r="J1449" s="1" t="s">
        <v>1211</v>
      </c>
    </row>
    <row r="1450" spans="1:10" x14ac:dyDescent="0.35">
      <c r="A1450" s="1" t="s">
        <v>2046</v>
      </c>
      <c r="B1450" s="1" t="s">
        <v>1209</v>
      </c>
      <c r="C1450" s="1" t="s">
        <v>1210</v>
      </c>
      <c r="D1450" s="2">
        <v>46177</v>
      </c>
      <c r="E1450">
        <v>0</v>
      </c>
      <c r="F1450" s="1" t="s">
        <v>2741</v>
      </c>
      <c r="G1450" s="2">
        <v>46177.777443171297</v>
      </c>
      <c r="H1450" s="1" t="s">
        <v>1211</v>
      </c>
      <c r="I1450" s="2">
        <v>46177.777443055558</v>
      </c>
      <c r="J1450" s="1" t="s">
        <v>1211</v>
      </c>
    </row>
    <row r="1451" spans="1:10" x14ac:dyDescent="0.35">
      <c r="A1451" s="1" t="s">
        <v>2047</v>
      </c>
      <c r="B1451" s="1" t="s">
        <v>1209</v>
      </c>
      <c r="C1451" s="1" t="s">
        <v>1210</v>
      </c>
      <c r="D1451" s="2">
        <v>46177</v>
      </c>
      <c r="E1451">
        <v>0</v>
      </c>
      <c r="F1451" s="1" t="s">
        <v>2742</v>
      </c>
      <c r="G1451" s="2">
        <v>46177.777443321756</v>
      </c>
      <c r="H1451" s="1" t="s">
        <v>1211</v>
      </c>
      <c r="I1451" s="2">
        <v>46177.777443252315</v>
      </c>
      <c r="J1451" s="1" t="s">
        <v>1211</v>
      </c>
    </row>
    <row r="1452" spans="1:10" x14ac:dyDescent="0.35">
      <c r="A1452" s="1" t="s">
        <v>2048</v>
      </c>
      <c r="B1452" s="1" t="s">
        <v>1209</v>
      </c>
      <c r="C1452" s="1" t="s">
        <v>1210</v>
      </c>
      <c r="D1452" s="2">
        <v>46177</v>
      </c>
      <c r="E1452">
        <v>0</v>
      </c>
      <c r="F1452" s="1" t="s">
        <v>2743</v>
      </c>
      <c r="G1452" s="2">
        <v>46177.777443483799</v>
      </c>
      <c r="H1452" s="1" t="s">
        <v>1211</v>
      </c>
      <c r="I1452" s="2">
        <v>46177.777443437502</v>
      </c>
      <c r="J1452" s="1" t="s">
        <v>1211</v>
      </c>
    </row>
    <row r="1453" spans="1:10" x14ac:dyDescent="0.35">
      <c r="A1453" s="1" t="s">
        <v>2049</v>
      </c>
      <c r="B1453" s="1" t="s">
        <v>1209</v>
      </c>
      <c r="C1453" s="1" t="s">
        <v>1210</v>
      </c>
      <c r="D1453" s="2">
        <v>46177</v>
      </c>
      <c r="E1453">
        <v>0</v>
      </c>
      <c r="F1453" s="1" t="s">
        <v>2744</v>
      </c>
      <c r="G1453" s="2">
        <v>46177.777443634259</v>
      </c>
      <c r="H1453" s="1" t="s">
        <v>1211</v>
      </c>
      <c r="I1453" s="2">
        <v>46177.777443599538</v>
      </c>
      <c r="J1453" s="1" t="s">
        <v>1211</v>
      </c>
    </row>
    <row r="1454" spans="1:10" x14ac:dyDescent="0.35">
      <c r="A1454" s="1" t="s">
        <v>2050</v>
      </c>
      <c r="B1454" s="1" t="s">
        <v>1209</v>
      </c>
      <c r="C1454" s="1" t="s">
        <v>1210</v>
      </c>
      <c r="D1454" s="2">
        <v>46177</v>
      </c>
      <c r="E1454">
        <v>0</v>
      </c>
      <c r="F1454" s="1" t="s">
        <v>2745</v>
      </c>
      <c r="G1454" s="2">
        <v>46177.777443784726</v>
      </c>
      <c r="H1454" s="1" t="s">
        <v>1211</v>
      </c>
      <c r="I1454" s="2">
        <v>46177.777443784726</v>
      </c>
      <c r="J1454" s="1" t="s">
        <v>1211</v>
      </c>
    </row>
    <row r="1455" spans="1:10" x14ac:dyDescent="0.35">
      <c r="A1455" s="1" t="s">
        <v>2051</v>
      </c>
      <c r="B1455" s="1" t="s">
        <v>1209</v>
      </c>
      <c r="C1455" s="1" t="s">
        <v>1210</v>
      </c>
      <c r="D1455" s="2">
        <v>46177</v>
      </c>
      <c r="E1455">
        <v>0</v>
      </c>
      <c r="F1455" s="1" t="s">
        <v>2746</v>
      </c>
      <c r="G1455" s="2">
        <v>46177.777443946761</v>
      </c>
      <c r="H1455" s="1" t="s">
        <v>1211</v>
      </c>
      <c r="I1455" s="2">
        <v>46177.777443981482</v>
      </c>
      <c r="J1455" s="1" t="s">
        <v>1211</v>
      </c>
    </row>
    <row r="1456" spans="1:10" x14ac:dyDescent="0.35">
      <c r="A1456" s="1" t="s">
        <v>2052</v>
      </c>
      <c r="B1456" s="1" t="s">
        <v>1209</v>
      </c>
      <c r="C1456" s="1" t="s">
        <v>1210</v>
      </c>
      <c r="D1456" s="2">
        <v>46177</v>
      </c>
      <c r="E1456">
        <v>0</v>
      </c>
      <c r="F1456" s="1" t="s">
        <v>2747</v>
      </c>
      <c r="G1456" s="2">
        <v>46177.777444131942</v>
      </c>
      <c r="H1456" s="1" t="s">
        <v>1211</v>
      </c>
      <c r="I1456" s="2">
        <v>46177.777444131942</v>
      </c>
      <c r="J1456" s="1" t="s">
        <v>1211</v>
      </c>
    </row>
    <row r="1457" spans="1:10" x14ac:dyDescent="0.35">
      <c r="A1457" s="1" t="s">
        <v>2053</v>
      </c>
      <c r="B1457" s="1" t="s">
        <v>1209</v>
      </c>
      <c r="C1457" s="1" t="s">
        <v>1210</v>
      </c>
      <c r="D1457" s="2">
        <v>46177</v>
      </c>
      <c r="E1457">
        <v>0</v>
      </c>
      <c r="F1457" s="1" t="s">
        <v>2748</v>
      </c>
      <c r="G1457" s="2">
        <v>46177.777444293984</v>
      </c>
      <c r="H1457" s="1" t="s">
        <v>1211</v>
      </c>
      <c r="I1457" s="2">
        <v>46177.777444131942</v>
      </c>
      <c r="J1457" s="1" t="s">
        <v>1211</v>
      </c>
    </row>
    <row r="1458" spans="1:10" x14ac:dyDescent="0.35">
      <c r="A1458" s="1" t="s">
        <v>2054</v>
      </c>
      <c r="B1458" s="1" t="s">
        <v>1209</v>
      </c>
      <c r="C1458" s="1" t="s">
        <v>1210</v>
      </c>
      <c r="D1458" s="2">
        <v>46177</v>
      </c>
      <c r="E1458">
        <v>0</v>
      </c>
      <c r="F1458" s="1" t="s">
        <v>2749</v>
      </c>
      <c r="G1458" s="2">
        <v>46177.777444444444</v>
      </c>
      <c r="H1458" s="1" t="s">
        <v>1211</v>
      </c>
      <c r="I1458" s="2">
        <v>46177.777444328705</v>
      </c>
      <c r="J1458" s="1" t="s">
        <v>1211</v>
      </c>
    </row>
    <row r="1459" spans="1:10" x14ac:dyDescent="0.35">
      <c r="A1459" s="1" t="s">
        <v>2055</v>
      </c>
      <c r="B1459" s="1" t="s">
        <v>1209</v>
      </c>
      <c r="C1459" s="1" t="s">
        <v>1210</v>
      </c>
      <c r="D1459" s="2">
        <v>46177</v>
      </c>
      <c r="E1459">
        <v>0</v>
      </c>
      <c r="F1459" s="1" t="s">
        <v>2750</v>
      </c>
      <c r="G1459" s="2">
        <v>46177.7774446412</v>
      </c>
      <c r="H1459" s="1" t="s">
        <v>1211</v>
      </c>
      <c r="I1459" s="2">
        <v>46177.777444525462</v>
      </c>
      <c r="J1459" s="1" t="s">
        <v>1211</v>
      </c>
    </row>
    <row r="1460" spans="1:10" x14ac:dyDescent="0.35">
      <c r="A1460" s="1" t="s">
        <v>2056</v>
      </c>
      <c r="B1460" s="1" t="s">
        <v>1209</v>
      </c>
      <c r="C1460" s="1" t="s">
        <v>1210</v>
      </c>
      <c r="D1460" s="2">
        <v>46177</v>
      </c>
      <c r="E1460">
        <v>0</v>
      </c>
      <c r="F1460" s="1" t="s">
        <v>2751</v>
      </c>
      <c r="G1460" s="2">
        <v>46177.777444791667</v>
      </c>
      <c r="H1460" s="1" t="s">
        <v>1211</v>
      </c>
      <c r="I1460" s="2">
        <v>46177.777444675929</v>
      </c>
      <c r="J1460" s="1" t="s">
        <v>1211</v>
      </c>
    </row>
    <row r="1461" spans="1:10" x14ac:dyDescent="0.35">
      <c r="A1461" s="1" t="s">
        <v>2057</v>
      </c>
      <c r="B1461" s="1" t="s">
        <v>1209</v>
      </c>
      <c r="C1461" s="1" t="s">
        <v>1210</v>
      </c>
      <c r="D1461" s="2">
        <v>46177</v>
      </c>
      <c r="E1461">
        <v>0</v>
      </c>
      <c r="F1461" s="1" t="s">
        <v>2752</v>
      </c>
      <c r="G1461" s="2">
        <v>46177.777444942127</v>
      </c>
      <c r="H1461" s="1" t="s">
        <v>1211</v>
      </c>
      <c r="I1461" s="2">
        <v>46177.777444872685</v>
      </c>
      <c r="J1461" s="1" t="s">
        <v>1211</v>
      </c>
    </row>
    <row r="1462" spans="1:10" x14ac:dyDescent="0.35">
      <c r="A1462" s="1" t="s">
        <v>2058</v>
      </c>
      <c r="B1462" s="1" t="s">
        <v>1209</v>
      </c>
      <c r="C1462" s="1" t="s">
        <v>1210</v>
      </c>
      <c r="D1462" s="2">
        <v>46177</v>
      </c>
      <c r="E1462">
        <v>0</v>
      </c>
      <c r="F1462" s="1" t="s">
        <v>2753</v>
      </c>
      <c r="G1462" s="2">
        <v>46177.77744510417</v>
      </c>
      <c r="H1462" s="1" t="s">
        <v>1211</v>
      </c>
      <c r="I1462" s="2">
        <v>46177.777445057873</v>
      </c>
      <c r="J1462" s="1" t="s">
        <v>1211</v>
      </c>
    </row>
    <row r="1463" spans="1:10" x14ac:dyDescent="0.35">
      <c r="A1463" s="1" t="s">
        <v>2059</v>
      </c>
      <c r="B1463" s="1" t="s">
        <v>1209</v>
      </c>
      <c r="C1463" s="1" t="s">
        <v>1210</v>
      </c>
      <c r="D1463" s="2">
        <v>46177</v>
      </c>
      <c r="E1463">
        <v>0</v>
      </c>
      <c r="F1463" s="1" t="s">
        <v>2754</v>
      </c>
      <c r="G1463" s="2">
        <v>46177.777445254629</v>
      </c>
      <c r="H1463" s="1" t="s">
        <v>1211</v>
      </c>
      <c r="I1463" s="2">
        <v>46177.777445219908</v>
      </c>
      <c r="J1463" s="1" t="s">
        <v>1211</v>
      </c>
    </row>
    <row r="1464" spans="1:10" x14ac:dyDescent="0.35">
      <c r="A1464" s="1" t="s">
        <v>2060</v>
      </c>
      <c r="B1464" s="1" t="s">
        <v>1209</v>
      </c>
      <c r="C1464" s="1" t="s">
        <v>1210</v>
      </c>
      <c r="D1464" s="2">
        <v>46177</v>
      </c>
      <c r="E1464">
        <v>0</v>
      </c>
      <c r="F1464" s="1" t="s">
        <v>2755</v>
      </c>
      <c r="G1464" s="2">
        <v>46177.777445405096</v>
      </c>
      <c r="H1464" s="1" t="s">
        <v>1211</v>
      </c>
      <c r="I1464" s="2">
        <v>46177.777445370368</v>
      </c>
      <c r="J1464" s="1" t="s">
        <v>1211</v>
      </c>
    </row>
    <row r="1465" spans="1:10" x14ac:dyDescent="0.35">
      <c r="A1465" s="1" t="s">
        <v>2061</v>
      </c>
      <c r="B1465" s="1" t="s">
        <v>1209</v>
      </c>
      <c r="C1465" s="1" t="s">
        <v>1210</v>
      </c>
      <c r="D1465" s="2">
        <v>46177</v>
      </c>
      <c r="E1465">
        <v>0</v>
      </c>
      <c r="F1465" s="1" t="s">
        <v>2756</v>
      </c>
      <c r="G1465" s="2">
        <v>46177.777445567132</v>
      </c>
      <c r="H1465" s="1" t="s">
        <v>1211</v>
      </c>
      <c r="I1465" s="2">
        <v>46177.777445567132</v>
      </c>
      <c r="J1465" s="1" t="s">
        <v>1211</v>
      </c>
    </row>
    <row r="1466" spans="1:10" x14ac:dyDescent="0.35">
      <c r="A1466" s="1" t="s">
        <v>2062</v>
      </c>
      <c r="B1466" s="1" t="s">
        <v>1209</v>
      </c>
      <c r="C1466" s="1" t="s">
        <v>1210</v>
      </c>
      <c r="D1466" s="2">
        <v>46177</v>
      </c>
      <c r="E1466">
        <v>0</v>
      </c>
      <c r="F1466" s="1" t="s">
        <v>2757</v>
      </c>
      <c r="G1466" s="2">
        <v>46177.777445567132</v>
      </c>
      <c r="H1466" s="1" t="s">
        <v>1211</v>
      </c>
      <c r="I1466" s="2">
        <v>46177.777445567132</v>
      </c>
      <c r="J1466" s="1" t="s">
        <v>1211</v>
      </c>
    </row>
    <row r="1467" spans="1:10" x14ac:dyDescent="0.35">
      <c r="A1467" s="1" t="s">
        <v>2063</v>
      </c>
      <c r="B1467" s="1" t="s">
        <v>1209</v>
      </c>
      <c r="C1467" s="1" t="s">
        <v>1210</v>
      </c>
      <c r="D1467" s="2">
        <v>46177</v>
      </c>
      <c r="E1467">
        <v>0</v>
      </c>
      <c r="F1467" s="1" t="s">
        <v>2758</v>
      </c>
      <c r="G1467" s="2">
        <v>46177.77744568287</v>
      </c>
      <c r="H1467" s="1" t="s">
        <v>1211</v>
      </c>
      <c r="I1467" s="2">
        <v>46177.777445752312</v>
      </c>
      <c r="J1467" s="1" t="s">
        <v>1211</v>
      </c>
    </row>
    <row r="1468" spans="1:10" x14ac:dyDescent="0.35">
      <c r="A1468" s="1" t="s">
        <v>2064</v>
      </c>
      <c r="B1468" s="1" t="s">
        <v>1209</v>
      </c>
      <c r="C1468" s="1" t="s">
        <v>1210</v>
      </c>
      <c r="D1468" s="2">
        <v>46177</v>
      </c>
      <c r="E1468">
        <v>0</v>
      </c>
      <c r="F1468" s="1" t="s">
        <v>2759</v>
      </c>
      <c r="G1468" s="2">
        <v>46177.777445833337</v>
      </c>
      <c r="H1468" s="1" t="s">
        <v>1211</v>
      </c>
      <c r="I1468" s="2">
        <v>46177.777445914355</v>
      </c>
      <c r="J1468" s="1" t="s">
        <v>1211</v>
      </c>
    </row>
    <row r="1469" spans="1:10" x14ac:dyDescent="0.35">
      <c r="A1469" s="1" t="s">
        <v>2065</v>
      </c>
      <c r="B1469" s="1" t="s">
        <v>1209</v>
      </c>
      <c r="C1469" s="1" t="s">
        <v>1210</v>
      </c>
      <c r="D1469" s="2">
        <v>46177</v>
      </c>
      <c r="E1469">
        <v>0</v>
      </c>
      <c r="F1469" s="1" t="s">
        <v>2760</v>
      </c>
      <c r="G1469" s="2">
        <v>46177.777445983796</v>
      </c>
      <c r="H1469" s="1" t="s">
        <v>1211</v>
      </c>
      <c r="I1469" s="2">
        <v>46177.777446099535</v>
      </c>
      <c r="J1469" s="1" t="s">
        <v>1211</v>
      </c>
    </row>
    <row r="1470" spans="1:10" x14ac:dyDescent="0.35">
      <c r="A1470" s="1" t="s">
        <v>2066</v>
      </c>
      <c r="B1470" s="1" t="s">
        <v>1209</v>
      </c>
      <c r="C1470" s="1" t="s">
        <v>1210</v>
      </c>
      <c r="D1470" s="2">
        <v>46177</v>
      </c>
      <c r="E1470">
        <v>0</v>
      </c>
      <c r="F1470" s="1" t="s">
        <v>2761</v>
      </c>
      <c r="G1470" s="2">
        <v>46177.777446145832</v>
      </c>
      <c r="H1470" s="1" t="s">
        <v>1211</v>
      </c>
      <c r="I1470" s="2">
        <v>46177.777446296299</v>
      </c>
      <c r="J1470" s="1" t="s">
        <v>1211</v>
      </c>
    </row>
    <row r="1471" spans="1:10" x14ac:dyDescent="0.35">
      <c r="A1471" s="1" t="s">
        <v>2067</v>
      </c>
      <c r="B1471" s="1" t="s">
        <v>1209</v>
      </c>
      <c r="C1471" s="1" t="s">
        <v>1210</v>
      </c>
      <c r="D1471" s="2">
        <v>46177</v>
      </c>
      <c r="E1471">
        <v>0</v>
      </c>
      <c r="F1471" s="1" t="s">
        <v>2762</v>
      </c>
      <c r="G1471" s="2">
        <v>46177.777446296299</v>
      </c>
      <c r="H1471" s="1" t="s">
        <v>1211</v>
      </c>
      <c r="I1471" s="2">
        <v>46177.777446493055</v>
      </c>
      <c r="J1471" s="1" t="s">
        <v>1211</v>
      </c>
    </row>
    <row r="1472" spans="1:10" x14ac:dyDescent="0.35">
      <c r="A1472" s="1" t="s">
        <v>2068</v>
      </c>
      <c r="B1472" s="1" t="s">
        <v>1209</v>
      </c>
      <c r="C1472" s="1" t="s">
        <v>1210</v>
      </c>
      <c r="D1472" s="2">
        <v>46177</v>
      </c>
      <c r="E1472">
        <v>0</v>
      </c>
      <c r="F1472" s="1" t="s">
        <v>2763</v>
      </c>
      <c r="G1472" s="2">
        <v>46177.777446412038</v>
      </c>
      <c r="H1472" s="1" t="s">
        <v>1211</v>
      </c>
      <c r="I1472" s="2">
        <v>46177.777446493055</v>
      </c>
      <c r="J1472" s="1" t="s">
        <v>1211</v>
      </c>
    </row>
    <row r="1473" spans="1:10" x14ac:dyDescent="0.35">
      <c r="A1473" s="1" t="s">
        <v>2069</v>
      </c>
      <c r="B1473" s="1" t="s">
        <v>1209</v>
      </c>
      <c r="C1473" s="1" t="s">
        <v>1210</v>
      </c>
      <c r="D1473" s="2">
        <v>46177</v>
      </c>
      <c r="E1473">
        <v>0</v>
      </c>
      <c r="F1473" s="1" t="s">
        <v>2764</v>
      </c>
      <c r="G1473" s="2">
        <v>46177.777446562497</v>
      </c>
      <c r="H1473" s="1" t="s">
        <v>1211</v>
      </c>
      <c r="I1473" s="2">
        <v>46177.777446643522</v>
      </c>
      <c r="J1473" s="1" t="s">
        <v>1211</v>
      </c>
    </row>
    <row r="1474" spans="1:10" x14ac:dyDescent="0.35">
      <c r="A1474" s="1" t="s">
        <v>2070</v>
      </c>
      <c r="B1474" s="1" t="s">
        <v>1209</v>
      </c>
      <c r="C1474" s="1" t="s">
        <v>1210</v>
      </c>
      <c r="D1474" s="2">
        <v>46177</v>
      </c>
      <c r="E1474">
        <v>0</v>
      </c>
      <c r="F1474" s="1" t="s">
        <v>2765</v>
      </c>
      <c r="G1474" s="2">
        <v>46177.77744672454</v>
      </c>
      <c r="H1474" s="1" t="s">
        <v>1211</v>
      </c>
      <c r="I1474" s="2">
        <v>46177.777446840279</v>
      </c>
      <c r="J1474" s="1" t="s">
        <v>1211</v>
      </c>
    </row>
    <row r="1475" spans="1:10" x14ac:dyDescent="0.35">
      <c r="A1475" s="1" t="s">
        <v>2071</v>
      </c>
      <c r="B1475" s="1" t="s">
        <v>1209</v>
      </c>
      <c r="C1475" s="1" t="s">
        <v>1210</v>
      </c>
      <c r="D1475" s="2">
        <v>46177</v>
      </c>
      <c r="E1475">
        <v>0</v>
      </c>
      <c r="F1475" s="1" t="s">
        <v>2766</v>
      </c>
      <c r="G1475" s="2">
        <v>46177.777446874999</v>
      </c>
      <c r="H1475" s="1" t="s">
        <v>1211</v>
      </c>
      <c r="I1475" s="2">
        <v>46177.777446990738</v>
      </c>
      <c r="J1475" s="1" t="s">
        <v>1211</v>
      </c>
    </row>
    <row r="1476" spans="1:10" x14ac:dyDescent="0.35">
      <c r="A1476" s="1" t="s">
        <v>2072</v>
      </c>
      <c r="B1476" s="1" t="s">
        <v>1209</v>
      </c>
      <c r="C1476" s="1" t="s">
        <v>1210</v>
      </c>
      <c r="D1476" s="2">
        <v>46177</v>
      </c>
      <c r="E1476">
        <v>0</v>
      </c>
      <c r="F1476" s="1" t="s">
        <v>2767</v>
      </c>
      <c r="G1476" s="2">
        <v>46177.777447025466</v>
      </c>
      <c r="H1476" s="1" t="s">
        <v>1211</v>
      </c>
      <c r="I1476" s="2">
        <v>46177.777447187502</v>
      </c>
      <c r="J1476" s="1" t="s">
        <v>1211</v>
      </c>
    </row>
    <row r="1477" spans="1:10" x14ac:dyDescent="0.35">
      <c r="A1477" s="1" t="s">
        <v>2073</v>
      </c>
      <c r="B1477" s="1" t="s">
        <v>1209</v>
      </c>
      <c r="C1477" s="1" t="s">
        <v>1210</v>
      </c>
      <c r="D1477" s="2">
        <v>46177</v>
      </c>
      <c r="E1477">
        <v>0</v>
      </c>
      <c r="F1477" s="1" t="s">
        <v>2768</v>
      </c>
      <c r="G1477" s="2">
        <v>46177.777447141205</v>
      </c>
      <c r="H1477" s="1" t="s">
        <v>1211</v>
      </c>
      <c r="I1477" s="2">
        <v>46177.777447187502</v>
      </c>
      <c r="J1477" s="1" t="s">
        <v>1211</v>
      </c>
    </row>
    <row r="1478" spans="1:10" x14ac:dyDescent="0.35">
      <c r="A1478" s="1" t="s">
        <v>2074</v>
      </c>
      <c r="B1478" s="1" t="s">
        <v>1209</v>
      </c>
      <c r="C1478" s="1" t="s">
        <v>1210</v>
      </c>
      <c r="D1478" s="2">
        <v>46177</v>
      </c>
      <c r="E1478">
        <v>0</v>
      </c>
      <c r="F1478" s="1" t="s">
        <v>2769</v>
      </c>
      <c r="G1478" s="2">
        <v>46177.777447337961</v>
      </c>
      <c r="H1478" s="1" t="s">
        <v>1211</v>
      </c>
      <c r="I1478" s="2">
        <v>46177.777447372682</v>
      </c>
      <c r="J1478" s="1" t="s">
        <v>1211</v>
      </c>
    </row>
    <row r="1479" spans="1:10" x14ac:dyDescent="0.35">
      <c r="A1479" s="1" t="s">
        <v>2075</v>
      </c>
      <c r="B1479" s="1" t="s">
        <v>1209</v>
      </c>
      <c r="C1479" s="1" t="s">
        <v>1210</v>
      </c>
      <c r="D1479" s="2">
        <v>46177</v>
      </c>
      <c r="E1479">
        <v>0</v>
      </c>
      <c r="F1479" s="1" t="s">
        <v>2770</v>
      </c>
      <c r="G1479" s="2">
        <v>46177.777447453707</v>
      </c>
      <c r="H1479" s="1" t="s">
        <v>1211</v>
      </c>
      <c r="I1479" s="2">
        <v>46177.777447534725</v>
      </c>
      <c r="J1479" s="1" t="s">
        <v>1211</v>
      </c>
    </row>
    <row r="1480" spans="1:10" x14ac:dyDescent="0.35">
      <c r="A1480" s="1" t="s">
        <v>2076</v>
      </c>
      <c r="B1480" s="1" t="s">
        <v>1209</v>
      </c>
      <c r="C1480" s="1" t="s">
        <v>1210</v>
      </c>
      <c r="D1480" s="2">
        <v>46177</v>
      </c>
      <c r="E1480">
        <v>0</v>
      </c>
      <c r="F1480" s="1" t="s">
        <v>2771</v>
      </c>
      <c r="G1480" s="2">
        <v>46177.777447650464</v>
      </c>
      <c r="H1480" s="1" t="s">
        <v>1211</v>
      </c>
      <c r="I1480" s="2">
        <v>46177.777447719905</v>
      </c>
      <c r="J1480" s="1" t="s">
        <v>1211</v>
      </c>
    </row>
    <row r="1481" spans="1:10" x14ac:dyDescent="0.35">
      <c r="A1481" s="1" t="s">
        <v>2077</v>
      </c>
      <c r="B1481" s="1" t="s">
        <v>1209</v>
      </c>
      <c r="C1481" s="1" t="s">
        <v>1210</v>
      </c>
      <c r="D1481" s="2">
        <v>46177</v>
      </c>
      <c r="E1481">
        <v>0</v>
      </c>
      <c r="F1481" s="1" t="s">
        <v>2772</v>
      </c>
      <c r="G1481" s="2">
        <v>46177.777447800923</v>
      </c>
      <c r="H1481" s="1" t="s">
        <v>1211</v>
      </c>
      <c r="I1481" s="2">
        <v>46177.777447916669</v>
      </c>
      <c r="J1481" s="1" t="s">
        <v>1211</v>
      </c>
    </row>
    <row r="1482" spans="1:10" x14ac:dyDescent="0.35">
      <c r="A1482" s="1" t="s">
        <v>2078</v>
      </c>
      <c r="B1482" s="1" t="s">
        <v>1209</v>
      </c>
      <c r="C1482" s="1" t="s">
        <v>1210</v>
      </c>
      <c r="D1482" s="2">
        <v>46177</v>
      </c>
      <c r="E1482">
        <v>0</v>
      </c>
      <c r="F1482" s="1" t="s">
        <v>2773</v>
      </c>
      <c r="G1482" s="2">
        <v>46177.77744795139</v>
      </c>
      <c r="H1482" s="1" t="s">
        <v>1211</v>
      </c>
      <c r="I1482" s="2">
        <v>46177.777448113426</v>
      </c>
      <c r="J1482" s="1" t="s">
        <v>1211</v>
      </c>
    </row>
    <row r="1483" spans="1:10" x14ac:dyDescent="0.35">
      <c r="A1483" s="1" t="s">
        <v>2079</v>
      </c>
      <c r="B1483" s="1" t="s">
        <v>1209</v>
      </c>
      <c r="C1483" s="1" t="s">
        <v>1210</v>
      </c>
      <c r="D1483" s="2">
        <v>46177</v>
      </c>
      <c r="E1483">
        <v>0</v>
      </c>
      <c r="F1483" s="1" t="s">
        <v>2774</v>
      </c>
      <c r="G1483" s="2">
        <v>46177.777448113426</v>
      </c>
      <c r="H1483" s="1" t="s">
        <v>1211</v>
      </c>
      <c r="I1483" s="2">
        <v>46177.777448263892</v>
      </c>
      <c r="J1483" s="1" t="s">
        <v>1211</v>
      </c>
    </row>
    <row r="1484" spans="1:10" x14ac:dyDescent="0.35">
      <c r="A1484" s="1" t="s">
        <v>2080</v>
      </c>
      <c r="B1484" s="1" t="s">
        <v>1209</v>
      </c>
      <c r="C1484" s="1" t="s">
        <v>1210</v>
      </c>
      <c r="D1484" s="2">
        <v>46177</v>
      </c>
      <c r="E1484">
        <v>0</v>
      </c>
      <c r="F1484" s="1" t="s">
        <v>2775</v>
      </c>
      <c r="G1484" s="2">
        <v>46177.777448263892</v>
      </c>
      <c r="H1484" s="1" t="s">
        <v>1211</v>
      </c>
      <c r="I1484" s="2">
        <v>46177.777448263892</v>
      </c>
      <c r="J1484" s="1" t="s">
        <v>1211</v>
      </c>
    </row>
    <row r="1485" spans="1:10" x14ac:dyDescent="0.35">
      <c r="A1485" s="1" t="s">
        <v>2081</v>
      </c>
      <c r="B1485" s="1" t="s">
        <v>1209</v>
      </c>
      <c r="C1485" s="1" t="s">
        <v>1210</v>
      </c>
      <c r="D1485" s="2">
        <v>46177</v>
      </c>
      <c r="E1485">
        <v>0</v>
      </c>
      <c r="F1485" s="1" t="s">
        <v>2776</v>
      </c>
      <c r="G1485" s="2">
        <v>46177.777448379631</v>
      </c>
      <c r="H1485" s="1" t="s">
        <v>1211</v>
      </c>
      <c r="I1485" s="2">
        <v>46177.777448460649</v>
      </c>
      <c r="J1485" s="1" t="s">
        <v>1211</v>
      </c>
    </row>
    <row r="1486" spans="1:10" x14ac:dyDescent="0.35">
      <c r="A1486" s="1" t="s">
        <v>2082</v>
      </c>
      <c r="B1486" s="1" t="s">
        <v>1209</v>
      </c>
      <c r="C1486" s="1" t="s">
        <v>1210</v>
      </c>
      <c r="D1486" s="2">
        <v>46177</v>
      </c>
      <c r="E1486">
        <v>0</v>
      </c>
      <c r="F1486" s="1" t="s">
        <v>2777</v>
      </c>
      <c r="G1486" s="2">
        <v>46177.777448530091</v>
      </c>
      <c r="H1486" s="1" t="s">
        <v>1211</v>
      </c>
      <c r="I1486" s="2">
        <v>46177.777448645837</v>
      </c>
      <c r="J1486" s="1" t="s">
        <v>1211</v>
      </c>
    </row>
    <row r="1487" spans="1:10" x14ac:dyDescent="0.35">
      <c r="A1487" s="1" t="s">
        <v>2083</v>
      </c>
      <c r="B1487" s="1" t="s">
        <v>1209</v>
      </c>
      <c r="C1487" s="1" t="s">
        <v>1210</v>
      </c>
      <c r="D1487" s="2">
        <v>46177</v>
      </c>
      <c r="E1487">
        <v>0</v>
      </c>
      <c r="F1487" s="1" t="s">
        <v>2778</v>
      </c>
      <c r="G1487" s="2">
        <v>46177.777448692126</v>
      </c>
      <c r="H1487" s="1" t="s">
        <v>1211</v>
      </c>
      <c r="I1487" s="2">
        <v>46177.777448807872</v>
      </c>
      <c r="J1487" s="1" t="s">
        <v>1211</v>
      </c>
    </row>
    <row r="1488" spans="1:10" x14ac:dyDescent="0.35">
      <c r="A1488" s="1" t="s">
        <v>2084</v>
      </c>
      <c r="B1488" s="1" t="s">
        <v>1209</v>
      </c>
      <c r="C1488" s="1" t="s">
        <v>1210</v>
      </c>
      <c r="D1488" s="2">
        <v>46177</v>
      </c>
      <c r="E1488">
        <v>0</v>
      </c>
      <c r="F1488" s="1" t="s">
        <v>2779</v>
      </c>
      <c r="G1488" s="2">
        <v>46177.777448842593</v>
      </c>
      <c r="H1488" s="1" t="s">
        <v>1211</v>
      </c>
      <c r="I1488" s="2">
        <v>46177.777448993053</v>
      </c>
      <c r="J1488" s="1" t="s">
        <v>1211</v>
      </c>
    </row>
    <row r="1489" spans="1:10" x14ac:dyDescent="0.35">
      <c r="A1489" s="1" t="s">
        <v>2085</v>
      </c>
      <c r="B1489" s="1" t="s">
        <v>1209</v>
      </c>
      <c r="C1489" s="1" t="s">
        <v>1210</v>
      </c>
      <c r="D1489" s="2">
        <v>46177</v>
      </c>
      <c r="E1489">
        <v>0</v>
      </c>
      <c r="F1489" s="1" t="s">
        <v>2780</v>
      </c>
      <c r="G1489" s="2">
        <v>46177.777448993053</v>
      </c>
      <c r="H1489" s="1" t="s">
        <v>1211</v>
      </c>
      <c r="I1489" s="2">
        <v>46177.777449189816</v>
      </c>
      <c r="J1489" s="1" t="s">
        <v>1211</v>
      </c>
    </row>
    <row r="1490" spans="1:10" x14ac:dyDescent="0.35">
      <c r="A1490" s="1" t="s">
        <v>2086</v>
      </c>
      <c r="B1490" s="1" t="s">
        <v>1209</v>
      </c>
      <c r="C1490" s="1" t="s">
        <v>1210</v>
      </c>
      <c r="D1490" s="2">
        <v>46177</v>
      </c>
      <c r="E1490">
        <v>0</v>
      </c>
      <c r="F1490" s="1" t="s">
        <v>2781</v>
      </c>
      <c r="G1490" s="2">
        <v>46177.777449155095</v>
      </c>
      <c r="H1490" s="1" t="s">
        <v>1211</v>
      </c>
      <c r="I1490" s="2">
        <v>46177.777449189816</v>
      </c>
      <c r="J1490" s="1" t="s">
        <v>1211</v>
      </c>
    </row>
    <row r="1491" spans="1:10" x14ac:dyDescent="0.35">
      <c r="A1491" s="1" t="s">
        <v>2087</v>
      </c>
      <c r="B1491" s="1" t="s">
        <v>1209</v>
      </c>
      <c r="C1491" s="1" t="s">
        <v>1210</v>
      </c>
      <c r="D1491" s="2">
        <v>46177</v>
      </c>
      <c r="E1491">
        <v>0</v>
      </c>
      <c r="F1491" s="1" t="s">
        <v>2782</v>
      </c>
      <c r="G1491" s="2">
        <v>46177.777449305555</v>
      </c>
      <c r="H1491" s="1" t="s">
        <v>1211</v>
      </c>
      <c r="I1491" s="2">
        <v>46177.777449386573</v>
      </c>
      <c r="J1491" s="1" t="s">
        <v>1211</v>
      </c>
    </row>
    <row r="1492" spans="1:10" x14ac:dyDescent="0.35">
      <c r="A1492" s="1" t="s">
        <v>2088</v>
      </c>
      <c r="B1492" s="1" t="s">
        <v>1209</v>
      </c>
      <c r="C1492" s="1" t="s">
        <v>1210</v>
      </c>
      <c r="D1492" s="2">
        <v>46177</v>
      </c>
      <c r="E1492">
        <v>0</v>
      </c>
      <c r="F1492" s="1" t="s">
        <v>2783</v>
      </c>
      <c r="G1492" s="2">
        <v>46177.777449456022</v>
      </c>
      <c r="H1492" s="1" t="s">
        <v>1211</v>
      </c>
      <c r="I1492" s="2">
        <v>46177.77744953704</v>
      </c>
      <c r="J1492" s="1" t="s">
        <v>1211</v>
      </c>
    </row>
    <row r="1493" spans="1:10" x14ac:dyDescent="0.35">
      <c r="A1493" s="1" t="s">
        <v>2089</v>
      </c>
      <c r="B1493" s="1" t="s">
        <v>1209</v>
      </c>
      <c r="C1493" s="1" t="s">
        <v>1210</v>
      </c>
      <c r="D1493" s="2">
        <v>46177</v>
      </c>
      <c r="E1493">
        <v>0</v>
      </c>
      <c r="F1493" s="1" t="s">
        <v>2784</v>
      </c>
      <c r="G1493" s="2">
        <v>46177.777449618057</v>
      </c>
      <c r="H1493" s="1" t="s">
        <v>1211</v>
      </c>
      <c r="I1493" s="2">
        <v>46177.777449733796</v>
      </c>
      <c r="J1493" s="1" t="s">
        <v>1211</v>
      </c>
    </row>
    <row r="1494" spans="1:10" x14ac:dyDescent="0.35">
      <c r="A1494" s="1" t="s">
        <v>2090</v>
      </c>
      <c r="B1494" s="1" t="s">
        <v>1209</v>
      </c>
      <c r="C1494" s="1" t="s">
        <v>1210</v>
      </c>
      <c r="D1494" s="2">
        <v>46177</v>
      </c>
      <c r="E1494">
        <v>0</v>
      </c>
      <c r="F1494" s="1" t="s">
        <v>2785</v>
      </c>
      <c r="G1494" s="2">
        <v>46177.777449849535</v>
      </c>
      <c r="H1494" s="1" t="s">
        <v>1211</v>
      </c>
      <c r="I1494" s="2">
        <v>46177.777449884263</v>
      </c>
      <c r="J1494" s="1" t="s">
        <v>1211</v>
      </c>
    </row>
    <row r="1495" spans="1:10" x14ac:dyDescent="0.35">
      <c r="A1495" s="1" t="s">
        <v>2091</v>
      </c>
      <c r="B1495" s="1" t="s">
        <v>1209</v>
      </c>
      <c r="C1495" s="1" t="s">
        <v>1210</v>
      </c>
      <c r="D1495" s="2">
        <v>46177</v>
      </c>
      <c r="E1495">
        <v>0</v>
      </c>
      <c r="F1495" s="1" t="s">
        <v>2786</v>
      </c>
      <c r="G1495" s="2">
        <v>46177.777450000001</v>
      </c>
      <c r="H1495" s="1" t="s">
        <v>1211</v>
      </c>
      <c r="I1495" s="2">
        <v>46177.777450081019</v>
      </c>
      <c r="J1495" s="1" t="s">
        <v>1211</v>
      </c>
    </row>
    <row r="1496" spans="1:10" x14ac:dyDescent="0.35">
      <c r="A1496" s="1" t="s">
        <v>2092</v>
      </c>
      <c r="B1496" s="1" t="s">
        <v>1209</v>
      </c>
      <c r="C1496" s="1" t="s">
        <v>1210</v>
      </c>
      <c r="D1496" s="2">
        <v>46177</v>
      </c>
      <c r="E1496">
        <v>0</v>
      </c>
      <c r="F1496" s="1" t="s">
        <v>2787</v>
      </c>
      <c r="G1496" s="2">
        <v>46177.777450150461</v>
      </c>
      <c r="H1496" s="1" t="s">
        <v>1211</v>
      </c>
      <c r="I1496" s="2">
        <v>46177.777450266207</v>
      </c>
      <c r="J1496" s="1" t="s">
        <v>1211</v>
      </c>
    </row>
    <row r="1497" spans="1:10" x14ac:dyDescent="0.35">
      <c r="A1497" s="1" t="s">
        <v>2093</v>
      </c>
      <c r="B1497" s="1" t="s">
        <v>1209</v>
      </c>
      <c r="C1497" s="1" t="s">
        <v>1210</v>
      </c>
      <c r="D1497" s="2">
        <v>46177</v>
      </c>
      <c r="E1497">
        <v>0</v>
      </c>
      <c r="F1497" s="1" t="s">
        <v>2788</v>
      </c>
      <c r="G1497" s="2">
        <v>46177.777450312497</v>
      </c>
      <c r="H1497" s="1" t="s">
        <v>1211</v>
      </c>
      <c r="I1497" s="2">
        <v>46177.777450428242</v>
      </c>
      <c r="J1497" s="1" t="s">
        <v>1211</v>
      </c>
    </row>
    <row r="1498" spans="1:10" x14ac:dyDescent="0.35">
      <c r="A1498" s="1" t="s">
        <v>2094</v>
      </c>
      <c r="B1498" s="1" t="s">
        <v>1209</v>
      </c>
      <c r="C1498" s="1" t="s">
        <v>1210</v>
      </c>
      <c r="D1498" s="2">
        <v>46177</v>
      </c>
      <c r="E1498">
        <v>0</v>
      </c>
      <c r="F1498" s="1" t="s">
        <v>2789</v>
      </c>
      <c r="G1498" s="2">
        <v>46177.777450428242</v>
      </c>
      <c r="H1498" s="1" t="s">
        <v>1211</v>
      </c>
      <c r="I1498" s="2">
        <v>46177.777450613423</v>
      </c>
      <c r="J1498" s="1" t="s">
        <v>1211</v>
      </c>
    </row>
    <row r="1499" spans="1:10" x14ac:dyDescent="0.35">
      <c r="A1499" s="1" t="s">
        <v>2095</v>
      </c>
      <c r="B1499" s="1" t="s">
        <v>1209</v>
      </c>
      <c r="C1499" s="1" t="s">
        <v>1210</v>
      </c>
      <c r="D1499" s="2">
        <v>46177</v>
      </c>
      <c r="E1499">
        <v>0</v>
      </c>
      <c r="F1499" s="1" t="s">
        <v>2790</v>
      </c>
      <c r="G1499" s="2">
        <v>46177.777450578702</v>
      </c>
      <c r="H1499" s="1" t="s">
        <v>1211</v>
      </c>
      <c r="I1499" s="2">
        <v>46177.777450613423</v>
      </c>
      <c r="J1499" s="1" t="s">
        <v>1211</v>
      </c>
    </row>
    <row r="1500" spans="1:10" x14ac:dyDescent="0.35">
      <c r="A1500" s="1" t="s">
        <v>2096</v>
      </c>
      <c r="B1500" s="1" t="s">
        <v>1209</v>
      </c>
      <c r="C1500" s="1" t="s">
        <v>1210</v>
      </c>
      <c r="D1500" s="2">
        <v>46177</v>
      </c>
      <c r="E1500">
        <v>0</v>
      </c>
      <c r="F1500" s="1" t="s">
        <v>2791</v>
      </c>
      <c r="G1500" s="2">
        <v>46177.777450729169</v>
      </c>
      <c r="H1500" s="1" t="s">
        <v>1211</v>
      </c>
      <c r="I1500" s="2">
        <v>46177.777450810187</v>
      </c>
      <c r="J1500" s="1" t="s">
        <v>1211</v>
      </c>
    </row>
    <row r="1501" spans="1:10" x14ac:dyDescent="0.35">
      <c r="A1501" s="1" t="s">
        <v>2097</v>
      </c>
      <c r="B1501" s="1" t="s">
        <v>1209</v>
      </c>
      <c r="C1501" s="1" t="s">
        <v>1210</v>
      </c>
      <c r="D1501" s="2">
        <v>46177</v>
      </c>
      <c r="E1501">
        <v>0</v>
      </c>
      <c r="F1501" s="1" t="s">
        <v>2792</v>
      </c>
      <c r="G1501" s="2">
        <v>46177.777450891204</v>
      </c>
      <c r="H1501" s="1" t="s">
        <v>1211</v>
      </c>
      <c r="I1501" s="2">
        <v>46177.777451006943</v>
      </c>
      <c r="J1501" s="1" t="s">
        <v>1211</v>
      </c>
    </row>
    <row r="1502" spans="1:10" x14ac:dyDescent="0.35">
      <c r="A1502" s="1" t="s">
        <v>2098</v>
      </c>
      <c r="B1502" s="1" t="s">
        <v>1209</v>
      </c>
      <c r="C1502" s="1" t="s">
        <v>1210</v>
      </c>
      <c r="D1502" s="2">
        <v>46177</v>
      </c>
      <c r="E1502">
        <v>0</v>
      </c>
      <c r="F1502" s="1" t="s">
        <v>2793</v>
      </c>
      <c r="G1502" s="2">
        <v>46177.777451041664</v>
      </c>
      <c r="H1502" s="1" t="s">
        <v>1211</v>
      </c>
      <c r="I1502" s="2">
        <v>46177.77745115741</v>
      </c>
      <c r="J1502" s="1" t="s">
        <v>1211</v>
      </c>
    </row>
    <row r="1503" spans="1:10" x14ac:dyDescent="0.35">
      <c r="A1503" s="1" t="s">
        <v>2099</v>
      </c>
      <c r="B1503" s="1" t="s">
        <v>1209</v>
      </c>
      <c r="C1503" s="1" t="s">
        <v>1210</v>
      </c>
      <c r="D1503" s="2">
        <v>46177</v>
      </c>
      <c r="E1503">
        <v>0</v>
      </c>
      <c r="F1503" s="1" t="s">
        <v>2794</v>
      </c>
      <c r="G1503" s="2">
        <v>46177.777451192131</v>
      </c>
      <c r="H1503" s="1" t="s">
        <v>1211</v>
      </c>
      <c r="I1503" s="2">
        <v>46177.777451354166</v>
      </c>
      <c r="J1503" s="1" t="s">
        <v>1211</v>
      </c>
    </row>
    <row r="1504" spans="1:10" x14ac:dyDescent="0.35">
      <c r="A1504" s="1" t="s">
        <v>2100</v>
      </c>
      <c r="B1504" s="1" t="s">
        <v>1209</v>
      </c>
      <c r="C1504" s="1" t="s">
        <v>1210</v>
      </c>
      <c r="D1504" s="2">
        <v>46177</v>
      </c>
      <c r="E1504">
        <v>0</v>
      </c>
      <c r="F1504" s="1" t="s">
        <v>2795</v>
      </c>
      <c r="G1504" s="2">
        <v>46177.777451354166</v>
      </c>
      <c r="H1504" s="1" t="s">
        <v>1211</v>
      </c>
      <c r="I1504" s="2">
        <v>46177.777451539354</v>
      </c>
      <c r="J1504" s="1" t="s">
        <v>1211</v>
      </c>
    </row>
    <row r="1505" spans="1:10" x14ac:dyDescent="0.35">
      <c r="A1505" s="1" t="s">
        <v>2101</v>
      </c>
      <c r="B1505" s="1" t="s">
        <v>1209</v>
      </c>
      <c r="C1505" s="1" t="s">
        <v>1210</v>
      </c>
      <c r="D1505" s="2">
        <v>46177</v>
      </c>
      <c r="E1505">
        <v>0</v>
      </c>
      <c r="F1505" s="1" t="s">
        <v>2796</v>
      </c>
      <c r="G1505" s="2">
        <v>46177.777451504633</v>
      </c>
      <c r="H1505" s="1" t="s">
        <v>1211</v>
      </c>
      <c r="I1505" s="2">
        <v>46177.777451539354</v>
      </c>
      <c r="J1505" s="1" t="s">
        <v>1211</v>
      </c>
    </row>
    <row r="1506" spans="1:10" x14ac:dyDescent="0.35">
      <c r="A1506" s="1" t="s">
        <v>2102</v>
      </c>
      <c r="B1506" s="1" t="s">
        <v>1209</v>
      </c>
      <c r="C1506" s="1" t="s">
        <v>1210</v>
      </c>
      <c r="D1506" s="2">
        <v>46177</v>
      </c>
      <c r="E1506">
        <v>0</v>
      </c>
      <c r="F1506" s="1" t="s">
        <v>2797</v>
      </c>
      <c r="G1506" s="2">
        <v>46177.777451655093</v>
      </c>
      <c r="H1506" s="1" t="s">
        <v>1211</v>
      </c>
      <c r="I1506" s="2">
        <v>46177.77745170139</v>
      </c>
      <c r="J1506" s="1" t="s">
        <v>1211</v>
      </c>
    </row>
    <row r="1507" spans="1:10" x14ac:dyDescent="0.35">
      <c r="A1507" s="1" t="s">
        <v>2103</v>
      </c>
      <c r="B1507" s="1" t="s">
        <v>1209</v>
      </c>
      <c r="C1507" s="1" t="s">
        <v>1210</v>
      </c>
      <c r="D1507" s="2">
        <v>46177</v>
      </c>
      <c r="E1507">
        <v>0</v>
      </c>
      <c r="F1507" s="1" t="s">
        <v>2798</v>
      </c>
      <c r="G1507" s="2">
        <v>46177.777451851849</v>
      </c>
      <c r="H1507" s="1" t="s">
        <v>1211</v>
      </c>
      <c r="I1507" s="2">
        <v>46177.777451886577</v>
      </c>
      <c r="J1507" s="1" t="s">
        <v>1211</v>
      </c>
    </row>
    <row r="1508" spans="1:10" x14ac:dyDescent="0.35">
      <c r="A1508" s="1" t="s">
        <v>2104</v>
      </c>
      <c r="B1508" s="1" t="s">
        <v>1209</v>
      </c>
      <c r="C1508" s="1" t="s">
        <v>1210</v>
      </c>
      <c r="D1508" s="2">
        <v>46177</v>
      </c>
      <c r="E1508">
        <v>0</v>
      </c>
      <c r="F1508" s="1" t="s">
        <v>2799</v>
      </c>
      <c r="G1508" s="2">
        <v>46177.777452002316</v>
      </c>
      <c r="H1508" s="1" t="s">
        <v>1211</v>
      </c>
      <c r="I1508" s="2">
        <v>46177.777452083334</v>
      </c>
      <c r="J1508" s="1" t="s">
        <v>1211</v>
      </c>
    </row>
    <row r="1509" spans="1:10" x14ac:dyDescent="0.35">
      <c r="A1509" s="1" t="s">
        <v>2105</v>
      </c>
      <c r="B1509" s="1" t="s">
        <v>1209</v>
      </c>
      <c r="C1509" s="1" t="s">
        <v>1210</v>
      </c>
      <c r="D1509" s="2">
        <v>46177</v>
      </c>
      <c r="E1509">
        <v>0</v>
      </c>
      <c r="F1509" s="1" t="s">
        <v>2800</v>
      </c>
      <c r="G1509" s="2">
        <v>46177.777452164351</v>
      </c>
      <c r="H1509" s="1" t="s">
        <v>1211</v>
      </c>
      <c r="I1509" s="2">
        <v>46177.77745228009</v>
      </c>
      <c r="J1509" s="1" t="s">
        <v>1211</v>
      </c>
    </row>
    <row r="1510" spans="1:10" x14ac:dyDescent="0.35">
      <c r="A1510" s="1" t="s">
        <v>2106</v>
      </c>
      <c r="B1510" s="1" t="s">
        <v>1209</v>
      </c>
      <c r="C1510" s="1" t="s">
        <v>1210</v>
      </c>
      <c r="D1510" s="2">
        <v>46177</v>
      </c>
      <c r="E1510">
        <v>0</v>
      </c>
      <c r="F1510" s="1" t="s">
        <v>2801</v>
      </c>
      <c r="G1510" s="2">
        <v>46177.777452314818</v>
      </c>
      <c r="H1510" s="1" t="s">
        <v>1211</v>
      </c>
      <c r="I1510" s="2">
        <v>46177.777452430557</v>
      </c>
      <c r="J1510" s="1" t="s">
        <v>1211</v>
      </c>
    </row>
    <row r="1511" spans="1:10" x14ac:dyDescent="0.35">
      <c r="A1511" s="1" t="s">
        <v>2107</v>
      </c>
      <c r="B1511" s="1" t="s">
        <v>1209</v>
      </c>
      <c r="C1511" s="1" t="s">
        <v>1210</v>
      </c>
      <c r="D1511" s="2">
        <v>46177</v>
      </c>
      <c r="E1511">
        <v>0</v>
      </c>
      <c r="F1511" s="1" t="s">
        <v>2802</v>
      </c>
      <c r="G1511" s="2">
        <v>46177.777452430557</v>
      </c>
      <c r="H1511" s="1" t="s">
        <v>1211</v>
      </c>
      <c r="I1511" s="2">
        <v>46177.777452627313</v>
      </c>
      <c r="J1511" s="1" t="s">
        <v>1211</v>
      </c>
    </row>
    <row r="1512" spans="1:10" x14ac:dyDescent="0.35">
      <c r="A1512" s="1" t="s">
        <v>2108</v>
      </c>
      <c r="B1512" s="1" t="s">
        <v>1209</v>
      </c>
      <c r="C1512" s="1" t="s">
        <v>1210</v>
      </c>
      <c r="D1512" s="2">
        <v>46177</v>
      </c>
      <c r="E1512">
        <v>0</v>
      </c>
      <c r="F1512" s="1" t="s">
        <v>2803</v>
      </c>
      <c r="G1512" s="2">
        <v>46177.777452581016</v>
      </c>
      <c r="H1512" s="1" t="s">
        <v>1211</v>
      </c>
      <c r="I1512" s="2">
        <v>46177.77745277778</v>
      </c>
      <c r="J1512" s="1" t="s">
        <v>1211</v>
      </c>
    </row>
    <row r="1513" spans="1:10" x14ac:dyDescent="0.35">
      <c r="A1513" s="1" t="s">
        <v>2109</v>
      </c>
      <c r="B1513" s="1" t="s">
        <v>1209</v>
      </c>
      <c r="C1513" s="1" t="s">
        <v>1210</v>
      </c>
      <c r="D1513" s="2">
        <v>46177</v>
      </c>
      <c r="E1513">
        <v>0</v>
      </c>
      <c r="F1513" s="1" t="s">
        <v>2804</v>
      </c>
      <c r="G1513" s="2">
        <v>46177.777452743052</v>
      </c>
      <c r="H1513" s="1" t="s">
        <v>1211</v>
      </c>
      <c r="I1513" s="2">
        <v>46177.77745277778</v>
      </c>
      <c r="J1513" s="1" t="s">
        <v>1211</v>
      </c>
    </row>
    <row r="1514" spans="1:10" x14ac:dyDescent="0.35">
      <c r="A1514" s="1" t="s">
        <v>2110</v>
      </c>
      <c r="B1514" s="1" t="s">
        <v>1209</v>
      </c>
      <c r="C1514" s="1" t="s">
        <v>1210</v>
      </c>
      <c r="D1514" s="2">
        <v>46177</v>
      </c>
      <c r="E1514">
        <v>0</v>
      </c>
      <c r="F1514" s="1" t="s">
        <v>2805</v>
      </c>
      <c r="G1514" s="2">
        <v>46177.777452893519</v>
      </c>
      <c r="H1514" s="1" t="s">
        <v>1211</v>
      </c>
      <c r="I1514" s="2">
        <v>46177.777452974537</v>
      </c>
      <c r="J1514" s="1" t="s">
        <v>1211</v>
      </c>
    </row>
    <row r="1515" spans="1:10" x14ac:dyDescent="0.35">
      <c r="A1515" s="1" t="s">
        <v>2111</v>
      </c>
      <c r="B1515" s="1" t="s">
        <v>1209</v>
      </c>
      <c r="C1515" s="1" t="s">
        <v>1210</v>
      </c>
      <c r="D1515" s="2">
        <v>46177</v>
      </c>
      <c r="E1515">
        <v>0</v>
      </c>
      <c r="F1515" s="1" t="s">
        <v>2806</v>
      </c>
      <c r="G1515" s="2">
        <v>46177.777453043978</v>
      </c>
      <c r="H1515" s="1" t="s">
        <v>1211</v>
      </c>
      <c r="I1515" s="2">
        <v>46177.777453159724</v>
      </c>
      <c r="J1515" s="1" t="s">
        <v>1211</v>
      </c>
    </row>
    <row r="1516" spans="1:10" x14ac:dyDescent="0.35">
      <c r="A1516" s="1" t="s">
        <v>2112</v>
      </c>
      <c r="B1516" s="1" t="s">
        <v>1209</v>
      </c>
      <c r="C1516" s="1" t="s">
        <v>1210</v>
      </c>
      <c r="D1516" s="2">
        <v>46177</v>
      </c>
      <c r="E1516">
        <v>0</v>
      </c>
      <c r="F1516" s="1" t="s">
        <v>2807</v>
      </c>
      <c r="G1516" s="2">
        <v>46177.777453206021</v>
      </c>
      <c r="H1516" s="1" t="s">
        <v>1211</v>
      </c>
      <c r="I1516" s="2">
        <v>46177.77745332176</v>
      </c>
      <c r="J1516" s="1" t="s">
        <v>1211</v>
      </c>
    </row>
    <row r="1517" spans="1:10" x14ac:dyDescent="0.35">
      <c r="A1517" s="1" t="s">
        <v>2113</v>
      </c>
      <c r="B1517" s="1" t="s">
        <v>1209</v>
      </c>
      <c r="C1517" s="1" t="s">
        <v>1210</v>
      </c>
      <c r="D1517" s="2">
        <v>46177</v>
      </c>
      <c r="E1517">
        <v>0</v>
      </c>
      <c r="F1517" s="1" t="s">
        <v>2808</v>
      </c>
      <c r="G1517" s="2">
        <v>46177.777453356481</v>
      </c>
      <c r="H1517" s="1" t="s">
        <v>1211</v>
      </c>
      <c r="I1517" s="2">
        <v>46177.777453506947</v>
      </c>
      <c r="J1517" s="1" t="s">
        <v>1211</v>
      </c>
    </row>
    <row r="1518" spans="1:10" x14ac:dyDescent="0.35">
      <c r="A1518" s="1" t="s">
        <v>2114</v>
      </c>
      <c r="B1518" s="1" t="s">
        <v>1209</v>
      </c>
      <c r="C1518" s="1" t="s">
        <v>1210</v>
      </c>
      <c r="D1518" s="2">
        <v>46177</v>
      </c>
      <c r="E1518">
        <v>0</v>
      </c>
      <c r="F1518" s="1" t="s">
        <v>2809</v>
      </c>
      <c r="G1518" s="2">
        <v>46177.777453506947</v>
      </c>
      <c r="H1518" s="1" t="s">
        <v>1211</v>
      </c>
      <c r="I1518" s="2">
        <v>46177.777453703704</v>
      </c>
      <c r="J1518" s="1" t="s">
        <v>1211</v>
      </c>
    </row>
    <row r="1519" spans="1:10" x14ac:dyDescent="0.35">
      <c r="A1519" s="1" t="s">
        <v>2115</v>
      </c>
      <c r="B1519" s="1" t="s">
        <v>1209</v>
      </c>
      <c r="C1519" s="1" t="s">
        <v>1210</v>
      </c>
      <c r="D1519" s="2">
        <v>46177</v>
      </c>
      <c r="E1519">
        <v>0</v>
      </c>
      <c r="F1519" s="1" t="s">
        <v>2810</v>
      </c>
      <c r="G1519" s="2">
        <v>46177.777453668983</v>
      </c>
      <c r="H1519" s="1" t="s">
        <v>1211</v>
      </c>
      <c r="I1519" s="2">
        <v>46177.777453703704</v>
      </c>
      <c r="J1519" s="1" t="s">
        <v>1211</v>
      </c>
    </row>
    <row r="1520" spans="1:10" x14ac:dyDescent="0.35">
      <c r="A1520" s="1" t="s">
        <v>2116</v>
      </c>
      <c r="B1520" s="1" t="s">
        <v>1209</v>
      </c>
      <c r="C1520" s="1" t="s">
        <v>1210</v>
      </c>
      <c r="D1520" s="2">
        <v>46177</v>
      </c>
      <c r="E1520">
        <v>0</v>
      </c>
      <c r="F1520" s="1" t="s">
        <v>2811</v>
      </c>
      <c r="G1520" s="2">
        <v>46177.777453819443</v>
      </c>
      <c r="H1520" s="1" t="s">
        <v>1211</v>
      </c>
      <c r="I1520" s="2">
        <v>46177.77745390046</v>
      </c>
      <c r="J1520" s="1" t="s">
        <v>1211</v>
      </c>
    </row>
    <row r="1521" spans="1:10" x14ac:dyDescent="0.35">
      <c r="A1521" s="1" t="s">
        <v>2117</v>
      </c>
      <c r="B1521" s="1" t="s">
        <v>1209</v>
      </c>
      <c r="C1521" s="1" t="s">
        <v>1210</v>
      </c>
      <c r="D1521" s="2">
        <v>46177</v>
      </c>
      <c r="E1521">
        <v>0</v>
      </c>
      <c r="F1521" s="1" t="s">
        <v>2812</v>
      </c>
      <c r="G1521" s="2">
        <v>46177.777453935189</v>
      </c>
      <c r="H1521" s="1" t="s">
        <v>1211</v>
      </c>
      <c r="I1521" s="2">
        <v>46177.777454131945</v>
      </c>
      <c r="J1521" s="1" t="s">
        <v>1211</v>
      </c>
    </row>
    <row r="1522" spans="1:10" x14ac:dyDescent="0.35">
      <c r="A1522" s="1" t="s">
        <v>2118</v>
      </c>
      <c r="B1522" s="1" t="s">
        <v>1209</v>
      </c>
      <c r="C1522" s="1" t="s">
        <v>1210</v>
      </c>
      <c r="D1522" s="2">
        <v>46177</v>
      </c>
      <c r="E1522">
        <v>0</v>
      </c>
      <c r="F1522" s="1" t="s">
        <v>2813</v>
      </c>
      <c r="G1522" s="2">
        <v>46177.777454085648</v>
      </c>
      <c r="H1522" s="1" t="s">
        <v>1211</v>
      </c>
      <c r="I1522" s="2">
        <v>46177.777454131945</v>
      </c>
      <c r="J1522" s="1" t="s">
        <v>1211</v>
      </c>
    </row>
    <row r="1523" spans="1:10" x14ac:dyDescent="0.35">
      <c r="A1523" s="1" t="s">
        <v>2119</v>
      </c>
      <c r="B1523" s="1" t="s">
        <v>1209</v>
      </c>
      <c r="C1523" s="1" t="s">
        <v>1210</v>
      </c>
      <c r="D1523" s="2">
        <v>46177</v>
      </c>
      <c r="E1523">
        <v>0</v>
      </c>
      <c r="F1523" s="1" t="s">
        <v>2814</v>
      </c>
      <c r="G1523" s="2">
        <v>46177.777454247684</v>
      </c>
      <c r="H1523" s="1" t="s">
        <v>1211</v>
      </c>
      <c r="I1523" s="2">
        <v>46177.777454317133</v>
      </c>
      <c r="J1523" s="1" t="s">
        <v>1211</v>
      </c>
    </row>
    <row r="1524" spans="1:10" x14ac:dyDescent="0.35">
      <c r="A1524" s="1" t="s">
        <v>2120</v>
      </c>
      <c r="B1524" s="1" t="s">
        <v>1209</v>
      </c>
      <c r="C1524" s="1" t="s">
        <v>1210</v>
      </c>
      <c r="D1524" s="2">
        <v>46177</v>
      </c>
      <c r="E1524">
        <v>0</v>
      </c>
      <c r="F1524" s="1" t="s">
        <v>2815</v>
      </c>
      <c r="G1524" s="2">
        <v>46177.777454432871</v>
      </c>
      <c r="H1524" s="1" t="s">
        <v>1211</v>
      </c>
      <c r="I1524" s="2">
        <v>46177.777454479168</v>
      </c>
      <c r="J1524" s="1" t="s">
        <v>1211</v>
      </c>
    </row>
    <row r="1525" spans="1:10" x14ac:dyDescent="0.35">
      <c r="A1525" s="1" t="s">
        <v>2121</v>
      </c>
      <c r="B1525" s="1" t="s">
        <v>1209</v>
      </c>
      <c r="C1525" s="1" t="s">
        <v>1210</v>
      </c>
      <c r="D1525" s="2">
        <v>46177</v>
      </c>
      <c r="E1525">
        <v>0</v>
      </c>
      <c r="F1525" s="1" t="s">
        <v>2816</v>
      </c>
      <c r="G1525" s="2">
        <v>46177.77745454861</v>
      </c>
      <c r="H1525" s="1" t="s">
        <v>1211</v>
      </c>
      <c r="I1525" s="2">
        <v>46177.777454664349</v>
      </c>
      <c r="J1525" s="1" t="s">
        <v>1211</v>
      </c>
    </row>
    <row r="1526" spans="1:10" x14ac:dyDescent="0.35">
      <c r="A1526" s="1" t="s">
        <v>2122</v>
      </c>
      <c r="B1526" s="1" t="s">
        <v>1209</v>
      </c>
      <c r="C1526" s="1" t="s">
        <v>1210</v>
      </c>
      <c r="D1526" s="2">
        <v>46177</v>
      </c>
      <c r="E1526">
        <v>0</v>
      </c>
      <c r="F1526" s="1" t="s">
        <v>2817</v>
      </c>
      <c r="G1526" s="2">
        <v>46177.777454710646</v>
      </c>
      <c r="H1526" s="1" t="s">
        <v>1211</v>
      </c>
      <c r="I1526" s="2">
        <v>46177.777454826391</v>
      </c>
      <c r="J1526" s="1" t="s">
        <v>1211</v>
      </c>
    </row>
    <row r="1527" spans="1:10" x14ac:dyDescent="0.35">
      <c r="A1527" s="1" t="s">
        <v>2123</v>
      </c>
      <c r="B1527" s="1" t="s">
        <v>1209</v>
      </c>
      <c r="C1527" s="1" t="s">
        <v>1210</v>
      </c>
      <c r="D1527" s="2">
        <v>46177</v>
      </c>
      <c r="E1527">
        <v>0</v>
      </c>
      <c r="F1527" s="1" t="s">
        <v>2818</v>
      </c>
      <c r="G1527" s="2">
        <v>46177.777454861112</v>
      </c>
      <c r="H1527" s="1" t="s">
        <v>1211</v>
      </c>
      <c r="I1527" s="2">
        <v>46177.777455011572</v>
      </c>
      <c r="J1527" s="1" t="s">
        <v>1211</v>
      </c>
    </row>
    <row r="1528" spans="1:10" x14ac:dyDescent="0.35">
      <c r="A1528" s="1" t="s">
        <v>2124</v>
      </c>
      <c r="B1528" s="1" t="s">
        <v>1209</v>
      </c>
      <c r="C1528" s="1" t="s">
        <v>1210</v>
      </c>
      <c r="D1528" s="2">
        <v>46177</v>
      </c>
      <c r="E1528">
        <v>0</v>
      </c>
      <c r="F1528" s="1" t="s">
        <v>2819</v>
      </c>
      <c r="G1528" s="2">
        <v>46177.777455011572</v>
      </c>
      <c r="H1528" s="1" t="s">
        <v>1211</v>
      </c>
      <c r="I1528" s="2">
        <v>46177.777455208336</v>
      </c>
      <c r="J1528" s="1" t="s">
        <v>1211</v>
      </c>
    </row>
    <row r="1529" spans="1:10" x14ac:dyDescent="0.35">
      <c r="A1529" s="1" t="s">
        <v>2125</v>
      </c>
      <c r="B1529" s="1" t="s">
        <v>1209</v>
      </c>
      <c r="C1529" s="1" t="s">
        <v>1210</v>
      </c>
      <c r="D1529" s="2">
        <v>46177</v>
      </c>
      <c r="E1529">
        <v>0</v>
      </c>
      <c r="F1529" s="1" t="s">
        <v>2820</v>
      </c>
      <c r="G1529" s="2">
        <v>46177.777455173615</v>
      </c>
      <c r="H1529" s="1" t="s">
        <v>1211</v>
      </c>
      <c r="I1529" s="2">
        <v>46177.777455208336</v>
      </c>
      <c r="J1529" s="1" t="s">
        <v>1211</v>
      </c>
    </row>
    <row r="1530" spans="1:10" x14ac:dyDescent="0.35">
      <c r="A1530" s="1" t="s">
        <v>2126</v>
      </c>
      <c r="B1530" s="1" t="s">
        <v>1209</v>
      </c>
      <c r="C1530" s="1" t="s">
        <v>1210</v>
      </c>
      <c r="D1530" s="2">
        <v>46177</v>
      </c>
      <c r="E1530">
        <v>0</v>
      </c>
      <c r="F1530" s="1" t="s">
        <v>2821</v>
      </c>
      <c r="G1530" s="2">
        <v>46177.777455324074</v>
      </c>
      <c r="H1530" s="1" t="s">
        <v>1211</v>
      </c>
      <c r="I1530" s="2">
        <v>46177.777455405092</v>
      </c>
      <c r="J1530" s="1" t="s">
        <v>1211</v>
      </c>
    </row>
    <row r="1531" spans="1:10" x14ac:dyDescent="0.35">
      <c r="A1531" s="1" t="s">
        <v>2127</v>
      </c>
      <c r="B1531" s="1" t="s">
        <v>1209</v>
      </c>
      <c r="C1531" s="1" t="s">
        <v>1210</v>
      </c>
      <c r="D1531" s="2">
        <v>46177</v>
      </c>
      <c r="E1531">
        <v>0</v>
      </c>
      <c r="F1531" s="1" t="s">
        <v>2822</v>
      </c>
      <c r="G1531" s="2">
        <v>46177.777455474534</v>
      </c>
      <c r="H1531" s="1" t="s">
        <v>1211</v>
      </c>
      <c r="I1531" s="2">
        <v>46177.777455555559</v>
      </c>
      <c r="J1531" s="1" t="s">
        <v>1211</v>
      </c>
    </row>
    <row r="1532" spans="1:10" x14ac:dyDescent="0.35">
      <c r="A1532" s="1" t="s">
        <v>2128</v>
      </c>
      <c r="B1532" s="1" t="s">
        <v>1209</v>
      </c>
      <c r="C1532" s="1" t="s">
        <v>1210</v>
      </c>
      <c r="D1532" s="2">
        <v>46177</v>
      </c>
      <c r="E1532">
        <v>0</v>
      </c>
      <c r="F1532" s="1" t="s">
        <v>2823</v>
      </c>
      <c r="G1532" s="2">
        <v>46177.777455636577</v>
      </c>
      <c r="H1532" s="1" t="s">
        <v>1211</v>
      </c>
      <c r="I1532" s="2">
        <v>46177.777455752315</v>
      </c>
      <c r="J1532" s="1" t="s">
        <v>1211</v>
      </c>
    </row>
    <row r="1533" spans="1:10" x14ac:dyDescent="0.35">
      <c r="A1533" s="1" t="s">
        <v>2129</v>
      </c>
      <c r="B1533" s="1" t="s">
        <v>1209</v>
      </c>
      <c r="C1533" s="1" t="s">
        <v>1210</v>
      </c>
      <c r="D1533" s="2">
        <v>46177</v>
      </c>
      <c r="E1533">
        <v>0</v>
      </c>
      <c r="F1533" s="1" t="s">
        <v>2824</v>
      </c>
      <c r="G1533" s="2">
        <v>46177.777455752315</v>
      </c>
      <c r="H1533" s="1" t="s">
        <v>1211</v>
      </c>
      <c r="I1533" s="2">
        <v>46177.777455937503</v>
      </c>
      <c r="J1533" s="1" t="s">
        <v>1211</v>
      </c>
    </row>
    <row r="1534" spans="1:10" x14ac:dyDescent="0.35">
      <c r="A1534" s="1" t="s">
        <v>2130</v>
      </c>
      <c r="B1534" s="1" t="s">
        <v>1209</v>
      </c>
      <c r="C1534" s="1" t="s">
        <v>1210</v>
      </c>
      <c r="D1534" s="2">
        <v>46177</v>
      </c>
      <c r="E1534">
        <v>0</v>
      </c>
      <c r="F1534" s="1" t="s">
        <v>2825</v>
      </c>
      <c r="G1534" s="2">
        <v>46177.777455902775</v>
      </c>
      <c r="H1534" s="1" t="s">
        <v>1211</v>
      </c>
      <c r="I1534" s="2">
        <v>46177.777456099539</v>
      </c>
      <c r="J1534" s="1" t="s">
        <v>1211</v>
      </c>
    </row>
    <row r="1535" spans="1:10" x14ac:dyDescent="0.35">
      <c r="A1535" s="1" t="s">
        <v>2131</v>
      </c>
      <c r="B1535" s="1" t="s">
        <v>1209</v>
      </c>
      <c r="C1535" s="1" t="s">
        <v>1210</v>
      </c>
      <c r="D1535" s="2">
        <v>46177</v>
      </c>
      <c r="E1535">
        <v>0</v>
      </c>
      <c r="F1535" s="1" t="s">
        <v>2826</v>
      </c>
      <c r="G1535" s="2">
        <v>46177.777456053242</v>
      </c>
      <c r="H1535" s="1" t="s">
        <v>1211</v>
      </c>
      <c r="I1535" s="2">
        <v>46177.777456099539</v>
      </c>
      <c r="J1535" s="1" t="s">
        <v>1211</v>
      </c>
    </row>
    <row r="1536" spans="1:10" x14ac:dyDescent="0.35">
      <c r="A1536" s="1" t="s">
        <v>2132</v>
      </c>
      <c r="B1536" s="1" t="s">
        <v>1209</v>
      </c>
      <c r="C1536" s="1" t="s">
        <v>1210</v>
      </c>
      <c r="D1536" s="2">
        <v>46177</v>
      </c>
      <c r="E1536">
        <v>0</v>
      </c>
      <c r="F1536" s="1" t="s">
        <v>2827</v>
      </c>
      <c r="G1536" s="2">
        <v>46177.777456215277</v>
      </c>
      <c r="H1536" s="1" t="s">
        <v>1211</v>
      </c>
      <c r="I1536" s="2">
        <v>46177.777456284719</v>
      </c>
      <c r="J1536" s="1" t="s">
        <v>1211</v>
      </c>
    </row>
    <row r="1537" spans="1:10" x14ac:dyDescent="0.35">
      <c r="A1537" s="1" t="s">
        <v>2133</v>
      </c>
      <c r="B1537" s="1" t="s">
        <v>1209</v>
      </c>
      <c r="C1537" s="1" t="s">
        <v>1210</v>
      </c>
      <c r="D1537" s="2">
        <v>46177</v>
      </c>
      <c r="E1537">
        <v>0</v>
      </c>
      <c r="F1537" s="1" t="s">
        <v>2828</v>
      </c>
      <c r="G1537" s="2">
        <v>46177.777456400465</v>
      </c>
      <c r="H1537" s="1" t="s">
        <v>1211</v>
      </c>
      <c r="I1537" s="2">
        <v>46177.777456481483</v>
      </c>
      <c r="J1537" s="1" t="s">
        <v>1211</v>
      </c>
    </row>
    <row r="1538" spans="1:10" x14ac:dyDescent="0.35">
      <c r="A1538" s="1" t="s">
        <v>2134</v>
      </c>
      <c r="B1538" s="1" t="s">
        <v>1209</v>
      </c>
      <c r="C1538" s="1" t="s">
        <v>1210</v>
      </c>
      <c r="D1538" s="2">
        <v>46177</v>
      </c>
      <c r="E1538">
        <v>0</v>
      </c>
      <c r="F1538" s="1" t="s">
        <v>2829</v>
      </c>
      <c r="G1538" s="2">
        <v>46177.7774565625</v>
      </c>
      <c r="H1538" s="1" t="s">
        <v>1211</v>
      </c>
      <c r="I1538" s="2">
        <v>46177.777456631942</v>
      </c>
      <c r="J1538" s="1" t="s">
        <v>1211</v>
      </c>
    </row>
    <row r="1539" spans="1:10" x14ac:dyDescent="0.35">
      <c r="A1539" s="1" t="s">
        <v>2135</v>
      </c>
      <c r="B1539" s="1" t="s">
        <v>1209</v>
      </c>
      <c r="C1539" s="1" t="s">
        <v>1210</v>
      </c>
      <c r="D1539" s="2">
        <v>46177</v>
      </c>
      <c r="E1539">
        <v>0</v>
      </c>
      <c r="F1539" s="1" t="s">
        <v>2830</v>
      </c>
      <c r="G1539" s="2">
        <v>46177.77745671296</v>
      </c>
      <c r="H1539" s="1" t="s">
        <v>1211</v>
      </c>
      <c r="I1539" s="2">
        <v>46177.777456909724</v>
      </c>
      <c r="J1539" s="1" t="s">
        <v>1211</v>
      </c>
    </row>
    <row r="1540" spans="1:10" x14ac:dyDescent="0.35">
      <c r="A1540" s="1" t="s">
        <v>2136</v>
      </c>
      <c r="B1540" s="1" t="s">
        <v>1209</v>
      </c>
      <c r="C1540" s="1" t="s">
        <v>1210</v>
      </c>
      <c r="D1540" s="2">
        <v>46177</v>
      </c>
      <c r="E1540">
        <v>0</v>
      </c>
      <c r="F1540" s="1" t="s">
        <v>2831</v>
      </c>
      <c r="G1540" s="2">
        <v>46177.777456828706</v>
      </c>
      <c r="H1540" s="1" t="s">
        <v>1211</v>
      </c>
      <c r="I1540" s="2">
        <v>46177.777456909724</v>
      </c>
      <c r="J1540" s="1" t="s">
        <v>1211</v>
      </c>
    </row>
    <row r="1541" spans="1:10" x14ac:dyDescent="0.35">
      <c r="A1541" s="1" t="s">
        <v>2137</v>
      </c>
      <c r="B1541" s="1" t="s">
        <v>1209</v>
      </c>
      <c r="C1541" s="1" t="s">
        <v>1210</v>
      </c>
      <c r="D1541" s="2">
        <v>46177</v>
      </c>
      <c r="E1541">
        <v>0</v>
      </c>
      <c r="F1541" s="1" t="s">
        <v>2832</v>
      </c>
      <c r="G1541" s="2">
        <v>46177.777456979165</v>
      </c>
      <c r="H1541" s="1" t="s">
        <v>1211</v>
      </c>
      <c r="I1541" s="2">
        <v>46177.777457094904</v>
      </c>
      <c r="J1541" s="1" t="s">
        <v>1211</v>
      </c>
    </row>
    <row r="1542" spans="1:10" x14ac:dyDescent="0.35">
      <c r="A1542" s="1" t="s">
        <v>2138</v>
      </c>
      <c r="B1542" s="1" t="s">
        <v>1209</v>
      </c>
      <c r="C1542" s="1" t="s">
        <v>1210</v>
      </c>
      <c r="D1542" s="2">
        <v>46177</v>
      </c>
      <c r="E1542">
        <v>0</v>
      </c>
      <c r="F1542" s="1" t="s">
        <v>2833</v>
      </c>
      <c r="G1542" s="2">
        <v>46177.777457256947</v>
      </c>
      <c r="H1542" s="1" t="s">
        <v>1211</v>
      </c>
      <c r="I1542" s="2">
        <v>46177.777457291668</v>
      </c>
      <c r="J1542" s="1" t="s">
        <v>1211</v>
      </c>
    </row>
    <row r="1543" spans="1:10" x14ac:dyDescent="0.35">
      <c r="A1543" s="1" t="s">
        <v>2139</v>
      </c>
      <c r="B1543" s="1" t="s">
        <v>1209</v>
      </c>
      <c r="C1543" s="1" t="s">
        <v>1210</v>
      </c>
      <c r="D1543" s="2">
        <v>46177</v>
      </c>
      <c r="E1543">
        <v>0</v>
      </c>
      <c r="F1543" s="1" t="s">
        <v>2834</v>
      </c>
      <c r="G1543" s="2">
        <v>46177.777457407406</v>
      </c>
      <c r="H1543" s="1" t="s">
        <v>1211</v>
      </c>
      <c r="I1543" s="2">
        <v>46177.777457442127</v>
      </c>
      <c r="J1543" s="1" t="s">
        <v>1211</v>
      </c>
    </row>
    <row r="1544" spans="1:10" x14ac:dyDescent="0.35">
      <c r="A1544" s="1" t="s">
        <v>2140</v>
      </c>
      <c r="B1544" s="1" t="s">
        <v>1209</v>
      </c>
      <c r="C1544" s="1" t="s">
        <v>1210</v>
      </c>
      <c r="D1544" s="2">
        <v>46177</v>
      </c>
      <c r="E1544">
        <v>0</v>
      </c>
      <c r="F1544" s="1" t="s">
        <v>2835</v>
      </c>
      <c r="G1544" s="2">
        <v>46177.777457557873</v>
      </c>
      <c r="H1544" s="1" t="s">
        <v>1211</v>
      </c>
      <c r="I1544" s="2">
        <v>46177.777457638891</v>
      </c>
      <c r="J1544" s="1" t="s">
        <v>1211</v>
      </c>
    </row>
    <row r="1545" spans="1:10" x14ac:dyDescent="0.35">
      <c r="A1545" s="1" t="s">
        <v>2141</v>
      </c>
      <c r="B1545" s="1" t="s">
        <v>1209</v>
      </c>
      <c r="C1545" s="1" t="s">
        <v>1210</v>
      </c>
      <c r="D1545" s="2">
        <v>46177</v>
      </c>
      <c r="E1545">
        <v>0</v>
      </c>
      <c r="F1545" s="1" t="s">
        <v>2836</v>
      </c>
      <c r="G1545" s="2">
        <v>46177.777457673612</v>
      </c>
      <c r="H1545" s="1" t="s">
        <v>1211</v>
      </c>
      <c r="I1545" s="2">
        <v>46177.777457638891</v>
      </c>
      <c r="J1545" s="1" t="s">
        <v>1211</v>
      </c>
    </row>
    <row r="1546" spans="1:10" x14ac:dyDescent="0.35">
      <c r="A1546" s="1" t="s">
        <v>2142</v>
      </c>
      <c r="B1546" s="1" t="s">
        <v>1209</v>
      </c>
      <c r="C1546" s="1" t="s">
        <v>1210</v>
      </c>
      <c r="D1546" s="2">
        <v>46177</v>
      </c>
      <c r="E1546">
        <v>0</v>
      </c>
      <c r="F1546" s="1" t="s">
        <v>2837</v>
      </c>
      <c r="G1546" s="2">
        <v>46177.777457870368</v>
      </c>
      <c r="H1546" s="1" t="s">
        <v>1211</v>
      </c>
      <c r="I1546" s="2">
        <v>46177.777457835648</v>
      </c>
      <c r="J1546" s="1" t="s">
        <v>1211</v>
      </c>
    </row>
    <row r="1547" spans="1:10" x14ac:dyDescent="0.35">
      <c r="A1547" s="1" t="s">
        <v>2143</v>
      </c>
      <c r="B1547" s="1" t="s">
        <v>1209</v>
      </c>
      <c r="C1547" s="1" t="s">
        <v>1210</v>
      </c>
      <c r="D1547" s="2">
        <v>46177</v>
      </c>
      <c r="E1547">
        <v>0</v>
      </c>
      <c r="F1547" s="1" t="s">
        <v>2838</v>
      </c>
      <c r="G1547" s="2">
        <v>46177.777457986114</v>
      </c>
      <c r="H1547" s="1" t="s">
        <v>1211</v>
      </c>
      <c r="I1547" s="2">
        <v>46177.777457986114</v>
      </c>
      <c r="J1547" s="1" t="s">
        <v>1211</v>
      </c>
    </row>
    <row r="1548" spans="1:10" x14ac:dyDescent="0.35">
      <c r="A1548" s="1" t="s">
        <v>2144</v>
      </c>
      <c r="B1548" s="1" t="s">
        <v>1209</v>
      </c>
      <c r="C1548" s="1" t="s">
        <v>1210</v>
      </c>
      <c r="D1548" s="2">
        <v>46177</v>
      </c>
      <c r="E1548">
        <v>0</v>
      </c>
      <c r="F1548" s="1" t="s">
        <v>2839</v>
      </c>
      <c r="G1548" s="2">
        <v>46177.777458136574</v>
      </c>
      <c r="H1548" s="1" t="s">
        <v>1211</v>
      </c>
      <c r="I1548" s="2">
        <v>46177.777458182871</v>
      </c>
      <c r="J1548" s="1" t="s">
        <v>1211</v>
      </c>
    </row>
    <row r="1549" spans="1:10" x14ac:dyDescent="0.35">
      <c r="A1549" s="1" t="s">
        <v>2145</v>
      </c>
      <c r="B1549" s="1" t="s">
        <v>1209</v>
      </c>
      <c r="C1549" s="1" t="s">
        <v>1210</v>
      </c>
      <c r="D1549" s="2">
        <v>46177</v>
      </c>
      <c r="E1549">
        <v>0</v>
      </c>
      <c r="F1549" s="1" t="s">
        <v>2840</v>
      </c>
      <c r="G1549" s="2">
        <v>46177.777458298609</v>
      </c>
      <c r="H1549" s="1" t="s">
        <v>1211</v>
      </c>
      <c r="I1549" s="2">
        <v>46177.777458368058</v>
      </c>
      <c r="J1549" s="1" t="s">
        <v>1211</v>
      </c>
    </row>
    <row r="1550" spans="1:10" x14ac:dyDescent="0.35">
      <c r="A1550" s="1" t="s">
        <v>2146</v>
      </c>
      <c r="B1550" s="1" t="s">
        <v>1209</v>
      </c>
      <c r="C1550" s="1" t="s">
        <v>1210</v>
      </c>
      <c r="D1550" s="2">
        <v>46177</v>
      </c>
      <c r="E1550">
        <v>0</v>
      </c>
      <c r="F1550" s="1" t="s">
        <v>2841</v>
      </c>
      <c r="G1550" s="2">
        <v>46177.777458449076</v>
      </c>
      <c r="H1550" s="1" t="s">
        <v>1211</v>
      </c>
      <c r="I1550" s="2">
        <v>46177.777458530094</v>
      </c>
      <c r="J1550" s="1" t="s">
        <v>1211</v>
      </c>
    </row>
    <row r="1551" spans="1:10" x14ac:dyDescent="0.35">
      <c r="A1551" s="1" t="s">
        <v>2147</v>
      </c>
      <c r="B1551" s="1" t="s">
        <v>1209</v>
      </c>
      <c r="C1551" s="1" t="s">
        <v>1210</v>
      </c>
      <c r="D1551" s="2">
        <v>46177</v>
      </c>
      <c r="E1551">
        <v>0</v>
      </c>
      <c r="F1551" s="1" t="s">
        <v>2842</v>
      </c>
      <c r="G1551" s="2">
        <v>46177.777458599536</v>
      </c>
      <c r="H1551" s="1" t="s">
        <v>1211</v>
      </c>
      <c r="I1551" s="2">
        <v>46177.777458530094</v>
      </c>
      <c r="J1551" s="1" t="s">
        <v>1211</v>
      </c>
    </row>
    <row r="1552" spans="1:10" x14ac:dyDescent="0.35">
      <c r="A1552" s="1" t="s">
        <v>2148</v>
      </c>
      <c r="B1552" s="1" t="s">
        <v>1209</v>
      </c>
      <c r="C1552" s="1" t="s">
        <v>1210</v>
      </c>
      <c r="D1552" s="2">
        <v>46177</v>
      </c>
      <c r="E1552">
        <v>0</v>
      </c>
      <c r="F1552" s="1" t="s">
        <v>2843</v>
      </c>
      <c r="G1552" s="2">
        <v>46177.777458761571</v>
      </c>
      <c r="H1552" s="1" t="s">
        <v>1211</v>
      </c>
      <c r="I1552" s="2">
        <v>46177.777458715274</v>
      </c>
      <c r="J1552" s="1" t="s">
        <v>1211</v>
      </c>
    </row>
    <row r="1553" spans="1:10" x14ac:dyDescent="0.35">
      <c r="A1553" s="1" t="s">
        <v>2149</v>
      </c>
      <c r="B1553" s="1" t="s">
        <v>1209</v>
      </c>
      <c r="C1553" s="1" t="s">
        <v>1210</v>
      </c>
      <c r="D1553" s="2">
        <v>46177</v>
      </c>
      <c r="E1553">
        <v>0</v>
      </c>
      <c r="F1553" s="1" t="s">
        <v>2844</v>
      </c>
      <c r="G1553" s="2">
        <v>46177.777458912038</v>
      </c>
      <c r="H1553" s="1" t="s">
        <v>1211</v>
      </c>
      <c r="I1553" s="2">
        <v>46177.777458912038</v>
      </c>
      <c r="J1553" s="1" t="s">
        <v>1211</v>
      </c>
    </row>
    <row r="1554" spans="1:10" x14ac:dyDescent="0.35">
      <c r="A1554" s="1" t="s">
        <v>2150</v>
      </c>
      <c r="B1554" s="1" t="s">
        <v>1209</v>
      </c>
      <c r="C1554" s="1" t="s">
        <v>1210</v>
      </c>
      <c r="D1554" s="2">
        <v>46177</v>
      </c>
      <c r="E1554">
        <v>0</v>
      </c>
      <c r="F1554" s="1" t="s">
        <v>2845</v>
      </c>
      <c r="G1554" s="2">
        <v>46177.777459062498</v>
      </c>
      <c r="H1554" s="1" t="s">
        <v>1211</v>
      </c>
      <c r="I1554" s="2">
        <v>46177.777459108795</v>
      </c>
      <c r="J1554" s="1" t="s">
        <v>1211</v>
      </c>
    </row>
    <row r="1555" spans="1:10" x14ac:dyDescent="0.35">
      <c r="A1555" s="1" t="s">
        <v>2151</v>
      </c>
      <c r="B1555" s="1" t="s">
        <v>1209</v>
      </c>
      <c r="C1555" s="1" t="s">
        <v>1210</v>
      </c>
      <c r="D1555" s="2">
        <v>46177</v>
      </c>
      <c r="E1555">
        <v>0</v>
      </c>
      <c r="F1555" s="1" t="s">
        <v>2846</v>
      </c>
      <c r="G1555" s="2">
        <v>46177.777459224541</v>
      </c>
      <c r="H1555" s="1" t="s">
        <v>1211</v>
      </c>
      <c r="I1555" s="2">
        <v>46177.777459259261</v>
      </c>
      <c r="J1555" s="1" t="s">
        <v>1211</v>
      </c>
    </row>
    <row r="1556" spans="1:10" x14ac:dyDescent="0.35">
      <c r="A1556" s="1" t="s">
        <v>2152</v>
      </c>
      <c r="B1556" s="1" t="s">
        <v>1209</v>
      </c>
      <c r="C1556" s="1" t="s">
        <v>1210</v>
      </c>
      <c r="D1556" s="2">
        <v>46177</v>
      </c>
      <c r="E1556">
        <v>0</v>
      </c>
      <c r="F1556" s="1" t="s">
        <v>2847</v>
      </c>
      <c r="G1556" s="2">
        <v>46177.777459375</v>
      </c>
      <c r="H1556" s="1" t="s">
        <v>1211</v>
      </c>
      <c r="I1556" s="2">
        <v>46177.777459456018</v>
      </c>
      <c r="J1556" s="1" t="s">
        <v>1211</v>
      </c>
    </row>
    <row r="1557" spans="1:10" x14ac:dyDescent="0.35">
      <c r="A1557" s="1" t="s">
        <v>2153</v>
      </c>
      <c r="B1557" s="1" t="s">
        <v>1209</v>
      </c>
      <c r="C1557" s="1" t="s">
        <v>1210</v>
      </c>
      <c r="D1557" s="2">
        <v>46177</v>
      </c>
      <c r="E1557">
        <v>0</v>
      </c>
      <c r="F1557" s="1" t="s">
        <v>2848</v>
      </c>
      <c r="G1557" s="2">
        <v>46177.777459490739</v>
      </c>
      <c r="H1557" s="1" t="s">
        <v>1211</v>
      </c>
      <c r="I1557" s="2">
        <v>46177.777459456018</v>
      </c>
      <c r="J1557" s="1" t="s">
        <v>1211</v>
      </c>
    </row>
    <row r="1558" spans="1:10" x14ac:dyDescent="0.35">
      <c r="A1558" s="1" t="s">
        <v>2154</v>
      </c>
      <c r="B1558" s="1" t="s">
        <v>1209</v>
      </c>
      <c r="C1558" s="1" t="s">
        <v>1210</v>
      </c>
      <c r="D1558" s="2">
        <v>46177</v>
      </c>
      <c r="E1558">
        <v>0</v>
      </c>
      <c r="F1558" s="1" t="s">
        <v>2849</v>
      </c>
      <c r="G1558" s="2">
        <v>46177.777459687502</v>
      </c>
      <c r="H1558" s="1" t="s">
        <v>1211</v>
      </c>
      <c r="I1558" s="2">
        <v>46177.777459641205</v>
      </c>
      <c r="J1558" s="1" t="s">
        <v>1211</v>
      </c>
    </row>
    <row r="1559" spans="1:10" x14ac:dyDescent="0.35">
      <c r="A1559" s="1" t="s">
        <v>2155</v>
      </c>
      <c r="B1559" s="1" t="s">
        <v>1209</v>
      </c>
      <c r="C1559" s="1" t="s">
        <v>1210</v>
      </c>
      <c r="D1559" s="2">
        <v>46177</v>
      </c>
      <c r="E1559">
        <v>0</v>
      </c>
      <c r="F1559" s="1" t="s">
        <v>2850</v>
      </c>
      <c r="G1559" s="2">
        <v>46177.777459837962</v>
      </c>
      <c r="H1559" s="1" t="s">
        <v>1211</v>
      </c>
      <c r="I1559" s="2">
        <v>46177.777459803241</v>
      </c>
      <c r="J1559" s="1" t="s">
        <v>1211</v>
      </c>
    </row>
    <row r="1560" spans="1:10" x14ac:dyDescent="0.35">
      <c r="A1560" s="1" t="s">
        <v>2156</v>
      </c>
      <c r="B1560" s="1" t="s">
        <v>1209</v>
      </c>
      <c r="C1560" s="1" t="s">
        <v>1210</v>
      </c>
      <c r="D1560" s="2">
        <v>46177</v>
      </c>
      <c r="E1560">
        <v>0</v>
      </c>
      <c r="F1560" s="1" t="s">
        <v>2851</v>
      </c>
      <c r="G1560" s="2">
        <v>46177.777459953701</v>
      </c>
      <c r="H1560" s="1" t="s">
        <v>1211</v>
      </c>
      <c r="I1560" s="2">
        <v>46177.777459988429</v>
      </c>
      <c r="J1560" s="1" t="s">
        <v>1211</v>
      </c>
    </row>
    <row r="1561" spans="1:10" x14ac:dyDescent="0.35">
      <c r="A1561" s="1" t="s">
        <v>2157</v>
      </c>
      <c r="B1561" s="1" t="s">
        <v>1209</v>
      </c>
      <c r="C1561" s="1" t="s">
        <v>1210</v>
      </c>
      <c r="D1561" s="2">
        <v>46177</v>
      </c>
      <c r="E1561">
        <v>0</v>
      </c>
      <c r="F1561" s="1" t="s">
        <v>2852</v>
      </c>
      <c r="G1561" s="2">
        <v>46177.777460104167</v>
      </c>
      <c r="H1561" s="1" t="s">
        <v>1211</v>
      </c>
      <c r="I1561" s="2">
        <v>46177.777460185185</v>
      </c>
      <c r="J1561" s="1" t="s">
        <v>1211</v>
      </c>
    </row>
    <row r="1562" spans="1:10" x14ac:dyDescent="0.35">
      <c r="A1562" s="1" t="s">
        <v>2158</v>
      </c>
      <c r="B1562" s="1" t="s">
        <v>1209</v>
      </c>
      <c r="C1562" s="1" t="s">
        <v>1210</v>
      </c>
      <c r="D1562" s="2">
        <v>46177</v>
      </c>
      <c r="E1562">
        <v>0</v>
      </c>
      <c r="F1562" s="1" t="s">
        <v>2853</v>
      </c>
      <c r="G1562" s="2">
        <v>46177.777460266203</v>
      </c>
      <c r="H1562" s="1" t="s">
        <v>1211</v>
      </c>
      <c r="I1562" s="2">
        <v>46177.777460335645</v>
      </c>
      <c r="J1562" s="1" t="s">
        <v>1211</v>
      </c>
    </row>
    <row r="1563" spans="1:10" x14ac:dyDescent="0.35">
      <c r="A1563" s="1" t="s">
        <v>2159</v>
      </c>
      <c r="B1563" s="1" t="s">
        <v>1209</v>
      </c>
      <c r="C1563" s="1" t="s">
        <v>1210</v>
      </c>
      <c r="D1563" s="2">
        <v>46177</v>
      </c>
      <c r="E1563">
        <v>0</v>
      </c>
      <c r="F1563" s="1" t="s">
        <v>2854</v>
      </c>
      <c r="G1563" s="2">
        <v>46177.77746041667</v>
      </c>
      <c r="H1563" s="1" t="s">
        <v>1211</v>
      </c>
      <c r="I1563" s="2">
        <v>46177.777460335645</v>
      </c>
      <c r="J1563" s="1" t="s">
        <v>1211</v>
      </c>
    </row>
    <row r="1564" spans="1:10" x14ac:dyDescent="0.35">
      <c r="A1564" s="1" t="s">
        <v>2160</v>
      </c>
      <c r="B1564" s="1" t="s">
        <v>1209</v>
      </c>
      <c r="C1564" s="1" t="s">
        <v>1210</v>
      </c>
      <c r="D1564" s="2">
        <v>46177</v>
      </c>
      <c r="E1564">
        <v>0</v>
      </c>
      <c r="F1564" s="1" t="s">
        <v>2855</v>
      </c>
      <c r="G1564" s="2">
        <v>46177.777460567129</v>
      </c>
      <c r="H1564" s="1" t="s">
        <v>1211</v>
      </c>
      <c r="I1564" s="2">
        <v>46177.777460532408</v>
      </c>
      <c r="J1564" s="1" t="s">
        <v>1211</v>
      </c>
    </row>
    <row r="1565" spans="1:10" x14ac:dyDescent="0.35">
      <c r="A1565" s="1" t="s">
        <v>2161</v>
      </c>
      <c r="B1565" s="1" t="s">
        <v>1209</v>
      </c>
      <c r="C1565" s="1" t="s">
        <v>1210</v>
      </c>
      <c r="D1565" s="2">
        <v>46177</v>
      </c>
      <c r="E1565">
        <v>0</v>
      </c>
      <c r="F1565" s="1" t="s">
        <v>2856</v>
      </c>
      <c r="G1565" s="2">
        <v>46177.777460729165</v>
      </c>
      <c r="H1565" s="1" t="s">
        <v>1211</v>
      </c>
      <c r="I1565" s="2">
        <v>46177.777460729165</v>
      </c>
      <c r="J1565" s="1" t="s">
        <v>1211</v>
      </c>
    </row>
    <row r="1566" spans="1:10" x14ac:dyDescent="0.35">
      <c r="A1566" s="1" t="s">
        <v>2162</v>
      </c>
      <c r="B1566" s="1" t="s">
        <v>1209</v>
      </c>
      <c r="C1566" s="1" t="s">
        <v>1210</v>
      </c>
      <c r="D1566" s="2">
        <v>46177</v>
      </c>
      <c r="E1566">
        <v>0</v>
      </c>
      <c r="F1566" s="1" t="s">
        <v>2857</v>
      </c>
      <c r="G1566" s="2">
        <v>46177.777460879632</v>
      </c>
      <c r="H1566" s="1" t="s">
        <v>1211</v>
      </c>
      <c r="I1566" s="2">
        <v>46177.777460879632</v>
      </c>
      <c r="J1566" s="1" t="s">
        <v>1211</v>
      </c>
    </row>
    <row r="1567" spans="1:10" x14ac:dyDescent="0.35">
      <c r="A1567" s="1" t="s">
        <v>2163</v>
      </c>
      <c r="B1567" s="1" t="s">
        <v>1209</v>
      </c>
      <c r="C1567" s="1" t="s">
        <v>1210</v>
      </c>
      <c r="D1567" s="2">
        <v>46177</v>
      </c>
      <c r="E1567">
        <v>0</v>
      </c>
      <c r="F1567" s="1" t="s">
        <v>2858</v>
      </c>
      <c r="G1567" s="2">
        <v>46177.777461030091</v>
      </c>
      <c r="H1567" s="1" t="s">
        <v>1211</v>
      </c>
      <c r="I1567" s="2">
        <v>46177.777461076388</v>
      </c>
      <c r="J1567" s="1" t="s">
        <v>1211</v>
      </c>
    </row>
    <row r="1568" spans="1:10" x14ac:dyDescent="0.35">
      <c r="A1568" s="1" t="s">
        <v>2164</v>
      </c>
      <c r="B1568" s="1" t="s">
        <v>1209</v>
      </c>
      <c r="C1568" s="1" t="s">
        <v>1210</v>
      </c>
      <c r="D1568" s="2">
        <v>46177</v>
      </c>
      <c r="E1568">
        <v>0</v>
      </c>
      <c r="F1568" s="1" t="s">
        <v>2859</v>
      </c>
      <c r="G1568" s="2">
        <v>46177.777461192127</v>
      </c>
      <c r="H1568" s="1" t="s">
        <v>1211</v>
      </c>
      <c r="I1568" s="2">
        <v>46177.777461261576</v>
      </c>
      <c r="J1568" s="1" t="s">
        <v>1211</v>
      </c>
    </row>
    <row r="1569" spans="1:10" x14ac:dyDescent="0.35">
      <c r="A1569" s="1" t="s">
        <v>2165</v>
      </c>
      <c r="B1569" s="1" t="s">
        <v>1209</v>
      </c>
      <c r="C1569" s="1" t="s">
        <v>1210</v>
      </c>
      <c r="D1569" s="2">
        <v>46177</v>
      </c>
      <c r="E1569">
        <v>0</v>
      </c>
      <c r="F1569" s="1" t="s">
        <v>2860</v>
      </c>
      <c r="G1569" s="2">
        <v>46177.777461342594</v>
      </c>
      <c r="H1569" s="1" t="s">
        <v>1211</v>
      </c>
      <c r="I1569" s="2">
        <v>46177.777461423611</v>
      </c>
      <c r="J1569" s="1" t="s">
        <v>1211</v>
      </c>
    </row>
    <row r="1570" spans="1:10" x14ac:dyDescent="0.35">
      <c r="A1570" s="1" t="s">
        <v>2166</v>
      </c>
      <c r="B1570" s="1" t="s">
        <v>1209</v>
      </c>
      <c r="C1570" s="1" t="s">
        <v>1210</v>
      </c>
      <c r="D1570" s="2">
        <v>46177</v>
      </c>
      <c r="E1570">
        <v>0</v>
      </c>
      <c r="F1570" s="1" t="s">
        <v>2861</v>
      </c>
      <c r="G1570" s="2">
        <v>46177.777461493053</v>
      </c>
      <c r="H1570" s="1" t="s">
        <v>1211</v>
      </c>
      <c r="I1570" s="2">
        <v>46177.777461423611</v>
      </c>
      <c r="J1570" s="1" t="s">
        <v>1211</v>
      </c>
    </row>
    <row r="1571" spans="1:10" x14ac:dyDescent="0.35">
      <c r="A1571" s="1" t="s">
        <v>2167</v>
      </c>
      <c r="B1571" s="1" t="s">
        <v>1209</v>
      </c>
      <c r="C1571" s="1" t="s">
        <v>1210</v>
      </c>
      <c r="D1571" s="2">
        <v>46177</v>
      </c>
      <c r="E1571">
        <v>0</v>
      </c>
      <c r="F1571" s="1" t="s">
        <v>2862</v>
      </c>
      <c r="G1571" s="2">
        <v>46177.777461655096</v>
      </c>
      <c r="H1571" s="1" t="s">
        <v>1211</v>
      </c>
      <c r="I1571" s="2">
        <v>46177.777461608799</v>
      </c>
      <c r="J1571" s="1" t="s">
        <v>1211</v>
      </c>
    </row>
    <row r="1572" spans="1:10" x14ac:dyDescent="0.35">
      <c r="A1572" s="1" t="s">
        <v>2168</v>
      </c>
      <c r="B1572" s="1" t="s">
        <v>1209</v>
      </c>
      <c r="C1572" s="1" t="s">
        <v>1210</v>
      </c>
      <c r="D1572" s="2">
        <v>46177</v>
      </c>
      <c r="E1572">
        <v>0</v>
      </c>
      <c r="F1572" s="1" t="s">
        <v>2863</v>
      </c>
      <c r="G1572" s="2">
        <v>46177.777461805556</v>
      </c>
      <c r="H1572" s="1" t="s">
        <v>1211</v>
      </c>
      <c r="I1572" s="2">
        <v>46177.777461805556</v>
      </c>
      <c r="J1572" s="1" t="s">
        <v>1211</v>
      </c>
    </row>
    <row r="1573" spans="1:10" x14ac:dyDescent="0.35">
      <c r="A1573" s="1" t="s">
        <v>2169</v>
      </c>
      <c r="B1573" s="1" t="s">
        <v>1209</v>
      </c>
      <c r="C1573" s="1" t="s">
        <v>1210</v>
      </c>
      <c r="D1573" s="2">
        <v>46177</v>
      </c>
      <c r="E1573">
        <v>0</v>
      </c>
      <c r="F1573" s="1" t="s">
        <v>2864</v>
      </c>
      <c r="G1573" s="2">
        <v>46177.777461956015</v>
      </c>
      <c r="H1573" s="1" t="s">
        <v>1211</v>
      </c>
      <c r="I1573" s="2">
        <v>46177.777462002312</v>
      </c>
      <c r="J1573" s="1" t="s">
        <v>1211</v>
      </c>
    </row>
    <row r="1574" spans="1:10" x14ac:dyDescent="0.35">
      <c r="A1574" s="1" t="s">
        <v>2170</v>
      </c>
      <c r="B1574" s="1" t="s">
        <v>1209</v>
      </c>
      <c r="C1574" s="1" t="s">
        <v>1210</v>
      </c>
      <c r="D1574" s="2">
        <v>46177</v>
      </c>
      <c r="E1574">
        <v>0</v>
      </c>
      <c r="F1574" s="1" t="s">
        <v>2865</v>
      </c>
      <c r="G1574" s="2">
        <v>46177.777462118058</v>
      </c>
      <c r="H1574" s="1" t="s">
        <v>1211</v>
      </c>
      <c r="I1574" s="2">
        <v>46177.777462152779</v>
      </c>
      <c r="J1574" s="1" t="s">
        <v>1211</v>
      </c>
    </row>
    <row r="1575" spans="1:10" x14ac:dyDescent="0.35">
      <c r="A1575" s="1" t="s">
        <v>2171</v>
      </c>
      <c r="B1575" s="1" t="s">
        <v>1209</v>
      </c>
      <c r="C1575" s="1" t="s">
        <v>1210</v>
      </c>
      <c r="D1575" s="2">
        <v>46177</v>
      </c>
      <c r="E1575">
        <v>0</v>
      </c>
      <c r="F1575" s="1" t="s">
        <v>2866</v>
      </c>
      <c r="G1575" s="2">
        <v>46177.777462268517</v>
      </c>
      <c r="H1575" s="1" t="s">
        <v>1211</v>
      </c>
      <c r="I1575" s="2">
        <v>46177.777462349535</v>
      </c>
      <c r="J1575" s="1" t="s">
        <v>1211</v>
      </c>
    </row>
    <row r="1576" spans="1:10" x14ac:dyDescent="0.35">
      <c r="A1576" s="1" t="s">
        <v>2172</v>
      </c>
      <c r="B1576" s="1" t="s">
        <v>1209</v>
      </c>
      <c r="C1576" s="1" t="s">
        <v>1210</v>
      </c>
      <c r="D1576" s="2">
        <v>46177</v>
      </c>
      <c r="E1576">
        <v>0</v>
      </c>
      <c r="F1576" s="1" t="s">
        <v>2867</v>
      </c>
      <c r="G1576" s="2">
        <v>46177.777462418984</v>
      </c>
      <c r="H1576" s="1" t="s">
        <v>1211</v>
      </c>
      <c r="I1576" s="2">
        <v>46177.777462534723</v>
      </c>
      <c r="J1576" s="1" t="s">
        <v>1211</v>
      </c>
    </row>
    <row r="1577" spans="1:10" x14ac:dyDescent="0.35">
      <c r="A1577" s="1" t="s">
        <v>2173</v>
      </c>
      <c r="B1577" s="1" t="s">
        <v>1209</v>
      </c>
      <c r="C1577" s="1" t="s">
        <v>1210</v>
      </c>
      <c r="D1577" s="2">
        <v>46177</v>
      </c>
      <c r="E1577">
        <v>0</v>
      </c>
      <c r="F1577" s="1" t="s">
        <v>2868</v>
      </c>
      <c r="G1577" s="2">
        <v>46177.77746258102</v>
      </c>
      <c r="H1577" s="1" t="s">
        <v>1211</v>
      </c>
      <c r="I1577" s="2">
        <v>46177.777462534723</v>
      </c>
      <c r="J1577" s="1" t="s">
        <v>1211</v>
      </c>
    </row>
    <row r="1578" spans="1:10" x14ac:dyDescent="0.35">
      <c r="A1578" s="1" t="s">
        <v>2174</v>
      </c>
      <c r="B1578" s="1" t="s">
        <v>1209</v>
      </c>
      <c r="C1578" s="1" t="s">
        <v>1210</v>
      </c>
      <c r="D1578" s="2">
        <v>46177</v>
      </c>
      <c r="E1578">
        <v>0</v>
      </c>
      <c r="F1578" s="1" t="s">
        <v>2869</v>
      </c>
      <c r="G1578" s="2">
        <v>46177.777462731479</v>
      </c>
      <c r="H1578" s="1" t="s">
        <v>1211</v>
      </c>
      <c r="I1578" s="2">
        <v>46177.777462696758</v>
      </c>
      <c r="J1578" s="1" t="s">
        <v>1211</v>
      </c>
    </row>
    <row r="1579" spans="1:10" x14ac:dyDescent="0.35">
      <c r="A1579" s="1" t="s">
        <v>2175</v>
      </c>
      <c r="B1579" s="1" t="s">
        <v>1209</v>
      </c>
      <c r="C1579" s="1" t="s">
        <v>1210</v>
      </c>
      <c r="D1579" s="2">
        <v>46177</v>
      </c>
      <c r="E1579">
        <v>0</v>
      </c>
      <c r="F1579" s="1" t="s">
        <v>2870</v>
      </c>
      <c r="G1579" s="2">
        <v>46177.777462881946</v>
      </c>
      <c r="H1579" s="1" t="s">
        <v>1211</v>
      </c>
      <c r="I1579" s="2">
        <v>46177.777462881946</v>
      </c>
      <c r="J1579" s="1" t="s">
        <v>1211</v>
      </c>
    </row>
    <row r="1580" spans="1:10" x14ac:dyDescent="0.35">
      <c r="A1580" s="1" t="s">
        <v>2176</v>
      </c>
      <c r="B1580" s="1" t="s">
        <v>1209</v>
      </c>
      <c r="C1580" s="1" t="s">
        <v>1210</v>
      </c>
      <c r="D1580" s="2">
        <v>46177</v>
      </c>
      <c r="E1580">
        <v>0</v>
      </c>
      <c r="F1580" s="1" t="s">
        <v>2871</v>
      </c>
      <c r="G1580" s="2">
        <v>46177.777463043982</v>
      </c>
      <c r="H1580" s="1" t="s">
        <v>1211</v>
      </c>
      <c r="I1580" s="2">
        <v>46177.777463078703</v>
      </c>
      <c r="J1580" s="1" t="s">
        <v>1211</v>
      </c>
    </row>
    <row r="1581" spans="1:10" x14ac:dyDescent="0.35">
      <c r="A1581" s="1" t="s">
        <v>2177</v>
      </c>
      <c r="B1581" s="1" t="s">
        <v>1209</v>
      </c>
      <c r="C1581" s="1" t="s">
        <v>1210</v>
      </c>
      <c r="D1581" s="2">
        <v>46177</v>
      </c>
      <c r="E1581">
        <v>0</v>
      </c>
      <c r="F1581" s="1" t="s">
        <v>2872</v>
      </c>
      <c r="G1581" s="2">
        <v>46177.777463194441</v>
      </c>
      <c r="H1581" s="1" t="s">
        <v>1211</v>
      </c>
      <c r="I1581" s="2">
        <v>46177.777463229169</v>
      </c>
      <c r="J1581" s="1" t="s">
        <v>1211</v>
      </c>
    </row>
    <row r="1582" spans="1:10" x14ac:dyDescent="0.35">
      <c r="A1582" s="1" t="s">
        <v>2178</v>
      </c>
      <c r="B1582" s="1" t="s">
        <v>1209</v>
      </c>
      <c r="C1582" s="1" t="s">
        <v>1210</v>
      </c>
      <c r="D1582" s="2">
        <v>46177</v>
      </c>
      <c r="E1582">
        <v>0</v>
      </c>
      <c r="F1582" s="1" t="s">
        <v>2873</v>
      </c>
      <c r="G1582" s="2">
        <v>46177.777463310187</v>
      </c>
      <c r="H1582" s="1" t="s">
        <v>1211</v>
      </c>
      <c r="I1582" s="2">
        <v>46177.777463425926</v>
      </c>
      <c r="J1582" s="1" t="s">
        <v>1211</v>
      </c>
    </row>
    <row r="1583" spans="1:10" x14ac:dyDescent="0.35">
      <c r="A1583" s="1" t="s">
        <v>2179</v>
      </c>
      <c r="B1583" s="1" t="s">
        <v>1209</v>
      </c>
      <c r="C1583" s="1" t="s">
        <v>1210</v>
      </c>
      <c r="D1583" s="2">
        <v>46177</v>
      </c>
      <c r="E1583">
        <v>0</v>
      </c>
      <c r="F1583" s="1" t="s">
        <v>2874</v>
      </c>
      <c r="G1583" s="2">
        <v>46177.777463541664</v>
      </c>
      <c r="H1583" s="1" t="s">
        <v>1211</v>
      </c>
      <c r="I1583" s="2">
        <v>46177.777463622682</v>
      </c>
      <c r="J1583" s="1" t="s">
        <v>1211</v>
      </c>
    </row>
    <row r="1584" spans="1:10" x14ac:dyDescent="0.35">
      <c r="A1584" s="1" t="s">
        <v>2180</v>
      </c>
      <c r="B1584" s="1" t="s">
        <v>1209</v>
      </c>
      <c r="C1584" s="1" t="s">
        <v>1210</v>
      </c>
      <c r="D1584" s="2">
        <v>46177</v>
      </c>
      <c r="E1584">
        <v>0</v>
      </c>
      <c r="F1584" s="1" t="s">
        <v>2875</v>
      </c>
      <c r="G1584" s="2">
        <v>46177.777463692131</v>
      </c>
      <c r="H1584" s="1" t="s">
        <v>1211</v>
      </c>
      <c r="I1584" s="2">
        <v>46177.777463773149</v>
      </c>
      <c r="J1584" s="1" t="s">
        <v>1211</v>
      </c>
    </row>
    <row r="1585" spans="1:10" x14ac:dyDescent="0.35">
      <c r="A1585" s="1" t="s">
        <v>2181</v>
      </c>
      <c r="B1585" s="1" t="s">
        <v>1209</v>
      </c>
      <c r="C1585" s="1" t="s">
        <v>1210</v>
      </c>
      <c r="D1585" s="2">
        <v>46177</v>
      </c>
      <c r="E1585">
        <v>0</v>
      </c>
      <c r="F1585" s="1" t="s">
        <v>2876</v>
      </c>
      <c r="G1585" s="2">
        <v>46177.777463854167</v>
      </c>
      <c r="H1585" s="1" t="s">
        <v>1211</v>
      </c>
      <c r="I1585" s="2">
        <v>46177.777463969906</v>
      </c>
      <c r="J1585" s="1" t="s">
        <v>1211</v>
      </c>
    </row>
    <row r="1586" spans="1:10" x14ac:dyDescent="0.35">
      <c r="A1586" s="1" t="s">
        <v>2182</v>
      </c>
      <c r="B1586" s="1" t="s">
        <v>1209</v>
      </c>
      <c r="C1586" s="1" t="s">
        <v>1210</v>
      </c>
      <c r="D1586" s="2">
        <v>46177</v>
      </c>
      <c r="E1586">
        <v>0</v>
      </c>
      <c r="F1586" s="1" t="s">
        <v>2877</v>
      </c>
      <c r="G1586" s="2">
        <v>46177.777464004626</v>
      </c>
      <c r="H1586" s="1" t="s">
        <v>1211</v>
      </c>
      <c r="I1586" s="2">
        <v>46177.777463969906</v>
      </c>
      <c r="J1586" s="1" t="s">
        <v>1211</v>
      </c>
    </row>
    <row r="1587" spans="1:10" x14ac:dyDescent="0.35">
      <c r="A1587" s="1" t="s">
        <v>2183</v>
      </c>
      <c r="B1587" s="1" t="s">
        <v>1209</v>
      </c>
      <c r="C1587" s="1" t="s">
        <v>1210</v>
      </c>
      <c r="D1587" s="2">
        <v>46177</v>
      </c>
      <c r="E1587">
        <v>0</v>
      </c>
      <c r="F1587" s="1" t="s">
        <v>2878</v>
      </c>
      <c r="G1587" s="2">
        <v>46177.777464155093</v>
      </c>
      <c r="H1587" s="1" t="s">
        <v>1211</v>
      </c>
      <c r="I1587" s="2">
        <v>46177.777464155093</v>
      </c>
      <c r="J1587" s="1" t="s">
        <v>1211</v>
      </c>
    </row>
    <row r="1588" spans="1:10" x14ac:dyDescent="0.35">
      <c r="A1588" s="1" t="s">
        <v>2184</v>
      </c>
      <c r="B1588" s="1" t="s">
        <v>1209</v>
      </c>
      <c r="C1588" s="1" t="s">
        <v>1210</v>
      </c>
      <c r="D1588" s="2">
        <v>46177</v>
      </c>
      <c r="E1588">
        <v>0</v>
      </c>
      <c r="F1588" s="1" t="s">
        <v>2879</v>
      </c>
      <c r="G1588" s="2">
        <v>46177.777464317129</v>
      </c>
      <c r="H1588" s="1" t="s">
        <v>1211</v>
      </c>
      <c r="I1588" s="2">
        <v>46177.777464317129</v>
      </c>
      <c r="J1588" s="1" t="s">
        <v>1211</v>
      </c>
    </row>
    <row r="1589" spans="1:10" x14ac:dyDescent="0.35">
      <c r="A1589" s="1" t="s">
        <v>2185</v>
      </c>
      <c r="B1589" s="1" t="s">
        <v>1209</v>
      </c>
      <c r="C1589" s="1" t="s">
        <v>1210</v>
      </c>
      <c r="D1589" s="2">
        <v>46177</v>
      </c>
      <c r="E1589">
        <v>0</v>
      </c>
      <c r="F1589" s="1" t="s">
        <v>2880</v>
      </c>
      <c r="G1589" s="2">
        <v>46177.777464467596</v>
      </c>
      <c r="H1589" s="1" t="s">
        <v>1211</v>
      </c>
      <c r="I1589" s="2">
        <v>46177.777464502316</v>
      </c>
      <c r="J1589" s="1" t="s">
        <v>1211</v>
      </c>
    </row>
    <row r="1590" spans="1:10" x14ac:dyDescent="0.35">
      <c r="A1590" s="1" t="s">
        <v>2186</v>
      </c>
      <c r="B1590" s="1" t="s">
        <v>1209</v>
      </c>
      <c r="C1590" s="1" t="s">
        <v>1210</v>
      </c>
      <c r="D1590" s="2">
        <v>46177</v>
      </c>
      <c r="E1590">
        <v>0</v>
      </c>
      <c r="F1590" s="1" t="s">
        <v>2881</v>
      </c>
      <c r="G1590" s="2">
        <v>46177.777464618055</v>
      </c>
      <c r="H1590" s="1" t="s">
        <v>1211</v>
      </c>
      <c r="I1590" s="2">
        <v>46177.777464699073</v>
      </c>
      <c r="J1590" s="1" t="s">
        <v>1211</v>
      </c>
    </row>
    <row r="1591" spans="1:10" x14ac:dyDescent="0.35">
      <c r="A1591" s="1" t="s">
        <v>2187</v>
      </c>
      <c r="B1591" s="1" t="s">
        <v>1209</v>
      </c>
      <c r="C1591" s="1" t="s">
        <v>1210</v>
      </c>
      <c r="D1591" s="2">
        <v>46177</v>
      </c>
      <c r="E1591">
        <v>0</v>
      </c>
      <c r="F1591" s="1" t="s">
        <v>2882</v>
      </c>
      <c r="G1591" s="2">
        <v>46177.777464780091</v>
      </c>
      <c r="H1591" s="1" t="s">
        <v>1211</v>
      </c>
      <c r="I1591" s="2">
        <v>46177.777464895837</v>
      </c>
      <c r="J1591" s="1" t="s">
        <v>1211</v>
      </c>
    </row>
    <row r="1592" spans="1:10" x14ac:dyDescent="0.35">
      <c r="A1592" s="1" t="s">
        <v>2188</v>
      </c>
      <c r="B1592" s="1" t="s">
        <v>1209</v>
      </c>
      <c r="C1592" s="1" t="s">
        <v>1210</v>
      </c>
      <c r="D1592" s="2">
        <v>46177</v>
      </c>
      <c r="E1592">
        <v>0</v>
      </c>
      <c r="F1592" s="1" t="s">
        <v>2883</v>
      </c>
      <c r="G1592" s="2">
        <v>46177.777464930557</v>
      </c>
      <c r="H1592" s="1" t="s">
        <v>1211</v>
      </c>
      <c r="I1592" s="2">
        <v>46177.777464895837</v>
      </c>
      <c r="J1592" s="1" t="s">
        <v>1211</v>
      </c>
    </row>
    <row r="1593" spans="1:10" x14ac:dyDescent="0.35">
      <c r="A1593" s="1" t="s">
        <v>2189</v>
      </c>
      <c r="B1593" s="1" t="s">
        <v>1209</v>
      </c>
      <c r="C1593" s="1" t="s">
        <v>1210</v>
      </c>
      <c r="D1593" s="2">
        <v>46177</v>
      </c>
      <c r="E1593">
        <v>0</v>
      </c>
      <c r="F1593" s="1" t="s">
        <v>2884</v>
      </c>
      <c r="G1593" s="2">
        <v>46177.777465081017</v>
      </c>
      <c r="H1593" s="1" t="s">
        <v>1211</v>
      </c>
      <c r="I1593" s="2">
        <v>46177.777465046296</v>
      </c>
      <c r="J1593" s="1" t="s">
        <v>1211</v>
      </c>
    </row>
    <row r="1594" spans="1:10" x14ac:dyDescent="0.35">
      <c r="A1594" s="1" t="s">
        <v>2190</v>
      </c>
      <c r="B1594" s="1" t="s">
        <v>1209</v>
      </c>
      <c r="C1594" s="1" t="s">
        <v>1210</v>
      </c>
      <c r="D1594" s="2">
        <v>46177</v>
      </c>
      <c r="E1594">
        <v>0</v>
      </c>
      <c r="F1594" s="1" t="s">
        <v>2885</v>
      </c>
      <c r="G1594" s="2">
        <v>46177.777465243053</v>
      </c>
      <c r="H1594" s="1" t="s">
        <v>1211</v>
      </c>
      <c r="I1594" s="2">
        <v>46177.777465243053</v>
      </c>
      <c r="J1594" s="1" t="s">
        <v>1211</v>
      </c>
    </row>
    <row r="1595" spans="1:10" x14ac:dyDescent="0.35">
      <c r="A1595" s="1" t="s">
        <v>2191</v>
      </c>
      <c r="B1595" s="1" t="s">
        <v>1209</v>
      </c>
      <c r="C1595" s="1" t="s">
        <v>1210</v>
      </c>
      <c r="D1595" s="2">
        <v>46177</v>
      </c>
      <c r="E1595">
        <v>0</v>
      </c>
      <c r="F1595" s="1" t="s">
        <v>2886</v>
      </c>
      <c r="G1595" s="2">
        <v>46177.777465393519</v>
      </c>
      <c r="H1595" s="1" t="s">
        <v>1211</v>
      </c>
      <c r="I1595" s="2">
        <v>46177.77746542824</v>
      </c>
      <c r="J1595" s="1" t="s">
        <v>1211</v>
      </c>
    </row>
    <row r="1596" spans="1:10" x14ac:dyDescent="0.35">
      <c r="A1596" s="1" t="s">
        <v>2192</v>
      </c>
      <c r="B1596" s="1" t="s">
        <v>1209</v>
      </c>
      <c r="C1596" s="1" t="s">
        <v>1210</v>
      </c>
      <c r="D1596" s="2">
        <v>46177</v>
      </c>
      <c r="E1596">
        <v>0</v>
      </c>
      <c r="F1596" s="1" t="s">
        <v>2887</v>
      </c>
      <c r="G1596" s="2">
        <v>46177.777465509258</v>
      </c>
      <c r="H1596" s="1" t="s">
        <v>1211</v>
      </c>
      <c r="I1596" s="2">
        <v>46177.777465624997</v>
      </c>
      <c r="J1596" s="1" t="s">
        <v>1211</v>
      </c>
    </row>
    <row r="1597" spans="1:10" x14ac:dyDescent="0.35">
      <c r="A1597" s="1" t="s">
        <v>2193</v>
      </c>
      <c r="B1597" s="1" t="s">
        <v>1209</v>
      </c>
      <c r="C1597" s="1" t="s">
        <v>1210</v>
      </c>
      <c r="D1597" s="2">
        <v>46177</v>
      </c>
      <c r="E1597">
        <v>0</v>
      </c>
      <c r="F1597" s="1" t="s">
        <v>2888</v>
      </c>
      <c r="G1597" s="2">
        <v>46177.777465706022</v>
      </c>
      <c r="H1597" s="1" t="s">
        <v>1211</v>
      </c>
      <c r="I1597" s="2">
        <v>46177.777465659725</v>
      </c>
      <c r="J1597" s="1" t="s">
        <v>1211</v>
      </c>
    </row>
    <row r="1598" spans="1:10" x14ac:dyDescent="0.35">
      <c r="A1598" s="1" t="s">
        <v>2194</v>
      </c>
      <c r="B1598" s="1" t="s">
        <v>1209</v>
      </c>
      <c r="C1598" s="1" t="s">
        <v>1210</v>
      </c>
      <c r="D1598" s="2">
        <v>46177</v>
      </c>
      <c r="E1598">
        <v>0</v>
      </c>
      <c r="F1598" s="1" t="s">
        <v>2889</v>
      </c>
      <c r="G1598" s="2">
        <v>46177.777465891202</v>
      </c>
      <c r="H1598" s="1" t="s">
        <v>1211</v>
      </c>
      <c r="I1598" s="2">
        <v>46177.777466006941</v>
      </c>
      <c r="J1598" s="1" t="s">
        <v>1211</v>
      </c>
    </row>
    <row r="1599" spans="1:10" x14ac:dyDescent="0.35">
      <c r="A1599" s="1" t="s">
        <v>2195</v>
      </c>
      <c r="B1599" s="1" t="s">
        <v>1209</v>
      </c>
      <c r="C1599" s="1" t="s">
        <v>1210</v>
      </c>
      <c r="D1599" s="2">
        <v>46177</v>
      </c>
      <c r="E1599">
        <v>0</v>
      </c>
      <c r="F1599" s="1" t="s">
        <v>2890</v>
      </c>
      <c r="G1599" s="2">
        <v>46177.777466122687</v>
      </c>
      <c r="H1599" s="1" t="s">
        <v>1211</v>
      </c>
      <c r="I1599" s="2">
        <v>46177.777466203705</v>
      </c>
      <c r="J1599" s="1" t="s">
        <v>1211</v>
      </c>
    </row>
    <row r="1600" spans="1:10" x14ac:dyDescent="0.35">
      <c r="A1600" s="1" t="s">
        <v>6853</v>
      </c>
      <c r="B1600" s="1" t="s">
        <v>1209</v>
      </c>
      <c r="C1600" s="1" t="s">
        <v>1210</v>
      </c>
      <c r="D1600" s="2">
        <v>46177</v>
      </c>
      <c r="E1600">
        <v>0</v>
      </c>
      <c r="F1600" s="1" t="s">
        <v>6854</v>
      </c>
      <c r="G1600" s="2">
        <v>46177.777466319443</v>
      </c>
      <c r="H1600" s="1" t="s">
        <v>1211</v>
      </c>
      <c r="I1600" s="2">
        <v>46177.777466354164</v>
      </c>
      <c r="J1600" s="1" t="s">
        <v>1211</v>
      </c>
    </row>
    <row r="1601" spans="1:10" x14ac:dyDescent="0.35">
      <c r="A1601" s="1" t="s">
        <v>2196</v>
      </c>
      <c r="B1601" s="1" t="s">
        <v>1209</v>
      </c>
      <c r="C1601" s="1" t="s">
        <v>1210</v>
      </c>
      <c r="D1601" s="2">
        <v>46177</v>
      </c>
      <c r="E1601">
        <v>3.1750469010245003E-2</v>
      </c>
      <c r="F1601" s="1" t="s">
        <v>6855</v>
      </c>
      <c r="G1601" s="2">
        <v>46177.777466550928</v>
      </c>
      <c r="H1601" s="1" t="s">
        <v>1211</v>
      </c>
      <c r="I1601" s="2">
        <v>46177.777466550928</v>
      </c>
      <c r="J1601" s="1" t="s">
        <v>1211</v>
      </c>
    </row>
    <row r="1602" spans="1:10" x14ac:dyDescent="0.35">
      <c r="A1602" s="1" t="s">
        <v>2197</v>
      </c>
      <c r="B1602" s="1" t="s">
        <v>1209</v>
      </c>
      <c r="C1602" s="1" t="s">
        <v>1210</v>
      </c>
      <c r="D1602" s="2">
        <v>46177</v>
      </c>
      <c r="E1602">
        <v>2.6047202600915802E-2</v>
      </c>
      <c r="F1602" s="1" t="s">
        <v>6856</v>
      </c>
      <c r="G1602" s="2">
        <v>46177.777466701387</v>
      </c>
      <c r="H1602" s="1" t="s">
        <v>1211</v>
      </c>
      <c r="I1602" s="2">
        <v>46177.777466747684</v>
      </c>
      <c r="J1602" s="1" t="s">
        <v>1211</v>
      </c>
    </row>
    <row r="1603" spans="1:10" x14ac:dyDescent="0.35">
      <c r="A1603" s="1" t="s">
        <v>2198</v>
      </c>
      <c r="B1603" s="1" t="s">
        <v>1209</v>
      </c>
      <c r="C1603" s="1" t="s">
        <v>1210</v>
      </c>
      <c r="D1603" s="2">
        <v>46177</v>
      </c>
      <c r="E1603">
        <v>3.4243626399964602E-2</v>
      </c>
      <c r="F1603" s="1" t="s">
        <v>6857</v>
      </c>
      <c r="G1603" s="2">
        <v>46177.777466863423</v>
      </c>
      <c r="H1603" s="1" t="s">
        <v>1211</v>
      </c>
      <c r="I1603" s="2">
        <v>46177.777466898151</v>
      </c>
      <c r="J1603" s="1" t="s">
        <v>1211</v>
      </c>
    </row>
    <row r="1604" spans="1:10" x14ac:dyDescent="0.35">
      <c r="A1604" s="1" t="s">
        <v>2199</v>
      </c>
      <c r="B1604" s="1" t="s">
        <v>1209</v>
      </c>
      <c r="C1604" s="1" t="s">
        <v>1210</v>
      </c>
      <c r="D1604" s="2">
        <v>46177</v>
      </c>
      <c r="E1604">
        <v>2.90000193158273E-2</v>
      </c>
      <c r="F1604" s="1" t="s">
        <v>6858</v>
      </c>
      <c r="G1604" s="2">
        <v>46177.777467094907</v>
      </c>
      <c r="H1604" s="1" t="s">
        <v>1211</v>
      </c>
      <c r="I1604" s="2">
        <v>46177.777467094907</v>
      </c>
      <c r="J1604" s="1" t="s">
        <v>1211</v>
      </c>
    </row>
    <row r="1605" spans="1:10" x14ac:dyDescent="0.35">
      <c r="A1605" s="1" t="s">
        <v>2200</v>
      </c>
      <c r="B1605" s="1" t="s">
        <v>1209</v>
      </c>
      <c r="C1605" s="1" t="s">
        <v>1210</v>
      </c>
      <c r="D1605" s="2">
        <v>46177</v>
      </c>
      <c r="E1605">
        <v>3.5113742625395301E-2</v>
      </c>
      <c r="F1605" s="1" t="s">
        <v>6859</v>
      </c>
      <c r="G1605" s="2">
        <v>46177.777467245367</v>
      </c>
      <c r="H1605" s="1" t="s">
        <v>1211</v>
      </c>
      <c r="I1605" s="2">
        <v>46177.777467280095</v>
      </c>
      <c r="J1605" s="1" t="s">
        <v>1211</v>
      </c>
    </row>
    <row r="1606" spans="1:10" x14ac:dyDescent="0.35">
      <c r="A1606" s="1" t="s">
        <v>2201</v>
      </c>
      <c r="B1606" s="1" t="s">
        <v>1209</v>
      </c>
      <c r="C1606" s="1" t="s">
        <v>1210</v>
      </c>
      <c r="D1606" s="2">
        <v>46177</v>
      </c>
      <c r="E1606">
        <v>2.1216704738298401E-2</v>
      </c>
      <c r="F1606" s="1" t="s">
        <v>6860</v>
      </c>
      <c r="G1606" s="2">
        <v>46177.777467361113</v>
      </c>
      <c r="H1606" s="1" t="s">
        <v>1211</v>
      </c>
      <c r="I1606" s="2">
        <v>46177.777467442131</v>
      </c>
      <c r="J1606" s="1" t="s">
        <v>1211</v>
      </c>
    </row>
    <row r="1607" spans="1:10" x14ac:dyDescent="0.35">
      <c r="A1607" s="1" t="s">
        <v>2202</v>
      </c>
      <c r="B1607" s="1" t="s">
        <v>1209</v>
      </c>
      <c r="C1607" s="1" t="s">
        <v>1210</v>
      </c>
      <c r="D1607" s="2">
        <v>46177</v>
      </c>
      <c r="E1607">
        <v>2.5769940916879799E-2</v>
      </c>
      <c r="F1607" s="1" t="s">
        <v>6861</v>
      </c>
      <c r="G1607" s="2">
        <v>46177.777467789354</v>
      </c>
      <c r="H1607" s="1" t="s">
        <v>1211</v>
      </c>
      <c r="I1607" s="2">
        <v>46177.777467824075</v>
      </c>
      <c r="J1607" s="1" t="s">
        <v>1211</v>
      </c>
    </row>
    <row r="1608" spans="1:10" x14ac:dyDescent="0.35">
      <c r="A1608" s="1" t="s">
        <v>2203</v>
      </c>
      <c r="B1608" s="1" t="s">
        <v>1209</v>
      </c>
      <c r="C1608" s="1" t="s">
        <v>1210</v>
      </c>
      <c r="D1608" s="2">
        <v>46177</v>
      </c>
      <c r="E1608">
        <v>2.6437885781879E-2</v>
      </c>
      <c r="F1608" s="1" t="s">
        <v>6862</v>
      </c>
      <c r="G1608" s="2">
        <v>46177.777467939814</v>
      </c>
      <c r="H1608" s="1" t="s">
        <v>1211</v>
      </c>
      <c r="I1608" s="2">
        <v>46177.777468020831</v>
      </c>
      <c r="J1608" s="1" t="s">
        <v>1211</v>
      </c>
    </row>
    <row r="1609" spans="1:10" x14ac:dyDescent="0.35">
      <c r="A1609" s="1" t="s">
        <v>2204</v>
      </c>
      <c r="B1609" s="1" t="s">
        <v>1209</v>
      </c>
      <c r="C1609" s="1" t="s">
        <v>1210</v>
      </c>
      <c r="D1609" s="2">
        <v>46177</v>
      </c>
      <c r="E1609">
        <v>2.6969587529986901E-2</v>
      </c>
      <c r="F1609" s="1" t="s">
        <v>6863</v>
      </c>
      <c r="G1609" s="2">
        <v>46177.77746809028</v>
      </c>
      <c r="H1609" s="1" t="s">
        <v>1211</v>
      </c>
      <c r="I1609" s="2">
        <v>46177.777468171298</v>
      </c>
      <c r="J1609" s="1" t="s">
        <v>1211</v>
      </c>
    </row>
    <row r="1610" spans="1:10" x14ac:dyDescent="0.35">
      <c r="A1610" s="1" t="s">
        <v>2205</v>
      </c>
      <c r="B1610" s="1" t="s">
        <v>1209</v>
      </c>
      <c r="C1610" s="1" t="s">
        <v>1210</v>
      </c>
      <c r="D1610" s="2">
        <v>46177</v>
      </c>
      <c r="E1610">
        <v>3.3655172217819503E-2</v>
      </c>
      <c r="F1610" s="1" t="s">
        <v>6864</v>
      </c>
      <c r="G1610" s="2">
        <v>46177.777468252316</v>
      </c>
      <c r="H1610" s="1" t="s">
        <v>1211</v>
      </c>
      <c r="I1610" s="2">
        <v>46177.777468171298</v>
      </c>
      <c r="J1610" s="1" t="s">
        <v>1211</v>
      </c>
    </row>
    <row r="1611" spans="1:10" x14ac:dyDescent="0.35">
      <c r="A1611" s="1" t="s">
        <v>2206</v>
      </c>
      <c r="B1611" s="1" t="s">
        <v>1209</v>
      </c>
      <c r="C1611" s="1" t="s">
        <v>1210</v>
      </c>
      <c r="D1611" s="2">
        <v>46177</v>
      </c>
      <c r="E1611">
        <v>2.7548137066987499E-2</v>
      </c>
      <c r="F1611" s="1" t="s">
        <v>6865</v>
      </c>
      <c r="G1611" s="2">
        <v>46177.777468402775</v>
      </c>
      <c r="H1611" s="1" t="s">
        <v>1211</v>
      </c>
      <c r="I1611" s="2">
        <v>46177.777468483793</v>
      </c>
      <c r="J1611" s="1" t="s">
        <v>1211</v>
      </c>
    </row>
    <row r="1612" spans="1:10" x14ac:dyDescent="0.35">
      <c r="A1612" s="1" t="s">
        <v>2207</v>
      </c>
      <c r="B1612" s="1" t="s">
        <v>1209</v>
      </c>
      <c r="C1612" s="1" t="s">
        <v>1210</v>
      </c>
      <c r="D1612" s="2">
        <v>46177</v>
      </c>
      <c r="E1612">
        <v>2.81584659902669E-2</v>
      </c>
      <c r="F1612" s="1" t="s">
        <v>6866</v>
      </c>
      <c r="G1612" s="2">
        <v>46177.777468518521</v>
      </c>
      <c r="H1612" s="1" t="s">
        <v>1211</v>
      </c>
      <c r="I1612" s="2">
        <v>46177.777468553242</v>
      </c>
      <c r="J1612" s="1" t="s">
        <v>1211</v>
      </c>
    </row>
    <row r="1613" spans="1:10" x14ac:dyDescent="0.35">
      <c r="A1613" s="1" t="s">
        <v>2208</v>
      </c>
      <c r="B1613" s="1" t="s">
        <v>1209</v>
      </c>
      <c r="C1613" s="1" t="s">
        <v>1210</v>
      </c>
      <c r="D1613" s="2">
        <v>46177</v>
      </c>
      <c r="E1613">
        <v>3.2883978981928998E-2</v>
      </c>
      <c r="F1613" s="1" t="s">
        <v>6867</v>
      </c>
      <c r="G1613" s="2">
        <v>46177.777468668981</v>
      </c>
      <c r="H1613" s="1" t="s">
        <v>1211</v>
      </c>
      <c r="I1613" s="2">
        <v>46177.777468715278</v>
      </c>
      <c r="J1613" s="1" t="s">
        <v>1211</v>
      </c>
    </row>
    <row r="1614" spans="1:10" x14ac:dyDescent="0.35">
      <c r="A1614" s="1" t="s">
        <v>2209</v>
      </c>
      <c r="B1614" s="1" t="s">
        <v>1209</v>
      </c>
      <c r="C1614" s="1" t="s">
        <v>1210</v>
      </c>
      <c r="D1614" s="2">
        <v>46177</v>
      </c>
      <c r="E1614">
        <v>2.6778030352355701E-2</v>
      </c>
      <c r="F1614" s="1" t="s">
        <v>6868</v>
      </c>
      <c r="G1614" s="2">
        <v>46177.777468900465</v>
      </c>
      <c r="H1614" s="1" t="s">
        <v>1211</v>
      </c>
      <c r="I1614" s="2">
        <v>46177.777468900465</v>
      </c>
      <c r="J1614" s="1" t="s">
        <v>1211</v>
      </c>
    </row>
    <row r="1615" spans="1:10" x14ac:dyDescent="0.35">
      <c r="A1615" s="1" t="s">
        <v>2210</v>
      </c>
      <c r="B1615" s="1" t="s">
        <v>1209</v>
      </c>
      <c r="C1615" s="1" t="s">
        <v>1210</v>
      </c>
      <c r="D1615" s="2">
        <v>46177</v>
      </c>
      <c r="E1615">
        <v>2.8793489469738899E-2</v>
      </c>
      <c r="F1615" s="1" t="s">
        <v>6869</v>
      </c>
      <c r="G1615" s="2">
        <v>46177.777469016204</v>
      </c>
      <c r="H1615" s="1" t="s">
        <v>1211</v>
      </c>
      <c r="I1615" s="2">
        <v>46177.777468900465</v>
      </c>
      <c r="J1615" s="1" t="s">
        <v>1211</v>
      </c>
    </row>
    <row r="1616" spans="1:10" x14ac:dyDescent="0.35">
      <c r="A1616" s="1" t="s">
        <v>2211</v>
      </c>
      <c r="B1616" s="1" t="s">
        <v>1209</v>
      </c>
      <c r="C1616" s="1" t="s">
        <v>1210</v>
      </c>
      <c r="D1616" s="2">
        <v>46177</v>
      </c>
      <c r="E1616">
        <v>3.5589860180174203E-2</v>
      </c>
      <c r="F1616" s="1" t="s">
        <v>6870</v>
      </c>
      <c r="G1616" s="2">
        <v>46177.77746917824</v>
      </c>
      <c r="H1616" s="1" t="s">
        <v>1211</v>
      </c>
      <c r="I1616" s="2">
        <v>46177.777469097222</v>
      </c>
      <c r="J1616" s="1" t="s">
        <v>1211</v>
      </c>
    </row>
    <row r="1617" spans="1:10" x14ac:dyDescent="0.35">
      <c r="A1617" s="1" t="s">
        <v>2212</v>
      </c>
      <c r="B1617" s="1" t="s">
        <v>1209</v>
      </c>
      <c r="C1617" s="1" t="s">
        <v>1210</v>
      </c>
      <c r="D1617" s="2">
        <v>46177</v>
      </c>
      <c r="E1617">
        <v>2.9468044586531499E-2</v>
      </c>
      <c r="F1617" s="1" t="s">
        <v>6871</v>
      </c>
      <c r="G1617" s="2">
        <v>46177.777469328707</v>
      </c>
      <c r="H1617" s="1" t="s">
        <v>1211</v>
      </c>
      <c r="I1617" s="2">
        <v>46177.777469293978</v>
      </c>
      <c r="J1617" s="1" t="s">
        <v>1211</v>
      </c>
    </row>
    <row r="1618" spans="1:10" x14ac:dyDescent="0.35">
      <c r="A1618" s="1" t="s">
        <v>2213</v>
      </c>
      <c r="B1618" s="1" t="s">
        <v>1209</v>
      </c>
      <c r="C1618" s="1" t="s">
        <v>1210</v>
      </c>
      <c r="D1618" s="2">
        <v>46177</v>
      </c>
      <c r="E1618">
        <v>2.7340863653149201E-2</v>
      </c>
      <c r="F1618" s="1" t="s">
        <v>6872</v>
      </c>
      <c r="G1618" s="2">
        <v>46177.777469479166</v>
      </c>
      <c r="H1618" s="1" t="s">
        <v>1211</v>
      </c>
      <c r="I1618" s="2">
        <v>46177.777469444445</v>
      </c>
      <c r="J1618" s="1" t="s">
        <v>1211</v>
      </c>
    </row>
    <row r="1619" spans="1:10" x14ac:dyDescent="0.35">
      <c r="A1619" s="1" t="s">
        <v>2214</v>
      </c>
      <c r="B1619" s="1" t="s">
        <v>1209</v>
      </c>
      <c r="C1619" s="1" t="s">
        <v>1210</v>
      </c>
      <c r="D1619" s="2">
        <v>46177</v>
      </c>
      <c r="E1619">
        <v>3.4618143119880901E-2</v>
      </c>
      <c r="F1619" s="1" t="s">
        <v>6873</v>
      </c>
      <c r="G1619" s="2">
        <v>46177.777469641202</v>
      </c>
      <c r="H1619" s="1" t="s">
        <v>1211</v>
      </c>
      <c r="I1619" s="2">
        <v>46177.777469641202</v>
      </c>
      <c r="J1619" s="1" t="s">
        <v>1211</v>
      </c>
    </row>
    <row r="1620" spans="1:10" x14ac:dyDescent="0.35">
      <c r="A1620" s="1" t="s">
        <v>2215</v>
      </c>
      <c r="B1620" s="1" t="s">
        <v>1209</v>
      </c>
      <c r="C1620" s="1" t="s">
        <v>1210</v>
      </c>
      <c r="D1620" s="2">
        <v>46177</v>
      </c>
      <c r="E1620">
        <v>3.0058895102858699E-2</v>
      </c>
      <c r="F1620" s="1" t="s">
        <v>6874</v>
      </c>
      <c r="G1620" s="2">
        <v>46177.777469791668</v>
      </c>
      <c r="H1620" s="1" t="s">
        <v>1211</v>
      </c>
      <c r="I1620" s="2">
        <v>46177.777469826389</v>
      </c>
      <c r="J1620" s="1" t="s">
        <v>1211</v>
      </c>
    </row>
    <row r="1621" spans="1:10" x14ac:dyDescent="0.35">
      <c r="A1621" s="1" t="s">
        <v>2216</v>
      </c>
      <c r="B1621" s="1" t="s">
        <v>1209</v>
      </c>
      <c r="C1621" s="1" t="s">
        <v>1210</v>
      </c>
      <c r="D1621" s="2">
        <v>46177</v>
      </c>
      <c r="E1621">
        <v>3.0711310607545499E-2</v>
      </c>
      <c r="F1621" s="1" t="s">
        <v>6875</v>
      </c>
      <c r="G1621" s="2">
        <v>46177.777469942128</v>
      </c>
      <c r="H1621" s="1" t="s">
        <v>1211</v>
      </c>
      <c r="I1621" s="2">
        <v>46177.777469988425</v>
      </c>
      <c r="J1621" s="1" t="s">
        <v>1211</v>
      </c>
    </row>
    <row r="1622" spans="1:10" x14ac:dyDescent="0.35">
      <c r="A1622" s="1" t="s">
        <v>2217</v>
      </c>
      <c r="B1622" s="1" t="s">
        <v>1209</v>
      </c>
      <c r="C1622" s="1" t="s">
        <v>1210</v>
      </c>
      <c r="D1622" s="2">
        <v>46177</v>
      </c>
      <c r="E1622">
        <v>3.57483306057313E-2</v>
      </c>
      <c r="F1622" s="1" t="s">
        <v>6876</v>
      </c>
      <c r="G1622" s="2">
        <v>46177.777470104164</v>
      </c>
      <c r="H1622" s="1" t="s">
        <v>1211</v>
      </c>
      <c r="I1622" s="2">
        <v>46177.777469988425</v>
      </c>
      <c r="J1622" s="1" t="s">
        <v>1211</v>
      </c>
    </row>
    <row r="1623" spans="1:10" x14ac:dyDescent="0.35">
      <c r="A1623" s="1" t="s">
        <v>2218</v>
      </c>
      <c r="B1623" s="1" t="s">
        <v>1209</v>
      </c>
      <c r="C1623" s="1" t="s">
        <v>1210</v>
      </c>
      <c r="D1623" s="2">
        <v>46177</v>
      </c>
      <c r="E1623">
        <v>2.4002776423852699E-2</v>
      </c>
      <c r="F1623" s="1" t="s">
        <v>6877</v>
      </c>
      <c r="G1623" s="2">
        <v>46177.77747025463</v>
      </c>
      <c r="H1623" s="1" t="s">
        <v>1211</v>
      </c>
      <c r="I1623" s="2">
        <v>46177.777470173613</v>
      </c>
      <c r="J1623" s="1" t="s">
        <v>1211</v>
      </c>
    </row>
    <row r="1624" spans="1:10" x14ac:dyDescent="0.35">
      <c r="A1624" s="1" t="s">
        <v>2219</v>
      </c>
      <c r="B1624" s="1" t="s">
        <v>1209</v>
      </c>
      <c r="C1624" s="1" t="s">
        <v>1210</v>
      </c>
      <c r="D1624" s="2">
        <v>46177</v>
      </c>
      <c r="E1624">
        <v>2.78422895713758E-2</v>
      </c>
      <c r="F1624" s="1" t="s">
        <v>6878</v>
      </c>
      <c r="G1624" s="2">
        <v>46177.77747040509</v>
      </c>
      <c r="H1624" s="1" t="s">
        <v>1211</v>
      </c>
      <c r="I1624" s="2">
        <v>46177.777470370369</v>
      </c>
      <c r="J1624" s="1" t="s">
        <v>1211</v>
      </c>
    </row>
    <row r="1625" spans="1:10" x14ac:dyDescent="0.35">
      <c r="A1625" s="1" t="s">
        <v>2220</v>
      </c>
      <c r="B1625" s="1" t="s">
        <v>1209</v>
      </c>
      <c r="C1625" s="1" t="s">
        <v>1210</v>
      </c>
      <c r="D1625" s="2">
        <v>46177</v>
      </c>
      <c r="E1625">
        <v>3.1361709771350298E-2</v>
      </c>
      <c r="F1625" s="1" t="s">
        <v>6879</v>
      </c>
      <c r="G1625" s="2">
        <v>46177.777470567133</v>
      </c>
      <c r="H1625" s="1" t="s">
        <v>1211</v>
      </c>
      <c r="I1625" s="2">
        <v>46177.777470520836</v>
      </c>
      <c r="J1625" s="1" t="s">
        <v>1211</v>
      </c>
    </row>
    <row r="1626" spans="1:10" x14ac:dyDescent="0.35">
      <c r="A1626" s="1" t="s">
        <v>2221</v>
      </c>
      <c r="B1626" s="1" t="s">
        <v>1209</v>
      </c>
      <c r="C1626" s="1" t="s">
        <v>1210</v>
      </c>
      <c r="D1626" s="2">
        <v>46177</v>
      </c>
      <c r="E1626">
        <v>3.5671862783632297E-2</v>
      </c>
      <c r="F1626" s="1" t="s">
        <v>6880</v>
      </c>
      <c r="G1626" s="2">
        <v>46177.777470682871</v>
      </c>
      <c r="H1626" s="1" t="s">
        <v>1211</v>
      </c>
      <c r="I1626" s="2">
        <v>46177.777470717592</v>
      </c>
      <c r="J1626" s="1" t="s">
        <v>1211</v>
      </c>
    </row>
    <row r="1627" spans="1:10" x14ac:dyDescent="0.35">
      <c r="A1627" s="1" t="s">
        <v>2222</v>
      </c>
      <c r="B1627" s="1" t="s">
        <v>1209</v>
      </c>
      <c r="C1627" s="1" t="s">
        <v>1210</v>
      </c>
      <c r="D1627" s="2">
        <v>46177</v>
      </c>
      <c r="E1627">
        <v>4.3020613893573097E-2</v>
      </c>
      <c r="F1627" s="1" t="s">
        <v>6881</v>
      </c>
      <c r="G1627" s="2">
        <v>46177.777470833331</v>
      </c>
      <c r="H1627" s="1" t="s">
        <v>1211</v>
      </c>
      <c r="I1627" s="2">
        <v>46177.777470914349</v>
      </c>
      <c r="J1627" s="1" t="s">
        <v>1211</v>
      </c>
    </row>
    <row r="1628" spans="1:10" x14ac:dyDescent="0.35">
      <c r="A1628" s="1" t="s">
        <v>2223</v>
      </c>
      <c r="B1628" s="1" t="s">
        <v>1224</v>
      </c>
      <c r="C1628" s="1" t="s">
        <v>1210</v>
      </c>
      <c r="D1628" s="2">
        <v>46177</v>
      </c>
      <c r="E1628">
        <v>119.67</v>
      </c>
      <c r="F1628" s="1" t="s">
        <v>6882</v>
      </c>
      <c r="G1628" s="2">
        <v>46177.777562928241</v>
      </c>
      <c r="H1628" s="1" t="s">
        <v>1211</v>
      </c>
      <c r="I1628" s="2">
        <v>46177.777562997682</v>
      </c>
      <c r="J1628" s="1" t="s">
        <v>1211</v>
      </c>
    </row>
    <row r="1629" spans="1:10" x14ac:dyDescent="0.35">
      <c r="A1629" s="1" t="s">
        <v>4299</v>
      </c>
      <c r="B1629" s="1" t="s">
        <v>1224</v>
      </c>
      <c r="C1629" s="1" t="s">
        <v>1210</v>
      </c>
      <c r="D1629" s="2">
        <v>46177</v>
      </c>
      <c r="E1629">
        <v>118.8</v>
      </c>
      <c r="F1629" s="1" t="s">
        <v>6883</v>
      </c>
      <c r="G1629" s="2">
        <v>46177.777563078707</v>
      </c>
      <c r="H1629" s="1" t="s">
        <v>1211</v>
      </c>
      <c r="I1629" s="2">
        <v>46177.777563194446</v>
      </c>
      <c r="J1629" s="1" t="s">
        <v>1211</v>
      </c>
    </row>
    <row r="1630" spans="1:10" x14ac:dyDescent="0.35">
      <c r="A1630" s="1" t="s">
        <v>2224</v>
      </c>
      <c r="B1630" s="1" t="s">
        <v>1224</v>
      </c>
      <c r="C1630" s="1" t="s">
        <v>1210</v>
      </c>
      <c r="D1630" s="2">
        <v>46177</v>
      </c>
      <c r="E1630">
        <v>115.56</v>
      </c>
      <c r="F1630" s="1" t="s">
        <v>6884</v>
      </c>
      <c r="G1630" s="2">
        <v>46177.777563229167</v>
      </c>
      <c r="H1630" s="1" t="s">
        <v>1211</v>
      </c>
      <c r="I1630" s="2">
        <v>46177.777563194446</v>
      </c>
      <c r="J1630" s="1" t="s">
        <v>1211</v>
      </c>
    </row>
    <row r="1631" spans="1:10" x14ac:dyDescent="0.35">
      <c r="A1631" s="1" t="s">
        <v>2225</v>
      </c>
      <c r="B1631" s="1" t="s">
        <v>1224</v>
      </c>
      <c r="C1631" s="1" t="s">
        <v>1210</v>
      </c>
      <c r="D1631" s="2">
        <v>46177</v>
      </c>
      <c r="E1631">
        <v>114.62</v>
      </c>
      <c r="F1631" s="1" t="s">
        <v>6885</v>
      </c>
      <c r="G1631" s="2">
        <v>46177.777563391202</v>
      </c>
      <c r="H1631" s="1" t="s">
        <v>1211</v>
      </c>
      <c r="I1631" s="2">
        <v>46177.777563391202</v>
      </c>
      <c r="J1631" s="1" t="s">
        <v>1211</v>
      </c>
    </row>
    <row r="1632" spans="1:10" x14ac:dyDescent="0.35">
      <c r="A1632" s="1" t="s">
        <v>2226</v>
      </c>
      <c r="B1632" s="1" t="s">
        <v>1224</v>
      </c>
      <c r="C1632" s="1" t="s">
        <v>1210</v>
      </c>
      <c r="D1632" s="2">
        <v>46177</v>
      </c>
      <c r="E1632">
        <v>115.75</v>
      </c>
      <c r="F1632" s="1" t="s">
        <v>6886</v>
      </c>
      <c r="G1632" s="2">
        <v>46177.777563541669</v>
      </c>
      <c r="H1632" s="1" t="s">
        <v>1211</v>
      </c>
      <c r="I1632" s="2">
        <v>46177.777563541669</v>
      </c>
      <c r="J1632" s="1" t="s">
        <v>1211</v>
      </c>
    </row>
    <row r="1633" spans="1:10" x14ac:dyDescent="0.35">
      <c r="A1633" s="1" t="s">
        <v>2227</v>
      </c>
      <c r="B1633" s="1" t="s">
        <v>1209</v>
      </c>
      <c r="C1633" s="1" t="s">
        <v>1210</v>
      </c>
      <c r="D1633" s="2">
        <v>46177</v>
      </c>
      <c r="E1633">
        <v>3.2754894713137903E-2</v>
      </c>
      <c r="F1633" s="1" t="s">
        <v>6887</v>
      </c>
      <c r="G1633" s="2">
        <v>46177.777470983798</v>
      </c>
      <c r="H1633" s="1" t="s">
        <v>1211</v>
      </c>
      <c r="I1633" s="2">
        <v>46177.777470914349</v>
      </c>
      <c r="J1633" s="1" t="s">
        <v>1211</v>
      </c>
    </row>
    <row r="1634" spans="1:10" x14ac:dyDescent="0.35">
      <c r="A1634" s="1" t="s">
        <v>2228</v>
      </c>
      <c r="B1634" s="1" t="s">
        <v>1209</v>
      </c>
      <c r="C1634" s="1" t="s">
        <v>1210</v>
      </c>
      <c r="D1634" s="2">
        <v>46177</v>
      </c>
      <c r="E1634">
        <v>2.7813517658017699E-2</v>
      </c>
      <c r="F1634" s="1" t="s">
        <v>6888</v>
      </c>
      <c r="G1634" s="2">
        <v>46177.777471180554</v>
      </c>
      <c r="H1634" s="1" t="s">
        <v>1211</v>
      </c>
      <c r="I1634" s="2">
        <v>46177.777471064815</v>
      </c>
      <c r="J1634" s="1" t="s">
        <v>1211</v>
      </c>
    </row>
    <row r="1635" spans="1:10" x14ac:dyDescent="0.35">
      <c r="A1635" s="1" t="s">
        <v>2229</v>
      </c>
      <c r="B1635" s="1" t="s">
        <v>1209</v>
      </c>
      <c r="C1635" s="1" t="s">
        <v>1210</v>
      </c>
      <c r="D1635" s="2">
        <v>46177</v>
      </c>
      <c r="E1635">
        <v>3.30378350664845E-2</v>
      </c>
      <c r="F1635" s="1" t="s">
        <v>6889</v>
      </c>
      <c r="G1635" s="2">
        <v>46177.777471331021</v>
      </c>
      <c r="H1635" s="1" t="s">
        <v>1211</v>
      </c>
      <c r="I1635" s="2">
        <v>46177.777471261572</v>
      </c>
      <c r="J1635" s="1" t="s">
        <v>1211</v>
      </c>
    </row>
    <row r="1636" spans="1:10" x14ac:dyDescent="0.35">
      <c r="A1636" s="1" t="s">
        <v>2230</v>
      </c>
      <c r="B1636" s="1" t="s">
        <v>1209</v>
      </c>
      <c r="C1636" s="1" t="s">
        <v>1210</v>
      </c>
      <c r="D1636" s="2">
        <v>46177</v>
      </c>
      <c r="E1636">
        <v>2.88337173851821E-2</v>
      </c>
      <c r="F1636" s="1" t="s">
        <v>6890</v>
      </c>
      <c r="G1636" s="2">
        <v>46177.777471493057</v>
      </c>
      <c r="H1636" s="1" t="s">
        <v>1211</v>
      </c>
      <c r="I1636" s="2">
        <v>46177.77747144676</v>
      </c>
      <c r="J1636" s="1" t="s">
        <v>1211</v>
      </c>
    </row>
    <row r="1637" spans="1:10" x14ac:dyDescent="0.35">
      <c r="A1637" s="1" t="s">
        <v>2231</v>
      </c>
      <c r="B1637" s="1" t="s">
        <v>1209</v>
      </c>
      <c r="C1637" s="1" t="s">
        <v>1210</v>
      </c>
      <c r="D1637" s="2">
        <v>46177</v>
      </c>
      <c r="E1637">
        <v>2.11921136604203E-2</v>
      </c>
      <c r="F1637" s="1" t="s">
        <v>6891</v>
      </c>
      <c r="G1637" s="2">
        <v>46177.777471608795</v>
      </c>
      <c r="H1637" s="1" t="s">
        <v>1211</v>
      </c>
      <c r="I1637" s="2">
        <v>46177.777471608795</v>
      </c>
      <c r="J1637" s="1" t="s">
        <v>1211</v>
      </c>
    </row>
    <row r="1638" spans="1:10" x14ac:dyDescent="0.35">
      <c r="A1638" s="1" t="s">
        <v>2232</v>
      </c>
      <c r="B1638" s="1" t="s">
        <v>1224</v>
      </c>
      <c r="C1638" s="1" t="s">
        <v>1210</v>
      </c>
      <c r="D1638" s="2">
        <v>46177</v>
      </c>
      <c r="E1638">
        <v>125.61</v>
      </c>
      <c r="F1638" s="1" t="s">
        <v>6892</v>
      </c>
      <c r="G1638" s="2">
        <v>46177.777563692129</v>
      </c>
      <c r="H1638" s="1" t="s">
        <v>1211</v>
      </c>
      <c r="I1638" s="2">
        <v>46177.777563738426</v>
      </c>
      <c r="J1638" s="1" t="s">
        <v>1211</v>
      </c>
    </row>
    <row r="1639" spans="1:10" x14ac:dyDescent="0.35">
      <c r="A1639" s="1" t="s">
        <v>2233</v>
      </c>
      <c r="B1639" s="1" t="s">
        <v>1224</v>
      </c>
      <c r="C1639" s="1" t="s">
        <v>1210</v>
      </c>
      <c r="D1639" s="2">
        <v>46177</v>
      </c>
      <c r="E1639">
        <v>125.68</v>
      </c>
      <c r="F1639" s="1" t="s">
        <v>6893</v>
      </c>
      <c r="G1639" s="2">
        <v>46177.777563807867</v>
      </c>
      <c r="H1639" s="1" t="s">
        <v>1211</v>
      </c>
      <c r="I1639" s="2">
        <v>46177.777563923613</v>
      </c>
      <c r="J1639" s="1" t="s">
        <v>1211</v>
      </c>
    </row>
    <row r="1640" spans="1:10" x14ac:dyDescent="0.35">
      <c r="A1640" s="1" t="s">
        <v>2234</v>
      </c>
      <c r="B1640" s="1" t="s">
        <v>1224</v>
      </c>
      <c r="C1640" s="1" t="s">
        <v>1210</v>
      </c>
      <c r="D1640" s="2">
        <v>46177</v>
      </c>
      <c r="E1640">
        <v>124.96</v>
      </c>
      <c r="F1640" s="1" t="s">
        <v>6894</v>
      </c>
      <c r="G1640" s="2">
        <v>46177.77756396991</v>
      </c>
      <c r="H1640" s="1" t="s">
        <v>1211</v>
      </c>
      <c r="I1640" s="2">
        <v>46177.777563923613</v>
      </c>
      <c r="J1640" s="1" t="s">
        <v>1211</v>
      </c>
    </row>
    <row r="1641" spans="1:10" x14ac:dyDescent="0.35">
      <c r="A1641" s="1" t="s">
        <v>2235</v>
      </c>
      <c r="B1641" s="1" t="s">
        <v>1224</v>
      </c>
      <c r="C1641" s="1" t="s">
        <v>1210</v>
      </c>
      <c r="D1641" s="2">
        <v>46177</v>
      </c>
      <c r="E1641">
        <v>96.174999999999997</v>
      </c>
      <c r="F1641" s="1"/>
      <c r="G1641" s="2">
        <v>46177.665930405092</v>
      </c>
      <c r="H1641" s="1" t="s">
        <v>1212</v>
      </c>
      <c r="I1641" s="2">
        <v>46177.665930289353</v>
      </c>
      <c r="J1641" s="1" t="s">
        <v>1212</v>
      </c>
    </row>
    <row r="1642" spans="1:10" x14ac:dyDescent="0.35">
      <c r="A1642" s="1" t="s">
        <v>2236</v>
      </c>
      <c r="B1642" s="1" t="s">
        <v>1224</v>
      </c>
      <c r="C1642" s="1" t="s">
        <v>1210</v>
      </c>
      <c r="D1642" s="2">
        <v>46177</v>
      </c>
      <c r="E1642">
        <v>96</v>
      </c>
      <c r="F1642" s="1"/>
      <c r="G1642" s="2">
        <v>46177.665930405092</v>
      </c>
      <c r="H1642" s="1" t="s">
        <v>1212</v>
      </c>
      <c r="I1642" s="2">
        <v>46177.665930289353</v>
      </c>
      <c r="J1642" s="1" t="s">
        <v>1212</v>
      </c>
    </row>
    <row r="1643" spans="1:10" x14ac:dyDescent="0.35">
      <c r="A1643" s="1" t="s">
        <v>2237</v>
      </c>
      <c r="B1643" s="1" t="s">
        <v>1224</v>
      </c>
      <c r="C1643" s="1" t="s">
        <v>1210</v>
      </c>
      <c r="D1643" s="2">
        <v>46177</v>
      </c>
      <c r="E1643">
        <v>96.15</v>
      </c>
      <c r="F1643" s="1"/>
      <c r="G1643" s="2">
        <v>46177.665930405092</v>
      </c>
      <c r="H1643" s="1" t="s">
        <v>1212</v>
      </c>
      <c r="I1643" s="2">
        <v>46177.665930289353</v>
      </c>
      <c r="J1643" s="1" t="s">
        <v>1212</v>
      </c>
    </row>
    <row r="1644" spans="1:10" x14ac:dyDescent="0.35">
      <c r="A1644" s="1" t="s">
        <v>2238</v>
      </c>
      <c r="B1644" s="1" t="s">
        <v>1224</v>
      </c>
      <c r="C1644" s="1" t="s">
        <v>1210</v>
      </c>
      <c r="D1644" s="2">
        <v>46177</v>
      </c>
      <c r="E1644">
        <v>96</v>
      </c>
      <c r="F1644" s="1"/>
      <c r="G1644" s="2">
        <v>46177.665930405092</v>
      </c>
      <c r="H1644" s="1" t="s">
        <v>1212</v>
      </c>
      <c r="I1644" s="2">
        <v>46177.665930289353</v>
      </c>
      <c r="J1644" s="1" t="s">
        <v>1212</v>
      </c>
    </row>
    <row r="1645" spans="1:10" x14ac:dyDescent="0.35">
      <c r="A1645" s="1" t="s">
        <v>2239</v>
      </c>
      <c r="B1645" s="1" t="s">
        <v>1224</v>
      </c>
      <c r="C1645" s="1" t="s">
        <v>1210</v>
      </c>
      <c r="D1645" s="2">
        <v>46177</v>
      </c>
      <c r="E1645">
        <v>96.12</v>
      </c>
      <c r="F1645" s="1"/>
      <c r="G1645" s="2">
        <v>46177.665930405092</v>
      </c>
      <c r="H1645" s="1" t="s">
        <v>1212</v>
      </c>
      <c r="I1645" s="2">
        <v>46177.665930289353</v>
      </c>
      <c r="J1645" s="1" t="s">
        <v>1212</v>
      </c>
    </row>
    <row r="1646" spans="1:10" x14ac:dyDescent="0.35">
      <c r="A1646" s="1" t="s">
        <v>2240</v>
      </c>
      <c r="B1646" s="1" t="s">
        <v>1224</v>
      </c>
      <c r="C1646" s="1" t="s">
        <v>1210</v>
      </c>
      <c r="D1646" s="2">
        <v>46177</v>
      </c>
      <c r="E1646">
        <v>96</v>
      </c>
      <c r="F1646" s="1"/>
      <c r="G1646" s="2">
        <v>46177.665930405092</v>
      </c>
      <c r="H1646" s="1" t="s">
        <v>1212</v>
      </c>
      <c r="I1646" s="2">
        <v>46177.665930289353</v>
      </c>
      <c r="J1646" s="1" t="s">
        <v>1212</v>
      </c>
    </row>
    <row r="1647" spans="1:10" x14ac:dyDescent="0.35">
      <c r="A1647" s="1" t="s">
        <v>2241</v>
      </c>
      <c r="B1647" s="1" t="s">
        <v>1224</v>
      </c>
      <c r="C1647" s="1" t="s">
        <v>1210</v>
      </c>
      <c r="D1647" s="2">
        <v>46177</v>
      </c>
      <c r="E1647">
        <v>96.09</v>
      </c>
      <c r="F1647" s="1"/>
      <c r="G1647" s="2">
        <v>46177.665930405092</v>
      </c>
      <c r="H1647" s="1" t="s">
        <v>1212</v>
      </c>
      <c r="I1647" s="2">
        <v>46177.665930289353</v>
      </c>
      <c r="J1647" s="1" t="s">
        <v>1212</v>
      </c>
    </row>
    <row r="1648" spans="1:10" x14ac:dyDescent="0.35">
      <c r="A1648" s="1" t="s">
        <v>6895</v>
      </c>
      <c r="B1648" s="1" t="s">
        <v>1224</v>
      </c>
      <c r="C1648" s="1" t="s">
        <v>1210</v>
      </c>
      <c r="D1648" s="2">
        <v>46177</v>
      </c>
      <c r="E1648">
        <v>96</v>
      </c>
      <c r="F1648" s="1"/>
      <c r="G1648" s="2">
        <v>46177.665930405092</v>
      </c>
      <c r="H1648" s="1" t="s">
        <v>1212</v>
      </c>
      <c r="I1648" s="2">
        <v>46177.665930289353</v>
      </c>
      <c r="J1648" s="1" t="s">
        <v>1212</v>
      </c>
    </row>
    <row r="1649" spans="1:10" x14ac:dyDescent="0.35">
      <c r="A1649" s="1" t="s">
        <v>2242</v>
      </c>
      <c r="B1649" s="1" t="s">
        <v>1224</v>
      </c>
      <c r="C1649" s="1" t="s">
        <v>1210</v>
      </c>
      <c r="D1649" s="2">
        <v>46177</v>
      </c>
      <c r="E1649">
        <v>96.06</v>
      </c>
      <c r="F1649" s="1"/>
      <c r="G1649" s="2">
        <v>46177.665930405092</v>
      </c>
      <c r="H1649" s="1" t="s">
        <v>1212</v>
      </c>
      <c r="I1649" s="2">
        <v>46177.665930289353</v>
      </c>
      <c r="J1649" s="1" t="s">
        <v>1212</v>
      </c>
    </row>
    <row r="1650" spans="1:10" x14ac:dyDescent="0.35">
      <c r="A1650" s="1" t="s">
        <v>2243</v>
      </c>
      <c r="B1650" s="1" t="s">
        <v>1224</v>
      </c>
      <c r="C1650" s="1" t="s">
        <v>1210</v>
      </c>
      <c r="D1650" s="2">
        <v>46177</v>
      </c>
      <c r="E1650">
        <v>96.4</v>
      </c>
      <c r="F1650" s="1"/>
      <c r="G1650" s="2">
        <v>46177.665930405092</v>
      </c>
      <c r="H1650" s="1" t="s">
        <v>1212</v>
      </c>
      <c r="I1650" s="2">
        <v>46177.665930289353</v>
      </c>
      <c r="J1650" s="1" t="s">
        <v>1212</v>
      </c>
    </row>
    <row r="1651" spans="1:10" x14ac:dyDescent="0.35">
      <c r="A1651" s="1" t="s">
        <v>2244</v>
      </c>
      <c r="B1651" s="1" t="s">
        <v>1224</v>
      </c>
      <c r="C1651" s="1" t="s">
        <v>1210</v>
      </c>
      <c r="D1651" s="2">
        <v>46177</v>
      </c>
      <c r="E1651">
        <v>96.03</v>
      </c>
      <c r="F1651" s="1"/>
      <c r="G1651" s="2">
        <v>46177.665930405092</v>
      </c>
      <c r="H1651" s="1" t="s">
        <v>1212</v>
      </c>
      <c r="I1651" s="2">
        <v>46177.665930289353</v>
      </c>
      <c r="J1651" s="1" t="s">
        <v>1212</v>
      </c>
    </row>
    <row r="1652" spans="1:10" x14ac:dyDescent="0.35">
      <c r="A1652" s="1" t="s">
        <v>2245</v>
      </c>
      <c r="B1652" s="1" t="s">
        <v>1224</v>
      </c>
      <c r="C1652" s="1" t="s">
        <v>1210</v>
      </c>
      <c r="D1652" s="2">
        <v>46177</v>
      </c>
      <c r="E1652">
        <v>96.38</v>
      </c>
      <c r="F1652" s="1"/>
      <c r="G1652" s="2">
        <v>46177.665930405092</v>
      </c>
      <c r="H1652" s="1" t="s">
        <v>1212</v>
      </c>
      <c r="I1652" s="2">
        <v>46177.665930289353</v>
      </c>
      <c r="J1652" s="1" t="s">
        <v>1212</v>
      </c>
    </row>
    <row r="1653" spans="1:10" x14ac:dyDescent="0.35">
      <c r="A1653" s="1" t="s">
        <v>2246</v>
      </c>
      <c r="B1653" s="1" t="s">
        <v>1224</v>
      </c>
      <c r="C1653" s="1" t="s">
        <v>1210</v>
      </c>
      <c r="D1653" s="2">
        <v>46177</v>
      </c>
      <c r="E1653">
        <v>96</v>
      </c>
      <c r="F1653" s="1"/>
      <c r="G1653" s="2">
        <v>46177.665930405092</v>
      </c>
      <c r="H1653" s="1" t="s">
        <v>1212</v>
      </c>
      <c r="I1653" s="2">
        <v>46177.665930289353</v>
      </c>
      <c r="J1653" s="1" t="s">
        <v>1212</v>
      </c>
    </row>
    <row r="1654" spans="1:10" x14ac:dyDescent="0.35">
      <c r="A1654" s="1" t="s">
        <v>2247</v>
      </c>
      <c r="B1654" s="1" t="s">
        <v>1224</v>
      </c>
      <c r="C1654" s="1" t="s">
        <v>1210</v>
      </c>
      <c r="D1654" s="2">
        <v>46177</v>
      </c>
      <c r="E1654">
        <v>96.344999999999999</v>
      </c>
      <c r="F1654" s="1"/>
      <c r="G1654" s="2">
        <v>46177.665930405092</v>
      </c>
      <c r="H1654" s="1" t="s">
        <v>1212</v>
      </c>
      <c r="I1654" s="2">
        <v>46177.665930289353</v>
      </c>
      <c r="J1654" s="1" t="s">
        <v>1212</v>
      </c>
    </row>
    <row r="1655" spans="1:10" x14ac:dyDescent="0.35">
      <c r="A1655" s="1" t="s">
        <v>2248</v>
      </c>
      <c r="B1655" s="1" t="s">
        <v>1224</v>
      </c>
      <c r="C1655" s="1" t="s">
        <v>1210</v>
      </c>
      <c r="D1655" s="2">
        <v>46177</v>
      </c>
      <c r="E1655">
        <v>96</v>
      </c>
      <c r="F1655" s="1"/>
      <c r="G1655" s="2">
        <v>46177.665930405092</v>
      </c>
      <c r="H1655" s="1" t="s">
        <v>1212</v>
      </c>
      <c r="I1655" s="2">
        <v>46177.665930289353</v>
      </c>
      <c r="J1655" s="1" t="s">
        <v>1212</v>
      </c>
    </row>
    <row r="1656" spans="1:10" x14ac:dyDescent="0.35">
      <c r="A1656" s="1" t="s">
        <v>2249</v>
      </c>
      <c r="B1656" s="1" t="s">
        <v>1224</v>
      </c>
      <c r="C1656" s="1" t="s">
        <v>1210</v>
      </c>
      <c r="D1656" s="2">
        <v>46177</v>
      </c>
      <c r="E1656">
        <v>96.314999999999998</v>
      </c>
      <c r="F1656" s="1"/>
      <c r="G1656" s="2">
        <v>46177.665930405092</v>
      </c>
      <c r="H1656" s="1" t="s">
        <v>1212</v>
      </c>
      <c r="I1656" s="2">
        <v>46177.665930289353</v>
      </c>
      <c r="J1656" s="1" t="s">
        <v>1212</v>
      </c>
    </row>
    <row r="1657" spans="1:10" x14ac:dyDescent="0.35">
      <c r="A1657" s="1" t="s">
        <v>2250</v>
      </c>
      <c r="B1657" s="1" t="s">
        <v>1224</v>
      </c>
      <c r="C1657" s="1" t="s">
        <v>1210</v>
      </c>
      <c r="D1657" s="2">
        <v>46177</v>
      </c>
      <c r="E1657">
        <v>96</v>
      </c>
      <c r="F1657" s="1"/>
      <c r="G1657" s="2">
        <v>46177.665930405092</v>
      </c>
      <c r="H1657" s="1" t="s">
        <v>1212</v>
      </c>
      <c r="I1657" s="2">
        <v>46177.665930289353</v>
      </c>
      <c r="J1657" s="1" t="s">
        <v>1212</v>
      </c>
    </row>
    <row r="1658" spans="1:10" x14ac:dyDescent="0.35">
      <c r="A1658" s="1" t="s">
        <v>2251</v>
      </c>
      <c r="B1658" s="1" t="s">
        <v>1224</v>
      </c>
      <c r="C1658" s="1" t="s">
        <v>1210</v>
      </c>
      <c r="D1658" s="2">
        <v>46177</v>
      </c>
      <c r="E1658">
        <v>96.29</v>
      </c>
      <c r="F1658" s="1"/>
      <c r="G1658" s="2">
        <v>46177.665930405092</v>
      </c>
      <c r="H1658" s="1" t="s">
        <v>1212</v>
      </c>
      <c r="I1658" s="2">
        <v>46177.665930289353</v>
      </c>
      <c r="J1658" s="1" t="s">
        <v>1212</v>
      </c>
    </row>
    <row r="1659" spans="1:10" x14ac:dyDescent="0.35">
      <c r="A1659" s="1" t="s">
        <v>2252</v>
      </c>
      <c r="B1659" s="1" t="s">
        <v>1224</v>
      </c>
      <c r="C1659" s="1" t="s">
        <v>1210</v>
      </c>
      <c r="D1659" s="2">
        <v>46177</v>
      </c>
      <c r="E1659">
        <v>96</v>
      </c>
      <c r="F1659" s="1"/>
      <c r="G1659" s="2">
        <v>46177.665930405092</v>
      </c>
      <c r="H1659" s="1" t="s">
        <v>1212</v>
      </c>
      <c r="I1659" s="2">
        <v>46177.665930289353</v>
      </c>
      <c r="J1659" s="1" t="s">
        <v>1212</v>
      </c>
    </row>
    <row r="1660" spans="1:10" x14ac:dyDescent="0.35">
      <c r="A1660" s="1" t="s">
        <v>2253</v>
      </c>
      <c r="B1660" s="1" t="s">
        <v>1224</v>
      </c>
      <c r="C1660" s="1" t="s">
        <v>1210</v>
      </c>
      <c r="D1660" s="2">
        <v>46177</v>
      </c>
      <c r="E1660">
        <v>96.26</v>
      </c>
      <c r="F1660" s="1"/>
      <c r="G1660" s="2">
        <v>46177.665930405092</v>
      </c>
      <c r="H1660" s="1" t="s">
        <v>1212</v>
      </c>
      <c r="I1660" s="2">
        <v>46177.665930289353</v>
      </c>
      <c r="J1660" s="1" t="s">
        <v>1212</v>
      </c>
    </row>
    <row r="1661" spans="1:10" x14ac:dyDescent="0.35">
      <c r="A1661" s="1" t="s">
        <v>2254</v>
      </c>
      <c r="B1661" s="1" t="s">
        <v>1224</v>
      </c>
      <c r="C1661" s="1" t="s">
        <v>1210</v>
      </c>
      <c r="D1661" s="2">
        <v>46177</v>
      </c>
      <c r="E1661">
        <v>96</v>
      </c>
      <c r="F1661" s="1"/>
      <c r="G1661" s="2">
        <v>46177.665930405092</v>
      </c>
      <c r="H1661" s="1" t="s">
        <v>1212</v>
      </c>
      <c r="I1661" s="2">
        <v>46177.665930289353</v>
      </c>
      <c r="J1661" s="1" t="s">
        <v>1212</v>
      </c>
    </row>
    <row r="1662" spans="1:10" x14ac:dyDescent="0.35">
      <c r="A1662" s="1" t="s">
        <v>2255</v>
      </c>
      <c r="B1662" s="1" t="s">
        <v>1224</v>
      </c>
      <c r="C1662" s="1" t="s">
        <v>1210</v>
      </c>
      <c r="D1662" s="2">
        <v>46177</v>
      </c>
      <c r="E1662">
        <v>96.194999999999993</v>
      </c>
      <c r="F1662" s="1"/>
      <c r="G1662" s="2">
        <v>46177.665930405092</v>
      </c>
      <c r="H1662" s="1" t="s">
        <v>1212</v>
      </c>
      <c r="I1662" s="2">
        <v>46177.665930289353</v>
      </c>
      <c r="J1662" s="1" t="s">
        <v>1212</v>
      </c>
    </row>
    <row r="1663" spans="1:10" x14ac:dyDescent="0.35">
      <c r="A1663" s="1" t="s">
        <v>2256</v>
      </c>
      <c r="B1663" s="1" t="s">
        <v>1224</v>
      </c>
      <c r="C1663" s="1" t="s">
        <v>1210</v>
      </c>
      <c r="D1663" s="2">
        <v>46177</v>
      </c>
      <c r="E1663">
        <v>96</v>
      </c>
      <c r="F1663" s="1"/>
      <c r="G1663" s="2">
        <v>46177.665930405092</v>
      </c>
      <c r="H1663" s="1" t="s">
        <v>1212</v>
      </c>
      <c r="I1663" s="2">
        <v>46177.665930289353</v>
      </c>
      <c r="J1663" s="1" t="s">
        <v>1212</v>
      </c>
    </row>
    <row r="1664" spans="1:10" x14ac:dyDescent="0.35">
      <c r="A1664" s="1" t="s">
        <v>2257</v>
      </c>
      <c r="B1664" s="1" t="s">
        <v>1224</v>
      </c>
      <c r="C1664" s="1" t="s">
        <v>1210</v>
      </c>
      <c r="D1664" s="2">
        <v>46177</v>
      </c>
      <c r="E1664">
        <v>96.37</v>
      </c>
      <c r="F1664" s="1" t="s">
        <v>6896</v>
      </c>
      <c r="G1664" s="2">
        <v>46177.780108564817</v>
      </c>
      <c r="H1664" s="1" t="s">
        <v>1211</v>
      </c>
      <c r="I1664" s="2">
        <v>46177.780108449071</v>
      </c>
      <c r="J1664" s="1" t="s">
        <v>1211</v>
      </c>
    </row>
    <row r="1665" spans="1:10" x14ac:dyDescent="0.35">
      <c r="A1665" s="1" t="s">
        <v>2258</v>
      </c>
      <c r="B1665" s="1" t="s">
        <v>1224</v>
      </c>
      <c r="C1665" s="1" t="s">
        <v>1210</v>
      </c>
      <c r="D1665" s="2">
        <v>46177</v>
      </c>
      <c r="E1665">
        <v>96.055000000000007</v>
      </c>
      <c r="F1665" s="1" t="s">
        <v>6897</v>
      </c>
      <c r="G1665" s="2">
        <v>46177.780109224535</v>
      </c>
      <c r="H1665" s="1" t="s">
        <v>1211</v>
      </c>
      <c r="I1665" s="2">
        <v>46177.780109178238</v>
      </c>
      <c r="J1665" s="1" t="s">
        <v>1211</v>
      </c>
    </row>
    <row r="1666" spans="1:10" x14ac:dyDescent="0.35">
      <c r="A1666" s="1" t="s">
        <v>2259</v>
      </c>
      <c r="B1666" s="1" t="s">
        <v>1224</v>
      </c>
      <c r="C1666" s="1" t="s">
        <v>1210</v>
      </c>
      <c r="D1666" s="2">
        <v>46177</v>
      </c>
      <c r="E1666">
        <v>96.347499999999997</v>
      </c>
      <c r="F1666" s="1" t="s">
        <v>6898</v>
      </c>
      <c r="G1666" s="2">
        <v>46177.780108715277</v>
      </c>
      <c r="H1666" s="1" t="s">
        <v>1211</v>
      </c>
      <c r="I1666" s="2">
        <v>46177.780108645835</v>
      </c>
      <c r="J1666" s="1" t="s">
        <v>1211</v>
      </c>
    </row>
    <row r="1667" spans="1:10" x14ac:dyDescent="0.35">
      <c r="A1667" s="1" t="s">
        <v>2260</v>
      </c>
      <c r="B1667" s="1" t="s">
        <v>1224</v>
      </c>
      <c r="C1667" s="1" t="s">
        <v>1210</v>
      </c>
      <c r="D1667" s="2">
        <v>46177</v>
      </c>
      <c r="E1667">
        <v>96.025000000000006</v>
      </c>
      <c r="F1667" s="1" t="s">
        <v>6899</v>
      </c>
      <c r="G1667" s="2">
        <v>46177.780109375002</v>
      </c>
      <c r="H1667" s="1" t="s">
        <v>1211</v>
      </c>
      <c r="I1667" s="2">
        <v>46177.780109375002</v>
      </c>
      <c r="J1667" s="1" t="s">
        <v>1211</v>
      </c>
    </row>
    <row r="1668" spans="1:10" x14ac:dyDescent="0.35">
      <c r="A1668" s="1" t="s">
        <v>2261</v>
      </c>
      <c r="B1668" s="1" t="s">
        <v>1224</v>
      </c>
      <c r="C1668" s="1" t="s">
        <v>1210</v>
      </c>
      <c r="D1668" s="2">
        <v>46177</v>
      </c>
      <c r="E1668">
        <v>96.26</v>
      </c>
      <c r="F1668" s="1" t="s">
        <v>6900</v>
      </c>
      <c r="G1668" s="2">
        <v>46177.78010891204</v>
      </c>
      <c r="H1668" s="1" t="s">
        <v>1211</v>
      </c>
      <c r="I1668" s="2">
        <v>46177.780108831015</v>
      </c>
      <c r="J1668" s="1" t="s">
        <v>1211</v>
      </c>
    </row>
    <row r="1669" spans="1:10" x14ac:dyDescent="0.35">
      <c r="A1669" s="1" t="s">
        <v>2262</v>
      </c>
      <c r="B1669" s="1" t="s">
        <v>1224</v>
      </c>
      <c r="C1669" s="1" t="s">
        <v>1210</v>
      </c>
      <c r="D1669" s="2">
        <v>46177</v>
      </c>
      <c r="E1669">
        <v>96.045000000000002</v>
      </c>
      <c r="F1669" s="1" t="s">
        <v>6901</v>
      </c>
      <c r="G1669" s="2">
        <v>46177.780109525462</v>
      </c>
      <c r="H1669" s="1" t="s">
        <v>1211</v>
      </c>
      <c r="I1669" s="2">
        <v>46177.780109571759</v>
      </c>
      <c r="J1669" s="1" t="s">
        <v>1211</v>
      </c>
    </row>
    <row r="1670" spans="1:10" x14ac:dyDescent="0.35">
      <c r="A1670" s="1" t="s">
        <v>2263</v>
      </c>
      <c r="B1670" s="1" t="s">
        <v>1224</v>
      </c>
      <c r="C1670" s="1" t="s">
        <v>1210</v>
      </c>
      <c r="D1670" s="2">
        <v>46177</v>
      </c>
      <c r="E1670">
        <v>96.144999999999996</v>
      </c>
      <c r="F1670" s="1" t="s">
        <v>6902</v>
      </c>
      <c r="G1670" s="2">
        <v>46177.7801090625</v>
      </c>
      <c r="H1670" s="1" t="s">
        <v>1211</v>
      </c>
      <c r="I1670" s="2">
        <v>46177.780108993058</v>
      </c>
      <c r="J1670" s="1" t="s">
        <v>1211</v>
      </c>
    </row>
    <row r="1671" spans="1:10" x14ac:dyDescent="0.35">
      <c r="A1671" s="1" t="s">
        <v>2264</v>
      </c>
      <c r="B1671" s="1" t="s">
        <v>1224</v>
      </c>
      <c r="C1671" s="1" t="s">
        <v>1210</v>
      </c>
      <c r="D1671" s="2">
        <v>46177</v>
      </c>
      <c r="E1671">
        <v>96.094999999999999</v>
      </c>
      <c r="F1671" s="1" t="s">
        <v>6903</v>
      </c>
      <c r="G1671" s="2">
        <v>46177.780109687497</v>
      </c>
      <c r="H1671" s="1" t="s">
        <v>1211</v>
      </c>
      <c r="I1671" s="2">
        <v>46177.780109571759</v>
      </c>
      <c r="J1671" s="1" t="s">
        <v>1211</v>
      </c>
    </row>
    <row r="1672" spans="1:10" x14ac:dyDescent="0.35">
      <c r="A1672" s="1" t="s">
        <v>2265</v>
      </c>
      <c r="B1672" s="1" t="s">
        <v>1224</v>
      </c>
      <c r="C1672" s="1" t="s">
        <v>1210</v>
      </c>
      <c r="D1672" s="2">
        <v>46177</v>
      </c>
      <c r="E1672">
        <v>103.296875</v>
      </c>
      <c r="F1672" s="1" t="s">
        <v>6904</v>
      </c>
      <c r="G1672" s="2">
        <v>46177.77756412037</v>
      </c>
      <c r="H1672" s="1" t="s">
        <v>1211</v>
      </c>
      <c r="I1672" s="2">
        <v>46177.777564085649</v>
      </c>
      <c r="J1672" s="1" t="s">
        <v>1211</v>
      </c>
    </row>
    <row r="1673" spans="1:10" x14ac:dyDescent="0.35">
      <c r="A1673" s="1" t="s">
        <v>2266</v>
      </c>
      <c r="B1673" s="1" t="s">
        <v>1224</v>
      </c>
      <c r="C1673" s="1" t="s">
        <v>1210</v>
      </c>
      <c r="D1673" s="2">
        <v>46177</v>
      </c>
      <c r="E1673">
        <v>103.203125</v>
      </c>
      <c r="F1673" s="1" t="s">
        <v>6905</v>
      </c>
      <c r="G1673" s="2">
        <v>46177.777564270837</v>
      </c>
      <c r="H1673" s="1" t="s">
        <v>1211</v>
      </c>
      <c r="I1673" s="2">
        <v>46177.777564270837</v>
      </c>
      <c r="J1673" s="1" t="s">
        <v>1211</v>
      </c>
    </row>
    <row r="1674" spans="1:10" x14ac:dyDescent="0.35">
      <c r="A1674" s="1" t="s">
        <v>2267</v>
      </c>
      <c r="B1674" s="1" t="s">
        <v>1224</v>
      </c>
      <c r="C1674" s="1" t="s">
        <v>1210</v>
      </c>
      <c r="D1674" s="2">
        <v>46177</v>
      </c>
      <c r="E1674">
        <v>103.125</v>
      </c>
      <c r="F1674" s="1" t="s">
        <v>6906</v>
      </c>
      <c r="G1674" s="2">
        <v>46177.777564432872</v>
      </c>
      <c r="H1674" s="1" t="s">
        <v>1211</v>
      </c>
      <c r="I1674" s="2">
        <v>46177.777564467593</v>
      </c>
      <c r="J1674" s="1" t="s">
        <v>1211</v>
      </c>
    </row>
    <row r="1675" spans="1:10" x14ac:dyDescent="0.35">
      <c r="A1675" s="1" t="s">
        <v>2268</v>
      </c>
      <c r="B1675" s="1" t="s">
        <v>1224</v>
      </c>
      <c r="C1675" s="1" t="s">
        <v>1210</v>
      </c>
      <c r="D1675" s="2">
        <v>46177</v>
      </c>
      <c r="E1675">
        <v>109.84375</v>
      </c>
      <c r="F1675" s="1" t="s">
        <v>6907</v>
      </c>
      <c r="G1675" s="2">
        <v>46177.777564618053</v>
      </c>
      <c r="H1675" s="1" t="s">
        <v>1211</v>
      </c>
      <c r="I1675" s="2">
        <v>46177.777564664349</v>
      </c>
      <c r="J1675" s="1" t="s">
        <v>1211</v>
      </c>
    </row>
    <row r="1676" spans="1:10" x14ac:dyDescent="0.35">
      <c r="A1676" s="1" t="s">
        <v>2269</v>
      </c>
      <c r="B1676" s="1" t="s">
        <v>1224</v>
      </c>
      <c r="C1676" s="1" t="s">
        <v>1210</v>
      </c>
      <c r="D1676" s="2">
        <v>46177</v>
      </c>
      <c r="E1676">
        <v>109.59375</v>
      </c>
      <c r="F1676" s="1" t="s">
        <v>6908</v>
      </c>
      <c r="G1676" s="2">
        <v>46177.777564780095</v>
      </c>
      <c r="H1676" s="1" t="s">
        <v>1211</v>
      </c>
      <c r="I1676" s="2">
        <v>46177.777564814816</v>
      </c>
      <c r="J1676" s="1" t="s">
        <v>1211</v>
      </c>
    </row>
    <row r="1677" spans="1:10" x14ac:dyDescent="0.35">
      <c r="A1677" s="1" t="s">
        <v>2270</v>
      </c>
      <c r="B1677" s="1" t="s">
        <v>1224</v>
      </c>
      <c r="C1677" s="1" t="s">
        <v>1210</v>
      </c>
      <c r="D1677" s="2">
        <v>46177</v>
      </c>
      <c r="E1677">
        <v>109.46875</v>
      </c>
      <c r="F1677" s="1" t="s">
        <v>6909</v>
      </c>
      <c r="G1677" s="2">
        <v>46177.777564930555</v>
      </c>
      <c r="H1677" s="1" t="s">
        <v>1211</v>
      </c>
      <c r="I1677" s="2">
        <v>46177.777565011573</v>
      </c>
      <c r="J1677" s="1" t="s">
        <v>1211</v>
      </c>
    </row>
    <row r="1678" spans="1:10" x14ac:dyDescent="0.35">
      <c r="A1678" s="1" t="s">
        <v>2271</v>
      </c>
      <c r="B1678" s="1" t="s">
        <v>1224</v>
      </c>
      <c r="C1678" s="1" t="s">
        <v>1210</v>
      </c>
      <c r="D1678" s="2">
        <v>46177</v>
      </c>
      <c r="E1678">
        <v>108.66</v>
      </c>
      <c r="F1678" s="1" t="s">
        <v>6910</v>
      </c>
      <c r="G1678" s="2">
        <v>46177.777565081022</v>
      </c>
      <c r="H1678" s="1" t="s">
        <v>1211</v>
      </c>
      <c r="I1678" s="2">
        <v>46177.77756519676</v>
      </c>
      <c r="J1678" s="1" t="s">
        <v>1211</v>
      </c>
    </row>
    <row r="1679" spans="1:10" x14ac:dyDescent="0.35">
      <c r="A1679" s="1" t="s">
        <v>2272</v>
      </c>
      <c r="B1679" s="1" t="s">
        <v>1224</v>
      </c>
      <c r="C1679" s="1" t="s">
        <v>1210</v>
      </c>
      <c r="D1679" s="2">
        <v>46177</v>
      </c>
      <c r="E1679">
        <v>108.16</v>
      </c>
      <c r="F1679" s="1" t="s">
        <v>6911</v>
      </c>
      <c r="G1679" s="2">
        <v>46177.777565243057</v>
      </c>
      <c r="H1679" s="1" t="s">
        <v>1211</v>
      </c>
      <c r="I1679" s="2">
        <v>46177.77756519676</v>
      </c>
      <c r="J1679" s="1" t="s">
        <v>1211</v>
      </c>
    </row>
    <row r="1680" spans="1:10" x14ac:dyDescent="0.35">
      <c r="A1680" s="1" t="s">
        <v>2273</v>
      </c>
      <c r="B1680" s="1" t="s">
        <v>1224</v>
      </c>
      <c r="C1680" s="1" t="s">
        <v>1210</v>
      </c>
      <c r="D1680" s="2">
        <v>46177</v>
      </c>
      <c r="E1680">
        <v>108.02</v>
      </c>
      <c r="F1680" s="1" t="s">
        <v>6912</v>
      </c>
      <c r="G1680" s="2">
        <v>46177.777565393517</v>
      </c>
      <c r="H1680" s="1" t="s">
        <v>1211</v>
      </c>
      <c r="I1680" s="2">
        <v>46177.777565358796</v>
      </c>
      <c r="J1680" s="1" t="s">
        <v>1211</v>
      </c>
    </row>
    <row r="1681" spans="1:10" x14ac:dyDescent="0.35">
      <c r="A1681" s="1" t="s">
        <v>2274</v>
      </c>
      <c r="B1681" s="1" t="s">
        <v>1224</v>
      </c>
      <c r="C1681" s="1" t="s">
        <v>1210</v>
      </c>
      <c r="D1681" s="2">
        <v>46177</v>
      </c>
      <c r="E1681">
        <v>112.78125</v>
      </c>
      <c r="F1681" s="1" t="s">
        <v>6913</v>
      </c>
      <c r="G1681" s="2">
        <v>46177.777565509263</v>
      </c>
      <c r="H1681" s="1" t="s">
        <v>1211</v>
      </c>
      <c r="I1681" s="2">
        <v>46177.777565543984</v>
      </c>
      <c r="J1681" s="1" t="s">
        <v>1211</v>
      </c>
    </row>
    <row r="1682" spans="1:10" x14ac:dyDescent="0.35">
      <c r="A1682" s="1" t="s">
        <v>2275</v>
      </c>
      <c r="B1682" s="1" t="s">
        <v>1209</v>
      </c>
      <c r="C1682" s="1" t="s">
        <v>1210</v>
      </c>
      <c r="D1682" s="2">
        <v>46177</v>
      </c>
      <c r="E1682">
        <v>3.8264550000000001E-2</v>
      </c>
      <c r="F1682" s="1"/>
      <c r="G1682" s="2">
        <v>46177.668355868052</v>
      </c>
      <c r="H1682" s="1" t="s">
        <v>1212</v>
      </c>
      <c r="I1682" s="2">
        <v>46177.668355787035</v>
      </c>
      <c r="J1682" s="1" t="s">
        <v>1212</v>
      </c>
    </row>
    <row r="1683" spans="1:10" x14ac:dyDescent="0.35">
      <c r="A1683" s="1" t="s">
        <v>2276</v>
      </c>
      <c r="B1683" s="1" t="s">
        <v>1209</v>
      </c>
      <c r="C1683" s="1" t="s">
        <v>1210</v>
      </c>
      <c r="D1683" s="2">
        <v>46177</v>
      </c>
      <c r="E1683">
        <v>4.0355700000000001E-2</v>
      </c>
      <c r="F1683" s="1"/>
      <c r="G1683" s="2">
        <v>46177.668355868052</v>
      </c>
      <c r="H1683" s="1" t="s">
        <v>1212</v>
      </c>
      <c r="I1683" s="2">
        <v>46177.668355787035</v>
      </c>
      <c r="J1683" s="1" t="s">
        <v>1212</v>
      </c>
    </row>
    <row r="1684" spans="1:10" x14ac:dyDescent="0.35">
      <c r="A1684" s="1" t="s">
        <v>2277</v>
      </c>
      <c r="B1684" s="1" t="s">
        <v>1209</v>
      </c>
      <c r="C1684" s="1" t="s">
        <v>1210</v>
      </c>
      <c r="D1684" s="2">
        <v>46177</v>
      </c>
      <c r="E1684">
        <v>4.1015200000000002E-2</v>
      </c>
      <c r="F1684" s="1"/>
      <c r="G1684" s="2">
        <v>46177.668355868052</v>
      </c>
      <c r="H1684" s="1" t="s">
        <v>1212</v>
      </c>
      <c r="I1684" s="2">
        <v>46177.668355787035</v>
      </c>
      <c r="J1684" s="1" t="s">
        <v>1212</v>
      </c>
    </row>
    <row r="1685" spans="1:10" x14ac:dyDescent="0.35">
      <c r="A1685" s="1" t="s">
        <v>2278</v>
      </c>
      <c r="B1685" s="1" t="s">
        <v>1209</v>
      </c>
      <c r="C1685" s="1" t="s">
        <v>1210</v>
      </c>
      <c r="D1685" s="2">
        <v>46177</v>
      </c>
      <c r="E1685">
        <v>4.1876299999999998E-2</v>
      </c>
      <c r="F1685" s="1"/>
      <c r="G1685" s="2">
        <v>46177.668355868052</v>
      </c>
      <c r="H1685" s="1" t="s">
        <v>1212</v>
      </c>
      <c r="I1685" s="2">
        <v>46177.668355787035</v>
      </c>
      <c r="J1685" s="1" t="s">
        <v>1212</v>
      </c>
    </row>
    <row r="1686" spans="1:10" x14ac:dyDescent="0.35">
      <c r="A1686" s="1" t="s">
        <v>2279</v>
      </c>
      <c r="B1686" s="1" t="s">
        <v>1209</v>
      </c>
      <c r="C1686" s="1" t="s">
        <v>1210</v>
      </c>
      <c r="D1686" s="2">
        <v>46177</v>
      </c>
      <c r="E1686">
        <v>3.88253E-2</v>
      </c>
      <c r="F1686" s="1"/>
      <c r="G1686" s="2">
        <v>46177.668355868052</v>
      </c>
      <c r="H1686" s="1" t="s">
        <v>1212</v>
      </c>
      <c r="I1686" s="2">
        <v>46177.668355787035</v>
      </c>
      <c r="J1686" s="1" t="s">
        <v>1212</v>
      </c>
    </row>
    <row r="1687" spans="1:10" x14ac:dyDescent="0.35">
      <c r="A1687" s="1" t="s">
        <v>2280</v>
      </c>
      <c r="B1687" s="1" t="s">
        <v>1209</v>
      </c>
      <c r="C1687" s="1" t="s">
        <v>1210</v>
      </c>
      <c r="D1687" s="2">
        <v>46177</v>
      </c>
      <c r="E1687">
        <v>4.25735E-2</v>
      </c>
      <c r="F1687" s="1"/>
      <c r="G1687" s="2">
        <v>46177.668355868052</v>
      </c>
      <c r="H1687" s="1" t="s">
        <v>1212</v>
      </c>
      <c r="I1687" s="2">
        <v>46177.668355787035</v>
      </c>
      <c r="J1687" s="1" t="s">
        <v>1212</v>
      </c>
    </row>
    <row r="1688" spans="1:10" x14ac:dyDescent="0.35">
      <c r="A1688" s="1" t="s">
        <v>2281</v>
      </c>
      <c r="B1688" s="1" t="s">
        <v>1209</v>
      </c>
      <c r="C1688" s="1" t="s">
        <v>1210</v>
      </c>
      <c r="D1688" s="2">
        <v>46177</v>
      </c>
      <c r="E1688">
        <v>4.2523699999999998E-2</v>
      </c>
      <c r="F1688" s="1"/>
      <c r="G1688" s="2">
        <v>46177.668355868052</v>
      </c>
      <c r="H1688" s="1" t="s">
        <v>1212</v>
      </c>
      <c r="I1688" s="2">
        <v>46177.668355787035</v>
      </c>
      <c r="J1688" s="1" t="s">
        <v>1212</v>
      </c>
    </row>
    <row r="1689" spans="1:10" x14ac:dyDescent="0.35">
      <c r="A1689" s="1" t="s">
        <v>2282</v>
      </c>
      <c r="B1689" s="1" t="s">
        <v>1209</v>
      </c>
      <c r="C1689" s="1" t="s">
        <v>1210</v>
      </c>
      <c r="D1689" s="2">
        <v>46177</v>
      </c>
      <c r="E1689">
        <v>3.8712099999999999E-2</v>
      </c>
      <c r="F1689" s="1"/>
      <c r="G1689" s="2">
        <v>46177.668355868052</v>
      </c>
      <c r="H1689" s="1" t="s">
        <v>1212</v>
      </c>
      <c r="I1689" s="2">
        <v>46177.668355787035</v>
      </c>
      <c r="J1689" s="1" t="s">
        <v>1212</v>
      </c>
    </row>
    <row r="1690" spans="1:10" x14ac:dyDescent="0.35">
      <c r="A1690" s="1" t="s">
        <v>2283</v>
      </c>
      <c r="B1690" s="1" t="s">
        <v>1209</v>
      </c>
      <c r="C1690" s="1" t="s">
        <v>1210</v>
      </c>
      <c r="D1690" s="2">
        <v>46177</v>
      </c>
      <c r="E1690">
        <v>4.212685E-2</v>
      </c>
      <c r="F1690" s="1"/>
      <c r="G1690" s="2">
        <v>46177.668355868052</v>
      </c>
      <c r="H1690" s="1" t="s">
        <v>1212</v>
      </c>
      <c r="I1690" s="2">
        <v>46177.668355787035</v>
      </c>
      <c r="J1690" s="1" t="s">
        <v>1212</v>
      </c>
    </row>
    <row r="1691" spans="1:10" x14ac:dyDescent="0.35">
      <c r="A1691" s="1" t="s">
        <v>2284</v>
      </c>
      <c r="B1691" s="1" t="s">
        <v>1209</v>
      </c>
      <c r="C1691" s="1" t="s">
        <v>1210</v>
      </c>
      <c r="D1691" s="2">
        <v>46177</v>
      </c>
      <c r="E1691">
        <v>3.8620000000000002E-2</v>
      </c>
      <c r="F1691" s="1" t="s">
        <v>6914</v>
      </c>
      <c r="G1691" s="2">
        <v>46177.777499965276</v>
      </c>
      <c r="H1691" s="1" t="s">
        <v>1211</v>
      </c>
      <c r="I1691" s="2">
        <v>46177.777499965276</v>
      </c>
      <c r="J1691" s="1" t="s">
        <v>1211</v>
      </c>
    </row>
    <row r="1692" spans="1:10" x14ac:dyDescent="0.35">
      <c r="A1692" s="1" t="s">
        <v>2285</v>
      </c>
      <c r="B1692" s="1" t="s">
        <v>1209</v>
      </c>
      <c r="C1692" s="1" t="s">
        <v>1210</v>
      </c>
      <c r="D1692" s="2">
        <v>46177</v>
      </c>
      <c r="E1692">
        <v>3.86694E-2</v>
      </c>
      <c r="F1692" s="1"/>
      <c r="G1692" s="2">
        <v>46177.668355868052</v>
      </c>
      <c r="H1692" s="1" t="s">
        <v>1212</v>
      </c>
      <c r="I1692" s="2">
        <v>46177.668355787035</v>
      </c>
      <c r="J1692" s="1" t="s">
        <v>1212</v>
      </c>
    </row>
    <row r="1693" spans="1:10" x14ac:dyDescent="0.35">
      <c r="A1693" s="1" t="s">
        <v>2286</v>
      </c>
      <c r="B1693" s="1" t="s">
        <v>1209</v>
      </c>
      <c r="C1693" s="1" t="s">
        <v>1210</v>
      </c>
      <c r="D1693" s="2">
        <v>46177</v>
      </c>
      <c r="E1693">
        <v>4.0929E-2</v>
      </c>
      <c r="F1693" s="1" t="s">
        <v>6915</v>
      </c>
      <c r="G1693" s="2">
        <v>46177.77750196759</v>
      </c>
      <c r="H1693" s="1" t="s">
        <v>1211</v>
      </c>
      <c r="I1693" s="2">
        <v>46177.777501817131</v>
      </c>
      <c r="J1693" s="1" t="s">
        <v>1211</v>
      </c>
    </row>
    <row r="1694" spans="1:10" x14ac:dyDescent="0.35">
      <c r="A1694" s="1" t="s">
        <v>2287</v>
      </c>
      <c r="B1694" s="1" t="s">
        <v>1209</v>
      </c>
      <c r="C1694" s="1" t="s">
        <v>1210</v>
      </c>
      <c r="D1694" s="2">
        <v>46177</v>
      </c>
      <c r="E1694">
        <v>3.866E-2</v>
      </c>
      <c r="F1694" s="1" t="s">
        <v>6916</v>
      </c>
      <c r="G1694" s="2">
        <v>46177.777500231481</v>
      </c>
      <c r="H1694" s="1" t="s">
        <v>1211</v>
      </c>
      <c r="I1694" s="2">
        <v>46177.777500150463</v>
      </c>
      <c r="J1694" s="1" t="s">
        <v>1211</v>
      </c>
    </row>
    <row r="1695" spans="1:10" x14ac:dyDescent="0.35">
      <c r="A1695" s="1" t="s">
        <v>2288</v>
      </c>
      <c r="B1695" s="1" t="s">
        <v>1209</v>
      </c>
      <c r="C1695" s="1" t="s">
        <v>1210</v>
      </c>
      <c r="D1695" s="2">
        <v>46177</v>
      </c>
      <c r="E1695">
        <v>3.8797699999999997E-2</v>
      </c>
      <c r="F1695" s="1"/>
      <c r="G1695" s="2">
        <v>46177.668355868052</v>
      </c>
      <c r="H1695" s="1" t="s">
        <v>1212</v>
      </c>
      <c r="I1695" s="2">
        <v>46177.668355787035</v>
      </c>
      <c r="J1695" s="1" t="s">
        <v>1212</v>
      </c>
    </row>
    <row r="1696" spans="1:10" x14ac:dyDescent="0.35">
      <c r="A1696" s="1" t="s">
        <v>2289</v>
      </c>
      <c r="B1696" s="1" t="s">
        <v>1209</v>
      </c>
      <c r="C1696" s="1" t="s">
        <v>1210</v>
      </c>
      <c r="D1696" s="2">
        <v>46177</v>
      </c>
      <c r="E1696">
        <v>3.9057500000000002E-2</v>
      </c>
      <c r="F1696" s="1"/>
      <c r="G1696" s="2">
        <v>46177.668355868052</v>
      </c>
      <c r="H1696" s="1" t="s">
        <v>1212</v>
      </c>
      <c r="I1696" s="2">
        <v>46177.668355787035</v>
      </c>
      <c r="J1696" s="1" t="s">
        <v>1212</v>
      </c>
    </row>
    <row r="1697" spans="1:10" x14ac:dyDescent="0.35">
      <c r="A1697" s="1" t="s">
        <v>2290</v>
      </c>
      <c r="B1697" s="1" t="s">
        <v>1209</v>
      </c>
      <c r="C1697" s="1" t="s">
        <v>1210</v>
      </c>
      <c r="D1697" s="2">
        <v>46177</v>
      </c>
      <c r="E1697">
        <v>3.9365799999999999E-2</v>
      </c>
      <c r="F1697" s="1"/>
      <c r="G1697" s="2">
        <v>46177.668355868052</v>
      </c>
      <c r="H1697" s="1" t="s">
        <v>1212</v>
      </c>
      <c r="I1697" s="2">
        <v>46177.668355787035</v>
      </c>
      <c r="J1697" s="1" t="s">
        <v>1212</v>
      </c>
    </row>
    <row r="1698" spans="1:10" x14ac:dyDescent="0.35">
      <c r="A1698" s="1" t="s">
        <v>2291</v>
      </c>
      <c r="B1698" s="1" t="s">
        <v>1209</v>
      </c>
      <c r="C1698" s="1" t="s">
        <v>1210</v>
      </c>
      <c r="D1698" s="2">
        <v>46177</v>
      </c>
      <c r="E1698">
        <v>3.9688250000000001E-2</v>
      </c>
      <c r="F1698" s="1"/>
      <c r="G1698" s="2">
        <v>46177.668355868052</v>
      </c>
      <c r="H1698" s="1" t="s">
        <v>1212</v>
      </c>
      <c r="I1698" s="2">
        <v>46177.668355787035</v>
      </c>
      <c r="J1698" s="1" t="s">
        <v>1212</v>
      </c>
    </row>
    <row r="1699" spans="1:10" x14ac:dyDescent="0.35">
      <c r="A1699" s="1" t="s">
        <v>2292</v>
      </c>
      <c r="B1699" s="1" t="s">
        <v>1209</v>
      </c>
      <c r="C1699" s="1" t="s">
        <v>1210</v>
      </c>
      <c r="D1699" s="2">
        <v>46177</v>
      </c>
      <c r="E1699">
        <v>4.0016799999999998E-2</v>
      </c>
      <c r="F1699" s="1"/>
      <c r="G1699" s="2">
        <v>46177.668355868052</v>
      </c>
      <c r="H1699" s="1" t="s">
        <v>1212</v>
      </c>
      <c r="I1699" s="2">
        <v>46177.668355787035</v>
      </c>
      <c r="J1699" s="1" t="s">
        <v>1212</v>
      </c>
    </row>
    <row r="1700" spans="1:10" x14ac:dyDescent="0.35">
      <c r="A1700" s="1" t="s">
        <v>2293</v>
      </c>
      <c r="B1700" s="1" t="s">
        <v>1209</v>
      </c>
      <c r="C1700" s="1" t="s">
        <v>1210</v>
      </c>
      <c r="D1700" s="2">
        <v>46177</v>
      </c>
      <c r="E1700">
        <v>3.6247250000000002E-2</v>
      </c>
      <c r="F1700" s="1"/>
      <c r="G1700" s="2">
        <v>46177.668355868052</v>
      </c>
      <c r="H1700" s="1" t="s">
        <v>1212</v>
      </c>
      <c r="I1700" s="2">
        <v>46177.668355787035</v>
      </c>
      <c r="J1700" s="1" t="s">
        <v>1212</v>
      </c>
    </row>
    <row r="1701" spans="1:10" x14ac:dyDescent="0.35">
      <c r="A1701" s="1" t="s">
        <v>2294</v>
      </c>
      <c r="B1701" s="1" t="s">
        <v>1209</v>
      </c>
      <c r="C1701" s="1" t="s">
        <v>1210</v>
      </c>
      <c r="D1701" s="2">
        <v>46177</v>
      </c>
      <c r="E1701">
        <v>3.6350449999999999E-2</v>
      </c>
      <c r="F1701" s="1"/>
      <c r="G1701" s="2">
        <v>46177.668355868052</v>
      </c>
      <c r="H1701" s="1" t="s">
        <v>1212</v>
      </c>
      <c r="I1701" s="2">
        <v>46177.668355787035</v>
      </c>
      <c r="J1701" s="1" t="s">
        <v>1212</v>
      </c>
    </row>
    <row r="1702" spans="1:10" x14ac:dyDescent="0.35">
      <c r="A1702" s="1" t="s">
        <v>2295</v>
      </c>
      <c r="B1702" s="1" t="s">
        <v>1209</v>
      </c>
      <c r="C1702" s="1" t="s">
        <v>1210</v>
      </c>
      <c r="D1702" s="2">
        <v>46177</v>
      </c>
      <c r="E1702">
        <v>3.6465049999999999E-2</v>
      </c>
      <c r="F1702" s="1"/>
      <c r="G1702" s="2">
        <v>46177.668355868052</v>
      </c>
      <c r="H1702" s="1" t="s">
        <v>1212</v>
      </c>
      <c r="I1702" s="2">
        <v>46177.668355787035</v>
      </c>
      <c r="J1702" s="1" t="s">
        <v>1212</v>
      </c>
    </row>
    <row r="1703" spans="1:10" x14ac:dyDescent="0.35">
      <c r="A1703" s="1" t="s">
        <v>2296</v>
      </c>
      <c r="B1703" s="1" t="s">
        <v>1209</v>
      </c>
      <c r="C1703" s="1" t="s">
        <v>1210</v>
      </c>
      <c r="D1703" s="2">
        <v>46177</v>
      </c>
      <c r="E1703">
        <v>3.6628300000000003E-2</v>
      </c>
      <c r="F1703" s="1"/>
      <c r="G1703" s="2">
        <v>46177.668355868052</v>
      </c>
      <c r="H1703" s="1" t="s">
        <v>1212</v>
      </c>
      <c r="I1703" s="2">
        <v>46177.668355787035</v>
      </c>
      <c r="J1703" s="1" t="s">
        <v>1212</v>
      </c>
    </row>
    <row r="1704" spans="1:10" x14ac:dyDescent="0.35">
      <c r="A1704" s="1" t="s">
        <v>2297</v>
      </c>
      <c r="B1704" s="1" t="s">
        <v>1209</v>
      </c>
      <c r="C1704" s="1" t="s">
        <v>1210</v>
      </c>
      <c r="D1704" s="2">
        <v>46177</v>
      </c>
      <c r="E1704">
        <v>3.6808849999999997E-2</v>
      </c>
      <c r="F1704" s="1"/>
      <c r="G1704" s="2">
        <v>46177.668355868052</v>
      </c>
      <c r="H1704" s="1" t="s">
        <v>1212</v>
      </c>
      <c r="I1704" s="2">
        <v>46177.668355787035</v>
      </c>
      <c r="J1704" s="1" t="s">
        <v>1212</v>
      </c>
    </row>
    <row r="1705" spans="1:10" x14ac:dyDescent="0.35">
      <c r="A1705" s="1" t="s">
        <v>2298</v>
      </c>
      <c r="B1705" s="1" t="s">
        <v>1209</v>
      </c>
      <c r="C1705" s="1" t="s">
        <v>1210</v>
      </c>
      <c r="D1705" s="2">
        <v>46177</v>
      </c>
      <c r="E1705">
        <v>3.6970799999999998E-2</v>
      </c>
      <c r="F1705" s="1"/>
      <c r="G1705" s="2">
        <v>46177.668355868052</v>
      </c>
      <c r="H1705" s="1" t="s">
        <v>1212</v>
      </c>
      <c r="I1705" s="2">
        <v>46177.668355787035</v>
      </c>
      <c r="J1705" s="1" t="s">
        <v>1212</v>
      </c>
    </row>
    <row r="1706" spans="1:10" x14ac:dyDescent="0.35">
      <c r="A1706" s="1" t="s">
        <v>2299</v>
      </c>
      <c r="B1706" s="1" t="s">
        <v>1209</v>
      </c>
      <c r="C1706" s="1" t="s">
        <v>1210</v>
      </c>
      <c r="D1706" s="2">
        <v>46177</v>
      </c>
      <c r="E1706">
        <v>3.72042E-2</v>
      </c>
      <c r="F1706" s="1"/>
      <c r="G1706" s="2">
        <v>46177.668355868052</v>
      </c>
      <c r="H1706" s="1" t="s">
        <v>1212</v>
      </c>
      <c r="I1706" s="2">
        <v>46177.668355787035</v>
      </c>
      <c r="J1706" s="1" t="s">
        <v>1212</v>
      </c>
    </row>
    <row r="1707" spans="1:10" x14ac:dyDescent="0.35">
      <c r="A1707" s="1" t="s">
        <v>2300</v>
      </c>
      <c r="B1707" s="1" t="s">
        <v>1209</v>
      </c>
      <c r="C1707" s="1" t="s">
        <v>1210</v>
      </c>
      <c r="D1707" s="2">
        <v>46177</v>
      </c>
      <c r="E1707">
        <v>3.7416400000000002E-2</v>
      </c>
      <c r="F1707" s="1"/>
      <c r="G1707" s="2">
        <v>46177.668355868052</v>
      </c>
      <c r="H1707" s="1" t="s">
        <v>1212</v>
      </c>
      <c r="I1707" s="2">
        <v>46177.668355787035</v>
      </c>
      <c r="J1707" s="1" t="s">
        <v>1212</v>
      </c>
    </row>
    <row r="1708" spans="1:10" x14ac:dyDescent="0.35">
      <c r="A1708" s="1" t="s">
        <v>2301</v>
      </c>
      <c r="B1708" s="1" t="s">
        <v>1209</v>
      </c>
      <c r="C1708" s="1" t="s">
        <v>1210</v>
      </c>
      <c r="D1708" s="2">
        <v>46177</v>
      </c>
      <c r="E1708">
        <v>3.76067E-2</v>
      </c>
      <c r="F1708" s="1"/>
      <c r="G1708" s="2">
        <v>46177.668355868052</v>
      </c>
      <c r="H1708" s="1" t="s">
        <v>1212</v>
      </c>
      <c r="I1708" s="2">
        <v>46177.668355787035</v>
      </c>
      <c r="J1708" s="1" t="s">
        <v>1212</v>
      </c>
    </row>
    <row r="1709" spans="1:10" x14ac:dyDescent="0.35">
      <c r="A1709" s="1" t="s">
        <v>2302</v>
      </c>
      <c r="B1709" s="1" t="s">
        <v>1224</v>
      </c>
      <c r="C1709" s="1" t="s">
        <v>1210</v>
      </c>
      <c r="D1709" s="2">
        <v>46177</v>
      </c>
      <c r="E1709">
        <v>112.28125</v>
      </c>
      <c r="F1709" s="1" t="s">
        <v>6917</v>
      </c>
      <c r="G1709" s="2">
        <v>46177.777565659722</v>
      </c>
      <c r="H1709" s="1" t="s">
        <v>1211</v>
      </c>
      <c r="I1709" s="2">
        <v>46177.77756574074</v>
      </c>
      <c r="J1709" s="1" t="s">
        <v>1211</v>
      </c>
    </row>
    <row r="1710" spans="1:10" x14ac:dyDescent="0.35">
      <c r="A1710" s="1" t="s">
        <v>2303</v>
      </c>
      <c r="B1710" s="1" t="s">
        <v>1224</v>
      </c>
      <c r="C1710" s="1" t="s">
        <v>1210</v>
      </c>
      <c r="D1710" s="2">
        <v>46177</v>
      </c>
      <c r="E1710">
        <v>111.90625</v>
      </c>
      <c r="F1710" s="1" t="s">
        <v>6918</v>
      </c>
      <c r="G1710" s="2">
        <v>46177.777565821758</v>
      </c>
      <c r="H1710" s="1" t="s">
        <v>1211</v>
      </c>
      <c r="I1710" s="2">
        <v>46177.777565891207</v>
      </c>
      <c r="J1710" s="1" t="s">
        <v>1211</v>
      </c>
    </row>
    <row r="1711" spans="1:10" x14ac:dyDescent="0.35">
      <c r="A1711" s="1" t="s">
        <v>2304</v>
      </c>
      <c r="B1711" s="1" t="s">
        <v>1224</v>
      </c>
      <c r="C1711" s="1" t="s">
        <v>1210</v>
      </c>
      <c r="D1711" s="2">
        <v>46177</v>
      </c>
      <c r="E1711">
        <v>112.171875</v>
      </c>
      <c r="F1711" s="1" t="s">
        <v>6919</v>
      </c>
      <c r="G1711" s="2">
        <v>46177.777565972225</v>
      </c>
      <c r="H1711" s="1" t="s">
        <v>1211</v>
      </c>
      <c r="I1711" s="2">
        <v>46177.777566087963</v>
      </c>
      <c r="J1711" s="1" t="s">
        <v>1211</v>
      </c>
    </row>
    <row r="1712" spans="1:10" x14ac:dyDescent="0.35">
      <c r="A1712" s="1" t="s">
        <v>2305</v>
      </c>
      <c r="B1712" s="1" t="s">
        <v>1224</v>
      </c>
      <c r="C1712" s="1" t="s">
        <v>1210</v>
      </c>
      <c r="D1712" s="2">
        <v>46177</v>
      </c>
      <c r="E1712">
        <v>111.859375</v>
      </c>
      <c r="F1712" s="1" t="s">
        <v>6920</v>
      </c>
      <c r="G1712" s="2">
        <v>46177.777566168981</v>
      </c>
      <c r="H1712" s="1" t="s">
        <v>1211</v>
      </c>
      <c r="I1712" s="2">
        <v>46177.77756628472</v>
      </c>
      <c r="J1712" s="1" t="s">
        <v>1211</v>
      </c>
    </row>
    <row r="1713" spans="1:10" x14ac:dyDescent="0.35">
      <c r="A1713" s="1" t="s">
        <v>4305</v>
      </c>
      <c r="B1713" s="1" t="s">
        <v>1224</v>
      </c>
      <c r="C1713" s="1" t="s">
        <v>1210</v>
      </c>
      <c r="D1713" s="2">
        <v>46177</v>
      </c>
      <c r="E1713">
        <v>111.671875</v>
      </c>
      <c r="F1713" s="1" t="s">
        <v>6921</v>
      </c>
      <c r="G1713" s="2">
        <v>46177.777566319448</v>
      </c>
      <c r="H1713" s="1" t="s">
        <v>1211</v>
      </c>
      <c r="I1713" s="2">
        <v>46177.77756628472</v>
      </c>
      <c r="J1713" s="1" t="s">
        <v>1211</v>
      </c>
    </row>
    <row r="1714" spans="1:10" x14ac:dyDescent="0.35">
      <c r="A1714" s="1" t="s">
        <v>2306</v>
      </c>
      <c r="B1714" s="1" t="s">
        <v>1224</v>
      </c>
      <c r="C1714" s="1" t="s">
        <v>1210</v>
      </c>
      <c r="D1714" s="2">
        <v>46177</v>
      </c>
      <c r="E1714">
        <v>115.125</v>
      </c>
      <c r="F1714" s="1" t="s">
        <v>6922</v>
      </c>
      <c r="G1714" s="2">
        <v>46177.777566469907</v>
      </c>
      <c r="H1714" s="1" t="s">
        <v>1211</v>
      </c>
      <c r="I1714" s="2">
        <v>46177.777566435187</v>
      </c>
      <c r="J1714" s="1" t="s">
        <v>1211</v>
      </c>
    </row>
    <row r="1715" spans="1:10" x14ac:dyDescent="0.35">
      <c r="A1715" s="1" t="s">
        <v>2307</v>
      </c>
      <c r="B1715" s="1" t="s">
        <v>1224</v>
      </c>
      <c r="C1715" s="1" t="s">
        <v>1210</v>
      </c>
      <c r="D1715" s="2">
        <v>46177</v>
      </c>
      <c r="E1715">
        <v>114.65625</v>
      </c>
      <c r="F1715" s="1" t="s">
        <v>6923</v>
      </c>
      <c r="G1715" s="2">
        <v>46177.777566631943</v>
      </c>
      <c r="H1715" s="1" t="s">
        <v>1211</v>
      </c>
      <c r="I1715" s="2">
        <v>46177.777566631943</v>
      </c>
      <c r="J1715" s="1" t="s">
        <v>1211</v>
      </c>
    </row>
    <row r="1716" spans="1:10" x14ac:dyDescent="0.35">
      <c r="A1716" s="1" t="s">
        <v>2308</v>
      </c>
      <c r="B1716" s="1" t="s">
        <v>1224</v>
      </c>
      <c r="C1716" s="1" t="s">
        <v>1210</v>
      </c>
      <c r="D1716" s="2">
        <v>46177</v>
      </c>
      <c r="E1716">
        <v>114.53125</v>
      </c>
      <c r="F1716" s="1" t="s">
        <v>6924</v>
      </c>
      <c r="G1716" s="2">
        <v>46177.77756678241</v>
      </c>
      <c r="H1716" s="1" t="s">
        <v>1211</v>
      </c>
      <c r="I1716" s="2">
        <v>46177.777566817131</v>
      </c>
      <c r="J1716" s="1" t="s">
        <v>1211</v>
      </c>
    </row>
    <row r="1717" spans="1:10" x14ac:dyDescent="0.35">
      <c r="A1717" s="1" t="s">
        <v>2309</v>
      </c>
      <c r="B1717" s="1" t="s">
        <v>1224</v>
      </c>
      <c r="C1717" s="1" t="s">
        <v>1210</v>
      </c>
      <c r="D1717" s="2">
        <v>46177</v>
      </c>
      <c r="E1717">
        <v>113.61</v>
      </c>
      <c r="F1717" s="1" t="s">
        <v>6925</v>
      </c>
      <c r="G1717" s="2">
        <v>46177.777566898149</v>
      </c>
      <c r="H1717" s="1" t="s">
        <v>1211</v>
      </c>
      <c r="I1717" s="2">
        <v>46177.777566979166</v>
      </c>
      <c r="J1717" s="1" t="s">
        <v>1211</v>
      </c>
    </row>
    <row r="1718" spans="1:10" x14ac:dyDescent="0.35">
      <c r="A1718" s="1" t="s">
        <v>4306</v>
      </c>
      <c r="B1718" s="1" t="s">
        <v>1224</v>
      </c>
      <c r="C1718" s="1" t="s">
        <v>1210</v>
      </c>
      <c r="D1718" s="2">
        <v>46177</v>
      </c>
      <c r="E1718">
        <v>112.7</v>
      </c>
      <c r="F1718" s="1" t="s">
        <v>6926</v>
      </c>
      <c r="G1718" s="2">
        <v>46177.777567048608</v>
      </c>
      <c r="H1718" s="1" t="s">
        <v>1211</v>
      </c>
      <c r="I1718" s="2">
        <v>46177.777567164354</v>
      </c>
      <c r="J1718" s="1" t="s">
        <v>1211</v>
      </c>
    </row>
    <row r="1719" spans="1:10" x14ac:dyDescent="0.35">
      <c r="A1719" s="1" t="s">
        <v>2310</v>
      </c>
      <c r="B1719" s="1" t="s">
        <v>1209</v>
      </c>
      <c r="C1719" s="1" t="s">
        <v>1210</v>
      </c>
      <c r="D1719" s="2">
        <v>46177</v>
      </c>
      <c r="E1719">
        <v>2.7742720389834899E-2</v>
      </c>
      <c r="F1719" s="1" t="s">
        <v>6927</v>
      </c>
      <c r="G1719" s="2">
        <v>46177.777471759262</v>
      </c>
      <c r="H1719" s="1" t="s">
        <v>1211</v>
      </c>
      <c r="I1719" s="2">
        <v>46177.777471793983</v>
      </c>
      <c r="J1719" s="1" t="s">
        <v>1211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1E6D-6E5E-4F24-91FD-44BF32770E93}">
  <dimension ref="A1:J1354"/>
  <sheetViews>
    <sheetView workbookViewId="0">
      <selection activeCell="D2" sqref="D2"/>
    </sheetView>
  </sheetViews>
  <sheetFormatPr defaultRowHeight="14.5" x14ac:dyDescent="0.35"/>
  <cols>
    <col min="1" max="1" width="14.90625" bestFit="1" customWidth="1"/>
    <col min="2" max="2" width="5.453125" bestFit="1" customWidth="1"/>
    <col min="3" max="3" width="5.81640625" bestFit="1" customWidth="1"/>
    <col min="4" max="4" width="12" bestFit="1" customWidth="1"/>
    <col min="5" max="5" width="12.453125" bestFit="1" customWidth="1"/>
    <col min="6" max="6" width="13.6328125" bestFit="1" customWidth="1"/>
    <col min="7" max="7" width="17.08984375" bestFit="1" customWidth="1"/>
    <col min="8" max="8" width="14.54296875" bestFit="1" customWidth="1"/>
    <col min="9" max="9" width="17.08984375" bestFit="1" customWidth="1"/>
    <col min="10" max="10" width="65.7265625" bestFit="1" customWidth="1"/>
  </cols>
  <sheetData>
    <row r="1" spans="1:10" x14ac:dyDescent="0.35">
      <c r="A1" t="s">
        <v>1</v>
      </c>
      <c r="B1" t="s">
        <v>1201</v>
      </c>
      <c r="C1" t="s">
        <v>1202</v>
      </c>
      <c r="D1" t="s">
        <v>1200</v>
      </c>
      <c r="E1" t="s">
        <v>1203</v>
      </c>
      <c r="F1" t="s">
        <v>1205</v>
      </c>
      <c r="G1" t="s">
        <v>1206</v>
      </c>
      <c r="H1" t="s">
        <v>1207</v>
      </c>
      <c r="I1" t="s">
        <v>1208</v>
      </c>
      <c r="J1" t="s">
        <v>1204</v>
      </c>
    </row>
    <row r="2" spans="1:10" x14ac:dyDescent="0.35">
      <c r="A2" s="1" t="s">
        <v>1223</v>
      </c>
      <c r="B2" s="1" t="s">
        <v>1224</v>
      </c>
      <c r="C2" s="1" t="s">
        <v>1210</v>
      </c>
      <c r="D2" s="2">
        <v>46177</v>
      </c>
      <c r="E2">
        <v>104.984375</v>
      </c>
      <c r="F2" s="2">
        <v>46177.77162349537</v>
      </c>
      <c r="G2" s="1" t="s">
        <v>1211</v>
      </c>
      <c r="H2" s="2">
        <v>46177.771623576387</v>
      </c>
      <c r="I2" s="1" t="s">
        <v>1211</v>
      </c>
      <c r="J2" s="1" t="s">
        <v>3051</v>
      </c>
    </row>
    <row r="3" spans="1:10" x14ac:dyDescent="0.35">
      <c r="A3" s="1" t="s">
        <v>1225</v>
      </c>
      <c r="B3" s="1" t="s">
        <v>1224</v>
      </c>
      <c r="C3" s="1" t="s">
        <v>1210</v>
      </c>
      <c r="D3" s="2">
        <v>46177</v>
      </c>
      <c r="E3">
        <v>104.828125</v>
      </c>
      <c r="F3" s="2">
        <v>46177.771623611108</v>
      </c>
      <c r="G3" s="1" t="s">
        <v>1211</v>
      </c>
      <c r="H3" s="2">
        <v>46177.771623761575</v>
      </c>
      <c r="I3" s="1" t="s">
        <v>1211</v>
      </c>
      <c r="J3" s="1" t="s">
        <v>3051</v>
      </c>
    </row>
    <row r="4" spans="1:10" x14ac:dyDescent="0.35">
      <c r="A4" s="1" t="s">
        <v>1226</v>
      </c>
      <c r="B4" s="1" t="s">
        <v>1224</v>
      </c>
      <c r="C4" s="1" t="s">
        <v>1210</v>
      </c>
      <c r="D4" s="2">
        <v>46177</v>
      </c>
      <c r="E4">
        <v>104.796875</v>
      </c>
      <c r="F4" s="2">
        <v>46177.771623807872</v>
      </c>
      <c r="G4" s="1" t="s">
        <v>1211</v>
      </c>
      <c r="H4" s="2">
        <v>46177.771623958331</v>
      </c>
      <c r="I4" s="1" t="s">
        <v>1211</v>
      </c>
      <c r="J4" s="1" t="s">
        <v>3051</v>
      </c>
    </row>
    <row r="5" spans="1:10" x14ac:dyDescent="0.35">
      <c r="A5" s="1" t="s">
        <v>1127</v>
      </c>
      <c r="B5" s="1" t="s">
        <v>1209</v>
      </c>
      <c r="C5" s="1" t="s">
        <v>1210</v>
      </c>
      <c r="D5" s="2">
        <v>46177</v>
      </c>
      <c r="E5">
        <v>3.6564213973574199E-2</v>
      </c>
      <c r="F5" s="2">
        <v>46177.771486770835</v>
      </c>
      <c r="G5" s="1" t="s">
        <v>1211</v>
      </c>
      <c r="H5" s="2">
        <v>46177.771486724538</v>
      </c>
      <c r="I5" s="1" t="s">
        <v>1211</v>
      </c>
      <c r="J5" s="1" t="s">
        <v>3052</v>
      </c>
    </row>
    <row r="6" spans="1:10" x14ac:dyDescent="0.35">
      <c r="A6" s="1" t="s">
        <v>1154</v>
      </c>
      <c r="B6" s="1" t="s">
        <v>1209</v>
      </c>
      <c r="C6" s="1" t="s">
        <v>1210</v>
      </c>
      <c r="D6" s="2">
        <v>46177</v>
      </c>
      <c r="E6">
        <v>3.6934699788215397E-2</v>
      </c>
      <c r="F6" s="2">
        <v>46177.771492245367</v>
      </c>
      <c r="G6" s="1" t="s">
        <v>1211</v>
      </c>
      <c r="H6" s="2">
        <v>46177.771492326392</v>
      </c>
      <c r="I6" s="1" t="s">
        <v>1211</v>
      </c>
      <c r="J6" s="1" t="s">
        <v>3053</v>
      </c>
    </row>
    <row r="7" spans="1:10" x14ac:dyDescent="0.35">
      <c r="A7" s="1" t="s">
        <v>1156</v>
      </c>
      <c r="B7" s="1" t="s">
        <v>1209</v>
      </c>
      <c r="C7" s="1" t="s">
        <v>1210</v>
      </c>
      <c r="D7" s="2">
        <v>46177</v>
      </c>
      <c r="E7">
        <v>3.70640757622165E-2</v>
      </c>
      <c r="F7" s="2">
        <v>46177.771486921294</v>
      </c>
      <c r="G7" s="1" t="s">
        <v>1211</v>
      </c>
      <c r="H7" s="2">
        <v>46177.771486921294</v>
      </c>
      <c r="I7" s="1" t="s">
        <v>1211</v>
      </c>
      <c r="J7" s="1" t="s">
        <v>3054</v>
      </c>
    </row>
    <row r="8" spans="1:10" x14ac:dyDescent="0.35">
      <c r="A8" s="1" t="s">
        <v>1129</v>
      </c>
      <c r="B8" s="1" t="s">
        <v>1209</v>
      </c>
      <c r="C8" s="1" t="s">
        <v>1210</v>
      </c>
      <c r="D8" s="2">
        <v>46177</v>
      </c>
      <c r="E8">
        <v>3.7245682925831899E-2</v>
      </c>
      <c r="F8" s="2">
        <v>46177.77148260417</v>
      </c>
      <c r="G8" s="1" t="s">
        <v>1211</v>
      </c>
      <c r="H8" s="2">
        <v>46177.771482557873</v>
      </c>
      <c r="I8" s="1" t="s">
        <v>1211</v>
      </c>
      <c r="J8" s="1" t="s">
        <v>3055</v>
      </c>
    </row>
    <row r="9" spans="1:10" x14ac:dyDescent="0.35">
      <c r="A9" s="1" t="s">
        <v>1158</v>
      </c>
      <c r="B9" s="1" t="s">
        <v>1209</v>
      </c>
      <c r="C9" s="1" t="s">
        <v>1210</v>
      </c>
      <c r="D9" s="2">
        <v>46177</v>
      </c>
      <c r="E9">
        <v>3.7283998972766699E-2</v>
      </c>
      <c r="F9" s="2">
        <v>46177.771487071761</v>
      </c>
      <c r="G9" s="1" t="s">
        <v>1211</v>
      </c>
      <c r="H9" s="2">
        <v>46177.771487071761</v>
      </c>
      <c r="I9" s="1" t="s">
        <v>1211</v>
      </c>
      <c r="J9" s="1" t="s">
        <v>3056</v>
      </c>
    </row>
    <row r="10" spans="1:10" x14ac:dyDescent="0.35">
      <c r="A10" s="1" t="s">
        <v>1160</v>
      </c>
      <c r="B10" s="1" t="s">
        <v>1209</v>
      </c>
      <c r="C10" s="1" t="s">
        <v>1210</v>
      </c>
      <c r="D10" s="2">
        <v>46177</v>
      </c>
      <c r="E10">
        <v>3.7335535244851698E-2</v>
      </c>
      <c r="F10" s="2">
        <v>46177.771487233797</v>
      </c>
      <c r="G10" s="1" t="s">
        <v>1211</v>
      </c>
      <c r="H10" s="2">
        <v>46177.771487268517</v>
      </c>
      <c r="I10" s="1" t="s">
        <v>1211</v>
      </c>
      <c r="J10" s="1" t="s">
        <v>3057</v>
      </c>
    </row>
    <row r="11" spans="1:10" x14ac:dyDescent="0.35">
      <c r="A11" s="1" t="s">
        <v>1162</v>
      </c>
      <c r="B11" s="1" t="s">
        <v>1209</v>
      </c>
      <c r="C11" s="1" t="s">
        <v>1210</v>
      </c>
      <c r="D11" s="2">
        <v>46177</v>
      </c>
      <c r="E11">
        <v>3.7547431977909398E-2</v>
      </c>
      <c r="F11" s="2">
        <v>46177.77148275463</v>
      </c>
      <c r="G11" s="1" t="s">
        <v>1211</v>
      </c>
      <c r="H11" s="2">
        <v>46177.77148275463</v>
      </c>
      <c r="I11" s="1" t="s">
        <v>1211</v>
      </c>
      <c r="J11" s="1" t="s">
        <v>3058</v>
      </c>
    </row>
    <row r="12" spans="1:10" x14ac:dyDescent="0.35">
      <c r="A12" s="1" t="s">
        <v>1131</v>
      </c>
      <c r="B12" s="1" t="s">
        <v>1209</v>
      </c>
      <c r="C12" s="1" t="s">
        <v>1210</v>
      </c>
      <c r="D12" s="2">
        <v>46177</v>
      </c>
      <c r="E12">
        <v>3.7290020034923502E-2</v>
      </c>
      <c r="F12" s="2">
        <v>46177.771487384256</v>
      </c>
      <c r="G12" s="1" t="s">
        <v>1211</v>
      </c>
      <c r="H12" s="2">
        <v>46177.771487268517</v>
      </c>
      <c r="I12" s="1" t="s">
        <v>1211</v>
      </c>
      <c r="J12" s="1" t="s">
        <v>3059</v>
      </c>
    </row>
    <row r="13" spans="1:10" x14ac:dyDescent="0.35">
      <c r="A13" s="1" t="s">
        <v>1178</v>
      </c>
      <c r="B13" s="1" t="s">
        <v>1209</v>
      </c>
      <c r="C13" s="1" t="s">
        <v>1210</v>
      </c>
      <c r="D13" s="2">
        <v>46177</v>
      </c>
      <c r="E13">
        <v>3.6712470197098203E-2</v>
      </c>
      <c r="F13" s="2">
        <v>46177.771489814812</v>
      </c>
      <c r="G13" s="1" t="s">
        <v>1211</v>
      </c>
      <c r="H13" s="2">
        <v>46177.771489965278</v>
      </c>
      <c r="I13" s="1" t="s">
        <v>1211</v>
      </c>
      <c r="J13" s="1" t="s">
        <v>3060</v>
      </c>
    </row>
    <row r="14" spans="1:10" x14ac:dyDescent="0.35">
      <c r="A14" s="1" t="s">
        <v>1133</v>
      </c>
      <c r="B14" s="1" t="s">
        <v>1209</v>
      </c>
      <c r="C14" s="1" t="s">
        <v>1210</v>
      </c>
      <c r="D14" s="2">
        <v>46177</v>
      </c>
      <c r="E14">
        <v>3.6699024363419798E-2</v>
      </c>
      <c r="F14" s="2">
        <v>46177.771489965278</v>
      </c>
      <c r="G14" s="1" t="s">
        <v>1211</v>
      </c>
      <c r="H14" s="2">
        <v>46177.771490162035</v>
      </c>
      <c r="I14" s="1" t="s">
        <v>1211</v>
      </c>
      <c r="J14" s="1" t="s">
        <v>3061</v>
      </c>
    </row>
    <row r="15" spans="1:10" x14ac:dyDescent="0.35">
      <c r="A15" s="1" t="s">
        <v>1190</v>
      </c>
      <c r="B15" s="1" t="s">
        <v>1209</v>
      </c>
      <c r="C15" s="1" t="s">
        <v>1210</v>
      </c>
      <c r="D15" s="2">
        <v>46177</v>
      </c>
      <c r="E15">
        <v>3.68486158403174E-2</v>
      </c>
      <c r="F15" s="2">
        <v>46177.771492361113</v>
      </c>
      <c r="G15" s="1" t="s">
        <v>1211</v>
      </c>
      <c r="H15" s="2">
        <v>46177.771492511572</v>
      </c>
      <c r="I15" s="1" t="s">
        <v>1211</v>
      </c>
      <c r="J15" s="1" t="s">
        <v>3062</v>
      </c>
    </row>
    <row r="16" spans="1:10" x14ac:dyDescent="0.35">
      <c r="A16" s="1" t="s">
        <v>1164</v>
      </c>
      <c r="B16" s="1" t="s">
        <v>1209</v>
      </c>
      <c r="C16" s="1" t="s">
        <v>1210</v>
      </c>
      <c r="D16" s="2">
        <v>46177</v>
      </c>
      <c r="E16">
        <v>3.7145094672875502E-2</v>
      </c>
      <c r="F16" s="2">
        <v>46177.771493171298</v>
      </c>
      <c r="G16" s="1" t="s">
        <v>1211</v>
      </c>
      <c r="H16" s="2">
        <v>46177.771493252316</v>
      </c>
      <c r="I16" s="1" t="s">
        <v>1211</v>
      </c>
      <c r="J16" s="1" t="s">
        <v>3063</v>
      </c>
    </row>
    <row r="17" spans="1:10" x14ac:dyDescent="0.35">
      <c r="A17" s="1" t="s">
        <v>1135</v>
      </c>
      <c r="B17" s="1" t="s">
        <v>1209</v>
      </c>
      <c r="C17" s="1" t="s">
        <v>1210</v>
      </c>
      <c r="D17" s="2">
        <v>46177</v>
      </c>
      <c r="E17">
        <v>3.7002238396098598E-2</v>
      </c>
      <c r="F17" s="2">
        <v>46177.771487534723</v>
      </c>
      <c r="G17" s="1" t="s">
        <v>1211</v>
      </c>
      <c r="H17" s="2">
        <v>46177.771487465281</v>
      </c>
      <c r="I17" s="1" t="s">
        <v>1211</v>
      </c>
      <c r="J17" s="1" t="s">
        <v>3064</v>
      </c>
    </row>
    <row r="18" spans="1:10" x14ac:dyDescent="0.35">
      <c r="A18" s="1" t="s">
        <v>1166</v>
      </c>
      <c r="B18" s="1" t="s">
        <v>1209</v>
      </c>
      <c r="C18" s="1" t="s">
        <v>1210</v>
      </c>
      <c r="D18" s="2">
        <v>46177</v>
      </c>
      <c r="E18">
        <v>3.7015910098076303E-2</v>
      </c>
      <c r="F18" s="2">
        <v>46177.771492511572</v>
      </c>
      <c r="G18" s="1" t="s">
        <v>1211</v>
      </c>
      <c r="H18" s="2">
        <v>46177.771492708336</v>
      </c>
      <c r="I18" s="1" t="s">
        <v>1211</v>
      </c>
      <c r="J18" s="1" t="s">
        <v>3065</v>
      </c>
    </row>
    <row r="19" spans="1:10" x14ac:dyDescent="0.35">
      <c r="A19" s="1" t="s">
        <v>1192</v>
      </c>
      <c r="B19" s="1" t="s">
        <v>1209</v>
      </c>
      <c r="C19" s="1" t="s">
        <v>1210</v>
      </c>
      <c r="D19" s="2">
        <v>46177</v>
      </c>
      <c r="E19">
        <v>3.7034786928948897E-2</v>
      </c>
      <c r="F19" s="2">
        <v>46177.771487696758</v>
      </c>
      <c r="G19" s="1" t="s">
        <v>1211</v>
      </c>
      <c r="H19" s="2">
        <v>46177.771487615741</v>
      </c>
      <c r="I19" s="1" t="s">
        <v>1211</v>
      </c>
      <c r="J19" s="1" t="s">
        <v>3066</v>
      </c>
    </row>
    <row r="20" spans="1:10" x14ac:dyDescent="0.35">
      <c r="A20" s="1" t="s">
        <v>1168</v>
      </c>
      <c r="B20" s="1" t="s">
        <v>1209</v>
      </c>
      <c r="C20" s="1" t="s">
        <v>1210</v>
      </c>
      <c r="D20" s="2">
        <v>46177</v>
      </c>
      <c r="E20">
        <v>3.73469429741808E-2</v>
      </c>
      <c r="F20" s="2">
        <v>46177.771482905089</v>
      </c>
      <c r="G20" s="1" t="s">
        <v>1211</v>
      </c>
      <c r="H20" s="2">
        <v>46177.771482951386</v>
      </c>
      <c r="I20" s="1" t="s">
        <v>1211</v>
      </c>
      <c r="J20" s="1" t="s">
        <v>3067</v>
      </c>
    </row>
    <row r="21" spans="1:10" x14ac:dyDescent="0.35">
      <c r="A21" s="1" t="s">
        <v>1137</v>
      </c>
      <c r="B21" s="1" t="s">
        <v>1209</v>
      </c>
      <c r="C21" s="1" t="s">
        <v>1210</v>
      </c>
      <c r="D21" s="2">
        <v>46177</v>
      </c>
      <c r="E21">
        <v>3.7132396759315803E-2</v>
      </c>
      <c r="F21" s="2">
        <v>46177.771483067132</v>
      </c>
      <c r="G21" s="1" t="s">
        <v>1211</v>
      </c>
      <c r="H21" s="2">
        <v>46177.771482951386</v>
      </c>
      <c r="I21" s="1" t="s">
        <v>1211</v>
      </c>
      <c r="J21" s="1" t="s">
        <v>3068</v>
      </c>
    </row>
    <row r="22" spans="1:10" x14ac:dyDescent="0.35">
      <c r="A22" s="1" t="s">
        <v>1170</v>
      </c>
      <c r="B22" s="1" t="s">
        <v>1209</v>
      </c>
      <c r="C22" s="1" t="s">
        <v>1210</v>
      </c>
      <c r="D22" s="2">
        <v>46177</v>
      </c>
      <c r="E22">
        <v>3.7113914991224302E-2</v>
      </c>
      <c r="F22" s="2">
        <v>46177.771492673608</v>
      </c>
      <c r="G22" s="1" t="s">
        <v>1211</v>
      </c>
      <c r="H22" s="2">
        <v>46177.771492708336</v>
      </c>
      <c r="I22" s="1" t="s">
        <v>1211</v>
      </c>
      <c r="J22" s="1" t="s">
        <v>3069</v>
      </c>
    </row>
    <row r="23" spans="1:10" x14ac:dyDescent="0.35">
      <c r="A23" s="1" t="s">
        <v>1180</v>
      </c>
      <c r="B23" s="1" t="s">
        <v>1209</v>
      </c>
      <c r="C23" s="1" t="s">
        <v>1210</v>
      </c>
      <c r="D23" s="2">
        <v>46177</v>
      </c>
      <c r="E23">
        <v>3.7148511604390103E-2</v>
      </c>
      <c r="F23" s="2">
        <v>46177.771492858796</v>
      </c>
      <c r="G23" s="1" t="s">
        <v>1211</v>
      </c>
      <c r="H23" s="2">
        <v>46177.771492858796</v>
      </c>
      <c r="I23" s="1" t="s">
        <v>1211</v>
      </c>
      <c r="J23" s="1" t="s">
        <v>3070</v>
      </c>
    </row>
    <row r="24" spans="1:10" x14ac:dyDescent="0.35">
      <c r="A24" s="1" t="s">
        <v>1197</v>
      </c>
      <c r="B24" s="1" t="s">
        <v>1209</v>
      </c>
      <c r="C24" s="1" t="s">
        <v>1210</v>
      </c>
      <c r="D24" s="2">
        <v>46177</v>
      </c>
      <c r="E24">
        <v>3.6725294662234703E-2</v>
      </c>
      <c r="F24" s="2">
        <v>46177.771487847225</v>
      </c>
      <c r="G24" s="1" t="s">
        <v>1211</v>
      </c>
      <c r="H24" s="2">
        <v>46177.771487812497</v>
      </c>
      <c r="I24" s="1" t="s">
        <v>1211</v>
      </c>
      <c r="J24" s="1" t="s">
        <v>3071</v>
      </c>
    </row>
    <row r="25" spans="1:10" x14ac:dyDescent="0.35">
      <c r="A25" s="1" t="s">
        <v>1182</v>
      </c>
      <c r="B25" s="1" t="s">
        <v>1209</v>
      </c>
      <c r="C25" s="1" t="s">
        <v>1210</v>
      </c>
      <c r="D25" s="2">
        <v>46177</v>
      </c>
      <c r="E25">
        <v>3.67475381229556E-2</v>
      </c>
      <c r="F25" s="2">
        <v>46177.771493321758</v>
      </c>
      <c r="G25" s="1" t="s">
        <v>1211</v>
      </c>
      <c r="H25" s="2">
        <v>46177.771493483793</v>
      </c>
      <c r="I25" s="1" t="s">
        <v>1211</v>
      </c>
      <c r="J25" s="1" t="s">
        <v>3072</v>
      </c>
    </row>
    <row r="26" spans="1:10" x14ac:dyDescent="0.35">
      <c r="A26" s="1" t="s">
        <v>1139</v>
      </c>
      <c r="B26" s="1" t="s">
        <v>1209</v>
      </c>
      <c r="C26" s="1" t="s">
        <v>1210</v>
      </c>
      <c r="D26" s="2">
        <v>46177</v>
      </c>
      <c r="E26">
        <v>3.6771358476430198E-2</v>
      </c>
      <c r="F26" s="2">
        <v>46177.771493483793</v>
      </c>
      <c r="G26" s="1" t="s">
        <v>1211</v>
      </c>
      <c r="H26" s="2">
        <v>46177.771493483793</v>
      </c>
      <c r="I26" s="1" t="s">
        <v>1211</v>
      </c>
      <c r="J26" s="1" t="s">
        <v>3073</v>
      </c>
    </row>
    <row r="27" spans="1:10" x14ac:dyDescent="0.35">
      <c r="A27" s="1" t="s">
        <v>1141</v>
      </c>
      <c r="B27" s="1" t="s">
        <v>1209</v>
      </c>
      <c r="C27" s="1" t="s">
        <v>1210</v>
      </c>
      <c r="D27" s="2">
        <v>46177</v>
      </c>
      <c r="E27">
        <v>3.6913732002553899E-2</v>
      </c>
      <c r="F27" s="2">
        <v>46177.771487997685</v>
      </c>
      <c r="G27" s="1" t="s">
        <v>1211</v>
      </c>
      <c r="H27" s="2">
        <v>46177.771487997685</v>
      </c>
      <c r="I27" s="1" t="s">
        <v>1211</v>
      </c>
      <c r="J27" s="1" t="s">
        <v>3074</v>
      </c>
    </row>
    <row r="28" spans="1:10" x14ac:dyDescent="0.35">
      <c r="A28" s="1" t="s">
        <v>1143</v>
      </c>
      <c r="B28" s="1" t="s">
        <v>1209</v>
      </c>
      <c r="C28" s="1" t="s">
        <v>1210</v>
      </c>
      <c r="D28" s="2">
        <v>46177</v>
      </c>
      <c r="E28">
        <v>3.74685350847428E-2</v>
      </c>
      <c r="F28" s="2">
        <v>46177.771490162035</v>
      </c>
      <c r="G28" s="1" t="s">
        <v>1211</v>
      </c>
      <c r="H28" s="2">
        <v>46177.771490358798</v>
      </c>
      <c r="I28" s="1" t="s">
        <v>1211</v>
      </c>
      <c r="J28" s="1" t="s">
        <v>3075</v>
      </c>
    </row>
    <row r="29" spans="1:10" x14ac:dyDescent="0.35">
      <c r="A29" s="1" t="s">
        <v>1145</v>
      </c>
      <c r="B29" s="1" t="s">
        <v>1209</v>
      </c>
      <c r="C29" s="1" t="s">
        <v>1210</v>
      </c>
      <c r="D29" s="2">
        <v>46177</v>
      </c>
      <c r="E29">
        <v>3.7943856694059502E-2</v>
      </c>
      <c r="F29" s="2">
        <v>46177.771483217592</v>
      </c>
      <c r="G29" s="1" t="s">
        <v>1211</v>
      </c>
      <c r="H29" s="2">
        <v>46177.771483101853</v>
      </c>
      <c r="I29" s="1" t="s">
        <v>1211</v>
      </c>
      <c r="J29" s="1" t="s">
        <v>3076</v>
      </c>
    </row>
    <row r="30" spans="1:10" x14ac:dyDescent="0.35">
      <c r="A30" s="1" t="s">
        <v>1172</v>
      </c>
      <c r="B30" s="1" t="s">
        <v>1209</v>
      </c>
      <c r="C30" s="1" t="s">
        <v>1210</v>
      </c>
      <c r="D30" s="2">
        <v>46177</v>
      </c>
      <c r="E30">
        <v>3.7137532466540599E-2</v>
      </c>
      <c r="F30" s="2">
        <v>46177.771483368058</v>
      </c>
      <c r="G30" s="1" t="s">
        <v>1211</v>
      </c>
      <c r="H30" s="2">
        <v>46177.771483298609</v>
      </c>
      <c r="I30" s="1" t="s">
        <v>1211</v>
      </c>
      <c r="J30" s="1" t="s">
        <v>3077</v>
      </c>
    </row>
    <row r="31" spans="1:10" x14ac:dyDescent="0.35">
      <c r="A31" s="1" t="s">
        <v>1174</v>
      </c>
      <c r="B31" s="1" t="s">
        <v>1209</v>
      </c>
      <c r="C31" s="1" t="s">
        <v>1210</v>
      </c>
      <c r="D31" s="2">
        <v>46177</v>
      </c>
      <c r="E31">
        <v>3.7255693916511401E-2</v>
      </c>
      <c r="F31" s="2">
        <v>46177.771490312502</v>
      </c>
      <c r="G31" s="1" t="s">
        <v>1211</v>
      </c>
      <c r="H31" s="2">
        <v>46177.771490358798</v>
      </c>
      <c r="I31" s="1" t="s">
        <v>1211</v>
      </c>
      <c r="J31" s="1" t="s">
        <v>3078</v>
      </c>
    </row>
    <row r="32" spans="1:10" x14ac:dyDescent="0.35">
      <c r="A32" s="1" t="s">
        <v>1147</v>
      </c>
      <c r="B32" s="1" t="s">
        <v>1209</v>
      </c>
      <c r="C32" s="1" t="s">
        <v>1210</v>
      </c>
      <c r="D32" s="2">
        <v>46177</v>
      </c>
      <c r="E32">
        <v>3.72690561617528E-2</v>
      </c>
      <c r="F32" s="2">
        <v>46177.771483530094</v>
      </c>
      <c r="G32" s="1" t="s">
        <v>1211</v>
      </c>
      <c r="H32" s="2">
        <v>46177.771483483797</v>
      </c>
      <c r="I32" s="1" t="s">
        <v>1211</v>
      </c>
      <c r="J32" s="1" t="s">
        <v>3079</v>
      </c>
    </row>
    <row r="33" spans="1:10" x14ac:dyDescent="0.35">
      <c r="A33" s="1" t="s">
        <v>1149</v>
      </c>
      <c r="B33" s="1" t="s">
        <v>1209</v>
      </c>
      <c r="C33" s="1" t="s">
        <v>1210</v>
      </c>
      <c r="D33" s="2">
        <v>46177</v>
      </c>
      <c r="E33">
        <v>3.7146780467031799E-2</v>
      </c>
      <c r="F33" s="2">
        <v>46177.771490474537</v>
      </c>
      <c r="G33" s="1" t="s">
        <v>1211</v>
      </c>
      <c r="H33" s="2">
        <v>46177.771490509258</v>
      </c>
      <c r="I33" s="1" t="s">
        <v>1211</v>
      </c>
      <c r="J33" s="1" t="s">
        <v>3080</v>
      </c>
    </row>
    <row r="34" spans="1:10" x14ac:dyDescent="0.35">
      <c r="A34" s="1" t="s">
        <v>1151</v>
      </c>
      <c r="B34" s="1" t="s">
        <v>1209</v>
      </c>
      <c r="C34" s="1" t="s">
        <v>1210</v>
      </c>
      <c r="D34" s="2">
        <v>46177</v>
      </c>
      <c r="E34">
        <v>3.7201414194189202E-2</v>
      </c>
      <c r="F34" s="2">
        <v>46177.771483680554</v>
      </c>
      <c r="G34" s="1" t="s">
        <v>1211</v>
      </c>
      <c r="H34" s="2">
        <v>46177.771483645833</v>
      </c>
      <c r="I34" s="1" t="s">
        <v>1211</v>
      </c>
      <c r="J34" s="1" t="s">
        <v>3081</v>
      </c>
    </row>
    <row r="35" spans="1:10" x14ac:dyDescent="0.35">
      <c r="A35" s="1" t="s">
        <v>1176</v>
      </c>
      <c r="B35" s="1" t="s">
        <v>1209</v>
      </c>
      <c r="C35" s="1" t="s">
        <v>1210</v>
      </c>
      <c r="D35" s="2">
        <v>46177</v>
      </c>
      <c r="E35">
        <v>3.72891149237118E-2</v>
      </c>
      <c r="F35" s="2">
        <v>46177.77148815972</v>
      </c>
      <c r="G35" s="1" t="s">
        <v>1211</v>
      </c>
      <c r="H35" s="2">
        <v>46177.77148815972</v>
      </c>
      <c r="I35" s="1" t="s">
        <v>1211</v>
      </c>
      <c r="J35" s="1" t="s">
        <v>3082</v>
      </c>
    </row>
    <row r="36" spans="1:10" x14ac:dyDescent="0.35">
      <c r="A36" s="1" t="s">
        <v>2704</v>
      </c>
      <c r="B36" s="1" t="s">
        <v>1209</v>
      </c>
      <c r="C36" s="1" t="s">
        <v>1210</v>
      </c>
      <c r="D36" s="2">
        <v>46177</v>
      </c>
      <c r="E36">
        <v>3.7405619774981698E-2</v>
      </c>
      <c r="F36" s="2">
        <v>46177.771488310187</v>
      </c>
      <c r="G36" s="1" t="s">
        <v>1211</v>
      </c>
      <c r="H36" s="2">
        <v>46177.77148815972</v>
      </c>
      <c r="I36" s="1" t="s">
        <v>1211</v>
      </c>
      <c r="J36" s="1" t="s">
        <v>3083</v>
      </c>
    </row>
    <row r="37" spans="1:10" x14ac:dyDescent="0.35">
      <c r="A37" s="1" t="s">
        <v>1184</v>
      </c>
      <c r="B37" s="1" t="s">
        <v>1209</v>
      </c>
      <c r="C37" s="1" t="s">
        <v>1210</v>
      </c>
      <c r="D37" s="2">
        <v>46177</v>
      </c>
      <c r="E37">
        <v>3.6911276148705201E-2</v>
      </c>
      <c r="F37" s="2">
        <v>46177.77148383102</v>
      </c>
      <c r="G37" s="1" t="s">
        <v>1211</v>
      </c>
      <c r="H37" s="2">
        <v>46177.77148383102</v>
      </c>
      <c r="I37" s="1" t="s">
        <v>1211</v>
      </c>
      <c r="J37" s="1" t="s">
        <v>3084</v>
      </c>
    </row>
    <row r="38" spans="1:10" x14ac:dyDescent="0.35">
      <c r="A38" s="1" t="s">
        <v>1194</v>
      </c>
      <c r="B38" s="1" t="s">
        <v>1209</v>
      </c>
      <c r="C38" s="1" t="s">
        <v>1210</v>
      </c>
      <c r="D38" s="2">
        <v>46177</v>
      </c>
      <c r="E38">
        <v>3.6875638496284897E-2</v>
      </c>
      <c r="F38" s="2">
        <v>46177.771483993056</v>
      </c>
      <c r="G38" s="1" t="s">
        <v>1211</v>
      </c>
      <c r="H38" s="2">
        <v>46177.77148383102</v>
      </c>
      <c r="I38" s="1" t="s">
        <v>1211</v>
      </c>
      <c r="J38" s="1" t="s">
        <v>3085</v>
      </c>
    </row>
    <row r="39" spans="1:10" x14ac:dyDescent="0.35">
      <c r="A39" s="1" t="s">
        <v>1186</v>
      </c>
      <c r="B39" s="1" t="s">
        <v>1209</v>
      </c>
      <c r="C39" s="1" t="s">
        <v>1210</v>
      </c>
      <c r="D39" s="2">
        <v>46177</v>
      </c>
      <c r="E39">
        <v>3.6960798492829697E-2</v>
      </c>
      <c r="F39" s="2">
        <v>46177.771484143515</v>
      </c>
      <c r="G39" s="1" t="s">
        <v>1211</v>
      </c>
      <c r="H39" s="2">
        <v>46177.771484027777</v>
      </c>
      <c r="I39" s="1" t="s">
        <v>1211</v>
      </c>
      <c r="J39" s="1" t="s">
        <v>3086</v>
      </c>
    </row>
    <row r="40" spans="1:10" x14ac:dyDescent="0.35">
      <c r="A40" s="1" t="s">
        <v>1153</v>
      </c>
      <c r="B40" s="1" t="s">
        <v>1209</v>
      </c>
      <c r="C40" s="1" t="s">
        <v>1210</v>
      </c>
      <c r="D40" s="2">
        <v>46177</v>
      </c>
      <c r="E40">
        <v>3.7014412103310197E-2</v>
      </c>
      <c r="F40" s="2">
        <v>46177.771493020831</v>
      </c>
      <c r="G40" s="1" t="s">
        <v>1211</v>
      </c>
      <c r="H40" s="2">
        <v>46177.771493055552</v>
      </c>
      <c r="I40" s="1" t="s">
        <v>1211</v>
      </c>
      <c r="J40" s="1" t="s">
        <v>3087</v>
      </c>
    </row>
    <row r="41" spans="1:10" x14ac:dyDescent="0.35">
      <c r="A41" s="1" t="s">
        <v>1199</v>
      </c>
      <c r="B41" s="1" t="s">
        <v>1209</v>
      </c>
      <c r="C41" s="1" t="s">
        <v>1210</v>
      </c>
      <c r="D41" s="2">
        <v>46177</v>
      </c>
      <c r="E41">
        <v>3.7006800951390903E-2</v>
      </c>
      <c r="F41" s="2">
        <v>46177.771494560184</v>
      </c>
      <c r="G41" s="1" t="s">
        <v>1211</v>
      </c>
      <c r="H41" s="2">
        <v>46177.771494756948</v>
      </c>
      <c r="I41" s="1" t="s">
        <v>1211</v>
      </c>
      <c r="J41" s="1" t="s">
        <v>3088</v>
      </c>
    </row>
    <row r="42" spans="1:10" x14ac:dyDescent="0.35">
      <c r="A42" s="1" t="s">
        <v>1188</v>
      </c>
      <c r="B42" s="1" t="s">
        <v>1209</v>
      </c>
      <c r="C42" s="1" t="s">
        <v>1210</v>
      </c>
      <c r="D42" s="2">
        <v>46177</v>
      </c>
      <c r="E42">
        <v>3.6944594003691697E-2</v>
      </c>
      <c r="F42" s="2">
        <v>46177.771484293982</v>
      </c>
      <c r="G42" s="1" t="s">
        <v>1211</v>
      </c>
      <c r="H42" s="2">
        <v>46177.77148422454</v>
      </c>
      <c r="I42" s="1" t="s">
        <v>1211</v>
      </c>
      <c r="J42" s="1" t="s">
        <v>3089</v>
      </c>
    </row>
    <row r="43" spans="1:10" x14ac:dyDescent="0.35">
      <c r="A43" s="1" t="s">
        <v>1189</v>
      </c>
      <c r="B43" s="1" t="s">
        <v>1209</v>
      </c>
      <c r="C43" s="1" t="s">
        <v>1210</v>
      </c>
      <c r="D43" s="2">
        <v>46177</v>
      </c>
      <c r="E43">
        <v>3.70789196122479E-2</v>
      </c>
      <c r="F43" s="2">
        <v>46177.771494097222</v>
      </c>
      <c r="G43" s="1" t="s">
        <v>1211</v>
      </c>
      <c r="H43" s="2">
        <v>46177.77149417824</v>
      </c>
      <c r="I43" s="1" t="s">
        <v>1211</v>
      </c>
      <c r="J43" s="1" t="s">
        <v>3090</v>
      </c>
    </row>
    <row r="44" spans="1:10" x14ac:dyDescent="0.35">
      <c r="A44" s="1" t="s">
        <v>1196</v>
      </c>
      <c r="B44" s="1" t="s">
        <v>1209</v>
      </c>
      <c r="C44" s="1" t="s">
        <v>1210</v>
      </c>
      <c r="D44" s="2">
        <v>46177</v>
      </c>
      <c r="E44">
        <v>3.7166585927711299E-2</v>
      </c>
      <c r="F44" s="2">
        <v>46177.771488344908</v>
      </c>
      <c r="G44" s="1" t="s">
        <v>1211</v>
      </c>
      <c r="H44" s="2">
        <v>46177.771488344908</v>
      </c>
      <c r="I44" s="1" t="s">
        <v>1211</v>
      </c>
      <c r="J44" s="1" t="s">
        <v>3091</v>
      </c>
    </row>
    <row r="45" spans="1:10" x14ac:dyDescent="0.35">
      <c r="A45" s="1" t="s">
        <v>3092</v>
      </c>
      <c r="B45" s="1" t="s">
        <v>1209</v>
      </c>
      <c r="C45" s="1" t="s">
        <v>1210</v>
      </c>
      <c r="D45" s="2">
        <v>46177</v>
      </c>
      <c r="E45">
        <v>3.7986409744348297E-2</v>
      </c>
      <c r="F45" s="2">
        <v>46177.771484456018</v>
      </c>
      <c r="G45" s="1" t="s">
        <v>1211</v>
      </c>
      <c r="H45" s="2">
        <v>46177.771484375</v>
      </c>
      <c r="I45" s="1" t="s">
        <v>1211</v>
      </c>
      <c r="J45" s="1" t="s">
        <v>3093</v>
      </c>
    </row>
    <row r="46" spans="1:10" x14ac:dyDescent="0.35">
      <c r="A46" s="1" t="s">
        <v>3094</v>
      </c>
      <c r="B46" s="1" t="s">
        <v>1209</v>
      </c>
      <c r="C46" s="1" t="s">
        <v>1210</v>
      </c>
      <c r="D46" s="2">
        <v>46177</v>
      </c>
      <c r="E46">
        <v>3.7456905178938599E-2</v>
      </c>
      <c r="F46" s="2">
        <v>46177.771484606485</v>
      </c>
      <c r="G46" s="1" t="s">
        <v>1211</v>
      </c>
      <c r="H46" s="2">
        <v>46177.771484571756</v>
      </c>
      <c r="I46" s="1" t="s">
        <v>1211</v>
      </c>
      <c r="J46" s="1" t="s">
        <v>3095</v>
      </c>
    </row>
    <row r="47" spans="1:10" x14ac:dyDescent="0.35">
      <c r="A47" s="1" t="s">
        <v>3096</v>
      </c>
      <c r="B47" s="1" t="s">
        <v>1209</v>
      </c>
      <c r="C47" s="1" t="s">
        <v>1210</v>
      </c>
      <c r="D47" s="2">
        <v>46177</v>
      </c>
      <c r="E47">
        <v>3.7527170895407899E-2</v>
      </c>
      <c r="F47" s="2">
        <v>46177.771484756944</v>
      </c>
      <c r="G47" s="1" t="s">
        <v>1211</v>
      </c>
      <c r="H47" s="2">
        <v>46177.771484803241</v>
      </c>
      <c r="I47" s="1" t="s">
        <v>1211</v>
      </c>
      <c r="J47" s="1" t="s">
        <v>3097</v>
      </c>
    </row>
    <row r="48" spans="1:10" x14ac:dyDescent="0.35">
      <c r="A48" s="1" t="s">
        <v>3098</v>
      </c>
      <c r="B48" s="1" t="s">
        <v>1209</v>
      </c>
      <c r="C48" s="1" t="s">
        <v>1210</v>
      </c>
      <c r="D48" s="2">
        <v>46177</v>
      </c>
      <c r="E48">
        <v>3.7598024032017702E-2</v>
      </c>
      <c r="F48" s="2">
        <v>46177.77148491898</v>
      </c>
      <c r="G48" s="1" t="s">
        <v>1211</v>
      </c>
      <c r="H48" s="2">
        <v>46177.77148491898</v>
      </c>
      <c r="I48" s="1" t="s">
        <v>1211</v>
      </c>
      <c r="J48" s="1" t="s">
        <v>3099</v>
      </c>
    </row>
    <row r="49" spans="1:10" x14ac:dyDescent="0.35">
      <c r="A49" s="1" t="s">
        <v>3100</v>
      </c>
      <c r="B49" s="1" t="s">
        <v>1209</v>
      </c>
      <c r="C49" s="1" t="s">
        <v>1210</v>
      </c>
      <c r="D49" s="2">
        <v>46177</v>
      </c>
      <c r="E49">
        <v>3.7159287307880998E-2</v>
      </c>
      <c r="F49" s="2">
        <v>46177.771485069446</v>
      </c>
      <c r="G49" s="1" t="s">
        <v>1211</v>
      </c>
      <c r="H49" s="2">
        <v>46177.771485104167</v>
      </c>
      <c r="I49" s="1" t="s">
        <v>1211</v>
      </c>
      <c r="J49" s="1" t="s">
        <v>3101</v>
      </c>
    </row>
    <row r="50" spans="1:10" x14ac:dyDescent="0.35">
      <c r="A50" s="1" t="s">
        <v>3102</v>
      </c>
      <c r="B50" s="1" t="s">
        <v>1209</v>
      </c>
      <c r="C50" s="1" t="s">
        <v>1210</v>
      </c>
      <c r="D50" s="2">
        <v>46177</v>
      </c>
      <c r="E50">
        <v>3.7244052390452698E-2</v>
      </c>
      <c r="F50" s="2">
        <v>46177.771494293978</v>
      </c>
      <c r="G50" s="1" t="s">
        <v>1211</v>
      </c>
      <c r="H50" s="2">
        <v>46177.771494363427</v>
      </c>
      <c r="I50" s="1" t="s">
        <v>1211</v>
      </c>
      <c r="J50" s="1" t="s">
        <v>3103</v>
      </c>
    </row>
    <row r="51" spans="1:10" x14ac:dyDescent="0.35">
      <c r="A51" s="1" t="s">
        <v>3104</v>
      </c>
      <c r="B51" s="1" t="s">
        <v>1209</v>
      </c>
      <c r="C51" s="1" t="s">
        <v>1210</v>
      </c>
      <c r="D51" s="2">
        <v>46177</v>
      </c>
      <c r="E51">
        <v>3.7245918950600497E-2</v>
      </c>
      <c r="F51" s="2">
        <v>46177.771485219906</v>
      </c>
      <c r="G51" s="1" t="s">
        <v>1211</v>
      </c>
      <c r="H51" s="2">
        <v>46177.771485104167</v>
      </c>
      <c r="I51" s="1" t="s">
        <v>1211</v>
      </c>
      <c r="J51" s="1" t="s">
        <v>3105</v>
      </c>
    </row>
    <row r="52" spans="1:10" x14ac:dyDescent="0.35">
      <c r="A52" s="1" t="s">
        <v>3106</v>
      </c>
      <c r="B52" s="1" t="s">
        <v>1209</v>
      </c>
      <c r="C52" s="1" t="s">
        <v>1210</v>
      </c>
      <c r="D52" s="2">
        <v>46177</v>
      </c>
      <c r="E52">
        <v>3.7280175913450501E-2</v>
      </c>
      <c r="F52" s="2">
        <v>46177.77149363426</v>
      </c>
      <c r="G52" s="1" t="s">
        <v>1211</v>
      </c>
      <c r="H52" s="2">
        <v>46177.771493668981</v>
      </c>
      <c r="I52" s="1" t="s">
        <v>1211</v>
      </c>
      <c r="J52" s="1" t="s">
        <v>3107</v>
      </c>
    </row>
    <row r="53" spans="1:10" x14ac:dyDescent="0.35">
      <c r="A53" s="1" t="s">
        <v>1227</v>
      </c>
      <c r="B53" s="1" t="s">
        <v>1209</v>
      </c>
      <c r="C53" s="1" t="s">
        <v>1210</v>
      </c>
      <c r="D53" s="2">
        <v>46177</v>
      </c>
      <c r="E53">
        <v>3.5899971927794497E-2</v>
      </c>
      <c r="F53" s="2">
        <v>46177.771490624997</v>
      </c>
      <c r="G53" s="1" t="s">
        <v>1211</v>
      </c>
      <c r="H53" s="2">
        <v>46177.771490706022</v>
      </c>
      <c r="I53" s="1" t="s">
        <v>1211</v>
      </c>
      <c r="J53" s="1" t="s">
        <v>3108</v>
      </c>
    </row>
    <row r="54" spans="1:10" x14ac:dyDescent="0.35">
      <c r="A54" s="1" t="s">
        <v>72</v>
      </c>
      <c r="B54" s="1" t="s">
        <v>1209</v>
      </c>
      <c r="C54" s="1" t="s">
        <v>1210</v>
      </c>
      <c r="D54" s="2">
        <v>46177</v>
      </c>
      <c r="E54">
        <v>3.6454835144121699E-2</v>
      </c>
      <c r="F54" s="2">
        <v>46177.771494444445</v>
      </c>
      <c r="G54" s="1" t="s">
        <v>1211</v>
      </c>
      <c r="H54" s="2">
        <v>46177.771494560184</v>
      </c>
      <c r="I54" s="1" t="s">
        <v>1211</v>
      </c>
      <c r="J54" s="1" t="s">
        <v>3109</v>
      </c>
    </row>
    <row r="55" spans="1:10" x14ac:dyDescent="0.35">
      <c r="A55" s="1" t="s">
        <v>225</v>
      </c>
      <c r="B55" s="1" t="s">
        <v>1209</v>
      </c>
      <c r="C55" s="1" t="s">
        <v>1210</v>
      </c>
      <c r="D55" s="2">
        <v>46177</v>
      </c>
      <c r="E55">
        <v>3.6467695616587102E-2</v>
      </c>
      <c r="F55" s="2">
        <v>46177.771485381942</v>
      </c>
      <c r="G55" s="1" t="s">
        <v>1211</v>
      </c>
      <c r="H55" s="2">
        <v>46177.771485266203</v>
      </c>
      <c r="I55" s="1" t="s">
        <v>1211</v>
      </c>
      <c r="J55" s="1" t="s">
        <v>3110</v>
      </c>
    </row>
    <row r="56" spans="1:10" x14ac:dyDescent="0.35">
      <c r="A56" s="1" t="s">
        <v>73</v>
      </c>
      <c r="B56" s="1" t="s">
        <v>1209</v>
      </c>
      <c r="C56" s="1" t="s">
        <v>1210</v>
      </c>
      <c r="D56" s="2">
        <v>46177</v>
      </c>
      <c r="E56">
        <v>3.8934835259961699E-2</v>
      </c>
      <c r="F56" s="2">
        <v>46177.771488460647</v>
      </c>
      <c r="G56" s="1" t="s">
        <v>1211</v>
      </c>
      <c r="H56" s="2">
        <v>46177.771488541664</v>
      </c>
      <c r="I56" s="1" t="s">
        <v>1211</v>
      </c>
      <c r="J56" s="1" t="s">
        <v>3111</v>
      </c>
    </row>
    <row r="57" spans="1:10" x14ac:dyDescent="0.35">
      <c r="A57" s="1" t="s">
        <v>14</v>
      </c>
      <c r="B57" s="1" t="s">
        <v>1209</v>
      </c>
      <c r="C57" s="1" t="s">
        <v>1210</v>
      </c>
      <c r="D57" s="2">
        <v>46177</v>
      </c>
      <c r="E57">
        <v>3.9654737435000302E-2</v>
      </c>
      <c r="F57" s="2">
        <v>46177.771494710651</v>
      </c>
      <c r="G57" s="1" t="s">
        <v>1211</v>
      </c>
      <c r="H57" s="2">
        <v>46177.771494756948</v>
      </c>
      <c r="I57" s="1" t="s">
        <v>1211</v>
      </c>
      <c r="J57" s="1" t="s">
        <v>3112</v>
      </c>
    </row>
    <row r="58" spans="1:10" x14ac:dyDescent="0.35">
      <c r="A58" s="1" t="s">
        <v>19</v>
      </c>
      <c r="B58" s="1" t="s">
        <v>1209</v>
      </c>
      <c r="C58" s="1" t="s">
        <v>1210</v>
      </c>
      <c r="D58" s="2">
        <v>46177</v>
      </c>
      <c r="E58">
        <v>4.0479263587720603E-2</v>
      </c>
      <c r="F58" s="2">
        <v>46177.771488622682</v>
      </c>
      <c r="G58" s="1" t="s">
        <v>1211</v>
      </c>
      <c r="H58" s="2">
        <v>46177.771488738428</v>
      </c>
      <c r="I58" s="1" t="s">
        <v>1211</v>
      </c>
      <c r="J58" s="1" t="s">
        <v>3113</v>
      </c>
    </row>
    <row r="59" spans="1:10" x14ac:dyDescent="0.35">
      <c r="A59" s="1" t="s">
        <v>116</v>
      </c>
      <c r="B59" s="1" t="s">
        <v>1209</v>
      </c>
      <c r="C59" s="1" t="s">
        <v>1210</v>
      </c>
      <c r="D59" s="2">
        <v>46177</v>
      </c>
      <c r="E59">
        <v>4.0634874488698201E-2</v>
      </c>
      <c r="F59" s="2">
        <v>46177.771514351851</v>
      </c>
      <c r="G59" s="1" t="s">
        <v>1211</v>
      </c>
      <c r="H59" s="2">
        <v>46177.771514351851</v>
      </c>
      <c r="I59" s="1" t="s">
        <v>1211</v>
      </c>
      <c r="J59" s="1" t="s">
        <v>3114</v>
      </c>
    </row>
    <row r="60" spans="1:10" x14ac:dyDescent="0.35">
      <c r="A60" s="1" t="s">
        <v>75</v>
      </c>
      <c r="B60" s="1" t="s">
        <v>1209</v>
      </c>
      <c r="C60" s="1" t="s">
        <v>1210</v>
      </c>
      <c r="D60" s="2">
        <v>46177</v>
      </c>
      <c r="E60">
        <v>3.9694184589947397E-2</v>
      </c>
      <c r="F60" s="2">
        <v>46177.771485532408</v>
      </c>
      <c r="G60" s="1" t="s">
        <v>1211</v>
      </c>
      <c r="H60" s="2">
        <v>46177.771485451391</v>
      </c>
      <c r="I60" s="1" t="s">
        <v>1211</v>
      </c>
      <c r="J60" s="1" t="s">
        <v>3115</v>
      </c>
    </row>
    <row r="61" spans="1:10" x14ac:dyDescent="0.35">
      <c r="A61" s="1" t="s">
        <v>227</v>
      </c>
      <c r="B61" s="1" t="s">
        <v>1209</v>
      </c>
      <c r="C61" s="1" t="s">
        <v>1210</v>
      </c>
      <c r="D61" s="2">
        <v>46177</v>
      </c>
      <c r="E61">
        <v>4.1184842425127599E-2</v>
      </c>
      <c r="F61" s="2">
        <v>46177.77149082176</v>
      </c>
      <c r="G61" s="1" t="s">
        <v>1211</v>
      </c>
      <c r="H61" s="2">
        <v>46177.771490891202</v>
      </c>
      <c r="I61" s="1" t="s">
        <v>1211</v>
      </c>
      <c r="J61" s="1" t="s">
        <v>3116</v>
      </c>
    </row>
    <row r="62" spans="1:10" x14ac:dyDescent="0.35">
      <c r="A62" s="1" t="s">
        <v>152</v>
      </c>
      <c r="B62" s="1" t="s">
        <v>1209</v>
      </c>
      <c r="C62" s="1" t="s">
        <v>1210</v>
      </c>
      <c r="D62" s="2">
        <v>46177</v>
      </c>
      <c r="E62">
        <v>4.1519825449006703E-2</v>
      </c>
      <c r="F62" s="2">
        <v>46177.771515127315</v>
      </c>
      <c r="G62" s="1" t="s">
        <v>1211</v>
      </c>
      <c r="H62" s="2">
        <v>46177.771515081018</v>
      </c>
      <c r="I62" s="1" t="s">
        <v>1211</v>
      </c>
      <c r="J62" s="1" t="s">
        <v>3117</v>
      </c>
    </row>
    <row r="63" spans="1:10" x14ac:dyDescent="0.35">
      <c r="A63" s="1" t="s">
        <v>21</v>
      </c>
      <c r="B63" s="1" t="s">
        <v>1209</v>
      </c>
      <c r="C63" s="1" t="s">
        <v>1210</v>
      </c>
      <c r="D63" s="2">
        <v>46177</v>
      </c>
      <c r="E63">
        <v>4.1569755409182702E-2</v>
      </c>
      <c r="F63" s="2">
        <v>46177.771485682868</v>
      </c>
      <c r="G63" s="1" t="s">
        <v>1211</v>
      </c>
      <c r="H63" s="2">
        <v>46177.771485648147</v>
      </c>
      <c r="I63" s="1" t="s">
        <v>1211</v>
      </c>
      <c r="J63" s="1" t="s">
        <v>3118</v>
      </c>
    </row>
    <row r="64" spans="1:10" x14ac:dyDescent="0.35">
      <c r="A64" s="1" t="s">
        <v>118</v>
      </c>
      <c r="B64" s="1" t="s">
        <v>1209</v>
      </c>
      <c r="C64" s="1" t="s">
        <v>1210</v>
      </c>
      <c r="D64" s="2">
        <v>46177</v>
      </c>
      <c r="E64">
        <v>4.3859872287496902E-2</v>
      </c>
      <c r="F64" s="2">
        <v>46177.771488773149</v>
      </c>
      <c r="G64" s="1" t="s">
        <v>1211</v>
      </c>
      <c r="H64" s="2">
        <v>46177.771488888888</v>
      </c>
      <c r="I64" s="1" t="s">
        <v>1211</v>
      </c>
      <c r="J64" s="1" t="s">
        <v>3119</v>
      </c>
    </row>
    <row r="65" spans="1:10" x14ac:dyDescent="0.35">
      <c r="A65" s="1" t="s">
        <v>154</v>
      </c>
      <c r="B65" s="1" t="s">
        <v>1209</v>
      </c>
      <c r="C65" s="1" t="s">
        <v>1210</v>
      </c>
      <c r="D65" s="2">
        <v>46177</v>
      </c>
      <c r="E65">
        <v>4.4794884882843597E-2</v>
      </c>
      <c r="F65" s="2">
        <v>46177.771488923609</v>
      </c>
      <c r="G65" s="1" t="s">
        <v>1211</v>
      </c>
      <c r="H65" s="2">
        <v>46177.771489085651</v>
      </c>
      <c r="I65" s="1" t="s">
        <v>1211</v>
      </c>
      <c r="J65" s="1" t="s">
        <v>3120</v>
      </c>
    </row>
    <row r="66" spans="1:10" x14ac:dyDescent="0.35">
      <c r="A66" s="1" t="s">
        <v>23</v>
      </c>
      <c r="B66" s="1" t="s">
        <v>1209</v>
      </c>
      <c r="C66" s="1" t="s">
        <v>1210</v>
      </c>
      <c r="D66" s="2">
        <v>46177</v>
      </c>
      <c r="E66">
        <v>4.4758824168039002E-2</v>
      </c>
      <c r="F66" s="2">
        <v>46177.77149097222</v>
      </c>
      <c r="G66" s="1" t="s">
        <v>1211</v>
      </c>
      <c r="H66" s="2">
        <v>46177.771491053238</v>
      </c>
      <c r="I66" s="1" t="s">
        <v>1211</v>
      </c>
      <c r="J66" s="1" t="s">
        <v>3121</v>
      </c>
    </row>
    <row r="67" spans="1:10" x14ac:dyDescent="0.35">
      <c r="A67" s="1" t="s">
        <v>120</v>
      </c>
      <c r="B67" s="1" t="s">
        <v>1209</v>
      </c>
      <c r="C67" s="1" t="s">
        <v>1210</v>
      </c>
      <c r="D67" s="2">
        <v>46177</v>
      </c>
      <c r="E67">
        <v>4.5339865831493603E-2</v>
      </c>
      <c r="F67" s="2">
        <v>46177.771491087966</v>
      </c>
      <c r="G67" s="1" t="s">
        <v>1211</v>
      </c>
      <c r="H67" s="2">
        <v>46177.771491238425</v>
      </c>
      <c r="I67" s="1" t="s">
        <v>1211</v>
      </c>
      <c r="J67" s="1" t="s">
        <v>3122</v>
      </c>
    </row>
    <row r="68" spans="1:10" x14ac:dyDescent="0.35">
      <c r="A68" s="1" t="s">
        <v>229</v>
      </c>
      <c r="B68" s="1" t="s">
        <v>1209</v>
      </c>
      <c r="C68" s="1" t="s">
        <v>1210</v>
      </c>
      <c r="D68" s="2">
        <v>46177</v>
      </c>
      <c r="E68">
        <v>4.5668562707412201E-2</v>
      </c>
      <c r="F68" s="2">
        <v>46177.771491238425</v>
      </c>
      <c r="G68" s="1" t="s">
        <v>1211</v>
      </c>
      <c r="H68" s="2">
        <v>46177.771491435182</v>
      </c>
      <c r="I68" s="1" t="s">
        <v>1211</v>
      </c>
      <c r="J68" s="1" t="s">
        <v>3123</v>
      </c>
    </row>
    <row r="69" spans="1:10" x14ac:dyDescent="0.35">
      <c r="A69" s="1" t="s">
        <v>25</v>
      </c>
      <c r="B69" s="1" t="s">
        <v>1209</v>
      </c>
      <c r="C69" s="1" t="s">
        <v>1210</v>
      </c>
      <c r="D69" s="2">
        <v>46177</v>
      </c>
      <c r="E69">
        <v>4.6464565779376098E-2</v>
      </c>
      <c r="F69" s="2">
        <v>46177.771491400461</v>
      </c>
      <c r="G69" s="1" t="s">
        <v>1211</v>
      </c>
      <c r="H69" s="2">
        <v>46177.771491435182</v>
      </c>
      <c r="I69" s="1" t="s">
        <v>1211</v>
      </c>
      <c r="J69" s="1" t="s">
        <v>3124</v>
      </c>
    </row>
    <row r="70" spans="1:10" x14ac:dyDescent="0.35">
      <c r="A70" s="1" t="s">
        <v>122</v>
      </c>
      <c r="B70" s="1" t="s">
        <v>1209</v>
      </c>
      <c r="C70" s="1" t="s">
        <v>1210</v>
      </c>
      <c r="D70" s="2">
        <v>46177</v>
      </c>
      <c r="E70">
        <v>4.7144913153785002E-2</v>
      </c>
      <c r="F70" s="2">
        <v>46177.771491585649</v>
      </c>
      <c r="G70" s="1" t="s">
        <v>1211</v>
      </c>
      <c r="H70" s="2">
        <v>46177.771491631946</v>
      </c>
      <c r="I70" s="1" t="s">
        <v>1211</v>
      </c>
      <c r="J70" s="1" t="s">
        <v>3125</v>
      </c>
    </row>
    <row r="71" spans="1:10" x14ac:dyDescent="0.35">
      <c r="A71" s="1" t="s">
        <v>124</v>
      </c>
      <c r="B71" s="1" t="s">
        <v>1209</v>
      </c>
      <c r="C71" s="1" t="s">
        <v>1210</v>
      </c>
      <c r="D71" s="2">
        <v>46177</v>
      </c>
      <c r="E71">
        <v>4.7624895487658497E-2</v>
      </c>
      <c r="F71" s="2">
        <v>46177.771485844911</v>
      </c>
      <c r="G71" s="1" t="s">
        <v>1211</v>
      </c>
      <c r="H71" s="2">
        <v>46177.771485844911</v>
      </c>
      <c r="I71" s="1" t="s">
        <v>1211</v>
      </c>
      <c r="J71" s="1" t="s">
        <v>3126</v>
      </c>
    </row>
    <row r="72" spans="1:10" x14ac:dyDescent="0.35">
      <c r="A72" s="1" t="s">
        <v>77</v>
      </c>
      <c r="B72" s="1" t="s">
        <v>1209</v>
      </c>
      <c r="C72" s="1" t="s">
        <v>1210</v>
      </c>
      <c r="D72" s="2">
        <v>46177</v>
      </c>
      <c r="E72">
        <v>4.7939901958654302E-2</v>
      </c>
      <c r="F72" s="2">
        <v>46177.77148599537</v>
      </c>
      <c r="G72" s="1" t="s">
        <v>1211</v>
      </c>
      <c r="H72" s="2">
        <v>46177.77148599537</v>
      </c>
      <c r="I72" s="1" t="s">
        <v>1211</v>
      </c>
      <c r="J72" s="1" t="s">
        <v>3127</v>
      </c>
    </row>
    <row r="73" spans="1:10" x14ac:dyDescent="0.35">
      <c r="A73" s="1" t="s">
        <v>79</v>
      </c>
      <c r="B73" s="1" t="s">
        <v>1209</v>
      </c>
      <c r="C73" s="1" t="s">
        <v>1210</v>
      </c>
      <c r="D73" s="2">
        <v>46177</v>
      </c>
      <c r="E73">
        <v>4.8124731550257101E-2</v>
      </c>
      <c r="F73" s="2">
        <v>46177.771489085651</v>
      </c>
      <c r="G73" s="1" t="s">
        <v>1211</v>
      </c>
      <c r="H73" s="2">
        <v>46177.771489085651</v>
      </c>
      <c r="I73" s="1" t="s">
        <v>1211</v>
      </c>
      <c r="J73" s="1" t="s">
        <v>3128</v>
      </c>
    </row>
    <row r="74" spans="1:10" x14ac:dyDescent="0.35">
      <c r="A74" s="1" t="s">
        <v>249</v>
      </c>
      <c r="B74" s="1" t="s">
        <v>1209</v>
      </c>
      <c r="C74" s="1" t="s">
        <v>1210</v>
      </c>
      <c r="D74" s="2">
        <v>46177</v>
      </c>
      <c r="E74">
        <v>4.8320107916013703E-2</v>
      </c>
      <c r="F74" s="2">
        <v>46177.771489236111</v>
      </c>
      <c r="G74" s="1" t="s">
        <v>1211</v>
      </c>
      <c r="H74" s="2">
        <v>46177.771489270832</v>
      </c>
      <c r="I74" s="1" t="s">
        <v>1211</v>
      </c>
      <c r="J74" s="1" t="s">
        <v>3129</v>
      </c>
    </row>
    <row r="75" spans="1:10" x14ac:dyDescent="0.35">
      <c r="A75" s="1" t="s">
        <v>81</v>
      </c>
      <c r="B75" s="1" t="s">
        <v>1209</v>
      </c>
      <c r="C75" s="1" t="s">
        <v>1210</v>
      </c>
      <c r="D75" s="2">
        <v>46177</v>
      </c>
      <c r="E75">
        <v>4.8574835348612198E-2</v>
      </c>
      <c r="F75" s="2">
        <v>46177.771514502318</v>
      </c>
      <c r="G75" s="1" t="s">
        <v>1211</v>
      </c>
      <c r="H75" s="2">
        <v>46177.771514548615</v>
      </c>
      <c r="I75" s="1" t="s">
        <v>1211</v>
      </c>
      <c r="J75" s="1" t="s">
        <v>3130</v>
      </c>
    </row>
    <row r="76" spans="1:10" x14ac:dyDescent="0.35">
      <c r="A76" s="1" t="s">
        <v>251</v>
      </c>
      <c r="B76" s="1" t="s">
        <v>1209</v>
      </c>
      <c r="C76" s="1" t="s">
        <v>1210</v>
      </c>
      <c r="D76" s="2">
        <v>46177</v>
      </c>
      <c r="E76">
        <v>4.8764903535487097E-2</v>
      </c>
      <c r="F76" s="2">
        <v>46177.771493784719</v>
      </c>
      <c r="G76" s="1" t="s">
        <v>1211</v>
      </c>
      <c r="H76" s="2">
        <v>46177.771493831016</v>
      </c>
      <c r="I76" s="1" t="s">
        <v>1211</v>
      </c>
      <c r="J76" s="1" t="s">
        <v>3131</v>
      </c>
    </row>
    <row r="77" spans="1:10" x14ac:dyDescent="0.35">
      <c r="A77" s="1" t="s">
        <v>761</v>
      </c>
      <c r="B77" s="1" t="s">
        <v>1209</v>
      </c>
      <c r="C77" s="1" t="s">
        <v>1210</v>
      </c>
      <c r="D77" s="2">
        <v>46177</v>
      </c>
      <c r="E77">
        <v>4.88698931951334E-2</v>
      </c>
      <c r="F77" s="2">
        <v>46177.771514664353</v>
      </c>
      <c r="G77" s="1" t="s">
        <v>1211</v>
      </c>
      <c r="H77" s="2">
        <v>46177.771514699074</v>
      </c>
      <c r="I77" s="1" t="s">
        <v>1211</v>
      </c>
      <c r="J77" s="1" t="s">
        <v>3132</v>
      </c>
    </row>
    <row r="78" spans="1:10" x14ac:dyDescent="0.35">
      <c r="A78" s="1" t="s">
        <v>231</v>
      </c>
      <c r="B78" s="1" t="s">
        <v>1209</v>
      </c>
      <c r="C78" s="1" t="s">
        <v>1210</v>
      </c>
      <c r="D78" s="2">
        <v>46177</v>
      </c>
      <c r="E78">
        <v>4.9090041240464698E-2</v>
      </c>
      <c r="F78" s="2">
        <v>46177.771512071762</v>
      </c>
      <c r="G78" s="1" t="s">
        <v>1211</v>
      </c>
      <c r="H78" s="2">
        <v>46177.771512187501</v>
      </c>
      <c r="I78" s="1" t="s">
        <v>1211</v>
      </c>
      <c r="J78" s="1" t="s">
        <v>3133</v>
      </c>
    </row>
    <row r="79" spans="1:10" x14ac:dyDescent="0.35">
      <c r="A79" s="1" t="s">
        <v>27</v>
      </c>
      <c r="B79" s="1" t="s">
        <v>1209</v>
      </c>
      <c r="C79" s="1" t="s">
        <v>1210</v>
      </c>
      <c r="D79" s="2">
        <v>46177</v>
      </c>
      <c r="E79">
        <v>4.9249889702201198E-2</v>
      </c>
      <c r="F79" s="2">
        <v>46177.771512233798</v>
      </c>
      <c r="G79" s="1" t="s">
        <v>1211</v>
      </c>
      <c r="H79" s="2">
        <v>46177.771512349536</v>
      </c>
      <c r="I79" s="1" t="s">
        <v>1211</v>
      </c>
      <c r="J79" s="1" t="s">
        <v>3134</v>
      </c>
    </row>
    <row r="80" spans="1:10" x14ac:dyDescent="0.35">
      <c r="A80" s="1" t="s">
        <v>29</v>
      </c>
      <c r="B80" s="1" t="s">
        <v>1209</v>
      </c>
      <c r="C80" s="1" t="s">
        <v>1210</v>
      </c>
      <c r="D80" s="2">
        <v>46177</v>
      </c>
      <c r="E80">
        <v>4.9559905877427902E-2</v>
      </c>
      <c r="F80" s="2">
        <v>46177.77148614583</v>
      </c>
      <c r="G80" s="1" t="s">
        <v>1211</v>
      </c>
      <c r="H80" s="2">
        <v>46177.77148599537</v>
      </c>
      <c r="I80" s="1" t="s">
        <v>1211</v>
      </c>
      <c r="J80" s="1" t="s">
        <v>3135</v>
      </c>
    </row>
    <row r="81" spans="1:10" x14ac:dyDescent="0.35">
      <c r="A81" s="1" t="s">
        <v>31</v>
      </c>
      <c r="B81" s="1" t="s">
        <v>1209</v>
      </c>
      <c r="C81" s="1" t="s">
        <v>1210</v>
      </c>
      <c r="D81" s="2">
        <v>46177</v>
      </c>
      <c r="E81">
        <v>4.9769904390562301E-2</v>
      </c>
      <c r="F81" s="2">
        <v>46177.771493946762</v>
      </c>
      <c r="G81" s="1" t="s">
        <v>1211</v>
      </c>
      <c r="H81" s="2">
        <v>46177.771494016204</v>
      </c>
      <c r="I81" s="1" t="s">
        <v>1211</v>
      </c>
      <c r="J81" s="1" t="s">
        <v>3136</v>
      </c>
    </row>
    <row r="82" spans="1:10" x14ac:dyDescent="0.35">
      <c r="A82" s="1" t="s">
        <v>83</v>
      </c>
      <c r="B82" s="1" t="s">
        <v>1209</v>
      </c>
      <c r="C82" s="1" t="s">
        <v>1210</v>
      </c>
      <c r="D82" s="2">
        <v>46177</v>
      </c>
      <c r="E82">
        <v>4.9904911562981498E-2</v>
      </c>
      <c r="F82" s="2">
        <v>46177.771486307873</v>
      </c>
      <c r="G82" s="1" t="s">
        <v>1211</v>
      </c>
      <c r="H82" s="2">
        <v>46177.771486192127</v>
      </c>
      <c r="I82" s="1" t="s">
        <v>1211</v>
      </c>
      <c r="J82" s="1" t="s">
        <v>3137</v>
      </c>
    </row>
    <row r="83" spans="1:10" x14ac:dyDescent="0.35">
      <c r="A83" s="1" t="s">
        <v>253</v>
      </c>
      <c r="B83" s="1" t="s">
        <v>1209</v>
      </c>
      <c r="C83" s="1" t="s">
        <v>1210</v>
      </c>
      <c r="D83" s="2">
        <v>46177</v>
      </c>
      <c r="E83">
        <v>5.0094910213940101E-2</v>
      </c>
      <c r="F83" s="2">
        <v>46177.771514814813</v>
      </c>
      <c r="G83" s="1" t="s">
        <v>1211</v>
      </c>
      <c r="H83" s="2">
        <v>46177.77151489583</v>
      </c>
      <c r="I83" s="1" t="s">
        <v>1211</v>
      </c>
      <c r="J83" s="1" t="s">
        <v>3138</v>
      </c>
    </row>
    <row r="84" spans="1:10" x14ac:dyDescent="0.35">
      <c r="A84" s="1" t="s">
        <v>85</v>
      </c>
      <c r="B84" s="1" t="s">
        <v>1209</v>
      </c>
      <c r="C84" s="1" t="s">
        <v>1210</v>
      </c>
      <c r="D84" s="2">
        <v>46177</v>
      </c>
      <c r="E84">
        <v>5.0299900014095497E-2</v>
      </c>
      <c r="F84" s="2">
        <v>46177.771491747684</v>
      </c>
      <c r="G84" s="1" t="s">
        <v>1211</v>
      </c>
      <c r="H84" s="2">
        <v>46177.771491782405</v>
      </c>
      <c r="I84" s="1" t="s">
        <v>1211</v>
      </c>
      <c r="J84" s="1" t="s">
        <v>3139</v>
      </c>
    </row>
    <row r="85" spans="1:10" x14ac:dyDescent="0.35">
      <c r="A85" s="1" t="s">
        <v>156</v>
      </c>
      <c r="B85" s="1" t="s">
        <v>1209</v>
      </c>
      <c r="C85" s="1" t="s">
        <v>1210</v>
      </c>
      <c r="D85" s="2">
        <v>46177</v>
      </c>
      <c r="E85">
        <v>5.0464907538801999E-2</v>
      </c>
      <c r="F85" s="2">
        <v>46177.77148938657</v>
      </c>
      <c r="G85" s="1" t="s">
        <v>1211</v>
      </c>
      <c r="H85" s="2">
        <v>46177.771489432867</v>
      </c>
      <c r="I85" s="1" t="s">
        <v>1211</v>
      </c>
      <c r="J85" s="1" t="s">
        <v>3140</v>
      </c>
    </row>
    <row r="86" spans="1:10" x14ac:dyDescent="0.35">
      <c r="A86" s="1" t="s">
        <v>158</v>
      </c>
      <c r="B86" s="1" t="s">
        <v>1209</v>
      </c>
      <c r="C86" s="1" t="s">
        <v>1210</v>
      </c>
      <c r="D86" s="2">
        <v>46177</v>
      </c>
      <c r="E86">
        <v>5.0579897074798E-2</v>
      </c>
      <c r="F86" s="2">
        <v>46177.771486458332</v>
      </c>
      <c r="G86" s="1" t="s">
        <v>1211</v>
      </c>
      <c r="H86" s="2">
        <v>46177.771486377314</v>
      </c>
      <c r="I86" s="1" t="s">
        <v>1211</v>
      </c>
      <c r="J86" s="1" t="s">
        <v>3141</v>
      </c>
    </row>
    <row r="87" spans="1:10" x14ac:dyDescent="0.35">
      <c r="A87" s="1" t="s">
        <v>87</v>
      </c>
      <c r="B87" s="1" t="s">
        <v>1209</v>
      </c>
      <c r="C87" s="1" t="s">
        <v>1210</v>
      </c>
      <c r="D87" s="2">
        <v>46177</v>
      </c>
      <c r="E87">
        <v>5.0699895582744701E-2</v>
      </c>
      <c r="F87" s="2">
        <v>46177.771486608799</v>
      </c>
      <c r="G87" s="1" t="s">
        <v>1211</v>
      </c>
      <c r="H87" s="2">
        <v>46177.77148653935</v>
      </c>
      <c r="I87" s="1" t="s">
        <v>1211</v>
      </c>
      <c r="J87" s="1" t="s">
        <v>3142</v>
      </c>
    </row>
    <row r="88" spans="1:10" x14ac:dyDescent="0.35">
      <c r="A88" s="1" t="s">
        <v>160</v>
      </c>
      <c r="B88" s="1" t="s">
        <v>1209</v>
      </c>
      <c r="C88" s="1" t="s">
        <v>1210</v>
      </c>
      <c r="D88" s="2">
        <v>46177</v>
      </c>
      <c r="E88">
        <v>5.0834903539607797E-2</v>
      </c>
      <c r="F88" s="2">
        <v>46177.771509259263</v>
      </c>
      <c r="G88" s="1" t="s">
        <v>1211</v>
      </c>
      <c r="H88" s="2">
        <v>46177.771509293983</v>
      </c>
      <c r="I88" s="1" t="s">
        <v>1211</v>
      </c>
      <c r="J88" s="1" t="s">
        <v>3143</v>
      </c>
    </row>
    <row r="89" spans="1:10" x14ac:dyDescent="0.35">
      <c r="A89" s="1" t="s">
        <v>162</v>
      </c>
      <c r="B89" s="1" t="s">
        <v>1209</v>
      </c>
      <c r="C89" s="1" t="s">
        <v>1210</v>
      </c>
      <c r="D89" s="2">
        <v>46177</v>
      </c>
      <c r="E89">
        <v>5.0949517335668298E-2</v>
      </c>
      <c r="F89" s="2">
        <v>46177.771503553238</v>
      </c>
      <c r="G89" s="1" t="s">
        <v>1211</v>
      </c>
      <c r="H89" s="2">
        <v>46177.771503553238</v>
      </c>
      <c r="I89" s="1" t="s">
        <v>1211</v>
      </c>
      <c r="J89" s="1" t="s">
        <v>3144</v>
      </c>
    </row>
    <row r="90" spans="1:10" x14ac:dyDescent="0.35">
      <c r="A90" s="1" t="s">
        <v>233</v>
      </c>
      <c r="B90" s="1" t="s">
        <v>1209</v>
      </c>
      <c r="C90" s="1" t="s">
        <v>1210</v>
      </c>
      <c r="D90" s="2">
        <v>46177</v>
      </c>
      <c r="E90">
        <v>5.1004900861541302E-2</v>
      </c>
      <c r="F90" s="2">
        <v>46177.771503703705</v>
      </c>
      <c r="G90" s="1" t="s">
        <v>1211</v>
      </c>
      <c r="H90" s="2">
        <v>46177.771503738426</v>
      </c>
      <c r="I90" s="1" t="s">
        <v>1211</v>
      </c>
      <c r="J90" s="1" t="s">
        <v>3145</v>
      </c>
    </row>
    <row r="91" spans="1:10" x14ac:dyDescent="0.35">
      <c r="A91" s="1" t="s">
        <v>235</v>
      </c>
      <c r="B91" s="1" t="s">
        <v>1209</v>
      </c>
      <c r="C91" s="1" t="s">
        <v>1210</v>
      </c>
      <c r="D91" s="2">
        <v>46177</v>
      </c>
      <c r="E91">
        <v>5.1109889710539799E-2</v>
      </c>
      <c r="F91" s="2">
        <v>46177.771503819444</v>
      </c>
      <c r="G91" s="1" t="s">
        <v>1211</v>
      </c>
      <c r="H91" s="2">
        <v>46177.771503900462</v>
      </c>
      <c r="I91" s="1" t="s">
        <v>1211</v>
      </c>
      <c r="J91" s="1" t="s">
        <v>3146</v>
      </c>
    </row>
    <row r="92" spans="1:10" x14ac:dyDescent="0.35">
      <c r="A92" s="1" t="s">
        <v>126</v>
      </c>
      <c r="B92" s="1" t="s">
        <v>1209</v>
      </c>
      <c r="C92" s="1" t="s">
        <v>1210</v>
      </c>
      <c r="D92" s="2">
        <v>46177</v>
      </c>
      <c r="E92">
        <v>5.1199907652610399E-2</v>
      </c>
      <c r="F92" s="2">
        <v>46177.771491898151</v>
      </c>
      <c r="G92" s="1" t="s">
        <v>1211</v>
      </c>
      <c r="H92" s="2">
        <v>46177.771491979169</v>
      </c>
      <c r="I92" s="1" t="s">
        <v>1211</v>
      </c>
      <c r="J92" s="1" t="s">
        <v>3147</v>
      </c>
    </row>
    <row r="93" spans="1:10" x14ac:dyDescent="0.35">
      <c r="A93" s="1" t="s">
        <v>33</v>
      </c>
      <c r="B93" s="1" t="s">
        <v>1209</v>
      </c>
      <c r="C93" s="1" t="s">
        <v>1210</v>
      </c>
      <c r="D93" s="2">
        <v>46177</v>
      </c>
      <c r="E93">
        <v>5.1224626297572101E-2</v>
      </c>
      <c r="F93" s="2">
        <v>46177.771492094907</v>
      </c>
      <c r="G93" s="1" t="s">
        <v>1211</v>
      </c>
      <c r="H93" s="2">
        <v>46177.771492164349</v>
      </c>
      <c r="I93" s="1" t="s">
        <v>1211</v>
      </c>
      <c r="J93" s="1" t="s">
        <v>3148</v>
      </c>
    </row>
    <row r="94" spans="1:10" x14ac:dyDescent="0.35">
      <c r="A94" s="1" t="s">
        <v>164</v>
      </c>
      <c r="B94" s="1" t="s">
        <v>1209</v>
      </c>
      <c r="C94" s="1" t="s">
        <v>1210</v>
      </c>
      <c r="D94" s="2">
        <v>46177</v>
      </c>
      <c r="E94">
        <v>5.1289905219460398E-2</v>
      </c>
      <c r="F94" s="2">
        <v>46177.771514965279</v>
      </c>
      <c r="G94" s="1" t="s">
        <v>1211</v>
      </c>
      <c r="H94" s="2">
        <v>46177.771515081018</v>
      </c>
      <c r="I94" s="1" t="s">
        <v>1211</v>
      </c>
      <c r="J94" s="1" t="s">
        <v>3149</v>
      </c>
    </row>
    <row r="95" spans="1:10" x14ac:dyDescent="0.35">
      <c r="A95" s="1" t="s">
        <v>166</v>
      </c>
      <c r="B95" s="1" t="s">
        <v>1209</v>
      </c>
      <c r="C95" s="1" t="s">
        <v>1210</v>
      </c>
      <c r="D95" s="2">
        <v>46177</v>
      </c>
      <c r="E95">
        <v>5.1334913342560601E-2</v>
      </c>
      <c r="F95" s="2">
        <v>46177.771503969911</v>
      </c>
      <c r="G95" s="1" t="s">
        <v>1211</v>
      </c>
      <c r="H95" s="2">
        <v>46177.771504085649</v>
      </c>
      <c r="I95" s="1" t="s">
        <v>1211</v>
      </c>
      <c r="J95" s="1" t="s">
        <v>3150</v>
      </c>
    </row>
    <row r="96" spans="1:10" x14ac:dyDescent="0.35">
      <c r="A96" s="1" t="s">
        <v>35</v>
      </c>
      <c r="B96" s="1" t="s">
        <v>1209</v>
      </c>
      <c r="C96" s="1" t="s">
        <v>1210</v>
      </c>
      <c r="D96" s="2">
        <v>46177</v>
      </c>
      <c r="E96">
        <v>5.1404912263913402E-2</v>
      </c>
      <c r="F96" s="2">
        <v>46177.771499571762</v>
      </c>
      <c r="G96" s="1" t="s">
        <v>1211</v>
      </c>
      <c r="H96" s="2">
        <v>46177.771499571762</v>
      </c>
      <c r="I96" s="1" t="s">
        <v>1211</v>
      </c>
      <c r="J96" s="1" t="s">
        <v>3151</v>
      </c>
    </row>
    <row r="97" spans="1:10" x14ac:dyDescent="0.35">
      <c r="A97" s="1" t="s">
        <v>128</v>
      </c>
      <c r="B97" s="1" t="s">
        <v>1209</v>
      </c>
      <c r="C97" s="1" t="s">
        <v>1210</v>
      </c>
      <c r="D97" s="2">
        <v>46177</v>
      </c>
      <c r="E97">
        <v>5.1414792077308702E-2</v>
      </c>
      <c r="F97" s="2">
        <v>46177.771509409722</v>
      </c>
      <c r="G97" s="1" t="s">
        <v>1211</v>
      </c>
      <c r="H97" s="2">
        <v>46177.771509456019</v>
      </c>
      <c r="I97" s="1" t="s">
        <v>1211</v>
      </c>
      <c r="J97" s="1" t="s">
        <v>3152</v>
      </c>
    </row>
    <row r="98" spans="1:10" x14ac:dyDescent="0.35">
      <c r="A98" s="1" t="s">
        <v>37</v>
      </c>
      <c r="B98" s="1" t="s">
        <v>1209</v>
      </c>
      <c r="C98" s="1" t="s">
        <v>1210</v>
      </c>
      <c r="D98" s="2">
        <v>46177</v>
      </c>
      <c r="E98">
        <v>5.14600369832948E-2</v>
      </c>
      <c r="F98" s="2">
        <v>46177.771504131946</v>
      </c>
      <c r="G98" s="1" t="s">
        <v>1211</v>
      </c>
      <c r="H98" s="2">
        <v>46177.771504282406</v>
      </c>
      <c r="I98" s="1" t="s">
        <v>1211</v>
      </c>
      <c r="J98" s="1" t="s">
        <v>3153</v>
      </c>
    </row>
    <row r="99" spans="1:10" x14ac:dyDescent="0.35">
      <c r="A99" s="1" t="s">
        <v>130</v>
      </c>
      <c r="B99" s="1" t="s">
        <v>1209</v>
      </c>
      <c r="C99" s="1" t="s">
        <v>1210</v>
      </c>
      <c r="D99" s="2">
        <v>46177</v>
      </c>
      <c r="E99">
        <v>5.14899182842068E-2</v>
      </c>
      <c r="F99" s="2">
        <v>46177.771489548613</v>
      </c>
      <c r="G99" s="1" t="s">
        <v>1211</v>
      </c>
      <c r="H99" s="2">
        <v>46177.771489618055</v>
      </c>
      <c r="I99" s="1" t="s">
        <v>1211</v>
      </c>
      <c r="J99" s="1" t="s">
        <v>3154</v>
      </c>
    </row>
    <row r="100" spans="1:10" x14ac:dyDescent="0.35">
      <c r="A100" s="1" t="s">
        <v>168</v>
      </c>
      <c r="B100" s="1" t="s">
        <v>1209</v>
      </c>
      <c r="C100" s="1" t="s">
        <v>1210</v>
      </c>
      <c r="D100" s="2">
        <v>46177</v>
      </c>
      <c r="E100">
        <v>5.1519917308546798E-2</v>
      </c>
      <c r="F100" s="2">
        <v>46177.771506747682</v>
      </c>
      <c r="G100" s="1" t="s">
        <v>1211</v>
      </c>
      <c r="H100" s="2">
        <v>46177.771506863428</v>
      </c>
      <c r="I100" s="1" t="s">
        <v>1211</v>
      </c>
      <c r="J100" s="1" t="s">
        <v>3155</v>
      </c>
    </row>
    <row r="101" spans="1:10" x14ac:dyDescent="0.35">
      <c r="A101" s="1" t="s">
        <v>170</v>
      </c>
      <c r="B101" s="1" t="s">
        <v>1209</v>
      </c>
      <c r="C101" s="1" t="s">
        <v>1210</v>
      </c>
      <c r="D101" s="2">
        <v>46177</v>
      </c>
      <c r="E101">
        <v>5.1554906754140303E-2</v>
      </c>
      <c r="F101" s="2">
        <v>46177.771509571758</v>
      </c>
      <c r="G101" s="1" t="s">
        <v>1211</v>
      </c>
      <c r="H101" s="2">
        <v>46177.771509641207</v>
      </c>
      <c r="I101" s="1" t="s">
        <v>1211</v>
      </c>
      <c r="J101" s="1" t="s">
        <v>3156</v>
      </c>
    </row>
    <row r="102" spans="1:10" x14ac:dyDescent="0.35">
      <c r="A102" s="1" t="s">
        <v>89</v>
      </c>
      <c r="B102" s="1" t="s">
        <v>1209</v>
      </c>
      <c r="C102" s="1" t="s">
        <v>1210</v>
      </c>
      <c r="D102" s="2">
        <v>46177</v>
      </c>
      <c r="E102">
        <v>5.1569915340740097E-2</v>
      </c>
      <c r="F102" s="2">
        <v>46177.771509722224</v>
      </c>
      <c r="G102" s="1" t="s">
        <v>1211</v>
      </c>
      <c r="H102" s="2">
        <v>46177.771509837963</v>
      </c>
      <c r="I102" s="1" t="s">
        <v>1211</v>
      </c>
      <c r="J102" s="1" t="s">
        <v>3157</v>
      </c>
    </row>
    <row r="103" spans="1:10" x14ac:dyDescent="0.35">
      <c r="A103" s="1" t="s">
        <v>132</v>
      </c>
      <c r="B103" s="1" t="s">
        <v>1209</v>
      </c>
      <c r="C103" s="1" t="s">
        <v>1210</v>
      </c>
      <c r="D103" s="2">
        <v>46177</v>
      </c>
      <c r="E103">
        <v>5.1639872041755498E-2</v>
      </c>
      <c r="F103" s="2">
        <v>46177.771499733797</v>
      </c>
      <c r="G103" s="1" t="s">
        <v>1211</v>
      </c>
      <c r="H103" s="2">
        <v>46177.771499768518</v>
      </c>
      <c r="I103" s="1" t="s">
        <v>1211</v>
      </c>
      <c r="J103" s="1" t="s">
        <v>3158</v>
      </c>
    </row>
    <row r="104" spans="1:10" x14ac:dyDescent="0.35">
      <c r="A104" s="1" t="s">
        <v>273</v>
      </c>
      <c r="B104" s="1" t="s">
        <v>1209</v>
      </c>
      <c r="C104" s="1" t="s">
        <v>1210</v>
      </c>
      <c r="D104" s="2">
        <v>46177</v>
      </c>
      <c r="E104">
        <v>5.16199133650126E-2</v>
      </c>
      <c r="F104" s="2">
        <v>46177.771506909725</v>
      </c>
      <c r="G104" s="1" t="s">
        <v>1211</v>
      </c>
      <c r="H104" s="2">
        <v>46177.771507025464</v>
      </c>
      <c r="I104" s="1" t="s">
        <v>1211</v>
      </c>
      <c r="J104" s="1" t="s">
        <v>3159</v>
      </c>
    </row>
    <row r="105" spans="1:10" x14ac:dyDescent="0.35">
      <c r="A105" s="1" t="s">
        <v>172</v>
      </c>
      <c r="B105" s="1" t="s">
        <v>1209</v>
      </c>
      <c r="C105" s="1" t="s">
        <v>1210</v>
      </c>
      <c r="D105" s="2">
        <v>46177</v>
      </c>
      <c r="E105">
        <v>5.1649912369173198E-2</v>
      </c>
      <c r="F105" s="2">
        <v>46177.771489699073</v>
      </c>
      <c r="G105" s="1" t="s">
        <v>1211</v>
      </c>
      <c r="H105" s="2">
        <v>46177.771489814812</v>
      </c>
      <c r="I105" s="1" t="s">
        <v>1211</v>
      </c>
      <c r="J105" s="1" t="s">
        <v>3160</v>
      </c>
    </row>
    <row r="106" spans="1:10" x14ac:dyDescent="0.35">
      <c r="A106" s="1" t="s">
        <v>237</v>
      </c>
      <c r="B106" s="1" t="s">
        <v>1209</v>
      </c>
      <c r="C106" s="1" t="s">
        <v>1210</v>
      </c>
      <c r="D106" s="2">
        <v>46177</v>
      </c>
      <c r="E106">
        <v>5.16449012760739E-2</v>
      </c>
      <c r="F106" s="2">
        <v>46177.771494872686</v>
      </c>
      <c r="G106" s="1" t="s">
        <v>1211</v>
      </c>
      <c r="H106" s="2">
        <v>46177.771494907407</v>
      </c>
      <c r="I106" s="1" t="s">
        <v>1211</v>
      </c>
      <c r="J106" s="1" t="s">
        <v>3161</v>
      </c>
    </row>
    <row r="107" spans="1:10" x14ac:dyDescent="0.35">
      <c r="A107" s="1" t="s">
        <v>763</v>
      </c>
      <c r="B107" s="1" t="s">
        <v>1209</v>
      </c>
      <c r="C107" s="1" t="s">
        <v>1210</v>
      </c>
      <c r="D107" s="2">
        <v>46177</v>
      </c>
      <c r="E107">
        <v>5.1679910401526703E-2</v>
      </c>
      <c r="F107" s="2">
        <v>46177.771499884257</v>
      </c>
      <c r="G107" s="1" t="s">
        <v>1211</v>
      </c>
      <c r="H107" s="2">
        <v>46177.771499918985</v>
      </c>
      <c r="I107" s="1" t="s">
        <v>1211</v>
      </c>
      <c r="J107" s="1" t="s">
        <v>3162</v>
      </c>
    </row>
    <row r="108" spans="1:10" x14ac:dyDescent="0.35">
      <c r="A108" s="1" t="s">
        <v>39</v>
      </c>
      <c r="B108" s="1" t="s">
        <v>1209</v>
      </c>
      <c r="C108" s="1" t="s">
        <v>1210</v>
      </c>
      <c r="D108" s="2">
        <v>46177</v>
      </c>
      <c r="E108">
        <v>5.1654899073642499E-2</v>
      </c>
      <c r="F108" s="2">
        <v>46177.771495023146</v>
      </c>
      <c r="G108" s="1" t="s">
        <v>1211</v>
      </c>
      <c r="H108" s="2">
        <v>46177.771495104163</v>
      </c>
      <c r="I108" s="1" t="s">
        <v>1211</v>
      </c>
      <c r="J108" s="1" t="s">
        <v>3163</v>
      </c>
    </row>
    <row r="109" spans="1:10" x14ac:dyDescent="0.35">
      <c r="A109" s="1" t="s">
        <v>41</v>
      </c>
      <c r="B109" s="1" t="s">
        <v>1209</v>
      </c>
      <c r="C109" s="1" t="s">
        <v>1210</v>
      </c>
      <c r="D109" s="2">
        <v>46177</v>
      </c>
      <c r="E109">
        <v>5.1664918313715898E-2</v>
      </c>
      <c r="F109" s="2">
        <v>46177.771504282406</v>
      </c>
      <c r="G109" s="1" t="s">
        <v>1211</v>
      </c>
      <c r="H109" s="2">
        <v>46177.771504479169</v>
      </c>
      <c r="I109" s="1" t="s">
        <v>1211</v>
      </c>
      <c r="J109" s="1" t="s">
        <v>3164</v>
      </c>
    </row>
    <row r="110" spans="1:10" x14ac:dyDescent="0.35">
      <c r="A110" s="1" t="s">
        <v>43</v>
      </c>
      <c r="B110" s="1" t="s">
        <v>1209</v>
      </c>
      <c r="C110" s="1" t="s">
        <v>1210</v>
      </c>
      <c r="D110" s="2">
        <v>46177</v>
      </c>
      <c r="E110">
        <v>5.1684917448226397E-2</v>
      </c>
      <c r="F110" s="2">
        <v>46177.771495219909</v>
      </c>
      <c r="G110" s="1" t="s">
        <v>1211</v>
      </c>
      <c r="H110" s="2">
        <v>46177.771495289351</v>
      </c>
      <c r="I110" s="1" t="s">
        <v>1211</v>
      </c>
      <c r="J110" s="1" t="s">
        <v>3165</v>
      </c>
    </row>
    <row r="111" spans="1:10" x14ac:dyDescent="0.35">
      <c r="A111" s="1" t="s">
        <v>174</v>
      </c>
      <c r="B111" s="1" t="s">
        <v>1209</v>
      </c>
      <c r="C111" s="1" t="s">
        <v>1210</v>
      </c>
      <c r="D111" s="2">
        <v>46177</v>
      </c>
      <c r="E111">
        <v>5.1669926078860798E-2</v>
      </c>
      <c r="F111" s="2">
        <v>46177.771509872684</v>
      </c>
      <c r="G111" s="1" t="s">
        <v>1211</v>
      </c>
      <c r="H111" s="2">
        <v>46177.77151003472</v>
      </c>
      <c r="I111" s="1" t="s">
        <v>1211</v>
      </c>
      <c r="J111" s="1" t="s">
        <v>3166</v>
      </c>
    </row>
    <row r="112" spans="1:10" x14ac:dyDescent="0.35">
      <c r="A112" s="1" t="s">
        <v>45</v>
      </c>
      <c r="B112" s="1" t="s">
        <v>1209</v>
      </c>
      <c r="C112" s="1" t="s">
        <v>1210</v>
      </c>
      <c r="D112" s="2">
        <v>46177</v>
      </c>
      <c r="E112">
        <v>5.1699925314851597E-2</v>
      </c>
      <c r="F112" s="2">
        <v>46177.771507060184</v>
      </c>
      <c r="G112" s="1" t="s">
        <v>1211</v>
      </c>
      <c r="H112" s="2">
        <v>46177.771507210651</v>
      </c>
      <c r="I112" s="1" t="s">
        <v>1211</v>
      </c>
      <c r="J112" s="1" t="s">
        <v>3167</v>
      </c>
    </row>
    <row r="113" spans="1:10" x14ac:dyDescent="0.35">
      <c r="A113" s="1" t="s">
        <v>47</v>
      </c>
      <c r="B113" s="1" t="s">
        <v>1209</v>
      </c>
      <c r="C113" s="1" t="s">
        <v>1210</v>
      </c>
      <c r="D113" s="2">
        <v>46177</v>
      </c>
      <c r="E113">
        <v>5.1669626121518701E-2</v>
      </c>
      <c r="F113" s="2">
        <v>46177.771495370369</v>
      </c>
      <c r="G113" s="1" t="s">
        <v>1211</v>
      </c>
      <c r="H113" s="2">
        <v>46177.771495451387</v>
      </c>
      <c r="I113" s="1" t="s">
        <v>1211</v>
      </c>
      <c r="J113" s="1" t="s">
        <v>3168</v>
      </c>
    </row>
    <row r="114" spans="1:10" x14ac:dyDescent="0.35">
      <c r="A114" s="1" t="s">
        <v>239</v>
      </c>
      <c r="B114" s="1" t="s">
        <v>1209</v>
      </c>
      <c r="C114" s="1" t="s">
        <v>1210</v>
      </c>
      <c r="D114" s="2">
        <v>46177</v>
      </c>
      <c r="E114">
        <v>5.1519923743110901E-2</v>
      </c>
      <c r="F114" s="2">
        <v>46177.77151003472</v>
      </c>
      <c r="G114" s="1" t="s">
        <v>1211</v>
      </c>
      <c r="H114" s="2">
        <v>46177.771510185186</v>
      </c>
      <c r="I114" s="1" t="s">
        <v>1211</v>
      </c>
      <c r="J114" s="1" t="s">
        <v>3169</v>
      </c>
    </row>
    <row r="115" spans="1:10" x14ac:dyDescent="0.35">
      <c r="A115" s="1" t="s">
        <v>275</v>
      </c>
      <c r="B115" s="1" t="s">
        <v>1209</v>
      </c>
      <c r="C115" s="1" t="s">
        <v>1210</v>
      </c>
      <c r="D115" s="2">
        <v>46177</v>
      </c>
      <c r="E115">
        <v>5.15548913601548E-2</v>
      </c>
      <c r="F115" s="2">
        <v>46177.771495520836</v>
      </c>
      <c r="G115" s="1" t="s">
        <v>1211</v>
      </c>
      <c r="H115" s="2">
        <v>46177.771495636574</v>
      </c>
      <c r="I115" s="1" t="s">
        <v>1211</v>
      </c>
      <c r="J115" s="1" t="s">
        <v>3170</v>
      </c>
    </row>
    <row r="116" spans="1:10" x14ac:dyDescent="0.35">
      <c r="A116" s="1" t="s">
        <v>255</v>
      </c>
      <c r="B116" s="1" t="s">
        <v>1209</v>
      </c>
      <c r="C116" s="1" t="s">
        <v>1210</v>
      </c>
      <c r="D116" s="2">
        <v>46177</v>
      </c>
      <c r="E116">
        <v>5.1639922191252199E-2</v>
      </c>
      <c r="F116" s="2">
        <v>46177.771510185186</v>
      </c>
      <c r="G116" s="1" t="s">
        <v>1211</v>
      </c>
      <c r="H116" s="2">
        <v>46177.771510185186</v>
      </c>
      <c r="I116" s="1" t="s">
        <v>1211</v>
      </c>
      <c r="J116" s="1" t="s">
        <v>3171</v>
      </c>
    </row>
    <row r="117" spans="1:10" x14ac:dyDescent="0.35">
      <c r="A117" s="1" t="s">
        <v>176</v>
      </c>
      <c r="B117" s="1" t="s">
        <v>1209</v>
      </c>
      <c r="C117" s="1" t="s">
        <v>1210</v>
      </c>
      <c r="D117" s="2">
        <v>46177</v>
      </c>
      <c r="E117">
        <v>5.1654815861688103E-2</v>
      </c>
      <c r="F117" s="2">
        <v>46177.771500034723</v>
      </c>
      <c r="G117" s="1" t="s">
        <v>1211</v>
      </c>
      <c r="H117" s="2">
        <v>46177.771500115741</v>
      </c>
      <c r="I117" s="1" t="s">
        <v>1211</v>
      </c>
      <c r="J117" s="1" t="s">
        <v>3172</v>
      </c>
    </row>
    <row r="118" spans="1:10" x14ac:dyDescent="0.35">
      <c r="A118" s="1" t="s">
        <v>91</v>
      </c>
      <c r="B118" s="1" t="s">
        <v>1209</v>
      </c>
      <c r="C118" s="1" t="s">
        <v>1210</v>
      </c>
      <c r="D118" s="2">
        <v>46177</v>
      </c>
      <c r="E118">
        <v>5.1640109512791001E-2</v>
      </c>
      <c r="F118" s="2">
        <v>46177.771495682871</v>
      </c>
      <c r="G118" s="1" t="s">
        <v>1211</v>
      </c>
      <c r="H118" s="2">
        <v>46177.771495833331</v>
      </c>
      <c r="I118" s="1" t="s">
        <v>1211</v>
      </c>
      <c r="J118" s="1" t="s">
        <v>3173</v>
      </c>
    </row>
    <row r="119" spans="1:10" x14ac:dyDescent="0.35">
      <c r="A119" s="1" t="s">
        <v>765</v>
      </c>
      <c r="B119" s="1" t="s">
        <v>1209</v>
      </c>
      <c r="C119" s="1" t="s">
        <v>1210</v>
      </c>
      <c r="D119" s="2">
        <v>46177</v>
      </c>
      <c r="E119">
        <v>5.1614909507068103E-2</v>
      </c>
      <c r="F119" s="2">
        <v>46177.771495833331</v>
      </c>
      <c r="G119" s="1" t="s">
        <v>1211</v>
      </c>
      <c r="H119" s="2">
        <v>46177.771496030095</v>
      </c>
      <c r="I119" s="1" t="s">
        <v>1211</v>
      </c>
      <c r="J119" s="1" t="s">
        <v>3174</v>
      </c>
    </row>
    <row r="120" spans="1:10" x14ac:dyDescent="0.35">
      <c r="A120" s="1" t="s">
        <v>49</v>
      </c>
      <c r="B120" s="1" t="s">
        <v>1209</v>
      </c>
      <c r="C120" s="1" t="s">
        <v>1210</v>
      </c>
      <c r="D120" s="2">
        <v>46177</v>
      </c>
      <c r="E120">
        <v>5.1559919069832399E-2</v>
      </c>
      <c r="F120" s="2">
        <v>46177.771507210651</v>
      </c>
      <c r="G120" s="1" t="s">
        <v>1211</v>
      </c>
      <c r="H120" s="2">
        <v>46177.771507210651</v>
      </c>
      <c r="I120" s="1" t="s">
        <v>1211</v>
      </c>
      <c r="J120" s="1" t="s">
        <v>3175</v>
      </c>
    </row>
    <row r="121" spans="1:10" x14ac:dyDescent="0.35">
      <c r="A121" s="1" t="s">
        <v>93</v>
      </c>
      <c r="B121" s="1" t="s">
        <v>1209</v>
      </c>
      <c r="C121" s="1" t="s">
        <v>1210</v>
      </c>
      <c r="D121" s="2">
        <v>46177</v>
      </c>
      <c r="E121">
        <v>5.1554907746674997E-2</v>
      </c>
      <c r="F121" s="2">
        <v>46177.771500196759</v>
      </c>
      <c r="G121" s="1" t="s">
        <v>1211</v>
      </c>
      <c r="H121" s="2">
        <v>46177.771500312498</v>
      </c>
      <c r="I121" s="1" t="s">
        <v>1211</v>
      </c>
      <c r="J121" s="1" t="s">
        <v>3176</v>
      </c>
    </row>
    <row r="122" spans="1:10" x14ac:dyDescent="0.35">
      <c r="A122" s="1" t="s">
        <v>178</v>
      </c>
      <c r="B122" s="1" t="s">
        <v>1209</v>
      </c>
      <c r="C122" s="1" t="s">
        <v>1210</v>
      </c>
      <c r="D122" s="2">
        <v>46177</v>
      </c>
      <c r="E122">
        <v>5.1499977542320198E-2</v>
      </c>
      <c r="F122" s="2">
        <v>46177.771510335646</v>
      </c>
      <c r="G122" s="1" t="s">
        <v>1211</v>
      </c>
      <c r="H122" s="2">
        <v>46177.771510381943</v>
      </c>
      <c r="I122" s="1" t="s">
        <v>1211</v>
      </c>
      <c r="J122" s="1" t="s">
        <v>3177</v>
      </c>
    </row>
    <row r="123" spans="1:10" x14ac:dyDescent="0.35">
      <c r="A123" s="1" t="s">
        <v>134</v>
      </c>
      <c r="B123" s="1" t="s">
        <v>1209</v>
      </c>
      <c r="C123" s="1" t="s">
        <v>1210</v>
      </c>
      <c r="D123" s="2">
        <v>46177</v>
      </c>
      <c r="E123">
        <v>5.1449916715926698E-2</v>
      </c>
      <c r="F123" s="2">
        <v>46177.771504432872</v>
      </c>
      <c r="G123" s="1" t="s">
        <v>1211</v>
      </c>
      <c r="H123" s="2">
        <v>46177.771504479169</v>
      </c>
      <c r="I123" s="1" t="s">
        <v>1211</v>
      </c>
      <c r="J123" s="1" t="s">
        <v>3178</v>
      </c>
    </row>
    <row r="124" spans="1:10" x14ac:dyDescent="0.35">
      <c r="A124" s="1" t="s">
        <v>95</v>
      </c>
      <c r="B124" s="1" t="s">
        <v>1209</v>
      </c>
      <c r="C124" s="1" t="s">
        <v>1210</v>
      </c>
      <c r="D124" s="2">
        <v>46177</v>
      </c>
      <c r="E124">
        <v>5.1374926123553197E-2</v>
      </c>
      <c r="F124" s="2">
        <v>46177.771515277775</v>
      </c>
      <c r="G124" s="1" t="s">
        <v>1211</v>
      </c>
      <c r="H124" s="2">
        <v>46177.771515243054</v>
      </c>
      <c r="I124" s="1" t="s">
        <v>1211</v>
      </c>
      <c r="J124" s="1" t="s">
        <v>3179</v>
      </c>
    </row>
    <row r="125" spans="1:10" x14ac:dyDescent="0.35">
      <c r="A125" s="1" t="s">
        <v>136</v>
      </c>
      <c r="B125" s="1" t="s">
        <v>1209</v>
      </c>
      <c r="C125" s="1" t="s">
        <v>1210</v>
      </c>
      <c r="D125" s="2">
        <v>46177</v>
      </c>
      <c r="E125">
        <v>5.1309935034826802E-2</v>
      </c>
      <c r="F125" s="2">
        <v>46177.771507372687</v>
      </c>
      <c r="G125" s="1" t="s">
        <v>1211</v>
      </c>
      <c r="H125" s="2">
        <v>46177.771507407408</v>
      </c>
      <c r="I125" s="1" t="s">
        <v>1211</v>
      </c>
      <c r="J125" s="1" t="s">
        <v>3180</v>
      </c>
    </row>
    <row r="126" spans="1:10" x14ac:dyDescent="0.35">
      <c r="A126" s="1" t="s">
        <v>51</v>
      </c>
      <c r="B126" s="1" t="s">
        <v>1209</v>
      </c>
      <c r="C126" s="1" t="s">
        <v>1210</v>
      </c>
      <c r="D126" s="2">
        <v>46177</v>
      </c>
      <c r="E126">
        <v>5.1259934446403997E-2</v>
      </c>
      <c r="F126" s="2">
        <v>46177.771500347226</v>
      </c>
      <c r="G126" s="1" t="s">
        <v>1211</v>
      </c>
      <c r="H126" s="2">
        <v>46177.771500462964</v>
      </c>
      <c r="I126" s="1" t="s">
        <v>1211</v>
      </c>
      <c r="J126" s="1" t="s">
        <v>3181</v>
      </c>
    </row>
    <row r="127" spans="1:10" x14ac:dyDescent="0.35">
      <c r="A127" s="1" t="s">
        <v>241</v>
      </c>
      <c r="B127" s="1" t="s">
        <v>1209</v>
      </c>
      <c r="C127" s="1" t="s">
        <v>1210</v>
      </c>
      <c r="D127" s="2">
        <v>46177</v>
      </c>
      <c r="E127">
        <v>3.4119246420532101E-2</v>
      </c>
      <c r="F127" s="2">
        <v>46177.771495983798</v>
      </c>
      <c r="G127" s="1" t="s">
        <v>1211</v>
      </c>
      <c r="H127" s="2">
        <v>46177.771496030095</v>
      </c>
      <c r="I127" s="1" t="s">
        <v>1211</v>
      </c>
      <c r="J127" s="1" t="s">
        <v>3182</v>
      </c>
    </row>
    <row r="128" spans="1:10" x14ac:dyDescent="0.35">
      <c r="A128" s="1" t="s">
        <v>53</v>
      </c>
      <c r="B128" s="1" t="s">
        <v>1209</v>
      </c>
      <c r="C128" s="1" t="s">
        <v>1210</v>
      </c>
      <c r="D128" s="2">
        <v>46177</v>
      </c>
      <c r="E128">
        <v>3.6324758093862798E-2</v>
      </c>
      <c r="F128" s="2">
        <v>46177.771510497689</v>
      </c>
      <c r="G128" s="1" t="s">
        <v>1211</v>
      </c>
      <c r="H128" s="2">
        <v>46177.77151056713</v>
      </c>
      <c r="I128" s="1" t="s">
        <v>1211</v>
      </c>
      <c r="J128" s="1" t="s">
        <v>3183</v>
      </c>
    </row>
    <row r="129" spans="1:10" x14ac:dyDescent="0.35">
      <c r="A129" s="1" t="s">
        <v>180</v>
      </c>
      <c r="B129" s="1" t="s">
        <v>1209</v>
      </c>
      <c r="C129" s="1" t="s">
        <v>1210</v>
      </c>
      <c r="D129" s="2">
        <v>46177</v>
      </c>
      <c r="E129">
        <v>3.7174996490539701E-2</v>
      </c>
      <c r="F129" s="2">
        <v>46177.771496145833</v>
      </c>
      <c r="G129" s="1" t="s">
        <v>1211</v>
      </c>
      <c r="H129" s="2">
        <v>46177.771496331021</v>
      </c>
      <c r="I129" s="1" t="s">
        <v>1211</v>
      </c>
      <c r="J129" s="1" t="s">
        <v>3184</v>
      </c>
    </row>
    <row r="130" spans="1:10" x14ac:dyDescent="0.35">
      <c r="A130" s="1" t="s">
        <v>138</v>
      </c>
      <c r="B130" s="1" t="s">
        <v>1209</v>
      </c>
      <c r="C130" s="1" t="s">
        <v>1210</v>
      </c>
      <c r="D130" s="2">
        <v>46177</v>
      </c>
      <c r="E130">
        <v>3.9251639601370902E-2</v>
      </c>
      <c r="F130" s="2">
        <v>46177.771496296293</v>
      </c>
      <c r="G130" s="1" t="s">
        <v>1211</v>
      </c>
      <c r="H130" s="2">
        <v>46177.771496493056</v>
      </c>
      <c r="I130" s="1" t="s">
        <v>1211</v>
      </c>
      <c r="J130" s="1" t="s">
        <v>3185</v>
      </c>
    </row>
    <row r="131" spans="1:10" x14ac:dyDescent="0.35">
      <c r="A131" s="1" t="s">
        <v>55</v>
      </c>
      <c r="B131" s="1" t="s">
        <v>1209</v>
      </c>
      <c r="C131" s="1" t="s">
        <v>1210</v>
      </c>
      <c r="D131" s="2">
        <v>46177</v>
      </c>
      <c r="E131">
        <v>3.96869025048135E-2</v>
      </c>
      <c r="F131" s="2">
        <v>46177.77149644676</v>
      </c>
      <c r="G131" s="1" t="s">
        <v>1211</v>
      </c>
      <c r="H131" s="2">
        <v>46177.771496493056</v>
      </c>
      <c r="I131" s="1" t="s">
        <v>1211</v>
      </c>
      <c r="J131" s="1" t="s">
        <v>3186</v>
      </c>
    </row>
    <row r="132" spans="1:10" x14ac:dyDescent="0.35">
      <c r="A132" s="1" t="s">
        <v>243</v>
      </c>
      <c r="B132" s="1" t="s">
        <v>1209</v>
      </c>
      <c r="C132" s="1" t="s">
        <v>1210</v>
      </c>
      <c r="D132" s="2">
        <v>46177</v>
      </c>
      <c r="E132">
        <v>1.4066998199925001E-2</v>
      </c>
      <c r="F132" s="2">
        <v>46177.771507523146</v>
      </c>
      <c r="G132" s="1" t="s">
        <v>1211</v>
      </c>
      <c r="H132" s="2">
        <v>46177.771507604164</v>
      </c>
      <c r="I132" s="1" t="s">
        <v>1211</v>
      </c>
      <c r="J132" s="1" t="s">
        <v>3187</v>
      </c>
    </row>
    <row r="133" spans="1:10" x14ac:dyDescent="0.35">
      <c r="A133" s="1" t="s">
        <v>182</v>
      </c>
      <c r="B133" s="1" t="s">
        <v>1209</v>
      </c>
      <c r="C133" s="1" t="s">
        <v>1210</v>
      </c>
      <c r="D133" s="2">
        <v>46177</v>
      </c>
      <c r="E133">
        <v>4.0423886365072798E-2</v>
      </c>
      <c r="F133" s="2">
        <v>46177.771504594908</v>
      </c>
      <c r="G133" s="1" t="s">
        <v>1211</v>
      </c>
      <c r="H133" s="2">
        <v>46177.771504629629</v>
      </c>
      <c r="I133" s="1" t="s">
        <v>1211</v>
      </c>
      <c r="J133" s="1" t="s">
        <v>3188</v>
      </c>
    </row>
    <row r="134" spans="1:10" x14ac:dyDescent="0.35">
      <c r="A134" s="1" t="s">
        <v>184</v>
      </c>
      <c r="B134" s="1" t="s">
        <v>1209</v>
      </c>
      <c r="C134" s="1" t="s">
        <v>1210</v>
      </c>
      <c r="D134" s="2">
        <v>46177</v>
      </c>
      <c r="E134">
        <v>4.0701133453429801E-2</v>
      </c>
      <c r="F134" s="2">
        <v>46177.771500497685</v>
      </c>
      <c r="G134" s="1" t="s">
        <v>1211</v>
      </c>
      <c r="H134" s="2">
        <v>46177.771500659721</v>
      </c>
      <c r="I134" s="1" t="s">
        <v>1211</v>
      </c>
      <c r="J134" s="1" t="s">
        <v>3189</v>
      </c>
    </row>
    <row r="135" spans="1:10" x14ac:dyDescent="0.35">
      <c r="A135" s="1" t="s">
        <v>140</v>
      </c>
      <c r="B135" s="1" t="s">
        <v>1209</v>
      </c>
      <c r="C135" s="1" t="s">
        <v>1210</v>
      </c>
      <c r="D135" s="2">
        <v>46177</v>
      </c>
      <c r="E135">
        <v>3.9676947365158102E-2</v>
      </c>
      <c r="F135" s="2">
        <v>46177.771500659721</v>
      </c>
      <c r="G135" s="1" t="s">
        <v>1211</v>
      </c>
      <c r="H135" s="2">
        <v>46177.771500659721</v>
      </c>
      <c r="I135" s="1" t="s">
        <v>1211</v>
      </c>
      <c r="J135" s="1" t="s">
        <v>3190</v>
      </c>
    </row>
    <row r="136" spans="1:10" x14ac:dyDescent="0.35">
      <c r="A136" s="1" t="s">
        <v>142</v>
      </c>
      <c r="B136" s="1" t="s">
        <v>1209</v>
      </c>
      <c r="C136" s="1" t="s">
        <v>1210</v>
      </c>
      <c r="D136" s="2">
        <v>46177</v>
      </c>
      <c r="E136">
        <v>1.52681064819677E-2</v>
      </c>
      <c r="F136" s="2">
        <v>46177.771507638892</v>
      </c>
      <c r="G136" s="1" t="s">
        <v>1211</v>
      </c>
      <c r="H136" s="2">
        <v>46177.771507835649</v>
      </c>
      <c r="I136" s="1" t="s">
        <v>1211</v>
      </c>
      <c r="J136" s="1" t="s">
        <v>3191</v>
      </c>
    </row>
    <row r="137" spans="1:10" x14ac:dyDescent="0.35">
      <c r="A137" s="1" t="s">
        <v>97</v>
      </c>
      <c r="B137" s="1" t="s">
        <v>1209</v>
      </c>
      <c r="C137" s="1" t="s">
        <v>1210</v>
      </c>
      <c r="D137" s="2">
        <v>46177</v>
      </c>
      <c r="E137">
        <v>4.10673421465595E-2</v>
      </c>
      <c r="F137" s="2">
        <v>46177.771500810188</v>
      </c>
      <c r="G137" s="1" t="s">
        <v>1211</v>
      </c>
      <c r="H137" s="2">
        <v>46177.771500844909</v>
      </c>
      <c r="I137" s="1" t="s">
        <v>1211</v>
      </c>
      <c r="J137" s="1" t="s">
        <v>3192</v>
      </c>
    </row>
    <row r="138" spans="1:10" x14ac:dyDescent="0.35">
      <c r="A138" s="1" t="s">
        <v>99</v>
      </c>
      <c r="B138" s="1" t="s">
        <v>1209</v>
      </c>
      <c r="C138" s="1" t="s">
        <v>1210</v>
      </c>
      <c r="D138" s="2">
        <v>46177</v>
      </c>
      <c r="E138">
        <v>4.1438968747769103E-2</v>
      </c>
      <c r="F138" s="2">
        <v>46177.771510648148</v>
      </c>
      <c r="G138" s="1" t="s">
        <v>1211</v>
      </c>
      <c r="H138" s="2">
        <v>46177.771510729166</v>
      </c>
      <c r="I138" s="1" t="s">
        <v>1211</v>
      </c>
      <c r="J138" s="1" t="s">
        <v>3193</v>
      </c>
    </row>
    <row r="139" spans="1:10" x14ac:dyDescent="0.35">
      <c r="A139" s="1" t="s">
        <v>144</v>
      </c>
      <c r="B139" s="1" t="s">
        <v>1209</v>
      </c>
      <c r="C139" s="1" t="s">
        <v>1210</v>
      </c>
      <c r="D139" s="2">
        <v>46177</v>
      </c>
      <c r="E139">
        <v>4.14908990775553E-2</v>
      </c>
      <c r="F139" s="2">
        <v>46177.771510798608</v>
      </c>
      <c r="G139" s="1" t="s">
        <v>1211</v>
      </c>
      <c r="H139" s="2">
        <v>46177.771510914354</v>
      </c>
      <c r="I139" s="1" t="s">
        <v>1211</v>
      </c>
      <c r="J139" s="1" t="s">
        <v>3194</v>
      </c>
    </row>
    <row r="140" spans="1:10" x14ac:dyDescent="0.35">
      <c r="A140" s="1" t="s">
        <v>146</v>
      </c>
      <c r="B140" s="1" t="s">
        <v>1209</v>
      </c>
      <c r="C140" s="1" t="s">
        <v>1210</v>
      </c>
      <c r="D140" s="2">
        <v>46177</v>
      </c>
      <c r="E140">
        <v>1.7508207619201199E-2</v>
      </c>
      <c r="F140" s="2">
        <v>46177.771500960647</v>
      </c>
      <c r="G140" s="1" t="s">
        <v>1211</v>
      </c>
      <c r="H140" s="2">
        <v>46177.771501006944</v>
      </c>
      <c r="I140" s="1" t="s">
        <v>1211</v>
      </c>
      <c r="J140" s="1" t="s">
        <v>3195</v>
      </c>
    </row>
    <row r="141" spans="1:10" x14ac:dyDescent="0.35">
      <c r="A141" s="1" t="s">
        <v>277</v>
      </c>
      <c r="B141" s="1" t="s">
        <v>1209</v>
      </c>
      <c r="C141" s="1" t="s">
        <v>1210</v>
      </c>
      <c r="D141" s="2">
        <v>46177</v>
      </c>
      <c r="E141">
        <v>4.3765775866240801E-2</v>
      </c>
      <c r="F141" s="2">
        <v>46177.771496643516</v>
      </c>
      <c r="G141" s="1" t="s">
        <v>1211</v>
      </c>
      <c r="H141" s="2">
        <v>46177.771496678244</v>
      </c>
      <c r="I141" s="1" t="s">
        <v>1211</v>
      </c>
      <c r="J141" s="1" t="s">
        <v>3196</v>
      </c>
    </row>
    <row r="142" spans="1:10" x14ac:dyDescent="0.35">
      <c r="A142" s="1" t="s">
        <v>101</v>
      </c>
      <c r="B142" s="1" t="s">
        <v>1209</v>
      </c>
      <c r="C142" s="1" t="s">
        <v>1210</v>
      </c>
      <c r="D142" s="2">
        <v>46177</v>
      </c>
      <c r="E142">
        <v>8.2520860350051902E-3</v>
      </c>
      <c r="F142" s="2">
        <v>46177.771504745368</v>
      </c>
      <c r="G142" s="1" t="s">
        <v>1211</v>
      </c>
      <c r="H142" s="2">
        <v>46177.771504861113</v>
      </c>
      <c r="I142" s="1" t="s">
        <v>1211</v>
      </c>
      <c r="J142" s="1" t="s">
        <v>3197</v>
      </c>
    </row>
    <row r="143" spans="1:10" x14ac:dyDescent="0.35">
      <c r="A143" s="1" t="s">
        <v>186</v>
      </c>
      <c r="B143" s="1" t="s">
        <v>1209</v>
      </c>
      <c r="C143" s="1" t="s">
        <v>1210</v>
      </c>
      <c r="D143" s="2">
        <v>46177</v>
      </c>
      <c r="E143">
        <v>4.4556601503726201E-2</v>
      </c>
      <c r="F143" s="2">
        <v>46177.771496793983</v>
      </c>
      <c r="G143" s="1" t="s">
        <v>1211</v>
      </c>
      <c r="H143" s="2">
        <v>46177.771496956018</v>
      </c>
      <c r="I143" s="1" t="s">
        <v>1211</v>
      </c>
      <c r="J143" s="1" t="s">
        <v>3198</v>
      </c>
    </row>
    <row r="144" spans="1:10" x14ac:dyDescent="0.35">
      <c r="A144" s="1" t="s">
        <v>148</v>
      </c>
      <c r="B144" s="1" t="s">
        <v>1209</v>
      </c>
      <c r="C144" s="1" t="s">
        <v>1210</v>
      </c>
      <c r="D144" s="2">
        <v>46177</v>
      </c>
      <c r="E144">
        <v>4.4555951967177897E-2</v>
      </c>
      <c r="F144" s="2">
        <v>46177.771496956018</v>
      </c>
      <c r="G144" s="1" t="s">
        <v>1211</v>
      </c>
      <c r="H144" s="2">
        <v>46177.77149702546</v>
      </c>
      <c r="I144" s="1" t="s">
        <v>1211</v>
      </c>
      <c r="J144" s="1" t="s">
        <v>3199</v>
      </c>
    </row>
    <row r="145" spans="1:10" x14ac:dyDescent="0.35">
      <c r="A145" s="1" t="s">
        <v>257</v>
      </c>
      <c r="B145" s="1" t="s">
        <v>1209</v>
      </c>
      <c r="C145" s="1" t="s">
        <v>1210</v>
      </c>
      <c r="D145" s="2">
        <v>46177</v>
      </c>
      <c r="E145">
        <v>1.3437866989810801E-2</v>
      </c>
      <c r="F145" s="2">
        <v>46177.771504895834</v>
      </c>
      <c r="G145" s="1" t="s">
        <v>1211</v>
      </c>
      <c r="H145" s="2">
        <v>46177.77150505787</v>
      </c>
      <c r="I145" s="1" t="s">
        <v>1211</v>
      </c>
      <c r="J145" s="1" t="s">
        <v>3200</v>
      </c>
    </row>
    <row r="146" spans="1:10" x14ac:dyDescent="0.35">
      <c r="A146" s="1" t="s">
        <v>57</v>
      </c>
      <c r="B146" s="1" t="s">
        <v>1209</v>
      </c>
      <c r="C146" s="1" t="s">
        <v>1210</v>
      </c>
      <c r="D146" s="2">
        <v>46177</v>
      </c>
      <c r="E146">
        <v>4.5095843119179302E-2</v>
      </c>
      <c r="F146" s="2">
        <v>46177.77150505787</v>
      </c>
      <c r="G146" s="1" t="s">
        <v>1211</v>
      </c>
      <c r="H146" s="2">
        <v>46177.771505243058</v>
      </c>
      <c r="I146" s="1" t="s">
        <v>1211</v>
      </c>
      <c r="J146" s="1" t="s">
        <v>3201</v>
      </c>
    </row>
    <row r="147" spans="1:10" x14ac:dyDescent="0.35">
      <c r="A147" s="1" t="s">
        <v>259</v>
      </c>
      <c r="B147" s="1" t="s">
        <v>1209</v>
      </c>
      <c r="C147" s="1" t="s">
        <v>1210</v>
      </c>
      <c r="D147" s="2">
        <v>46177</v>
      </c>
      <c r="E147">
        <v>4.5364651279771503E-2</v>
      </c>
      <c r="F147" s="2">
        <v>46177.771512384257</v>
      </c>
      <c r="G147" s="1" t="s">
        <v>1211</v>
      </c>
      <c r="H147" s="2">
        <v>46177.771512349536</v>
      </c>
      <c r="I147" s="1" t="s">
        <v>1211</v>
      </c>
      <c r="J147" s="1" t="s">
        <v>3202</v>
      </c>
    </row>
    <row r="148" spans="1:10" x14ac:dyDescent="0.35">
      <c r="A148" s="1" t="s">
        <v>104</v>
      </c>
      <c r="B148" s="1" t="s">
        <v>1209</v>
      </c>
      <c r="C148" s="1" t="s">
        <v>1210</v>
      </c>
      <c r="D148" s="2">
        <v>46177</v>
      </c>
      <c r="E148">
        <v>1.44089264867587E-2</v>
      </c>
      <c r="F148" s="2">
        <v>46177.771507835649</v>
      </c>
      <c r="G148" s="1" t="s">
        <v>1211</v>
      </c>
      <c r="H148" s="2">
        <v>46177.771507835649</v>
      </c>
      <c r="I148" s="1" t="s">
        <v>1211</v>
      </c>
      <c r="J148" s="1" t="s">
        <v>3203</v>
      </c>
    </row>
    <row r="149" spans="1:10" x14ac:dyDescent="0.35">
      <c r="A149" s="1" t="s">
        <v>245</v>
      </c>
      <c r="B149" s="1" t="s">
        <v>1209</v>
      </c>
      <c r="C149" s="1" t="s">
        <v>1210</v>
      </c>
      <c r="D149" s="2">
        <v>46177</v>
      </c>
      <c r="E149">
        <v>4.60853974761831E-2</v>
      </c>
      <c r="F149" s="2">
        <v>46177.771512534724</v>
      </c>
      <c r="G149" s="1" t="s">
        <v>1211</v>
      </c>
      <c r="H149" s="2">
        <v>46177.771512534724</v>
      </c>
      <c r="I149" s="1" t="s">
        <v>1211</v>
      </c>
      <c r="J149" s="1" t="s">
        <v>3204</v>
      </c>
    </row>
    <row r="150" spans="1:10" x14ac:dyDescent="0.35">
      <c r="A150" s="1" t="s">
        <v>261</v>
      </c>
      <c r="B150" s="1" t="s">
        <v>1209</v>
      </c>
      <c r="C150" s="1" t="s">
        <v>1210</v>
      </c>
      <c r="D150" s="2">
        <v>46177</v>
      </c>
      <c r="E150">
        <v>4.6565980937359197E-2</v>
      </c>
      <c r="F150" s="2">
        <v>46177.771505208337</v>
      </c>
      <c r="G150" s="1" t="s">
        <v>1211</v>
      </c>
      <c r="H150" s="2">
        <v>46177.771505243058</v>
      </c>
      <c r="I150" s="1" t="s">
        <v>1211</v>
      </c>
      <c r="J150" s="1" t="s">
        <v>3205</v>
      </c>
    </row>
    <row r="151" spans="1:10" x14ac:dyDescent="0.35">
      <c r="A151" s="1" t="s">
        <v>106</v>
      </c>
      <c r="B151" s="1" t="s">
        <v>1209</v>
      </c>
      <c r="C151" s="1" t="s">
        <v>1210</v>
      </c>
      <c r="D151" s="2">
        <v>46177</v>
      </c>
      <c r="E151">
        <v>4.6891209457735998E-2</v>
      </c>
      <c r="F151" s="2">
        <v>46177.771510960651</v>
      </c>
      <c r="G151" s="1" t="s">
        <v>1211</v>
      </c>
      <c r="H151" s="2">
        <v>46177.77151111111</v>
      </c>
      <c r="I151" s="1" t="s">
        <v>1211</v>
      </c>
      <c r="J151" s="1" t="s">
        <v>3206</v>
      </c>
    </row>
    <row r="152" spans="1:10" x14ac:dyDescent="0.35">
      <c r="A152" s="1" t="s">
        <v>150</v>
      </c>
      <c r="B152" s="1" t="s">
        <v>1209</v>
      </c>
      <c r="C152" s="1" t="s">
        <v>1210</v>
      </c>
      <c r="D152" s="2">
        <v>46177</v>
      </c>
      <c r="E152">
        <v>4.7190269294299501E-2</v>
      </c>
      <c r="F152" s="2">
        <v>46177.771505358796</v>
      </c>
      <c r="G152" s="1" t="s">
        <v>1211</v>
      </c>
      <c r="H152" s="2">
        <v>46177.771505405093</v>
      </c>
      <c r="I152" s="1" t="s">
        <v>1211</v>
      </c>
      <c r="J152" s="1" t="s">
        <v>3207</v>
      </c>
    </row>
    <row r="153" spans="1:10" x14ac:dyDescent="0.35">
      <c r="A153" s="1" t="s">
        <v>319</v>
      </c>
      <c r="B153" s="1" t="s">
        <v>1209</v>
      </c>
      <c r="C153" s="1" t="s">
        <v>1210</v>
      </c>
      <c r="D153" s="2">
        <v>46177</v>
      </c>
      <c r="E153">
        <v>4.7290680068382801E-2</v>
      </c>
      <c r="F153" s="2">
        <v>46177.771505555553</v>
      </c>
      <c r="G153" s="1" t="s">
        <v>1211</v>
      </c>
      <c r="H153" s="2">
        <v>46177.771505590281</v>
      </c>
      <c r="I153" s="1" t="s">
        <v>1211</v>
      </c>
      <c r="J153" s="1" t="s">
        <v>3208</v>
      </c>
    </row>
    <row r="154" spans="1:10" x14ac:dyDescent="0.35">
      <c r="A154" s="1" t="s">
        <v>263</v>
      </c>
      <c r="B154" s="1" t="s">
        <v>1209</v>
      </c>
      <c r="C154" s="1" t="s">
        <v>1210</v>
      </c>
      <c r="D154" s="2">
        <v>46177</v>
      </c>
      <c r="E154">
        <v>2.3202575375456599E-2</v>
      </c>
      <c r="F154" s="2">
        <v>46177.771507986108</v>
      </c>
      <c r="G154" s="1" t="s">
        <v>1211</v>
      </c>
      <c r="H154" s="2">
        <v>46177.771508020836</v>
      </c>
      <c r="I154" s="1" t="s">
        <v>1211</v>
      </c>
      <c r="J154" s="1" t="s">
        <v>3209</v>
      </c>
    </row>
    <row r="155" spans="1:10" x14ac:dyDescent="0.35">
      <c r="A155" s="1" t="s">
        <v>59</v>
      </c>
      <c r="B155" s="1" t="s">
        <v>1209</v>
      </c>
      <c r="C155" s="1" t="s">
        <v>1210</v>
      </c>
      <c r="D155" s="2">
        <v>46177</v>
      </c>
      <c r="E155">
        <v>4.7486470981925599E-2</v>
      </c>
      <c r="F155" s="2">
        <v>46177.771501122683</v>
      </c>
      <c r="G155" s="1" t="s">
        <v>1211</v>
      </c>
      <c r="H155" s="2">
        <v>46177.771501192132</v>
      </c>
      <c r="I155" s="1" t="s">
        <v>1211</v>
      </c>
      <c r="J155" s="1" t="s">
        <v>3210</v>
      </c>
    </row>
    <row r="156" spans="1:10" x14ac:dyDescent="0.35">
      <c r="A156" s="1" t="s">
        <v>108</v>
      </c>
      <c r="B156" s="1" t="s">
        <v>1209</v>
      </c>
      <c r="C156" s="1" t="s">
        <v>1210</v>
      </c>
      <c r="D156" s="2">
        <v>46177</v>
      </c>
      <c r="E156">
        <v>4.7761274846542301E-2</v>
      </c>
      <c r="F156" s="2">
        <v>46177.771497106478</v>
      </c>
      <c r="G156" s="1" t="s">
        <v>1211</v>
      </c>
      <c r="H156" s="2">
        <v>46177.771497222224</v>
      </c>
      <c r="I156" s="1" t="s">
        <v>1211</v>
      </c>
      <c r="J156" s="1" t="s">
        <v>3211</v>
      </c>
    </row>
    <row r="157" spans="1:10" x14ac:dyDescent="0.35">
      <c r="A157" s="1" t="s">
        <v>110</v>
      </c>
      <c r="B157" s="1" t="s">
        <v>1209</v>
      </c>
      <c r="C157" s="1" t="s">
        <v>1210</v>
      </c>
      <c r="D157" s="2">
        <v>46177</v>
      </c>
      <c r="E157">
        <v>4.7861235771956799E-2</v>
      </c>
      <c r="F157" s="2">
        <v>46177.771508136575</v>
      </c>
      <c r="G157" s="1" t="s">
        <v>1211</v>
      </c>
      <c r="H157" s="2">
        <v>46177.771508217593</v>
      </c>
      <c r="I157" s="1" t="s">
        <v>1211</v>
      </c>
      <c r="J157" s="1" t="s">
        <v>3212</v>
      </c>
    </row>
    <row r="158" spans="1:10" x14ac:dyDescent="0.35">
      <c r="A158" s="1" t="s">
        <v>247</v>
      </c>
      <c r="B158" s="1" t="s">
        <v>1209</v>
      </c>
      <c r="C158" s="1" t="s">
        <v>1210</v>
      </c>
      <c r="D158" s="2">
        <v>46177</v>
      </c>
      <c r="E158">
        <v>4.7874284208796303E-2</v>
      </c>
      <c r="F158" s="2">
        <v>46177.771505671299</v>
      </c>
      <c r="G158" s="1" t="s">
        <v>1211</v>
      </c>
      <c r="H158" s="2">
        <v>46177.771505787037</v>
      </c>
      <c r="I158" s="1" t="s">
        <v>1211</v>
      </c>
      <c r="J158" s="1" t="s">
        <v>3213</v>
      </c>
    </row>
    <row r="159" spans="1:10" x14ac:dyDescent="0.35">
      <c r="A159" s="1" t="s">
        <v>62</v>
      </c>
      <c r="B159" s="1" t="s">
        <v>1209</v>
      </c>
      <c r="C159" s="1" t="s">
        <v>1210</v>
      </c>
      <c r="D159" s="2">
        <v>46177</v>
      </c>
      <c r="E159">
        <v>2.3935725071954201E-2</v>
      </c>
      <c r="F159" s="2">
        <v>46177.77151269676</v>
      </c>
      <c r="G159" s="1" t="s">
        <v>1211</v>
      </c>
      <c r="H159" s="2">
        <v>46177.77151273148</v>
      </c>
      <c r="I159" s="1" t="s">
        <v>1211</v>
      </c>
      <c r="J159" s="1" t="s">
        <v>3214</v>
      </c>
    </row>
    <row r="160" spans="1:10" x14ac:dyDescent="0.35">
      <c r="A160" s="1" t="s">
        <v>65</v>
      </c>
      <c r="B160" s="1" t="s">
        <v>1209</v>
      </c>
      <c r="C160" s="1" t="s">
        <v>1210</v>
      </c>
      <c r="D160" s="2">
        <v>46177</v>
      </c>
      <c r="E160">
        <v>4.8108042562989999E-2</v>
      </c>
      <c r="F160" s="2">
        <v>46177.771497256945</v>
      </c>
      <c r="G160" s="1" t="s">
        <v>1211</v>
      </c>
      <c r="H160" s="2">
        <v>46177.77149741898</v>
      </c>
      <c r="I160" s="1" t="s">
        <v>1211</v>
      </c>
      <c r="J160" s="1" t="s">
        <v>3215</v>
      </c>
    </row>
    <row r="161" spans="1:10" x14ac:dyDescent="0.35">
      <c r="A161" s="1" t="s">
        <v>279</v>
      </c>
      <c r="B161" s="1" t="s">
        <v>1209</v>
      </c>
      <c r="C161" s="1" t="s">
        <v>1210</v>
      </c>
      <c r="D161" s="2">
        <v>46177</v>
      </c>
      <c r="E161">
        <v>4.8339857086209199E-2</v>
      </c>
      <c r="F161" s="2">
        <v>46177.771505821758</v>
      </c>
      <c r="G161" s="1" t="s">
        <v>1211</v>
      </c>
      <c r="H161" s="2">
        <v>46177.771505983794</v>
      </c>
      <c r="I161" s="1" t="s">
        <v>1211</v>
      </c>
      <c r="J161" s="1" t="s">
        <v>3216</v>
      </c>
    </row>
    <row r="162" spans="1:10" x14ac:dyDescent="0.35">
      <c r="A162" s="1" t="s">
        <v>112</v>
      </c>
      <c r="B162" s="1" t="s">
        <v>1209</v>
      </c>
      <c r="C162" s="1" t="s">
        <v>1210</v>
      </c>
      <c r="D162" s="2">
        <v>46177</v>
      </c>
      <c r="E162">
        <v>4.87155058012863E-2</v>
      </c>
      <c r="F162" s="2">
        <v>46177.771512847219</v>
      </c>
      <c r="G162" s="1" t="s">
        <v>1211</v>
      </c>
      <c r="H162" s="2">
        <v>46177.771512928244</v>
      </c>
      <c r="I162" s="1" t="s">
        <v>1211</v>
      </c>
      <c r="J162" s="1" t="s">
        <v>3218</v>
      </c>
    </row>
    <row r="163" spans="1:10" x14ac:dyDescent="0.35">
      <c r="A163" s="1" t="s">
        <v>114</v>
      </c>
      <c r="B163" s="1" t="s">
        <v>1209</v>
      </c>
      <c r="C163" s="1" t="s">
        <v>1210</v>
      </c>
      <c r="D163" s="2">
        <v>46177</v>
      </c>
      <c r="E163">
        <v>4.8872810953865101E-2</v>
      </c>
      <c r="F163" s="2">
        <v>46177.771505983794</v>
      </c>
      <c r="G163" s="1" t="s">
        <v>1211</v>
      </c>
      <c r="H163" s="2">
        <v>46177.771506134261</v>
      </c>
      <c r="I163" s="1" t="s">
        <v>1211</v>
      </c>
      <c r="J163" s="1" t="s">
        <v>3219</v>
      </c>
    </row>
    <row r="164" spans="1:10" x14ac:dyDescent="0.35">
      <c r="A164" s="1" t="s">
        <v>265</v>
      </c>
      <c r="B164" s="1" t="s">
        <v>1209</v>
      </c>
      <c r="C164" s="1" t="s">
        <v>1210</v>
      </c>
      <c r="D164" s="2">
        <v>46177</v>
      </c>
      <c r="E164">
        <v>2.5205928742536601E-2</v>
      </c>
      <c r="F164" s="2">
        <v>46177.771508333331</v>
      </c>
      <c r="G164" s="1" t="s">
        <v>1211</v>
      </c>
      <c r="H164" s="2">
        <v>46177.771508368052</v>
      </c>
      <c r="I164" s="1" t="s">
        <v>1211</v>
      </c>
      <c r="J164" s="1" t="s">
        <v>3220</v>
      </c>
    </row>
    <row r="165" spans="1:10" x14ac:dyDescent="0.35">
      <c r="A165" s="1" t="s">
        <v>321</v>
      </c>
      <c r="B165" s="1" t="s">
        <v>1209</v>
      </c>
      <c r="C165" s="1" t="s">
        <v>1210</v>
      </c>
      <c r="D165" s="2">
        <v>46177</v>
      </c>
      <c r="E165">
        <v>4.9020156134791902E-2</v>
      </c>
      <c r="F165" s="2">
        <v>46177.771508483798</v>
      </c>
      <c r="G165" s="1" t="s">
        <v>1211</v>
      </c>
      <c r="H165" s="2">
        <v>46177.771508564816</v>
      </c>
      <c r="I165" s="1" t="s">
        <v>1211</v>
      </c>
      <c r="J165" s="1" t="s">
        <v>3217</v>
      </c>
    </row>
    <row r="166" spans="1:10" x14ac:dyDescent="0.35">
      <c r="A166" s="1" t="s">
        <v>323</v>
      </c>
      <c r="B166" s="1" t="s">
        <v>1209</v>
      </c>
      <c r="C166" s="1" t="s">
        <v>1210</v>
      </c>
      <c r="D166" s="2">
        <v>46177</v>
      </c>
      <c r="E166">
        <v>4.9244424734183001E-2</v>
      </c>
      <c r="F166" s="2">
        <v>46177.771506134261</v>
      </c>
      <c r="G166" s="1" t="s">
        <v>1211</v>
      </c>
      <c r="H166" s="2">
        <v>46177.771506331017</v>
      </c>
      <c r="I166" s="1" t="s">
        <v>1211</v>
      </c>
      <c r="J166" s="1" t="s">
        <v>3221</v>
      </c>
    </row>
    <row r="167" spans="1:10" x14ac:dyDescent="0.35">
      <c r="A167" s="1" t="s">
        <v>68</v>
      </c>
      <c r="B167" s="1" t="s">
        <v>1209</v>
      </c>
      <c r="C167" s="1" t="s">
        <v>1210</v>
      </c>
      <c r="D167" s="2">
        <v>46177</v>
      </c>
      <c r="E167">
        <v>4.9407167218763003E-2</v>
      </c>
      <c r="F167" s="2">
        <v>46177.77150127315</v>
      </c>
      <c r="G167" s="1" t="s">
        <v>1211</v>
      </c>
      <c r="H167" s="2">
        <v>46177.771501388888</v>
      </c>
      <c r="I167" s="1" t="s">
        <v>1211</v>
      </c>
      <c r="J167" s="1" t="s">
        <v>3222</v>
      </c>
    </row>
    <row r="168" spans="1:10" x14ac:dyDescent="0.35">
      <c r="A168" s="1" t="s">
        <v>267</v>
      </c>
      <c r="B168" s="1" t="s">
        <v>1209</v>
      </c>
      <c r="C168" s="1" t="s">
        <v>1210</v>
      </c>
      <c r="D168" s="2">
        <v>46177</v>
      </c>
      <c r="E168">
        <v>4.9453719852371299E-2</v>
      </c>
      <c r="F168" s="2">
        <v>46177.77150628472</v>
      </c>
      <c r="G168" s="1" t="s">
        <v>1211</v>
      </c>
      <c r="H168" s="2">
        <v>46177.771506331017</v>
      </c>
      <c r="I168" s="1" t="s">
        <v>1211</v>
      </c>
      <c r="J168" s="1" t="s">
        <v>3223</v>
      </c>
    </row>
    <row r="169" spans="1:10" x14ac:dyDescent="0.35">
      <c r="A169" s="1" t="s">
        <v>325</v>
      </c>
      <c r="B169" s="1" t="s">
        <v>1209</v>
      </c>
      <c r="C169" s="1" t="s">
        <v>1210</v>
      </c>
      <c r="D169" s="2">
        <v>46177</v>
      </c>
      <c r="E169">
        <v>2.5620511101866601E-2</v>
      </c>
      <c r="F169" s="2">
        <v>46177.771501423609</v>
      </c>
      <c r="G169" s="1" t="s">
        <v>1211</v>
      </c>
      <c r="H169" s="2">
        <v>46177.771501585645</v>
      </c>
      <c r="I169" s="1" t="s">
        <v>1211</v>
      </c>
      <c r="J169" s="1" t="s">
        <v>3224</v>
      </c>
    </row>
    <row r="170" spans="1:10" x14ac:dyDescent="0.35">
      <c r="A170" s="1" t="s">
        <v>281</v>
      </c>
      <c r="B170" s="1" t="s">
        <v>1209</v>
      </c>
      <c r="C170" s="1" t="s">
        <v>1210</v>
      </c>
      <c r="D170" s="2">
        <v>46177</v>
      </c>
      <c r="E170">
        <v>4.96168673612521E-2</v>
      </c>
      <c r="F170" s="2">
        <v>46177.77149741898</v>
      </c>
      <c r="G170" s="1" t="s">
        <v>1211</v>
      </c>
      <c r="H170" s="2">
        <v>46177.77149741898</v>
      </c>
      <c r="I170" s="1" t="s">
        <v>1211</v>
      </c>
      <c r="J170" s="1" t="s">
        <v>3225</v>
      </c>
    </row>
    <row r="171" spans="1:10" x14ac:dyDescent="0.35">
      <c r="A171" s="1" t="s">
        <v>269</v>
      </c>
      <c r="B171" s="1" t="s">
        <v>1209</v>
      </c>
      <c r="C171" s="1" t="s">
        <v>1210</v>
      </c>
      <c r="D171" s="2">
        <v>46177</v>
      </c>
      <c r="E171">
        <v>4.9522375544981102E-2</v>
      </c>
      <c r="F171" s="2">
        <v>46177.771497569447</v>
      </c>
      <c r="G171" s="1" t="s">
        <v>1211</v>
      </c>
      <c r="H171" s="2">
        <v>46177.771497569447</v>
      </c>
      <c r="I171" s="1" t="s">
        <v>1211</v>
      </c>
      <c r="J171" s="1" t="s">
        <v>3226</v>
      </c>
    </row>
    <row r="172" spans="1:10" x14ac:dyDescent="0.35">
      <c r="A172" s="1" t="s">
        <v>70</v>
      </c>
      <c r="B172" s="1" t="s">
        <v>1209</v>
      </c>
      <c r="C172" s="1" t="s">
        <v>1210</v>
      </c>
      <c r="D172" s="2">
        <v>46177</v>
      </c>
      <c r="E172">
        <v>4.9611986934145598E-2</v>
      </c>
      <c r="F172" s="2">
        <v>46177.771501585645</v>
      </c>
      <c r="G172" s="1" t="s">
        <v>1211</v>
      </c>
      <c r="H172" s="2">
        <v>46177.771501736112</v>
      </c>
      <c r="I172" s="1" t="s">
        <v>1211</v>
      </c>
      <c r="J172" s="1" t="s">
        <v>3227</v>
      </c>
    </row>
    <row r="173" spans="1:10" x14ac:dyDescent="0.35">
      <c r="A173" s="1" t="s">
        <v>271</v>
      </c>
      <c r="B173" s="1" t="s">
        <v>1209</v>
      </c>
      <c r="C173" s="1" t="s">
        <v>1210</v>
      </c>
      <c r="D173" s="2">
        <v>46177</v>
      </c>
      <c r="E173">
        <v>4.9732781240518803E-2</v>
      </c>
      <c r="F173" s="2">
        <v>46177.771497719907</v>
      </c>
      <c r="G173" s="1" t="s">
        <v>1211</v>
      </c>
      <c r="H173" s="2">
        <v>46177.771497766204</v>
      </c>
      <c r="I173" s="1" t="s">
        <v>1211</v>
      </c>
      <c r="J173" s="1" t="s">
        <v>3228</v>
      </c>
    </row>
    <row r="174" spans="1:10" x14ac:dyDescent="0.35">
      <c r="A174" s="1" t="s">
        <v>1120</v>
      </c>
      <c r="B174" s="1" t="s">
        <v>1209</v>
      </c>
      <c r="C174" s="1" t="s">
        <v>1210</v>
      </c>
      <c r="D174" s="2">
        <v>46177</v>
      </c>
      <c r="E174">
        <v>2.6031731150084201E-2</v>
      </c>
      <c r="F174" s="2">
        <v>46177.771508645834</v>
      </c>
      <c r="G174" s="1" t="s">
        <v>1211</v>
      </c>
      <c r="H174" s="2">
        <v>46177.771508761572</v>
      </c>
      <c r="I174" s="1" t="s">
        <v>1211</v>
      </c>
      <c r="J174" s="1" t="s">
        <v>3229</v>
      </c>
    </row>
    <row r="175" spans="1:10" x14ac:dyDescent="0.35">
      <c r="A175" s="1" t="s">
        <v>441</v>
      </c>
      <c r="B175" s="1" t="s">
        <v>1209</v>
      </c>
      <c r="C175" s="1" t="s">
        <v>1210</v>
      </c>
      <c r="D175" s="2">
        <v>46177</v>
      </c>
      <c r="E175">
        <v>4.9838398228331998E-2</v>
      </c>
      <c r="F175" s="2">
        <v>46177.771497881942</v>
      </c>
      <c r="G175" s="1" t="s">
        <v>1211</v>
      </c>
      <c r="H175" s="2">
        <v>46177.771497951391</v>
      </c>
      <c r="I175" s="1" t="s">
        <v>1211</v>
      </c>
      <c r="J175" s="1" t="s">
        <v>3230</v>
      </c>
    </row>
    <row r="176" spans="1:10" x14ac:dyDescent="0.35">
      <c r="A176" s="1" t="s">
        <v>443</v>
      </c>
      <c r="B176" s="1" t="s">
        <v>1209</v>
      </c>
      <c r="C176" s="1" t="s">
        <v>1210</v>
      </c>
      <c r="D176" s="2">
        <v>46177</v>
      </c>
      <c r="E176">
        <v>5.0004939632331297E-2</v>
      </c>
      <c r="F176" s="2">
        <v>46177.771533877312</v>
      </c>
      <c r="G176" s="1" t="s">
        <v>1211</v>
      </c>
      <c r="H176" s="2">
        <v>46177.771533877312</v>
      </c>
      <c r="I176" s="1" t="s">
        <v>1211</v>
      </c>
      <c r="J176" s="1" t="s">
        <v>3232</v>
      </c>
    </row>
    <row r="177" spans="1:10" x14ac:dyDescent="0.35">
      <c r="A177" s="1" t="s">
        <v>418</v>
      </c>
      <c r="B177" s="1" t="s">
        <v>1209</v>
      </c>
      <c r="C177" s="1" t="s">
        <v>1210</v>
      </c>
      <c r="D177" s="2">
        <v>46177</v>
      </c>
      <c r="E177">
        <v>5.0101105892811602E-2</v>
      </c>
      <c r="F177" s="2">
        <v>46177.771508796293</v>
      </c>
      <c r="G177" s="1" t="s">
        <v>1211</v>
      </c>
      <c r="H177" s="2">
        <v>46177.771508912039</v>
      </c>
      <c r="I177" s="1" t="s">
        <v>1211</v>
      </c>
      <c r="J177" s="1" t="s">
        <v>3231</v>
      </c>
    </row>
    <row r="178" spans="1:10" x14ac:dyDescent="0.35">
      <c r="A178" s="1" t="s">
        <v>188</v>
      </c>
      <c r="B178" s="1" t="s">
        <v>1209</v>
      </c>
      <c r="C178" s="1" t="s">
        <v>1210</v>
      </c>
      <c r="D178" s="2">
        <v>46177</v>
      </c>
      <c r="E178">
        <v>5.0272741864377697E-2</v>
      </c>
      <c r="F178" s="2">
        <v>46177.771515428241</v>
      </c>
      <c r="G178" s="1" t="s">
        <v>1211</v>
      </c>
      <c r="H178" s="2">
        <v>46177.771515428241</v>
      </c>
      <c r="I178" s="1" t="s">
        <v>1211</v>
      </c>
      <c r="J178" s="1" t="s">
        <v>3233</v>
      </c>
    </row>
    <row r="179" spans="1:10" x14ac:dyDescent="0.35">
      <c r="A179" s="1" t="s">
        <v>355</v>
      </c>
      <c r="B179" s="1" t="s">
        <v>1209</v>
      </c>
      <c r="C179" s="1" t="s">
        <v>1210</v>
      </c>
      <c r="D179" s="2">
        <v>46177</v>
      </c>
      <c r="E179">
        <v>2.6711301767856601E-2</v>
      </c>
      <c r="F179" s="2">
        <v>46177.77151111111</v>
      </c>
      <c r="G179" s="1" t="s">
        <v>1211</v>
      </c>
      <c r="H179" s="2">
        <v>46177.771511261577</v>
      </c>
      <c r="I179" s="1" t="s">
        <v>1211</v>
      </c>
      <c r="J179" s="1" t="s">
        <v>3234</v>
      </c>
    </row>
    <row r="180" spans="1:10" x14ac:dyDescent="0.35">
      <c r="A180" s="1" t="s">
        <v>190</v>
      </c>
      <c r="B180" s="1" t="s">
        <v>1209</v>
      </c>
      <c r="C180" s="1" t="s">
        <v>1210</v>
      </c>
      <c r="D180" s="2">
        <v>46177</v>
      </c>
      <c r="E180">
        <v>5.0190351543943003E-2</v>
      </c>
      <c r="F180" s="2">
        <v>46177.771506446756</v>
      </c>
      <c r="G180" s="1" t="s">
        <v>1211</v>
      </c>
      <c r="H180" s="2">
        <v>46177.771506481484</v>
      </c>
      <c r="I180" s="1" t="s">
        <v>1211</v>
      </c>
      <c r="J180" s="1" t="s">
        <v>3235</v>
      </c>
    </row>
    <row r="181" spans="1:10" x14ac:dyDescent="0.35">
      <c r="A181" s="1" t="s">
        <v>357</v>
      </c>
      <c r="B181" s="1" t="s">
        <v>1209</v>
      </c>
      <c r="C181" s="1" t="s">
        <v>1210</v>
      </c>
      <c r="D181" s="2">
        <v>46177</v>
      </c>
      <c r="E181">
        <v>5.0266945509679799E-2</v>
      </c>
      <c r="F181" s="2">
        <v>46177.771498032409</v>
      </c>
      <c r="G181" s="1" t="s">
        <v>1211</v>
      </c>
      <c r="H181" s="2">
        <v>46177.771498113427</v>
      </c>
      <c r="I181" s="1" t="s">
        <v>1211</v>
      </c>
      <c r="J181" s="1" t="s">
        <v>3236</v>
      </c>
    </row>
    <row r="182" spans="1:10" x14ac:dyDescent="0.35">
      <c r="A182" s="1" t="s">
        <v>359</v>
      </c>
      <c r="B182" s="1" t="s">
        <v>1209</v>
      </c>
      <c r="C182" s="1" t="s">
        <v>1210</v>
      </c>
      <c r="D182" s="2">
        <v>46177</v>
      </c>
      <c r="E182">
        <v>5.0302289872695999E-2</v>
      </c>
      <c r="F182" s="2">
        <v>46177.771508912039</v>
      </c>
      <c r="G182" s="1" t="s">
        <v>1211</v>
      </c>
      <c r="H182" s="2">
        <v>46177.771509108796</v>
      </c>
      <c r="I182" s="1" t="s">
        <v>1211</v>
      </c>
      <c r="J182" s="1" t="s">
        <v>3237</v>
      </c>
    </row>
    <row r="183" spans="1:10" x14ac:dyDescent="0.35">
      <c r="A183" s="1" t="s">
        <v>361</v>
      </c>
      <c r="B183" s="1" t="s">
        <v>1209</v>
      </c>
      <c r="C183" s="1" t="s">
        <v>1210</v>
      </c>
      <c r="D183" s="2">
        <v>46177</v>
      </c>
      <c r="E183">
        <v>5.0446797273719299E-2</v>
      </c>
      <c r="F183" s="2">
        <v>46177.771498182869</v>
      </c>
      <c r="G183" s="1" t="s">
        <v>1211</v>
      </c>
      <c r="H183" s="2">
        <v>46177.771498298614</v>
      </c>
      <c r="I183" s="1" t="s">
        <v>1211</v>
      </c>
      <c r="J183" s="1" t="s">
        <v>3238</v>
      </c>
    </row>
    <row r="184" spans="1:10" x14ac:dyDescent="0.35">
      <c r="A184" s="1" t="s">
        <v>192</v>
      </c>
      <c r="B184" s="1" t="s">
        <v>1209</v>
      </c>
      <c r="C184" s="1" t="s">
        <v>1210</v>
      </c>
      <c r="D184" s="2">
        <v>46177</v>
      </c>
      <c r="E184">
        <v>2.69405746620658E-2</v>
      </c>
      <c r="F184" s="2">
        <v>46177.771506597222</v>
      </c>
      <c r="G184" s="1" t="s">
        <v>1211</v>
      </c>
      <c r="H184" s="2">
        <v>46177.77150667824</v>
      </c>
      <c r="I184" s="1" t="s">
        <v>1211</v>
      </c>
      <c r="J184" s="1" t="s">
        <v>3239</v>
      </c>
    </row>
    <row r="185" spans="1:10" x14ac:dyDescent="0.35">
      <c r="A185" s="1" t="s">
        <v>194</v>
      </c>
      <c r="B185" s="1" t="s">
        <v>1209</v>
      </c>
      <c r="C185" s="1" t="s">
        <v>1210</v>
      </c>
      <c r="D185" s="2">
        <v>46177</v>
      </c>
      <c r="E185">
        <v>5.0500117081041199E-2</v>
      </c>
      <c r="F185" s="2">
        <v>46177.771509108796</v>
      </c>
      <c r="G185" s="1" t="s">
        <v>1211</v>
      </c>
      <c r="H185" s="2">
        <v>46177.771509108796</v>
      </c>
      <c r="I185" s="1" t="s">
        <v>1211</v>
      </c>
      <c r="J185" s="1" t="s">
        <v>3240</v>
      </c>
    </row>
    <row r="186" spans="1:10" x14ac:dyDescent="0.35">
      <c r="A186" s="1" t="s">
        <v>283</v>
      </c>
      <c r="B186" s="1" t="s">
        <v>1209</v>
      </c>
      <c r="C186" s="1" t="s">
        <v>1210</v>
      </c>
      <c r="D186" s="2">
        <v>46177</v>
      </c>
      <c r="E186">
        <v>5.0602382506862102E-2</v>
      </c>
      <c r="F186" s="2">
        <v>46177.771501736112</v>
      </c>
      <c r="G186" s="1" t="s">
        <v>1211</v>
      </c>
      <c r="H186" s="2">
        <v>46177.771501736112</v>
      </c>
      <c r="I186" s="1" t="s">
        <v>1211</v>
      </c>
      <c r="J186" s="1" t="s">
        <v>3241</v>
      </c>
    </row>
    <row r="187" spans="1:10" x14ac:dyDescent="0.35">
      <c r="A187" s="1" t="s">
        <v>363</v>
      </c>
      <c r="B187" s="1" t="s">
        <v>1209</v>
      </c>
      <c r="C187" s="1" t="s">
        <v>1210</v>
      </c>
      <c r="D187" s="2">
        <v>46177</v>
      </c>
      <c r="E187">
        <v>5.0444729264486503E-2</v>
      </c>
      <c r="F187" s="2">
        <v>46177.771523113428</v>
      </c>
      <c r="G187" s="1" t="s">
        <v>1211</v>
      </c>
      <c r="H187" s="2">
        <v>46177.771523113428</v>
      </c>
      <c r="I187" s="1" t="s">
        <v>1211</v>
      </c>
      <c r="J187" s="1" t="s">
        <v>3243</v>
      </c>
    </row>
    <row r="188" spans="1:10" x14ac:dyDescent="0.35">
      <c r="A188" s="1" t="s">
        <v>445</v>
      </c>
      <c r="B188" s="1" t="s">
        <v>1209</v>
      </c>
      <c r="C188" s="1" t="s">
        <v>1210</v>
      </c>
      <c r="D188" s="2">
        <v>46177</v>
      </c>
      <c r="E188">
        <v>5.0443268236347198E-2</v>
      </c>
      <c r="F188" s="2">
        <v>46177.771498344904</v>
      </c>
      <c r="G188" s="1" t="s">
        <v>1211</v>
      </c>
      <c r="H188" s="2">
        <v>46177.771498495371</v>
      </c>
      <c r="I188" s="1" t="s">
        <v>1211</v>
      </c>
      <c r="J188" s="1" t="s">
        <v>3244</v>
      </c>
    </row>
    <row r="189" spans="1:10" x14ac:dyDescent="0.35">
      <c r="A189" s="1" t="s">
        <v>447</v>
      </c>
      <c r="B189" s="1" t="s">
        <v>1209</v>
      </c>
      <c r="C189" s="1" t="s">
        <v>1210</v>
      </c>
      <c r="D189" s="2">
        <v>46177</v>
      </c>
      <c r="E189">
        <v>2.7090347858941901E-2</v>
      </c>
      <c r="F189" s="2">
        <v>46177.771523263888</v>
      </c>
      <c r="G189" s="1" t="s">
        <v>1211</v>
      </c>
      <c r="H189" s="2">
        <v>46177.771523263888</v>
      </c>
      <c r="I189" s="1" t="s">
        <v>1211</v>
      </c>
      <c r="J189" s="1" t="s">
        <v>3245</v>
      </c>
    </row>
    <row r="190" spans="1:10" x14ac:dyDescent="0.35">
      <c r="A190" s="1" t="s">
        <v>365</v>
      </c>
      <c r="B190" s="1" t="s">
        <v>1209</v>
      </c>
      <c r="C190" s="1" t="s">
        <v>1210</v>
      </c>
      <c r="D190" s="2">
        <v>46177</v>
      </c>
      <c r="E190">
        <v>5.0485644842459002E-2</v>
      </c>
      <c r="F190" s="2">
        <v>46177.771515590277</v>
      </c>
      <c r="G190" s="1" t="s">
        <v>1211</v>
      </c>
      <c r="H190" s="2">
        <v>46177.771515624998</v>
      </c>
      <c r="I190" s="1" t="s">
        <v>1211</v>
      </c>
      <c r="J190" s="1" t="s">
        <v>3246</v>
      </c>
    </row>
    <row r="191" spans="1:10" x14ac:dyDescent="0.35">
      <c r="A191" s="1" t="s">
        <v>449</v>
      </c>
      <c r="B191" s="1" t="s">
        <v>1209</v>
      </c>
      <c r="C191" s="1" t="s">
        <v>1210</v>
      </c>
      <c r="D191" s="2">
        <v>46177</v>
      </c>
      <c r="E191">
        <v>5.0586046242741801E-2</v>
      </c>
      <c r="F191" s="2">
        <v>46177.771525694443</v>
      </c>
      <c r="G191" s="1" t="s">
        <v>1211</v>
      </c>
      <c r="H191" s="2">
        <v>46177.771525810182</v>
      </c>
      <c r="I191" s="1" t="s">
        <v>1211</v>
      </c>
      <c r="J191" s="1" t="s">
        <v>3248</v>
      </c>
    </row>
    <row r="192" spans="1:10" x14ac:dyDescent="0.35">
      <c r="A192" s="1" t="s">
        <v>420</v>
      </c>
      <c r="B192" s="1" t="s">
        <v>1209</v>
      </c>
      <c r="C192" s="1" t="s">
        <v>1210</v>
      </c>
      <c r="D192" s="2">
        <v>46177</v>
      </c>
      <c r="E192">
        <v>5.05820837101233E-2</v>
      </c>
      <c r="F192" s="2">
        <v>46177.771498495371</v>
      </c>
      <c r="G192" s="1" t="s">
        <v>1211</v>
      </c>
      <c r="H192" s="2">
        <v>46177.771498692127</v>
      </c>
      <c r="I192" s="1" t="s">
        <v>1211</v>
      </c>
      <c r="J192" s="1" t="s">
        <v>3249</v>
      </c>
    </row>
    <row r="193" spans="1:10" x14ac:dyDescent="0.35">
      <c r="A193" s="1" t="s">
        <v>327</v>
      </c>
      <c r="B193" s="1" t="s">
        <v>1209</v>
      </c>
      <c r="C193" s="1" t="s">
        <v>1210</v>
      </c>
      <c r="D193" s="2">
        <v>46177</v>
      </c>
      <c r="E193">
        <v>5.0546258761876003E-2</v>
      </c>
      <c r="F193" s="2">
        <v>46177.77149864583</v>
      </c>
      <c r="G193" s="1" t="s">
        <v>1211</v>
      </c>
      <c r="H193" s="2">
        <v>46177.771498692127</v>
      </c>
      <c r="I193" s="1" t="s">
        <v>1211</v>
      </c>
      <c r="J193" s="1" t="s">
        <v>3250</v>
      </c>
    </row>
    <row r="194" spans="1:10" x14ac:dyDescent="0.35">
      <c r="A194" s="1" t="s">
        <v>367</v>
      </c>
      <c r="B194" s="1" t="s">
        <v>1209</v>
      </c>
      <c r="C194" s="1" t="s">
        <v>1210</v>
      </c>
      <c r="D194" s="2">
        <v>46177</v>
      </c>
      <c r="E194">
        <v>2.7196196154713699E-2</v>
      </c>
      <c r="F194" s="2">
        <v>46177.771511261577</v>
      </c>
      <c r="G194" s="1" t="s">
        <v>1211</v>
      </c>
      <c r="H194" s="2">
        <v>46177.771511261577</v>
      </c>
      <c r="I194" s="1" t="s">
        <v>1211</v>
      </c>
      <c r="J194" s="1" t="s">
        <v>3251</v>
      </c>
    </row>
    <row r="195" spans="1:10" x14ac:dyDescent="0.35">
      <c r="A195" s="1" t="s">
        <v>329</v>
      </c>
      <c r="B195" s="1" t="s">
        <v>1209</v>
      </c>
      <c r="C195" s="1" t="s">
        <v>1210</v>
      </c>
      <c r="D195" s="2">
        <v>46177</v>
      </c>
      <c r="E195">
        <v>5.0542191781961503E-2</v>
      </c>
      <c r="F195" s="2">
        <v>46177.771523414354</v>
      </c>
      <c r="G195" s="1" t="s">
        <v>1211</v>
      </c>
      <c r="H195" s="2">
        <v>46177.771523460651</v>
      </c>
      <c r="I195" s="1" t="s">
        <v>1211</v>
      </c>
      <c r="J195" s="1" t="s">
        <v>3252</v>
      </c>
    </row>
    <row r="196" spans="1:10" x14ac:dyDescent="0.35">
      <c r="A196" s="1" t="s">
        <v>196</v>
      </c>
      <c r="B196" s="1" t="s">
        <v>1209</v>
      </c>
      <c r="C196" s="1" t="s">
        <v>1210</v>
      </c>
      <c r="D196" s="2">
        <v>46177</v>
      </c>
      <c r="E196">
        <v>5.0593984128443098E-2</v>
      </c>
      <c r="F196" s="2">
        <v>46177.771511423613</v>
      </c>
      <c r="G196" s="1" t="s">
        <v>1211</v>
      </c>
      <c r="H196" s="2">
        <v>46177.771511458333</v>
      </c>
      <c r="I196" s="1" t="s">
        <v>1211</v>
      </c>
      <c r="J196" s="1" t="s">
        <v>3253</v>
      </c>
    </row>
    <row r="197" spans="1:10" x14ac:dyDescent="0.35">
      <c r="A197" s="1" t="s">
        <v>451</v>
      </c>
      <c r="B197" s="1" t="s">
        <v>1209</v>
      </c>
      <c r="C197" s="1" t="s">
        <v>1210</v>
      </c>
      <c r="D197" s="2">
        <v>46177</v>
      </c>
      <c r="E197">
        <v>5.0502736420701397E-2</v>
      </c>
      <c r="F197" s="2">
        <v>46177.771501886571</v>
      </c>
      <c r="G197" s="1" t="s">
        <v>1211</v>
      </c>
      <c r="H197" s="2">
        <v>46177.771501932868</v>
      </c>
      <c r="I197" s="1" t="s">
        <v>1211</v>
      </c>
      <c r="J197" s="1" t="s">
        <v>3254</v>
      </c>
    </row>
    <row r="198" spans="1:10" x14ac:dyDescent="0.35">
      <c r="A198" s="1" t="s">
        <v>331</v>
      </c>
      <c r="B198" s="1" t="s">
        <v>1209</v>
      </c>
      <c r="C198" s="1" t="s">
        <v>1210</v>
      </c>
      <c r="D198" s="2">
        <v>46177</v>
      </c>
      <c r="E198">
        <v>5.0598260834099698E-2</v>
      </c>
      <c r="F198" s="2">
        <v>46177.771511608793</v>
      </c>
      <c r="G198" s="1" t="s">
        <v>1211</v>
      </c>
      <c r="H198" s="2">
        <v>46177.77151165509</v>
      </c>
      <c r="I198" s="1" t="s">
        <v>1211</v>
      </c>
      <c r="J198" s="1" t="s">
        <v>3255</v>
      </c>
    </row>
    <row r="199" spans="1:10" x14ac:dyDescent="0.35">
      <c r="A199" s="1" t="s">
        <v>369</v>
      </c>
      <c r="B199" s="1" t="s">
        <v>1209</v>
      </c>
      <c r="C199" s="1" t="s">
        <v>1210</v>
      </c>
      <c r="D199" s="2">
        <v>46177</v>
      </c>
      <c r="E199">
        <v>2.72467101724298E-2</v>
      </c>
      <c r="F199" s="2">
        <v>46177.771502048614</v>
      </c>
      <c r="G199" s="1" t="s">
        <v>1211</v>
      </c>
      <c r="H199" s="2">
        <v>46177.771502118056</v>
      </c>
      <c r="I199" s="1" t="s">
        <v>1211</v>
      </c>
      <c r="J199" s="1" t="s">
        <v>3256</v>
      </c>
    </row>
    <row r="200" spans="1:10" x14ac:dyDescent="0.35">
      <c r="A200" s="1" t="s">
        <v>285</v>
      </c>
      <c r="B200" s="1" t="s">
        <v>1209</v>
      </c>
      <c r="C200" s="1" t="s">
        <v>1210</v>
      </c>
      <c r="D200" s="2">
        <v>46177</v>
      </c>
      <c r="E200">
        <v>5.0649689723156303E-2</v>
      </c>
      <c r="F200" s="2">
        <v>46177.771502314812</v>
      </c>
      <c r="G200" s="1" t="s">
        <v>1211</v>
      </c>
      <c r="H200" s="2">
        <v>46177.771502465279</v>
      </c>
      <c r="I200" s="1" t="s">
        <v>1211</v>
      </c>
      <c r="J200" s="1" t="s">
        <v>3258</v>
      </c>
    </row>
    <row r="201" spans="1:10" x14ac:dyDescent="0.35">
      <c r="A201" s="1" t="s">
        <v>287</v>
      </c>
      <c r="B201" s="1" t="s">
        <v>1209</v>
      </c>
      <c r="C201" s="1" t="s">
        <v>1210</v>
      </c>
      <c r="D201" s="2">
        <v>46177</v>
      </c>
      <c r="E201">
        <v>5.0800798200348503E-2</v>
      </c>
      <c r="F201" s="2">
        <v>46177.77152584491</v>
      </c>
      <c r="G201" s="1" t="s">
        <v>1211</v>
      </c>
      <c r="H201" s="2">
        <v>46177.771526006945</v>
      </c>
      <c r="I201" s="1" t="s">
        <v>1211</v>
      </c>
      <c r="J201" s="1" t="s">
        <v>3259</v>
      </c>
    </row>
    <row r="202" spans="1:10" x14ac:dyDescent="0.35">
      <c r="A202" s="1" t="s">
        <v>198</v>
      </c>
      <c r="B202" s="1" t="s">
        <v>1209</v>
      </c>
      <c r="C202" s="1" t="s">
        <v>1210</v>
      </c>
      <c r="D202" s="2">
        <v>46177</v>
      </c>
      <c r="E202">
        <v>5.07901936845482E-2</v>
      </c>
      <c r="F202" s="2">
        <v>46177.771502465279</v>
      </c>
      <c r="G202" s="1" t="s">
        <v>1211</v>
      </c>
      <c r="H202" s="2">
        <v>46177.771502465279</v>
      </c>
      <c r="I202" s="1" t="s">
        <v>1211</v>
      </c>
      <c r="J202" s="1" t="s">
        <v>3260</v>
      </c>
    </row>
    <row r="203" spans="1:10" x14ac:dyDescent="0.35">
      <c r="A203" s="1" t="s">
        <v>333</v>
      </c>
      <c r="B203" s="1" t="s">
        <v>1209</v>
      </c>
      <c r="C203" s="1" t="s">
        <v>1210</v>
      </c>
      <c r="D203" s="2">
        <v>46177</v>
      </c>
      <c r="E203">
        <v>5.0888552005565899E-2</v>
      </c>
      <c r="F203" s="2">
        <v>46177.771498807873</v>
      </c>
      <c r="G203" s="1" t="s">
        <v>1211</v>
      </c>
      <c r="H203" s="2">
        <v>46177.771498842594</v>
      </c>
      <c r="I203" s="1" t="s">
        <v>1211</v>
      </c>
      <c r="J203" s="1" t="s">
        <v>3261</v>
      </c>
    </row>
    <row r="204" spans="1:10" x14ac:dyDescent="0.35">
      <c r="A204" s="1" t="s">
        <v>335</v>
      </c>
      <c r="B204" s="1" t="s">
        <v>1209</v>
      </c>
      <c r="C204" s="1" t="s">
        <v>1210</v>
      </c>
      <c r="D204" s="2">
        <v>46177</v>
      </c>
      <c r="E204">
        <v>2.73240071215557E-2</v>
      </c>
      <c r="F204" s="2">
        <v>46177.771498958333</v>
      </c>
      <c r="G204" s="1" t="s">
        <v>1211</v>
      </c>
      <c r="H204" s="2">
        <v>46177.771499039351</v>
      </c>
      <c r="I204" s="1" t="s">
        <v>1211</v>
      </c>
      <c r="J204" s="1" t="s">
        <v>3262</v>
      </c>
    </row>
    <row r="205" spans="1:10" x14ac:dyDescent="0.35">
      <c r="A205" s="1" t="s">
        <v>422</v>
      </c>
      <c r="B205" s="1" t="s">
        <v>1209</v>
      </c>
      <c r="C205" s="1" t="s">
        <v>1210</v>
      </c>
      <c r="D205" s="2">
        <v>46177</v>
      </c>
      <c r="E205">
        <v>5.0988628095438998E-2</v>
      </c>
      <c r="F205" s="2">
        <v>46177.7714991088</v>
      </c>
      <c r="G205" s="1" t="s">
        <v>1211</v>
      </c>
      <c r="H205" s="2">
        <v>46177.771499224538</v>
      </c>
      <c r="I205" s="1" t="s">
        <v>1211</v>
      </c>
      <c r="J205" s="1" t="s">
        <v>3263</v>
      </c>
    </row>
    <row r="206" spans="1:10" x14ac:dyDescent="0.35">
      <c r="A206" s="1" t="s">
        <v>337</v>
      </c>
      <c r="B206" s="1" t="s">
        <v>1209</v>
      </c>
      <c r="C206" s="1" t="s">
        <v>1210</v>
      </c>
      <c r="D206" s="2">
        <v>46177</v>
      </c>
      <c r="E206">
        <v>5.0990117893846901E-2</v>
      </c>
      <c r="F206" s="2">
        <v>46177.771511770836</v>
      </c>
      <c r="G206" s="1" t="s">
        <v>1211</v>
      </c>
      <c r="H206" s="2">
        <v>46177.771511805557</v>
      </c>
      <c r="I206" s="1" t="s">
        <v>1211</v>
      </c>
      <c r="J206" s="1" t="s">
        <v>3264</v>
      </c>
    </row>
    <row r="207" spans="1:10" x14ac:dyDescent="0.35">
      <c r="A207" s="1" t="s">
        <v>424</v>
      </c>
      <c r="B207" s="1" t="s">
        <v>1209</v>
      </c>
      <c r="C207" s="1" t="s">
        <v>1210</v>
      </c>
      <c r="D207" s="2">
        <v>46177</v>
      </c>
      <c r="E207">
        <v>4.8458728533605999E-2</v>
      </c>
      <c r="F207" s="2">
        <v>46177.771511921295</v>
      </c>
      <c r="G207" s="1" t="s">
        <v>1211</v>
      </c>
      <c r="H207" s="2">
        <v>46177.771512002313</v>
      </c>
      <c r="I207" s="1" t="s">
        <v>1211</v>
      </c>
      <c r="J207" s="1" t="s">
        <v>3265</v>
      </c>
    </row>
    <row r="208" spans="1:10" x14ac:dyDescent="0.35">
      <c r="A208" s="1" t="s">
        <v>289</v>
      </c>
      <c r="B208" s="1" t="s">
        <v>1209</v>
      </c>
      <c r="C208" s="1" t="s">
        <v>1210</v>
      </c>
      <c r="D208" s="2">
        <v>46177</v>
      </c>
      <c r="E208">
        <v>4.8224255922518902E-2</v>
      </c>
      <c r="F208" s="2">
        <v>46177.771499270835</v>
      </c>
      <c r="G208" s="1" t="s">
        <v>1211</v>
      </c>
      <c r="H208" s="2">
        <v>46177.771499386574</v>
      </c>
      <c r="I208" s="1" t="s">
        <v>1211</v>
      </c>
      <c r="J208" s="1" t="s">
        <v>3266</v>
      </c>
    </row>
    <row r="209" spans="1:10" x14ac:dyDescent="0.35">
      <c r="A209" s="1" t="s">
        <v>453</v>
      </c>
      <c r="B209" s="1" t="s">
        <v>1209</v>
      </c>
      <c r="C209" s="1" t="s">
        <v>1210</v>
      </c>
      <c r="D209" s="2">
        <v>46177</v>
      </c>
      <c r="E209">
        <v>5.0975297855858498E-2</v>
      </c>
      <c r="F209" s="2">
        <v>46177.771513043983</v>
      </c>
      <c r="G209" s="1" t="s">
        <v>1211</v>
      </c>
      <c r="H209" s="2">
        <v>46177.771513078704</v>
      </c>
      <c r="I209" s="1" t="s">
        <v>1211</v>
      </c>
      <c r="J209" s="1" t="s">
        <v>3267</v>
      </c>
    </row>
    <row r="210" spans="1:10" x14ac:dyDescent="0.35">
      <c r="A210" s="1" t="s">
        <v>339</v>
      </c>
      <c r="B210" s="1" t="s">
        <v>1209</v>
      </c>
      <c r="C210" s="1" t="s">
        <v>1210</v>
      </c>
      <c r="D210" s="2">
        <v>46177</v>
      </c>
      <c r="E210">
        <v>4.8578608635041799E-2</v>
      </c>
      <c r="F210" s="2">
        <v>46177.771526006945</v>
      </c>
      <c r="G210" s="1" t="s">
        <v>1211</v>
      </c>
      <c r="H210" s="2">
        <v>46177.771526006945</v>
      </c>
      <c r="I210" s="1" t="s">
        <v>1211</v>
      </c>
      <c r="J210" s="1" t="s">
        <v>3268</v>
      </c>
    </row>
    <row r="211" spans="1:10" x14ac:dyDescent="0.35">
      <c r="A211" s="1" t="s">
        <v>455</v>
      </c>
      <c r="B211" s="1" t="s">
        <v>1209</v>
      </c>
      <c r="C211" s="1" t="s">
        <v>1210</v>
      </c>
      <c r="D211" s="2">
        <v>46177</v>
      </c>
      <c r="E211">
        <v>5.0919277621984102E-2</v>
      </c>
      <c r="F211" s="2">
        <v>46177.771499421295</v>
      </c>
      <c r="G211" s="1" t="s">
        <v>1211</v>
      </c>
      <c r="H211" s="2">
        <v>46177.771499571762</v>
      </c>
      <c r="I211" s="1" t="s">
        <v>1211</v>
      </c>
      <c r="J211" s="1" t="s">
        <v>3269</v>
      </c>
    </row>
    <row r="212" spans="1:10" x14ac:dyDescent="0.35">
      <c r="A212" s="1" t="s">
        <v>200</v>
      </c>
      <c r="B212" s="1" t="s">
        <v>1209</v>
      </c>
      <c r="C212" s="1" t="s">
        <v>1210</v>
      </c>
      <c r="D212" s="2">
        <v>46177</v>
      </c>
      <c r="E212">
        <v>2.7369207582243101E-2</v>
      </c>
      <c r="F212" s="2">
        <v>46177.771526157405</v>
      </c>
      <c r="G212" s="1" t="s">
        <v>1211</v>
      </c>
      <c r="H212" s="2">
        <v>46177.771526157405</v>
      </c>
      <c r="I212" s="1" t="s">
        <v>1211</v>
      </c>
      <c r="J212" s="1" t="s">
        <v>3270</v>
      </c>
    </row>
    <row r="213" spans="1:10" x14ac:dyDescent="0.35">
      <c r="A213" s="1" t="s">
        <v>459</v>
      </c>
      <c r="B213" s="1" t="s">
        <v>1209</v>
      </c>
      <c r="C213" s="1" t="s">
        <v>1210</v>
      </c>
      <c r="D213" s="2">
        <v>46177</v>
      </c>
      <c r="E213">
        <v>4.86073493260347E-2</v>
      </c>
      <c r="F213" s="2">
        <v>46177.771513194442</v>
      </c>
      <c r="G213" s="1" t="s">
        <v>1211</v>
      </c>
      <c r="H213" s="2">
        <v>46177.77151327546</v>
      </c>
      <c r="I213" s="1" t="s">
        <v>1211</v>
      </c>
      <c r="J213" s="1" t="s">
        <v>3271</v>
      </c>
    </row>
    <row r="214" spans="1:10" x14ac:dyDescent="0.35">
      <c r="A214" s="1" t="s">
        <v>341</v>
      </c>
      <c r="B214" s="1" t="s">
        <v>1209</v>
      </c>
      <c r="C214" s="1" t="s">
        <v>1210</v>
      </c>
      <c r="D214" s="2">
        <v>46177</v>
      </c>
      <c r="E214">
        <v>5.0779581662804697E-2</v>
      </c>
      <c r="F214" s="2">
        <v>46177.771513344909</v>
      </c>
      <c r="G214" s="1" t="s">
        <v>1211</v>
      </c>
      <c r="H214" s="2">
        <v>46177.771513460648</v>
      </c>
      <c r="I214" s="1" t="s">
        <v>1211</v>
      </c>
      <c r="J214" s="1" t="s">
        <v>3272</v>
      </c>
    </row>
    <row r="215" spans="1:10" x14ac:dyDescent="0.35">
      <c r="A215" s="1" t="s">
        <v>1122</v>
      </c>
      <c r="B215" s="1" t="s">
        <v>1209</v>
      </c>
      <c r="C215" s="1" t="s">
        <v>1210</v>
      </c>
      <c r="D215" s="2">
        <v>46177</v>
      </c>
      <c r="E215">
        <v>4.8653468978009401E-2</v>
      </c>
      <c r="F215" s="2">
        <v>46177.771527083336</v>
      </c>
      <c r="G215" s="1" t="s">
        <v>1211</v>
      </c>
      <c r="H215" s="2">
        <v>46177.771527083336</v>
      </c>
      <c r="I215" s="1" t="s">
        <v>1211</v>
      </c>
      <c r="J215" s="1" t="s">
        <v>3242</v>
      </c>
    </row>
    <row r="216" spans="1:10" x14ac:dyDescent="0.35">
      <c r="A216" s="1" t="s">
        <v>291</v>
      </c>
      <c r="B216" s="1" t="s">
        <v>1209</v>
      </c>
      <c r="C216" s="1" t="s">
        <v>1210</v>
      </c>
      <c r="D216" s="2">
        <v>46177</v>
      </c>
      <c r="E216">
        <v>5.0852656214904403E-2</v>
      </c>
      <c r="F216" s="2">
        <v>46177.771502627314</v>
      </c>
      <c r="G216" s="1" t="s">
        <v>1211</v>
      </c>
      <c r="H216" s="2">
        <v>46177.771502662035</v>
      </c>
      <c r="I216" s="1" t="s">
        <v>1211</v>
      </c>
      <c r="J216" s="1" t="s">
        <v>3273</v>
      </c>
    </row>
    <row r="217" spans="1:10" x14ac:dyDescent="0.35">
      <c r="A217" s="1" t="s">
        <v>293</v>
      </c>
      <c r="B217" s="1" t="s">
        <v>1209</v>
      </c>
      <c r="C217" s="1" t="s">
        <v>1210</v>
      </c>
      <c r="D217" s="2">
        <v>46177</v>
      </c>
      <c r="E217">
        <v>4.8955600912036899E-2</v>
      </c>
      <c r="F217" s="2">
        <v>46177.771515740744</v>
      </c>
      <c r="G217" s="1" t="s">
        <v>1211</v>
      </c>
      <c r="H217" s="2">
        <v>46177.771515821762</v>
      </c>
      <c r="I217" s="1" t="s">
        <v>1211</v>
      </c>
      <c r="J217" s="1" t="s">
        <v>3274</v>
      </c>
    </row>
    <row r="218" spans="1:10" x14ac:dyDescent="0.35">
      <c r="A218" s="1" t="s">
        <v>343</v>
      </c>
      <c r="B218" s="1" t="s">
        <v>1209</v>
      </c>
      <c r="C218" s="1" t="s">
        <v>1210</v>
      </c>
      <c r="D218" s="2">
        <v>46177</v>
      </c>
      <c r="E218">
        <v>5.0863176286540697E-2</v>
      </c>
      <c r="F218" s="2">
        <v>46177.771515891203</v>
      </c>
      <c r="G218" s="1" t="s">
        <v>1211</v>
      </c>
      <c r="H218" s="2">
        <v>46177.771515972221</v>
      </c>
      <c r="I218" s="1" t="s">
        <v>1211</v>
      </c>
      <c r="J218" s="1" t="s">
        <v>3275</v>
      </c>
    </row>
    <row r="219" spans="1:10" x14ac:dyDescent="0.35">
      <c r="A219" s="1" t="s">
        <v>202</v>
      </c>
      <c r="B219" s="1" t="s">
        <v>1209</v>
      </c>
      <c r="C219" s="1" t="s">
        <v>1210</v>
      </c>
      <c r="D219" s="2">
        <v>46177</v>
      </c>
      <c r="E219">
        <v>4.9049118054677397E-2</v>
      </c>
      <c r="F219" s="2">
        <v>46177.771534027779</v>
      </c>
      <c r="G219" s="1" t="s">
        <v>1211</v>
      </c>
      <c r="H219" s="2">
        <v>46177.7715340625</v>
      </c>
      <c r="I219" s="1" t="s">
        <v>1211</v>
      </c>
      <c r="J219" s="1" t="s">
        <v>3247</v>
      </c>
    </row>
    <row r="220" spans="1:10" x14ac:dyDescent="0.35">
      <c r="A220" s="1" t="s">
        <v>461</v>
      </c>
      <c r="B220" s="1" t="s">
        <v>1209</v>
      </c>
      <c r="C220" s="1" t="s">
        <v>1210</v>
      </c>
      <c r="D220" s="2">
        <v>46177</v>
      </c>
      <c r="E220">
        <v>5.0758360308120899E-2</v>
      </c>
      <c r="F220" s="2">
        <v>46177.771513506945</v>
      </c>
      <c r="G220" s="1" t="s">
        <v>1211</v>
      </c>
      <c r="H220" s="2">
        <v>46177.771513622683</v>
      </c>
      <c r="I220" s="1" t="s">
        <v>1211</v>
      </c>
      <c r="J220" s="1" t="s">
        <v>3276</v>
      </c>
    </row>
    <row r="221" spans="1:10" x14ac:dyDescent="0.35">
      <c r="A221" s="1" t="s">
        <v>463</v>
      </c>
      <c r="B221" s="1" t="s">
        <v>1209</v>
      </c>
      <c r="C221" s="1" t="s">
        <v>1210</v>
      </c>
      <c r="D221" s="2">
        <v>46177</v>
      </c>
      <c r="E221">
        <v>2.71971536687153E-2</v>
      </c>
      <c r="F221" s="2">
        <v>46177.771516053239</v>
      </c>
      <c r="G221" s="1" t="s">
        <v>1211</v>
      </c>
      <c r="H221" s="2">
        <v>46177.771516168985</v>
      </c>
      <c r="I221" s="1" t="s">
        <v>1211</v>
      </c>
      <c r="J221" s="1" t="s">
        <v>3277</v>
      </c>
    </row>
    <row r="222" spans="1:10" x14ac:dyDescent="0.35">
      <c r="A222" s="1" t="s">
        <v>371</v>
      </c>
      <c r="B222" s="1" t="s">
        <v>1209</v>
      </c>
      <c r="C222" s="1" t="s">
        <v>1210</v>
      </c>
      <c r="D222" s="2">
        <v>46177</v>
      </c>
      <c r="E222">
        <v>4.9111944470199301E-2</v>
      </c>
      <c r="F222" s="2">
        <v>46177.771516203706</v>
      </c>
      <c r="G222" s="1" t="s">
        <v>1211</v>
      </c>
      <c r="H222" s="2">
        <v>46177.771516168985</v>
      </c>
      <c r="I222" s="1" t="s">
        <v>1211</v>
      </c>
      <c r="J222" s="1" t="s">
        <v>3278</v>
      </c>
    </row>
    <row r="223" spans="1:10" x14ac:dyDescent="0.35">
      <c r="A223" s="1" t="s">
        <v>345</v>
      </c>
      <c r="B223" s="1" t="s">
        <v>1209</v>
      </c>
      <c r="C223" s="1" t="s">
        <v>1210</v>
      </c>
      <c r="D223" s="2">
        <v>46177</v>
      </c>
      <c r="E223">
        <v>5.0595189994164597E-2</v>
      </c>
      <c r="F223" s="2">
        <v>46177.77152357639</v>
      </c>
      <c r="G223" s="1" t="s">
        <v>1211</v>
      </c>
      <c r="H223" s="2">
        <v>46177.771523645832</v>
      </c>
      <c r="I223" s="1" t="s">
        <v>1211</v>
      </c>
      <c r="J223" s="1" t="s">
        <v>3257</v>
      </c>
    </row>
    <row r="224" spans="1:10" x14ac:dyDescent="0.35">
      <c r="A224" s="1" t="s">
        <v>426</v>
      </c>
      <c r="B224" s="1" t="s">
        <v>1209</v>
      </c>
      <c r="C224" s="1" t="s">
        <v>1210</v>
      </c>
      <c r="D224" s="2">
        <v>46177</v>
      </c>
      <c r="E224">
        <v>4.9013358734250799E-2</v>
      </c>
      <c r="F224" s="2">
        <v>46177.771526307872</v>
      </c>
      <c r="G224" s="1" t="s">
        <v>1211</v>
      </c>
      <c r="H224" s="2">
        <v>46177.771526354169</v>
      </c>
      <c r="I224" s="1" t="s">
        <v>1211</v>
      </c>
      <c r="J224" s="1" t="s">
        <v>3279</v>
      </c>
    </row>
    <row r="225" spans="1:10" x14ac:dyDescent="0.35">
      <c r="A225" s="1" t="s">
        <v>347</v>
      </c>
      <c r="B225" s="1" t="s">
        <v>1209</v>
      </c>
      <c r="C225" s="1" t="s">
        <v>1210</v>
      </c>
      <c r="D225" s="2">
        <v>46177</v>
      </c>
      <c r="E225">
        <v>5.0543448260220898E-2</v>
      </c>
      <c r="F225" s="2">
        <v>46177.771534178239</v>
      </c>
      <c r="G225" s="1" t="s">
        <v>1211</v>
      </c>
      <c r="H225" s="2">
        <v>46177.771534259256</v>
      </c>
      <c r="I225" s="1" t="s">
        <v>1211</v>
      </c>
      <c r="J225" s="1" t="s">
        <v>3280</v>
      </c>
    </row>
    <row r="226" spans="1:10" x14ac:dyDescent="0.35">
      <c r="A226" s="1" t="s">
        <v>373</v>
      </c>
      <c r="B226" s="1" t="s">
        <v>1209</v>
      </c>
      <c r="C226" s="1" t="s">
        <v>1210</v>
      </c>
      <c r="D226" s="2">
        <v>46177</v>
      </c>
      <c r="E226">
        <v>4.9082799355888398E-2</v>
      </c>
      <c r="F226" s="2">
        <v>46177.771526469907</v>
      </c>
      <c r="G226" s="1" t="s">
        <v>1211</v>
      </c>
      <c r="H226" s="2">
        <v>46177.771526539349</v>
      </c>
      <c r="I226" s="1" t="s">
        <v>1211</v>
      </c>
      <c r="J226" s="1" t="s">
        <v>3281</v>
      </c>
    </row>
    <row r="227" spans="1:10" x14ac:dyDescent="0.35">
      <c r="A227" s="1" t="s">
        <v>428</v>
      </c>
      <c r="B227" s="1" t="s">
        <v>1209</v>
      </c>
      <c r="C227" s="1" t="s">
        <v>1210</v>
      </c>
      <c r="D227" s="2">
        <v>46177</v>
      </c>
      <c r="E227">
        <v>5.0355782445013403E-2</v>
      </c>
      <c r="F227" s="2">
        <v>46177.771513657404</v>
      </c>
      <c r="G227" s="1" t="s">
        <v>1211</v>
      </c>
      <c r="H227" s="2">
        <v>46177.771513622683</v>
      </c>
      <c r="I227" s="1" t="s">
        <v>1211</v>
      </c>
      <c r="J227" s="1" t="s">
        <v>3282</v>
      </c>
    </row>
    <row r="228" spans="1:10" x14ac:dyDescent="0.35">
      <c r="A228" s="1" t="s">
        <v>295</v>
      </c>
      <c r="B228" s="1" t="s">
        <v>1209</v>
      </c>
      <c r="C228" s="1" t="s">
        <v>1210</v>
      </c>
      <c r="D228" s="2">
        <v>46177</v>
      </c>
      <c r="E228">
        <v>4.9091737460389001E-2</v>
      </c>
      <c r="F228" s="2">
        <v>46177.771527233795</v>
      </c>
      <c r="G228" s="1" t="s">
        <v>1211</v>
      </c>
      <c r="H228" s="2">
        <v>46177.771527280092</v>
      </c>
      <c r="I228" s="1" t="s">
        <v>1211</v>
      </c>
      <c r="J228" s="1" t="s">
        <v>3283</v>
      </c>
    </row>
    <row r="229" spans="1:10" x14ac:dyDescent="0.35">
      <c r="A229" s="1" t="s">
        <v>297</v>
      </c>
      <c r="B229" s="1" t="s">
        <v>1209</v>
      </c>
      <c r="C229" s="1" t="s">
        <v>1210</v>
      </c>
      <c r="D229" s="2">
        <v>46177</v>
      </c>
      <c r="E229">
        <v>5.0376305930482097E-2</v>
      </c>
      <c r="F229" s="2">
        <v>46177.771523726849</v>
      </c>
      <c r="G229" s="1" t="s">
        <v>1211</v>
      </c>
      <c r="H229" s="2">
        <v>46177.771523807867</v>
      </c>
      <c r="I229" s="1" t="s">
        <v>1211</v>
      </c>
      <c r="J229" s="1" t="s">
        <v>3284</v>
      </c>
    </row>
    <row r="230" spans="1:10" x14ac:dyDescent="0.35">
      <c r="A230" s="1" t="s">
        <v>299</v>
      </c>
      <c r="B230" s="1" t="s">
        <v>1209</v>
      </c>
      <c r="C230" s="1" t="s">
        <v>1210</v>
      </c>
      <c r="D230" s="2">
        <v>46177</v>
      </c>
      <c r="E230">
        <v>2.7351260523295201E-2</v>
      </c>
      <c r="F230" s="2">
        <v>46177.771534340274</v>
      </c>
      <c r="G230" s="1" t="s">
        <v>1211</v>
      </c>
      <c r="H230" s="2">
        <v>46177.77153445602</v>
      </c>
      <c r="I230" s="1" t="s">
        <v>1211</v>
      </c>
      <c r="J230" s="1" t="s">
        <v>3285</v>
      </c>
    </row>
    <row r="231" spans="1:10" x14ac:dyDescent="0.35">
      <c r="A231" s="1" t="s">
        <v>349</v>
      </c>
      <c r="B231" s="1" t="s">
        <v>1209</v>
      </c>
      <c r="C231" s="1" t="s">
        <v>1210</v>
      </c>
      <c r="D231" s="2">
        <v>46177</v>
      </c>
      <c r="E231">
        <v>4.9246383984208802E-2</v>
      </c>
      <c r="F231" s="2">
        <v>46177.771516354165</v>
      </c>
      <c r="G231" s="1" t="s">
        <v>1211</v>
      </c>
      <c r="H231" s="2">
        <v>46177.771516354165</v>
      </c>
      <c r="I231" s="1" t="s">
        <v>1211</v>
      </c>
      <c r="J231" s="1" t="s">
        <v>3286</v>
      </c>
    </row>
    <row r="232" spans="1:10" x14ac:dyDescent="0.35">
      <c r="A232" s="1" t="s">
        <v>351</v>
      </c>
      <c r="B232" s="1" t="s">
        <v>1209</v>
      </c>
      <c r="C232" s="1" t="s">
        <v>1210</v>
      </c>
      <c r="D232" s="2">
        <v>46177</v>
      </c>
      <c r="E232">
        <v>5.0368739397639702E-2</v>
      </c>
      <c r="F232" s="2">
        <v>46177.771523877316</v>
      </c>
      <c r="G232" s="1" t="s">
        <v>1211</v>
      </c>
      <c r="H232" s="2">
        <v>46177.771523993055</v>
      </c>
      <c r="I232" s="1" t="s">
        <v>1211</v>
      </c>
      <c r="J232" s="1" t="s">
        <v>3287</v>
      </c>
    </row>
    <row r="233" spans="1:10" x14ac:dyDescent="0.35">
      <c r="A233" s="1" t="s">
        <v>457</v>
      </c>
      <c r="B233" s="1" t="s">
        <v>1209</v>
      </c>
      <c r="C233" s="1" t="s">
        <v>1210</v>
      </c>
      <c r="D233" s="2">
        <v>46177</v>
      </c>
      <c r="E233">
        <v>4.9342752037127603E-2</v>
      </c>
      <c r="F233" s="2">
        <v>46177.771524039352</v>
      </c>
      <c r="G233" s="1" t="s">
        <v>1211</v>
      </c>
      <c r="H233" s="2">
        <v>46177.771523993055</v>
      </c>
      <c r="I233" s="1" t="s">
        <v>1211</v>
      </c>
      <c r="J233" s="1" t="s">
        <v>3288</v>
      </c>
    </row>
    <row r="234" spans="1:10" x14ac:dyDescent="0.35">
      <c r="A234" s="1" t="s">
        <v>431</v>
      </c>
      <c r="B234" s="1" t="s">
        <v>1209</v>
      </c>
      <c r="C234" s="1" t="s">
        <v>1210</v>
      </c>
      <c r="D234" s="2">
        <v>46177</v>
      </c>
      <c r="E234">
        <v>5.0227538273865301E-2</v>
      </c>
      <c r="F234" s="2">
        <v>46177.771524189811</v>
      </c>
      <c r="G234" s="1" t="s">
        <v>1211</v>
      </c>
      <c r="H234" s="2">
        <v>46177.771524189811</v>
      </c>
      <c r="I234" s="1" t="s">
        <v>1211</v>
      </c>
      <c r="J234" s="1" t="s">
        <v>3289</v>
      </c>
    </row>
    <row r="235" spans="1:10" x14ac:dyDescent="0.35">
      <c r="A235" s="1" t="s">
        <v>465</v>
      </c>
      <c r="B235" s="1" t="s">
        <v>1209</v>
      </c>
      <c r="C235" s="1" t="s">
        <v>1210</v>
      </c>
      <c r="D235" s="2">
        <v>46177</v>
      </c>
      <c r="E235">
        <v>4.93627933921814E-2</v>
      </c>
      <c r="F235" s="2">
        <v>46177.771526620367</v>
      </c>
      <c r="G235" s="1" t="s">
        <v>1211</v>
      </c>
      <c r="H235" s="2">
        <v>46177.771526701392</v>
      </c>
      <c r="I235" s="1" t="s">
        <v>1211</v>
      </c>
      <c r="J235" s="1" t="s">
        <v>3290</v>
      </c>
    </row>
    <row r="236" spans="1:10" x14ac:dyDescent="0.35">
      <c r="A236" s="1" t="s">
        <v>204</v>
      </c>
      <c r="B236" s="1" t="s">
        <v>1209</v>
      </c>
      <c r="C236" s="1" t="s">
        <v>1210</v>
      </c>
      <c r="D236" s="2">
        <v>46177</v>
      </c>
      <c r="E236">
        <v>5.0111877905009899E-2</v>
      </c>
      <c r="F236" s="2">
        <v>46177.771513888889</v>
      </c>
      <c r="G236" s="1" t="s">
        <v>1211</v>
      </c>
      <c r="H236" s="2">
        <v>46177.771514004628</v>
      </c>
      <c r="I236" s="1" t="s">
        <v>1211</v>
      </c>
      <c r="J236" s="1" t="s">
        <v>3292</v>
      </c>
    </row>
    <row r="237" spans="1:10" x14ac:dyDescent="0.35">
      <c r="A237" s="1" t="s">
        <v>353</v>
      </c>
      <c r="B237" s="1" t="s">
        <v>1209</v>
      </c>
      <c r="C237" s="1" t="s">
        <v>1210</v>
      </c>
      <c r="D237" s="2">
        <v>46177</v>
      </c>
      <c r="E237">
        <v>4.9335014887805201E-2</v>
      </c>
      <c r="F237" s="2">
        <v>46177.771524340278</v>
      </c>
      <c r="G237" s="1" t="s">
        <v>1211</v>
      </c>
      <c r="H237" s="2">
        <v>46177.771524386575</v>
      </c>
      <c r="I237" s="1" t="s">
        <v>1211</v>
      </c>
      <c r="J237" s="1" t="s">
        <v>3293</v>
      </c>
    </row>
    <row r="238" spans="1:10" x14ac:dyDescent="0.35">
      <c r="A238" s="1" t="s">
        <v>433</v>
      </c>
      <c r="B238" s="1" t="s">
        <v>1209</v>
      </c>
      <c r="C238" s="1" t="s">
        <v>1210</v>
      </c>
      <c r="D238" s="2">
        <v>46177</v>
      </c>
      <c r="E238">
        <v>5.01494287246914E-2</v>
      </c>
      <c r="F238" s="2">
        <v>46177.771516516201</v>
      </c>
      <c r="G238" s="1" t="s">
        <v>1211</v>
      </c>
      <c r="H238" s="2">
        <v>46177.77151658565</v>
      </c>
      <c r="I238" s="1" t="s">
        <v>1211</v>
      </c>
      <c r="J238" s="1" t="s">
        <v>3294</v>
      </c>
    </row>
    <row r="239" spans="1:10" x14ac:dyDescent="0.35">
      <c r="A239" s="1" t="s">
        <v>301</v>
      </c>
      <c r="B239" s="1" t="s">
        <v>1209</v>
      </c>
      <c r="C239" s="1" t="s">
        <v>1210</v>
      </c>
      <c r="D239" s="2">
        <v>46177</v>
      </c>
      <c r="E239">
        <v>2.7360017137143498E-2</v>
      </c>
      <c r="F239" s="2">
        <v>46177.771516666668</v>
      </c>
      <c r="G239" s="1" t="s">
        <v>1211</v>
      </c>
      <c r="H239" s="2">
        <v>46177.771516747685</v>
      </c>
      <c r="I239" s="1" t="s">
        <v>1211</v>
      </c>
      <c r="J239" s="1" t="s">
        <v>3295</v>
      </c>
    </row>
    <row r="240" spans="1:10" x14ac:dyDescent="0.35">
      <c r="A240" s="1" t="s">
        <v>375</v>
      </c>
      <c r="B240" s="1" t="s">
        <v>1209</v>
      </c>
      <c r="C240" s="1" t="s">
        <v>1210</v>
      </c>
      <c r="D240" s="2">
        <v>46177</v>
      </c>
      <c r="E240">
        <v>4.9502284960766099E-2</v>
      </c>
      <c r="F240" s="2">
        <v>46177.771526770834</v>
      </c>
      <c r="G240" s="1" t="s">
        <v>1211</v>
      </c>
      <c r="H240" s="2">
        <v>46177.771526886572</v>
      </c>
      <c r="I240" s="1" t="s">
        <v>1211</v>
      </c>
      <c r="J240" s="1" t="s">
        <v>3296</v>
      </c>
    </row>
    <row r="241" spans="1:10" x14ac:dyDescent="0.35">
      <c r="A241" s="1" t="s">
        <v>377</v>
      </c>
      <c r="B241" s="1" t="s">
        <v>1209</v>
      </c>
      <c r="C241" s="1" t="s">
        <v>1210</v>
      </c>
      <c r="D241" s="2">
        <v>46177</v>
      </c>
      <c r="E241">
        <v>5.0038940318290898E-2</v>
      </c>
      <c r="F241" s="2">
        <v>46177.771524537035</v>
      </c>
      <c r="G241" s="1" t="s">
        <v>1211</v>
      </c>
      <c r="H241" s="2">
        <v>46177.771524537035</v>
      </c>
      <c r="I241" s="1" t="s">
        <v>1211</v>
      </c>
      <c r="J241" s="1" t="s">
        <v>3297</v>
      </c>
    </row>
    <row r="242" spans="1:10" x14ac:dyDescent="0.35">
      <c r="A242" s="1" t="s">
        <v>435</v>
      </c>
      <c r="B242" s="1" t="s">
        <v>1209</v>
      </c>
      <c r="C242" s="1" t="s">
        <v>1210</v>
      </c>
      <c r="D242" s="2">
        <v>46177</v>
      </c>
      <c r="E242">
        <v>4.95525644891801E-2</v>
      </c>
      <c r="F242" s="2">
        <v>46177.771502777781</v>
      </c>
      <c r="G242" s="1" t="s">
        <v>1211</v>
      </c>
      <c r="H242" s="2">
        <v>46177.771502812502</v>
      </c>
      <c r="I242" s="1" t="s">
        <v>1211</v>
      </c>
      <c r="J242" s="1" t="s">
        <v>3298</v>
      </c>
    </row>
    <row r="243" spans="1:10" x14ac:dyDescent="0.35">
      <c r="A243" s="1" t="s">
        <v>206</v>
      </c>
      <c r="B243" s="1" t="s">
        <v>1209</v>
      </c>
      <c r="C243" s="1" t="s">
        <v>1210</v>
      </c>
      <c r="D243" s="2">
        <v>46177</v>
      </c>
      <c r="E243">
        <v>5.0046677692070697E-2</v>
      </c>
      <c r="F243" s="2">
        <v>46177.771502928241</v>
      </c>
      <c r="G243" s="1" t="s">
        <v>1211</v>
      </c>
      <c r="H243" s="2">
        <v>46177.771503009259</v>
      </c>
      <c r="I243" s="1" t="s">
        <v>1211</v>
      </c>
      <c r="J243" s="1" t="s">
        <v>3299</v>
      </c>
    </row>
    <row r="244" spans="1:10" x14ac:dyDescent="0.35">
      <c r="A244" s="1" t="s">
        <v>497</v>
      </c>
      <c r="B244" s="1" t="s">
        <v>1209</v>
      </c>
      <c r="C244" s="1" t="s">
        <v>1210</v>
      </c>
      <c r="D244" s="2">
        <v>46177</v>
      </c>
      <c r="E244">
        <v>4.9754374441502602E-2</v>
      </c>
      <c r="F244" s="2">
        <v>46177.771516817127</v>
      </c>
      <c r="G244" s="1" t="s">
        <v>1211</v>
      </c>
      <c r="H244" s="2">
        <v>46177.771516932873</v>
      </c>
      <c r="I244" s="1" t="s">
        <v>1211</v>
      </c>
      <c r="J244" s="1" t="s">
        <v>3300</v>
      </c>
    </row>
    <row r="245" spans="1:10" x14ac:dyDescent="0.35">
      <c r="A245" s="1" t="s">
        <v>208</v>
      </c>
      <c r="B245" s="1" t="s">
        <v>1209</v>
      </c>
      <c r="C245" s="1" t="s">
        <v>1210</v>
      </c>
      <c r="D245" s="2">
        <v>46177</v>
      </c>
      <c r="E245">
        <v>5.0009958980498002E-2</v>
      </c>
      <c r="F245" s="2">
        <v>46177.771514039348</v>
      </c>
      <c r="G245" s="1" t="s">
        <v>1211</v>
      </c>
      <c r="H245" s="2">
        <v>46177.771514155094</v>
      </c>
      <c r="I245" s="1" t="s">
        <v>1211</v>
      </c>
      <c r="J245" s="1" t="s">
        <v>3301</v>
      </c>
    </row>
    <row r="246" spans="1:10" x14ac:dyDescent="0.35">
      <c r="A246" s="1" t="s">
        <v>437</v>
      </c>
      <c r="B246" s="1" t="s">
        <v>1209</v>
      </c>
      <c r="C246" s="1" t="s">
        <v>1210</v>
      </c>
      <c r="D246" s="2">
        <v>46177</v>
      </c>
      <c r="E246">
        <v>4.9716107680875497E-2</v>
      </c>
      <c r="F246" s="2">
        <v>46177.771526932869</v>
      </c>
      <c r="G246" s="1" t="s">
        <v>1211</v>
      </c>
      <c r="H246" s="2">
        <v>46177.771526886572</v>
      </c>
      <c r="I246" s="1" t="s">
        <v>1211</v>
      </c>
      <c r="J246" s="1" t="s">
        <v>3302</v>
      </c>
    </row>
    <row r="247" spans="1:10" x14ac:dyDescent="0.35">
      <c r="A247" s="1" t="s">
        <v>210</v>
      </c>
      <c r="B247" s="1" t="s">
        <v>1209</v>
      </c>
      <c r="C247" s="1" t="s">
        <v>1210</v>
      </c>
      <c r="D247" s="2">
        <v>46177</v>
      </c>
      <c r="E247">
        <v>4.99507201420279E-2</v>
      </c>
      <c r="F247" s="2">
        <v>46177.771503090276</v>
      </c>
      <c r="G247" s="1" t="s">
        <v>1211</v>
      </c>
      <c r="H247" s="2">
        <v>46177.771503206015</v>
      </c>
      <c r="I247" s="1" t="s">
        <v>1211</v>
      </c>
      <c r="J247" s="1" t="s">
        <v>3303</v>
      </c>
    </row>
    <row r="248" spans="1:10" x14ac:dyDescent="0.35">
      <c r="A248" s="1" t="s">
        <v>379</v>
      </c>
      <c r="B248" s="1" t="s">
        <v>1209</v>
      </c>
      <c r="C248" s="1" t="s">
        <v>1210</v>
      </c>
      <c r="D248" s="2">
        <v>46177</v>
      </c>
      <c r="E248">
        <v>2.7294775634938599E-2</v>
      </c>
      <c r="F248" s="2">
        <v>46177.771514201391</v>
      </c>
      <c r="G248" s="1" t="s">
        <v>1211</v>
      </c>
      <c r="H248" s="2">
        <v>46177.771514155094</v>
      </c>
      <c r="I248" s="1" t="s">
        <v>1211</v>
      </c>
      <c r="J248" s="1" t="s">
        <v>3304</v>
      </c>
    </row>
    <row r="249" spans="1:10" x14ac:dyDescent="0.35">
      <c r="A249" s="1" t="s">
        <v>467</v>
      </c>
      <c r="B249" s="1" t="s">
        <v>1209</v>
      </c>
      <c r="C249" s="1" t="s">
        <v>1210</v>
      </c>
      <c r="D249" s="2">
        <v>46177</v>
      </c>
      <c r="E249">
        <v>4.9744751328532899E-2</v>
      </c>
      <c r="F249" s="2">
        <v>46177.771524687501</v>
      </c>
      <c r="G249" s="1" t="s">
        <v>1211</v>
      </c>
      <c r="H249" s="2">
        <v>46177.771524733798</v>
      </c>
      <c r="I249" s="1" t="s">
        <v>1211</v>
      </c>
      <c r="J249" s="1" t="s">
        <v>3305</v>
      </c>
    </row>
    <row r="250" spans="1:10" x14ac:dyDescent="0.35">
      <c r="A250" s="1" t="s">
        <v>303</v>
      </c>
      <c r="B250" s="1" t="s">
        <v>1209</v>
      </c>
      <c r="C250" s="1" t="s">
        <v>1210</v>
      </c>
      <c r="D250" s="2">
        <v>46177</v>
      </c>
      <c r="E250">
        <v>4.9920189116336701E-2</v>
      </c>
      <c r="F250" s="2">
        <v>46177.771503206015</v>
      </c>
      <c r="G250" s="1" t="s">
        <v>1211</v>
      </c>
      <c r="H250" s="2">
        <v>46177.771503356482</v>
      </c>
      <c r="I250" s="1" t="s">
        <v>1211</v>
      </c>
      <c r="J250" s="1" t="s">
        <v>3291</v>
      </c>
    </row>
    <row r="251" spans="1:10" x14ac:dyDescent="0.35">
      <c r="A251" s="1" t="s">
        <v>212</v>
      </c>
      <c r="B251" s="1" t="s">
        <v>1209</v>
      </c>
      <c r="C251" s="1" t="s">
        <v>1210</v>
      </c>
      <c r="D251" s="2">
        <v>46177</v>
      </c>
      <c r="E251">
        <v>4.9721638840097698E-2</v>
      </c>
      <c r="F251" s="2">
        <v>46177.771503356482</v>
      </c>
      <c r="G251" s="1" t="s">
        <v>1211</v>
      </c>
      <c r="H251" s="2">
        <v>46177.771503356482</v>
      </c>
      <c r="I251" s="1" t="s">
        <v>1211</v>
      </c>
      <c r="J251" s="1" t="s">
        <v>3309</v>
      </c>
    </row>
    <row r="252" spans="1:10" x14ac:dyDescent="0.35">
      <c r="A252" s="1" t="s">
        <v>216</v>
      </c>
      <c r="B252" s="1" t="s">
        <v>1209</v>
      </c>
      <c r="C252" s="1" t="s">
        <v>1210</v>
      </c>
      <c r="D252" s="2">
        <v>46177</v>
      </c>
      <c r="E252">
        <v>4.9876270679841697E-2</v>
      </c>
      <c r="F252" s="2">
        <v>46177.771524849537</v>
      </c>
      <c r="G252" s="1" t="s">
        <v>1211</v>
      </c>
      <c r="H252" s="2">
        <v>46177.771524918979</v>
      </c>
      <c r="I252" s="1" t="s">
        <v>1211</v>
      </c>
      <c r="J252" s="1" t="s">
        <v>3311</v>
      </c>
    </row>
    <row r="253" spans="1:10" x14ac:dyDescent="0.35">
      <c r="A253" s="1" t="s">
        <v>305</v>
      </c>
      <c r="B253" s="1" t="s">
        <v>1209</v>
      </c>
      <c r="C253" s="1" t="s">
        <v>1210</v>
      </c>
      <c r="D253" s="2">
        <v>46177</v>
      </c>
      <c r="E253">
        <v>4.9807573827093603E-2</v>
      </c>
      <c r="F253" s="2">
        <v>46177.77151697917</v>
      </c>
      <c r="G253" s="1" t="s">
        <v>1211</v>
      </c>
      <c r="H253" s="2">
        <v>46177.771517094909</v>
      </c>
      <c r="I253" s="1" t="s">
        <v>1211</v>
      </c>
      <c r="J253" s="1" t="s">
        <v>3307</v>
      </c>
    </row>
    <row r="254" spans="1:10" x14ac:dyDescent="0.35">
      <c r="A254" s="1" t="s">
        <v>218</v>
      </c>
      <c r="B254" s="1" t="s">
        <v>1209</v>
      </c>
      <c r="C254" s="1" t="s">
        <v>1210</v>
      </c>
      <c r="D254" s="2">
        <v>46177</v>
      </c>
      <c r="E254">
        <v>4.9861387957268098E-2</v>
      </c>
      <c r="F254" s="2">
        <v>46177.77151712963</v>
      </c>
      <c r="G254" s="1" t="s">
        <v>1211</v>
      </c>
      <c r="H254" s="2">
        <v>46177.771517094909</v>
      </c>
      <c r="I254" s="1" t="s">
        <v>1211</v>
      </c>
      <c r="J254" s="1" t="s">
        <v>3313</v>
      </c>
    </row>
    <row r="255" spans="1:10" x14ac:dyDescent="0.35">
      <c r="A255" s="1" t="s">
        <v>307</v>
      </c>
      <c r="B255" s="1" t="s">
        <v>1209</v>
      </c>
      <c r="C255" s="1" t="s">
        <v>1210</v>
      </c>
      <c r="D255" s="2">
        <v>46177</v>
      </c>
      <c r="E255">
        <v>4.9889980521656302E-2</v>
      </c>
      <c r="F255" s="2">
        <v>46177.771524999996</v>
      </c>
      <c r="G255" s="1" t="s">
        <v>1211</v>
      </c>
      <c r="H255" s="2">
        <v>46177.771525081022</v>
      </c>
      <c r="I255" s="1" t="s">
        <v>1211</v>
      </c>
      <c r="J255" s="1" t="s">
        <v>3314</v>
      </c>
    </row>
    <row r="256" spans="1:10" x14ac:dyDescent="0.35">
      <c r="A256" s="1" t="s">
        <v>220</v>
      </c>
      <c r="B256" s="1" t="s">
        <v>1209</v>
      </c>
      <c r="C256" s="1" t="s">
        <v>1210</v>
      </c>
      <c r="D256" s="2">
        <v>46177</v>
      </c>
      <c r="E256">
        <v>4.9800673749153999E-2</v>
      </c>
      <c r="F256" s="2">
        <v>46177.771517280089</v>
      </c>
      <c r="G256" s="1" t="s">
        <v>1211</v>
      </c>
      <c r="H256" s="2">
        <v>46177.771517280089</v>
      </c>
      <c r="I256" s="1" t="s">
        <v>1211</v>
      </c>
      <c r="J256" s="1" t="s">
        <v>3315</v>
      </c>
    </row>
    <row r="257" spans="1:10" x14ac:dyDescent="0.35">
      <c r="A257" s="1" t="s">
        <v>439</v>
      </c>
      <c r="B257" s="1" t="s">
        <v>1209</v>
      </c>
      <c r="C257" s="1" t="s">
        <v>1210</v>
      </c>
      <c r="D257" s="2">
        <v>46177</v>
      </c>
      <c r="E257">
        <v>2.7206269133140299E-2</v>
      </c>
      <c r="F257" s="2">
        <v>46177.771525150463</v>
      </c>
      <c r="G257" s="1" t="s">
        <v>1211</v>
      </c>
      <c r="H257" s="2">
        <v>46177.771525266202</v>
      </c>
      <c r="I257" s="1" t="s">
        <v>1211</v>
      </c>
      <c r="J257" s="1" t="s">
        <v>3316</v>
      </c>
    </row>
    <row r="258" spans="1:10" x14ac:dyDescent="0.35">
      <c r="A258" s="1" t="s">
        <v>222</v>
      </c>
      <c r="B258" s="1" t="s">
        <v>1209</v>
      </c>
      <c r="C258" s="1" t="s">
        <v>1210</v>
      </c>
      <c r="D258" s="2">
        <v>46177</v>
      </c>
      <c r="E258">
        <v>4.9909752067397797E-2</v>
      </c>
      <c r="F258" s="2">
        <v>46177.771517442132</v>
      </c>
      <c r="G258" s="1" t="s">
        <v>1211</v>
      </c>
      <c r="H258" s="2">
        <v>46177.771517476853</v>
      </c>
      <c r="I258" s="1" t="s">
        <v>1211</v>
      </c>
      <c r="J258" s="1" t="s">
        <v>3317</v>
      </c>
    </row>
    <row r="259" spans="1:10" x14ac:dyDescent="0.35">
      <c r="A259" s="1" t="s">
        <v>2939</v>
      </c>
      <c r="B259" s="1" t="s">
        <v>1209</v>
      </c>
      <c r="C259" s="1" t="s">
        <v>1210</v>
      </c>
      <c r="D259" s="2">
        <v>46177</v>
      </c>
      <c r="E259">
        <v>4.9770918940725897E-2</v>
      </c>
      <c r="F259" s="2">
        <v>46177.771520138886</v>
      </c>
      <c r="G259" s="1" t="s">
        <v>1211</v>
      </c>
      <c r="H259" s="2">
        <v>46177.771520219911</v>
      </c>
      <c r="I259" s="1" t="s">
        <v>1211</v>
      </c>
      <c r="J259" s="1" t="s">
        <v>3318</v>
      </c>
    </row>
    <row r="260" spans="1:10" x14ac:dyDescent="0.35">
      <c r="A260" s="1" t="s">
        <v>3319</v>
      </c>
      <c r="B260" s="1" t="s">
        <v>1209</v>
      </c>
      <c r="C260" s="1" t="s">
        <v>1210</v>
      </c>
      <c r="D260" s="2">
        <v>46177</v>
      </c>
      <c r="E260">
        <v>4.9816997315009999E-2</v>
      </c>
      <c r="F260" s="2">
        <v>46177.771517627312</v>
      </c>
      <c r="G260" s="1" t="s">
        <v>1211</v>
      </c>
      <c r="H260" s="2">
        <v>46177.771517673609</v>
      </c>
      <c r="I260" s="1" t="s">
        <v>1211</v>
      </c>
      <c r="J260" s="1" t="s">
        <v>3321</v>
      </c>
    </row>
    <row r="261" spans="1:10" x14ac:dyDescent="0.35">
      <c r="A261" s="1" t="s">
        <v>549</v>
      </c>
      <c r="B261" s="1" t="s">
        <v>1209</v>
      </c>
      <c r="C261" s="1" t="s">
        <v>1210</v>
      </c>
      <c r="D261" s="2">
        <v>46177</v>
      </c>
      <c r="E261">
        <v>4.0379827805755802E-2</v>
      </c>
      <c r="F261" s="2">
        <v>46177.771517789355</v>
      </c>
      <c r="G261" s="1" t="s">
        <v>1211</v>
      </c>
      <c r="H261" s="2">
        <v>46177.771517824076</v>
      </c>
      <c r="I261" s="1" t="s">
        <v>1211</v>
      </c>
      <c r="J261" s="1" t="s">
        <v>3322</v>
      </c>
    </row>
    <row r="262" spans="1:10" x14ac:dyDescent="0.35">
      <c r="A262" s="1" t="s">
        <v>309</v>
      </c>
      <c r="B262" s="1" t="s">
        <v>1209</v>
      </c>
      <c r="C262" s="1" t="s">
        <v>1210</v>
      </c>
      <c r="D262" s="2">
        <v>46177</v>
      </c>
      <c r="E262">
        <v>4.0569746669234297E-2</v>
      </c>
      <c r="F262" s="2">
        <v>46177.771527395831</v>
      </c>
      <c r="G262" s="1" t="s">
        <v>1211</v>
      </c>
      <c r="H262" s="2">
        <v>46177.771527430552</v>
      </c>
      <c r="I262" s="1" t="s">
        <v>1211</v>
      </c>
      <c r="J262" s="1" t="s">
        <v>3323</v>
      </c>
    </row>
    <row r="263" spans="1:10" x14ac:dyDescent="0.35">
      <c r="A263" s="1" t="s">
        <v>469</v>
      </c>
      <c r="B263" s="1" t="s">
        <v>1209</v>
      </c>
      <c r="C263" s="1" t="s">
        <v>1210</v>
      </c>
      <c r="D263" s="2">
        <v>46177</v>
      </c>
      <c r="E263">
        <v>3.8959778047766097E-2</v>
      </c>
      <c r="F263" s="2">
        <v>46177.771520289352</v>
      </c>
      <c r="G263" s="1" t="s">
        <v>1211</v>
      </c>
      <c r="H263" s="2">
        <v>46177.77152037037</v>
      </c>
      <c r="I263" s="1" t="s">
        <v>1211</v>
      </c>
      <c r="J263" s="1" t="s">
        <v>3324</v>
      </c>
    </row>
    <row r="264" spans="1:10" x14ac:dyDescent="0.35">
      <c r="A264" s="1" t="s">
        <v>541</v>
      </c>
      <c r="B264" s="1" t="s">
        <v>1209</v>
      </c>
      <c r="C264" s="1" t="s">
        <v>1210</v>
      </c>
      <c r="D264" s="2">
        <v>46177</v>
      </c>
      <c r="E264">
        <v>4.0994914611732901E-2</v>
      </c>
      <c r="F264" s="2">
        <v>46177.771520451388</v>
      </c>
      <c r="G264" s="1" t="s">
        <v>1211</v>
      </c>
      <c r="H264" s="2">
        <v>46177.771520567127</v>
      </c>
      <c r="I264" s="1" t="s">
        <v>1211</v>
      </c>
      <c r="J264" s="1" t="s">
        <v>3325</v>
      </c>
    </row>
    <row r="265" spans="1:10" x14ac:dyDescent="0.35">
      <c r="A265" s="1" t="s">
        <v>2377</v>
      </c>
      <c r="B265" s="1" t="s">
        <v>1209</v>
      </c>
      <c r="C265" s="1" t="s">
        <v>1210</v>
      </c>
      <c r="D265" s="2">
        <v>46177</v>
      </c>
      <c r="E265">
        <v>3.6819999729281697E-2</v>
      </c>
      <c r="F265" s="2">
        <v>46177.771517939815</v>
      </c>
      <c r="G265" s="1" t="s">
        <v>1211</v>
      </c>
      <c r="H265" s="2">
        <v>46177.771518020832</v>
      </c>
      <c r="I265" s="1" t="s">
        <v>1211</v>
      </c>
      <c r="J265" s="1" t="s">
        <v>3326</v>
      </c>
    </row>
    <row r="266" spans="1:10" x14ac:dyDescent="0.35">
      <c r="A266" s="1" t="s">
        <v>551</v>
      </c>
      <c r="B266" s="1" t="s">
        <v>1209</v>
      </c>
      <c r="C266" s="1" t="s">
        <v>1210</v>
      </c>
      <c r="D266" s="2">
        <v>46177</v>
      </c>
      <c r="E266">
        <v>4.1214853915438297E-2</v>
      </c>
      <c r="F266" s="2">
        <v>46177.771520601855</v>
      </c>
      <c r="G266" s="1" t="s">
        <v>1211</v>
      </c>
      <c r="H266" s="2">
        <v>46177.771520567127</v>
      </c>
      <c r="I266" s="1" t="s">
        <v>1211</v>
      </c>
      <c r="J266" s="1" t="s">
        <v>3327</v>
      </c>
    </row>
    <row r="267" spans="1:10" x14ac:dyDescent="0.35">
      <c r="A267" s="1" t="s">
        <v>311</v>
      </c>
      <c r="B267" s="1" t="s">
        <v>1209</v>
      </c>
      <c r="C267" s="1" t="s">
        <v>1210</v>
      </c>
      <c r="D267" s="2">
        <v>46177</v>
      </c>
      <c r="E267">
        <v>4.1323318388681897E-2</v>
      </c>
      <c r="F267" s="2">
        <v>46177.771520752314</v>
      </c>
      <c r="G267" s="1" t="s">
        <v>1211</v>
      </c>
      <c r="H267" s="2">
        <v>46177.771520752314</v>
      </c>
      <c r="I267" s="1" t="s">
        <v>1211</v>
      </c>
      <c r="J267" s="1" t="s">
        <v>3328</v>
      </c>
    </row>
    <row r="268" spans="1:10" x14ac:dyDescent="0.35">
      <c r="A268" s="1" t="s">
        <v>543</v>
      </c>
      <c r="B268" s="1" t="s">
        <v>1209</v>
      </c>
      <c r="C268" s="1" t="s">
        <v>1210</v>
      </c>
      <c r="D268" s="2">
        <v>46177</v>
      </c>
      <c r="E268">
        <v>4.1639888671603502E-2</v>
      </c>
      <c r="F268" s="2">
        <v>46177.771518090274</v>
      </c>
      <c r="G268" s="1" t="s">
        <v>1211</v>
      </c>
      <c r="H268" s="2">
        <v>46177.77151820602</v>
      </c>
      <c r="I268" s="1" t="s">
        <v>1211</v>
      </c>
      <c r="J268" s="1" t="s">
        <v>3329</v>
      </c>
    </row>
    <row r="269" spans="1:10" x14ac:dyDescent="0.35">
      <c r="A269" s="1" t="s">
        <v>382</v>
      </c>
      <c r="B269" s="1" t="s">
        <v>1209</v>
      </c>
      <c r="C269" s="1" t="s">
        <v>1210</v>
      </c>
      <c r="D269" s="2">
        <v>46177</v>
      </c>
      <c r="E269">
        <v>4.1749871929237597E-2</v>
      </c>
      <c r="F269" s="2">
        <v>46177.77152091435</v>
      </c>
      <c r="G269" s="1" t="s">
        <v>1211</v>
      </c>
      <c r="H269" s="2">
        <v>46177.77152091435</v>
      </c>
      <c r="I269" s="1" t="s">
        <v>1211</v>
      </c>
      <c r="J269" s="1" t="s">
        <v>3330</v>
      </c>
    </row>
    <row r="270" spans="1:10" x14ac:dyDescent="0.35">
      <c r="A270" s="1" t="s">
        <v>553</v>
      </c>
      <c r="B270" s="1" t="s">
        <v>1209</v>
      </c>
      <c r="C270" s="1" t="s">
        <v>1210</v>
      </c>
      <c r="D270" s="2">
        <v>46177</v>
      </c>
      <c r="E270">
        <v>4.2374920780858402E-2</v>
      </c>
      <c r="F270" s="2">
        <v>46177.771527546298</v>
      </c>
      <c r="G270" s="1" t="s">
        <v>1211</v>
      </c>
      <c r="H270" s="2">
        <v>46177.771527627316</v>
      </c>
      <c r="I270" s="1" t="s">
        <v>1211</v>
      </c>
      <c r="J270" s="1" t="s">
        <v>3331</v>
      </c>
    </row>
    <row r="271" spans="1:10" x14ac:dyDescent="0.35">
      <c r="A271" s="1" t="s">
        <v>545</v>
      </c>
      <c r="B271" s="1" t="s">
        <v>1209</v>
      </c>
      <c r="C271" s="1" t="s">
        <v>1210</v>
      </c>
      <c r="D271" s="2">
        <v>46177</v>
      </c>
      <c r="E271">
        <v>4.2539931746693897E-2</v>
      </c>
      <c r="F271" s="2">
        <v>46177.771525312499</v>
      </c>
      <c r="G271" s="1" t="s">
        <v>1211</v>
      </c>
      <c r="H271" s="2">
        <v>46177.771525462966</v>
      </c>
      <c r="I271" s="1" t="s">
        <v>1211</v>
      </c>
      <c r="J271" s="1" t="s">
        <v>3332</v>
      </c>
    </row>
    <row r="272" spans="1:10" x14ac:dyDescent="0.35">
      <c r="A272" s="1" t="s">
        <v>313</v>
      </c>
      <c r="B272" s="1" t="s">
        <v>1209</v>
      </c>
      <c r="C272" s="1" t="s">
        <v>1210</v>
      </c>
      <c r="D272" s="2">
        <v>46177</v>
      </c>
      <c r="E272">
        <v>4.27251411804579E-2</v>
      </c>
      <c r="F272" s="2">
        <v>46177.771534490741</v>
      </c>
      <c r="G272" s="1" t="s">
        <v>1211</v>
      </c>
      <c r="H272" s="2">
        <v>46177.77153460648</v>
      </c>
      <c r="I272" s="1" t="s">
        <v>1211</v>
      </c>
      <c r="J272" s="1" t="s">
        <v>3333</v>
      </c>
    </row>
    <row r="273" spans="1:10" x14ac:dyDescent="0.35">
      <c r="A273" s="1" t="s">
        <v>384</v>
      </c>
      <c r="B273" s="1" t="s">
        <v>1209</v>
      </c>
      <c r="C273" s="1" t="s">
        <v>1210</v>
      </c>
      <c r="D273" s="2">
        <v>46177</v>
      </c>
      <c r="E273">
        <v>4.29298413577721E-2</v>
      </c>
      <c r="F273" s="2">
        <v>46177.771525543983</v>
      </c>
      <c r="G273" s="1" t="s">
        <v>1211</v>
      </c>
      <c r="H273" s="2">
        <v>46177.771525613425</v>
      </c>
      <c r="I273" s="1" t="s">
        <v>1211</v>
      </c>
      <c r="J273" s="1" t="s">
        <v>3334</v>
      </c>
    </row>
    <row r="274" spans="1:10" x14ac:dyDescent="0.35">
      <c r="A274" s="1" t="s">
        <v>499</v>
      </c>
      <c r="B274" s="1" t="s">
        <v>1209</v>
      </c>
      <c r="C274" s="1" t="s">
        <v>1210</v>
      </c>
      <c r="D274" s="2">
        <v>46177</v>
      </c>
      <c r="E274">
        <v>4.30599235347058E-2</v>
      </c>
      <c r="F274" s="2">
        <v>46177.771521064817</v>
      </c>
      <c r="G274" s="1" t="s">
        <v>1211</v>
      </c>
      <c r="H274" s="2">
        <v>46177.771521099537</v>
      </c>
      <c r="I274" s="1" t="s">
        <v>1211</v>
      </c>
      <c r="J274" s="1" t="s">
        <v>3335</v>
      </c>
    </row>
    <row r="275" spans="1:10" x14ac:dyDescent="0.35">
      <c r="A275" s="1" t="s">
        <v>503</v>
      </c>
      <c r="B275" s="1" t="s">
        <v>1209</v>
      </c>
      <c r="C275" s="1" t="s">
        <v>1210</v>
      </c>
      <c r="D275" s="2">
        <v>46177</v>
      </c>
      <c r="E275">
        <v>4.3294904117819999E-2</v>
      </c>
      <c r="F275" s="2">
        <v>46177.77152800926</v>
      </c>
      <c r="G275" s="1" t="s">
        <v>1211</v>
      </c>
      <c r="H275" s="2">
        <v>46177.77152800926</v>
      </c>
      <c r="I275" s="1" t="s">
        <v>1211</v>
      </c>
      <c r="J275" s="1" t="s">
        <v>3336</v>
      </c>
    </row>
    <row r="276" spans="1:10" x14ac:dyDescent="0.35">
      <c r="A276" s="1" t="s">
        <v>386</v>
      </c>
      <c r="B276" s="1" t="s">
        <v>1209</v>
      </c>
      <c r="C276" s="1" t="s">
        <v>1210</v>
      </c>
      <c r="D276" s="2">
        <v>46177</v>
      </c>
      <c r="E276">
        <v>4.3454923413120898E-2</v>
      </c>
      <c r="F276" s="2">
        <v>46177.771518252317</v>
      </c>
      <c r="G276" s="1" t="s">
        <v>1211</v>
      </c>
      <c r="H276" s="2">
        <v>46177.771518368056</v>
      </c>
      <c r="I276" s="1" t="s">
        <v>1211</v>
      </c>
      <c r="J276" s="1" t="s">
        <v>3337</v>
      </c>
    </row>
    <row r="277" spans="1:10" x14ac:dyDescent="0.35">
      <c r="A277" s="1" t="s">
        <v>388</v>
      </c>
      <c r="B277" s="1" t="s">
        <v>1209</v>
      </c>
      <c r="C277" s="1" t="s">
        <v>1210</v>
      </c>
      <c r="D277" s="2">
        <v>46177</v>
      </c>
      <c r="E277">
        <v>4.2010632573953897E-2</v>
      </c>
      <c r="F277" s="2">
        <v>46177.771518402777</v>
      </c>
      <c r="G277" s="1" t="s">
        <v>1211</v>
      </c>
      <c r="H277" s="2">
        <v>46177.771518368056</v>
      </c>
      <c r="I277" s="1" t="s">
        <v>1211</v>
      </c>
      <c r="J277" s="1" t="s">
        <v>3338</v>
      </c>
    </row>
    <row r="278" spans="1:10" x14ac:dyDescent="0.35">
      <c r="A278" s="1" t="s">
        <v>315</v>
      </c>
      <c r="B278" s="1" t="s">
        <v>1209</v>
      </c>
      <c r="C278" s="1" t="s">
        <v>1210</v>
      </c>
      <c r="D278" s="2">
        <v>46177</v>
      </c>
      <c r="E278">
        <v>4.2159825674518502E-2</v>
      </c>
      <c r="F278" s="2">
        <v>46177.771521215276</v>
      </c>
      <c r="G278" s="1" t="s">
        <v>1211</v>
      </c>
      <c r="H278" s="2">
        <v>46177.771521296294</v>
      </c>
      <c r="I278" s="1" t="s">
        <v>1211</v>
      </c>
      <c r="J278" s="1" t="s">
        <v>3339</v>
      </c>
    </row>
    <row r="279" spans="1:10" x14ac:dyDescent="0.35">
      <c r="A279" s="1" t="s">
        <v>317</v>
      </c>
      <c r="B279" s="1" t="s">
        <v>1209</v>
      </c>
      <c r="C279" s="1" t="s">
        <v>1210</v>
      </c>
      <c r="D279" s="2">
        <v>46177</v>
      </c>
      <c r="E279">
        <v>3.7600405485841898E-2</v>
      </c>
      <c r="F279" s="2">
        <v>46177.77151859954</v>
      </c>
      <c r="G279" s="1" t="s">
        <v>1211</v>
      </c>
      <c r="H279" s="2">
        <v>46177.771518553243</v>
      </c>
      <c r="I279" s="1" t="s">
        <v>1211</v>
      </c>
      <c r="J279" s="1" t="s">
        <v>3340</v>
      </c>
    </row>
    <row r="280" spans="1:10" x14ac:dyDescent="0.35">
      <c r="A280" s="1" t="s">
        <v>390</v>
      </c>
      <c r="B280" s="1" t="s">
        <v>1209</v>
      </c>
      <c r="C280" s="1" t="s">
        <v>1210</v>
      </c>
      <c r="D280" s="2">
        <v>46177</v>
      </c>
      <c r="E280">
        <v>8.2819351451707598E-3</v>
      </c>
      <c r="F280" s="2">
        <v>46177.77151875</v>
      </c>
      <c r="G280" s="1" t="s">
        <v>1211</v>
      </c>
      <c r="H280" s="2">
        <v>46177.77151875</v>
      </c>
      <c r="I280" s="1" t="s">
        <v>1211</v>
      </c>
      <c r="J280" s="1" t="s">
        <v>3341</v>
      </c>
    </row>
    <row r="281" spans="1:10" x14ac:dyDescent="0.35">
      <c r="A281" s="1" t="s">
        <v>392</v>
      </c>
      <c r="B281" s="1" t="s">
        <v>1209</v>
      </c>
      <c r="C281" s="1" t="s">
        <v>1210</v>
      </c>
      <c r="D281" s="2">
        <v>46177</v>
      </c>
      <c r="E281">
        <v>3.9747040454628499E-2</v>
      </c>
      <c r="F281" s="2">
        <v>46177.771521377312</v>
      </c>
      <c r="G281" s="1" t="s">
        <v>1211</v>
      </c>
      <c r="H281" s="2">
        <v>46177.771521493058</v>
      </c>
      <c r="I281" s="1" t="s">
        <v>1211</v>
      </c>
      <c r="J281" s="1" t="s">
        <v>3342</v>
      </c>
    </row>
    <row r="282" spans="1:10" x14ac:dyDescent="0.35">
      <c r="A282" s="1" t="s">
        <v>394</v>
      </c>
      <c r="B282" s="1" t="s">
        <v>1209</v>
      </c>
      <c r="C282" s="1" t="s">
        <v>1210</v>
      </c>
      <c r="D282" s="2">
        <v>46177</v>
      </c>
      <c r="E282">
        <v>4.0145941265556699E-2</v>
      </c>
      <c r="F282" s="2">
        <v>46177.771518900459</v>
      </c>
      <c r="G282" s="1" t="s">
        <v>1211</v>
      </c>
      <c r="H282" s="2">
        <v>46177.771518946756</v>
      </c>
      <c r="I282" s="1" t="s">
        <v>1211</v>
      </c>
      <c r="J282" s="1" t="s">
        <v>3344</v>
      </c>
    </row>
    <row r="283" spans="1:10" x14ac:dyDescent="0.35">
      <c r="A283" s="1" t="s">
        <v>471</v>
      </c>
      <c r="B283" s="1" t="s">
        <v>1209</v>
      </c>
      <c r="C283" s="1" t="s">
        <v>1210</v>
      </c>
      <c r="D283" s="2">
        <v>46177</v>
      </c>
      <c r="E283">
        <v>1.34119721773417E-2</v>
      </c>
      <c r="F283" s="2">
        <v>46177.771533715277</v>
      </c>
      <c r="G283" s="1" t="s">
        <v>1211</v>
      </c>
      <c r="H283" s="2">
        <v>46177.771533715277</v>
      </c>
      <c r="I283" s="1" t="s">
        <v>1211</v>
      </c>
      <c r="J283" s="1" t="s">
        <v>3345</v>
      </c>
    </row>
    <row r="284" spans="1:10" x14ac:dyDescent="0.35">
      <c r="A284" s="1" t="s">
        <v>501</v>
      </c>
      <c r="B284" s="1" t="s">
        <v>1209</v>
      </c>
      <c r="C284" s="1" t="s">
        <v>1210</v>
      </c>
      <c r="D284" s="2">
        <v>46177</v>
      </c>
      <c r="E284">
        <v>4.0387906318640497E-2</v>
      </c>
      <c r="F284" s="2">
        <v>46177.771519062502</v>
      </c>
      <c r="G284" s="1" t="s">
        <v>1211</v>
      </c>
      <c r="H284" s="2">
        <v>46177.771519097223</v>
      </c>
      <c r="I284" s="1" t="s">
        <v>1211</v>
      </c>
      <c r="J284" s="1" t="s">
        <v>3346</v>
      </c>
    </row>
    <row r="285" spans="1:10" x14ac:dyDescent="0.35">
      <c r="A285" s="1" t="s">
        <v>396</v>
      </c>
      <c r="B285" s="1" t="s">
        <v>1209</v>
      </c>
      <c r="C285" s="1" t="s">
        <v>1210</v>
      </c>
      <c r="D285" s="2">
        <v>46177</v>
      </c>
      <c r="E285">
        <v>4.0574811380279401E-2</v>
      </c>
      <c r="F285" s="2">
        <v>46177.771519178241</v>
      </c>
      <c r="G285" s="1" t="s">
        <v>1211</v>
      </c>
      <c r="H285" s="2">
        <v>46177.77151929398</v>
      </c>
      <c r="I285" s="1" t="s">
        <v>1211</v>
      </c>
      <c r="J285" s="1" t="s">
        <v>3347</v>
      </c>
    </row>
    <row r="286" spans="1:10" x14ac:dyDescent="0.35">
      <c r="A286" s="1" t="s">
        <v>398</v>
      </c>
      <c r="B286" s="1" t="s">
        <v>1209</v>
      </c>
      <c r="C286" s="1" t="s">
        <v>1210</v>
      </c>
      <c r="D286" s="2">
        <v>46177</v>
      </c>
      <c r="E286">
        <v>4.0654173443795197E-2</v>
      </c>
      <c r="F286" s="2">
        <v>46177.771527696757</v>
      </c>
      <c r="G286" s="1" t="s">
        <v>1211</v>
      </c>
      <c r="H286" s="2">
        <v>46177.771527812503</v>
      </c>
      <c r="I286" s="1" t="s">
        <v>1211</v>
      </c>
      <c r="J286" s="1" t="s">
        <v>3348</v>
      </c>
    </row>
    <row r="287" spans="1:10" x14ac:dyDescent="0.35">
      <c r="A287" s="1" t="s">
        <v>400</v>
      </c>
      <c r="B287" s="1" t="s">
        <v>1209</v>
      </c>
      <c r="C287" s="1" t="s">
        <v>1210</v>
      </c>
      <c r="D287" s="2">
        <v>46177</v>
      </c>
      <c r="E287">
        <v>4.0827279576158303E-2</v>
      </c>
      <c r="F287" s="2">
        <v>46177.771527858793</v>
      </c>
      <c r="G287" s="1" t="s">
        <v>1211</v>
      </c>
      <c r="H287" s="2">
        <v>46177.77152800926</v>
      </c>
      <c r="I287" s="1" t="s">
        <v>1211</v>
      </c>
      <c r="J287" s="1" t="s">
        <v>3349</v>
      </c>
    </row>
    <row r="288" spans="1:10" x14ac:dyDescent="0.35">
      <c r="A288" s="1" t="s">
        <v>402</v>
      </c>
      <c r="B288" s="1" t="s">
        <v>1209</v>
      </c>
      <c r="C288" s="1" t="s">
        <v>1210</v>
      </c>
      <c r="D288" s="2">
        <v>46177</v>
      </c>
      <c r="E288">
        <v>1.4456494307899701E-2</v>
      </c>
      <c r="F288" s="2">
        <v>46177.7715193287</v>
      </c>
      <c r="G288" s="1" t="s">
        <v>1211</v>
      </c>
      <c r="H288" s="2">
        <v>46177.771519479167</v>
      </c>
      <c r="I288" s="1" t="s">
        <v>1211</v>
      </c>
      <c r="J288" s="1" t="s">
        <v>3350</v>
      </c>
    </row>
    <row r="289" spans="1:10" x14ac:dyDescent="0.35">
      <c r="A289" s="1" t="s">
        <v>473</v>
      </c>
      <c r="B289" s="1" t="s">
        <v>1209</v>
      </c>
      <c r="C289" s="1" t="s">
        <v>1210</v>
      </c>
      <c r="D289" s="2">
        <v>46177</v>
      </c>
      <c r="E289">
        <v>4.0993694528912598E-2</v>
      </c>
      <c r="F289" s="2">
        <v>46177.771519479167</v>
      </c>
      <c r="G289" s="1" t="s">
        <v>1211</v>
      </c>
      <c r="H289" s="2">
        <v>46177.771519479167</v>
      </c>
      <c r="I289" s="1" t="s">
        <v>1211</v>
      </c>
      <c r="J289" s="1" t="s">
        <v>3351</v>
      </c>
    </row>
    <row r="290" spans="1:10" x14ac:dyDescent="0.35">
      <c r="A290" s="1" t="s">
        <v>404</v>
      </c>
      <c r="B290" s="1" t="s">
        <v>1209</v>
      </c>
      <c r="C290" s="1" t="s">
        <v>1210</v>
      </c>
      <c r="D290" s="2">
        <v>46177</v>
      </c>
      <c r="E290">
        <v>4.0972009835612701E-2</v>
      </c>
      <c r="F290" s="2">
        <v>46177.771519641203</v>
      </c>
      <c r="G290" s="1" t="s">
        <v>1211</v>
      </c>
      <c r="H290" s="2">
        <v>46177.771519641203</v>
      </c>
      <c r="I290" s="1" t="s">
        <v>1211</v>
      </c>
      <c r="J290" s="1" t="s">
        <v>3352</v>
      </c>
    </row>
    <row r="291" spans="1:10" x14ac:dyDescent="0.35">
      <c r="A291" s="1" t="s">
        <v>475</v>
      </c>
      <c r="B291" s="1" t="s">
        <v>1209</v>
      </c>
      <c r="C291" s="1" t="s">
        <v>1210</v>
      </c>
      <c r="D291" s="2">
        <v>46177</v>
      </c>
      <c r="E291">
        <v>3.5755255122143698E-2</v>
      </c>
      <c r="F291" s="2">
        <v>46177.77151979167</v>
      </c>
      <c r="G291" s="1" t="s">
        <v>1211</v>
      </c>
      <c r="H291" s="2">
        <v>46177.77151982639</v>
      </c>
      <c r="I291" s="1" t="s">
        <v>1211</v>
      </c>
      <c r="J291" s="1" t="s">
        <v>3353</v>
      </c>
    </row>
    <row r="292" spans="1:10" x14ac:dyDescent="0.35">
      <c r="A292" s="1" t="s">
        <v>406</v>
      </c>
      <c r="B292" s="1" t="s">
        <v>1209</v>
      </c>
      <c r="C292" s="1" t="s">
        <v>1210</v>
      </c>
      <c r="D292" s="2">
        <v>46177</v>
      </c>
      <c r="E292">
        <v>1.39337113217769E-2</v>
      </c>
      <c r="F292" s="2">
        <v>46177.771521527779</v>
      </c>
      <c r="G292" s="1" t="s">
        <v>1211</v>
      </c>
      <c r="H292" s="2">
        <v>46177.771521493058</v>
      </c>
      <c r="I292" s="1" t="s">
        <v>1211</v>
      </c>
      <c r="J292" s="1" t="s">
        <v>3354</v>
      </c>
    </row>
    <row r="293" spans="1:10" x14ac:dyDescent="0.35">
      <c r="A293" s="1" t="s">
        <v>477</v>
      </c>
      <c r="B293" s="1" t="s">
        <v>1209</v>
      </c>
      <c r="C293" s="1" t="s">
        <v>1210</v>
      </c>
      <c r="D293" s="2">
        <v>46177</v>
      </c>
      <c r="E293">
        <v>-5.5989292571055699E-2</v>
      </c>
      <c r="F293" s="2">
        <v>46177.771521678238</v>
      </c>
      <c r="G293" s="1" t="s">
        <v>1211</v>
      </c>
      <c r="H293" s="2">
        <v>46177.771521643517</v>
      </c>
      <c r="I293" s="1" t="s">
        <v>1211</v>
      </c>
      <c r="J293" s="1" t="s">
        <v>3355</v>
      </c>
    </row>
    <row r="294" spans="1:10" x14ac:dyDescent="0.35">
      <c r="A294" s="1" t="s">
        <v>479</v>
      </c>
      <c r="B294" s="1" t="s">
        <v>1209</v>
      </c>
      <c r="C294" s="1" t="s">
        <v>1210</v>
      </c>
      <c r="D294" s="2">
        <v>46177</v>
      </c>
      <c r="E294">
        <v>3.7665154728389501E-2</v>
      </c>
      <c r="F294" s="2">
        <v>46177.771521840281</v>
      </c>
      <c r="G294" s="1" t="s">
        <v>1211</v>
      </c>
      <c r="H294" s="2">
        <v>46177.771521840281</v>
      </c>
      <c r="I294" s="1" t="s">
        <v>1211</v>
      </c>
      <c r="J294" s="1" t="s">
        <v>3356</v>
      </c>
    </row>
    <row r="295" spans="1:10" x14ac:dyDescent="0.35">
      <c r="A295" s="1" t="s">
        <v>481</v>
      </c>
      <c r="B295" s="1" t="s">
        <v>1209</v>
      </c>
      <c r="C295" s="1" t="s">
        <v>1210</v>
      </c>
      <c r="D295" s="2">
        <v>46177</v>
      </c>
      <c r="E295">
        <v>8.4416628875426895E-3</v>
      </c>
      <c r="F295" s="2">
        <v>46177.77152199074</v>
      </c>
      <c r="G295" s="1" t="s">
        <v>1211</v>
      </c>
      <c r="H295" s="2">
        <v>46177.771522025461</v>
      </c>
      <c r="I295" s="1" t="s">
        <v>1211</v>
      </c>
      <c r="J295" s="1" t="s">
        <v>3357</v>
      </c>
    </row>
    <row r="296" spans="1:10" x14ac:dyDescent="0.35">
      <c r="A296" s="1" t="s">
        <v>483</v>
      </c>
      <c r="B296" s="1" t="s">
        <v>1209</v>
      </c>
      <c r="C296" s="1" t="s">
        <v>1210</v>
      </c>
      <c r="D296" s="2">
        <v>46177</v>
      </c>
      <c r="E296">
        <v>3.8305183309964998E-2</v>
      </c>
      <c r="F296" s="2">
        <v>46177.771528159719</v>
      </c>
      <c r="G296" s="1" t="s">
        <v>1211</v>
      </c>
      <c r="H296" s="2">
        <v>46177.771528206016</v>
      </c>
      <c r="I296" s="1" t="s">
        <v>1211</v>
      </c>
      <c r="J296" s="1" t="s">
        <v>3360</v>
      </c>
    </row>
    <row r="297" spans="1:10" x14ac:dyDescent="0.35">
      <c r="A297" s="1" t="s">
        <v>408</v>
      </c>
      <c r="B297" s="1" t="s">
        <v>1209</v>
      </c>
      <c r="C297" s="1" t="s">
        <v>1210</v>
      </c>
      <c r="D297" s="2">
        <v>46177</v>
      </c>
      <c r="E297">
        <v>3.9007946312662099E-2</v>
      </c>
      <c r="F297" s="2">
        <v>46177.771522106479</v>
      </c>
      <c r="G297" s="1" t="s">
        <v>1211</v>
      </c>
      <c r="H297" s="2">
        <v>46177.771522187497</v>
      </c>
      <c r="I297" s="1" t="s">
        <v>1211</v>
      </c>
      <c r="J297" s="1" t="s">
        <v>3362</v>
      </c>
    </row>
    <row r="298" spans="1:10" x14ac:dyDescent="0.35">
      <c r="A298" s="1" t="s">
        <v>410</v>
      </c>
      <c r="B298" s="1" t="s">
        <v>1209</v>
      </c>
      <c r="C298" s="1" t="s">
        <v>1210</v>
      </c>
      <c r="D298" s="2">
        <v>46177</v>
      </c>
      <c r="E298">
        <v>1.2105569097586699E-2</v>
      </c>
      <c r="F298" s="2">
        <v>46177.771522337964</v>
      </c>
      <c r="G298" s="1" t="s">
        <v>1211</v>
      </c>
      <c r="H298" s="2">
        <v>46177.771522372685</v>
      </c>
      <c r="I298" s="1" t="s">
        <v>1211</v>
      </c>
      <c r="J298" s="1" t="s">
        <v>3363</v>
      </c>
    </row>
    <row r="299" spans="1:10" x14ac:dyDescent="0.35">
      <c r="A299" s="1" t="s">
        <v>412</v>
      </c>
      <c r="B299" s="1" t="s">
        <v>1209</v>
      </c>
      <c r="C299" s="1" t="s">
        <v>1210</v>
      </c>
      <c r="D299" s="2">
        <v>46177</v>
      </c>
      <c r="E299">
        <v>3.6669549822122498E-2</v>
      </c>
      <c r="F299" s="2">
        <v>46177.771519942129</v>
      </c>
      <c r="G299" s="1" t="s">
        <v>1211</v>
      </c>
      <c r="H299" s="2">
        <v>46177.771520023147</v>
      </c>
      <c r="I299" s="1" t="s">
        <v>1211</v>
      </c>
      <c r="J299" s="1" t="s">
        <v>3364</v>
      </c>
    </row>
    <row r="300" spans="1:10" x14ac:dyDescent="0.35">
      <c r="A300" s="1" t="s">
        <v>485</v>
      </c>
      <c r="B300" s="1" t="s">
        <v>1209</v>
      </c>
      <c r="C300" s="1" t="s">
        <v>1210</v>
      </c>
      <c r="D300" s="2">
        <v>46177</v>
      </c>
      <c r="E300">
        <v>4.0992767269995199E-2</v>
      </c>
      <c r="F300" s="2">
        <v>46177.771528437501</v>
      </c>
      <c r="G300" s="1" t="s">
        <v>1211</v>
      </c>
      <c r="H300" s="2">
        <v>46177.77152858796</v>
      </c>
      <c r="I300" s="1" t="s">
        <v>1211</v>
      </c>
      <c r="J300" s="1" t="s">
        <v>3365</v>
      </c>
    </row>
    <row r="301" spans="1:10" x14ac:dyDescent="0.35">
      <c r="A301" s="1" t="s">
        <v>547</v>
      </c>
      <c r="B301" s="1" t="s">
        <v>1209</v>
      </c>
      <c r="C301" s="1" t="s">
        <v>1210</v>
      </c>
      <c r="D301" s="2">
        <v>46177</v>
      </c>
      <c r="E301">
        <v>3.72843248189468E-2</v>
      </c>
      <c r="F301" s="2">
        <v>46177.771528622688</v>
      </c>
      <c r="G301" s="1" t="s">
        <v>1211</v>
      </c>
      <c r="H301" s="2">
        <v>46177.771528738427</v>
      </c>
      <c r="I301" s="1" t="s">
        <v>1211</v>
      </c>
      <c r="J301" s="1" t="s">
        <v>3366</v>
      </c>
    </row>
    <row r="302" spans="1:10" x14ac:dyDescent="0.35">
      <c r="A302" s="1" t="s">
        <v>487</v>
      </c>
      <c r="B302" s="1" t="s">
        <v>1209</v>
      </c>
      <c r="C302" s="1" t="s">
        <v>1210</v>
      </c>
      <c r="D302" s="2">
        <v>46177</v>
      </c>
      <c r="E302">
        <v>3.7285228422593998E-2</v>
      </c>
      <c r="F302" s="2">
        <v>46177.771522488423</v>
      </c>
      <c r="G302" s="1" t="s">
        <v>1211</v>
      </c>
      <c r="H302" s="2">
        <v>46177.771522569441</v>
      </c>
      <c r="I302" s="1" t="s">
        <v>1211</v>
      </c>
      <c r="J302" s="1" t="s">
        <v>3369</v>
      </c>
    </row>
    <row r="303" spans="1:10" x14ac:dyDescent="0.35">
      <c r="A303" s="1" t="s">
        <v>489</v>
      </c>
      <c r="B303" s="1" t="s">
        <v>1209</v>
      </c>
      <c r="C303" s="1" t="s">
        <v>1210</v>
      </c>
      <c r="D303" s="2">
        <v>46177</v>
      </c>
      <c r="E303">
        <v>3.7784282908697203E-2</v>
      </c>
      <c r="F303" s="2">
        <v>46177.771528784724</v>
      </c>
      <c r="G303" s="1" t="s">
        <v>1211</v>
      </c>
      <c r="H303" s="2">
        <v>46177.771528738427</v>
      </c>
      <c r="I303" s="1" t="s">
        <v>1211</v>
      </c>
      <c r="J303" s="1" t="s">
        <v>3371</v>
      </c>
    </row>
    <row r="304" spans="1:10" x14ac:dyDescent="0.35">
      <c r="A304" s="1" t="s">
        <v>505</v>
      </c>
      <c r="B304" s="1" t="s">
        <v>1209</v>
      </c>
      <c r="C304" s="1" t="s">
        <v>1210</v>
      </c>
      <c r="D304" s="2">
        <v>46177</v>
      </c>
      <c r="E304">
        <v>4.1196059508445203E-2</v>
      </c>
      <c r="F304" s="2">
        <v>46177.771522650466</v>
      </c>
      <c r="G304" s="1" t="s">
        <v>1211</v>
      </c>
      <c r="H304" s="2">
        <v>46177.771522719908</v>
      </c>
      <c r="I304" s="1" t="s">
        <v>1211</v>
      </c>
      <c r="J304" s="1" t="s">
        <v>3372</v>
      </c>
    </row>
    <row r="305" spans="1:10" x14ac:dyDescent="0.35">
      <c r="A305" s="1" t="s">
        <v>507</v>
      </c>
      <c r="B305" s="1" t="s">
        <v>1209</v>
      </c>
      <c r="C305" s="1" t="s">
        <v>1210</v>
      </c>
      <c r="D305" s="2">
        <v>46177</v>
      </c>
      <c r="E305">
        <v>3.7670890172483297E-2</v>
      </c>
      <c r="F305" s="2">
        <v>46177.771528935184</v>
      </c>
      <c r="G305" s="1" t="s">
        <v>1211</v>
      </c>
      <c r="H305" s="2">
        <v>46177.771528935184</v>
      </c>
      <c r="I305" s="1" t="s">
        <v>1211</v>
      </c>
      <c r="J305" s="1" t="s">
        <v>3373</v>
      </c>
    </row>
    <row r="306" spans="1:10" x14ac:dyDescent="0.35">
      <c r="A306" s="1" t="s">
        <v>414</v>
      </c>
      <c r="B306" s="1" t="s">
        <v>1209</v>
      </c>
      <c r="C306" s="1" t="s">
        <v>1210</v>
      </c>
      <c r="D306" s="2">
        <v>46177</v>
      </c>
      <c r="E306">
        <v>3.7862243615102403E-2</v>
      </c>
      <c r="F306" s="2">
        <v>46177.771522800926</v>
      </c>
      <c r="G306" s="1" t="s">
        <v>1211</v>
      </c>
      <c r="H306" s="2">
        <v>46177.771522916664</v>
      </c>
      <c r="I306" s="1" t="s">
        <v>1211</v>
      </c>
      <c r="J306" s="1" t="s">
        <v>3374</v>
      </c>
    </row>
    <row r="307" spans="1:10" x14ac:dyDescent="0.35">
      <c r="A307" s="1" t="s">
        <v>639</v>
      </c>
      <c r="B307" s="1" t="s">
        <v>1209</v>
      </c>
      <c r="C307" s="1" t="s">
        <v>1210</v>
      </c>
      <c r="D307" s="2">
        <v>46177</v>
      </c>
      <c r="E307">
        <v>1.54638788359751E-2</v>
      </c>
      <c r="F307" s="2">
        <v>46177.771522951392</v>
      </c>
      <c r="G307" s="1" t="s">
        <v>1211</v>
      </c>
      <c r="H307" s="2">
        <v>46177.771522916664</v>
      </c>
      <c r="I307" s="1" t="s">
        <v>1211</v>
      </c>
      <c r="J307" s="1" t="s">
        <v>3375</v>
      </c>
    </row>
    <row r="308" spans="1:10" x14ac:dyDescent="0.35">
      <c r="A308" s="1" t="s">
        <v>416</v>
      </c>
      <c r="B308" s="1" t="s">
        <v>1209</v>
      </c>
      <c r="C308" s="1" t="s">
        <v>1210</v>
      </c>
      <c r="D308" s="2">
        <v>46177</v>
      </c>
      <c r="E308">
        <v>3.8210681324669003E-2</v>
      </c>
      <c r="F308" s="2">
        <v>46177.771529131947</v>
      </c>
      <c r="G308" s="1" t="s">
        <v>1211</v>
      </c>
      <c r="H308" s="2">
        <v>46177.771529131947</v>
      </c>
      <c r="I308" s="1" t="s">
        <v>1211</v>
      </c>
      <c r="J308" s="1" t="s">
        <v>3376</v>
      </c>
    </row>
    <row r="309" spans="1:10" x14ac:dyDescent="0.35">
      <c r="A309" s="1" t="s">
        <v>491</v>
      </c>
      <c r="B309" s="1" t="s">
        <v>1209</v>
      </c>
      <c r="C309" s="1" t="s">
        <v>1210</v>
      </c>
      <c r="D309" s="2">
        <v>46177</v>
      </c>
      <c r="E309">
        <v>4.13413562076849E-2</v>
      </c>
      <c r="F309" s="2">
        <v>46177.771529317128</v>
      </c>
      <c r="G309" s="1" t="s">
        <v>1211</v>
      </c>
      <c r="H309" s="2">
        <v>46177.771529282407</v>
      </c>
      <c r="I309" s="1" t="s">
        <v>1211</v>
      </c>
      <c r="J309" s="1" t="s">
        <v>3377</v>
      </c>
    </row>
    <row r="310" spans="1:10" x14ac:dyDescent="0.35">
      <c r="A310" s="1" t="s">
        <v>493</v>
      </c>
      <c r="B310" s="1" t="s">
        <v>1209</v>
      </c>
      <c r="C310" s="1" t="s">
        <v>1210</v>
      </c>
      <c r="D310" s="2">
        <v>46177</v>
      </c>
      <c r="E310">
        <v>3.8190775089827801E-2</v>
      </c>
      <c r="F310" s="2">
        <v>46177.771529479163</v>
      </c>
      <c r="G310" s="1" t="s">
        <v>1211</v>
      </c>
      <c r="H310" s="2">
        <v>46177.771529479163</v>
      </c>
      <c r="I310" s="1" t="s">
        <v>1211</v>
      </c>
      <c r="J310" s="1" t="s">
        <v>3378</v>
      </c>
    </row>
    <row r="311" spans="1:10" x14ac:dyDescent="0.35">
      <c r="A311" s="1" t="s">
        <v>495</v>
      </c>
      <c r="B311" s="1" t="s">
        <v>1209</v>
      </c>
      <c r="C311" s="1" t="s">
        <v>1210</v>
      </c>
      <c r="D311" s="2">
        <v>46177</v>
      </c>
      <c r="E311">
        <v>3.8295520998297701E-2</v>
      </c>
      <c r="F311" s="2">
        <v>46177.771534641201</v>
      </c>
      <c r="G311" s="1" t="s">
        <v>1211</v>
      </c>
      <c r="H311" s="2">
        <v>46177.77153460648</v>
      </c>
      <c r="I311" s="1" t="s">
        <v>1211</v>
      </c>
      <c r="J311" s="1" t="s">
        <v>3379</v>
      </c>
    </row>
    <row r="312" spans="1:10" x14ac:dyDescent="0.35">
      <c r="A312" s="1" t="s">
        <v>555</v>
      </c>
      <c r="B312" s="1" t="s">
        <v>1209</v>
      </c>
      <c r="C312" s="1" t="s">
        <v>1210</v>
      </c>
      <c r="D312" s="2">
        <v>46177</v>
      </c>
      <c r="E312">
        <v>3.8822528213682497E-2</v>
      </c>
      <c r="F312" s="2">
        <v>46177.77152962963</v>
      </c>
      <c r="G312" s="1" t="s">
        <v>1211</v>
      </c>
      <c r="H312" s="2">
        <v>46177.771529664351</v>
      </c>
      <c r="I312" s="1" t="s">
        <v>1211</v>
      </c>
      <c r="J312" s="1" t="s">
        <v>3380</v>
      </c>
    </row>
    <row r="313" spans="1:10" x14ac:dyDescent="0.35">
      <c r="A313" s="1" t="s">
        <v>509</v>
      </c>
      <c r="B313" s="1" t="s">
        <v>1209</v>
      </c>
      <c r="C313" s="1" t="s">
        <v>1210</v>
      </c>
      <c r="D313" s="2">
        <v>46177</v>
      </c>
      <c r="E313">
        <v>4.1542369658596402E-2</v>
      </c>
      <c r="F313" s="2">
        <v>46177.77152978009</v>
      </c>
      <c r="G313" s="1" t="s">
        <v>1211</v>
      </c>
      <c r="H313" s="2">
        <v>46177.771529826387</v>
      </c>
      <c r="I313" s="1" t="s">
        <v>1211</v>
      </c>
      <c r="J313" s="1" t="s">
        <v>3381</v>
      </c>
    </row>
    <row r="314" spans="1:10" x14ac:dyDescent="0.35">
      <c r="A314" s="1" t="s">
        <v>511</v>
      </c>
      <c r="B314" s="1" t="s">
        <v>1209</v>
      </c>
      <c r="C314" s="1" t="s">
        <v>1210</v>
      </c>
      <c r="D314" s="2">
        <v>46177</v>
      </c>
      <c r="E314">
        <v>3.9155870459170898E-2</v>
      </c>
      <c r="F314" s="2">
        <v>46177.771533368053</v>
      </c>
      <c r="G314" s="1" t="s">
        <v>1211</v>
      </c>
      <c r="H314" s="2">
        <v>46177.771533333333</v>
      </c>
      <c r="I314" s="1" t="s">
        <v>1211</v>
      </c>
      <c r="J314" s="1" t="s">
        <v>3382</v>
      </c>
    </row>
    <row r="315" spans="1:10" x14ac:dyDescent="0.35">
      <c r="A315" s="1" t="s">
        <v>607</v>
      </c>
      <c r="B315" s="1" t="s">
        <v>1209</v>
      </c>
      <c r="C315" s="1" t="s">
        <v>1210</v>
      </c>
      <c r="D315" s="2">
        <v>46177</v>
      </c>
      <c r="E315">
        <v>3.9295448776070101E-2</v>
      </c>
      <c r="F315" s="2">
        <v>46177.771529942132</v>
      </c>
      <c r="G315" s="1" t="s">
        <v>1211</v>
      </c>
      <c r="H315" s="2">
        <v>46177.771530011574</v>
      </c>
      <c r="I315" s="1" t="s">
        <v>1211</v>
      </c>
      <c r="J315" s="1" t="s">
        <v>3383</v>
      </c>
    </row>
    <row r="316" spans="1:10" x14ac:dyDescent="0.35">
      <c r="A316" s="1" t="s">
        <v>513</v>
      </c>
      <c r="B316" s="1" t="s">
        <v>1209</v>
      </c>
      <c r="C316" s="1" t="s">
        <v>1210</v>
      </c>
      <c r="D316" s="2">
        <v>46177</v>
      </c>
      <c r="E316">
        <v>1.51408861321499E-2</v>
      </c>
      <c r="F316" s="2">
        <v>46177.771533530089</v>
      </c>
      <c r="G316" s="1" t="s">
        <v>1211</v>
      </c>
      <c r="H316" s="2">
        <v>46177.771533530089</v>
      </c>
      <c r="I316" s="1" t="s">
        <v>1211</v>
      </c>
      <c r="J316" s="1" t="s">
        <v>3384</v>
      </c>
    </row>
    <row r="317" spans="1:10" x14ac:dyDescent="0.35">
      <c r="A317" s="1" t="s">
        <v>515</v>
      </c>
      <c r="B317" s="1" t="s">
        <v>1209</v>
      </c>
      <c r="C317" s="1" t="s">
        <v>1210</v>
      </c>
      <c r="D317" s="2">
        <v>46177</v>
      </c>
      <c r="E317">
        <v>3.9651212974179603E-2</v>
      </c>
      <c r="F317" s="2">
        <v>46177.771530092592</v>
      </c>
      <c r="G317" s="1" t="s">
        <v>1211</v>
      </c>
      <c r="H317" s="2">
        <v>46177.771530208331</v>
      </c>
      <c r="I317" s="1" t="s">
        <v>1211</v>
      </c>
      <c r="J317" s="1" t="s">
        <v>3385</v>
      </c>
    </row>
    <row r="318" spans="1:10" x14ac:dyDescent="0.35">
      <c r="A318" s="1" t="s">
        <v>517</v>
      </c>
      <c r="B318" s="1" t="s">
        <v>1209</v>
      </c>
      <c r="C318" s="1" t="s">
        <v>1210</v>
      </c>
      <c r="D318" s="2">
        <v>46177</v>
      </c>
      <c r="E318">
        <v>4.16241631461058E-2</v>
      </c>
      <c r="F318" s="2">
        <v>46177.771530243059</v>
      </c>
      <c r="G318" s="1" t="s">
        <v>1211</v>
      </c>
      <c r="H318" s="2">
        <v>46177.771530405094</v>
      </c>
      <c r="I318" s="1" t="s">
        <v>1211</v>
      </c>
      <c r="J318" s="1" t="s">
        <v>3386</v>
      </c>
    </row>
    <row r="319" spans="1:10" x14ac:dyDescent="0.35">
      <c r="A319" s="1" t="s">
        <v>557</v>
      </c>
      <c r="B319" s="1" t="s">
        <v>1209</v>
      </c>
      <c r="C319" s="1" t="s">
        <v>1210</v>
      </c>
      <c r="D319" s="2">
        <v>46177</v>
      </c>
      <c r="E319">
        <v>3.9726234393318002E-2</v>
      </c>
      <c r="F319" s="2">
        <v>46177.77153784722</v>
      </c>
      <c r="G319" s="1" t="s">
        <v>1211</v>
      </c>
      <c r="H319" s="2">
        <v>46177.771537881941</v>
      </c>
      <c r="I319" s="1" t="s">
        <v>1211</v>
      </c>
      <c r="J319" s="1" t="s">
        <v>3387</v>
      </c>
    </row>
    <row r="320" spans="1:10" x14ac:dyDescent="0.35">
      <c r="A320" s="1" t="s">
        <v>519</v>
      </c>
      <c r="B320" s="1" t="s">
        <v>1209</v>
      </c>
      <c r="C320" s="1" t="s">
        <v>1210</v>
      </c>
      <c r="D320" s="2">
        <v>46177</v>
      </c>
      <c r="E320">
        <v>3.9824522862027499E-2</v>
      </c>
      <c r="F320" s="2">
        <v>46177.771538043984</v>
      </c>
      <c r="G320" s="1" t="s">
        <v>1211</v>
      </c>
      <c r="H320" s="2">
        <v>46177.771538043984</v>
      </c>
      <c r="I320" s="1" t="s">
        <v>1211</v>
      </c>
      <c r="J320" s="1" t="s">
        <v>3388</v>
      </c>
    </row>
    <row r="321" spans="1:10" x14ac:dyDescent="0.35">
      <c r="A321" s="1" t="s">
        <v>609</v>
      </c>
      <c r="B321" s="1" t="s">
        <v>1209</v>
      </c>
      <c r="C321" s="1" t="s">
        <v>1210</v>
      </c>
      <c r="D321" s="2">
        <v>46177</v>
      </c>
      <c r="E321">
        <v>4.0100474043220799E-2</v>
      </c>
      <c r="F321" s="2">
        <v>46177.771539814814</v>
      </c>
      <c r="G321" s="1" t="s">
        <v>1211</v>
      </c>
      <c r="H321" s="2">
        <v>46177.771539895832</v>
      </c>
      <c r="I321" s="1" t="s">
        <v>1211</v>
      </c>
      <c r="J321" s="1" t="s">
        <v>3389</v>
      </c>
    </row>
    <row r="322" spans="1:10" x14ac:dyDescent="0.35">
      <c r="A322" s="1" t="s">
        <v>611</v>
      </c>
      <c r="B322" s="1" t="s">
        <v>1209</v>
      </c>
      <c r="C322" s="1" t="s">
        <v>1210</v>
      </c>
      <c r="D322" s="2">
        <v>46177</v>
      </c>
      <c r="E322">
        <v>4.1741262437970703E-2</v>
      </c>
      <c r="F322" s="2">
        <v>46177.771534803243</v>
      </c>
      <c r="G322" s="1" t="s">
        <v>1211</v>
      </c>
      <c r="H322" s="2">
        <v>46177.771534803243</v>
      </c>
      <c r="I322" s="1" t="s">
        <v>1211</v>
      </c>
      <c r="J322" s="1" t="s">
        <v>3390</v>
      </c>
    </row>
    <row r="323" spans="1:10" x14ac:dyDescent="0.35">
      <c r="A323" s="1" t="s">
        <v>559</v>
      </c>
      <c r="B323" s="1" t="s">
        <v>1209</v>
      </c>
      <c r="C323" s="1" t="s">
        <v>1210</v>
      </c>
      <c r="D323" s="2">
        <v>46177</v>
      </c>
      <c r="E323">
        <v>4.0173993065455701E-2</v>
      </c>
      <c r="F323" s="2">
        <v>46177.771530405094</v>
      </c>
      <c r="G323" s="1" t="s">
        <v>1211</v>
      </c>
      <c r="H323" s="2">
        <v>46177.771530405094</v>
      </c>
      <c r="I323" s="1" t="s">
        <v>1211</v>
      </c>
      <c r="J323" s="1" t="s">
        <v>3391</v>
      </c>
    </row>
    <row r="324" spans="1:10" x14ac:dyDescent="0.35">
      <c r="A324" s="1" t="s">
        <v>613</v>
      </c>
      <c r="B324" s="1" t="s">
        <v>1209</v>
      </c>
      <c r="C324" s="1" t="s">
        <v>1210</v>
      </c>
      <c r="D324" s="2">
        <v>46177</v>
      </c>
      <c r="E324">
        <v>4.0334905284976803E-2</v>
      </c>
      <c r="F324" s="2">
        <v>46177.771530555554</v>
      </c>
      <c r="G324" s="1" t="s">
        <v>1211</v>
      </c>
      <c r="H324" s="2">
        <v>46177.771530555554</v>
      </c>
      <c r="I324" s="1" t="s">
        <v>1211</v>
      </c>
      <c r="J324" s="1" t="s">
        <v>3392</v>
      </c>
    </row>
    <row r="325" spans="1:10" x14ac:dyDescent="0.35">
      <c r="A325" s="1" t="s">
        <v>615</v>
      </c>
      <c r="B325" s="1" t="s">
        <v>1209</v>
      </c>
      <c r="C325" s="1" t="s">
        <v>1210</v>
      </c>
      <c r="D325" s="2">
        <v>46177</v>
      </c>
      <c r="E325">
        <v>1.6294873688502499E-2</v>
      </c>
      <c r="F325" s="2">
        <v>46177.771530706021</v>
      </c>
      <c r="G325" s="1" t="s">
        <v>1211</v>
      </c>
      <c r="H325" s="2">
        <v>46177.771530752318</v>
      </c>
      <c r="I325" s="1" t="s">
        <v>1211</v>
      </c>
      <c r="J325" s="1" t="s">
        <v>3394</v>
      </c>
    </row>
    <row r="326" spans="1:10" x14ac:dyDescent="0.35">
      <c r="A326" s="1" t="s">
        <v>641</v>
      </c>
      <c r="B326" s="1" t="s">
        <v>1209</v>
      </c>
      <c r="C326" s="1" t="s">
        <v>1210</v>
      </c>
      <c r="D326" s="2">
        <v>46177</v>
      </c>
      <c r="E326">
        <v>4.0417874294201302E-2</v>
      </c>
      <c r="F326" s="2">
        <v>46177.771534953703</v>
      </c>
      <c r="G326" s="1" t="s">
        <v>1211</v>
      </c>
      <c r="H326" s="2">
        <v>46177.771534988424</v>
      </c>
      <c r="I326" s="1" t="s">
        <v>1211</v>
      </c>
      <c r="J326" s="1" t="s">
        <v>3395</v>
      </c>
    </row>
    <row r="327" spans="1:10" x14ac:dyDescent="0.35">
      <c r="A327" s="1" t="s">
        <v>617</v>
      </c>
      <c r="B327" s="1" t="s">
        <v>1209</v>
      </c>
      <c r="C327" s="1" t="s">
        <v>1210</v>
      </c>
      <c r="D327" s="2">
        <v>46177</v>
      </c>
      <c r="E327">
        <v>4.1650386983855099E-2</v>
      </c>
      <c r="F327" s="2">
        <v>46177.771530868056</v>
      </c>
      <c r="G327" s="1" t="s">
        <v>1211</v>
      </c>
      <c r="H327" s="2">
        <v>46177.771530983795</v>
      </c>
      <c r="I327" s="1" t="s">
        <v>1211</v>
      </c>
      <c r="J327" s="1" t="s">
        <v>3396</v>
      </c>
    </row>
    <row r="328" spans="1:10" x14ac:dyDescent="0.35">
      <c r="A328" s="1" t="s">
        <v>521</v>
      </c>
      <c r="B328" s="1" t="s">
        <v>1209</v>
      </c>
      <c r="C328" s="1" t="s">
        <v>1210</v>
      </c>
      <c r="D328" s="2">
        <v>46177</v>
      </c>
      <c r="E328">
        <v>4.0431792192870901E-2</v>
      </c>
      <c r="F328" s="2">
        <v>46177.771538194444</v>
      </c>
      <c r="G328" s="1" t="s">
        <v>1211</v>
      </c>
      <c r="H328" s="2">
        <v>46177.771538229164</v>
      </c>
      <c r="I328" s="1" t="s">
        <v>1211</v>
      </c>
      <c r="J328" s="1" t="s">
        <v>3391</v>
      </c>
    </row>
    <row r="329" spans="1:10" x14ac:dyDescent="0.35">
      <c r="A329" s="1" t="s">
        <v>619</v>
      </c>
      <c r="B329" s="1" t="s">
        <v>1209</v>
      </c>
      <c r="C329" s="1" t="s">
        <v>1210</v>
      </c>
      <c r="D329" s="2">
        <v>46177</v>
      </c>
      <c r="E329">
        <v>4.0518630400370202E-2</v>
      </c>
      <c r="F329" s="2">
        <v>46177.77153510417</v>
      </c>
      <c r="G329" s="1" t="s">
        <v>1211</v>
      </c>
      <c r="H329" s="2">
        <v>46177.771535150459</v>
      </c>
      <c r="I329" s="1" t="s">
        <v>1211</v>
      </c>
      <c r="J329" s="1" t="s">
        <v>3397</v>
      </c>
    </row>
    <row r="330" spans="1:10" x14ac:dyDescent="0.35">
      <c r="A330" s="1" t="s">
        <v>627</v>
      </c>
      <c r="B330" s="1" t="s">
        <v>1209</v>
      </c>
      <c r="C330" s="1" t="s">
        <v>1210</v>
      </c>
      <c r="D330" s="2">
        <v>46177</v>
      </c>
      <c r="E330">
        <v>4.05686610257949E-2</v>
      </c>
      <c r="F330" s="2">
        <v>46177.771538391207</v>
      </c>
      <c r="G330" s="1" t="s">
        <v>1211</v>
      </c>
      <c r="H330" s="2">
        <v>46177.771538425928</v>
      </c>
      <c r="I330" s="1" t="s">
        <v>1211</v>
      </c>
      <c r="J330" s="1" t="s">
        <v>3398</v>
      </c>
    </row>
    <row r="331" spans="1:10" x14ac:dyDescent="0.35">
      <c r="A331" s="1" t="s">
        <v>523</v>
      </c>
      <c r="B331" s="1" t="s">
        <v>1209</v>
      </c>
      <c r="C331" s="1" t="s">
        <v>1210</v>
      </c>
      <c r="D331" s="2">
        <v>46177</v>
      </c>
      <c r="E331">
        <v>4.19983983907267E-2</v>
      </c>
      <c r="F331" s="2">
        <v>46177.771535266205</v>
      </c>
      <c r="G331" s="1" t="s">
        <v>1211</v>
      </c>
      <c r="H331" s="2">
        <v>46177.771535335647</v>
      </c>
      <c r="I331" s="1" t="s">
        <v>1211</v>
      </c>
      <c r="J331" s="1" t="s">
        <v>3399</v>
      </c>
    </row>
    <row r="332" spans="1:10" x14ac:dyDescent="0.35">
      <c r="A332" s="1" t="s">
        <v>525</v>
      </c>
      <c r="B332" s="1" t="s">
        <v>1209</v>
      </c>
      <c r="C332" s="1" t="s">
        <v>1210</v>
      </c>
      <c r="D332" s="2">
        <v>46177</v>
      </c>
      <c r="E332">
        <v>4.0597217501672E-2</v>
      </c>
      <c r="F332" s="2">
        <v>46177.771538541667</v>
      </c>
      <c r="G332" s="1" t="s">
        <v>1211</v>
      </c>
      <c r="H332" s="2">
        <v>46177.771538576388</v>
      </c>
      <c r="I332" s="1" t="s">
        <v>1211</v>
      </c>
      <c r="J332" s="1" t="s">
        <v>3400</v>
      </c>
    </row>
    <row r="333" spans="1:10" x14ac:dyDescent="0.35">
      <c r="A333" s="1" t="s">
        <v>621</v>
      </c>
      <c r="B333" s="1" t="s">
        <v>1209</v>
      </c>
      <c r="C333" s="1" t="s">
        <v>1210</v>
      </c>
      <c r="D333" s="2">
        <v>46177</v>
      </c>
      <c r="E333">
        <v>4.0598363148448197E-2</v>
      </c>
      <c r="F333" s="2">
        <v>46177.771531018516</v>
      </c>
      <c r="G333" s="1" t="s">
        <v>1211</v>
      </c>
      <c r="H333" s="2">
        <v>46177.771531168983</v>
      </c>
      <c r="I333" s="1" t="s">
        <v>1211</v>
      </c>
      <c r="J333" s="1" t="s">
        <v>3401</v>
      </c>
    </row>
    <row r="334" spans="1:10" x14ac:dyDescent="0.35">
      <c r="A334" s="1" t="s">
        <v>643</v>
      </c>
      <c r="B334" s="1" t="s">
        <v>1209</v>
      </c>
      <c r="C334" s="1" t="s">
        <v>1210</v>
      </c>
      <c r="D334" s="2">
        <v>46177</v>
      </c>
      <c r="E334">
        <v>3.6681049844917699E-2</v>
      </c>
      <c r="F334" s="2">
        <v>46177.771531168983</v>
      </c>
      <c r="G334" s="1" t="s">
        <v>1211</v>
      </c>
      <c r="H334" s="2">
        <v>46177.771531168983</v>
      </c>
      <c r="I334" s="1" t="s">
        <v>1211</v>
      </c>
      <c r="J334" s="1" t="s">
        <v>3404</v>
      </c>
    </row>
    <row r="335" spans="1:10" x14ac:dyDescent="0.35">
      <c r="A335" s="1" t="s">
        <v>645</v>
      </c>
      <c r="B335" s="1" t="s">
        <v>1209</v>
      </c>
      <c r="C335" s="1" t="s">
        <v>1210</v>
      </c>
      <c r="D335" s="2">
        <v>46177</v>
      </c>
      <c r="E335">
        <v>1.60927137128111E-2</v>
      </c>
      <c r="F335" s="2">
        <v>46177.771531365739</v>
      </c>
      <c r="G335" s="1" t="s">
        <v>1211</v>
      </c>
      <c r="H335" s="2">
        <v>46177.771531365739</v>
      </c>
      <c r="I335" s="1" t="s">
        <v>1211</v>
      </c>
      <c r="J335" s="1" t="s">
        <v>3405</v>
      </c>
    </row>
    <row r="336" spans="1:10" x14ac:dyDescent="0.35">
      <c r="A336" s="1" t="s">
        <v>527</v>
      </c>
      <c r="B336" s="1" t="s">
        <v>1209</v>
      </c>
      <c r="C336" s="1" t="s">
        <v>1210</v>
      </c>
      <c r="D336" s="2">
        <v>46177</v>
      </c>
      <c r="E336">
        <v>3.63894483434987E-2</v>
      </c>
      <c r="F336" s="2">
        <v>46177.771538773151</v>
      </c>
      <c r="G336" s="1" t="s">
        <v>1211</v>
      </c>
      <c r="H336" s="2">
        <v>46177.771538773151</v>
      </c>
      <c r="I336" s="1" t="s">
        <v>1211</v>
      </c>
      <c r="J336" s="1" t="s">
        <v>3406</v>
      </c>
    </row>
    <row r="337" spans="1:10" x14ac:dyDescent="0.35">
      <c r="A337" s="1" t="s">
        <v>629</v>
      </c>
      <c r="B337" s="1" t="s">
        <v>1209</v>
      </c>
      <c r="C337" s="1" t="s">
        <v>1210</v>
      </c>
      <c r="D337" s="2">
        <v>46177</v>
      </c>
      <c r="E337">
        <v>4.0640584850705298E-2</v>
      </c>
      <c r="F337" s="2">
        <v>46177.771531516206</v>
      </c>
      <c r="G337" s="1" t="s">
        <v>1211</v>
      </c>
      <c r="H337" s="2">
        <v>46177.771531562503</v>
      </c>
      <c r="I337" s="1" t="s">
        <v>1211</v>
      </c>
      <c r="J337" s="1" t="s">
        <v>3407</v>
      </c>
    </row>
    <row r="338" spans="1:10" x14ac:dyDescent="0.35">
      <c r="A338" s="1" t="s">
        <v>529</v>
      </c>
      <c r="B338" s="1" t="s">
        <v>1209</v>
      </c>
      <c r="C338" s="1" t="s">
        <v>1210</v>
      </c>
      <c r="D338" s="2">
        <v>46177</v>
      </c>
      <c r="E338">
        <v>4.2136430525218899E-2</v>
      </c>
      <c r="F338" s="2">
        <v>46177.771535416665</v>
      </c>
      <c r="G338" s="1" t="s">
        <v>1211</v>
      </c>
      <c r="H338" s="2">
        <v>46177.771535532411</v>
      </c>
      <c r="I338" s="1" t="s">
        <v>1211</v>
      </c>
      <c r="J338" s="1" t="s">
        <v>3408</v>
      </c>
    </row>
    <row r="339" spans="1:10" x14ac:dyDescent="0.35">
      <c r="A339" s="1" t="s">
        <v>623</v>
      </c>
      <c r="B339" s="1" t="s">
        <v>1209</v>
      </c>
      <c r="C339" s="1" t="s">
        <v>1210</v>
      </c>
      <c r="D339" s="2">
        <v>46177</v>
      </c>
      <c r="E339">
        <v>4.0728445304630601E-2</v>
      </c>
      <c r="F339" s="2">
        <v>46177.771535567132</v>
      </c>
      <c r="G339" s="1" t="s">
        <v>1211</v>
      </c>
      <c r="H339" s="2">
        <v>46177.77153568287</v>
      </c>
      <c r="I339" s="1" t="s">
        <v>1211</v>
      </c>
      <c r="J339" s="1" t="s">
        <v>3409</v>
      </c>
    </row>
    <row r="340" spans="1:10" x14ac:dyDescent="0.35">
      <c r="A340" s="1" t="s">
        <v>625</v>
      </c>
      <c r="B340" s="1" t="s">
        <v>1209</v>
      </c>
      <c r="C340" s="1" t="s">
        <v>1210</v>
      </c>
      <c r="D340" s="2">
        <v>46177</v>
      </c>
      <c r="E340">
        <v>3.7514337464789098E-2</v>
      </c>
      <c r="F340" s="2">
        <v>46177.771531678241</v>
      </c>
      <c r="G340" s="1" t="s">
        <v>1211</v>
      </c>
      <c r="H340" s="2">
        <v>46177.771531712962</v>
      </c>
      <c r="I340" s="1" t="s">
        <v>1211</v>
      </c>
      <c r="J340" s="1" t="s">
        <v>3410</v>
      </c>
    </row>
    <row r="341" spans="1:10" x14ac:dyDescent="0.35">
      <c r="A341" s="1" t="s">
        <v>531</v>
      </c>
      <c r="B341" s="1" t="s">
        <v>1209</v>
      </c>
      <c r="C341" s="1" t="s">
        <v>1210</v>
      </c>
      <c r="D341" s="2">
        <v>46177</v>
      </c>
      <c r="E341">
        <v>4.0828532089198198E-2</v>
      </c>
      <c r="F341" s="2">
        <v>46177.771531828701</v>
      </c>
      <c r="G341" s="1" t="s">
        <v>1211</v>
      </c>
      <c r="H341" s="2">
        <v>46177.771531909719</v>
      </c>
      <c r="I341" s="1" t="s">
        <v>1211</v>
      </c>
      <c r="J341" s="1" t="s">
        <v>3411</v>
      </c>
    </row>
    <row r="342" spans="1:10" x14ac:dyDescent="0.35">
      <c r="A342" s="1" t="s">
        <v>533</v>
      </c>
      <c r="B342" s="1" t="s">
        <v>1209</v>
      </c>
      <c r="C342" s="1" t="s">
        <v>1210</v>
      </c>
      <c r="D342" s="2">
        <v>46177</v>
      </c>
      <c r="E342">
        <v>3.7254544731771401E-2</v>
      </c>
      <c r="F342" s="2">
        <v>46177.771540011578</v>
      </c>
      <c r="G342" s="1" t="s">
        <v>1211</v>
      </c>
      <c r="H342" s="2">
        <v>46177.771540081019</v>
      </c>
      <c r="I342" s="1" t="s">
        <v>1211</v>
      </c>
      <c r="J342" s="1" t="s">
        <v>3412</v>
      </c>
    </row>
    <row r="343" spans="1:10" x14ac:dyDescent="0.35">
      <c r="A343" s="1" t="s">
        <v>667</v>
      </c>
      <c r="B343" s="1" t="s">
        <v>1209</v>
      </c>
      <c r="C343" s="1" t="s">
        <v>1210</v>
      </c>
      <c r="D343" s="2">
        <v>46177</v>
      </c>
      <c r="E343">
        <v>-5.8822477581550398E-3</v>
      </c>
      <c r="F343" s="2">
        <v>46177.771535729167</v>
      </c>
      <c r="G343" s="1" t="s">
        <v>1211</v>
      </c>
      <c r="H343" s="2">
        <v>46177.771535879627</v>
      </c>
      <c r="I343" s="1" t="s">
        <v>1211</v>
      </c>
      <c r="J343" s="1" t="s">
        <v>3413</v>
      </c>
    </row>
    <row r="344" spans="1:10" x14ac:dyDescent="0.35">
      <c r="A344" s="1" t="s">
        <v>535</v>
      </c>
      <c r="B344" s="1" t="s">
        <v>1209</v>
      </c>
      <c r="C344" s="1" t="s">
        <v>1210</v>
      </c>
      <c r="D344" s="2">
        <v>46177</v>
      </c>
      <c r="E344">
        <v>4.0914056972684097E-2</v>
      </c>
      <c r="F344" s="2">
        <v>46177.771549502315</v>
      </c>
      <c r="G344" s="1" t="s">
        <v>1211</v>
      </c>
      <c r="H344" s="2">
        <v>46177.771549502315</v>
      </c>
      <c r="I344" s="1" t="s">
        <v>1211</v>
      </c>
      <c r="J344" s="1" t="s">
        <v>3306</v>
      </c>
    </row>
    <row r="345" spans="1:10" x14ac:dyDescent="0.35">
      <c r="A345" s="1" t="s">
        <v>631</v>
      </c>
      <c r="B345" s="1" t="s">
        <v>1209</v>
      </c>
      <c r="C345" s="1" t="s">
        <v>1210</v>
      </c>
      <c r="D345" s="2">
        <v>46177</v>
      </c>
      <c r="E345">
        <v>3.7981364763524997E-2</v>
      </c>
      <c r="F345" s="2">
        <v>46177.771535879627</v>
      </c>
      <c r="G345" s="1" t="s">
        <v>1211</v>
      </c>
      <c r="H345" s="2">
        <v>46177.771535879627</v>
      </c>
      <c r="I345" s="1" t="s">
        <v>1211</v>
      </c>
      <c r="J345" s="1" t="s">
        <v>3414</v>
      </c>
    </row>
    <row r="346" spans="1:10" x14ac:dyDescent="0.35">
      <c r="A346" s="1" t="s">
        <v>537</v>
      </c>
      <c r="B346" s="1" t="s">
        <v>1209</v>
      </c>
      <c r="C346" s="1" t="s">
        <v>1210</v>
      </c>
      <c r="D346" s="2">
        <v>46177</v>
      </c>
      <c r="E346">
        <v>4.23654090015399E-2</v>
      </c>
      <c r="F346" s="2">
        <v>46177.771531944447</v>
      </c>
      <c r="G346" s="1" t="s">
        <v>1211</v>
      </c>
      <c r="H346" s="2">
        <v>46177.771532094906</v>
      </c>
      <c r="I346" s="1" t="s">
        <v>1211</v>
      </c>
      <c r="J346" s="1" t="s">
        <v>3415</v>
      </c>
    </row>
    <row r="347" spans="1:10" x14ac:dyDescent="0.35">
      <c r="A347" s="1" t="s">
        <v>539</v>
      </c>
      <c r="B347" s="1" t="s">
        <v>1209</v>
      </c>
      <c r="C347" s="1" t="s">
        <v>1210</v>
      </c>
      <c r="D347" s="2">
        <v>46177</v>
      </c>
      <c r="E347">
        <v>3.7726767290017997E-2</v>
      </c>
      <c r="F347" s="2">
        <v>46177.771536030094</v>
      </c>
      <c r="G347" s="1" t="s">
        <v>1211</v>
      </c>
      <c r="H347" s="2">
        <v>46177.77153607639</v>
      </c>
      <c r="I347" s="1" t="s">
        <v>1211</v>
      </c>
      <c r="J347" s="1" t="s">
        <v>3416</v>
      </c>
    </row>
    <row r="348" spans="1:10" x14ac:dyDescent="0.35">
      <c r="A348" s="1" t="s">
        <v>561</v>
      </c>
      <c r="B348" s="1" t="s">
        <v>1209</v>
      </c>
      <c r="C348" s="1" t="s">
        <v>1210</v>
      </c>
      <c r="D348" s="2">
        <v>46177</v>
      </c>
      <c r="E348">
        <v>4.08911063421694E-2</v>
      </c>
      <c r="F348" s="2">
        <v>46177.771536192129</v>
      </c>
      <c r="G348" s="1" t="s">
        <v>1211</v>
      </c>
      <c r="H348" s="2">
        <v>46177.77153622685</v>
      </c>
      <c r="I348" s="1" t="s">
        <v>1211</v>
      </c>
      <c r="J348" s="1" t="s">
        <v>3417</v>
      </c>
    </row>
    <row r="349" spans="1:10" x14ac:dyDescent="0.35">
      <c r="A349" s="1" t="s">
        <v>633</v>
      </c>
      <c r="B349" s="1" t="s">
        <v>1209</v>
      </c>
      <c r="C349" s="1" t="s">
        <v>1210</v>
      </c>
      <c r="D349" s="2">
        <v>46177</v>
      </c>
      <c r="E349">
        <v>4.0883511531064301E-2</v>
      </c>
      <c r="F349" s="2">
        <v>46177.771549652774</v>
      </c>
      <c r="G349" s="1" t="s">
        <v>1211</v>
      </c>
      <c r="H349" s="2">
        <v>46177.771549687503</v>
      </c>
      <c r="I349" s="1" t="s">
        <v>1211</v>
      </c>
      <c r="J349" s="1" t="s">
        <v>3418</v>
      </c>
    </row>
    <row r="350" spans="1:10" x14ac:dyDescent="0.35">
      <c r="A350" s="1" t="s">
        <v>635</v>
      </c>
      <c r="B350" s="1" t="s">
        <v>1209</v>
      </c>
      <c r="C350" s="1" t="s">
        <v>1210</v>
      </c>
      <c r="D350" s="2">
        <v>46177</v>
      </c>
      <c r="E350">
        <v>3.7803875982294302E-2</v>
      </c>
      <c r="F350" s="2">
        <v>46177.771532094906</v>
      </c>
      <c r="G350" s="1" t="s">
        <v>1211</v>
      </c>
      <c r="H350" s="2">
        <v>46177.771532256942</v>
      </c>
      <c r="I350" s="1" t="s">
        <v>1211</v>
      </c>
      <c r="J350" s="1" t="s">
        <v>3419</v>
      </c>
    </row>
    <row r="351" spans="1:10" x14ac:dyDescent="0.35">
      <c r="A351" s="1" t="s">
        <v>637</v>
      </c>
      <c r="B351" s="1" t="s">
        <v>1209</v>
      </c>
      <c r="C351" s="1" t="s">
        <v>1210</v>
      </c>
      <c r="D351" s="2">
        <v>46177</v>
      </c>
      <c r="E351">
        <v>4.0963998164145803E-2</v>
      </c>
      <c r="F351" s="2">
        <v>46177.771532256942</v>
      </c>
      <c r="G351" s="1" t="s">
        <v>1211</v>
      </c>
      <c r="H351" s="2">
        <v>46177.771532256942</v>
      </c>
      <c r="I351" s="1" t="s">
        <v>1211</v>
      </c>
      <c r="J351" s="1" t="s">
        <v>3420</v>
      </c>
    </row>
    <row r="352" spans="1:10" x14ac:dyDescent="0.35">
      <c r="A352" s="1" t="s">
        <v>647</v>
      </c>
      <c r="B352" s="1" t="s">
        <v>1209</v>
      </c>
      <c r="C352" s="1" t="s">
        <v>1210</v>
      </c>
      <c r="D352" s="2">
        <v>46177</v>
      </c>
      <c r="E352">
        <v>1.7323784596365899E-2</v>
      </c>
      <c r="F352" s="2">
        <v>46177.771544131945</v>
      </c>
      <c r="G352" s="1" t="s">
        <v>1211</v>
      </c>
      <c r="H352" s="2">
        <v>46177.771544247684</v>
      </c>
      <c r="I352" s="1" t="s">
        <v>1211</v>
      </c>
      <c r="J352" s="1" t="s">
        <v>3421</v>
      </c>
    </row>
    <row r="353" spans="1:10" x14ac:dyDescent="0.35">
      <c r="A353" s="1" t="s">
        <v>563</v>
      </c>
      <c r="B353" s="1" t="s">
        <v>1209</v>
      </c>
      <c r="C353" s="1" t="s">
        <v>1210</v>
      </c>
      <c r="D353" s="2">
        <v>46177</v>
      </c>
      <c r="E353">
        <v>4.2533447878760601E-2</v>
      </c>
      <c r="F353" s="2">
        <v>46177.771536342596</v>
      </c>
      <c r="G353" s="1" t="s">
        <v>1211</v>
      </c>
      <c r="H353" s="2">
        <v>46177.771536423614</v>
      </c>
      <c r="I353" s="1" t="s">
        <v>1211</v>
      </c>
      <c r="J353" s="1" t="s">
        <v>3422</v>
      </c>
    </row>
    <row r="354" spans="1:10" x14ac:dyDescent="0.35">
      <c r="A354" s="1" t="s">
        <v>649</v>
      </c>
      <c r="B354" s="1" t="s">
        <v>1209</v>
      </c>
      <c r="C354" s="1" t="s">
        <v>1210</v>
      </c>
      <c r="D354" s="2">
        <v>46177</v>
      </c>
      <c r="E354">
        <v>4.0969760344350098E-2</v>
      </c>
      <c r="F354" s="2">
        <v>46177.771536493055</v>
      </c>
      <c r="G354" s="1" t="s">
        <v>1211</v>
      </c>
      <c r="H354" s="2">
        <v>46177.771536608794</v>
      </c>
      <c r="I354" s="1" t="s">
        <v>1211</v>
      </c>
      <c r="J354" s="1" t="s">
        <v>3423</v>
      </c>
    </row>
    <row r="355" spans="1:10" x14ac:dyDescent="0.35">
      <c r="A355" s="1" t="s">
        <v>565</v>
      </c>
      <c r="B355" s="1" t="s">
        <v>1209</v>
      </c>
      <c r="C355" s="1" t="s">
        <v>1210</v>
      </c>
      <c r="D355" s="2">
        <v>46177</v>
      </c>
      <c r="E355">
        <v>3.8295038199515401E-2</v>
      </c>
      <c r="F355" s="2">
        <v>46177.771536655091</v>
      </c>
      <c r="G355" s="1" t="s">
        <v>1211</v>
      </c>
      <c r="H355" s="2">
        <v>46177.77153677083</v>
      </c>
      <c r="I355" s="1" t="s">
        <v>1211</v>
      </c>
      <c r="J355" s="1" t="s">
        <v>3424</v>
      </c>
    </row>
    <row r="356" spans="1:10" x14ac:dyDescent="0.35">
      <c r="A356" s="1" t="s">
        <v>567</v>
      </c>
      <c r="B356" s="1" t="s">
        <v>1209</v>
      </c>
      <c r="C356" s="1" t="s">
        <v>1210</v>
      </c>
      <c r="D356" s="2">
        <v>46177</v>
      </c>
      <c r="E356">
        <v>4.10095150564799E-2</v>
      </c>
      <c r="F356" s="2">
        <v>46177.77153244213</v>
      </c>
      <c r="G356" s="1" t="s">
        <v>1211</v>
      </c>
      <c r="H356" s="2">
        <v>46177.77153244213</v>
      </c>
      <c r="I356" s="1" t="s">
        <v>1211</v>
      </c>
      <c r="J356" s="1" t="s">
        <v>3425</v>
      </c>
    </row>
    <row r="357" spans="1:10" x14ac:dyDescent="0.35">
      <c r="A357" s="1" t="s">
        <v>569</v>
      </c>
      <c r="B357" s="1" t="s">
        <v>1209</v>
      </c>
      <c r="C357" s="1" t="s">
        <v>1210</v>
      </c>
      <c r="D357" s="2">
        <v>46177</v>
      </c>
      <c r="E357">
        <v>3.8305486861105201E-2</v>
      </c>
      <c r="F357" s="2">
        <v>46177.77153888889</v>
      </c>
      <c r="G357" s="1" t="s">
        <v>1211</v>
      </c>
      <c r="H357" s="2">
        <v>46177.771538969908</v>
      </c>
      <c r="I357" s="1" t="s">
        <v>1211</v>
      </c>
      <c r="J357" s="1" t="s">
        <v>3426</v>
      </c>
    </row>
    <row r="358" spans="1:10" x14ac:dyDescent="0.35">
      <c r="A358" s="1" t="s">
        <v>571</v>
      </c>
      <c r="B358" s="1" t="s">
        <v>1209</v>
      </c>
      <c r="C358" s="1" t="s">
        <v>1210</v>
      </c>
      <c r="D358" s="2">
        <v>46177</v>
      </c>
      <c r="E358">
        <v>1.15879373380498E-2</v>
      </c>
      <c r="F358" s="2">
        <v>46177.771532604165</v>
      </c>
      <c r="G358" s="1" t="s">
        <v>1211</v>
      </c>
      <c r="H358" s="2">
        <v>46177.771532638886</v>
      </c>
      <c r="I358" s="1" t="s">
        <v>1211</v>
      </c>
      <c r="J358" s="1" t="s">
        <v>3427</v>
      </c>
    </row>
    <row r="359" spans="1:10" x14ac:dyDescent="0.35">
      <c r="A359" s="1" t="s">
        <v>573</v>
      </c>
      <c r="B359" s="1" t="s">
        <v>1209</v>
      </c>
      <c r="C359" s="1" t="s">
        <v>1210</v>
      </c>
      <c r="D359" s="2">
        <v>46177</v>
      </c>
      <c r="E359">
        <v>4.1037202651618601E-2</v>
      </c>
      <c r="F359" s="2">
        <v>46177.771532754632</v>
      </c>
      <c r="G359" s="1" t="s">
        <v>1211</v>
      </c>
      <c r="H359" s="2">
        <v>46177.771532789353</v>
      </c>
      <c r="I359" s="1" t="s">
        <v>1211</v>
      </c>
      <c r="J359" s="1" t="s">
        <v>3428</v>
      </c>
    </row>
    <row r="360" spans="1:10" x14ac:dyDescent="0.35">
      <c r="A360" s="1" t="s">
        <v>651</v>
      </c>
      <c r="B360" s="1" t="s">
        <v>1209</v>
      </c>
      <c r="C360" s="1" t="s">
        <v>1210</v>
      </c>
      <c r="D360" s="2">
        <v>46177</v>
      </c>
      <c r="E360">
        <v>3.8841062379262097E-2</v>
      </c>
      <c r="F360" s="2">
        <v>46177.771532905092</v>
      </c>
      <c r="G360" s="1" t="s">
        <v>1211</v>
      </c>
      <c r="H360" s="2">
        <v>46177.771532986109</v>
      </c>
      <c r="I360" s="1" t="s">
        <v>1211</v>
      </c>
      <c r="J360" s="1" t="s">
        <v>3429</v>
      </c>
    </row>
    <row r="361" spans="1:10" x14ac:dyDescent="0.35">
      <c r="A361" s="1" t="s">
        <v>575</v>
      </c>
      <c r="B361" s="1" t="s">
        <v>1209</v>
      </c>
      <c r="C361" s="1" t="s">
        <v>1210</v>
      </c>
      <c r="D361" s="2">
        <v>46177</v>
      </c>
      <c r="E361">
        <v>4.2672589880545002E-2</v>
      </c>
      <c r="F361" s="2">
        <v>46177.771533067127</v>
      </c>
      <c r="G361" s="1" t="s">
        <v>1211</v>
      </c>
      <c r="H361" s="2">
        <v>46177.771533182873</v>
      </c>
      <c r="I361" s="1" t="s">
        <v>1211</v>
      </c>
      <c r="J361" s="1" t="s">
        <v>3430</v>
      </c>
    </row>
    <row r="362" spans="1:10" x14ac:dyDescent="0.35">
      <c r="A362" s="1" t="s">
        <v>577</v>
      </c>
      <c r="B362" s="1" t="s">
        <v>1209</v>
      </c>
      <c r="C362" s="1" t="s">
        <v>1210</v>
      </c>
      <c r="D362" s="2">
        <v>46177</v>
      </c>
      <c r="E362">
        <v>4.1053814531347002E-2</v>
      </c>
      <c r="F362" s="2">
        <v>46177.771536805558</v>
      </c>
      <c r="G362" s="1" t="s">
        <v>1211</v>
      </c>
      <c r="H362" s="2">
        <v>46177.771536956017</v>
      </c>
      <c r="I362" s="1" t="s">
        <v>1211</v>
      </c>
      <c r="J362" s="1" t="s">
        <v>3431</v>
      </c>
    </row>
    <row r="363" spans="1:10" x14ac:dyDescent="0.35">
      <c r="A363" s="1" t="s">
        <v>670</v>
      </c>
      <c r="B363" s="1" t="s">
        <v>1209</v>
      </c>
      <c r="C363" s="1" t="s">
        <v>1210</v>
      </c>
      <c r="D363" s="2">
        <v>46177</v>
      </c>
      <c r="E363">
        <v>3.9126239759297701E-2</v>
      </c>
      <c r="F363" s="2">
        <v>46177.771537071756</v>
      </c>
      <c r="G363" s="1" t="s">
        <v>1211</v>
      </c>
      <c r="H363" s="2">
        <v>46177.771537152781</v>
      </c>
      <c r="I363" s="1" t="s">
        <v>1211</v>
      </c>
      <c r="J363" s="1" t="s">
        <v>3432</v>
      </c>
    </row>
    <row r="364" spans="1:10" x14ac:dyDescent="0.35">
      <c r="A364" s="1" t="s">
        <v>653</v>
      </c>
      <c r="B364" s="1" t="s">
        <v>1209</v>
      </c>
      <c r="C364" s="1" t="s">
        <v>1210</v>
      </c>
      <c r="D364" s="2">
        <v>46177</v>
      </c>
      <c r="E364">
        <v>4.1124014717973001E-2</v>
      </c>
      <c r="F364" s="2">
        <v>46177.771533217594</v>
      </c>
      <c r="G364" s="1" t="s">
        <v>1211</v>
      </c>
      <c r="H364" s="2">
        <v>46177.771533333333</v>
      </c>
      <c r="I364" s="1" t="s">
        <v>1211</v>
      </c>
      <c r="J364" s="1" t="s">
        <v>3434</v>
      </c>
    </row>
    <row r="365" spans="1:10" x14ac:dyDescent="0.35">
      <c r="A365" s="1" t="s">
        <v>579</v>
      </c>
      <c r="B365" s="1" t="s">
        <v>1209</v>
      </c>
      <c r="C365" s="1" t="s">
        <v>1210</v>
      </c>
      <c r="D365" s="2">
        <v>46177</v>
      </c>
      <c r="E365">
        <v>3.9262194918170998E-2</v>
      </c>
      <c r="F365" s="2">
        <v>46177.771544293981</v>
      </c>
      <c r="G365" s="1" t="s">
        <v>1211</v>
      </c>
      <c r="H365" s="2">
        <v>46177.771544444447</v>
      </c>
      <c r="I365" s="1" t="s">
        <v>1211</v>
      </c>
      <c r="J365" s="1" t="s">
        <v>3368</v>
      </c>
    </row>
    <row r="366" spans="1:10" x14ac:dyDescent="0.35">
      <c r="A366" s="1" t="s">
        <v>672</v>
      </c>
      <c r="B366" s="1" t="s">
        <v>1209</v>
      </c>
      <c r="C366" s="1" t="s">
        <v>1210</v>
      </c>
      <c r="D366" s="2">
        <v>46177</v>
      </c>
      <c r="E366">
        <v>1.7197066574958699E-2</v>
      </c>
      <c r="F366" s="2">
        <v>46177.771544444447</v>
      </c>
      <c r="G366" s="1" t="s">
        <v>1211</v>
      </c>
      <c r="H366" s="2">
        <v>46177.771544444447</v>
      </c>
      <c r="I366" s="1" t="s">
        <v>1211</v>
      </c>
      <c r="J366" s="1" t="s">
        <v>3393</v>
      </c>
    </row>
    <row r="367" spans="1:10" x14ac:dyDescent="0.35">
      <c r="A367" s="1" t="s">
        <v>581</v>
      </c>
      <c r="B367" s="1" t="s">
        <v>1209</v>
      </c>
      <c r="C367" s="1" t="s">
        <v>1210</v>
      </c>
      <c r="D367" s="2">
        <v>46177</v>
      </c>
      <c r="E367">
        <v>3.9652086118322397E-2</v>
      </c>
      <c r="F367" s="2">
        <v>46177.771537233799</v>
      </c>
      <c r="G367" s="1" t="s">
        <v>1211</v>
      </c>
      <c r="H367" s="2">
        <v>46177.771537349538</v>
      </c>
      <c r="I367" s="1" t="s">
        <v>1211</v>
      </c>
      <c r="J367" s="1" t="s">
        <v>3437</v>
      </c>
    </row>
    <row r="368" spans="1:10" x14ac:dyDescent="0.35">
      <c r="A368" s="1" t="s">
        <v>655</v>
      </c>
      <c r="B368" s="1" t="s">
        <v>1209</v>
      </c>
      <c r="C368" s="1" t="s">
        <v>1210</v>
      </c>
      <c r="D368" s="2">
        <v>46177</v>
      </c>
      <c r="E368">
        <v>4.1170605514918399E-2</v>
      </c>
      <c r="F368" s="2">
        <v>46177.771544594907</v>
      </c>
      <c r="G368" s="1" t="s">
        <v>1211</v>
      </c>
      <c r="H368" s="2">
        <v>46177.771544641204</v>
      </c>
      <c r="I368" s="1" t="s">
        <v>1211</v>
      </c>
      <c r="J368" s="1" t="s">
        <v>3310</v>
      </c>
    </row>
    <row r="369" spans="1:10" x14ac:dyDescent="0.35">
      <c r="A369" s="1" t="s">
        <v>583</v>
      </c>
      <c r="B369" s="1" t="s">
        <v>1209</v>
      </c>
      <c r="C369" s="1" t="s">
        <v>1210</v>
      </c>
      <c r="D369" s="2">
        <v>46177</v>
      </c>
      <c r="E369">
        <v>4.2868652388729202E-2</v>
      </c>
      <c r="F369" s="2">
        <v>46177.771544791663</v>
      </c>
      <c r="G369" s="1" t="s">
        <v>1211</v>
      </c>
      <c r="H369" s="2">
        <v>46177.771544791663</v>
      </c>
      <c r="I369" s="1" t="s">
        <v>1211</v>
      </c>
      <c r="J369" s="1" t="s">
        <v>3438</v>
      </c>
    </row>
    <row r="370" spans="1:10" x14ac:dyDescent="0.35">
      <c r="A370" s="1" t="s">
        <v>657</v>
      </c>
      <c r="B370" s="1" t="s">
        <v>1209</v>
      </c>
      <c r="C370" s="1" t="s">
        <v>1210</v>
      </c>
      <c r="D370" s="2">
        <v>46177</v>
      </c>
      <c r="E370">
        <v>3.9667507657740998E-2</v>
      </c>
      <c r="F370" s="2">
        <v>46177.771537384258</v>
      </c>
      <c r="G370" s="1" t="s">
        <v>1211</v>
      </c>
      <c r="H370" s="2">
        <v>46177.771537499997</v>
      </c>
      <c r="I370" s="1" t="s">
        <v>1211</v>
      </c>
      <c r="J370" s="1" t="s">
        <v>3439</v>
      </c>
    </row>
    <row r="371" spans="1:10" x14ac:dyDescent="0.35">
      <c r="A371" s="1" t="s">
        <v>585</v>
      </c>
      <c r="B371" s="1" t="s">
        <v>1209</v>
      </c>
      <c r="C371" s="1" t="s">
        <v>1210</v>
      </c>
      <c r="D371" s="2">
        <v>46177</v>
      </c>
      <c r="E371">
        <v>4.1286628286036901E-2</v>
      </c>
      <c r="F371" s="2">
        <v>46177.771549803241</v>
      </c>
      <c r="G371" s="1" t="s">
        <v>1211</v>
      </c>
      <c r="H371" s="2">
        <v>46177.771549849538</v>
      </c>
      <c r="I371" s="1" t="s">
        <v>1211</v>
      </c>
      <c r="J371" s="1" t="s">
        <v>3440</v>
      </c>
    </row>
    <row r="372" spans="1:10" x14ac:dyDescent="0.35">
      <c r="A372" s="1" t="s">
        <v>587</v>
      </c>
      <c r="B372" s="1" t="s">
        <v>1209</v>
      </c>
      <c r="C372" s="1" t="s">
        <v>1210</v>
      </c>
      <c r="D372" s="2">
        <v>46177</v>
      </c>
      <c r="E372">
        <v>4.12648793033061E-2</v>
      </c>
      <c r="F372" s="2">
        <v>46177.771537534725</v>
      </c>
      <c r="G372" s="1" t="s">
        <v>1211</v>
      </c>
      <c r="H372" s="2">
        <v>46177.771537696761</v>
      </c>
      <c r="I372" s="1" t="s">
        <v>1211</v>
      </c>
      <c r="J372" s="1" t="s">
        <v>3441</v>
      </c>
    </row>
    <row r="373" spans="1:10" x14ac:dyDescent="0.35">
      <c r="A373" s="1" t="s">
        <v>659</v>
      </c>
      <c r="B373" s="1" t="s">
        <v>1209</v>
      </c>
      <c r="C373" s="1" t="s">
        <v>1210</v>
      </c>
      <c r="D373" s="2">
        <v>46177</v>
      </c>
      <c r="E373">
        <v>3.9893892288514497E-2</v>
      </c>
      <c r="F373" s="2">
        <v>46177.771537731482</v>
      </c>
      <c r="G373" s="1" t="s">
        <v>1211</v>
      </c>
      <c r="H373" s="2">
        <v>46177.771537696761</v>
      </c>
      <c r="I373" s="1" t="s">
        <v>1211</v>
      </c>
      <c r="J373" s="1" t="s">
        <v>3442</v>
      </c>
    </row>
    <row r="374" spans="1:10" x14ac:dyDescent="0.35">
      <c r="A374" s="1" t="s">
        <v>589</v>
      </c>
      <c r="B374" s="1" t="s">
        <v>1209</v>
      </c>
      <c r="C374" s="1" t="s">
        <v>1210</v>
      </c>
      <c r="D374" s="2">
        <v>46177</v>
      </c>
      <c r="E374">
        <v>1.0017025694146401E-2</v>
      </c>
      <c r="F374" s="2">
        <v>46177.77154494213</v>
      </c>
      <c r="G374" s="1" t="s">
        <v>1211</v>
      </c>
      <c r="H374" s="2">
        <v>46177.771544988427</v>
      </c>
      <c r="I374" s="1" t="s">
        <v>1211</v>
      </c>
      <c r="J374" s="1" t="s">
        <v>3443</v>
      </c>
    </row>
    <row r="375" spans="1:10" x14ac:dyDescent="0.35">
      <c r="A375" s="1" t="s">
        <v>591</v>
      </c>
      <c r="B375" s="1" t="s">
        <v>1209</v>
      </c>
      <c r="C375" s="1" t="s">
        <v>1210</v>
      </c>
      <c r="D375" s="2">
        <v>46177</v>
      </c>
      <c r="E375">
        <v>4.1331772636808498E-2</v>
      </c>
      <c r="F375" s="2">
        <v>46177.77153903935</v>
      </c>
      <c r="G375" s="1" t="s">
        <v>1211</v>
      </c>
      <c r="H375" s="2">
        <v>46177.771539120367</v>
      </c>
      <c r="I375" s="1" t="s">
        <v>1211</v>
      </c>
      <c r="J375" s="1" t="s">
        <v>3445</v>
      </c>
    </row>
    <row r="376" spans="1:10" x14ac:dyDescent="0.35">
      <c r="A376" s="1" t="s">
        <v>674</v>
      </c>
      <c r="B376" s="1" t="s">
        <v>1209</v>
      </c>
      <c r="C376" s="1" t="s">
        <v>1210</v>
      </c>
      <c r="D376" s="2">
        <v>46177</v>
      </c>
      <c r="E376">
        <v>4.0112466361969301E-2</v>
      </c>
      <c r="F376" s="2">
        <v>46177.771539201392</v>
      </c>
      <c r="G376" s="1" t="s">
        <v>1211</v>
      </c>
      <c r="H376" s="2">
        <v>46177.771539317131</v>
      </c>
      <c r="I376" s="1" t="s">
        <v>1211</v>
      </c>
      <c r="J376" s="1" t="s">
        <v>3448</v>
      </c>
    </row>
    <row r="377" spans="1:10" x14ac:dyDescent="0.35">
      <c r="A377" s="1" t="s">
        <v>593</v>
      </c>
      <c r="B377" s="1" t="s">
        <v>1209</v>
      </c>
      <c r="C377" s="1" t="s">
        <v>1210</v>
      </c>
      <c r="D377" s="2">
        <v>46177</v>
      </c>
      <c r="E377">
        <v>4.2948197451127303E-2</v>
      </c>
      <c r="F377" s="2">
        <v>46177.77154869213</v>
      </c>
      <c r="G377" s="1" t="s">
        <v>1211</v>
      </c>
      <c r="H377" s="2">
        <v>46177.771548807868</v>
      </c>
      <c r="I377" s="1" t="s">
        <v>1211</v>
      </c>
      <c r="J377" s="1" t="s">
        <v>3370</v>
      </c>
    </row>
    <row r="378" spans="1:10" x14ac:dyDescent="0.35">
      <c r="A378" s="1" t="s">
        <v>595</v>
      </c>
      <c r="B378" s="1" t="s">
        <v>1209</v>
      </c>
      <c r="C378" s="1" t="s">
        <v>1210</v>
      </c>
      <c r="D378" s="2">
        <v>46177</v>
      </c>
      <c r="E378">
        <v>4.1335542201028301E-2</v>
      </c>
      <c r="F378" s="2">
        <v>46177.771539351852</v>
      </c>
      <c r="G378" s="1" t="s">
        <v>1211</v>
      </c>
      <c r="H378" s="2">
        <v>46177.771539502311</v>
      </c>
      <c r="I378" s="1" t="s">
        <v>1211</v>
      </c>
      <c r="J378" s="1" t="s">
        <v>3449</v>
      </c>
    </row>
    <row r="379" spans="1:10" x14ac:dyDescent="0.35">
      <c r="A379" s="1" t="s">
        <v>676</v>
      </c>
      <c r="B379" s="1" t="s">
        <v>1209</v>
      </c>
      <c r="C379" s="1" t="s">
        <v>1210</v>
      </c>
      <c r="D379" s="2">
        <v>46177</v>
      </c>
      <c r="E379">
        <v>4.0208975897648602E-2</v>
      </c>
      <c r="F379" s="2">
        <v>46177.771548067132</v>
      </c>
      <c r="G379" s="1" t="s">
        <v>1211</v>
      </c>
      <c r="H379" s="2">
        <v>46177.771548067132</v>
      </c>
      <c r="I379" s="1" t="s">
        <v>1211</v>
      </c>
      <c r="J379" s="1" t="s">
        <v>3403</v>
      </c>
    </row>
    <row r="380" spans="1:10" x14ac:dyDescent="0.35">
      <c r="A380" s="1" t="s">
        <v>597</v>
      </c>
      <c r="B380" s="1" t="s">
        <v>1209</v>
      </c>
      <c r="C380" s="1" t="s">
        <v>1210</v>
      </c>
      <c r="D380" s="2">
        <v>46177</v>
      </c>
      <c r="E380">
        <v>4.1429163382419303E-2</v>
      </c>
      <c r="F380" s="2">
        <v>46177.771539502311</v>
      </c>
      <c r="G380" s="1" t="s">
        <v>1211</v>
      </c>
      <c r="H380" s="2">
        <v>46177.771539502311</v>
      </c>
      <c r="I380" s="1" t="s">
        <v>1211</v>
      </c>
      <c r="J380" s="1" t="s">
        <v>3451</v>
      </c>
    </row>
    <row r="381" spans="1:10" x14ac:dyDescent="0.35">
      <c r="A381" s="1" t="s">
        <v>599</v>
      </c>
      <c r="B381" s="1" t="s">
        <v>1209</v>
      </c>
      <c r="C381" s="1" t="s">
        <v>1210</v>
      </c>
      <c r="D381" s="2">
        <v>46177</v>
      </c>
      <c r="E381">
        <v>4.0343065838907399E-2</v>
      </c>
      <c r="F381" s="2">
        <v>46177.771539664354</v>
      </c>
      <c r="G381" s="1" t="s">
        <v>1211</v>
      </c>
      <c r="H381" s="2">
        <v>46177.771539733796</v>
      </c>
      <c r="I381" s="1" t="s">
        <v>1211</v>
      </c>
      <c r="J381" s="1" t="s">
        <v>3452</v>
      </c>
    </row>
    <row r="382" spans="1:10" x14ac:dyDescent="0.35">
      <c r="A382" s="1" t="s">
        <v>661</v>
      </c>
      <c r="B382" s="1" t="s">
        <v>1209</v>
      </c>
      <c r="C382" s="1" t="s">
        <v>1210</v>
      </c>
      <c r="D382" s="2">
        <v>46177</v>
      </c>
      <c r="E382">
        <v>4.03853278221619E-2</v>
      </c>
      <c r="F382" s="2">
        <v>46177.771540162037</v>
      </c>
      <c r="G382" s="1" t="s">
        <v>1211</v>
      </c>
      <c r="H382" s="2">
        <v>46177.771540277776</v>
      </c>
      <c r="I382" s="1" t="s">
        <v>1211</v>
      </c>
      <c r="J382" s="1" t="s">
        <v>3453</v>
      </c>
    </row>
    <row r="383" spans="1:10" x14ac:dyDescent="0.35">
      <c r="A383" s="1" t="s">
        <v>601</v>
      </c>
      <c r="B383" s="1" t="s">
        <v>1209</v>
      </c>
      <c r="C383" s="1" t="s">
        <v>1210</v>
      </c>
      <c r="D383" s="2">
        <v>46177</v>
      </c>
      <c r="E383">
        <v>4.1477606380531301E-2</v>
      </c>
      <c r="F383" s="2">
        <v>46177.771540312497</v>
      </c>
      <c r="G383" s="1" t="s">
        <v>1211</v>
      </c>
      <c r="H383" s="2">
        <v>46177.77154047454</v>
      </c>
      <c r="I383" s="1" t="s">
        <v>1211</v>
      </c>
      <c r="J383" s="1" t="s">
        <v>3454</v>
      </c>
    </row>
    <row r="384" spans="1:10" x14ac:dyDescent="0.35">
      <c r="A384" s="1" t="s">
        <v>603</v>
      </c>
      <c r="B384" s="1" t="s">
        <v>1209</v>
      </c>
      <c r="C384" s="1" t="s">
        <v>1210</v>
      </c>
      <c r="D384" s="2">
        <v>46177</v>
      </c>
      <c r="E384">
        <v>1.83191971496557E-2</v>
      </c>
      <c r="F384" s="2">
        <v>46177.771548877317</v>
      </c>
      <c r="G384" s="1" t="s">
        <v>1211</v>
      </c>
      <c r="H384" s="2">
        <v>46177.771548958335</v>
      </c>
      <c r="I384" s="1" t="s">
        <v>1211</v>
      </c>
      <c r="J384" s="1" t="s">
        <v>3455</v>
      </c>
    </row>
    <row r="385" spans="1:10" x14ac:dyDescent="0.35">
      <c r="A385" s="1" t="s">
        <v>605</v>
      </c>
      <c r="B385" s="1" t="s">
        <v>1209</v>
      </c>
      <c r="C385" s="1" t="s">
        <v>1210</v>
      </c>
      <c r="D385" s="2">
        <v>46177</v>
      </c>
      <c r="E385">
        <v>4.3168449170774399E-2</v>
      </c>
      <c r="F385" s="2">
        <v>46177.77154050926</v>
      </c>
      <c r="G385" s="1" t="s">
        <v>1211</v>
      </c>
      <c r="H385" s="2">
        <v>46177.771540624999</v>
      </c>
      <c r="I385" s="1" t="s">
        <v>1211</v>
      </c>
      <c r="J385" s="1" t="s">
        <v>3456</v>
      </c>
    </row>
    <row r="386" spans="1:10" x14ac:dyDescent="0.35">
      <c r="A386" s="1" t="s">
        <v>663</v>
      </c>
      <c r="B386" s="1" t="s">
        <v>1209</v>
      </c>
      <c r="C386" s="1" t="s">
        <v>1210</v>
      </c>
      <c r="D386" s="2">
        <v>46177</v>
      </c>
      <c r="E386">
        <v>4.0381597957861101E-2</v>
      </c>
      <c r="F386" s="2">
        <v>46177.77154065972</v>
      </c>
      <c r="G386" s="1" t="s">
        <v>1211</v>
      </c>
      <c r="H386" s="2">
        <v>46177.771540624999</v>
      </c>
      <c r="I386" s="1" t="s">
        <v>1211</v>
      </c>
      <c r="J386" s="1" t="s">
        <v>3457</v>
      </c>
    </row>
    <row r="387" spans="1:10" x14ac:dyDescent="0.35">
      <c r="A387" s="1" t="s">
        <v>665</v>
      </c>
      <c r="B387" s="1" t="s">
        <v>1209</v>
      </c>
      <c r="C387" s="1" t="s">
        <v>1210</v>
      </c>
      <c r="D387" s="2">
        <v>46177</v>
      </c>
      <c r="E387">
        <v>4.1431918540427E-2</v>
      </c>
      <c r="F387" s="2">
        <v>46177.771540821763</v>
      </c>
      <c r="G387" s="1" t="s">
        <v>1211</v>
      </c>
      <c r="H387" s="2">
        <v>46177.771540821763</v>
      </c>
      <c r="I387" s="1" t="s">
        <v>1211</v>
      </c>
      <c r="J387" s="1" t="s">
        <v>3458</v>
      </c>
    </row>
    <row r="388" spans="1:10" x14ac:dyDescent="0.35">
      <c r="A388" s="1" t="s">
        <v>767</v>
      </c>
      <c r="B388" s="1" t="s">
        <v>1209</v>
      </c>
      <c r="C388" s="1" t="s">
        <v>1210</v>
      </c>
      <c r="D388" s="2">
        <v>46177</v>
      </c>
      <c r="E388">
        <v>4.1518578838906799E-2</v>
      </c>
      <c r="F388" s="2">
        <v>46177.771540972222</v>
      </c>
      <c r="G388" s="1" t="s">
        <v>1211</v>
      </c>
      <c r="H388" s="2">
        <v>46177.771541006943</v>
      </c>
      <c r="I388" s="1" t="s">
        <v>1211</v>
      </c>
      <c r="J388" s="1" t="s">
        <v>3459</v>
      </c>
    </row>
    <row r="389" spans="1:10" x14ac:dyDescent="0.35">
      <c r="A389" s="1" t="s">
        <v>769</v>
      </c>
      <c r="B389" s="1" t="s">
        <v>1209</v>
      </c>
      <c r="C389" s="1" t="s">
        <v>1210</v>
      </c>
      <c r="D389" s="2">
        <v>46177</v>
      </c>
      <c r="E389">
        <v>4.0475289494825401E-2</v>
      </c>
      <c r="F389" s="2">
        <v>46177.771545104166</v>
      </c>
      <c r="G389" s="1" t="s">
        <v>1211</v>
      </c>
      <c r="H389" s="2">
        <v>46177.771545173608</v>
      </c>
      <c r="I389" s="1" t="s">
        <v>1211</v>
      </c>
      <c r="J389" s="1" t="s">
        <v>3463</v>
      </c>
    </row>
    <row r="390" spans="1:10" x14ac:dyDescent="0.35">
      <c r="A390" s="1" t="s">
        <v>689</v>
      </c>
      <c r="B390" s="1" t="s">
        <v>1209</v>
      </c>
      <c r="C390" s="1" t="s">
        <v>1210</v>
      </c>
      <c r="D390" s="2">
        <v>46177</v>
      </c>
      <c r="E390">
        <v>1.42053377368654E-2</v>
      </c>
      <c r="F390" s="2">
        <v>46177.771562268521</v>
      </c>
      <c r="G390" s="1" t="s">
        <v>1211</v>
      </c>
      <c r="H390" s="2">
        <v>46177.771562233793</v>
      </c>
      <c r="I390" s="1" t="s">
        <v>1211</v>
      </c>
      <c r="J390" s="1" t="s">
        <v>3464</v>
      </c>
    </row>
    <row r="391" spans="1:10" x14ac:dyDescent="0.35">
      <c r="A391" s="1" t="s">
        <v>679</v>
      </c>
      <c r="B391" s="1" t="s">
        <v>1209</v>
      </c>
      <c r="C391" s="1" t="s">
        <v>1210</v>
      </c>
      <c r="D391" s="2">
        <v>46177</v>
      </c>
      <c r="E391">
        <v>4.15384044635475E-2</v>
      </c>
      <c r="F391" s="2">
        <v>46177.771541122682</v>
      </c>
      <c r="G391" s="1" t="s">
        <v>1211</v>
      </c>
      <c r="H391" s="2">
        <v>46177.771541168979</v>
      </c>
      <c r="I391" s="1" t="s">
        <v>1211</v>
      </c>
      <c r="J391" s="1" t="s">
        <v>3465</v>
      </c>
    </row>
    <row r="392" spans="1:10" x14ac:dyDescent="0.35">
      <c r="A392" s="1" t="s">
        <v>691</v>
      </c>
      <c r="B392" s="1" t="s">
        <v>1209</v>
      </c>
      <c r="C392" s="1" t="s">
        <v>1210</v>
      </c>
      <c r="D392" s="2">
        <v>46177</v>
      </c>
      <c r="E392">
        <v>4.0521749073317001E-2</v>
      </c>
      <c r="F392" s="2">
        <v>46177.771545254633</v>
      </c>
      <c r="G392" s="1" t="s">
        <v>1211</v>
      </c>
      <c r="H392" s="2">
        <v>46177.77154533565</v>
      </c>
      <c r="I392" s="1" t="s">
        <v>1211</v>
      </c>
      <c r="J392" s="1" t="s">
        <v>3466</v>
      </c>
    </row>
    <row r="393" spans="1:10" x14ac:dyDescent="0.35">
      <c r="A393" s="1" t="s">
        <v>681</v>
      </c>
      <c r="B393" s="1" t="s">
        <v>1209</v>
      </c>
      <c r="C393" s="1" t="s">
        <v>1210</v>
      </c>
      <c r="D393" s="2">
        <v>46177</v>
      </c>
      <c r="E393">
        <v>4.3340433444365403E-2</v>
      </c>
      <c r="F393" s="2">
        <v>46177.771545405092</v>
      </c>
      <c r="G393" s="1" t="s">
        <v>1211</v>
      </c>
      <c r="H393" s="2">
        <v>46177.771545520831</v>
      </c>
      <c r="I393" s="1" t="s">
        <v>1211</v>
      </c>
      <c r="J393" s="1" t="s">
        <v>3423</v>
      </c>
    </row>
    <row r="394" spans="1:10" x14ac:dyDescent="0.35">
      <c r="A394" s="1" t="s">
        <v>683</v>
      </c>
      <c r="B394" s="1" t="s">
        <v>1209</v>
      </c>
      <c r="C394" s="1" t="s">
        <v>1210</v>
      </c>
      <c r="D394" s="2">
        <v>46177</v>
      </c>
      <c r="E394">
        <v>4.0577283087921003E-2</v>
      </c>
      <c r="F394" s="2">
        <v>46177.771545567128</v>
      </c>
      <c r="G394" s="1" t="s">
        <v>1211</v>
      </c>
      <c r="H394" s="2">
        <v>46177.771545717595</v>
      </c>
      <c r="I394" s="1" t="s">
        <v>1211</v>
      </c>
      <c r="J394" s="1" t="s">
        <v>3460</v>
      </c>
    </row>
    <row r="395" spans="1:10" x14ac:dyDescent="0.35">
      <c r="A395" s="1" t="s">
        <v>685</v>
      </c>
      <c r="B395" s="1" t="s">
        <v>1209</v>
      </c>
      <c r="C395" s="1" t="s">
        <v>1210</v>
      </c>
      <c r="D395" s="2">
        <v>46177</v>
      </c>
      <c r="E395">
        <v>4.15345291730757E-2</v>
      </c>
      <c r="F395" s="2">
        <v>46177.771541284725</v>
      </c>
      <c r="G395" s="1" t="s">
        <v>1211</v>
      </c>
      <c r="H395" s="2">
        <v>46177.771541354166</v>
      </c>
      <c r="I395" s="1" t="s">
        <v>1211</v>
      </c>
      <c r="J395" s="1" t="s">
        <v>3468</v>
      </c>
    </row>
    <row r="396" spans="1:10" x14ac:dyDescent="0.35">
      <c r="A396" s="1" t="s">
        <v>693</v>
      </c>
      <c r="B396" s="1" t="s">
        <v>1209</v>
      </c>
      <c r="C396" s="1" t="s">
        <v>1210</v>
      </c>
      <c r="D396" s="2">
        <v>46177</v>
      </c>
      <c r="E396">
        <v>3.55751514581224E-2</v>
      </c>
      <c r="F396" s="2">
        <v>46177.771541585651</v>
      </c>
      <c r="G396" s="1" t="s">
        <v>1211</v>
      </c>
      <c r="H396" s="2">
        <v>46177.77154170139</v>
      </c>
      <c r="I396" s="1" t="s">
        <v>1211</v>
      </c>
      <c r="J396" s="1" t="s">
        <v>3469</v>
      </c>
    </row>
    <row r="397" spans="1:10" x14ac:dyDescent="0.35">
      <c r="A397" s="1" t="s">
        <v>775</v>
      </c>
      <c r="B397" s="1" t="s">
        <v>1209</v>
      </c>
      <c r="C397" s="1" t="s">
        <v>1210</v>
      </c>
      <c r="D397" s="2">
        <v>46177</v>
      </c>
      <c r="E397">
        <v>4.16022847117768E-2</v>
      </c>
      <c r="F397" s="2">
        <v>46177.771549039353</v>
      </c>
      <c r="G397" s="1" t="s">
        <v>1211</v>
      </c>
      <c r="H397" s="2">
        <v>46177.771548958335</v>
      </c>
      <c r="I397" s="1" t="s">
        <v>1211</v>
      </c>
      <c r="J397" s="1" t="s">
        <v>3470</v>
      </c>
    </row>
    <row r="398" spans="1:10" x14ac:dyDescent="0.35">
      <c r="A398" s="1" t="s">
        <v>771</v>
      </c>
      <c r="B398" s="1" t="s">
        <v>1209</v>
      </c>
      <c r="C398" s="1" t="s">
        <v>1210</v>
      </c>
      <c r="D398" s="2">
        <v>46177</v>
      </c>
      <c r="E398">
        <v>4.0584020062594803E-2</v>
      </c>
      <c r="F398" s="2">
        <v>46177.771541747687</v>
      </c>
      <c r="G398" s="1" t="s">
        <v>1211</v>
      </c>
      <c r="H398" s="2">
        <v>46177.77154170139</v>
      </c>
      <c r="I398" s="1" t="s">
        <v>1211</v>
      </c>
      <c r="J398" s="1" t="s">
        <v>3473</v>
      </c>
    </row>
    <row r="399" spans="1:10" x14ac:dyDescent="0.35">
      <c r="A399" s="1" t="s">
        <v>687</v>
      </c>
      <c r="B399" s="1" t="s">
        <v>1209</v>
      </c>
      <c r="C399" s="1" t="s">
        <v>1210</v>
      </c>
      <c r="D399" s="2">
        <v>46177</v>
      </c>
      <c r="E399">
        <v>3.6027828155539302E-2</v>
      </c>
      <c r="F399" s="2">
        <v>46177.771548229168</v>
      </c>
      <c r="G399" s="1" t="s">
        <v>1211</v>
      </c>
      <c r="H399" s="2">
        <v>46177.771548229168</v>
      </c>
      <c r="I399" s="1" t="s">
        <v>1211</v>
      </c>
      <c r="J399" s="1" t="s">
        <v>3474</v>
      </c>
    </row>
    <row r="400" spans="1:10" x14ac:dyDescent="0.35">
      <c r="A400" s="1" t="s">
        <v>695</v>
      </c>
      <c r="B400" s="1" t="s">
        <v>1209</v>
      </c>
      <c r="C400" s="1" t="s">
        <v>1210</v>
      </c>
      <c r="D400" s="2">
        <v>46177</v>
      </c>
      <c r="E400">
        <v>1.8291390504753001E-2</v>
      </c>
      <c r="F400" s="2">
        <v>46177.771545717595</v>
      </c>
      <c r="G400" s="1" t="s">
        <v>1211</v>
      </c>
      <c r="H400" s="2">
        <v>46177.771545717595</v>
      </c>
      <c r="I400" s="1" t="s">
        <v>1211</v>
      </c>
      <c r="J400" s="1" t="s">
        <v>3475</v>
      </c>
    </row>
    <row r="401" spans="1:10" x14ac:dyDescent="0.35">
      <c r="A401" s="1" t="s">
        <v>725</v>
      </c>
      <c r="B401" s="1" t="s">
        <v>1209</v>
      </c>
      <c r="C401" s="1" t="s">
        <v>1210</v>
      </c>
      <c r="D401" s="2">
        <v>46177</v>
      </c>
      <c r="E401">
        <v>4.0635632947226698E-2</v>
      </c>
      <c r="F401" s="2">
        <v>46177.771541898146</v>
      </c>
      <c r="G401" s="1" t="s">
        <v>1211</v>
      </c>
      <c r="H401" s="2">
        <v>46177.771541898146</v>
      </c>
      <c r="I401" s="1" t="s">
        <v>1211</v>
      </c>
      <c r="J401" s="1" t="s">
        <v>3446</v>
      </c>
    </row>
    <row r="402" spans="1:10" x14ac:dyDescent="0.35">
      <c r="A402" s="1" t="s">
        <v>777</v>
      </c>
      <c r="B402" s="1" t="s">
        <v>1209</v>
      </c>
      <c r="C402" s="1" t="s">
        <v>1210</v>
      </c>
      <c r="D402" s="2">
        <v>46177</v>
      </c>
      <c r="E402">
        <v>4.1610995398252297E-2</v>
      </c>
      <c r="F402" s="2">
        <v>46177.771548379627</v>
      </c>
      <c r="G402" s="1" t="s">
        <v>1211</v>
      </c>
      <c r="H402" s="2">
        <v>46177.771548414348</v>
      </c>
      <c r="I402" s="1" t="s">
        <v>1211</v>
      </c>
      <c r="J402" s="1" t="s">
        <v>3477</v>
      </c>
    </row>
    <row r="403" spans="1:10" x14ac:dyDescent="0.35">
      <c r="A403" s="1" t="s">
        <v>697</v>
      </c>
      <c r="B403" s="1" t="s">
        <v>1209</v>
      </c>
      <c r="C403" s="1" t="s">
        <v>1210</v>
      </c>
      <c r="D403" s="2">
        <v>46177</v>
      </c>
      <c r="E403">
        <v>4.3423883047433297E-2</v>
      </c>
      <c r="F403" s="2">
        <v>46177.771542013892</v>
      </c>
      <c r="G403" s="1" t="s">
        <v>1211</v>
      </c>
      <c r="H403" s="2">
        <v>46177.77154209491</v>
      </c>
      <c r="I403" s="1" t="s">
        <v>1211</v>
      </c>
      <c r="J403" s="1" t="s">
        <v>3478</v>
      </c>
    </row>
    <row r="404" spans="1:10" x14ac:dyDescent="0.35">
      <c r="A404" s="1" t="s">
        <v>727</v>
      </c>
      <c r="B404" s="1" t="s">
        <v>1209</v>
      </c>
      <c r="C404" s="1" t="s">
        <v>1210</v>
      </c>
      <c r="D404" s="2">
        <v>46177</v>
      </c>
      <c r="E404">
        <v>3.7829764235989299E-2</v>
      </c>
      <c r="F404" s="2">
        <v>46177.771542210648</v>
      </c>
      <c r="G404" s="1" t="s">
        <v>1211</v>
      </c>
      <c r="H404" s="2">
        <v>46177.771542245369</v>
      </c>
      <c r="I404" s="1" t="s">
        <v>1211</v>
      </c>
      <c r="J404" s="1" t="s">
        <v>3479</v>
      </c>
    </row>
    <row r="405" spans="1:10" x14ac:dyDescent="0.35">
      <c r="A405" s="1" t="s">
        <v>729</v>
      </c>
      <c r="B405" s="1" t="s">
        <v>1209</v>
      </c>
      <c r="C405" s="1" t="s">
        <v>1210</v>
      </c>
      <c r="D405" s="2">
        <v>46177</v>
      </c>
      <c r="E405">
        <v>4.1703323296067601E-2</v>
      </c>
      <c r="F405" s="2">
        <v>46177.771549189813</v>
      </c>
      <c r="G405" s="1" t="s">
        <v>1211</v>
      </c>
      <c r="H405" s="2">
        <v>46177.771549155092</v>
      </c>
      <c r="I405" s="1" t="s">
        <v>1211</v>
      </c>
      <c r="J405" s="1" t="s">
        <v>3471</v>
      </c>
    </row>
    <row r="406" spans="1:10" x14ac:dyDescent="0.35">
      <c r="A406" s="1" t="s">
        <v>699</v>
      </c>
      <c r="B406" s="1" t="s">
        <v>1209</v>
      </c>
      <c r="C406" s="1" t="s">
        <v>1210</v>
      </c>
      <c r="D406" s="2">
        <v>46177</v>
      </c>
      <c r="E406">
        <v>4.0734899555218397E-2</v>
      </c>
      <c r="F406" s="2">
        <v>46177.771542361108</v>
      </c>
      <c r="G406" s="1" t="s">
        <v>1211</v>
      </c>
      <c r="H406" s="2">
        <v>46177.771542442133</v>
      </c>
      <c r="I406" s="1" t="s">
        <v>1211</v>
      </c>
      <c r="J406" s="1" t="s">
        <v>3482</v>
      </c>
    </row>
    <row r="407" spans="1:10" x14ac:dyDescent="0.35">
      <c r="A407" s="1" t="s">
        <v>701</v>
      </c>
      <c r="B407" s="1" t="s">
        <v>1209</v>
      </c>
      <c r="C407" s="1" t="s">
        <v>1210</v>
      </c>
      <c r="D407" s="2">
        <v>46177</v>
      </c>
      <c r="E407">
        <v>3.6970521805007601E-2</v>
      </c>
      <c r="F407" s="2">
        <v>46177.771542511575</v>
      </c>
      <c r="G407" s="1" t="s">
        <v>1211</v>
      </c>
      <c r="H407" s="2">
        <v>46177.771542627313</v>
      </c>
      <c r="I407" s="1" t="s">
        <v>1211</v>
      </c>
      <c r="J407" s="1" t="s">
        <v>3483</v>
      </c>
    </row>
    <row r="408" spans="1:10" x14ac:dyDescent="0.35">
      <c r="A408" s="1" t="s">
        <v>731</v>
      </c>
      <c r="B408" s="1" t="s">
        <v>1209</v>
      </c>
      <c r="C408" s="1" t="s">
        <v>1210</v>
      </c>
      <c r="D408" s="2">
        <v>46177</v>
      </c>
      <c r="E408">
        <v>4.1697132975984E-2</v>
      </c>
      <c r="F408" s="2">
        <v>46177.771545868054</v>
      </c>
      <c r="G408" s="1" t="s">
        <v>1211</v>
      </c>
      <c r="H408" s="2">
        <v>46177.771545914351</v>
      </c>
      <c r="I408" s="1" t="s">
        <v>1211</v>
      </c>
      <c r="J408" s="1" t="s">
        <v>3484</v>
      </c>
    </row>
    <row r="409" spans="1:10" x14ac:dyDescent="0.35">
      <c r="A409" s="1" t="s">
        <v>733</v>
      </c>
      <c r="B409" s="1" t="s">
        <v>1209</v>
      </c>
      <c r="C409" s="1" t="s">
        <v>1210</v>
      </c>
      <c r="D409" s="2">
        <v>46177</v>
      </c>
      <c r="E409">
        <v>4.0755033602891198E-2</v>
      </c>
      <c r="F409" s="2">
        <v>46177.771548530094</v>
      </c>
      <c r="G409" s="1" t="s">
        <v>1211</v>
      </c>
      <c r="H409" s="2">
        <v>46177.771548611112</v>
      </c>
      <c r="I409" s="1" t="s">
        <v>1211</v>
      </c>
      <c r="J409" s="1" t="s">
        <v>3485</v>
      </c>
    </row>
    <row r="410" spans="1:10" x14ac:dyDescent="0.35">
      <c r="A410" s="1" t="s">
        <v>703</v>
      </c>
      <c r="B410" s="1" t="s">
        <v>1209</v>
      </c>
      <c r="C410" s="1" t="s">
        <v>1210</v>
      </c>
      <c r="D410" s="2">
        <v>46177</v>
      </c>
      <c r="E410">
        <v>3.7283321132935698E-2</v>
      </c>
      <c r="F410" s="2">
        <v>46177.77154267361</v>
      </c>
      <c r="G410" s="1" t="s">
        <v>1211</v>
      </c>
      <c r="H410" s="2">
        <v>46177.771542789349</v>
      </c>
      <c r="I410" s="1" t="s">
        <v>1211</v>
      </c>
      <c r="J410" s="1" t="s">
        <v>3486</v>
      </c>
    </row>
    <row r="411" spans="1:10" x14ac:dyDescent="0.35">
      <c r="A411" s="1" t="s">
        <v>705</v>
      </c>
      <c r="B411" s="1" t="s">
        <v>1209</v>
      </c>
      <c r="C411" s="1" t="s">
        <v>1210</v>
      </c>
      <c r="D411" s="2">
        <v>46177</v>
      </c>
      <c r="E411">
        <v>4.0855283827874199E-2</v>
      </c>
      <c r="F411" s="2">
        <v>46177.771542824077</v>
      </c>
      <c r="G411" s="1" t="s">
        <v>1211</v>
      </c>
      <c r="H411" s="2">
        <v>46177.771542789349</v>
      </c>
      <c r="I411" s="1" t="s">
        <v>1211</v>
      </c>
      <c r="J411" s="1" t="s">
        <v>3488</v>
      </c>
    </row>
    <row r="412" spans="1:10" x14ac:dyDescent="0.35">
      <c r="A412" s="1" t="s">
        <v>707</v>
      </c>
      <c r="B412" s="1" t="s">
        <v>1209</v>
      </c>
      <c r="C412" s="1" t="s">
        <v>1210</v>
      </c>
      <c r="D412" s="2">
        <v>46177</v>
      </c>
      <c r="E412">
        <v>4.1729207154951702E-2</v>
      </c>
      <c r="F412" s="2">
        <v>46177.771543020834</v>
      </c>
      <c r="G412" s="1" t="s">
        <v>1211</v>
      </c>
      <c r="H412" s="2">
        <v>46177.771543171293</v>
      </c>
      <c r="I412" s="1" t="s">
        <v>1211</v>
      </c>
      <c r="J412" s="1" t="s">
        <v>3489</v>
      </c>
    </row>
    <row r="413" spans="1:10" x14ac:dyDescent="0.35">
      <c r="A413" s="1" t="s">
        <v>709</v>
      </c>
      <c r="B413" s="1" t="s">
        <v>1209</v>
      </c>
      <c r="C413" s="1" t="s">
        <v>1210</v>
      </c>
      <c r="D413" s="2">
        <v>46177</v>
      </c>
      <c r="E413">
        <v>1.28763312039618E-2</v>
      </c>
      <c r="F413" s="2">
        <v>46177.771543171293</v>
      </c>
      <c r="G413" s="1" t="s">
        <v>1211</v>
      </c>
      <c r="H413" s="2">
        <v>46177.771543171293</v>
      </c>
      <c r="I413" s="1" t="s">
        <v>1211</v>
      </c>
      <c r="J413" s="1" t="s">
        <v>3490</v>
      </c>
    </row>
    <row r="414" spans="1:10" x14ac:dyDescent="0.35">
      <c r="A414" s="1" t="s">
        <v>711</v>
      </c>
      <c r="B414" s="1" t="s">
        <v>1209</v>
      </c>
      <c r="C414" s="1" t="s">
        <v>1210</v>
      </c>
      <c r="D414" s="2">
        <v>46177</v>
      </c>
      <c r="E414">
        <v>4.35574101205711E-2</v>
      </c>
      <c r="F414" s="2">
        <v>46177.771556828702</v>
      </c>
      <c r="G414" s="1" t="s">
        <v>1211</v>
      </c>
      <c r="H414" s="2">
        <v>46177.771556793981</v>
      </c>
      <c r="I414" s="1" t="s">
        <v>1211</v>
      </c>
      <c r="J414" s="1" t="s">
        <v>3491</v>
      </c>
    </row>
    <row r="415" spans="1:10" x14ac:dyDescent="0.35">
      <c r="A415" s="1" t="s">
        <v>713</v>
      </c>
      <c r="B415" s="1" t="s">
        <v>1209</v>
      </c>
      <c r="C415" s="1" t="s">
        <v>1210</v>
      </c>
      <c r="D415" s="2">
        <v>46177</v>
      </c>
      <c r="E415">
        <v>3.7543864582377101E-2</v>
      </c>
      <c r="F415" s="2">
        <v>46177.77154603009</v>
      </c>
      <c r="G415" s="1" t="s">
        <v>1211</v>
      </c>
      <c r="H415" s="2">
        <v>46177.771546064818</v>
      </c>
      <c r="I415" s="1" t="s">
        <v>1211</v>
      </c>
      <c r="J415" s="1" t="s">
        <v>3493</v>
      </c>
    </row>
    <row r="416" spans="1:10" x14ac:dyDescent="0.35">
      <c r="A416" s="1" t="s">
        <v>773</v>
      </c>
      <c r="B416" s="1" t="s">
        <v>1209</v>
      </c>
      <c r="C416" s="1" t="s">
        <v>1210</v>
      </c>
      <c r="D416" s="2">
        <v>46177</v>
      </c>
      <c r="E416">
        <v>4.1772592661818299E-2</v>
      </c>
      <c r="F416" s="2">
        <v>46177.771546180556</v>
      </c>
      <c r="G416" s="1" t="s">
        <v>1211</v>
      </c>
      <c r="H416" s="2">
        <v>46177.771546261574</v>
      </c>
      <c r="I416" s="1" t="s">
        <v>1211</v>
      </c>
      <c r="J416" s="1" t="s">
        <v>3494</v>
      </c>
    </row>
    <row r="417" spans="1:10" x14ac:dyDescent="0.35">
      <c r="A417" s="1" t="s">
        <v>715</v>
      </c>
      <c r="B417" s="1" t="s">
        <v>1209</v>
      </c>
      <c r="C417" s="1" t="s">
        <v>1210</v>
      </c>
      <c r="D417" s="2">
        <v>46177</v>
      </c>
      <c r="E417">
        <v>4.0861467529106903E-2</v>
      </c>
      <c r="F417" s="2">
        <v>46177.771546331016</v>
      </c>
      <c r="G417" s="1" t="s">
        <v>1211</v>
      </c>
      <c r="H417" s="2">
        <v>46177.771546446762</v>
      </c>
      <c r="I417" s="1" t="s">
        <v>1211</v>
      </c>
      <c r="J417" s="1" t="s">
        <v>3496</v>
      </c>
    </row>
    <row r="418" spans="1:10" x14ac:dyDescent="0.35">
      <c r="A418" s="1" t="s">
        <v>717</v>
      </c>
      <c r="B418" s="1" t="s">
        <v>1209</v>
      </c>
      <c r="C418" s="1" t="s">
        <v>1210</v>
      </c>
      <c r="D418" s="2">
        <v>46177</v>
      </c>
      <c r="E418">
        <v>3.7163840554207302E-2</v>
      </c>
      <c r="F418" s="2">
        <v>46177.771543368057</v>
      </c>
      <c r="G418" s="1" t="s">
        <v>1211</v>
      </c>
      <c r="H418" s="2">
        <v>46177.771543368057</v>
      </c>
      <c r="I418" s="1" t="s">
        <v>1211</v>
      </c>
      <c r="J418" s="1" t="s">
        <v>3497</v>
      </c>
    </row>
    <row r="419" spans="1:10" x14ac:dyDescent="0.35">
      <c r="A419" s="1" t="s">
        <v>719</v>
      </c>
      <c r="B419" s="1" t="s">
        <v>1209</v>
      </c>
      <c r="C419" s="1" t="s">
        <v>1210</v>
      </c>
      <c r="D419" s="2">
        <v>46177</v>
      </c>
      <c r="E419">
        <v>4.1827249548464299E-2</v>
      </c>
      <c r="F419" s="2">
        <v>46177.771543518516</v>
      </c>
      <c r="G419" s="1" t="s">
        <v>1211</v>
      </c>
      <c r="H419" s="2">
        <v>46177.771543553237</v>
      </c>
      <c r="I419" s="1" t="s">
        <v>1211</v>
      </c>
      <c r="J419" s="1" t="s">
        <v>3467</v>
      </c>
    </row>
    <row r="420" spans="1:10" x14ac:dyDescent="0.35">
      <c r="A420" s="1" t="s">
        <v>721</v>
      </c>
      <c r="B420" s="1" t="s">
        <v>1209</v>
      </c>
      <c r="C420" s="1" t="s">
        <v>1210</v>
      </c>
      <c r="D420" s="2">
        <v>46177</v>
      </c>
      <c r="E420">
        <v>4.0951811752181801E-2</v>
      </c>
      <c r="F420" s="2">
        <v>46177.771546493059</v>
      </c>
      <c r="G420" s="1" t="s">
        <v>1211</v>
      </c>
      <c r="H420" s="2">
        <v>46177.771546608798</v>
      </c>
      <c r="I420" s="1" t="s">
        <v>1211</v>
      </c>
      <c r="J420" s="1" t="s">
        <v>3500</v>
      </c>
    </row>
    <row r="421" spans="1:10" x14ac:dyDescent="0.35">
      <c r="A421" s="1" t="s">
        <v>723</v>
      </c>
      <c r="B421" s="1" t="s">
        <v>1209</v>
      </c>
      <c r="C421" s="1" t="s">
        <v>1210</v>
      </c>
      <c r="D421" s="2">
        <v>46177</v>
      </c>
      <c r="E421">
        <v>3.7692449427771203E-2</v>
      </c>
      <c r="F421" s="2">
        <v>46177.771549340279</v>
      </c>
      <c r="G421" s="1" t="s">
        <v>1211</v>
      </c>
      <c r="H421" s="2">
        <v>46177.771549340279</v>
      </c>
      <c r="I421" s="1" t="s">
        <v>1211</v>
      </c>
      <c r="J421" s="1" t="s">
        <v>3501</v>
      </c>
    </row>
    <row r="422" spans="1:10" x14ac:dyDescent="0.35">
      <c r="A422" s="1" t="s">
        <v>735</v>
      </c>
      <c r="B422" s="1" t="s">
        <v>1209</v>
      </c>
      <c r="C422" s="1" t="s">
        <v>1210</v>
      </c>
      <c r="D422" s="2">
        <v>46177</v>
      </c>
      <c r="E422">
        <v>4.1001772482707803E-2</v>
      </c>
      <c r="F422" s="2">
        <v>46177.771543668983</v>
      </c>
      <c r="G422" s="1" t="s">
        <v>1211</v>
      </c>
      <c r="H422" s="2">
        <v>46177.77154371528</v>
      </c>
      <c r="I422" s="1" t="s">
        <v>1211</v>
      </c>
      <c r="J422" s="1" t="s">
        <v>3402</v>
      </c>
    </row>
    <row r="423" spans="1:10" x14ac:dyDescent="0.35">
      <c r="A423" s="1" t="s">
        <v>737</v>
      </c>
      <c r="B423" s="1" t="s">
        <v>1209</v>
      </c>
      <c r="C423" s="1" t="s">
        <v>1210</v>
      </c>
      <c r="D423" s="2">
        <v>46177</v>
      </c>
      <c r="E423">
        <v>4.1835354827114701E-2</v>
      </c>
      <c r="F423" s="2">
        <v>46177.771543831019</v>
      </c>
      <c r="G423" s="1" t="s">
        <v>1211</v>
      </c>
      <c r="H423" s="2">
        <v>46177.771543900461</v>
      </c>
      <c r="I423" s="1" t="s">
        <v>1211</v>
      </c>
      <c r="J423" s="1" t="s">
        <v>3435</v>
      </c>
    </row>
    <row r="424" spans="1:10" x14ac:dyDescent="0.35">
      <c r="A424" s="1" t="s">
        <v>739</v>
      </c>
      <c r="B424" s="1" t="s">
        <v>1209</v>
      </c>
      <c r="C424" s="1" t="s">
        <v>1210</v>
      </c>
      <c r="D424" s="2">
        <v>46177</v>
      </c>
      <c r="E424">
        <v>1.9317387456064102E-2</v>
      </c>
      <c r="F424" s="2">
        <v>46177.771546724536</v>
      </c>
      <c r="G424" s="1" t="s">
        <v>1211</v>
      </c>
      <c r="H424" s="2">
        <v>46177.771546793978</v>
      </c>
      <c r="I424" s="1" t="s">
        <v>1211</v>
      </c>
      <c r="J424" s="1" t="s">
        <v>3502</v>
      </c>
    </row>
    <row r="425" spans="1:10" x14ac:dyDescent="0.35">
      <c r="A425" s="1" t="s">
        <v>741</v>
      </c>
      <c r="B425" s="1" t="s">
        <v>1209</v>
      </c>
      <c r="C425" s="1" t="s">
        <v>1210</v>
      </c>
      <c r="D425" s="2">
        <v>46177</v>
      </c>
      <c r="E425">
        <v>4.3732084180857903E-2</v>
      </c>
      <c r="F425" s="2">
        <v>46177.771543981478</v>
      </c>
      <c r="G425" s="1" t="s">
        <v>1211</v>
      </c>
      <c r="H425" s="2">
        <v>46177.771544062503</v>
      </c>
      <c r="I425" s="1" t="s">
        <v>1211</v>
      </c>
      <c r="J425" s="1" t="s">
        <v>3433</v>
      </c>
    </row>
    <row r="426" spans="1:10" x14ac:dyDescent="0.35">
      <c r="A426" s="1" t="s">
        <v>779</v>
      </c>
      <c r="B426" s="1" t="s">
        <v>1209</v>
      </c>
      <c r="C426" s="1" t="s">
        <v>1210</v>
      </c>
      <c r="D426" s="2">
        <v>46177</v>
      </c>
      <c r="E426">
        <v>3.8282761902850203E-2</v>
      </c>
      <c r="F426" s="2">
        <v>46177.771546875003</v>
      </c>
      <c r="G426" s="1" t="s">
        <v>1211</v>
      </c>
      <c r="H426" s="2">
        <v>46177.771546793978</v>
      </c>
      <c r="I426" s="1" t="s">
        <v>1211</v>
      </c>
      <c r="J426" s="1" t="s">
        <v>3504</v>
      </c>
    </row>
    <row r="427" spans="1:10" x14ac:dyDescent="0.35">
      <c r="A427" s="1" t="s">
        <v>743</v>
      </c>
      <c r="B427" s="1" t="s">
        <v>1209</v>
      </c>
      <c r="C427" s="1" t="s">
        <v>1210</v>
      </c>
      <c r="D427" s="2">
        <v>46177</v>
      </c>
      <c r="E427">
        <v>4.1863027417422698E-2</v>
      </c>
      <c r="F427" s="2">
        <v>46177.771547025462</v>
      </c>
      <c r="G427" s="1" t="s">
        <v>1211</v>
      </c>
      <c r="H427" s="2">
        <v>46177.771546956021</v>
      </c>
      <c r="I427" s="1" t="s">
        <v>1211</v>
      </c>
      <c r="J427" s="1" t="s">
        <v>3308</v>
      </c>
    </row>
    <row r="428" spans="1:10" x14ac:dyDescent="0.35">
      <c r="A428" s="1" t="s">
        <v>823</v>
      </c>
      <c r="B428" s="1" t="s">
        <v>1209</v>
      </c>
      <c r="C428" s="1" t="s">
        <v>1210</v>
      </c>
      <c r="D428" s="2">
        <v>46177</v>
      </c>
      <c r="E428">
        <v>4.1001089960376803E-2</v>
      </c>
      <c r="F428" s="2">
        <v>46177.771547187498</v>
      </c>
      <c r="G428" s="1" t="s">
        <v>1211</v>
      </c>
      <c r="H428" s="2">
        <v>46177.771547141201</v>
      </c>
      <c r="I428" s="1" t="s">
        <v>1211</v>
      </c>
      <c r="J428" s="1" t="s">
        <v>3492</v>
      </c>
    </row>
    <row r="429" spans="1:10" x14ac:dyDescent="0.35">
      <c r="A429" s="1" t="s">
        <v>745</v>
      </c>
      <c r="B429" s="1" t="s">
        <v>1209</v>
      </c>
      <c r="C429" s="1" t="s">
        <v>1210</v>
      </c>
      <c r="D429" s="2">
        <v>46177</v>
      </c>
      <c r="E429">
        <v>3.8058502866418001E-2</v>
      </c>
      <c r="F429" s="2">
        <v>46177.771547337965</v>
      </c>
      <c r="G429" s="1" t="s">
        <v>1211</v>
      </c>
      <c r="H429" s="2">
        <v>46177.771547337965</v>
      </c>
      <c r="I429" s="1" t="s">
        <v>1211</v>
      </c>
      <c r="J429" s="1" t="s">
        <v>3505</v>
      </c>
    </row>
    <row r="430" spans="1:10" x14ac:dyDescent="0.35">
      <c r="A430" s="1" t="s">
        <v>825</v>
      </c>
      <c r="B430" s="1" t="s">
        <v>1209</v>
      </c>
      <c r="C430" s="1" t="s">
        <v>1210</v>
      </c>
      <c r="D430" s="2">
        <v>46177</v>
      </c>
      <c r="E430">
        <v>4.1925304782177902E-2</v>
      </c>
      <c r="F430" s="2">
        <v>46177.771547604163</v>
      </c>
      <c r="G430" s="1" t="s">
        <v>1211</v>
      </c>
      <c r="H430" s="2">
        <v>46177.771547685188</v>
      </c>
      <c r="I430" s="1" t="s">
        <v>1211</v>
      </c>
      <c r="J430" s="1" t="s">
        <v>3480</v>
      </c>
    </row>
    <row r="431" spans="1:10" x14ac:dyDescent="0.35">
      <c r="A431" s="1" t="s">
        <v>834</v>
      </c>
      <c r="B431" s="1" t="s">
        <v>1209</v>
      </c>
      <c r="C431" s="1" t="s">
        <v>1210</v>
      </c>
      <c r="D431" s="2">
        <v>46177</v>
      </c>
      <c r="E431">
        <v>4.1024345878858101E-2</v>
      </c>
      <c r="F431" s="2">
        <v>46177.77156241898</v>
      </c>
      <c r="G431" s="1" t="s">
        <v>1211</v>
      </c>
      <c r="H431" s="2">
        <v>46177.77156238426</v>
      </c>
      <c r="I431" s="1" t="s">
        <v>1211</v>
      </c>
      <c r="J431" s="1" t="s">
        <v>3476</v>
      </c>
    </row>
    <row r="432" spans="1:10" x14ac:dyDescent="0.35">
      <c r="A432" s="1" t="s">
        <v>836</v>
      </c>
      <c r="B432" s="1" t="s">
        <v>1209</v>
      </c>
      <c r="C432" s="1" t="s">
        <v>1210</v>
      </c>
      <c r="D432" s="2">
        <v>46177</v>
      </c>
      <c r="E432">
        <v>3.8613357724408902E-2</v>
      </c>
      <c r="F432" s="2">
        <v>46177.771547766206</v>
      </c>
      <c r="G432" s="1" t="s">
        <v>1211</v>
      </c>
      <c r="H432" s="2">
        <v>46177.771547685188</v>
      </c>
      <c r="I432" s="1" t="s">
        <v>1211</v>
      </c>
      <c r="J432" s="1" t="s">
        <v>3507</v>
      </c>
    </row>
    <row r="433" spans="1:10" x14ac:dyDescent="0.35">
      <c r="A433" s="1" t="s">
        <v>838</v>
      </c>
      <c r="B433" s="1" t="s">
        <v>1209</v>
      </c>
      <c r="C433" s="1" t="s">
        <v>1210</v>
      </c>
      <c r="D433" s="2">
        <v>46177</v>
      </c>
      <c r="E433">
        <v>1.5321379201312499E-2</v>
      </c>
      <c r="F433" s="2">
        <v>46177.771549965277</v>
      </c>
      <c r="G433" s="1" t="s">
        <v>1211</v>
      </c>
      <c r="H433" s="2">
        <v>46177.771549849538</v>
      </c>
      <c r="I433" s="1" t="s">
        <v>1211</v>
      </c>
      <c r="J433" s="1" t="s">
        <v>3508</v>
      </c>
    </row>
    <row r="434" spans="1:10" x14ac:dyDescent="0.35">
      <c r="A434" s="1" t="s">
        <v>747</v>
      </c>
      <c r="B434" s="1" t="s">
        <v>1209</v>
      </c>
      <c r="C434" s="1" t="s">
        <v>1210</v>
      </c>
      <c r="D434" s="2">
        <v>46177</v>
      </c>
      <c r="E434">
        <v>4.19345721933614E-2</v>
      </c>
      <c r="F434" s="2">
        <v>46177.771547916665</v>
      </c>
      <c r="G434" s="1" t="s">
        <v>1211</v>
      </c>
      <c r="H434" s="2">
        <v>46177.771547881945</v>
      </c>
      <c r="I434" s="1" t="s">
        <v>1211</v>
      </c>
      <c r="J434" s="1" t="s">
        <v>3509</v>
      </c>
    </row>
    <row r="435" spans="1:10" x14ac:dyDescent="0.35">
      <c r="A435" s="1" t="s">
        <v>827</v>
      </c>
      <c r="B435" s="1" t="s">
        <v>1209</v>
      </c>
      <c r="C435" s="1" t="s">
        <v>1210</v>
      </c>
      <c r="D435" s="2">
        <v>46177</v>
      </c>
      <c r="E435">
        <v>4.1047043099900898E-2</v>
      </c>
      <c r="F435" s="2">
        <v>46177.771562581016</v>
      </c>
      <c r="G435" s="1" t="s">
        <v>1211</v>
      </c>
      <c r="H435" s="2">
        <v>46177.771562581016</v>
      </c>
      <c r="I435" s="1" t="s">
        <v>1211</v>
      </c>
      <c r="J435" s="1" t="s">
        <v>3510</v>
      </c>
    </row>
    <row r="436" spans="1:10" x14ac:dyDescent="0.35">
      <c r="A436" s="1" t="s">
        <v>749</v>
      </c>
      <c r="B436" s="1" t="s">
        <v>1209</v>
      </c>
      <c r="C436" s="1" t="s">
        <v>1210</v>
      </c>
      <c r="D436" s="2">
        <v>46177</v>
      </c>
      <c r="E436">
        <v>4.3828676756388699E-2</v>
      </c>
      <c r="F436" s="2">
        <v>46177.771550115744</v>
      </c>
      <c r="G436" s="1" t="s">
        <v>1211</v>
      </c>
      <c r="H436" s="2">
        <v>46177.771550034726</v>
      </c>
      <c r="I436" s="1" t="s">
        <v>1211</v>
      </c>
      <c r="J436" s="1" t="s">
        <v>3511</v>
      </c>
    </row>
    <row r="437" spans="1:10" x14ac:dyDescent="0.35">
      <c r="A437" s="1" t="s">
        <v>751</v>
      </c>
      <c r="B437" s="1" t="s">
        <v>1209</v>
      </c>
      <c r="C437" s="1" t="s">
        <v>1210</v>
      </c>
      <c r="D437" s="2">
        <v>46177</v>
      </c>
      <c r="E437">
        <v>3.9033876182979703E-2</v>
      </c>
      <c r="F437" s="2">
        <v>46177.771562731483</v>
      </c>
      <c r="G437" s="1" t="s">
        <v>1211</v>
      </c>
      <c r="H437" s="2">
        <v>46177.771562812501</v>
      </c>
      <c r="I437" s="1" t="s">
        <v>1211</v>
      </c>
      <c r="J437" s="1" t="s">
        <v>3512</v>
      </c>
    </row>
    <row r="438" spans="1:10" x14ac:dyDescent="0.35">
      <c r="A438" s="1" t="s">
        <v>840</v>
      </c>
      <c r="B438" s="1" t="s">
        <v>1209</v>
      </c>
      <c r="C438" s="1" t="s">
        <v>1210</v>
      </c>
      <c r="D438" s="2">
        <v>46177</v>
      </c>
      <c r="E438">
        <v>4.1124462995197703E-2</v>
      </c>
      <c r="F438" s="2">
        <v>46177.771550266203</v>
      </c>
      <c r="G438" s="1" t="s">
        <v>1211</v>
      </c>
      <c r="H438" s="2">
        <v>46177.771550231482</v>
      </c>
      <c r="I438" s="1" t="s">
        <v>1211</v>
      </c>
      <c r="J438" s="1" t="s">
        <v>3513</v>
      </c>
    </row>
    <row r="439" spans="1:10" x14ac:dyDescent="0.35">
      <c r="A439" s="1" t="s">
        <v>753</v>
      </c>
      <c r="B439" s="1" t="s">
        <v>1209</v>
      </c>
      <c r="C439" s="1" t="s">
        <v>1210</v>
      </c>
      <c r="D439" s="2">
        <v>46177</v>
      </c>
      <c r="E439">
        <v>4.2023818342189899E-2</v>
      </c>
      <c r="F439" s="2">
        <v>46177.771562881942</v>
      </c>
      <c r="G439" s="1" t="s">
        <v>1211</v>
      </c>
      <c r="H439" s="2">
        <v>46177.77156296296</v>
      </c>
      <c r="I439" s="1" t="s">
        <v>1211</v>
      </c>
      <c r="J439" s="1" t="s">
        <v>3487</v>
      </c>
    </row>
    <row r="440" spans="1:10" x14ac:dyDescent="0.35">
      <c r="A440" s="1" t="s">
        <v>842</v>
      </c>
      <c r="B440" s="1" t="s">
        <v>1209</v>
      </c>
      <c r="C440" s="1" t="s">
        <v>1210</v>
      </c>
      <c r="D440" s="2">
        <v>46177</v>
      </c>
      <c r="E440">
        <v>3.9228461658298998E-2</v>
      </c>
      <c r="F440" s="2">
        <v>46177.771550428239</v>
      </c>
      <c r="G440" s="1" t="s">
        <v>1211</v>
      </c>
      <c r="H440" s="2">
        <v>46177.771550428239</v>
      </c>
      <c r="I440" s="1" t="s">
        <v>1211</v>
      </c>
      <c r="J440" s="1" t="s">
        <v>3481</v>
      </c>
    </row>
    <row r="441" spans="1:10" x14ac:dyDescent="0.35">
      <c r="A441" s="1" t="s">
        <v>755</v>
      </c>
      <c r="B441" s="1" t="s">
        <v>1209</v>
      </c>
      <c r="C441" s="1" t="s">
        <v>1210</v>
      </c>
      <c r="D441" s="2">
        <v>46177</v>
      </c>
      <c r="E441">
        <v>4.1993307965626198E-2</v>
      </c>
      <c r="F441" s="2">
        <v>46177.771550578706</v>
      </c>
      <c r="G441" s="1" t="s">
        <v>1211</v>
      </c>
      <c r="H441" s="2">
        <v>46177.771550578706</v>
      </c>
      <c r="I441" s="1" t="s">
        <v>1211</v>
      </c>
      <c r="J441" s="1" t="s">
        <v>3514</v>
      </c>
    </row>
    <row r="442" spans="1:10" x14ac:dyDescent="0.35">
      <c r="A442" s="1" t="s">
        <v>844</v>
      </c>
      <c r="B442" s="1" t="s">
        <v>1209</v>
      </c>
      <c r="C442" s="1" t="s">
        <v>1210</v>
      </c>
      <c r="D442" s="2">
        <v>46177</v>
      </c>
      <c r="E442">
        <v>4.11504357335968E-2</v>
      </c>
      <c r="F442" s="2">
        <v>46177.771566550924</v>
      </c>
      <c r="G442" s="1" t="s">
        <v>1211</v>
      </c>
      <c r="H442" s="2">
        <v>46177.771566516203</v>
      </c>
      <c r="I442" s="1" t="s">
        <v>1211</v>
      </c>
      <c r="J442" s="1" t="s">
        <v>3515</v>
      </c>
    </row>
    <row r="443" spans="1:10" x14ac:dyDescent="0.35">
      <c r="A443" s="1" t="s">
        <v>757</v>
      </c>
      <c r="B443" s="1" t="s">
        <v>1209</v>
      </c>
      <c r="C443" s="1" t="s">
        <v>1210</v>
      </c>
      <c r="D443" s="2">
        <v>46177</v>
      </c>
      <c r="E443">
        <v>3.6450721190449599E-2</v>
      </c>
      <c r="F443" s="2">
        <v>46177.771566701391</v>
      </c>
      <c r="G443" s="1" t="s">
        <v>1211</v>
      </c>
      <c r="H443" s="2">
        <v>46177.77156666667</v>
      </c>
      <c r="I443" s="1" t="s">
        <v>1211</v>
      </c>
      <c r="J443" s="1" t="s">
        <v>3516</v>
      </c>
    </row>
    <row r="444" spans="1:10" x14ac:dyDescent="0.35">
      <c r="A444" s="1" t="s">
        <v>759</v>
      </c>
      <c r="B444" s="1" t="s">
        <v>1209</v>
      </c>
      <c r="C444" s="1" t="s">
        <v>1210</v>
      </c>
      <c r="D444" s="2">
        <v>46177</v>
      </c>
      <c r="E444">
        <v>3.9342372339461702E-2</v>
      </c>
      <c r="F444" s="2">
        <v>46177.771563043978</v>
      </c>
      <c r="G444" s="1" t="s">
        <v>1211</v>
      </c>
      <c r="H444" s="2">
        <v>46177.771562997688</v>
      </c>
      <c r="I444" s="1" t="s">
        <v>1211</v>
      </c>
      <c r="J444" s="1" t="s">
        <v>3517</v>
      </c>
    </row>
    <row r="445" spans="1:10" x14ac:dyDescent="0.35">
      <c r="A445" s="1" t="s">
        <v>781</v>
      </c>
      <c r="B445" s="1" t="s">
        <v>1209</v>
      </c>
      <c r="C445" s="1" t="s">
        <v>1210</v>
      </c>
      <c r="D445" s="2">
        <v>46177</v>
      </c>
      <c r="E445">
        <v>3.6469752190896203E-2</v>
      </c>
      <c r="F445" s="2">
        <v>46177.771566863426</v>
      </c>
      <c r="G445" s="1" t="s">
        <v>1211</v>
      </c>
      <c r="H445" s="2">
        <v>46177.771566863426</v>
      </c>
      <c r="I445" s="1" t="s">
        <v>1211</v>
      </c>
      <c r="J445" s="1" t="s">
        <v>3518</v>
      </c>
    </row>
    <row r="446" spans="1:10" x14ac:dyDescent="0.35">
      <c r="A446" s="1" t="s">
        <v>829</v>
      </c>
      <c r="B446" s="1" t="s">
        <v>1209</v>
      </c>
      <c r="C446" s="1" t="s">
        <v>1210</v>
      </c>
      <c r="D446" s="2">
        <v>46177</v>
      </c>
      <c r="E446">
        <v>4.11849093770493E-2</v>
      </c>
      <c r="F446" s="2">
        <v>46177.771563194445</v>
      </c>
      <c r="G446" s="1" t="s">
        <v>1211</v>
      </c>
      <c r="H446" s="2">
        <v>46177.771563194445</v>
      </c>
      <c r="I446" s="1" t="s">
        <v>1211</v>
      </c>
      <c r="J446" s="1" t="s">
        <v>3519</v>
      </c>
    </row>
    <row r="447" spans="1:10" x14ac:dyDescent="0.35">
      <c r="A447" s="1" t="s">
        <v>846</v>
      </c>
      <c r="B447" s="1" t="s">
        <v>1209</v>
      </c>
      <c r="C447" s="1" t="s">
        <v>1210</v>
      </c>
      <c r="D447" s="2">
        <v>46177</v>
      </c>
      <c r="E447">
        <v>4.2048263214023503E-2</v>
      </c>
      <c r="F447" s="2">
        <v>46177.771550729165</v>
      </c>
      <c r="G447" s="1" t="s">
        <v>1211</v>
      </c>
      <c r="H447" s="2">
        <v>46177.771550775462</v>
      </c>
      <c r="I447" s="1" t="s">
        <v>1211</v>
      </c>
      <c r="J447" s="1" t="s">
        <v>3521</v>
      </c>
    </row>
    <row r="448" spans="1:10" x14ac:dyDescent="0.35">
      <c r="A448" s="1" t="s">
        <v>783</v>
      </c>
      <c r="B448" s="1" t="s">
        <v>1209</v>
      </c>
      <c r="C448" s="1" t="s">
        <v>1210</v>
      </c>
      <c r="D448" s="2">
        <v>46177</v>
      </c>
      <c r="E448">
        <v>1.9266288032860499E-2</v>
      </c>
      <c r="F448" s="2">
        <v>46177.771550891201</v>
      </c>
      <c r="G448" s="1" t="s">
        <v>1211</v>
      </c>
      <c r="H448" s="2">
        <v>46177.77155096065</v>
      </c>
      <c r="I448" s="1" t="s">
        <v>1211</v>
      </c>
      <c r="J448" s="1" t="s">
        <v>3522</v>
      </c>
    </row>
    <row r="449" spans="1:10" x14ac:dyDescent="0.35">
      <c r="A449" s="1" t="s">
        <v>848</v>
      </c>
      <c r="B449" s="1" t="s">
        <v>1209</v>
      </c>
      <c r="C449" s="1" t="s">
        <v>1210</v>
      </c>
      <c r="D449" s="2">
        <v>46177</v>
      </c>
      <c r="E449">
        <v>4.39663739261782E-2</v>
      </c>
      <c r="F449" s="2">
        <v>46177.771551041667</v>
      </c>
      <c r="G449" s="1" t="s">
        <v>1211</v>
      </c>
      <c r="H449" s="2">
        <v>46177.77155096065</v>
      </c>
      <c r="I449" s="1" t="s">
        <v>1211</v>
      </c>
      <c r="J449" s="1" t="s">
        <v>3523</v>
      </c>
    </row>
    <row r="450" spans="1:10" x14ac:dyDescent="0.35">
      <c r="A450" s="1" t="s">
        <v>785</v>
      </c>
      <c r="B450" s="1" t="s">
        <v>1209</v>
      </c>
      <c r="C450" s="1" t="s">
        <v>1210</v>
      </c>
      <c r="D450" s="2">
        <v>46177</v>
      </c>
      <c r="E450">
        <v>3.9639595952592498E-2</v>
      </c>
      <c r="F450" s="2">
        <v>46177.771551192127</v>
      </c>
      <c r="G450" s="1" t="s">
        <v>1211</v>
      </c>
      <c r="H450" s="2">
        <v>46177.771551157406</v>
      </c>
      <c r="I450" s="1" t="s">
        <v>1211</v>
      </c>
      <c r="J450" s="1" t="s">
        <v>3524</v>
      </c>
    </row>
    <row r="451" spans="1:10" x14ac:dyDescent="0.35">
      <c r="A451" s="1" t="s">
        <v>850</v>
      </c>
      <c r="B451" s="1" t="s">
        <v>1209</v>
      </c>
      <c r="C451" s="1" t="s">
        <v>1210</v>
      </c>
      <c r="D451" s="2">
        <v>46177</v>
      </c>
      <c r="E451">
        <v>3.7215484942042597E-2</v>
      </c>
      <c r="F451" s="2">
        <v>46177.77155135417</v>
      </c>
      <c r="G451" s="1" t="s">
        <v>1211</v>
      </c>
      <c r="H451" s="2">
        <v>46177.77155135417</v>
      </c>
      <c r="I451" s="1" t="s">
        <v>1211</v>
      </c>
      <c r="J451" s="1" t="s">
        <v>3525</v>
      </c>
    </row>
    <row r="452" spans="1:10" x14ac:dyDescent="0.35">
      <c r="A452" s="1" t="s">
        <v>787</v>
      </c>
      <c r="B452" s="1" t="s">
        <v>1209</v>
      </c>
      <c r="C452" s="1" t="s">
        <v>1210</v>
      </c>
      <c r="D452" s="2">
        <v>46177</v>
      </c>
      <c r="E452">
        <v>4.2172151681860698E-2</v>
      </c>
      <c r="F452" s="2">
        <v>46177.771551504629</v>
      </c>
      <c r="G452" s="1" t="s">
        <v>1211</v>
      </c>
      <c r="H452" s="2">
        <v>46177.77155153935</v>
      </c>
      <c r="I452" s="1" t="s">
        <v>1211</v>
      </c>
      <c r="J452" s="1" t="s">
        <v>3454</v>
      </c>
    </row>
    <row r="453" spans="1:10" x14ac:dyDescent="0.35">
      <c r="A453" s="1" t="s">
        <v>852</v>
      </c>
      <c r="B453" s="1" t="s">
        <v>1209</v>
      </c>
      <c r="C453" s="1" t="s">
        <v>1210</v>
      </c>
      <c r="D453" s="2">
        <v>46177</v>
      </c>
      <c r="E453">
        <v>4.1259324960394299E-2</v>
      </c>
      <c r="F453" s="2">
        <v>46177.771551655096</v>
      </c>
      <c r="G453" s="1" t="s">
        <v>1211</v>
      </c>
      <c r="H453" s="2">
        <v>46177.771551736114</v>
      </c>
      <c r="I453" s="1" t="s">
        <v>1211</v>
      </c>
      <c r="J453" s="1" t="s">
        <v>3526</v>
      </c>
    </row>
    <row r="454" spans="1:10" x14ac:dyDescent="0.35">
      <c r="A454" s="1" t="s">
        <v>832</v>
      </c>
      <c r="B454" s="1" t="s">
        <v>1209</v>
      </c>
      <c r="C454" s="1" t="s">
        <v>1210</v>
      </c>
      <c r="D454" s="2">
        <v>46177</v>
      </c>
      <c r="E454">
        <v>3.9765968201031697E-2</v>
      </c>
      <c r="F454" s="2">
        <v>46177.771563310183</v>
      </c>
      <c r="G454" s="1" t="s">
        <v>1211</v>
      </c>
      <c r="H454" s="2">
        <v>46177.771563344904</v>
      </c>
      <c r="I454" s="1" t="s">
        <v>1211</v>
      </c>
      <c r="J454" s="1" t="s">
        <v>3461</v>
      </c>
    </row>
    <row r="455" spans="1:10" x14ac:dyDescent="0.35">
      <c r="A455" s="1" t="s">
        <v>854</v>
      </c>
      <c r="B455" s="1" t="s">
        <v>1209</v>
      </c>
      <c r="C455" s="1" t="s">
        <v>1210</v>
      </c>
      <c r="D455" s="2">
        <v>46177</v>
      </c>
      <c r="E455">
        <v>4.2165059848096799E-2</v>
      </c>
      <c r="F455" s="2">
        <v>46177.771551817132</v>
      </c>
      <c r="G455" s="1" t="s">
        <v>1211</v>
      </c>
      <c r="H455" s="2">
        <v>46177.771551736114</v>
      </c>
      <c r="I455" s="1" t="s">
        <v>1211</v>
      </c>
      <c r="J455" s="1" t="s">
        <v>3527</v>
      </c>
    </row>
    <row r="456" spans="1:10" x14ac:dyDescent="0.35">
      <c r="A456" s="1" t="s">
        <v>789</v>
      </c>
      <c r="B456" s="1" t="s">
        <v>1209</v>
      </c>
      <c r="C456" s="1" t="s">
        <v>1210</v>
      </c>
      <c r="D456" s="2">
        <v>46177</v>
      </c>
      <c r="E456">
        <v>4.1304976104607399E-2</v>
      </c>
      <c r="F456" s="2">
        <v>46177.771551967591</v>
      </c>
      <c r="G456" s="1" t="s">
        <v>1211</v>
      </c>
      <c r="H456" s="2">
        <v>46177.77155193287</v>
      </c>
      <c r="I456" s="1" t="s">
        <v>1211</v>
      </c>
      <c r="J456" s="1" t="s">
        <v>3503</v>
      </c>
    </row>
    <row r="457" spans="1:10" x14ac:dyDescent="0.35">
      <c r="A457" s="1" t="s">
        <v>791</v>
      </c>
      <c r="B457" s="1" t="s">
        <v>1209</v>
      </c>
      <c r="C457" s="1" t="s">
        <v>1210</v>
      </c>
      <c r="D457" s="2">
        <v>46177</v>
      </c>
      <c r="E457">
        <v>3.7360950702456097E-2</v>
      </c>
      <c r="F457" s="2">
        <v>46177.771567939817</v>
      </c>
      <c r="G457" s="1" t="s">
        <v>1211</v>
      </c>
      <c r="H457" s="2">
        <v>46177.771567939817</v>
      </c>
      <c r="I457" s="1" t="s">
        <v>1211</v>
      </c>
      <c r="J457" s="1" t="s">
        <v>3528</v>
      </c>
    </row>
    <row r="458" spans="1:10" x14ac:dyDescent="0.35">
      <c r="A458" s="1" t="s">
        <v>793</v>
      </c>
      <c r="B458" s="1" t="s">
        <v>1209</v>
      </c>
      <c r="C458" s="1" t="s">
        <v>1210</v>
      </c>
      <c r="D458" s="2">
        <v>46177</v>
      </c>
      <c r="E458">
        <v>3.9986412278353298E-2</v>
      </c>
      <c r="F458" s="2">
        <v>46177.771563506947</v>
      </c>
      <c r="G458" s="1" t="s">
        <v>1211</v>
      </c>
      <c r="H458" s="2">
        <v>46177.771563576389</v>
      </c>
      <c r="I458" s="1" t="s">
        <v>1211</v>
      </c>
      <c r="J458" s="1" t="s">
        <v>3529</v>
      </c>
    </row>
    <row r="459" spans="1:10" x14ac:dyDescent="0.35">
      <c r="A459" s="1" t="s">
        <v>884</v>
      </c>
      <c r="B459" s="1" t="s">
        <v>1209</v>
      </c>
      <c r="C459" s="1" t="s">
        <v>1210</v>
      </c>
      <c r="D459" s="2">
        <v>46177</v>
      </c>
      <c r="E459">
        <v>4.1363719207433897E-2</v>
      </c>
      <c r="F459" s="2">
        <v>46177.771567627315</v>
      </c>
      <c r="G459" s="1" t="s">
        <v>1211</v>
      </c>
      <c r="H459" s="2">
        <v>46177.771567592594</v>
      </c>
      <c r="I459" s="1" t="s">
        <v>1211</v>
      </c>
      <c r="J459" s="1" t="s">
        <v>3472</v>
      </c>
    </row>
    <row r="460" spans="1:10" x14ac:dyDescent="0.35">
      <c r="A460" s="1" t="s">
        <v>795</v>
      </c>
      <c r="B460" s="1" t="s">
        <v>1209</v>
      </c>
      <c r="C460" s="1" t="s">
        <v>1210</v>
      </c>
      <c r="D460" s="2">
        <v>46177</v>
      </c>
      <c r="E460">
        <v>3.80394552612731E-2</v>
      </c>
      <c r="F460" s="2">
        <v>46177.771552118058</v>
      </c>
      <c r="G460" s="1" t="s">
        <v>1211</v>
      </c>
      <c r="H460" s="2">
        <v>46177.77155208333</v>
      </c>
      <c r="I460" s="1" t="s">
        <v>1211</v>
      </c>
      <c r="J460" s="1" t="s">
        <v>3446</v>
      </c>
    </row>
    <row r="461" spans="1:10" x14ac:dyDescent="0.35">
      <c r="A461" s="1" t="s">
        <v>856</v>
      </c>
      <c r="B461" s="1" t="s">
        <v>1209</v>
      </c>
      <c r="C461" s="1" t="s">
        <v>1210</v>
      </c>
      <c r="D461" s="2">
        <v>46177</v>
      </c>
      <c r="E461">
        <v>4.2222442234705101E-2</v>
      </c>
      <c r="F461" s="2">
        <v>46177.771563622686</v>
      </c>
      <c r="G461" s="1" t="s">
        <v>1211</v>
      </c>
      <c r="H461" s="2">
        <v>46177.771563576389</v>
      </c>
      <c r="I461" s="1" t="s">
        <v>1211</v>
      </c>
      <c r="J461" s="1" t="s">
        <v>3450</v>
      </c>
    </row>
    <row r="462" spans="1:10" x14ac:dyDescent="0.35">
      <c r="A462" s="1" t="s">
        <v>864</v>
      </c>
      <c r="B462" s="1" t="s">
        <v>1209</v>
      </c>
      <c r="C462" s="1" t="s">
        <v>1210</v>
      </c>
      <c r="D462" s="2">
        <v>46177</v>
      </c>
      <c r="E462">
        <v>1.44676028357724E-2</v>
      </c>
      <c r="F462" s="2">
        <v>46177.771552280094</v>
      </c>
      <c r="G462" s="1" t="s">
        <v>1211</v>
      </c>
      <c r="H462" s="2">
        <v>46177.771552280094</v>
      </c>
      <c r="I462" s="1" t="s">
        <v>1211</v>
      </c>
      <c r="J462" s="1" t="s">
        <v>3530</v>
      </c>
    </row>
    <row r="463" spans="1:10" x14ac:dyDescent="0.35">
      <c r="A463" s="1" t="s">
        <v>858</v>
      </c>
      <c r="B463" s="1" t="s">
        <v>1209</v>
      </c>
      <c r="C463" s="1" t="s">
        <v>1210</v>
      </c>
      <c r="D463" s="2">
        <v>46177</v>
      </c>
      <c r="E463">
        <v>4.4129585157565203E-2</v>
      </c>
      <c r="F463" s="2">
        <v>46177.771567013886</v>
      </c>
      <c r="G463" s="1" t="s">
        <v>1211</v>
      </c>
      <c r="H463" s="2">
        <v>46177.771567048614</v>
      </c>
      <c r="I463" s="1" t="s">
        <v>1211</v>
      </c>
      <c r="J463" s="1" t="s">
        <v>3358</v>
      </c>
    </row>
    <row r="464" spans="1:10" x14ac:dyDescent="0.35">
      <c r="A464" s="1" t="s">
        <v>886</v>
      </c>
      <c r="B464" s="1" t="s">
        <v>1209</v>
      </c>
      <c r="C464" s="1" t="s">
        <v>1210</v>
      </c>
      <c r="D464" s="2">
        <v>46177</v>
      </c>
      <c r="E464">
        <v>4.0180043283058298E-2</v>
      </c>
      <c r="F464" s="2">
        <v>46177.771552430553</v>
      </c>
      <c r="G464" s="1" t="s">
        <v>1211</v>
      </c>
      <c r="H464" s="2">
        <v>46177.771552465281</v>
      </c>
      <c r="I464" s="1" t="s">
        <v>1211</v>
      </c>
      <c r="J464" s="1" t="s">
        <v>3531</v>
      </c>
    </row>
    <row r="465" spans="1:10" x14ac:dyDescent="0.35">
      <c r="A465" s="1" t="s">
        <v>866</v>
      </c>
      <c r="B465" s="1" t="s">
        <v>1209</v>
      </c>
      <c r="C465" s="1" t="s">
        <v>1210</v>
      </c>
      <c r="D465" s="2">
        <v>46177</v>
      </c>
      <c r="E465">
        <v>3.7611733104413902E-2</v>
      </c>
      <c r="F465" s="2">
        <v>46177.771567164353</v>
      </c>
      <c r="G465" s="1" t="s">
        <v>1211</v>
      </c>
      <c r="H465" s="2">
        <v>46177.77156721065</v>
      </c>
      <c r="I465" s="1" t="s">
        <v>1211</v>
      </c>
      <c r="J465" s="1" t="s">
        <v>3532</v>
      </c>
    </row>
    <row r="466" spans="1:10" x14ac:dyDescent="0.35">
      <c r="A466" s="1" t="s">
        <v>868</v>
      </c>
      <c r="B466" s="1" t="s">
        <v>1209</v>
      </c>
      <c r="C466" s="1" t="s">
        <v>1210</v>
      </c>
      <c r="D466" s="2">
        <v>46177</v>
      </c>
      <c r="E466">
        <v>4.22633644736558E-2</v>
      </c>
      <c r="F466" s="2">
        <v>46177.771552546299</v>
      </c>
      <c r="G466" s="1" t="s">
        <v>1211</v>
      </c>
      <c r="H466" s="2">
        <v>46177.771552627317</v>
      </c>
      <c r="I466" s="1" t="s">
        <v>1211</v>
      </c>
      <c r="J466" s="1" t="s">
        <v>3520</v>
      </c>
    </row>
    <row r="467" spans="1:10" x14ac:dyDescent="0.35">
      <c r="A467" s="1" t="s">
        <v>860</v>
      </c>
      <c r="B467" s="1" t="s">
        <v>1209</v>
      </c>
      <c r="C467" s="1" t="s">
        <v>1210</v>
      </c>
      <c r="D467" s="2">
        <v>46177</v>
      </c>
      <c r="E467">
        <v>4.1357583140749103E-2</v>
      </c>
      <c r="F467" s="2">
        <v>46177.771563773145</v>
      </c>
      <c r="G467" s="1" t="s">
        <v>1211</v>
      </c>
      <c r="H467" s="2">
        <v>46177.771563773145</v>
      </c>
      <c r="I467" s="1" t="s">
        <v>1211</v>
      </c>
      <c r="J467" s="1" t="s">
        <v>3506</v>
      </c>
    </row>
    <row r="468" spans="1:10" x14ac:dyDescent="0.35">
      <c r="A468" s="1" t="s">
        <v>797</v>
      </c>
      <c r="B468" s="1" t="s">
        <v>1209</v>
      </c>
      <c r="C468" s="1" t="s">
        <v>1210</v>
      </c>
      <c r="D468" s="2">
        <v>46177</v>
      </c>
      <c r="E468">
        <v>4.0205917123555299E-2</v>
      </c>
      <c r="F468" s="2">
        <v>46177.771563969909</v>
      </c>
      <c r="G468" s="1" t="s">
        <v>1211</v>
      </c>
      <c r="H468" s="2">
        <v>46177.771563923612</v>
      </c>
      <c r="I468" s="1" t="s">
        <v>1211</v>
      </c>
      <c r="J468" s="1" t="s">
        <v>3534</v>
      </c>
    </row>
    <row r="469" spans="1:10" x14ac:dyDescent="0.35">
      <c r="A469" s="1" t="s">
        <v>862</v>
      </c>
      <c r="B469" s="1" t="s">
        <v>1209</v>
      </c>
      <c r="C469" s="1" t="s">
        <v>1210</v>
      </c>
      <c r="D469" s="2">
        <v>46177</v>
      </c>
      <c r="E469">
        <v>4.2339890905587298E-2</v>
      </c>
      <c r="F469" s="2">
        <v>46177.771564120369</v>
      </c>
      <c r="G469" s="1" t="s">
        <v>1211</v>
      </c>
      <c r="H469" s="2">
        <v>46177.771564120369</v>
      </c>
      <c r="I469" s="1" t="s">
        <v>1211</v>
      </c>
      <c r="J469" s="1" t="s">
        <v>3535</v>
      </c>
    </row>
    <row r="470" spans="1:10" x14ac:dyDescent="0.35">
      <c r="A470" s="1" t="s">
        <v>799</v>
      </c>
      <c r="B470" s="1" t="s">
        <v>1209</v>
      </c>
      <c r="C470" s="1" t="s">
        <v>1210</v>
      </c>
      <c r="D470" s="2">
        <v>46177</v>
      </c>
      <c r="E470">
        <v>4.1400330126052903E-2</v>
      </c>
      <c r="F470" s="2">
        <v>46177.771564236115</v>
      </c>
      <c r="G470" s="1" t="s">
        <v>1211</v>
      </c>
      <c r="H470" s="2">
        <v>46177.771564317132</v>
      </c>
      <c r="I470" s="1" t="s">
        <v>1211</v>
      </c>
      <c r="J470" s="1" t="s">
        <v>3495</v>
      </c>
    </row>
    <row r="471" spans="1:10" x14ac:dyDescent="0.35">
      <c r="A471" s="1" t="s">
        <v>801</v>
      </c>
      <c r="B471" s="1" t="s">
        <v>1209</v>
      </c>
      <c r="C471" s="1" t="s">
        <v>1210</v>
      </c>
      <c r="D471" s="2">
        <v>46177</v>
      </c>
      <c r="E471">
        <v>3.7939931733161202E-2</v>
      </c>
      <c r="F471" s="2">
        <v>46177.771552743056</v>
      </c>
      <c r="G471" s="1" t="s">
        <v>1211</v>
      </c>
      <c r="H471" s="2">
        <v>46177.771552627317</v>
      </c>
      <c r="I471" s="1" t="s">
        <v>1211</v>
      </c>
      <c r="J471" s="1" t="s">
        <v>3536</v>
      </c>
    </row>
    <row r="472" spans="1:10" x14ac:dyDescent="0.35">
      <c r="A472" s="1" t="s">
        <v>803</v>
      </c>
      <c r="B472" s="1" t="s">
        <v>1209</v>
      </c>
      <c r="C472" s="1" t="s">
        <v>1210</v>
      </c>
      <c r="D472" s="2">
        <v>46177</v>
      </c>
      <c r="E472">
        <v>4.0427166531667197E-2</v>
      </c>
      <c r="F472" s="2">
        <v>46177.771552893515</v>
      </c>
      <c r="G472" s="1" t="s">
        <v>1211</v>
      </c>
      <c r="H472" s="2">
        <v>46177.771552812497</v>
      </c>
      <c r="I472" s="1" t="s">
        <v>1211</v>
      </c>
      <c r="J472" s="1" t="s">
        <v>3537</v>
      </c>
    </row>
    <row r="473" spans="1:10" x14ac:dyDescent="0.35">
      <c r="A473" s="1" t="s">
        <v>805</v>
      </c>
      <c r="B473" s="1" t="s">
        <v>1209</v>
      </c>
      <c r="C473" s="1" t="s">
        <v>1210</v>
      </c>
      <c r="D473" s="2">
        <v>46177</v>
      </c>
      <c r="E473">
        <v>4.1462782278859502E-2</v>
      </c>
      <c r="F473" s="2">
        <v>46177.771567326388</v>
      </c>
      <c r="G473" s="1" t="s">
        <v>1211</v>
      </c>
      <c r="H473" s="2">
        <v>46177.77156739583</v>
      </c>
      <c r="I473" s="1" t="s">
        <v>1211</v>
      </c>
      <c r="J473" s="1" t="s">
        <v>3538</v>
      </c>
    </row>
    <row r="474" spans="1:10" x14ac:dyDescent="0.35">
      <c r="A474" s="1" t="s">
        <v>807</v>
      </c>
      <c r="B474" s="1" t="s">
        <v>1209</v>
      </c>
      <c r="C474" s="1" t="s">
        <v>1210</v>
      </c>
      <c r="D474" s="2">
        <v>46177</v>
      </c>
      <c r="E474">
        <v>3.8075179322717798E-2</v>
      </c>
      <c r="F474" s="2">
        <v>46177.771564386574</v>
      </c>
      <c r="G474" s="1" t="s">
        <v>1211</v>
      </c>
      <c r="H474" s="2">
        <v>46177.771564467592</v>
      </c>
      <c r="I474" s="1" t="s">
        <v>1211</v>
      </c>
      <c r="J474" s="1" t="s">
        <v>3447</v>
      </c>
    </row>
    <row r="475" spans="1:10" x14ac:dyDescent="0.35">
      <c r="A475" s="1" t="s">
        <v>809</v>
      </c>
      <c r="B475" s="1" t="s">
        <v>1209</v>
      </c>
      <c r="C475" s="1" t="s">
        <v>1210</v>
      </c>
      <c r="D475" s="2">
        <v>46177</v>
      </c>
      <c r="E475">
        <v>4.2414822530795301E-2</v>
      </c>
      <c r="F475" s="2">
        <v>46177.771567476855</v>
      </c>
      <c r="G475" s="1" t="s">
        <v>1211</v>
      </c>
      <c r="H475" s="2">
        <v>46177.77156739583</v>
      </c>
      <c r="I475" s="1" t="s">
        <v>1211</v>
      </c>
      <c r="J475" s="1" t="s">
        <v>3540</v>
      </c>
    </row>
    <row r="476" spans="1:10" x14ac:dyDescent="0.35">
      <c r="A476" s="1" t="s">
        <v>870</v>
      </c>
      <c r="B476" s="1" t="s">
        <v>1209</v>
      </c>
      <c r="C476" s="1" t="s">
        <v>1210</v>
      </c>
      <c r="D476" s="2">
        <v>46177</v>
      </c>
      <c r="E476">
        <v>2.0176418727740199E-2</v>
      </c>
      <c r="F476" s="2">
        <v>46177.77156778935</v>
      </c>
      <c r="G476" s="1" t="s">
        <v>1211</v>
      </c>
      <c r="H476" s="2">
        <v>46177.771567743053</v>
      </c>
      <c r="I476" s="1" t="s">
        <v>1211</v>
      </c>
      <c r="J476" s="1" t="s">
        <v>3541</v>
      </c>
    </row>
    <row r="477" spans="1:10" x14ac:dyDescent="0.35">
      <c r="A477" s="1" t="s">
        <v>811</v>
      </c>
      <c r="B477" s="1" t="s">
        <v>1209</v>
      </c>
      <c r="C477" s="1" t="s">
        <v>1210</v>
      </c>
      <c r="D477" s="2">
        <v>46177</v>
      </c>
      <c r="E477">
        <v>4.4243114738646103E-2</v>
      </c>
      <c r="F477" s="2">
        <v>46177.771553043982</v>
      </c>
      <c r="G477" s="1" t="s">
        <v>1211</v>
      </c>
      <c r="H477" s="2">
        <v>46177.77155297454</v>
      </c>
      <c r="I477" s="1" t="s">
        <v>1211</v>
      </c>
      <c r="J477" s="1" t="s">
        <v>3542</v>
      </c>
    </row>
    <row r="478" spans="1:10" x14ac:dyDescent="0.35">
      <c r="A478" s="1" t="s">
        <v>813</v>
      </c>
      <c r="B478" s="1" t="s">
        <v>1209</v>
      </c>
      <c r="C478" s="1" t="s">
        <v>1210</v>
      </c>
      <c r="D478" s="2">
        <v>46177</v>
      </c>
      <c r="E478">
        <v>4.03996056792746E-2</v>
      </c>
      <c r="F478" s="2">
        <v>46177.77156458333</v>
      </c>
      <c r="G478" s="1" t="s">
        <v>1211</v>
      </c>
      <c r="H478" s="2">
        <v>46177.771564467592</v>
      </c>
      <c r="I478" s="1" t="s">
        <v>1211</v>
      </c>
      <c r="J478" s="1" t="s">
        <v>3543</v>
      </c>
    </row>
    <row r="479" spans="1:10" x14ac:dyDescent="0.35">
      <c r="A479" s="1" t="s">
        <v>815</v>
      </c>
      <c r="B479" s="1" t="s">
        <v>1209</v>
      </c>
      <c r="C479" s="1" t="s">
        <v>1210</v>
      </c>
      <c r="D479" s="2">
        <v>46177</v>
      </c>
      <c r="E479">
        <v>3.8358292408115301E-2</v>
      </c>
      <c r="F479" s="2">
        <v>46177.771570949073</v>
      </c>
      <c r="G479" s="1" t="s">
        <v>1211</v>
      </c>
      <c r="H479" s="2">
        <v>46177.771571030091</v>
      </c>
      <c r="I479" s="1" t="s">
        <v>1211</v>
      </c>
      <c r="J479" s="1" t="s">
        <v>3539</v>
      </c>
    </row>
    <row r="480" spans="1:10" x14ac:dyDescent="0.35">
      <c r="A480" s="1" t="s">
        <v>872</v>
      </c>
      <c r="B480" s="1" t="s">
        <v>1209</v>
      </c>
      <c r="C480" s="1" t="s">
        <v>1210</v>
      </c>
      <c r="D480" s="2">
        <v>46177</v>
      </c>
      <c r="E480">
        <v>4.2462881857626297E-2</v>
      </c>
      <c r="F480" s="2">
        <v>46177.771553206017</v>
      </c>
      <c r="G480" s="1" t="s">
        <v>1211</v>
      </c>
      <c r="H480" s="2">
        <v>46177.77155315972</v>
      </c>
      <c r="I480" s="1" t="s">
        <v>1211</v>
      </c>
      <c r="J480" s="1" t="s">
        <v>3533</v>
      </c>
    </row>
    <row r="481" spans="1:10" x14ac:dyDescent="0.35">
      <c r="A481" s="1" t="s">
        <v>817</v>
      </c>
      <c r="B481" s="1" t="s">
        <v>1209</v>
      </c>
      <c r="C481" s="1" t="s">
        <v>1210</v>
      </c>
      <c r="D481" s="2">
        <v>46177</v>
      </c>
      <c r="E481">
        <v>4.0423841772654498E-2</v>
      </c>
      <c r="F481" s="2">
        <v>46177.771553356484</v>
      </c>
      <c r="G481" s="1" t="s">
        <v>1211</v>
      </c>
      <c r="H481" s="2">
        <v>46177.771553356484</v>
      </c>
      <c r="I481" s="1" t="s">
        <v>1211</v>
      </c>
      <c r="J481" s="1" t="s">
        <v>3544</v>
      </c>
    </row>
    <row r="482" spans="1:10" x14ac:dyDescent="0.35">
      <c r="A482" s="1" t="s">
        <v>874</v>
      </c>
      <c r="B482" s="1" t="s">
        <v>1209</v>
      </c>
      <c r="C482" s="1" t="s">
        <v>1210</v>
      </c>
      <c r="D482" s="2">
        <v>46177</v>
      </c>
      <c r="E482">
        <v>4.2494328879251697E-2</v>
      </c>
      <c r="F482" s="2">
        <v>46177.771564733797</v>
      </c>
      <c r="G482" s="1" t="s">
        <v>1211</v>
      </c>
      <c r="H482" s="2">
        <v>46177.771564664348</v>
      </c>
      <c r="I482" s="1" t="s">
        <v>1211</v>
      </c>
      <c r="J482" s="1" t="s">
        <v>3444</v>
      </c>
    </row>
    <row r="483" spans="1:10" x14ac:dyDescent="0.35">
      <c r="A483" s="1" t="s">
        <v>876</v>
      </c>
      <c r="B483" s="1" t="s">
        <v>1209</v>
      </c>
      <c r="C483" s="1" t="s">
        <v>1210</v>
      </c>
      <c r="D483" s="2">
        <v>46177</v>
      </c>
      <c r="E483">
        <v>4.1482424322171203E-2</v>
      </c>
      <c r="F483" s="2">
        <v>46177.771564895833</v>
      </c>
      <c r="G483" s="1" t="s">
        <v>1211</v>
      </c>
      <c r="H483" s="2">
        <v>46177.771564849536</v>
      </c>
      <c r="I483" s="1" t="s">
        <v>1211</v>
      </c>
      <c r="J483" s="1" t="s">
        <v>3546</v>
      </c>
    </row>
    <row r="484" spans="1:10" x14ac:dyDescent="0.35">
      <c r="A484" s="1" t="s">
        <v>888</v>
      </c>
      <c r="B484" s="1" t="s">
        <v>1209</v>
      </c>
      <c r="C484" s="1" t="s">
        <v>1210</v>
      </c>
      <c r="D484" s="2">
        <v>46177</v>
      </c>
      <c r="E484">
        <v>3.8428095115429502E-2</v>
      </c>
      <c r="F484" s="2">
        <v>46177.771553506944</v>
      </c>
      <c r="G484" s="1" t="s">
        <v>1211</v>
      </c>
      <c r="H484" s="2">
        <v>46177.771553553241</v>
      </c>
      <c r="I484" s="1" t="s">
        <v>1211</v>
      </c>
      <c r="J484" s="1" t="s">
        <v>3547</v>
      </c>
    </row>
    <row r="485" spans="1:10" x14ac:dyDescent="0.35">
      <c r="A485" s="1" t="s">
        <v>878</v>
      </c>
      <c r="B485" s="1" t="s">
        <v>1209</v>
      </c>
      <c r="C485" s="1" t="s">
        <v>1210</v>
      </c>
      <c r="D485" s="2">
        <v>46177</v>
      </c>
      <c r="E485">
        <v>4.0493638744926598E-2</v>
      </c>
      <c r="F485" s="2">
        <v>46177.7715650463</v>
      </c>
      <c r="G485" s="1" t="s">
        <v>1211</v>
      </c>
      <c r="H485" s="2">
        <v>46177.771565011572</v>
      </c>
      <c r="I485" s="1" t="s">
        <v>1211</v>
      </c>
      <c r="J485" s="1" t="s">
        <v>3548</v>
      </c>
    </row>
    <row r="486" spans="1:10" x14ac:dyDescent="0.35">
      <c r="A486" s="1" t="s">
        <v>890</v>
      </c>
      <c r="B486" s="1" t="s">
        <v>1209</v>
      </c>
      <c r="C486" s="1" t="s">
        <v>1210</v>
      </c>
      <c r="D486" s="2">
        <v>46177</v>
      </c>
      <c r="E486">
        <v>3.88243968398925E-2</v>
      </c>
      <c r="F486" s="2">
        <v>46177.771553668979</v>
      </c>
      <c r="G486" s="1" t="s">
        <v>1211</v>
      </c>
      <c r="H486" s="2">
        <v>46177.7715537037</v>
      </c>
      <c r="I486" s="1" t="s">
        <v>1211</v>
      </c>
      <c r="J486" s="1" t="s">
        <v>3549</v>
      </c>
    </row>
    <row r="487" spans="1:10" x14ac:dyDescent="0.35">
      <c r="A487" s="1" t="s">
        <v>892</v>
      </c>
      <c r="B487" s="1" t="s">
        <v>1209</v>
      </c>
      <c r="C487" s="1" t="s">
        <v>1210</v>
      </c>
      <c r="D487" s="2">
        <v>46177</v>
      </c>
      <c r="E487">
        <v>4.1532694674683103E-2</v>
      </c>
      <c r="F487" s="2">
        <v>46177.771565196759</v>
      </c>
      <c r="G487" s="1" t="s">
        <v>1211</v>
      </c>
      <c r="H487" s="2">
        <v>46177.771565196759</v>
      </c>
      <c r="I487" s="1" t="s">
        <v>1211</v>
      </c>
      <c r="J487" s="1" t="s">
        <v>3499</v>
      </c>
    </row>
    <row r="488" spans="1:10" x14ac:dyDescent="0.35">
      <c r="A488" s="1" t="s">
        <v>819</v>
      </c>
      <c r="B488" s="1" t="s">
        <v>1209</v>
      </c>
      <c r="C488" s="1" t="s">
        <v>1210</v>
      </c>
      <c r="D488" s="2">
        <v>46177</v>
      </c>
      <c r="E488">
        <v>4.25620306336532E-2</v>
      </c>
      <c r="F488" s="2">
        <v>46177.771553819446</v>
      </c>
      <c r="G488" s="1" t="s">
        <v>1211</v>
      </c>
      <c r="H488" s="2">
        <v>46177.771553900464</v>
      </c>
      <c r="I488" s="1" t="s">
        <v>1211</v>
      </c>
      <c r="J488" s="1" t="s">
        <v>3550</v>
      </c>
    </row>
    <row r="489" spans="1:10" x14ac:dyDescent="0.35">
      <c r="A489" s="1" t="s">
        <v>821</v>
      </c>
      <c r="B489" s="1" t="s">
        <v>1209</v>
      </c>
      <c r="C489" s="1" t="s">
        <v>1210</v>
      </c>
      <c r="D489" s="2">
        <v>46177</v>
      </c>
      <c r="E489">
        <v>1.6174889503737199E-2</v>
      </c>
      <c r="F489" s="2">
        <v>46177.771553969906</v>
      </c>
      <c r="G489" s="1" t="s">
        <v>1211</v>
      </c>
      <c r="H489" s="2">
        <v>46177.771553900464</v>
      </c>
      <c r="I489" s="1" t="s">
        <v>1211</v>
      </c>
      <c r="J489" s="1" t="s">
        <v>3551</v>
      </c>
    </row>
    <row r="490" spans="1:10" x14ac:dyDescent="0.35">
      <c r="A490" s="1" t="s">
        <v>880</v>
      </c>
      <c r="B490" s="1" t="s">
        <v>1209</v>
      </c>
      <c r="C490" s="1" t="s">
        <v>1210</v>
      </c>
      <c r="D490" s="2">
        <v>46177</v>
      </c>
      <c r="E490">
        <v>4.4397836587114402E-2</v>
      </c>
      <c r="F490" s="2">
        <v>46177.771565358795</v>
      </c>
      <c r="G490" s="1" t="s">
        <v>1211</v>
      </c>
      <c r="H490" s="2">
        <v>46177.771565393516</v>
      </c>
      <c r="I490" s="1" t="s">
        <v>1211</v>
      </c>
      <c r="J490" s="1" t="s">
        <v>3312</v>
      </c>
    </row>
    <row r="491" spans="1:10" x14ac:dyDescent="0.35">
      <c r="A491" s="1" t="s">
        <v>894</v>
      </c>
      <c r="B491" s="1" t="s">
        <v>1209</v>
      </c>
      <c r="C491" s="1" t="s">
        <v>1210</v>
      </c>
      <c r="D491" s="2">
        <v>46177</v>
      </c>
      <c r="E491">
        <v>4.0582516341087102E-2</v>
      </c>
      <c r="F491" s="2">
        <v>46177.771554131941</v>
      </c>
      <c r="G491" s="1" t="s">
        <v>1211</v>
      </c>
      <c r="H491" s="2">
        <v>46177.77155420139</v>
      </c>
      <c r="I491" s="1" t="s">
        <v>1211</v>
      </c>
      <c r="J491" s="1" t="s">
        <v>3554</v>
      </c>
    </row>
    <row r="492" spans="1:10" x14ac:dyDescent="0.35">
      <c r="A492" s="1" t="s">
        <v>914</v>
      </c>
      <c r="B492" s="1" t="s">
        <v>1209</v>
      </c>
      <c r="C492" s="1" t="s">
        <v>1210</v>
      </c>
      <c r="D492" s="2">
        <v>46177</v>
      </c>
      <c r="E492">
        <v>3.9070875407178102E-2</v>
      </c>
      <c r="F492" s="2">
        <v>46177.771565509262</v>
      </c>
      <c r="G492" s="1" t="s">
        <v>1211</v>
      </c>
      <c r="H492" s="2">
        <v>46177.771565590279</v>
      </c>
      <c r="I492" s="1" t="s">
        <v>1211</v>
      </c>
      <c r="J492" s="1" t="s">
        <v>3534</v>
      </c>
    </row>
    <row r="493" spans="1:10" x14ac:dyDescent="0.35">
      <c r="A493" s="1" t="s">
        <v>896</v>
      </c>
      <c r="B493" s="1" t="s">
        <v>1209</v>
      </c>
      <c r="C493" s="1" t="s">
        <v>1210</v>
      </c>
      <c r="D493" s="2">
        <v>46177</v>
      </c>
      <c r="E493">
        <v>4.2651885034471697E-2</v>
      </c>
      <c r="F493" s="2">
        <v>46177.771554282408</v>
      </c>
      <c r="G493" s="1" t="s">
        <v>1211</v>
      </c>
      <c r="H493" s="2">
        <v>46177.771554363426</v>
      </c>
      <c r="I493" s="1" t="s">
        <v>1211</v>
      </c>
      <c r="J493" s="1" t="s">
        <v>3367</v>
      </c>
    </row>
    <row r="494" spans="1:10" x14ac:dyDescent="0.35">
      <c r="A494" s="1" t="s">
        <v>882</v>
      </c>
      <c r="B494" s="1" t="s">
        <v>1209</v>
      </c>
      <c r="C494" s="1" t="s">
        <v>1210</v>
      </c>
      <c r="D494" s="2">
        <v>46177</v>
      </c>
      <c r="E494">
        <v>4.1565751318214501E-2</v>
      </c>
      <c r="F494" s="2">
        <v>46177.771554432868</v>
      </c>
      <c r="G494" s="1" t="s">
        <v>1211</v>
      </c>
      <c r="H494" s="2">
        <v>46177.771554432868</v>
      </c>
      <c r="I494" s="1" t="s">
        <v>1211</v>
      </c>
      <c r="J494" s="1" t="s">
        <v>3553</v>
      </c>
    </row>
    <row r="495" spans="1:10" x14ac:dyDescent="0.35">
      <c r="A495" s="1" t="s">
        <v>898</v>
      </c>
      <c r="B495" s="1" t="s">
        <v>1209</v>
      </c>
      <c r="C495" s="1" t="s">
        <v>1210</v>
      </c>
      <c r="D495" s="2">
        <v>46177</v>
      </c>
      <c r="E495">
        <v>4.0588852665612303E-2</v>
      </c>
      <c r="F495" s="2">
        <v>46177.77155459491</v>
      </c>
      <c r="G495" s="1" t="s">
        <v>1211</v>
      </c>
      <c r="H495" s="2">
        <v>46177.771554629631</v>
      </c>
      <c r="I495" s="1" t="s">
        <v>1211</v>
      </c>
      <c r="J495" s="1" t="s">
        <v>3555</v>
      </c>
    </row>
    <row r="496" spans="1:10" x14ac:dyDescent="0.35">
      <c r="A496" s="1" t="s">
        <v>900</v>
      </c>
      <c r="B496" s="1" t="s">
        <v>1209</v>
      </c>
      <c r="C496" s="1" t="s">
        <v>1210</v>
      </c>
      <c r="D496" s="2">
        <v>46177</v>
      </c>
      <c r="E496">
        <v>4.2701653901398497E-2</v>
      </c>
      <c r="F496" s="2">
        <v>46177.77155474537</v>
      </c>
      <c r="G496" s="1" t="s">
        <v>1211</v>
      </c>
      <c r="H496" s="2">
        <v>46177.771554826388</v>
      </c>
      <c r="I496" s="1" t="s">
        <v>1211</v>
      </c>
      <c r="J496" s="1" t="s">
        <v>3361</v>
      </c>
    </row>
    <row r="497" spans="1:10" x14ac:dyDescent="0.35">
      <c r="A497" s="1" t="s">
        <v>902</v>
      </c>
      <c r="B497" s="1" t="s">
        <v>1209</v>
      </c>
      <c r="C497" s="1" t="s">
        <v>1210</v>
      </c>
      <c r="D497" s="2">
        <v>46177</v>
      </c>
      <c r="E497">
        <v>4.16196347176035E-2</v>
      </c>
      <c r="F497" s="2">
        <v>46177.771554895837</v>
      </c>
      <c r="G497" s="1" t="s">
        <v>1211</v>
      </c>
      <c r="H497" s="2">
        <v>46177.771554976855</v>
      </c>
      <c r="I497" s="1" t="s">
        <v>1211</v>
      </c>
      <c r="J497" s="1" t="s">
        <v>3426</v>
      </c>
    </row>
    <row r="498" spans="1:10" x14ac:dyDescent="0.35">
      <c r="A498" s="1" t="s">
        <v>904</v>
      </c>
      <c r="B498" s="1" t="s">
        <v>1209</v>
      </c>
      <c r="C498" s="1" t="s">
        <v>1210</v>
      </c>
      <c r="D498" s="2">
        <v>46177</v>
      </c>
      <c r="E498">
        <v>3.9268297827602799E-2</v>
      </c>
      <c r="F498" s="2">
        <v>46177.771555057872</v>
      </c>
      <c r="G498" s="1" t="s">
        <v>1211</v>
      </c>
      <c r="H498" s="2">
        <v>46177.771554976855</v>
      </c>
      <c r="I498" s="1" t="s">
        <v>1211</v>
      </c>
      <c r="J498" s="1" t="s">
        <v>3556</v>
      </c>
    </row>
    <row r="499" spans="1:10" x14ac:dyDescent="0.35">
      <c r="A499" s="1" t="s">
        <v>906</v>
      </c>
      <c r="B499" s="1" t="s">
        <v>1209</v>
      </c>
      <c r="C499" s="1" t="s">
        <v>1210</v>
      </c>
      <c r="D499" s="2">
        <v>46177</v>
      </c>
      <c r="E499">
        <v>4.0683415606901502E-2</v>
      </c>
      <c r="F499" s="2">
        <v>46177.771555208332</v>
      </c>
      <c r="G499" s="1" t="s">
        <v>1211</v>
      </c>
      <c r="H499" s="2">
        <v>46177.771555173611</v>
      </c>
      <c r="I499" s="1" t="s">
        <v>1211</v>
      </c>
      <c r="J499" s="1" t="s">
        <v>3558</v>
      </c>
    </row>
    <row r="500" spans="1:10" x14ac:dyDescent="0.35">
      <c r="A500" s="1" t="s">
        <v>908</v>
      </c>
      <c r="B500" s="1" t="s">
        <v>1209</v>
      </c>
      <c r="C500" s="1" t="s">
        <v>1210</v>
      </c>
      <c r="D500" s="2">
        <v>46177</v>
      </c>
      <c r="E500">
        <v>4.1622343316298202E-2</v>
      </c>
      <c r="F500" s="2">
        <v>46177.771565659721</v>
      </c>
      <c r="G500" s="1" t="s">
        <v>1211</v>
      </c>
      <c r="H500" s="2">
        <v>46177.771565740739</v>
      </c>
      <c r="I500" s="1" t="s">
        <v>1211</v>
      </c>
      <c r="J500" s="1" t="s">
        <v>3359</v>
      </c>
    </row>
    <row r="501" spans="1:10" x14ac:dyDescent="0.35">
      <c r="A501" s="1" t="s">
        <v>910</v>
      </c>
      <c r="B501" s="1" t="s">
        <v>1209</v>
      </c>
      <c r="C501" s="1" t="s">
        <v>1210</v>
      </c>
      <c r="D501" s="2">
        <v>46177</v>
      </c>
      <c r="E501">
        <v>3.9604680328692403E-2</v>
      </c>
      <c r="F501" s="2">
        <v>46177.771565821757</v>
      </c>
      <c r="G501" s="1" t="s">
        <v>1211</v>
      </c>
      <c r="H501" s="2">
        <v>46177.77156577546</v>
      </c>
      <c r="I501" s="1" t="s">
        <v>1211</v>
      </c>
      <c r="J501" s="1" t="s">
        <v>3560</v>
      </c>
    </row>
    <row r="502" spans="1:10" x14ac:dyDescent="0.35">
      <c r="A502" s="1" t="s">
        <v>912</v>
      </c>
      <c r="B502" s="1" t="s">
        <v>1209</v>
      </c>
      <c r="C502" s="1" t="s">
        <v>1210</v>
      </c>
      <c r="D502" s="2">
        <v>46177</v>
      </c>
      <c r="E502">
        <v>4.2782188605755E-2</v>
      </c>
      <c r="F502" s="2">
        <v>46177.771565972223</v>
      </c>
      <c r="G502" s="1" t="s">
        <v>1211</v>
      </c>
      <c r="H502" s="2">
        <v>46177.771565937503</v>
      </c>
      <c r="I502" s="1" t="s">
        <v>1211</v>
      </c>
      <c r="J502" s="1" t="s">
        <v>3561</v>
      </c>
    </row>
    <row r="503" spans="1:10" x14ac:dyDescent="0.35">
      <c r="A503" s="1" t="s">
        <v>916</v>
      </c>
      <c r="B503" s="1" t="s">
        <v>1209</v>
      </c>
      <c r="C503" s="1" t="s">
        <v>1210</v>
      </c>
      <c r="D503" s="2">
        <v>46177</v>
      </c>
      <c r="E503">
        <v>2.0163528899001699E-2</v>
      </c>
      <c r="F503" s="2">
        <v>46177.771566087962</v>
      </c>
      <c r="G503" s="1" t="s">
        <v>1211</v>
      </c>
      <c r="H503" s="2">
        <v>46177.771566122683</v>
      </c>
      <c r="I503" s="1" t="s">
        <v>1211</v>
      </c>
      <c r="J503" s="1" t="s">
        <v>3562</v>
      </c>
    </row>
    <row r="504" spans="1:10" x14ac:dyDescent="0.35">
      <c r="A504" s="1" t="s">
        <v>918</v>
      </c>
      <c r="B504" s="1" t="s">
        <v>1209</v>
      </c>
      <c r="C504" s="1" t="s">
        <v>1210</v>
      </c>
      <c r="D504" s="2">
        <v>46177</v>
      </c>
      <c r="E504">
        <v>4.45084636634221E-2</v>
      </c>
      <c r="F504" s="2">
        <v>46177.77157109954</v>
      </c>
      <c r="G504" s="1" t="s">
        <v>1211</v>
      </c>
      <c r="H504" s="2">
        <v>46177.771571180558</v>
      </c>
      <c r="I504" s="1" t="s">
        <v>1211</v>
      </c>
      <c r="J504" s="1" t="s">
        <v>3564</v>
      </c>
    </row>
    <row r="505" spans="1:10" x14ac:dyDescent="0.35">
      <c r="A505" s="1" t="s">
        <v>936</v>
      </c>
      <c r="B505" s="1" t="s">
        <v>1209</v>
      </c>
      <c r="C505" s="1" t="s">
        <v>1210</v>
      </c>
      <c r="D505" s="2">
        <v>46177</v>
      </c>
      <c r="E505">
        <v>4.0678383353701802E-2</v>
      </c>
      <c r="F505" s="2">
        <v>46177.771572071761</v>
      </c>
      <c r="G505" s="1" t="s">
        <v>1211</v>
      </c>
      <c r="H505" s="2">
        <v>46177.771572106481</v>
      </c>
      <c r="I505" s="1" t="s">
        <v>1211</v>
      </c>
      <c r="J505" s="1" t="s">
        <v>3565</v>
      </c>
    </row>
    <row r="506" spans="1:10" x14ac:dyDescent="0.35">
      <c r="A506" s="1" t="s">
        <v>920</v>
      </c>
      <c r="B506" s="1" t="s">
        <v>1209</v>
      </c>
      <c r="C506" s="1" t="s">
        <v>1210</v>
      </c>
      <c r="D506" s="2">
        <v>46177</v>
      </c>
      <c r="E506">
        <v>3.97595673152552E-2</v>
      </c>
      <c r="F506" s="2">
        <v>46177.771555405096</v>
      </c>
      <c r="G506" s="1" t="s">
        <v>1211</v>
      </c>
      <c r="H506" s="2">
        <v>46177.771555358799</v>
      </c>
      <c r="I506" s="1" t="s">
        <v>1211</v>
      </c>
      <c r="J506" s="1" t="s">
        <v>3566</v>
      </c>
    </row>
    <row r="507" spans="1:10" x14ac:dyDescent="0.35">
      <c r="A507" s="1" t="s">
        <v>922</v>
      </c>
      <c r="B507" s="1" t="s">
        <v>1209</v>
      </c>
      <c r="C507" s="1" t="s">
        <v>1210</v>
      </c>
      <c r="D507" s="2">
        <v>46177</v>
      </c>
      <c r="E507">
        <v>4.2832336329852699E-2</v>
      </c>
      <c r="F507" s="2">
        <v>46177.771566238429</v>
      </c>
      <c r="G507" s="1" t="s">
        <v>1211</v>
      </c>
      <c r="H507" s="2">
        <v>46177.771566319447</v>
      </c>
      <c r="I507" s="1" t="s">
        <v>1211</v>
      </c>
      <c r="J507" s="1" t="s">
        <v>3567</v>
      </c>
    </row>
    <row r="508" spans="1:10" x14ac:dyDescent="0.35">
      <c r="A508" s="1" t="s">
        <v>938</v>
      </c>
      <c r="B508" s="1" t="s">
        <v>1209</v>
      </c>
      <c r="C508" s="1" t="s">
        <v>1210</v>
      </c>
      <c r="D508" s="2">
        <v>46177</v>
      </c>
      <c r="E508">
        <v>4.17113590111617E-2</v>
      </c>
      <c r="F508" s="2">
        <v>46177.771555555555</v>
      </c>
      <c r="G508" s="1" t="s">
        <v>1211</v>
      </c>
      <c r="H508" s="2">
        <v>46177.771555520834</v>
      </c>
      <c r="I508" s="1" t="s">
        <v>1211</v>
      </c>
      <c r="J508" s="1" t="s">
        <v>3568</v>
      </c>
    </row>
    <row r="509" spans="1:10" x14ac:dyDescent="0.35">
      <c r="A509" s="1" t="s">
        <v>956</v>
      </c>
      <c r="B509" s="1" t="s">
        <v>1209</v>
      </c>
      <c r="C509" s="1" t="s">
        <v>1210</v>
      </c>
      <c r="D509" s="2">
        <v>46177</v>
      </c>
      <c r="E509">
        <v>4.07857857798333E-2</v>
      </c>
      <c r="F509" s="2">
        <v>46177.771555706022</v>
      </c>
      <c r="G509" s="1" t="s">
        <v>1211</v>
      </c>
      <c r="H509" s="2">
        <v>46177.771555706022</v>
      </c>
      <c r="I509" s="1" t="s">
        <v>1211</v>
      </c>
      <c r="J509" s="1" t="s">
        <v>3570</v>
      </c>
    </row>
    <row r="510" spans="1:10" x14ac:dyDescent="0.35">
      <c r="A510" s="1" t="s">
        <v>924</v>
      </c>
      <c r="B510" s="1" t="s">
        <v>1209</v>
      </c>
      <c r="C510" s="1" t="s">
        <v>1210</v>
      </c>
      <c r="D510" s="2">
        <v>46177</v>
      </c>
      <c r="E510">
        <v>4.2886459512609401E-2</v>
      </c>
      <c r="F510" s="2">
        <v>46177.771555868057</v>
      </c>
      <c r="G510" s="1" t="s">
        <v>1211</v>
      </c>
      <c r="H510" s="2">
        <v>46177.771555902778</v>
      </c>
      <c r="I510" s="1" t="s">
        <v>1211</v>
      </c>
      <c r="J510" s="1" t="s">
        <v>3571</v>
      </c>
    </row>
    <row r="511" spans="1:10" x14ac:dyDescent="0.35">
      <c r="A511" s="1" t="s">
        <v>926</v>
      </c>
      <c r="B511" s="1" t="s">
        <v>1209</v>
      </c>
      <c r="C511" s="1" t="s">
        <v>1210</v>
      </c>
      <c r="D511" s="2">
        <v>46177</v>
      </c>
      <c r="E511">
        <v>4.1675356185568599E-2</v>
      </c>
      <c r="F511" s="2">
        <v>46177.771556018517</v>
      </c>
      <c r="G511" s="1" t="s">
        <v>1211</v>
      </c>
      <c r="H511" s="2">
        <v>46177.771556053238</v>
      </c>
      <c r="I511" s="1" t="s">
        <v>1211</v>
      </c>
      <c r="J511" s="1" t="s">
        <v>3572</v>
      </c>
    </row>
    <row r="512" spans="1:10" x14ac:dyDescent="0.35">
      <c r="A512" s="1" t="s">
        <v>928</v>
      </c>
      <c r="B512" s="1" t="s">
        <v>1209</v>
      </c>
      <c r="C512" s="1" t="s">
        <v>1210</v>
      </c>
      <c r="D512" s="2">
        <v>46177</v>
      </c>
      <c r="E512">
        <v>3.9877528301816997E-2</v>
      </c>
      <c r="F512" s="2">
        <v>46177.771556168984</v>
      </c>
      <c r="G512" s="1" t="s">
        <v>1211</v>
      </c>
      <c r="H512" s="2">
        <v>46177.771556250002</v>
      </c>
      <c r="I512" s="1" t="s">
        <v>1211</v>
      </c>
      <c r="J512" s="1" t="s">
        <v>3545</v>
      </c>
    </row>
    <row r="513" spans="1:10" x14ac:dyDescent="0.35">
      <c r="A513" s="1" t="s">
        <v>930</v>
      </c>
      <c r="B513" s="1" t="s">
        <v>1209</v>
      </c>
      <c r="C513" s="1" t="s">
        <v>1210</v>
      </c>
      <c r="D513" s="2">
        <v>46177</v>
      </c>
      <c r="E513">
        <v>4.0837747949202398E-2</v>
      </c>
      <c r="F513" s="2">
        <v>46177.771566400465</v>
      </c>
      <c r="G513" s="1" t="s">
        <v>1211</v>
      </c>
      <c r="H513" s="2">
        <v>46177.771566516203</v>
      </c>
      <c r="I513" s="1" t="s">
        <v>1211</v>
      </c>
      <c r="J513" s="1" t="s">
        <v>3573</v>
      </c>
    </row>
    <row r="514" spans="1:10" x14ac:dyDescent="0.35">
      <c r="A514" s="1" t="s">
        <v>1030</v>
      </c>
      <c r="B514" s="1" t="s">
        <v>1209</v>
      </c>
      <c r="C514" s="1" t="s">
        <v>1210</v>
      </c>
      <c r="D514" s="2">
        <v>46177</v>
      </c>
      <c r="E514">
        <v>4.1763507484709902E-2</v>
      </c>
      <c r="F514" s="2">
        <v>46177.771556331019</v>
      </c>
      <c r="G514" s="1" t="s">
        <v>1211</v>
      </c>
      <c r="H514" s="2">
        <v>46177.771556250002</v>
      </c>
      <c r="I514" s="1" t="s">
        <v>1211</v>
      </c>
      <c r="J514" s="1" t="s">
        <v>3574</v>
      </c>
    </row>
    <row r="515" spans="1:10" x14ac:dyDescent="0.35">
      <c r="A515" s="1" t="s">
        <v>940</v>
      </c>
      <c r="B515" s="1" t="s">
        <v>1209</v>
      </c>
      <c r="C515" s="1" t="s">
        <v>1210</v>
      </c>
      <c r="D515" s="2">
        <v>46177</v>
      </c>
      <c r="E515">
        <v>4.0172569444589197E-2</v>
      </c>
      <c r="F515" s="2">
        <v>46177.771556481479</v>
      </c>
      <c r="G515" s="1" t="s">
        <v>1211</v>
      </c>
      <c r="H515" s="2">
        <v>46177.771556446758</v>
      </c>
      <c r="I515" s="1" t="s">
        <v>1211</v>
      </c>
      <c r="J515" s="1" t="s">
        <v>3462</v>
      </c>
    </row>
    <row r="516" spans="1:10" x14ac:dyDescent="0.35">
      <c r="A516" s="1" t="s">
        <v>942</v>
      </c>
      <c r="B516" s="1" t="s">
        <v>1209</v>
      </c>
      <c r="C516" s="1" t="s">
        <v>1210</v>
      </c>
      <c r="D516" s="2">
        <v>46177</v>
      </c>
      <c r="E516">
        <v>4.2967531769879302E-2</v>
      </c>
      <c r="F516" s="2">
        <v>46177.771556678243</v>
      </c>
      <c r="G516" s="1" t="s">
        <v>1211</v>
      </c>
      <c r="H516" s="2">
        <v>46177.771556597225</v>
      </c>
      <c r="I516" s="1" t="s">
        <v>1211</v>
      </c>
      <c r="J516" s="1" t="s">
        <v>3575</v>
      </c>
    </row>
    <row r="517" spans="1:10" x14ac:dyDescent="0.35">
      <c r="A517" s="1" t="s">
        <v>944</v>
      </c>
      <c r="B517" s="1" t="s">
        <v>1209</v>
      </c>
      <c r="C517" s="1" t="s">
        <v>1210</v>
      </c>
      <c r="D517" s="2">
        <v>46177</v>
      </c>
      <c r="E517">
        <v>1.5460900426806401E-2</v>
      </c>
      <c r="F517" s="2">
        <v>46177.771568136573</v>
      </c>
      <c r="G517" s="1" t="s">
        <v>1211</v>
      </c>
      <c r="H517" s="2">
        <v>46177.771568136573</v>
      </c>
      <c r="I517" s="1" t="s">
        <v>1211</v>
      </c>
      <c r="J517" s="1" t="s">
        <v>3576</v>
      </c>
    </row>
    <row r="518" spans="1:10" x14ac:dyDescent="0.35">
      <c r="A518" s="1" t="s">
        <v>932</v>
      </c>
      <c r="B518" s="1" t="s">
        <v>1209</v>
      </c>
      <c r="C518" s="1" t="s">
        <v>1210</v>
      </c>
      <c r="D518" s="2">
        <v>46177</v>
      </c>
      <c r="E518">
        <v>4.46310582670119E-2</v>
      </c>
      <c r="F518" s="2">
        <v>46177.771571261575</v>
      </c>
      <c r="G518" s="1" t="s">
        <v>1211</v>
      </c>
      <c r="H518" s="2">
        <v>46177.771571377314</v>
      </c>
      <c r="I518" s="1" t="s">
        <v>1211</v>
      </c>
      <c r="J518" s="1" t="s">
        <v>3577</v>
      </c>
    </row>
    <row r="519" spans="1:10" x14ac:dyDescent="0.35">
      <c r="A519" s="1" t="s">
        <v>946</v>
      </c>
      <c r="B519" s="1" t="s">
        <v>1209</v>
      </c>
      <c r="C519" s="1" t="s">
        <v>1210</v>
      </c>
      <c r="D519" s="2">
        <v>46177</v>
      </c>
      <c r="E519">
        <v>4.09131105857585E-2</v>
      </c>
      <c r="F519" s="2">
        <v>46177.771556979169</v>
      </c>
      <c r="G519" s="1" t="s">
        <v>1211</v>
      </c>
      <c r="H519" s="2">
        <v>46177.771556979169</v>
      </c>
      <c r="I519" s="1" t="s">
        <v>1211</v>
      </c>
      <c r="J519" s="1" t="s">
        <v>3436</v>
      </c>
    </row>
    <row r="520" spans="1:10" x14ac:dyDescent="0.35">
      <c r="A520" s="1" t="s">
        <v>948</v>
      </c>
      <c r="B520" s="1" t="s">
        <v>1209</v>
      </c>
      <c r="C520" s="1" t="s">
        <v>1210</v>
      </c>
      <c r="D520" s="2">
        <v>46177</v>
      </c>
      <c r="E520">
        <v>4.0184695287274003E-2</v>
      </c>
      <c r="F520" s="2">
        <v>46177.771557141205</v>
      </c>
      <c r="G520" s="1" t="s">
        <v>1211</v>
      </c>
      <c r="H520" s="2">
        <v>46177.771557141205</v>
      </c>
      <c r="I520" s="1" t="s">
        <v>1211</v>
      </c>
      <c r="J520" s="1" t="s">
        <v>3578</v>
      </c>
    </row>
    <row r="521" spans="1:10" x14ac:dyDescent="0.35">
      <c r="A521" s="1" t="s">
        <v>950</v>
      </c>
      <c r="B521" s="1" t="s">
        <v>1209</v>
      </c>
      <c r="C521" s="1" t="s">
        <v>1210</v>
      </c>
      <c r="D521" s="2">
        <v>46177</v>
      </c>
      <c r="E521">
        <v>4.3008691085097799E-2</v>
      </c>
      <c r="F521" s="2">
        <v>46177.771557291664</v>
      </c>
      <c r="G521" s="1" t="s">
        <v>1211</v>
      </c>
      <c r="H521" s="2">
        <v>46177.771557326392</v>
      </c>
      <c r="I521" s="1" t="s">
        <v>1211</v>
      </c>
      <c r="J521" s="1" t="s">
        <v>3579</v>
      </c>
    </row>
    <row r="522" spans="1:10" x14ac:dyDescent="0.35">
      <c r="A522" s="1" t="s">
        <v>934</v>
      </c>
      <c r="B522" s="1" t="s">
        <v>1209</v>
      </c>
      <c r="C522" s="1" t="s">
        <v>1210</v>
      </c>
      <c r="D522" s="2">
        <v>46177</v>
      </c>
      <c r="E522">
        <v>4.1774846541017902E-2</v>
      </c>
      <c r="F522" s="2">
        <v>46177.77156828704</v>
      </c>
      <c r="G522" s="1" t="s">
        <v>1211</v>
      </c>
      <c r="H522" s="2">
        <v>46177.77156828704</v>
      </c>
      <c r="I522" s="1" t="s">
        <v>1211</v>
      </c>
      <c r="J522" s="1" t="s">
        <v>3552</v>
      </c>
    </row>
    <row r="523" spans="1:10" x14ac:dyDescent="0.35">
      <c r="A523" s="1" t="s">
        <v>1032</v>
      </c>
      <c r="B523" s="1" t="s">
        <v>1209</v>
      </c>
      <c r="C523" s="1" t="s">
        <v>1210</v>
      </c>
      <c r="D523" s="2">
        <v>46177</v>
      </c>
      <c r="E523">
        <v>4.0876106643936198E-2</v>
      </c>
      <c r="F523" s="2">
        <v>46177.771557442131</v>
      </c>
      <c r="G523" s="1" t="s">
        <v>1211</v>
      </c>
      <c r="H523" s="2">
        <v>46177.771557523149</v>
      </c>
      <c r="I523" s="1" t="s">
        <v>1211</v>
      </c>
      <c r="J523" s="1" t="s">
        <v>3580</v>
      </c>
    </row>
    <row r="524" spans="1:10" x14ac:dyDescent="0.35">
      <c r="A524" s="1" t="s">
        <v>952</v>
      </c>
      <c r="B524" s="1" t="s">
        <v>1209</v>
      </c>
      <c r="C524" s="1" t="s">
        <v>1210</v>
      </c>
      <c r="D524" s="2">
        <v>46177</v>
      </c>
      <c r="E524">
        <v>4.3073021153831201E-2</v>
      </c>
      <c r="F524" s="2">
        <v>46177.771557638887</v>
      </c>
      <c r="G524" s="1" t="s">
        <v>1211</v>
      </c>
      <c r="H524" s="2">
        <v>46177.771557719905</v>
      </c>
      <c r="I524" s="1" t="s">
        <v>1211</v>
      </c>
      <c r="J524" s="1" t="s">
        <v>3343</v>
      </c>
    </row>
    <row r="525" spans="1:10" x14ac:dyDescent="0.35">
      <c r="A525" s="1" t="s">
        <v>1046</v>
      </c>
      <c r="B525" s="1" t="s">
        <v>1209</v>
      </c>
      <c r="C525" s="1" t="s">
        <v>1210</v>
      </c>
      <c r="D525" s="2">
        <v>46177</v>
      </c>
      <c r="E525">
        <v>4.1800141355830399E-2</v>
      </c>
      <c r="F525" s="2">
        <v>46177.771572534723</v>
      </c>
      <c r="G525" s="1" t="s">
        <v>1211</v>
      </c>
      <c r="H525" s="2">
        <v>46177.771572650461</v>
      </c>
      <c r="I525" s="1" t="s">
        <v>1211</v>
      </c>
      <c r="J525" s="1" t="s">
        <v>3563</v>
      </c>
    </row>
    <row r="526" spans="1:10" x14ac:dyDescent="0.35">
      <c r="A526" s="1" t="s">
        <v>954</v>
      </c>
      <c r="B526" s="1" t="s">
        <v>1209</v>
      </c>
      <c r="C526" s="1" t="s">
        <v>1210</v>
      </c>
      <c r="D526" s="2">
        <v>46177</v>
      </c>
      <c r="E526">
        <v>4.0338833394961103E-2</v>
      </c>
      <c r="F526" s="2">
        <v>46177.771557754633</v>
      </c>
      <c r="G526" s="1" t="s">
        <v>1211</v>
      </c>
      <c r="H526" s="2">
        <v>46177.771557719905</v>
      </c>
      <c r="I526" s="1" t="s">
        <v>1211</v>
      </c>
      <c r="J526" s="1" t="s">
        <v>3581</v>
      </c>
    </row>
    <row r="527" spans="1:10" x14ac:dyDescent="0.35">
      <c r="A527" s="1" t="s">
        <v>1034</v>
      </c>
      <c r="B527" s="1" t="s">
        <v>1209</v>
      </c>
      <c r="C527" s="1" t="s">
        <v>1210</v>
      </c>
      <c r="D527" s="2">
        <v>46177</v>
      </c>
      <c r="E527">
        <v>4.09453823308897E-2</v>
      </c>
      <c r="F527" s="2">
        <v>46177.771571412035</v>
      </c>
      <c r="G527" s="1" t="s">
        <v>1211</v>
      </c>
      <c r="H527" s="2">
        <v>46177.771571562502</v>
      </c>
      <c r="I527" s="1" t="s">
        <v>1211</v>
      </c>
      <c r="J527" s="1" t="s">
        <v>3320</v>
      </c>
    </row>
    <row r="528" spans="1:10" x14ac:dyDescent="0.35">
      <c r="A528" s="1" t="s">
        <v>958</v>
      </c>
      <c r="B528" s="1" t="s">
        <v>1209</v>
      </c>
      <c r="C528" s="1" t="s">
        <v>1210</v>
      </c>
      <c r="D528" s="2">
        <v>46177</v>
      </c>
      <c r="E528">
        <v>2.0935570134047701E-2</v>
      </c>
      <c r="F528" s="2">
        <v>46177.771557905093</v>
      </c>
      <c r="G528" s="1" t="s">
        <v>1211</v>
      </c>
      <c r="H528" s="2">
        <v>46177.771557870372</v>
      </c>
      <c r="I528" s="1" t="s">
        <v>1211</v>
      </c>
      <c r="J528" s="1" t="s">
        <v>3498</v>
      </c>
    </row>
    <row r="529" spans="1:10" x14ac:dyDescent="0.35">
      <c r="A529" s="1" t="s">
        <v>960</v>
      </c>
      <c r="B529" s="1" t="s">
        <v>1209</v>
      </c>
      <c r="C529" s="1" t="s">
        <v>1210</v>
      </c>
      <c r="D529" s="2">
        <v>46177</v>
      </c>
      <c r="E529">
        <v>4.18156918976881E-2</v>
      </c>
      <c r="F529" s="2">
        <v>46177.771558067128</v>
      </c>
      <c r="G529" s="1" t="s">
        <v>1211</v>
      </c>
      <c r="H529" s="2">
        <v>46177.771558067128</v>
      </c>
      <c r="I529" s="1" t="s">
        <v>1211</v>
      </c>
      <c r="J529" s="1" t="s">
        <v>3582</v>
      </c>
    </row>
    <row r="530" spans="1:10" x14ac:dyDescent="0.35">
      <c r="A530" s="1" t="s">
        <v>962</v>
      </c>
      <c r="B530" s="1" t="s">
        <v>1209</v>
      </c>
      <c r="C530" s="1" t="s">
        <v>1210</v>
      </c>
      <c r="D530" s="2">
        <v>46177</v>
      </c>
      <c r="E530">
        <v>4.3120101433250298E-2</v>
      </c>
      <c r="F530" s="2">
        <v>46177.77157222222</v>
      </c>
      <c r="G530" s="1" t="s">
        <v>1211</v>
      </c>
      <c r="H530" s="2">
        <v>46177.771572303238</v>
      </c>
      <c r="I530" s="1" t="s">
        <v>1211</v>
      </c>
      <c r="J530" s="1" t="s">
        <v>3583</v>
      </c>
    </row>
    <row r="531" spans="1:10" x14ac:dyDescent="0.35">
      <c r="A531" s="1" t="s">
        <v>964</v>
      </c>
      <c r="B531" s="1" t="s">
        <v>1209</v>
      </c>
      <c r="C531" s="1" t="s">
        <v>1210</v>
      </c>
      <c r="D531" s="2">
        <v>46177</v>
      </c>
      <c r="E531">
        <v>4.4719409648756703E-2</v>
      </c>
      <c r="F531" s="2">
        <v>46177.771572372687</v>
      </c>
      <c r="G531" s="1" t="s">
        <v>1211</v>
      </c>
      <c r="H531" s="2">
        <v>46177.771572453705</v>
      </c>
      <c r="I531" s="1" t="s">
        <v>1211</v>
      </c>
      <c r="J531" s="1" t="s">
        <v>3584</v>
      </c>
    </row>
    <row r="532" spans="1:10" x14ac:dyDescent="0.35">
      <c r="A532" s="1" t="s">
        <v>976</v>
      </c>
      <c r="B532" s="1" t="s">
        <v>1209</v>
      </c>
      <c r="C532" s="1" t="s">
        <v>1210</v>
      </c>
      <c r="D532" s="2">
        <v>46177</v>
      </c>
      <c r="E532">
        <v>4.0978324422251203E-2</v>
      </c>
      <c r="F532" s="2">
        <v>46177.771558217595</v>
      </c>
      <c r="G532" s="1" t="s">
        <v>1211</v>
      </c>
      <c r="H532" s="2">
        <v>46177.771558252316</v>
      </c>
      <c r="I532" s="1" t="s">
        <v>1211</v>
      </c>
      <c r="J532" s="1" t="s">
        <v>3569</v>
      </c>
    </row>
    <row r="533" spans="1:10" x14ac:dyDescent="0.35">
      <c r="A533" s="1" t="s">
        <v>966</v>
      </c>
      <c r="B533" s="1" t="s">
        <v>1209</v>
      </c>
      <c r="C533" s="1" t="s">
        <v>1210</v>
      </c>
      <c r="D533" s="2">
        <v>46177</v>
      </c>
      <c r="E533">
        <v>4.0309889399676398E-2</v>
      </c>
      <c r="F533" s="2">
        <v>46177.771568402779</v>
      </c>
      <c r="G533" s="1" t="s">
        <v>1211</v>
      </c>
      <c r="H533" s="2">
        <v>46177.771568483797</v>
      </c>
      <c r="I533" s="1" t="s">
        <v>1211</v>
      </c>
      <c r="J533" s="1" t="s">
        <v>3585</v>
      </c>
    </row>
    <row r="534" spans="1:10" x14ac:dyDescent="0.35">
      <c r="A534" s="1" t="s">
        <v>1036</v>
      </c>
      <c r="B534" s="1" t="s">
        <v>1209</v>
      </c>
      <c r="C534" s="1" t="s">
        <v>1210</v>
      </c>
      <c r="D534" s="2">
        <v>46177</v>
      </c>
      <c r="E534">
        <v>4.3135977689738897E-2</v>
      </c>
      <c r="F534" s="2">
        <v>46177.771558368055</v>
      </c>
      <c r="G534" s="1" t="s">
        <v>1211</v>
      </c>
      <c r="H534" s="2">
        <v>46177.771558414352</v>
      </c>
      <c r="I534" s="1" t="s">
        <v>1211</v>
      </c>
      <c r="J534" s="1" t="s">
        <v>3586</v>
      </c>
    </row>
    <row r="535" spans="1:10" x14ac:dyDescent="0.35">
      <c r="A535" s="1" t="s">
        <v>968</v>
      </c>
      <c r="B535" s="1" t="s">
        <v>1209</v>
      </c>
      <c r="C535" s="1" t="s">
        <v>1210</v>
      </c>
      <c r="D535" s="2">
        <v>46177</v>
      </c>
      <c r="E535">
        <v>4.1779455793870102E-2</v>
      </c>
      <c r="F535" s="2">
        <v>46177.771558483793</v>
      </c>
      <c r="G535" s="1" t="s">
        <v>1211</v>
      </c>
      <c r="H535" s="2">
        <v>46177.771558599539</v>
      </c>
      <c r="I535" s="1" t="s">
        <v>1211</v>
      </c>
      <c r="J535" s="1" t="s">
        <v>3587</v>
      </c>
    </row>
    <row r="536" spans="1:10" x14ac:dyDescent="0.35">
      <c r="A536" s="1" t="s">
        <v>1038</v>
      </c>
      <c r="B536" s="1" t="s">
        <v>1209</v>
      </c>
      <c r="C536" s="1" t="s">
        <v>1210</v>
      </c>
      <c r="D536" s="2">
        <v>46177</v>
      </c>
      <c r="E536">
        <v>4.0962773083141203E-2</v>
      </c>
      <c r="F536" s="2">
        <v>46177.771571562502</v>
      </c>
      <c r="G536" s="1" t="s">
        <v>1211</v>
      </c>
      <c r="H536" s="2">
        <v>46177.771571562502</v>
      </c>
      <c r="I536" s="1" t="s">
        <v>1211</v>
      </c>
      <c r="J536" s="1" t="s">
        <v>3588</v>
      </c>
    </row>
    <row r="537" spans="1:10" x14ac:dyDescent="0.35">
      <c r="A537" s="1" t="s">
        <v>970</v>
      </c>
      <c r="B537" s="1" t="s">
        <v>1209</v>
      </c>
      <c r="C537" s="1" t="s">
        <v>1210</v>
      </c>
      <c r="D537" s="2">
        <v>46177</v>
      </c>
      <c r="E537">
        <v>4.3171776487428003E-2</v>
      </c>
      <c r="F537" s="2">
        <v>46177.771568553238</v>
      </c>
      <c r="G537" s="1" t="s">
        <v>1211</v>
      </c>
      <c r="H537" s="2">
        <v>46177.771568668984</v>
      </c>
      <c r="I537" s="1" t="s">
        <v>1211</v>
      </c>
      <c r="J537" s="1" t="s">
        <v>3557</v>
      </c>
    </row>
    <row r="538" spans="1:10" x14ac:dyDescent="0.35">
      <c r="A538" s="1" t="s">
        <v>978</v>
      </c>
      <c r="B538" s="1" t="s">
        <v>1209</v>
      </c>
      <c r="C538" s="1" t="s">
        <v>1210</v>
      </c>
      <c r="D538" s="2">
        <v>46177</v>
      </c>
      <c r="E538">
        <v>4.1865145731234503E-2</v>
      </c>
      <c r="F538" s="2">
        <v>46177.771571724537</v>
      </c>
      <c r="G538" s="1" t="s">
        <v>1211</v>
      </c>
      <c r="H538" s="2">
        <v>46177.771571724537</v>
      </c>
      <c r="I538" s="1" t="s">
        <v>1211</v>
      </c>
      <c r="J538" s="1" t="s">
        <v>3589</v>
      </c>
    </row>
    <row r="539" spans="1:10" x14ac:dyDescent="0.35">
      <c r="A539" s="1" t="s">
        <v>972</v>
      </c>
      <c r="B539" s="1" t="s">
        <v>1209</v>
      </c>
      <c r="C539" s="1" t="s">
        <v>1210</v>
      </c>
      <c r="D539" s="2">
        <v>46177</v>
      </c>
      <c r="E539">
        <v>4.0477973962734101E-2</v>
      </c>
      <c r="F539" s="2">
        <v>46177.771571874997</v>
      </c>
      <c r="G539" s="1" t="s">
        <v>1211</v>
      </c>
      <c r="H539" s="2">
        <v>46177.771571909725</v>
      </c>
      <c r="I539" s="1" t="s">
        <v>1211</v>
      </c>
      <c r="J539" s="1" t="s">
        <v>3590</v>
      </c>
    </row>
    <row r="540" spans="1:10" x14ac:dyDescent="0.35">
      <c r="A540" s="1" t="s">
        <v>980</v>
      </c>
      <c r="B540" s="1" t="s">
        <v>1209</v>
      </c>
      <c r="C540" s="1" t="s">
        <v>1210</v>
      </c>
      <c r="D540" s="2">
        <v>46177</v>
      </c>
      <c r="E540">
        <v>4.0999922582359301E-2</v>
      </c>
      <c r="F540" s="2">
        <v>46177.771558680557</v>
      </c>
      <c r="G540" s="1" t="s">
        <v>1211</v>
      </c>
      <c r="H540" s="2">
        <v>46177.771558599539</v>
      </c>
      <c r="I540" s="1" t="s">
        <v>1211</v>
      </c>
      <c r="J540" s="1" t="s">
        <v>3591</v>
      </c>
    </row>
    <row r="541" spans="1:10" x14ac:dyDescent="0.35">
      <c r="A541" s="1" t="s">
        <v>982</v>
      </c>
      <c r="B541" s="1" t="s">
        <v>1209</v>
      </c>
      <c r="C541" s="1" t="s">
        <v>1210</v>
      </c>
      <c r="D541" s="2">
        <v>46177</v>
      </c>
      <c r="E541">
        <v>4.1856654731664202E-2</v>
      </c>
      <c r="F541" s="2">
        <v>46177.771572685182</v>
      </c>
      <c r="G541" s="1" t="s">
        <v>1211</v>
      </c>
      <c r="H541" s="2">
        <v>46177.771572835649</v>
      </c>
      <c r="I541" s="1" t="s">
        <v>1211</v>
      </c>
      <c r="J541" s="1" t="s">
        <v>3559</v>
      </c>
    </row>
    <row r="542" spans="1:10" x14ac:dyDescent="0.35">
      <c r="A542" s="1" t="s">
        <v>1048</v>
      </c>
      <c r="B542" s="1" t="s">
        <v>1209</v>
      </c>
      <c r="C542" s="1" t="s">
        <v>1210</v>
      </c>
      <c r="D542" s="2">
        <v>46177</v>
      </c>
      <c r="E542">
        <v>4.0521493439465997E-2</v>
      </c>
      <c r="F542" s="2">
        <v>46177.771558831017</v>
      </c>
      <c r="G542" s="1" t="s">
        <v>1211</v>
      </c>
      <c r="H542" s="2">
        <v>46177.771558796296</v>
      </c>
      <c r="I542" s="1" t="s">
        <v>1211</v>
      </c>
      <c r="J542" s="1" t="s">
        <v>3593</v>
      </c>
    </row>
    <row r="543" spans="1:10" x14ac:dyDescent="0.35">
      <c r="A543" s="1" t="s">
        <v>974</v>
      </c>
      <c r="B543" s="1" t="s">
        <v>1209</v>
      </c>
      <c r="C543" s="1" t="s">
        <v>1210</v>
      </c>
      <c r="D543" s="2">
        <v>46177</v>
      </c>
      <c r="E543">
        <v>4.3265889851545801E-2</v>
      </c>
      <c r="F543" s="2">
        <v>46177.771558993052</v>
      </c>
      <c r="G543" s="1" t="s">
        <v>1211</v>
      </c>
      <c r="H543" s="2">
        <v>46177.771558946763</v>
      </c>
      <c r="I543" s="1" t="s">
        <v>1211</v>
      </c>
      <c r="J543" s="1" t="s">
        <v>3592</v>
      </c>
    </row>
    <row r="544" spans="1:10" x14ac:dyDescent="0.35">
      <c r="A544" s="1" t="s">
        <v>1064</v>
      </c>
      <c r="B544" s="1" t="s">
        <v>1209</v>
      </c>
      <c r="C544" s="1" t="s">
        <v>1210</v>
      </c>
      <c r="D544" s="2">
        <v>46177</v>
      </c>
      <c r="E544">
        <v>1.68435835163043E-2</v>
      </c>
      <c r="F544" s="2">
        <v>46177.771559143519</v>
      </c>
      <c r="G544" s="1" t="s">
        <v>1211</v>
      </c>
      <c r="H544" s="2">
        <v>46177.771559143519</v>
      </c>
      <c r="I544" s="1" t="s">
        <v>1211</v>
      </c>
      <c r="J544" s="1" t="s">
        <v>3594</v>
      </c>
    </row>
    <row r="545" spans="1:10" x14ac:dyDescent="0.35">
      <c r="A545" s="1" t="s">
        <v>2940</v>
      </c>
      <c r="B545" s="1" t="s">
        <v>1209</v>
      </c>
      <c r="C545" s="1" t="s">
        <v>1210</v>
      </c>
      <c r="D545" s="2">
        <v>46177</v>
      </c>
      <c r="E545">
        <v>4.4758510707736898E-2</v>
      </c>
      <c r="F545" s="2">
        <v>46177.771573761573</v>
      </c>
      <c r="G545" s="1" t="s">
        <v>1211</v>
      </c>
      <c r="H545" s="2">
        <v>46177.771573923608</v>
      </c>
      <c r="I545" s="1" t="s">
        <v>1211</v>
      </c>
      <c r="J545" s="1" t="s">
        <v>3595</v>
      </c>
    </row>
    <row r="546" spans="1:10" x14ac:dyDescent="0.35">
      <c r="A546" s="1" t="s">
        <v>2941</v>
      </c>
      <c r="B546" s="1" t="s">
        <v>1209</v>
      </c>
      <c r="C546" s="1" t="s">
        <v>1210</v>
      </c>
      <c r="D546" s="2">
        <v>46177</v>
      </c>
      <c r="E546">
        <v>4.1004671627679401E-2</v>
      </c>
      <c r="F546" s="2">
        <v>46177.771559259258</v>
      </c>
      <c r="G546" s="1" t="s">
        <v>1211</v>
      </c>
      <c r="H546" s="2">
        <v>46177.771559340275</v>
      </c>
      <c r="I546" s="1" t="s">
        <v>1211</v>
      </c>
      <c r="J546" s="1" t="s">
        <v>3596</v>
      </c>
    </row>
    <row r="547" spans="1:10" x14ac:dyDescent="0.35">
      <c r="A547" s="1" t="s">
        <v>3597</v>
      </c>
      <c r="B547" s="1" t="s">
        <v>1209</v>
      </c>
      <c r="C547" s="1" t="s">
        <v>1210</v>
      </c>
      <c r="D547" s="2">
        <v>46177</v>
      </c>
      <c r="E547">
        <v>4.0482821646692903E-2</v>
      </c>
      <c r="F547" s="2">
        <v>46177.771568715281</v>
      </c>
      <c r="G547" s="1" t="s">
        <v>1211</v>
      </c>
      <c r="H547" s="2">
        <v>46177.771568668984</v>
      </c>
      <c r="I547" s="1" t="s">
        <v>1211</v>
      </c>
      <c r="J547" s="1" t="s">
        <v>3598</v>
      </c>
    </row>
    <row r="548" spans="1:10" x14ac:dyDescent="0.35">
      <c r="A548" s="1" t="s">
        <v>3599</v>
      </c>
      <c r="B548" s="1" t="s">
        <v>1209</v>
      </c>
      <c r="C548" s="1" t="s">
        <v>1210</v>
      </c>
      <c r="D548" s="2">
        <v>46177</v>
      </c>
      <c r="E548">
        <v>4.3277118203363302E-2</v>
      </c>
      <c r="F548" s="2">
        <v>46177.771559409724</v>
      </c>
      <c r="G548" s="1" t="s">
        <v>1211</v>
      </c>
      <c r="H548" s="2">
        <v>46177.771559490742</v>
      </c>
      <c r="I548" s="1" t="s">
        <v>1211</v>
      </c>
      <c r="J548" s="1" t="s">
        <v>3600</v>
      </c>
    </row>
    <row r="549" spans="1:10" x14ac:dyDescent="0.35">
      <c r="A549" s="1" t="s">
        <v>3601</v>
      </c>
      <c r="B549" s="1" t="s">
        <v>1209</v>
      </c>
      <c r="C549" s="1" t="s">
        <v>1210</v>
      </c>
      <c r="D549" s="2">
        <v>46177</v>
      </c>
      <c r="E549">
        <v>4.1870800977739299E-2</v>
      </c>
      <c r="F549" s="2">
        <v>46177.771568865741</v>
      </c>
      <c r="G549" s="1" t="s">
        <v>1211</v>
      </c>
      <c r="H549" s="2">
        <v>46177.77156883102</v>
      </c>
      <c r="I549" s="1" t="s">
        <v>1211</v>
      </c>
      <c r="J549" s="1" t="s">
        <v>3602</v>
      </c>
    </row>
    <row r="550" spans="1:10" x14ac:dyDescent="0.35">
      <c r="A550" s="1" t="s">
        <v>984</v>
      </c>
      <c r="B550" s="1" t="s">
        <v>1209</v>
      </c>
      <c r="C550" s="1" t="s">
        <v>1210</v>
      </c>
      <c r="D550" s="2">
        <v>46177</v>
      </c>
      <c r="E550">
        <v>4.2479825692899299E-2</v>
      </c>
      <c r="F550" s="2">
        <v>46177.7715690162</v>
      </c>
      <c r="G550" s="1" t="s">
        <v>1211</v>
      </c>
      <c r="H550" s="2">
        <v>46177.7715690162</v>
      </c>
      <c r="I550" s="1" t="s">
        <v>1211</v>
      </c>
      <c r="J550" s="1" t="s">
        <v>3603</v>
      </c>
    </row>
    <row r="551" spans="1:10" x14ac:dyDescent="0.35">
      <c r="A551" s="1" t="s">
        <v>1104</v>
      </c>
      <c r="B551" s="1" t="s">
        <v>1209</v>
      </c>
      <c r="C551" s="1" t="s">
        <v>1210</v>
      </c>
      <c r="D551" s="2">
        <v>46177</v>
      </c>
      <c r="E551">
        <v>4.2824832487072202E-2</v>
      </c>
      <c r="F551" s="2">
        <v>46177.77155957176</v>
      </c>
      <c r="G551" s="1" t="s">
        <v>1211</v>
      </c>
      <c r="H551" s="2">
        <v>46177.771559490742</v>
      </c>
      <c r="I551" s="1" t="s">
        <v>1211</v>
      </c>
      <c r="J551" s="1" t="s">
        <v>3604</v>
      </c>
    </row>
    <row r="552" spans="1:10" x14ac:dyDescent="0.35">
      <c r="A552" s="1" t="s">
        <v>1050</v>
      </c>
      <c r="B552" s="1" t="s">
        <v>1209</v>
      </c>
      <c r="C552" s="1" t="s">
        <v>1210</v>
      </c>
      <c r="D552" s="2">
        <v>46177</v>
      </c>
      <c r="E552">
        <v>4.3039826622285199E-2</v>
      </c>
      <c r="F552" s="2">
        <v>46177.771574768522</v>
      </c>
      <c r="G552" s="1" t="s">
        <v>1211</v>
      </c>
      <c r="H552" s="2">
        <v>46177.771574849539</v>
      </c>
      <c r="I552" s="1" t="s">
        <v>1211</v>
      </c>
      <c r="J552" s="1" t="s">
        <v>3605</v>
      </c>
    </row>
    <row r="553" spans="1:10" x14ac:dyDescent="0.35">
      <c r="A553" s="1" t="s">
        <v>1076</v>
      </c>
      <c r="B553" s="1" t="s">
        <v>1209</v>
      </c>
      <c r="C553" s="1" t="s">
        <v>1210</v>
      </c>
      <c r="D553" s="2">
        <v>46177</v>
      </c>
      <c r="E553">
        <v>4.3454805528038799E-2</v>
      </c>
      <c r="F553" s="2">
        <v>46177.771569178243</v>
      </c>
      <c r="G553" s="1" t="s">
        <v>1211</v>
      </c>
      <c r="H553" s="2">
        <v>46177.771569212964</v>
      </c>
      <c r="I553" s="1" t="s">
        <v>1211</v>
      </c>
      <c r="J553" s="1" t="s">
        <v>3606</v>
      </c>
    </row>
    <row r="554" spans="1:10" x14ac:dyDescent="0.35">
      <c r="A554" s="1" t="s">
        <v>1052</v>
      </c>
      <c r="B554" s="1" t="s">
        <v>1209</v>
      </c>
      <c r="C554" s="1" t="s">
        <v>1210</v>
      </c>
      <c r="D554" s="2">
        <v>46177</v>
      </c>
      <c r="E554">
        <v>4.38648417614921E-2</v>
      </c>
      <c r="F554" s="2">
        <v>46177.771572881946</v>
      </c>
      <c r="G554" s="1" t="s">
        <v>1211</v>
      </c>
      <c r="H554" s="2">
        <v>46177.771572997684</v>
      </c>
      <c r="I554" s="1" t="s">
        <v>1211</v>
      </c>
      <c r="J554" s="1" t="s">
        <v>3607</v>
      </c>
    </row>
    <row r="555" spans="1:10" x14ac:dyDescent="0.35">
      <c r="A555" s="1" t="s">
        <v>1054</v>
      </c>
      <c r="B555" s="1" t="s">
        <v>1209</v>
      </c>
      <c r="C555" s="1" t="s">
        <v>1210</v>
      </c>
      <c r="D555" s="2">
        <v>46177</v>
      </c>
      <c r="E555">
        <v>4.4279839624891702E-2</v>
      </c>
      <c r="F555" s="2">
        <v>46177.77155972222</v>
      </c>
      <c r="G555" s="1" t="s">
        <v>1211</v>
      </c>
      <c r="H555" s="2">
        <v>46177.771559687499</v>
      </c>
      <c r="I555" s="1" t="s">
        <v>1211</v>
      </c>
      <c r="J555" s="1" t="s">
        <v>3608</v>
      </c>
    </row>
    <row r="556" spans="1:10" x14ac:dyDescent="0.35">
      <c r="A556" s="1" t="s">
        <v>1002</v>
      </c>
      <c r="B556" s="1" t="s">
        <v>1209</v>
      </c>
      <c r="C556" s="1" t="s">
        <v>1210</v>
      </c>
      <c r="D556" s="2">
        <v>46177</v>
      </c>
      <c r="E556">
        <v>4.4589812431283599E-2</v>
      </c>
      <c r="F556" s="2">
        <v>46177.771574918981</v>
      </c>
      <c r="G556" s="1" t="s">
        <v>1211</v>
      </c>
      <c r="H556" s="2">
        <v>46177.77157503472</v>
      </c>
      <c r="I556" s="1" t="s">
        <v>1211</v>
      </c>
      <c r="J556" s="1" t="s">
        <v>3609</v>
      </c>
    </row>
    <row r="557" spans="1:10" x14ac:dyDescent="0.35">
      <c r="A557" s="1" t="s">
        <v>1066</v>
      </c>
      <c r="B557" s="1" t="s">
        <v>1209</v>
      </c>
      <c r="C557" s="1" t="s">
        <v>1210</v>
      </c>
      <c r="D557" s="2">
        <v>46177</v>
      </c>
      <c r="E557">
        <v>4.4984792130415403E-2</v>
      </c>
      <c r="F557" s="2">
        <v>46177.771559872686</v>
      </c>
      <c r="G557" s="1" t="s">
        <v>1211</v>
      </c>
      <c r="H557" s="2">
        <v>46177.771559872686</v>
      </c>
      <c r="I557" s="1" t="s">
        <v>1211</v>
      </c>
      <c r="J557" s="1" t="s">
        <v>3610</v>
      </c>
    </row>
    <row r="558" spans="1:10" x14ac:dyDescent="0.35">
      <c r="A558" s="1" t="s">
        <v>1068</v>
      </c>
      <c r="B558" s="1" t="s">
        <v>1209</v>
      </c>
      <c r="C558" s="1" t="s">
        <v>1210</v>
      </c>
      <c r="D558" s="2">
        <v>46177</v>
      </c>
      <c r="E558">
        <v>4.5314780862595098E-2</v>
      </c>
      <c r="F558" s="2">
        <v>46177.771560034722</v>
      </c>
      <c r="G558" s="1" t="s">
        <v>1211</v>
      </c>
      <c r="H558" s="2">
        <v>46177.771560034722</v>
      </c>
      <c r="I558" s="1" t="s">
        <v>1211</v>
      </c>
      <c r="J558" s="1" t="s">
        <v>3611</v>
      </c>
    </row>
    <row r="559" spans="1:10" x14ac:dyDescent="0.35">
      <c r="A559" s="1" t="s">
        <v>1078</v>
      </c>
      <c r="B559" s="1" t="s">
        <v>1209</v>
      </c>
      <c r="C559" s="1" t="s">
        <v>1210</v>
      </c>
      <c r="D559" s="2">
        <v>46177</v>
      </c>
      <c r="E559">
        <v>4.56897587706422E-2</v>
      </c>
      <c r="F559" s="2">
        <v>46177.771569328703</v>
      </c>
      <c r="G559" s="1" t="s">
        <v>1211</v>
      </c>
      <c r="H559" s="2">
        <v>46177.771569409721</v>
      </c>
      <c r="I559" s="1" t="s">
        <v>1211</v>
      </c>
      <c r="J559" s="1" t="s">
        <v>3612</v>
      </c>
    </row>
    <row r="560" spans="1:10" x14ac:dyDescent="0.35">
      <c r="A560" s="1" t="s">
        <v>986</v>
      </c>
      <c r="B560" s="1" t="s">
        <v>1209</v>
      </c>
      <c r="C560" s="1" t="s">
        <v>1210</v>
      </c>
      <c r="D560" s="2">
        <v>46177</v>
      </c>
      <c r="E560">
        <v>4.6629710612521802E-2</v>
      </c>
      <c r="F560" s="2">
        <v>46177.77156947917</v>
      </c>
      <c r="G560" s="1" t="s">
        <v>1211</v>
      </c>
      <c r="H560" s="2">
        <v>46177.771569560187</v>
      </c>
      <c r="I560" s="1" t="s">
        <v>1211</v>
      </c>
      <c r="J560" s="1" t="s">
        <v>3613</v>
      </c>
    </row>
    <row r="561" spans="1:10" x14ac:dyDescent="0.35">
      <c r="A561" s="1" t="s">
        <v>988</v>
      </c>
      <c r="B561" s="1" t="s">
        <v>1209</v>
      </c>
      <c r="C561" s="1" t="s">
        <v>1210</v>
      </c>
      <c r="D561" s="2">
        <v>46177</v>
      </c>
      <c r="E561">
        <v>4.2654492429053101E-2</v>
      </c>
      <c r="F561" s="2">
        <v>46177.771560266207</v>
      </c>
      <c r="G561" s="1" t="s">
        <v>1211</v>
      </c>
      <c r="H561" s="2">
        <v>46177.77156021991</v>
      </c>
      <c r="I561" s="1" t="s">
        <v>1211</v>
      </c>
      <c r="J561" s="1" t="s">
        <v>3614</v>
      </c>
    </row>
    <row r="562" spans="1:10" x14ac:dyDescent="0.35">
      <c r="A562" s="1" t="s">
        <v>1004</v>
      </c>
      <c r="B562" s="1" t="s">
        <v>1209</v>
      </c>
      <c r="C562" s="1" t="s">
        <v>1210</v>
      </c>
      <c r="D562" s="2">
        <v>46177</v>
      </c>
      <c r="E562">
        <v>4.28665486593953E-2</v>
      </c>
      <c r="F562" s="2">
        <v>46177.771573032405</v>
      </c>
      <c r="G562" s="1" t="s">
        <v>1211</v>
      </c>
      <c r="H562" s="2">
        <v>46177.771573182872</v>
      </c>
      <c r="I562" s="1" t="s">
        <v>1211</v>
      </c>
      <c r="J562" s="1" t="s">
        <v>3615</v>
      </c>
    </row>
    <row r="563" spans="1:10" x14ac:dyDescent="0.35">
      <c r="A563" s="1" t="s">
        <v>1056</v>
      </c>
      <c r="B563" s="1" t="s">
        <v>1209</v>
      </c>
      <c r="C563" s="1" t="s">
        <v>1210</v>
      </c>
      <c r="D563" s="2">
        <v>46177</v>
      </c>
      <c r="E563">
        <v>4.3178203690512E-2</v>
      </c>
      <c r="F563" s="2">
        <v>46177.771560416666</v>
      </c>
      <c r="G563" s="1" t="s">
        <v>1211</v>
      </c>
      <c r="H563" s="2">
        <v>46177.771560416666</v>
      </c>
      <c r="I563" s="1" t="s">
        <v>1211</v>
      </c>
      <c r="J563" s="1" t="s">
        <v>3616</v>
      </c>
    </row>
    <row r="564" spans="1:10" x14ac:dyDescent="0.35">
      <c r="A564" s="1" t="s">
        <v>1058</v>
      </c>
      <c r="B564" s="1" t="s">
        <v>1209</v>
      </c>
      <c r="C564" s="1" t="s">
        <v>1210</v>
      </c>
      <c r="D564" s="2">
        <v>46177</v>
      </c>
      <c r="E564">
        <v>4.3700849566956003E-2</v>
      </c>
      <c r="F564" s="2">
        <v>46177.771575081017</v>
      </c>
      <c r="G564" s="1" t="s">
        <v>1211</v>
      </c>
      <c r="H564" s="2">
        <v>46177.771575231483</v>
      </c>
      <c r="I564" s="1" t="s">
        <v>1211</v>
      </c>
      <c r="J564" s="1" t="s">
        <v>3617</v>
      </c>
    </row>
    <row r="565" spans="1:10" x14ac:dyDescent="0.35">
      <c r="A565" s="1" t="s">
        <v>1060</v>
      </c>
      <c r="B565" s="1" t="s">
        <v>1209</v>
      </c>
      <c r="C565" s="1" t="s">
        <v>1210</v>
      </c>
      <c r="D565" s="2">
        <v>46177</v>
      </c>
      <c r="E565">
        <v>4.40806481610308E-2</v>
      </c>
      <c r="F565" s="2">
        <v>46177.771577662039</v>
      </c>
      <c r="G565" s="1" t="s">
        <v>1211</v>
      </c>
      <c r="H565" s="2">
        <v>46177.771577662039</v>
      </c>
      <c r="I565" s="1" t="s">
        <v>1211</v>
      </c>
      <c r="J565" s="1" t="s">
        <v>3618</v>
      </c>
    </row>
    <row r="566" spans="1:10" x14ac:dyDescent="0.35">
      <c r="A566" s="1" t="s">
        <v>990</v>
      </c>
      <c r="B566" s="1" t="s">
        <v>1209</v>
      </c>
      <c r="C566" s="1" t="s">
        <v>1210</v>
      </c>
      <c r="D566" s="2">
        <v>46177</v>
      </c>
      <c r="E566">
        <v>4.44401766707841E-2</v>
      </c>
      <c r="F566" s="2">
        <v>46177.771573182872</v>
      </c>
      <c r="G566" s="1" t="s">
        <v>1211</v>
      </c>
      <c r="H566" s="2">
        <v>46177.771573182872</v>
      </c>
      <c r="I566" s="1" t="s">
        <v>1211</v>
      </c>
      <c r="J566" s="1" t="s">
        <v>3619</v>
      </c>
    </row>
    <row r="567" spans="1:10" x14ac:dyDescent="0.35">
      <c r="A567" s="1" t="s">
        <v>1080</v>
      </c>
      <c r="B567" s="1" t="s">
        <v>1209</v>
      </c>
      <c r="C567" s="1" t="s">
        <v>1210</v>
      </c>
      <c r="D567" s="2">
        <v>46177</v>
      </c>
      <c r="E567">
        <v>4.4797622525690001E-2</v>
      </c>
      <c r="F567" s="2">
        <v>46177.771577233798</v>
      </c>
      <c r="G567" s="1" t="s">
        <v>1211</v>
      </c>
      <c r="H567" s="2">
        <v>46177.771577280095</v>
      </c>
      <c r="I567" s="1" t="s">
        <v>1211</v>
      </c>
      <c r="J567" s="1" t="s">
        <v>3620</v>
      </c>
    </row>
    <row r="568" spans="1:10" x14ac:dyDescent="0.35">
      <c r="A568" s="1" t="s">
        <v>1070</v>
      </c>
      <c r="B568" s="1" t="s">
        <v>1209</v>
      </c>
      <c r="C568" s="1" t="s">
        <v>1210</v>
      </c>
      <c r="D568" s="2">
        <v>46177</v>
      </c>
      <c r="E568">
        <v>4.5174627737721101E-2</v>
      </c>
      <c r="F568" s="2">
        <v>46177.771575231483</v>
      </c>
      <c r="G568" s="1" t="s">
        <v>1211</v>
      </c>
      <c r="H568" s="2">
        <v>46177.771575231483</v>
      </c>
      <c r="I568" s="1" t="s">
        <v>1211</v>
      </c>
      <c r="J568" s="1" t="s">
        <v>3621</v>
      </c>
    </row>
    <row r="569" spans="1:10" x14ac:dyDescent="0.35">
      <c r="A569" s="1" t="s">
        <v>992</v>
      </c>
      <c r="B569" s="1" t="s">
        <v>1209</v>
      </c>
      <c r="C569" s="1" t="s">
        <v>1210</v>
      </c>
      <c r="D569" s="2">
        <v>46177</v>
      </c>
      <c r="E569">
        <v>4.5549175868482901E-2</v>
      </c>
      <c r="F569" s="2">
        <v>46177.771569641205</v>
      </c>
      <c r="G569" s="1" t="s">
        <v>1211</v>
      </c>
      <c r="H569" s="2">
        <v>46177.771569560187</v>
      </c>
      <c r="I569" s="1" t="s">
        <v>1211</v>
      </c>
      <c r="J569" s="1" t="s">
        <v>3622</v>
      </c>
    </row>
    <row r="570" spans="1:10" x14ac:dyDescent="0.35">
      <c r="A570" s="1" t="s">
        <v>994</v>
      </c>
      <c r="B570" s="1" t="s">
        <v>1209</v>
      </c>
      <c r="C570" s="1" t="s">
        <v>1210</v>
      </c>
      <c r="D570" s="2">
        <v>46177</v>
      </c>
      <c r="E570">
        <v>4.59476241464618E-2</v>
      </c>
      <c r="F570" s="2">
        <v>46177.771573344908</v>
      </c>
      <c r="G570" s="1" t="s">
        <v>1211</v>
      </c>
      <c r="H570" s="2">
        <v>46177.771573379629</v>
      </c>
      <c r="I570" s="1" t="s">
        <v>1211</v>
      </c>
      <c r="J570" s="1" t="s">
        <v>3623</v>
      </c>
    </row>
    <row r="571" spans="1:10" x14ac:dyDescent="0.35">
      <c r="A571" s="1" t="s">
        <v>1124</v>
      </c>
      <c r="B571" s="1" t="s">
        <v>1209</v>
      </c>
      <c r="C571" s="1" t="s">
        <v>1210</v>
      </c>
      <c r="D571" s="2">
        <v>46177</v>
      </c>
      <c r="E571">
        <v>4.6400380583659799E-2</v>
      </c>
      <c r="F571" s="2">
        <v>46177.771560567133</v>
      </c>
      <c r="G571" s="1" t="s">
        <v>1211</v>
      </c>
      <c r="H571" s="2">
        <v>46177.771560613422</v>
      </c>
      <c r="I571" s="1" t="s">
        <v>1211</v>
      </c>
      <c r="J571" s="1" t="s">
        <v>3624</v>
      </c>
    </row>
    <row r="572" spans="1:10" x14ac:dyDescent="0.35">
      <c r="A572" s="1" t="s">
        <v>1006</v>
      </c>
      <c r="B572" s="1" t="s">
        <v>1209</v>
      </c>
      <c r="C572" s="1" t="s">
        <v>1210</v>
      </c>
      <c r="D572" s="2">
        <v>46177</v>
      </c>
      <c r="E572">
        <v>4.6848837928163301E-2</v>
      </c>
      <c r="F572" s="2">
        <v>46177.771573495367</v>
      </c>
      <c r="G572" s="1" t="s">
        <v>1211</v>
      </c>
      <c r="H572" s="2">
        <v>46177.771573530095</v>
      </c>
      <c r="I572" s="1" t="s">
        <v>1211</v>
      </c>
      <c r="J572" s="1" t="s">
        <v>3625</v>
      </c>
    </row>
    <row r="573" spans="1:10" x14ac:dyDescent="0.35">
      <c r="A573" s="1" t="s">
        <v>1106</v>
      </c>
      <c r="B573" s="1" t="s">
        <v>1209</v>
      </c>
      <c r="C573" s="1" t="s">
        <v>1210</v>
      </c>
      <c r="D573" s="2">
        <v>46177</v>
      </c>
      <c r="E573">
        <v>4.7089723464534501E-2</v>
      </c>
      <c r="F573" s="2">
        <v>46177.771569710647</v>
      </c>
      <c r="G573" s="1" t="s">
        <v>1211</v>
      </c>
      <c r="H573" s="2">
        <v>46177.771569756944</v>
      </c>
      <c r="I573" s="1" t="s">
        <v>1211</v>
      </c>
      <c r="J573" s="1" t="s">
        <v>3626</v>
      </c>
    </row>
    <row r="574" spans="1:10" x14ac:dyDescent="0.35">
      <c r="A574" s="1" t="s">
        <v>1008</v>
      </c>
      <c r="B574" s="1" t="s">
        <v>1209</v>
      </c>
      <c r="C574" s="1" t="s">
        <v>1210</v>
      </c>
      <c r="D574" s="2">
        <v>46177</v>
      </c>
      <c r="E574">
        <v>4.757968490443E-2</v>
      </c>
      <c r="F574" s="2">
        <v>46177.771560729168</v>
      </c>
      <c r="G574" s="1" t="s">
        <v>1211</v>
      </c>
      <c r="H574" s="2">
        <v>46177.771560763889</v>
      </c>
      <c r="I574" s="1" t="s">
        <v>1211</v>
      </c>
      <c r="J574" s="1" t="s">
        <v>3627</v>
      </c>
    </row>
    <row r="575" spans="1:10" x14ac:dyDescent="0.35">
      <c r="A575" s="1" t="s">
        <v>1072</v>
      </c>
      <c r="B575" s="1" t="s">
        <v>1209</v>
      </c>
      <c r="C575" s="1" t="s">
        <v>1210</v>
      </c>
      <c r="D575" s="2">
        <v>46177</v>
      </c>
      <c r="E575">
        <v>4.7376322368728498E-2</v>
      </c>
      <c r="F575" s="2">
        <v>46177.771569872682</v>
      </c>
      <c r="G575" s="1" t="s">
        <v>1211</v>
      </c>
      <c r="H575" s="2">
        <v>46177.771569942131</v>
      </c>
      <c r="I575" s="1" t="s">
        <v>1211</v>
      </c>
      <c r="J575" s="1" t="s">
        <v>3628</v>
      </c>
    </row>
    <row r="576" spans="1:10" x14ac:dyDescent="0.35">
      <c r="A576" s="1" t="s">
        <v>1010</v>
      </c>
      <c r="B576" s="1" t="s">
        <v>1209</v>
      </c>
      <c r="C576" s="1" t="s">
        <v>1210</v>
      </c>
      <c r="D576" s="2">
        <v>46177</v>
      </c>
      <c r="E576">
        <v>4.7853540704080398E-2</v>
      </c>
      <c r="F576" s="2">
        <v>46177.771560879628</v>
      </c>
      <c r="G576" s="1" t="s">
        <v>1211</v>
      </c>
      <c r="H576" s="2">
        <v>46177.771560960646</v>
      </c>
      <c r="I576" s="1" t="s">
        <v>1211</v>
      </c>
      <c r="J576" s="1" t="s">
        <v>3629</v>
      </c>
    </row>
    <row r="577" spans="1:10" x14ac:dyDescent="0.35">
      <c r="A577" s="1" t="s">
        <v>996</v>
      </c>
      <c r="B577" s="1" t="s">
        <v>1209</v>
      </c>
      <c r="C577" s="1" t="s">
        <v>1210</v>
      </c>
      <c r="D577" s="2">
        <v>46177</v>
      </c>
      <c r="E577">
        <v>4.8029672064239297E-2</v>
      </c>
      <c r="F577" s="2">
        <v>46177.771570023149</v>
      </c>
      <c r="G577" s="1" t="s">
        <v>1211</v>
      </c>
      <c r="H577" s="2">
        <v>46177.771570104167</v>
      </c>
      <c r="I577" s="1" t="s">
        <v>1211</v>
      </c>
      <c r="J577" s="1" t="s">
        <v>3630</v>
      </c>
    </row>
    <row r="578" spans="1:10" x14ac:dyDescent="0.35">
      <c r="A578" s="1" t="s">
        <v>1012</v>
      </c>
      <c r="B578" s="1" t="s">
        <v>1209</v>
      </c>
      <c r="C578" s="1" t="s">
        <v>1210</v>
      </c>
      <c r="D578" s="2">
        <v>46177</v>
      </c>
      <c r="E578">
        <v>4.8449368029435697E-2</v>
      </c>
      <c r="F578" s="2">
        <v>46177.771577395833</v>
      </c>
      <c r="G578" s="1" t="s">
        <v>1211</v>
      </c>
      <c r="H578" s="2">
        <v>46177.771577465275</v>
      </c>
      <c r="I578" s="1" t="s">
        <v>1211</v>
      </c>
      <c r="J578" s="1" t="s">
        <v>3631</v>
      </c>
    </row>
    <row r="579" spans="1:10" x14ac:dyDescent="0.35">
      <c r="A579" s="1" t="s">
        <v>1082</v>
      </c>
      <c r="B579" s="1" t="s">
        <v>1209</v>
      </c>
      <c r="C579" s="1" t="s">
        <v>1210</v>
      </c>
      <c r="D579" s="2">
        <v>46177</v>
      </c>
      <c r="E579">
        <v>4.82296941581528E-2</v>
      </c>
      <c r="F579" s="2">
        <v>46177.771573611113</v>
      </c>
      <c r="G579" s="1" t="s">
        <v>1211</v>
      </c>
      <c r="H579" s="2">
        <v>46177.771573726852</v>
      </c>
      <c r="I579" s="1" t="s">
        <v>1211</v>
      </c>
      <c r="J579" s="1" t="s">
        <v>3632</v>
      </c>
    </row>
    <row r="580" spans="1:10" x14ac:dyDescent="0.35">
      <c r="A580" s="1" t="s">
        <v>1108</v>
      </c>
      <c r="B580" s="1" t="s">
        <v>1209</v>
      </c>
      <c r="C580" s="1" t="s">
        <v>1210</v>
      </c>
      <c r="D580" s="2">
        <v>46177</v>
      </c>
      <c r="E580">
        <v>4.8719710634801697E-2</v>
      </c>
      <c r="F580" s="2">
        <v>46177.771575381943</v>
      </c>
      <c r="G580" s="1" t="s">
        <v>1211</v>
      </c>
      <c r="H580" s="2">
        <v>46177.77157542824</v>
      </c>
      <c r="I580" s="1" t="s">
        <v>1211</v>
      </c>
      <c r="J580" s="1" t="s">
        <v>3633</v>
      </c>
    </row>
    <row r="581" spans="1:10" x14ac:dyDescent="0.35">
      <c r="A581" s="1" t="s">
        <v>1014</v>
      </c>
      <c r="B581" s="1" t="s">
        <v>1209</v>
      </c>
      <c r="C581" s="1" t="s">
        <v>1210</v>
      </c>
      <c r="D581" s="2">
        <v>46177</v>
      </c>
      <c r="E581">
        <v>4.8924661600668301E-2</v>
      </c>
      <c r="F581" s="2">
        <v>46177.771570173609</v>
      </c>
      <c r="G581" s="1" t="s">
        <v>1211</v>
      </c>
      <c r="H581" s="2">
        <v>46177.771570289355</v>
      </c>
      <c r="I581" s="1" t="s">
        <v>1211</v>
      </c>
      <c r="J581" s="1" t="s">
        <v>3634</v>
      </c>
    </row>
    <row r="582" spans="1:10" x14ac:dyDescent="0.35">
      <c r="A582" s="1" t="s">
        <v>1110</v>
      </c>
      <c r="B582" s="1" t="s">
        <v>1209</v>
      </c>
      <c r="C582" s="1" t="s">
        <v>1210</v>
      </c>
      <c r="D582" s="2">
        <v>46177</v>
      </c>
      <c r="E582">
        <v>4.9149699934847198E-2</v>
      </c>
      <c r="F582" s="2">
        <v>46177.771575543979</v>
      </c>
      <c r="G582" s="1" t="s">
        <v>1211</v>
      </c>
      <c r="H582" s="2">
        <v>46177.771575578707</v>
      </c>
      <c r="I582" s="1" t="s">
        <v>1211</v>
      </c>
      <c r="J582" s="1" t="s">
        <v>3635</v>
      </c>
    </row>
    <row r="583" spans="1:10" x14ac:dyDescent="0.35">
      <c r="A583" s="1" t="s">
        <v>1016</v>
      </c>
      <c r="B583" s="1" t="s">
        <v>1209</v>
      </c>
      <c r="C583" s="1" t="s">
        <v>1210</v>
      </c>
      <c r="D583" s="2">
        <v>46177</v>
      </c>
      <c r="E583">
        <v>4.9394515373572603E-2</v>
      </c>
      <c r="F583" s="2">
        <v>46177.771573923608</v>
      </c>
      <c r="G583" s="1" t="s">
        <v>1211</v>
      </c>
      <c r="H583" s="2">
        <v>46177.771574074075</v>
      </c>
      <c r="I583" s="1" t="s">
        <v>1211</v>
      </c>
      <c r="J583" s="1" t="s">
        <v>3636</v>
      </c>
    </row>
    <row r="584" spans="1:10" x14ac:dyDescent="0.35">
      <c r="A584" s="1" t="s">
        <v>1062</v>
      </c>
      <c r="B584" s="1" t="s">
        <v>1209</v>
      </c>
      <c r="C584" s="1" t="s">
        <v>1210</v>
      </c>
      <c r="D584" s="2">
        <v>46177</v>
      </c>
      <c r="E584">
        <v>4.9579873915879202E-2</v>
      </c>
      <c r="F584" s="2">
        <v>46177.771574108796</v>
      </c>
      <c r="G584" s="1" t="s">
        <v>1211</v>
      </c>
      <c r="H584" s="2">
        <v>46177.771574270831</v>
      </c>
      <c r="I584" s="1" t="s">
        <v>1211</v>
      </c>
      <c r="J584" s="1" t="s">
        <v>3637</v>
      </c>
    </row>
    <row r="585" spans="1:10" x14ac:dyDescent="0.35">
      <c r="A585" s="1" t="s">
        <v>998</v>
      </c>
      <c r="B585" s="1" t="s">
        <v>1209</v>
      </c>
      <c r="C585" s="1" t="s">
        <v>1210</v>
      </c>
      <c r="D585" s="2">
        <v>46177</v>
      </c>
      <c r="E585">
        <v>4.9834644760857402E-2</v>
      </c>
      <c r="F585" s="2">
        <v>46177.771574270831</v>
      </c>
      <c r="G585" s="1" t="s">
        <v>1211</v>
      </c>
      <c r="H585" s="2">
        <v>46177.771574305552</v>
      </c>
      <c r="I585" s="1" t="s">
        <v>1211</v>
      </c>
      <c r="J585" s="1" t="s">
        <v>3638</v>
      </c>
    </row>
    <row r="586" spans="1:10" x14ac:dyDescent="0.35">
      <c r="A586" s="1" t="s">
        <v>1000</v>
      </c>
      <c r="B586" s="1" t="s">
        <v>1209</v>
      </c>
      <c r="C586" s="1" t="s">
        <v>1210</v>
      </c>
      <c r="D586" s="2">
        <v>46177</v>
      </c>
      <c r="E586">
        <v>5.0009678542589003E-2</v>
      </c>
      <c r="F586" s="2">
        <v>46177.771574421298</v>
      </c>
      <c r="G586" s="1" t="s">
        <v>1211</v>
      </c>
      <c r="H586" s="2">
        <v>46177.771574502316</v>
      </c>
      <c r="I586" s="1" t="s">
        <v>1211</v>
      </c>
      <c r="J586" s="1" t="s">
        <v>3639</v>
      </c>
    </row>
    <row r="587" spans="1:10" x14ac:dyDescent="0.35">
      <c r="A587" s="1" t="s">
        <v>1040</v>
      </c>
      <c r="B587" s="1" t="s">
        <v>1209</v>
      </c>
      <c r="C587" s="1" t="s">
        <v>1210</v>
      </c>
      <c r="D587" s="2">
        <v>46177</v>
      </c>
      <c r="E587">
        <v>5.02497035276449E-2</v>
      </c>
      <c r="F587" s="2">
        <v>46177.771561030095</v>
      </c>
      <c r="G587" s="1" t="s">
        <v>1211</v>
      </c>
      <c r="H587" s="2">
        <v>46177.771560960646</v>
      </c>
      <c r="I587" s="1" t="s">
        <v>1211</v>
      </c>
      <c r="J587" s="1" t="s">
        <v>3640</v>
      </c>
    </row>
    <row r="588" spans="1:10" x14ac:dyDescent="0.35">
      <c r="A588" s="1" t="s">
        <v>1096</v>
      </c>
      <c r="B588" s="1" t="s">
        <v>1209</v>
      </c>
      <c r="C588" s="1" t="s">
        <v>1210</v>
      </c>
      <c r="D588" s="2">
        <v>46177</v>
      </c>
      <c r="E588">
        <v>5.2374476837843999E-2</v>
      </c>
      <c r="F588" s="2">
        <v>46177.77157646991</v>
      </c>
      <c r="G588" s="1" t="s">
        <v>1211</v>
      </c>
      <c r="H588" s="2">
        <v>46177.771576504631</v>
      </c>
      <c r="I588" s="1" t="s">
        <v>1211</v>
      </c>
      <c r="J588" s="1" t="s">
        <v>3641</v>
      </c>
    </row>
    <row r="589" spans="1:10" x14ac:dyDescent="0.35">
      <c r="A589" s="1" t="s">
        <v>1018</v>
      </c>
      <c r="B589" s="1" t="s">
        <v>1209</v>
      </c>
      <c r="C589" s="1" t="s">
        <v>1210</v>
      </c>
      <c r="D589" s="2">
        <v>46177</v>
      </c>
      <c r="E589">
        <v>5.04297893738739E-2</v>
      </c>
      <c r="F589" s="2">
        <v>46177.771574571758</v>
      </c>
      <c r="G589" s="1" t="s">
        <v>1211</v>
      </c>
      <c r="H589" s="2">
        <v>46177.771574687496</v>
      </c>
      <c r="I589" s="1" t="s">
        <v>1211</v>
      </c>
      <c r="J589" s="1" t="s">
        <v>3642</v>
      </c>
    </row>
    <row r="590" spans="1:10" x14ac:dyDescent="0.35">
      <c r="A590" s="1" t="s">
        <v>1112</v>
      </c>
      <c r="B590" s="1" t="s">
        <v>1209</v>
      </c>
      <c r="C590" s="1" t="s">
        <v>1210</v>
      </c>
      <c r="D590" s="2">
        <v>46177</v>
      </c>
      <c r="E590">
        <v>5.0554612483661401E-2</v>
      </c>
      <c r="F590" s="2">
        <v>46177.771570335652</v>
      </c>
      <c r="G590" s="1" t="s">
        <v>1211</v>
      </c>
      <c r="H590" s="2">
        <v>46177.771570486111</v>
      </c>
      <c r="I590" s="1" t="s">
        <v>1211</v>
      </c>
      <c r="J590" s="1" t="s">
        <v>3643</v>
      </c>
    </row>
    <row r="591" spans="1:10" x14ac:dyDescent="0.35">
      <c r="A591" s="1" t="s">
        <v>1074</v>
      </c>
      <c r="B591" s="1" t="s">
        <v>1209</v>
      </c>
      <c r="C591" s="1" t="s">
        <v>1210</v>
      </c>
      <c r="D591" s="2">
        <v>46177</v>
      </c>
      <c r="E591">
        <v>5.0754673291191099E-2</v>
      </c>
      <c r="F591" s="2">
        <v>46177.77156119213</v>
      </c>
      <c r="G591" s="1" t="s">
        <v>1211</v>
      </c>
      <c r="H591" s="2">
        <v>46177.771561145833</v>
      </c>
      <c r="I591" s="1" t="s">
        <v>1211</v>
      </c>
      <c r="J591" s="1" t="s">
        <v>3644</v>
      </c>
    </row>
    <row r="592" spans="1:10" x14ac:dyDescent="0.35">
      <c r="A592" s="1" t="s">
        <v>1114</v>
      </c>
      <c r="B592" s="1" t="s">
        <v>1209</v>
      </c>
      <c r="C592" s="1" t="s">
        <v>1210</v>
      </c>
      <c r="D592" s="2">
        <v>46177</v>
      </c>
      <c r="E592">
        <v>5.0939714922750401E-2</v>
      </c>
      <c r="F592" s="2">
        <v>46177.771575694445</v>
      </c>
      <c r="G592" s="1" t="s">
        <v>1211</v>
      </c>
      <c r="H592" s="2">
        <v>46177.771575775463</v>
      </c>
      <c r="I592" s="1" t="s">
        <v>1211</v>
      </c>
      <c r="J592" s="1" t="s">
        <v>3645</v>
      </c>
    </row>
    <row r="593" spans="1:10" x14ac:dyDescent="0.35">
      <c r="A593" s="1" t="s">
        <v>1042</v>
      </c>
      <c r="B593" s="1" t="s">
        <v>1209</v>
      </c>
      <c r="C593" s="1" t="s">
        <v>1210</v>
      </c>
      <c r="D593" s="2">
        <v>46177</v>
      </c>
      <c r="E593">
        <v>5.10096464526998E-2</v>
      </c>
      <c r="F593" s="2">
        <v>46177.771570486111</v>
      </c>
      <c r="G593" s="1" t="s">
        <v>1211</v>
      </c>
      <c r="H593" s="2">
        <v>46177.771570636571</v>
      </c>
      <c r="I593" s="1" t="s">
        <v>1211</v>
      </c>
      <c r="J593" s="1" t="s">
        <v>3646</v>
      </c>
    </row>
    <row r="594" spans="1:10" x14ac:dyDescent="0.35">
      <c r="A594" s="1" t="s">
        <v>1116</v>
      </c>
      <c r="B594" s="1" t="s">
        <v>1209</v>
      </c>
      <c r="C594" s="1" t="s">
        <v>1210</v>
      </c>
      <c r="D594" s="2">
        <v>46177</v>
      </c>
      <c r="E594">
        <v>5.1179674409287702E-2</v>
      </c>
      <c r="F594" s="2">
        <v>46177.771576620369</v>
      </c>
      <c r="G594" s="1" t="s">
        <v>1211</v>
      </c>
      <c r="H594" s="2">
        <v>46177.77157665509</v>
      </c>
      <c r="I594" s="1" t="s">
        <v>1211</v>
      </c>
      <c r="J594" s="1" t="s">
        <v>3647</v>
      </c>
    </row>
    <row r="595" spans="1:10" x14ac:dyDescent="0.35">
      <c r="A595" s="1" t="s">
        <v>1098</v>
      </c>
      <c r="B595" s="1" t="s">
        <v>1209</v>
      </c>
      <c r="C595" s="1" t="s">
        <v>1210</v>
      </c>
      <c r="D595" s="2">
        <v>46177</v>
      </c>
      <c r="E595">
        <v>5.1354618215409598E-2</v>
      </c>
      <c r="F595" s="2">
        <v>46177.77156134259</v>
      </c>
      <c r="G595" s="1" t="s">
        <v>1211</v>
      </c>
      <c r="H595" s="2">
        <v>46177.771561307869</v>
      </c>
      <c r="I595" s="1" t="s">
        <v>1211</v>
      </c>
      <c r="J595" s="1" t="s">
        <v>3648</v>
      </c>
    </row>
    <row r="596" spans="1:10" x14ac:dyDescent="0.35">
      <c r="A596" s="1" t="s">
        <v>1118</v>
      </c>
      <c r="B596" s="1" t="s">
        <v>1209</v>
      </c>
      <c r="C596" s="1" t="s">
        <v>1210</v>
      </c>
      <c r="D596" s="2">
        <v>46177</v>
      </c>
      <c r="E596">
        <v>5.1484575647447801E-2</v>
      </c>
      <c r="F596" s="2">
        <v>46177.771575844905</v>
      </c>
      <c r="G596" s="1" t="s">
        <v>1211</v>
      </c>
      <c r="H596" s="2">
        <v>46177.771575960651</v>
      </c>
      <c r="I596" s="1" t="s">
        <v>1211</v>
      </c>
      <c r="J596" s="1" t="s">
        <v>3649</v>
      </c>
    </row>
    <row r="597" spans="1:10" x14ac:dyDescent="0.35">
      <c r="A597" s="1" t="s">
        <v>1084</v>
      </c>
      <c r="B597" s="1" t="s">
        <v>1209</v>
      </c>
      <c r="C597" s="1" t="s">
        <v>1210</v>
      </c>
      <c r="D597" s="2">
        <v>46177</v>
      </c>
      <c r="E597">
        <v>5.16295885081791E-2</v>
      </c>
      <c r="F597" s="2">
        <v>46177.771576770836</v>
      </c>
      <c r="G597" s="1" t="s">
        <v>1211</v>
      </c>
      <c r="H597" s="2">
        <v>46177.771576851854</v>
      </c>
      <c r="I597" s="1" t="s">
        <v>1211</v>
      </c>
      <c r="J597" s="1" t="s">
        <v>3650</v>
      </c>
    </row>
    <row r="598" spans="1:10" x14ac:dyDescent="0.35">
      <c r="A598" s="1" t="s">
        <v>1086</v>
      </c>
      <c r="B598" s="1" t="s">
        <v>1209</v>
      </c>
      <c r="C598" s="1" t="s">
        <v>1210</v>
      </c>
      <c r="D598" s="2">
        <v>46177</v>
      </c>
      <c r="E598">
        <v>5.1724601310754299E-2</v>
      </c>
      <c r="F598" s="2">
        <v>46177.771561458336</v>
      </c>
      <c r="G598" s="1" t="s">
        <v>1211</v>
      </c>
      <c r="H598" s="2">
        <v>46177.771561493057</v>
      </c>
      <c r="I598" s="1" t="s">
        <v>1211</v>
      </c>
      <c r="J598" s="1" t="s">
        <v>3651</v>
      </c>
    </row>
    <row r="599" spans="1:10" x14ac:dyDescent="0.35">
      <c r="A599" s="1" t="s">
        <v>1088</v>
      </c>
      <c r="B599" s="1" t="s">
        <v>1209</v>
      </c>
      <c r="C599" s="1" t="s">
        <v>1210</v>
      </c>
      <c r="D599" s="2">
        <v>46177</v>
      </c>
      <c r="E599">
        <v>5.1844595777836698E-2</v>
      </c>
      <c r="F599" s="2">
        <v>46177.771561608795</v>
      </c>
      <c r="G599" s="1" t="s">
        <v>1211</v>
      </c>
      <c r="H599" s="2">
        <v>46177.771561689813</v>
      </c>
      <c r="I599" s="1" t="s">
        <v>1211</v>
      </c>
      <c r="J599" s="1" t="s">
        <v>3652</v>
      </c>
    </row>
    <row r="600" spans="1:10" x14ac:dyDescent="0.35">
      <c r="A600" s="1" t="s">
        <v>1020</v>
      </c>
      <c r="B600" s="1" t="s">
        <v>1209</v>
      </c>
      <c r="C600" s="1" t="s">
        <v>1210</v>
      </c>
      <c r="D600" s="2">
        <v>46177</v>
      </c>
      <c r="E600">
        <v>5.1964149190178603E-2</v>
      </c>
      <c r="F600" s="2">
        <v>46177.771577546293</v>
      </c>
      <c r="G600" s="1" t="s">
        <v>1211</v>
      </c>
      <c r="H600" s="2">
        <v>46177.771577662039</v>
      </c>
      <c r="I600" s="1" t="s">
        <v>1211</v>
      </c>
      <c r="J600" s="1" t="s">
        <v>3653</v>
      </c>
    </row>
    <row r="601" spans="1:10" x14ac:dyDescent="0.35">
      <c r="A601" s="1" t="s">
        <v>1090</v>
      </c>
      <c r="B601" s="1" t="s">
        <v>1209</v>
      </c>
      <c r="C601" s="1" t="s">
        <v>1210</v>
      </c>
      <c r="D601" s="2">
        <v>46177</v>
      </c>
      <c r="E601">
        <v>5.2064545010318201E-2</v>
      </c>
      <c r="F601" s="2">
        <v>46177.771576006948</v>
      </c>
      <c r="G601" s="1" t="s">
        <v>1211</v>
      </c>
      <c r="H601" s="2">
        <v>46177.771576122686</v>
      </c>
      <c r="I601" s="1" t="s">
        <v>1211</v>
      </c>
      <c r="J601" s="1" t="s">
        <v>3654</v>
      </c>
    </row>
    <row r="602" spans="1:10" x14ac:dyDescent="0.35">
      <c r="A602" s="1" t="s">
        <v>1100</v>
      </c>
      <c r="B602" s="1" t="s">
        <v>1209</v>
      </c>
      <c r="C602" s="1" t="s">
        <v>1210</v>
      </c>
      <c r="D602" s="2">
        <v>46177</v>
      </c>
      <c r="E602">
        <v>5.2164538787978498E-2</v>
      </c>
      <c r="F602" s="2">
        <v>46177.771570636571</v>
      </c>
      <c r="G602" s="1" t="s">
        <v>1211</v>
      </c>
      <c r="H602" s="2">
        <v>46177.771570636571</v>
      </c>
      <c r="I602" s="1" t="s">
        <v>1211</v>
      </c>
      <c r="J602" s="1" t="s">
        <v>3655</v>
      </c>
    </row>
    <row r="603" spans="1:10" x14ac:dyDescent="0.35">
      <c r="A603" s="1" t="s">
        <v>1092</v>
      </c>
      <c r="B603" s="1" t="s">
        <v>1209</v>
      </c>
      <c r="C603" s="1" t="s">
        <v>1210</v>
      </c>
      <c r="D603" s="2">
        <v>46177</v>
      </c>
      <c r="E603">
        <v>5.2244532713754399E-2</v>
      </c>
      <c r="F603" s="2">
        <v>46177.771576157407</v>
      </c>
      <c r="G603" s="1" t="s">
        <v>1211</v>
      </c>
      <c r="H603" s="2">
        <v>46177.771576307867</v>
      </c>
      <c r="I603" s="1" t="s">
        <v>1211</v>
      </c>
      <c r="J603" s="1" t="s">
        <v>3656</v>
      </c>
    </row>
    <row r="604" spans="1:10" x14ac:dyDescent="0.35">
      <c r="A604" s="1" t="s">
        <v>1094</v>
      </c>
      <c r="B604" s="1" t="s">
        <v>1209</v>
      </c>
      <c r="C604" s="1" t="s">
        <v>1210</v>
      </c>
      <c r="D604" s="2">
        <v>46177</v>
      </c>
      <c r="E604">
        <v>5.2319370521247799E-2</v>
      </c>
      <c r="F604" s="2">
        <v>46177.771561805559</v>
      </c>
      <c r="G604" s="1" t="s">
        <v>1211</v>
      </c>
      <c r="H604" s="2">
        <v>46177.77156184028</v>
      </c>
      <c r="I604" s="1" t="s">
        <v>1211</v>
      </c>
      <c r="J604" s="1" t="s">
        <v>3657</v>
      </c>
    </row>
    <row r="605" spans="1:10" x14ac:dyDescent="0.35">
      <c r="A605" s="1" t="s">
        <v>1102</v>
      </c>
      <c r="B605" s="1" t="s">
        <v>1209</v>
      </c>
      <c r="C605" s="1" t="s">
        <v>1210</v>
      </c>
      <c r="D605" s="2">
        <v>46177</v>
      </c>
      <c r="E605">
        <v>5.24295355298404E-2</v>
      </c>
      <c r="F605" s="2">
        <v>46177.771576932872</v>
      </c>
      <c r="G605" s="1" t="s">
        <v>1211</v>
      </c>
      <c r="H605" s="2">
        <v>46177.77157704861</v>
      </c>
      <c r="I605" s="1" t="s">
        <v>1211</v>
      </c>
      <c r="J605" s="1" t="s">
        <v>3658</v>
      </c>
    </row>
    <row r="606" spans="1:10" x14ac:dyDescent="0.35">
      <c r="A606" s="1" t="s">
        <v>1022</v>
      </c>
      <c r="B606" s="1" t="s">
        <v>1209</v>
      </c>
      <c r="C606" s="1" t="s">
        <v>1210</v>
      </c>
      <c r="D606" s="2">
        <v>46177</v>
      </c>
      <c r="E606">
        <v>5.2434463399349103E-2</v>
      </c>
      <c r="F606" s="2">
        <v>46177.771561921298</v>
      </c>
      <c r="G606" s="1" t="s">
        <v>1211</v>
      </c>
      <c r="H606" s="2">
        <v>46177.771562037036</v>
      </c>
      <c r="I606" s="1" t="s">
        <v>1211</v>
      </c>
      <c r="J606" s="1" t="s">
        <v>3659</v>
      </c>
    </row>
    <row r="607" spans="1:10" x14ac:dyDescent="0.35">
      <c r="A607" s="1" t="s">
        <v>1024</v>
      </c>
      <c r="B607" s="1" t="s">
        <v>1209</v>
      </c>
      <c r="C607" s="1" t="s">
        <v>1210</v>
      </c>
      <c r="D607" s="2">
        <v>46177</v>
      </c>
      <c r="E607">
        <v>5.24544649650368E-2</v>
      </c>
      <c r="F607" s="2">
        <v>46177.771576307867</v>
      </c>
      <c r="G607" s="1" t="s">
        <v>1211</v>
      </c>
      <c r="H607" s="2">
        <v>46177.771576307867</v>
      </c>
      <c r="I607" s="1" t="s">
        <v>1211</v>
      </c>
      <c r="J607" s="1" t="s">
        <v>3660</v>
      </c>
    </row>
    <row r="608" spans="1:10" x14ac:dyDescent="0.35">
      <c r="A608" s="1" t="s">
        <v>1044</v>
      </c>
      <c r="B608" s="1" t="s">
        <v>1209</v>
      </c>
      <c r="C608" s="1" t="s">
        <v>1210</v>
      </c>
      <c r="D608" s="2">
        <v>46177</v>
      </c>
      <c r="E608">
        <v>5.2494741374251801E-2</v>
      </c>
      <c r="F608" s="2">
        <v>46177.771577083331</v>
      </c>
      <c r="G608" s="1" t="s">
        <v>1211</v>
      </c>
      <c r="H608" s="2">
        <v>46177.771577199077</v>
      </c>
      <c r="I608" s="1" t="s">
        <v>1211</v>
      </c>
      <c r="J608" s="1" t="s">
        <v>3661</v>
      </c>
    </row>
    <row r="609" spans="1:10" x14ac:dyDescent="0.35">
      <c r="A609" s="1" t="s">
        <v>1026</v>
      </c>
      <c r="B609" s="1" t="s">
        <v>1209</v>
      </c>
      <c r="C609" s="1" t="s">
        <v>1210</v>
      </c>
      <c r="D609" s="2">
        <v>46177</v>
      </c>
      <c r="E609">
        <v>5.2509511969082802E-2</v>
      </c>
      <c r="F609" s="2">
        <v>46177.771570798614</v>
      </c>
      <c r="G609" s="1" t="s">
        <v>1211</v>
      </c>
      <c r="H609" s="2">
        <v>46177.771570833334</v>
      </c>
      <c r="I609" s="1" t="s">
        <v>1211</v>
      </c>
      <c r="J609" s="1" t="s">
        <v>3662</v>
      </c>
    </row>
    <row r="610" spans="1:10" x14ac:dyDescent="0.35">
      <c r="A610" s="1" t="s">
        <v>1028</v>
      </c>
      <c r="B610" s="1" t="s">
        <v>1209</v>
      </c>
      <c r="C610" s="1" t="s">
        <v>1210</v>
      </c>
      <c r="D610" s="2">
        <v>46177</v>
      </c>
      <c r="E610">
        <v>5.2504436508475902E-2</v>
      </c>
      <c r="F610" s="2">
        <v>46177.771562118054</v>
      </c>
      <c r="G610" s="1" t="s">
        <v>1211</v>
      </c>
      <c r="H610" s="2">
        <v>46177.771562037036</v>
      </c>
      <c r="I610" s="1" t="s">
        <v>1211</v>
      </c>
      <c r="J610" s="1" t="s">
        <v>3663</v>
      </c>
    </row>
    <row r="611" spans="1:10" x14ac:dyDescent="0.35">
      <c r="A611" s="1" t="s">
        <v>1228</v>
      </c>
      <c r="B611" s="1" t="s">
        <v>1209</v>
      </c>
      <c r="C611" s="1" t="s">
        <v>1210</v>
      </c>
      <c r="D611" s="2">
        <v>46177</v>
      </c>
      <c r="E611">
        <v>3.6447368257162098E-2</v>
      </c>
      <c r="F611" s="2">
        <v>46177.771720520832</v>
      </c>
      <c r="G611" s="1" t="s">
        <v>1211</v>
      </c>
      <c r="H611" s="2">
        <v>46177.771720405093</v>
      </c>
      <c r="I611" s="1" t="s">
        <v>1211</v>
      </c>
      <c r="J611" s="1" t="s">
        <v>3664</v>
      </c>
    </row>
    <row r="612" spans="1:10" x14ac:dyDescent="0.35">
      <c r="A612" s="1" t="s">
        <v>1229</v>
      </c>
      <c r="B612" s="1" t="s">
        <v>1209</v>
      </c>
      <c r="C612" s="1" t="s">
        <v>1210</v>
      </c>
      <c r="D612" s="2">
        <v>46177</v>
      </c>
      <c r="E612">
        <v>2.53810414781338E-2</v>
      </c>
      <c r="F612" s="2">
        <v>46177.771662500003</v>
      </c>
      <c r="G612" s="1" t="s">
        <v>1211</v>
      </c>
      <c r="H612" s="2">
        <v>46177.771662384257</v>
      </c>
      <c r="I612" s="1" t="s">
        <v>1211</v>
      </c>
      <c r="J612" s="1" t="s">
        <v>3665</v>
      </c>
    </row>
    <row r="613" spans="1:10" x14ac:dyDescent="0.35">
      <c r="A613" s="1" t="s">
        <v>1230</v>
      </c>
      <c r="B613" s="1" t="s">
        <v>1209</v>
      </c>
      <c r="C613" s="1" t="s">
        <v>1210</v>
      </c>
      <c r="D613" s="2">
        <v>46177</v>
      </c>
      <c r="E613">
        <v>2.6596478283266899E-2</v>
      </c>
      <c r="F613" s="2">
        <v>46177.771728703701</v>
      </c>
      <c r="G613" s="1" t="s">
        <v>1211</v>
      </c>
      <c r="H613" s="2">
        <v>46177.771728784719</v>
      </c>
      <c r="I613" s="1" t="s">
        <v>1211</v>
      </c>
      <c r="J613" s="1" t="s">
        <v>3666</v>
      </c>
    </row>
    <row r="614" spans="1:10" x14ac:dyDescent="0.35">
      <c r="A614" s="1" t="s">
        <v>1231</v>
      </c>
      <c r="B614" s="1" t="s">
        <v>1209</v>
      </c>
      <c r="C614" s="1" t="s">
        <v>1210</v>
      </c>
      <c r="D614" s="2">
        <v>46177</v>
      </c>
      <c r="E614">
        <v>2.77244382607333E-2</v>
      </c>
      <c r="F614" s="2">
        <v>46177.771677199074</v>
      </c>
      <c r="G614" s="1" t="s">
        <v>1211</v>
      </c>
      <c r="H614" s="2">
        <v>46177.771677118057</v>
      </c>
      <c r="I614" s="1" t="s">
        <v>1211</v>
      </c>
      <c r="J614" s="1" t="s">
        <v>3667</v>
      </c>
    </row>
    <row r="615" spans="1:10" x14ac:dyDescent="0.35">
      <c r="A615" s="1" t="s">
        <v>1232</v>
      </c>
      <c r="B615" s="1" t="s">
        <v>1209</v>
      </c>
      <c r="C615" s="1" t="s">
        <v>1210</v>
      </c>
      <c r="D615" s="2">
        <v>46177</v>
      </c>
      <c r="E615">
        <v>3.78319075203064E-2</v>
      </c>
      <c r="F615" s="2">
        <v>46177.771685069441</v>
      </c>
      <c r="G615" s="1" t="s">
        <v>1211</v>
      </c>
      <c r="H615" s="2">
        <v>46177.771685150467</v>
      </c>
      <c r="I615" s="1" t="s">
        <v>1211</v>
      </c>
      <c r="J615" s="1" t="s">
        <v>3668</v>
      </c>
    </row>
    <row r="616" spans="1:10" x14ac:dyDescent="0.35">
      <c r="A616" s="1" t="s">
        <v>1233</v>
      </c>
      <c r="B616" s="1" t="s">
        <v>1209</v>
      </c>
      <c r="C616" s="1" t="s">
        <v>1210</v>
      </c>
      <c r="D616" s="2">
        <v>46177</v>
      </c>
      <c r="E616">
        <v>3.57163071816207E-2</v>
      </c>
      <c r="F616" s="2">
        <v>46177.771749733794</v>
      </c>
      <c r="G616" s="1" t="s">
        <v>1211</v>
      </c>
      <c r="H616" s="2">
        <v>46177.771749733794</v>
      </c>
      <c r="I616" s="1" t="s">
        <v>1211</v>
      </c>
      <c r="J616" s="1" t="s">
        <v>3669</v>
      </c>
    </row>
    <row r="617" spans="1:10" x14ac:dyDescent="0.35">
      <c r="A617" s="1" t="s">
        <v>1234</v>
      </c>
      <c r="B617" s="1" t="s">
        <v>1209</v>
      </c>
      <c r="C617" s="1" t="s">
        <v>1210</v>
      </c>
      <c r="D617" s="2">
        <v>46177</v>
      </c>
      <c r="E617">
        <v>2.8351136459778201E-2</v>
      </c>
      <c r="F617" s="2">
        <v>46177.771731597219</v>
      </c>
      <c r="G617" s="1" t="s">
        <v>1211</v>
      </c>
      <c r="H617" s="2">
        <v>46177.771731678244</v>
      </c>
      <c r="I617" s="1" t="s">
        <v>1211</v>
      </c>
      <c r="J617" s="1" t="s">
        <v>3670</v>
      </c>
    </row>
    <row r="618" spans="1:10" x14ac:dyDescent="0.35">
      <c r="A618" s="1" t="s">
        <v>1235</v>
      </c>
      <c r="B618" s="1" t="s">
        <v>1209</v>
      </c>
      <c r="C618" s="1" t="s">
        <v>1210</v>
      </c>
      <c r="D618" s="2">
        <v>46177</v>
      </c>
      <c r="E618">
        <v>3.2970153954779598E-2</v>
      </c>
      <c r="F618" s="2">
        <v>46177.771676851851</v>
      </c>
      <c r="G618" s="1" t="s">
        <v>1211</v>
      </c>
      <c r="H618" s="2">
        <v>46177.771676932869</v>
      </c>
      <c r="I618" s="1" t="s">
        <v>1211</v>
      </c>
      <c r="J618" s="1" t="s">
        <v>3671</v>
      </c>
    </row>
    <row r="619" spans="1:10" x14ac:dyDescent="0.35">
      <c r="A619" s="1" t="s">
        <v>1236</v>
      </c>
      <c r="B619" s="1" t="s">
        <v>1209</v>
      </c>
      <c r="C619" s="1" t="s">
        <v>1210</v>
      </c>
      <c r="D619" s="2">
        <v>46177</v>
      </c>
      <c r="E619">
        <v>2.9304767656649099E-2</v>
      </c>
      <c r="F619" s="2">
        <v>46177.771736886571</v>
      </c>
      <c r="G619" s="1" t="s">
        <v>1211</v>
      </c>
      <c r="H619" s="2">
        <v>46177.77173695602</v>
      </c>
      <c r="I619" s="1" t="s">
        <v>1211</v>
      </c>
      <c r="J619" s="1" t="s">
        <v>3672</v>
      </c>
    </row>
    <row r="620" spans="1:10" x14ac:dyDescent="0.35">
      <c r="A620" s="1" t="s">
        <v>1237</v>
      </c>
      <c r="B620" s="1" t="s">
        <v>1209</v>
      </c>
      <c r="C620" s="1" t="s">
        <v>1210</v>
      </c>
      <c r="D620" s="2">
        <v>46177</v>
      </c>
      <c r="E620">
        <v>3.7238815273257002E-2</v>
      </c>
      <c r="F620" s="2">
        <v>46177.771685219908</v>
      </c>
      <c r="G620" s="1" t="s">
        <v>1211</v>
      </c>
      <c r="H620" s="2">
        <v>46177.771685150467</v>
      </c>
      <c r="I620" s="1" t="s">
        <v>1211</v>
      </c>
      <c r="J620" s="1" t="s">
        <v>3673</v>
      </c>
    </row>
    <row r="621" spans="1:10" x14ac:dyDescent="0.35">
      <c r="A621" s="1" t="s">
        <v>1238</v>
      </c>
      <c r="B621" s="1" t="s">
        <v>1209</v>
      </c>
      <c r="C621" s="1" t="s">
        <v>1210</v>
      </c>
      <c r="D621" s="2">
        <v>46177</v>
      </c>
      <c r="E621">
        <v>2.1006480853070799E-2</v>
      </c>
      <c r="F621" s="2">
        <v>46177.771682141203</v>
      </c>
      <c r="G621" s="1" t="s">
        <v>1211</v>
      </c>
      <c r="H621" s="2">
        <v>46177.771682060185</v>
      </c>
      <c r="I621" s="1" t="s">
        <v>1211</v>
      </c>
      <c r="J621" s="1" t="s">
        <v>3674</v>
      </c>
    </row>
    <row r="622" spans="1:10" x14ac:dyDescent="0.35">
      <c r="A622" s="1" t="s">
        <v>1239</v>
      </c>
      <c r="B622" s="1" t="s">
        <v>1209</v>
      </c>
      <c r="C622" s="1" t="s">
        <v>1210</v>
      </c>
      <c r="D622" s="2">
        <v>46177</v>
      </c>
      <c r="E622">
        <v>3.01044521162196E-2</v>
      </c>
      <c r="F622" s="2">
        <v>46177.771686655091</v>
      </c>
      <c r="G622" s="1" t="s">
        <v>1211</v>
      </c>
      <c r="H622" s="2">
        <v>46177.771686574073</v>
      </c>
      <c r="I622" s="1" t="s">
        <v>1211</v>
      </c>
      <c r="J622" s="1" t="s">
        <v>3675</v>
      </c>
    </row>
    <row r="623" spans="1:10" x14ac:dyDescent="0.35">
      <c r="A623" s="1" t="s">
        <v>1240</v>
      </c>
      <c r="B623" s="1" t="s">
        <v>1209</v>
      </c>
      <c r="C623" s="1" t="s">
        <v>1210</v>
      </c>
      <c r="D623" s="2">
        <v>46177</v>
      </c>
      <c r="E623">
        <v>3.7861896036020103E-2</v>
      </c>
      <c r="F623" s="2">
        <v>46177.771714039351</v>
      </c>
      <c r="G623" s="1" t="s">
        <v>1211</v>
      </c>
      <c r="H623" s="2">
        <v>46177.771714085648</v>
      </c>
      <c r="I623" s="1" t="s">
        <v>1211</v>
      </c>
      <c r="J623" s="1" t="s">
        <v>3676</v>
      </c>
    </row>
    <row r="624" spans="1:10" x14ac:dyDescent="0.35">
      <c r="A624" s="1" t="s">
        <v>1241</v>
      </c>
      <c r="B624" s="1" t="s">
        <v>1209</v>
      </c>
      <c r="C624" s="1" t="s">
        <v>1210</v>
      </c>
      <c r="D624" s="2">
        <v>46177</v>
      </c>
      <c r="E624">
        <v>2.8295208973615201E-2</v>
      </c>
      <c r="F624" s="2">
        <v>46177.771725578707</v>
      </c>
      <c r="G624" s="1" t="s">
        <v>1211</v>
      </c>
      <c r="H624" s="2">
        <v>46177.771725543978</v>
      </c>
      <c r="I624" s="1" t="s">
        <v>1211</v>
      </c>
      <c r="J624" s="1" t="s">
        <v>3677</v>
      </c>
    </row>
    <row r="625" spans="1:10" x14ac:dyDescent="0.35">
      <c r="A625" s="1" t="s">
        <v>1242</v>
      </c>
      <c r="B625" s="1" t="s">
        <v>1209</v>
      </c>
      <c r="C625" s="1" t="s">
        <v>1210</v>
      </c>
      <c r="D625" s="2">
        <v>46177</v>
      </c>
      <c r="E625">
        <v>3.0843019152866399E-2</v>
      </c>
      <c r="F625" s="2">
        <v>46177.771694791663</v>
      </c>
      <c r="G625" s="1" t="s">
        <v>1211</v>
      </c>
      <c r="H625" s="2">
        <v>46177.771694710646</v>
      </c>
      <c r="I625" s="1" t="s">
        <v>1211</v>
      </c>
      <c r="J625" s="1" t="s">
        <v>3678</v>
      </c>
    </row>
    <row r="626" spans="1:10" x14ac:dyDescent="0.35">
      <c r="A626" s="1" t="s">
        <v>1243</v>
      </c>
      <c r="B626" s="1" t="s">
        <v>1209</v>
      </c>
      <c r="C626" s="1" t="s">
        <v>1210</v>
      </c>
      <c r="D626" s="2">
        <v>46177</v>
      </c>
      <c r="E626">
        <v>3.4803170770816703E-2</v>
      </c>
      <c r="F626" s="2">
        <v>46177.771656909725</v>
      </c>
      <c r="G626" s="1" t="s">
        <v>1211</v>
      </c>
      <c r="H626" s="2">
        <v>46177.771656944446</v>
      </c>
      <c r="I626" s="1" t="s">
        <v>1211</v>
      </c>
      <c r="J626" s="1" t="s">
        <v>3679</v>
      </c>
    </row>
    <row r="627" spans="1:10" x14ac:dyDescent="0.35">
      <c r="A627" s="1" t="s">
        <v>1244</v>
      </c>
      <c r="B627" s="1" t="s">
        <v>1209</v>
      </c>
      <c r="C627" s="1" t="s">
        <v>1210</v>
      </c>
      <c r="D627" s="2">
        <v>46177</v>
      </c>
      <c r="E627">
        <v>2.7588593715406499E-2</v>
      </c>
      <c r="F627" s="2">
        <v>46177.771733182868</v>
      </c>
      <c r="G627" s="1" t="s">
        <v>1211</v>
      </c>
      <c r="H627" s="2">
        <v>46177.771733298614</v>
      </c>
      <c r="I627" s="1" t="s">
        <v>1211</v>
      </c>
      <c r="J627" s="1" t="s">
        <v>3680</v>
      </c>
    </row>
    <row r="628" spans="1:10" x14ac:dyDescent="0.35">
      <c r="A628" s="1" t="s">
        <v>1263</v>
      </c>
      <c r="B628" s="1" t="s">
        <v>1209</v>
      </c>
      <c r="C628" s="1" t="s">
        <v>1210</v>
      </c>
      <c r="D628" s="2">
        <v>46177</v>
      </c>
      <c r="E628">
        <v>2.7052260419799998E-2</v>
      </c>
      <c r="F628" s="2">
        <v>46177.771727430554</v>
      </c>
      <c r="G628" s="1" t="s">
        <v>1211</v>
      </c>
      <c r="H628" s="2">
        <v>46177.771727511572</v>
      </c>
      <c r="I628" s="1" t="s">
        <v>1211</v>
      </c>
      <c r="J628" s="1" t="s">
        <v>3681</v>
      </c>
    </row>
    <row r="629" spans="1:10" x14ac:dyDescent="0.35">
      <c r="A629" s="1" t="s">
        <v>1264</v>
      </c>
      <c r="B629" s="1" t="s">
        <v>1209</v>
      </c>
      <c r="C629" s="1" t="s">
        <v>1210</v>
      </c>
      <c r="D629" s="2">
        <v>46177</v>
      </c>
      <c r="E629">
        <v>3.4116799386509099E-2</v>
      </c>
      <c r="F629" s="2">
        <v>46177.771690590278</v>
      </c>
      <c r="G629" s="1" t="s">
        <v>1211</v>
      </c>
      <c r="H629" s="2">
        <v>46177.771690428242</v>
      </c>
      <c r="I629" s="1" t="s">
        <v>1211</v>
      </c>
      <c r="J629" s="1" t="s">
        <v>3682</v>
      </c>
    </row>
    <row r="630" spans="1:10" x14ac:dyDescent="0.35">
      <c r="A630" s="1" t="s">
        <v>1265</v>
      </c>
      <c r="B630" s="1" t="s">
        <v>1209</v>
      </c>
      <c r="C630" s="1" t="s">
        <v>1210</v>
      </c>
      <c r="D630" s="2">
        <v>46177</v>
      </c>
      <c r="E630">
        <v>3.9157452591641002E-2</v>
      </c>
      <c r="F630" s="2">
        <v>46177.771721840276</v>
      </c>
      <c r="G630" s="1" t="s">
        <v>1211</v>
      </c>
      <c r="H630" s="2">
        <v>46177.771721840276</v>
      </c>
      <c r="I630" s="1" t="s">
        <v>1211</v>
      </c>
      <c r="J630" s="1" t="s">
        <v>3683</v>
      </c>
    </row>
    <row r="631" spans="1:10" x14ac:dyDescent="0.35">
      <c r="A631" s="1" t="s">
        <v>1266</v>
      </c>
      <c r="B631" s="1" t="s">
        <v>1209</v>
      </c>
      <c r="C631" s="1" t="s">
        <v>1210</v>
      </c>
      <c r="D631" s="2">
        <v>46177</v>
      </c>
      <c r="E631">
        <v>3.0562359060125201E-2</v>
      </c>
      <c r="F631" s="2">
        <v>46177.771734722221</v>
      </c>
      <c r="G631" s="1" t="s">
        <v>1211</v>
      </c>
      <c r="H631" s="2">
        <v>46177.771734756941</v>
      </c>
      <c r="I631" s="1" t="s">
        <v>1211</v>
      </c>
      <c r="J631" s="1" t="s">
        <v>3684</v>
      </c>
    </row>
    <row r="632" spans="1:10" x14ac:dyDescent="0.35">
      <c r="A632" s="1" t="s">
        <v>1267</v>
      </c>
      <c r="B632" s="1" t="s">
        <v>1209</v>
      </c>
      <c r="C632" s="1" t="s">
        <v>1210</v>
      </c>
      <c r="D632" s="2">
        <v>46177</v>
      </c>
      <c r="E632">
        <v>4.1181243378666098E-2</v>
      </c>
      <c r="F632" s="2">
        <v>46177.771662037034</v>
      </c>
      <c r="G632" s="1" t="s">
        <v>1211</v>
      </c>
      <c r="H632" s="2">
        <v>46177.771662002313</v>
      </c>
      <c r="I632" s="1" t="s">
        <v>1211</v>
      </c>
      <c r="J632" s="1" t="s">
        <v>3685</v>
      </c>
    </row>
    <row r="633" spans="1:10" x14ac:dyDescent="0.35">
      <c r="A633" s="1" t="s">
        <v>1268</v>
      </c>
      <c r="B633" s="1" t="s">
        <v>1209</v>
      </c>
      <c r="C633" s="1" t="s">
        <v>1210</v>
      </c>
      <c r="D633" s="2">
        <v>46177</v>
      </c>
      <c r="E633">
        <v>3.3172469392970999E-2</v>
      </c>
      <c r="F633" s="2">
        <v>46177.771681516206</v>
      </c>
      <c r="G633" s="1" t="s">
        <v>1211</v>
      </c>
      <c r="H633" s="2">
        <v>46177.771681516206</v>
      </c>
      <c r="I633" s="1" t="s">
        <v>1211</v>
      </c>
      <c r="J633" s="1" t="s">
        <v>3686</v>
      </c>
    </row>
    <row r="634" spans="1:10" x14ac:dyDescent="0.35">
      <c r="A634" s="1" t="s">
        <v>1269</v>
      </c>
      <c r="B634" s="1" t="s">
        <v>1209</v>
      </c>
      <c r="C634" s="1" t="s">
        <v>1210</v>
      </c>
      <c r="D634" s="2">
        <v>46177</v>
      </c>
      <c r="E634">
        <v>3.0075636581007401E-2</v>
      </c>
      <c r="F634" s="2">
        <v>46177.771702465281</v>
      </c>
      <c r="G634" s="1" t="s">
        <v>1211</v>
      </c>
      <c r="H634" s="2">
        <v>46177.771702349535</v>
      </c>
      <c r="I634" s="1" t="s">
        <v>1211</v>
      </c>
      <c r="J634" s="1" t="s">
        <v>3687</v>
      </c>
    </row>
    <row r="635" spans="1:10" x14ac:dyDescent="0.35">
      <c r="A635" s="1" t="s">
        <v>1270</v>
      </c>
      <c r="B635" s="1" t="s">
        <v>1209</v>
      </c>
      <c r="C635" s="1" t="s">
        <v>1210</v>
      </c>
      <c r="D635" s="2">
        <v>46177</v>
      </c>
      <c r="E635">
        <v>3.7547551265500703E-2</v>
      </c>
      <c r="F635" s="2">
        <v>46177.771740706019</v>
      </c>
      <c r="G635" s="1" t="s">
        <v>1211</v>
      </c>
      <c r="H635" s="2">
        <v>46177.771740775461</v>
      </c>
      <c r="I635" s="1" t="s">
        <v>1211</v>
      </c>
      <c r="J635" s="1" t="s">
        <v>3688</v>
      </c>
    </row>
    <row r="636" spans="1:10" x14ac:dyDescent="0.35">
      <c r="A636" s="1" t="s">
        <v>1271</v>
      </c>
      <c r="B636" s="1" t="s">
        <v>1209</v>
      </c>
      <c r="C636" s="1" t="s">
        <v>1210</v>
      </c>
      <c r="D636" s="2">
        <v>46177</v>
      </c>
      <c r="E636">
        <v>2.03712797834706E-2</v>
      </c>
      <c r="F636" s="2">
        <v>46177.771746099534</v>
      </c>
      <c r="G636" s="1" t="s">
        <v>1211</v>
      </c>
      <c r="H636" s="2">
        <v>46177.77174621528</v>
      </c>
      <c r="I636" s="1" t="s">
        <v>1211</v>
      </c>
      <c r="J636" s="1" t="s">
        <v>3689</v>
      </c>
    </row>
    <row r="637" spans="1:10" x14ac:dyDescent="0.35">
      <c r="A637" s="1" t="s">
        <v>1272</v>
      </c>
      <c r="B637" s="1" t="s">
        <v>1209</v>
      </c>
      <c r="C637" s="1" t="s">
        <v>1210</v>
      </c>
      <c r="D637" s="2">
        <v>46177</v>
      </c>
      <c r="E637">
        <v>4.2166299217530602E-2</v>
      </c>
      <c r="F637" s="2">
        <v>46177.771748495368</v>
      </c>
      <c r="G637" s="1" t="s">
        <v>1211</v>
      </c>
      <c r="H637" s="2">
        <v>46177.771748460647</v>
      </c>
      <c r="I637" s="1" t="s">
        <v>1211</v>
      </c>
      <c r="J637" s="1" t="s">
        <v>3690</v>
      </c>
    </row>
    <row r="638" spans="1:10" x14ac:dyDescent="0.35">
      <c r="A638" s="1" t="s">
        <v>1273</v>
      </c>
      <c r="B638" s="1" t="s">
        <v>1209</v>
      </c>
      <c r="C638" s="1" t="s">
        <v>1210</v>
      </c>
      <c r="D638" s="2">
        <v>46177</v>
      </c>
      <c r="E638">
        <v>4.3636002201951699E-2</v>
      </c>
      <c r="F638" s="2">
        <v>46177.771670601855</v>
      </c>
      <c r="G638" s="1" t="s">
        <v>1211</v>
      </c>
      <c r="H638" s="2">
        <v>46177.771670601855</v>
      </c>
      <c r="I638" s="1" t="s">
        <v>1211</v>
      </c>
      <c r="J638" s="1" t="s">
        <v>3691</v>
      </c>
    </row>
    <row r="639" spans="1:10" x14ac:dyDescent="0.35">
      <c r="A639" s="1" t="s">
        <v>1274</v>
      </c>
      <c r="B639" s="1" t="s">
        <v>1209</v>
      </c>
      <c r="C639" s="1" t="s">
        <v>1210</v>
      </c>
      <c r="D639" s="2">
        <v>46177</v>
      </c>
      <c r="E639">
        <v>2.6088925481799401E-2</v>
      </c>
      <c r="F639" s="2">
        <v>46177.771716863426</v>
      </c>
      <c r="G639" s="1" t="s">
        <v>1211</v>
      </c>
      <c r="H639" s="2">
        <v>46177.771716782408</v>
      </c>
      <c r="I639" s="1" t="s">
        <v>1211</v>
      </c>
      <c r="J639" s="1" t="s">
        <v>3692</v>
      </c>
    </row>
    <row r="640" spans="1:10" x14ac:dyDescent="0.35">
      <c r="A640" s="1" t="s">
        <v>1275</v>
      </c>
      <c r="B640" s="1" t="s">
        <v>1209</v>
      </c>
      <c r="C640" s="1" t="s">
        <v>1210</v>
      </c>
      <c r="D640" s="2">
        <v>46177</v>
      </c>
      <c r="E640">
        <v>4.3909447633916403E-2</v>
      </c>
      <c r="F640" s="2">
        <v>46177.771664004627</v>
      </c>
      <c r="G640" s="1" t="s">
        <v>1211</v>
      </c>
      <c r="H640" s="2">
        <v>46177.771664004627</v>
      </c>
      <c r="I640" s="1" t="s">
        <v>1211</v>
      </c>
      <c r="J640" s="1" t="s">
        <v>3693</v>
      </c>
    </row>
    <row r="641" spans="1:10" x14ac:dyDescent="0.35">
      <c r="A641" s="1" t="s">
        <v>1276</v>
      </c>
      <c r="B641" s="1" t="s">
        <v>1209</v>
      </c>
      <c r="C641" s="1" t="s">
        <v>1210</v>
      </c>
      <c r="D641" s="2">
        <v>46177</v>
      </c>
      <c r="E641">
        <v>3.6571312643943497E-2</v>
      </c>
      <c r="F641" s="2">
        <v>46177.771678391204</v>
      </c>
      <c r="G641" s="1" t="s">
        <v>1211</v>
      </c>
      <c r="H641" s="2">
        <v>46177.771678391204</v>
      </c>
      <c r="I641" s="1" t="s">
        <v>1211</v>
      </c>
      <c r="J641" s="1" t="s">
        <v>3694</v>
      </c>
    </row>
    <row r="642" spans="1:10" x14ac:dyDescent="0.35">
      <c r="A642" s="1" t="s">
        <v>1277</v>
      </c>
      <c r="B642" s="1" t="s">
        <v>1209</v>
      </c>
      <c r="C642" s="1" t="s">
        <v>1210</v>
      </c>
      <c r="D642" s="2">
        <v>46177</v>
      </c>
      <c r="E642">
        <v>2.71787169540922E-2</v>
      </c>
      <c r="F642" s="2">
        <v>46177.771722569443</v>
      </c>
      <c r="G642" s="1" t="s">
        <v>1211</v>
      </c>
      <c r="H642" s="2">
        <v>46177.771722569443</v>
      </c>
      <c r="I642" s="1" t="s">
        <v>1211</v>
      </c>
      <c r="J642" s="1" t="s">
        <v>3695</v>
      </c>
    </row>
    <row r="643" spans="1:10" x14ac:dyDescent="0.35">
      <c r="A643" s="1" t="s">
        <v>1278</v>
      </c>
      <c r="B643" s="1" t="s">
        <v>1209</v>
      </c>
      <c r="C643" s="1" t="s">
        <v>1210</v>
      </c>
      <c r="D643" s="2">
        <v>46177</v>
      </c>
      <c r="E643">
        <v>3.1563014974458903E-2</v>
      </c>
      <c r="F643" s="2">
        <v>46177.771722997684</v>
      </c>
      <c r="G643" s="1" t="s">
        <v>1211</v>
      </c>
      <c r="H643" s="2">
        <v>46177.771723113423</v>
      </c>
      <c r="I643" s="1" t="s">
        <v>1211</v>
      </c>
      <c r="J643" s="1" t="s">
        <v>3696</v>
      </c>
    </row>
    <row r="644" spans="1:10" x14ac:dyDescent="0.35">
      <c r="A644" s="1" t="s">
        <v>1279</v>
      </c>
      <c r="B644" s="1" t="s">
        <v>1209</v>
      </c>
      <c r="C644" s="1" t="s">
        <v>1210</v>
      </c>
      <c r="D644" s="2">
        <v>46177</v>
      </c>
      <c r="E644">
        <v>2.7974064726488501E-2</v>
      </c>
      <c r="F644" s="2">
        <v>46177.771657407407</v>
      </c>
      <c r="G644" s="1" t="s">
        <v>1211</v>
      </c>
      <c r="H644" s="2">
        <v>46177.771657291669</v>
      </c>
      <c r="I644" s="1" t="s">
        <v>1211</v>
      </c>
      <c r="J644" s="1" t="s">
        <v>3697</v>
      </c>
    </row>
    <row r="645" spans="1:10" x14ac:dyDescent="0.35">
      <c r="A645" s="1" t="s">
        <v>1280</v>
      </c>
      <c r="B645" s="1" t="s">
        <v>1209</v>
      </c>
      <c r="C645" s="1" t="s">
        <v>1210</v>
      </c>
      <c r="D645" s="2">
        <v>46177</v>
      </c>
      <c r="E645">
        <v>4.2931037452207201E-2</v>
      </c>
      <c r="F645" s="2">
        <v>46177.771677928242</v>
      </c>
      <c r="G645" s="1" t="s">
        <v>1211</v>
      </c>
      <c r="H645" s="2">
        <v>46177.77167800926</v>
      </c>
      <c r="I645" s="1" t="s">
        <v>1211</v>
      </c>
      <c r="J645" s="1" t="s">
        <v>3698</v>
      </c>
    </row>
    <row r="646" spans="1:10" x14ac:dyDescent="0.35">
      <c r="A646" s="1" t="s">
        <v>1281</v>
      </c>
      <c r="B646" s="1" t="s">
        <v>1209</v>
      </c>
      <c r="C646" s="1" t="s">
        <v>1210</v>
      </c>
      <c r="D646" s="2">
        <v>46177</v>
      </c>
      <c r="E646">
        <v>2.89821922852978E-2</v>
      </c>
      <c r="F646" s="2">
        <v>46177.771748807871</v>
      </c>
      <c r="G646" s="1" t="s">
        <v>1211</v>
      </c>
      <c r="H646" s="2">
        <v>46177.771748807871</v>
      </c>
      <c r="I646" s="1" t="s">
        <v>1211</v>
      </c>
      <c r="J646" s="1" t="s">
        <v>3699</v>
      </c>
    </row>
    <row r="647" spans="1:10" x14ac:dyDescent="0.35">
      <c r="A647" s="1" t="s">
        <v>1282</v>
      </c>
      <c r="B647" s="1" t="s">
        <v>1209</v>
      </c>
      <c r="C647" s="1" t="s">
        <v>1210</v>
      </c>
      <c r="D647" s="2">
        <v>46177</v>
      </c>
      <c r="E647">
        <v>3.9270072945023403E-2</v>
      </c>
      <c r="F647" s="2">
        <v>46177.771673379626</v>
      </c>
      <c r="G647" s="1" t="s">
        <v>1211</v>
      </c>
      <c r="H647" s="2">
        <v>46177.771673495372</v>
      </c>
      <c r="I647" s="1" t="s">
        <v>1211</v>
      </c>
      <c r="J647" s="1" t="s">
        <v>3700</v>
      </c>
    </row>
    <row r="648" spans="1:10" x14ac:dyDescent="0.35">
      <c r="A648" s="1" t="s">
        <v>1283</v>
      </c>
      <c r="B648" s="1" t="s">
        <v>1209</v>
      </c>
      <c r="C648" s="1" t="s">
        <v>1210</v>
      </c>
      <c r="D648" s="2">
        <v>46177</v>
      </c>
      <c r="E648">
        <v>2.6718199047570002E-2</v>
      </c>
      <c r="F648" s="2">
        <v>46177.771742557874</v>
      </c>
      <c r="G648" s="1" t="s">
        <v>1211</v>
      </c>
      <c r="H648" s="2">
        <v>46177.771742592595</v>
      </c>
      <c r="I648" s="1" t="s">
        <v>1211</v>
      </c>
      <c r="J648" s="1" t="s">
        <v>3701</v>
      </c>
    </row>
    <row r="649" spans="1:10" x14ac:dyDescent="0.35">
      <c r="A649" s="1" t="s">
        <v>1284</v>
      </c>
      <c r="B649" s="1" t="s">
        <v>1209</v>
      </c>
      <c r="C649" s="1" t="s">
        <v>1210</v>
      </c>
      <c r="D649" s="2">
        <v>46177</v>
      </c>
      <c r="E649">
        <v>3.04062017796091E-2</v>
      </c>
      <c r="F649" s="2">
        <v>46177.771695405092</v>
      </c>
      <c r="G649" s="1" t="s">
        <v>1211</v>
      </c>
      <c r="H649" s="2">
        <v>46177.771695405092</v>
      </c>
      <c r="I649" s="1" t="s">
        <v>1211</v>
      </c>
      <c r="J649" s="1" t="s">
        <v>3702</v>
      </c>
    </row>
    <row r="650" spans="1:10" x14ac:dyDescent="0.35">
      <c r="A650" s="1" t="s">
        <v>1285</v>
      </c>
      <c r="B650" s="1" t="s">
        <v>1209</v>
      </c>
      <c r="C650" s="1" t="s">
        <v>1210</v>
      </c>
      <c r="D650" s="2">
        <v>46177</v>
      </c>
      <c r="E650">
        <v>4.0441627359156698E-2</v>
      </c>
      <c r="F650" s="2">
        <v>46177.771659872684</v>
      </c>
      <c r="G650" s="1" t="s">
        <v>1211</v>
      </c>
      <c r="H650" s="2">
        <v>46177.771659837963</v>
      </c>
      <c r="I650" s="1" t="s">
        <v>1211</v>
      </c>
      <c r="J650" s="1" t="s">
        <v>3703</v>
      </c>
    </row>
    <row r="651" spans="1:10" x14ac:dyDescent="0.35">
      <c r="A651" s="1" t="s">
        <v>1286</v>
      </c>
      <c r="B651" s="1" t="s">
        <v>1209</v>
      </c>
      <c r="C651" s="1" t="s">
        <v>1210</v>
      </c>
      <c r="D651" s="2">
        <v>46177</v>
      </c>
      <c r="E651">
        <v>3.11558058679916E-2</v>
      </c>
      <c r="F651" s="2">
        <v>46177.771727581021</v>
      </c>
      <c r="G651" s="1" t="s">
        <v>1211</v>
      </c>
      <c r="H651" s="2">
        <v>46177.77172769676</v>
      </c>
      <c r="I651" s="1" t="s">
        <v>1211</v>
      </c>
      <c r="J651" s="1" t="s">
        <v>3704</v>
      </c>
    </row>
    <row r="652" spans="1:10" x14ac:dyDescent="0.35">
      <c r="A652" s="1" t="s">
        <v>1287</v>
      </c>
      <c r="B652" s="1" t="s">
        <v>1209</v>
      </c>
      <c r="C652" s="1" t="s">
        <v>1210</v>
      </c>
      <c r="D652" s="2">
        <v>46177</v>
      </c>
      <c r="E652">
        <v>4.3495628561993599E-2</v>
      </c>
      <c r="F652" s="2">
        <v>46177.771692905095</v>
      </c>
      <c r="G652" s="1" t="s">
        <v>1211</v>
      </c>
      <c r="H652" s="2">
        <v>46177.771692789349</v>
      </c>
      <c r="I652" s="1" t="s">
        <v>1211</v>
      </c>
      <c r="J652" s="1" t="s">
        <v>3705</v>
      </c>
    </row>
    <row r="653" spans="1:10" x14ac:dyDescent="0.35">
      <c r="A653" s="1" t="s">
        <v>1288</v>
      </c>
      <c r="B653" s="1" t="s">
        <v>1209</v>
      </c>
      <c r="C653" s="1" t="s">
        <v>1210</v>
      </c>
      <c r="D653" s="2">
        <v>46177</v>
      </c>
      <c r="E653">
        <v>3.7914165555794799E-2</v>
      </c>
      <c r="F653" s="2">
        <v>46177.771715277777</v>
      </c>
      <c r="G653" s="1" t="s">
        <v>1211</v>
      </c>
      <c r="H653" s="2">
        <v>46177.771715358795</v>
      </c>
      <c r="I653" s="1" t="s">
        <v>1211</v>
      </c>
      <c r="J653" s="1" t="s">
        <v>3706</v>
      </c>
    </row>
    <row r="654" spans="1:10" x14ac:dyDescent="0.35">
      <c r="A654" s="1" t="s">
        <v>1289</v>
      </c>
      <c r="B654" s="1" t="s">
        <v>1209</v>
      </c>
      <c r="C654" s="1" t="s">
        <v>1210</v>
      </c>
      <c r="D654" s="2">
        <v>46177</v>
      </c>
      <c r="E654">
        <v>3.2116755585443302E-2</v>
      </c>
      <c r="F654" s="2">
        <v>46177.771666238426</v>
      </c>
      <c r="G654" s="1" t="s">
        <v>1211</v>
      </c>
      <c r="H654" s="2">
        <v>46177.771666354165</v>
      </c>
      <c r="I654" s="1" t="s">
        <v>1211</v>
      </c>
      <c r="J654" s="1" t="s">
        <v>3707</v>
      </c>
    </row>
    <row r="655" spans="1:10" x14ac:dyDescent="0.35">
      <c r="A655" s="1" t="s">
        <v>1290</v>
      </c>
      <c r="B655" s="1" t="s">
        <v>1209</v>
      </c>
      <c r="C655" s="1" t="s">
        <v>1210</v>
      </c>
      <c r="D655" s="2">
        <v>46177</v>
      </c>
      <c r="E655">
        <v>4.35185963689428E-2</v>
      </c>
      <c r="F655" s="2">
        <v>46177.771731446759</v>
      </c>
      <c r="G655" s="1" t="s">
        <v>1211</v>
      </c>
      <c r="H655" s="2">
        <v>46177.77173148148</v>
      </c>
      <c r="I655" s="1" t="s">
        <v>1211</v>
      </c>
      <c r="J655" s="1" t="s">
        <v>3708</v>
      </c>
    </row>
    <row r="656" spans="1:10" x14ac:dyDescent="0.35">
      <c r="A656" s="1" t="s">
        <v>1291</v>
      </c>
      <c r="B656" s="1" t="s">
        <v>1209</v>
      </c>
      <c r="C656" s="1" t="s">
        <v>1210</v>
      </c>
      <c r="D656" s="2">
        <v>46177</v>
      </c>
      <c r="E656">
        <v>4.0626968824168899E-2</v>
      </c>
      <c r="F656" s="2">
        <v>46177.771732870373</v>
      </c>
      <c r="G656" s="1" t="s">
        <v>1211</v>
      </c>
      <c r="H656" s="2">
        <v>46177.771732951391</v>
      </c>
      <c r="I656" s="1" t="s">
        <v>1211</v>
      </c>
      <c r="J656" s="1" t="s">
        <v>3709</v>
      </c>
    </row>
    <row r="657" spans="1:10" x14ac:dyDescent="0.35">
      <c r="A657" s="1" t="s">
        <v>1292</v>
      </c>
      <c r="B657" s="1" t="s">
        <v>1209</v>
      </c>
      <c r="C657" s="1" t="s">
        <v>1210</v>
      </c>
      <c r="D657" s="2">
        <v>46177</v>
      </c>
      <c r="E657">
        <v>3.3713847432847603E-2</v>
      </c>
      <c r="F657" s="2">
        <v>46177.771654166667</v>
      </c>
      <c r="G657" s="1" t="s">
        <v>1211</v>
      </c>
      <c r="H657" s="2">
        <v>46177.771654166667</v>
      </c>
      <c r="I657" s="1" t="s">
        <v>1211</v>
      </c>
      <c r="J657" s="1" t="s">
        <v>3710</v>
      </c>
    </row>
    <row r="658" spans="1:10" x14ac:dyDescent="0.35">
      <c r="A658" s="1" t="s">
        <v>1293</v>
      </c>
      <c r="B658" s="1" t="s">
        <v>1209</v>
      </c>
      <c r="C658" s="1" t="s">
        <v>1210</v>
      </c>
      <c r="D658" s="2">
        <v>46177</v>
      </c>
      <c r="E658">
        <v>4.3817527092191597E-2</v>
      </c>
      <c r="F658" s="2">
        <v>46177.771733020832</v>
      </c>
      <c r="G658" s="1" t="s">
        <v>1211</v>
      </c>
      <c r="H658" s="2">
        <v>46177.771733136571</v>
      </c>
      <c r="I658" s="1" t="s">
        <v>1211</v>
      </c>
      <c r="J658" s="1" t="s">
        <v>3711</v>
      </c>
    </row>
    <row r="659" spans="1:10" x14ac:dyDescent="0.35">
      <c r="A659" s="1" t="s">
        <v>1294</v>
      </c>
      <c r="B659" s="1" t="s">
        <v>1209</v>
      </c>
      <c r="C659" s="1" t="s">
        <v>1210</v>
      </c>
      <c r="D659" s="2">
        <v>46177</v>
      </c>
      <c r="E659">
        <v>2.8396458043546E-2</v>
      </c>
      <c r="F659" s="2">
        <v>46177.771668252317</v>
      </c>
      <c r="G659" s="1" t="s">
        <v>1211</v>
      </c>
      <c r="H659" s="2">
        <v>46177.771668402776</v>
      </c>
      <c r="I659" s="1" t="s">
        <v>1211</v>
      </c>
      <c r="J659" s="1" t="s">
        <v>3712</v>
      </c>
    </row>
    <row r="660" spans="1:10" x14ac:dyDescent="0.35">
      <c r="A660" s="1" t="s">
        <v>1295</v>
      </c>
      <c r="B660" s="1" t="s">
        <v>1209</v>
      </c>
      <c r="C660" s="1" t="s">
        <v>1210</v>
      </c>
      <c r="D660" s="2">
        <v>46177</v>
      </c>
      <c r="E660">
        <v>3.45757192249707E-2</v>
      </c>
      <c r="F660" s="2">
        <v>46177.771712847221</v>
      </c>
      <c r="G660" s="1" t="s">
        <v>1211</v>
      </c>
      <c r="H660" s="2">
        <v>46177.771712766204</v>
      </c>
      <c r="I660" s="1" t="s">
        <v>1211</v>
      </c>
      <c r="J660" s="1" t="s">
        <v>3713</v>
      </c>
    </row>
    <row r="661" spans="1:10" x14ac:dyDescent="0.35">
      <c r="A661" s="1" t="s">
        <v>1296</v>
      </c>
      <c r="B661" s="1" t="s">
        <v>1209</v>
      </c>
      <c r="C661" s="1" t="s">
        <v>1210</v>
      </c>
      <c r="D661" s="2">
        <v>46177</v>
      </c>
      <c r="E661">
        <v>2.9508261680342599E-2</v>
      </c>
      <c r="F661" s="2">
        <v>46177.771660798608</v>
      </c>
      <c r="G661" s="1" t="s">
        <v>1211</v>
      </c>
      <c r="H661" s="2">
        <v>46177.771660729166</v>
      </c>
      <c r="I661" s="1" t="s">
        <v>1211</v>
      </c>
      <c r="J661" s="1" t="s">
        <v>3714</v>
      </c>
    </row>
    <row r="662" spans="1:10" x14ac:dyDescent="0.35">
      <c r="A662" s="1" t="s">
        <v>1297</v>
      </c>
      <c r="B662" s="1" t="s">
        <v>1209</v>
      </c>
      <c r="C662" s="1" t="s">
        <v>1210</v>
      </c>
      <c r="D662" s="2">
        <v>46177</v>
      </c>
      <c r="E662">
        <v>3.5647253623597601E-2</v>
      </c>
      <c r="F662" s="2">
        <v>46177.771688275461</v>
      </c>
      <c r="G662" s="1" t="s">
        <v>1211</v>
      </c>
      <c r="H662" s="2">
        <v>46177.771688194443</v>
      </c>
      <c r="I662" s="1" t="s">
        <v>1211</v>
      </c>
      <c r="J662" s="1" t="s">
        <v>3715</v>
      </c>
    </row>
    <row r="663" spans="1:10" x14ac:dyDescent="0.35">
      <c r="A663" s="1" t="s">
        <v>1298</v>
      </c>
      <c r="B663" s="1" t="s">
        <v>1209</v>
      </c>
      <c r="C663" s="1" t="s">
        <v>1210</v>
      </c>
      <c r="D663" s="2">
        <v>46177</v>
      </c>
      <c r="E663">
        <v>4.40073175697719E-2</v>
      </c>
      <c r="F663" s="2">
        <v>46177.771678854166</v>
      </c>
      <c r="G663" s="1" t="s">
        <v>1211</v>
      </c>
      <c r="H663" s="2">
        <v>46177.771678784724</v>
      </c>
      <c r="I663" s="1" t="s">
        <v>1211</v>
      </c>
      <c r="J663" s="1" t="s">
        <v>3716</v>
      </c>
    </row>
    <row r="664" spans="1:10" x14ac:dyDescent="0.35">
      <c r="A664" s="1" t="s">
        <v>3717</v>
      </c>
      <c r="B664" s="1" t="s">
        <v>1209</v>
      </c>
      <c r="C664" s="1" t="s">
        <v>1210</v>
      </c>
      <c r="D664" s="2">
        <v>46177</v>
      </c>
      <c r="E664">
        <v>3.0379945348084601E-2</v>
      </c>
      <c r="F664" s="2">
        <v>46177.771711226851</v>
      </c>
      <c r="G664" s="1" t="s">
        <v>1211</v>
      </c>
      <c r="H664" s="2">
        <v>46177.771711111112</v>
      </c>
      <c r="I664" s="1" t="s">
        <v>1211</v>
      </c>
      <c r="J664" s="1" t="s">
        <v>3718</v>
      </c>
    </row>
    <row r="665" spans="1:10" x14ac:dyDescent="0.35">
      <c r="A665" s="1" t="s">
        <v>1299</v>
      </c>
      <c r="B665" s="1" t="s">
        <v>1224</v>
      </c>
      <c r="C665" s="1" t="s">
        <v>1210</v>
      </c>
      <c r="D665" s="2">
        <v>46177</v>
      </c>
      <c r="E665">
        <v>121.01</v>
      </c>
      <c r="F665" s="2">
        <v>46177.771623958331</v>
      </c>
      <c r="G665" s="1" t="s">
        <v>1211</v>
      </c>
      <c r="H665" s="2">
        <v>46177.771623958331</v>
      </c>
      <c r="I665" s="1" t="s">
        <v>1211</v>
      </c>
      <c r="J665" s="1" t="s">
        <v>3051</v>
      </c>
    </row>
    <row r="666" spans="1:10" x14ac:dyDescent="0.35">
      <c r="A666" s="1" t="s">
        <v>1331</v>
      </c>
      <c r="B666" s="1" t="s">
        <v>1224</v>
      </c>
      <c r="C666" s="1" t="s">
        <v>1210</v>
      </c>
      <c r="D666" s="2">
        <v>46177</v>
      </c>
      <c r="E666">
        <v>106.13500000000001</v>
      </c>
      <c r="F666" s="2">
        <v>46177.771624108798</v>
      </c>
      <c r="G666" s="1" t="s">
        <v>1211</v>
      </c>
      <c r="H666" s="2">
        <v>46177.771624108798</v>
      </c>
      <c r="I666" s="1" t="s">
        <v>1211</v>
      </c>
      <c r="J666" s="1" t="s">
        <v>3051</v>
      </c>
    </row>
    <row r="667" spans="1:10" x14ac:dyDescent="0.35">
      <c r="A667" s="1" t="s">
        <v>1332</v>
      </c>
      <c r="B667" s="1" t="s">
        <v>1224</v>
      </c>
      <c r="C667" s="1" t="s">
        <v>1210</v>
      </c>
      <c r="D667" s="2">
        <v>46177</v>
      </c>
      <c r="E667">
        <v>106.645</v>
      </c>
      <c r="F667" s="2">
        <v>46177.771624270834</v>
      </c>
      <c r="G667" s="1" t="s">
        <v>1211</v>
      </c>
      <c r="H667" s="2">
        <v>46177.771624305555</v>
      </c>
      <c r="I667" s="1" t="s">
        <v>1211</v>
      </c>
      <c r="J667" s="1" t="s">
        <v>3051</v>
      </c>
    </row>
    <row r="668" spans="1:10" x14ac:dyDescent="0.35">
      <c r="A668" s="1" t="s">
        <v>1333</v>
      </c>
      <c r="B668" s="1" t="s">
        <v>1224</v>
      </c>
      <c r="C668" s="1" t="s">
        <v>1210</v>
      </c>
      <c r="D668" s="2">
        <v>46177</v>
      </c>
      <c r="E668">
        <v>106.09</v>
      </c>
      <c r="F668" s="2">
        <v>46177.771624421293</v>
      </c>
      <c r="G668" s="1" t="s">
        <v>1211</v>
      </c>
      <c r="H668" s="2">
        <v>46177.771624502318</v>
      </c>
      <c r="I668" s="1" t="s">
        <v>1211</v>
      </c>
      <c r="J668" s="1" t="s">
        <v>3051</v>
      </c>
    </row>
    <row r="669" spans="1:10" x14ac:dyDescent="0.35">
      <c r="A669" s="1" t="s">
        <v>1334</v>
      </c>
      <c r="B669" s="1" t="s">
        <v>1209</v>
      </c>
      <c r="C669" s="1" t="s">
        <v>1210</v>
      </c>
      <c r="D669" s="2">
        <v>46177</v>
      </c>
      <c r="E669">
        <v>4.5390131607610802E-2</v>
      </c>
      <c r="F669" s="2">
        <v>46177.771704629631</v>
      </c>
      <c r="G669" s="1" t="s">
        <v>1211</v>
      </c>
      <c r="H669" s="2">
        <v>46177.77170459491</v>
      </c>
      <c r="I669" s="1" t="s">
        <v>1211</v>
      </c>
      <c r="J669" s="1" t="s">
        <v>3719</v>
      </c>
    </row>
    <row r="670" spans="1:10" x14ac:dyDescent="0.35">
      <c r="A670" s="1" t="s">
        <v>1335</v>
      </c>
      <c r="B670" s="1" t="s">
        <v>1209</v>
      </c>
      <c r="C670" s="1" t="s">
        <v>1210</v>
      </c>
      <c r="D670" s="2">
        <v>46177</v>
      </c>
      <c r="E670">
        <v>4.5338628867355901E-2</v>
      </c>
      <c r="F670" s="2">
        <v>46177.771715428244</v>
      </c>
      <c r="G670" s="1" t="s">
        <v>1211</v>
      </c>
      <c r="H670" s="2">
        <v>46177.771715358795</v>
      </c>
      <c r="I670" s="1" t="s">
        <v>1211</v>
      </c>
      <c r="J670" s="1" t="s">
        <v>3720</v>
      </c>
    </row>
    <row r="671" spans="1:10" x14ac:dyDescent="0.35">
      <c r="A671" s="1" t="s">
        <v>1336</v>
      </c>
      <c r="B671" s="1" t="s">
        <v>1209</v>
      </c>
      <c r="C671" s="1" t="s">
        <v>1210</v>
      </c>
      <c r="D671" s="2">
        <v>46177</v>
      </c>
      <c r="E671">
        <v>1.7003657848983299E-2</v>
      </c>
      <c r="F671" s="2">
        <v>46177.771669988426</v>
      </c>
      <c r="G671" s="1" t="s">
        <v>1211</v>
      </c>
      <c r="H671" s="2">
        <v>46177.771670057868</v>
      </c>
      <c r="I671" s="1" t="s">
        <v>1211</v>
      </c>
      <c r="J671" s="1" t="s">
        <v>3721</v>
      </c>
    </row>
    <row r="672" spans="1:10" x14ac:dyDescent="0.35">
      <c r="A672" s="1" t="s">
        <v>1337</v>
      </c>
      <c r="B672" s="1" t="s">
        <v>1209</v>
      </c>
      <c r="C672" s="1" t="s">
        <v>1210</v>
      </c>
      <c r="D672" s="2">
        <v>46177</v>
      </c>
      <c r="E672">
        <v>3.8021485045341301E-2</v>
      </c>
      <c r="F672" s="2">
        <v>46177.771663541665</v>
      </c>
      <c r="G672" s="1" t="s">
        <v>1211</v>
      </c>
      <c r="H672" s="2">
        <v>46177.771663622683</v>
      </c>
      <c r="I672" s="1" t="s">
        <v>1211</v>
      </c>
      <c r="J672" s="1" t="s">
        <v>3722</v>
      </c>
    </row>
    <row r="673" spans="1:10" x14ac:dyDescent="0.35">
      <c r="A673" s="1" t="s">
        <v>1338</v>
      </c>
      <c r="B673" s="1" t="s">
        <v>1209</v>
      </c>
      <c r="C673" s="1" t="s">
        <v>1210</v>
      </c>
      <c r="D673" s="2">
        <v>46177</v>
      </c>
      <c r="E673">
        <v>3.7391082015417701E-2</v>
      </c>
      <c r="F673" s="2">
        <v>46177.771748611114</v>
      </c>
      <c r="G673" s="1" t="s">
        <v>1211</v>
      </c>
      <c r="H673" s="2">
        <v>46177.771748611114</v>
      </c>
      <c r="I673" s="1" t="s">
        <v>1211</v>
      </c>
      <c r="J673" s="1" t="s">
        <v>3723</v>
      </c>
    </row>
    <row r="674" spans="1:10" x14ac:dyDescent="0.35">
      <c r="A674" s="1" t="s">
        <v>1339</v>
      </c>
      <c r="B674" s="1" t="s">
        <v>1209</v>
      </c>
      <c r="C674" s="1" t="s">
        <v>1210</v>
      </c>
      <c r="D674" s="2">
        <v>46177</v>
      </c>
      <c r="E674">
        <v>2.5880413293487298E-2</v>
      </c>
      <c r="F674" s="2">
        <v>46177.771665474538</v>
      </c>
      <c r="G674" s="1" t="s">
        <v>1211</v>
      </c>
      <c r="H674" s="2">
        <v>46177.771665474538</v>
      </c>
      <c r="I674" s="1" t="s">
        <v>1211</v>
      </c>
      <c r="J674" s="1" t="s">
        <v>3724</v>
      </c>
    </row>
    <row r="675" spans="1:10" x14ac:dyDescent="0.35">
      <c r="A675" s="1" t="s">
        <v>1340</v>
      </c>
      <c r="B675" s="1" t="s">
        <v>1209</v>
      </c>
      <c r="C675" s="1" t="s">
        <v>1210</v>
      </c>
      <c r="D675" s="2">
        <v>46177</v>
      </c>
      <c r="E675">
        <v>1.7198644536047799E-2</v>
      </c>
      <c r="F675" s="2">
        <v>46177.77174783565</v>
      </c>
      <c r="G675" s="1" t="s">
        <v>1211</v>
      </c>
      <c r="H675" s="2">
        <v>46177.771747881947</v>
      </c>
      <c r="I675" s="1" t="s">
        <v>1211</v>
      </c>
      <c r="J675" s="1" t="s">
        <v>3725</v>
      </c>
    </row>
    <row r="676" spans="1:10" x14ac:dyDescent="0.35">
      <c r="A676" s="1" t="s">
        <v>1341</v>
      </c>
      <c r="B676" s="1" t="s">
        <v>1209</v>
      </c>
      <c r="C676" s="1" t="s">
        <v>1210</v>
      </c>
      <c r="D676" s="2">
        <v>46177</v>
      </c>
      <c r="E676">
        <v>2.7897726802576302E-2</v>
      </c>
      <c r="F676" s="2">
        <v>46177.771735532406</v>
      </c>
      <c r="G676" s="1" t="s">
        <v>1211</v>
      </c>
      <c r="H676" s="2">
        <v>46177.771735648152</v>
      </c>
      <c r="I676" s="1" t="s">
        <v>1211</v>
      </c>
      <c r="J676" s="1" t="s">
        <v>3726</v>
      </c>
    </row>
    <row r="677" spans="1:10" x14ac:dyDescent="0.35">
      <c r="A677" s="1" t="s">
        <v>1342</v>
      </c>
      <c r="B677" s="1" t="s">
        <v>1209</v>
      </c>
      <c r="C677" s="1" t="s">
        <v>1210</v>
      </c>
      <c r="D677" s="2">
        <v>46177</v>
      </c>
      <c r="E677">
        <v>3.7951123305957103E-2</v>
      </c>
      <c r="F677" s="2">
        <v>46177.771739733798</v>
      </c>
      <c r="G677" s="1" t="s">
        <v>1211</v>
      </c>
      <c r="H677" s="2">
        <v>46177.771739895834</v>
      </c>
      <c r="I677" s="1" t="s">
        <v>1211</v>
      </c>
      <c r="J677" s="1" t="s">
        <v>3727</v>
      </c>
    </row>
    <row r="678" spans="1:10" x14ac:dyDescent="0.35">
      <c r="A678" s="1" t="s">
        <v>1343</v>
      </c>
      <c r="B678" s="1" t="s">
        <v>1209</v>
      </c>
      <c r="C678" s="1" t="s">
        <v>1210</v>
      </c>
      <c r="D678" s="2">
        <v>46177</v>
      </c>
      <c r="E678">
        <v>2.8914863120910399E-2</v>
      </c>
      <c r="F678" s="2">
        <v>46177.771690740738</v>
      </c>
      <c r="G678" s="1" t="s">
        <v>1211</v>
      </c>
      <c r="H678" s="2">
        <v>46177.771690624999</v>
      </c>
      <c r="I678" s="1" t="s">
        <v>1211</v>
      </c>
      <c r="J678" s="1" t="s">
        <v>3728</v>
      </c>
    </row>
    <row r="679" spans="1:10" x14ac:dyDescent="0.35">
      <c r="A679" s="1" t="s">
        <v>1344</v>
      </c>
      <c r="B679" s="1" t="s">
        <v>1209</v>
      </c>
      <c r="C679" s="1" t="s">
        <v>1210</v>
      </c>
      <c r="D679" s="2">
        <v>46177</v>
      </c>
      <c r="E679">
        <v>3.01283181373815E-2</v>
      </c>
      <c r="F679" s="2">
        <v>46177.771742395831</v>
      </c>
      <c r="G679" s="1" t="s">
        <v>1211</v>
      </c>
      <c r="H679" s="2">
        <v>46177.771742442128</v>
      </c>
      <c r="I679" s="1" t="s">
        <v>1211</v>
      </c>
      <c r="J679" s="1" t="s">
        <v>3729</v>
      </c>
    </row>
    <row r="680" spans="1:10" x14ac:dyDescent="0.35">
      <c r="A680" s="1" t="s">
        <v>1345</v>
      </c>
      <c r="B680" s="1" t="s">
        <v>1209</v>
      </c>
      <c r="C680" s="1" t="s">
        <v>1210</v>
      </c>
      <c r="D680" s="2">
        <v>46177</v>
      </c>
      <c r="E680">
        <v>3.0342250662842199E-2</v>
      </c>
      <c r="F680" s="2">
        <v>46177.771706331019</v>
      </c>
      <c r="G680" s="1" t="s">
        <v>1211</v>
      </c>
      <c r="H680" s="2">
        <v>46177.771706250001</v>
      </c>
      <c r="I680" s="1" t="s">
        <v>1211</v>
      </c>
      <c r="J680" s="1" t="s">
        <v>3730</v>
      </c>
    </row>
    <row r="681" spans="1:10" x14ac:dyDescent="0.35">
      <c r="A681" s="1" t="s">
        <v>1346</v>
      </c>
      <c r="B681" s="1" t="s">
        <v>1209</v>
      </c>
      <c r="C681" s="1" t="s">
        <v>1210</v>
      </c>
      <c r="D681" s="2">
        <v>46177</v>
      </c>
      <c r="E681">
        <v>2.3059062926405301E-2</v>
      </c>
      <c r="F681" s="2">
        <v>46177.77166608796</v>
      </c>
      <c r="G681" s="1" t="s">
        <v>1211</v>
      </c>
      <c r="H681" s="2">
        <v>46177.771666168985</v>
      </c>
      <c r="I681" s="1" t="s">
        <v>1211</v>
      </c>
      <c r="J681" s="1" t="s">
        <v>3731</v>
      </c>
    </row>
    <row r="682" spans="1:10" x14ac:dyDescent="0.35">
      <c r="A682" s="1" t="s">
        <v>1347</v>
      </c>
      <c r="B682" s="1" t="s">
        <v>1209</v>
      </c>
      <c r="C682" s="1" t="s">
        <v>1210</v>
      </c>
      <c r="D682" s="2">
        <v>46177</v>
      </c>
      <c r="E682">
        <v>3.0939758033684001E-2</v>
      </c>
      <c r="F682" s="2">
        <v>46177.771711770831</v>
      </c>
      <c r="G682" s="1" t="s">
        <v>1211</v>
      </c>
      <c r="H682" s="2">
        <v>46177.771711655092</v>
      </c>
      <c r="I682" s="1" t="s">
        <v>1211</v>
      </c>
      <c r="J682" s="1" t="s">
        <v>3732</v>
      </c>
    </row>
    <row r="683" spans="1:10" x14ac:dyDescent="0.35">
      <c r="A683" s="1" t="s">
        <v>1348</v>
      </c>
      <c r="B683" s="1" t="s">
        <v>1209</v>
      </c>
      <c r="C683" s="1" t="s">
        <v>1210</v>
      </c>
      <c r="D683" s="2">
        <v>46177</v>
      </c>
      <c r="E683">
        <v>1.6775763332133601E-2</v>
      </c>
      <c r="F683" s="2">
        <v>46177.771690277776</v>
      </c>
      <c r="G683" s="1" t="s">
        <v>1211</v>
      </c>
      <c r="H683" s="2">
        <v>46177.771690243055</v>
      </c>
      <c r="I683" s="1" t="s">
        <v>1211</v>
      </c>
      <c r="J683" s="1" t="s">
        <v>3733</v>
      </c>
    </row>
    <row r="684" spans="1:10" x14ac:dyDescent="0.35">
      <c r="A684" s="1" t="s">
        <v>1349</v>
      </c>
      <c r="B684" s="1" t="s">
        <v>1209</v>
      </c>
      <c r="C684" s="1" t="s">
        <v>1210</v>
      </c>
      <c r="D684" s="2">
        <v>46177</v>
      </c>
      <c r="E684">
        <v>3.80247331172699E-2</v>
      </c>
      <c r="F684" s="2">
        <v>46177.771739085649</v>
      </c>
      <c r="G684" s="1" t="s">
        <v>1211</v>
      </c>
      <c r="H684" s="2">
        <v>46177.77173912037</v>
      </c>
      <c r="I684" s="1" t="s">
        <v>1211</v>
      </c>
      <c r="J684" s="1" t="s">
        <v>3734</v>
      </c>
    </row>
    <row r="685" spans="1:10" x14ac:dyDescent="0.35">
      <c r="A685" s="1" t="s">
        <v>1350</v>
      </c>
      <c r="B685" s="1" t="s">
        <v>1209</v>
      </c>
      <c r="C685" s="1" t="s">
        <v>1210</v>
      </c>
      <c r="D685" s="2">
        <v>46177</v>
      </c>
      <c r="E685">
        <v>2.4982347162267701E-2</v>
      </c>
      <c r="F685" s="2">
        <v>46177.771694479168</v>
      </c>
      <c r="G685" s="1" t="s">
        <v>1211</v>
      </c>
      <c r="H685" s="2">
        <v>46177.771694328701</v>
      </c>
      <c r="I685" s="1" t="s">
        <v>1211</v>
      </c>
      <c r="J685" s="1" t="s">
        <v>3735</v>
      </c>
    </row>
    <row r="686" spans="1:10" x14ac:dyDescent="0.35">
      <c r="A686" s="1" t="s">
        <v>1351</v>
      </c>
      <c r="B686" s="1" t="s">
        <v>1209</v>
      </c>
      <c r="C686" s="1" t="s">
        <v>1210</v>
      </c>
      <c r="D686" s="2">
        <v>46177</v>
      </c>
      <c r="E686">
        <v>3.1411051006005102E-2</v>
      </c>
      <c r="F686" s="2">
        <v>46177.771718090276</v>
      </c>
      <c r="G686" s="1" t="s">
        <v>1211</v>
      </c>
      <c r="H686" s="2">
        <v>46177.771718055556</v>
      </c>
      <c r="I686" s="1" t="s">
        <v>1211</v>
      </c>
      <c r="J686" s="1" t="s">
        <v>3736</v>
      </c>
    </row>
    <row r="687" spans="1:10" x14ac:dyDescent="0.35">
      <c r="A687" s="1" t="s">
        <v>1352</v>
      </c>
      <c r="B687" s="1" t="s">
        <v>1209</v>
      </c>
      <c r="C687" s="1" t="s">
        <v>1210</v>
      </c>
      <c r="D687" s="2">
        <v>46177</v>
      </c>
      <c r="E687">
        <v>3.1814236880345799E-2</v>
      </c>
      <c r="F687" s="2">
        <v>46177.771694328701</v>
      </c>
      <c r="G687" s="1" t="s">
        <v>1211</v>
      </c>
      <c r="H687" s="2">
        <v>46177.771694328701</v>
      </c>
      <c r="I687" s="1" t="s">
        <v>1211</v>
      </c>
      <c r="J687" s="1" t="s">
        <v>3737</v>
      </c>
    </row>
    <row r="688" spans="1:10" x14ac:dyDescent="0.35">
      <c r="A688" s="1" t="s">
        <v>1353</v>
      </c>
      <c r="B688" s="1" t="s">
        <v>1209</v>
      </c>
      <c r="C688" s="1" t="s">
        <v>1210</v>
      </c>
      <c r="D688" s="2">
        <v>46177</v>
      </c>
      <c r="E688">
        <v>2.9447855481023501E-2</v>
      </c>
      <c r="F688" s="2">
        <v>46177.77166716435</v>
      </c>
      <c r="G688" s="1" t="s">
        <v>1211</v>
      </c>
      <c r="H688" s="2">
        <v>46177.771667326386</v>
      </c>
      <c r="I688" s="1" t="s">
        <v>1211</v>
      </c>
      <c r="J688" s="1" t="s">
        <v>3738</v>
      </c>
    </row>
    <row r="689" spans="1:10" x14ac:dyDescent="0.35">
      <c r="A689" s="1" t="s">
        <v>1354</v>
      </c>
      <c r="B689" s="1" t="s">
        <v>1209</v>
      </c>
      <c r="C689" s="1" t="s">
        <v>1210</v>
      </c>
      <c r="D689" s="2">
        <v>46177</v>
      </c>
      <c r="E689">
        <v>2.6704937138476399E-2</v>
      </c>
      <c r="F689" s="2">
        <v>46177.771678553239</v>
      </c>
      <c r="G689" s="1" t="s">
        <v>1211</v>
      </c>
      <c r="H689" s="2">
        <v>46177.771678622688</v>
      </c>
      <c r="I689" s="1" t="s">
        <v>1211</v>
      </c>
      <c r="J689" s="1" t="s">
        <v>3739</v>
      </c>
    </row>
    <row r="690" spans="1:10" x14ac:dyDescent="0.35">
      <c r="A690" s="1" t="s">
        <v>1355</v>
      </c>
      <c r="B690" s="1" t="s">
        <v>1209</v>
      </c>
      <c r="C690" s="1" t="s">
        <v>1210</v>
      </c>
      <c r="D690" s="2">
        <v>46177</v>
      </c>
      <c r="E690">
        <v>3.2176564061622101E-2</v>
      </c>
      <c r="F690" s="2">
        <v>46177.771752314817</v>
      </c>
      <c r="G690" s="1" t="s">
        <v>1211</v>
      </c>
      <c r="H690" s="2">
        <v>46177.771752349538</v>
      </c>
      <c r="I690" s="1" t="s">
        <v>1211</v>
      </c>
      <c r="J690" s="1" t="s">
        <v>3740</v>
      </c>
    </row>
    <row r="691" spans="1:10" x14ac:dyDescent="0.35">
      <c r="A691" s="1" t="s">
        <v>1356</v>
      </c>
      <c r="B691" s="1" t="s">
        <v>1209</v>
      </c>
      <c r="C691" s="1" t="s">
        <v>1210</v>
      </c>
      <c r="D691" s="2">
        <v>46177</v>
      </c>
      <c r="E691">
        <v>2.7745054137634201E-2</v>
      </c>
      <c r="F691" s="2">
        <v>46177.771734571761</v>
      </c>
      <c r="G691" s="1" t="s">
        <v>1211</v>
      </c>
      <c r="H691" s="2">
        <v>46177.771734571761</v>
      </c>
      <c r="I691" s="1" t="s">
        <v>1211</v>
      </c>
      <c r="J691" s="1" t="s">
        <v>3741</v>
      </c>
    </row>
    <row r="692" spans="1:10" x14ac:dyDescent="0.35">
      <c r="A692" s="1" t="s">
        <v>1357</v>
      </c>
      <c r="B692" s="1" t="s">
        <v>1209</v>
      </c>
      <c r="C692" s="1" t="s">
        <v>1210</v>
      </c>
      <c r="D692" s="2">
        <v>46177</v>
      </c>
      <c r="E692">
        <v>2.6738330391746602E-2</v>
      </c>
      <c r="F692" s="2">
        <v>46177.77169371528</v>
      </c>
      <c r="G692" s="1" t="s">
        <v>1211</v>
      </c>
      <c r="H692" s="2">
        <v>46177.771693599534</v>
      </c>
      <c r="I692" s="1" t="s">
        <v>1211</v>
      </c>
      <c r="J692" s="1" t="s">
        <v>3742</v>
      </c>
    </row>
    <row r="693" spans="1:10" x14ac:dyDescent="0.35">
      <c r="A693" s="1" t="s">
        <v>1358</v>
      </c>
      <c r="B693" s="1" t="s">
        <v>1209</v>
      </c>
      <c r="C693" s="1" t="s">
        <v>1210</v>
      </c>
      <c r="D693" s="2">
        <v>46177</v>
      </c>
      <c r="E693">
        <v>3.8017677057537599E-2</v>
      </c>
      <c r="F693" s="2">
        <v>46177.771699733799</v>
      </c>
      <c r="G693" s="1" t="s">
        <v>1211</v>
      </c>
      <c r="H693" s="2">
        <v>46177.771699571756</v>
      </c>
      <c r="I693" s="1" t="s">
        <v>1211</v>
      </c>
      <c r="J693" s="1" t="s">
        <v>3743</v>
      </c>
    </row>
    <row r="694" spans="1:10" x14ac:dyDescent="0.35">
      <c r="A694" s="1" t="s">
        <v>1359</v>
      </c>
      <c r="B694" s="1" t="s">
        <v>1209</v>
      </c>
      <c r="C694" s="1" t="s">
        <v>1210</v>
      </c>
      <c r="D694" s="2">
        <v>46177</v>
      </c>
      <c r="E694">
        <v>3.2492775068108902E-2</v>
      </c>
      <c r="F694" s="2">
        <v>46177.771692743052</v>
      </c>
      <c r="G694" s="1" t="s">
        <v>1211</v>
      </c>
      <c r="H694" s="2">
        <v>46177.771692592592</v>
      </c>
      <c r="I694" s="1" t="s">
        <v>1211</v>
      </c>
      <c r="J694" s="1" t="s">
        <v>3744</v>
      </c>
    </row>
    <row r="695" spans="1:10" x14ac:dyDescent="0.35">
      <c r="A695" s="1" t="s">
        <v>1360</v>
      </c>
      <c r="B695" s="1" t="s">
        <v>1209</v>
      </c>
      <c r="C695" s="1" t="s">
        <v>1210</v>
      </c>
      <c r="D695" s="2">
        <v>46177</v>
      </c>
      <c r="E695">
        <v>2.8407119792513601E-2</v>
      </c>
      <c r="F695" s="2">
        <v>46177.771712384259</v>
      </c>
      <c r="G695" s="1" t="s">
        <v>1211</v>
      </c>
      <c r="H695" s="2">
        <v>46177.771712384259</v>
      </c>
      <c r="I695" s="1" t="s">
        <v>1211</v>
      </c>
      <c r="J695" s="1" t="s">
        <v>3745</v>
      </c>
    </row>
    <row r="696" spans="1:10" x14ac:dyDescent="0.35">
      <c r="A696" s="1" t="s">
        <v>1361</v>
      </c>
      <c r="B696" s="1" t="s">
        <v>1209</v>
      </c>
      <c r="C696" s="1" t="s">
        <v>1210</v>
      </c>
      <c r="D696" s="2">
        <v>46177</v>
      </c>
      <c r="E696">
        <v>3.28431949172577E-2</v>
      </c>
      <c r="F696" s="2">
        <v>46177.771652430558</v>
      </c>
      <c r="G696" s="1" t="s">
        <v>1211</v>
      </c>
      <c r="H696" s="2">
        <v>46177.77165234954</v>
      </c>
      <c r="I696" s="1" t="s">
        <v>1211</v>
      </c>
      <c r="J696" s="1" t="s">
        <v>3746</v>
      </c>
    </row>
    <row r="697" spans="1:10" x14ac:dyDescent="0.35">
      <c r="A697" s="1" t="s">
        <v>1362</v>
      </c>
      <c r="B697" s="1" t="s">
        <v>1209</v>
      </c>
      <c r="C697" s="1" t="s">
        <v>1210</v>
      </c>
      <c r="D697" s="2">
        <v>46177</v>
      </c>
      <c r="E697">
        <v>2.8928241357518699E-2</v>
      </c>
      <c r="F697" s="2">
        <v>46177.771726967592</v>
      </c>
      <c r="G697" s="1" t="s">
        <v>1211</v>
      </c>
      <c r="H697" s="2">
        <v>46177.771726967592</v>
      </c>
      <c r="I697" s="1" t="s">
        <v>1211</v>
      </c>
      <c r="J697" s="1" t="s">
        <v>3747</v>
      </c>
    </row>
    <row r="698" spans="1:10" x14ac:dyDescent="0.35">
      <c r="A698" s="1" t="s">
        <v>1363</v>
      </c>
      <c r="B698" s="1" t="s">
        <v>1209</v>
      </c>
      <c r="C698" s="1" t="s">
        <v>1210</v>
      </c>
      <c r="D698" s="2">
        <v>46177</v>
      </c>
      <c r="E698">
        <v>3.3189532273635899E-2</v>
      </c>
      <c r="F698" s="2">
        <v>46177.771727280095</v>
      </c>
      <c r="G698" s="1" t="s">
        <v>1211</v>
      </c>
      <c r="H698" s="2">
        <v>46177.771727314816</v>
      </c>
      <c r="I698" s="1" t="s">
        <v>1211</v>
      </c>
      <c r="J698" s="1" t="s">
        <v>3748</v>
      </c>
    </row>
    <row r="699" spans="1:10" x14ac:dyDescent="0.35">
      <c r="A699" s="1" t="s">
        <v>1364</v>
      </c>
      <c r="B699" s="1" t="s">
        <v>1209</v>
      </c>
      <c r="C699" s="1" t="s">
        <v>1210</v>
      </c>
      <c r="D699" s="2">
        <v>46177</v>
      </c>
      <c r="E699">
        <v>3.29555470459909E-2</v>
      </c>
      <c r="F699" s="2">
        <v>46177.771744675927</v>
      </c>
      <c r="G699" s="1" t="s">
        <v>1211</v>
      </c>
      <c r="H699" s="2">
        <v>46177.771744756945</v>
      </c>
      <c r="I699" s="1" t="s">
        <v>1211</v>
      </c>
      <c r="J699" s="1" t="s">
        <v>3749</v>
      </c>
    </row>
    <row r="700" spans="1:10" x14ac:dyDescent="0.35">
      <c r="A700" s="1" t="s">
        <v>1365</v>
      </c>
      <c r="B700" s="1" t="s">
        <v>1209</v>
      </c>
      <c r="C700" s="1" t="s">
        <v>1210</v>
      </c>
      <c r="D700" s="2">
        <v>46177</v>
      </c>
      <c r="E700">
        <v>2.9454919706073002E-2</v>
      </c>
      <c r="F700" s="2">
        <v>46177.771746909719</v>
      </c>
      <c r="G700" s="1" t="s">
        <v>1211</v>
      </c>
      <c r="H700" s="2">
        <v>46177.771746956016</v>
      </c>
      <c r="I700" s="1" t="s">
        <v>1211</v>
      </c>
      <c r="J700" s="1" t="s">
        <v>3750</v>
      </c>
    </row>
    <row r="701" spans="1:10" x14ac:dyDescent="0.35">
      <c r="A701" s="1" t="s">
        <v>1366</v>
      </c>
      <c r="B701" s="1" t="s">
        <v>1209</v>
      </c>
      <c r="C701" s="1" t="s">
        <v>1210</v>
      </c>
      <c r="D701" s="2">
        <v>46177</v>
      </c>
      <c r="E701">
        <v>2.2797400160230099E-2</v>
      </c>
      <c r="F701" s="2">
        <v>46177.771658761572</v>
      </c>
      <c r="G701" s="1" t="s">
        <v>1211</v>
      </c>
      <c r="H701" s="2">
        <v>46177.771658761572</v>
      </c>
      <c r="I701" s="1" t="s">
        <v>1211</v>
      </c>
      <c r="J701" s="1" t="s">
        <v>3751</v>
      </c>
    </row>
    <row r="702" spans="1:10" x14ac:dyDescent="0.35">
      <c r="A702" s="1" t="s">
        <v>1367</v>
      </c>
      <c r="B702" s="1" t="s">
        <v>1209</v>
      </c>
      <c r="C702" s="1" t="s">
        <v>1210</v>
      </c>
      <c r="D702" s="2">
        <v>46177</v>
      </c>
      <c r="E702">
        <v>3.3491289390206E-2</v>
      </c>
      <c r="F702" s="2">
        <v>46177.771734259259</v>
      </c>
      <c r="G702" s="1" t="s">
        <v>1211</v>
      </c>
      <c r="H702" s="2">
        <v>46177.771734374997</v>
      </c>
      <c r="I702" s="1" t="s">
        <v>1211</v>
      </c>
      <c r="J702" s="1" t="s">
        <v>3752</v>
      </c>
    </row>
    <row r="703" spans="1:10" x14ac:dyDescent="0.35">
      <c r="A703" s="1" t="s">
        <v>1368</v>
      </c>
      <c r="B703" s="1" t="s">
        <v>1209</v>
      </c>
      <c r="C703" s="1" t="s">
        <v>1210</v>
      </c>
      <c r="D703" s="2">
        <v>46177</v>
      </c>
      <c r="E703">
        <v>2.3662343505326401E-2</v>
      </c>
      <c r="F703" s="2">
        <v>46177.771661724539</v>
      </c>
      <c r="G703" s="1" t="s">
        <v>1211</v>
      </c>
      <c r="H703" s="2">
        <v>46177.77166165509</v>
      </c>
      <c r="I703" s="1" t="s">
        <v>1211</v>
      </c>
      <c r="J703" s="1" t="s">
        <v>3753</v>
      </c>
    </row>
    <row r="704" spans="1:10" x14ac:dyDescent="0.35">
      <c r="A704" s="1" t="s">
        <v>1369</v>
      </c>
      <c r="B704" s="1" t="s">
        <v>1209</v>
      </c>
      <c r="C704" s="1" t="s">
        <v>1210</v>
      </c>
      <c r="D704" s="2">
        <v>46177</v>
      </c>
      <c r="E704">
        <v>2.9942476339178799E-2</v>
      </c>
      <c r="F704" s="2">
        <v>46177.77167642361</v>
      </c>
      <c r="G704" s="1" t="s">
        <v>1211</v>
      </c>
      <c r="H704" s="2">
        <v>46177.771676388889</v>
      </c>
      <c r="I704" s="1" t="s">
        <v>1211</v>
      </c>
      <c r="J704" s="1" t="s">
        <v>3754</v>
      </c>
    </row>
    <row r="705" spans="1:10" x14ac:dyDescent="0.35">
      <c r="A705" s="1" t="s">
        <v>1370</v>
      </c>
      <c r="B705" s="1" t="s">
        <v>1209</v>
      </c>
      <c r="C705" s="1" t="s">
        <v>1210</v>
      </c>
      <c r="D705" s="2">
        <v>46177</v>
      </c>
      <c r="E705">
        <v>2.4631664467297799E-2</v>
      </c>
      <c r="F705" s="2">
        <v>46177.771714664355</v>
      </c>
      <c r="G705" s="1" t="s">
        <v>1211</v>
      </c>
      <c r="H705" s="2">
        <v>46177.771714618058</v>
      </c>
      <c r="I705" s="1" t="s">
        <v>1211</v>
      </c>
      <c r="J705" s="1" t="s">
        <v>3755</v>
      </c>
    </row>
    <row r="706" spans="1:10" x14ac:dyDescent="0.35">
      <c r="A706" s="1" t="s">
        <v>1371</v>
      </c>
      <c r="B706" s="1" t="s">
        <v>1209</v>
      </c>
      <c r="C706" s="1" t="s">
        <v>1210</v>
      </c>
      <c r="D706" s="2">
        <v>46177</v>
      </c>
      <c r="E706">
        <v>3.3851865439961402E-2</v>
      </c>
      <c r="F706" s="2">
        <v>46177.771702164355</v>
      </c>
      <c r="G706" s="1" t="s">
        <v>1211</v>
      </c>
      <c r="H706" s="2">
        <v>46177.771702164355</v>
      </c>
      <c r="I706" s="1" t="s">
        <v>1211</v>
      </c>
      <c r="J706" s="1" t="s">
        <v>3756</v>
      </c>
    </row>
    <row r="707" spans="1:10" x14ac:dyDescent="0.35">
      <c r="A707" s="1" t="s">
        <v>1372</v>
      </c>
      <c r="B707" s="1" t="s">
        <v>1209</v>
      </c>
      <c r="C707" s="1" t="s">
        <v>1210</v>
      </c>
      <c r="D707" s="2">
        <v>46177</v>
      </c>
      <c r="E707">
        <v>3.7980848373293699E-2</v>
      </c>
      <c r="F707" s="2">
        <v>46177.771729479166</v>
      </c>
      <c r="G707" s="1" t="s">
        <v>1211</v>
      </c>
      <c r="H707" s="2">
        <v>46177.771729513886</v>
      </c>
      <c r="I707" s="1" t="s">
        <v>1211</v>
      </c>
      <c r="J707" s="1" t="s">
        <v>3757</v>
      </c>
    </row>
    <row r="708" spans="1:10" x14ac:dyDescent="0.35">
      <c r="A708" s="1" t="s">
        <v>1373</v>
      </c>
      <c r="B708" s="1" t="s">
        <v>1209</v>
      </c>
      <c r="C708" s="1" t="s">
        <v>1210</v>
      </c>
      <c r="D708" s="2">
        <v>46177</v>
      </c>
      <c r="E708">
        <v>2.5566785774624099E-2</v>
      </c>
      <c r="F708" s="2">
        <v>46177.771705092593</v>
      </c>
      <c r="G708" s="1" t="s">
        <v>1211</v>
      </c>
      <c r="H708" s="2">
        <v>46177.771704976854</v>
      </c>
      <c r="I708" s="1" t="s">
        <v>1211</v>
      </c>
      <c r="J708" s="1" t="s">
        <v>3758</v>
      </c>
    </row>
    <row r="709" spans="1:10" x14ac:dyDescent="0.35">
      <c r="A709" s="1" t="s">
        <v>1374</v>
      </c>
      <c r="B709" s="1" t="s">
        <v>1209</v>
      </c>
      <c r="C709" s="1" t="s">
        <v>1210</v>
      </c>
      <c r="D709" s="2">
        <v>46177</v>
      </c>
      <c r="E709">
        <v>3.1446332022714102E-2</v>
      </c>
      <c r="F709" s="2">
        <v>46177.77170297454</v>
      </c>
      <c r="G709" s="1" t="s">
        <v>1211</v>
      </c>
      <c r="H709" s="2">
        <v>46177.771702893515</v>
      </c>
      <c r="I709" s="1" t="s">
        <v>1211</v>
      </c>
      <c r="J709" s="1" t="s">
        <v>3759</v>
      </c>
    </row>
    <row r="710" spans="1:10" x14ac:dyDescent="0.35">
      <c r="A710" s="1" t="s">
        <v>1375</v>
      </c>
      <c r="B710" s="1" t="s">
        <v>1209</v>
      </c>
      <c r="C710" s="1" t="s">
        <v>1210</v>
      </c>
      <c r="D710" s="2">
        <v>46177</v>
      </c>
      <c r="E710">
        <v>3.0385004997985899E-2</v>
      </c>
      <c r="F710" s="2">
        <v>46177.771709687499</v>
      </c>
      <c r="G710" s="1" t="s">
        <v>1211</v>
      </c>
      <c r="H710" s="2">
        <v>46177.771709687499</v>
      </c>
      <c r="I710" s="1" t="s">
        <v>1211</v>
      </c>
      <c r="J710" s="1" t="s">
        <v>3760</v>
      </c>
    </row>
    <row r="711" spans="1:10" x14ac:dyDescent="0.35">
      <c r="A711" s="1" t="s">
        <v>1376</v>
      </c>
      <c r="B711" s="1" t="s">
        <v>1209</v>
      </c>
      <c r="C711" s="1" t="s">
        <v>1210</v>
      </c>
      <c r="D711" s="2">
        <v>46177</v>
      </c>
      <c r="E711">
        <v>2.6529567624852601E-2</v>
      </c>
      <c r="F711" s="2">
        <v>46177.771726157407</v>
      </c>
      <c r="G711" s="1" t="s">
        <v>1211</v>
      </c>
      <c r="H711" s="2">
        <v>46177.771726238425</v>
      </c>
      <c r="I711" s="1" t="s">
        <v>1211</v>
      </c>
      <c r="J711" s="1" t="s">
        <v>3761</v>
      </c>
    </row>
    <row r="712" spans="1:10" x14ac:dyDescent="0.35">
      <c r="A712" s="1" t="s">
        <v>1377</v>
      </c>
      <c r="B712" s="1" t="s">
        <v>1209</v>
      </c>
      <c r="C712" s="1" t="s">
        <v>1210</v>
      </c>
      <c r="D712" s="2">
        <v>46177</v>
      </c>
      <c r="E712">
        <v>3.4216326037385801E-2</v>
      </c>
      <c r="F712" s="2">
        <v>46177.77169105324</v>
      </c>
      <c r="G712" s="1" t="s">
        <v>1211</v>
      </c>
      <c r="H712" s="2">
        <v>46177.771690972222</v>
      </c>
      <c r="I712" s="1" t="s">
        <v>1211</v>
      </c>
      <c r="J712" s="1" t="s">
        <v>3762</v>
      </c>
    </row>
    <row r="713" spans="1:10" x14ac:dyDescent="0.35">
      <c r="A713" s="1" t="s">
        <v>1378</v>
      </c>
      <c r="B713" s="1" t="s">
        <v>1209</v>
      </c>
      <c r="C713" s="1" t="s">
        <v>1210</v>
      </c>
      <c r="D713" s="2">
        <v>46177</v>
      </c>
      <c r="E713">
        <v>2.7159481052566201E-2</v>
      </c>
      <c r="F713" s="2">
        <v>46177.771724965278</v>
      </c>
      <c r="G713" s="1" t="s">
        <v>1211</v>
      </c>
      <c r="H713" s="2">
        <v>46177.771724965278</v>
      </c>
      <c r="I713" s="1" t="s">
        <v>1211</v>
      </c>
      <c r="J713" s="1" t="s">
        <v>3763</v>
      </c>
    </row>
    <row r="714" spans="1:10" x14ac:dyDescent="0.35">
      <c r="A714" s="1" t="s">
        <v>1379</v>
      </c>
      <c r="B714" s="1" t="s">
        <v>1209</v>
      </c>
      <c r="C714" s="1" t="s">
        <v>1210</v>
      </c>
      <c r="D714" s="2">
        <v>46177</v>
      </c>
      <c r="E714">
        <v>3.0769038776608599E-2</v>
      </c>
      <c r="F714" s="2">
        <v>46177.771728391206</v>
      </c>
      <c r="G714" s="1" t="s">
        <v>1211</v>
      </c>
      <c r="H714" s="2">
        <v>46177.771728437503</v>
      </c>
      <c r="I714" s="1" t="s">
        <v>1211</v>
      </c>
      <c r="J714" s="1" t="s">
        <v>3764</v>
      </c>
    </row>
    <row r="715" spans="1:10" x14ac:dyDescent="0.35">
      <c r="A715" s="1" t="s">
        <v>1380</v>
      </c>
      <c r="B715" s="1" t="s">
        <v>1209</v>
      </c>
      <c r="C715" s="1" t="s">
        <v>1210</v>
      </c>
      <c r="D715" s="2">
        <v>46177</v>
      </c>
      <c r="E715">
        <v>3.7973928663419303E-2</v>
      </c>
      <c r="F715" s="2">
        <v>46177.771694178242</v>
      </c>
      <c r="G715" s="1" t="s">
        <v>1211</v>
      </c>
      <c r="H715" s="2">
        <v>46177.771694178242</v>
      </c>
      <c r="I715" s="1" t="s">
        <v>1211</v>
      </c>
      <c r="J715" s="1" t="s">
        <v>3765</v>
      </c>
    </row>
    <row r="716" spans="1:10" x14ac:dyDescent="0.35">
      <c r="A716" s="1" t="s">
        <v>1381</v>
      </c>
      <c r="B716" s="1" t="s">
        <v>1209</v>
      </c>
      <c r="C716" s="1" t="s">
        <v>1210</v>
      </c>
      <c r="D716" s="2">
        <v>46177</v>
      </c>
      <c r="E716">
        <v>2.7619338807552699E-2</v>
      </c>
      <c r="F716" s="2">
        <v>46177.771663854168</v>
      </c>
      <c r="G716" s="1" t="s">
        <v>1211</v>
      </c>
      <c r="H716" s="2">
        <v>46177.771663807871</v>
      </c>
      <c r="I716" s="1" t="s">
        <v>1211</v>
      </c>
      <c r="J716" s="1" t="s">
        <v>3766</v>
      </c>
    </row>
    <row r="717" spans="1:10" x14ac:dyDescent="0.35">
      <c r="A717" s="1" t="s">
        <v>1382</v>
      </c>
      <c r="B717" s="1" t="s">
        <v>1209</v>
      </c>
      <c r="C717" s="1" t="s">
        <v>1210</v>
      </c>
      <c r="D717" s="2">
        <v>46177</v>
      </c>
      <c r="E717">
        <v>3.4567266552971203E-2</v>
      </c>
      <c r="F717" s="2">
        <v>46177.771732291665</v>
      </c>
      <c r="G717" s="1" t="s">
        <v>1211</v>
      </c>
      <c r="H717" s="2">
        <v>46177.771732407411</v>
      </c>
      <c r="I717" s="1" t="s">
        <v>1211</v>
      </c>
      <c r="J717" s="1" t="s">
        <v>3767</v>
      </c>
    </row>
    <row r="718" spans="1:10" x14ac:dyDescent="0.35">
      <c r="A718" s="1" t="s">
        <v>1383</v>
      </c>
      <c r="B718" s="1" t="s">
        <v>1209</v>
      </c>
      <c r="C718" s="1" t="s">
        <v>1210</v>
      </c>
      <c r="D718" s="2">
        <v>46177</v>
      </c>
      <c r="E718">
        <v>3.4353281008543499E-2</v>
      </c>
      <c r="F718" s="2">
        <v>46177.771745636572</v>
      </c>
      <c r="G718" s="1" t="s">
        <v>1211</v>
      </c>
      <c r="H718" s="2">
        <v>46177.771745682869</v>
      </c>
      <c r="I718" s="1" t="s">
        <v>1211</v>
      </c>
      <c r="J718" s="1" t="s">
        <v>3768</v>
      </c>
    </row>
    <row r="719" spans="1:10" x14ac:dyDescent="0.35">
      <c r="A719" s="1" t="s">
        <v>1384</v>
      </c>
      <c r="B719" s="1" t="s">
        <v>1209</v>
      </c>
      <c r="C719" s="1" t="s">
        <v>1210</v>
      </c>
      <c r="D719" s="2">
        <v>46177</v>
      </c>
      <c r="E719">
        <v>2.79996026417219E-2</v>
      </c>
      <c r="F719" s="2">
        <v>46177.771699884259</v>
      </c>
      <c r="G719" s="1" t="s">
        <v>1211</v>
      </c>
      <c r="H719" s="2">
        <v>46177.77169976852</v>
      </c>
      <c r="I719" s="1" t="s">
        <v>1211</v>
      </c>
      <c r="J719" s="1" t="s">
        <v>3769</v>
      </c>
    </row>
    <row r="720" spans="1:10" x14ac:dyDescent="0.35">
      <c r="A720" s="1" t="s">
        <v>1385</v>
      </c>
      <c r="B720" s="1" t="s">
        <v>1209</v>
      </c>
      <c r="C720" s="1" t="s">
        <v>1210</v>
      </c>
      <c r="D720" s="2">
        <v>46177</v>
      </c>
      <c r="E720">
        <v>3.1155205512000999E-2</v>
      </c>
      <c r="F720" s="2">
        <v>46177.771673530093</v>
      </c>
      <c r="G720" s="1" t="s">
        <v>1211</v>
      </c>
      <c r="H720" s="2">
        <v>46177.771673495372</v>
      </c>
      <c r="I720" s="1" t="s">
        <v>1211</v>
      </c>
      <c r="J720" s="1" t="s">
        <v>3770</v>
      </c>
    </row>
    <row r="721" spans="1:10" x14ac:dyDescent="0.35">
      <c r="A721" s="1" t="s">
        <v>3771</v>
      </c>
      <c r="B721" s="1" t="s">
        <v>1209</v>
      </c>
      <c r="C721" s="1" t="s">
        <v>1210</v>
      </c>
      <c r="D721" s="2">
        <v>46177</v>
      </c>
      <c r="E721">
        <v>2.8364092785424899E-2</v>
      </c>
      <c r="F721" s="2">
        <v>46177.771683946761</v>
      </c>
      <c r="G721" s="1" t="s">
        <v>1211</v>
      </c>
      <c r="H721" s="2">
        <v>46177.771683877312</v>
      </c>
      <c r="I721" s="1" t="s">
        <v>1211</v>
      </c>
      <c r="J721" s="1" t="s">
        <v>3772</v>
      </c>
    </row>
    <row r="722" spans="1:10" x14ac:dyDescent="0.35">
      <c r="A722" s="1" t="s">
        <v>1386</v>
      </c>
      <c r="B722" s="1" t="s">
        <v>1209</v>
      </c>
      <c r="C722" s="1" t="s">
        <v>1210</v>
      </c>
      <c r="D722" s="2">
        <v>46177</v>
      </c>
      <c r="E722">
        <v>-5.6941394404657502E-4</v>
      </c>
      <c r="F722" s="2">
        <v>46177.771724803242</v>
      </c>
      <c r="G722" s="1" t="s">
        <v>1211</v>
      </c>
      <c r="H722" s="2">
        <v>46177.771724768521</v>
      </c>
      <c r="I722" s="1" t="s">
        <v>1211</v>
      </c>
      <c r="J722" s="1" t="s">
        <v>3773</v>
      </c>
    </row>
    <row r="723" spans="1:10" x14ac:dyDescent="0.35">
      <c r="A723" s="1" t="s">
        <v>1387</v>
      </c>
      <c r="B723" s="1" t="s">
        <v>1209</v>
      </c>
      <c r="C723" s="1" t="s">
        <v>1210</v>
      </c>
      <c r="D723" s="2">
        <v>46177</v>
      </c>
      <c r="E723">
        <v>2.5958331597384799E-2</v>
      </c>
      <c r="F723" s="2">
        <v>46177.771686493055</v>
      </c>
      <c r="G723" s="1" t="s">
        <v>1211</v>
      </c>
      <c r="H723" s="2">
        <v>46177.771686423614</v>
      </c>
      <c r="I723" s="1" t="s">
        <v>1211</v>
      </c>
      <c r="J723" s="1" t="s">
        <v>3774</v>
      </c>
    </row>
    <row r="724" spans="1:10" x14ac:dyDescent="0.35">
      <c r="A724" s="1" t="s">
        <v>1388</v>
      </c>
      <c r="B724" s="1" t="s">
        <v>1209</v>
      </c>
      <c r="C724" s="1" t="s">
        <v>1210</v>
      </c>
      <c r="D724" s="2">
        <v>46177</v>
      </c>
      <c r="E724">
        <v>2.9080587852524899E-2</v>
      </c>
      <c r="F724" s="2">
        <v>46177.771703437502</v>
      </c>
      <c r="G724" s="1" t="s">
        <v>1211</v>
      </c>
      <c r="H724" s="2">
        <v>46177.771703437502</v>
      </c>
      <c r="I724" s="1" t="s">
        <v>1211</v>
      </c>
      <c r="J724" s="1" t="s">
        <v>3775</v>
      </c>
    </row>
    <row r="725" spans="1:10" x14ac:dyDescent="0.35">
      <c r="A725" s="1" t="s">
        <v>1389</v>
      </c>
      <c r="B725" s="1" t="s">
        <v>1209</v>
      </c>
      <c r="C725" s="1" t="s">
        <v>1210</v>
      </c>
      <c r="D725" s="2">
        <v>46177</v>
      </c>
      <c r="E725">
        <v>8.6040274634807592E-3</v>
      </c>
      <c r="F725" s="2">
        <v>46177.771700196761</v>
      </c>
      <c r="G725" s="1" t="s">
        <v>1211</v>
      </c>
      <c r="H725" s="2">
        <v>46177.771700115743</v>
      </c>
      <c r="I725" s="1" t="s">
        <v>1211</v>
      </c>
      <c r="J725" s="1" t="s">
        <v>3776</v>
      </c>
    </row>
    <row r="726" spans="1:10" x14ac:dyDescent="0.35">
      <c r="A726" s="1" t="s">
        <v>1390</v>
      </c>
      <c r="B726" s="1" t="s">
        <v>1209</v>
      </c>
      <c r="C726" s="1" t="s">
        <v>1210</v>
      </c>
      <c r="D726" s="2">
        <v>46177</v>
      </c>
      <c r="E726">
        <v>3.2553047469343503E-2</v>
      </c>
      <c r="F726" s="2">
        <v>46177.771745138889</v>
      </c>
      <c r="G726" s="1" t="s">
        <v>1211</v>
      </c>
      <c r="H726" s="2">
        <v>46177.771745138889</v>
      </c>
      <c r="I726" s="1" t="s">
        <v>1211</v>
      </c>
      <c r="J726" s="1" t="s">
        <v>3777</v>
      </c>
    </row>
    <row r="727" spans="1:10" x14ac:dyDescent="0.35">
      <c r="A727" s="1" t="s">
        <v>1391</v>
      </c>
      <c r="B727" s="1" t="s">
        <v>1209</v>
      </c>
      <c r="C727" s="1" t="s">
        <v>1210</v>
      </c>
      <c r="D727" s="2">
        <v>46177</v>
      </c>
      <c r="E727">
        <v>1.240789298513E-2</v>
      </c>
      <c r="F727" s="2">
        <v>46177.771725891202</v>
      </c>
      <c r="G727" s="1" t="s">
        <v>1211</v>
      </c>
      <c r="H727" s="2">
        <v>46177.771725891202</v>
      </c>
      <c r="I727" s="1" t="s">
        <v>1211</v>
      </c>
      <c r="J727" s="1" t="s">
        <v>3778</v>
      </c>
    </row>
    <row r="728" spans="1:10" x14ac:dyDescent="0.35">
      <c r="A728" s="1" t="s">
        <v>1392</v>
      </c>
      <c r="B728" s="1" t="s">
        <v>1209</v>
      </c>
      <c r="C728" s="1" t="s">
        <v>1210</v>
      </c>
      <c r="D728" s="2">
        <v>46177</v>
      </c>
      <c r="E728">
        <v>3.4929097465378499E-2</v>
      </c>
      <c r="F728" s="2">
        <v>46177.771736111114</v>
      </c>
      <c r="G728" s="1" t="s">
        <v>1211</v>
      </c>
      <c r="H728" s="2">
        <v>46177.771736192131</v>
      </c>
      <c r="I728" s="1" t="s">
        <v>1211</v>
      </c>
      <c r="J728" s="1" t="s">
        <v>3779</v>
      </c>
    </row>
    <row r="729" spans="1:10" x14ac:dyDescent="0.35">
      <c r="A729" s="1" t="s">
        <v>1394</v>
      </c>
      <c r="B729" s="1" t="s">
        <v>1209</v>
      </c>
      <c r="C729" s="1" t="s">
        <v>1210</v>
      </c>
      <c r="D729" s="2">
        <v>46177</v>
      </c>
      <c r="E729">
        <v>3.61036927109658E-2</v>
      </c>
      <c r="F729" s="2">
        <v>46177.771686805558</v>
      </c>
      <c r="G729" s="1" t="s">
        <v>1211</v>
      </c>
      <c r="H729" s="2">
        <v>46177.771686770837</v>
      </c>
      <c r="I729" s="1" t="s">
        <v>1211</v>
      </c>
      <c r="J729" s="1" t="s">
        <v>3780</v>
      </c>
    </row>
    <row r="730" spans="1:10" x14ac:dyDescent="0.35">
      <c r="A730" s="1" t="s">
        <v>1395</v>
      </c>
      <c r="B730" s="1" t="s">
        <v>1209</v>
      </c>
      <c r="C730" s="1" t="s">
        <v>1210</v>
      </c>
      <c r="D730" s="2">
        <v>46177</v>
      </c>
      <c r="E730">
        <v>1.63658387999303E-2</v>
      </c>
      <c r="F730" s="2">
        <v>46177.771672141207</v>
      </c>
      <c r="G730" s="1" t="s">
        <v>1211</v>
      </c>
      <c r="H730" s="2">
        <v>46177.771672222225</v>
      </c>
      <c r="I730" s="1" t="s">
        <v>1211</v>
      </c>
      <c r="J730" s="1" t="s">
        <v>3781</v>
      </c>
    </row>
    <row r="731" spans="1:10" x14ac:dyDescent="0.35">
      <c r="A731" s="1" t="s">
        <v>1396</v>
      </c>
      <c r="B731" s="1" t="s">
        <v>1209</v>
      </c>
      <c r="C731" s="1" t="s">
        <v>1210</v>
      </c>
      <c r="D731" s="2">
        <v>46177</v>
      </c>
      <c r="E731">
        <v>3.6799635203799599E-2</v>
      </c>
      <c r="F731" s="2">
        <v>46177.771738773146</v>
      </c>
      <c r="G731" s="1" t="s">
        <v>1211</v>
      </c>
      <c r="H731" s="2">
        <v>46177.771738923613</v>
      </c>
      <c r="I731" s="1" t="s">
        <v>1211</v>
      </c>
      <c r="J731" s="1" t="s">
        <v>3782</v>
      </c>
    </row>
    <row r="732" spans="1:10" x14ac:dyDescent="0.35">
      <c r="A732" s="1" t="s">
        <v>1397</v>
      </c>
      <c r="B732" s="1" t="s">
        <v>1209</v>
      </c>
      <c r="C732" s="1" t="s">
        <v>1210</v>
      </c>
      <c r="D732" s="2">
        <v>46177</v>
      </c>
      <c r="E732">
        <v>2.3150251146795101E-2</v>
      </c>
      <c r="F732" s="2">
        <v>46177.771735844908</v>
      </c>
      <c r="G732" s="1" t="s">
        <v>1211</v>
      </c>
      <c r="H732" s="2">
        <v>46177.771735844908</v>
      </c>
      <c r="I732" s="1" t="s">
        <v>1211</v>
      </c>
      <c r="J732" s="1" t="s">
        <v>3783</v>
      </c>
    </row>
    <row r="733" spans="1:10" x14ac:dyDescent="0.35">
      <c r="A733" s="1" t="s">
        <v>1398</v>
      </c>
      <c r="B733" s="1" t="s">
        <v>1209</v>
      </c>
      <c r="C733" s="1" t="s">
        <v>1210</v>
      </c>
      <c r="D733" s="2">
        <v>46177</v>
      </c>
      <c r="E733">
        <v>2.6131760581749399E-2</v>
      </c>
      <c r="F733" s="2">
        <v>46177.77169927083</v>
      </c>
      <c r="G733" s="1" t="s">
        <v>1211</v>
      </c>
      <c r="H733" s="2">
        <v>46177.77169922454</v>
      </c>
      <c r="I733" s="1" t="s">
        <v>1211</v>
      </c>
      <c r="J733" s="1" t="s">
        <v>3784</v>
      </c>
    </row>
    <row r="734" spans="1:10" x14ac:dyDescent="0.35">
      <c r="A734" s="1" t="s">
        <v>1399</v>
      </c>
      <c r="B734" s="1" t="s">
        <v>1209</v>
      </c>
      <c r="C734" s="1" t="s">
        <v>1210</v>
      </c>
      <c r="D734" s="2">
        <v>46177</v>
      </c>
      <c r="E734">
        <v>2.7881020977180902E-2</v>
      </c>
      <c r="F734" s="2">
        <v>46177.771701736114</v>
      </c>
      <c r="G734" s="1" t="s">
        <v>1211</v>
      </c>
      <c r="H734" s="2">
        <v>46177.771701585647</v>
      </c>
      <c r="I734" s="1" t="s">
        <v>1211</v>
      </c>
      <c r="J734" s="1" t="s">
        <v>3785</v>
      </c>
    </row>
    <row r="735" spans="1:10" x14ac:dyDescent="0.35">
      <c r="A735" s="1" t="s">
        <v>1400</v>
      </c>
      <c r="B735" s="1" t="s">
        <v>1209</v>
      </c>
      <c r="C735" s="1" t="s">
        <v>1210</v>
      </c>
      <c r="D735" s="2">
        <v>46177</v>
      </c>
      <c r="E735">
        <v>2.7892053224698201E-2</v>
      </c>
      <c r="F735" s="2">
        <v>46177.771743668978</v>
      </c>
      <c r="G735" s="1" t="s">
        <v>1211</v>
      </c>
      <c r="H735" s="2">
        <v>46177.771743668978</v>
      </c>
      <c r="I735" s="1" t="s">
        <v>1211</v>
      </c>
      <c r="J735" s="1" t="s">
        <v>3786</v>
      </c>
    </row>
    <row r="736" spans="1:10" x14ac:dyDescent="0.35">
      <c r="A736" s="1" t="s">
        <v>1401</v>
      </c>
      <c r="B736" s="1" t="s">
        <v>1209</v>
      </c>
      <c r="C736" s="1" t="s">
        <v>1210</v>
      </c>
      <c r="D736" s="2">
        <v>46177</v>
      </c>
      <c r="E736">
        <v>2.9178176445669599E-2</v>
      </c>
      <c r="F736" s="2">
        <v>46177.771675578704</v>
      </c>
      <c r="G736" s="1" t="s">
        <v>1211</v>
      </c>
      <c r="H736" s="2">
        <v>46177.771675659722</v>
      </c>
      <c r="I736" s="1" t="s">
        <v>1211</v>
      </c>
      <c r="J736" s="1" t="s">
        <v>3787</v>
      </c>
    </row>
    <row r="737" spans="1:10" x14ac:dyDescent="0.35">
      <c r="A737" s="1" t="s">
        <v>1402</v>
      </c>
      <c r="B737" s="1" t="s">
        <v>1209</v>
      </c>
      <c r="C737" s="1" t="s">
        <v>1210</v>
      </c>
      <c r="D737" s="2">
        <v>46177</v>
      </c>
      <c r="E737">
        <v>3.00994822414841E-2</v>
      </c>
      <c r="F737" s="2">
        <v>46177.771713275462</v>
      </c>
      <c r="G737" s="1" t="s">
        <v>1211</v>
      </c>
      <c r="H737" s="2">
        <v>46177.771713344904</v>
      </c>
      <c r="I737" s="1" t="s">
        <v>1211</v>
      </c>
      <c r="J737" s="1" t="s">
        <v>3788</v>
      </c>
    </row>
    <row r="738" spans="1:10" x14ac:dyDescent="0.35">
      <c r="A738" s="1" t="s">
        <v>1403</v>
      </c>
      <c r="B738" s="1" t="s">
        <v>1209</v>
      </c>
      <c r="C738" s="1" t="s">
        <v>1210</v>
      </c>
      <c r="D738" s="2">
        <v>46177</v>
      </c>
      <c r="E738">
        <v>3.0892048994549701E-2</v>
      </c>
      <c r="F738" s="2">
        <v>46177.771714502313</v>
      </c>
      <c r="G738" s="1" t="s">
        <v>1211</v>
      </c>
      <c r="H738" s="2">
        <v>46177.771714432871</v>
      </c>
      <c r="I738" s="1" t="s">
        <v>1211</v>
      </c>
      <c r="J738" s="1" t="s">
        <v>3789</v>
      </c>
    </row>
    <row r="739" spans="1:10" x14ac:dyDescent="0.35">
      <c r="A739" s="1" t="s">
        <v>1404</v>
      </c>
      <c r="B739" s="1" t="s">
        <v>1209</v>
      </c>
      <c r="C739" s="1" t="s">
        <v>1210</v>
      </c>
      <c r="D739" s="2">
        <v>46177</v>
      </c>
      <c r="E739">
        <v>3.1688547302234298E-2</v>
      </c>
      <c r="F739" s="2">
        <v>46177.771660497689</v>
      </c>
      <c r="G739" s="1" t="s">
        <v>1211</v>
      </c>
      <c r="H739" s="2">
        <v>46177.771660381943</v>
      </c>
      <c r="I739" s="1" t="s">
        <v>1211</v>
      </c>
      <c r="J739" s="1" t="s">
        <v>3790</v>
      </c>
    </row>
    <row r="740" spans="1:10" x14ac:dyDescent="0.35">
      <c r="A740" s="1" t="s">
        <v>1405</v>
      </c>
      <c r="B740" s="1" t="s">
        <v>1209</v>
      </c>
      <c r="C740" s="1" t="s">
        <v>1210</v>
      </c>
      <c r="D740" s="2">
        <v>46177</v>
      </c>
      <c r="E740">
        <v>3.1686155856661902E-2</v>
      </c>
      <c r="F740" s="2">
        <v>46177.771739895834</v>
      </c>
      <c r="G740" s="1" t="s">
        <v>1211</v>
      </c>
      <c r="H740" s="2">
        <v>46177.771739895834</v>
      </c>
      <c r="I740" s="1" t="s">
        <v>1211</v>
      </c>
      <c r="J740" s="1" t="s">
        <v>3791</v>
      </c>
    </row>
    <row r="741" spans="1:10" x14ac:dyDescent="0.35">
      <c r="A741" s="1" t="s">
        <v>1407</v>
      </c>
      <c r="B741" s="1" t="s">
        <v>1209</v>
      </c>
      <c r="C741" s="1" t="s">
        <v>1210</v>
      </c>
      <c r="D741" s="2">
        <v>46177</v>
      </c>
      <c r="E741">
        <v>3.1655650999088299E-2</v>
      </c>
      <c r="F741" s="2">
        <v>46177.771664236112</v>
      </c>
      <c r="G741" s="1" t="s">
        <v>1211</v>
      </c>
      <c r="H741" s="2">
        <v>46177.771664351851</v>
      </c>
      <c r="I741" s="1" t="s">
        <v>1211</v>
      </c>
      <c r="J741" s="1" t="s">
        <v>3792</v>
      </c>
    </row>
    <row r="742" spans="1:10" x14ac:dyDescent="0.35">
      <c r="A742" s="1" t="s">
        <v>1408</v>
      </c>
      <c r="B742" s="1" t="s">
        <v>1209</v>
      </c>
      <c r="C742" s="1" t="s">
        <v>1210</v>
      </c>
      <c r="D742" s="2">
        <v>46177</v>
      </c>
      <c r="E742">
        <v>3.2445457839166601E-2</v>
      </c>
      <c r="F742" s="2">
        <v>46177.771697372686</v>
      </c>
      <c r="G742" s="1" t="s">
        <v>1211</v>
      </c>
      <c r="H742" s="2">
        <v>46177.771697222219</v>
      </c>
      <c r="I742" s="1" t="s">
        <v>1211</v>
      </c>
      <c r="J742" s="1" t="s">
        <v>3793</v>
      </c>
    </row>
    <row r="743" spans="1:10" x14ac:dyDescent="0.35">
      <c r="A743" s="1" t="s">
        <v>1409</v>
      </c>
      <c r="B743" s="1" t="s">
        <v>1209</v>
      </c>
      <c r="C743" s="1" t="s">
        <v>1210</v>
      </c>
      <c r="D743" s="2">
        <v>46177</v>
      </c>
      <c r="E743">
        <v>2.3487608945129499E-2</v>
      </c>
      <c r="F743" s="2">
        <v>46177.771667326386</v>
      </c>
      <c r="G743" s="1" t="s">
        <v>1211</v>
      </c>
      <c r="H743" s="2">
        <v>46177.771667326386</v>
      </c>
      <c r="I743" s="1" t="s">
        <v>1211</v>
      </c>
      <c r="J743" s="1" t="s">
        <v>3794</v>
      </c>
    </row>
    <row r="744" spans="1:10" x14ac:dyDescent="0.35">
      <c r="A744" s="1" t="s">
        <v>1410</v>
      </c>
      <c r="B744" s="1" t="s">
        <v>1209</v>
      </c>
      <c r="C744" s="1" t="s">
        <v>1210</v>
      </c>
      <c r="D744" s="2">
        <v>46177</v>
      </c>
      <c r="E744">
        <v>3.2452801142419802E-2</v>
      </c>
      <c r="F744" s="2">
        <v>46177.77169494213</v>
      </c>
      <c r="G744" s="1" t="s">
        <v>1211</v>
      </c>
      <c r="H744" s="2">
        <v>46177.771694872688</v>
      </c>
      <c r="I744" s="1" t="s">
        <v>1211</v>
      </c>
      <c r="J744" s="1" t="s">
        <v>3795</v>
      </c>
    </row>
    <row r="745" spans="1:10" x14ac:dyDescent="0.35">
      <c r="A745" s="1" t="s">
        <v>1411</v>
      </c>
      <c r="B745" s="1" t="s">
        <v>1209</v>
      </c>
      <c r="C745" s="1" t="s">
        <v>1210</v>
      </c>
      <c r="D745" s="2">
        <v>46177</v>
      </c>
      <c r="E745">
        <v>2.3486916356303001E-2</v>
      </c>
      <c r="F745" s="2">
        <v>46177.771667939815</v>
      </c>
      <c r="G745" s="1" t="s">
        <v>1211</v>
      </c>
      <c r="H745" s="2">
        <v>46177.771668020832</v>
      </c>
      <c r="I745" s="1" t="s">
        <v>1211</v>
      </c>
      <c r="J745" s="1" t="s">
        <v>3796</v>
      </c>
    </row>
    <row r="746" spans="1:10" x14ac:dyDescent="0.35">
      <c r="A746" s="1" t="s">
        <v>1412</v>
      </c>
      <c r="B746" s="1" t="s">
        <v>1209</v>
      </c>
      <c r="C746" s="1" t="s">
        <v>1210</v>
      </c>
      <c r="D746" s="2">
        <v>46177</v>
      </c>
      <c r="E746">
        <v>3.2424941009377303E-2</v>
      </c>
      <c r="F746" s="2">
        <v>46177.771711921298</v>
      </c>
      <c r="G746" s="1" t="s">
        <v>1211</v>
      </c>
      <c r="H746" s="2">
        <v>46177.77171184028</v>
      </c>
      <c r="I746" s="1" t="s">
        <v>1211</v>
      </c>
      <c r="J746" s="1" t="s">
        <v>3797</v>
      </c>
    </row>
    <row r="747" spans="1:10" x14ac:dyDescent="0.35">
      <c r="A747" s="1" t="s">
        <v>1413</v>
      </c>
      <c r="B747" s="1" t="s">
        <v>1209</v>
      </c>
      <c r="C747" s="1" t="s">
        <v>1210</v>
      </c>
      <c r="D747" s="2">
        <v>46177</v>
      </c>
      <c r="E747">
        <v>3.33332769490522E-2</v>
      </c>
      <c r="F747" s="2">
        <v>46177.771706018517</v>
      </c>
      <c r="G747" s="1" t="s">
        <v>1211</v>
      </c>
      <c r="H747" s="2">
        <v>46177.771706053238</v>
      </c>
      <c r="I747" s="1" t="s">
        <v>1211</v>
      </c>
      <c r="J747" s="1" t="s">
        <v>3798</v>
      </c>
    </row>
    <row r="748" spans="1:10" x14ac:dyDescent="0.35">
      <c r="A748" s="1" t="s">
        <v>1414</v>
      </c>
      <c r="B748" s="1" t="s">
        <v>1209</v>
      </c>
      <c r="C748" s="1" t="s">
        <v>1210</v>
      </c>
      <c r="D748" s="2">
        <v>46177</v>
      </c>
      <c r="E748">
        <v>2.6150187017282799E-2</v>
      </c>
      <c r="F748" s="2">
        <v>46177.77171990741</v>
      </c>
      <c r="G748" s="1" t="s">
        <v>1211</v>
      </c>
      <c r="H748" s="2">
        <v>46177.771719872682</v>
      </c>
      <c r="I748" s="1" t="s">
        <v>1211</v>
      </c>
      <c r="J748" s="1" t="s">
        <v>3799</v>
      </c>
    </row>
    <row r="749" spans="1:10" x14ac:dyDescent="0.35">
      <c r="A749" s="1" t="s">
        <v>1415</v>
      </c>
      <c r="B749" s="1" t="s">
        <v>1209</v>
      </c>
      <c r="C749" s="1" t="s">
        <v>1210</v>
      </c>
      <c r="D749" s="2">
        <v>46177</v>
      </c>
      <c r="E749">
        <v>2.7402178638466699E-2</v>
      </c>
      <c r="F749" s="2">
        <v>46177.771658136575</v>
      </c>
      <c r="G749" s="1" t="s">
        <v>1211</v>
      </c>
      <c r="H749" s="2">
        <v>46177.771658020836</v>
      </c>
      <c r="I749" s="1" t="s">
        <v>1211</v>
      </c>
      <c r="J749" s="1" t="s">
        <v>3800</v>
      </c>
    </row>
    <row r="750" spans="1:10" x14ac:dyDescent="0.35">
      <c r="A750" s="1" t="s">
        <v>1416</v>
      </c>
      <c r="B750" s="1" t="s">
        <v>1209</v>
      </c>
      <c r="C750" s="1" t="s">
        <v>1210</v>
      </c>
      <c r="D750" s="2">
        <v>46177</v>
      </c>
      <c r="E750">
        <v>3.4100362059790001E-2</v>
      </c>
      <c r="F750" s="2">
        <v>46177.771652696756</v>
      </c>
      <c r="G750" s="1" t="s">
        <v>1211</v>
      </c>
      <c r="H750" s="2">
        <v>46177.771652743053</v>
      </c>
      <c r="I750" s="1" t="s">
        <v>1211</v>
      </c>
      <c r="J750" s="1" t="s">
        <v>3801</v>
      </c>
    </row>
    <row r="751" spans="1:10" x14ac:dyDescent="0.35">
      <c r="A751" s="1" t="s">
        <v>1417</v>
      </c>
      <c r="B751" s="1" t="s">
        <v>1209</v>
      </c>
      <c r="C751" s="1" t="s">
        <v>1210</v>
      </c>
      <c r="D751" s="2">
        <v>46177</v>
      </c>
      <c r="E751">
        <v>2.8484991058665799E-2</v>
      </c>
      <c r="F751" s="2">
        <v>46177.771715891206</v>
      </c>
      <c r="G751" s="1" t="s">
        <v>1211</v>
      </c>
      <c r="H751" s="2">
        <v>46177.771715891206</v>
      </c>
      <c r="I751" s="1" t="s">
        <v>1211</v>
      </c>
      <c r="J751" s="1" t="s">
        <v>3802</v>
      </c>
    </row>
    <row r="752" spans="1:10" x14ac:dyDescent="0.35">
      <c r="A752" s="1" t="s">
        <v>1418</v>
      </c>
      <c r="B752" s="1" t="s">
        <v>1209</v>
      </c>
      <c r="C752" s="1" t="s">
        <v>1210</v>
      </c>
      <c r="D752" s="2">
        <v>46177</v>
      </c>
      <c r="E752">
        <v>2.8479437097064401E-2</v>
      </c>
      <c r="F752" s="2">
        <v>46177.771712071757</v>
      </c>
      <c r="G752" s="1" t="s">
        <v>1211</v>
      </c>
      <c r="H752" s="2">
        <v>46177.771712037036</v>
      </c>
      <c r="I752" s="1" t="s">
        <v>1211</v>
      </c>
      <c r="J752" s="1" t="s">
        <v>3803</v>
      </c>
    </row>
    <row r="753" spans="1:10" x14ac:dyDescent="0.35">
      <c r="A753" s="1" t="s">
        <v>3804</v>
      </c>
      <c r="B753" s="1" t="s">
        <v>1209</v>
      </c>
      <c r="C753" s="1" t="s">
        <v>1210</v>
      </c>
      <c r="D753" s="2">
        <v>46177</v>
      </c>
      <c r="E753">
        <v>3.6787078809865897E-2</v>
      </c>
      <c r="F753" s="2">
        <v>46177.771705555555</v>
      </c>
      <c r="G753" s="1" t="s">
        <v>1211</v>
      </c>
      <c r="H753" s="2">
        <v>46177.771705520834</v>
      </c>
      <c r="I753" s="1" t="s">
        <v>1211</v>
      </c>
      <c r="J753" s="1" t="s">
        <v>3805</v>
      </c>
    </row>
    <row r="754" spans="1:10" x14ac:dyDescent="0.35">
      <c r="A754" s="1" t="s">
        <v>1421</v>
      </c>
      <c r="B754" s="1" t="s">
        <v>1209</v>
      </c>
      <c r="C754" s="1" t="s">
        <v>1210</v>
      </c>
      <c r="D754" s="2">
        <v>46177</v>
      </c>
      <c r="E754">
        <v>3.6933360406298597E-2</v>
      </c>
      <c r="F754" s="2">
        <v>46177.771747071762</v>
      </c>
      <c r="G754" s="1" t="s">
        <v>1211</v>
      </c>
      <c r="H754" s="2">
        <v>46177.771747106483</v>
      </c>
      <c r="I754" s="1" t="s">
        <v>1211</v>
      </c>
      <c r="J754" s="1" t="s">
        <v>3806</v>
      </c>
    </row>
    <row r="755" spans="1:10" x14ac:dyDescent="0.35">
      <c r="A755" s="1" t="s">
        <v>1422</v>
      </c>
      <c r="B755" s="1" t="s">
        <v>1209</v>
      </c>
      <c r="C755" s="1" t="s">
        <v>1210</v>
      </c>
      <c r="D755" s="2">
        <v>46177</v>
      </c>
      <c r="E755">
        <v>4.26763685421764E-2</v>
      </c>
      <c r="F755" s="2">
        <v>46177.771734108799</v>
      </c>
      <c r="G755" s="1" t="s">
        <v>1211</v>
      </c>
      <c r="H755" s="2">
        <v>46177.771734224538</v>
      </c>
      <c r="I755" s="1" t="s">
        <v>1211</v>
      </c>
      <c r="J755" s="1" t="s">
        <v>3807</v>
      </c>
    </row>
    <row r="756" spans="1:10" x14ac:dyDescent="0.35">
      <c r="A756" s="1" t="s">
        <v>1423</v>
      </c>
      <c r="B756" s="1" t="s">
        <v>1209</v>
      </c>
      <c r="C756" s="1" t="s">
        <v>1210</v>
      </c>
      <c r="D756" s="2">
        <v>46177</v>
      </c>
      <c r="E756">
        <v>3.9731749054303003E-2</v>
      </c>
      <c r="F756" s="2">
        <v>46177.771696793985</v>
      </c>
      <c r="G756" s="1" t="s">
        <v>1211</v>
      </c>
      <c r="H756" s="2">
        <v>46177.771696678239</v>
      </c>
      <c r="I756" s="1" t="s">
        <v>1211</v>
      </c>
      <c r="J756" s="1" t="s">
        <v>3808</v>
      </c>
    </row>
    <row r="757" spans="1:10" x14ac:dyDescent="0.35">
      <c r="A757" s="1" t="s">
        <v>1424</v>
      </c>
      <c r="B757" s="1" t="s">
        <v>1209</v>
      </c>
      <c r="C757" s="1" t="s">
        <v>1210</v>
      </c>
      <c r="D757" s="2">
        <v>46177</v>
      </c>
      <c r="E757">
        <v>4.5240088926648998E-2</v>
      </c>
      <c r="F757" s="2">
        <v>46177.771708831016</v>
      </c>
      <c r="G757" s="1" t="s">
        <v>1211</v>
      </c>
      <c r="H757" s="2">
        <v>46177.771708761575</v>
      </c>
      <c r="I757" s="1" t="s">
        <v>1211</v>
      </c>
      <c r="J757" s="1" t="s">
        <v>3809</v>
      </c>
    </row>
    <row r="758" spans="1:10" x14ac:dyDescent="0.35">
      <c r="A758" s="1" t="s">
        <v>1425</v>
      </c>
      <c r="B758" s="1" t="s">
        <v>1209</v>
      </c>
      <c r="C758" s="1" t="s">
        <v>1210</v>
      </c>
      <c r="D758" s="2">
        <v>46177</v>
      </c>
      <c r="E758">
        <v>2.6065421979468002E-2</v>
      </c>
      <c r="F758" s="2">
        <v>46177.771698229168</v>
      </c>
      <c r="G758" s="1" t="s">
        <v>1211</v>
      </c>
      <c r="H758" s="2">
        <v>46177.771698113429</v>
      </c>
      <c r="I758" s="1" t="s">
        <v>1211</v>
      </c>
      <c r="J758" s="1" t="s">
        <v>3810</v>
      </c>
    </row>
    <row r="759" spans="1:10" x14ac:dyDescent="0.35">
      <c r="A759" s="1" t="s">
        <v>1426</v>
      </c>
      <c r="B759" s="1" t="s">
        <v>1209</v>
      </c>
      <c r="C759" s="1" t="s">
        <v>1210</v>
      </c>
      <c r="D759" s="2">
        <v>46177</v>
      </c>
      <c r="E759">
        <v>2.74253463308336E-2</v>
      </c>
      <c r="F759" s="2">
        <v>46177.771747997685</v>
      </c>
      <c r="G759" s="1" t="s">
        <v>1211</v>
      </c>
      <c r="H759" s="2">
        <v>46177.771748067127</v>
      </c>
      <c r="I759" s="1" t="s">
        <v>1211</v>
      </c>
      <c r="J759" s="1" t="s">
        <v>3811</v>
      </c>
    </row>
    <row r="760" spans="1:10" x14ac:dyDescent="0.35">
      <c r="A760" s="1" t="s">
        <v>1427</v>
      </c>
      <c r="B760" s="1" t="s">
        <v>1209</v>
      </c>
      <c r="C760" s="1" t="s">
        <v>1210</v>
      </c>
      <c r="D760" s="2">
        <v>46177</v>
      </c>
      <c r="E760">
        <v>2.75012704844445E-2</v>
      </c>
      <c r="F760" s="2">
        <v>46177.77172005787</v>
      </c>
      <c r="G760" s="1" t="s">
        <v>1211</v>
      </c>
      <c r="H760" s="2">
        <v>46177.77172005787</v>
      </c>
      <c r="I760" s="1" t="s">
        <v>1211</v>
      </c>
      <c r="J760" s="1" t="s">
        <v>3812</v>
      </c>
    </row>
    <row r="761" spans="1:10" x14ac:dyDescent="0.35">
      <c r="A761" s="1" t="s">
        <v>1428</v>
      </c>
      <c r="B761" s="1" t="s">
        <v>1209</v>
      </c>
      <c r="C761" s="1" t="s">
        <v>1210</v>
      </c>
      <c r="D761" s="2">
        <v>46177</v>
      </c>
      <c r="E761">
        <v>2.86454676279373E-2</v>
      </c>
      <c r="F761" s="2">
        <v>46177.771748298612</v>
      </c>
      <c r="G761" s="1" t="s">
        <v>1211</v>
      </c>
      <c r="H761" s="2">
        <v>46177.771748263891</v>
      </c>
      <c r="I761" s="1" t="s">
        <v>1211</v>
      </c>
      <c r="J761" s="1" t="s">
        <v>3813</v>
      </c>
    </row>
    <row r="762" spans="1:10" x14ac:dyDescent="0.35">
      <c r="A762" s="1" t="s">
        <v>1429</v>
      </c>
      <c r="B762" s="1" t="s">
        <v>1209</v>
      </c>
      <c r="C762" s="1" t="s">
        <v>1210</v>
      </c>
      <c r="D762" s="2">
        <v>46177</v>
      </c>
      <c r="E762">
        <v>3.0240633696335902E-2</v>
      </c>
      <c r="F762" s="2">
        <v>46177.771665011576</v>
      </c>
      <c r="G762" s="1" t="s">
        <v>1211</v>
      </c>
      <c r="H762" s="2">
        <v>46177.771665081018</v>
      </c>
      <c r="I762" s="1" t="s">
        <v>1211</v>
      </c>
      <c r="J762" s="1" t="s">
        <v>3814</v>
      </c>
    </row>
    <row r="763" spans="1:10" x14ac:dyDescent="0.35">
      <c r="A763" s="1" t="s">
        <v>1430</v>
      </c>
      <c r="B763" s="1" t="s">
        <v>1209</v>
      </c>
      <c r="C763" s="1" t="s">
        <v>1210</v>
      </c>
      <c r="D763" s="2">
        <v>46177</v>
      </c>
      <c r="E763">
        <v>4.5161195884425902E-2</v>
      </c>
      <c r="F763" s="2">
        <v>46177.771720914352</v>
      </c>
      <c r="G763" s="1" t="s">
        <v>1211</v>
      </c>
      <c r="H763" s="2">
        <v>46177.771720949073</v>
      </c>
      <c r="I763" s="1" t="s">
        <v>1211</v>
      </c>
      <c r="J763" s="1" t="s">
        <v>3815</v>
      </c>
    </row>
    <row r="764" spans="1:10" x14ac:dyDescent="0.35">
      <c r="A764" s="1" t="s">
        <v>1431</v>
      </c>
      <c r="B764" s="1" t="s">
        <v>1209</v>
      </c>
      <c r="C764" s="1" t="s">
        <v>1210</v>
      </c>
      <c r="D764" s="2">
        <v>46177</v>
      </c>
      <c r="E764">
        <v>3.1428280720487603E-2</v>
      </c>
      <c r="F764" s="2">
        <v>46177.771656747682</v>
      </c>
      <c r="G764" s="1" t="s">
        <v>1211</v>
      </c>
      <c r="H764" s="2">
        <v>46177.771656747682</v>
      </c>
      <c r="I764" s="1" t="s">
        <v>1211</v>
      </c>
      <c r="J764" s="1" t="s">
        <v>3816</v>
      </c>
    </row>
    <row r="765" spans="1:10" x14ac:dyDescent="0.35">
      <c r="A765" s="1" t="s">
        <v>1432</v>
      </c>
      <c r="B765" s="1" t="s">
        <v>1209</v>
      </c>
      <c r="C765" s="1" t="s">
        <v>1210</v>
      </c>
      <c r="D765" s="2">
        <v>46177</v>
      </c>
      <c r="E765">
        <v>4.5066838244526501E-2</v>
      </c>
      <c r="F765" s="2">
        <v>46177.771653240743</v>
      </c>
      <c r="G765" s="1" t="s">
        <v>1211</v>
      </c>
      <c r="H765" s="2">
        <v>46177.771653275464</v>
      </c>
      <c r="I765" s="1" t="s">
        <v>1211</v>
      </c>
      <c r="J765" s="1" t="s">
        <v>3817</v>
      </c>
    </row>
    <row r="766" spans="1:10" x14ac:dyDescent="0.35">
      <c r="A766" s="1" t="s">
        <v>1433</v>
      </c>
      <c r="B766" s="1" t="s">
        <v>1209</v>
      </c>
      <c r="C766" s="1" t="s">
        <v>1210</v>
      </c>
      <c r="D766" s="2">
        <v>46177</v>
      </c>
      <c r="E766">
        <v>3.3118081602540601E-2</v>
      </c>
      <c r="F766" s="2">
        <v>46177.771693402778</v>
      </c>
      <c r="G766" s="1" t="s">
        <v>1211</v>
      </c>
      <c r="H766" s="2">
        <v>46177.771693437498</v>
      </c>
      <c r="I766" s="1" t="s">
        <v>1211</v>
      </c>
      <c r="J766" s="1" t="s">
        <v>3818</v>
      </c>
    </row>
    <row r="767" spans="1:10" x14ac:dyDescent="0.35">
      <c r="A767" s="1" t="s">
        <v>1434</v>
      </c>
      <c r="B767" s="1" t="s">
        <v>1209</v>
      </c>
      <c r="C767" s="1" t="s">
        <v>1210</v>
      </c>
      <c r="D767" s="2">
        <v>46177</v>
      </c>
      <c r="E767">
        <v>3.3687082977141403E-2</v>
      </c>
      <c r="F767" s="2">
        <v>46177.771680439815</v>
      </c>
      <c r="G767" s="1" t="s">
        <v>1211</v>
      </c>
      <c r="H767" s="2">
        <v>46177.771680405094</v>
      </c>
      <c r="I767" s="1" t="s">
        <v>1211</v>
      </c>
      <c r="J767" s="1" t="s">
        <v>3819</v>
      </c>
    </row>
    <row r="768" spans="1:10" x14ac:dyDescent="0.35">
      <c r="A768" s="1" t="s">
        <v>1435</v>
      </c>
      <c r="B768" s="1" t="s">
        <v>1209</v>
      </c>
      <c r="C768" s="1" t="s">
        <v>1210</v>
      </c>
      <c r="D768" s="2">
        <v>46177</v>
      </c>
      <c r="E768">
        <v>4.52119293688878E-2</v>
      </c>
      <c r="F768" s="2">
        <v>46177.771695104166</v>
      </c>
      <c r="G768" s="1" t="s">
        <v>1211</v>
      </c>
      <c r="H768" s="2">
        <v>46177.771695057869</v>
      </c>
      <c r="I768" s="1" t="s">
        <v>1211</v>
      </c>
      <c r="J768" s="1" t="s">
        <v>3820</v>
      </c>
    </row>
    <row r="769" spans="1:10" x14ac:dyDescent="0.35">
      <c r="A769" s="1" t="s">
        <v>1436</v>
      </c>
      <c r="B769" s="1" t="s">
        <v>1209</v>
      </c>
      <c r="C769" s="1" t="s">
        <v>1210</v>
      </c>
      <c r="D769" s="2">
        <v>46177</v>
      </c>
      <c r="E769">
        <v>3.4997478309583198E-2</v>
      </c>
      <c r="F769" s="2">
        <v>46177.771733946756</v>
      </c>
      <c r="G769" s="1" t="s">
        <v>1211</v>
      </c>
      <c r="H769" s="2">
        <v>46177.771734027781</v>
      </c>
      <c r="I769" s="1" t="s">
        <v>1211</v>
      </c>
      <c r="J769" s="1" t="s">
        <v>3821</v>
      </c>
    </row>
    <row r="770" spans="1:10" x14ac:dyDescent="0.35">
      <c r="A770" s="1" t="s">
        <v>1437</v>
      </c>
      <c r="B770" s="1" t="s">
        <v>1209</v>
      </c>
      <c r="C770" s="1" t="s">
        <v>1210</v>
      </c>
      <c r="D770" s="2">
        <v>46177</v>
      </c>
      <c r="E770">
        <v>2.9188721710309899E-2</v>
      </c>
      <c r="F770" s="2">
        <v>46177.771667476853</v>
      </c>
      <c r="G770" s="1" t="s">
        <v>1211</v>
      </c>
      <c r="H770" s="2">
        <v>46177.771667476853</v>
      </c>
      <c r="I770" s="1" t="s">
        <v>1211</v>
      </c>
      <c r="J770" s="1" t="s">
        <v>3822</v>
      </c>
    </row>
    <row r="771" spans="1:10" x14ac:dyDescent="0.35">
      <c r="A771" s="1" t="s">
        <v>1438</v>
      </c>
      <c r="B771" s="1" t="s">
        <v>1209</v>
      </c>
      <c r="C771" s="1" t="s">
        <v>1210</v>
      </c>
      <c r="D771" s="2">
        <v>46177</v>
      </c>
      <c r="E771">
        <v>4.51363510968225E-2</v>
      </c>
      <c r="F771" s="2">
        <v>46177.771681828701</v>
      </c>
      <c r="G771" s="1" t="s">
        <v>1211</v>
      </c>
      <c r="H771" s="2">
        <v>46177.771681863429</v>
      </c>
      <c r="I771" s="1" t="s">
        <v>1211</v>
      </c>
      <c r="J771" s="1" t="s">
        <v>3823</v>
      </c>
    </row>
    <row r="772" spans="1:10" x14ac:dyDescent="0.35">
      <c r="A772" s="1" t="s">
        <v>1468</v>
      </c>
      <c r="B772" s="1" t="s">
        <v>1224</v>
      </c>
      <c r="C772" s="1" t="s">
        <v>1210</v>
      </c>
      <c r="D772" s="2">
        <v>46177</v>
      </c>
      <c r="E772">
        <v>120.35</v>
      </c>
      <c r="F772" s="2">
        <v>46177.771626886577</v>
      </c>
      <c r="G772" s="1" t="s">
        <v>1211</v>
      </c>
      <c r="H772" s="2">
        <v>46177.771627002316</v>
      </c>
      <c r="I772" s="1" t="s">
        <v>1211</v>
      </c>
      <c r="J772" s="1" t="s">
        <v>3051</v>
      </c>
    </row>
    <row r="773" spans="1:10" x14ac:dyDescent="0.35">
      <c r="A773" s="1" t="s">
        <v>3824</v>
      </c>
      <c r="B773" s="1" t="s">
        <v>1224</v>
      </c>
      <c r="C773" s="1" t="s">
        <v>1210</v>
      </c>
      <c r="D773" s="2">
        <v>46177</v>
      </c>
      <c r="E773">
        <v>120.25</v>
      </c>
      <c r="F773" s="2">
        <v>46177.771627048613</v>
      </c>
      <c r="G773" s="1" t="s">
        <v>1211</v>
      </c>
      <c r="H773" s="2">
        <v>46177.771627199072</v>
      </c>
      <c r="I773" s="1" t="s">
        <v>1211</v>
      </c>
      <c r="J773" s="1" t="s">
        <v>3051</v>
      </c>
    </row>
    <row r="774" spans="1:10" x14ac:dyDescent="0.35">
      <c r="A774" s="1" t="s">
        <v>1469</v>
      </c>
      <c r="B774" s="1" t="s">
        <v>1224</v>
      </c>
      <c r="C774" s="1" t="s">
        <v>1210</v>
      </c>
      <c r="D774" s="2">
        <v>46177</v>
      </c>
      <c r="E774">
        <v>97.717500000000001</v>
      </c>
      <c r="F774" s="2">
        <v>46177.771627199072</v>
      </c>
      <c r="G774" s="1" t="s">
        <v>1211</v>
      </c>
      <c r="H774" s="2">
        <v>46177.771627199072</v>
      </c>
      <c r="I774" s="1" t="s">
        <v>1211</v>
      </c>
      <c r="J774" s="1" t="s">
        <v>3051</v>
      </c>
    </row>
    <row r="775" spans="1:10" x14ac:dyDescent="0.35">
      <c r="A775" s="1" t="s">
        <v>1470</v>
      </c>
      <c r="B775" s="1" t="s">
        <v>1224</v>
      </c>
      <c r="C775" s="1" t="s">
        <v>1210</v>
      </c>
      <c r="D775" s="2">
        <v>46177</v>
      </c>
      <c r="E775">
        <v>97.224999999999994</v>
      </c>
      <c r="F775" s="2">
        <v>46177.771627349539</v>
      </c>
      <c r="G775" s="1" t="s">
        <v>1211</v>
      </c>
      <c r="H775" s="2">
        <v>46177.771627395836</v>
      </c>
      <c r="I775" s="1" t="s">
        <v>1211</v>
      </c>
      <c r="J775" s="1" t="s">
        <v>3051</v>
      </c>
    </row>
    <row r="776" spans="1:10" x14ac:dyDescent="0.35">
      <c r="A776" s="1" t="s">
        <v>1471</v>
      </c>
      <c r="B776" s="1" t="s">
        <v>1224</v>
      </c>
      <c r="C776" s="1" t="s">
        <v>1210</v>
      </c>
      <c r="D776" s="2">
        <v>46177</v>
      </c>
      <c r="E776">
        <v>97.715000000000003</v>
      </c>
      <c r="F776" s="2">
        <v>46177.771627546295</v>
      </c>
      <c r="G776" s="1" t="s">
        <v>1211</v>
      </c>
      <c r="H776" s="2">
        <v>46177.771627546295</v>
      </c>
      <c r="I776" s="1" t="s">
        <v>1211</v>
      </c>
      <c r="J776" s="1" t="s">
        <v>3051</v>
      </c>
    </row>
    <row r="777" spans="1:10" x14ac:dyDescent="0.35">
      <c r="A777" s="1" t="s">
        <v>1472</v>
      </c>
      <c r="B777" s="1" t="s">
        <v>1224</v>
      </c>
      <c r="C777" s="1" t="s">
        <v>1210</v>
      </c>
      <c r="D777" s="2">
        <v>46177</v>
      </c>
      <c r="E777">
        <v>97.13</v>
      </c>
      <c r="F777" s="2">
        <v>46177.771627662034</v>
      </c>
      <c r="G777" s="1" t="s">
        <v>1211</v>
      </c>
      <c r="H777" s="2">
        <v>46177.771627743059</v>
      </c>
      <c r="I777" s="1" t="s">
        <v>1211</v>
      </c>
      <c r="J777" s="1" t="s">
        <v>3051</v>
      </c>
    </row>
    <row r="778" spans="1:10" x14ac:dyDescent="0.35">
      <c r="A778" s="1" t="s">
        <v>1473</v>
      </c>
      <c r="B778" s="1" t="s">
        <v>1224</v>
      </c>
      <c r="C778" s="1" t="s">
        <v>1210</v>
      </c>
      <c r="D778" s="2">
        <v>46177</v>
      </c>
      <c r="E778">
        <v>97.61</v>
      </c>
      <c r="F778" s="2">
        <v>46177.771621180553</v>
      </c>
      <c r="G778" s="1" t="s">
        <v>1211</v>
      </c>
      <c r="H778" s="2">
        <v>46177.771621296299</v>
      </c>
      <c r="I778" s="1" t="s">
        <v>1211</v>
      </c>
      <c r="J778" s="1" t="s">
        <v>3051</v>
      </c>
    </row>
    <row r="779" spans="1:10" x14ac:dyDescent="0.35">
      <c r="A779" s="1" t="s">
        <v>1474</v>
      </c>
      <c r="B779" s="1" t="s">
        <v>1224</v>
      </c>
      <c r="C779" s="1" t="s">
        <v>1210</v>
      </c>
      <c r="D779" s="2">
        <v>46177</v>
      </c>
      <c r="E779">
        <v>97.09</v>
      </c>
      <c r="F779" s="2">
        <v>46177.77162133102</v>
      </c>
      <c r="G779" s="1" t="s">
        <v>1211</v>
      </c>
      <c r="H779" s="2">
        <v>46177.771621493055</v>
      </c>
      <c r="I779" s="1" t="s">
        <v>1211</v>
      </c>
      <c r="J779" s="1" t="s">
        <v>3051</v>
      </c>
    </row>
    <row r="780" spans="1:10" x14ac:dyDescent="0.35">
      <c r="A780" s="1" t="s">
        <v>1475</v>
      </c>
      <c r="B780" s="1" t="s">
        <v>1224</v>
      </c>
      <c r="C780" s="1" t="s">
        <v>1210</v>
      </c>
      <c r="D780" s="2">
        <v>46177</v>
      </c>
      <c r="E780">
        <v>97.405000000000001</v>
      </c>
      <c r="F780" s="2">
        <v>46177.771621493055</v>
      </c>
      <c r="G780" s="1" t="s">
        <v>1211</v>
      </c>
      <c r="H780" s="2">
        <v>46177.771621678243</v>
      </c>
      <c r="I780" s="1" t="s">
        <v>1211</v>
      </c>
      <c r="J780" s="1" t="s">
        <v>3051</v>
      </c>
    </row>
    <row r="781" spans="1:10" x14ac:dyDescent="0.35">
      <c r="A781" s="1" t="s">
        <v>1476</v>
      </c>
      <c r="B781" s="1" t="s">
        <v>1224</v>
      </c>
      <c r="C781" s="1" t="s">
        <v>1210</v>
      </c>
      <c r="D781" s="2">
        <v>46177</v>
      </c>
      <c r="E781">
        <v>97.064999999999998</v>
      </c>
      <c r="F781" s="2">
        <v>46177.771621643522</v>
      </c>
      <c r="G781" s="1" t="s">
        <v>1211</v>
      </c>
      <c r="H781" s="2">
        <v>46177.771621678243</v>
      </c>
      <c r="I781" s="1" t="s">
        <v>1211</v>
      </c>
      <c r="J781" s="1" t="s">
        <v>3051</v>
      </c>
    </row>
    <row r="782" spans="1:10" x14ac:dyDescent="0.35">
      <c r="A782" s="1" t="s">
        <v>1477</v>
      </c>
      <c r="B782" s="1" t="s">
        <v>1224</v>
      </c>
      <c r="C782" s="1" t="s">
        <v>1210</v>
      </c>
      <c r="D782" s="2">
        <v>46177</v>
      </c>
      <c r="E782">
        <v>105.36</v>
      </c>
      <c r="F782" s="2">
        <v>46177.771621793981</v>
      </c>
      <c r="G782" s="1" t="s">
        <v>1211</v>
      </c>
      <c r="H782" s="2">
        <v>46177.771621840278</v>
      </c>
      <c r="I782" s="1" t="s">
        <v>1211</v>
      </c>
      <c r="J782" s="1" t="s">
        <v>3051</v>
      </c>
    </row>
    <row r="783" spans="1:10" x14ac:dyDescent="0.35">
      <c r="A783" s="1" t="s">
        <v>1478</v>
      </c>
      <c r="B783" s="1" t="s">
        <v>1224</v>
      </c>
      <c r="C783" s="1" t="s">
        <v>1210</v>
      </c>
      <c r="D783" s="2">
        <v>46177</v>
      </c>
      <c r="E783">
        <v>105.16500000000001</v>
      </c>
      <c r="F783" s="2">
        <v>46177.771621956017</v>
      </c>
      <c r="G783" s="1" t="s">
        <v>1211</v>
      </c>
      <c r="H783" s="2">
        <v>46177.771622025466</v>
      </c>
      <c r="I783" s="1" t="s">
        <v>1211</v>
      </c>
      <c r="J783" s="1" t="s">
        <v>3051</v>
      </c>
    </row>
    <row r="784" spans="1:10" x14ac:dyDescent="0.35">
      <c r="A784" s="1" t="s">
        <v>1479</v>
      </c>
      <c r="B784" s="1" t="s">
        <v>1209</v>
      </c>
      <c r="C784" s="1" t="s">
        <v>1210</v>
      </c>
      <c r="D784" s="2">
        <v>46177</v>
      </c>
      <c r="E784">
        <v>2.6673484711827601E-2</v>
      </c>
      <c r="F784" s="2">
        <v>46177.771703622682</v>
      </c>
      <c r="G784" s="1" t="s">
        <v>1211</v>
      </c>
      <c r="H784" s="2">
        <v>46177.771703622682</v>
      </c>
      <c r="I784" s="1" t="s">
        <v>1211</v>
      </c>
      <c r="J784" s="1" t="s">
        <v>3825</v>
      </c>
    </row>
    <row r="785" spans="1:10" x14ac:dyDescent="0.35">
      <c r="A785" s="1" t="s">
        <v>1480</v>
      </c>
      <c r="B785" s="1" t="s">
        <v>1209</v>
      </c>
      <c r="C785" s="1" t="s">
        <v>1210</v>
      </c>
      <c r="D785" s="2">
        <v>46177</v>
      </c>
      <c r="E785">
        <v>3.5302441058553999E-2</v>
      </c>
      <c r="F785" s="2">
        <v>46177.771700960649</v>
      </c>
      <c r="G785" s="1" t="s">
        <v>1211</v>
      </c>
      <c r="H785" s="2">
        <v>46177.771700844911</v>
      </c>
      <c r="I785" s="1" t="s">
        <v>1211</v>
      </c>
      <c r="J785" s="1" t="s">
        <v>3826</v>
      </c>
    </row>
    <row r="786" spans="1:10" x14ac:dyDescent="0.35">
      <c r="A786" s="1" t="s">
        <v>1481</v>
      </c>
      <c r="B786" s="1" t="s">
        <v>1209</v>
      </c>
      <c r="C786" s="1" t="s">
        <v>1210</v>
      </c>
      <c r="D786" s="2">
        <v>46177</v>
      </c>
      <c r="E786">
        <v>2.7216803430903401E-2</v>
      </c>
      <c r="F786" s="2">
        <v>46177.771687418979</v>
      </c>
      <c r="G786" s="1" t="s">
        <v>1211</v>
      </c>
      <c r="H786" s="2">
        <v>46177.77168730324</v>
      </c>
      <c r="I786" s="1" t="s">
        <v>1211</v>
      </c>
      <c r="J786" s="1" t="s">
        <v>3827</v>
      </c>
    </row>
    <row r="787" spans="1:10" x14ac:dyDescent="0.35">
      <c r="A787" s="1" t="s">
        <v>1482</v>
      </c>
      <c r="B787" s="1" t="s">
        <v>1209</v>
      </c>
      <c r="C787" s="1" t="s">
        <v>1210</v>
      </c>
      <c r="D787" s="2">
        <v>46177</v>
      </c>
      <c r="E787">
        <v>2.5788010975560601E-2</v>
      </c>
      <c r="F787" s="2">
        <v>46177.7717122338</v>
      </c>
      <c r="G787" s="1" t="s">
        <v>1211</v>
      </c>
      <c r="H787" s="2">
        <v>46177.7717122338</v>
      </c>
      <c r="I787" s="1" t="s">
        <v>1211</v>
      </c>
      <c r="J787" s="1" t="s">
        <v>3828</v>
      </c>
    </row>
    <row r="788" spans="1:10" x14ac:dyDescent="0.35">
      <c r="A788" s="1" t="s">
        <v>1483</v>
      </c>
      <c r="B788" s="1" t="s">
        <v>1209</v>
      </c>
      <c r="C788" s="1" t="s">
        <v>1210</v>
      </c>
      <c r="D788" s="2">
        <v>46177</v>
      </c>
      <c r="E788">
        <v>3.5370961646911302E-2</v>
      </c>
      <c r="F788" s="2">
        <v>46177.771677777775</v>
      </c>
      <c r="G788" s="1" t="s">
        <v>1211</v>
      </c>
      <c r="H788" s="2">
        <v>46177.771677858793</v>
      </c>
      <c r="I788" s="1" t="s">
        <v>1211</v>
      </c>
      <c r="J788" s="1" t="s">
        <v>3829</v>
      </c>
    </row>
    <row r="789" spans="1:10" x14ac:dyDescent="0.35">
      <c r="A789" s="1" t="s">
        <v>1484</v>
      </c>
      <c r="B789" s="1" t="s">
        <v>1209</v>
      </c>
      <c r="C789" s="1" t="s">
        <v>1210</v>
      </c>
      <c r="D789" s="2">
        <v>46177</v>
      </c>
      <c r="E789">
        <v>3.4775748337901098E-2</v>
      </c>
      <c r="F789" s="2">
        <v>46177.771698530094</v>
      </c>
      <c r="G789" s="1" t="s">
        <v>1211</v>
      </c>
      <c r="H789" s="2">
        <v>46177.771698495373</v>
      </c>
      <c r="I789" s="1" t="s">
        <v>1211</v>
      </c>
      <c r="J789" s="1" t="s">
        <v>3830</v>
      </c>
    </row>
    <row r="790" spans="1:10" x14ac:dyDescent="0.35">
      <c r="A790" s="1" t="s">
        <v>1485</v>
      </c>
      <c r="B790" s="1" t="s">
        <v>1209</v>
      </c>
      <c r="C790" s="1" t="s">
        <v>1210</v>
      </c>
      <c r="D790" s="2">
        <v>46177</v>
      </c>
      <c r="E790">
        <v>2.1827371442578201E-2</v>
      </c>
      <c r="F790" s="2">
        <v>46177.771657256948</v>
      </c>
      <c r="G790" s="1" t="s">
        <v>1211</v>
      </c>
      <c r="H790" s="2">
        <v>46177.771657141202</v>
      </c>
      <c r="I790" s="1" t="s">
        <v>1211</v>
      </c>
      <c r="J790" s="1" t="s">
        <v>3831</v>
      </c>
    </row>
    <row r="791" spans="1:10" x14ac:dyDescent="0.35">
      <c r="A791" s="1" t="s">
        <v>1486</v>
      </c>
      <c r="B791" s="1" t="s">
        <v>1209</v>
      </c>
      <c r="C791" s="1" t="s">
        <v>1210</v>
      </c>
      <c r="D791" s="2">
        <v>46177</v>
      </c>
      <c r="E791">
        <v>2.4650522647783599E-2</v>
      </c>
      <c r="F791" s="2">
        <v>46177.771720219906</v>
      </c>
      <c r="G791" s="1" t="s">
        <v>1211</v>
      </c>
      <c r="H791" s="2">
        <v>46177.771720219906</v>
      </c>
      <c r="I791" s="1" t="s">
        <v>1211</v>
      </c>
      <c r="J791" s="1" t="s">
        <v>3832</v>
      </c>
    </row>
    <row r="792" spans="1:10" x14ac:dyDescent="0.35">
      <c r="A792" s="1" t="s">
        <v>1487</v>
      </c>
      <c r="B792" s="1" t="s">
        <v>1209</v>
      </c>
      <c r="C792" s="1" t="s">
        <v>1210</v>
      </c>
      <c r="D792" s="2">
        <v>46177</v>
      </c>
      <c r="E792">
        <v>2.5855474207976101E-2</v>
      </c>
      <c r="F792" s="2">
        <v>46177.771664849533</v>
      </c>
      <c r="G792" s="1" t="s">
        <v>1211</v>
      </c>
      <c r="H792" s="2">
        <v>46177.77166489583</v>
      </c>
      <c r="I792" s="1" t="s">
        <v>1211</v>
      </c>
      <c r="J792" s="1" t="s">
        <v>3833</v>
      </c>
    </row>
    <row r="793" spans="1:10" x14ac:dyDescent="0.35">
      <c r="A793" s="1" t="s">
        <v>1488</v>
      </c>
      <c r="B793" s="1" t="s">
        <v>1209</v>
      </c>
      <c r="C793" s="1" t="s">
        <v>1210</v>
      </c>
      <c r="D793" s="2">
        <v>46177</v>
      </c>
      <c r="E793">
        <v>3.5219951867415202E-2</v>
      </c>
      <c r="F793" s="2">
        <v>46177.771724652775</v>
      </c>
      <c r="G793" s="1" t="s">
        <v>1211</v>
      </c>
      <c r="H793" s="2">
        <v>46177.771724768521</v>
      </c>
      <c r="I793" s="1" t="s">
        <v>1211</v>
      </c>
      <c r="J793" s="1" t="s">
        <v>3834</v>
      </c>
    </row>
    <row r="794" spans="1:10" x14ac:dyDescent="0.35">
      <c r="A794" s="1" t="s">
        <v>1489</v>
      </c>
      <c r="B794" s="1" t="s">
        <v>1209</v>
      </c>
      <c r="C794" s="1" t="s">
        <v>1210</v>
      </c>
      <c r="D794" s="2">
        <v>46177</v>
      </c>
      <c r="E794">
        <v>2.6101170351907899E-2</v>
      </c>
      <c r="F794" s="2">
        <v>46177.771734872687</v>
      </c>
      <c r="G794" s="1" t="s">
        <v>1211</v>
      </c>
      <c r="H794" s="2">
        <v>46177.771734918984</v>
      </c>
      <c r="I794" s="1" t="s">
        <v>1211</v>
      </c>
      <c r="J794" s="1" t="s">
        <v>3835</v>
      </c>
    </row>
    <row r="795" spans="1:10" x14ac:dyDescent="0.35">
      <c r="A795" s="1" t="s">
        <v>1490</v>
      </c>
      <c r="B795" s="1" t="s">
        <v>1209</v>
      </c>
      <c r="C795" s="1" t="s">
        <v>1210</v>
      </c>
      <c r="D795" s="2">
        <v>46177</v>
      </c>
      <c r="E795">
        <v>2.60645317239479E-2</v>
      </c>
      <c r="F795" s="2">
        <v>46177.771738460651</v>
      </c>
      <c r="G795" s="1" t="s">
        <v>1211</v>
      </c>
      <c r="H795" s="2">
        <v>46177.77173857639</v>
      </c>
      <c r="I795" s="1" t="s">
        <v>1211</v>
      </c>
      <c r="J795" s="1" t="s">
        <v>3836</v>
      </c>
    </row>
    <row r="796" spans="1:10" x14ac:dyDescent="0.35">
      <c r="A796" s="1" t="s">
        <v>1491</v>
      </c>
      <c r="B796" s="1" t="s">
        <v>1209</v>
      </c>
      <c r="C796" s="1" t="s">
        <v>1210</v>
      </c>
      <c r="D796" s="2">
        <v>46177</v>
      </c>
      <c r="E796">
        <v>2.62004915138686E-2</v>
      </c>
      <c r="F796" s="2">
        <v>46177.771691666669</v>
      </c>
      <c r="G796" s="1" t="s">
        <v>1211</v>
      </c>
      <c r="H796" s="2">
        <v>46177.771691516202</v>
      </c>
      <c r="I796" s="1" t="s">
        <v>1211</v>
      </c>
      <c r="J796" s="1" t="s">
        <v>3837</v>
      </c>
    </row>
    <row r="797" spans="1:10" x14ac:dyDescent="0.35">
      <c r="A797" s="1" t="s">
        <v>1492</v>
      </c>
      <c r="B797" s="1" t="s">
        <v>1209</v>
      </c>
      <c r="C797" s="1" t="s">
        <v>1210</v>
      </c>
      <c r="D797" s="2">
        <v>46177</v>
      </c>
      <c r="E797">
        <v>2.6393403443772698E-2</v>
      </c>
      <c r="F797" s="2">
        <v>46177.771680092592</v>
      </c>
      <c r="G797" s="1" t="s">
        <v>1211</v>
      </c>
      <c r="H797" s="2">
        <v>46177.771680057871</v>
      </c>
      <c r="I797" s="1" t="s">
        <v>1211</v>
      </c>
      <c r="J797" s="1" t="s">
        <v>3838</v>
      </c>
    </row>
    <row r="798" spans="1:10" x14ac:dyDescent="0.35">
      <c r="A798" s="1" t="s">
        <v>1493</v>
      </c>
      <c r="B798" s="1" t="s">
        <v>1209</v>
      </c>
      <c r="C798" s="1" t="s">
        <v>1210</v>
      </c>
      <c r="D798" s="2">
        <v>46177</v>
      </c>
      <c r="E798">
        <v>3.5462742549187201E-2</v>
      </c>
      <c r="F798" s="2">
        <v>46177.771696296295</v>
      </c>
      <c r="G798" s="1" t="s">
        <v>1211</v>
      </c>
      <c r="H798" s="2">
        <v>46177.771696331016</v>
      </c>
      <c r="I798" s="1" t="s">
        <v>1211</v>
      </c>
      <c r="J798" s="1" t="s">
        <v>3839</v>
      </c>
    </row>
    <row r="799" spans="1:10" x14ac:dyDescent="0.35">
      <c r="A799" s="1" t="s">
        <v>1494</v>
      </c>
      <c r="B799" s="1" t="s">
        <v>1209</v>
      </c>
      <c r="C799" s="1" t="s">
        <v>1210</v>
      </c>
      <c r="D799" s="2">
        <v>46177</v>
      </c>
      <c r="E799">
        <v>2.6631590974769598E-2</v>
      </c>
      <c r="F799" s="2">
        <v>46177.771695567128</v>
      </c>
      <c r="G799" s="1" t="s">
        <v>1211</v>
      </c>
      <c r="H799" s="2">
        <v>46177.771695405092</v>
      </c>
      <c r="I799" s="1" t="s">
        <v>1211</v>
      </c>
      <c r="J799" s="1" t="s">
        <v>3840</v>
      </c>
    </row>
    <row r="800" spans="1:10" x14ac:dyDescent="0.35">
      <c r="A800" s="1" t="s">
        <v>1495</v>
      </c>
      <c r="B800" s="1" t="s">
        <v>1209</v>
      </c>
      <c r="C800" s="1" t="s">
        <v>1210</v>
      </c>
      <c r="D800" s="2">
        <v>46177</v>
      </c>
      <c r="E800">
        <v>2.6729625246214E-2</v>
      </c>
      <c r="F800" s="2">
        <v>46177.771700462959</v>
      </c>
      <c r="G800" s="1" t="s">
        <v>1211</v>
      </c>
      <c r="H800" s="2">
        <v>46177.771700497688</v>
      </c>
      <c r="I800" s="1" t="s">
        <v>1211</v>
      </c>
      <c r="J800" s="1" t="s">
        <v>3841</v>
      </c>
    </row>
    <row r="801" spans="1:10" x14ac:dyDescent="0.35">
      <c r="A801" s="1" t="s">
        <v>1496</v>
      </c>
      <c r="B801" s="1" t="s">
        <v>1209</v>
      </c>
      <c r="C801" s="1" t="s">
        <v>1210</v>
      </c>
      <c r="D801" s="2">
        <v>46177</v>
      </c>
      <c r="E801">
        <v>2.9869885521840701E-2</v>
      </c>
      <c r="F801" s="2">
        <v>46177.771679513891</v>
      </c>
      <c r="G801" s="1" t="s">
        <v>1211</v>
      </c>
      <c r="H801" s="2">
        <v>46177.771679513891</v>
      </c>
      <c r="I801" s="1" t="s">
        <v>1211</v>
      </c>
      <c r="J801" s="1" t="s">
        <v>3842</v>
      </c>
    </row>
    <row r="802" spans="1:10" x14ac:dyDescent="0.35">
      <c r="A802" s="1" t="s">
        <v>1497</v>
      </c>
      <c r="B802" s="1" t="s">
        <v>1209</v>
      </c>
      <c r="C802" s="1" t="s">
        <v>1210</v>
      </c>
      <c r="D802" s="2">
        <v>46177</v>
      </c>
      <c r="E802">
        <v>2.5840047051790899E-2</v>
      </c>
      <c r="F802" s="2">
        <v>46177.771713576389</v>
      </c>
      <c r="G802" s="1" t="s">
        <v>1211</v>
      </c>
      <c r="H802" s="2">
        <v>46177.771713541668</v>
      </c>
      <c r="I802" s="1" t="s">
        <v>1211</v>
      </c>
      <c r="J802" s="1" t="s">
        <v>3843</v>
      </c>
    </row>
    <row r="803" spans="1:10" x14ac:dyDescent="0.35">
      <c r="A803" s="1" t="s">
        <v>1498</v>
      </c>
      <c r="B803" s="1" t="s">
        <v>1209</v>
      </c>
      <c r="C803" s="1" t="s">
        <v>1210</v>
      </c>
      <c r="D803" s="2">
        <v>46177</v>
      </c>
      <c r="E803">
        <v>2.6965464280425101E-2</v>
      </c>
      <c r="F803" s="2">
        <v>46177.771670405091</v>
      </c>
      <c r="G803" s="1" t="s">
        <v>1211</v>
      </c>
      <c r="H803" s="2">
        <v>46177.771670405091</v>
      </c>
      <c r="I803" s="1" t="s">
        <v>1211</v>
      </c>
      <c r="J803" s="1" t="s">
        <v>3844</v>
      </c>
    </row>
    <row r="804" spans="1:10" x14ac:dyDescent="0.35">
      <c r="A804" s="1" t="s">
        <v>1499</v>
      </c>
      <c r="B804" s="1" t="s">
        <v>1209</v>
      </c>
      <c r="C804" s="1" t="s">
        <v>1210</v>
      </c>
      <c r="D804" s="2">
        <v>46177</v>
      </c>
      <c r="E804">
        <v>3.0558139788929E-2</v>
      </c>
      <c r="F804" s="2">
        <v>46177.771708414351</v>
      </c>
      <c r="G804" s="1" t="s">
        <v>1211</v>
      </c>
      <c r="H804" s="2">
        <v>46177.771708414351</v>
      </c>
      <c r="I804" s="1" t="s">
        <v>1211</v>
      </c>
      <c r="J804" s="1" t="s">
        <v>3845</v>
      </c>
    </row>
    <row r="805" spans="1:10" x14ac:dyDescent="0.35">
      <c r="A805" s="1" t="s">
        <v>1500</v>
      </c>
      <c r="B805" s="1" t="s">
        <v>1209</v>
      </c>
      <c r="C805" s="1" t="s">
        <v>1210</v>
      </c>
      <c r="D805" s="2">
        <v>46177</v>
      </c>
      <c r="E805">
        <v>2.6155137196715798E-2</v>
      </c>
      <c r="F805" s="2">
        <v>46177.771693055554</v>
      </c>
      <c r="G805" s="1" t="s">
        <v>1211</v>
      </c>
      <c r="H805" s="2">
        <v>46177.771693055554</v>
      </c>
      <c r="I805" s="1" t="s">
        <v>1211</v>
      </c>
      <c r="J805" s="1" t="s">
        <v>3846</v>
      </c>
    </row>
    <row r="806" spans="1:10" x14ac:dyDescent="0.35">
      <c r="A806" s="1" t="s">
        <v>1501</v>
      </c>
      <c r="B806" s="1" t="s">
        <v>1209</v>
      </c>
      <c r="C806" s="1" t="s">
        <v>1210</v>
      </c>
      <c r="D806" s="2">
        <v>46177</v>
      </c>
      <c r="E806">
        <v>2.7262341766662399E-2</v>
      </c>
      <c r="F806" s="2">
        <v>46177.771725231483</v>
      </c>
      <c r="G806" s="1" t="s">
        <v>1211</v>
      </c>
      <c r="H806" s="2">
        <v>46177.771725347222</v>
      </c>
      <c r="I806" s="1" t="s">
        <v>1211</v>
      </c>
      <c r="J806" s="1" t="s">
        <v>3847</v>
      </c>
    </row>
    <row r="807" spans="1:10" x14ac:dyDescent="0.35">
      <c r="A807" s="1" t="s">
        <v>1502</v>
      </c>
      <c r="B807" s="1" t="s">
        <v>1209</v>
      </c>
      <c r="C807" s="1" t="s">
        <v>1210</v>
      </c>
      <c r="D807" s="2">
        <v>46177</v>
      </c>
      <c r="E807">
        <v>3.54759016816035E-2</v>
      </c>
      <c r="F807" s="2">
        <v>46177.771675960648</v>
      </c>
      <c r="G807" s="1" t="s">
        <v>1211</v>
      </c>
      <c r="H807" s="2">
        <v>46177.771676041666</v>
      </c>
      <c r="I807" s="1" t="s">
        <v>1211</v>
      </c>
      <c r="J807" s="1" t="s">
        <v>3848</v>
      </c>
    </row>
    <row r="808" spans="1:10" x14ac:dyDescent="0.35">
      <c r="A808" s="1" t="s">
        <v>1503</v>
      </c>
      <c r="B808" s="1" t="s">
        <v>1209</v>
      </c>
      <c r="C808" s="1" t="s">
        <v>1210</v>
      </c>
      <c r="D808" s="2">
        <v>46177</v>
      </c>
      <c r="E808">
        <v>2.7608993834309301E-2</v>
      </c>
      <c r="F808" s="2">
        <v>46177.771712650465</v>
      </c>
      <c r="G808" s="1" t="s">
        <v>1211</v>
      </c>
      <c r="H808" s="2">
        <v>46177.771712581016</v>
      </c>
      <c r="I808" s="1" t="s">
        <v>1211</v>
      </c>
      <c r="J808" s="1" t="s">
        <v>3849</v>
      </c>
    </row>
    <row r="809" spans="1:10" x14ac:dyDescent="0.35">
      <c r="A809" s="1" t="s">
        <v>1504</v>
      </c>
      <c r="B809" s="1" t="s">
        <v>1209</v>
      </c>
      <c r="C809" s="1" t="s">
        <v>1210</v>
      </c>
      <c r="D809" s="2">
        <v>46177</v>
      </c>
      <c r="E809">
        <v>3.2140459558913897E-2</v>
      </c>
      <c r="F809" s="2">
        <v>46177.77167962963</v>
      </c>
      <c r="G809" s="1" t="s">
        <v>1211</v>
      </c>
      <c r="H809" s="2">
        <v>46177.771679710648</v>
      </c>
      <c r="I809" s="1" t="s">
        <v>1211</v>
      </c>
      <c r="J809" s="1" t="s">
        <v>3850</v>
      </c>
    </row>
    <row r="810" spans="1:10" x14ac:dyDescent="0.35">
      <c r="A810" s="1" t="s">
        <v>1505</v>
      </c>
      <c r="B810" s="1" t="s">
        <v>1209</v>
      </c>
      <c r="C810" s="1" t="s">
        <v>1210</v>
      </c>
      <c r="D810" s="2">
        <v>46177</v>
      </c>
      <c r="E810">
        <v>2.7849140799925998E-2</v>
      </c>
      <c r="F810" s="2">
        <v>46177.771750497683</v>
      </c>
      <c r="G810" s="1" t="s">
        <v>1211</v>
      </c>
      <c r="H810" s="2">
        <v>46177.771750613429</v>
      </c>
      <c r="I810" s="1" t="s">
        <v>1211</v>
      </c>
      <c r="J810" s="1" t="s">
        <v>3851</v>
      </c>
    </row>
    <row r="811" spans="1:10" x14ac:dyDescent="0.35">
      <c r="A811" s="1" t="s">
        <v>1506</v>
      </c>
      <c r="B811" s="1" t="s">
        <v>1209</v>
      </c>
      <c r="C811" s="1" t="s">
        <v>1210</v>
      </c>
      <c r="D811" s="2">
        <v>46177</v>
      </c>
      <c r="E811">
        <v>3.5521871420005902E-2</v>
      </c>
      <c r="F811" s="2">
        <v>46177.771752002314</v>
      </c>
      <c r="G811" s="1" t="s">
        <v>1211</v>
      </c>
      <c r="H811" s="2">
        <v>46177.771752002314</v>
      </c>
      <c r="I811" s="1" t="s">
        <v>1211</v>
      </c>
      <c r="J811" s="1" t="s">
        <v>3852</v>
      </c>
    </row>
    <row r="812" spans="1:10" x14ac:dyDescent="0.35">
      <c r="A812" s="1" t="s">
        <v>1507</v>
      </c>
      <c r="B812" s="1" t="s">
        <v>1209</v>
      </c>
      <c r="C812" s="1" t="s">
        <v>1210</v>
      </c>
      <c r="D812" s="2">
        <v>46177</v>
      </c>
      <c r="E812">
        <v>2.67188943242141E-2</v>
      </c>
      <c r="F812" s="2">
        <v>46177.771657835649</v>
      </c>
      <c r="G812" s="1" t="s">
        <v>1211</v>
      </c>
      <c r="H812" s="2">
        <v>46177.771657835649</v>
      </c>
      <c r="I812" s="1" t="s">
        <v>1211</v>
      </c>
      <c r="J812" s="1" t="s">
        <v>3853</v>
      </c>
    </row>
    <row r="813" spans="1:10" x14ac:dyDescent="0.35">
      <c r="A813" s="1" t="s">
        <v>1508</v>
      </c>
      <c r="B813" s="1" t="s">
        <v>1209</v>
      </c>
      <c r="C813" s="1" t="s">
        <v>1210</v>
      </c>
      <c r="D813" s="2">
        <v>46177</v>
      </c>
      <c r="E813">
        <v>2.5569313572506702E-2</v>
      </c>
      <c r="F813" s="2">
        <v>46177.771749421299</v>
      </c>
      <c r="G813" s="1" t="s">
        <v>1211</v>
      </c>
      <c r="H813" s="2">
        <v>46177.771749537038</v>
      </c>
      <c r="I813" s="1" t="s">
        <v>1211</v>
      </c>
      <c r="J813" s="1" t="s">
        <v>3854</v>
      </c>
    </row>
    <row r="814" spans="1:10" x14ac:dyDescent="0.35">
      <c r="A814" s="1" t="s">
        <v>1509</v>
      </c>
      <c r="B814" s="1" t="s">
        <v>1209</v>
      </c>
      <c r="C814" s="1" t="s">
        <v>1210</v>
      </c>
      <c r="D814" s="2">
        <v>46177</v>
      </c>
      <c r="E814">
        <v>2.6141924581352002E-2</v>
      </c>
      <c r="F814" s="2">
        <v>46177.771704479164</v>
      </c>
      <c r="G814" s="1" t="s">
        <v>1211</v>
      </c>
      <c r="H814" s="2">
        <v>46177.771704317129</v>
      </c>
      <c r="I814" s="1" t="s">
        <v>1211</v>
      </c>
      <c r="J814" s="1" t="s">
        <v>3855</v>
      </c>
    </row>
    <row r="815" spans="1:10" x14ac:dyDescent="0.35">
      <c r="A815" s="1" t="s">
        <v>1510</v>
      </c>
      <c r="B815" s="1" t="s">
        <v>1209</v>
      </c>
      <c r="C815" s="1" t="s">
        <v>1210</v>
      </c>
      <c r="D815" s="2">
        <v>46177</v>
      </c>
      <c r="E815">
        <v>2.6230444551197801E-2</v>
      </c>
      <c r="F815" s="2">
        <v>46177.771680902777</v>
      </c>
      <c r="G815" s="1" t="s">
        <v>1211</v>
      </c>
      <c r="H815" s="2">
        <v>46177.771680983795</v>
      </c>
      <c r="I815" s="1" t="s">
        <v>1211</v>
      </c>
      <c r="J815" s="1" t="s">
        <v>3856</v>
      </c>
    </row>
    <row r="816" spans="1:10" x14ac:dyDescent="0.35">
      <c r="A816" s="1" t="s">
        <v>1511</v>
      </c>
      <c r="B816" s="1" t="s">
        <v>1209</v>
      </c>
      <c r="C816" s="1" t="s">
        <v>1210</v>
      </c>
      <c r="D816" s="2">
        <v>46177</v>
      </c>
      <c r="E816">
        <v>2.6644960450489301E-2</v>
      </c>
      <c r="F816" s="2">
        <v>46177.771663692132</v>
      </c>
      <c r="G816" s="1" t="s">
        <v>1211</v>
      </c>
      <c r="H816" s="2">
        <v>46177.771663807871</v>
      </c>
      <c r="I816" s="1" t="s">
        <v>1211</v>
      </c>
      <c r="J816" s="1" t="s">
        <v>3857</v>
      </c>
    </row>
    <row r="817" spans="1:10" x14ac:dyDescent="0.35">
      <c r="A817" s="1" t="s">
        <v>1512</v>
      </c>
      <c r="B817" s="1" t="s">
        <v>1209</v>
      </c>
      <c r="C817" s="1" t="s">
        <v>1210</v>
      </c>
      <c r="D817" s="2">
        <v>46177</v>
      </c>
      <c r="E817">
        <v>2.7101890864902198E-2</v>
      </c>
      <c r="F817" s="2">
        <v>46177.771652118055</v>
      </c>
      <c r="G817" s="1" t="s">
        <v>1211</v>
      </c>
      <c r="H817" s="2">
        <v>46177.771652002317</v>
      </c>
      <c r="I817" s="1" t="s">
        <v>1211</v>
      </c>
      <c r="J817" s="1" t="s">
        <v>3858</v>
      </c>
    </row>
    <row r="818" spans="1:10" x14ac:dyDescent="0.35">
      <c r="A818" s="1" t="s">
        <v>1513</v>
      </c>
      <c r="B818" s="1" t="s">
        <v>1209</v>
      </c>
      <c r="C818" s="1" t="s">
        <v>1210</v>
      </c>
      <c r="D818" s="2">
        <v>46177</v>
      </c>
      <c r="E818">
        <v>2.8861324644447298E-2</v>
      </c>
      <c r="F818" s="2">
        <v>46177.771677048608</v>
      </c>
      <c r="G818" s="1" t="s">
        <v>1211</v>
      </c>
      <c r="H818" s="2">
        <v>46177.771676932869</v>
      </c>
      <c r="I818" s="1" t="s">
        <v>1211</v>
      </c>
      <c r="J818" s="1" t="s">
        <v>3859</v>
      </c>
    </row>
    <row r="819" spans="1:10" x14ac:dyDescent="0.35">
      <c r="A819" s="1" t="s">
        <v>1514</v>
      </c>
      <c r="B819" s="1" t="s">
        <v>1209</v>
      </c>
      <c r="C819" s="1" t="s">
        <v>1210</v>
      </c>
      <c r="D819" s="2">
        <v>46177</v>
      </c>
      <c r="E819">
        <v>3.0688452732029699E-2</v>
      </c>
      <c r="F819" s="2">
        <v>46177.771718668984</v>
      </c>
      <c r="G819" s="1" t="s">
        <v>1211</v>
      </c>
      <c r="H819" s="2">
        <v>46177.771718599535</v>
      </c>
      <c r="I819" s="1" t="s">
        <v>1211</v>
      </c>
      <c r="J819" s="1" t="s">
        <v>3860</v>
      </c>
    </row>
    <row r="820" spans="1:10" x14ac:dyDescent="0.35">
      <c r="A820" s="1" t="s">
        <v>1515</v>
      </c>
      <c r="B820" s="1" t="s">
        <v>1209</v>
      </c>
      <c r="C820" s="1" t="s">
        <v>1210</v>
      </c>
      <c r="D820" s="2">
        <v>46177</v>
      </c>
      <c r="E820">
        <v>3.2343769306995403E-2</v>
      </c>
      <c r="F820" s="2">
        <v>46177.771748148145</v>
      </c>
      <c r="G820" s="1" t="s">
        <v>1211</v>
      </c>
      <c r="H820" s="2">
        <v>46177.771748263891</v>
      </c>
      <c r="I820" s="1" t="s">
        <v>1211</v>
      </c>
      <c r="J820" s="1" t="s">
        <v>3861</v>
      </c>
    </row>
    <row r="821" spans="1:10" x14ac:dyDescent="0.35">
      <c r="A821" s="1" t="s">
        <v>1516</v>
      </c>
      <c r="B821" s="1" t="s">
        <v>1209</v>
      </c>
      <c r="C821" s="1" t="s">
        <v>1210</v>
      </c>
      <c r="D821" s="2">
        <v>46177</v>
      </c>
      <c r="E821">
        <v>3.2822140468240099E-2</v>
      </c>
      <c r="F821" s="2">
        <v>46177.771706793981</v>
      </c>
      <c r="G821" s="1" t="s">
        <v>1211</v>
      </c>
      <c r="H821" s="2">
        <v>46177.771706793981</v>
      </c>
      <c r="I821" s="1" t="s">
        <v>1211</v>
      </c>
      <c r="J821" s="1" t="s">
        <v>3862</v>
      </c>
    </row>
    <row r="822" spans="1:10" x14ac:dyDescent="0.35">
      <c r="A822" s="1" t="s">
        <v>1517</v>
      </c>
      <c r="B822" s="1" t="s">
        <v>1209</v>
      </c>
      <c r="C822" s="1" t="s">
        <v>1210</v>
      </c>
      <c r="D822" s="2">
        <v>46177</v>
      </c>
      <c r="E822">
        <v>3.3840478112214301E-2</v>
      </c>
      <c r="F822" s="2">
        <v>46177.77174019676</v>
      </c>
      <c r="G822" s="1" t="s">
        <v>1211</v>
      </c>
      <c r="H822" s="2">
        <v>46177.771740243057</v>
      </c>
      <c r="I822" s="1" t="s">
        <v>1211</v>
      </c>
      <c r="J822" s="1" t="s">
        <v>3863</v>
      </c>
    </row>
    <row r="823" spans="1:10" x14ac:dyDescent="0.35">
      <c r="A823" s="1" t="s">
        <v>1518</v>
      </c>
      <c r="B823" s="1" t="s">
        <v>1209</v>
      </c>
      <c r="C823" s="1" t="s">
        <v>1210</v>
      </c>
      <c r="D823" s="2">
        <v>46177</v>
      </c>
      <c r="E823">
        <v>3.4433654449856799E-2</v>
      </c>
      <c r="F823" s="2">
        <v>46177.771749270833</v>
      </c>
      <c r="G823" s="1" t="s">
        <v>1211</v>
      </c>
      <c r="H823" s="2">
        <v>46177.771749340274</v>
      </c>
      <c r="I823" s="1" t="s">
        <v>1211</v>
      </c>
      <c r="J823" s="1" t="s">
        <v>3864</v>
      </c>
    </row>
    <row r="824" spans="1:10" x14ac:dyDescent="0.35">
      <c r="A824" s="1" t="s">
        <v>1519</v>
      </c>
      <c r="B824" s="1" t="s">
        <v>1209</v>
      </c>
      <c r="C824" s="1" t="s">
        <v>1210</v>
      </c>
      <c r="D824" s="2">
        <v>46177</v>
      </c>
      <c r="E824">
        <v>2.29816956317433E-2</v>
      </c>
      <c r="F824" s="2">
        <v>46177.771690428242</v>
      </c>
      <c r="G824" s="1" t="s">
        <v>1211</v>
      </c>
      <c r="H824" s="2">
        <v>46177.771690428242</v>
      </c>
      <c r="I824" s="1" t="s">
        <v>1211</v>
      </c>
      <c r="J824" s="1" t="s">
        <v>3865</v>
      </c>
    </row>
    <row r="825" spans="1:10" x14ac:dyDescent="0.35">
      <c r="A825" s="1" t="s">
        <v>1520</v>
      </c>
      <c r="B825" s="1" t="s">
        <v>1209</v>
      </c>
      <c r="C825" s="1" t="s">
        <v>1210</v>
      </c>
      <c r="D825" s="2">
        <v>46177</v>
      </c>
      <c r="E825">
        <v>2.5228568674413601E-2</v>
      </c>
      <c r="F825" s="2">
        <v>46177.771715127317</v>
      </c>
      <c r="G825" s="1" t="s">
        <v>1211</v>
      </c>
      <c r="H825" s="2">
        <v>46177.771715162038</v>
      </c>
      <c r="I825" s="1" t="s">
        <v>1211</v>
      </c>
      <c r="J825" s="1" t="s">
        <v>3866</v>
      </c>
    </row>
    <row r="826" spans="1:10" x14ac:dyDescent="0.35">
      <c r="A826" s="1" t="s">
        <v>1521</v>
      </c>
      <c r="B826" s="1" t="s">
        <v>1209</v>
      </c>
      <c r="C826" s="1" t="s">
        <v>1210</v>
      </c>
      <c r="D826" s="2">
        <v>46177</v>
      </c>
      <c r="E826">
        <v>2.5930812268072E-2</v>
      </c>
      <c r="F826" s="2">
        <v>46177.771689502311</v>
      </c>
      <c r="G826" s="1" t="s">
        <v>1211</v>
      </c>
      <c r="H826" s="2">
        <v>46177.77168946759</v>
      </c>
      <c r="I826" s="1" t="s">
        <v>1211</v>
      </c>
      <c r="J826" s="1" t="s">
        <v>3867</v>
      </c>
    </row>
    <row r="827" spans="1:10" x14ac:dyDescent="0.35">
      <c r="A827" s="1" t="s">
        <v>1522</v>
      </c>
      <c r="B827" s="1" t="s">
        <v>1209</v>
      </c>
      <c r="C827" s="1" t="s">
        <v>1210</v>
      </c>
      <c r="D827" s="2">
        <v>46177</v>
      </c>
      <c r="E827">
        <v>4.3614429376133301E-2</v>
      </c>
      <c r="F827" s="2">
        <v>46177.771740358796</v>
      </c>
      <c r="G827" s="1" t="s">
        <v>1211</v>
      </c>
      <c r="H827" s="2">
        <v>46177.771740428238</v>
      </c>
      <c r="I827" s="1" t="s">
        <v>1211</v>
      </c>
      <c r="J827" s="1" t="s">
        <v>3868</v>
      </c>
    </row>
    <row r="828" spans="1:10" x14ac:dyDescent="0.35">
      <c r="A828" s="1" t="s">
        <v>1523</v>
      </c>
      <c r="B828" s="1" t="s">
        <v>1209</v>
      </c>
      <c r="C828" s="1" t="s">
        <v>1210</v>
      </c>
      <c r="D828" s="2">
        <v>46177</v>
      </c>
      <c r="E828">
        <v>2.0923065672639799E-2</v>
      </c>
      <c r="F828" s="2">
        <v>46177.771663391206</v>
      </c>
      <c r="G828" s="1" t="s">
        <v>1211</v>
      </c>
      <c r="H828" s="2">
        <v>46177.771663460648</v>
      </c>
      <c r="I828" s="1" t="s">
        <v>1211</v>
      </c>
      <c r="J828" s="1" t="s">
        <v>3869</v>
      </c>
    </row>
    <row r="829" spans="1:10" x14ac:dyDescent="0.35">
      <c r="A829" s="1" t="s">
        <v>1524</v>
      </c>
      <c r="B829" s="1" t="s">
        <v>1209</v>
      </c>
      <c r="C829" s="1" t="s">
        <v>1210</v>
      </c>
      <c r="D829" s="2">
        <v>46177</v>
      </c>
      <c r="E829">
        <v>2.2666271077363499E-2</v>
      </c>
      <c r="F829" s="2">
        <v>46177.771665624998</v>
      </c>
      <c r="G829" s="1" t="s">
        <v>1211</v>
      </c>
      <c r="H829" s="2">
        <v>46177.771665624998</v>
      </c>
      <c r="I829" s="1" t="s">
        <v>1211</v>
      </c>
      <c r="J829" s="1" t="s">
        <v>3870</v>
      </c>
    </row>
    <row r="830" spans="1:10" x14ac:dyDescent="0.35">
      <c r="A830" s="1" t="s">
        <v>1525</v>
      </c>
      <c r="B830" s="1" t="s">
        <v>1209</v>
      </c>
      <c r="C830" s="1" t="s">
        <v>1210</v>
      </c>
      <c r="D830" s="2">
        <v>46177</v>
      </c>
      <c r="E830">
        <v>2.3907725227284699E-2</v>
      </c>
      <c r="F830" s="2">
        <v>46177.771661574072</v>
      </c>
      <c r="G830" s="1" t="s">
        <v>1211</v>
      </c>
      <c r="H830" s="2">
        <v>46177.771661458333</v>
      </c>
      <c r="I830" s="1" t="s">
        <v>1211</v>
      </c>
      <c r="J830" s="1" t="s">
        <v>3871</v>
      </c>
    </row>
    <row r="831" spans="1:10" x14ac:dyDescent="0.35">
      <c r="A831" s="1" t="s">
        <v>1526</v>
      </c>
      <c r="B831" s="1" t="s">
        <v>1209</v>
      </c>
      <c r="C831" s="1" t="s">
        <v>1210</v>
      </c>
      <c r="D831" s="2">
        <v>46177</v>
      </c>
      <c r="E831">
        <v>2.50121814072739E-2</v>
      </c>
      <c r="F831" s="2">
        <v>46177.771695868054</v>
      </c>
      <c r="G831" s="1" t="s">
        <v>1211</v>
      </c>
      <c r="H831" s="2">
        <v>46177.771695798612</v>
      </c>
      <c r="I831" s="1" t="s">
        <v>1211</v>
      </c>
      <c r="J831" s="1" t="s">
        <v>3872</v>
      </c>
    </row>
    <row r="832" spans="1:10" x14ac:dyDescent="0.35">
      <c r="A832" s="1" t="s">
        <v>1527</v>
      </c>
      <c r="B832" s="1" t="s">
        <v>1209</v>
      </c>
      <c r="C832" s="1" t="s">
        <v>1210</v>
      </c>
      <c r="D832" s="2">
        <v>46177</v>
      </c>
      <c r="E832">
        <v>2.58910113546168E-2</v>
      </c>
      <c r="F832" s="2">
        <v>46177.771743206016</v>
      </c>
      <c r="G832" s="1" t="s">
        <v>1211</v>
      </c>
      <c r="H832" s="2">
        <v>46177.771743321762</v>
      </c>
      <c r="I832" s="1" t="s">
        <v>1211</v>
      </c>
      <c r="J832" s="1" t="s">
        <v>3873</v>
      </c>
    </row>
    <row r="833" spans="1:10" x14ac:dyDescent="0.35">
      <c r="A833" s="1" t="s">
        <v>1528</v>
      </c>
      <c r="B833" s="1" t="s">
        <v>1209</v>
      </c>
      <c r="C833" s="1" t="s">
        <v>1210</v>
      </c>
      <c r="D833" s="2">
        <v>46177</v>
      </c>
      <c r="E833">
        <v>2.6213541160937999E-2</v>
      </c>
      <c r="F833" s="2">
        <v>46177.771730752313</v>
      </c>
      <c r="G833" s="1" t="s">
        <v>1211</v>
      </c>
      <c r="H833" s="2">
        <v>46177.771730787033</v>
      </c>
      <c r="I833" s="1" t="s">
        <v>1211</v>
      </c>
      <c r="J833" s="1" t="s">
        <v>3874</v>
      </c>
    </row>
    <row r="834" spans="1:10" x14ac:dyDescent="0.35">
      <c r="A834" s="1" t="s">
        <v>1529</v>
      </c>
      <c r="B834" s="1" t="s">
        <v>1209</v>
      </c>
      <c r="C834" s="1" t="s">
        <v>1210</v>
      </c>
      <c r="D834" s="2">
        <v>46177</v>
      </c>
      <c r="E834">
        <v>2.6499317200100601E-2</v>
      </c>
      <c r="F834" s="2">
        <v>46177.771671678238</v>
      </c>
      <c r="G834" s="1" t="s">
        <v>1211</v>
      </c>
      <c r="H834" s="2">
        <v>46177.771671678238</v>
      </c>
      <c r="I834" s="1" t="s">
        <v>1211</v>
      </c>
      <c r="J834" s="1" t="s">
        <v>3875</v>
      </c>
    </row>
    <row r="835" spans="1:10" x14ac:dyDescent="0.35">
      <c r="A835" s="1" t="s">
        <v>1530</v>
      </c>
      <c r="B835" s="1" t="s">
        <v>1209</v>
      </c>
      <c r="C835" s="1" t="s">
        <v>1210</v>
      </c>
      <c r="D835" s="2">
        <v>46177</v>
      </c>
      <c r="E835">
        <v>2.6562109083755399E-2</v>
      </c>
      <c r="F835" s="2">
        <v>46177.771705405095</v>
      </c>
      <c r="G835" s="1" t="s">
        <v>1211</v>
      </c>
      <c r="H835" s="2">
        <v>46177.771705324078</v>
      </c>
      <c r="I835" s="1" t="s">
        <v>1211</v>
      </c>
      <c r="J835" s="1" t="s">
        <v>3876</v>
      </c>
    </row>
    <row r="836" spans="1:10" x14ac:dyDescent="0.35">
      <c r="A836" s="1" t="s">
        <v>1531</v>
      </c>
      <c r="B836" s="1" t="s">
        <v>1209</v>
      </c>
      <c r="C836" s="1" t="s">
        <v>1210</v>
      </c>
      <c r="D836" s="2">
        <v>46177</v>
      </c>
      <c r="E836">
        <v>2.6540816089139298E-2</v>
      </c>
      <c r="F836" s="2">
        <v>46177.77169386574</v>
      </c>
      <c r="G836" s="1" t="s">
        <v>1211</v>
      </c>
      <c r="H836" s="2">
        <v>46177.771693784722</v>
      </c>
      <c r="I836" s="1" t="s">
        <v>1211</v>
      </c>
      <c r="J836" s="1" t="s">
        <v>3877</v>
      </c>
    </row>
    <row r="837" spans="1:10" x14ac:dyDescent="0.35">
      <c r="A837" s="1" t="s">
        <v>1532</v>
      </c>
      <c r="B837" s="1" t="s">
        <v>1209</v>
      </c>
      <c r="C837" s="1" t="s">
        <v>1210</v>
      </c>
      <c r="D837" s="2">
        <v>46177</v>
      </c>
      <c r="E837">
        <v>2.6421599424310799E-2</v>
      </c>
      <c r="F837" s="2">
        <v>46177.771707326392</v>
      </c>
      <c r="G837" s="1" t="s">
        <v>1211</v>
      </c>
      <c r="H837" s="2">
        <v>46177.771707326392</v>
      </c>
      <c r="I837" s="1" t="s">
        <v>1211</v>
      </c>
      <c r="J837" s="1" t="s">
        <v>3878</v>
      </c>
    </row>
    <row r="838" spans="1:10" x14ac:dyDescent="0.35">
      <c r="A838" s="1" t="s">
        <v>1533</v>
      </c>
      <c r="B838" s="1" t="s">
        <v>1209</v>
      </c>
      <c r="C838" s="1" t="s">
        <v>1210</v>
      </c>
      <c r="D838" s="2">
        <v>46177</v>
      </c>
      <c r="E838">
        <v>2.6435724707208098E-2</v>
      </c>
      <c r="F838" s="2">
        <v>46177.771664699074</v>
      </c>
      <c r="G838" s="1" t="s">
        <v>1211</v>
      </c>
      <c r="H838" s="2">
        <v>46177.771664733795</v>
      </c>
      <c r="I838" s="1" t="s">
        <v>1211</v>
      </c>
      <c r="J838" s="1" t="s">
        <v>3879</v>
      </c>
    </row>
    <row r="839" spans="1:10" x14ac:dyDescent="0.35">
      <c r="A839" s="1" t="s">
        <v>1534</v>
      </c>
      <c r="B839" s="1" t="s">
        <v>1209</v>
      </c>
      <c r="C839" s="1" t="s">
        <v>1210</v>
      </c>
      <c r="D839" s="2">
        <v>46177</v>
      </c>
      <c r="E839">
        <v>2.65099400541264E-2</v>
      </c>
      <c r="F839" s="2">
        <v>46177.771742708333</v>
      </c>
      <c r="G839" s="1" t="s">
        <v>1211</v>
      </c>
      <c r="H839" s="2">
        <v>46177.771742789351</v>
      </c>
      <c r="I839" s="1" t="s">
        <v>1211</v>
      </c>
      <c r="J839" s="1" t="s">
        <v>3880</v>
      </c>
    </row>
    <row r="840" spans="1:10" x14ac:dyDescent="0.35">
      <c r="A840" s="1" t="s">
        <v>1535</v>
      </c>
      <c r="B840" s="1" t="s">
        <v>1209</v>
      </c>
      <c r="C840" s="1" t="s">
        <v>1210</v>
      </c>
      <c r="D840" s="2">
        <v>46177</v>
      </c>
      <c r="E840">
        <v>2.6650123631308201E-2</v>
      </c>
      <c r="F840" s="2">
        <v>46177.77173734954</v>
      </c>
      <c r="G840" s="1" t="s">
        <v>1211</v>
      </c>
      <c r="H840" s="2">
        <v>46177.771737499999</v>
      </c>
      <c r="I840" s="1" t="s">
        <v>1211</v>
      </c>
      <c r="J840" s="1" t="s">
        <v>3881</v>
      </c>
    </row>
    <row r="841" spans="1:10" x14ac:dyDescent="0.35">
      <c r="A841" s="1" t="s">
        <v>1536</v>
      </c>
      <c r="B841" s="1" t="s">
        <v>1209</v>
      </c>
      <c r="C841" s="1" t="s">
        <v>1210</v>
      </c>
      <c r="D841" s="2">
        <v>46177</v>
      </c>
      <c r="E841">
        <v>2.6906142712707699E-2</v>
      </c>
      <c r="F841" s="2">
        <v>46177.771668865738</v>
      </c>
      <c r="G841" s="1" t="s">
        <v>1211</v>
      </c>
      <c r="H841" s="2">
        <v>46177.771668946756</v>
      </c>
      <c r="I841" s="1" t="s">
        <v>1211</v>
      </c>
      <c r="J841" s="1" t="s">
        <v>3882</v>
      </c>
    </row>
    <row r="842" spans="1:10" x14ac:dyDescent="0.35">
      <c r="A842" s="1" t="s">
        <v>1537</v>
      </c>
      <c r="B842" s="1" t="s">
        <v>1209</v>
      </c>
      <c r="C842" s="1" t="s">
        <v>1210</v>
      </c>
      <c r="D842" s="2">
        <v>46177</v>
      </c>
      <c r="E842">
        <v>2.7101302464036001E-2</v>
      </c>
      <c r="F842" s="2">
        <v>46177.771674849537</v>
      </c>
      <c r="G842" s="1" t="s">
        <v>1211</v>
      </c>
      <c r="H842" s="2">
        <v>46177.771674768519</v>
      </c>
      <c r="I842" s="1" t="s">
        <v>1211</v>
      </c>
      <c r="J842" s="1" t="s">
        <v>3883</v>
      </c>
    </row>
    <row r="843" spans="1:10" x14ac:dyDescent="0.35">
      <c r="A843" s="1" t="s">
        <v>1538</v>
      </c>
      <c r="B843" s="1" t="s">
        <v>1209</v>
      </c>
      <c r="C843" s="1" t="s">
        <v>1210</v>
      </c>
      <c r="D843" s="2">
        <v>46177</v>
      </c>
      <c r="E843">
        <v>2.7338058331868101E-2</v>
      </c>
      <c r="F843" s="2">
        <v>46177.771663078704</v>
      </c>
      <c r="G843" s="1" t="s">
        <v>1211</v>
      </c>
      <c r="H843" s="2">
        <v>46177.771663113424</v>
      </c>
      <c r="I843" s="1" t="s">
        <v>1211</v>
      </c>
      <c r="J843" s="1" t="s">
        <v>3884</v>
      </c>
    </row>
    <row r="844" spans="1:10" x14ac:dyDescent="0.35">
      <c r="A844" s="1" t="s">
        <v>1539</v>
      </c>
      <c r="B844" s="1" t="s">
        <v>1209</v>
      </c>
      <c r="C844" s="1" t="s">
        <v>1210</v>
      </c>
      <c r="D844" s="2">
        <v>46177</v>
      </c>
      <c r="E844">
        <v>2.71450950159089E-2</v>
      </c>
      <c r="F844" s="2">
        <v>46177.771695717594</v>
      </c>
      <c r="G844" s="1" t="s">
        <v>1211</v>
      </c>
      <c r="H844" s="2">
        <v>46177.771695601848</v>
      </c>
      <c r="I844" s="1" t="s">
        <v>1211</v>
      </c>
      <c r="J844" s="1" t="s">
        <v>3885</v>
      </c>
    </row>
    <row r="845" spans="1:10" x14ac:dyDescent="0.35">
      <c r="A845" s="1" t="s">
        <v>1540</v>
      </c>
      <c r="B845" s="1" t="s">
        <v>1209</v>
      </c>
      <c r="C845" s="1" t="s">
        <v>1210</v>
      </c>
      <c r="D845" s="2">
        <v>46177</v>
      </c>
      <c r="E845">
        <v>2.8240349921379301E-2</v>
      </c>
      <c r="F845" s="2">
        <v>46177.771727743057</v>
      </c>
      <c r="G845" s="1" t="s">
        <v>1211</v>
      </c>
      <c r="H845" s="2">
        <v>46177.771727858795</v>
      </c>
      <c r="I845" s="1" t="s">
        <v>1211</v>
      </c>
      <c r="J845" s="1" t="s">
        <v>3886</v>
      </c>
    </row>
    <row r="846" spans="1:10" x14ac:dyDescent="0.35">
      <c r="A846" s="1" t="s">
        <v>1541</v>
      </c>
      <c r="B846" s="1" t="s">
        <v>1209</v>
      </c>
      <c r="C846" s="1" t="s">
        <v>1210</v>
      </c>
      <c r="D846" s="2">
        <v>46177</v>
      </c>
      <c r="E846">
        <v>3.5553500561485998E-2</v>
      </c>
      <c r="F846" s="2">
        <v>46177.771745486112</v>
      </c>
      <c r="G846" s="1" t="s">
        <v>1211</v>
      </c>
      <c r="H846" s="2">
        <v>46177.771745486112</v>
      </c>
      <c r="I846" s="1" t="s">
        <v>1211</v>
      </c>
      <c r="J846" s="1" t="s">
        <v>3887</v>
      </c>
    </row>
    <row r="847" spans="1:10" x14ac:dyDescent="0.35">
      <c r="A847" s="1" t="s">
        <v>1542</v>
      </c>
      <c r="B847" s="1" t="s">
        <v>1209</v>
      </c>
      <c r="C847" s="1" t="s">
        <v>1210</v>
      </c>
      <c r="D847" s="2">
        <v>46177</v>
      </c>
      <c r="E847">
        <v>3.5585457389402303E-2</v>
      </c>
      <c r="F847" s="2">
        <v>46177.77172650463</v>
      </c>
      <c r="G847" s="1" t="s">
        <v>1211</v>
      </c>
      <c r="H847" s="2">
        <v>46177.771726620369</v>
      </c>
      <c r="I847" s="1" t="s">
        <v>1211</v>
      </c>
      <c r="J847" s="1" t="s">
        <v>3888</v>
      </c>
    </row>
    <row r="848" spans="1:10" x14ac:dyDescent="0.35">
      <c r="A848" s="1" t="s">
        <v>1543</v>
      </c>
      <c r="B848" s="1" t="s">
        <v>1209</v>
      </c>
      <c r="C848" s="1" t="s">
        <v>1210</v>
      </c>
      <c r="D848" s="2">
        <v>46177</v>
      </c>
      <c r="E848">
        <v>3.3590716408676301E-2</v>
      </c>
      <c r="F848" s="2">
        <v>46177.771665312503</v>
      </c>
      <c r="G848" s="1" t="s">
        <v>1211</v>
      </c>
      <c r="H848" s="2">
        <v>46177.771665474538</v>
      </c>
      <c r="I848" s="1" t="s">
        <v>1211</v>
      </c>
      <c r="J848" s="1" t="s">
        <v>3889</v>
      </c>
    </row>
    <row r="849" spans="1:10" x14ac:dyDescent="0.35">
      <c r="A849" s="1" t="s">
        <v>1544</v>
      </c>
      <c r="B849" s="1" t="s">
        <v>1209</v>
      </c>
      <c r="C849" s="1" t="s">
        <v>1210</v>
      </c>
      <c r="D849" s="2">
        <v>46177</v>
      </c>
      <c r="E849">
        <v>3.48307230690078E-2</v>
      </c>
      <c r="F849" s="2">
        <v>46177.771716203701</v>
      </c>
      <c r="G849" s="1" t="s">
        <v>1211</v>
      </c>
      <c r="H849" s="2">
        <v>46177.771716238429</v>
      </c>
      <c r="I849" s="1" t="s">
        <v>1211</v>
      </c>
      <c r="J849" s="1" t="s">
        <v>3890</v>
      </c>
    </row>
    <row r="850" spans="1:10" x14ac:dyDescent="0.35">
      <c r="A850" s="1" t="s">
        <v>1545</v>
      </c>
      <c r="B850" s="1" t="s">
        <v>1209</v>
      </c>
      <c r="C850" s="1" t="s">
        <v>1210</v>
      </c>
      <c r="D850" s="2">
        <v>46177</v>
      </c>
      <c r="E850">
        <v>2.8387267923635402E-2</v>
      </c>
      <c r="F850" s="2">
        <v>46177.771710763889</v>
      </c>
      <c r="G850" s="1" t="s">
        <v>1211</v>
      </c>
      <c r="H850" s="2">
        <v>46177.771710763889</v>
      </c>
      <c r="I850" s="1" t="s">
        <v>1211</v>
      </c>
      <c r="J850" s="1" t="s">
        <v>3891</v>
      </c>
    </row>
    <row r="851" spans="1:10" x14ac:dyDescent="0.35">
      <c r="A851" s="1" t="s">
        <v>1546</v>
      </c>
      <c r="B851" s="1" t="s">
        <v>1209</v>
      </c>
      <c r="C851" s="1" t="s">
        <v>1210</v>
      </c>
      <c r="D851" s="2">
        <v>46177</v>
      </c>
      <c r="E851">
        <v>2.8703755981769601E-2</v>
      </c>
      <c r="F851" s="2">
        <v>46177.771714965274</v>
      </c>
      <c r="G851" s="1" t="s">
        <v>1211</v>
      </c>
      <c r="H851" s="2">
        <v>46177.771714965274</v>
      </c>
      <c r="I851" s="1" t="s">
        <v>1211</v>
      </c>
      <c r="J851" s="1" t="s">
        <v>3892</v>
      </c>
    </row>
    <row r="852" spans="1:10" x14ac:dyDescent="0.35">
      <c r="A852" s="1" t="s">
        <v>1547</v>
      </c>
      <c r="B852" s="1" t="s">
        <v>1209</v>
      </c>
      <c r="C852" s="1" t="s">
        <v>1210</v>
      </c>
      <c r="D852" s="2">
        <v>46177</v>
      </c>
      <c r="E852">
        <v>2.90497949191133E-2</v>
      </c>
      <c r="F852" s="2">
        <v>46177.771723877318</v>
      </c>
      <c r="G852" s="1" t="s">
        <v>1211</v>
      </c>
      <c r="H852" s="2">
        <v>46177.77172384259</v>
      </c>
      <c r="I852" s="1" t="s">
        <v>1211</v>
      </c>
      <c r="J852" s="1" t="s">
        <v>3893</v>
      </c>
    </row>
    <row r="853" spans="1:10" x14ac:dyDescent="0.35">
      <c r="A853" s="1" t="s">
        <v>1548</v>
      </c>
      <c r="B853" s="1" t="s">
        <v>1209</v>
      </c>
      <c r="C853" s="1" t="s">
        <v>1210</v>
      </c>
      <c r="D853" s="2">
        <v>46177</v>
      </c>
      <c r="E853">
        <v>2.9323247943436201E-2</v>
      </c>
      <c r="F853" s="2">
        <v>46177.771678240744</v>
      </c>
      <c r="G853" s="1" t="s">
        <v>1211</v>
      </c>
      <c r="H853" s="2">
        <v>46177.771678206016</v>
      </c>
      <c r="I853" s="1" t="s">
        <v>1211</v>
      </c>
      <c r="J853" s="1" t="s">
        <v>3894</v>
      </c>
    </row>
    <row r="854" spans="1:10" x14ac:dyDescent="0.35">
      <c r="A854" s="1" t="s">
        <v>1549</v>
      </c>
      <c r="B854" s="1" t="s">
        <v>1209</v>
      </c>
      <c r="C854" s="1" t="s">
        <v>1210</v>
      </c>
      <c r="D854" s="2">
        <v>46177</v>
      </c>
      <c r="E854">
        <v>2.96139661053842E-2</v>
      </c>
      <c r="F854" s="2">
        <v>46177.771736724535</v>
      </c>
      <c r="G854" s="1" t="s">
        <v>1211</v>
      </c>
      <c r="H854" s="2">
        <v>46177.771736770832</v>
      </c>
      <c r="I854" s="1" t="s">
        <v>1211</v>
      </c>
      <c r="J854" s="1" t="s">
        <v>3895</v>
      </c>
    </row>
    <row r="855" spans="1:10" x14ac:dyDescent="0.35">
      <c r="A855" s="1" t="s">
        <v>1550</v>
      </c>
      <c r="B855" s="1" t="s">
        <v>1209</v>
      </c>
      <c r="C855" s="1" t="s">
        <v>1210</v>
      </c>
      <c r="D855" s="2">
        <v>46177</v>
      </c>
      <c r="E855">
        <v>2.99067718647438E-2</v>
      </c>
      <c r="F855" s="2">
        <v>46177.771751122687</v>
      </c>
      <c r="G855" s="1" t="s">
        <v>1211</v>
      </c>
      <c r="H855" s="2">
        <v>46177.771751076391</v>
      </c>
      <c r="I855" s="1" t="s">
        <v>1211</v>
      </c>
      <c r="J855" s="1" t="s">
        <v>3896</v>
      </c>
    </row>
    <row r="856" spans="1:10" x14ac:dyDescent="0.35">
      <c r="A856" s="1" t="s">
        <v>1551</v>
      </c>
      <c r="B856" s="1" t="s">
        <v>1209</v>
      </c>
      <c r="C856" s="1" t="s">
        <v>1210</v>
      </c>
      <c r="D856" s="2">
        <v>46177</v>
      </c>
      <c r="E856">
        <v>3.0189146485889599E-2</v>
      </c>
      <c r="F856" s="2">
        <v>46177.771689201392</v>
      </c>
      <c r="G856" s="1" t="s">
        <v>1211</v>
      </c>
      <c r="H856" s="2">
        <v>46177.771689120367</v>
      </c>
      <c r="I856" s="1" t="s">
        <v>1211</v>
      </c>
      <c r="J856" s="1" t="s">
        <v>3897</v>
      </c>
    </row>
    <row r="857" spans="1:10" x14ac:dyDescent="0.35">
      <c r="A857" s="1" t="s">
        <v>1552</v>
      </c>
      <c r="B857" s="1" t="s">
        <v>1209</v>
      </c>
      <c r="C857" s="1" t="s">
        <v>1210</v>
      </c>
      <c r="D857" s="2">
        <v>46177</v>
      </c>
      <c r="E857">
        <v>2.6412890938054E-2</v>
      </c>
      <c r="F857" s="2">
        <v>46177.771736574075</v>
      </c>
      <c r="G857" s="1" t="s">
        <v>1211</v>
      </c>
      <c r="H857" s="2">
        <v>46177.771736574075</v>
      </c>
      <c r="I857" s="1" t="s">
        <v>1211</v>
      </c>
      <c r="J857" s="1" t="s">
        <v>3898</v>
      </c>
    </row>
    <row r="858" spans="1:10" x14ac:dyDescent="0.35">
      <c r="A858" s="1" t="s">
        <v>1553</v>
      </c>
      <c r="B858" s="1" t="s">
        <v>1209</v>
      </c>
      <c r="C858" s="1" t="s">
        <v>1210</v>
      </c>
      <c r="D858" s="2">
        <v>46177</v>
      </c>
      <c r="E858">
        <v>3.3474116651508699E-2</v>
      </c>
      <c r="F858" s="2">
        <v>46177.77169228009</v>
      </c>
      <c r="G858" s="1" t="s">
        <v>1211</v>
      </c>
      <c r="H858" s="2">
        <v>46177.771692245369</v>
      </c>
      <c r="I858" s="1" t="s">
        <v>1211</v>
      </c>
      <c r="J858" s="1" t="s">
        <v>3899</v>
      </c>
    </row>
    <row r="859" spans="1:10" x14ac:dyDescent="0.35">
      <c r="A859" s="1" t="s">
        <v>1554</v>
      </c>
      <c r="B859" s="1" t="s">
        <v>1209</v>
      </c>
      <c r="C859" s="1" t="s">
        <v>1210</v>
      </c>
      <c r="D859" s="2">
        <v>46177</v>
      </c>
      <c r="E859">
        <v>2.8353377781618099E-2</v>
      </c>
      <c r="F859" s="2">
        <v>46177.771662349536</v>
      </c>
      <c r="G859" s="1" t="s">
        <v>1211</v>
      </c>
      <c r="H859" s="2">
        <v>46177.771662187501</v>
      </c>
      <c r="I859" s="1" t="s">
        <v>1211</v>
      </c>
      <c r="J859" s="1" t="s">
        <v>3900</v>
      </c>
    </row>
    <row r="860" spans="1:10" x14ac:dyDescent="0.35">
      <c r="A860" s="1" t="s">
        <v>1555</v>
      </c>
      <c r="B860" s="1" t="s">
        <v>1209</v>
      </c>
      <c r="C860" s="1" t="s">
        <v>1210</v>
      </c>
      <c r="D860" s="2">
        <v>46177</v>
      </c>
      <c r="E860">
        <v>2.95377333507938E-2</v>
      </c>
      <c r="F860" s="2">
        <v>46177.771714814815</v>
      </c>
      <c r="G860" s="1" t="s">
        <v>1211</v>
      </c>
      <c r="H860" s="2">
        <v>46177.771714814815</v>
      </c>
      <c r="I860" s="1" t="s">
        <v>1211</v>
      </c>
      <c r="J860" s="1" t="s">
        <v>3901</v>
      </c>
    </row>
    <row r="861" spans="1:10" x14ac:dyDescent="0.35">
      <c r="A861" s="1" t="s">
        <v>1556</v>
      </c>
      <c r="B861" s="1" t="s">
        <v>1224</v>
      </c>
      <c r="C861" s="1" t="s">
        <v>1210</v>
      </c>
      <c r="D861" s="2">
        <v>46177</v>
      </c>
      <c r="E861">
        <v>105.77500000000001</v>
      </c>
      <c r="F861" s="2">
        <v>46177.771622106484</v>
      </c>
      <c r="G861" s="1" t="s">
        <v>1211</v>
      </c>
      <c r="H861" s="2">
        <v>46177.771622222223</v>
      </c>
      <c r="I861" s="1" t="s">
        <v>1211</v>
      </c>
      <c r="J861" s="1" t="s">
        <v>3051</v>
      </c>
    </row>
    <row r="862" spans="1:10" x14ac:dyDescent="0.35">
      <c r="A862" s="1" t="s">
        <v>1557</v>
      </c>
      <c r="B862" s="1" t="s">
        <v>1224</v>
      </c>
      <c r="C862" s="1" t="s">
        <v>1210</v>
      </c>
      <c r="D862" s="2">
        <v>46177</v>
      </c>
      <c r="E862">
        <v>105.685</v>
      </c>
      <c r="F862" s="2">
        <v>46177.771622256943</v>
      </c>
      <c r="G862" s="1" t="s">
        <v>1211</v>
      </c>
      <c r="H862" s="2">
        <v>46177.771622372682</v>
      </c>
      <c r="I862" s="1" t="s">
        <v>1211</v>
      </c>
      <c r="J862" s="1" t="s">
        <v>3051</v>
      </c>
    </row>
    <row r="863" spans="1:10" x14ac:dyDescent="0.35">
      <c r="A863" s="1" t="s">
        <v>1558</v>
      </c>
      <c r="B863" s="1" t="s">
        <v>1224</v>
      </c>
      <c r="C863" s="1" t="s">
        <v>1210</v>
      </c>
      <c r="D863" s="2">
        <v>46177</v>
      </c>
      <c r="E863">
        <v>106.06</v>
      </c>
      <c r="F863" s="2">
        <v>46177.771622418979</v>
      </c>
      <c r="G863" s="1" t="s">
        <v>1211</v>
      </c>
      <c r="H863" s="2">
        <v>46177.771622569446</v>
      </c>
      <c r="I863" s="1" t="s">
        <v>1211</v>
      </c>
      <c r="J863" s="1" t="s">
        <v>3051</v>
      </c>
    </row>
    <row r="864" spans="1:10" x14ac:dyDescent="0.35">
      <c r="A864" s="1" t="s">
        <v>1601</v>
      </c>
      <c r="B864" s="1" t="s">
        <v>1224</v>
      </c>
      <c r="C864" s="1" t="s">
        <v>1210</v>
      </c>
      <c r="D864" s="2">
        <v>46177</v>
      </c>
      <c r="E864">
        <v>97.19</v>
      </c>
      <c r="F864" s="2">
        <v>46177.771622569446</v>
      </c>
      <c r="G864" s="1" t="s">
        <v>1211</v>
      </c>
      <c r="H864" s="2">
        <v>46177.771622569446</v>
      </c>
      <c r="I864" s="1" t="s">
        <v>1211</v>
      </c>
      <c r="J864" s="1" t="s">
        <v>3051</v>
      </c>
    </row>
    <row r="865" spans="1:10" x14ac:dyDescent="0.35">
      <c r="A865" s="1" t="s">
        <v>1602</v>
      </c>
      <c r="B865" s="1" t="s">
        <v>1224</v>
      </c>
      <c r="C865" s="1" t="s">
        <v>1210</v>
      </c>
      <c r="D865" s="2">
        <v>46177</v>
      </c>
      <c r="E865">
        <v>97.064999999999998</v>
      </c>
      <c r="F865" s="2">
        <v>46177.771622719905</v>
      </c>
      <c r="G865" s="1" t="s">
        <v>1211</v>
      </c>
      <c r="H865" s="2">
        <v>46177.771622766202</v>
      </c>
      <c r="I865" s="1" t="s">
        <v>1211</v>
      </c>
      <c r="J865" s="1" t="s">
        <v>3051</v>
      </c>
    </row>
    <row r="866" spans="1:10" x14ac:dyDescent="0.35">
      <c r="A866" s="1" t="s">
        <v>1603</v>
      </c>
      <c r="B866" s="1" t="s">
        <v>1224</v>
      </c>
      <c r="C866" s="1" t="s">
        <v>1210</v>
      </c>
      <c r="D866" s="2">
        <v>46177</v>
      </c>
      <c r="E866">
        <v>97.204999999999998</v>
      </c>
      <c r="F866" s="2">
        <v>46177.771622881941</v>
      </c>
      <c r="G866" s="1" t="s">
        <v>1211</v>
      </c>
      <c r="H866" s="2">
        <v>46177.771622916669</v>
      </c>
      <c r="I866" s="1" t="s">
        <v>1211</v>
      </c>
      <c r="J866" s="1" t="s">
        <v>3051</v>
      </c>
    </row>
    <row r="867" spans="1:10" x14ac:dyDescent="0.35">
      <c r="A867" s="1" t="s">
        <v>1604</v>
      </c>
      <c r="B867" s="1" t="s">
        <v>1224</v>
      </c>
      <c r="C867" s="1" t="s">
        <v>1210</v>
      </c>
      <c r="D867" s="2">
        <v>46177</v>
      </c>
      <c r="E867">
        <v>97.33</v>
      </c>
      <c r="F867" s="2">
        <v>46177.771623032408</v>
      </c>
      <c r="G867" s="1" t="s">
        <v>1211</v>
      </c>
      <c r="H867" s="2">
        <v>46177.771623113425</v>
      </c>
      <c r="I867" s="1" t="s">
        <v>1211</v>
      </c>
      <c r="J867" s="1" t="s">
        <v>3051</v>
      </c>
    </row>
    <row r="868" spans="1:10" x14ac:dyDescent="0.35">
      <c r="A868" s="1" t="s">
        <v>1605</v>
      </c>
      <c r="B868" s="1" t="s">
        <v>1224</v>
      </c>
      <c r="C868" s="1" t="s">
        <v>1210</v>
      </c>
      <c r="D868" s="2">
        <v>46177</v>
      </c>
      <c r="E868">
        <v>97.29</v>
      </c>
      <c r="F868" s="2">
        <v>46177.771623182867</v>
      </c>
      <c r="G868" s="1" t="s">
        <v>1211</v>
      </c>
      <c r="H868" s="2">
        <v>46177.771623298613</v>
      </c>
      <c r="I868" s="1" t="s">
        <v>1211</v>
      </c>
      <c r="J868" s="1" t="s">
        <v>3051</v>
      </c>
    </row>
    <row r="869" spans="1:10" x14ac:dyDescent="0.35">
      <c r="A869" s="1" t="s">
        <v>1606</v>
      </c>
      <c r="B869" s="1" t="s">
        <v>1224</v>
      </c>
      <c r="C869" s="1" t="s">
        <v>1210</v>
      </c>
      <c r="D869" s="2">
        <v>46177</v>
      </c>
      <c r="E869">
        <v>97.155000000000001</v>
      </c>
      <c r="F869" s="2">
        <v>46177.77162334491</v>
      </c>
      <c r="G869" s="1" t="s">
        <v>1211</v>
      </c>
      <c r="H869" s="2">
        <v>46177.771623460649</v>
      </c>
      <c r="I869" s="1" t="s">
        <v>1211</v>
      </c>
      <c r="J869" s="1" t="s">
        <v>3051</v>
      </c>
    </row>
    <row r="870" spans="1:10" x14ac:dyDescent="0.35">
      <c r="A870" s="1" t="s">
        <v>1607</v>
      </c>
      <c r="B870" s="1" t="s">
        <v>1224</v>
      </c>
      <c r="C870" s="1" t="s">
        <v>1210</v>
      </c>
      <c r="D870" s="2">
        <v>46177</v>
      </c>
      <c r="E870">
        <v>97.03</v>
      </c>
      <c r="F870" s="2">
        <v>46177.77162994213</v>
      </c>
      <c r="G870" s="1" t="s">
        <v>1211</v>
      </c>
      <c r="H870" s="2">
        <v>46177.771629895833</v>
      </c>
      <c r="I870" s="1" t="s">
        <v>1211</v>
      </c>
      <c r="J870" s="1" t="s">
        <v>3051</v>
      </c>
    </row>
    <row r="871" spans="1:10" x14ac:dyDescent="0.35">
      <c r="A871" s="1" t="s">
        <v>1608</v>
      </c>
      <c r="B871" s="1" t="s">
        <v>1224</v>
      </c>
      <c r="C871" s="1" t="s">
        <v>1210</v>
      </c>
      <c r="D871" s="2">
        <v>46177</v>
      </c>
      <c r="E871">
        <v>97.65</v>
      </c>
      <c r="F871" s="2">
        <v>46177.771630092589</v>
      </c>
      <c r="G871" s="1" t="s">
        <v>1211</v>
      </c>
      <c r="H871" s="2">
        <v>46177.771630092589</v>
      </c>
      <c r="I871" s="1" t="s">
        <v>1211</v>
      </c>
      <c r="J871" s="1" t="s">
        <v>3051</v>
      </c>
    </row>
    <row r="872" spans="1:10" x14ac:dyDescent="0.35">
      <c r="A872" s="1" t="s">
        <v>1609</v>
      </c>
      <c r="B872" s="1" t="s">
        <v>1224</v>
      </c>
      <c r="C872" s="1" t="s">
        <v>1210</v>
      </c>
      <c r="D872" s="2">
        <v>46177</v>
      </c>
      <c r="E872">
        <v>97.2</v>
      </c>
      <c r="F872" s="2">
        <v>46177.771630243056</v>
      </c>
      <c r="G872" s="1" t="s">
        <v>1211</v>
      </c>
      <c r="H872" s="2">
        <v>46177.771630092589</v>
      </c>
      <c r="I872" s="1" t="s">
        <v>1211</v>
      </c>
      <c r="J872" s="1" t="s">
        <v>3051</v>
      </c>
    </row>
    <row r="873" spans="1:10" x14ac:dyDescent="0.35">
      <c r="A873" s="1" t="s">
        <v>1610</v>
      </c>
      <c r="B873" s="1" t="s">
        <v>1224</v>
      </c>
      <c r="C873" s="1" t="s">
        <v>1210</v>
      </c>
      <c r="D873" s="2">
        <v>46177</v>
      </c>
      <c r="E873">
        <v>97.34</v>
      </c>
      <c r="F873" s="2">
        <v>46177.771630405092</v>
      </c>
      <c r="G873" s="1" t="s">
        <v>1211</v>
      </c>
      <c r="H873" s="2">
        <v>46177.771630289353</v>
      </c>
      <c r="I873" s="1" t="s">
        <v>1211</v>
      </c>
      <c r="J873" s="1" t="s">
        <v>3051</v>
      </c>
    </row>
    <row r="874" spans="1:10" x14ac:dyDescent="0.35">
      <c r="A874" s="1" t="s">
        <v>1611</v>
      </c>
      <c r="B874" s="1" t="s">
        <v>1224</v>
      </c>
      <c r="C874" s="1" t="s">
        <v>1210</v>
      </c>
      <c r="D874" s="2">
        <v>46177</v>
      </c>
      <c r="E874">
        <v>97.27</v>
      </c>
      <c r="F874" s="2">
        <v>46177.771630555559</v>
      </c>
      <c r="G874" s="1" t="s">
        <v>1211</v>
      </c>
      <c r="H874" s="2">
        <v>46177.771630439813</v>
      </c>
      <c r="I874" s="1" t="s">
        <v>1211</v>
      </c>
      <c r="J874" s="1" t="s">
        <v>3051</v>
      </c>
    </row>
    <row r="875" spans="1:10" x14ac:dyDescent="0.35">
      <c r="A875" s="1" t="s">
        <v>1612</v>
      </c>
      <c r="B875" s="1" t="s">
        <v>1224</v>
      </c>
      <c r="C875" s="1" t="s">
        <v>1210</v>
      </c>
      <c r="D875" s="2">
        <v>46177</v>
      </c>
      <c r="E875">
        <v>97.125</v>
      </c>
      <c r="F875" s="2">
        <v>46177.771630671297</v>
      </c>
      <c r="G875" s="1" t="s">
        <v>1211</v>
      </c>
      <c r="H875" s="2">
        <v>46177.771630636576</v>
      </c>
      <c r="I875" s="1" t="s">
        <v>1211</v>
      </c>
      <c r="J875" s="1" t="s">
        <v>3051</v>
      </c>
    </row>
    <row r="876" spans="1:10" x14ac:dyDescent="0.35">
      <c r="A876" s="1" t="s">
        <v>1613</v>
      </c>
      <c r="B876" s="1" t="s">
        <v>1224</v>
      </c>
      <c r="C876" s="1" t="s">
        <v>1210</v>
      </c>
      <c r="D876" s="2">
        <v>46177</v>
      </c>
      <c r="E876">
        <v>96.995000000000005</v>
      </c>
      <c r="F876" s="2">
        <v>46177.771630821757</v>
      </c>
      <c r="G876" s="1" t="s">
        <v>1211</v>
      </c>
      <c r="H876" s="2">
        <v>46177.771630821757</v>
      </c>
      <c r="I876" s="1" t="s">
        <v>1211</v>
      </c>
      <c r="J876" s="1" t="s">
        <v>3051</v>
      </c>
    </row>
    <row r="877" spans="1:10" x14ac:dyDescent="0.35">
      <c r="A877" s="1" t="s">
        <v>1614</v>
      </c>
      <c r="B877" s="1" t="s">
        <v>1224</v>
      </c>
      <c r="C877" s="1" t="s">
        <v>1210</v>
      </c>
      <c r="D877" s="2">
        <v>46177</v>
      </c>
      <c r="E877">
        <v>97.405000000000001</v>
      </c>
      <c r="F877" s="2">
        <v>46177.771617557868</v>
      </c>
      <c r="G877" s="1" t="s">
        <v>1211</v>
      </c>
      <c r="H877" s="2">
        <v>46177.771617627317</v>
      </c>
      <c r="I877" s="1" t="s">
        <v>1211</v>
      </c>
      <c r="J877" s="1" t="s">
        <v>3051</v>
      </c>
    </row>
    <row r="878" spans="1:10" x14ac:dyDescent="0.35">
      <c r="A878" s="1" t="s">
        <v>1615</v>
      </c>
      <c r="B878" s="1" t="s">
        <v>1224</v>
      </c>
      <c r="C878" s="1" t="s">
        <v>1210</v>
      </c>
      <c r="D878" s="2">
        <v>46177</v>
      </c>
      <c r="E878">
        <v>97.24</v>
      </c>
      <c r="F878" s="2">
        <v>46177.771617708335</v>
      </c>
      <c r="G878" s="1" t="s">
        <v>1211</v>
      </c>
      <c r="H878" s="2">
        <v>46177.771617824073</v>
      </c>
      <c r="I878" s="1" t="s">
        <v>1211</v>
      </c>
      <c r="J878" s="1" t="s">
        <v>3051</v>
      </c>
    </row>
    <row r="879" spans="1:10" x14ac:dyDescent="0.35">
      <c r="A879" s="1" t="s">
        <v>1616</v>
      </c>
      <c r="B879" s="1" t="s">
        <v>1224</v>
      </c>
      <c r="C879" s="1" t="s">
        <v>1210</v>
      </c>
      <c r="D879" s="2">
        <v>46177</v>
      </c>
      <c r="E879">
        <v>97.334999999999994</v>
      </c>
      <c r="F879" s="2">
        <v>46177.771617858794</v>
      </c>
      <c r="G879" s="1" t="s">
        <v>1211</v>
      </c>
      <c r="H879" s="2">
        <v>46177.77161797454</v>
      </c>
      <c r="I879" s="1" t="s">
        <v>1211</v>
      </c>
      <c r="J879" s="1" t="s">
        <v>3051</v>
      </c>
    </row>
    <row r="880" spans="1:10" x14ac:dyDescent="0.35">
      <c r="A880" s="1" t="s">
        <v>1617</v>
      </c>
      <c r="B880" s="1" t="s">
        <v>1224</v>
      </c>
      <c r="C880" s="1" t="s">
        <v>1210</v>
      </c>
      <c r="D880" s="2">
        <v>46177</v>
      </c>
      <c r="E880">
        <v>97.245000000000005</v>
      </c>
      <c r="F880" s="2">
        <v>46177.771618090279</v>
      </c>
      <c r="G880" s="1" t="s">
        <v>1211</v>
      </c>
      <c r="H880" s="2">
        <v>46177.771618171297</v>
      </c>
      <c r="I880" s="1" t="s">
        <v>1211</v>
      </c>
      <c r="J880" s="1" t="s">
        <v>3051</v>
      </c>
    </row>
    <row r="881" spans="1:10" x14ac:dyDescent="0.35">
      <c r="A881" s="1" t="s">
        <v>1618</v>
      </c>
      <c r="B881" s="1" t="s">
        <v>1224</v>
      </c>
      <c r="C881" s="1" t="s">
        <v>1210</v>
      </c>
      <c r="D881" s="2">
        <v>46177</v>
      </c>
      <c r="E881">
        <v>97.094999999999999</v>
      </c>
      <c r="F881" s="2">
        <v>46177.771618252315</v>
      </c>
      <c r="G881" s="1" t="s">
        <v>1211</v>
      </c>
      <c r="H881" s="2">
        <v>46177.771618368053</v>
      </c>
      <c r="I881" s="1" t="s">
        <v>1211</v>
      </c>
      <c r="J881" s="1" t="s">
        <v>3051</v>
      </c>
    </row>
    <row r="882" spans="1:10" x14ac:dyDescent="0.35">
      <c r="A882" s="1" t="s">
        <v>1619</v>
      </c>
      <c r="B882" s="1" t="s">
        <v>1224</v>
      </c>
      <c r="C882" s="1" t="s">
        <v>1210</v>
      </c>
      <c r="D882" s="2">
        <v>46177</v>
      </c>
      <c r="E882">
        <v>96.96</v>
      </c>
      <c r="F882" s="2">
        <v>46177.771618402781</v>
      </c>
      <c r="G882" s="1" t="s">
        <v>1211</v>
      </c>
      <c r="H882" s="2">
        <v>46177.77161851852</v>
      </c>
      <c r="I882" s="1" t="s">
        <v>1211</v>
      </c>
      <c r="J882" s="1" t="s">
        <v>3051</v>
      </c>
    </row>
    <row r="883" spans="1:10" x14ac:dyDescent="0.35">
      <c r="A883" s="1" t="s">
        <v>1620</v>
      </c>
      <c r="B883" s="1" t="s">
        <v>1224</v>
      </c>
      <c r="C883" s="1" t="s">
        <v>1210</v>
      </c>
      <c r="D883" s="2">
        <v>46177</v>
      </c>
      <c r="E883">
        <v>97.27</v>
      </c>
      <c r="F883" s="2">
        <v>46177.771618553241</v>
      </c>
      <c r="G883" s="1" t="s">
        <v>1211</v>
      </c>
      <c r="H883" s="2">
        <v>46177.771618715276</v>
      </c>
      <c r="I883" s="1" t="s">
        <v>1211</v>
      </c>
      <c r="J883" s="1" t="s">
        <v>3051</v>
      </c>
    </row>
    <row r="884" spans="1:10" x14ac:dyDescent="0.35">
      <c r="A884" s="1" t="s">
        <v>1621</v>
      </c>
      <c r="B884" s="1" t="s">
        <v>1224</v>
      </c>
      <c r="C884" s="1" t="s">
        <v>1210</v>
      </c>
      <c r="D884" s="2">
        <v>46177</v>
      </c>
      <c r="E884">
        <v>97.295000000000002</v>
      </c>
      <c r="F884" s="2">
        <v>46177.771618715276</v>
      </c>
      <c r="G884" s="1" t="s">
        <v>1211</v>
      </c>
      <c r="H884" s="2">
        <v>46177.771618715276</v>
      </c>
      <c r="I884" s="1" t="s">
        <v>1211</v>
      </c>
      <c r="J884" s="1" t="s">
        <v>3051</v>
      </c>
    </row>
    <row r="885" spans="1:10" x14ac:dyDescent="0.35">
      <c r="A885" s="1" t="s">
        <v>1622</v>
      </c>
      <c r="B885" s="1" t="s">
        <v>1224</v>
      </c>
      <c r="C885" s="1" t="s">
        <v>1210</v>
      </c>
      <c r="D885" s="2">
        <v>46177</v>
      </c>
      <c r="E885">
        <v>97.314999999999998</v>
      </c>
      <c r="F885" s="2">
        <v>46177.77161570602</v>
      </c>
      <c r="G885" s="1" t="s">
        <v>1211</v>
      </c>
      <c r="H885" s="2">
        <v>46177.771615625003</v>
      </c>
      <c r="I885" s="1" t="s">
        <v>1211</v>
      </c>
      <c r="J885" s="1" t="s">
        <v>3051</v>
      </c>
    </row>
    <row r="886" spans="1:10" x14ac:dyDescent="0.35">
      <c r="A886" s="1" t="s">
        <v>1623</v>
      </c>
      <c r="B886" s="1" t="s">
        <v>1224</v>
      </c>
      <c r="C886" s="1" t="s">
        <v>1210</v>
      </c>
      <c r="D886" s="2">
        <v>46177</v>
      </c>
      <c r="E886">
        <v>97.22</v>
      </c>
      <c r="F886" s="2">
        <v>46177.77161585648</v>
      </c>
      <c r="G886" s="1" t="s">
        <v>1211</v>
      </c>
      <c r="H886" s="2">
        <v>46177.771615821759</v>
      </c>
      <c r="I886" s="1" t="s">
        <v>1211</v>
      </c>
      <c r="J886" s="1" t="s">
        <v>3051</v>
      </c>
    </row>
    <row r="887" spans="1:10" x14ac:dyDescent="0.35">
      <c r="A887" s="1" t="s">
        <v>1624</v>
      </c>
      <c r="B887" s="1" t="s">
        <v>1209</v>
      </c>
      <c r="C887" s="1" t="s">
        <v>1210</v>
      </c>
      <c r="D887" s="2">
        <v>46177</v>
      </c>
      <c r="E887">
        <v>2.71539349075616E-2</v>
      </c>
      <c r="F887" s="2">
        <v>46177.77172222222</v>
      </c>
      <c r="G887" s="1" t="s">
        <v>1211</v>
      </c>
      <c r="H887" s="2">
        <v>46177.77172222222</v>
      </c>
      <c r="I887" s="1" t="s">
        <v>1211</v>
      </c>
      <c r="J887" s="1" t="s">
        <v>3902</v>
      </c>
    </row>
    <row r="888" spans="1:10" x14ac:dyDescent="0.35">
      <c r="A888" s="1" t="s">
        <v>1625</v>
      </c>
      <c r="B888" s="1" t="s">
        <v>1209</v>
      </c>
      <c r="C888" s="1" t="s">
        <v>1210</v>
      </c>
      <c r="D888" s="2">
        <v>46177</v>
      </c>
      <c r="E888">
        <v>3.7529425631786302E-2</v>
      </c>
      <c r="F888" s="2">
        <v>46177.771738923613</v>
      </c>
      <c r="G888" s="1" t="s">
        <v>1211</v>
      </c>
      <c r="H888" s="2">
        <v>46177.771738923613</v>
      </c>
      <c r="I888" s="1" t="s">
        <v>1211</v>
      </c>
      <c r="J888" s="1" t="s">
        <v>3903</v>
      </c>
    </row>
    <row r="889" spans="1:10" x14ac:dyDescent="0.35">
      <c r="A889" s="1" t="s">
        <v>1626</v>
      </c>
      <c r="B889" s="1" t="s">
        <v>1209</v>
      </c>
      <c r="C889" s="1" t="s">
        <v>1210</v>
      </c>
      <c r="D889" s="2">
        <v>46177</v>
      </c>
      <c r="E889">
        <v>3.8095179359423401E-2</v>
      </c>
      <c r="F889" s="2">
        <v>46177.771683333332</v>
      </c>
      <c r="G889" s="1" t="s">
        <v>1211</v>
      </c>
      <c r="H889" s="2">
        <v>46177.771683333332</v>
      </c>
      <c r="I889" s="1" t="s">
        <v>1211</v>
      </c>
      <c r="J889" s="1" t="s">
        <v>3904</v>
      </c>
    </row>
    <row r="890" spans="1:10" x14ac:dyDescent="0.35">
      <c r="A890" s="1" t="s">
        <v>1627</v>
      </c>
      <c r="B890" s="1" t="s">
        <v>1209</v>
      </c>
      <c r="C890" s="1" t="s">
        <v>1210</v>
      </c>
      <c r="D890" s="2">
        <v>46177</v>
      </c>
      <c r="E890">
        <v>2.3045196084514101E-2</v>
      </c>
      <c r="F890" s="2">
        <v>46177.771733483794</v>
      </c>
      <c r="G890" s="1" t="s">
        <v>1211</v>
      </c>
      <c r="H890" s="2">
        <v>46177.771733680558</v>
      </c>
      <c r="I890" s="1" t="s">
        <v>1211</v>
      </c>
      <c r="J890" s="1" t="s">
        <v>3905</v>
      </c>
    </row>
    <row r="891" spans="1:10" x14ac:dyDescent="0.35">
      <c r="A891" s="1" t="s">
        <v>1628</v>
      </c>
      <c r="B891" s="1" t="s">
        <v>1209</v>
      </c>
      <c r="C891" s="1" t="s">
        <v>1210</v>
      </c>
      <c r="D891" s="2">
        <v>46177</v>
      </c>
      <c r="E891">
        <v>3.0270326775286401E-2</v>
      </c>
      <c r="F891" s="2">
        <v>46177.771713888891</v>
      </c>
      <c r="G891" s="1" t="s">
        <v>1211</v>
      </c>
      <c r="H891" s="2">
        <v>46177.771713888891</v>
      </c>
      <c r="I891" s="1" t="s">
        <v>1211</v>
      </c>
      <c r="J891" s="1" t="s">
        <v>3906</v>
      </c>
    </row>
    <row r="892" spans="1:10" x14ac:dyDescent="0.35">
      <c r="A892" s="1" t="s">
        <v>1629</v>
      </c>
      <c r="B892" s="1" t="s">
        <v>1209</v>
      </c>
      <c r="C892" s="1" t="s">
        <v>1210</v>
      </c>
      <c r="D892" s="2">
        <v>46177</v>
      </c>
      <c r="E892">
        <v>2.7195745700706202E-2</v>
      </c>
      <c r="F892" s="2">
        <v>46177.771659409722</v>
      </c>
      <c r="G892" s="1" t="s">
        <v>1211</v>
      </c>
      <c r="H892" s="2">
        <v>46177.771659293983</v>
      </c>
      <c r="I892" s="1" t="s">
        <v>1211</v>
      </c>
      <c r="J892" s="1" t="s">
        <v>3907</v>
      </c>
    </row>
    <row r="893" spans="1:10" x14ac:dyDescent="0.35">
      <c r="A893" s="1" t="s">
        <v>1630</v>
      </c>
      <c r="B893" s="1" t="s">
        <v>1209</v>
      </c>
      <c r="C893" s="1" t="s">
        <v>1210</v>
      </c>
      <c r="D893" s="2">
        <v>46177</v>
      </c>
      <c r="E893">
        <v>3.91723149562015E-2</v>
      </c>
      <c r="F893" s="2">
        <v>46177.771744988429</v>
      </c>
      <c r="G893" s="1" t="s">
        <v>1211</v>
      </c>
      <c r="H893" s="2">
        <v>46177.771744942133</v>
      </c>
      <c r="I893" s="1" t="s">
        <v>1211</v>
      </c>
      <c r="J893" s="1" t="s">
        <v>3908</v>
      </c>
    </row>
    <row r="894" spans="1:10" x14ac:dyDescent="0.35">
      <c r="A894" s="1" t="s">
        <v>1631</v>
      </c>
      <c r="B894" s="1" t="s">
        <v>1209</v>
      </c>
      <c r="C894" s="1" t="s">
        <v>1210</v>
      </c>
      <c r="D894" s="2">
        <v>46177</v>
      </c>
      <c r="E894">
        <v>2.8383260372011498E-2</v>
      </c>
      <c r="F894" s="2">
        <v>46177.771661886574</v>
      </c>
      <c r="G894" s="1" t="s">
        <v>1211</v>
      </c>
      <c r="H894" s="2">
        <v>46177.771661840277</v>
      </c>
      <c r="I894" s="1" t="s">
        <v>1211</v>
      </c>
      <c r="J894" s="1" t="s">
        <v>3909</v>
      </c>
    </row>
    <row r="895" spans="1:10" x14ac:dyDescent="0.35">
      <c r="A895" s="1" t="s">
        <v>1632</v>
      </c>
      <c r="B895" s="1" t="s">
        <v>1209</v>
      </c>
      <c r="C895" s="1" t="s">
        <v>1210</v>
      </c>
      <c r="D895" s="2">
        <v>46177</v>
      </c>
      <c r="E895">
        <v>3.98675607245201E-2</v>
      </c>
      <c r="F895" s="2">
        <v>46177.77172434028</v>
      </c>
      <c r="G895" s="1" t="s">
        <v>1211</v>
      </c>
      <c r="H895" s="2">
        <v>46177.771724386577</v>
      </c>
      <c r="I895" s="1" t="s">
        <v>1211</v>
      </c>
      <c r="J895" s="1" t="s">
        <v>3910</v>
      </c>
    </row>
    <row r="896" spans="1:10" x14ac:dyDescent="0.35">
      <c r="A896" s="1" t="s">
        <v>1633</v>
      </c>
      <c r="B896" s="1" t="s">
        <v>1209</v>
      </c>
      <c r="C896" s="1" t="s">
        <v>1210</v>
      </c>
      <c r="D896" s="2">
        <v>46177</v>
      </c>
      <c r="E896">
        <v>4.1782561396547901E-2</v>
      </c>
      <c r="F896" s="2">
        <v>46177.771697766206</v>
      </c>
      <c r="G896" s="1" t="s">
        <v>1211</v>
      </c>
      <c r="H896" s="2">
        <v>46177.771697766206</v>
      </c>
      <c r="I896" s="1" t="s">
        <v>1211</v>
      </c>
      <c r="J896" s="1" t="s">
        <v>3911</v>
      </c>
    </row>
    <row r="897" spans="1:10" x14ac:dyDescent="0.35">
      <c r="A897" s="1" t="s">
        <v>1634</v>
      </c>
      <c r="B897" s="1" t="s">
        <v>1209</v>
      </c>
      <c r="C897" s="1" t="s">
        <v>1210</v>
      </c>
      <c r="D897" s="2">
        <v>46177</v>
      </c>
      <c r="E897">
        <v>2.4474702434489199E-2</v>
      </c>
      <c r="F897" s="2">
        <v>46177.771732719906</v>
      </c>
      <c r="G897" s="1" t="s">
        <v>1211</v>
      </c>
      <c r="H897" s="2">
        <v>46177.771732754627</v>
      </c>
      <c r="I897" s="1" t="s">
        <v>1211</v>
      </c>
      <c r="J897" s="1" t="s">
        <v>3912</v>
      </c>
    </row>
    <row r="898" spans="1:10" x14ac:dyDescent="0.35">
      <c r="A898" s="1" t="s">
        <v>1635</v>
      </c>
      <c r="B898" s="1" t="s">
        <v>1209</v>
      </c>
      <c r="C898" s="1" t="s">
        <v>1210</v>
      </c>
      <c r="D898" s="2">
        <v>46177</v>
      </c>
      <c r="E898">
        <v>2.6019562300125101E-2</v>
      </c>
      <c r="F898" s="2">
        <v>46177.771667789355</v>
      </c>
      <c r="G898" s="1" t="s">
        <v>1211</v>
      </c>
      <c r="H898" s="2">
        <v>46177.771667858797</v>
      </c>
      <c r="I898" s="1" t="s">
        <v>1211</v>
      </c>
      <c r="J898" s="1" t="s">
        <v>3913</v>
      </c>
    </row>
    <row r="899" spans="1:10" x14ac:dyDescent="0.35">
      <c r="A899" s="1" t="s">
        <v>1636</v>
      </c>
      <c r="B899" s="1" t="s">
        <v>1209</v>
      </c>
      <c r="C899" s="1" t="s">
        <v>1210</v>
      </c>
      <c r="D899" s="2">
        <v>46177</v>
      </c>
      <c r="E899">
        <v>3.1641081793844797E-2</v>
      </c>
      <c r="F899" s="2">
        <v>46177.771740509263</v>
      </c>
      <c r="G899" s="1" t="s">
        <v>1211</v>
      </c>
      <c r="H899" s="2">
        <v>46177.771740625001</v>
      </c>
      <c r="I899" s="1" t="s">
        <v>1211</v>
      </c>
      <c r="J899" s="1" t="s">
        <v>3914</v>
      </c>
    </row>
    <row r="900" spans="1:10" x14ac:dyDescent="0.35">
      <c r="A900" s="1" t="s">
        <v>1637</v>
      </c>
      <c r="B900" s="1" t="s">
        <v>1209</v>
      </c>
      <c r="C900" s="1" t="s">
        <v>1210</v>
      </c>
      <c r="D900" s="2">
        <v>46177</v>
      </c>
      <c r="E900">
        <v>3.5158352420394098E-2</v>
      </c>
      <c r="F900" s="2">
        <v>46177.771655243057</v>
      </c>
      <c r="G900" s="1" t="s">
        <v>1211</v>
      </c>
      <c r="H900" s="2">
        <v>46177.771655243057</v>
      </c>
      <c r="I900" s="1" t="s">
        <v>1211</v>
      </c>
      <c r="J900" s="1" t="s">
        <v>3915</v>
      </c>
    </row>
    <row r="901" spans="1:10" x14ac:dyDescent="0.35">
      <c r="A901" s="1" t="s">
        <v>1638</v>
      </c>
      <c r="B901" s="1" t="s">
        <v>1209</v>
      </c>
      <c r="C901" s="1" t="s">
        <v>1210</v>
      </c>
      <c r="D901" s="2">
        <v>46177</v>
      </c>
      <c r="E901">
        <v>2.6712846018059601E-2</v>
      </c>
      <c r="F901" s="2">
        <v>46177.771711423607</v>
      </c>
      <c r="G901" s="1" t="s">
        <v>1211</v>
      </c>
      <c r="H901" s="2">
        <v>46177.771711493057</v>
      </c>
      <c r="I901" s="1" t="s">
        <v>1211</v>
      </c>
      <c r="J901" s="1" t="s">
        <v>3916</v>
      </c>
    </row>
    <row r="902" spans="1:10" x14ac:dyDescent="0.35">
      <c r="A902" s="1" t="s">
        <v>1639</v>
      </c>
      <c r="B902" s="1" t="s">
        <v>1209</v>
      </c>
      <c r="C902" s="1" t="s">
        <v>1210</v>
      </c>
      <c r="D902" s="2">
        <v>46177</v>
      </c>
      <c r="E902">
        <v>2.6809985329515101E-2</v>
      </c>
      <c r="F902" s="2">
        <v>46177.771721064812</v>
      </c>
      <c r="G902" s="1" t="s">
        <v>1211</v>
      </c>
      <c r="H902" s="2">
        <v>46177.771721145837</v>
      </c>
      <c r="I902" s="1" t="s">
        <v>1211</v>
      </c>
      <c r="J902" s="1" t="s">
        <v>3917</v>
      </c>
    </row>
    <row r="903" spans="1:10" x14ac:dyDescent="0.35">
      <c r="A903" s="1" t="s">
        <v>1640</v>
      </c>
      <c r="B903" s="1" t="s">
        <v>1209</v>
      </c>
      <c r="C903" s="1" t="s">
        <v>1210</v>
      </c>
      <c r="D903" s="2">
        <v>46177</v>
      </c>
      <c r="E903">
        <v>4.0261218943319098E-2</v>
      </c>
      <c r="F903" s="2">
        <v>46177.771691979164</v>
      </c>
      <c r="G903" s="1" t="s">
        <v>1211</v>
      </c>
      <c r="H903" s="2">
        <v>46177.771691863425</v>
      </c>
      <c r="I903" s="1" t="s">
        <v>1211</v>
      </c>
      <c r="J903" s="1" t="s">
        <v>3918</v>
      </c>
    </row>
    <row r="904" spans="1:10" x14ac:dyDescent="0.35">
      <c r="A904" s="1" t="s">
        <v>1641</v>
      </c>
      <c r="B904" s="1" t="s">
        <v>1209</v>
      </c>
      <c r="C904" s="1" t="s">
        <v>1210</v>
      </c>
      <c r="D904" s="2">
        <v>46177</v>
      </c>
      <c r="E904">
        <v>2.7006994138441799E-2</v>
      </c>
      <c r="F904" s="2">
        <v>46177.771751539352</v>
      </c>
      <c r="G904" s="1" t="s">
        <v>1211</v>
      </c>
      <c r="H904" s="2">
        <v>46177.77175162037</v>
      </c>
      <c r="I904" s="1" t="s">
        <v>1211</v>
      </c>
      <c r="J904" s="1" t="s">
        <v>3919</v>
      </c>
    </row>
    <row r="905" spans="1:10" x14ac:dyDescent="0.35">
      <c r="A905" s="1" t="s">
        <v>1642</v>
      </c>
      <c r="B905" s="1" t="s">
        <v>1209</v>
      </c>
      <c r="C905" s="1" t="s">
        <v>1210</v>
      </c>
      <c r="D905" s="2">
        <v>46177</v>
      </c>
      <c r="E905">
        <v>2.7394332198488001E-2</v>
      </c>
      <c r="F905" s="2">
        <v>46177.771701076388</v>
      </c>
      <c r="G905" s="1" t="s">
        <v>1211</v>
      </c>
      <c r="H905" s="2">
        <v>46177.771701006946</v>
      </c>
      <c r="I905" s="1" t="s">
        <v>1211</v>
      </c>
      <c r="J905" s="1" t="s">
        <v>3920</v>
      </c>
    </row>
    <row r="906" spans="1:10" x14ac:dyDescent="0.35">
      <c r="A906" s="1" t="s">
        <v>1643</v>
      </c>
      <c r="B906" s="1" t="s">
        <v>1209</v>
      </c>
      <c r="C906" s="1" t="s">
        <v>1210</v>
      </c>
      <c r="D906" s="2">
        <v>46177</v>
      </c>
      <c r="E906">
        <v>3.3619918478949601E-2</v>
      </c>
      <c r="F906" s="2">
        <v>46177.771735960647</v>
      </c>
      <c r="G906" s="1" t="s">
        <v>1211</v>
      </c>
      <c r="H906" s="2">
        <v>46177.771736030096</v>
      </c>
      <c r="I906" s="1" t="s">
        <v>1211</v>
      </c>
      <c r="J906" s="1" t="s">
        <v>3921</v>
      </c>
    </row>
    <row r="907" spans="1:10" x14ac:dyDescent="0.35">
      <c r="A907" s="1" t="s">
        <v>1644</v>
      </c>
      <c r="B907" s="1" t="s">
        <v>1209</v>
      </c>
      <c r="C907" s="1" t="s">
        <v>1210</v>
      </c>
      <c r="D907" s="2">
        <v>46177</v>
      </c>
      <c r="E907">
        <v>2.7906482282191201E-2</v>
      </c>
      <c r="F907" s="2">
        <v>46177.77166096065</v>
      </c>
      <c r="G907" s="1" t="s">
        <v>1211</v>
      </c>
      <c r="H907" s="2">
        <v>46177.771660914354</v>
      </c>
      <c r="I907" s="1" t="s">
        <v>1211</v>
      </c>
      <c r="J907" s="1" t="s">
        <v>3922</v>
      </c>
    </row>
    <row r="908" spans="1:10" x14ac:dyDescent="0.35">
      <c r="A908" s="1" t="s">
        <v>1645</v>
      </c>
      <c r="B908" s="1" t="s">
        <v>1209</v>
      </c>
      <c r="C908" s="1" t="s">
        <v>1210</v>
      </c>
      <c r="D908" s="2">
        <v>46177</v>
      </c>
      <c r="E908">
        <v>2.82900314303389E-2</v>
      </c>
      <c r="F908" s="2">
        <v>46177.771722418984</v>
      </c>
      <c r="G908" s="1" t="s">
        <v>1211</v>
      </c>
      <c r="H908" s="2">
        <v>46177.771722418984</v>
      </c>
      <c r="I908" s="1" t="s">
        <v>1211</v>
      </c>
      <c r="J908" s="1" t="s">
        <v>3923</v>
      </c>
    </row>
    <row r="909" spans="1:10" x14ac:dyDescent="0.35">
      <c r="A909" s="1" t="s">
        <v>1646</v>
      </c>
      <c r="B909" s="1" t="s">
        <v>1209</v>
      </c>
      <c r="C909" s="1" t="s">
        <v>1210</v>
      </c>
      <c r="D909" s="2">
        <v>46177</v>
      </c>
      <c r="E909">
        <v>4.0793929844309698E-2</v>
      </c>
      <c r="F909" s="2">
        <v>46177.771652280091</v>
      </c>
      <c r="G909" s="1" t="s">
        <v>1211</v>
      </c>
      <c r="H909" s="2">
        <v>46177.771652164352</v>
      </c>
      <c r="I909" s="1" t="s">
        <v>1211</v>
      </c>
      <c r="J909" s="1" t="s">
        <v>3924</v>
      </c>
    </row>
    <row r="910" spans="1:10" x14ac:dyDescent="0.35">
      <c r="A910" s="1" t="s">
        <v>1647</v>
      </c>
      <c r="B910" s="1" t="s">
        <v>1209</v>
      </c>
      <c r="C910" s="1" t="s">
        <v>1210</v>
      </c>
      <c r="D910" s="2">
        <v>46177</v>
      </c>
      <c r="E910">
        <v>2.64727918859777E-2</v>
      </c>
      <c r="F910" s="2">
        <v>46177.771679780089</v>
      </c>
      <c r="G910" s="1" t="s">
        <v>1211</v>
      </c>
      <c r="H910" s="2">
        <v>46177.771679861115</v>
      </c>
      <c r="I910" s="1" t="s">
        <v>1211</v>
      </c>
      <c r="J910" s="1" t="s">
        <v>3925</v>
      </c>
    </row>
    <row r="911" spans="1:10" x14ac:dyDescent="0.35">
      <c r="A911" s="1" t="s">
        <v>1648</v>
      </c>
      <c r="B911" s="1" t="s">
        <v>1209</v>
      </c>
      <c r="C911" s="1" t="s">
        <v>1210</v>
      </c>
      <c r="D911" s="2">
        <v>46177</v>
      </c>
      <c r="E911">
        <v>2.86907056121205E-2</v>
      </c>
      <c r="F911" s="2">
        <v>46177.771654942131</v>
      </c>
      <c r="G911" s="1" t="s">
        <v>1211</v>
      </c>
      <c r="H911" s="2">
        <v>46177.771654895834</v>
      </c>
      <c r="I911" s="1" t="s">
        <v>1211</v>
      </c>
      <c r="J911" s="1" t="s">
        <v>3926</v>
      </c>
    </row>
    <row r="912" spans="1:10" x14ac:dyDescent="0.35">
      <c r="A912" s="1" t="s">
        <v>1649</v>
      </c>
      <c r="B912" s="1" t="s">
        <v>1209</v>
      </c>
      <c r="C912" s="1" t="s">
        <v>1210</v>
      </c>
      <c r="D912" s="2">
        <v>46177</v>
      </c>
      <c r="E912">
        <v>3.7953736091690497E-2</v>
      </c>
      <c r="F912" s="2">
        <v>46177.771653703705</v>
      </c>
      <c r="G912" s="1" t="s">
        <v>1211</v>
      </c>
      <c r="H912" s="2">
        <v>46177.771653622687</v>
      </c>
      <c r="I912" s="1" t="s">
        <v>1211</v>
      </c>
      <c r="J912" s="1" t="s">
        <v>3927</v>
      </c>
    </row>
    <row r="913" spans="1:10" x14ac:dyDescent="0.35">
      <c r="A913" s="1" t="s">
        <v>1650</v>
      </c>
      <c r="B913" s="1" t="s">
        <v>1209</v>
      </c>
      <c r="C913" s="1" t="s">
        <v>1210</v>
      </c>
      <c r="D913" s="2">
        <v>46177</v>
      </c>
      <c r="E913">
        <v>2.91592647780392E-2</v>
      </c>
      <c r="F913" s="2">
        <v>46177.771669675923</v>
      </c>
      <c r="G913" s="1" t="s">
        <v>1211</v>
      </c>
      <c r="H913" s="2">
        <v>46177.771669675923</v>
      </c>
      <c r="I913" s="1" t="s">
        <v>1211</v>
      </c>
      <c r="J913" s="1" t="s">
        <v>3928</v>
      </c>
    </row>
    <row r="914" spans="1:10" x14ac:dyDescent="0.35">
      <c r="A914" s="1" t="s">
        <v>1651</v>
      </c>
      <c r="B914" s="1" t="s">
        <v>1209</v>
      </c>
      <c r="C914" s="1" t="s">
        <v>1210</v>
      </c>
      <c r="D914" s="2">
        <v>46177</v>
      </c>
      <c r="E914">
        <v>4.0911434025343203E-2</v>
      </c>
      <c r="F914" s="2">
        <v>46177.771663229163</v>
      </c>
      <c r="G914" s="1" t="s">
        <v>1211</v>
      </c>
      <c r="H914" s="2">
        <v>46177.77166327546</v>
      </c>
      <c r="I914" s="1" t="s">
        <v>1211</v>
      </c>
      <c r="J914" s="1" t="s">
        <v>3929</v>
      </c>
    </row>
    <row r="915" spans="1:10" x14ac:dyDescent="0.35">
      <c r="A915" s="1" t="s">
        <v>1652</v>
      </c>
      <c r="B915" s="1" t="s">
        <v>1209</v>
      </c>
      <c r="C915" s="1" t="s">
        <v>1210</v>
      </c>
      <c r="D915" s="2">
        <v>46177</v>
      </c>
      <c r="E915">
        <v>2.6564617826960901E-2</v>
      </c>
      <c r="F915" s="2">
        <v>46177.771702314814</v>
      </c>
      <c r="G915" s="1" t="s">
        <v>1211</v>
      </c>
      <c r="H915" s="2">
        <v>46177.771702349535</v>
      </c>
      <c r="I915" s="1" t="s">
        <v>1211</v>
      </c>
      <c r="J915" s="1" t="s">
        <v>3930</v>
      </c>
    </row>
    <row r="916" spans="1:10" x14ac:dyDescent="0.35">
      <c r="A916" s="1" t="s">
        <v>1653</v>
      </c>
      <c r="B916" s="1" t="s">
        <v>1209</v>
      </c>
      <c r="C916" s="1" t="s">
        <v>1210</v>
      </c>
      <c r="D916" s="2">
        <v>46177</v>
      </c>
      <c r="E916">
        <v>3.5964116570130197E-2</v>
      </c>
      <c r="F916" s="2">
        <v>46177.771682604165</v>
      </c>
      <c r="G916" s="1" t="s">
        <v>1211</v>
      </c>
      <c r="H916" s="2">
        <v>46177.771682604165</v>
      </c>
      <c r="I916" s="1" t="s">
        <v>1211</v>
      </c>
      <c r="J916" s="1" t="s">
        <v>3931</v>
      </c>
    </row>
    <row r="917" spans="1:10" x14ac:dyDescent="0.35">
      <c r="A917" s="1" t="s">
        <v>1654</v>
      </c>
      <c r="B917" s="1" t="s">
        <v>1209</v>
      </c>
      <c r="C917" s="1" t="s">
        <v>1210</v>
      </c>
      <c r="D917" s="2">
        <v>46177</v>
      </c>
      <c r="E917">
        <v>2.9677371180023698E-2</v>
      </c>
      <c r="F917" s="2">
        <v>46177.771676585646</v>
      </c>
      <c r="G917" s="1" t="s">
        <v>1211</v>
      </c>
      <c r="H917" s="2">
        <v>46177.771676585646</v>
      </c>
      <c r="I917" s="1" t="s">
        <v>1211</v>
      </c>
      <c r="J917" s="1" t="s">
        <v>3932</v>
      </c>
    </row>
    <row r="918" spans="1:10" x14ac:dyDescent="0.35">
      <c r="A918" s="1" t="s">
        <v>1655</v>
      </c>
      <c r="B918" s="1" t="s">
        <v>1209</v>
      </c>
      <c r="C918" s="1" t="s">
        <v>1210</v>
      </c>
      <c r="D918" s="2">
        <v>46177</v>
      </c>
      <c r="E918">
        <v>3.8914952494646098E-2</v>
      </c>
      <c r="F918" s="2">
        <v>46177.771743020836</v>
      </c>
      <c r="G918" s="1" t="s">
        <v>1211</v>
      </c>
      <c r="H918" s="2">
        <v>46177.771743136575</v>
      </c>
      <c r="I918" s="1" t="s">
        <v>1211</v>
      </c>
      <c r="J918" s="1" t="s">
        <v>3933</v>
      </c>
    </row>
    <row r="919" spans="1:10" x14ac:dyDescent="0.35">
      <c r="A919" s="1" t="s">
        <v>1656</v>
      </c>
      <c r="B919" s="1" t="s">
        <v>1209</v>
      </c>
      <c r="C919" s="1" t="s">
        <v>1210</v>
      </c>
      <c r="D919" s="2">
        <v>46177</v>
      </c>
      <c r="E919">
        <v>2.5185187472330301E-2</v>
      </c>
      <c r="F919" s="2">
        <v>46177.771747372688</v>
      </c>
      <c r="G919" s="1" t="s">
        <v>1211</v>
      </c>
      <c r="H919" s="2">
        <v>46177.771747488427</v>
      </c>
      <c r="I919" s="1" t="s">
        <v>1211</v>
      </c>
      <c r="J919" s="1" t="s">
        <v>3934</v>
      </c>
    </row>
    <row r="920" spans="1:10" x14ac:dyDescent="0.35">
      <c r="A920" s="1" t="s">
        <v>1657</v>
      </c>
      <c r="B920" s="1" t="s">
        <v>1209</v>
      </c>
      <c r="C920" s="1" t="s">
        <v>1210</v>
      </c>
      <c r="D920" s="2">
        <v>46177</v>
      </c>
      <c r="E920">
        <v>3.0306836914048601E-2</v>
      </c>
      <c r="F920" s="2">
        <v>46177.771731250003</v>
      </c>
      <c r="G920" s="1" t="s">
        <v>1211</v>
      </c>
      <c r="H920" s="2">
        <v>46177.77173133102</v>
      </c>
      <c r="I920" s="1" t="s">
        <v>1211</v>
      </c>
      <c r="J920" s="1" t="s">
        <v>3935</v>
      </c>
    </row>
    <row r="921" spans="1:10" x14ac:dyDescent="0.35">
      <c r="A921" s="1" t="s">
        <v>1658</v>
      </c>
      <c r="B921" s="1" t="s">
        <v>1209</v>
      </c>
      <c r="C921" s="1" t="s">
        <v>1210</v>
      </c>
      <c r="D921" s="2">
        <v>46177</v>
      </c>
      <c r="E921">
        <v>4.11330860401843E-2</v>
      </c>
      <c r="F921" s="2">
        <v>46177.771721527781</v>
      </c>
      <c r="G921" s="1" t="s">
        <v>1211</v>
      </c>
      <c r="H921" s="2">
        <v>46177.771721493053</v>
      </c>
      <c r="I921" s="1" t="s">
        <v>1211</v>
      </c>
      <c r="J921" s="1" t="s">
        <v>3936</v>
      </c>
    </row>
    <row r="922" spans="1:10" x14ac:dyDescent="0.35">
      <c r="A922" s="1" t="s">
        <v>1659</v>
      </c>
      <c r="B922" s="1" t="s">
        <v>1209</v>
      </c>
      <c r="C922" s="1" t="s">
        <v>1210</v>
      </c>
      <c r="D922" s="2">
        <v>46177</v>
      </c>
      <c r="E922">
        <v>2.7957680176613299E-2</v>
      </c>
      <c r="F922" s="2">
        <v>46177.7716693287</v>
      </c>
      <c r="G922" s="1" t="s">
        <v>1211</v>
      </c>
      <c r="H922" s="2">
        <v>46177.771669293979</v>
      </c>
      <c r="I922" s="1" t="s">
        <v>1211</v>
      </c>
      <c r="J922" s="1" t="s">
        <v>3937</v>
      </c>
    </row>
    <row r="923" spans="1:10" x14ac:dyDescent="0.35">
      <c r="A923" s="1" t="s">
        <v>1660</v>
      </c>
      <c r="B923" s="1" t="s">
        <v>1209</v>
      </c>
      <c r="C923" s="1" t="s">
        <v>1210</v>
      </c>
      <c r="D923" s="2">
        <v>46177</v>
      </c>
      <c r="E923">
        <v>3.08211431738682E-2</v>
      </c>
      <c r="F923" s="2">
        <v>46177.771679363424</v>
      </c>
      <c r="G923" s="1" t="s">
        <v>1211</v>
      </c>
      <c r="H923" s="2">
        <v>46177.771679317128</v>
      </c>
      <c r="I923" s="1" t="s">
        <v>1211</v>
      </c>
      <c r="J923" s="1" t="s">
        <v>3938</v>
      </c>
    </row>
    <row r="924" spans="1:10" x14ac:dyDescent="0.35">
      <c r="A924" s="1" t="s">
        <v>1661</v>
      </c>
      <c r="B924" s="1" t="s">
        <v>1209</v>
      </c>
      <c r="C924" s="1" t="s">
        <v>1210</v>
      </c>
      <c r="D924" s="2">
        <v>46177</v>
      </c>
      <c r="E924">
        <v>3.9230596476111802E-2</v>
      </c>
      <c r="F924" s="2">
        <v>46177.771668553243</v>
      </c>
      <c r="G924" s="1" t="s">
        <v>1211</v>
      </c>
      <c r="H924" s="2">
        <v>46177.77166859954</v>
      </c>
      <c r="I924" s="1" t="s">
        <v>1211</v>
      </c>
      <c r="J924" s="1" t="s">
        <v>3939</v>
      </c>
    </row>
    <row r="925" spans="1:10" x14ac:dyDescent="0.35">
      <c r="A925" s="1" t="s">
        <v>1662</v>
      </c>
      <c r="B925" s="1" t="s">
        <v>1209</v>
      </c>
      <c r="C925" s="1" t="s">
        <v>1210</v>
      </c>
      <c r="D925" s="2">
        <v>46177</v>
      </c>
      <c r="E925">
        <v>3.1474408489094101E-2</v>
      </c>
      <c r="F925" s="2">
        <v>46177.771703819446</v>
      </c>
      <c r="G925" s="1" t="s">
        <v>1211</v>
      </c>
      <c r="H925" s="2">
        <v>46177.771703784725</v>
      </c>
      <c r="I925" s="1" t="s">
        <v>1211</v>
      </c>
      <c r="J925" s="1" t="s">
        <v>3941</v>
      </c>
    </row>
    <row r="926" spans="1:10" x14ac:dyDescent="0.35">
      <c r="A926" s="1" t="s">
        <v>1663</v>
      </c>
      <c r="B926" s="1" t="s">
        <v>1209</v>
      </c>
      <c r="C926" s="1" t="s">
        <v>1210</v>
      </c>
      <c r="D926" s="2">
        <v>46177</v>
      </c>
      <c r="E926">
        <v>3.7165700565166403E-2</v>
      </c>
      <c r="F926" s="2">
        <v>46177.771659259262</v>
      </c>
      <c r="G926" s="1" t="s">
        <v>1211</v>
      </c>
      <c r="H926" s="2">
        <v>46177.771659108796</v>
      </c>
      <c r="I926" s="1" t="s">
        <v>1211</v>
      </c>
      <c r="J926" s="1" t="s">
        <v>3942</v>
      </c>
    </row>
    <row r="927" spans="1:10" x14ac:dyDescent="0.35">
      <c r="A927" s="1" t="s">
        <v>1664</v>
      </c>
      <c r="B927" s="1" t="s">
        <v>1209</v>
      </c>
      <c r="C927" s="1" t="s">
        <v>1210</v>
      </c>
      <c r="D927" s="2">
        <v>46177</v>
      </c>
      <c r="E927">
        <v>3.2056095283783802E-2</v>
      </c>
      <c r="F927" s="2">
        <v>46177.771684756946</v>
      </c>
      <c r="G927" s="1" t="s">
        <v>1211</v>
      </c>
      <c r="H927" s="2">
        <v>46177.771684756946</v>
      </c>
      <c r="I927" s="1" t="s">
        <v>1211</v>
      </c>
      <c r="J927" s="1" t="s">
        <v>3943</v>
      </c>
    </row>
    <row r="928" spans="1:10" x14ac:dyDescent="0.35">
      <c r="A928" s="1" t="s">
        <v>1665</v>
      </c>
      <c r="B928" s="1" t="s">
        <v>1209</v>
      </c>
      <c r="C928" s="1" t="s">
        <v>1210</v>
      </c>
      <c r="D928" s="2">
        <v>46177</v>
      </c>
      <c r="E928">
        <v>2.77156794634669E-2</v>
      </c>
      <c r="F928" s="2">
        <v>46177.771673842595</v>
      </c>
      <c r="G928" s="1" t="s">
        <v>1211</v>
      </c>
      <c r="H928" s="2">
        <v>46177.771673842595</v>
      </c>
      <c r="I928" s="1" t="s">
        <v>1211</v>
      </c>
      <c r="J928" s="1" t="s">
        <v>3944</v>
      </c>
    </row>
    <row r="929" spans="1:10" x14ac:dyDescent="0.35">
      <c r="A929" s="1" t="s">
        <v>1666</v>
      </c>
      <c r="B929" s="1" t="s">
        <v>1209</v>
      </c>
      <c r="C929" s="1" t="s">
        <v>1210</v>
      </c>
      <c r="D929" s="2">
        <v>46177</v>
      </c>
      <c r="E929">
        <v>2.6669157146970698E-2</v>
      </c>
      <c r="F929" s="2">
        <v>46177.771664548614</v>
      </c>
      <c r="G929" s="1" t="s">
        <v>1211</v>
      </c>
      <c r="H929" s="2">
        <v>46177.771664548614</v>
      </c>
      <c r="I929" s="1" t="s">
        <v>1211</v>
      </c>
      <c r="J929" s="1" t="s">
        <v>3945</v>
      </c>
    </row>
    <row r="930" spans="1:10" x14ac:dyDescent="0.35">
      <c r="A930" s="1" t="s">
        <v>1667</v>
      </c>
      <c r="B930" s="1" t="s">
        <v>1209</v>
      </c>
      <c r="C930" s="1" t="s">
        <v>1210</v>
      </c>
      <c r="D930" s="2">
        <v>46177</v>
      </c>
      <c r="E930">
        <v>3.2653838458326603E-2</v>
      </c>
      <c r="F930" s="2">
        <v>46177.771741932869</v>
      </c>
      <c r="G930" s="1" t="s">
        <v>1211</v>
      </c>
      <c r="H930" s="2">
        <v>46177.771742048608</v>
      </c>
      <c r="I930" s="1" t="s">
        <v>1211</v>
      </c>
      <c r="J930" s="1" t="s">
        <v>3946</v>
      </c>
    </row>
    <row r="931" spans="1:10" x14ac:dyDescent="0.35">
      <c r="A931" s="1" t="s">
        <v>1668</v>
      </c>
      <c r="B931" s="1" t="s">
        <v>1209</v>
      </c>
      <c r="C931" s="1" t="s">
        <v>1210</v>
      </c>
      <c r="D931" s="2">
        <v>46177</v>
      </c>
      <c r="E931">
        <v>4.1456965982004199E-2</v>
      </c>
      <c r="F931" s="2">
        <v>46177.77171296296</v>
      </c>
      <c r="G931" s="1" t="s">
        <v>1211</v>
      </c>
      <c r="H931" s="2">
        <v>46177.771712928239</v>
      </c>
      <c r="I931" s="1" t="s">
        <v>1211</v>
      </c>
      <c r="J931" s="1" t="s">
        <v>3947</v>
      </c>
    </row>
    <row r="932" spans="1:10" x14ac:dyDescent="0.35">
      <c r="A932" s="1" t="s">
        <v>1669</v>
      </c>
      <c r="B932" s="1" t="s">
        <v>1209</v>
      </c>
      <c r="C932" s="1" t="s">
        <v>1210</v>
      </c>
      <c r="D932" s="2">
        <v>46177</v>
      </c>
      <c r="E932">
        <v>3.3084830379577899E-2</v>
      </c>
      <c r="F932" s="2">
        <v>46177.771710069443</v>
      </c>
      <c r="G932" s="1" t="s">
        <v>1211</v>
      </c>
      <c r="H932" s="2">
        <v>46177.771710034722</v>
      </c>
      <c r="I932" s="1" t="s">
        <v>1211</v>
      </c>
      <c r="J932" s="1" t="s">
        <v>3948</v>
      </c>
    </row>
    <row r="933" spans="1:10" x14ac:dyDescent="0.35">
      <c r="A933" s="1" t="s">
        <v>1670</v>
      </c>
      <c r="B933" s="1" t="s">
        <v>1209</v>
      </c>
      <c r="C933" s="1" t="s">
        <v>1210</v>
      </c>
      <c r="D933" s="2">
        <v>46177</v>
      </c>
      <c r="E933">
        <v>2.9566794809030201E-2</v>
      </c>
      <c r="F933" s="2">
        <v>46177.771741666664</v>
      </c>
      <c r="G933" s="1" t="s">
        <v>1211</v>
      </c>
      <c r="H933" s="2">
        <v>46177.771741701392</v>
      </c>
      <c r="I933" s="1" t="s">
        <v>1211</v>
      </c>
      <c r="J933" s="1" t="s">
        <v>3949</v>
      </c>
    </row>
    <row r="934" spans="1:10" x14ac:dyDescent="0.35">
      <c r="A934" s="1" t="s">
        <v>1671</v>
      </c>
      <c r="B934" s="1" t="s">
        <v>1209</v>
      </c>
      <c r="C934" s="1" t="s">
        <v>1210</v>
      </c>
      <c r="D934" s="2">
        <v>46177</v>
      </c>
      <c r="E934">
        <v>2.8376582453567799E-2</v>
      </c>
      <c r="F934" s="2">
        <v>46177.771718981479</v>
      </c>
      <c r="G934" s="1" t="s">
        <v>1211</v>
      </c>
      <c r="H934" s="2">
        <v>46177.771718946758</v>
      </c>
      <c r="I934" s="1" t="s">
        <v>1211</v>
      </c>
      <c r="J934" s="1" t="s">
        <v>3950</v>
      </c>
    </row>
    <row r="935" spans="1:10" x14ac:dyDescent="0.35">
      <c r="A935" s="1" t="s">
        <v>1672</v>
      </c>
      <c r="B935" s="1" t="s">
        <v>1209</v>
      </c>
      <c r="C935" s="1" t="s">
        <v>1210</v>
      </c>
      <c r="D935" s="2">
        <v>46177</v>
      </c>
      <c r="E935">
        <v>2.7134311680529401E-2</v>
      </c>
      <c r="F935" s="2">
        <v>46177.771698993056</v>
      </c>
      <c r="G935" s="1" t="s">
        <v>1211</v>
      </c>
      <c r="H935" s="2">
        <v>46177.771699039353</v>
      </c>
      <c r="I935" s="1" t="s">
        <v>1211</v>
      </c>
      <c r="J935" s="1" t="s">
        <v>3951</v>
      </c>
    </row>
    <row r="936" spans="1:10" x14ac:dyDescent="0.35">
      <c r="A936" s="1" t="s">
        <v>1673</v>
      </c>
      <c r="B936" s="1" t="s">
        <v>1209</v>
      </c>
      <c r="C936" s="1" t="s">
        <v>1210</v>
      </c>
      <c r="D936" s="2">
        <v>46177</v>
      </c>
      <c r="E936">
        <v>3.3570699906117399E-2</v>
      </c>
      <c r="F936" s="2">
        <v>46177.771726817133</v>
      </c>
      <c r="G936" s="1" t="s">
        <v>1211</v>
      </c>
      <c r="H936" s="2">
        <v>46177.771726817133</v>
      </c>
      <c r="I936" s="1" t="s">
        <v>1211</v>
      </c>
      <c r="J936" s="1" t="s">
        <v>3952</v>
      </c>
    </row>
    <row r="937" spans="1:10" x14ac:dyDescent="0.35">
      <c r="A937" s="1" t="s">
        <v>1674</v>
      </c>
      <c r="B937" s="1" t="s">
        <v>1209</v>
      </c>
      <c r="C937" s="1" t="s">
        <v>1210</v>
      </c>
      <c r="D937" s="2">
        <v>46177</v>
      </c>
      <c r="E937">
        <v>3.8260253457726899E-2</v>
      </c>
      <c r="F937" s="2">
        <v>46177.77167199074</v>
      </c>
      <c r="G937" s="1" t="s">
        <v>1211</v>
      </c>
      <c r="H937" s="2">
        <v>46177.771672071758</v>
      </c>
      <c r="I937" s="1" t="s">
        <v>1211</v>
      </c>
      <c r="J937" s="1" t="s">
        <v>3953</v>
      </c>
    </row>
    <row r="938" spans="1:10" x14ac:dyDescent="0.35">
      <c r="A938" s="1" t="s">
        <v>1675</v>
      </c>
      <c r="B938" s="1" t="s">
        <v>1209</v>
      </c>
      <c r="C938" s="1" t="s">
        <v>1210</v>
      </c>
      <c r="D938" s="2">
        <v>46177</v>
      </c>
      <c r="E938">
        <v>3.3994470697191401E-2</v>
      </c>
      <c r="F938" s="2">
        <v>46177.77169603009</v>
      </c>
      <c r="G938" s="1" t="s">
        <v>1211</v>
      </c>
      <c r="H938" s="2">
        <v>46177.771695949072</v>
      </c>
      <c r="I938" s="1" t="s">
        <v>1211</v>
      </c>
      <c r="J938" s="1" t="s">
        <v>3954</v>
      </c>
    </row>
    <row r="939" spans="1:10" x14ac:dyDescent="0.35">
      <c r="A939" s="1" t="s">
        <v>1676</v>
      </c>
      <c r="B939" s="1" t="s">
        <v>1209</v>
      </c>
      <c r="C939" s="1" t="s">
        <v>1210</v>
      </c>
      <c r="D939" s="2">
        <v>46177</v>
      </c>
      <c r="E939">
        <v>3.1332029533084602E-2</v>
      </c>
      <c r="F939" s="2">
        <v>46177.771714351853</v>
      </c>
      <c r="G939" s="1" t="s">
        <v>1211</v>
      </c>
      <c r="H939" s="2">
        <v>46177.771714270835</v>
      </c>
      <c r="I939" s="1" t="s">
        <v>1211</v>
      </c>
      <c r="J939" s="1" t="s">
        <v>3955</v>
      </c>
    </row>
    <row r="940" spans="1:10" x14ac:dyDescent="0.35">
      <c r="A940" s="1" t="s">
        <v>1677</v>
      </c>
      <c r="B940" s="1" t="s">
        <v>1209</v>
      </c>
      <c r="C940" s="1" t="s">
        <v>1210</v>
      </c>
      <c r="D940" s="2">
        <v>46177</v>
      </c>
      <c r="E940">
        <v>2.7908162011158599E-2</v>
      </c>
      <c r="F940" s="2">
        <v>46177.771683182873</v>
      </c>
      <c r="G940" s="1" t="s">
        <v>1211</v>
      </c>
      <c r="H940" s="2">
        <v>46177.771683136576</v>
      </c>
      <c r="I940" s="1" t="s">
        <v>1211</v>
      </c>
      <c r="J940" s="1" t="s">
        <v>3956</v>
      </c>
    </row>
    <row r="941" spans="1:10" x14ac:dyDescent="0.35">
      <c r="A941" s="1" t="s">
        <v>1678</v>
      </c>
      <c r="B941" s="1" t="s">
        <v>1209</v>
      </c>
      <c r="C941" s="1" t="s">
        <v>1210</v>
      </c>
      <c r="D941" s="2">
        <v>46177</v>
      </c>
      <c r="E941">
        <v>3.4494864029167099E-2</v>
      </c>
      <c r="F941" s="2">
        <v>46177.771681365739</v>
      </c>
      <c r="G941" s="1" t="s">
        <v>1211</v>
      </c>
      <c r="H941" s="2">
        <v>46177.771681446757</v>
      </c>
      <c r="I941" s="1" t="s">
        <v>1211</v>
      </c>
      <c r="J941" s="1" t="s">
        <v>3957</v>
      </c>
    </row>
    <row r="942" spans="1:10" x14ac:dyDescent="0.35">
      <c r="A942" s="1" t="s">
        <v>1679</v>
      </c>
      <c r="B942" s="1" t="s">
        <v>1209</v>
      </c>
      <c r="C942" s="1" t="s">
        <v>1210</v>
      </c>
      <c r="D942" s="2">
        <v>46177</v>
      </c>
      <c r="E942">
        <v>2.9444825868939099E-2</v>
      </c>
      <c r="F942" s="2">
        <v>46177.771715590279</v>
      </c>
      <c r="G942" s="1" t="s">
        <v>1211</v>
      </c>
      <c r="H942" s="2">
        <v>46177.771715509261</v>
      </c>
      <c r="I942" s="1" t="s">
        <v>1211</v>
      </c>
      <c r="J942" s="1" t="s">
        <v>3952</v>
      </c>
    </row>
    <row r="943" spans="1:10" x14ac:dyDescent="0.35">
      <c r="A943" s="1" t="s">
        <v>1680</v>
      </c>
      <c r="B943" s="1" t="s">
        <v>1209</v>
      </c>
      <c r="C943" s="1" t="s">
        <v>1210</v>
      </c>
      <c r="D943" s="2">
        <v>46177</v>
      </c>
      <c r="E943">
        <v>4.1954249882941601E-2</v>
      </c>
      <c r="F943" s="2">
        <v>46177.771743831021</v>
      </c>
      <c r="G943" s="1" t="s">
        <v>1211</v>
      </c>
      <c r="H943" s="2">
        <v>46177.771743865742</v>
      </c>
      <c r="I943" s="1" t="s">
        <v>1211</v>
      </c>
      <c r="J943" s="1" t="s">
        <v>3958</v>
      </c>
    </row>
    <row r="944" spans="1:10" x14ac:dyDescent="0.35">
      <c r="A944" s="1" t="s">
        <v>1681</v>
      </c>
      <c r="B944" s="1" t="s">
        <v>1209</v>
      </c>
      <c r="C944" s="1" t="s">
        <v>1210</v>
      </c>
      <c r="D944" s="2">
        <v>46177</v>
      </c>
      <c r="E944">
        <v>3.0144225327611698E-2</v>
      </c>
      <c r="F944" s="2">
        <v>46177.771717476855</v>
      </c>
      <c r="G944" s="1" t="s">
        <v>1211</v>
      </c>
      <c r="H944" s="2">
        <v>46177.771717511576</v>
      </c>
      <c r="I944" s="1" t="s">
        <v>1211</v>
      </c>
      <c r="J944" s="1" t="s">
        <v>3959</v>
      </c>
    </row>
    <row r="945" spans="1:10" x14ac:dyDescent="0.35">
      <c r="A945" s="1" t="s">
        <v>1682</v>
      </c>
      <c r="B945" s="1" t="s">
        <v>1209</v>
      </c>
      <c r="C945" s="1" t="s">
        <v>1210</v>
      </c>
      <c r="D945" s="2">
        <v>46177</v>
      </c>
      <c r="E945">
        <v>3.44580525647687E-2</v>
      </c>
      <c r="F945" s="2">
        <v>46177.77172167824</v>
      </c>
      <c r="G945" s="1" t="s">
        <v>1211</v>
      </c>
      <c r="H945" s="2">
        <v>46177.77172167824</v>
      </c>
      <c r="I945" s="1" t="s">
        <v>1211</v>
      </c>
      <c r="J945" s="1" t="s">
        <v>3960</v>
      </c>
    </row>
    <row r="946" spans="1:10" x14ac:dyDescent="0.35">
      <c r="A946" s="1" t="s">
        <v>1683</v>
      </c>
      <c r="B946" s="1" t="s">
        <v>1209</v>
      </c>
      <c r="C946" s="1" t="s">
        <v>1210</v>
      </c>
      <c r="D946" s="2">
        <v>46177</v>
      </c>
      <c r="E946">
        <v>3.2098691017718797E-2</v>
      </c>
      <c r="F946" s="2">
        <v>46177.771665162036</v>
      </c>
      <c r="G946" s="1" t="s">
        <v>1211</v>
      </c>
      <c r="H946" s="2">
        <v>46177.771665277774</v>
      </c>
      <c r="I946" s="1" t="s">
        <v>1211</v>
      </c>
      <c r="J946" s="1" t="s">
        <v>3961</v>
      </c>
    </row>
    <row r="947" spans="1:10" x14ac:dyDescent="0.35">
      <c r="A947" s="1" t="s">
        <v>1684</v>
      </c>
      <c r="B947" s="1" t="s">
        <v>1209</v>
      </c>
      <c r="C947" s="1" t="s">
        <v>1210</v>
      </c>
      <c r="D947" s="2">
        <v>46177</v>
      </c>
      <c r="E947">
        <v>3.6054152296082997E-2</v>
      </c>
      <c r="F947" s="2">
        <v>46177.771735069444</v>
      </c>
      <c r="G947" s="1" t="s">
        <v>1211</v>
      </c>
      <c r="H947" s="2">
        <v>46177.771735104165</v>
      </c>
      <c r="I947" s="1" t="s">
        <v>1211</v>
      </c>
      <c r="J947" s="1" t="s">
        <v>3962</v>
      </c>
    </row>
    <row r="948" spans="1:10" x14ac:dyDescent="0.35">
      <c r="A948" s="1" t="s">
        <v>1685</v>
      </c>
      <c r="B948" s="1" t="s">
        <v>1209</v>
      </c>
      <c r="C948" s="1" t="s">
        <v>1210</v>
      </c>
      <c r="D948" s="2">
        <v>46177</v>
      </c>
      <c r="E948">
        <v>2.38433680678731E-2</v>
      </c>
      <c r="F948" s="2">
        <v>46177.771683645835</v>
      </c>
      <c r="G948" s="1" t="s">
        <v>1211</v>
      </c>
      <c r="H948" s="2">
        <v>46177.771683680556</v>
      </c>
      <c r="I948" s="1" t="s">
        <v>1211</v>
      </c>
      <c r="J948" s="1" t="s">
        <v>3963</v>
      </c>
    </row>
    <row r="949" spans="1:10" x14ac:dyDescent="0.35">
      <c r="A949" s="1" t="s">
        <v>1686</v>
      </c>
      <c r="B949" s="1" t="s">
        <v>1209</v>
      </c>
      <c r="C949" s="1" t="s">
        <v>1210</v>
      </c>
      <c r="D949" s="2">
        <v>46177</v>
      </c>
      <c r="E949">
        <v>3.0256613365180499E-2</v>
      </c>
      <c r="F949" s="2">
        <v>46177.771746412036</v>
      </c>
      <c r="G949" s="1" t="s">
        <v>1211</v>
      </c>
      <c r="H949" s="2">
        <v>46177.771746412036</v>
      </c>
      <c r="I949" s="1" t="s">
        <v>1211</v>
      </c>
      <c r="J949" s="1" t="s">
        <v>3964</v>
      </c>
    </row>
    <row r="950" spans="1:10" x14ac:dyDescent="0.35">
      <c r="A950" s="1" t="s">
        <v>1687</v>
      </c>
      <c r="B950" s="1" t="s">
        <v>1209</v>
      </c>
      <c r="C950" s="1" t="s">
        <v>1210</v>
      </c>
      <c r="D950" s="2">
        <v>46177</v>
      </c>
      <c r="E950">
        <v>3.8406132319927698E-2</v>
      </c>
      <c r="F950" s="2">
        <v>46177.771684571759</v>
      </c>
      <c r="G950" s="1" t="s">
        <v>1211</v>
      </c>
      <c r="H950" s="2">
        <v>46177.771684571759</v>
      </c>
      <c r="I950" s="1" t="s">
        <v>1211</v>
      </c>
      <c r="J950" s="1" t="s">
        <v>3965</v>
      </c>
    </row>
    <row r="951" spans="1:10" x14ac:dyDescent="0.35">
      <c r="A951" s="1" t="s">
        <v>1688</v>
      </c>
      <c r="B951" s="1" t="s">
        <v>1209</v>
      </c>
      <c r="C951" s="1" t="s">
        <v>1210</v>
      </c>
      <c r="D951" s="2">
        <v>46177</v>
      </c>
      <c r="E951">
        <v>4.0085782876446201E-2</v>
      </c>
      <c r="F951" s="2">
        <v>46177.771707754633</v>
      </c>
      <c r="G951" s="1" t="s">
        <v>1211</v>
      </c>
      <c r="H951" s="2">
        <v>46177.771707673608</v>
      </c>
      <c r="I951" s="1" t="s">
        <v>1211</v>
      </c>
      <c r="J951" s="1" t="s">
        <v>3966</v>
      </c>
    </row>
    <row r="952" spans="1:10" x14ac:dyDescent="0.35">
      <c r="A952" s="1" t="s">
        <v>1689</v>
      </c>
      <c r="B952" s="1" t="s">
        <v>1209</v>
      </c>
      <c r="C952" s="1" t="s">
        <v>1210</v>
      </c>
      <c r="D952" s="2">
        <v>46177</v>
      </c>
      <c r="E952">
        <v>2.7051529903346899E-2</v>
      </c>
      <c r="F952" s="2">
        <v>46177.771733796297</v>
      </c>
      <c r="G952" s="1" t="s">
        <v>1211</v>
      </c>
      <c r="H952" s="2">
        <v>46177.771733831018</v>
      </c>
      <c r="I952" s="1" t="s">
        <v>1211</v>
      </c>
      <c r="J952" s="1" t="s">
        <v>3967</v>
      </c>
    </row>
    <row r="953" spans="1:10" x14ac:dyDescent="0.35">
      <c r="A953" s="1" t="s">
        <v>1690</v>
      </c>
      <c r="B953" s="1" t="s">
        <v>1209</v>
      </c>
      <c r="C953" s="1" t="s">
        <v>1210</v>
      </c>
      <c r="D953" s="2">
        <v>46177</v>
      </c>
      <c r="E953">
        <v>4.1104965288744702E-2</v>
      </c>
      <c r="F953" s="2">
        <v>46177.771671064816</v>
      </c>
      <c r="G953" s="1" t="s">
        <v>1211</v>
      </c>
      <c r="H953" s="2">
        <v>46177.771671145834</v>
      </c>
      <c r="I953" s="1" t="s">
        <v>1211</v>
      </c>
      <c r="J953" s="1" t="s">
        <v>3968</v>
      </c>
    </row>
    <row r="954" spans="1:10" x14ac:dyDescent="0.35">
      <c r="A954" s="1" t="s">
        <v>1691</v>
      </c>
      <c r="B954" s="1" t="s">
        <v>1209</v>
      </c>
      <c r="C954" s="1" t="s">
        <v>1210</v>
      </c>
      <c r="D954" s="2">
        <v>46177</v>
      </c>
      <c r="E954">
        <v>3.8509360433449297E-2</v>
      </c>
      <c r="F954" s="2">
        <v>46177.771732094909</v>
      </c>
      <c r="G954" s="1" t="s">
        <v>1211</v>
      </c>
      <c r="H954" s="2">
        <v>46177.771732210647</v>
      </c>
      <c r="I954" s="1" t="s">
        <v>1211</v>
      </c>
      <c r="J954" s="1" t="s">
        <v>3969</v>
      </c>
    </row>
    <row r="955" spans="1:10" x14ac:dyDescent="0.35">
      <c r="A955" s="1" t="s">
        <v>1692</v>
      </c>
      <c r="B955" s="1" t="s">
        <v>1209</v>
      </c>
      <c r="C955" s="1" t="s">
        <v>1210</v>
      </c>
      <c r="D955" s="2">
        <v>46177</v>
      </c>
      <c r="E955">
        <v>3.0782298172201201E-2</v>
      </c>
      <c r="F955" s="2">
        <v>46177.7717303588</v>
      </c>
      <c r="G955" s="1" t="s">
        <v>1211</v>
      </c>
      <c r="H955" s="2">
        <v>46177.771730405089</v>
      </c>
      <c r="I955" s="1" t="s">
        <v>1211</v>
      </c>
      <c r="J955" s="1" t="s">
        <v>3970</v>
      </c>
    </row>
    <row r="956" spans="1:10" x14ac:dyDescent="0.35">
      <c r="A956" s="1" t="s">
        <v>1693</v>
      </c>
      <c r="B956" s="1" t="s">
        <v>1209</v>
      </c>
      <c r="C956" s="1" t="s">
        <v>1210</v>
      </c>
      <c r="D956" s="2">
        <v>46177</v>
      </c>
      <c r="E956">
        <v>4.1166823811859599E-2</v>
      </c>
      <c r="F956" s="2">
        <v>46177.771682754632</v>
      </c>
      <c r="G956" s="1" t="s">
        <v>1211</v>
      </c>
      <c r="H956" s="2">
        <v>46177.771682789353</v>
      </c>
      <c r="I956" s="1" t="s">
        <v>1211</v>
      </c>
      <c r="J956" s="1" t="s">
        <v>3971</v>
      </c>
    </row>
    <row r="957" spans="1:10" x14ac:dyDescent="0.35">
      <c r="A957" s="1" t="s">
        <v>1694</v>
      </c>
      <c r="B957" s="1" t="s">
        <v>1209</v>
      </c>
      <c r="C957" s="1" t="s">
        <v>1210</v>
      </c>
      <c r="D957" s="2">
        <v>46177</v>
      </c>
      <c r="E957">
        <v>3.9096179719397099E-2</v>
      </c>
      <c r="F957" s="2">
        <v>46177.771651620373</v>
      </c>
      <c r="G957" s="1" t="s">
        <v>1211</v>
      </c>
      <c r="H957" s="2">
        <v>46177.771651620373</v>
      </c>
      <c r="I957" s="1" t="s">
        <v>1211</v>
      </c>
      <c r="J957" s="1" t="s">
        <v>3972</v>
      </c>
    </row>
    <row r="958" spans="1:10" x14ac:dyDescent="0.35">
      <c r="A958" s="1" t="s">
        <v>1695</v>
      </c>
      <c r="B958" s="1" t="s">
        <v>1209</v>
      </c>
      <c r="C958" s="1" t="s">
        <v>1210</v>
      </c>
      <c r="D958" s="2">
        <v>46177</v>
      </c>
      <c r="E958">
        <v>2.78181179537162E-2</v>
      </c>
      <c r="F958" s="2">
        <v>46177.77170798611</v>
      </c>
      <c r="G958" s="1" t="s">
        <v>1211</v>
      </c>
      <c r="H958" s="2">
        <v>46177.771707870372</v>
      </c>
      <c r="I958" s="1" t="s">
        <v>1211</v>
      </c>
      <c r="J958" s="1" t="s">
        <v>3973</v>
      </c>
    </row>
    <row r="959" spans="1:10" x14ac:dyDescent="0.35">
      <c r="A959" s="1" t="s">
        <v>1696</v>
      </c>
      <c r="B959" s="1" t="s">
        <v>1209</v>
      </c>
      <c r="C959" s="1" t="s">
        <v>1210</v>
      </c>
      <c r="D959" s="2">
        <v>46177</v>
      </c>
      <c r="E959">
        <v>3.2397506403677001E-2</v>
      </c>
      <c r="F959" s="2">
        <v>46177.771741354169</v>
      </c>
      <c r="G959" s="1" t="s">
        <v>1211</v>
      </c>
      <c r="H959" s="2">
        <v>46177.771741319448</v>
      </c>
      <c r="I959" s="1" t="s">
        <v>1211</v>
      </c>
      <c r="J959" s="1" t="s">
        <v>3974</v>
      </c>
    </row>
    <row r="960" spans="1:10" x14ac:dyDescent="0.35">
      <c r="A960" s="1" t="s">
        <v>1697</v>
      </c>
      <c r="B960" s="1" t="s">
        <v>1209</v>
      </c>
      <c r="C960" s="1" t="s">
        <v>1210</v>
      </c>
      <c r="D960" s="2">
        <v>46177</v>
      </c>
      <c r="E960">
        <v>4.0661991575995003E-2</v>
      </c>
      <c r="F960" s="2">
        <v>46177.771683796294</v>
      </c>
      <c r="G960" s="1" t="s">
        <v>1211</v>
      </c>
      <c r="H960" s="2">
        <v>46177.771683877312</v>
      </c>
      <c r="I960" s="1" t="s">
        <v>1211</v>
      </c>
      <c r="J960" s="1" t="s">
        <v>3975</v>
      </c>
    </row>
    <row r="961" spans="1:10" x14ac:dyDescent="0.35">
      <c r="A961" s="1" t="s">
        <v>1698</v>
      </c>
      <c r="B961" s="1" t="s">
        <v>1209</v>
      </c>
      <c r="C961" s="1" t="s">
        <v>1210</v>
      </c>
      <c r="D961" s="2">
        <v>46177</v>
      </c>
      <c r="E961">
        <v>2.7362402581378498E-2</v>
      </c>
      <c r="F961" s="2">
        <v>46177.771749571759</v>
      </c>
      <c r="G961" s="1" t="s">
        <v>1211</v>
      </c>
      <c r="H961" s="2">
        <v>46177.771749537038</v>
      </c>
      <c r="I961" s="1" t="s">
        <v>1211</v>
      </c>
      <c r="J961" s="1" t="s">
        <v>3976</v>
      </c>
    </row>
    <row r="962" spans="1:10" x14ac:dyDescent="0.35">
      <c r="A962" s="1" t="s">
        <v>1699</v>
      </c>
      <c r="B962" s="1" t="s">
        <v>1209</v>
      </c>
      <c r="C962" s="1" t="s">
        <v>1210</v>
      </c>
      <c r="D962" s="2">
        <v>46177</v>
      </c>
      <c r="E962">
        <v>4.1219278686157101E-2</v>
      </c>
      <c r="F962" s="2">
        <v>46177.771667013891</v>
      </c>
      <c r="G962" s="1" t="s">
        <v>1211</v>
      </c>
      <c r="H962" s="2">
        <v>46177.771667129629</v>
      </c>
      <c r="I962" s="1" t="s">
        <v>1211</v>
      </c>
      <c r="J962" s="1" t="s">
        <v>3977</v>
      </c>
    </row>
    <row r="963" spans="1:10" x14ac:dyDescent="0.35">
      <c r="A963" s="1" t="s">
        <v>1700</v>
      </c>
      <c r="B963" s="1" t="s">
        <v>1209</v>
      </c>
      <c r="C963" s="1" t="s">
        <v>1210</v>
      </c>
      <c r="D963" s="2">
        <v>46177</v>
      </c>
      <c r="E963">
        <v>2.83544416901482E-2</v>
      </c>
      <c r="F963" s="2">
        <v>46177.771688576388</v>
      </c>
      <c r="G963" s="1" t="s">
        <v>1211</v>
      </c>
      <c r="H963" s="2">
        <v>46177.771688576388</v>
      </c>
      <c r="I963" s="1" t="s">
        <v>1211</v>
      </c>
      <c r="J963" s="1" t="s">
        <v>3978</v>
      </c>
    </row>
    <row r="964" spans="1:10" x14ac:dyDescent="0.35">
      <c r="A964" s="1" t="s">
        <v>1701</v>
      </c>
      <c r="B964" s="1" t="s">
        <v>1209</v>
      </c>
      <c r="C964" s="1" t="s">
        <v>1210</v>
      </c>
      <c r="D964" s="2">
        <v>46177</v>
      </c>
      <c r="E964">
        <v>2.9280557281692099E-2</v>
      </c>
      <c r="F964" s="2">
        <v>46177.771671840281</v>
      </c>
      <c r="G964" s="1" t="s">
        <v>1211</v>
      </c>
      <c r="H964" s="2">
        <v>46177.771671875002</v>
      </c>
      <c r="I964" s="1" t="s">
        <v>1211</v>
      </c>
      <c r="J964" s="1" t="s">
        <v>3979</v>
      </c>
    </row>
    <row r="965" spans="1:10" x14ac:dyDescent="0.35">
      <c r="A965" s="1" t="s">
        <v>1702</v>
      </c>
      <c r="B965" s="1" t="s">
        <v>1209</v>
      </c>
      <c r="C965" s="1" t="s">
        <v>1210</v>
      </c>
      <c r="D965" s="2">
        <v>46177</v>
      </c>
      <c r="E965">
        <v>3.7769783232185203E-2</v>
      </c>
      <c r="F965" s="2">
        <v>46177.77167091435</v>
      </c>
      <c r="G965" s="1" t="s">
        <v>1211</v>
      </c>
      <c r="H965" s="2">
        <v>46177.771670949071</v>
      </c>
      <c r="I965" s="1" t="s">
        <v>1211</v>
      </c>
      <c r="J965" s="1" t="s">
        <v>3980</v>
      </c>
    </row>
    <row r="966" spans="1:10" x14ac:dyDescent="0.35">
      <c r="A966" s="1" t="s">
        <v>1703</v>
      </c>
      <c r="B966" s="1" t="s">
        <v>1209</v>
      </c>
      <c r="C966" s="1" t="s">
        <v>1210</v>
      </c>
      <c r="D966" s="2">
        <v>46177</v>
      </c>
      <c r="E966">
        <v>2.1675266656770699E-2</v>
      </c>
      <c r="F966" s="2">
        <v>46177.771676736113</v>
      </c>
      <c r="G966" s="1" t="s">
        <v>1211</v>
      </c>
      <c r="H966" s="2">
        <v>46177.771676736113</v>
      </c>
      <c r="I966" s="1" t="s">
        <v>1211</v>
      </c>
      <c r="J966" s="1" t="s">
        <v>3981</v>
      </c>
    </row>
    <row r="967" spans="1:10" x14ac:dyDescent="0.35">
      <c r="A967" s="1" t="s">
        <v>1704</v>
      </c>
      <c r="B967" s="1" t="s">
        <v>1209</v>
      </c>
      <c r="C967" s="1" t="s">
        <v>1210</v>
      </c>
      <c r="D967" s="2">
        <v>46177</v>
      </c>
      <c r="E967">
        <v>4.0424796758737502E-2</v>
      </c>
      <c r="F967" s="2">
        <v>46177.771735219911</v>
      </c>
      <c r="G967" s="1" t="s">
        <v>1211</v>
      </c>
      <c r="H967" s="2">
        <v>46177.771735300928</v>
      </c>
      <c r="I967" s="1" t="s">
        <v>1211</v>
      </c>
      <c r="J967" s="1" t="s">
        <v>3982</v>
      </c>
    </row>
    <row r="968" spans="1:10" x14ac:dyDescent="0.35">
      <c r="A968" s="1" t="s">
        <v>1705</v>
      </c>
      <c r="B968" s="1" t="s">
        <v>1209</v>
      </c>
      <c r="C968" s="1" t="s">
        <v>1210</v>
      </c>
      <c r="D968" s="2">
        <v>46177</v>
      </c>
      <c r="E968">
        <v>2.7708486752801301E-2</v>
      </c>
      <c r="F968" s="2">
        <v>46177.771698379627</v>
      </c>
      <c r="G968" s="1" t="s">
        <v>1211</v>
      </c>
      <c r="H968" s="2">
        <v>46177.771698298609</v>
      </c>
      <c r="I968" s="1" t="s">
        <v>1211</v>
      </c>
      <c r="J968" s="1" t="s">
        <v>3983</v>
      </c>
    </row>
    <row r="969" spans="1:10" x14ac:dyDescent="0.35">
      <c r="A969" s="1" t="s">
        <v>1706</v>
      </c>
      <c r="B969" s="1" t="s">
        <v>1209</v>
      </c>
      <c r="C969" s="1" t="s">
        <v>1210</v>
      </c>
      <c r="D969" s="2">
        <v>46177</v>
      </c>
      <c r="E969">
        <v>2.8292419018829E-2</v>
      </c>
      <c r="F969" s="2">
        <v>46177.771725729166</v>
      </c>
      <c r="G969" s="1" t="s">
        <v>1211</v>
      </c>
      <c r="H969" s="2">
        <v>46177.771725694445</v>
      </c>
      <c r="I969" s="1" t="s">
        <v>1211</v>
      </c>
      <c r="J969" s="1" t="s">
        <v>3984</v>
      </c>
    </row>
    <row r="970" spans="1:10" x14ac:dyDescent="0.35">
      <c r="A970" s="1" t="s">
        <v>1707</v>
      </c>
      <c r="B970" s="1" t="s">
        <v>1209</v>
      </c>
      <c r="C970" s="1" t="s">
        <v>1210</v>
      </c>
      <c r="D970" s="2">
        <v>46177</v>
      </c>
      <c r="E970">
        <v>2.98781046101225E-2</v>
      </c>
      <c r="F970" s="2">
        <v>46177.771701388891</v>
      </c>
      <c r="G970" s="1" t="s">
        <v>1211</v>
      </c>
      <c r="H970" s="2">
        <v>46177.771701388891</v>
      </c>
      <c r="I970" s="1" t="s">
        <v>1211</v>
      </c>
      <c r="J970" s="1" t="s">
        <v>3985</v>
      </c>
    </row>
    <row r="971" spans="1:10" x14ac:dyDescent="0.35">
      <c r="A971" s="1" t="s">
        <v>1708</v>
      </c>
      <c r="B971" s="1" t="s">
        <v>1209</v>
      </c>
      <c r="C971" s="1" t="s">
        <v>1210</v>
      </c>
      <c r="D971" s="2">
        <v>46177</v>
      </c>
      <c r="E971">
        <v>2.90000712160885E-2</v>
      </c>
      <c r="F971" s="2">
        <v>46177.771670138885</v>
      </c>
      <c r="G971" s="1" t="s">
        <v>1211</v>
      </c>
      <c r="H971" s="2">
        <v>46177.771670254631</v>
      </c>
      <c r="I971" s="1" t="s">
        <v>1211</v>
      </c>
      <c r="J971" s="1" t="s">
        <v>3986</v>
      </c>
    </row>
    <row r="972" spans="1:10" x14ac:dyDescent="0.35">
      <c r="A972" s="1" t="s">
        <v>1709</v>
      </c>
      <c r="B972" s="1" t="s">
        <v>1209</v>
      </c>
      <c r="C972" s="1" t="s">
        <v>1210</v>
      </c>
      <c r="D972" s="2">
        <v>46177</v>
      </c>
      <c r="E972">
        <v>3.6871656539445602E-2</v>
      </c>
      <c r="F972" s="2">
        <v>46177.771678703706</v>
      </c>
      <c r="G972" s="1" t="s">
        <v>1211</v>
      </c>
      <c r="H972" s="2">
        <v>46177.771678784724</v>
      </c>
      <c r="I972" s="1" t="s">
        <v>1211</v>
      </c>
      <c r="J972" s="1" t="s">
        <v>3987</v>
      </c>
    </row>
    <row r="973" spans="1:10" x14ac:dyDescent="0.35">
      <c r="A973" s="1" t="s">
        <v>1710</v>
      </c>
      <c r="B973" s="1" t="s">
        <v>1209</v>
      </c>
      <c r="C973" s="1" t="s">
        <v>1210</v>
      </c>
      <c r="D973" s="2">
        <v>46177</v>
      </c>
      <c r="E973">
        <v>3.3414647948805699E-2</v>
      </c>
      <c r="F973" s="2">
        <v>46177.771690127316</v>
      </c>
      <c r="G973" s="1" t="s">
        <v>1211</v>
      </c>
      <c r="H973" s="2">
        <v>46177.771690046298</v>
      </c>
      <c r="I973" s="1" t="s">
        <v>1211</v>
      </c>
      <c r="J973" s="1" t="s">
        <v>3988</v>
      </c>
    </row>
    <row r="974" spans="1:10" x14ac:dyDescent="0.35">
      <c r="A974" s="1" t="s">
        <v>1711</v>
      </c>
      <c r="B974" s="1" t="s">
        <v>1209</v>
      </c>
      <c r="C974" s="1" t="s">
        <v>1210</v>
      </c>
      <c r="D974" s="2">
        <v>46177</v>
      </c>
      <c r="E974">
        <v>3.9605312756053099E-2</v>
      </c>
      <c r="F974" s="2">
        <v>46177.77169760417</v>
      </c>
      <c r="G974" s="1" t="s">
        <v>1211</v>
      </c>
      <c r="H974" s="2">
        <v>46177.77169760417</v>
      </c>
      <c r="I974" s="1" t="s">
        <v>1211</v>
      </c>
      <c r="J974" s="1" t="s">
        <v>3989</v>
      </c>
    </row>
    <row r="975" spans="1:10" x14ac:dyDescent="0.35">
      <c r="A975" s="1" t="s">
        <v>1713</v>
      </c>
      <c r="B975" s="1" t="s">
        <v>1224</v>
      </c>
      <c r="C975" s="1" t="s">
        <v>1210</v>
      </c>
      <c r="D975" s="2">
        <v>46177</v>
      </c>
      <c r="E975">
        <v>96.21</v>
      </c>
      <c r="F975" s="2">
        <v>46177.771615972226</v>
      </c>
      <c r="G975" s="1" t="s">
        <v>1211</v>
      </c>
      <c r="H975" s="2">
        <v>46177.771616006947</v>
      </c>
      <c r="I975" s="1" t="s">
        <v>1211</v>
      </c>
      <c r="J975" s="1" t="s">
        <v>3051</v>
      </c>
    </row>
    <row r="976" spans="1:10" x14ac:dyDescent="0.35">
      <c r="A976" s="1" t="s">
        <v>1714</v>
      </c>
      <c r="B976" s="1" t="s">
        <v>1224</v>
      </c>
      <c r="C976" s="1" t="s">
        <v>1210</v>
      </c>
      <c r="D976" s="2">
        <v>46177</v>
      </c>
      <c r="E976">
        <v>96.174999999999997</v>
      </c>
      <c r="F976" s="2">
        <v>46177.771616122685</v>
      </c>
      <c r="G976" s="1" t="s">
        <v>1211</v>
      </c>
      <c r="H976" s="2">
        <v>46177.771616006947</v>
      </c>
      <c r="I976" s="1" t="s">
        <v>1211</v>
      </c>
      <c r="J976" s="1" t="s">
        <v>3051</v>
      </c>
    </row>
    <row r="977" spans="1:10" x14ac:dyDescent="0.35">
      <c r="A977" s="1" t="s">
        <v>1715</v>
      </c>
      <c r="B977" s="1" t="s">
        <v>1224</v>
      </c>
      <c r="C977" s="1" t="s">
        <v>1210</v>
      </c>
      <c r="D977" s="2">
        <v>46177</v>
      </c>
      <c r="E977">
        <v>96.144999999999996</v>
      </c>
      <c r="F977" s="2">
        <v>46177.771616319442</v>
      </c>
      <c r="G977" s="1" t="s">
        <v>1211</v>
      </c>
      <c r="H977" s="2">
        <v>46177.771616168982</v>
      </c>
      <c r="I977" s="1" t="s">
        <v>1211</v>
      </c>
      <c r="J977" s="1" t="s">
        <v>3051</v>
      </c>
    </row>
    <row r="978" spans="1:10" x14ac:dyDescent="0.35">
      <c r="A978" s="1" t="s">
        <v>1716</v>
      </c>
      <c r="B978" s="1" t="s">
        <v>1224</v>
      </c>
      <c r="C978" s="1" t="s">
        <v>1210</v>
      </c>
      <c r="D978" s="2">
        <v>46177</v>
      </c>
      <c r="E978">
        <v>96.11</v>
      </c>
      <c r="F978" s="2">
        <v>46177.771616469909</v>
      </c>
      <c r="G978" s="1" t="s">
        <v>1211</v>
      </c>
      <c r="H978" s="2">
        <v>46177.77161635417</v>
      </c>
      <c r="I978" s="1" t="s">
        <v>1211</v>
      </c>
      <c r="J978" s="1" t="s">
        <v>3051</v>
      </c>
    </row>
    <row r="979" spans="1:10" x14ac:dyDescent="0.35">
      <c r="A979" s="1" t="s">
        <v>1717</v>
      </c>
      <c r="B979" s="1" t="s">
        <v>1224</v>
      </c>
      <c r="C979" s="1" t="s">
        <v>1210</v>
      </c>
      <c r="D979" s="2">
        <v>46177</v>
      </c>
      <c r="E979">
        <v>96.08</v>
      </c>
      <c r="F979" s="2">
        <v>46177.771618865743</v>
      </c>
      <c r="G979" s="1" t="s">
        <v>1211</v>
      </c>
      <c r="H979" s="2">
        <v>46177.771618900464</v>
      </c>
      <c r="I979" s="1" t="s">
        <v>1211</v>
      </c>
      <c r="J979" s="1" t="s">
        <v>3051</v>
      </c>
    </row>
    <row r="980" spans="1:10" x14ac:dyDescent="0.35">
      <c r="A980" s="1" t="s">
        <v>1718</v>
      </c>
      <c r="B980" s="1" t="s">
        <v>1224</v>
      </c>
      <c r="C980" s="1" t="s">
        <v>1210</v>
      </c>
      <c r="D980" s="2">
        <v>46177</v>
      </c>
      <c r="E980">
        <v>96.382499999999993</v>
      </c>
      <c r="F980" s="2">
        <v>46177.771619016203</v>
      </c>
      <c r="G980" s="1" t="s">
        <v>1211</v>
      </c>
      <c r="H980" s="2">
        <v>46177.7716190625</v>
      </c>
      <c r="I980" s="1" t="s">
        <v>1211</v>
      </c>
      <c r="J980" s="1" t="s">
        <v>3051</v>
      </c>
    </row>
    <row r="981" spans="1:10" x14ac:dyDescent="0.35">
      <c r="A981" s="1" t="s">
        <v>1719</v>
      </c>
      <c r="B981" s="1" t="s">
        <v>1224</v>
      </c>
      <c r="C981" s="1" t="s">
        <v>1210</v>
      </c>
      <c r="D981" s="2">
        <v>46177</v>
      </c>
      <c r="E981">
        <v>96.075000000000003</v>
      </c>
      <c r="F981" s="2">
        <v>46177.771619178238</v>
      </c>
      <c r="G981" s="1" t="s">
        <v>1211</v>
      </c>
      <c r="H981" s="2">
        <v>46177.771619247687</v>
      </c>
      <c r="I981" s="1" t="s">
        <v>1211</v>
      </c>
      <c r="J981" s="1" t="s">
        <v>3051</v>
      </c>
    </row>
    <row r="982" spans="1:10" x14ac:dyDescent="0.35">
      <c r="A982" s="1" t="s">
        <v>1720</v>
      </c>
      <c r="B982" s="1" t="s">
        <v>1224</v>
      </c>
      <c r="C982" s="1" t="s">
        <v>1210</v>
      </c>
      <c r="D982" s="2">
        <v>46177</v>
      </c>
      <c r="E982">
        <v>96.38</v>
      </c>
      <c r="F982" s="2">
        <v>46177.771619328705</v>
      </c>
      <c r="G982" s="1" t="s">
        <v>1211</v>
      </c>
      <c r="H982" s="2">
        <v>46177.771619444444</v>
      </c>
      <c r="I982" s="1" t="s">
        <v>1211</v>
      </c>
      <c r="J982" s="1" t="s">
        <v>3051</v>
      </c>
    </row>
    <row r="983" spans="1:10" x14ac:dyDescent="0.35">
      <c r="A983" s="1" t="s">
        <v>1721</v>
      </c>
      <c r="B983" s="1" t="s">
        <v>1224</v>
      </c>
      <c r="C983" s="1" t="s">
        <v>1210</v>
      </c>
      <c r="D983" s="2">
        <v>46177</v>
      </c>
      <c r="E983">
        <v>96.075000000000003</v>
      </c>
      <c r="F983" s="2">
        <v>46177.771619479165</v>
      </c>
      <c r="G983" s="1" t="s">
        <v>1211</v>
      </c>
      <c r="H983" s="2">
        <v>46177.7716196412</v>
      </c>
      <c r="I983" s="1" t="s">
        <v>1211</v>
      </c>
      <c r="J983" s="1" t="s">
        <v>3051</v>
      </c>
    </row>
    <row r="984" spans="1:10" x14ac:dyDescent="0.35">
      <c r="A984" s="1" t="s">
        <v>1722</v>
      </c>
      <c r="B984" s="1" t="s">
        <v>1224</v>
      </c>
      <c r="C984" s="1" t="s">
        <v>1210</v>
      </c>
      <c r="D984" s="2">
        <v>46177</v>
      </c>
      <c r="E984">
        <v>96.36</v>
      </c>
      <c r="F984" s="2">
        <v>46177.7716196412</v>
      </c>
      <c r="G984" s="1" t="s">
        <v>1211</v>
      </c>
      <c r="H984" s="2">
        <v>46177.771619791667</v>
      </c>
      <c r="I984" s="1" t="s">
        <v>1211</v>
      </c>
      <c r="J984" s="1" t="s">
        <v>3051</v>
      </c>
    </row>
    <row r="985" spans="1:10" x14ac:dyDescent="0.35">
      <c r="A985" s="1" t="s">
        <v>1723</v>
      </c>
      <c r="B985" s="1" t="s">
        <v>1224</v>
      </c>
      <c r="C985" s="1" t="s">
        <v>1210</v>
      </c>
      <c r="D985" s="2">
        <v>46177</v>
      </c>
      <c r="E985">
        <v>96.075000000000003</v>
      </c>
      <c r="F985" s="2">
        <v>46177.771619791667</v>
      </c>
      <c r="G985" s="1" t="s">
        <v>1211</v>
      </c>
      <c r="H985" s="2">
        <v>46177.771619791667</v>
      </c>
      <c r="I985" s="1" t="s">
        <v>1211</v>
      </c>
      <c r="J985" s="1" t="s">
        <v>3051</v>
      </c>
    </row>
    <row r="986" spans="1:10" x14ac:dyDescent="0.35">
      <c r="A986" s="1" t="s">
        <v>1724</v>
      </c>
      <c r="B986" s="1" t="s">
        <v>1224</v>
      </c>
      <c r="C986" s="1" t="s">
        <v>1210</v>
      </c>
      <c r="D986" s="2">
        <v>46177</v>
      </c>
      <c r="E986">
        <v>96.334999999999994</v>
      </c>
      <c r="F986" s="2">
        <v>46177.771631018521</v>
      </c>
      <c r="G986" s="1" t="s">
        <v>1211</v>
      </c>
      <c r="H986" s="2">
        <v>46177.7716309838</v>
      </c>
      <c r="I986" s="1" t="s">
        <v>1211</v>
      </c>
      <c r="J986" s="1" t="s">
        <v>3051</v>
      </c>
    </row>
    <row r="987" spans="1:10" x14ac:dyDescent="0.35">
      <c r="A987" s="1" t="s">
        <v>3990</v>
      </c>
      <c r="B987" s="1" t="s">
        <v>1224</v>
      </c>
      <c r="C987" s="1" t="s">
        <v>1210</v>
      </c>
      <c r="D987" s="2">
        <v>46177</v>
      </c>
      <c r="E987">
        <v>96.094999999999999</v>
      </c>
      <c r="F987" s="2">
        <v>46177.771631134259</v>
      </c>
      <c r="G987" s="1" t="s">
        <v>1211</v>
      </c>
      <c r="H987" s="2">
        <v>46177.7716309838</v>
      </c>
      <c r="I987" s="1" t="s">
        <v>1211</v>
      </c>
      <c r="J987" s="1" t="s">
        <v>3051</v>
      </c>
    </row>
    <row r="988" spans="1:10" x14ac:dyDescent="0.35">
      <c r="A988" s="1" t="s">
        <v>1725</v>
      </c>
      <c r="B988" s="1" t="s">
        <v>1224</v>
      </c>
      <c r="C988" s="1" t="s">
        <v>1210</v>
      </c>
      <c r="D988" s="2">
        <v>46177</v>
      </c>
      <c r="E988">
        <v>96.31</v>
      </c>
      <c r="F988" s="2">
        <v>46177.771631331016</v>
      </c>
      <c r="G988" s="1" t="s">
        <v>1211</v>
      </c>
      <c r="H988" s="2">
        <v>46177.77163116898</v>
      </c>
      <c r="I988" s="1" t="s">
        <v>1211</v>
      </c>
      <c r="J988" s="1" t="s">
        <v>3051</v>
      </c>
    </row>
    <row r="989" spans="1:10" x14ac:dyDescent="0.35">
      <c r="A989" s="1" t="s">
        <v>1726</v>
      </c>
      <c r="B989" s="1" t="s">
        <v>1224</v>
      </c>
      <c r="C989" s="1" t="s">
        <v>1210</v>
      </c>
      <c r="D989" s="2">
        <v>46177</v>
      </c>
      <c r="E989">
        <v>96.28</v>
      </c>
      <c r="F989" s="2">
        <v>46177.771631481482</v>
      </c>
      <c r="G989" s="1" t="s">
        <v>1211</v>
      </c>
      <c r="H989" s="2">
        <v>46177.771631365744</v>
      </c>
      <c r="I989" s="1" t="s">
        <v>1211</v>
      </c>
      <c r="J989" s="1" t="s">
        <v>3051</v>
      </c>
    </row>
    <row r="990" spans="1:10" x14ac:dyDescent="0.35">
      <c r="A990" s="1" t="s">
        <v>1727</v>
      </c>
      <c r="B990" s="1" t="s">
        <v>1224</v>
      </c>
      <c r="C990" s="1" t="s">
        <v>1210</v>
      </c>
      <c r="D990" s="2">
        <v>46177</v>
      </c>
      <c r="E990">
        <v>96.23</v>
      </c>
      <c r="F990" s="2">
        <v>46177.771631597221</v>
      </c>
      <c r="G990" s="1" t="s">
        <v>1211</v>
      </c>
      <c r="H990" s="2">
        <v>46177.7716315625</v>
      </c>
      <c r="I990" s="1" t="s">
        <v>1211</v>
      </c>
      <c r="J990" s="1" t="s">
        <v>3051</v>
      </c>
    </row>
    <row r="991" spans="1:10" x14ac:dyDescent="0.35">
      <c r="A991" s="1" t="s">
        <v>1728</v>
      </c>
      <c r="B991" s="1" t="s">
        <v>1209</v>
      </c>
      <c r="C991" s="1" t="s">
        <v>1210</v>
      </c>
      <c r="D991" s="2">
        <v>46177</v>
      </c>
      <c r="E991">
        <v>2.69020854643367E-2</v>
      </c>
      <c r="F991" s="2">
        <v>46177.771729826389</v>
      </c>
      <c r="G991" s="1" t="s">
        <v>1211</v>
      </c>
      <c r="H991" s="2">
        <v>46177.77172986111</v>
      </c>
      <c r="I991" s="1" t="s">
        <v>1211</v>
      </c>
      <c r="J991" s="1" t="s">
        <v>3991</v>
      </c>
    </row>
    <row r="992" spans="1:10" x14ac:dyDescent="0.35">
      <c r="A992" s="1" t="s">
        <v>1729</v>
      </c>
      <c r="B992" s="1" t="s">
        <v>1209</v>
      </c>
      <c r="C992" s="1" t="s">
        <v>1210</v>
      </c>
      <c r="D992" s="2">
        <v>46177</v>
      </c>
      <c r="E992">
        <v>3.35455930295585E-2</v>
      </c>
      <c r="F992" s="2">
        <v>46177.771719293982</v>
      </c>
      <c r="G992" s="1" t="s">
        <v>1211</v>
      </c>
      <c r="H992" s="2">
        <v>46177.771719328703</v>
      </c>
      <c r="I992" s="1" t="s">
        <v>1211</v>
      </c>
      <c r="J992" s="1" t="s">
        <v>3992</v>
      </c>
    </row>
    <row r="993" spans="1:10" x14ac:dyDescent="0.35">
      <c r="A993" s="1" t="s">
        <v>1730</v>
      </c>
      <c r="B993" s="1" t="s">
        <v>1209</v>
      </c>
      <c r="C993" s="1" t="s">
        <v>1210</v>
      </c>
      <c r="D993" s="2">
        <v>46177</v>
      </c>
      <c r="E993">
        <v>3.4766916303895098E-2</v>
      </c>
      <c r="F993" s="2">
        <v>46177.77166982639</v>
      </c>
      <c r="G993" s="1" t="s">
        <v>1211</v>
      </c>
      <c r="H993" s="2">
        <v>46177.771669872687</v>
      </c>
      <c r="I993" s="1" t="s">
        <v>1211</v>
      </c>
      <c r="J993" s="1" t="s">
        <v>3993</v>
      </c>
    </row>
    <row r="994" spans="1:10" x14ac:dyDescent="0.35">
      <c r="A994" s="1" t="s">
        <v>1731</v>
      </c>
      <c r="B994" s="1" t="s">
        <v>1209</v>
      </c>
      <c r="C994" s="1" t="s">
        <v>1210</v>
      </c>
      <c r="D994" s="2">
        <v>46177</v>
      </c>
      <c r="E994">
        <v>1.2418471374785901E-2</v>
      </c>
      <c r="F994" s="2">
        <v>46177.771688425928</v>
      </c>
      <c r="G994" s="1" t="s">
        <v>1211</v>
      </c>
      <c r="H994" s="2">
        <v>46177.771688391207</v>
      </c>
      <c r="I994" s="1" t="s">
        <v>1211</v>
      </c>
      <c r="J994" s="1" t="s">
        <v>3994</v>
      </c>
    </row>
    <row r="995" spans="1:10" x14ac:dyDescent="0.35">
      <c r="A995" s="1" t="s">
        <v>1732</v>
      </c>
      <c r="B995" s="1" t="s">
        <v>1209</v>
      </c>
      <c r="C995" s="1" t="s">
        <v>1210</v>
      </c>
      <c r="D995" s="2">
        <v>46177</v>
      </c>
      <c r="E995">
        <v>3.2609907728158E-2</v>
      </c>
      <c r="F995" s="2">
        <v>46177.771671377312</v>
      </c>
      <c r="G995" s="1" t="s">
        <v>1211</v>
      </c>
      <c r="H995" s="2">
        <v>46177.771671493058</v>
      </c>
      <c r="I995" s="1" t="s">
        <v>1211</v>
      </c>
      <c r="J995" s="1" t="s">
        <v>3995</v>
      </c>
    </row>
    <row r="996" spans="1:10" x14ac:dyDescent="0.35">
      <c r="A996" s="1" t="s">
        <v>1733</v>
      </c>
      <c r="B996" s="1" t="s">
        <v>1209</v>
      </c>
      <c r="C996" s="1" t="s">
        <v>1210</v>
      </c>
      <c r="D996" s="2">
        <v>46177</v>
      </c>
      <c r="E996">
        <v>9.7006932208103195E-3</v>
      </c>
      <c r="F996" s="2">
        <v>46177.771662187501</v>
      </c>
      <c r="G996" s="1" t="s">
        <v>1211</v>
      </c>
      <c r="H996" s="2">
        <v>46177.771662187501</v>
      </c>
      <c r="I996" s="1" t="s">
        <v>1211</v>
      </c>
      <c r="J996" s="1" t="s">
        <v>3996</v>
      </c>
    </row>
    <row r="997" spans="1:10" x14ac:dyDescent="0.35">
      <c r="A997" s="1" t="s">
        <v>1734</v>
      </c>
      <c r="B997" s="1" t="s">
        <v>1209</v>
      </c>
      <c r="C997" s="1" t="s">
        <v>1210</v>
      </c>
      <c r="D997" s="2">
        <v>46177</v>
      </c>
      <c r="E997">
        <v>2.8691381919977499E-2</v>
      </c>
      <c r="F997" s="2">
        <v>46177.771672453702</v>
      </c>
      <c r="G997" s="1" t="s">
        <v>1211</v>
      </c>
      <c r="H997" s="2">
        <v>46177.771672604169</v>
      </c>
      <c r="I997" s="1" t="s">
        <v>1211</v>
      </c>
      <c r="J997" s="1" t="s">
        <v>3997</v>
      </c>
    </row>
    <row r="998" spans="1:10" x14ac:dyDescent="0.35">
      <c r="A998" s="1" t="s">
        <v>1735</v>
      </c>
      <c r="B998" s="1" t="s">
        <v>1209</v>
      </c>
      <c r="C998" s="1" t="s">
        <v>1210</v>
      </c>
      <c r="D998" s="2">
        <v>46177</v>
      </c>
      <c r="E998">
        <v>3.5749033646766203E-2</v>
      </c>
      <c r="F998" s="2">
        <v>46177.77172931713</v>
      </c>
      <c r="G998" s="1" t="s">
        <v>1211</v>
      </c>
      <c r="H998" s="2">
        <v>46177.77172931713</v>
      </c>
      <c r="I998" s="1" t="s">
        <v>1211</v>
      </c>
      <c r="J998" s="1" t="s">
        <v>3998</v>
      </c>
    </row>
    <row r="999" spans="1:10" x14ac:dyDescent="0.35">
      <c r="A999" s="1" t="s">
        <v>1736</v>
      </c>
      <c r="B999" s="1" t="s">
        <v>1209</v>
      </c>
      <c r="C999" s="1" t="s">
        <v>1210</v>
      </c>
      <c r="D999" s="2">
        <v>46177</v>
      </c>
      <c r="E999">
        <v>4.4759732888564698E-2</v>
      </c>
      <c r="F999" s="2">
        <v>46177.771721215278</v>
      </c>
      <c r="G999" s="1" t="s">
        <v>1211</v>
      </c>
      <c r="H999" s="2">
        <v>46177.771721296296</v>
      </c>
      <c r="I999" s="1" t="s">
        <v>1211</v>
      </c>
      <c r="J999" s="1" t="s">
        <v>3999</v>
      </c>
    </row>
    <row r="1000" spans="1:10" x14ac:dyDescent="0.35">
      <c r="A1000" s="1" t="s">
        <v>1737</v>
      </c>
      <c r="B1000" s="1" t="s">
        <v>1209</v>
      </c>
      <c r="C1000" s="1" t="s">
        <v>1210</v>
      </c>
      <c r="D1000" s="2">
        <v>46177</v>
      </c>
      <c r="E1000">
        <v>3.9032195256352098E-2</v>
      </c>
      <c r="F1000" s="2">
        <v>46177.771655555553</v>
      </c>
      <c r="G1000" s="1" t="s">
        <v>1211</v>
      </c>
      <c r="H1000" s="2">
        <v>46177.771655520832</v>
      </c>
      <c r="I1000" s="1" t="s">
        <v>1211</v>
      </c>
      <c r="J1000" s="1" t="s">
        <v>4000</v>
      </c>
    </row>
    <row r="1001" spans="1:10" x14ac:dyDescent="0.35">
      <c r="A1001" s="1" t="s">
        <v>1738</v>
      </c>
      <c r="B1001" s="1" t="s">
        <v>1209</v>
      </c>
      <c r="C1001" s="1" t="s">
        <v>1210</v>
      </c>
      <c r="D1001" s="2">
        <v>46177</v>
      </c>
      <c r="E1001">
        <v>1.7580130971831E-2</v>
      </c>
      <c r="F1001" s="2">
        <v>46177.771709062501</v>
      </c>
      <c r="G1001" s="1" t="s">
        <v>1211</v>
      </c>
      <c r="H1001" s="2">
        <v>46177.771708946762</v>
      </c>
      <c r="I1001" s="1" t="s">
        <v>1211</v>
      </c>
      <c r="J1001" s="1" t="s">
        <v>4001</v>
      </c>
    </row>
    <row r="1002" spans="1:10" x14ac:dyDescent="0.35">
      <c r="A1002" s="1" t="s">
        <v>1739</v>
      </c>
      <c r="B1002" s="1" t="s">
        <v>1209</v>
      </c>
      <c r="C1002" s="1" t="s">
        <v>1210</v>
      </c>
      <c r="D1002" s="2">
        <v>46177</v>
      </c>
      <c r="E1002">
        <v>4.0437985034464503E-2</v>
      </c>
      <c r="F1002" s="2">
        <v>46177.771737187497</v>
      </c>
      <c r="G1002" s="1" t="s">
        <v>1211</v>
      </c>
      <c r="H1002" s="2">
        <v>46177.771737303243</v>
      </c>
      <c r="I1002" s="1" t="s">
        <v>1211</v>
      </c>
      <c r="J1002" s="1" t="s">
        <v>4002</v>
      </c>
    </row>
    <row r="1003" spans="1:10" x14ac:dyDescent="0.35">
      <c r="A1003" s="1" t="s">
        <v>1740</v>
      </c>
      <c r="B1003" s="1" t="s">
        <v>1209</v>
      </c>
      <c r="C1003" s="1" t="s">
        <v>1210</v>
      </c>
      <c r="D1003" s="2">
        <v>46177</v>
      </c>
      <c r="E1003">
        <v>4.5202816770531097E-2</v>
      </c>
      <c r="F1003" s="2">
        <v>46177.771680752317</v>
      </c>
      <c r="G1003" s="1" t="s">
        <v>1211</v>
      </c>
      <c r="H1003" s="2">
        <v>46177.771680787038</v>
      </c>
      <c r="I1003" s="1" t="s">
        <v>1211</v>
      </c>
      <c r="J1003" s="1" t="s">
        <v>4003</v>
      </c>
    </row>
    <row r="1004" spans="1:10" x14ac:dyDescent="0.35">
      <c r="A1004" s="1" t="s">
        <v>1741</v>
      </c>
      <c r="B1004" s="1" t="s">
        <v>1209</v>
      </c>
      <c r="C1004" s="1" t="s">
        <v>1210</v>
      </c>
      <c r="D1004" s="2">
        <v>46177</v>
      </c>
      <c r="E1004">
        <v>-3.2161399978251899E-3</v>
      </c>
      <c r="F1004" s="2">
        <v>46177.771716053241</v>
      </c>
      <c r="G1004" s="1" t="s">
        <v>1211</v>
      </c>
      <c r="H1004" s="2">
        <v>46177.771716053241</v>
      </c>
      <c r="I1004" s="1" t="s">
        <v>1211</v>
      </c>
      <c r="J1004" s="1" t="s">
        <v>4004</v>
      </c>
    </row>
    <row r="1005" spans="1:10" x14ac:dyDescent="0.35">
      <c r="A1005" s="1" t="s">
        <v>1742</v>
      </c>
      <c r="B1005" s="1" t="s">
        <v>1209</v>
      </c>
      <c r="C1005" s="1" t="s">
        <v>1210</v>
      </c>
      <c r="D1005" s="2">
        <v>46177</v>
      </c>
      <c r="E1005">
        <v>2.77291035579523E-2</v>
      </c>
      <c r="F1005" s="2">
        <v>46177.771717164353</v>
      </c>
      <c r="G1005" s="1" t="s">
        <v>1211</v>
      </c>
      <c r="H1005" s="2">
        <v>46177.771717164353</v>
      </c>
      <c r="I1005" s="1" t="s">
        <v>1211</v>
      </c>
      <c r="J1005" s="1" t="s">
        <v>4005</v>
      </c>
    </row>
    <row r="1006" spans="1:10" x14ac:dyDescent="0.35">
      <c r="A1006" s="1" t="s">
        <v>1743</v>
      </c>
      <c r="B1006" s="1" t="s">
        <v>1209</v>
      </c>
      <c r="C1006" s="1" t="s">
        <v>1210</v>
      </c>
      <c r="D1006" s="2">
        <v>46177</v>
      </c>
      <c r="E1006">
        <v>4.2271120154455402E-2</v>
      </c>
      <c r="F1006" s="2">
        <v>46177.771706481479</v>
      </c>
      <c r="G1006" s="1" t="s">
        <v>1211</v>
      </c>
      <c r="H1006" s="2">
        <v>46177.771706446758</v>
      </c>
      <c r="I1006" s="1" t="s">
        <v>1211</v>
      </c>
      <c r="J1006" s="1" t="s">
        <v>4006</v>
      </c>
    </row>
    <row r="1007" spans="1:10" x14ac:dyDescent="0.35">
      <c r="A1007" s="1" t="s">
        <v>1744</v>
      </c>
      <c r="B1007" s="1" t="s">
        <v>1209</v>
      </c>
      <c r="C1007" s="1" t="s">
        <v>1210</v>
      </c>
      <c r="D1007" s="2">
        <v>46177</v>
      </c>
      <c r="E1007">
        <v>2.9756729358776799E-2</v>
      </c>
      <c r="F1007" s="2">
        <v>46177.771741053242</v>
      </c>
      <c r="G1007" s="1" t="s">
        <v>1211</v>
      </c>
      <c r="H1007" s="2">
        <v>46177.771741168981</v>
      </c>
      <c r="I1007" s="1" t="s">
        <v>1211</v>
      </c>
      <c r="J1007" s="1" t="s">
        <v>4007</v>
      </c>
    </row>
    <row r="1008" spans="1:10" x14ac:dyDescent="0.35">
      <c r="A1008" s="1" t="s">
        <v>1745</v>
      </c>
      <c r="B1008" s="1" t="s">
        <v>1209</v>
      </c>
      <c r="C1008" s="1" t="s">
        <v>1210</v>
      </c>
      <c r="D1008" s="2">
        <v>46177</v>
      </c>
      <c r="E1008">
        <v>3.0933981023456701E-2</v>
      </c>
      <c r="F1008" s="2">
        <v>46177.771710532405</v>
      </c>
      <c r="G1008" s="1" t="s">
        <v>1211</v>
      </c>
      <c r="H1008" s="2">
        <v>46177.771710567133</v>
      </c>
      <c r="I1008" s="1" t="s">
        <v>1211</v>
      </c>
      <c r="J1008" s="1" t="s">
        <v>4008</v>
      </c>
    </row>
    <row r="1009" spans="1:10" x14ac:dyDescent="0.35">
      <c r="A1009" s="1" t="s">
        <v>1746</v>
      </c>
      <c r="B1009" s="1" t="s">
        <v>1209</v>
      </c>
      <c r="C1009" s="1" t="s">
        <v>1210</v>
      </c>
      <c r="D1009" s="2">
        <v>46177</v>
      </c>
      <c r="E1009">
        <v>4.4380059855945002E-2</v>
      </c>
      <c r="F1009" s="2">
        <v>46177.771697025462</v>
      </c>
      <c r="G1009" s="1" t="s">
        <v>1211</v>
      </c>
      <c r="H1009" s="2">
        <v>46177.771696875003</v>
      </c>
      <c r="I1009" s="1" t="s">
        <v>1211</v>
      </c>
      <c r="J1009" s="1" t="s">
        <v>4009</v>
      </c>
    </row>
    <row r="1010" spans="1:10" x14ac:dyDescent="0.35">
      <c r="A1010" s="1" t="s">
        <v>1747</v>
      </c>
      <c r="B1010" s="1" t="s">
        <v>1209</v>
      </c>
      <c r="C1010" s="1" t="s">
        <v>1210</v>
      </c>
      <c r="D1010" s="2">
        <v>46177</v>
      </c>
      <c r="E1010">
        <v>3.7253808954359001E-2</v>
      </c>
      <c r="F1010" s="2">
        <v>46177.771709872686</v>
      </c>
      <c r="G1010" s="1" t="s">
        <v>1211</v>
      </c>
      <c r="H1010" s="2">
        <v>46177.771709872686</v>
      </c>
      <c r="I1010" s="1" t="s">
        <v>1211</v>
      </c>
      <c r="J1010" s="1" t="s">
        <v>4010</v>
      </c>
    </row>
    <row r="1011" spans="1:10" x14ac:dyDescent="0.35">
      <c r="A1011" s="1" t="s">
        <v>1748</v>
      </c>
      <c r="B1011" s="1" t="s">
        <v>1209</v>
      </c>
      <c r="C1011" s="1" t="s">
        <v>1210</v>
      </c>
      <c r="D1011" s="2">
        <v>46177</v>
      </c>
      <c r="E1011">
        <v>4.7159072369691003E-2</v>
      </c>
      <c r="F1011" s="2">
        <v>46177.771654780096</v>
      </c>
      <c r="G1011" s="1" t="s">
        <v>1211</v>
      </c>
      <c r="H1011" s="2">
        <v>46177.771654710647</v>
      </c>
      <c r="I1011" s="1" t="s">
        <v>1211</v>
      </c>
      <c r="J1011" s="1" t="s">
        <v>4011</v>
      </c>
    </row>
    <row r="1012" spans="1:10" x14ac:dyDescent="0.35">
      <c r="A1012" s="1" t="s">
        <v>1749</v>
      </c>
      <c r="B1012" s="1" t="s">
        <v>1209</v>
      </c>
      <c r="C1012" s="1" t="s">
        <v>1210</v>
      </c>
      <c r="D1012" s="2">
        <v>46177</v>
      </c>
      <c r="E1012">
        <v>2.4607269948762799E-2</v>
      </c>
      <c r="F1012" s="2">
        <v>46177.771718402779</v>
      </c>
      <c r="G1012" s="1" t="s">
        <v>1211</v>
      </c>
      <c r="H1012" s="2">
        <v>46177.771718402779</v>
      </c>
      <c r="I1012" s="1" t="s">
        <v>1211</v>
      </c>
      <c r="J1012" s="1" t="s">
        <v>4012</v>
      </c>
    </row>
    <row r="1013" spans="1:10" x14ac:dyDescent="0.35">
      <c r="A1013" s="1" t="s">
        <v>1750</v>
      </c>
      <c r="B1013" s="1" t="s">
        <v>1209</v>
      </c>
      <c r="C1013" s="1" t="s">
        <v>1210</v>
      </c>
      <c r="D1013" s="2">
        <v>46177</v>
      </c>
      <c r="E1013">
        <v>2.0122919182046999E-2</v>
      </c>
      <c r="F1013" s="2">
        <v>46177.771657060184</v>
      </c>
      <c r="G1013" s="1" t="s">
        <v>1211</v>
      </c>
      <c r="H1013" s="2">
        <v>46177.771656944446</v>
      </c>
      <c r="I1013" s="1" t="s">
        <v>1211</v>
      </c>
      <c r="J1013" s="1" t="s">
        <v>4013</v>
      </c>
    </row>
    <row r="1014" spans="1:10" x14ac:dyDescent="0.35">
      <c r="A1014" s="1" t="s">
        <v>1751</v>
      </c>
      <c r="B1014" s="1" t="s">
        <v>1209</v>
      </c>
      <c r="C1014" s="1" t="s">
        <v>1210</v>
      </c>
      <c r="D1014" s="2">
        <v>46177</v>
      </c>
      <c r="E1014">
        <v>3.9618429436542098E-2</v>
      </c>
      <c r="F1014" s="2">
        <v>46177.771696180556</v>
      </c>
      <c r="G1014" s="1" t="s">
        <v>1211</v>
      </c>
      <c r="H1014" s="2">
        <v>46177.771696145835</v>
      </c>
      <c r="I1014" s="1" t="s">
        <v>1211</v>
      </c>
      <c r="J1014" s="1" t="s">
        <v>4014</v>
      </c>
    </row>
    <row r="1015" spans="1:10" x14ac:dyDescent="0.35">
      <c r="A1015" s="1" t="s">
        <v>1752</v>
      </c>
      <c r="B1015" s="1" t="s">
        <v>1209</v>
      </c>
      <c r="C1015" s="1" t="s">
        <v>1210</v>
      </c>
      <c r="D1015" s="2">
        <v>46177</v>
      </c>
      <c r="E1015">
        <v>1.27043091356166E-2</v>
      </c>
      <c r="F1015" s="2">
        <v>46177.771661261577</v>
      </c>
      <c r="G1015" s="1" t="s">
        <v>1211</v>
      </c>
      <c r="H1015" s="2">
        <v>46177.771661307874</v>
      </c>
      <c r="I1015" s="1" t="s">
        <v>1211</v>
      </c>
      <c r="J1015" s="1" t="s">
        <v>4015</v>
      </c>
    </row>
    <row r="1016" spans="1:10" x14ac:dyDescent="0.35">
      <c r="A1016" s="1" t="s">
        <v>1753</v>
      </c>
      <c r="B1016" s="1" t="s">
        <v>1209</v>
      </c>
      <c r="C1016" s="1" t="s">
        <v>1210</v>
      </c>
      <c r="D1016" s="2">
        <v>46177</v>
      </c>
      <c r="E1016">
        <v>2.6768203999994501E-2</v>
      </c>
      <c r="F1016" s="2">
        <v>46177.77173364583</v>
      </c>
      <c r="G1016" s="1" t="s">
        <v>1211</v>
      </c>
      <c r="H1016" s="2">
        <v>46177.771733680558</v>
      </c>
      <c r="I1016" s="1" t="s">
        <v>1211</v>
      </c>
      <c r="J1016" s="1" t="s">
        <v>4016</v>
      </c>
    </row>
    <row r="1017" spans="1:10" x14ac:dyDescent="0.35">
      <c r="A1017" s="1" t="s">
        <v>1754</v>
      </c>
      <c r="B1017" s="1" t="s">
        <v>1209</v>
      </c>
      <c r="C1017" s="1" t="s">
        <v>1210</v>
      </c>
      <c r="D1017" s="2">
        <v>46177</v>
      </c>
      <c r="E1017">
        <v>4.3473101109732598E-2</v>
      </c>
      <c r="F1017" s="2">
        <v>46177.771673993055</v>
      </c>
      <c r="G1017" s="1" t="s">
        <v>1211</v>
      </c>
      <c r="H1017" s="2">
        <v>46177.771674039352</v>
      </c>
      <c r="I1017" s="1" t="s">
        <v>1211</v>
      </c>
      <c r="J1017" s="1" t="s">
        <v>4017</v>
      </c>
    </row>
    <row r="1018" spans="1:10" x14ac:dyDescent="0.35">
      <c r="A1018" s="1" t="s">
        <v>1755</v>
      </c>
      <c r="B1018" s="1" t="s">
        <v>1209</v>
      </c>
      <c r="C1018" s="1" t="s">
        <v>1210</v>
      </c>
      <c r="D1018" s="2">
        <v>46177</v>
      </c>
      <c r="E1018">
        <v>2.8123271984378299E-2</v>
      </c>
      <c r="F1018" s="2">
        <v>46177.771731944442</v>
      </c>
      <c r="G1018" s="1" t="s">
        <v>1211</v>
      </c>
      <c r="H1018" s="2">
        <v>46177.77173202546</v>
      </c>
      <c r="I1018" s="1" t="s">
        <v>1211</v>
      </c>
      <c r="J1018" s="1" t="s">
        <v>4018</v>
      </c>
    </row>
    <row r="1019" spans="1:10" x14ac:dyDescent="0.35">
      <c r="A1019" s="1" t="s">
        <v>1756</v>
      </c>
      <c r="B1019" s="1" t="s">
        <v>1209</v>
      </c>
      <c r="C1019" s="1" t="s">
        <v>1210</v>
      </c>
      <c r="D1019" s="2">
        <v>46177</v>
      </c>
      <c r="E1019">
        <v>3.5015747431529097E-2</v>
      </c>
      <c r="F1019" s="2">
        <v>46177.771657673613</v>
      </c>
      <c r="G1019" s="1" t="s">
        <v>1211</v>
      </c>
      <c r="H1019" s="2">
        <v>46177.771657673613</v>
      </c>
      <c r="I1019" s="1" t="s">
        <v>1211</v>
      </c>
      <c r="J1019" s="1" t="s">
        <v>4019</v>
      </c>
    </row>
    <row r="1020" spans="1:10" x14ac:dyDescent="0.35">
      <c r="A1020" s="1" t="s">
        <v>1757</v>
      </c>
      <c r="B1020" s="1" t="s">
        <v>1209</v>
      </c>
      <c r="C1020" s="1" t="s">
        <v>1210</v>
      </c>
      <c r="D1020" s="2">
        <v>46177</v>
      </c>
      <c r="E1020">
        <v>2.84187827248778E-2</v>
      </c>
      <c r="F1020" s="2">
        <v>46177.771747222221</v>
      </c>
      <c r="G1020" s="1" t="s">
        <v>1211</v>
      </c>
      <c r="H1020" s="2">
        <v>46177.771747303239</v>
      </c>
      <c r="I1020" s="1" t="s">
        <v>1211</v>
      </c>
      <c r="J1020" s="1" t="s">
        <v>4020</v>
      </c>
    </row>
    <row r="1021" spans="1:10" x14ac:dyDescent="0.35">
      <c r="A1021" s="1" t="s">
        <v>1758</v>
      </c>
      <c r="B1021" s="1" t="s">
        <v>1209</v>
      </c>
      <c r="C1021" s="1" t="s">
        <v>1210</v>
      </c>
      <c r="D1021" s="2">
        <v>46177</v>
      </c>
      <c r="E1021">
        <v>4.3939791696287797E-2</v>
      </c>
      <c r="F1021" s="2">
        <v>46177.771742094905</v>
      </c>
      <c r="G1021" s="1" t="s">
        <v>1211</v>
      </c>
      <c r="H1021" s="2">
        <v>46177.771742245372</v>
      </c>
      <c r="I1021" s="1" t="s">
        <v>1211</v>
      </c>
      <c r="J1021" s="1" t="s">
        <v>4021</v>
      </c>
    </row>
    <row r="1022" spans="1:10" x14ac:dyDescent="0.35">
      <c r="A1022" s="1" t="s">
        <v>1759</v>
      </c>
      <c r="B1022" s="1" t="s">
        <v>1209</v>
      </c>
      <c r="C1022" s="1" t="s">
        <v>1210</v>
      </c>
      <c r="D1022" s="2">
        <v>46177</v>
      </c>
      <c r="E1022">
        <v>2.8845926288785E-2</v>
      </c>
      <c r="F1022" s="2">
        <v>46177.77174452546</v>
      </c>
      <c r="G1022" s="1" t="s">
        <v>1211</v>
      </c>
      <c r="H1022" s="2">
        <v>46177.771744594909</v>
      </c>
      <c r="I1022" s="1" t="s">
        <v>1211</v>
      </c>
      <c r="J1022" s="1" t="s">
        <v>4022</v>
      </c>
    </row>
    <row r="1023" spans="1:10" x14ac:dyDescent="0.35">
      <c r="A1023" s="1" t="s">
        <v>1760</v>
      </c>
      <c r="B1023" s="1" t="s">
        <v>1209</v>
      </c>
      <c r="C1023" s="1" t="s">
        <v>1210</v>
      </c>
      <c r="D1023" s="2">
        <v>46177</v>
      </c>
      <c r="E1023">
        <v>2.9315881950093801E-2</v>
      </c>
      <c r="F1023" s="2">
        <v>46177.77171883102</v>
      </c>
      <c r="G1023" s="1" t="s">
        <v>1211</v>
      </c>
      <c r="H1023" s="2">
        <v>46177.771718784723</v>
      </c>
      <c r="I1023" s="1" t="s">
        <v>1211</v>
      </c>
      <c r="J1023" s="1" t="s">
        <v>4023</v>
      </c>
    </row>
    <row r="1024" spans="1:10" x14ac:dyDescent="0.35">
      <c r="A1024" s="1" t="s">
        <v>1761</v>
      </c>
      <c r="B1024" s="1" t="s">
        <v>1209</v>
      </c>
      <c r="C1024" s="1" t="s">
        <v>1210</v>
      </c>
      <c r="D1024" s="2">
        <v>46177</v>
      </c>
      <c r="E1024">
        <v>4.4285188313906099E-2</v>
      </c>
      <c r="F1024" s="2">
        <v>46177.771671180555</v>
      </c>
      <c r="G1024" s="1" t="s">
        <v>1211</v>
      </c>
      <c r="H1024" s="2">
        <v>46177.771671331022</v>
      </c>
      <c r="I1024" s="1" t="s">
        <v>1211</v>
      </c>
      <c r="J1024" s="1" t="s">
        <v>4024</v>
      </c>
    </row>
    <row r="1025" spans="1:10" x14ac:dyDescent="0.35">
      <c r="A1025" s="1" t="s">
        <v>1762</v>
      </c>
      <c r="B1025" s="1" t="s">
        <v>1209</v>
      </c>
      <c r="C1025" s="1" t="s">
        <v>1210</v>
      </c>
      <c r="D1025" s="2">
        <v>46177</v>
      </c>
      <c r="E1025">
        <v>4.0674227686635402E-2</v>
      </c>
      <c r="F1025" s="2">
        <v>46177.771700659723</v>
      </c>
      <c r="G1025" s="1" t="s">
        <v>1211</v>
      </c>
      <c r="H1025" s="2">
        <v>46177.771700659723</v>
      </c>
      <c r="I1025" s="1" t="s">
        <v>1211</v>
      </c>
      <c r="J1025" s="1" t="s">
        <v>4025</v>
      </c>
    </row>
    <row r="1026" spans="1:10" x14ac:dyDescent="0.35">
      <c r="A1026" s="1" t="s">
        <v>1763</v>
      </c>
      <c r="B1026" s="1" t="s">
        <v>1209</v>
      </c>
      <c r="C1026" s="1" t="s">
        <v>1210</v>
      </c>
      <c r="D1026" s="2">
        <v>46177</v>
      </c>
      <c r="E1026">
        <v>3.0344821191360401E-2</v>
      </c>
      <c r="F1026" s="2">
        <v>46177.771655821758</v>
      </c>
      <c r="G1026" s="1" t="s">
        <v>1211</v>
      </c>
      <c r="H1026" s="2">
        <v>46177.771655868055</v>
      </c>
      <c r="I1026" s="1" t="s">
        <v>1211</v>
      </c>
      <c r="J1026" s="1" t="s">
        <v>4026</v>
      </c>
    </row>
    <row r="1027" spans="1:10" x14ac:dyDescent="0.35">
      <c r="A1027" s="1" t="s">
        <v>1764</v>
      </c>
      <c r="B1027" s="1" t="s">
        <v>1209</v>
      </c>
      <c r="C1027" s="1" t="s">
        <v>1210</v>
      </c>
      <c r="D1027" s="2">
        <v>46177</v>
      </c>
      <c r="E1027">
        <v>4.1379279700756597E-2</v>
      </c>
      <c r="F1027" s="2">
        <v>46177.771651817129</v>
      </c>
      <c r="G1027" s="1" t="s">
        <v>1211</v>
      </c>
      <c r="H1027" s="2">
        <v>46177.771651817129</v>
      </c>
      <c r="I1027" s="1" t="s">
        <v>1211</v>
      </c>
      <c r="J1027" s="1" t="s">
        <v>4027</v>
      </c>
    </row>
    <row r="1028" spans="1:10" x14ac:dyDescent="0.35">
      <c r="A1028" s="1" t="s">
        <v>1765</v>
      </c>
      <c r="B1028" s="1" t="s">
        <v>1209</v>
      </c>
      <c r="C1028" s="1" t="s">
        <v>1210</v>
      </c>
      <c r="D1028" s="2">
        <v>46177</v>
      </c>
      <c r="E1028">
        <v>4.2174647946212097E-2</v>
      </c>
      <c r="F1028" s="2">
        <v>46177.771685995373</v>
      </c>
      <c r="G1028" s="1" t="s">
        <v>1211</v>
      </c>
      <c r="H1028" s="2">
        <v>46177.771686030093</v>
      </c>
      <c r="I1028" s="1" t="s">
        <v>1211</v>
      </c>
      <c r="J1028" s="1" t="s">
        <v>4028</v>
      </c>
    </row>
    <row r="1029" spans="1:10" x14ac:dyDescent="0.35">
      <c r="A1029" s="1" t="s">
        <v>1766</v>
      </c>
      <c r="B1029" s="1" t="s">
        <v>1209</v>
      </c>
      <c r="C1029" s="1" t="s">
        <v>1210</v>
      </c>
      <c r="D1029" s="2">
        <v>46177</v>
      </c>
      <c r="E1029">
        <v>3.1620545650795501E-2</v>
      </c>
      <c r="F1029" s="2">
        <v>46177.771719444441</v>
      </c>
      <c r="G1029" s="1" t="s">
        <v>1211</v>
      </c>
      <c r="H1029" s="2">
        <v>46177.771719525466</v>
      </c>
      <c r="I1029" s="1" t="s">
        <v>1211</v>
      </c>
      <c r="J1029" s="1" t="s">
        <v>4029</v>
      </c>
    </row>
    <row r="1030" spans="1:10" x14ac:dyDescent="0.35">
      <c r="A1030" s="1" t="s">
        <v>1767</v>
      </c>
      <c r="B1030" s="1" t="s">
        <v>1209</v>
      </c>
      <c r="C1030" s="1" t="s">
        <v>1210</v>
      </c>
      <c r="D1030" s="2">
        <v>46177</v>
      </c>
      <c r="E1030">
        <v>2.5846655610555099E-2</v>
      </c>
      <c r="F1030" s="2">
        <v>46177.771675729164</v>
      </c>
      <c r="G1030" s="1" t="s">
        <v>1211</v>
      </c>
      <c r="H1030" s="2">
        <v>46177.771675659722</v>
      </c>
      <c r="I1030" s="1" t="s">
        <v>1211</v>
      </c>
      <c r="J1030" s="1" t="s">
        <v>4030</v>
      </c>
    </row>
    <row r="1031" spans="1:10" x14ac:dyDescent="0.35">
      <c r="A1031" s="1" t="s">
        <v>1768</v>
      </c>
      <c r="B1031" s="1" t="s">
        <v>1209</v>
      </c>
      <c r="C1031" s="1" t="s">
        <v>1210</v>
      </c>
      <c r="D1031" s="2">
        <v>46177</v>
      </c>
      <c r="E1031">
        <v>1.59251902030406E-2</v>
      </c>
      <c r="F1031" s="2">
        <v>46177.771673067131</v>
      </c>
      <c r="G1031" s="1" t="s">
        <v>1211</v>
      </c>
      <c r="H1031" s="2">
        <v>46177.771673148149</v>
      </c>
      <c r="I1031" s="1" t="s">
        <v>1211</v>
      </c>
      <c r="J1031" s="1" t="s">
        <v>4031</v>
      </c>
    </row>
    <row r="1032" spans="1:10" x14ac:dyDescent="0.35">
      <c r="A1032" s="1" t="s">
        <v>1769</v>
      </c>
      <c r="B1032" s="1" t="s">
        <v>1209</v>
      </c>
      <c r="C1032" s="1" t="s">
        <v>1210</v>
      </c>
      <c r="D1032" s="2">
        <v>46177</v>
      </c>
      <c r="E1032">
        <v>4.4566093061463703E-2</v>
      </c>
      <c r="F1032" s="2">
        <v>46177.771679976853</v>
      </c>
      <c r="G1032" s="1" t="s">
        <v>1211</v>
      </c>
      <c r="H1032" s="2">
        <v>46177.771679861115</v>
      </c>
      <c r="I1032" s="1" t="s">
        <v>1211</v>
      </c>
      <c r="J1032" s="1" t="s">
        <v>4032</v>
      </c>
    </row>
    <row r="1033" spans="1:10" x14ac:dyDescent="0.35">
      <c r="A1033" s="1" t="s">
        <v>1770</v>
      </c>
      <c r="B1033" s="1" t="s">
        <v>1209</v>
      </c>
      <c r="C1033" s="1" t="s">
        <v>1210</v>
      </c>
      <c r="D1033" s="2">
        <v>46177</v>
      </c>
      <c r="E1033">
        <v>3.2358396230729301E-2</v>
      </c>
      <c r="F1033" s="2">
        <v>46177.771750196756</v>
      </c>
      <c r="G1033" s="1" t="s">
        <v>1211</v>
      </c>
      <c r="H1033" s="2">
        <v>46177.771750266205</v>
      </c>
      <c r="I1033" s="1" t="s">
        <v>1211</v>
      </c>
      <c r="J1033" s="1" t="s">
        <v>4033</v>
      </c>
    </row>
    <row r="1034" spans="1:10" x14ac:dyDescent="0.35">
      <c r="A1034" s="1" t="s">
        <v>1771</v>
      </c>
      <c r="B1034" s="1" t="s">
        <v>1209</v>
      </c>
      <c r="C1034" s="1" t="s">
        <v>1210</v>
      </c>
      <c r="D1034" s="2">
        <v>46177</v>
      </c>
      <c r="E1034">
        <v>3.9237279363968799E-2</v>
      </c>
      <c r="F1034" s="2">
        <v>46177.771660185186</v>
      </c>
      <c r="G1034" s="1" t="s">
        <v>1211</v>
      </c>
      <c r="H1034" s="2">
        <v>46177.771660219907</v>
      </c>
      <c r="I1034" s="1" t="s">
        <v>1211</v>
      </c>
      <c r="J1034" s="1" t="s">
        <v>4034</v>
      </c>
    </row>
    <row r="1035" spans="1:10" x14ac:dyDescent="0.35">
      <c r="A1035" s="1" t="s">
        <v>1772</v>
      </c>
      <c r="B1035" s="1" t="s">
        <v>1209</v>
      </c>
      <c r="C1035" s="1" t="s">
        <v>1210</v>
      </c>
      <c r="D1035" s="2">
        <v>46177</v>
      </c>
      <c r="E1035">
        <v>2.7993108706860399E-2</v>
      </c>
      <c r="F1035" s="2">
        <v>46177.771685381944</v>
      </c>
      <c r="G1035" s="1" t="s">
        <v>1211</v>
      </c>
      <c r="H1035" s="2">
        <v>46177.771685300926</v>
      </c>
      <c r="I1035" s="1" t="s">
        <v>1211</v>
      </c>
      <c r="J1035" s="1" t="s">
        <v>4035</v>
      </c>
    </row>
    <row r="1036" spans="1:10" x14ac:dyDescent="0.35">
      <c r="A1036" s="1" t="s">
        <v>1773</v>
      </c>
      <c r="B1036" s="1" t="s">
        <v>1209</v>
      </c>
      <c r="C1036" s="1" t="s">
        <v>1210</v>
      </c>
      <c r="D1036" s="2">
        <v>46177</v>
      </c>
      <c r="E1036">
        <v>3.2998148619177901E-2</v>
      </c>
      <c r="F1036" s="2">
        <v>46177.771672766205</v>
      </c>
      <c r="G1036" s="1" t="s">
        <v>1211</v>
      </c>
      <c r="H1036" s="2">
        <v>46177.771672766205</v>
      </c>
      <c r="I1036" s="1" t="s">
        <v>1211</v>
      </c>
      <c r="J1036" s="1" t="s">
        <v>4036</v>
      </c>
    </row>
    <row r="1037" spans="1:10" x14ac:dyDescent="0.35">
      <c r="A1037" s="1" t="s">
        <v>1774</v>
      </c>
      <c r="B1037" s="1" t="s">
        <v>1209</v>
      </c>
      <c r="C1037" s="1" t="s">
        <v>1210</v>
      </c>
      <c r="D1037" s="2">
        <v>46177</v>
      </c>
      <c r="E1037">
        <v>4.1854832239576797E-2</v>
      </c>
      <c r="F1037" s="2">
        <v>46177.77167415509</v>
      </c>
      <c r="G1037" s="1" t="s">
        <v>1211</v>
      </c>
      <c r="H1037" s="2">
        <v>46177.771674224539</v>
      </c>
      <c r="I1037" s="1" t="s">
        <v>1211</v>
      </c>
      <c r="J1037" s="1" t="s">
        <v>4037</v>
      </c>
    </row>
    <row r="1038" spans="1:10" x14ac:dyDescent="0.35">
      <c r="A1038" s="1" t="s">
        <v>1775</v>
      </c>
      <c r="B1038" s="1" t="s">
        <v>1209</v>
      </c>
      <c r="C1038" s="1" t="s">
        <v>1210</v>
      </c>
      <c r="D1038" s="2">
        <v>46177</v>
      </c>
      <c r="E1038">
        <v>4.4768599054670503E-2</v>
      </c>
      <c r="F1038" s="2">
        <v>46177.771730208333</v>
      </c>
      <c r="G1038" s="1" t="s">
        <v>1211</v>
      </c>
      <c r="H1038" s="2">
        <v>46177.771730243054</v>
      </c>
      <c r="I1038" s="1" t="s">
        <v>1211</v>
      </c>
      <c r="J1038" s="1" t="s">
        <v>4038</v>
      </c>
    </row>
    <row r="1039" spans="1:10" x14ac:dyDescent="0.35">
      <c r="A1039" s="1" t="s">
        <v>1776</v>
      </c>
      <c r="B1039" s="1" t="s">
        <v>1209</v>
      </c>
      <c r="C1039" s="1" t="s">
        <v>1210</v>
      </c>
      <c r="D1039" s="2">
        <v>46177</v>
      </c>
      <c r="E1039">
        <v>2.3346943383079698E-2</v>
      </c>
      <c r="F1039" s="2">
        <v>46177.771723530095</v>
      </c>
      <c r="G1039" s="1" t="s">
        <v>1211</v>
      </c>
      <c r="H1039" s="2">
        <v>46177.771723495367</v>
      </c>
      <c r="I1039" s="1" t="s">
        <v>1211</v>
      </c>
      <c r="J1039" s="1" t="s">
        <v>4039</v>
      </c>
    </row>
    <row r="1040" spans="1:10" x14ac:dyDescent="0.35">
      <c r="A1040" s="1" t="s">
        <v>1777</v>
      </c>
      <c r="B1040" s="1" t="s">
        <v>1209</v>
      </c>
      <c r="C1040" s="1" t="s">
        <v>1210</v>
      </c>
      <c r="D1040" s="2">
        <v>46177</v>
      </c>
      <c r="E1040">
        <v>3.3688148362128197E-2</v>
      </c>
      <c r="F1040" s="2">
        <v>46177.771693252318</v>
      </c>
      <c r="G1040" s="1" t="s">
        <v>1211</v>
      </c>
      <c r="H1040" s="2">
        <v>46177.771693252318</v>
      </c>
      <c r="I1040" s="1" t="s">
        <v>1211</v>
      </c>
      <c r="J1040" s="1" t="s">
        <v>4040</v>
      </c>
    </row>
    <row r="1041" spans="1:10" x14ac:dyDescent="0.35">
      <c r="A1041" s="1" t="s">
        <v>1778</v>
      </c>
      <c r="B1041" s="1" t="s">
        <v>1209</v>
      </c>
      <c r="C1041" s="1" t="s">
        <v>1210</v>
      </c>
      <c r="D1041" s="2">
        <v>46177</v>
      </c>
      <c r="E1041">
        <v>2.8673387585665001E-2</v>
      </c>
      <c r="F1041" s="2">
        <v>46177.771729166663</v>
      </c>
      <c r="G1041" s="1" t="s">
        <v>1211</v>
      </c>
      <c r="H1041" s="2">
        <v>46177.771729131942</v>
      </c>
      <c r="I1041" s="1" t="s">
        <v>1211</v>
      </c>
      <c r="J1041" s="1" t="s">
        <v>4041</v>
      </c>
    </row>
    <row r="1042" spans="1:10" x14ac:dyDescent="0.35">
      <c r="A1042" s="1" t="s">
        <v>1779</v>
      </c>
      <c r="B1042" s="1" t="s">
        <v>1209</v>
      </c>
      <c r="C1042" s="1" t="s">
        <v>1210</v>
      </c>
      <c r="D1042" s="2">
        <v>46177</v>
      </c>
      <c r="E1042">
        <v>3.4299332451793903E-2</v>
      </c>
      <c r="F1042" s="2">
        <v>46177.771662881947</v>
      </c>
      <c r="G1042" s="1" t="s">
        <v>1211</v>
      </c>
      <c r="H1042" s="2">
        <v>46177.771662928244</v>
      </c>
      <c r="I1042" s="1" t="s">
        <v>1211</v>
      </c>
      <c r="J1042" s="1" t="s">
        <v>4042</v>
      </c>
    </row>
    <row r="1043" spans="1:10" x14ac:dyDescent="0.35">
      <c r="A1043" s="1" t="s">
        <v>1780</v>
      </c>
      <c r="B1043" s="1" t="s">
        <v>1209</v>
      </c>
      <c r="C1043" s="1" t="s">
        <v>1210</v>
      </c>
      <c r="D1043" s="2">
        <v>46177</v>
      </c>
      <c r="E1043">
        <v>2.74950343068892E-2</v>
      </c>
      <c r="F1043" s="2">
        <v>46177.771738622687</v>
      </c>
      <c r="G1043" s="1" t="s">
        <v>1211</v>
      </c>
      <c r="H1043" s="2">
        <v>46177.771738773146</v>
      </c>
      <c r="I1043" s="1" t="s">
        <v>1211</v>
      </c>
      <c r="J1043" s="1" t="s">
        <v>4043</v>
      </c>
    </row>
    <row r="1044" spans="1:10" x14ac:dyDescent="0.35">
      <c r="A1044" s="1" t="s">
        <v>1781</v>
      </c>
      <c r="B1044" s="1" t="s">
        <v>1209</v>
      </c>
      <c r="C1044" s="1" t="s">
        <v>1210</v>
      </c>
      <c r="D1044" s="2">
        <v>46177</v>
      </c>
      <c r="E1044">
        <v>4.34957755146059E-2</v>
      </c>
      <c r="F1044" s="2">
        <v>46177.771722835649</v>
      </c>
      <c r="G1044" s="1" t="s">
        <v>1211</v>
      </c>
      <c r="H1044" s="2">
        <v>46177.771722951387</v>
      </c>
      <c r="I1044" s="1" t="s">
        <v>1211</v>
      </c>
      <c r="J1044" s="1" t="s">
        <v>4044</v>
      </c>
    </row>
    <row r="1045" spans="1:10" x14ac:dyDescent="0.35">
      <c r="A1045" s="1" t="s">
        <v>1782</v>
      </c>
      <c r="B1045" s="1" t="s">
        <v>1209</v>
      </c>
      <c r="C1045" s="1" t="s">
        <v>1210</v>
      </c>
      <c r="D1045" s="2">
        <v>46177</v>
      </c>
      <c r="E1045">
        <v>3.9537124378675799E-2</v>
      </c>
      <c r="F1045" s="2">
        <v>46177.771682870371</v>
      </c>
      <c r="G1045" s="1" t="s">
        <v>1211</v>
      </c>
      <c r="H1045" s="2">
        <v>46177.771682951388</v>
      </c>
      <c r="I1045" s="1" t="s">
        <v>1211</v>
      </c>
      <c r="J1045" s="1" t="s">
        <v>4045</v>
      </c>
    </row>
    <row r="1046" spans="1:10" x14ac:dyDescent="0.35">
      <c r="A1046" s="1" t="s">
        <v>1783</v>
      </c>
      <c r="B1046" s="1" t="s">
        <v>1209</v>
      </c>
      <c r="C1046" s="1" t="s">
        <v>1210</v>
      </c>
      <c r="D1046" s="2">
        <v>46177</v>
      </c>
      <c r="E1046">
        <v>4.4919598123691597E-2</v>
      </c>
      <c r="F1046" s="2">
        <v>46177.771697916665</v>
      </c>
      <c r="G1046" s="1" t="s">
        <v>1211</v>
      </c>
      <c r="H1046" s="2">
        <v>46177.771697766206</v>
      </c>
      <c r="I1046" s="1" t="s">
        <v>1211</v>
      </c>
      <c r="J1046" s="1" t="s">
        <v>4046</v>
      </c>
    </row>
    <row r="1047" spans="1:10" x14ac:dyDescent="0.35">
      <c r="A1047" s="1" t="s">
        <v>1784</v>
      </c>
      <c r="B1047" s="1" t="s">
        <v>1209</v>
      </c>
      <c r="C1047" s="1" t="s">
        <v>1210</v>
      </c>
      <c r="D1047" s="2">
        <v>46177</v>
      </c>
      <c r="E1047">
        <v>2.9626713147279798E-2</v>
      </c>
      <c r="F1047" s="2">
        <v>46177.77170153935</v>
      </c>
      <c r="G1047" s="1" t="s">
        <v>1211</v>
      </c>
      <c r="H1047" s="2">
        <v>46177.771701585647</v>
      </c>
      <c r="I1047" s="1" t="s">
        <v>1211</v>
      </c>
      <c r="J1047" s="1" t="s">
        <v>4047</v>
      </c>
    </row>
    <row r="1048" spans="1:10" x14ac:dyDescent="0.35">
      <c r="A1048" s="1" t="s">
        <v>1785</v>
      </c>
      <c r="B1048" s="1" t="s">
        <v>1209</v>
      </c>
      <c r="C1048" s="1" t="s">
        <v>1210</v>
      </c>
      <c r="D1048" s="2">
        <v>46177</v>
      </c>
      <c r="E1048">
        <v>3.5453504951194599E-2</v>
      </c>
      <c r="F1048" s="2">
        <v>46177.771703969906</v>
      </c>
      <c r="G1048" s="1" t="s">
        <v>1211</v>
      </c>
      <c r="H1048" s="2">
        <v>46177.771703969906</v>
      </c>
      <c r="I1048" s="1" t="s">
        <v>1211</v>
      </c>
      <c r="J1048" s="1" t="s">
        <v>4048</v>
      </c>
    </row>
    <row r="1049" spans="1:10" x14ac:dyDescent="0.35">
      <c r="A1049" s="1" t="s">
        <v>1786</v>
      </c>
      <c r="B1049" s="1" t="s">
        <v>1209</v>
      </c>
      <c r="C1049" s="1" t="s">
        <v>1210</v>
      </c>
      <c r="D1049" s="2">
        <v>46177</v>
      </c>
      <c r="E1049">
        <v>4.1402429335643101E-2</v>
      </c>
      <c r="F1049" s="2">
        <v>46177.771708645836</v>
      </c>
      <c r="G1049" s="1" t="s">
        <v>1211</v>
      </c>
      <c r="H1049" s="2">
        <v>46177.771708599539</v>
      </c>
      <c r="I1049" s="1" t="s">
        <v>1211</v>
      </c>
      <c r="J1049" s="1" t="s">
        <v>4049</v>
      </c>
    </row>
    <row r="1050" spans="1:10" x14ac:dyDescent="0.35">
      <c r="A1050" s="1" t="s">
        <v>1787</v>
      </c>
      <c r="B1050" s="1" t="s">
        <v>1209</v>
      </c>
      <c r="C1050" s="1" t="s">
        <v>1210</v>
      </c>
      <c r="D1050" s="2">
        <v>46177</v>
      </c>
      <c r="E1050">
        <v>3.6026732507160202E-2</v>
      </c>
      <c r="F1050" s="2">
        <v>46177.771651967596</v>
      </c>
      <c r="G1050" s="1" t="s">
        <v>1211</v>
      </c>
      <c r="H1050" s="2">
        <v>46177.771651817129</v>
      </c>
      <c r="I1050" s="1" t="s">
        <v>1211</v>
      </c>
      <c r="J1050" s="1" t="s">
        <v>4050</v>
      </c>
    </row>
    <row r="1051" spans="1:10" x14ac:dyDescent="0.35">
      <c r="A1051" s="1" t="s">
        <v>1788</v>
      </c>
      <c r="B1051" s="1" t="s">
        <v>1209</v>
      </c>
      <c r="C1051" s="1" t="s">
        <v>1210</v>
      </c>
      <c r="D1051" s="2">
        <v>46177</v>
      </c>
      <c r="E1051">
        <v>4.5118617164440301E-2</v>
      </c>
      <c r="F1051" s="2">
        <v>46177.771747534724</v>
      </c>
      <c r="G1051" s="1" t="s">
        <v>1211</v>
      </c>
      <c r="H1051" s="2">
        <v>46177.771747488427</v>
      </c>
      <c r="I1051" s="1" t="s">
        <v>1211</v>
      </c>
      <c r="J1051" s="1" t="s">
        <v>4051</v>
      </c>
    </row>
    <row r="1052" spans="1:10" x14ac:dyDescent="0.35">
      <c r="A1052" s="1" t="s">
        <v>1789</v>
      </c>
      <c r="B1052" s="1" t="s">
        <v>1209</v>
      </c>
      <c r="C1052" s="1" t="s">
        <v>1210</v>
      </c>
      <c r="D1052" s="2">
        <v>46177</v>
      </c>
      <c r="E1052">
        <v>2.83436650934814E-2</v>
      </c>
      <c r="F1052" s="2">
        <v>46177.771706168984</v>
      </c>
      <c r="G1052" s="1" t="s">
        <v>1211</v>
      </c>
      <c r="H1052" s="2">
        <v>46177.771706053238</v>
      </c>
      <c r="I1052" s="1" t="s">
        <v>1211</v>
      </c>
      <c r="J1052" s="1" t="s">
        <v>4052</v>
      </c>
    </row>
    <row r="1053" spans="1:10" x14ac:dyDescent="0.35">
      <c r="A1053" s="1" t="s">
        <v>1790</v>
      </c>
      <c r="B1053" s="1" t="s">
        <v>1209</v>
      </c>
      <c r="C1053" s="1" t="s">
        <v>1210</v>
      </c>
      <c r="D1053" s="2">
        <v>46177</v>
      </c>
      <c r="E1053">
        <v>3.0781441566330999E-2</v>
      </c>
      <c r="F1053" s="2">
        <v>46177.771738275464</v>
      </c>
      <c r="G1053" s="1" t="s">
        <v>1211</v>
      </c>
      <c r="H1053" s="2">
        <v>46177.771738391202</v>
      </c>
      <c r="I1053" s="1" t="s">
        <v>1211</v>
      </c>
      <c r="J1053" s="1" t="s">
        <v>4053</v>
      </c>
    </row>
    <row r="1054" spans="1:10" x14ac:dyDescent="0.35">
      <c r="A1054" s="1" t="s">
        <v>1791</v>
      </c>
      <c r="B1054" s="1" t="s">
        <v>1209</v>
      </c>
      <c r="C1054" s="1" t="s">
        <v>1210</v>
      </c>
      <c r="D1054" s="2">
        <v>46177</v>
      </c>
      <c r="E1054">
        <v>3.6619839537507602E-2</v>
      </c>
      <c r="F1054" s="2">
        <v>46177.771678124998</v>
      </c>
      <c r="G1054" s="1" t="s">
        <v>1211</v>
      </c>
      <c r="H1054" s="2">
        <v>46177.77167800926</v>
      </c>
      <c r="I1054" s="1" t="s">
        <v>1211</v>
      </c>
      <c r="J1054" s="1" t="s">
        <v>4054</v>
      </c>
    </row>
    <row r="1055" spans="1:10" x14ac:dyDescent="0.35">
      <c r="A1055" s="1" t="s">
        <v>1792</v>
      </c>
      <c r="B1055" s="1" t="s">
        <v>1209</v>
      </c>
      <c r="C1055" s="1" t="s">
        <v>1210</v>
      </c>
      <c r="D1055" s="2">
        <v>46177</v>
      </c>
      <c r="E1055">
        <v>4.2718029069831097E-2</v>
      </c>
      <c r="F1055" s="2">
        <v>46177.771719594908</v>
      </c>
      <c r="G1055" s="1" t="s">
        <v>1211</v>
      </c>
      <c r="H1055" s="2">
        <v>46177.771719525466</v>
      </c>
      <c r="I1055" s="1" t="s">
        <v>1211</v>
      </c>
      <c r="J1055" s="1" t="s">
        <v>4055</v>
      </c>
    </row>
    <row r="1056" spans="1:10" x14ac:dyDescent="0.35">
      <c r="A1056" s="1" t="s">
        <v>1793</v>
      </c>
      <c r="B1056" s="1" t="s">
        <v>1209</v>
      </c>
      <c r="C1056" s="1" t="s">
        <v>1210</v>
      </c>
      <c r="D1056" s="2">
        <v>46177</v>
      </c>
      <c r="E1056">
        <v>4.5301012776320197E-2</v>
      </c>
      <c r="F1056" s="2">
        <v>46177.771750347223</v>
      </c>
      <c r="G1056" s="1" t="s">
        <v>1211</v>
      </c>
      <c r="H1056" s="2">
        <v>46177.771750428241</v>
      </c>
      <c r="I1056" s="1" t="s">
        <v>1211</v>
      </c>
      <c r="J1056" s="1" t="s">
        <v>4056</v>
      </c>
    </row>
    <row r="1057" spans="1:10" x14ac:dyDescent="0.35">
      <c r="A1057" s="1" t="s">
        <v>1794</v>
      </c>
      <c r="B1057" s="1" t="s">
        <v>1209</v>
      </c>
      <c r="C1057" s="1" t="s">
        <v>1210</v>
      </c>
      <c r="D1057" s="2">
        <v>46177</v>
      </c>
      <c r="E1057">
        <v>2.91922574410493E-2</v>
      </c>
      <c r="F1057" s="2">
        <v>46177.771709456021</v>
      </c>
      <c r="G1057" s="1" t="s">
        <v>1211</v>
      </c>
      <c r="H1057" s="2">
        <v>46177.771709490742</v>
      </c>
      <c r="I1057" s="1" t="s">
        <v>1211</v>
      </c>
      <c r="J1057" s="1" t="s">
        <v>4057</v>
      </c>
    </row>
    <row r="1058" spans="1:10" x14ac:dyDescent="0.35">
      <c r="A1058" s="1" t="s">
        <v>1795</v>
      </c>
      <c r="B1058" s="1" t="s">
        <v>1224</v>
      </c>
      <c r="C1058" s="1" t="s">
        <v>1210</v>
      </c>
      <c r="D1058" s="2">
        <v>46177</v>
      </c>
      <c r="E1058">
        <v>107.15625</v>
      </c>
      <c r="F1058" s="2">
        <v>46177.771631793985</v>
      </c>
      <c r="G1058" s="1" t="s">
        <v>1211</v>
      </c>
      <c r="H1058" s="2">
        <v>46177.77163171296</v>
      </c>
      <c r="I1058" s="1" t="s">
        <v>1211</v>
      </c>
      <c r="J1058" s="1" t="s">
        <v>3051</v>
      </c>
    </row>
    <row r="1059" spans="1:10" x14ac:dyDescent="0.35">
      <c r="A1059" s="1" t="s">
        <v>1796</v>
      </c>
      <c r="B1059" s="1" t="s">
        <v>1224</v>
      </c>
      <c r="C1059" s="1" t="s">
        <v>1210</v>
      </c>
      <c r="D1059" s="2">
        <v>46177</v>
      </c>
      <c r="E1059">
        <v>107.03125</v>
      </c>
      <c r="F1059" s="2">
        <v>46177.771631944444</v>
      </c>
      <c r="G1059" s="1" t="s">
        <v>1211</v>
      </c>
      <c r="H1059" s="2">
        <v>46177.771631909724</v>
      </c>
      <c r="I1059" s="1" t="s">
        <v>1211</v>
      </c>
      <c r="J1059" s="1" t="s">
        <v>3051</v>
      </c>
    </row>
    <row r="1060" spans="1:10" x14ac:dyDescent="0.35">
      <c r="A1060" s="1" t="s">
        <v>1797</v>
      </c>
      <c r="B1060" s="1" t="s">
        <v>1224</v>
      </c>
      <c r="C1060" s="1" t="s">
        <v>1210</v>
      </c>
      <c r="D1060" s="2">
        <v>46177</v>
      </c>
      <c r="E1060">
        <v>106.9921875</v>
      </c>
      <c r="F1060" s="2">
        <v>46177.771628935188</v>
      </c>
      <c r="G1060" s="1" t="s">
        <v>1211</v>
      </c>
      <c r="H1060" s="2">
        <v>46177.771628819442</v>
      </c>
      <c r="I1060" s="1" t="s">
        <v>1211</v>
      </c>
      <c r="J1060" s="1" t="s">
        <v>3051</v>
      </c>
    </row>
    <row r="1061" spans="1:10" x14ac:dyDescent="0.35">
      <c r="A1061" s="1" t="s">
        <v>1798</v>
      </c>
      <c r="B1061" s="1" t="s">
        <v>1224</v>
      </c>
      <c r="C1061" s="1" t="s">
        <v>1210</v>
      </c>
      <c r="D1061" s="2">
        <v>46177</v>
      </c>
      <c r="E1061">
        <v>87.92</v>
      </c>
      <c r="F1061" s="2">
        <v>46177.771629050927</v>
      </c>
      <c r="G1061" s="1" t="s">
        <v>1211</v>
      </c>
      <c r="H1061" s="2">
        <v>46177.771629016206</v>
      </c>
      <c r="I1061" s="1" t="s">
        <v>1211</v>
      </c>
      <c r="J1061" s="1" t="s">
        <v>3051</v>
      </c>
    </row>
    <row r="1062" spans="1:10" x14ac:dyDescent="0.35">
      <c r="A1062" s="1" t="s">
        <v>1799</v>
      </c>
      <c r="B1062" s="1" t="s">
        <v>1224</v>
      </c>
      <c r="C1062" s="1" t="s">
        <v>1210</v>
      </c>
      <c r="D1062" s="2">
        <v>46177</v>
      </c>
      <c r="E1062">
        <v>87.8</v>
      </c>
      <c r="F1062" s="2">
        <v>46177.771629201387</v>
      </c>
      <c r="G1062" s="1" t="s">
        <v>1211</v>
      </c>
      <c r="H1062" s="2">
        <v>46177.771629201387</v>
      </c>
      <c r="I1062" s="1" t="s">
        <v>1211</v>
      </c>
      <c r="J1062" s="1" t="s">
        <v>3051</v>
      </c>
    </row>
    <row r="1063" spans="1:10" x14ac:dyDescent="0.35">
      <c r="A1063" s="1" t="s">
        <v>1800</v>
      </c>
      <c r="B1063" s="1" t="s">
        <v>1224</v>
      </c>
      <c r="C1063" s="1" t="s">
        <v>1210</v>
      </c>
      <c r="D1063" s="2">
        <v>46177</v>
      </c>
      <c r="E1063">
        <v>87.72</v>
      </c>
      <c r="F1063" s="2">
        <v>46177.771629363429</v>
      </c>
      <c r="G1063" s="1" t="s">
        <v>1211</v>
      </c>
      <c r="H1063" s="2">
        <v>46177.771629363429</v>
      </c>
      <c r="I1063" s="1" t="s">
        <v>1211</v>
      </c>
      <c r="J1063" s="1" t="s">
        <v>3051</v>
      </c>
    </row>
    <row r="1064" spans="1:10" x14ac:dyDescent="0.35">
      <c r="A1064" s="1" t="s">
        <v>1801</v>
      </c>
      <c r="B1064" s="1" t="s">
        <v>1209</v>
      </c>
      <c r="C1064" s="1" t="s">
        <v>1210</v>
      </c>
      <c r="D1064" s="2">
        <v>46177</v>
      </c>
      <c r="E1064">
        <v>4.24886857183535E-2</v>
      </c>
      <c r="F1064" s="2">
        <v>46177.771720370372</v>
      </c>
      <c r="G1064" s="1" t="s">
        <v>1211</v>
      </c>
      <c r="H1064" s="2">
        <v>46177.771720405093</v>
      </c>
      <c r="I1064" s="1" t="s">
        <v>1211</v>
      </c>
      <c r="J1064" s="1" t="s">
        <v>4058</v>
      </c>
    </row>
    <row r="1065" spans="1:10" x14ac:dyDescent="0.35">
      <c r="A1065" s="1" t="s">
        <v>1802</v>
      </c>
      <c r="B1065" s="1" t="s">
        <v>1209</v>
      </c>
      <c r="C1065" s="1" t="s">
        <v>1210</v>
      </c>
      <c r="D1065" s="2">
        <v>46177</v>
      </c>
      <c r="E1065">
        <v>4.5051972141641798E-2</v>
      </c>
      <c r="F1065" s="2">
        <v>46177.771741203702</v>
      </c>
      <c r="G1065" s="1" t="s">
        <v>1211</v>
      </c>
      <c r="H1065" s="2">
        <v>46177.771741319448</v>
      </c>
      <c r="I1065" s="1" t="s">
        <v>1211</v>
      </c>
      <c r="J1065" s="1" t="s">
        <v>4059</v>
      </c>
    </row>
    <row r="1066" spans="1:10" x14ac:dyDescent="0.35">
      <c r="A1066" s="1" t="s">
        <v>1803</v>
      </c>
      <c r="B1066" s="1" t="s">
        <v>1209</v>
      </c>
      <c r="C1066" s="1" t="s">
        <v>1210</v>
      </c>
      <c r="D1066" s="2">
        <v>46177</v>
      </c>
      <c r="E1066">
        <v>-0.25512371891575703</v>
      </c>
      <c r="F1066" s="2">
        <v>46177.771704780091</v>
      </c>
      <c r="G1066" s="1" t="s">
        <v>1211</v>
      </c>
      <c r="H1066" s="2">
        <v>46177.771704780091</v>
      </c>
      <c r="I1066" s="1" t="s">
        <v>1211</v>
      </c>
      <c r="J1066" s="1" t="s">
        <v>4060</v>
      </c>
    </row>
    <row r="1067" spans="1:10" x14ac:dyDescent="0.35">
      <c r="A1067" s="1" t="s">
        <v>1804</v>
      </c>
      <c r="B1067" s="1" t="s">
        <v>1209</v>
      </c>
      <c r="C1067" s="1" t="s">
        <v>1210</v>
      </c>
      <c r="D1067" s="2">
        <v>46177</v>
      </c>
      <c r="E1067">
        <v>-8.7098148913971593E-2</v>
      </c>
      <c r="F1067" s="2">
        <v>46177.771708217595</v>
      </c>
      <c r="G1067" s="1" t="s">
        <v>1211</v>
      </c>
      <c r="H1067" s="2">
        <v>46177.771708217595</v>
      </c>
      <c r="I1067" s="1" t="s">
        <v>1211</v>
      </c>
      <c r="J1067" s="1" t="s">
        <v>4061</v>
      </c>
    </row>
    <row r="1068" spans="1:10" x14ac:dyDescent="0.35">
      <c r="A1068" s="1" t="s">
        <v>1805</v>
      </c>
      <c r="B1068" s="1" t="s">
        <v>1209</v>
      </c>
      <c r="C1068" s="1" t="s">
        <v>1210</v>
      </c>
      <c r="D1068" s="2">
        <v>46177</v>
      </c>
      <c r="E1068">
        <v>4.9307677991797298E-2</v>
      </c>
      <c r="F1068" s="2">
        <v>46177.771660335646</v>
      </c>
      <c r="G1068" s="1" t="s">
        <v>1211</v>
      </c>
      <c r="H1068" s="2">
        <v>46177.771660219907</v>
      </c>
      <c r="I1068" s="1" t="s">
        <v>1211</v>
      </c>
      <c r="J1068" s="1" t="s">
        <v>4062</v>
      </c>
    </row>
    <row r="1069" spans="1:10" x14ac:dyDescent="0.35">
      <c r="A1069" s="1" t="s">
        <v>1806</v>
      </c>
      <c r="B1069" s="1" t="s">
        <v>1209</v>
      </c>
      <c r="C1069" s="1" t="s">
        <v>1210</v>
      </c>
      <c r="D1069" s="2">
        <v>46177</v>
      </c>
      <c r="E1069">
        <v>5.1450982711045402E-2</v>
      </c>
      <c r="F1069" s="2">
        <v>46177.771689039349</v>
      </c>
      <c r="G1069" s="1" t="s">
        <v>1211</v>
      </c>
      <c r="H1069" s="2">
        <v>46177.771688923611</v>
      </c>
      <c r="I1069" s="1" t="s">
        <v>1211</v>
      </c>
      <c r="J1069" s="1" t="s">
        <v>4063</v>
      </c>
    </row>
    <row r="1070" spans="1:10" x14ac:dyDescent="0.35">
      <c r="A1070" s="1" t="s">
        <v>1807</v>
      </c>
      <c r="B1070" s="1" t="s">
        <v>1209</v>
      </c>
      <c r="C1070" s="1" t="s">
        <v>1210</v>
      </c>
      <c r="D1070" s="2">
        <v>46177</v>
      </c>
      <c r="E1070">
        <v>5.5912250032095101E-2</v>
      </c>
      <c r="F1070" s="2">
        <v>46177.771668402776</v>
      </c>
      <c r="G1070" s="1" t="s">
        <v>1211</v>
      </c>
      <c r="H1070" s="2">
        <v>46177.771668402776</v>
      </c>
      <c r="I1070" s="1" t="s">
        <v>1211</v>
      </c>
      <c r="J1070" s="1" t="s">
        <v>4064</v>
      </c>
    </row>
    <row r="1071" spans="1:10" x14ac:dyDescent="0.35">
      <c r="A1071" s="1" t="s">
        <v>1808</v>
      </c>
      <c r="B1071" s="1" t="s">
        <v>1209</v>
      </c>
      <c r="C1071" s="1" t="s">
        <v>1210</v>
      </c>
      <c r="D1071" s="2">
        <v>46177</v>
      </c>
      <c r="E1071">
        <v>2.3261010238605499E-2</v>
      </c>
      <c r="F1071" s="2">
        <v>46177.771751851855</v>
      </c>
      <c r="G1071" s="1" t="s">
        <v>1211</v>
      </c>
      <c r="H1071" s="2">
        <v>46177.771751817127</v>
      </c>
      <c r="I1071" s="1" t="s">
        <v>1211</v>
      </c>
      <c r="J1071" s="1" t="s">
        <v>4065</v>
      </c>
    </row>
    <row r="1072" spans="1:10" x14ac:dyDescent="0.35">
      <c r="A1072" s="1" t="s">
        <v>1809</v>
      </c>
      <c r="B1072" s="1" t="s">
        <v>1209</v>
      </c>
      <c r="C1072" s="1" t="s">
        <v>1210</v>
      </c>
      <c r="D1072" s="2">
        <v>46177</v>
      </c>
      <c r="E1072">
        <v>-2.4909135972467698E-3</v>
      </c>
      <c r="F1072" s="2">
        <v>46177.771696643518</v>
      </c>
      <c r="G1072" s="1" t="s">
        <v>1211</v>
      </c>
      <c r="H1072" s="2">
        <v>46177.771696493059</v>
      </c>
      <c r="I1072" s="1" t="s">
        <v>1211</v>
      </c>
      <c r="J1072" s="1" t="s">
        <v>4066</v>
      </c>
    </row>
    <row r="1073" spans="1:10" x14ac:dyDescent="0.35">
      <c r="A1073" s="1" t="s">
        <v>1810</v>
      </c>
      <c r="B1073" s="1" t="s">
        <v>1209</v>
      </c>
      <c r="C1073" s="1" t="s">
        <v>1210</v>
      </c>
      <c r="D1073" s="2">
        <v>46177</v>
      </c>
      <c r="E1073">
        <v>5.5275575834583597E-2</v>
      </c>
      <c r="F1073" s="2">
        <v>46177.771675312499</v>
      </c>
      <c r="G1073" s="1" t="s">
        <v>1211</v>
      </c>
      <c r="H1073" s="2">
        <v>46177.771675312499</v>
      </c>
      <c r="I1073" s="1" t="s">
        <v>1211</v>
      </c>
      <c r="J1073" s="1" t="s">
        <v>4067</v>
      </c>
    </row>
    <row r="1074" spans="1:10" x14ac:dyDescent="0.35">
      <c r="A1074" s="1" t="s">
        <v>1811</v>
      </c>
      <c r="B1074" s="1" t="s">
        <v>1209</v>
      </c>
      <c r="C1074" s="1" t="s">
        <v>1210</v>
      </c>
      <c r="D1074" s="2">
        <v>46177</v>
      </c>
      <c r="E1074">
        <v>4.2442831260034897E-2</v>
      </c>
      <c r="F1074" s="2">
        <v>46177.771656481484</v>
      </c>
      <c r="G1074" s="1" t="s">
        <v>1211</v>
      </c>
      <c r="H1074" s="2">
        <v>46177.771656400466</v>
      </c>
      <c r="I1074" s="1" t="s">
        <v>1211</v>
      </c>
      <c r="J1074" s="1" t="s">
        <v>4068</v>
      </c>
    </row>
    <row r="1075" spans="1:10" x14ac:dyDescent="0.35">
      <c r="A1075" s="1" t="s">
        <v>1812</v>
      </c>
      <c r="B1075" s="1" t="s">
        <v>1209</v>
      </c>
      <c r="C1075" s="1" t="s">
        <v>1210</v>
      </c>
      <c r="D1075" s="2">
        <v>46177</v>
      </c>
      <c r="E1075">
        <v>1.7992552091998699E-2</v>
      </c>
      <c r="F1075" s="2">
        <v>46177.771724039354</v>
      </c>
      <c r="G1075" s="1" t="s">
        <v>1211</v>
      </c>
      <c r="H1075" s="2">
        <v>46177.771724039354</v>
      </c>
      <c r="I1075" s="1" t="s">
        <v>1211</v>
      </c>
      <c r="J1075" s="1" t="s">
        <v>4069</v>
      </c>
    </row>
    <row r="1076" spans="1:10" x14ac:dyDescent="0.35">
      <c r="A1076" s="1" t="s">
        <v>1813</v>
      </c>
      <c r="B1076" s="1" t="s">
        <v>1209</v>
      </c>
      <c r="C1076" s="1" t="s">
        <v>1210</v>
      </c>
      <c r="D1076" s="2">
        <v>46177</v>
      </c>
      <c r="E1076">
        <v>5.3911129629849501E-2</v>
      </c>
      <c r="F1076" s="2">
        <v>46177.771704942126</v>
      </c>
      <c r="G1076" s="1" t="s">
        <v>1211</v>
      </c>
      <c r="H1076" s="2">
        <v>46177.771704976854</v>
      </c>
      <c r="I1076" s="1" t="s">
        <v>1211</v>
      </c>
      <c r="J1076" s="1" t="s">
        <v>4070</v>
      </c>
    </row>
    <row r="1077" spans="1:10" x14ac:dyDescent="0.35">
      <c r="A1077" s="1" t="s">
        <v>1814</v>
      </c>
      <c r="B1077" s="1" t="s">
        <v>1209</v>
      </c>
      <c r="C1077" s="1" t="s">
        <v>1210</v>
      </c>
      <c r="D1077" s="2">
        <v>46177</v>
      </c>
      <c r="E1077">
        <v>4.3510932037649101E-2</v>
      </c>
      <c r="F1077" s="2">
        <v>46177.771658912039</v>
      </c>
      <c r="G1077" s="1" t="s">
        <v>1211</v>
      </c>
      <c r="H1077" s="2">
        <v>46177.77165894676</v>
      </c>
      <c r="I1077" s="1" t="s">
        <v>1211</v>
      </c>
      <c r="J1077" s="1" t="s">
        <v>4071</v>
      </c>
    </row>
    <row r="1078" spans="1:10" x14ac:dyDescent="0.35">
      <c r="A1078" s="1" t="s">
        <v>1815</v>
      </c>
      <c r="B1078" s="1" t="s">
        <v>1209</v>
      </c>
      <c r="C1078" s="1" t="s">
        <v>1210</v>
      </c>
      <c r="D1078" s="2">
        <v>46177</v>
      </c>
      <c r="E1078">
        <v>2.3056785114806199E-2</v>
      </c>
      <c r="F1078" s="2">
        <v>46177.771674305557</v>
      </c>
      <c r="G1078" s="1" t="s">
        <v>1211</v>
      </c>
      <c r="H1078" s="2">
        <v>46177.771674386575</v>
      </c>
      <c r="I1078" s="1" t="s">
        <v>1211</v>
      </c>
      <c r="J1078" s="1" t="s">
        <v>4072</v>
      </c>
    </row>
    <row r="1079" spans="1:10" x14ac:dyDescent="0.35">
      <c r="A1079" s="1" t="s">
        <v>1816</v>
      </c>
      <c r="B1079" s="1" t="s">
        <v>1209</v>
      </c>
      <c r="C1079" s="1" t="s">
        <v>1210</v>
      </c>
      <c r="D1079" s="2">
        <v>46177</v>
      </c>
      <c r="E1079">
        <v>5.5597297081972898E-2</v>
      </c>
      <c r="F1079" s="2">
        <v>46177.771739432872</v>
      </c>
      <c r="G1079" s="1" t="s">
        <v>1211</v>
      </c>
      <c r="H1079" s="2">
        <v>46177.771739502314</v>
      </c>
      <c r="I1079" s="1" t="s">
        <v>1211</v>
      </c>
      <c r="J1079" s="1" t="s">
        <v>4073</v>
      </c>
    </row>
    <row r="1080" spans="1:10" x14ac:dyDescent="0.35">
      <c r="A1080" s="1" t="s">
        <v>1817</v>
      </c>
      <c r="B1080" s="1" t="s">
        <v>1209</v>
      </c>
      <c r="C1080" s="1" t="s">
        <v>1210</v>
      </c>
      <c r="D1080" s="2">
        <v>46177</v>
      </c>
      <c r="E1080">
        <v>1.06335308986011E-2</v>
      </c>
      <c r="F1080" s="2">
        <v>46177.771672303243</v>
      </c>
      <c r="G1080" s="1" t="s">
        <v>1211</v>
      </c>
      <c r="H1080" s="2">
        <v>46177.771672418981</v>
      </c>
      <c r="I1080" s="1" t="s">
        <v>1211</v>
      </c>
      <c r="J1080" s="1" t="s">
        <v>4074</v>
      </c>
    </row>
    <row r="1081" spans="1:10" x14ac:dyDescent="0.35">
      <c r="A1081" s="1" t="s">
        <v>1818</v>
      </c>
      <c r="B1081" s="1" t="s">
        <v>1209</v>
      </c>
      <c r="C1081" s="1" t="s">
        <v>1210</v>
      </c>
      <c r="D1081" s="2">
        <v>46177</v>
      </c>
      <c r="E1081">
        <v>5.2035260740973303E-2</v>
      </c>
      <c r="F1081" s="2">
        <v>46177.771688738423</v>
      </c>
      <c r="G1081" s="1" t="s">
        <v>1211</v>
      </c>
      <c r="H1081" s="2">
        <v>46177.771688576388</v>
      </c>
      <c r="I1081" s="1" t="s">
        <v>1211</v>
      </c>
      <c r="J1081" s="1" t="s">
        <v>4075</v>
      </c>
    </row>
    <row r="1082" spans="1:10" x14ac:dyDescent="0.35">
      <c r="A1082" s="1" t="s">
        <v>1819</v>
      </c>
      <c r="B1082" s="1" t="s">
        <v>1209</v>
      </c>
      <c r="C1082" s="1" t="s">
        <v>1210</v>
      </c>
      <c r="D1082" s="2">
        <v>46177</v>
      </c>
      <c r="E1082">
        <v>2.0411296879571699E-2</v>
      </c>
      <c r="F1082" s="2">
        <v>46177.771654629629</v>
      </c>
      <c r="G1082" s="1" t="s">
        <v>1211</v>
      </c>
      <c r="H1082" s="2">
        <v>46177.77165451389</v>
      </c>
      <c r="I1082" s="1" t="s">
        <v>1211</v>
      </c>
      <c r="J1082" s="1" t="s">
        <v>4076</v>
      </c>
    </row>
    <row r="1083" spans="1:10" x14ac:dyDescent="0.35">
      <c r="A1083" s="1" t="s">
        <v>1820</v>
      </c>
      <c r="B1083" s="1" t="s">
        <v>1209</v>
      </c>
      <c r="C1083" s="1" t="s">
        <v>1210</v>
      </c>
      <c r="D1083" s="2">
        <v>46177</v>
      </c>
      <c r="E1083">
        <v>2.1591790466190801E-2</v>
      </c>
      <c r="F1083" s="2">
        <v>46177.771703124999</v>
      </c>
      <c r="G1083" s="1" t="s">
        <v>1211</v>
      </c>
      <c r="H1083" s="2">
        <v>46177.771703090279</v>
      </c>
      <c r="I1083" s="1" t="s">
        <v>1211</v>
      </c>
      <c r="J1083" s="1" t="s">
        <v>4077</v>
      </c>
    </row>
    <row r="1084" spans="1:10" x14ac:dyDescent="0.35">
      <c r="A1084" s="1" t="s">
        <v>1821</v>
      </c>
      <c r="B1084" s="1" t="s">
        <v>1209</v>
      </c>
      <c r="C1084" s="1" t="s">
        <v>1210</v>
      </c>
      <c r="D1084" s="2">
        <v>46177</v>
      </c>
      <c r="E1084">
        <v>4.5015251116151704E-3</v>
      </c>
      <c r="F1084" s="2">
        <v>46177.771689814814</v>
      </c>
      <c r="G1084" s="1" t="s">
        <v>1211</v>
      </c>
      <c r="H1084" s="2">
        <v>46177.771689664354</v>
      </c>
      <c r="I1084" s="1" t="s">
        <v>1211</v>
      </c>
      <c r="J1084" s="1" t="s">
        <v>4078</v>
      </c>
    </row>
    <row r="1085" spans="1:10" x14ac:dyDescent="0.35">
      <c r="A1085" s="1" t="s">
        <v>1822</v>
      </c>
      <c r="B1085" s="1" t="s">
        <v>1209</v>
      </c>
      <c r="C1085" s="1" t="s">
        <v>1210</v>
      </c>
      <c r="D1085" s="2">
        <v>46177</v>
      </c>
      <c r="E1085">
        <v>2.36135575817423E-2</v>
      </c>
      <c r="F1085" s="2">
        <v>46177.771740856479</v>
      </c>
      <c r="G1085" s="1" t="s">
        <v>1211</v>
      </c>
      <c r="H1085" s="2">
        <v>46177.771740972225</v>
      </c>
      <c r="I1085" s="1" t="s">
        <v>1211</v>
      </c>
      <c r="J1085" s="1" t="s">
        <v>4079</v>
      </c>
    </row>
    <row r="1086" spans="1:10" x14ac:dyDescent="0.35">
      <c r="A1086" s="1" t="s">
        <v>1823</v>
      </c>
      <c r="B1086" s="1" t="s">
        <v>1209</v>
      </c>
      <c r="C1086" s="1" t="s">
        <v>1210</v>
      </c>
      <c r="D1086" s="2">
        <v>46177</v>
      </c>
      <c r="E1086">
        <v>1.3872759374551799E-2</v>
      </c>
      <c r="F1086" s="2">
        <v>46177.771675462966</v>
      </c>
      <c r="G1086" s="1" t="s">
        <v>1211</v>
      </c>
      <c r="H1086" s="2">
        <v>46177.771675497686</v>
      </c>
      <c r="I1086" s="1" t="s">
        <v>1211</v>
      </c>
      <c r="J1086" s="1" t="s">
        <v>4080</v>
      </c>
    </row>
    <row r="1087" spans="1:10" x14ac:dyDescent="0.35">
      <c r="A1087" s="1" t="s">
        <v>1824</v>
      </c>
      <c r="B1087" s="1" t="s">
        <v>1209</v>
      </c>
      <c r="C1087" s="1" t="s">
        <v>1210</v>
      </c>
      <c r="D1087" s="2">
        <v>46177</v>
      </c>
      <c r="E1087">
        <v>2.2401838492457998E-2</v>
      </c>
      <c r="F1087" s="2">
        <v>46177.771659606478</v>
      </c>
      <c r="G1087" s="1" t="s">
        <v>1211</v>
      </c>
      <c r="H1087" s="2">
        <v>46177.77165949074</v>
      </c>
      <c r="I1087" s="1" t="s">
        <v>1211</v>
      </c>
      <c r="J1087" s="1" t="s">
        <v>4081</v>
      </c>
    </row>
    <row r="1088" spans="1:10" x14ac:dyDescent="0.35">
      <c r="A1088" s="1" t="s">
        <v>1825</v>
      </c>
      <c r="B1088" s="1" t="s">
        <v>1209</v>
      </c>
      <c r="C1088" s="1" t="s">
        <v>1210</v>
      </c>
      <c r="D1088" s="2">
        <v>46177</v>
      </c>
      <c r="E1088">
        <v>4.7665022021294197E-2</v>
      </c>
      <c r="F1088" s="2">
        <v>46177.771672916664</v>
      </c>
      <c r="G1088" s="1" t="s">
        <v>1211</v>
      </c>
      <c r="H1088" s="2">
        <v>46177.771672951392</v>
      </c>
      <c r="I1088" s="1" t="s">
        <v>1211</v>
      </c>
      <c r="J1088" s="1" t="s">
        <v>4082</v>
      </c>
    </row>
    <row r="1089" spans="1:10" x14ac:dyDescent="0.35">
      <c r="A1089" s="1" t="s">
        <v>1826</v>
      </c>
      <c r="B1089" s="1" t="s">
        <v>1209</v>
      </c>
      <c r="C1089" s="1" t="s">
        <v>1210</v>
      </c>
      <c r="D1089" s="2">
        <v>46177</v>
      </c>
      <c r="E1089">
        <v>5.55543190552907E-2</v>
      </c>
      <c r="F1089" s="2">
        <v>46177.771657986108</v>
      </c>
      <c r="G1089" s="1" t="s">
        <v>1211</v>
      </c>
      <c r="H1089" s="2">
        <v>46177.771658020836</v>
      </c>
      <c r="I1089" s="1" t="s">
        <v>1211</v>
      </c>
      <c r="J1089" s="1" t="s">
        <v>4083</v>
      </c>
    </row>
    <row r="1090" spans="1:10" x14ac:dyDescent="0.35">
      <c r="A1090" s="1" t="s">
        <v>1827</v>
      </c>
      <c r="B1090" s="1" t="s">
        <v>1209</v>
      </c>
      <c r="C1090" s="1" t="s">
        <v>1210</v>
      </c>
      <c r="D1090" s="2">
        <v>46177</v>
      </c>
      <c r="E1090">
        <v>5.2820520651934301E-2</v>
      </c>
      <c r="F1090" s="2">
        <v>46177.771667627312</v>
      </c>
      <c r="G1090" s="1" t="s">
        <v>1211</v>
      </c>
      <c r="H1090" s="2">
        <v>46177.771667673609</v>
      </c>
      <c r="I1090" s="1" t="s">
        <v>1211</v>
      </c>
      <c r="J1090" s="1" t="s">
        <v>4084</v>
      </c>
    </row>
    <row r="1091" spans="1:10" x14ac:dyDescent="0.35">
      <c r="A1091" s="1" t="s">
        <v>1828</v>
      </c>
      <c r="B1091" s="1" t="s">
        <v>1209</v>
      </c>
      <c r="C1091" s="1" t="s">
        <v>1210</v>
      </c>
      <c r="D1091" s="2">
        <v>46177</v>
      </c>
      <c r="E1091">
        <v>5.5888763836456003E-2</v>
      </c>
      <c r="F1091" s="2">
        <v>46177.771723344908</v>
      </c>
      <c r="G1091" s="1" t="s">
        <v>1211</v>
      </c>
      <c r="H1091" s="2">
        <v>46177.771723298611</v>
      </c>
      <c r="I1091" s="1" t="s">
        <v>1211</v>
      </c>
      <c r="J1091" s="1" t="s">
        <v>4085</v>
      </c>
    </row>
    <row r="1092" spans="1:10" x14ac:dyDescent="0.35">
      <c r="A1092" s="1" t="s">
        <v>1829</v>
      </c>
      <c r="B1092" s="1" t="s">
        <v>1209</v>
      </c>
      <c r="C1092" s="1" t="s">
        <v>1210</v>
      </c>
      <c r="D1092" s="2">
        <v>46177</v>
      </c>
      <c r="E1092">
        <v>2.3546351971361699E-2</v>
      </c>
      <c r="F1092" s="2">
        <v>46177.771695254633</v>
      </c>
      <c r="G1092" s="1" t="s">
        <v>1211</v>
      </c>
      <c r="H1092" s="2">
        <v>46177.771695219904</v>
      </c>
      <c r="I1092" s="1" t="s">
        <v>1211</v>
      </c>
      <c r="J1092" s="1" t="s">
        <v>4086</v>
      </c>
    </row>
    <row r="1093" spans="1:10" x14ac:dyDescent="0.35">
      <c r="A1093" s="1" t="s">
        <v>1830</v>
      </c>
      <c r="B1093" s="1" t="s">
        <v>1209</v>
      </c>
      <c r="C1093" s="1" t="s">
        <v>1210</v>
      </c>
      <c r="D1093" s="2">
        <v>46177</v>
      </c>
      <c r="E1093">
        <v>2.2618628632793601E-2</v>
      </c>
      <c r="F1093" s="2">
        <v>46177.771707557869</v>
      </c>
      <c r="G1093" s="1" t="s">
        <v>1211</v>
      </c>
      <c r="H1093" s="2">
        <v>46177.771707523149</v>
      </c>
      <c r="I1093" s="1" t="s">
        <v>1211</v>
      </c>
      <c r="J1093" s="1" t="s">
        <v>4087</v>
      </c>
    </row>
    <row r="1094" spans="1:10" x14ac:dyDescent="0.35">
      <c r="A1094" s="1" t="s">
        <v>1831</v>
      </c>
      <c r="B1094" s="1" t="s">
        <v>1209</v>
      </c>
      <c r="C1094" s="1" t="s">
        <v>1210</v>
      </c>
      <c r="D1094" s="2">
        <v>46177</v>
      </c>
      <c r="E1094">
        <v>5.4802883039885598E-2</v>
      </c>
      <c r="F1094" s="2">
        <v>46177.771692442133</v>
      </c>
      <c r="G1094" s="1" t="s">
        <v>1211</v>
      </c>
      <c r="H1094" s="2">
        <v>46177.771692442133</v>
      </c>
      <c r="I1094" s="1" t="s">
        <v>1211</v>
      </c>
      <c r="J1094" s="1" t="s">
        <v>4088</v>
      </c>
    </row>
    <row r="1095" spans="1:10" x14ac:dyDescent="0.35">
      <c r="A1095" s="1" t="s">
        <v>1832</v>
      </c>
      <c r="B1095" s="1" t="s">
        <v>1209</v>
      </c>
      <c r="C1095" s="1" t="s">
        <v>1210</v>
      </c>
      <c r="D1095" s="2">
        <v>46177</v>
      </c>
      <c r="E1095">
        <v>5.4851303998730699E-2</v>
      </c>
      <c r="F1095" s="2">
        <v>46177.771658449077</v>
      </c>
      <c r="G1095" s="1" t="s">
        <v>1211</v>
      </c>
      <c r="H1095" s="2">
        <v>46177.771658414349</v>
      </c>
      <c r="I1095" s="1" t="s">
        <v>1211</v>
      </c>
      <c r="J1095" s="1" t="s">
        <v>4089</v>
      </c>
    </row>
    <row r="1096" spans="1:10" x14ac:dyDescent="0.35">
      <c r="A1096" s="1" t="s">
        <v>1833</v>
      </c>
      <c r="B1096" s="1" t="s">
        <v>1209</v>
      </c>
      <c r="C1096" s="1" t="s">
        <v>1210</v>
      </c>
      <c r="D1096" s="2">
        <v>46177</v>
      </c>
      <c r="E1096">
        <v>5.57636519116829E-2</v>
      </c>
      <c r="F1096" s="2">
        <v>46177.771743368059</v>
      </c>
      <c r="G1096" s="1" t="s">
        <v>1211</v>
      </c>
      <c r="H1096" s="2">
        <v>46177.771743518519</v>
      </c>
      <c r="I1096" s="1" t="s">
        <v>1211</v>
      </c>
      <c r="J1096" s="1" t="s">
        <v>4090</v>
      </c>
    </row>
    <row r="1097" spans="1:10" x14ac:dyDescent="0.35">
      <c r="A1097" s="1" t="s">
        <v>1834</v>
      </c>
      <c r="B1097" s="1" t="s">
        <v>1209</v>
      </c>
      <c r="C1097" s="1" t="s">
        <v>1210</v>
      </c>
      <c r="D1097" s="2">
        <v>46177</v>
      </c>
      <c r="E1097">
        <v>2.1736532479001001E-2</v>
      </c>
      <c r="F1097" s="2">
        <v>46177.771705243053</v>
      </c>
      <c r="G1097" s="1" t="s">
        <v>1211</v>
      </c>
      <c r="H1097" s="2">
        <v>46177.771705173611</v>
      </c>
      <c r="I1097" s="1" t="s">
        <v>1211</v>
      </c>
      <c r="J1097" s="1" t="s">
        <v>4091</v>
      </c>
    </row>
    <row r="1098" spans="1:10" x14ac:dyDescent="0.35">
      <c r="A1098" s="1" t="s">
        <v>1835</v>
      </c>
      <c r="B1098" s="1" t="s">
        <v>1209</v>
      </c>
      <c r="C1098" s="1" t="s">
        <v>1210</v>
      </c>
      <c r="D1098" s="2">
        <v>46177</v>
      </c>
      <c r="E1098">
        <v>5.5639830173047002E-2</v>
      </c>
      <c r="F1098" s="2">
        <v>46177.771697222219</v>
      </c>
      <c r="G1098" s="1" t="s">
        <v>1211</v>
      </c>
      <c r="H1098" s="2">
        <v>46177.771697222219</v>
      </c>
      <c r="I1098" s="1" t="s">
        <v>1211</v>
      </c>
      <c r="J1098" s="1" t="s">
        <v>4092</v>
      </c>
    </row>
    <row r="1099" spans="1:10" x14ac:dyDescent="0.35">
      <c r="A1099" s="1" t="s">
        <v>1836</v>
      </c>
      <c r="B1099" s="1" t="s">
        <v>1209</v>
      </c>
      <c r="C1099" s="1" t="s">
        <v>1210</v>
      </c>
      <c r="D1099" s="2">
        <v>46177</v>
      </c>
      <c r="E1099">
        <v>4.2028171192679598E-2</v>
      </c>
      <c r="F1099" s="2">
        <v>46177.771744212965</v>
      </c>
      <c r="G1099" s="1" t="s">
        <v>1211</v>
      </c>
      <c r="H1099" s="2">
        <v>46177.771744212965</v>
      </c>
      <c r="I1099" s="1" t="s">
        <v>1211</v>
      </c>
      <c r="J1099" s="1" t="s">
        <v>4093</v>
      </c>
    </row>
    <row r="1100" spans="1:10" x14ac:dyDescent="0.35">
      <c r="A1100" s="1" t="s">
        <v>1837</v>
      </c>
      <c r="B1100" s="1" t="s">
        <v>1209</v>
      </c>
      <c r="C1100" s="1" t="s">
        <v>1210</v>
      </c>
      <c r="D1100" s="2">
        <v>46177</v>
      </c>
      <c r="E1100">
        <v>2.1138696185117399E-2</v>
      </c>
      <c r="F1100" s="2">
        <v>46177.771747685183</v>
      </c>
      <c r="G1100" s="1" t="s">
        <v>1211</v>
      </c>
      <c r="H1100" s="2">
        <v>46177.771747650462</v>
      </c>
      <c r="I1100" s="1" t="s">
        <v>1211</v>
      </c>
      <c r="J1100" s="1" t="s">
        <v>4094</v>
      </c>
    </row>
    <row r="1101" spans="1:10" x14ac:dyDescent="0.35">
      <c r="A1101" s="1" t="s">
        <v>1838</v>
      </c>
      <c r="B1101" s="1" t="s">
        <v>1209</v>
      </c>
      <c r="C1101" s="1" t="s">
        <v>1210</v>
      </c>
      <c r="D1101" s="2">
        <v>46177</v>
      </c>
      <c r="E1101">
        <v>5.2860472501985702E-2</v>
      </c>
      <c r="F1101" s="2">
        <v>46177.771706944448</v>
      </c>
      <c r="G1101" s="1" t="s">
        <v>1211</v>
      </c>
      <c r="H1101" s="2">
        <v>46177.771706979169</v>
      </c>
      <c r="I1101" s="1" t="s">
        <v>1211</v>
      </c>
      <c r="J1101" s="1" t="s">
        <v>4095</v>
      </c>
    </row>
    <row r="1102" spans="1:10" x14ac:dyDescent="0.35">
      <c r="A1102" s="1" t="s">
        <v>1839</v>
      </c>
      <c r="B1102" s="1" t="s">
        <v>1209</v>
      </c>
      <c r="C1102" s="1" t="s">
        <v>1210</v>
      </c>
      <c r="D1102" s="2">
        <v>46177</v>
      </c>
      <c r="E1102">
        <v>5.57132438277523E-2</v>
      </c>
      <c r="F1102" s="2">
        <v>46177.771713738424</v>
      </c>
      <c r="G1102" s="1" t="s">
        <v>1211</v>
      </c>
      <c r="H1102" s="2">
        <v>46177.771713738424</v>
      </c>
      <c r="I1102" s="1" t="s">
        <v>1211</v>
      </c>
      <c r="J1102" s="1" t="s">
        <v>4096</v>
      </c>
    </row>
    <row r="1103" spans="1:10" x14ac:dyDescent="0.35">
      <c r="A1103" s="1" t="s">
        <v>1840</v>
      </c>
      <c r="B1103" s="1" t="s">
        <v>1209</v>
      </c>
      <c r="C1103" s="1" t="s">
        <v>1210</v>
      </c>
      <c r="D1103" s="2">
        <v>46177</v>
      </c>
      <c r="E1103">
        <v>4.2519557249446102E-2</v>
      </c>
      <c r="F1103" s="2">
        <v>46177.771720833334</v>
      </c>
      <c r="G1103" s="1" t="s">
        <v>1211</v>
      </c>
      <c r="H1103" s="2">
        <v>46177.771720752316</v>
      </c>
      <c r="I1103" s="1" t="s">
        <v>1211</v>
      </c>
      <c r="J1103" s="1" t="s">
        <v>4097</v>
      </c>
    </row>
    <row r="1104" spans="1:10" x14ac:dyDescent="0.35">
      <c r="A1104" s="1" t="s">
        <v>1841</v>
      </c>
      <c r="B1104" s="1" t="s">
        <v>1209</v>
      </c>
      <c r="C1104" s="1" t="s">
        <v>1210</v>
      </c>
      <c r="D1104" s="2">
        <v>46177</v>
      </c>
      <c r="E1104">
        <v>5.6004743692807002E-2</v>
      </c>
      <c r="F1104" s="2">
        <v>46177.771675150463</v>
      </c>
      <c r="G1104" s="1" t="s">
        <v>1211</v>
      </c>
      <c r="H1104" s="2">
        <v>46177.771675115742</v>
      </c>
      <c r="I1104" s="1" t="s">
        <v>1211</v>
      </c>
      <c r="J1104" s="1" t="s">
        <v>4098</v>
      </c>
    </row>
    <row r="1105" spans="1:10" x14ac:dyDescent="0.35">
      <c r="A1105" s="1" t="s">
        <v>1842</v>
      </c>
      <c r="B1105" s="1" t="s">
        <v>1209</v>
      </c>
      <c r="C1105" s="1" t="s">
        <v>1210</v>
      </c>
      <c r="D1105" s="2">
        <v>46177</v>
      </c>
      <c r="E1105">
        <v>4.2968856786778198E-2</v>
      </c>
      <c r="F1105" s="2">
        <v>46177.771737037037</v>
      </c>
      <c r="G1105" s="1" t="s">
        <v>1211</v>
      </c>
      <c r="H1105" s="2">
        <v>46177.771737118055</v>
      </c>
      <c r="I1105" s="1" t="s">
        <v>1211</v>
      </c>
      <c r="J1105" s="1" t="s">
        <v>4099</v>
      </c>
    </row>
    <row r="1106" spans="1:10" x14ac:dyDescent="0.35">
      <c r="A1106" s="1" t="s">
        <v>1843</v>
      </c>
      <c r="B1106" s="1" t="s">
        <v>1209</v>
      </c>
      <c r="C1106" s="1" t="s">
        <v>1210</v>
      </c>
      <c r="D1106" s="2">
        <v>46177</v>
      </c>
      <c r="E1106">
        <v>5.3051799627110097E-2</v>
      </c>
      <c r="F1106" s="2">
        <v>46177.77165829861</v>
      </c>
      <c r="G1106" s="1" t="s">
        <v>1211</v>
      </c>
      <c r="H1106" s="2">
        <v>46177.771658333331</v>
      </c>
      <c r="I1106" s="1" t="s">
        <v>1211</v>
      </c>
      <c r="J1106" s="1" t="s">
        <v>4100</v>
      </c>
    </row>
    <row r="1107" spans="1:10" x14ac:dyDescent="0.35">
      <c r="A1107" s="1" t="s">
        <v>1844</v>
      </c>
      <c r="B1107" s="1" t="s">
        <v>1209</v>
      </c>
      <c r="C1107" s="1" t="s">
        <v>1210</v>
      </c>
      <c r="D1107" s="2">
        <v>46177</v>
      </c>
      <c r="E1107">
        <v>4.3339284833833598E-2</v>
      </c>
      <c r="F1107" s="2">
        <v>46177.771715740739</v>
      </c>
      <c r="G1107" s="1" t="s">
        <v>1211</v>
      </c>
      <c r="H1107" s="2">
        <v>46177.771715706018</v>
      </c>
      <c r="I1107" s="1" t="s">
        <v>1211</v>
      </c>
      <c r="J1107" s="1" t="s">
        <v>4101</v>
      </c>
    </row>
    <row r="1108" spans="1:10" x14ac:dyDescent="0.35">
      <c r="A1108" s="1" t="s">
        <v>1845</v>
      </c>
      <c r="B1108" s="1" t="s">
        <v>1209</v>
      </c>
      <c r="C1108" s="1" t="s">
        <v>1210</v>
      </c>
      <c r="D1108" s="2">
        <v>46177</v>
      </c>
      <c r="E1108">
        <v>4.1267110671408098E-2</v>
      </c>
      <c r="F1108" s="2">
        <v>46177.771674687501</v>
      </c>
      <c r="G1108" s="1" t="s">
        <v>1211</v>
      </c>
      <c r="H1108" s="2">
        <v>46177.771674768519</v>
      </c>
      <c r="I1108" s="1" t="s">
        <v>1211</v>
      </c>
      <c r="J1108" s="1" t="s">
        <v>4102</v>
      </c>
    </row>
    <row r="1109" spans="1:10" x14ac:dyDescent="0.35">
      <c r="A1109" s="1" t="s">
        <v>1846</v>
      </c>
      <c r="B1109" s="1" t="s">
        <v>1209</v>
      </c>
      <c r="C1109" s="1" t="s">
        <v>1210</v>
      </c>
      <c r="D1109" s="2">
        <v>46177</v>
      </c>
      <c r="E1109">
        <v>5.1503822646458197E-2</v>
      </c>
      <c r="F1109" s="2">
        <v>46177.771670752314</v>
      </c>
      <c r="G1109" s="1" t="s">
        <v>1211</v>
      </c>
      <c r="H1109" s="2">
        <v>46177.771670798611</v>
      </c>
      <c r="I1109" s="1" t="s">
        <v>1211</v>
      </c>
      <c r="J1109" s="1" t="s">
        <v>4103</v>
      </c>
    </row>
    <row r="1110" spans="1:10" x14ac:dyDescent="0.35">
      <c r="A1110" s="1" t="s">
        <v>1847</v>
      </c>
      <c r="B1110" s="1" t="s">
        <v>1209</v>
      </c>
      <c r="C1110" s="1" t="s">
        <v>1210</v>
      </c>
      <c r="D1110" s="2">
        <v>46177</v>
      </c>
      <c r="E1110">
        <v>5.6183296018603501E-2</v>
      </c>
      <c r="F1110" s="2">
        <v>46177.771669016205</v>
      </c>
      <c r="G1110" s="1" t="s">
        <v>1211</v>
      </c>
      <c r="H1110" s="2">
        <v>46177.771669131944</v>
      </c>
      <c r="I1110" s="1" t="s">
        <v>1211</v>
      </c>
      <c r="J1110" s="1" t="s">
        <v>4104</v>
      </c>
    </row>
    <row r="1111" spans="1:10" x14ac:dyDescent="0.35">
      <c r="A1111" s="1" t="s">
        <v>1848</v>
      </c>
      <c r="B1111" s="1" t="s">
        <v>1209</v>
      </c>
      <c r="C1111" s="1" t="s">
        <v>1210</v>
      </c>
      <c r="D1111" s="2">
        <v>46177</v>
      </c>
      <c r="E1111">
        <v>4.2545249184934297E-2</v>
      </c>
      <c r="F1111" s="2">
        <v>46177.771729016204</v>
      </c>
      <c r="G1111" s="1" t="s">
        <v>1211</v>
      </c>
      <c r="H1111" s="2">
        <v>46177.771728969907</v>
      </c>
      <c r="I1111" s="1" t="s">
        <v>1211</v>
      </c>
      <c r="J1111" s="1" t="s">
        <v>4105</v>
      </c>
    </row>
    <row r="1112" spans="1:10" x14ac:dyDescent="0.35">
      <c r="A1112" s="1" t="s">
        <v>1849</v>
      </c>
      <c r="B1112" s="1" t="s">
        <v>1209</v>
      </c>
      <c r="C1112" s="1" t="s">
        <v>1210</v>
      </c>
      <c r="D1112" s="2">
        <v>46177</v>
      </c>
      <c r="E1112">
        <v>5.1419818166077901E-2</v>
      </c>
      <c r="F1112" s="2">
        <v>46177.771735682873</v>
      </c>
      <c r="G1112" s="1" t="s">
        <v>1211</v>
      </c>
      <c r="H1112" s="2">
        <v>46177.771735844908</v>
      </c>
      <c r="I1112" s="1" t="s">
        <v>1211</v>
      </c>
      <c r="J1112" s="1" t="s">
        <v>4106</v>
      </c>
    </row>
    <row r="1113" spans="1:10" x14ac:dyDescent="0.35">
      <c r="A1113" s="1" t="s">
        <v>1850</v>
      </c>
      <c r="B1113" s="1" t="s">
        <v>1209</v>
      </c>
      <c r="C1113" s="1" t="s">
        <v>1210</v>
      </c>
      <c r="D1113" s="2">
        <v>46177</v>
      </c>
      <c r="E1113">
        <v>4.6811660016977202E-2</v>
      </c>
      <c r="F1113" s="2">
        <v>46177.77168888889</v>
      </c>
      <c r="G1113" s="1" t="s">
        <v>1211</v>
      </c>
      <c r="H1113" s="2">
        <v>46177.771688738423</v>
      </c>
      <c r="I1113" s="1" t="s">
        <v>1211</v>
      </c>
      <c r="J1113" s="1" t="s">
        <v>4107</v>
      </c>
    </row>
    <row r="1114" spans="1:10" x14ac:dyDescent="0.35">
      <c r="A1114" s="1" t="s">
        <v>1851</v>
      </c>
      <c r="B1114" s="1" t="s">
        <v>1209</v>
      </c>
      <c r="C1114" s="1" t="s">
        <v>1210</v>
      </c>
      <c r="D1114" s="2">
        <v>46177</v>
      </c>
      <c r="E1114">
        <v>4.5254768444901401E-2</v>
      </c>
      <c r="F1114" s="2">
        <v>46177.771716516203</v>
      </c>
      <c r="G1114" s="1" t="s">
        <v>1211</v>
      </c>
      <c r="H1114" s="2">
        <v>46177.771716435185</v>
      </c>
      <c r="I1114" s="1" t="s">
        <v>1211</v>
      </c>
      <c r="J1114" s="1" t="s">
        <v>4108</v>
      </c>
    </row>
    <row r="1115" spans="1:10" x14ac:dyDescent="0.35">
      <c r="A1115" s="1" t="s">
        <v>1852</v>
      </c>
      <c r="B1115" s="1" t="s">
        <v>1209</v>
      </c>
      <c r="C1115" s="1" t="s">
        <v>1210</v>
      </c>
      <c r="D1115" s="2">
        <v>46177</v>
      </c>
      <c r="E1115">
        <v>5.6240580846601503E-2</v>
      </c>
      <c r="F1115" s="2">
        <v>46177.771689351852</v>
      </c>
      <c r="G1115" s="1" t="s">
        <v>1211</v>
      </c>
      <c r="H1115" s="2">
        <v>46177.771689317131</v>
      </c>
      <c r="I1115" s="1" t="s">
        <v>1211</v>
      </c>
      <c r="J1115" s="1" t="s">
        <v>4109</v>
      </c>
    </row>
    <row r="1116" spans="1:10" x14ac:dyDescent="0.35">
      <c r="A1116" s="1" t="s">
        <v>1853</v>
      </c>
      <c r="B1116" s="1" t="s">
        <v>1209</v>
      </c>
      <c r="C1116" s="1" t="s">
        <v>1210</v>
      </c>
      <c r="D1116" s="2">
        <v>46177</v>
      </c>
      <c r="E1116">
        <v>1.80892467843034E-2</v>
      </c>
      <c r="F1116" s="2">
        <v>46177.771739583332</v>
      </c>
      <c r="G1116" s="1" t="s">
        <v>1211</v>
      </c>
      <c r="H1116" s="2">
        <v>46177.771739699077</v>
      </c>
      <c r="I1116" s="1" t="s">
        <v>1211</v>
      </c>
      <c r="J1116" s="1" t="s">
        <v>4110</v>
      </c>
    </row>
    <row r="1117" spans="1:10" x14ac:dyDescent="0.35">
      <c r="A1117" s="1" t="s">
        <v>1854</v>
      </c>
      <c r="B1117" s="1" t="s">
        <v>1209</v>
      </c>
      <c r="C1117" s="1" t="s">
        <v>1210</v>
      </c>
      <c r="D1117" s="2">
        <v>46177</v>
      </c>
      <c r="E1117">
        <v>5.3137792199659403E-2</v>
      </c>
      <c r="F1117" s="2">
        <v>46177.771726307874</v>
      </c>
      <c r="G1117" s="1" t="s">
        <v>1211</v>
      </c>
      <c r="H1117" s="2">
        <v>46177.771726423613</v>
      </c>
      <c r="I1117" s="1" t="s">
        <v>1211</v>
      </c>
      <c r="J1117" s="1" t="s">
        <v>4111</v>
      </c>
    </row>
    <row r="1118" spans="1:10" x14ac:dyDescent="0.35">
      <c r="A1118" s="1" t="s">
        <v>1855</v>
      </c>
      <c r="B1118" s="1" t="s">
        <v>1209</v>
      </c>
      <c r="C1118" s="1" t="s">
        <v>1210</v>
      </c>
      <c r="D1118" s="2">
        <v>46177</v>
      </c>
      <c r="E1118">
        <v>5.5642517290284098E-2</v>
      </c>
      <c r="F1118" s="2">
        <v>46177.771652928241</v>
      </c>
      <c r="G1118" s="1" t="s">
        <v>1211</v>
      </c>
      <c r="H1118" s="2">
        <v>46177.77165289352</v>
      </c>
      <c r="I1118" s="1" t="s">
        <v>1211</v>
      </c>
      <c r="J1118" s="1" t="s">
        <v>4112</v>
      </c>
    </row>
    <row r="1119" spans="1:10" x14ac:dyDescent="0.35">
      <c r="A1119" s="1" t="s">
        <v>1856</v>
      </c>
      <c r="B1119" s="1" t="s">
        <v>1209</v>
      </c>
      <c r="C1119" s="1" t="s">
        <v>1210</v>
      </c>
      <c r="D1119" s="2">
        <v>46177</v>
      </c>
      <c r="E1119">
        <v>4.13444049571925E-2</v>
      </c>
      <c r="F1119" s="2">
        <v>46177.771731134257</v>
      </c>
      <c r="G1119" s="1" t="s">
        <v>1211</v>
      </c>
      <c r="H1119" s="2">
        <v>46177.771731134257</v>
      </c>
      <c r="I1119" s="1" t="s">
        <v>1211</v>
      </c>
      <c r="J1119" s="1" t="s">
        <v>4113</v>
      </c>
    </row>
    <row r="1120" spans="1:10" x14ac:dyDescent="0.35">
      <c r="A1120" s="1" t="s">
        <v>1857</v>
      </c>
      <c r="B1120" s="1" t="s">
        <v>1209</v>
      </c>
      <c r="C1120" s="1" t="s">
        <v>1210</v>
      </c>
      <c r="D1120" s="2">
        <v>46177</v>
      </c>
      <c r="E1120">
        <v>5.5562372756266902E-2</v>
      </c>
      <c r="F1120" s="2">
        <v>46177.771732557871</v>
      </c>
      <c r="G1120" s="1" t="s">
        <v>1211</v>
      </c>
      <c r="H1120" s="2">
        <v>46177.771732604167</v>
      </c>
      <c r="I1120" s="1" t="s">
        <v>1211</v>
      </c>
      <c r="J1120" s="1" t="s">
        <v>4114</v>
      </c>
    </row>
    <row r="1121" spans="1:10" x14ac:dyDescent="0.35">
      <c r="A1121" s="1" t="s">
        <v>1858</v>
      </c>
      <c r="B1121" s="1" t="s">
        <v>1209</v>
      </c>
      <c r="C1121" s="1" t="s">
        <v>1210</v>
      </c>
      <c r="D1121" s="2">
        <v>46177</v>
      </c>
      <c r="E1121">
        <v>4.34101393330142E-2</v>
      </c>
      <c r="F1121" s="2">
        <v>46177.771654479169</v>
      </c>
      <c r="G1121" s="1" t="s">
        <v>1211</v>
      </c>
      <c r="H1121" s="2">
        <v>46177.771654363423</v>
      </c>
      <c r="I1121" s="1" t="s">
        <v>1211</v>
      </c>
      <c r="J1121" s="1" t="s">
        <v>4115</v>
      </c>
    </row>
    <row r="1122" spans="1:10" x14ac:dyDescent="0.35">
      <c r="A1122" s="1" t="s">
        <v>1859</v>
      </c>
      <c r="B1122" s="1" t="s">
        <v>1209</v>
      </c>
      <c r="C1122" s="1" t="s">
        <v>1210</v>
      </c>
      <c r="D1122" s="2">
        <v>46177</v>
      </c>
      <c r="E1122">
        <v>4.3808668693669402E-2</v>
      </c>
      <c r="F1122" s="2">
        <v>46177.771727893516</v>
      </c>
      <c r="G1122" s="1" t="s">
        <v>1211</v>
      </c>
      <c r="H1122" s="2">
        <v>46177.771727858795</v>
      </c>
      <c r="I1122" s="1" t="s">
        <v>1211</v>
      </c>
      <c r="J1122" s="1" t="s">
        <v>4116</v>
      </c>
    </row>
    <row r="1123" spans="1:10" x14ac:dyDescent="0.35">
      <c r="A1123" s="1" t="s">
        <v>1860</v>
      </c>
      <c r="B1123" s="1" t="s">
        <v>1209</v>
      </c>
      <c r="C1123" s="1" t="s">
        <v>1210</v>
      </c>
      <c r="D1123" s="2">
        <v>46177</v>
      </c>
      <c r="E1123">
        <v>4.8540610410066298E-2</v>
      </c>
      <c r="F1123" s="2">
        <v>46177.771720682867</v>
      </c>
      <c r="G1123" s="1" t="s">
        <v>1211</v>
      </c>
      <c r="H1123" s="2">
        <v>46177.77172060185</v>
      </c>
      <c r="I1123" s="1" t="s">
        <v>1211</v>
      </c>
      <c r="J1123" s="1" t="s">
        <v>4117</v>
      </c>
    </row>
    <row r="1124" spans="1:10" x14ac:dyDescent="0.35">
      <c r="A1124" s="1" t="s">
        <v>1861</v>
      </c>
      <c r="B1124" s="1" t="s">
        <v>1209</v>
      </c>
      <c r="C1124" s="1" t="s">
        <v>1210</v>
      </c>
      <c r="D1124" s="2">
        <v>46177</v>
      </c>
      <c r="E1124">
        <v>4.62780264570304E-2</v>
      </c>
      <c r="F1124" s="2">
        <v>46177.771714201386</v>
      </c>
      <c r="G1124" s="1" t="s">
        <v>1211</v>
      </c>
      <c r="H1124" s="2">
        <v>46177.771714270835</v>
      </c>
      <c r="I1124" s="1" t="s">
        <v>1211</v>
      </c>
      <c r="J1124" s="1" t="s">
        <v>4119</v>
      </c>
    </row>
    <row r="1125" spans="1:10" x14ac:dyDescent="0.35">
      <c r="A1125" s="1" t="s">
        <v>1862</v>
      </c>
      <c r="B1125" s="1" t="s">
        <v>1209</v>
      </c>
      <c r="C1125" s="1" t="s">
        <v>1210</v>
      </c>
      <c r="D1125" s="2">
        <v>46177</v>
      </c>
      <c r="E1125">
        <v>5.4985613608456899E-2</v>
      </c>
      <c r="F1125" s="2">
        <v>46177.771744826387</v>
      </c>
      <c r="G1125" s="1" t="s">
        <v>1211</v>
      </c>
      <c r="H1125" s="2">
        <v>46177.771744756945</v>
      </c>
      <c r="I1125" s="1" t="s">
        <v>1211</v>
      </c>
      <c r="J1125" s="1" t="s">
        <v>4120</v>
      </c>
    </row>
    <row r="1126" spans="1:10" x14ac:dyDescent="0.35">
      <c r="A1126" s="1" t="s">
        <v>1863</v>
      </c>
      <c r="B1126" s="1" t="s">
        <v>1209</v>
      </c>
      <c r="C1126" s="1" t="s">
        <v>1210</v>
      </c>
      <c r="D1126" s="2">
        <v>46177</v>
      </c>
      <c r="E1126">
        <v>7.8353381352713903E-3</v>
      </c>
      <c r="F1126" s="2">
        <v>46177.771737499999</v>
      </c>
      <c r="G1126" s="1" t="s">
        <v>1211</v>
      </c>
      <c r="H1126" s="2">
        <v>46177.771737499999</v>
      </c>
      <c r="I1126" s="1" t="s">
        <v>1211</v>
      </c>
      <c r="J1126" s="1" t="s">
        <v>4121</v>
      </c>
    </row>
    <row r="1127" spans="1:10" x14ac:dyDescent="0.35">
      <c r="A1127" s="1" t="s">
        <v>1864</v>
      </c>
      <c r="B1127" s="1" t="s">
        <v>1209</v>
      </c>
      <c r="C1127" s="1" t="s">
        <v>1210</v>
      </c>
      <c r="D1127" s="2">
        <v>46177</v>
      </c>
      <c r="E1127">
        <v>3.7179769370235198E-2</v>
      </c>
      <c r="F1127" s="2">
        <v>46177.77168229167</v>
      </c>
      <c r="G1127" s="1" t="s">
        <v>1211</v>
      </c>
      <c r="H1127" s="2">
        <v>46177.771682256942</v>
      </c>
      <c r="I1127" s="1" t="s">
        <v>1211</v>
      </c>
      <c r="J1127" s="1" t="s">
        <v>4122</v>
      </c>
    </row>
    <row r="1128" spans="1:10" x14ac:dyDescent="0.35">
      <c r="A1128" s="1" t="s">
        <v>1865</v>
      </c>
      <c r="B1128" s="1" t="s">
        <v>1209</v>
      </c>
      <c r="C1128" s="1" t="s">
        <v>1210</v>
      </c>
      <c r="D1128" s="2">
        <v>46177</v>
      </c>
      <c r="E1128">
        <v>5.5272289761722299E-2</v>
      </c>
      <c r="F1128" s="2">
        <v>46177.771677662036</v>
      </c>
      <c r="G1128" s="1" t="s">
        <v>1211</v>
      </c>
      <c r="H1128" s="2">
        <v>46177.771677662036</v>
      </c>
      <c r="I1128" s="1" t="s">
        <v>1211</v>
      </c>
      <c r="J1128" s="1" t="s">
        <v>4123</v>
      </c>
    </row>
    <row r="1129" spans="1:10" x14ac:dyDescent="0.35">
      <c r="A1129" s="1" t="s">
        <v>1866</v>
      </c>
      <c r="B1129" s="1" t="s">
        <v>1209</v>
      </c>
      <c r="C1129" s="1" t="s">
        <v>1210</v>
      </c>
      <c r="D1129" s="2">
        <v>46177</v>
      </c>
      <c r="E1129">
        <v>2.2807210756598299E-2</v>
      </c>
      <c r="F1129" s="2">
        <v>46177.771732407411</v>
      </c>
      <c r="G1129" s="1" t="s">
        <v>1211</v>
      </c>
      <c r="H1129" s="2">
        <v>46177.771732407411</v>
      </c>
      <c r="I1129" s="1" t="s">
        <v>1211</v>
      </c>
      <c r="J1129" s="1" t="s">
        <v>4124</v>
      </c>
    </row>
    <row r="1130" spans="1:10" x14ac:dyDescent="0.35">
      <c r="A1130" s="1" t="s">
        <v>1867</v>
      </c>
      <c r="B1130" s="1" t="s">
        <v>1209</v>
      </c>
      <c r="C1130" s="1" t="s">
        <v>1210</v>
      </c>
      <c r="D1130" s="2">
        <v>46177</v>
      </c>
      <c r="E1130">
        <v>5.6154302985344802E-2</v>
      </c>
      <c r="F1130" s="2">
        <v>46177.771742245372</v>
      </c>
      <c r="G1130" s="1" t="s">
        <v>1211</v>
      </c>
      <c r="H1130" s="2">
        <v>46177.771742442128</v>
      </c>
      <c r="I1130" s="1" t="s">
        <v>1211</v>
      </c>
      <c r="J1130" s="1" t="s">
        <v>4125</v>
      </c>
    </row>
    <row r="1131" spans="1:10" x14ac:dyDescent="0.35">
      <c r="A1131" s="1" t="s">
        <v>1868</v>
      </c>
      <c r="B1131" s="1" t="s">
        <v>1209</v>
      </c>
      <c r="C1131" s="1" t="s">
        <v>1210</v>
      </c>
      <c r="D1131" s="2">
        <v>46177</v>
      </c>
      <c r="E1131">
        <v>4.7325139292212298E-2</v>
      </c>
      <c r="F1131" s="2">
        <v>46177.771680590275</v>
      </c>
      <c r="G1131" s="1" t="s">
        <v>1211</v>
      </c>
      <c r="H1131" s="2">
        <v>46177.771680590275</v>
      </c>
      <c r="I1131" s="1" t="s">
        <v>1211</v>
      </c>
      <c r="J1131" s="1" t="s">
        <v>4126</v>
      </c>
    </row>
    <row r="1132" spans="1:10" x14ac:dyDescent="0.35">
      <c r="A1132" s="1" t="s">
        <v>1869</v>
      </c>
      <c r="B1132" s="1" t="s">
        <v>1209</v>
      </c>
      <c r="C1132" s="1" t="s">
        <v>1210</v>
      </c>
      <c r="D1132" s="2">
        <v>46177</v>
      </c>
      <c r="E1132">
        <v>5.4589450000338602E-2</v>
      </c>
      <c r="F1132" s="2">
        <v>46177.771729629632</v>
      </c>
      <c r="G1132" s="1" t="s">
        <v>1211</v>
      </c>
      <c r="H1132" s="2">
        <v>46177.77172971065</v>
      </c>
      <c r="I1132" s="1" t="s">
        <v>1211</v>
      </c>
      <c r="J1132" s="1" t="s">
        <v>4118</v>
      </c>
    </row>
    <row r="1133" spans="1:10" x14ac:dyDescent="0.35">
      <c r="A1133" s="1" t="s">
        <v>1870</v>
      </c>
      <c r="B1133" s="1" t="s">
        <v>1209</v>
      </c>
      <c r="C1133" s="1" t="s">
        <v>1210</v>
      </c>
      <c r="D1133" s="2">
        <v>46177</v>
      </c>
      <c r="E1133">
        <v>4.1781468567638098E-2</v>
      </c>
      <c r="F1133" s="2">
        <v>46177.771698842589</v>
      </c>
      <c r="G1133" s="1" t="s">
        <v>1211</v>
      </c>
      <c r="H1133" s="2">
        <v>46177.771698842589</v>
      </c>
      <c r="I1133" s="1" t="s">
        <v>1211</v>
      </c>
      <c r="J1133" s="1" t="s">
        <v>4127</v>
      </c>
    </row>
    <row r="1134" spans="1:10" x14ac:dyDescent="0.35">
      <c r="A1134" s="1" t="s">
        <v>1871</v>
      </c>
      <c r="B1134" s="1" t="s">
        <v>1209</v>
      </c>
      <c r="C1134" s="1" t="s">
        <v>1210</v>
      </c>
      <c r="D1134" s="2">
        <v>46177</v>
      </c>
      <c r="E1134">
        <v>5.6139837526761299E-2</v>
      </c>
      <c r="F1134" s="2">
        <v>46177.771668090281</v>
      </c>
      <c r="G1134" s="1" t="s">
        <v>1211</v>
      </c>
      <c r="H1134" s="2">
        <v>46177.77166820602</v>
      </c>
      <c r="I1134" s="1" t="s">
        <v>1211</v>
      </c>
      <c r="J1134" s="1" t="s">
        <v>4128</v>
      </c>
    </row>
    <row r="1135" spans="1:10" x14ac:dyDescent="0.35">
      <c r="A1135" s="1" t="s">
        <v>1872</v>
      </c>
      <c r="B1135" s="1" t="s">
        <v>1209</v>
      </c>
      <c r="C1135" s="1" t="s">
        <v>1210</v>
      </c>
      <c r="D1135" s="2">
        <v>46177</v>
      </c>
      <c r="E1135">
        <v>4.4986776226983501E-2</v>
      </c>
      <c r="F1135" s="2">
        <v>46177.771660034719</v>
      </c>
      <c r="G1135" s="1" t="s">
        <v>1211</v>
      </c>
      <c r="H1135" s="2">
        <v>46177.771660034719</v>
      </c>
      <c r="I1135" s="1" t="s">
        <v>1211</v>
      </c>
      <c r="J1135" s="1" t="s">
        <v>4129</v>
      </c>
    </row>
    <row r="1136" spans="1:10" x14ac:dyDescent="0.35">
      <c r="A1136" s="1" t="s">
        <v>1873</v>
      </c>
      <c r="B1136" s="1" t="s">
        <v>1209</v>
      </c>
      <c r="C1136" s="1" t="s">
        <v>1210</v>
      </c>
      <c r="D1136" s="2">
        <v>46177</v>
      </c>
      <c r="E1136">
        <v>5.1182208085493203E-2</v>
      </c>
      <c r="F1136" s="2">
        <v>46177.771749884261</v>
      </c>
      <c r="G1136" s="1" t="s">
        <v>1211</v>
      </c>
      <c r="H1136" s="2">
        <v>46177.771749884261</v>
      </c>
      <c r="I1136" s="1" t="s">
        <v>1211</v>
      </c>
      <c r="J1136" s="1" t="s">
        <v>4130</v>
      </c>
    </row>
    <row r="1137" spans="1:10" x14ac:dyDescent="0.35">
      <c r="A1137" s="1" t="s">
        <v>1874</v>
      </c>
      <c r="B1137" s="1" t="s">
        <v>1209</v>
      </c>
      <c r="C1137" s="1" t="s">
        <v>1210</v>
      </c>
      <c r="D1137" s="2">
        <v>46177</v>
      </c>
      <c r="E1137">
        <v>4.3813506842815701E-2</v>
      </c>
      <c r="F1137" s="2">
        <v>46177.771740046293</v>
      </c>
      <c r="G1137" s="1" t="s">
        <v>1211</v>
      </c>
      <c r="H1137" s="2">
        <v>46177.771740081022</v>
      </c>
      <c r="I1137" s="1" t="s">
        <v>1211</v>
      </c>
      <c r="J1137" s="1" t="s">
        <v>4131</v>
      </c>
    </row>
    <row r="1138" spans="1:10" x14ac:dyDescent="0.35">
      <c r="A1138" s="1" t="s">
        <v>1875</v>
      </c>
      <c r="B1138" s="1" t="s">
        <v>1209</v>
      </c>
      <c r="C1138" s="1" t="s">
        <v>1210</v>
      </c>
      <c r="D1138" s="2">
        <v>46177</v>
      </c>
      <c r="E1138">
        <v>4.7794548634725501E-2</v>
      </c>
      <c r="F1138" s="2">
        <v>46177.771676122684</v>
      </c>
      <c r="G1138" s="1" t="s">
        <v>1211</v>
      </c>
      <c r="H1138" s="2">
        <v>46177.771676041666</v>
      </c>
      <c r="I1138" s="1" t="s">
        <v>1211</v>
      </c>
      <c r="J1138" s="1" t="s">
        <v>4132</v>
      </c>
    </row>
    <row r="1139" spans="1:10" x14ac:dyDescent="0.35">
      <c r="A1139" s="1" t="s">
        <v>1876</v>
      </c>
      <c r="B1139" s="1" t="s">
        <v>1209</v>
      </c>
      <c r="C1139" s="1" t="s">
        <v>1210</v>
      </c>
      <c r="D1139" s="2">
        <v>46177</v>
      </c>
      <c r="E1139">
        <v>5.24462476983691E-2</v>
      </c>
      <c r="F1139" s="2">
        <v>46177.771742858793</v>
      </c>
      <c r="G1139" s="1" t="s">
        <v>1211</v>
      </c>
      <c r="H1139" s="2">
        <v>46177.771742974539</v>
      </c>
      <c r="I1139" s="1" t="s">
        <v>1211</v>
      </c>
      <c r="J1139" s="1" t="s">
        <v>4133</v>
      </c>
    </row>
    <row r="1140" spans="1:10" x14ac:dyDescent="0.35">
      <c r="A1140" s="1" t="s">
        <v>1877</v>
      </c>
      <c r="B1140" s="1" t="s">
        <v>1209</v>
      </c>
      <c r="C1140" s="1" t="s">
        <v>1210</v>
      </c>
      <c r="D1140" s="2">
        <v>46177</v>
      </c>
      <c r="E1140">
        <v>4.3365263382172101E-2</v>
      </c>
      <c r="F1140" s="2">
        <v>46177.771735381946</v>
      </c>
      <c r="G1140" s="1" t="s">
        <v>1211</v>
      </c>
      <c r="H1140" s="2">
        <v>46177.771735497685</v>
      </c>
      <c r="I1140" s="1" t="s">
        <v>1211</v>
      </c>
      <c r="J1140" s="1" t="s">
        <v>4134</v>
      </c>
    </row>
    <row r="1141" spans="1:10" x14ac:dyDescent="0.35">
      <c r="A1141" s="1" t="s">
        <v>1878</v>
      </c>
      <c r="B1141" s="1" t="s">
        <v>1209</v>
      </c>
      <c r="C1141" s="1" t="s">
        <v>1210</v>
      </c>
      <c r="D1141" s="2">
        <v>46177</v>
      </c>
      <c r="E1141">
        <v>4.4059474819659099E-2</v>
      </c>
      <c r="F1141" s="2">
        <v>46177.771704131941</v>
      </c>
      <c r="G1141" s="1" t="s">
        <v>1211</v>
      </c>
      <c r="H1141" s="2">
        <v>46177.771704166669</v>
      </c>
      <c r="I1141" s="1" t="s">
        <v>1211</v>
      </c>
      <c r="J1141" s="1" t="s">
        <v>4135</v>
      </c>
    </row>
    <row r="1142" spans="1:10" x14ac:dyDescent="0.35">
      <c r="A1142" s="1" t="s">
        <v>1879</v>
      </c>
      <c r="B1142" s="1" t="s">
        <v>1209</v>
      </c>
      <c r="C1142" s="1" t="s">
        <v>1210</v>
      </c>
      <c r="D1142" s="2">
        <v>46177</v>
      </c>
      <c r="E1142">
        <v>4.8429465939848697E-2</v>
      </c>
      <c r="F1142" s="2">
        <v>46177.771679050929</v>
      </c>
      <c r="G1142" s="1" t="s">
        <v>1211</v>
      </c>
      <c r="H1142" s="2">
        <v>46177.771678969904</v>
      </c>
      <c r="I1142" s="1" t="s">
        <v>1211</v>
      </c>
      <c r="J1142" s="1" t="s">
        <v>4136</v>
      </c>
    </row>
    <row r="1143" spans="1:10" x14ac:dyDescent="0.35">
      <c r="A1143" s="1" t="s">
        <v>1880</v>
      </c>
      <c r="B1143" s="1" t="s">
        <v>1209</v>
      </c>
      <c r="C1143" s="1" t="s">
        <v>1210</v>
      </c>
      <c r="D1143" s="2">
        <v>46177</v>
      </c>
      <c r="E1143">
        <v>5.5929706216598103E-2</v>
      </c>
      <c r="F1143" s="2">
        <v>46177.771717326388</v>
      </c>
      <c r="G1143" s="1" t="s">
        <v>1211</v>
      </c>
      <c r="H1143" s="2">
        <v>46177.771717326388</v>
      </c>
      <c r="I1143" s="1" t="s">
        <v>1211</v>
      </c>
      <c r="J1143" s="1" t="s">
        <v>4137</v>
      </c>
    </row>
    <row r="1144" spans="1:10" x14ac:dyDescent="0.35">
      <c r="A1144" s="1" t="s">
        <v>1881</v>
      </c>
      <c r="B1144" s="1" t="s">
        <v>1209</v>
      </c>
      <c r="C1144" s="1" t="s">
        <v>1210</v>
      </c>
      <c r="D1144" s="2">
        <v>46177</v>
      </c>
      <c r="E1144">
        <v>4.9039921115749403E-2</v>
      </c>
      <c r="F1144" s="2">
        <v>46177.771706631946</v>
      </c>
      <c r="G1144" s="1" t="s">
        <v>1211</v>
      </c>
      <c r="H1144" s="2">
        <v>46177.771706597225</v>
      </c>
      <c r="I1144" s="1" t="s">
        <v>1211</v>
      </c>
      <c r="J1144" s="1" t="s">
        <v>4138</v>
      </c>
    </row>
    <row r="1145" spans="1:10" x14ac:dyDescent="0.35">
      <c r="A1145" s="1" t="s">
        <v>1882</v>
      </c>
      <c r="B1145" s="1" t="s">
        <v>1209</v>
      </c>
      <c r="C1145" s="1" t="s">
        <v>1210</v>
      </c>
      <c r="D1145" s="2">
        <v>46177</v>
      </c>
      <c r="E1145">
        <v>4.3816717674767802E-2</v>
      </c>
      <c r="F1145" s="2">
        <v>46177.771737650466</v>
      </c>
      <c r="G1145" s="1" t="s">
        <v>1211</v>
      </c>
      <c r="H1145" s="2">
        <v>46177.771737696756</v>
      </c>
      <c r="I1145" s="1" t="s">
        <v>1211</v>
      </c>
      <c r="J1145" s="1" t="s">
        <v>4139</v>
      </c>
    </row>
    <row r="1146" spans="1:10" x14ac:dyDescent="0.35">
      <c r="A1146" s="1" t="s">
        <v>1883</v>
      </c>
      <c r="B1146" s="1" t="s">
        <v>1209</v>
      </c>
      <c r="C1146" s="1" t="s">
        <v>1210</v>
      </c>
      <c r="D1146" s="2">
        <v>46177</v>
      </c>
      <c r="E1146">
        <v>4.4566793738801E-2</v>
      </c>
      <c r="F1146" s="2">
        <v>46177.771681215279</v>
      </c>
      <c r="G1146" s="1" t="s">
        <v>1211</v>
      </c>
      <c r="H1146" s="2">
        <v>46177.771681134262</v>
      </c>
      <c r="I1146" s="1" t="s">
        <v>1211</v>
      </c>
      <c r="J1146" s="1" t="s">
        <v>4140</v>
      </c>
    </row>
    <row r="1147" spans="1:10" x14ac:dyDescent="0.35">
      <c r="A1147" s="1" t="s">
        <v>1884</v>
      </c>
      <c r="B1147" s="1" t="s">
        <v>1209</v>
      </c>
      <c r="C1147" s="1" t="s">
        <v>1210</v>
      </c>
      <c r="D1147" s="2">
        <v>46177</v>
      </c>
      <c r="E1147">
        <v>4.6364796068951802E-2</v>
      </c>
      <c r="F1147" s="2">
        <v>46177.771741516204</v>
      </c>
      <c r="G1147" s="1" t="s">
        <v>1211</v>
      </c>
      <c r="H1147" s="2">
        <v>46177.771741516204</v>
      </c>
      <c r="I1147" s="1" t="s">
        <v>1211</v>
      </c>
      <c r="J1147" s="1" t="s">
        <v>4141</v>
      </c>
    </row>
    <row r="1148" spans="1:10" x14ac:dyDescent="0.35">
      <c r="A1148" s="1" t="s">
        <v>1885</v>
      </c>
      <c r="B1148" s="1" t="s">
        <v>1209</v>
      </c>
      <c r="C1148" s="1" t="s">
        <v>1210</v>
      </c>
      <c r="D1148" s="2">
        <v>46177</v>
      </c>
      <c r="E1148">
        <v>5.3026870419791303E-2</v>
      </c>
      <c r="F1148" s="2">
        <v>46177.771681678241</v>
      </c>
      <c r="G1148" s="1" t="s">
        <v>1211</v>
      </c>
      <c r="H1148" s="2">
        <v>46177.771681678241</v>
      </c>
      <c r="I1148" s="1" t="s">
        <v>1211</v>
      </c>
      <c r="J1148" s="1" t="s">
        <v>4142</v>
      </c>
    </row>
    <row r="1149" spans="1:10" x14ac:dyDescent="0.35">
      <c r="A1149" s="1" t="s">
        <v>1886</v>
      </c>
      <c r="B1149" s="1" t="s">
        <v>1209</v>
      </c>
      <c r="C1149" s="1" t="s">
        <v>1210</v>
      </c>
      <c r="D1149" s="2">
        <v>46177</v>
      </c>
      <c r="E1149">
        <v>5.03882996081974E-2</v>
      </c>
      <c r="F1149" s="2">
        <v>46177.771653391203</v>
      </c>
      <c r="G1149" s="1" t="s">
        <v>1211</v>
      </c>
      <c r="H1149" s="2">
        <v>46177.771653275464</v>
      </c>
      <c r="I1149" s="1" t="s">
        <v>1211</v>
      </c>
      <c r="J1149" s="1" t="s">
        <v>4143</v>
      </c>
    </row>
    <row r="1150" spans="1:10" x14ac:dyDescent="0.35">
      <c r="A1150" s="1" t="s">
        <v>1887</v>
      </c>
      <c r="B1150" s="1" t="s">
        <v>1209</v>
      </c>
      <c r="C1150" s="1" t="s">
        <v>1210</v>
      </c>
      <c r="D1150" s="2">
        <v>46177</v>
      </c>
      <c r="E1150">
        <v>4.9778566395843299E-2</v>
      </c>
      <c r="F1150" s="2">
        <v>46177.77168568287</v>
      </c>
      <c r="G1150" s="1" t="s">
        <v>1211</v>
      </c>
      <c r="H1150" s="2">
        <v>46177.77168568287</v>
      </c>
      <c r="I1150" s="1" t="s">
        <v>1211</v>
      </c>
      <c r="J1150" s="1" t="s">
        <v>4144</v>
      </c>
    </row>
    <row r="1151" spans="1:10" x14ac:dyDescent="0.35">
      <c r="A1151" s="1" t="s">
        <v>1888</v>
      </c>
      <c r="B1151" s="1" t="s">
        <v>1209</v>
      </c>
      <c r="C1151" s="1" t="s">
        <v>1210</v>
      </c>
      <c r="D1151" s="2">
        <v>46177</v>
      </c>
      <c r="E1151">
        <v>2.32092323840269E-2</v>
      </c>
      <c r="F1151" s="2">
        <v>46177.771662650463</v>
      </c>
      <c r="G1151" s="1" t="s">
        <v>1211</v>
      </c>
      <c r="H1151" s="2">
        <v>46177.771662581021</v>
      </c>
      <c r="I1151" s="1" t="s">
        <v>1211</v>
      </c>
      <c r="J1151" s="1" t="s">
        <v>4145</v>
      </c>
    </row>
    <row r="1152" spans="1:10" x14ac:dyDescent="0.35">
      <c r="A1152" s="1" t="s">
        <v>1889</v>
      </c>
      <c r="B1152" s="1" t="s">
        <v>1209</v>
      </c>
      <c r="C1152" s="1" t="s">
        <v>1210</v>
      </c>
      <c r="D1152" s="2">
        <v>46177</v>
      </c>
      <c r="E1152">
        <v>2.2996498465209399E-2</v>
      </c>
      <c r="F1152" s="2">
        <v>46177.771744363425</v>
      </c>
      <c r="G1152" s="1" t="s">
        <v>1211</v>
      </c>
      <c r="H1152" s="2">
        <v>46177.771744409722</v>
      </c>
      <c r="I1152" s="1" t="s">
        <v>1211</v>
      </c>
      <c r="J1152" s="1" t="s">
        <v>4146</v>
      </c>
    </row>
    <row r="1153" spans="1:10" x14ac:dyDescent="0.35">
      <c r="A1153" s="1" t="s">
        <v>1890</v>
      </c>
      <c r="B1153" s="1" t="s">
        <v>1209</v>
      </c>
      <c r="C1153" s="1" t="s">
        <v>1210</v>
      </c>
      <c r="D1153" s="2">
        <v>46177</v>
      </c>
      <c r="E1153">
        <v>5.49624464302216E-2</v>
      </c>
      <c r="F1153" s="2">
        <v>46177.771687650464</v>
      </c>
      <c r="G1153" s="1" t="s">
        <v>1211</v>
      </c>
      <c r="H1153" s="2">
        <v>46177.771687650464</v>
      </c>
      <c r="I1153" s="1" t="s">
        <v>1211</v>
      </c>
      <c r="J1153" s="1" t="s">
        <v>4147</v>
      </c>
    </row>
    <row r="1154" spans="1:10" x14ac:dyDescent="0.35">
      <c r="A1154" s="1" t="s">
        <v>1891</v>
      </c>
      <c r="B1154" s="1" t="s">
        <v>1209</v>
      </c>
      <c r="C1154" s="1" t="s">
        <v>1210</v>
      </c>
      <c r="D1154" s="2">
        <v>46177</v>
      </c>
      <c r="E1154">
        <v>3.7494805225999399E-2</v>
      </c>
      <c r="F1154" s="2">
        <v>46177.771731793982</v>
      </c>
      <c r="G1154" s="1" t="s">
        <v>1211</v>
      </c>
      <c r="H1154" s="2">
        <v>46177.771731863424</v>
      </c>
      <c r="I1154" s="1" t="s">
        <v>1211</v>
      </c>
      <c r="J1154" s="1" t="s">
        <v>4148</v>
      </c>
    </row>
    <row r="1155" spans="1:10" x14ac:dyDescent="0.35">
      <c r="A1155" s="1" t="s">
        <v>1892</v>
      </c>
      <c r="B1155" s="1" t="s">
        <v>1209</v>
      </c>
      <c r="C1155" s="1" t="s">
        <v>1210</v>
      </c>
      <c r="D1155" s="2">
        <v>46177</v>
      </c>
      <c r="E1155">
        <v>1.6974146356555399E-2</v>
      </c>
      <c r="F1155" s="2">
        <v>46177.771691354166</v>
      </c>
      <c r="G1155" s="1" t="s">
        <v>1211</v>
      </c>
      <c r="H1155" s="2">
        <v>46177.771691319445</v>
      </c>
      <c r="I1155" s="1" t="s">
        <v>1211</v>
      </c>
      <c r="J1155" s="1" t="s">
        <v>4149</v>
      </c>
    </row>
    <row r="1156" spans="1:10" x14ac:dyDescent="0.35">
      <c r="A1156" s="1" t="s">
        <v>1893</v>
      </c>
      <c r="B1156" s="1" t="s">
        <v>1209</v>
      </c>
      <c r="C1156" s="1" t="s">
        <v>1210</v>
      </c>
      <c r="D1156" s="2">
        <v>46177</v>
      </c>
      <c r="E1156">
        <v>2.3402284980455799E-2</v>
      </c>
      <c r="F1156" s="2">
        <v>46177.771684108797</v>
      </c>
      <c r="G1156" s="1" t="s">
        <v>1211</v>
      </c>
      <c r="H1156" s="2">
        <v>46177.7716840625</v>
      </c>
      <c r="I1156" s="1" t="s">
        <v>1211</v>
      </c>
      <c r="J1156" s="1" t="s">
        <v>4150</v>
      </c>
    </row>
    <row r="1157" spans="1:10" x14ac:dyDescent="0.35">
      <c r="A1157" s="1" t="s">
        <v>1894</v>
      </c>
      <c r="B1157" s="1" t="s">
        <v>1209</v>
      </c>
      <c r="C1157" s="1" t="s">
        <v>1210</v>
      </c>
      <c r="D1157" s="2">
        <v>46177</v>
      </c>
      <c r="E1157">
        <v>5.0430734314114503E-2</v>
      </c>
      <c r="F1157" s="2">
        <v>46177.771691817128</v>
      </c>
      <c r="G1157" s="1" t="s">
        <v>1211</v>
      </c>
      <c r="H1157" s="2">
        <v>46177.771691701389</v>
      </c>
      <c r="I1157" s="1" t="s">
        <v>1211</v>
      </c>
      <c r="J1157" s="1" t="s">
        <v>4151</v>
      </c>
    </row>
    <row r="1158" spans="1:10" x14ac:dyDescent="0.35">
      <c r="A1158" s="1" t="s">
        <v>1897</v>
      </c>
      <c r="B1158" s="1" t="s">
        <v>1209</v>
      </c>
      <c r="C1158" s="1" t="s">
        <v>1210</v>
      </c>
      <c r="D1158" s="2">
        <v>46177</v>
      </c>
      <c r="E1158">
        <v>3.4994317384171601E-2</v>
      </c>
      <c r="F1158" s="2">
        <v>46177.771700034726</v>
      </c>
      <c r="G1158" s="1" t="s">
        <v>1211</v>
      </c>
      <c r="H1158" s="2">
        <v>46177.771699965277</v>
      </c>
      <c r="I1158" s="1" t="s">
        <v>1211</v>
      </c>
      <c r="J1158" s="1" t="s">
        <v>4152</v>
      </c>
    </row>
    <row r="1159" spans="1:10" x14ac:dyDescent="0.35">
      <c r="A1159" s="1" t="s">
        <v>1898</v>
      </c>
      <c r="B1159" s="1" t="s">
        <v>1209</v>
      </c>
      <c r="C1159" s="1" t="s">
        <v>1210</v>
      </c>
      <c r="D1159" s="2">
        <v>46177</v>
      </c>
      <c r="E1159">
        <v>3.1009336794424702E-2</v>
      </c>
      <c r="F1159" s="2">
        <v>46177.771655092591</v>
      </c>
      <c r="G1159" s="1" t="s">
        <v>1211</v>
      </c>
      <c r="H1159" s="2">
        <v>46177.77165505787</v>
      </c>
      <c r="I1159" s="1" t="s">
        <v>1211</v>
      </c>
      <c r="J1159" s="1" t="s">
        <v>4153</v>
      </c>
    </row>
    <row r="1160" spans="1:10" x14ac:dyDescent="0.35">
      <c r="A1160" s="1" t="s">
        <v>1899</v>
      </c>
      <c r="B1160" s="1" t="s">
        <v>1209</v>
      </c>
      <c r="C1160" s="1" t="s">
        <v>1210</v>
      </c>
      <c r="D1160" s="2">
        <v>46177</v>
      </c>
      <c r="E1160">
        <v>2.7340888982574401E-2</v>
      </c>
      <c r="F1160" s="2">
        <v>46177.771734409725</v>
      </c>
      <c r="G1160" s="1" t="s">
        <v>1211</v>
      </c>
      <c r="H1160" s="2">
        <v>46177.771734571761</v>
      </c>
      <c r="I1160" s="1" t="s">
        <v>1211</v>
      </c>
      <c r="J1160" s="1" t="s">
        <v>4154</v>
      </c>
    </row>
    <row r="1161" spans="1:10" x14ac:dyDescent="0.35">
      <c r="A1161" s="1" t="s">
        <v>1900</v>
      </c>
      <c r="B1161" s="1" t="s">
        <v>1209</v>
      </c>
      <c r="C1161" s="1" t="s">
        <v>1210</v>
      </c>
      <c r="D1161" s="2">
        <v>46177</v>
      </c>
      <c r="E1161">
        <v>2.9105814867357499E-2</v>
      </c>
      <c r="F1161" s="2">
        <v>46177.771726041668</v>
      </c>
      <c r="G1161" s="1" t="s">
        <v>1211</v>
      </c>
      <c r="H1161" s="2">
        <v>46177.771726076389</v>
      </c>
      <c r="I1161" s="1" t="s">
        <v>1211</v>
      </c>
      <c r="J1161" s="1" t="s">
        <v>4155</v>
      </c>
    </row>
    <row r="1162" spans="1:10" x14ac:dyDescent="0.35">
      <c r="A1162" s="1" t="s">
        <v>1901</v>
      </c>
      <c r="B1162" s="1" t="s">
        <v>1209</v>
      </c>
      <c r="C1162" s="1" t="s">
        <v>1210</v>
      </c>
      <c r="D1162" s="2">
        <v>46177</v>
      </c>
      <c r="E1162">
        <v>2.78138061059948E-2</v>
      </c>
      <c r="F1162" s="2">
        <v>46177.771751273147</v>
      </c>
      <c r="G1162" s="1" t="s">
        <v>1211</v>
      </c>
      <c r="H1162" s="2">
        <v>46177.771751273147</v>
      </c>
      <c r="I1162" s="1" t="s">
        <v>1211</v>
      </c>
      <c r="J1162" s="1" t="s">
        <v>4156</v>
      </c>
    </row>
    <row r="1163" spans="1:10" x14ac:dyDescent="0.35">
      <c r="A1163" s="1" t="s">
        <v>1902</v>
      </c>
      <c r="B1163" s="1" t="s">
        <v>1209</v>
      </c>
      <c r="C1163" s="1" t="s">
        <v>1210</v>
      </c>
      <c r="D1163" s="2">
        <v>46177</v>
      </c>
      <c r="E1163">
        <v>3.45061327775446E-2</v>
      </c>
      <c r="F1163" s="2">
        <v>46177.771746759259</v>
      </c>
      <c r="G1163" s="1" t="s">
        <v>1211</v>
      </c>
      <c r="H1163" s="2">
        <v>46177.771746759259</v>
      </c>
      <c r="I1163" s="1" t="s">
        <v>1211</v>
      </c>
      <c r="J1163" s="1" t="s">
        <v>4157</v>
      </c>
    </row>
    <row r="1164" spans="1:10" x14ac:dyDescent="0.35">
      <c r="A1164" s="1" t="s">
        <v>1903</v>
      </c>
      <c r="B1164" s="1" t="s">
        <v>1224</v>
      </c>
      <c r="C1164" s="1" t="s">
        <v>1210</v>
      </c>
      <c r="D1164" s="2">
        <v>46177</v>
      </c>
      <c r="E1164">
        <v>117.92</v>
      </c>
      <c r="F1164" s="2">
        <v>46177.771629513889</v>
      </c>
      <c r="G1164" s="1" t="s">
        <v>1211</v>
      </c>
      <c r="H1164" s="2">
        <v>46177.771629363429</v>
      </c>
      <c r="I1164" s="1" t="s">
        <v>1211</v>
      </c>
      <c r="J1164" s="1" t="s">
        <v>3051</v>
      </c>
    </row>
    <row r="1165" spans="1:10" x14ac:dyDescent="0.35">
      <c r="A1165" s="1" t="s">
        <v>1904</v>
      </c>
      <c r="B1165" s="1" t="s">
        <v>1224</v>
      </c>
      <c r="C1165" s="1" t="s">
        <v>1210</v>
      </c>
      <c r="D1165" s="2">
        <v>46177</v>
      </c>
      <c r="E1165">
        <v>117.62</v>
      </c>
      <c r="F1165" s="2">
        <v>46177.771629780094</v>
      </c>
      <c r="G1165" s="1" t="s">
        <v>1211</v>
      </c>
      <c r="H1165" s="2">
        <v>46177.771629745374</v>
      </c>
      <c r="I1165" s="1" t="s">
        <v>1211</v>
      </c>
      <c r="J1165" s="1" t="s">
        <v>3051</v>
      </c>
    </row>
    <row r="1166" spans="1:10" x14ac:dyDescent="0.35">
      <c r="A1166" s="1" t="s">
        <v>1905</v>
      </c>
      <c r="B1166" s="1" t="s">
        <v>1209</v>
      </c>
      <c r="C1166" s="1" t="s">
        <v>1210</v>
      </c>
      <c r="D1166" s="2">
        <v>46177</v>
      </c>
      <c r="E1166">
        <v>2.4498282515578399E-2</v>
      </c>
      <c r="F1166" s="2">
        <v>46177.771659062499</v>
      </c>
      <c r="G1166" s="1" t="s">
        <v>1211</v>
      </c>
      <c r="H1166" s="2">
        <v>46177.77165894676</v>
      </c>
      <c r="I1166" s="1" t="s">
        <v>1211</v>
      </c>
      <c r="J1166" s="1" t="s">
        <v>4158</v>
      </c>
    </row>
    <row r="1167" spans="1:10" x14ac:dyDescent="0.35">
      <c r="A1167" s="1" t="s">
        <v>1906</v>
      </c>
      <c r="B1167" s="1" t="s">
        <v>1209</v>
      </c>
      <c r="C1167" s="1" t="s">
        <v>1210</v>
      </c>
      <c r="D1167" s="2">
        <v>46177</v>
      </c>
      <c r="E1167">
        <v>2.7611916282985999E-2</v>
      </c>
      <c r="F1167" s="2">
        <v>46177.771743518519</v>
      </c>
      <c r="G1167" s="1" t="s">
        <v>1211</v>
      </c>
      <c r="H1167" s="2">
        <v>46177.771743668978</v>
      </c>
      <c r="I1167" s="1" t="s">
        <v>1211</v>
      </c>
      <c r="J1167" s="1" t="s">
        <v>4159</v>
      </c>
    </row>
    <row r="1168" spans="1:10" x14ac:dyDescent="0.35">
      <c r="A1168" s="1" t="s">
        <v>1907</v>
      </c>
      <c r="B1168" s="1" t="s">
        <v>1209</v>
      </c>
      <c r="C1168" s="1" t="s">
        <v>1210</v>
      </c>
      <c r="D1168" s="2">
        <v>46177</v>
      </c>
      <c r="E1168">
        <v>2.9575406535427801E-2</v>
      </c>
      <c r="F1168" s="2">
        <v>46177.771691516202</v>
      </c>
      <c r="G1168" s="1" t="s">
        <v>1211</v>
      </c>
      <c r="H1168" s="2">
        <v>46177.771691516202</v>
      </c>
      <c r="I1168" s="1" t="s">
        <v>1211</v>
      </c>
      <c r="J1168" s="1" t="s">
        <v>4160</v>
      </c>
    </row>
    <row r="1169" spans="1:10" x14ac:dyDescent="0.35">
      <c r="A1169" s="1" t="s">
        <v>1908</v>
      </c>
      <c r="B1169" s="1" t="s">
        <v>1209</v>
      </c>
      <c r="C1169" s="1" t="s">
        <v>1210</v>
      </c>
      <c r="D1169" s="2">
        <v>46177</v>
      </c>
      <c r="E1169">
        <v>3.1466335176051803E-2</v>
      </c>
      <c r="F1169" s="2">
        <v>46177.77172542824</v>
      </c>
      <c r="G1169" s="1" t="s">
        <v>1211</v>
      </c>
      <c r="H1169" s="2">
        <v>46177.771725543978</v>
      </c>
      <c r="I1169" s="1" t="s">
        <v>1211</v>
      </c>
      <c r="J1169" s="1" t="s">
        <v>4161</v>
      </c>
    </row>
    <row r="1170" spans="1:10" x14ac:dyDescent="0.35">
      <c r="A1170" s="1" t="s">
        <v>1909</v>
      </c>
      <c r="B1170" s="1" t="s">
        <v>1209</v>
      </c>
      <c r="C1170" s="1" t="s">
        <v>1210</v>
      </c>
      <c r="D1170" s="2">
        <v>46177</v>
      </c>
      <c r="E1170">
        <v>3.3985003238747098E-2</v>
      </c>
      <c r="F1170" s="2">
        <v>46177.771681053244</v>
      </c>
      <c r="G1170" s="1" t="s">
        <v>1211</v>
      </c>
      <c r="H1170" s="2">
        <v>46177.771681134262</v>
      </c>
      <c r="I1170" s="1" t="s">
        <v>1211</v>
      </c>
      <c r="J1170" s="1" t="s">
        <v>4162</v>
      </c>
    </row>
    <row r="1171" spans="1:10" x14ac:dyDescent="0.35">
      <c r="A1171" s="1" t="s">
        <v>1910</v>
      </c>
      <c r="B1171" s="1" t="s">
        <v>1209</v>
      </c>
      <c r="C1171" s="1" t="s">
        <v>1210</v>
      </c>
      <c r="D1171" s="2">
        <v>46177</v>
      </c>
      <c r="E1171">
        <v>3.5783362952644698E-2</v>
      </c>
      <c r="F1171" s="2">
        <v>46177.771676273151</v>
      </c>
      <c r="G1171" s="1" t="s">
        <v>1211</v>
      </c>
      <c r="H1171" s="2">
        <v>46177.771676192133</v>
      </c>
      <c r="I1171" s="1" t="s">
        <v>1211</v>
      </c>
      <c r="J1171" s="1" t="s">
        <v>4163</v>
      </c>
    </row>
    <row r="1172" spans="1:10" x14ac:dyDescent="0.35">
      <c r="A1172" s="1" t="s">
        <v>1911</v>
      </c>
      <c r="B1172" s="1" t="s">
        <v>1209</v>
      </c>
      <c r="C1172" s="1" t="s">
        <v>1210</v>
      </c>
      <c r="D1172" s="2">
        <v>46177</v>
      </c>
      <c r="E1172">
        <v>1.4508123073568999E-2</v>
      </c>
      <c r="F1172" s="2">
        <v>46177.771686956017</v>
      </c>
      <c r="G1172" s="1" t="s">
        <v>1211</v>
      </c>
      <c r="H1172" s="2">
        <v>46177.771686956017</v>
      </c>
      <c r="I1172" s="1" t="s">
        <v>1211</v>
      </c>
      <c r="J1172" s="1" t="s">
        <v>4164</v>
      </c>
    </row>
    <row r="1173" spans="1:10" x14ac:dyDescent="0.35">
      <c r="A1173" s="1" t="s">
        <v>1912</v>
      </c>
      <c r="B1173" s="1" t="s">
        <v>1209</v>
      </c>
      <c r="C1173" s="1" t="s">
        <v>1210</v>
      </c>
      <c r="D1173" s="2">
        <v>46177</v>
      </c>
      <c r="E1173">
        <v>3.8065486034259501E-2</v>
      </c>
      <c r="F1173" s="2">
        <v>46177.771685844906</v>
      </c>
      <c r="G1173" s="1" t="s">
        <v>1211</v>
      </c>
      <c r="H1173" s="2">
        <v>46177.771685844906</v>
      </c>
      <c r="I1173" s="1" t="s">
        <v>1211</v>
      </c>
      <c r="J1173" s="1" t="s">
        <v>4165</v>
      </c>
    </row>
    <row r="1174" spans="1:10" x14ac:dyDescent="0.35">
      <c r="A1174" s="1" t="s">
        <v>1913</v>
      </c>
      <c r="B1174" s="1" t="s">
        <v>1209</v>
      </c>
      <c r="C1174" s="1" t="s">
        <v>1210</v>
      </c>
      <c r="D1174" s="2">
        <v>46177</v>
      </c>
      <c r="E1174">
        <v>4.0270827110387403E-2</v>
      </c>
      <c r="F1174" s="2">
        <v>46177.771702812497</v>
      </c>
      <c r="G1174" s="1" t="s">
        <v>1211</v>
      </c>
      <c r="H1174" s="2">
        <v>46177.771702696758</v>
      </c>
      <c r="I1174" s="1" t="s">
        <v>1211</v>
      </c>
      <c r="J1174" s="1" t="s">
        <v>4166</v>
      </c>
    </row>
    <row r="1175" spans="1:10" x14ac:dyDescent="0.35">
      <c r="A1175" s="1" t="s">
        <v>1914</v>
      </c>
      <c r="B1175" s="1" t="s">
        <v>1209</v>
      </c>
      <c r="C1175" s="1" t="s">
        <v>1210</v>
      </c>
      <c r="D1175" s="2">
        <v>46177</v>
      </c>
      <c r="E1175">
        <v>4.0918676784890202E-2</v>
      </c>
      <c r="F1175" s="2">
        <v>46177.771653854164</v>
      </c>
      <c r="G1175" s="1" t="s">
        <v>1211</v>
      </c>
      <c r="H1175" s="2">
        <v>46177.771653819444</v>
      </c>
      <c r="I1175" s="1" t="s">
        <v>1211</v>
      </c>
      <c r="J1175" s="1" t="s">
        <v>4167</v>
      </c>
    </row>
    <row r="1176" spans="1:10" x14ac:dyDescent="0.35">
      <c r="A1176" s="1" t="s">
        <v>1915</v>
      </c>
      <c r="B1176" s="1" t="s">
        <v>1209</v>
      </c>
      <c r="C1176" s="1" t="s">
        <v>1210</v>
      </c>
      <c r="D1176" s="2">
        <v>46177</v>
      </c>
      <c r="E1176">
        <v>1.9653618860152901E-2</v>
      </c>
      <c r="F1176" s="2">
        <v>46177.771699571756</v>
      </c>
      <c r="G1176" s="1" t="s">
        <v>1211</v>
      </c>
      <c r="H1176" s="2">
        <v>46177.771699571756</v>
      </c>
      <c r="I1176" s="1" t="s">
        <v>1211</v>
      </c>
      <c r="J1176" s="1" t="s">
        <v>4168</v>
      </c>
    </row>
    <row r="1177" spans="1:10" x14ac:dyDescent="0.35">
      <c r="A1177" s="1" t="s">
        <v>1916</v>
      </c>
      <c r="B1177" s="1" t="s">
        <v>1209</v>
      </c>
      <c r="C1177" s="1" t="s">
        <v>1210</v>
      </c>
      <c r="D1177" s="2">
        <v>46177</v>
      </c>
      <c r="E1177">
        <v>-1.9083396062023399E-2</v>
      </c>
      <c r="F1177" s="2">
        <v>46177.771717627315</v>
      </c>
      <c r="G1177" s="1" t="s">
        <v>1211</v>
      </c>
      <c r="H1177" s="2">
        <v>46177.771717708332</v>
      </c>
      <c r="I1177" s="1" t="s">
        <v>1211</v>
      </c>
      <c r="J1177" s="1" t="s">
        <v>4169</v>
      </c>
    </row>
    <row r="1178" spans="1:10" x14ac:dyDescent="0.35">
      <c r="A1178" s="1" t="s">
        <v>1917</v>
      </c>
      <c r="B1178" s="1" t="s">
        <v>1209</v>
      </c>
      <c r="C1178" s="1" t="s">
        <v>1210</v>
      </c>
      <c r="D1178" s="2">
        <v>46177</v>
      </c>
      <c r="E1178">
        <v>2.8409201496510099E-2</v>
      </c>
      <c r="F1178" s="2">
        <v>46177.771679201389</v>
      </c>
      <c r="G1178" s="1" t="s">
        <v>1211</v>
      </c>
      <c r="H1178" s="2">
        <v>46177.771679166668</v>
      </c>
      <c r="I1178" s="1" t="s">
        <v>1211</v>
      </c>
      <c r="J1178" s="1" t="s">
        <v>4170</v>
      </c>
    </row>
    <row r="1179" spans="1:10" x14ac:dyDescent="0.35">
      <c r="A1179" s="1" t="s">
        <v>1918</v>
      </c>
      <c r="B1179" s="1" t="s">
        <v>1209</v>
      </c>
      <c r="C1179" s="1" t="s">
        <v>1210</v>
      </c>
      <c r="D1179" s="2">
        <v>46177</v>
      </c>
      <c r="E1179">
        <v>4.2871244780804597E-2</v>
      </c>
      <c r="F1179" s="2">
        <v>46177.771749074076</v>
      </c>
      <c r="G1179" s="1" t="s">
        <v>1211</v>
      </c>
      <c r="H1179" s="2">
        <v>46177.771749155094</v>
      </c>
      <c r="I1179" s="1" t="s">
        <v>1211</v>
      </c>
      <c r="J1179" s="1" t="s">
        <v>4171</v>
      </c>
    </row>
    <row r="1180" spans="1:10" x14ac:dyDescent="0.35">
      <c r="A1180" s="1" t="s">
        <v>1919</v>
      </c>
      <c r="B1180" s="1" t="s">
        <v>1209</v>
      </c>
      <c r="C1180" s="1" t="s">
        <v>1210</v>
      </c>
      <c r="D1180" s="2">
        <v>46177</v>
      </c>
      <c r="E1180">
        <v>2.9991536922616E-2</v>
      </c>
      <c r="F1180" s="2">
        <v>46177.77174895833</v>
      </c>
      <c r="G1180" s="1" t="s">
        <v>1211</v>
      </c>
      <c r="H1180" s="2">
        <v>46177.771748993058</v>
      </c>
      <c r="I1180" s="1" t="s">
        <v>1211</v>
      </c>
      <c r="J1180" s="1" t="s">
        <v>4172</v>
      </c>
    </row>
    <row r="1181" spans="1:10" x14ac:dyDescent="0.35">
      <c r="A1181" s="1" t="s">
        <v>1920</v>
      </c>
      <c r="B1181" s="1" t="s">
        <v>1209</v>
      </c>
      <c r="C1181" s="1" t="s">
        <v>1210</v>
      </c>
      <c r="D1181" s="2">
        <v>46177</v>
      </c>
      <c r="E1181">
        <v>4.3813738529471902E-2</v>
      </c>
      <c r="F1181" s="2">
        <v>46177.771705868057</v>
      </c>
      <c r="G1181" s="1" t="s">
        <v>1211</v>
      </c>
      <c r="H1181" s="2">
        <v>46177.771705868057</v>
      </c>
      <c r="I1181" s="1" t="s">
        <v>1211</v>
      </c>
      <c r="J1181" s="1" t="s">
        <v>4173</v>
      </c>
    </row>
    <row r="1182" spans="1:10" x14ac:dyDescent="0.35">
      <c r="A1182" s="1" t="s">
        <v>1921</v>
      </c>
      <c r="B1182" s="1" t="s">
        <v>1209</v>
      </c>
      <c r="C1182" s="1" t="s">
        <v>1210</v>
      </c>
      <c r="D1182" s="2">
        <v>46177</v>
      </c>
      <c r="E1182">
        <v>3.2604824793669301E-2</v>
      </c>
      <c r="F1182" s="2">
        <v>46177.771722685182</v>
      </c>
      <c r="G1182" s="1" t="s">
        <v>1211</v>
      </c>
      <c r="H1182" s="2">
        <v>46177.771722766207</v>
      </c>
      <c r="I1182" s="1" t="s">
        <v>1211</v>
      </c>
      <c r="J1182" s="1" t="s">
        <v>4174</v>
      </c>
    </row>
    <row r="1183" spans="1:10" x14ac:dyDescent="0.35">
      <c r="A1183" s="1" t="s">
        <v>1922</v>
      </c>
      <c r="B1183" s="1" t="s">
        <v>1209</v>
      </c>
      <c r="C1183" s="1" t="s">
        <v>1210</v>
      </c>
      <c r="D1183" s="2">
        <v>46177</v>
      </c>
      <c r="E1183">
        <v>1.05215659724597E-2</v>
      </c>
      <c r="F1183" s="2">
        <v>46177.77165613426</v>
      </c>
      <c r="G1183" s="1" t="s">
        <v>1211</v>
      </c>
      <c r="H1183" s="2">
        <v>46177.771656018522</v>
      </c>
      <c r="I1183" s="1" t="s">
        <v>1211</v>
      </c>
      <c r="J1183" s="1" t="s">
        <v>4175</v>
      </c>
    </row>
    <row r="1184" spans="1:10" x14ac:dyDescent="0.35">
      <c r="A1184" s="1" t="s">
        <v>1923</v>
      </c>
      <c r="B1184" s="1" t="s">
        <v>1209</v>
      </c>
      <c r="C1184" s="1" t="s">
        <v>1210</v>
      </c>
      <c r="D1184" s="2">
        <v>46177</v>
      </c>
      <c r="E1184">
        <v>4.39073319530437E-2</v>
      </c>
      <c r="F1184" s="2">
        <v>46177.771718553238</v>
      </c>
      <c r="G1184" s="1" t="s">
        <v>1211</v>
      </c>
      <c r="H1184" s="2">
        <v>46177.771718599535</v>
      </c>
      <c r="I1184" s="1" t="s">
        <v>1211</v>
      </c>
      <c r="J1184" s="1" t="s">
        <v>4176</v>
      </c>
    </row>
    <row r="1185" spans="1:10" x14ac:dyDescent="0.35">
      <c r="A1185" s="1" t="s">
        <v>1924</v>
      </c>
      <c r="B1185" s="1" t="s">
        <v>1209</v>
      </c>
      <c r="C1185" s="1" t="s">
        <v>1210</v>
      </c>
      <c r="D1185" s="2">
        <v>46177</v>
      </c>
      <c r="E1185">
        <v>3.7918862615789702E-2</v>
      </c>
      <c r="F1185" s="2">
        <v>46177.771684918982</v>
      </c>
      <c r="G1185" s="1" t="s">
        <v>1211</v>
      </c>
      <c r="H1185" s="2">
        <v>46177.771684953703</v>
      </c>
      <c r="I1185" s="1" t="s">
        <v>1211</v>
      </c>
      <c r="J1185" s="1" t="s">
        <v>4177</v>
      </c>
    </row>
    <row r="1186" spans="1:10" x14ac:dyDescent="0.35">
      <c r="A1186" s="1" t="s">
        <v>1925</v>
      </c>
      <c r="B1186" s="1" t="s">
        <v>1209</v>
      </c>
      <c r="C1186" s="1" t="s">
        <v>1210</v>
      </c>
      <c r="D1186" s="2">
        <v>46177</v>
      </c>
      <c r="E1186">
        <v>2.3577822897524799E-2</v>
      </c>
      <c r="F1186" s="2">
        <v>46177.771705706022</v>
      </c>
      <c r="G1186" s="1" t="s">
        <v>1211</v>
      </c>
      <c r="H1186" s="2">
        <v>46177.771705706022</v>
      </c>
      <c r="I1186" s="1" t="s">
        <v>1211</v>
      </c>
      <c r="J1186" s="1" t="s">
        <v>4178</v>
      </c>
    </row>
    <row r="1187" spans="1:10" x14ac:dyDescent="0.35">
      <c r="A1187" s="1" t="s">
        <v>1926</v>
      </c>
      <c r="B1187" s="1" t="s">
        <v>1209</v>
      </c>
      <c r="C1187" s="1" t="s">
        <v>1210</v>
      </c>
      <c r="D1187" s="2">
        <v>46177</v>
      </c>
      <c r="E1187">
        <v>4.4631953840393097E-2</v>
      </c>
      <c r="F1187" s="2">
        <v>46177.771683530096</v>
      </c>
      <c r="G1187" s="1" t="s">
        <v>1211</v>
      </c>
      <c r="H1187" s="2">
        <v>46177.771683530096</v>
      </c>
      <c r="I1187" s="1" t="s">
        <v>1211</v>
      </c>
      <c r="J1187" s="1" t="s">
        <v>4179</v>
      </c>
    </row>
    <row r="1188" spans="1:10" x14ac:dyDescent="0.35">
      <c r="A1188" s="1" t="s">
        <v>1927</v>
      </c>
      <c r="B1188" s="1" t="s">
        <v>1209</v>
      </c>
      <c r="C1188" s="1" t="s">
        <v>1210</v>
      </c>
      <c r="D1188" s="2">
        <v>46177</v>
      </c>
      <c r="E1188">
        <v>3.4477033964959103E-2</v>
      </c>
      <c r="F1188" s="2">
        <v>46177.771664386572</v>
      </c>
      <c r="G1188" s="1" t="s">
        <v>1211</v>
      </c>
      <c r="H1188" s="2">
        <v>46177.771664548614</v>
      </c>
      <c r="I1188" s="1" t="s">
        <v>1211</v>
      </c>
      <c r="J1188" s="1" t="s">
        <v>4180</v>
      </c>
    </row>
    <row r="1189" spans="1:10" x14ac:dyDescent="0.35">
      <c r="A1189" s="1" t="s">
        <v>1928</v>
      </c>
      <c r="B1189" s="1" t="s">
        <v>1209</v>
      </c>
      <c r="C1189" s="1" t="s">
        <v>1210</v>
      </c>
      <c r="D1189" s="2">
        <v>46177</v>
      </c>
      <c r="E1189">
        <v>2.6225111766912598E-2</v>
      </c>
      <c r="F1189" s="2">
        <v>46177.771717013886</v>
      </c>
      <c r="G1189" s="1" t="s">
        <v>1211</v>
      </c>
      <c r="H1189" s="2">
        <v>46177.771716979165</v>
      </c>
      <c r="I1189" s="1" t="s">
        <v>1211</v>
      </c>
      <c r="J1189" s="1" t="s">
        <v>4181</v>
      </c>
    </row>
    <row r="1190" spans="1:10" x14ac:dyDescent="0.35">
      <c r="A1190" s="1" t="s">
        <v>1929</v>
      </c>
      <c r="B1190" s="1" t="s">
        <v>1209</v>
      </c>
      <c r="C1190" s="1" t="s">
        <v>1210</v>
      </c>
      <c r="D1190" s="2">
        <v>46177</v>
      </c>
      <c r="E1190">
        <v>4.4090324122825299E-2</v>
      </c>
      <c r="F1190" s="2">
        <v>46177.771730902779</v>
      </c>
      <c r="G1190" s="1" t="s">
        <v>1211</v>
      </c>
      <c r="H1190" s="2">
        <v>46177.7717309375</v>
      </c>
      <c r="I1190" s="1" t="s">
        <v>1211</v>
      </c>
      <c r="J1190" s="1" t="s">
        <v>4182</v>
      </c>
    </row>
    <row r="1191" spans="1:10" x14ac:dyDescent="0.35">
      <c r="A1191" s="1" t="s">
        <v>1930</v>
      </c>
      <c r="B1191" s="1" t="s">
        <v>1209</v>
      </c>
      <c r="C1191" s="1" t="s">
        <v>1210</v>
      </c>
      <c r="D1191" s="2">
        <v>46177</v>
      </c>
      <c r="E1191">
        <v>2.6749714894809099E-2</v>
      </c>
      <c r="F1191" s="2">
        <v>46177.771688113426</v>
      </c>
      <c r="G1191" s="1" t="s">
        <v>1211</v>
      </c>
      <c r="H1191" s="2">
        <v>46177.771688043984</v>
      </c>
      <c r="I1191" s="1" t="s">
        <v>1211</v>
      </c>
      <c r="J1191" s="1" t="s">
        <v>4183</v>
      </c>
    </row>
    <row r="1192" spans="1:10" x14ac:dyDescent="0.35">
      <c r="A1192" s="1" t="s">
        <v>1931</v>
      </c>
      <c r="B1192" s="1" t="s">
        <v>1209</v>
      </c>
      <c r="C1192" s="1" t="s">
        <v>1210</v>
      </c>
      <c r="D1192" s="2">
        <v>46177</v>
      </c>
      <c r="E1192">
        <v>3.9707045619260702E-2</v>
      </c>
      <c r="F1192" s="2">
        <v>46177.771725115737</v>
      </c>
      <c r="G1192" s="1" t="s">
        <v>1211</v>
      </c>
      <c r="H1192" s="2">
        <v>46177.771725150465</v>
      </c>
      <c r="I1192" s="1" t="s">
        <v>1211</v>
      </c>
      <c r="J1192" s="1" t="s">
        <v>4184</v>
      </c>
    </row>
    <row r="1193" spans="1:10" x14ac:dyDescent="0.35">
      <c r="A1193" s="1" t="s">
        <v>1932</v>
      </c>
      <c r="B1193" s="1" t="s">
        <v>1209</v>
      </c>
      <c r="C1193" s="1" t="s">
        <v>1210</v>
      </c>
      <c r="D1193" s="2">
        <v>46177</v>
      </c>
      <c r="E1193">
        <v>2.7667719986168599E-2</v>
      </c>
      <c r="F1193" s="2">
        <v>46177.771659722224</v>
      </c>
      <c r="G1193" s="1" t="s">
        <v>1211</v>
      </c>
      <c r="H1193" s="2">
        <v>46177.771659687503</v>
      </c>
      <c r="I1193" s="1" t="s">
        <v>1211</v>
      </c>
      <c r="J1193" s="1" t="s">
        <v>4185</v>
      </c>
    </row>
    <row r="1194" spans="1:10" x14ac:dyDescent="0.35">
      <c r="A1194" s="1" t="s">
        <v>1933</v>
      </c>
      <c r="B1194" s="1" t="s">
        <v>1209</v>
      </c>
      <c r="C1194" s="1" t="s">
        <v>1210</v>
      </c>
      <c r="D1194" s="2">
        <v>46177</v>
      </c>
      <c r="E1194">
        <v>2.8358501106374601E-2</v>
      </c>
      <c r="F1194" s="2">
        <v>46177.7717466088</v>
      </c>
      <c r="G1194" s="1" t="s">
        <v>1211</v>
      </c>
      <c r="H1194" s="2">
        <v>46177.771746562503</v>
      </c>
      <c r="I1194" s="1" t="s">
        <v>1211</v>
      </c>
      <c r="J1194" s="1" t="s">
        <v>4186</v>
      </c>
    </row>
    <row r="1195" spans="1:10" x14ac:dyDescent="0.35">
      <c r="A1195" s="1" t="s">
        <v>1934</v>
      </c>
      <c r="B1195" s="1" t="s">
        <v>1209</v>
      </c>
      <c r="C1195" s="1" t="s">
        <v>1210</v>
      </c>
      <c r="D1195" s="2">
        <v>46177</v>
      </c>
      <c r="E1195">
        <v>3.6367291269084098E-2</v>
      </c>
      <c r="F1195" s="2">
        <v>46177.771736261573</v>
      </c>
      <c r="G1195" s="1" t="s">
        <v>1211</v>
      </c>
      <c r="H1195" s="2">
        <v>46177.771736423609</v>
      </c>
      <c r="I1195" s="1" t="s">
        <v>1211</v>
      </c>
      <c r="J1195" s="1" t="s">
        <v>4187</v>
      </c>
    </row>
    <row r="1196" spans="1:10" x14ac:dyDescent="0.35">
      <c r="A1196" s="1" t="s">
        <v>1935</v>
      </c>
      <c r="B1196" s="1" t="s">
        <v>1209</v>
      </c>
      <c r="C1196" s="1" t="s">
        <v>1210</v>
      </c>
      <c r="D1196" s="2">
        <v>46177</v>
      </c>
      <c r="E1196">
        <v>4.43686252086158E-2</v>
      </c>
      <c r="F1196" s="2">
        <v>46177.771666550929</v>
      </c>
      <c r="G1196" s="1" t="s">
        <v>1211</v>
      </c>
      <c r="H1196" s="2">
        <v>46177.771666516201</v>
      </c>
      <c r="I1196" s="1" t="s">
        <v>1211</v>
      </c>
      <c r="J1196" s="1" t="s">
        <v>4188</v>
      </c>
    </row>
    <row r="1197" spans="1:10" x14ac:dyDescent="0.35">
      <c r="A1197" s="1" t="s">
        <v>1936</v>
      </c>
      <c r="B1197" s="1" t="s">
        <v>1209</v>
      </c>
      <c r="C1197" s="1" t="s">
        <v>1210</v>
      </c>
      <c r="D1197" s="2">
        <v>46177</v>
      </c>
      <c r="E1197">
        <v>2.9179059697372001E-2</v>
      </c>
      <c r="F1197" s="2">
        <v>46177.771738113428</v>
      </c>
      <c r="G1197" s="1" t="s">
        <v>1211</v>
      </c>
      <c r="H1197" s="2">
        <v>46177.771738229167</v>
      </c>
      <c r="I1197" s="1" t="s">
        <v>1211</v>
      </c>
      <c r="J1197" s="1" t="s">
        <v>4189</v>
      </c>
    </row>
    <row r="1198" spans="1:10" x14ac:dyDescent="0.35">
      <c r="A1198" s="1" t="s">
        <v>1937</v>
      </c>
      <c r="B1198" s="1" t="s">
        <v>1209</v>
      </c>
      <c r="C1198" s="1" t="s">
        <v>1210</v>
      </c>
      <c r="D1198" s="2">
        <v>46177</v>
      </c>
      <c r="E1198">
        <v>2.20902308646269E-2</v>
      </c>
      <c r="F1198" s="2">
        <v>46177.771666863424</v>
      </c>
      <c r="G1198" s="1" t="s">
        <v>1211</v>
      </c>
      <c r="H1198" s="2">
        <v>46177.771666932873</v>
      </c>
      <c r="I1198" s="1" t="s">
        <v>1211</v>
      </c>
      <c r="J1198" s="1" t="s">
        <v>4190</v>
      </c>
    </row>
    <row r="1199" spans="1:10" x14ac:dyDescent="0.35">
      <c r="A1199" s="1" t="s">
        <v>1938</v>
      </c>
      <c r="B1199" s="1" t="s">
        <v>1209</v>
      </c>
      <c r="C1199" s="1" t="s">
        <v>1210</v>
      </c>
      <c r="D1199" s="2">
        <v>46177</v>
      </c>
      <c r="E1199">
        <v>4.0824953478926299E-2</v>
      </c>
      <c r="F1199" s="2">
        <v>46177.77165628472</v>
      </c>
      <c r="G1199" s="1" t="s">
        <v>1211</v>
      </c>
      <c r="H1199" s="2">
        <v>46177.771656215278</v>
      </c>
      <c r="I1199" s="1" t="s">
        <v>1211</v>
      </c>
      <c r="J1199" s="1" t="s">
        <v>4191</v>
      </c>
    </row>
    <row r="1200" spans="1:10" x14ac:dyDescent="0.35">
      <c r="A1200" s="1" t="s">
        <v>1939</v>
      </c>
      <c r="B1200" s="1" t="s">
        <v>1209</v>
      </c>
      <c r="C1200" s="1" t="s">
        <v>1210</v>
      </c>
      <c r="D1200" s="2">
        <v>46177</v>
      </c>
      <c r="E1200">
        <v>3.0026971024820201E-2</v>
      </c>
      <c r="F1200" s="2">
        <v>46177.771665775464</v>
      </c>
      <c r="G1200" s="1" t="s">
        <v>1211</v>
      </c>
      <c r="H1200" s="2">
        <v>46177.771665821761</v>
      </c>
      <c r="I1200" s="1" t="s">
        <v>1211</v>
      </c>
      <c r="J1200" s="1" t="s">
        <v>4192</v>
      </c>
    </row>
    <row r="1201" spans="1:10" x14ac:dyDescent="0.35">
      <c r="A1201" s="1" t="s">
        <v>1940</v>
      </c>
      <c r="B1201" s="1" t="s">
        <v>1209</v>
      </c>
      <c r="C1201" s="1" t="s">
        <v>1210</v>
      </c>
      <c r="D1201" s="2">
        <v>46177</v>
      </c>
      <c r="E1201">
        <v>2.4579359058035901E-2</v>
      </c>
      <c r="F1201" s="2">
        <v>46177.771699421297</v>
      </c>
      <c r="G1201" s="1" t="s">
        <v>1211</v>
      </c>
      <c r="H1201" s="2">
        <v>46177.771699386576</v>
      </c>
      <c r="I1201" s="1" t="s">
        <v>1211</v>
      </c>
      <c r="J1201" s="1" t="s">
        <v>4193</v>
      </c>
    </row>
    <row r="1202" spans="1:10" x14ac:dyDescent="0.35">
      <c r="A1202" s="1" t="s">
        <v>1941</v>
      </c>
      <c r="B1202" s="1" t="s">
        <v>1209</v>
      </c>
      <c r="C1202" s="1" t="s">
        <v>1210</v>
      </c>
      <c r="D1202" s="2">
        <v>46177</v>
      </c>
      <c r="E1202">
        <v>4.4777658456322401E-2</v>
      </c>
      <c r="F1202" s="2">
        <v>46177.771669178241</v>
      </c>
      <c r="G1202" s="1" t="s">
        <v>1211</v>
      </c>
      <c r="H1202" s="2">
        <v>46177.771669293979</v>
      </c>
      <c r="I1202" s="1" t="s">
        <v>1211</v>
      </c>
      <c r="J1202" s="1" t="s">
        <v>4194</v>
      </c>
    </row>
    <row r="1203" spans="1:10" x14ac:dyDescent="0.35">
      <c r="A1203" s="1" t="s">
        <v>1942</v>
      </c>
      <c r="B1203" s="1" t="s">
        <v>1209</v>
      </c>
      <c r="C1203" s="1" t="s">
        <v>1210</v>
      </c>
      <c r="D1203" s="2">
        <v>46177</v>
      </c>
      <c r="E1203">
        <v>3.7529577478459003E-2</v>
      </c>
      <c r="F1203" s="2">
        <v>46177.771728043983</v>
      </c>
      <c r="G1203" s="1" t="s">
        <v>1211</v>
      </c>
      <c r="H1203" s="2">
        <v>46177.771728043983</v>
      </c>
      <c r="I1203" s="1" t="s">
        <v>1211</v>
      </c>
      <c r="J1203" s="1" t="s">
        <v>4195</v>
      </c>
    </row>
    <row r="1204" spans="1:10" x14ac:dyDescent="0.35">
      <c r="A1204" s="1" t="s">
        <v>1943</v>
      </c>
      <c r="B1204" s="1" t="s">
        <v>1209</v>
      </c>
      <c r="C1204" s="1" t="s">
        <v>1210</v>
      </c>
      <c r="D1204" s="2">
        <v>46177</v>
      </c>
      <c r="E1204">
        <v>3.0600840572239201E-2</v>
      </c>
      <c r="F1204" s="2">
        <v>46177.771724502316</v>
      </c>
      <c r="G1204" s="1" t="s">
        <v>1211</v>
      </c>
      <c r="H1204" s="2">
        <v>46177.771724571758</v>
      </c>
      <c r="I1204" s="1" t="s">
        <v>1211</v>
      </c>
      <c r="J1204" s="1" t="s">
        <v>4196</v>
      </c>
    </row>
    <row r="1205" spans="1:10" x14ac:dyDescent="0.35">
      <c r="A1205" s="1" t="s">
        <v>1944</v>
      </c>
      <c r="B1205" s="1" t="s">
        <v>1209</v>
      </c>
      <c r="C1205" s="1" t="s">
        <v>1210</v>
      </c>
      <c r="D1205" s="2">
        <v>46177</v>
      </c>
      <c r="E1205">
        <v>3.1073982678404301E-2</v>
      </c>
      <c r="F1205" s="2">
        <v>46177.771724189814</v>
      </c>
      <c r="G1205" s="1" t="s">
        <v>1211</v>
      </c>
      <c r="H1205" s="2">
        <v>46177.771724189814</v>
      </c>
      <c r="I1205" s="1" t="s">
        <v>1211</v>
      </c>
      <c r="J1205" s="1" t="s">
        <v>4197</v>
      </c>
    </row>
    <row r="1206" spans="1:10" x14ac:dyDescent="0.35">
      <c r="A1206" s="1" t="s">
        <v>4198</v>
      </c>
      <c r="B1206" s="1" t="s">
        <v>1209</v>
      </c>
      <c r="C1206" s="1" t="s">
        <v>1210</v>
      </c>
      <c r="D1206" s="2">
        <v>46177</v>
      </c>
      <c r="E1206">
        <v>2.9051764398483001E-2</v>
      </c>
      <c r="F1206" s="2">
        <v>46177.771668715279</v>
      </c>
      <c r="G1206" s="1" t="s">
        <v>1211</v>
      </c>
      <c r="H1206" s="2">
        <v>46177.77166875</v>
      </c>
      <c r="I1206" s="1" t="s">
        <v>1211</v>
      </c>
      <c r="J1206" s="1" t="s">
        <v>4199</v>
      </c>
    </row>
    <row r="1207" spans="1:10" x14ac:dyDescent="0.35">
      <c r="A1207" s="1" t="s">
        <v>1945</v>
      </c>
      <c r="B1207" s="1" t="s">
        <v>1209</v>
      </c>
      <c r="C1207" s="1" t="s">
        <v>1210</v>
      </c>
      <c r="D1207" s="2">
        <v>46177</v>
      </c>
      <c r="E1207">
        <v>2.7065151125435099E-2</v>
      </c>
      <c r="F1207" s="2">
        <v>46177.771723148151</v>
      </c>
      <c r="G1207" s="1" t="s">
        <v>1211</v>
      </c>
      <c r="H1207" s="2">
        <v>46177.771723113423</v>
      </c>
      <c r="I1207" s="1" t="s">
        <v>1211</v>
      </c>
      <c r="J1207" s="1" t="s">
        <v>4200</v>
      </c>
    </row>
    <row r="1208" spans="1:10" x14ac:dyDescent="0.35">
      <c r="A1208" s="1" t="s">
        <v>1946</v>
      </c>
      <c r="B1208" s="1" t="s">
        <v>1209</v>
      </c>
      <c r="C1208" s="1" t="s">
        <v>1210</v>
      </c>
      <c r="D1208" s="2">
        <v>46177</v>
      </c>
      <c r="E1208">
        <v>4.1666270662022498E-2</v>
      </c>
      <c r="F1208" s="2">
        <v>46177.771721377314</v>
      </c>
      <c r="G1208" s="1" t="s">
        <v>1211</v>
      </c>
      <c r="H1208" s="2">
        <v>46177.771721493053</v>
      </c>
      <c r="I1208" s="1" t="s">
        <v>1211</v>
      </c>
      <c r="J1208" s="1" t="s">
        <v>4201</v>
      </c>
    </row>
    <row r="1209" spans="1:10" x14ac:dyDescent="0.35">
      <c r="A1209" s="1" t="s">
        <v>1947</v>
      </c>
      <c r="B1209" s="1" t="s">
        <v>1209</v>
      </c>
      <c r="C1209" s="1" t="s">
        <v>1210</v>
      </c>
      <c r="D1209" s="2">
        <v>46177</v>
      </c>
      <c r="E1209">
        <v>3.1458981025734599E-2</v>
      </c>
      <c r="F1209" s="2">
        <v>46177.771674456017</v>
      </c>
      <c r="G1209" s="1" t="s">
        <v>1211</v>
      </c>
      <c r="H1209" s="2">
        <v>46177.771674571763</v>
      </c>
      <c r="I1209" s="1" t="s">
        <v>1211</v>
      </c>
      <c r="J1209" s="1" t="s">
        <v>4202</v>
      </c>
    </row>
    <row r="1210" spans="1:10" x14ac:dyDescent="0.35">
      <c r="A1210" s="1" t="s">
        <v>1948</v>
      </c>
      <c r="B1210" s="1" t="s">
        <v>1209</v>
      </c>
      <c r="C1210" s="1" t="s">
        <v>1210</v>
      </c>
      <c r="D1210" s="2">
        <v>46177</v>
      </c>
      <c r="E1210">
        <v>4.4811622834669801E-2</v>
      </c>
      <c r="F1210" s="2">
        <v>46177.7716659375</v>
      </c>
      <c r="G1210" s="1" t="s">
        <v>1211</v>
      </c>
      <c r="H1210" s="2">
        <v>46177.771666006942</v>
      </c>
      <c r="I1210" s="1" t="s">
        <v>1211</v>
      </c>
      <c r="J1210" s="1" t="s">
        <v>4203</v>
      </c>
    </row>
    <row r="1211" spans="1:10" x14ac:dyDescent="0.35">
      <c r="A1211" s="1" t="s">
        <v>1949</v>
      </c>
      <c r="B1211" s="1" t="s">
        <v>1209</v>
      </c>
      <c r="C1211" s="1" t="s">
        <v>1210</v>
      </c>
      <c r="D1211" s="2">
        <v>46177</v>
      </c>
      <c r="E1211">
        <v>3.8554333369986503E-2</v>
      </c>
      <c r="F1211" s="2">
        <v>46177.771656597222</v>
      </c>
      <c r="G1211" s="1" t="s">
        <v>1211</v>
      </c>
      <c r="H1211" s="2">
        <v>46177.771656562501</v>
      </c>
      <c r="I1211" s="1" t="s">
        <v>1211</v>
      </c>
      <c r="J1211" s="1" t="s">
        <v>4204</v>
      </c>
    </row>
    <row r="1212" spans="1:10" x14ac:dyDescent="0.35">
      <c r="A1212" s="1" t="s">
        <v>1950</v>
      </c>
      <c r="B1212" s="1" t="s">
        <v>1209</v>
      </c>
      <c r="C1212" s="1" t="s">
        <v>1210</v>
      </c>
      <c r="D1212" s="2">
        <v>46177</v>
      </c>
      <c r="E1212">
        <v>2.77911335935692E-2</v>
      </c>
      <c r="F1212" s="2">
        <v>46177.771746296297</v>
      </c>
      <c r="G1212" s="1" t="s">
        <v>1211</v>
      </c>
      <c r="H1212" s="2">
        <v>46177.77174621528</v>
      </c>
      <c r="I1212" s="1" t="s">
        <v>1211</v>
      </c>
      <c r="J1212" s="1" t="s">
        <v>4205</v>
      </c>
    </row>
    <row r="1213" spans="1:10" x14ac:dyDescent="0.35">
      <c r="A1213" s="1" t="s">
        <v>1951</v>
      </c>
      <c r="B1213" s="1" t="s">
        <v>1209</v>
      </c>
      <c r="C1213" s="1" t="s">
        <v>1210</v>
      </c>
      <c r="D1213" s="2">
        <v>46177</v>
      </c>
      <c r="E1213">
        <v>3.1823504307776598E-2</v>
      </c>
      <c r="F1213" s="2">
        <v>46177.771666400462</v>
      </c>
      <c r="G1213" s="1" t="s">
        <v>1211</v>
      </c>
      <c r="H1213" s="2">
        <v>46177.771666516201</v>
      </c>
      <c r="I1213" s="1" t="s">
        <v>1211</v>
      </c>
      <c r="J1213" s="1" t="s">
        <v>4206</v>
      </c>
    </row>
    <row r="1214" spans="1:10" x14ac:dyDescent="0.35">
      <c r="A1214" s="1" t="s">
        <v>1952</v>
      </c>
      <c r="B1214" s="1" t="s">
        <v>1209</v>
      </c>
      <c r="C1214" s="1" t="s">
        <v>1210</v>
      </c>
      <c r="D1214" s="2">
        <v>46177</v>
      </c>
      <c r="E1214">
        <v>2.2741541198723399E-2</v>
      </c>
      <c r="F1214" s="2">
        <v>46177.771737812502</v>
      </c>
      <c r="G1214" s="1" t="s">
        <v>1211</v>
      </c>
      <c r="H1214" s="2">
        <v>46177.771737847223</v>
      </c>
      <c r="I1214" s="1" t="s">
        <v>1211</v>
      </c>
      <c r="J1214" s="1" t="s">
        <v>4207</v>
      </c>
    </row>
    <row r="1215" spans="1:10" x14ac:dyDescent="0.35">
      <c r="A1215" s="1" t="s">
        <v>1953</v>
      </c>
      <c r="B1215" s="1" t="s">
        <v>1209</v>
      </c>
      <c r="C1215" s="1" t="s">
        <v>1210</v>
      </c>
      <c r="D1215" s="2">
        <v>46177</v>
      </c>
      <c r="E1215">
        <v>4.3368307426803497E-2</v>
      </c>
      <c r="F1215" s="2">
        <v>46177.77169869213</v>
      </c>
      <c r="G1215" s="1" t="s">
        <v>1211</v>
      </c>
      <c r="H1215" s="2">
        <v>46177.77169869213</v>
      </c>
      <c r="I1215" s="1" t="s">
        <v>1211</v>
      </c>
      <c r="J1215" s="1" t="s">
        <v>4208</v>
      </c>
    </row>
    <row r="1216" spans="1:10" x14ac:dyDescent="0.35">
      <c r="A1216" s="1" t="s">
        <v>1954</v>
      </c>
      <c r="B1216" s="1" t="s">
        <v>1209</v>
      </c>
      <c r="C1216" s="1" t="s">
        <v>1210</v>
      </c>
      <c r="D1216" s="2">
        <v>46177</v>
      </c>
      <c r="E1216">
        <v>4.2380078418577397E-2</v>
      </c>
      <c r="F1216" s="2">
        <v>46177.771685532411</v>
      </c>
      <c r="G1216" s="1" t="s">
        <v>1211</v>
      </c>
      <c r="H1216" s="2">
        <v>46177.771685497682</v>
      </c>
      <c r="I1216" s="1" t="s">
        <v>1211</v>
      </c>
      <c r="J1216" s="1" t="s">
        <v>4209</v>
      </c>
    </row>
    <row r="1217" spans="1:10" x14ac:dyDescent="0.35">
      <c r="A1217" s="1" t="s">
        <v>1955</v>
      </c>
      <c r="B1217" s="1" t="s">
        <v>1209</v>
      </c>
      <c r="C1217" s="1" t="s">
        <v>1210</v>
      </c>
      <c r="D1217" s="2">
        <v>46177</v>
      </c>
      <c r="E1217">
        <v>2.8016099486090101E-2</v>
      </c>
      <c r="F1217" s="2">
        <v>46177.77172665509</v>
      </c>
      <c r="G1217" s="1" t="s">
        <v>1211</v>
      </c>
      <c r="H1217" s="2">
        <v>46177.771726620369</v>
      </c>
      <c r="I1217" s="1" t="s">
        <v>1211</v>
      </c>
      <c r="J1217" s="1" t="s">
        <v>4210</v>
      </c>
    </row>
    <row r="1218" spans="1:10" x14ac:dyDescent="0.35">
      <c r="A1218" s="1" t="s">
        <v>1956</v>
      </c>
      <c r="B1218" s="1" t="s">
        <v>1209</v>
      </c>
      <c r="C1218" s="1" t="s">
        <v>1210</v>
      </c>
      <c r="D1218" s="2">
        <v>46177</v>
      </c>
      <c r="E1218">
        <v>3.2300700669809002E-2</v>
      </c>
      <c r="F1218" s="2">
        <v>46177.771710995374</v>
      </c>
      <c r="G1218" s="1" t="s">
        <v>1211</v>
      </c>
      <c r="H1218" s="2">
        <v>46177.771710960646</v>
      </c>
      <c r="I1218" s="1" t="s">
        <v>1211</v>
      </c>
      <c r="J1218" s="1" t="s">
        <v>4211</v>
      </c>
    </row>
    <row r="1219" spans="1:10" x14ac:dyDescent="0.35">
      <c r="A1219" s="1" t="s">
        <v>1957</v>
      </c>
      <c r="B1219" s="1" t="s">
        <v>1209</v>
      </c>
      <c r="C1219" s="1" t="s">
        <v>1210</v>
      </c>
      <c r="D1219" s="2">
        <v>46177</v>
      </c>
      <c r="E1219">
        <v>2.1805922785000199E-2</v>
      </c>
      <c r="F1219" s="2">
        <v>46177.771689664354</v>
      </c>
      <c r="G1219" s="1" t="s">
        <v>1211</v>
      </c>
      <c r="H1219" s="2">
        <v>46177.771689664354</v>
      </c>
      <c r="I1219" s="1" t="s">
        <v>1211</v>
      </c>
      <c r="J1219" s="1" t="s">
        <v>4212</v>
      </c>
    </row>
    <row r="1220" spans="1:10" x14ac:dyDescent="0.35">
      <c r="A1220" s="1" t="s">
        <v>1958</v>
      </c>
      <c r="B1220" s="1" t="s">
        <v>1209</v>
      </c>
      <c r="C1220" s="1" t="s">
        <v>1210</v>
      </c>
      <c r="D1220" s="2">
        <v>46177</v>
      </c>
      <c r="E1220">
        <v>3.2889020010583997E-2</v>
      </c>
      <c r="F1220" s="2">
        <v>46177.771719756944</v>
      </c>
      <c r="G1220" s="1" t="s">
        <v>1211</v>
      </c>
      <c r="H1220" s="2">
        <v>46177.771719675926</v>
      </c>
      <c r="I1220" s="1" t="s">
        <v>1211</v>
      </c>
      <c r="J1220" s="1" t="s">
        <v>4213</v>
      </c>
    </row>
    <row r="1221" spans="1:10" x14ac:dyDescent="0.35">
      <c r="A1221" s="1" t="s">
        <v>1959</v>
      </c>
      <c r="B1221" s="1" t="s">
        <v>1209</v>
      </c>
      <c r="C1221" s="1" t="s">
        <v>1210</v>
      </c>
      <c r="D1221" s="2">
        <v>46177</v>
      </c>
      <c r="E1221">
        <v>2.8817127457235601E-2</v>
      </c>
      <c r="F1221" s="2">
        <v>46177.771694016206</v>
      </c>
      <c r="G1221" s="1" t="s">
        <v>1211</v>
      </c>
      <c r="H1221" s="2">
        <v>46177.771693981478</v>
      </c>
      <c r="I1221" s="1" t="s">
        <v>1211</v>
      </c>
      <c r="J1221" s="1" t="s">
        <v>4214</v>
      </c>
    </row>
    <row r="1222" spans="1:10" x14ac:dyDescent="0.35">
      <c r="A1222" s="1" t="s">
        <v>1960</v>
      </c>
      <c r="B1222" s="1" t="s">
        <v>1209</v>
      </c>
      <c r="C1222" s="1" t="s">
        <v>1210</v>
      </c>
      <c r="D1222" s="2">
        <v>46177</v>
      </c>
      <c r="E1222">
        <v>4.50043325634681E-2</v>
      </c>
      <c r="F1222" s="2">
        <v>46177.771673229166</v>
      </c>
      <c r="G1222" s="1" t="s">
        <v>1211</v>
      </c>
      <c r="H1222" s="2">
        <v>46177.771673298608</v>
      </c>
      <c r="I1222" s="1" t="s">
        <v>1211</v>
      </c>
      <c r="J1222" s="1" t="s">
        <v>4215</v>
      </c>
    </row>
    <row r="1223" spans="1:10" x14ac:dyDescent="0.35">
      <c r="A1223" s="1" t="s">
        <v>1961</v>
      </c>
      <c r="B1223" s="1" t="s">
        <v>1209</v>
      </c>
      <c r="C1223" s="1" t="s">
        <v>1210</v>
      </c>
      <c r="D1223" s="2">
        <v>46177</v>
      </c>
      <c r="E1223">
        <v>2.6097499945126501E-2</v>
      </c>
      <c r="F1223" s="2">
        <v>46177.771702002312</v>
      </c>
      <c r="G1223" s="1" t="s">
        <v>1211</v>
      </c>
      <c r="H1223" s="2">
        <v>46177.771701967591</v>
      </c>
      <c r="I1223" s="1" t="s">
        <v>1211</v>
      </c>
      <c r="J1223" s="1" t="s">
        <v>4216</v>
      </c>
    </row>
    <row r="1224" spans="1:10" x14ac:dyDescent="0.35">
      <c r="A1224" s="1" t="s">
        <v>1962</v>
      </c>
      <c r="B1224" s="1" t="s">
        <v>1209</v>
      </c>
      <c r="C1224" s="1" t="s">
        <v>1210</v>
      </c>
      <c r="D1224" s="2">
        <v>46177</v>
      </c>
      <c r="E1224">
        <v>3.3560010861891802E-2</v>
      </c>
      <c r="F1224" s="2">
        <v>46177.771730520835</v>
      </c>
      <c r="G1224" s="1" t="s">
        <v>1211</v>
      </c>
      <c r="H1224" s="2">
        <v>46177.771730590277</v>
      </c>
      <c r="I1224" s="1" t="s">
        <v>1211</v>
      </c>
      <c r="J1224" s="1" t="s">
        <v>4217</v>
      </c>
    </row>
    <row r="1225" spans="1:10" x14ac:dyDescent="0.35">
      <c r="A1225" s="1" t="s">
        <v>1963</v>
      </c>
      <c r="B1225" s="1" t="s">
        <v>1209</v>
      </c>
      <c r="C1225" s="1" t="s">
        <v>1210</v>
      </c>
      <c r="D1225" s="2">
        <v>46177</v>
      </c>
      <c r="E1225">
        <v>2.93643757770377E-2</v>
      </c>
      <c r="F1225" s="2">
        <v>46177.77168244213</v>
      </c>
      <c r="G1225" s="1" t="s">
        <v>1211</v>
      </c>
      <c r="H1225" s="2">
        <v>46177.771682407409</v>
      </c>
      <c r="I1225" s="1" t="s">
        <v>1211</v>
      </c>
      <c r="J1225" s="1" t="s">
        <v>4218</v>
      </c>
    </row>
    <row r="1226" spans="1:10" x14ac:dyDescent="0.35">
      <c r="A1226" s="1" t="s">
        <v>1964</v>
      </c>
      <c r="B1226" s="1" t="s">
        <v>1209</v>
      </c>
      <c r="C1226" s="1" t="s">
        <v>1210</v>
      </c>
      <c r="D1226" s="2">
        <v>46177</v>
      </c>
      <c r="E1226">
        <v>3.9428151138614302E-2</v>
      </c>
      <c r="F1226" s="2">
        <v>46177.771686342596</v>
      </c>
      <c r="G1226" s="1" t="s">
        <v>1211</v>
      </c>
      <c r="H1226" s="2">
        <v>46177.77168622685</v>
      </c>
      <c r="I1226" s="1" t="s">
        <v>1211</v>
      </c>
      <c r="J1226" s="1" t="s">
        <v>4219</v>
      </c>
    </row>
    <row r="1227" spans="1:10" x14ac:dyDescent="0.35">
      <c r="A1227" s="1" t="s">
        <v>1965</v>
      </c>
      <c r="B1227" s="1" t="s">
        <v>1209</v>
      </c>
      <c r="C1227" s="1" t="s">
        <v>1210</v>
      </c>
      <c r="D1227" s="2">
        <v>46177</v>
      </c>
      <c r="E1227">
        <v>2.7495699420474601E-2</v>
      </c>
      <c r="F1227" s="2">
        <v>46177.771656018522</v>
      </c>
      <c r="G1227" s="1" t="s">
        <v>1211</v>
      </c>
      <c r="H1227" s="2">
        <v>46177.771655868055</v>
      </c>
      <c r="I1227" s="1" t="s">
        <v>1211</v>
      </c>
      <c r="J1227" s="1" t="s">
        <v>3783</v>
      </c>
    </row>
    <row r="1228" spans="1:10" x14ac:dyDescent="0.35">
      <c r="A1228" s="1" t="s">
        <v>1966</v>
      </c>
      <c r="B1228" s="1" t="s">
        <v>1209</v>
      </c>
      <c r="C1228" s="1" t="s">
        <v>1210</v>
      </c>
      <c r="D1228" s="2">
        <v>46177</v>
      </c>
      <c r="E1228">
        <v>3.6547826584062602E-2</v>
      </c>
      <c r="F1228" s="2">
        <v>46177.771721990743</v>
      </c>
      <c r="G1228" s="1" t="s">
        <v>1211</v>
      </c>
      <c r="H1228" s="2">
        <v>46177.771722025464</v>
      </c>
      <c r="I1228" s="1" t="s">
        <v>1211</v>
      </c>
      <c r="J1228" s="1" t="s">
        <v>4220</v>
      </c>
    </row>
    <row r="1229" spans="1:10" x14ac:dyDescent="0.35">
      <c r="A1229" s="1" t="s">
        <v>1967</v>
      </c>
      <c r="B1229" s="1" t="s">
        <v>1209</v>
      </c>
      <c r="C1229" s="1" t="s">
        <v>1210</v>
      </c>
      <c r="D1229" s="2">
        <v>46177</v>
      </c>
      <c r="E1229">
        <v>3.4235845767741302E-2</v>
      </c>
      <c r="F1229" s="2">
        <v>46177.771739236108</v>
      </c>
      <c r="G1229" s="1" t="s">
        <v>1211</v>
      </c>
      <c r="H1229" s="2">
        <v>46177.771739351854</v>
      </c>
      <c r="I1229" s="1" t="s">
        <v>1211</v>
      </c>
      <c r="J1229" s="1" t="s">
        <v>4221</v>
      </c>
    </row>
    <row r="1230" spans="1:10" x14ac:dyDescent="0.35">
      <c r="A1230" s="1" t="s">
        <v>1968</v>
      </c>
      <c r="B1230" s="1" t="s">
        <v>1209</v>
      </c>
      <c r="C1230" s="1" t="s">
        <v>1210</v>
      </c>
      <c r="D1230" s="2">
        <v>46177</v>
      </c>
      <c r="E1230">
        <v>3.00050472515501E-2</v>
      </c>
      <c r="F1230" s="2">
        <v>46177.771728206018</v>
      </c>
      <c r="G1230" s="1" t="s">
        <v>1211</v>
      </c>
      <c r="H1230" s="2">
        <v>46177.771728240739</v>
      </c>
      <c r="I1230" s="1" t="s">
        <v>1211</v>
      </c>
      <c r="J1230" s="1" t="s">
        <v>4222</v>
      </c>
    </row>
    <row r="1231" spans="1:10" x14ac:dyDescent="0.35">
      <c r="A1231" s="1" t="s">
        <v>1969</v>
      </c>
      <c r="B1231" s="1" t="s">
        <v>1209</v>
      </c>
      <c r="C1231" s="1" t="s">
        <v>1210</v>
      </c>
      <c r="D1231" s="2">
        <v>46177</v>
      </c>
      <c r="E1231">
        <v>2.8000165147337799E-2</v>
      </c>
      <c r="F1231" s="2">
        <v>46177.771669525464</v>
      </c>
      <c r="G1231" s="1" t="s">
        <v>1211</v>
      </c>
      <c r="H1231" s="2">
        <v>46177.771669675923</v>
      </c>
      <c r="I1231" s="1" t="s">
        <v>1211</v>
      </c>
      <c r="J1231" s="1" t="s">
        <v>4223</v>
      </c>
    </row>
    <row r="1232" spans="1:10" x14ac:dyDescent="0.35">
      <c r="A1232" s="1" t="s">
        <v>1970</v>
      </c>
      <c r="B1232" s="1" t="s">
        <v>1209</v>
      </c>
      <c r="C1232" s="1" t="s">
        <v>1210</v>
      </c>
      <c r="D1232" s="2">
        <v>46177</v>
      </c>
      <c r="E1232">
        <v>4.2864845209198303E-2</v>
      </c>
      <c r="F1232" s="2">
        <v>46177.771653090276</v>
      </c>
      <c r="G1232" s="1" t="s">
        <v>1211</v>
      </c>
      <c r="H1232" s="2">
        <v>46177.771653090276</v>
      </c>
      <c r="I1232" s="1" t="s">
        <v>1211</v>
      </c>
      <c r="J1232" s="1" t="s">
        <v>4224</v>
      </c>
    </row>
    <row r="1233" spans="1:10" x14ac:dyDescent="0.35">
      <c r="A1233" s="1" t="s">
        <v>1971</v>
      </c>
      <c r="B1233" s="1" t="s">
        <v>1209</v>
      </c>
      <c r="C1233" s="1" t="s">
        <v>1210</v>
      </c>
      <c r="D1233" s="2">
        <v>46177</v>
      </c>
      <c r="E1233">
        <v>4.55736066731895E-2</v>
      </c>
      <c r="F1233" s="2">
        <v>46177.771687812499</v>
      </c>
      <c r="G1233" s="1" t="s">
        <v>1211</v>
      </c>
      <c r="H1233" s="2">
        <v>46177.771687650464</v>
      </c>
      <c r="I1233" s="1" t="s">
        <v>1211</v>
      </c>
      <c r="J1233" s="1" t="s">
        <v>4225</v>
      </c>
    </row>
    <row r="1234" spans="1:10" x14ac:dyDescent="0.35">
      <c r="A1234" s="1" t="s">
        <v>1972</v>
      </c>
      <c r="B1234" s="1" t="s">
        <v>1209</v>
      </c>
      <c r="C1234" s="1" t="s">
        <v>1210</v>
      </c>
      <c r="D1234" s="2">
        <v>46177</v>
      </c>
      <c r="E1234">
        <v>3.2154758654567898E-2</v>
      </c>
      <c r="F1234" s="2">
        <v>46177.771662847219</v>
      </c>
      <c r="G1234" s="1" t="s">
        <v>1211</v>
      </c>
      <c r="H1234" s="2">
        <v>46177.77166273148</v>
      </c>
      <c r="I1234" s="1" t="s">
        <v>1211</v>
      </c>
      <c r="J1234" s="1" t="s">
        <v>4226</v>
      </c>
    </row>
    <row r="1235" spans="1:10" x14ac:dyDescent="0.35">
      <c r="A1235" s="1" t="s">
        <v>1973</v>
      </c>
      <c r="B1235" s="1" t="s">
        <v>1209</v>
      </c>
      <c r="C1235" s="1" t="s">
        <v>1210</v>
      </c>
      <c r="D1235" s="2">
        <v>46177</v>
      </c>
      <c r="E1235">
        <v>3.0702095263884899E-2</v>
      </c>
      <c r="F1235" s="2">
        <v>46177.771698067132</v>
      </c>
      <c r="G1235" s="1" t="s">
        <v>1211</v>
      </c>
      <c r="H1235" s="2">
        <v>46177.771697951386</v>
      </c>
      <c r="I1235" s="1" t="s">
        <v>1211</v>
      </c>
      <c r="J1235" s="1" t="s">
        <v>4227</v>
      </c>
    </row>
    <row r="1236" spans="1:10" x14ac:dyDescent="0.35">
      <c r="A1236" s="1" t="s">
        <v>1974</v>
      </c>
      <c r="B1236" s="1" t="s">
        <v>1209</v>
      </c>
      <c r="C1236" s="1" t="s">
        <v>1210</v>
      </c>
      <c r="D1236" s="2">
        <v>46177</v>
      </c>
      <c r="E1236">
        <v>7.6981664721786401E-3</v>
      </c>
      <c r="F1236" s="2">
        <v>46177.771751701388</v>
      </c>
      <c r="G1236" s="1" t="s">
        <v>1211</v>
      </c>
      <c r="H1236" s="2">
        <v>46177.771751817127</v>
      </c>
      <c r="I1236" s="1" t="s">
        <v>1211</v>
      </c>
      <c r="J1236" s="1" t="s">
        <v>4228</v>
      </c>
    </row>
    <row r="1237" spans="1:10" x14ac:dyDescent="0.35">
      <c r="A1237" s="1" t="s">
        <v>1975</v>
      </c>
      <c r="B1237" s="1" t="s">
        <v>1209</v>
      </c>
      <c r="C1237" s="1" t="s">
        <v>1210</v>
      </c>
      <c r="D1237" s="2">
        <v>46177</v>
      </c>
      <c r="E1237">
        <v>3.50526728998325E-2</v>
      </c>
      <c r="F1237" s="2">
        <v>46177.771700347221</v>
      </c>
      <c r="G1237" s="1" t="s">
        <v>1211</v>
      </c>
      <c r="H1237" s="2">
        <v>46177.7717003125</v>
      </c>
      <c r="I1237" s="1" t="s">
        <v>1211</v>
      </c>
      <c r="J1237" s="1" t="s">
        <v>4229</v>
      </c>
    </row>
    <row r="1238" spans="1:10" x14ac:dyDescent="0.35">
      <c r="A1238" s="1" t="s">
        <v>1976</v>
      </c>
      <c r="B1238" s="1" t="s">
        <v>1209</v>
      </c>
      <c r="C1238" s="1" t="s">
        <v>1210</v>
      </c>
      <c r="D1238" s="2">
        <v>46177</v>
      </c>
      <c r="E1238">
        <v>2.85030566551722E-2</v>
      </c>
      <c r="F1238" s="2">
        <v>46177.771672604169</v>
      </c>
      <c r="G1238" s="1" t="s">
        <v>1211</v>
      </c>
      <c r="H1238" s="2">
        <v>46177.771672604169</v>
      </c>
      <c r="I1238" s="1" t="s">
        <v>1211</v>
      </c>
      <c r="J1238" s="1" t="s">
        <v>4230</v>
      </c>
    </row>
    <row r="1239" spans="1:10" x14ac:dyDescent="0.35">
      <c r="A1239" s="1" t="s">
        <v>1977</v>
      </c>
      <c r="B1239" s="1" t="s">
        <v>1209</v>
      </c>
      <c r="C1239" s="1" t="s">
        <v>1210</v>
      </c>
      <c r="D1239" s="2">
        <v>46177</v>
      </c>
      <c r="E1239">
        <v>2.39030063074047E-2</v>
      </c>
      <c r="F1239" s="2">
        <v>46177.771745798615</v>
      </c>
      <c r="G1239" s="1" t="s">
        <v>1211</v>
      </c>
      <c r="H1239" s="2">
        <v>46177.771745868056</v>
      </c>
      <c r="I1239" s="1" t="s">
        <v>1211</v>
      </c>
      <c r="J1239" s="1" t="s">
        <v>4231</v>
      </c>
    </row>
    <row r="1240" spans="1:10" x14ac:dyDescent="0.35">
      <c r="A1240" s="1" t="s">
        <v>1978</v>
      </c>
      <c r="B1240" s="1" t="s">
        <v>1209</v>
      </c>
      <c r="C1240" s="1" t="s">
        <v>1210</v>
      </c>
      <c r="D1240" s="2">
        <v>46177</v>
      </c>
      <c r="E1240">
        <v>3.54849116846346E-2</v>
      </c>
      <c r="F1240" s="2">
        <v>46177.771658599537</v>
      </c>
      <c r="G1240" s="1" t="s">
        <v>1211</v>
      </c>
      <c r="H1240" s="2">
        <v>46177.771658564816</v>
      </c>
      <c r="I1240" s="1" t="s">
        <v>1211</v>
      </c>
      <c r="J1240" s="1" t="s">
        <v>4232</v>
      </c>
    </row>
    <row r="1241" spans="1:10" x14ac:dyDescent="0.35">
      <c r="A1241" s="1" t="s">
        <v>1979</v>
      </c>
      <c r="B1241" s="1" t="s">
        <v>1209</v>
      </c>
      <c r="C1241" s="1" t="s">
        <v>1210</v>
      </c>
      <c r="D1241" s="2">
        <v>46177</v>
      </c>
      <c r="E1241">
        <v>3.1299860498647497E-2</v>
      </c>
      <c r="F1241" s="2">
        <v>46177.771654016207</v>
      </c>
      <c r="G1241" s="1" t="s">
        <v>1211</v>
      </c>
      <c r="H1241" s="2">
        <v>46177.77165396991</v>
      </c>
      <c r="I1241" s="1" t="s">
        <v>1211</v>
      </c>
      <c r="J1241" s="1" t="s">
        <v>4233</v>
      </c>
    </row>
    <row r="1242" spans="1:10" x14ac:dyDescent="0.35">
      <c r="A1242" s="1" t="s">
        <v>1980</v>
      </c>
      <c r="B1242" s="1" t="s">
        <v>1209</v>
      </c>
      <c r="C1242" s="1" t="s">
        <v>1210</v>
      </c>
      <c r="D1242" s="2">
        <v>46177</v>
      </c>
      <c r="E1242">
        <v>2.90913256858433E-2</v>
      </c>
      <c r="F1242" s="2">
        <v>46177.771652546297</v>
      </c>
      <c r="G1242" s="1" t="s">
        <v>1211</v>
      </c>
      <c r="H1242" s="2">
        <v>46177.771652546297</v>
      </c>
      <c r="I1242" s="1" t="s">
        <v>1211</v>
      </c>
      <c r="J1242" s="1" t="s">
        <v>4234</v>
      </c>
    </row>
    <row r="1243" spans="1:10" x14ac:dyDescent="0.35">
      <c r="A1243" s="1" t="s">
        <v>1981</v>
      </c>
      <c r="B1243" s="1" t="s">
        <v>1209</v>
      </c>
      <c r="C1243" s="1" t="s">
        <v>1210</v>
      </c>
      <c r="D1243" s="2">
        <v>46177</v>
      </c>
      <c r="E1243">
        <v>2.6074226017048299E-2</v>
      </c>
      <c r="F1243" s="2">
        <v>46177.771661423612</v>
      </c>
      <c r="G1243" s="1" t="s">
        <v>1211</v>
      </c>
      <c r="H1243" s="2">
        <v>46177.771661307874</v>
      </c>
      <c r="I1243" s="1" t="s">
        <v>1211</v>
      </c>
      <c r="J1243" s="1" t="s">
        <v>4235</v>
      </c>
    </row>
    <row r="1244" spans="1:10" x14ac:dyDescent="0.35">
      <c r="A1244" s="1" t="s">
        <v>1982</v>
      </c>
      <c r="B1244" s="1" t="s">
        <v>1209</v>
      </c>
      <c r="C1244" s="1" t="s">
        <v>1210</v>
      </c>
      <c r="D1244" s="2">
        <v>46177</v>
      </c>
      <c r="E1244">
        <v>3.1526185354081401E-2</v>
      </c>
      <c r="F1244" s="2">
        <v>46177.771696493059</v>
      </c>
      <c r="G1244" s="1" t="s">
        <v>1211</v>
      </c>
      <c r="H1244" s="2">
        <v>46177.771696331016</v>
      </c>
      <c r="I1244" s="1" t="s">
        <v>1211</v>
      </c>
      <c r="J1244" s="1" t="s">
        <v>4236</v>
      </c>
    </row>
    <row r="1245" spans="1:10" x14ac:dyDescent="0.35">
      <c r="A1245" s="1" t="s">
        <v>1983</v>
      </c>
      <c r="B1245" s="1" t="s">
        <v>1209</v>
      </c>
      <c r="C1245" s="1" t="s">
        <v>1210</v>
      </c>
      <c r="D1245" s="2">
        <v>46177</v>
      </c>
      <c r="E1245">
        <v>4.0662687876767203E-2</v>
      </c>
      <c r="F1245" s="2">
        <v>46177.771752199071</v>
      </c>
      <c r="G1245" s="1" t="s">
        <v>1211</v>
      </c>
      <c r="H1245" s="2">
        <v>46177.77175216435</v>
      </c>
      <c r="I1245" s="1" t="s">
        <v>1211</v>
      </c>
      <c r="J1245" s="1" t="s">
        <v>4237</v>
      </c>
    </row>
    <row r="1246" spans="1:10" x14ac:dyDescent="0.35">
      <c r="A1246" s="1" t="s">
        <v>1984</v>
      </c>
      <c r="B1246" s="1" t="s">
        <v>1209</v>
      </c>
      <c r="C1246" s="1" t="s">
        <v>1210</v>
      </c>
      <c r="D1246" s="2">
        <v>46177</v>
      </c>
      <c r="E1246">
        <v>2.9578124269780799E-2</v>
      </c>
      <c r="F1246" s="2">
        <v>46177.771719131946</v>
      </c>
      <c r="G1246" s="1" t="s">
        <v>1211</v>
      </c>
      <c r="H1246" s="2">
        <v>46177.771719131946</v>
      </c>
      <c r="I1246" s="1" t="s">
        <v>1211</v>
      </c>
      <c r="J1246" s="1" t="s">
        <v>4238</v>
      </c>
    </row>
    <row r="1247" spans="1:10" x14ac:dyDescent="0.35">
      <c r="A1247" s="1" t="s">
        <v>1985</v>
      </c>
      <c r="B1247" s="1" t="s">
        <v>1209</v>
      </c>
      <c r="C1247" s="1" t="s">
        <v>1210</v>
      </c>
      <c r="D1247" s="2">
        <v>46177</v>
      </c>
      <c r="E1247">
        <v>3.5908418222251097E-2</v>
      </c>
      <c r="F1247" s="2">
        <v>46177.771684409723</v>
      </c>
      <c r="G1247" s="1" t="s">
        <v>1211</v>
      </c>
      <c r="H1247" s="2">
        <v>46177.771684409723</v>
      </c>
      <c r="I1247" s="1" t="s">
        <v>1211</v>
      </c>
      <c r="J1247" s="1" t="s">
        <v>4239</v>
      </c>
    </row>
    <row r="1248" spans="1:10" x14ac:dyDescent="0.35">
      <c r="A1248" s="1" t="s">
        <v>1986</v>
      </c>
      <c r="B1248" s="1" t="s">
        <v>1209</v>
      </c>
      <c r="C1248" s="1" t="s">
        <v>1210</v>
      </c>
      <c r="D1248" s="2">
        <v>46177</v>
      </c>
      <c r="E1248">
        <v>3.20183380634236E-2</v>
      </c>
      <c r="F1248" s="2">
        <v>46177.771689965281</v>
      </c>
      <c r="G1248" s="1" t="s">
        <v>1211</v>
      </c>
      <c r="H1248" s="2">
        <v>46177.771689849535</v>
      </c>
      <c r="I1248" s="1" t="s">
        <v>1211</v>
      </c>
      <c r="J1248" s="1" t="s">
        <v>4240</v>
      </c>
    </row>
    <row r="1249" spans="1:10" x14ac:dyDescent="0.35">
      <c r="A1249" s="1" t="s">
        <v>1987</v>
      </c>
      <c r="B1249" s="1" t="s">
        <v>1209</v>
      </c>
      <c r="C1249" s="1" t="s">
        <v>1210</v>
      </c>
      <c r="D1249" s="2">
        <v>46177</v>
      </c>
      <c r="E1249">
        <v>3.8998403515965098E-2</v>
      </c>
      <c r="F1249" s="2">
        <v>46177.771693553237</v>
      </c>
      <c r="G1249" s="1" t="s">
        <v>1211</v>
      </c>
      <c r="H1249" s="2">
        <v>46177.771693437498</v>
      </c>
      <c r="I1249" s="1" t="s">
        <v>1211</v>
      </c>
      <c r="J1249" s="1" t="s">
        <v>4241</v>
      </c>
    </row>
    <row r="1250" spans="1:10" x14ac:dyDescent="0.35">
      <c r="A1250" s="1" t="s">
        <v>1988</v>
      </c>
      <c r="B1250" s="1" t="s">
        <v>1209</v>
      </c>
      <c r="C1250" s="1" t="s">
        <v>1210</v>
      </c>
      <c r="D1250" s="2">
        <v>46177</v>
      </c>
      <c r="E1250">
        <v>2.7249697662155899E-2</v>
      </c>
      <c r="F1250" s="2">
        <v>46177.771655671299</v>
      </c>
      <c r="G1250" s="1" t="s">
        <v>1211</v>
      </c>
      <c r="H1250" s="2">
        <v>46177.771655671299</v>
      </c>
      <c r="I1250" s="1" t="s">
        <v>1211</v>
      </c>
      <c r="J1250" s="1" t="s">
        <v>4242</v>
      </c>
    </row>
    <row r="1251" spans="1:10" x14ac:dyDescent="0.35">
      <c r="A1251" s="1" t="s">
        <v>1989</v>
      </c>
      <c r="B1251" s="1" t="s">
        <v>1209</v>
      </c>
      <c r="C1251" s="1" t="s">
        <v>1210</v>
      </c>
      <c r="D1251" s="2">
        <v>46177</v>
      </c>
      <c r="E1251">
        <v>2.3431532797645E-2</v>
      </c>
      <c r="F1251" s="2">
        <v>46177.771666701388</v>
      </c>
      <c r="G1251" s="1" t="s">
        <v>1211</v>
      </c>
      <c r="H1251" s="2">
        <v>46177.771666701388</v>
      </c>
      <c r="I1251" s="1" t="s">
        <v>1211</v>
      </c>
      <c r="J1251" s="1" t="s">
        <v>4243</v>
      </c>
    </row>
    <row r="1252" spans="1:10" x14ac:dyDescent="0.35">
      <c r="A1252" s="1" t="s">
        <v>1990</v>
      </c>
      <c r="B1252" s="1" t="s">
        <v>1209</v>
      </c>
      <c r="C1252" s="1" t="s">
        <v>1210</v>
      </c>
      <c r="D1252" s="2">
        <v>46177</v>
      </c>
      <c r="E1252">
        <v>3.6579144468230303E-2</v>
      </c>
      <c r="F1252" s="2">
        <v>46177.771680289348</v>
      </c>
      <c r="G1252" s="1" t="s">
        <v>1211</v>
      </c>
      <c r="H1252" s="2">
        <v>46177.771680243059</v>
      </c>
      <c r="I1252" s="1" t="s">
        <v>1211</v>
      </c>
      <c r="J1252" s="1" t="s">
        <v>4244</v>
      </c>
    </row>
    <row r="1253" spans="1:10" x14ac:dyDescent="0.35">
      <c r="A1253" s="1" t="s">
        <v>1991</v>
      </c>
      <c r="B1253" s="1" t="s">
        <v>1209</v>
      </c>
      <c r="C1253" s="1" t="s">
        <v>1210</v>
      </c>
      <c r="D1253" s="2">
        <v>46177</v>
      </c>
      <c r="E1253">
        <v>2.9845745134885301E-2</v>
      </c>
      <c r="F1253" s="2">
        <v>46177.77166111111</v>
      </c>
      <c r="G1253" s="1" t="s">
        <v>1211</v>
      </c>
      <c r="H1253" s="2">
        <v>46177.77166111111</v>
      </c>
      <c r="I1253" s="1" t="s">
        <v>1211</v>
      </c>
      <c r="J1253" s="1" t="s">
        <v>4245</v>
      </c>
    </row>
    <row r="1254" spans="1:10" x14ac:dyDescent="0.35">
      <c r="A1254" s="1" t="s">
        <v>1992</v>
      </c>
      <c r="B1254" s="1" t="s">
        <v>1209</v>
      </c>
      <c r="C1254" s="1" t="s">
        <v>1210</v>
      </c>
      <c r="D1254" s="2">
        <v>46177</v>
      </c>
      <c r="E1254">
        <v>4.5681091470268401E-2</v>
      </c>
      <c r="F1254" s="2">
        <v>46177.77168302083</v>
      </c>
      <c r="G1254" s="1" t="s">
        <v>1211</v>
      </c>
      <c r="H1254" s="2">
        <v>46177.771682951388</v>
      </c>
      <c r="I1254" s="1" t="s">
        <v>1211</v>
      </c>
      <c r="J1254" s="1" t="s">
        <v>4246</v>
      </c>
    </row>
    <row r="1255" spans="1:10" x14ac:dyDescent="0.35">
      <c r="A1255" s="1" t="s">
        <v>1993</v>
      </c>
      <c r="B1255" s="1" t="s">
        <v>1209</v>
      </c>
      <c r="C1255" s="1" t="s">
        <v>1210</v>
      </c>
      <c r="D1255" s="2">
        <v>46177</v>
      </c>
      <c r="E1255">
        <v>3.24237146544109E-2</v>
      </c>
      <c r="F1255" s="2">
        <v>46177.771703240738</v>
      </c>
      <c r="G1255" s="1" t="s">
        <v>1211</v>
      </c>
      <c r="H1255" s="2">
        <v>46177.771703240738</v>
      </c>
      <c r="I1255" s="1" t="s">
        <v>1211</v>
      </c>
      <c r="J1255" s="1" t="s">
        <v>4247</v>
      </c>
    </row>
    <row r="1256" spans="1:10" x14ac:dyDescent="0.35">
      <c r="A1256" s="1" t="s">
        <v>1994</v>
      </c>
      <c r="B1256" s="1" t="s">
        <v>1209</v>
      </c>
      <c r="C1256" s="1" t="s">
        <v>1210</v>
      </c>
      <c r="D1256" s="2">
        <v>46177</v>
      </c>
      <c r="E1256">
        <v>2.7820890166593799E-2</v>
      </c>
      <c r="F1256" s="2">
        <v>46177.771730011576</v>
      </c>
      <c r="G1256" s="1" t="s">
        <v>1211</v>
      </c>
      <c r="H1256" s="2">
        <v>46177.771730057873</v>
      </c>
      <c r="I1256" s="1" t="s">
        <v>1211</v>
      </c>
      <c r="J1256" s="1" t="s">
        <v>4248</v>
      </c>
    </row>
    <row r="1257" spans="1:10" x14ac:dyDescent="0.35">
      <c r="A1257" s="1" t="s">
        <v>1995</v>
      </c>
      <c r="B1257" s="1" t="s">
        <v>1209</v>
      </c>
      <c r="C1257" s="1" t="s">
        <v>1210</v>
      </c>
      <c r="D1257" s="2">
        <v>46177</v>
      </c>
      <c r="E1257">
        <v>3.7145325338681999E-2</v>
      </c>
      <c r="F1257" s="2">
        <v>46177.771750960645</v>
      </c>
      <c r="G1257" s="1" t="s">
        <v>1211</v>
      </c>
      <c r="H1257" s="2">
        <v>46177.771750891203</v>
      </c>
      <c r="I1257" s="1" t="s">
        <v>1211</v>
      </c>
      <c r="J1257" s="1" t="s">
        <v>4249</v>
      </c>
    </row>
    <row r="1258" spans="1:10" x14ac:dyDescent="0.35">
      <c r="A1258" s="1" t="s">
        <v>1996</v>
      </c>
      <c r="B1258" s="1" t="s">
        <v>1209</v>
      </c>
      <c r="C1258" s="1" t="s">
        <v>1210</v>
      </c>
      <c r="D1258" s="2">
        <v>46177</v>
      </c>
      <c r="E1258">
        <v>4.3721900553850002E-2</v>
      </c>
      <c r="F1258" s="2">
        <v>46177.771707141204</v>
      </c>
      <c r="G1258" s="1" t="s">
        <v>1211</v>
      </c>
      <c r="H1258" s="2">
        <v>46177.771707141204</v>
      </c>
      <c r="I1258" s="1" t="s">
        <v>1211</v>
      </c>
      <c r="J1258" s="1" t="s">
        <v>4250</v>
      </c>
    </row>
    <row r="1259" spans="1:10" x14ac:dyDescent="0.35">
      <c r="A1259" s="1" t="s">
        <v>1997</v>
      </c>
      <c r="B1259" s="1" t="s">
        <v>1209</v>
      </c>
      <c r="C1259" s="1" t="s">
        <v>1210</v>
      </c>
      <c r="D1259" s="2">
        <v>46177</v>
      </c>
      <c r="E1259">
        <v>2.6179974524555501E-2</v>
      </c>
      <c r="F1259" s="2">
        <v>46177.771687118053</v>
      </c>
      <c r="G1259" s="1" t="s">
        <v>1211</v>
      </c>
      <c r="H1259" s="2">
        <v>46177.771687118053</v>
      </c>
      <c r="I1259" s="1" t="s">
        <v>1211</v>
      </c>
      <c r="J1259" s="1" t="s">
        <v>4251</v>
      </c>
    </row>
    <row r="1260" spans="1:10" x14ac:dyDescent="0.35">
      <c r="A1260" s="1" t="s">
        <v>1998</v>
      </c>
      <c r="B1260" s="1" t="s">
        <v>1209</v>
      </c>
      <c r="C1260" s="1" t="s">
        <v>1210</v>
      </c>
      <c r="D1260" s="2">
        <v>46177</v>
      </c>
      <c r="E1260">
        <v>4.14393313039014E-2</v>
      </c>
      <c r="F1260" s="2">
        <v>46177.77171778935</v>
      </c>
      <c r="G1260" s="1" t="s">
        <v>1211</v>
      </c>
      <c r="H1260" s="2">
        <v>46177.771717708332</v>
      </c>
      <c r="I1260" s="1" t="s">
        <v>1211</v>
      </c>
      <c r="J1260" s="1" t="s">
        <v>4252</v>
      </c>
    </row>
    <row r="1261" spans="1:10" x14ac:dyDescent="0.35">
      <c r="A1261" s="1" t="s">
        <v>1999</v>
      </c>
      <c r="B1261" s="1" t="s">
        <v>1209</v>
      </c>
      <c r="C1261" s="1" t="s">
        <v>1210</v>
      </c>
      <c r="D1261" s="2">
        <v>46177</v>
      </c>
      <c r="E1261">
        <v>3.0748992253078099E-2</v>
      </c>
      <c r="F1261" s="2">
        <v>46177.771694641204</v>
      </c>
      <c r="G1261" s="1" t="s">
        <v>1211</v>
      </c>
      <c r="H1261" s="2">
        <v>46177.771694525465</v>
      </c>
      <c r="I1261" s="1" t="s">
        <v>1211</v>
      </c>
      <c r="J1261" s="1" t="s">
        <v>3940</v>
      </c>
    </row>
    <row r="1262" spans="1:10" x14ac:dyDescent="0.35">
      <c r="A1262" s="1" t="s">
        <v>2000</v>
      </c>
      <c r="B1262" s="1" t="s">
        <v>1209</v>
      </c>
      <c r="C1262" s="1" t="s">
        <v>1210</v>
      </c>
      <c r="D1262" s="2">
        <v>46177</v>
      </c>
      <c r="E1262">
        <v>2.84834847972745E-2</v>
      </c>
      <c r="F1262" s="2">
        <v>46177.771670289352</v>
      </c>
      <c r="G1262" s="1" t="s">
        <v>1211</v>
      </c>
      <c r="H1262" s="2">
        <v>46177.771670405091</v>
      </c>
      <c r="I1262" s="1" t="s">
        <v>1211</v>
      </c>
      <c r="J1262" s="1" t="s">
        <v>4253</v>
      </c>
    </row>
    <row r="1263" spans="1:10" x14ac:dyDescent="0.35">
      <c r="A1263" s="1" t="s">
        <v>2001</v>
      </c>
      <c r="B1263" s="1" t="s">
        <v>1209</v>
      </c>
      <c r="C1263" s="1" t="s">
        <v>1210</v>
      </c>
      <c r="D1263" s="2">
        <v>46177</v>
      </c>
      <c r="E1263">
        <v>3.3413034816795001E-2</v>
      </c>
      <c r="F1263" s="2">
        <v>46177.771727083331</v>
      </c>
      <c r="G1263" s="1" t="s">
        <v>1211</v>
      </c>
      <c r="H1263" s="2">
        <v>46177.771727164349</v>
      </c>
      <c r="I1263" s="1" t="s">
        <v>1211</v>
      </c>
      <c r="J1263" s="1" t="s">
        <v>4254</v>
      </c>
    </row>
    <row r="1264" spans="1:10" x14ac:dyDescent="0.35">
      <c r="A1264" s="1" t="s">
        <v>2002</v>
      </c>
      <c r="B1264" s="1" t="s">
        <v>1209</v>
      </c>
      <c r="C1264" s="1" t="s">
        <v>1210</v>
      </c>
      <c r="D1264" s="2">
        <v>46177</v>
      </c>
      <c r="E1264">
        <v>2.4861349962400501E-2</v>
      </c>
      <c r="F1264" s="2">
        <v>46177.771704282408</v>
      </c>
      <c r="G1264" s="1" t="s">
        <v>1211</v>
      </c>
      <c r="H1264" s="2">
        <v>46177.771704166669</v>
      </c>
      <c r="I1264" s="1" t="s">
        <v>1211</v>
      </c>
      <c r="J1264" s="1" t="s">
        <v>4255</v>
      </c>
    </row>
    <row r="1265" spans="1:10" x14ac:dyDescent="0.35">
      <c r="A1265" s="1" t="s">
        <v>2003</v>
      </c>
      <c r="B1265" s="1" t="s">
        <v>1209</v>
      </c>
      <c r="C1265" s="1" t="s">
        <v>1210</v>
      </c>
      <c r="D1265" s="2">
        <v>46177</v>
      </c>
      <c r="E1265">
        <v>3.73261203362594E-2</v>
      </c>
      <c r="F1265" s="2">
        <v>46177.77174178241</v>
      </c>
      <c r="G1265" s="1" t="s">
        <v>1211</v>
      </c>
      <c r="H1265" s="2">
        <v>46177.771741863427</v>
      </c>
      <c r="I1265" s="1" t="s">
        <v>1211</v>
      </c>
      <c r="J1265" s="1" t="s">
        <v>4257</v>
      </c>
    </row>
    <row r="1266" spans="1:10" x14ac:dyDescent="0.35">
      <c r="A1266" s="1" t="s">
        <v>2004</v>
      </c>
      <c r="B1266" s="1" t="s">
        <v>1209</v>
      </c>
      <c r="C1266" s="1" t="s">
        <v>1210</v>
      </c>
      <c r="D1266" s="2">
        <v>46177</v>
      </c>
      <c r="E1266">
        <v>3.1098109255749198E-2</v>
      </c>
      <c r="F1266" s="2">
        <v>46177.771750810185</v>
      </c>
      <c r="G1266" s="1" t="s">
        <v>1211</v>
      </c>
      <c r="H1266" s="2">
        <v>46177.771750891203</v>
      </c>
      <c r="I1266" s="1" t="s">
        <v>1211</v>
      </c>
      <c r="J1266" s="1" t="s">
        <v>4258</v>
      </c>
    </row>
    <row r="1267" spans="1:10" x14ac:dyDescent="0.35">
      <c r="A1267" s="1" t="s">
        <v>2005</v>
      </c>
      <c r="B1267" s="1" t="s">
        <v>1209</v>
      </c>
      <c r="C1267" s="1" t="s">
        <v>1210</v>
      </c>
      <c r="D1267" s="2">
        <v>46177</v>
      </c>
      <c r="E1267">
        <v>2.75325895185345E-2</v>
      </c>
      <c r="F1267" s="2">
        <v>46177.771677349534</v>
      </c>
      <c r="G1267" s="1" t="s">
        <v>1211</v>
      </c>
      <c r="H1267" s="2">
        <v>46177.771677280092</v>
      </c>
      <c r="I1267" s="1" t="s">
        <v>1211</v>
      </c>
      <c r="J1267" s="1" t="s">
        <v>4259</v>
      </c>
    </row>
    <row r="1268" spans="1:10" x14ac:dyDescent="0.35">
      <c r="A1268" s="1" t="s">
        <v>2006</v>
      </c>
      <c r="B1268" s="1" t="s">
        <v>1209</v>
      </c>
      <c r="C1268" s="1" t="s">
        <v>1210</v>
      </c>
      <c r="D1268" s="2">
        <v>46177</v>
      </c>
      <c r="E1268">
        <v>2.91229832555987E-2</v>
      </c>
      <c r="F1268" s="2">
        <v>46177.771750659726</v>
      </c>
      <c r="G1268" s="1" t="s">
        <v>1211</v>
      </c>
      <c r="H1268" s="2">
        <v>46177.771750613429</v>
      </c>
      <c r="I1268" s="1" t="s">
        <v>1211</v>
      </c>
      <c r="J1268" s="1" t="s">
        <v>4260</v>
      </c>
    </row>
    <row r="1269" spans="1:10" x14ac:dyDescent="0.35">
      <c r="A1269" s="1" t="s">
        <v>2007</v>
      </c>
      <c r="B1269" s="1" t="s">
        <v>1209</v>
      </c>
      <c r="C1269" s="1" t="s">
        <v>1210</v>
      </c>
      <c r="D1269" s="2">
        <v>46177</v>
      </c>
      <c r="E1269">
        <v>3.3905781982164498E-2</v>
      </c>
      <c r="F1269" s="2">
        <v>46177.771751388886</v>
      </c>
      <c r="G1269" s="1" t="s">
        <v>1211</v>
      </c>
      <c r="H1269" s="2">
        <v>46177.771751469911</v>
      </c>
      <c r="I1269" s="1" t="s">
        <v>1211</v>
      </c>
      <c r="J1269" s="1" t="s">
        <v>4261</v>
      </c>
    </row>
    <row r="1270" spans="1:10" x14ac:dyDescent="0.35">
      <c r="A1270" s="1" t="s">
        <v>2008</v>
      </c>
      <c r="B1270" s="1" t="s">
        <v>1209</v>
      </c>
      <c r="C1270" s="1" t="s">
        <v>1210</v>
      </c>
      <c r="D1270" s="2">
        <v>46177</v>
      </c>
      <c r="E1270">
        <v>4.6028867360493997E-2</v>
      </c>
      <c r="F1270" s="2">
        <v>46177.771692129631</v>
      </c>
      <c r="G1270" s="1" t="s">
        <v>1211</v>
      </c>
      <c r="H1270" s="2">
        <v>46177.771692048613</v>
      </c>
      <c r="I1270" s="1" t="s">
        <v>1211</v>
      </c>
      <c r="J1270" s="1" t="s">
        <v>4262</v>
      </c>
    </row>
    <row r="1271" spans="1:10" x14ac:dyDescent="0.35">
      <c r="A1271" s="1" t="s">
        <v>2009</v>
      </c>
      <c r="B1271" s="1" t="s">
        <v>1209</v>
      </c>
      <c r="C1271" s="1" t="s">
        <v>1210</v>
      </c>
      <c r="D1271" s="2">
        <v>46177</v>
      </c>
      <c r="E1271">
        <v>3.1567518805345703E-2</v>
      </c>
      <c r="F1271" s="2">
        <v>46177.771660648148</v>
      </c>
      <c r="G1271" s="1" t="s">
        <v>1211</v>
      </c>
      <c r="H1271" s="2">
        <v>46177.77166056713</v>
      </c>
      <c r="I1271" s="1" t="s">
        <v>1211</v>
      </c>
      <c r="J1271" s="1" t="s">
        <v>4263</v>
      </c>
    </row>
    <row r="1272" spans="1:10" x14ac:dyDescent="0.35">
      <c r="A1272" s="1" t="s">
        <v>2010</v>
      </c>
      <c r="B1272" s="1" t="s">
        <v>1209</v>
      </c>
      <c r="C1272" s="1" t="s">
        <v>1210</v>
      </c>
      <c r="D1272" s="2">
        <v>46177</v>
      </c>
      <c r="E1272">
        <v>3.7668951021173298E-2</v>
      </c>
      <c r="F1272" s="2">
        <v>46177.771657523146</v>
      </c>
      <c r="G1272" s="1" t="s">
        <v>1211</v>
      </c>
      <c r="H1272" s="2">
        <v>46177.771657488425</v>
      </c>
      <c r="I1272" s="1" t="s">
        <v>1211</v>
      </c>
      <c r="J1272" s="1" t="s">
        <v>4264</v>
      </c>
    </row>
    <row r="1273" spans="1:10" x14ac:dyDescent="0.35">
      <c r="A1273" s="1" t="s">
        <v>2011</v>
      </c>
      <c r="B1273" s="1" t="s">
        <v>1209</v>
      </c>
      <c r="C1273" s="1" t="s">
        <v>1210</v>
      </c>
      <c r="D1273" s="2">
        <v>46177</v>
      </c>
      <c r="E1273">
        <v>2.9274679500575301E-2</v>
      </c>
      <c r="F1273" s="2">
        <v>46177.771673692128</v>
      </c>
      <c r="G1273" s="1" t="s">
        <v>1211</v>
      </c>
      <c r="H1273" s="2">
        <v>46177.771673692128</v>
      </c>
      <c r="I1273" s="1" t="s">
        <v>1211</v>
      </c>
      <c r="J1273" s="1" t="s">
        <v>4265</v>
      </c>
    </row>
    <row r="1274" spans="1:10" x14ac:dyDescent="0.35">
      <c r="A1274" s="1" t="s">
        <v>2012</v>
      </c>
      <c r="B1274" s="1" t="s">
        <v>1209</v>
      </c>
      <c r="C1274" s="1" t="s">
        <v>1210</v>
      </c>
      <c r="D1274" s="2">
        <v>46177</v>
      </c>
      <c r="E1274">
        <v>3.43458138965725E-2</v>
      </c>
      <c r="F1274" s="2">
        <v>46177.771718252312</v>
      </c>
      <c r="G1274" s="1" t="s">
        <v>1211</v>
      </c>
      <c r="H1274" s="2">
        <v>46177.771718252312</v>
      </c>
      <c r="I1274" s="1" t="s">
        <v>1211</v>
      </c>
      <c r="J1274" s="1" t="s">
        <v>4266</v>
      </c>
    </row>
    <row r="1275" spans="1:10" x14ac:dyDescent="0.35">
      <c r="A1275" s="1" t="s">
        <v>2013</v>
      </c>
      <c r="B1275" s="1" t="s">
        <v>1209</v>
      </c>
      <c r="C1275" s="1" t="s">
        <v>1210</v>
      </c>
      <c r="D1275" s="2">
        <v>46177</v>
      </c>
      <c r="E1275">
        <v>2.8171645885059601E-2</v>
      </c>
      <c r="F1275" s="2">
        <v>46177.771750034721</v>
      </c>
      <c r="G1275" s="1" t="s">
        <v>1211</v>
      </c>
      <c r="H1275" s="2">
        <v>46177.771750081018</v>
      </c>
      <c r="I1275" s="1" t="s">
        <v>1211</v>
      </c>
      <c r="J1275" s="1" t="s">
        <v>4267</v>
      </c>
    </row>
    <row r="1276" spans="1:10" x14ac:dyDescent="0.35">
      <c r="A1276" s="1" t="s">
        <v>2014</v>
      </c>
      <c r="B1276" s="1" t="s">
        <v>1209</v>
      </c>
      <c r="C1276" s="1" t="s">
        <v>1210</v>
      </c>
      <c r="D1276" s="2">
        <v>46177</v>
      </c>
      <c r="E1276">
        <v>4.2103449982163497E-2</v>
      </c>
      <c r="F1276" s="2">
        <v>46177.771712499998</v>
      </c>
      <c r="G1276" s="1" t="s">
        <v>1211</v>
      </c>
      <c r="H1276" s="2">
        <v>46177.771712581016</v>
      </c>
      <c r="I1276" s="1" t="s">
        <v>1211</v>
      </c>
      <c r="J1276" s="1" t="s">
        <v>4268</v>
      </c>
    </row>
    <row r="1277" spans="1:10" x14ac:dyDescent="0.35">
      <c r="A1277" s="1" t="s">
        <v>2015</v>
      </c>
      <c r="B1277" s="1" t="s">
        <v>1209</v>
      </c>
      <c r="C1277" s="1" t="s">
        <v>1210</v>
      </c>
      <c r="D1277" s="2">
        <v>46177</v>
      </c>
      <c r="E1277">
        <v>3.4718821407966997E-2</v>
      </c>
      <c r="F1277" s="2">
        <v>46177.77168726852</v>
      </c>
      <c r="G1277" s="1" t="s">
        <v>1211</v>
      </c>
      <c r="H1277" s="2">
        <v>46177.771687118053</v>
      </c>
      <c r="I1277" s="1" t="s">
        <v>1211</v>
      </c>
      <c r="J1277" s="1" t="s">
        <v>4269</v>
      </c>
    </row>
    <row r="1278" spans="1:10" x14ac:dyDescent="0.35">
      <c r="A1278" s="1" t="s">
        <v>2016</v>
      </c>
      <c r="B1278" s="1" t="s">
        <v>1209</v>
      </c>
      <c r="C1278" s="1" t="s">
        <v>1210</v>
      </c>
      <c r="D1278" s="2">
        <v>46177</v>
      </c>
      <c r="E1278">
        <v>3.8124265321646499E-2</v>
      </c>
      <c r="F1278" s="2">
        <v>46177.771711608795</v>
      </c>
      <c r="G1278" s="1" t="s">
        <v>1211</v>
      </c>
      <c r="H1278" s="2">
        <v>46177.771711655092</v>
      </c>
      <c r="I1278" s="1" t="s">
        <v>1211</v>
      </c>
      <c r="J1278" s="1" t="s">
        <v>4270</v>
      </c>
    </row>
    <row r="1279" spans="1:10" x14ac:dyDescent="0.35">
      <c r="A1279" s="1" t="s">
        <v>2017</v>
      </c>
      <c r="B1279" s="1" t="s">
        <v>1209</v>
      </c>
      <c r="C1279" s="1" t="s">
        <v>1210</v>
      </c>
      <c r="D1279" s="2">
        <v>46177</v>
      </c>
      <c r="E1279">
        <v>2.2836508452374501E-2</v>
      </c>
      <c r="F1279" s="2">
        <v>46177.771743981481</v>
      </c>
      <c r="G1279" s="1" t="s">
        <v>1211</v>
      </c>
      <c r="H1279" s="2">
        <v>46177.771744062498</v>
      </c>
      <c r="I1279" s="1" t="s">
        <v>1211</v>
      </c>
      <c r="J1279" s="1" t="s">
        <v>4271</v>
      </c>
    </row>
    <row r="1280" spans="1:10" x14ac:dyDescent="0.35">
      <c r="A1280" s="1" t="s">
        <v>2196</v>
      </c>
      <c r="B1280" s="1" t="s">
        <v>1209</v>
      </c>
      <c r="C1280" s="1" t="s">
        <v>1210</v>
      </c>
      <c r="D1280" s="2">
        <v>46177</v>
      </c>
      <c r="E1280">
        <v>3.1750469010245003E-2</v>
      </c>
      <c r="F1280" s="2">
        <v>46177.771701273145</v>
      </c>
      <c r="G1280" s="1" t="s">
        <v>1211</v>
      </c>
      <c r="H1280" s="2">
        <v>46177.771701192127</v>
      </c>
      <c r="I1280" s="1" t="s">
        <v>1211</v>
      </c>
      <c r="J1280" s="1" t="s">
        <v>4273</v>
      </c>
    </row>
    <row r="1281" spans="1:10" x14ac:dyDescent="0.35">
      <c r="A1281" s="1" t="s">
        <v>2197</v>
      </c>
      <c r="B1281" s="1" t="s">
        <v>1209</v>
      </c>
      <c r="C1281" s="1" t="s">
        <v>1210</v>
      </c>
      <c r="D1281" s="2">
        <v>46177</v>
      </c>
      <c r="E1281">
        <v>2.6047202600915802E-2</v>
      </c>
      <c r="F1281" s="2">
        <v>46177.771728553242</v>
      </c>
      <c r="G1281" s="1" t="s">
        <v>1211</v>
      </c>
      <c r="H1281" s="2">
        <v>46177.771728587963</v>
      </c>
      <c r="I1281" s="1" t="s">
        <v>1211</v>
      </c>
      <c r="J1281" s="1" t="s">
        <v>4274</v>
      </c>
    </row>
    <row r="1282" spans="1:10" x14ac:dyDescent="0.35">
      <c r="A1282" s="1" t="s">
        <v>2198</v>
      </c>
      <c r="B1282" s="1" t="s">
        <v>1209</v>
      </c>
      <c r="C1282" s="1" t="s">
        <v>1210</v>
      </c>
      <c r="D1282" s="2">
        <v>46177</v>
      </c>
      <c r="E1282">
        <v>3.4243626399964602E-2</v>
      </c>
      <c r="F1282" s="2">
        <v>46177.771701851852</v>
      </c>
      <c r="G1282" s="1" t="s">
        <v>1211</v>
      </c>
      <c r="H1282" s="2">
        <v>46177.771701817132</v>
      </c>
      <c r="I1282" s="1" t="s">
        <v>1211</v>
      </c>
      <c r="J1282" s="1" t="s">
        <v>4275</v>
      </c>
    </row>
    <row r="1283" spans="1:10" x14ac:dyDescent="0.35">
      <c r="A1283" s="1" t="s">
        <v>2199</v>
      </c>
      <c r="B1283" s="1" t="s">
        <v>1209</v>
      </c>
      <c r="C1283" s="1" t="s">
        <v>1210</v>
      </c>
      <c r="D1283" s="2">
        <v>46177</v>
      </c>
      <c r="E1283">
        <v>2.90000193158273E-2</v>
      </c>
      <c r="F1283" s="2">
        <v>46177.771717939817</v>
      </c>
      <c r="G1283" s="1" t="s">
        <v>1211</v>
      </c>
      <c r="H1283" s="2">
        <v>46177.771717858799</v>
      </c>
      <c r="I1283" s="1" t="s">
        <v>1211</v>
      </c>
      <c r="J1283" s="1" t="s">
        <v>4276</v>
      </c>
    </row>
    <row r="1284" spans="1:10" x14ac:dyDescent="0.35">
      <c r="A1284" s="1" t="s">
        <v>2200</v>
      </c>
      <c r="B1284" s="1" t="s">
        <v>1209</v>
      </c>
      <c r="C1284" s="1" t="s">
        <v>1210</v>
      </c>
      <c r="D1284" s="2">
        <v>46177</v>
      </c>
      <c r="E1284">
        <v>3.5113742625395301E-2</v>
      </c>
      <c r="F1284" s="2">
        <v>46177.771716354167</v>
      </c>
      <c r="G1284" s="1" t="s">
        <v>1211</v>
      </c>
      <c r="H1284" s="2">
        <v>46177.771716435185</v>
      </c>
      <c r="I1284" s="1" t="s">
        <v>1211</v>
      </c>
      <c r="J1284" s="1" t="s">
        <v>4277</v>
      </c>
    </row>
    <row r="1285" spans="1:10" x14ac:dyDescent="0.35">
      <c r="A1285" s="1" t="s">
        <v>2201</v>
      </c>
      <c r="B1285" s="1" t="s">
        <v>1209</v>
      </c>
      <c r="C1285" s="1" t="s">
        <v>1210</v>
      </c>
      <c r="D1285" s="2">
        <v>46177</v>
      </c>
      <c r="E1285">
        <v>2.1216704738298401E-2</v>
      </c>
      <c r="F1285" s="2">
        <v>46177.77168622685</v>
      </c>
      <c r="G1285" s="1" t="s">
        <v>1211</v>
      </c>
      <c r="H1285" s="2">
        <v>46177.77168622685</v>
      </c>
      <c r="I1285" s="1" t="s">
        <v>1211</v>
      </c>
      <c r="J1285" s="1" t="s">
        <v>4278</v>
      </c>
    </row>
    <row r="1286" spans="1:10" x14ac:dyDescent="0.35">
      <c r="A1286" s="1" t="s">
        <v>2202</v>
      </c>
      <c r="B1286" s="1" t="s">
        <v>1209</v>
      </c>
      <c r="C1286" s="1" t="s">
        <v>1210</v>
      </c>
      <c r="D1286" s="2">
        <v>46177</v>
      </c>
      <c r="E1286">
        <v>2.5769940916879799E-2</v>
      </c>
      <c r="F1286" s="2">
        <v>46177.771654317126</v>
      </c>
      <c r="G1286" s="1" t="s">
        <v>1211</v>
      </c>
      <c r="H1286" s="2">
        <v>46177.771654166667</v>
      </c>
      <c r="I1286" s="1" t="s">
        <v>1211</v>
      </c>
      <c r="J1286" s="1" t="s">
        <v>4279</v>
      </c>
    </row>
    <row r="1287" spans="1:10" x14ac:dyDescent="0.35">
      <c r="A1287" s="1" t="s">
        <v>2203</v>
      </c>
      <c r="B1287" s="1" t="s">
        <v>1209</v>
      </c>
      <c r="C1287" s="1" t="s">
        <v>1210</v>
      </c>
      <c r="D1287" s="2">
        <v>46177</v>
      </c>
      <c r="E1287">
        <v>2.6437885781879E-2</v>
      </c>
      <c r="F1287" s="2">
        <v>46177.771677511577</v>
      </c>
      <c r="G1287" s="1" t="s">
        <v>1211</v>
      </c>
      <c r="H1287" s="2">
        <v>46177.77167746528</v>
      </c>
      <c r="I1287" s="1" t="s">
        <v>1211</v>
      </c>
      <c r="J1287" s="1" t="s">
        <v>4280</v>
      </c>
    </row>
    <row r="1288" spans="1:10" x14ac:dyDescent="0.35">
      <c r="A1288" s="1" t="s">
        <v>2204</v>
      </c>
      <c r="B1288" s="1" t="s">
        <v>1209</v>
      </c>
      <c r="C1288" s="1" t="s">
        <v>1210</v>
      </c>
      <c r="D1288" s="2">
        <v>46177</v>
      </c>
      <c r="E1288">
        <v>2.6969587529986901E-2</v>
      </c>
      <c r="F1288" s="2">
        <v>46177.771728854168</v>
      </c>
      <c r="G1288" s="1" t="s">
        <v>1211</v>
      </c>
      <c r="H1288" s="2">
        <v>46177.771728969907</v>
      </c>
      <c r="I1288" s="1" t="s">
        <v>1211</v>
      </c>
      <c r="J1288" s="1" t="s">
        <v>4281</v>
      </c>
    </row>
    <row r="1289" spans="1:10" x14ac:dyDescent="0.35">
      <c r="A1289" s="1" t="s">
        <v>2205</v>
      </c>
      <c r="B1289" s="1" t="s">
        <v>1209</v>
      </c>
      <c r="C1289" s="1" t="s">
        <v>1210</v>
      </c>
      <c r="D1289" s="2">
        <v>46177</v>
      </c>
      <c r="E1289">
        <v>3.3655172217819503E-2</v>
      </c>
      <c r="F1289" s="2">
        <v>46177.771675000004</v>
      </c>
      <c r="G1289" s="1" t="s">
        <v>1211</v>
      </c>
      <c r="H1289" s="2">
        <v>46177.771674965275</v>
      </c>
      <c r="I1289" s="1" t="s">
        <v>1211</v>
      </c>
      <c r="J1289" s="1" t="s">
        <v>4282</v>
      </c>
    </row>
    <row r="1290" spans="1:10" x14ac:dyDescent="0.35">
      <c r="A1290" s="1" t="s">
        <v>2206</v>
      </c>
      <c r="B1290" s="1" t="s">
        <v>1209</v>
      </c>
      <c r="C1290" s="1" t="s">
        <v>1210</v>
      </c>
      <c r="D1290" s="2">
        <v>46177</v>
      </c>
      <c r="E1290">
        <v>2.7548137066987499E-2</v>
      </c>
      <c r="F1290" s="2">
        <v>46177.771736423609</v>
      </c>
      <c r="G1290" s="1" t="s">
        <v>1211</v>
      </c>
      <c r="H1290" s="2">
        <v>46177.771736574075</v>
      </c>
      <c r="I1290" s="1" t="s">
        <v>1211</v>
      </c>
      <c r="J1290" s="1" t="s">
        <v>4283</v>
      </c>
    </row>
    <row r="1291" spans="1:10" x14ac:dyDescent="0.35">
      <c r="A1291" s="1" t="s">
        <v>2207</v>
      </c>
      <c r="B1291" s="1" t="s">
        <v>1209</v>
      </c>
      <c r="C1291" s="1" t="s">
        <v>1210</v>
      </c>
      <c r="D1291" s="2">
        <v>46177</v>
      </c>
      <c r="E1291">
        <v>2.81584659902669E-2</v>
      </c>
      <c r="F1291" s="2">
        <v>46177.771691203707</v>
      </c>
      <c r="G1291" s="1" t="s">
        <v>1211</v>
      </c>
      <c r="H1291" s="2">
        <v>46177.771691168979</v>
      </c>
      <c r="I1291" s="1" t="s">
        <v>1211</v>
      </c>
      <c r="J1291" s="1" t="s">
        <v>4284</v>
      </c>
    </row>
    <row r="1292" spans="1:10" x14ac:dyDescent="0.35">
      <c r="A1292" s="1" t="s">
        <v>2208</v>
      </c>
      <c r="B1292" s="1" t="s">
        <v>1209</v>
      </c>
      <c r="C1292" s="1" t="s">
        <v>1210</v>
      </c>
      <c r="D1292" s="2">
        <v>46177</v>
      </c>
      <c r="E1292">
        <v>3.2883978981928998E-2</v>
      </c>
      <c r="F1292" s="2">
        <v>46177.771655405093</v>
      </c>
      <c r="G1292" s="1" t="s">
        <v>1211</v>
      </c>
      <c r="H1292" s="2">
        <v>46177.771655289354</v>
      </c>
      <c r="I1292" s="1" t="s">
        <v>1211</v>
      </c>
      <c r="J1292" s="1" t="s">
        <v>4285</v>
      </c>
    </row>
    <row r="1293" spans="1:10" x14ac:dyDescent="0.35">
      <c r="A1293" s="1" t="s">
        <v>2209</v>
      </c>
      <c r="B1293" s="1" t="s">
        <v>1209</v>
      </c>
      <c r="C1293" s="1" t="s">
        <v>1210</v>
      </c>
      <c r="D1293" s="2">
        <v>46177</v>
      </c>
      <c r="E1293">
        <v>2.6778030352355701E-2</v>
      </c>
      <c r="F1293" s="2">
        <v>46177.771710300927</v>
      </c>
      <c r="G1293" s="1" t="s">
        <v>1211</v>
      </c>
      <c r="H1293" s="2">
        <v>46177.771710219909</v>
      </c>
      <c r="I1293" s="1" t="s">
        <v>1211</v>
      </c>
      <c r="J1293" s="1" t="s">
        <v>4286</v>
      </c>
    </row>
    <row r="1294" spans="1:10" x14ac:dyDescent="0.35">
      <c r="A1294" s="1" t="s">
        <v>2210</v>
      </c>
      <c r="B1294" s="1" t="s">
        <v>1209</v>
      </c>
      <c r="C1294" s="1" t="s">
        <v>1210</v>
      </c>
      <c r="D1294" s="2">
        <v>46177</v>
      </c>
      <c r="E1294">
        <v>2.8793489469738899E-2</v>
      </c>
      <c r="F1294" s="2">
        <v>46177.771713425929</v>
      </c>
      <c r="G1294" s="1" t="s">
        <v>1211</v>
      </c>
      <c r="H1294" s="2">
        <v>46177.771713344904</v>
      </c>
      <c r="I1294" s="1" t="s">
        <v>1211</v>
      </c>
      <c r="J1294" s="1" t="s">
        <v>4287</v>
      </c>
    </row>
    <row r="1295" spans="1:10" x14ac:dyDescent="0.35">
      <c r="A1295" s="1" t="s">
        <v>2211</v>
      </c>
      <c r="B1295" s="1" t="s">
        <v>1209</v>
      </c>
      <c r="C1295" s="1" t="s">
        <v>1210</v>
      </c>
      <c r="D1295" s="2">
        <v>46177</v>
      </c>
      <c r="E1295">
        <v>3.5589860180174203E-2</v>
      </c>
      <c r="F1295" s="2">
        <v>46177.771733333335</v>
      </c>
      <c r="G1295" s="1" t="s">
        <v>1211</v>
      </c>
      <c r="H1295" s="2">
        <v>46177.771733483794</v>
      </c>
      <c r="I1295" s="1" t="s">
        <v>1211</v>
      </c>
      <c r="J1295" s="1" t="s">
        <v>4288</v>
      </c>
    </row>
    <row r="1296" spans="1:10" x14ac:dyDescent="0.35">
      <c r="A1296" s="1" t="s">
        <v>2212</v>
      </c>
      <c r="B1296" s="1" t="s">
        <v>1209</v>
      </c>
      <c r="C1296" s="1" t="s">
        <v>1210</v>
      </c>
      <c r="D1296" s="2">
        <v>46177</v>
      </c>
      <c r="E1296">
        <v>2.9468044586531499E-2</v>
      </c>
      <c r="F1296" s="2">
        <v>46177.77171666667</v>
      </c>
      <c r="G1296" s="1" t="s">
        <v>1211</v>
      </c>
      <c r="H1296" s="2">
        <v>46177.771716631942</v>
      </c>
      <c r="I1296" s="1" t="s">
        <v>1211</v>
      </c>
      <c r="J1296" s="1" t="s">
        <v>4289</v>
      </c>
    </row>
    <row r="1297" spans="1:10" x14ac:dyDescent="0.35">
      <c r="A1297" s="1" t="s">
        <v>2213</v>
      </c>
      <c r="B1297" s="1" t="s">
        <v>1209</v>
      </c>
      <c r="C1297" s="1" t="s">
        <v>1210</v>
      </c>
      <c r="D1297" s="2">
        <v>46177</v>
      </c>
      <c r="E1297">
        <v>2.7340863653149201E-2</v>
      </c>
      <c r="F1297" s="2">
        <v>46177.771723726852</v>
      </c>
      <c r="G1297" s="1" t="s">
        <v>1211</v>
      </c>
      <c r="H1297" s="2">
        <v>46177.77172384259</v>
      </c>
      <c r="I1297" s="1" t="s">
        <v>1211</v>
      </c>
      <c r="J1297" s="1" t="s">
        <v>4256</v>
      </c>
    </row>
    <row r="1298" spans="1:10" x14ac:dyDescent="0.35">
      <c r="A1298" s="1" t="s">
        <v>2214</v>
      </c>
      <c r="B1298" s="1" t="s">
        <v>1209</v>
      </c>
      <c r="C1298" s="1" t="s">
        <v>1210</v>
      </c>
      <c r="D1298" s="2">
        <v>46177</v>
      </c>
      <c r="E1298">
        <v>3.4618143119880901E-2</v>
      </c>
      <c r="F1298" s="2">
        <v>46177.771745335645</v>
      </c>
      <c r="G1298" s="1" t="s">
        <v>1211</v>
      </c>
      <c r="H1298" s="2">
        <v>46177.771745335645</v>
      </c>
      <c r="I1298" s="1" t="s">
        <v>1211</v>
      </c>
      <c r="J1298" s="1" t="s">
        <v>4290</v>
      </c>
    </row>
    <row r="1299" spans="1:10" x14ac:dyDescent="0.35">
      <c r="A1299" s="1" t="s">
        <v>2215</v>
      </c>
      <c r="B1299" s="1" t="s">
        <v>1209</v>
      </c>
      <c r="C1299" s="1" t="s">
        <v>1210</v>
      </c>
      <c r="D1299" s="2">
        <v>46177</v>
      </c>
      <c r="E1299">
        <v>3.0058895102858699E-2</v>
      </c>
      <c r="F1299" s="2">
        <v>46177.771709259257</v>
      </c>
      <c r="G1299" s="1" t="s">
        <v>1211</v>
      </c>
      <c r="H1299" s="2">
        <v>46177.771709143519</v>
      </c>
      <c r="I1299" s="1" t="s">
        <v>1211</v>
      </c>
      <c r="J1299" s="1" t="s">
        <v>4291</v>
      </c>
    </row>
    <row r="1300" spans="1:10" x14ac:dyDescent="0.35">
      <c r="A1300" s="1" t="s">
        <v>2216</v>
      </c>
      <c r="B1300" s="1" t="s">
        <v>1209</v>
      </c>
      <c r="C1300" s="1" t="s">
        <v>1210</v>
      </c>
      <c r="D1300" s="2">
        <v>46177</v>
      </c>
      <c r="E1300">
        <v>3.0711310607545499E-2</v>
      </c>
      <c r="F1300" s="2">
        <v>46177.771700810183</v>
      </c>
      <c r="G1300" s="1" t="s">
        <v>1211</v>
      </c>
      <c r="H1300" s="2">
        <v>46177.771700659723</v>
      </c>
      <c r="I1300" s="1" t="s">
        <v>1211</v>
      </c>
      <c r="J1300" s="1" t="s">
        <v>4292</v>
      </c>
    </row>
    <row r="1301" spans="1:10" x14ac:dyDescent="0.35">
      <c r="A1301" s="1" t="s">
        <v>2217</v>
      </c>
      <c r="B1301" s="1" t="s">
        <v>1209</v>
      </c>
      <c r="C1301" s="1" t="s">
        <v>1210</v>
      </c>
      <c r="D1301" s="2">
        <v>46177</v>
      </c>
      <c r="E1301">
        <v>3.57483306057313E-2</v>
      </c>
      <c r="F1301" s="2">
        <v>46177.771671527778</v>
      </c>
      <c r="G1301" s="1" t="s">
        <v>1211</v>
      </c>
      <c r="H1301" s="2">
        <v>46177.771671493058</v>
      </c>
      <c r="I1301" s="1" t="s">
        <v>1211</v>
      </c>
      <c r="J1301" s="1" t="s">
        <v>4293</v>
      </c>
    </row>
    <row r="1302" spans="1:10" x14ac:dyDescent="0.35">
      <c r="A1302" s="1" t="s">
        <v>2218</v>
      </c>
      <c r="B1302" s="1" t="s">
        <v>1209</v>
      </c>
      <c r="C1302" s="1" t="s">
        <v>1210</v>
      </c>
      <c r="D1302" s="2">
        <v>46177</v>
      </c>
      <c r="E1302">
        <v>2.4002776423852699E-2</v>
      </c>
      <c r="F1302" s="2">
        <v>46177.771745949074</v>
      </c>
      <c r="G1302" s="1" t="s">
        <v>1211</v>
      </c>
      <c r="H1302" s="2">
        <v>46177.771746030092</v>
      </c>
      <c r="I1302" s="1" t="s">
        <v>1211</v>
      </c>
      <c r="J1302" s="1" t="s">
        <v>4294</v>
      </c>
    </row>
    <row r="1303" spans="1:10" x14ac:dyDescent="0.35">
      <c r="A1303" s="1" t="s">
        <v>2219</v>
      </c>
      <c r="B1303" s="1" t="s">
        <v>1209</v>
      </c>
      <c r="C1303" s="1" t="s">
        <v>1210</v>
      </c>
      <c r="D1303" s="2">
        <v>46177</v>
      </c>
      <c r="E1303">
        <v>2.78422895713758E-2</v>
      </c>
      <c r="F1303" s="2">
        <v>46177.771692592592</v>
      </c>
      <c r="G1303" s="1" t="s">
        <v>1211</v>
      </c>
      <c r="H1303" s="2">
        <v>46177.771692442133</v>
      </c>
      <c r="I1303" s="1" t="s">
        <v>1211</v>
      </c>
      <c r="J1303" s="1" t="s">
        <v>4295</v>
      </c>
    </row>
    <row r="1304" spans="1:10" x14ac:dyDescent="0.35">
      <c r="A1304" s="1" t="s">
        <v>2220</v>
      </c>
      <c r="B1304" s="1" t="s">
        <v>1209</v>
      </c>
      <c r="C1304" s="1" t="s">
        <v>1210</v>
      </c>
      <c r="D1304" s="2">
        <v>46177</v>
      </c>
      <c r="E1304">
        <v>3.1361709771350298E-2</v>
      </c>
      <c r="F1304" s="2">
        <v>46177.771653553238</v>
      </c>
      <c r="G1304" s="1" t="s">
        <v>1211</v>
      </c>
      <c r="H1304" s="2">
        <v>46177.771653437499</v>
      </c>
      <c r="I1304" s="1" t="s">
        <v>1211</v>
      </c>
      <c r="J1304" s="1" t="s">
        <v>4296</v>
      </c>
    </row>
    <row r="1305" spans="1:10" x14ac:dyDescent="0.35">
      <c r="A1305" s="1" t="s">
        <v>2221</v>
      </c>
      <c r="B1305" s="1" t="s">
        <v>1209</v>
      </c>
      <c r="C1305" s="1" t="s">
        <v>1210</v>
      </c>
      <c r="D1305" s="2">
        <v>46177</v>
      </c>
      <c r="E1305">
        <v>3.5671862783632297E-2</v>
      </c>
      <c r="F1305" s="2">
        <v>46177.771681944447</v>
      </c>
      <c r="G1305" s="1" t="s">
        <v>1211</v>
      </c>
      <c r="H1305" s="2">
        <v>46177.771681863429</v>
      </c>
      <c r="I1305" s="1" t="s">
        <v>1211</v>
      </c>
      <c r="J1305" s="1" t="s">
        <v>4297</v>
      </c>
    </row>
    <row r="1306" spans="1:10" x14ac:dyDescent="0.35">
      <c r="A1306" s="1" t="s">
        <v>2222</v>
      </c>
      <c r="B1306" s="1" t="s">
        <v>1209</v>
      </c>
      <c r="C1306" s="1" t="s">
        <v>1210</v>
      </c>
      <c r="D1306" s="2">
        <v>46177</v>
      </c>
      <c r="E1306">
        <v>4.3024034453366E-2</v>
      </c>
      <c r="F1306" s="2">
        <v>46177.771687962966</v>
      </c>
      <c r="G1306" s="1" t="s">
        <v>1211</v>
      </c>
      <c r="H1306" s="2">
        <v>46177.77168784722</v>
      </c>
      <c r="I1306" s="1" t="s">
        <v>1211</v>
      </c>
      <c r="J1306" s="1" t="s">
        <v>4298</v>
      </c>
    </row>
    <row r="1307" spans="1:10" x14ac:dyDescent="0.35">
      <c r="A1307" s="1" t="s">
        <v>2223</v>
      </c>
      <c r="B1307" s="1" t="s">
        <v>1224</v>
      </c>
      <c r="C1307" s="1" t="s">
        <v>1210</v>
      </c>
      <c r="D1307" s="2">
        <v>46177</v>
      </c>
      <c r="E1307">
        <v>119.67</v>
      </c>
      <c r="F1307" s="2">
        <v>46177.77162565972</v>
      </c>
      <c r="G1307" s="1" t="s">
        <v>1211</v>
      </c>
      <c r="H1307" s="2">
        <v>46177.771625775466</v>
      </c>
      <c r="I1307" s="1" t="s">
        <v>1211</v>
      </c>
      <c r="J1307" s="1" t="s">
        <v>3051</v>
      </c>
    </row>
    <row r="1308" spans="1:10" x14ac:dyDescent="0.35">
      <c r="A1308" s="1" t="s">
        <v>4299</v>
      </c>
      <c r="B1308" s="1" t="s">
        <v>1224</v>
      </c>
      <c r="C1308" s="1" t="s">
        <v>1210</v>
      </c>
      <c r="D1308" s="2">
        <v>46177</v>
      </c>
      <c r="E1308">
        <v>118.8</v>
      </c>
      <c r="F1308" s="2">
        <v>46177.771625810186</v>
      </c>
      <c r="G1308" s="1" t="s">
        <v>1211</v>
      </c>
      <c r="H1308" s="2">
        <v>46177.771625925925</v>
      </c>
      <c r="I1308" s="1" t="s">
        <v>1211</v>
      </c>
      <c r="J1308" s="1" t="s">
        <v>3051</v>
      </c>
    </row>
    <row r="1309" spans="1:10" x14ac:dyDescent="0.35">
      <c r="A1309" s="1" t="s">
        <v>2224</v>
      </c>
      <c r="B1309" s="1" t="s">
        <v>1224</v>
      </c>
      <c r="C1309" s="1" t="s">
        <v>1210</v>
      </c>
      <c r="D1309" s="2">
        <v>46177</v>
      </c>
      <c r="E1309">
        <v>115.56</v>
      </c>
      <c r="F1309" s="2">
        <v>46177.771625960646</v>
      </c>
      <c r="G1309" s="1" t="s">
        <v>1211</v>
      </c>
      <c r="H1309" s="2">
        <v>46177.771626122689</v>
      </c>
      <c r="I1309" s="1" t="s">
        <v>1211</v>
      </c>
      <c r="J1309" s="1" t="s">
        <v>3051</v>
      </c>
    </row>
    <row r="1310" spans="1:10" x14ac:dyDescent="0.35">
      <c r="A1310" s="1" t="s">
        <v>2225</v>
      </c>
      <c r="B1310" s="1" t="s">
        <v>1224</v>
      </c>
      <c r="C1310" s="1" t="s">
        <v>1210</v>
      </c>
      <c r="D1310" s="2">
        <v>46177</v>
      </c>
      <c r="E1310">
        <v>114.62</v>
      </c>
      <c r="F1310" s="2">
        <v>46177.771626122689</v>
      </c>
      <c r="G1310" s="1" t="s">
        <v>1211</v>
      </c>
      <c r="H1310" s="2">
        <v>46177.771626122689</v>
      </c>
      <c r="I1310" s="1" t="s">
        <v>1211</v>
      </c>
      <c r="J1310" s="1" t="s">
        <v>3051</v>
      </c>
    </row>
    <row r="1311" spans="1:10" x14ac:dyDescent="0.35">
      <c r="A1311" s="1" t="s">
        <v>2226</v>
      </c>
      <c r="B1311" s="1" t="s">
        <v>1224</v>
      </c>
      <c r="C1311" s="1" t="s">
        <v>1210</v>
      </c>
      <c r="D1311" s="2">
        <v>46177</v>
      </c>
      <c r="E1311">
        <v>115.75</v>
      </c>
      <c r="F1311" s="2">
        <v>46177.771626273148</v>
      </c>
      <c r="G1311" s="1" t="s">
        <v>1211</v>
      </c>
      <c r="H1311" s="2">
        <v>46177.771626307869</v>
      </c>
      <c r="I1311" s="1" t="s">
        <v>1211</v>
      </c>
      <c r="J1311" s="1" t="s">
        <v>3051</v>
      </c>
    </row>
    <row r="1312" spans="1:10" x14ac:dyDescent="0.35">
      <c r="A1312" s="1" t="s">
        <v>2227</v>
      </c>
      <c r="B1312" s="1" t="s">
        <v>1209</v>
      </c>
      <c r="C1312" s="1" t="s">
        <v>1210</v>
      </c>
      <c r="D1312" s="2">
        <v>46177</v>
      </c>
      <c r="E1312">
        <v>3.2754894713137903E-2</v>
      </c>
      <c r="F1312" s="2">
        <v>46177.771684259256</v>
      </c>
      <c r="G1312" s="1" t="s">
        <v>1211</v>
      </c>
      <c r="H1312" s="2">
        <v>46177.771684224535</v>
      </c>
      <c r="I1312" s="1" t="s">
        <v>1211</v>
      </c>
      <c r="J1312" s="1" t="s">
        <v>4300</v>
      </c>
    </row>
    <row r="1313" spans="1:10" x14ac:dyDescent="0.35">
      <c r="A1313" s="1" t="s">
        <v>2228</v>
      </c>
      <c r="B1313" s="1" t="s">
        <v>1209</v>
      </c>
      <c r="C1313" s="1" t="s">
        <v>1210</v>
      </c>
      <c r="D1313" s="2">
        <v>46177</v>
      </c>
      <c r="E1313">
        <v>2.7813517658017699E-2</v>
      </c>
      <c r="F1313" s="2">
        <v>46177.771690891204</v>
      </c>
      <c r="G1313" s="1" t="s">
        <v>1211</v>
      </c>
      <c r="H1313" s="2">
        <v>46177.771690775466</v>
      </c>
      <c r="I1313" s="1" t="s">
        <v>1211</v>
      </c>
      <c r="J1313" s="1" t="s">
        <v>4301</v>
      </c>
    </row>
    <row r="1314" spans="1:10" x14ac:dyDescent="0.35">
      <c r="A1314" s="1" t="s">
        <v>2229</v>
      </c>
      <c r="B1314" s="1" t="s">
        <v>1209</v>
      </c>
      <c r="C1314" s="1" t="s">
        <v>1210</v>
      </c>
      <c r="D1314" s="2">
        <v>46177</v>
      </c>
      <c r="E1314">
        <v>3.30378350664845E-2</v>
      </c>
      <c r="F1314" s="2">
        <v>46177.771737962961</v>
      </c>
      <c r="G1314" s="1" t="s">
        <v>1211</v>
      </c>
      <c r="H1314" s="2">
        <v>46177.771738043979</v>
      </c>
      <c r="I1314" s="1" t="s">
        <v>1211</v>
      </c>
      <c r="J1314" s="1" t="s">
        <v>4302</v>
      </c>
    </row>
    <row r="1315" spans="1:10" x14ac:dyDescent="0.35">
      <c r="A1315" s="1" t="s">
        <v>2230</v>
      </c>
      <c r="B1315" s="1" t="s">
        <v>1209</v>
      </c>
      <c r="C1315" s="1" t="s">
        <v>1210</v>
      </c>
      <c r="D1315" s="2">
        <v>46177</v>
      </c>
      <c r="E1315">
        <v>2.88337173851821E-2</v>
      </c>
      <c r="F1315" s="2">
        <v>46177.771702627317</v>
      </c>
      <c r="G1315" s="1" t="s">
        <v>1211</v>
      </c>
      <c r="H1315" s="2">
        <v>46177.771702511571</v>
      </c>
      <c r="I1315" s="1" t="s">
        <v>1211</v>
      </c>
      <c r="J1315" s="1" t="s">
        <v>4303</v>
      </c>
    </row>
    <row r="1316" spans="1:10" x14ac:dyDescent="0.35">
      <c r="A1316" s="1" t="s">
        <v>2231</v>
      </c>
      <c r="B1316" s="1" t="s">
        <v>1209</v>
      </c>
      <c r="C1316" s="1" t="s">
        <v>1210</v>
      </c>
      <c r="D1316" s="2">
        <v>46177</v>
      </c>
      <c r="E1316">
        <v>2.11921136604203E-2</v>
      </c>
      <c r="F1316" s="2">
        <v>46177.771713113427</v>
      </c>
      <c r="G1316" s="1" t="s">
        <v>1211</v>
      </c>
      <c r="H1316" s="2">
        <v>46177.771713159724</v>
      </c>
      <c r="I1316" s="1" t="s">
        <v>1211</v>
      </c>
      <c r="J1316" s="1" t="s">
        <v>4304</v>
      </c>
    </row>
    <row r="1317" spans="1:10" x14ac:dyDescent="0.35">
      <c r="A1317" s="1" t="s">
        <v>2232</v>
      </c>
      <c r="B1317" s="1" t="s">
        <v>1224</v>
      </c>
      <c r="C1317" s="1" t="s">
        <v>1210</v>
      </c>
      <c r="D1317" s="2">
        <v>46177</v>
      </c>
      <c r="E1317">
        <v>125.61</v>
      </c>
      <c r="F1317" s="2">
        <v>46177.771626423608</v>
      </c>
      <c r="G1317" s="1" t="s">
        <v>1211</v>
      </c>
      <c r="H1317" s="2">
        <v>46177.771626469905</v>
      </c>
      <c r="I1317" s="1" t="s">
        <v>1211</v>
      </c>
      <c r="J1317" s="1" t="s">
        <v>3051</v>
      </c>
    </row>
    <row r="1318" spans="1:10" x14ac:dyDescent="0.35">
      <c r="A1318" s="1" t="s">
        <v>2233</v>
      </c>
      <c r="B1318" s="1" t="s">
        <v>1224</v>
      </c>
      <c r="C1318" s="1" t="s">
        <v>1210</v>
      </c>
      <c r="D1318" s="2">
        <v>46177</v>
      </c>
      <c r="E1318">
        <v>125.68</v>
      </c>
      <c r="F1318" s="2">
        <v>46177.771626620372</v>
      </c>
      <c r="G1318" s="1" t="s">
        <v>1211</v>
      </c>
      <c r="H1318" s="2">
        <v>46177.771626655092</v>
      </c>
      <c r="I1318" s="1" t="s">
        <v>1211</v>
      </c>
      <c r="J1318" s="1" t="s">
        <v>3051</v>
      </c>
    </row>
    <row r="1319" spans="1:10" x14ac:dyDescent="0.35">
      <c r="A1319" s="1" t="s">
        <v>2234</v>
      </c>
      <c r="B1319" s="1" t="s">
        <v>1224</v>
      </c>
      <c r="C1319" s="1" t="s">
        <v>1210</v>
      </c>
      <c r="D1319" s="2">
        <v>46177</v>
      </c>
      <c r="E1319">
        <v>124.96</v>
      </c>
      <c r="F1319" s="2">
        <v>46177.77162673611</v>
      </c>
      <c r="G1319" s="1" t="s">
        <v>1211</v>
      </c>
      <c r="H1319" s="2">
        <v>46177.771626851849</v>
      </c>
      <c r="I1319" s="1" t="s">
        <v>1211</v>
      </c>
      <c r="J1319" s="1" t="s">
        <v>3051</v>
      </c>
    </row>
    <row r="1320" spans="1:10" x14ac:dyDescent="0.35">
      <c r="A1320" s="1" t="s">
        <v>2243</v>
      </c>
      <c r="B1320" s="1" t="s">
        <v>1224</v>
      </c>
      <c r="C1320" s="1" t="s">
        <v>1210</v>
      </c>
      <c r="D1320" s="2">
        <v>46177</v>
      </c>
      <c r="E1320">
        <v>96.4</v>
      </c>
      <c r="F1320" s="2">
        <v>46177.771616469909</v>
      </c>
      <c r="G1320" s="1" t="s">
        <v>1211</v>
      </c>
      <c r="H1320" s="2">
        <v>46177.771616550926</v>
      </c>
      <c r="I1320" s="1" t="s">
        <v>1211</v>
      </c>
      <c r="J1320" s="1" t="s">
        <v>3051</v>
      </c>
    </row>
    <row r="1321" spans="1:10" x14ac:dyDescent="0.35">
      <c r="A1321" s="1" t="s">
        <v>2245</v>
      </c>
      <c r="B1321" s="1" t="s">
        <v>1224</v>
      </c>
      <c r="C1321" s="1" t="s">
        <v>1210</v>
      </c>
      <c r="D1321" s="2">
        <v>46177</v>
      </c>
      <c r="E1321">
        <v>96.38</v>
      </c>
      <c r="F1321" s="2">
        <v>46177.771616631944</v>
      </c>
      <c r="G1321" s="1" t="s">
        <v>1211</v>
      </c>
      <c r="H1321" s="2">
        <v>46177.771616747683</v>
      </c>
      <c r="I1321" s="1" t="s">
        <v>1211</v>
      </c>
      <c r="J1321" s="1" t="s">
        <v>3051</v>
      </c>
    </row>
    <row r="1322" spans="1:10" x14ac:dyDescent="0.35">
      <c r="A1322" s="1" t="s">
        <v>2247</v>
      </c>
      <c r="B1322" s="1" t="s">
        <v>1224</v>
      </c>
      <c r="C1322" s="1" t="s">
        <v>1210</v>
      </c>
      <c r="D1322" s="2">
        <v>46177</v>
      </c>
      <c r="E1322">
        <v>96.344999999999999</v>
      </c>
      <c r="F1322" s="2">
        <v>46177.771616782411</v>
      </c>
      <c r="G1322" s="1" t="s">
        <v>1211</v>
      </c>
      <c r="H1322" s="2">
        <v>46177.77161689815</v>
      </c>
      <c r="I1322" s="1" t="s">
        <v>1211</v>
      </c>
      <c r="J1322" s="1" t="s">
        <v>3051</v>
      </c>
    </row>
    <row r="1323" spans="1:10" x14ac:dyDescent="0.35">
      <c r="A1323" s="1" t="s">
        <v>2249</v>
      </c>
      <c r="B1323" s="1" t="s">
        <v>1224</v>
      </c>
      <c r="C1323" s="1" t="s">
        <v>1210</v>
      </c>
      <c r="D1323" s="2">
        <v>46177</v>
      </c>
      <c r="E1323">
        <v>96.314999999999998</v>
      </c>
      <c r="F1323" s="2">
        <v>46177.771616932871</v>
      </c>
      <c r="G1323" s="1" t="s">
        <v>1211</v>
      </c>
      <c r="H1323" s="2">
        <v>46177.771617094906</v>
      </c>
      <c r="I1323" s="1" t="s">
        <v>1211</v>
      </c>
      <c r="J1323" s="1" t="s">
        <v>3051</v>
      </c>
    </row>
    <row r="1324" spans="1:10" x14ac:dyDescent="0.35">
      <c r="A1324" s="1" t="s">
        <v>2251</v>
      </c>
      <c r="B1324" s="1" t="s">
        <v>1224</v>
      </c>
      <c r="C1324" s="1" t="s">
        <v>1210</v>
      </c>
      <c r="D1324" s="2">
        <v>46177</v>
      </c>
      <c r="E1324">
        <v>96.29</v>
      </c>
      <c r="F1324" s="2">
        <v>46177.771617129627</v>
      </c>
      <c r="G1324" s="1" t="s">
        <v>1211</v>
      </c>
      <c r="H1324" s="2">
        <v>46177.771617280094</v>
      </c>
      <c r="I1324" s="1" t="s">
        <v>1211</v>
      </c>
      <c r="J1324" s="1" t="s">
        <v>3051</v>
      </c>
    </row>
    <row r="1325" spans="1:10" x14ac:dyDescent="0.35">
      <c r="A1325" s="1" t="s">
        <v>2253</v>
      </c>
      <c r="B1325" s="1" t="s">
        <v>1224</v>
      </c>
      <c r="C1325" s="1" t="s">
        <v>1210</v>
      </c>
      <c r="D1325" s="2">
        <v>46177</v>
      </c>
      <c r="E1325">
        <v>96.26</v>
      </c>
      <c r="F1325" s="2">
        <v>46177.771617245373</v>
      </c>
      <c r="G1325" s="1" t="s">
        <v>1211</v>
      </c>
      <c r="H1325" s="2">
        <v>46177.771617280094</v>
      </c>
      <c r="I1325" s="1" t="s">
        <v>1211</v>
      </c>
      <c r="J1325" s="1" t="s">
        <v>3051</v>
      </c>
    </row>
    <row r="1326" spans="1:10" x14ac:dyDescent="0.35">
      <c r="A1326" s="1" t="s">
        <v>2255</v>
      </c>
      <c r="B1326" s="1" t="s">
        <v>1224</v>
      </c>
      <c r="C1326" s="1" t="s">
        <v>1210</v>
      </c>
      <c r="D1326" s="2">
        <v>46177</v>
      </c>
      <c r="E1326">
        <v>96.194999999999993</v>
      </c>
      <c r="F1326" s="2">
        <v>46177.771617395832</v>
      </c>
      <c r="G1326" s="1" t="s">
        <v>1211</v>
      </c>
      <c r="H1326" s="2">
        <v>46177.771617442129</v>
      </c>
      <c r="I1326" s="1" t="s">
        <v>1211</v>
      </c>
      <c r="J1326" s="1" t="s">
        <v>3051</v>
      </c>
    </row>
    <row r="1327" spans="1:10" x14ac:dyDescent="0.35">
      <c r="A1327" s="1" t="s">
        <v>2257</v>
      </c>
      <c r="B1327" s="1" t="s">
        <v>1224</v>
      </c>
      <c r="C1327" s="1" t="s">
        <v>1210</v>
      </c>
      <c r="D1327" s="2">
        <v>46177</v>
      </c>
      <c r="E1327">
        <v>96.37</v>
      </c>
      <c r="F1327" s="2">
        <v>46177.77162457176</v>
      </c>
      <c r="G1327" s="1" t="s">
        <v>1211</v>
      </c>
      <c r="H1327" s="2">
        <v>46177.771624652778</v>
      </c>
      <c r="I1327" s="1" t="s">
        <v>1211</v>
      </c>
      <c r="J1327" s="1" t="s">
        <v>3051</v>
      </c>
    </row>
    <row r="1328" spans="1:10" x14ac:dyDescent="0.35">
      <c r="A1328" s="1" t="s">
        <v>2258</v>
      </c>
      <c r="B1328" s="1" t="s">
        <v>1224</v>
      </c>
      <c r="C1328" s="1" t="s">
        <v>1210</v>
      </c>
      <c r="D1328" s="2">
        <v>46177</v>
      </c>
      <c r="E1328">
        <v>96.055000000000007</v>
      </c>
      <c r="F1328" s="2">
        <v>46177.771624733796</v>
      </c>
      <c r="G1328" s="1" t="s">
        <v>1211</v>
      </c>
      <c r="H1328" s="2">
        <v>46177.771624849534</v>
      </c>
      <c r="I1328" s="1" t="s">
        <v>1211</v>
      </c>
      <c r="J1328" s="1" t="s">
        <v>3051</v>
      </c>
    </row>
    <row r="1329" spans="1:10" x14ac:dyDescent="0.35">
      <c r="A1329" s="1" t="s">
        <v>2259</v>
      </c>
      <c r="B1329" s="1" t="s">
        <v>1224</v>
      </c>
      <c r="C1329" s="1" t="s">
        <v>1210</v>
      </c>
      <c r="D1329" s="2">
        <v>46177</v>
      </c>
      <c r="E1329">
        <v>96.347499999999997</v>
      </c>
      <c r="F1329" s="2">
        <v>46177.771624884263</v>
      </c>
      <c r="G1329" s="1" t="s">
        <v>1211</v>
      </c>
      <c r="H1329" s="2">
        <v>46177.771625034722</v>
      </c>
      <c r="I1329" s="1" t="s">
        <v>1211</v>
      </c>
      <c r="J1329" s="1" t="s">
        <v>3051</v>
      </c>
    </row>
    <row r="1330" spans="1:10" x14ac:dyDescent="0.35">
      <c r="A1330" s="1" t="s">
        <v>2260</v>
      </c>
      <c r="B1330" s="1" t="s">
        <v>1224</v>
      </c>
      <c r="C1330" s="1" t="s">
        <v>1210</v>
      </c>
      <c r="D1330" s="2">
        <v>46177</v>
      </c>
      <c r="E1330">
        <v>96.025000000000006</v>
      </c>
      <c r="F1330" s="2">
        <v>46177.771625034722</v>
      </c>
      <c r="G1330" s="1" t="s">
        <v>1211</v>
      </c>
      <c r="H1330" s="2">
        <v>46177.771625034722</v>
      </c>
      <c r="I1330" s="1" t="s">
        <v>1211</v>
      </c>
      <c r="J1330" s="1" t="s">
        <v>3051</v>
      </c>
    </row>
    <row r="1331" spans="1:10" x14ac:dyDescent="0.35">
      <c r="A1331" s="1" t="s">
        <v>2261</v>
      </c>
      <c r="B1331" s="1" t="s">
        <v>1224</v>
      </c>
      <c r="C1331" s="1" t="s">
        <v>1210</v>
      </c>
      <c r="D1331" s="2">
        <v>46177</v>
      </c>
      <c r="E1331">
        <v>96.26</v>
      </c>
      <c r="F1331" s="2">
        <v>46177.771625196758</v>
      </c>
      <c r="G1331" s="1" t="s">
        <v>1211</v>
      </c>
      <c r="H1331" s="2">
        <v>46177.771625196758</v>
      </c>
      <c r="I1331" s="1" t="s">
        <v>1211</v>
      </c>
      <c r="J1331" s="1" t="s">
        <v>3051</v>
      </c>
    </row>
    <row r="1332" spans="1:10" x14ac:dyDescent="0.35">
      <c r="A1332" s="1" t="s">
        <v>2262</v>
      </c>
      <c r="B1332" s="1" t="s">
        <v>1224</v>
      </c>
      <c r="C1332" s="1" t="s">
        <v>1210</v>
      </c>
      <c r="D1332" s="2">
        <v>46177</v>
      </c>
      <c r="E1332">
        <v>96.045000000000002</v>
      </c>
      <c r="F1332" s="2">
        <v>46177.771625347224</v>
      </c>
      <c r="G1332" s="1" t="s">
        <v>1211</v>
      </c>
      <c r="H1332" s="2">
        <v>46177.771625381945</v>
      </c>
      <c r="I1332" s="1" t="s">
        <v>1211</v>
      </c>
      <c r="J1332" s="1" t="s">
        <v>3051</v>
      </c>
    </row>
    <row r="1333" spans="1:10" x14ac:dyDescent="0.35">
      <c r="A1333" s="1" t="s">
        <v>2263</v>
      </c>
      <c r="B1333" s="1" t="s">
        <v>1224</v>
      </c>
      <c r="C1333" s="1" t="s">
        <v>1210</v>
      </c>
      <c r="D1333" s="2">
        <v>46177</v>
      </c>
      <c r="E1333">
        <v>96.144999999999996</v>
      </c>
      <c r="F1333" s="2">
        <v>46177.771625497684</v>
      </c>
      <c r="G1333" s="1" t="s">
        <v>1211</v>
      </c>
      <c r="H1333" s="2">
        <v>46177.771625578702</v>
      </c>
      <c r="I1333" s="1" t="s">
        <v>1211</v>
      </c>
      <c r="J1333" s="1" t="s">
        <v>3051</v>
      </c>
    </row>
    <row r="1334" spans="1:10" x14ac:dyDescent="0.35">
      <c r="A1334" s="1" t="s">
        <v>2264</v>
      </c>
      <c r="B1334" s="1" t="s">
        <v>1224</v>
      </c>
      <c r="C1334" s="1" t="s">
        <v>1210</v>
      </c>
      <c r="D1334" s="2">
        <v>46177</v>
      </c>
      <c r="E1334">
        <v>96.094999999999999</v>
      </c>
      <c r="F1334" s="2">
        <v>46177.771614618054</v>
      </c>
      <c r="G1334" s="1" t="s">
        <v>1211</v>
      </c>
      <c r="H1334" s="2">
        <v>46177.771614548612</v>
      </c>
      <c r="I1334" s="1" t="s">
        <v>1211</v>
      </c>
      <c r="J1334" s="1" t="s">
        <v>3051</v>
      </c>
    </row>
    <row r="1335" spans="1:10" x14ac:dyDescent="0.35">
      <c r="A1335" s="1" t="s">
        <v>2265</v>
      </c>
      <c r="B1335" s="1" t="s">
        <v>1224</v>
      </c>
      <c r="C1335" s="1" t="s">
        <v>1210</v>
      </c>
      <c r="D1335" s="2">
        <v>46177</v>
      </c>
      <c r="E1335">
        <v>103.296875</v>
      </c>
      <c r="F1335" s="2">
        <v>46177.771614780089</v>
      </c>
      <c r="G1335" s="1" t="s">
        <v>1211</v>
      </c>
      <c r="H1335" s="2">
        <v>46177.7716147338</v>
      </c>
      <c r="I1335" s="1" t="s">
        <v>1211</v>
      </c>
      <c r="J1335" s="1" t="s">
        <v>3051</v>
      </c>
    </row>
    <row r="1336" spans="1:10" x14ac:dyDescent="0.35">
      <c r="A1336" s="1" t="s">
        <v>2266</v>
      </c>
      <c r="B1336" s="1" t="s">
        <v>1224</v>
      </c>
      <c r="C1336" s="1" t="s">
        <v>1210</v>
      </c>
      <c r="D1336" s="2">
        <v>46177</v>
      </c>
      <c r="E1336">
        <v>103.203125</v>
      </c>
      <c r="F1336" s="2">
        <v>46177.771614930556</v>
      </c>
      <c r="G1336" s="1" t="s">
        <v>1211</v>
      </c>
      <c r="H1336" s="2">
        <v>46177.771614930556</v>
      </c>
      <c r="I1336" s="1" t="s">
        <v>1211</v>
      </c>
      <c r="J1336" s="1" t="s">
        <v>3051</v>
      </c>
    </row>
    <row r="1337" spans="1:10" x14ac:dyDescent="0.35">
      <c r="A1337" s="1" t="s">
        <v>2267</v>
      </c>
      <c r="B1337" s="1" t="s">
        <v>1224</v>
      </c>
      <c r="C1337" s="1" t="s">
        <v>1210</v>
      </c>
      <c r="D1337" s="2">
        <v>46177</v>
      </c>
      <c r="E1337">
        <v>103.125</v>
      </c>
      <c r="F1337" s="2">
        <v>46177.771615081016</v>
      </c>
      <c r="G1337" s="1" t="s">
        <v>1211</v>
      </c>
      <c r="H1337" s="2">
        <v>46177.771615081016</v>
      </c>
      <c r="I1337" s="1" t="s">
        <v>1211</v>
      </c>
      <c r="J1337" s="1" t="s">
        <v>3051</v>
      </c>
    </row>
    <row r="1338" spans="1:10" x14ac:dyDescent="0.35">
      <c r="A1338" s="1" t="s">
        <v>2268</v>
      </c>
      <c r="B1338" s="1" t="s">
        <v>1224</v>
      </c>
      <c r="C1338" s="1" t="s">
        <v>1210</v>
      </c>
      <c r="D1338" s="2">
        <v>46177</v>
      </c>
      <c r="E1338">
        <v>109.84375</v>
      </c>
      <c r="F1338" s="2">
        <v>46177.771615243058</v>
      </c>
      <c r="G1338" s="1" t="s">
        <v>1211</v>
      </c>
      <c r="H1338" s="2">
        <v>46177.771615081016</v>
      </c>
      <c r="I1338" s="1" t="s">
        <v>1211</v>
      </c>
      <c r="J1338" s="1" t="s">
        <v>3051</v>
      </c>
    </row>
    <row r="1339" spans="1:10" x14ac:dyDescent="0.35">
      <c r="A1339" s="1" t="s">
        <v>2269</v>
      </c>
      <c r="B1339" s="1" t="s">
        <v>1224</v>
      </c>
      <c r="C1339" s="1" t="s">
        <v>1210</v>
      </c>
      <c r="D1339" s="2">
        <v>46177</v>
      </c>
      <c r="E1339">
        <v>109.59375</v>
      </c>
      <c r="F1339" s="2">
        <v>46177.771615393518</v>
      </c>
      <c r="G1339" s="1" t="s">
        <v>1211</v>
      </c>
      <c r="H1339" s="2">
        <v>46177.771615277779</v>
      </c>
      <c r="I1339" s="1" t="s">
        <v>1211</v>
      </c>
      <c r="J1339" s="1" t="s">
        <v>3051</v>
      </c>
    </row>
    <row r="1340" spans="1:10" x14ac:dyDescent="0.35">
      <c r="A1340" s="1" t="s">
        <v>2270</v>
      </c>
      <c r="B1340" s="1" t="s">
        <v>1224</v>
      </c>
      <c r="C1340" s="1" t="s">
        <v>1210</v>
      </c>
      <c r="D1340" s="2">
        <v>46177</v>
      </c>
      <c r="E1340">
        <v>109.46875</v>
      </c>
      <c r="F1340" s="2">
        <v>46177.771615543985</v>
      </c>
      <c r="G1340" s="1" t="s">
        <v>1211</v>
      </c>
      <c r="H1340" s="2">
        <v>46177.771615474536</v>
      </c>
      <c r="I1340" s="1" t="s">
        <v>1211</v>
      </c>
      <c r="J1340" s="1" t="s">
        <v>3051</v>
      </c>
    </row>
    <row r="1341" spans="1:10" x14ac:dyDescent="0.35">
      <c r="A1341" s="1" t="s">
        <v>2271</v>
      </c>
      <c r="B1341" s="1" t="s">
        <v>1224</v>
      </c>
      <c r="C1341" s="1" t="s">
        <v>1210</v>
      </c>
      <c r="D1341" s="2">
        <v>46177</v>
      </c>
      <c r="E1341">
        <v>108.66</v>
      </c>
      <c r="F1341" s="2">
        <v>46177.771627812501</v>
      </c>
      <c r="G1341" s="1" t="s">
        <v>1211</v>
      </c>
      <c r="H1341" s="2">
        <v>46177.771627928239</v>
      </c>
      <c r="I1341" s="1" t="s">
        <v>1211</v>
      </c>
      <c r="J1341" s="1" t="s">
        <v>3051</v>
      </c>
    </row>
    <row r="1342" spans="1:10" x14ac:dyDescent="0.35">
      <c r="A1342" s="1" t="s">
        <v>2272</v>
      </c>
      <c r="B1342" s="1" t="s">
        <v>1224</v>
      </c>
      <c r="C1342" s="1" t="s">
        <v>1210</v>
      </c>
      <c r="D1342" s="2">
        <v>46177</v>
      </c>
      <c r="E1342">
        <v>108.16</v>
      </c>
      <c r="F1342" s="2">
        <v>46177.771628125003</v>
      </c>
      <c r="G1342" s="1" t="s">
        <v>1211</v>
      </c>
      <c r="H1342" s="2">
        <v>46177.771628090275</v>
      </c>
      <c r="I1342" s="1" t="s">
        <v>1211</v>
      </c>
      <c r="J1342" s="1" t="s">
        <v>3051</v>
      </c>
    </row>
    <row r="1343" spans="1:10" x14ac:dyDescent="0.35">
      <c r="A1343" s="1" t="s">
        <v>2273</v>
      </c>
      <c r="B1343" s="1" t="s">
        <v>1224</v>
      </c>
      <c r="C1343" s="1" t="s">
        <v>1210</v>
      </c>
      <c r="D1343" s="2">
        <v>46177</v>
      </c>
      <c r="E1343">
        <v>108.02</v>
      </c>
      <c r="F1343" s="2">
        <v>46177.771628275463</v>
      </c>
      <c r="G1343" s="1" t="s">
        <v>1211</v>
      </c>
      <c r="H1343" s="2">
        <v>46177.771628275463</v>
      </c>
      <c r="I1343" s="1" t="s">
        <v>1211</v>
      </c>
      <c r="J1343" s="1" t="s">
        <v>3051</v>
      </c>
    </row>
    <row r="1344" spans="1:10" x14ac:dyDescent="0.35">
      <c r="A1344" s="1" t="s">
        <v>2274</v>
      </c>
      <c r="B1344" s="1" t="s">
        <v>1224</v>
      </c>
      <c r="C1344" s="1" t="s">
        <v>1210</v>
      </c>
      <c r="D1344" s="2">
        <v>46177</v>
      </c>
      <c r="E1344">
        <v>112.78125</v>
      </c>
      <c r="F1344" s="2">
        <v>46177.771628437498</v>
      </c>
      <c r="G1344" s="1" t="s">
        <v>1211</v>
      </c>
      <c r="H1344" s="2">
        <v>46177.771628275463</v>
      </c>
      <c r="I1344" s="1" t="s">
        <v>1211</v>
      </c>
      <c r="J1344" s="1" t="s">
        <v>3051</v>
      </c>
    </row>
    <row r="1345" spans="1:10" x14ac:dyDescent="0.35">
      <c r="A1345" s="1" t="s">
        <v>2302</v>
      </c>
      <c r="B1345" s="1" t="s">
        <v>1224</v>
      </c>
      <c r="C1345" s="1" t="s">
        <v>1210</v>
      </c>
      <c r="D1345" s="2">
        <v>46177</v>
      </c>
      <c r="E1345">
        <v>112.28125</v>
      </c>
      <c r="F1345" s="2">
        <v>46177.771628587965</v>
      </c>
      <c r="G1345" s="1" t="s">
        <v>1211</v>
      </c>
      <c r="H1345" s="2">
        <v>46177.771628472219</v>
      </c>
      <c r="I1345" s="1" t="s">
        <v>1211</v>
      </c>
      <c r="J1345" s="1" t="s">
        <v>3051</v>
      </c>
    </row>
    <row r="1346" spans="1:10" x14ac:dyDescent="0.35">
      <c r="A1346" s="1" t="s">
        <v>2303</v>
      </c>
      <c r="B1346" s="1" t="s">
        <v>1224</v>
      </c>
      <c r="C1346" s="1" t="s">
        <v>1210</v>
      </c>
      <c r="D1346" s="2">
        <v>46177</v>
      </c>
      <c r="E1346">
        <v>111.90625</v>
      </c>
      <c r="F1346" s="2">
        <v>46177.771628738425</v>
      </c>
      <c r="G1346" s="1" t="s">
        <v>1211</v>
      </c>
      <c r="H1346" s="2">
        <v>46177.771628668983</v>
      </c>
      <c r="I1346" s="1" t="s">
        <v>1211</v>
      </c>
      <c r="J1346" s="1" t="s">
        <v>3051</v>
      </c>
    </row>
    <row r="1347" spans="1:10" x14ac:dyDescent="0.35">
      <c r="A1347" s="1" t="s">
        <v>2304</v>
      </c>
      <c r="B1347" s="1" t="s">
        <v>1224</v>
      </c>
      <c r="C1347" s="1" t="s">
        <v>1210</v>
      </c>
      <c r="D1347" s="2">
        <v>46177</v>
      </c>
      <c r="E1347">
        <v>112.171875</v>
      </c>
      <c r="F1347" s="2">
        <v>46177.771619942127</v>
      </c>
      <c r="G1347" s="1" t="s">
        <v>1211</v>
      </c>
      <c r="H1347" s="2">
        <v>46177.771619988423</v>
      </c>
      <c r="I1347" s="1" t="s">
        <v>1211</v>
      </c>
      <c r="J1347" s="1" t="s">
        <v>3051</v>
      </c>
    </row>
    <row r="1348" spans="1:10" x14ac:dyDescent="0.35">
      <c r="A1348" s="1" t="s">
        <v>2305</v>
      </c>
      <c r="B1348" s="1" t="s">
        <v>1224</v>
      </c>
      <c r="C1348" s="1" t="s">
        <v>1210</v>
      </c>
      <c r="D1348" s="2">
        <v>46177</v>
      </c>
      <c r="E1348">
        <v>111.859375</v>
      </c>
      <c r="F1348" s="2">
        <v>46177.771620104169</v>
      </c>
      <c r="G1348" s="1" t="s">
        <v>1211</v>
      </c>
      <c r="H1348" s="2">
        <v>46177.771620173611</v>
      </c>
      <c r="I1348" s="1" t="s">
        <v>1211</v>
      </c>
      <c r="J1348" s="1" t="s">
        <v>3051</v>
      </c>
    </row>
    <row r="1349" spans="1:10" x14ac:dyDescent="0.35">
      <c r="A1349" s="1" t="s">
        <v>4305</v>
      </c>
      <c r="B1349" s="1" t="s">
        <v>1224</v>
      </c>
      <c r="C1349" s="1" t="s">
        <v>1210</v>
      </c>
      <c r="D1349" s="2">
        <v>46177</v>
      </c>
      <c r="E1349">
        <v>111.671875</v>
      </c>
      <c r="F1349" s="2">
        <v>46177.771620254629</v>
      </c>
      <c r="G1349" s="1" t="s">
        <v>1211</v>
      </c>
      <c r="H1349" s="2">
        <v>46177.771620335647</v>
      </c>
      <c r="I1349" s="1" t="s">
        <v>1211</v>
      </c>
      <c r="J1349" s="1" t="s">
        <v>3051</v>
      </c>
    </row>
    <row r="1350" spans="1:10" x14ac:dyDescent="0.35">
      <c r="A1350" s="1" t="s">
        <v>2306</v>
      </c>
      <c r="B1350" s="1" t="s">
        <v>1224</v>
      </c>
      <c r="C1350" s="1" t="s">
        <v>1210</v>
      </c>
      <c r="D1350" s="2">
        <v>46177</v>
      </c>
      <c r="E1350">
        <v>115.125</v>
      </c>
      <c r="F1350" s="2">
        <v>46177.771620405096</v>
      </c>
      <c r="G1350" s="1" t="s">
        <v>1211</v>
      </c>
      <c r="H1350" s="2">
        <v>46177.771620567131</v>
      </c>
      <c r="I1350" s="1" t="s">
        <v>1211</v>
      </c>
      <c r="J1350" s="1" t="s">
        <v>3051</v>
      </c>
    </row>
    <row r="1351" spans="1:10" x14ac:dyDescent="0.35">
      <c r="A1351" s="1" t="s">
        <v>2307</v>
      </c>
      <c r="B1351" s="1" t="s">
        <v>1224</v>
      </c>
      <c r="C1351" s="1" t="s">
        <v>1210</v>
      </c>
      <c r="D1351" s="2">
        <v>46177</v>
      </c>
      <c r="E1351">
        <v>114.65625</v>
      </c>
      <c r="F1351" s="2">
        <v>46177.771620567131</v>
      </c>
      <c r="G1351" s="1" t="s">
        <v>1211</v>
      </c>
      <c r="H1351" s="2">
        <v>46177.771620567131</v>
      </c>
      <c r="I1351" s="1" t="s">
        <v>1211</v>
      </c>
      <c r="J1351" s="1" t="s">
        <v>3051</v>
      </c>
    </row>
    <row r="1352" spans="1:10" x14ac:dyDescent="0.35">
      <c r="A1352" s="1" t="s">
        <v>2308</v>
      </c>
      <c r="B1352" s="1" t="s">
        <v>1224</v>
      </c>
      <c r="C1352" s="1" t="s">
        <v>1210</v>
      </c>
      <c r="D1352" s="2">
        <v>46177</v>
      </c>
      <c r="E1352">
        <v>114.53125</v>
      </c>
      <c r="F1352" s="2">
        <v>46177.771620717591</v>
      </c>
      <c r="G1352" s="1" t="s">
        <v>1211</v>
      </c>
      <c r="H1352" s="2">
        <v>46177.771620752312</v>
      </c>
      <c r="I1352" s="1" t="s">
        <v>1211</v>
      </c>
      <c r="J1352" s="1" t="s">
        <v>3051</v>
      </c>
    </row>
    <row r="1353" spans="1:10" x14ac:dyDescent="0.35">
      <c r="A1353" s="1" t="s">
        <v>2309</v>
      </c>
      <c r="B1353" s="1" t="s">
        <v>1224</v>
      </c>
      <c r="C1353" s="1" t="s">
        <v>1210</v>
      </c>
      <c r="D1353" s="2">
        <v>46177</v>
      </c>
      <c r="E1353">
        <v>113.61</v>
      </c>
      <c r="F1353" s="2">
        <v>46177.771620868058</v>
      </c>
      <c r="G1353" s="1" t="s">
        <v>1211</v>
      </c>
      <c r="H1353" s="2">
        <v>46177.771620949075</v>
      </c>
      <c r="I1353" s="1" t="s">
        <v>1211</v>
      </c>
      <c r="J1353" s="1" t="s">
        <v>3051</v>
      </c>
    </row>
    <row r="1354" spans="1:10" x14ac:dyDescent="0.35">
      <c r="A1354" s="1" t="s">
        <v>4306</v>
      </c>
      <c r="B1354" s="1" t="s">
        <v>1224</v>
      </c>
      <c r="C1354" s="1" t="s">
        <v>1210</v>
      </c>
      <c r="D1354" s="2">
        <v>46177</v>
      </c>
      <c r="E1354">
        <v>112.7</v>
      </c>
      <c r="F1354" s="2">
        <v>46177.771621030093</v>
      </c>
      <c r="G1354" s="1" t="s">
        <v>1211</v>
      </c>
      <c r="H1354" s="2">
        <v>46177.771621145832</v>
      </c>
      <c r="I1354" s="1" t="s">
        <v>1211</v>
      </c>
      <c r="J1354" s="1" t="s">
        <v>3051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CCF6-4802-4B90-B4FF-A44830E76192}">
  <sheetPr codeName="Sheet4"/>
  <dimension ref="A1:T2035"/>
  <sheetViews>
    <sheetView tabSelected="1" topLeftCell="A104" zoomScale="70" zoomScaleNormal="70" workbookViewId="0">
      <selection activeCell="M129" sqref="M129"/>
    </sheetView>
  </sheetViews>
  <sheetFormatPr defaultRowHeight="14.5" x14ac:dyDescent="0.35"/>
  <cols>
    <col min="1" max="1" width="12.453125" bestFit="1" customWidth="1"/>
    <col min="2" max="2" width="12.453125" customWidth="1"/>
    <col min="3" max="3" width="16.1796875" bestFit="1" customWidth="1"/>
    <col min="4" max="4" width="9.26953125" style="6" customWidth="1"/>
    <col min="5" max="5" width="11.26953125" style="3" bestFit="1" customWidth="1"/>
    <col min="6" max="6" width="14.26953125" bestFit="1" customWidth="1"/>
    <col min="7" max="7" width="15.453125" bestFit="1" customWidth="1"/>
    <col min="8" max="9" width="13.453125" bestFit="1" customWidth="1"/>
    <col min="10" max="10" width="12.81640625" bestFit="1" customWidth="1"/>
    <col min="13" max="13" width="11.81640625" bestFit="1" customWidth="1"/>
    <col min="16" max="16" width="13.453125" bestFit="1" customWidth="1"/>
    <col min="17" max="17" width="29.1796875" bestFit="1" customWidth="1"/>
    <col min="18" max="18" width="22.54296875" bestFit="1" customWidth="1"/>
    <col min="19" max="19" width="10.90625" bestFit="1" customWidth="1"/>
    <col min="20" max="20" width="10.81640625" style="3" bestFit="1" customWidth="1"/>
  </cols>
  <sheetData>
    <row r="1" spans="1:20" x14ac:dyDescent="0.35">
      <c r="A1" t="str" cm="1">
        <f t="array" ref="A1:A607">_xlfn._xlws.FILTER(_xlfn.UNIQUE('BBT3'!A:A),_xlfn.UNIQUE('BBT3'!A:A)&lt;&gt;0)</f>
        <v>ID</v>
      </c>
      <c r="B1" t="s">
        <v>2311</v>
      </c>
      <c r="C1" t="s">
        <v>2</v>
      </c>
      <c r="D1" s="6" t="s">
        <v>3</v>
      </c>
      <c r="E1" s="3" t="s">
        <v>4</v>
      </c>
      <c r="F1" t="s">
        <v>5</v>
      </c>
      <c r="G1" t="s">
        <v>4308</v>
      </c>
      <c r="H1" t="s">
        <v>1213</v>
      </c>
      <c r="I1" t="s">
        <v>4307</v>
      </c>
      <c r="J1" t="s">
        <v>2362</v>
      </c>
      <c r="M1" s="4"/>
      <c r="P1" t="str" cm="1">
        <f t="array" ref="P1">_xll.qwCtxTrade()</f>
        <v>ctx.46177.Close</v>
      </c>
      <c r="Q1" s="7" cm="1">
        <f t="array" aca="1" ref="Q1" ca="1">_xll.qwCalAddBusDays("US",TODAY(),M3)</f>
        <v>46177</v>
      </c>
    </row>
    <row r="2" spans="1:20" x14ac:dyDescent="0.35">
      <c r="A2" t="str">
        <v>912797QX8</v>
      </c>
      <c r="B2" t="str">
        <f>IF(NOT(ISBLANK(A2)),VLOOKUP(A2,'BBT3'!A:F,2,0),"")</f>
        <v>Bill</v>
      </c>
      <c r="C2" t="str">
        <f>IF(NOT(ISBLANK(A2)),VLOOKUP(A2,'BBT3'!A:F,3,0),"")</f>
        <v>US912797QX89</v>
      </c>
      <c r="D2" s="6">
        <f>IF(NOT(ISBLANK(A2)),VLOOKUP(A2,'BBT3'!A:F,4,1),"")</f>
        <v>0</v>
      </c>
      <c r="E2">
        <f>IF(NOT(ISBLANK(A2)),VLOOKUP(A2,'BBT3'!A:F,5,0),"")</f>
        <v>46184</v>
      </c>
      <c r="F2" t="str">
        <f>IF(NOT(ISBLANK(A2)),VLOOKUP(A2,'BBT3'!A:F,6,0),"")</f>
        <v>N</v>
      </c>
      <c r="G2">
        <f>IF(NOT(ISBLANK(A2)),VLOOKUP(A2,QW_Close!A:J,5,0),"")</f>
        <v>3.6564213973574199E-2</v>
      </c>
      <c r="H2" s="5" cm="1">
        <f t="array" ref="H2">IF(NOT(ISBLANK(A2)),((_xlfn.XLOOKUP(1,(_bbt3[[#All],[ID]]=A2)*(_bbt3[[#All],[METRIC_NAME]]="YLD_YTM_ASK"),_bbt3[[#All],[METRIC_VALUE]])*0.5)+(_xlfn.XLOOKUP(1,(_bbt3[[#All],[ID]]=A2)*(_bbt3[[#All],[METRIC_NAME]]="YLD_YTM_BID"),_bbt3[[#All],[METRIC_VALUE]])*0.5))/100,"")</f>
        <v>3.6244790450000001E-2</v>
      </c>
      <c r="I2">
        <f>IF(ISNA(VLOOKUP(A2,QW_CloseDL!A:E,5,0)),0,VLOOKUP(A2,QW_CloseDL!A:E,5,0))</f>
        <v>3.6564213973574199E-2</v>
      </c>
      <c r="J2" s="8">
        <f>IF(ISNA(IF(NOT(ISBLANK(A2)),ABS(G2-I2),"")),0,(IF(NOT(ISBLANK(A2)),ABS(G2-I2)*10000,"")))</f>
        <v>0</v>
      </c>
      <c r="Q2" t="s">
        <v>2347</v>
      </c>
      <c r="R2">
        <f>COUNTA(A:A)</f>
        <v>607</v>
      </c>
    </row>
    <row r="3" spans="1:20" x14ac:dyDescent="0.35">
      <c r="A3" t="str">
        <v>912797RF6</v>
      </c>
      <c r="B3" t="str">
        <f>IF(NOT(ISBLANK(A3)),VLOOKUP(A3,'BBT3'!A:F,2,0),"")</f>
        <v>Bill</v>
      </c>
      <c r="C3" t="str">
        <f>IF(NOT(ISBLANK(A3)),VLOOKUP(A3,'BBT3'!A:F,3,0),"")</f>
        <v>US912797RF64</v>
      </c>
      <c r="D3" s="6">
        <f>IF(NOT(ISBLANK(A3)),VLOOKUP(A3,'BBT3'!A:F,4,1),"")</f>
        <v>0</v>
      </c>
      <c r="E3">
        <f>IF(NOT(ISBLANK(A3)),VLOOKUP(A3,'BBT3'!A:F,5,0),"")</f>
        <v>46212</v>
      </c>
      <c r="F3" t="str">
        <f>IF(NOT(ISBLANK(A3)),VLOOKUP(A3,'BBT3'!A:F,6,0),"")</f>
        <v>N</v>
      </c>
      <c r="G3">
        <f>IF(NOT(ISBLANK(A3)),VLOOKUP(A3,QW_Close!A:J,5,0),"")</f>
        <v>3.6934699788215397E-2</v>
      </c>
      <c r="H3" s="5" t="e" cm="1">
        <f t="array" ref="H3">IF(NOT(ISBLANK(A3)),((_xlfn.XLOOKUP(1,(_bbt3[[#All],[ID]]=A3)*(_bbt3[[#All],[METRIC_NAME]]="YLD_YTM_ASK"),_bbt3[[#All],[METRIC_VALUE]])*0.5)+(_xlfn.XLOOKUP(1,(_bbt3[[#All],[ID]]=A3)*(_bbt3[[#All],[METRIC_NAME]]="YLD_YTM_BID"),_bbt3[[#All],[METRIC_VALUE]])*0.5))/100,"")</f>
        <v>#N/A</v>
      </c>
      <c r="I3">
        <f>IF(ISNA(VLOOKUP(A3,QW_CloseDL!A:E,5,0)),0,VLOOKUP(A3,QW_CloseDL!A:E,5,0))</f>
        <v>3.6934699788215397E-2</v>
      </c>
      <c r="J3" s="8">
        <f t="shared" ref="J3:J66" si="0">IF(ISNA(IF(NOT(ISBLANK(A3)),ABS(G3-I3),"")),0,(IF(NOT(ISBLANK(A3)),ABS(G3-I3)*10000,"")))</f>
        <v>0</v>
      </c>
      <c r="M3">
        <v>-1</v>
      </c>
      <c r="R3" s="9" cm="1">
        <f t="array" ref="R3">MAX(_xlfn._xlws.FILTER(J2:J3500,ISNUMBER(J2:J3500)*(B2:B3500="Bond")))</f>
        <v>4.1568743116290019</v>
      </c>
    </row>
    <row r="4" spans="1:20" x14ac:dyDescent="0.35">
      <c r="A4" t="str">
        <v>912797RG4</v>
      </c>
      <c r="B4" t="str">
        <f>IF(NOT(ISBLANK(A4)),VLOOKUP(A4,'BBT3'!A:F,2,0),"")</f>
        <v>Bill</v>
      </c>
      <c r="C4" t="str">
        <f>IF(NOT(ISBLANK(A4)),VLOOKUP(A4,'BBT3'!A:F,3,0),"")</f>
        <v>US912797RG48</v>
      </c>
      <c r="D4" s="6">
        <f>IF(NOT(ISBLANK(A4)),VLOOKUP(A4,'BBT3'!A:F,4,1),"")</f>
        <v>0</v>
      </c>
      <c r="E4">
        <f>IF(NOT(ISBLANK(A4)),VLOOKUP(A4,'BBT3'!A:F,5,0),"")</f>
        <v>46240</v>
      </c>
      <c r="F4" t="str">
        <f>IF(NOT(ISBLANK(A4)),VLOOKUP(A4,'BBT3'!A:F,6,0),"")</f>
        <v>N</v>
      </c>
      <c r="G4">
        <f>IF(NOT(ISBLANK(A4)),VLOOKUP(A4,QW_Close!A:J,5,0),"")</f>
        <v>3.70640757622165E-2</v>
      </c>
      <c r="H4" s="5" t="e" cm="1">
        <f t="array" ref="H4">IF(NOT(ISBLANK(A4)),((_xlfn.XLOOKUP(1,(_bbt3[[#All],[ID]]=A4)*(_bbt3[[#All],[METRIC_NAME]]="YLD_YTM_ASK"),_bbt3[[#All],[METRIC_VALUE]])*0.5)+(_xlfn.XLOOKUP(1,(_bbt3[[#All],[ID]]=A4)*(_bbt3[[#All],[METRIC_NAME]]="YLD_YTM_BID"),_bbt3[[#All],[METRIC_VALUE]])*0.5))/100,"")</f>
        <v>#N/A</v>
      </c>
      <c r="I4">
        <f>IF(ISNA(VLOOKUP(A4,QW_CloseDL!A:E,5,0)),0,VLOOKUP(A4,QW_CloseDL!A:E,5,0))</f>
        <v>3.70640757622165E-2</v>
      </c>
      <c r="J4" s="8">
        <f t="shared" si="0"/>
        <v>0</v>
      </c>
    </row>
    <row r="5" spans="1:20" x14ac:dyDescent="0.35">
      <c r="A5" t="str">
        <v>912797RS8</v>
      </c>
      <c r="B5" t="str">
        <f>IF(NOT(ISBLANK(A5)),VLOOKUP(A5,'BBT3'!A:F,2,0),"")</f>
        <v>Bill</v>
      </c>
      <c r="C5" t="str">
        <f>IF(NOT(ISBLANK(A5)),VLOOKUP(A5,'BBT3'!A:F,3,0),"")</f>
        <v>US912797RS85</v>
      </c>
      <c r="D5" s="6">
        <f>IF(NOT(ISBLANK(A5)),VLOOKUP(A5,'BBT3'!A:F,4,1),"")</f>
        <v>0</v>
      </c>
      <c r="E5">
        <f>IF(NOT(ISBLANK(A5)),VLOOKUP(A5,'BBT3'!A:F,5,0),"")</f>
        <v>46268</v>
      </c>
      <c r="F5" t="str">
        <f>IF(NOT(ISBLANK(A5)),VLOOKUP(A5,'BBT3'!A:F,6,0),"")</f>
        <v>N</v>
      </c>
      <c r="G5">
        <f>IF(NOT(ISBLANK(A5)),VLOOKUP(A5,QW_Close!A:J,5,0),"")</f>
        <v>3.7245682925831899E-2</v>
      </c>
      <c r="H5" s="5" cm="1">
        <f t="array" ref="H5">IF(NOT(ISBLANK(A5)),((_xlfn.XLOOKUP(1,(_bbt3[[#All],[ID]]=A5)*(_bbt3[[#All],[METRIC_NAME]]="YLD_YTM_ASK"),_bbt3[[#All],[METRIC_VALUE]])*0.5)+(_xlfn.XLOOKUP(1,(_bbt3[[#All],[ID]]=A5)*(_bbt3[[#All],[METRIC_NAME]]="YLD_YTM_BID"),_bbt3[[#All],[METRIC_VALUE]])*0.5))/100,"")</f>
        <v>3.7071527999999999E-2</v>
      </c>
      <c r="I5">
        <f>IF(ISNA(VLOOKUP(A5,QW_CloseDL!A:E,5,0)),0,VLOOKUP(A5,QW_CloseDL!A:E,5,0))</f>
        <v>3.7245682925831899E-2</v>
      </c>
      <c r="J5" s="8">
        <f t="shared" si="0"/>
        <v>0</v>
      </c>
      <c r="R5" s="9"/>
    </row>
    <row r="6" spans="1:20" x14ac:dyDescent="0.35">
      <c r="A6" t="str">
        <v>912797SA6</v>
      </c>
      <c r="B6" t="str">
        <f>IF(NOT(ISBLANK(A6)),VLOOKUP(A6,'BBT3'!A:F,2,0),"")</f>
        <v>Bill</v>
      </c>
      <c r="C6" t="str">
        <f>IF(NOT(ISBLANK(A6)),VLOOKUP(A6,'BBT3'!A:F,3,0),"")</f>
        <v>US912797SA68</v>
      </c>
      <c r="D6" s="6">
        <f>IF(NOT(ISBLANK(A6)),VLOOKUP(A6,'BBT3'!A:F,4,1),"")</f>
        <v>0</v>
      </c>
      <c r="E6">
        <f>IF(NOT(ISBLANK(A6)),VLOOKUP(A6,'BBT3'!A:F,5,0),"")</f>
        <v>46296</v>
      </c>
      <c r="F6" t="str">
        <f>IF(NOT(ISBLANK(A6)),VLOOKUP(A6,'BBT3'!A:F,6,0),"")</f>
        <v>N</v>
      </c>
      <c r="G6">
        <f>IF(NOT(ISBLANK(A6)),VLOOKUP(A6,QW_Close!A:J,5,0),"")</f>
        <v>3.7283998972766699E-2</v>
      </c>
      <c r="H6" s="5" cm="1">
        <f t="array" ref="H6">IF(NOT(ISBLANK(A6)),((_xlfn.XLOOKUP(1,(_bbt3[[#All],[ID]]=A6)*(_bbt3[[#All],[METRIC_NAME]]="YLD_YTM_ASK"),_bbt3[[#All],[METRIC_VALUE]])*0.5)+(_xlfn.XLOOKUP(1,(_bbt3[[#All],[ID]]=A6)*(_bbt3[[#All],[METRIC_NAME]]="YLD_YTM_BID"),_bbt3[[#All],[METRIC_VALUE]])*0.5))/100,"")</f>
        <v>3.7162198299999998E-2</v>
      </c>
      <c r="I6">
        <f>IF(ISNA(VLOOKUP(A6,QW_CloseDL!A:E,5,0)),0,VLOOKUP(A6,QW_CloseDL!A:E,5,0))</f>
        <v>3.7283998972766699E-2</v>
      </c>
      <c r="J6" s="8">
        <f t="shared" si="0"/>
        <v>0</v>
      </c>
    </row>
    <row r="7" spans="1:20" x14ac:dyDescent="0.35">
      <c r="A7" t="str">
        <v>912797SK4</v>
      </c>
      <c r="B7" t="str">
        <f>IF(NOT(ISBLANK(A7)),VLOOKUP(A7,'BBT3'!A:F,2,0),"")</f>
        <v>Bill</v>
      </c>
      <c r="C7" t="str">
        <f>IF(NOT(ISBLANK(A7)),VLOOKUP(A7,'BBT3'!A:F,3,0),"")</f>
        <v>US912797SK41</v>
      </c>
      <c r="D7" s="6">
        <f>IF(NOT(ISBLANK(A7)),VLOOKUP(A7,'BBT3'!A:F,4,1),"")</f>
        <v>0</v>
      </c>
      <c r="E7">
        <f>IF(NOT(ISBLANK(A7)),VLOOKUP(A7,'BBT3'!A:F,5,0),"")</f>
        <v>46324</v>
      </c>
      <c r="F7" t="str">
        <f>IF(NOT(ISBLANK(A7)),VLOOKUP(A7,'BBT3'!A:F,6,0),"")</f>
        <v>N</v>
      </c>
      <c r="G7">
        <f>IF(NOT(ISBLANK(A7)),VLOOKUP(A7,QW_Close!A:J,5,0),"")</f>
        <v>3.7335535244851698E-2</v>
      </c>
      <c r="H7" s="5" cm="1">
        <f t="array" ref="H7">IF(NOT(ISBLANK(A7)),((_xlfn.XLOOKUP(1,(_bbt3[[#All],[ID]]=A7)*(_bbt3[[#All],[METRIC_NAME]]="YLD_YTM_ASK"),_bbt3[[#All],[METRIC_VALUE]])*0.5)+(_xlfn.XLOOKUP(1,(_bbt3[[#All],[ID]]=A7)*(_bbt3[[#All],[METRIC_NAME]]="YLD_YTM_BID"),_bbt3[[#All],[METRIC_VALUE]])*0.5))/100,"")</f>
        <v>3.7266355649999999E-2</v>
      </c>
      <c r="I7">
        <f>IF(ISNA(VLOOKUP(A7,QW_CloseDL!A:E,5,0)),0,VLOOKUP(A7,QW_CloseDL!A:E,5,0))</f>
        <v>3.7335535244851698E-2</v>
      </c>
      <c r="J7" s="8">
        <f t="shared" si="0"/>
        <v>0</v>
      </c>
    </row>
    <row r="8" spans="1:20" x14ac:dyDescent="0.35">
      <c r="A8" t="str">
        <v>912797SU2</v>
      </c>
      <c r="B8" t="str">
        <f>IF(NOT(ISBLANK(A8)),VLOOKUP(A8,'BBT3'!A:F,2,0),"")</f>
        <v>Bill</v>
      </c>
      <c r="C8" t="str">
        <f>IF(NOT(ISBLANK(A8)),VLOOKUP(A8,'BBT3'!A:F,3,0),"")</f>
        <v>US912797SU23</v>
      </c>
      <c r="D8" s="6">
        <f>IF(NOT(ISBLANK(A8)),VLOOKUP(A8,'BBT3'!A:F,4,1),"")</f>
        <v>0</v>
      </c>
      <c r="E8">
        <f>IF(NOT(ISBLANK(A8)),VLOOKUP(A8,'BBT3'!A:F,5,0),"")</f>
        <v>46353</v>
      </c>
      <c r="F8" t="str">
        <f>IF(NOT(ISBLANK(A8)),VLOOKUP(A8,'BBT3'!A:F,6,0),"")</f>
        <v>N</v>
      </c>
      <c r="G8">
        <f>IF(NOT(ISBLANK(A8)),VLOOKUP(A8,QW_Close!A:J,5,0),"")</f>
        <v>3.7547431977909398E-2</v>
      </c>
      <c r="H8" s="5" cm="1">
        <f t="array" ref="H8">IF(NOT(ISBLANK(A8)),((_xlfn.XLOOKUP(1,(_bbt3[[#All],[ID]]=A8)*(_bbt3[[#All],[METRIC_NAME]]="YLD_YTM_ASK"),_bbt3[[#All],[METRIC_VALUE]])*0.5)+(_xlfn.XLOOKUP(1,(_bbt3[[#All],[ID]]=A8)*(_bbt3[[#All],[METRIC_NAME]]="YLD_YTM_BID"),_bbt3[[#All],[METRIC_VALUE]])*0.5))/100,"")</f>
        <v>3.7533041750000003E-2</v>
      </c>
      <c r="I8">
        <f>IF(ISNA(VLOOKUP(A8,QW_CloseDL!A:E,5,0)),0,VLOOKUP(A8,QW_CloseDL!A:E,5,0))</f>
        <v>3.7547431977909398E-2</v>
      </c>
      <c r="J8" s="8">
        <f t="shared" si="0"/>
        <v>0</v>
      </c>
    </row>
    <row r="9" spans="1:20" x14ac:dyDescent="0.35">
      <c r="A9" t="str">
        <v>912797TC1</v>
      </c>
      <c r="B9" t="str">
        <f>IF(NOT(ISBLANK(A9)),VLOOKUP(A9,'BBT3'!A:F,2,0),"")</f>
        <v>Bill</v>
      </c>
      <c r="C9" t="str">
        <f>IF(NOT(ISBLANK(A9)),VLOOKUP(A9,'BBT3'!A:F,3,0),"")</f>
        <v>US912797TC16</v>
      </c>
      <c r="D9" s="6">
        <f>IF(NOT(ISBLANK(A9)),VLOOKUP(A9,'BBT3'!A:F,4,1),"")</f>
        <v>0</v>
      </c>
      <c r="E9">
        <f>IF(NOT(ISBLANK(A9)),VLOOKUP(A9,'BBT3'!A:F,5,0),"")</f>
        <v>46380</v>
      </c>
      <c r="F9" t="str">
        <f>IF(NOT(ISBLANK(A9)),VLOOKUP(A9,'BBT3'!A:F,6,0),"")</f>
        <v>N</v>
      </c>
      <c r="G9">
        <f>IF(NOT(ISBLANK(A9)),VLOOKUP(A9,QW_Close!A:J,5,0),"")</f>
        <v>3.7290020034923502E-2</v>
      </c>
      <c r="H9" s="5" cm="1">
        <f t="array" ref="H9">IF(NOT(ISBLANK(A9)),((_xlfn.XLOOKUP(1,(_bbt3[[#All],[ID]]=A9)*(_bbt3[[#All],[METRIC_NAME]]="YLD_YTM_ASK"),_bbt3[[#All],[METRIC_VALUE]])*0.5)+(_xlfn.XLOOKUP(1,(_bbt3[[#All],[ID]]=A9)*(_bbt3[[#All],[METRIC_NAME]]="YLD_YTM_BID"),_bbt3[[#All],[METRIC_VALUE]])*0.5))/100,"")</f>
        <v>3.7259970150000002E-2</v>
      </c>
      <c r="I9">
        <f>IF(ISNA(VLOOKUP(A9,QW_CloseDL!A:E,5,0)),0,VLOOKUP(A9,QW_CloseDL!A:E,5,0))</f>
        <v>3.7290020034923502E-2</v>
      </c>
      <c r="J9" s="8">
        <f t="shared" si="0"/>
        <v>0</v>
      </c>
    </row>
    <row r="10" spans="1:20" x14ac:dyDescent="0.35">
      <c r="A10" t="str">
        <v>912797TD9</v>
      </c>
      <c r="B10" t="str">
        <f>IF(NOT(ISBLANK(A10)),VLOOKUP(A10,'BBT3'!A:F,2,0),"")</f>
        <v>Bill</v>
      </c>
      <c r="C10" t="str">
        <f>IF(NOT(ISBLANK(A10)),VLOOKUP(A10,'BBT3'!A:F,3,0),"")</f>
        <v>US912797TD98</v>
      </c>
      <c r="D10" s="6">
        <f>IF(NOT(ISBLANK(A10)),VLOOKUP(A10,'BBT3'!A:F,4,1),"")</f>
        <v>0</v>
      </c>
      <c r="E10">
        <f>IF(NOT(ISBLANK(A10)),VLOOKUP(A10,'BBT3'!A:F,5,0),"")</f>
        <v>46191</v>
      </c>
      <c r="F10" t="str">
        <f>IF(NOT(ISBLANK(A10)),VLOOKUP(A10,'BBT3'!A:F,6,0),"")</f>
        <v>N</v>
      </c>
      <c r="G10">
        <f>IF(NOT(ISBLANK(A10)),VLOOKUP(A10,QW_Close!A:J,5,0),"")</f>
        <v>3.6712470197098203E-2</v>
      </c>
      <c r="H10" s="5" t="e" cm="1">
        <f t="array" ref="H10">IF(NOT(ISBLANK(A10)),((_xlfn.XLOOKUP(1,(_bbt3[[#All],[ID]]=A10)*(_bbt3[[#All],[METRIC_NAME]]="YLD_YTM_ASK"),_bbt3[[#All],[METRIC_VALUE]])*0.5)+(_xlfn.XLOOKUP(1,(_bbt3[[#All],[ID]]=A10)*(_bbt3[[#All],[METRIC_NAME]]="YLD_YTM_BID"),_bbt3[[#All],[METRIC_VALUE]])*0.5))/100,"")</f>
        <v>#N/A</v>
      </c>
      <c r="I10">
        <f>IF(ISNA(VLOOKUP(A10,QW_CloseDL!A:E,5,0)),0,VLOOKUP(A10,QW_CloseDL!A:E,5,0))</f>
        <v>3.6712470197098203E-2</v>
      </c>
      <c r="J10" s="8">
        <f t="shared" si="0"/>
        <v>0</v>
      </c>
    </row>
    <row r="11" spans="1:20" x14ac:dyDescent="0.35">
      <c r="A11" t="str">
        <v>912797TE7</v>
      </c>
      <c r="B11" t="str">
        <f>IF(NOT(ISBLANK(A11)),VLOOKUP(A11,'BBT3'!A:F,2,0),"")</f>
        <v>Bill</v>
      </c>
      <c r="C11" t="str">
        <f>IF(NOT(ISBLANK(A11)),VLOOKUP(A11,'BBT3'!A:F,3,0),"")</f>
        <v>US912797TE71</v>
      </c>
      <c r="D11" s="6">
        <f>IF(NOT(ISBLANK(A11)),VLOOKUP(A11,'BBT3'!A:F,4,1),"")</f>
        <v>0</v>
      </c>
      <c r="E11">
        <f>IF(NOT(ISBLANK(A11)),VLOOKUP(A11,'BBT3'!A:F,5,0),"")</f>
        <v>46198</v>
      </c>
      <c r="F11" t="str">
        <f>IF(NOT(ISBLANK(A11)),VLOOKUP(A11,'BBT3'!A:F,6,0),"")</f>
        <v>N</v>
      </c>
      <c r="G11">
        <f>IF(NOT(ISBLANK(A11)),VLOOKUP(A11,QW_Close!A:J,5,0),"")</f>
        <v>3.6699024363419798E-2</v>
      </c>
      <c r="H11" s="5" cm="1">
        <f t="array" ref="H11">IF(NOT(ISBLANK(A11)),((_xlfn.XLOOKUP(1,(_bbt3[[#All],[ID]]=A11)*(_bbt3[[#All],[METRIC_NAME]]="YLD_YTM_ASK"),_bbt3[[#All],[METRIC_VALUE]])*0.5)+(_xlfn.XLOOKUP(1,(_bbt3[[#All],[ID]]=A11)*(_bbt3[[#All],[METRIC_NAME]]="YLD_YTM_BID"),_bbt3[[#All],[METRIC_VALUE]])*0.5))/100,"")</f>
        <v>3.6402640600000001E-2</v>
      </c>
      <c r="I11">
        <f>IF(ISNA(VLOOKUP(A11,QW_CloseDL!A:E,5,0)),0,VLOOKUP(A11,QW_CloseDL!A:E,5,0))</f>
        <v>3.6699024363419798E-2</v>
      </c>
      <c r="J11" s="8">
        <f t="shared" si="0"/>
        <v>0</v>
      </c>
    </row>
    <row r="12" spans="1:20" x14ac:dyDescent="0.35">
      <c r="A12" t="str">
        <v>912797TF4</v>
      </c>
      <c r="B12" t="str">
        <f>IF(NOT(ISBLANK(A12)),VLOOKUP(A12,'BBT3'!A:F,2,0),"")</f>
        <v>Bill</v>
      </c>
      <c r="C12" t="str">
        <f>IF(NOT(ISBLANK(A12)),VLOOKUP(A12,'BBT3'!A:F,3,0),"")</f>
        <v>US912797TF47</v>
      </c>
      <c r="D12" s="6">
        <f>IF(NOT(ISBLANK(A12)),VLOOKUP(A12,'BBT3'!A:F,4,1),"")</f>
        <v>0</v>
      </c>
      <c r="E12">
        <f>IF(NOT(ISBLANK(A12)),VLOOKUP(A12,'BBT3'!A:F,5,0),"")</f>
        <v>46205</v>
      </c>
      <c r="F12" t="str">
        <f>IF(NOT(ISBLANK(A12)),VLOOKUP(A12,'BBT3'!A:F,6,0),"")</f>
        <v>N</v>
      </c>
      <c r="G12">
        <f>IF(NOT(ISBLANK(A12)),VLOOKUP(A12,QW_Close!A:J,5,0),"")</f>
        <v>3.68486158403174E-2</v>
      </c>
      <c r="H12" s="5" t="e" cm="1">
        <f t="array" ref="H12">IF(NOT(ISBLANK(A12)),((_xlfn.XLOOKUP(1,(_bbt3[[#All],[ID]]=A12)*(_bbt3[[#All],[METRIC_NAME]]="YLD_YTM_ASK"),_bbt3[[#All],[METRIC_VALUE]])*0.5)+(_xlfn.XLOOKUP(1,(_bbt3[[#All],[ID]]=A12)*(_bbt3[[#All],[METRIC_NAME]]="YLD_YTM_BID"),_bbt3[[#All],[METRIC_VALUE]])*0.5))/100,"")</f>
        <v>#N/A</v>
      </c>
      <c r="I12">
        <f>IF(ISNA(VLOOKUP(A12,QW_CloseDL!A:E,5,0)),0,VLOOKUP(A12,QW_CloseDL!A:E,5,0))</f>
        <v>3.68486158403174E-2</v>
      </c>
      <c r="J12" s="8">
        <f t="shared" si="0"/>
        <v>0</v>
      </c>
    </row>
    <row r="13" spans="1:20" x14ac:dyDescent="0.35">
      <c r="A13" t="str">
        <v>912797TM9</v>
      </c>
      <c r="B13" t="str">
        <f>IF(NOT(ISBLANK(A13)),VLOOKUP(A13,'BBT3'!A:F,2,0),"")</f>
        <v>Bill</v>
      </c>
      <c r="C13" t="str">
        <f>IF(NOT(ISBLANK(A13)),VLOOKUP(A13,'BBT3'!A:F,3,0),"")</f>
        <v>US912797TM97</v>
      </c>
      <c r="D13" s="6">
        <f>IF(NOT(ISBLANK(A13)),VLOOKUP(A13,'BBT3'!A:F,4,1),"")</f>
        <v>0</v>
      </c>
      <c r="E13">
        <f>IF(NOT(ISBLANK(A13)),VLOOKUP(A13,'BBT3'!A:F,5,0),"")</f>
        <v>46408</v>
      </c>
      <c r="F13" t="str">
        <f>IF(NOT(ISBLANK(A13)),VLOOKUP(A13,'BBT3'!A:F,6,0),"")</f>
        <v>N</v>
      </c>
      <c r="G13">
        <f>IF(NOT(ISBLANK(A13)),VLOOKUP(A13,QW_Close!A:J,5,0),"")</f>
        <v>3.7145094672875502E-2</v>
      </c>
      <c r="H13" s="5" t="e" cm="1">
        <f t="array" ref="H13">IF(NOT(ISBLANK(A13)),((_xlfn.XLOOKUP(1,(_bbt3[[#All],[ID]]=A13)*(_bbt3[[#All],[METRIC_NAME]]="YLD_YTM_ASK"),_bbt3[[#All],[METRIC_VALUE]])*0.5)+(_xlfn.XLOOKUP(1,(_bbt3[[#All],[ID]]=A13)*(_bbt3[[#All],[METRIC_NAME]]="YLD_YTM_BID"),_bbt3[[#All],[METRIC_VALUE]])*0.5))/100,"")</f>
        <v>#N/A</v>
      </c>
      <c r="I13">
        <f>IF(ISNA(VLOOKUP(A13,QW_CloseDL!A:E,5,0)),0,VLOOKUP(A13,QW_CloseDL!A:E,5,0))</f>
        <v>3.7145094672875502E-2</v>
      </c>
      <c r="J13" s="8">
        <f t="shared" si="0"/>
        <v>0</v>
      </c>
      <c r="P13" t="str" cm="1">
        <f t="array" ref="P13:P1442">_xlfn._xlws.FILTER(A2:A3000,(J2:J3000&gt;R3*10%)*(D2:D3000&gt;0))</f>
        <v>912810FD5</v>
      </c>
      <c r="Q13" t="str">
        <f t="shared" ref="Q13:Q76" si="1">VLOOKUP(P13,A:B,2,0)</f>
        <v>Bond</v>
      </c>
      <c r="R13">
        <f t="shared" ref="R13:R76" si="2">VLOOKUP(P13,A:E,4,0)</f>
        <v>3.625</v>
      </c>
      <c r="S13" s="9">
        <f t="shared" ref="S13:S76" si="3">VLOOKUP(P13,A:J,10,0)</f>
        <v>4.1568743116290019</v>
      </c>
      <c r="T13" s="3">
        <f t="shared" ref="T13:T76" si="4">VLOOKUP(P13,A:J,5,0)</f>
        <v>46858</v>
      </c>
    </row>
    <row r="14" spans="1:20" x14ac:dyDescent="0.35">
      <c r="A14" t="str">
        <v>912797TN7</v>
      </c>
      <c r="B14" t="str">
        <f>IF(NOT(ISBLANK(A14)),VLOOKUP(A14,'BBT3'!A:F,2,0),"")</f>
        <v>Bill</v>
      </c>
      <c r="C14" t="str">
        <f>IF(NOT(ISBLANK(A14)),VLOOKUP(A14,'BBT3'!A:F,3,0),"")</f>
        <v>US912797TN70</v>
      </c>
      <c r="D14" s="6">
        <f>IF(NOT(ISBLANK(A14)),VLOOKUP(A14,'BBT3'!A:F,4,1),"")</f>
        <v>0</v>
      </c>
      <c r="E14">
        <f>IF(NOT(ISBLANK(A14)),VLOOKUP(A14,'BBT3'!A:F,5,0),"")</f>
        <v>46219</v>
      </c>
      <c r="F14" t="str">
        <f>IF(NOT(ISBLANK(A14)),VLOOKUP(A14,'BBT3'!A:F,6,0),"")</f>
        <v>N</v>
      </c>
      <c r="G14">
        <f>IF(NOT(ISBLANK(A14)),VLOOKUP(A14,QW_Close!A:J,5,0),"")</f>
        <v>3.7002238396098598E-2</v>
      </c>
      <c r="H14" s="5" cm="1">
        <f t="array" ref="H14">IF(NOT(ISBLANK(A14)),((_xlfn.XLOOKUP(1,(_bbt3[[#All],[ID]]=A14)*(_bbt3[[#All],[METRIC_NAME]]="YLD_YTM_ASK"),_bbt3[[#All],[METRIC_VALUE]])*0.5)+(_xlfn.XLOOKUP(1,(_bbt3[[#All],[ID]]=A14)*(_bbt3[[#All],[METRIC_NAME]]="YLD_YTM_BID"),_bbt3[[#All],[METRIC_VALUE]])*0.5))/100,"")</f>
        <v>3.6739714550000004E-2</v>
      </c>
      <c r="I14">
        <f>IF(ISNA(VLOOKUP(A14,QW_CloseDL!A:E,5,0)),0,VLOOKUP(A14,QW_CloseDL!A:E,5,0))</f>
        <v>3.7002238396098598E-2</v>
      </c>
      <c r="J14" s="8">
        <f t="shared" si="0"/>
        <v>0</v>
      </c>
      <c r="P14" t="str">
        <v>912810FH6</v>
      </c>
      <c r="Q14" t="str">
        <f t="shared" si="1"/>
        <v>Bond</v>
      </c>
      <c r="R14">
        <f t="shared" si="2"/>
        <v>3.875</v>
      </c>
      <c r="S14" s="9">
        <f t="shared" si="3"/>
        <v>3.5023206956999973</v>
      </c>
      <c r="T14" s="3">
        <f t="shared" si="4"/>
        <v>47223</v>
      </c>
    </row>
    <row r="15" spans="1:20" x14ac:dyDescent="0.35">
      <c r="A15" t="str">
        <v>912797TP2</v>
      </c>
      <c r="B15" t="str">
        <f>IF(NOT(ISBLANK(A15)),VLOOKUP(A15,'BBT3'!A:F,2,0),"")</f>
        <v>Bill</v>
      </c>
      <c r="C15" t="str">
        <f>IF(NOT(ISBLANK(A15)),VLOOKUP(A15,'BBT3'!A:F,3,0),"")</f>
        <v>US912797TP29</v>
      </c>
      <c r="D15" s="6">
        <f>IF(NOT(ISBLANK(A15)),VLOOKUP(A15,'BBT3'!A:F,4,1),"")</f>
        <v>0</v>
      </c>
      <c r="E15">
        <f>IF(NOT(ISBLANK(A15)),VLOOKUP(A15,'BBT3'!A:F,5,0),"")</f>
        <v>46226</v>
      </c>
      <c r="F15" t="str">
        <f>IF(NOT(ISBLANK(A15)),VLOOKUP(A15,'BBT3'!A:F,6,0),"")</f>
        <v>N</v>
      </c>
      <c r="G15">
        <f>IF(NOT(ISBLANK(A15)),VLOOKUP(A15,QW_Close!A:J,5,0),"")</f>
        <v>3.7015910098076303E-2</v>
      </c>
      <c r="H15" s="5" cm="1">
        <f t="array" ref="H15">IF(NOT(ISBLANK(A15)),((_xlfn.XLOOKUP(1,(_bbt3[[#All],[ID]]=A15)*(_bbt3[[#All],[METRIC_NAME]]="YLD_YTM_ASK"),_bbt3[[#All],[METRIC_VALUE]])*0.5)+(_xlfn.XLOOKUP(1,(_bbt3[[#All],[ID]]=A15)*(_bbt3[[#All],[METRIC_NAME]]="YLD_YTM_BID"),_bbt3[[#All],[METRIC_VALUE]])*0.5))/100,"")</f>
        <v>3.6766131850000001E-2</v>
      </c>
      <c r="I15">
        <f>IF(ISNA(VLOOKUP(A15,QW_CloseDL!A:E,5,0)),0,VLOOKUP(A15,QW_CloseDL!A:E,5,0))</f>
        <v>3.7015910098076303E-2</v>
      </c>
      <c r="J15" s="8">
        <f t="shared" si="0"/>
        <v>0</v>
      </c>
      <c r="P15" t="str">
        <v>912810FQ6</v>
      </c>
      <c r="Q15" t="str">
        <f t="shared" si="1"/>
        <v>Bond</v>
      </c>
      <c r="R15">
        <f t="shared" si="2"/>
        <v>3.375</v>
      </c>
      <c r="S15" s="9">
        <f t="shared" si="3"/>
        <v>1.0721609074489797</v>
      </c>
      <c r="T15" s="3">
        <f t="shared" si="4"/>
        <v>48319</v>
      </c>
    </row>
    <row r="16" spans="1:20" x14ac:dyDescent="0.35">
      <c r="A16" t="str">
        <v>912797TQ0</v>
      </c>
      <c r="B16" t="str">
        <f>IF(NOT(ISBLANK(A16)),VLOOKUP(A16,'BBT3'!A:F,2,0),"")</f>
        <v>Bill</v>
      </c>
      <c r="C16" t="str">
        <f>IF(NOT(ISBLANK(A16)),VLOOKUP(A16,'BBT3'!A:F,3,0),"")</f>
        <v>US912797TQ02</v>
      </c>
      <c r="D16" s="6">
        <f>IF(NOT(ISBLANK(A16)),VLOOKUP(A16,'BBT3'!A:F,4,1),"")</f>
        <v>0</v>
      </c>
      <c r="E16">
        <f>IF(NOT(ISBLANK(A16)),VLOOKUP(A16,'BBT3'!A:F,5,0),"")</f>
        <v>46233</v>
      </c>
      <c r="F16" t="str">
        <f>IF(NOT(ISBLANK(A16)),VLOOKUP(A16,'BBT3'!A:F,6,0),"")</f>
        <v>N</v>
      </c>
      <c r="G16">
        <f>IF(NOT(ISBLANK(A16)),VLOOKUP(A16,QW_Close!A:J,5,0),"")</f>
        <v>3.7034786928948897E-2</v>
      </c>
      <c r="H16" s="5" cm="1">
        <f t="array" ref="H16">IF(NOT(ISBLANK(A16)),((_xlfn.XLOOKUP(1,(_bbt3[[#All],[ID]]=A16)*(_bbt3[[#All],[METRIC_NAME]]="YLD_YTM_ASK"),_bbt3[[#All],[METRIC_VALUE]])*0.5)+(_xlfn.XLOOKUP(1,(_bbt3[[#All],[ID]]=A16)*(_bbt3[[#All],[METRIC_NAME]]="YLD_YTM_BID"),_bbt3[[#All],[METRIC_VALUE]])*0.5))/100,"")</f>
        <v>3.679771305E-2</v>
      </c>
      <c r="I16">
        <f>IF(ISNA(VLOOKUP(A16,QW_CloseDL!A:E,5,0)),0,VLOOKUP(A16,QW_CloseDL!A:E,5,0))</f>
        <v>3.7034786928948897E-2</v>
      </c>
      <c r="J16" s="8">
        <f t="shared" si="0"/>
        <v>0</v>
      </c>
      <c r="P16">
        <v>0</v>
      </c>
      <c r="Q16" t="e">
        <f t="shared" si="1"/>
        <v>#N/A</v>
      </c>
      <c r="R16" t="e">
        <f t="shared" si="2"/>
        <v>#N/A</v>
      </c>
      <c r="S16" s="9" t="e">
        <f t="shared" si="3"/>
        <v>#N/A</v>
      </c>
      <c r="T16" s="3" t="e">
        <f t="shared" si="4"/>
        <v>#N/A</v>
      </c>
    </row>
    <row r="17" spans="1:20" x14ac:dyDescent="0.35">
      <c r="A17" t="str">
        <v>912797TV9</v>
      </c>
      <c r="B17" t="str">
        <f>IF(NOT(ISBLANK(A17)),VLOOKUP(A17,'BBT3'!A:F,2,0),"")</f>
        <v>Bill</v>
      </c>
      <c r="C17" t="str">
        <f>IF(NOT(ISBLANK(A17)),VLOOKUP(A17,'BBT3'!A:F,3,0),"")</f>
        <v>US912797TV96</v>
      </c>
      <c r="D17" s="6">
        <f>IF(NOT(ISBLANK(A17)),VLOOKUP(A17,'BBT3'!A:F,4,1),"")</f>
        <v>0</v>
      </c>
      <c r="E17">
        <f>IF(NOT(ISBLANK(A17)),VLOOKUP(A17,'BBT3'!A:F,5,0),"")</f>
        <v>46436</v>
      </c>
      <c r="F17" t="str">
        <f>IF(NOT(ISBLANK(A17)),VLOOKUP(A17,'BBT3'!A:F,6,0),"")</f>
        <v>N</v>
      </c>
      <c r="G17">
        <f>IF(NOT(ISBLANK(A17)),VLOOKUP(A17,QW_Close!A:J,5,0),"")</f>
        <v>3.73469429741808E-2</v>
      </c>
      <c r="H17" s="5" cm="1">
        <f t="array" ref="H17">IF(NOT(ISBLANK(A17)),((_xlfn.XLOOKUP(1,(_bbt3[[#All],[ID]]=A17)*(_bbt3[[#All],[METRIC_NAME]]="YLD_YTM_ASK"),_bbt3[[#All],[METRIC_VALUE]])*0.5)+(_xlfn.XLOOKUP(1,(_bbt3[[#All],[ID]]=A17)*(_bbt3[[#All],[METRIC_NAME]]="YLD_YTM_BID"),_bbt3[[#All],[METRIC_VALUE]])*0.5))/100,"")</f>
        <v>3.728726265E-2</v>
      </c>
      <c r="I17">
        <f>IF(ISNA(VLOOKUP(A17,QW_CloseDL!A:E,5,0)),0,VLOOKUP(A17,QW_CloseDL!A:E,5,0))</f>
        <v>3.73469429741808E-2</v>
      </c>
      <c r="J17" s="8">
        <f t="shared" si="0"/>
        <v>0</v>
      </c>
      <c r="P17">
        <v>0</v>
      </c>
      <c r="Q17" t="e">
        <f t="shared" si="1"/>
        <v>#N/A</v>
      </c>
      <c r="R17" t="e">
        <f t="shared" si="2"/>
        <v>#N/A</v>
      </c>
      <c r="S17" s="9" t="e">
        <f t="shared" si="3"/>
        <v>#N/A</v>
      </c>
      <c r="T17" s="3" t="e">
        <f t="shared" si="4"/>
        <v>#N/A</v>
      </c>
    </row>
    <row r="18" spans="1:20" x14ac:dyDescent="0.35">
      <c r="A18" t="str">
        <v>912797TW7</v>
      </c>
      <c r="B18" t="str">
        <f>IF(NOT(ISBLANK(A18)),VLOOKUP(A18,'BBT3'!A:F,2,0),"")</f>
        <v>Bill</v>
      </c>
      <c r="C18" t="str">
        <f>IF(NOT(ISBLANK(A18)),VLOOKUP(A18,'BBT3'!A:F,3,0),"")</f>
        <v>US912797TW79</v>
      </c>
      <c r="D18" s="6">
        <f>IF(NOT(ISBLANK(A18)),VLOOKUP(A18,'BBT3'!A:F,4,1),"")</f>
        <v>0</v>
      </c>
      <c r="E18">
        <f>IF(NOT(ISBLANK(A18)),VLOOKUP(A18,'BBT3'!A:F,5,0),"")</f>
        <v>46247</v>
      </c>
      <c r="F18" t="str">
        <f>IF(NOT(ISBLANK(A18)),VLOOKUP(A18,'BBT3'!A:F,6,0),"")</f>
        <v>N</v>
      </c>
      <c r="G18">
        <f>IF(NOT(ISBLANK(A18)),VLOOKUP(A18,QW_Close!A:J,5,0),"")</f>
        <v>3.7132396759315803E-2</v>
      </c>
      <c r="H18" s="5" cm="1">
        <f t="array" ref="H18">IF(NOT(ISBLANK(A18)),((_xlfn.XLOOKUP(1,(_bbt3[[#All],[ID]]=A18)*(_bbt3[[#All],[METRIC_NAME]]="YLD_YTM_ASK"),_bbt3[[#All],[METRIC_VALUE]])*0.5)+(_xlfn.XLOOKUP(1,(_bbt3[[#All],[ID]]=A18)*(_bbt3[[#All],[METRIC_NAME]]="YLD_YTM_BID"),_bbt3[[#All],[METRIC_VALUE]])*0.5))/100,"")</f>
        <v>3.6920146350000002E-2</v>
      </c>
      <c r="I18">
        <f>IF(ISNA(VLOOKUP(A18,QW_CloseDL!A:E,5,0)),0,VLOOKUP(A18,QW_CloseDL!A:E,5,0))</f>
        <v>3.7132396759315803E-2</v>
      </c>
      <c r="J18" s="8">
        <f t="shared" si="0"/>
        <v>0</v>
      </c>
      <c r="P18">
        <v>0</v>
      </c>
      <c r="Q18" t="e">
        <f t="shared" si="1"/>
        <v>#N/A</v>
      </c>
      <c r="R18" t="e">
        <f t="shared" si="2"/>
        <v>#N/A</v>
      </c>
      <c r="S18" s="9" t="e">
        <f t="shared" si="3"/>
        <v>#N/A</v>
      </c>
      <c r="T18" s="3" t="e">
        <f t="shared" si="4"/>
        <v>#N/A</v>
      </c>
    </row>
    <row r="19" spans="1:20" x14ac:dyDescent="0.35">
      <c r="A19" t="str">
        <v>912797TX5</v>
      </c>
      <c r="B19" t="str">
        <f>IF(NOT(ISBLANK(A19)),VLOOKUP(A19,'BBT3'!A:F,2,0),"")</f>
        <v>Bill</v>
      </c>
      <c r="C19" t="str">
        <f>IF(NOT(ISBLANK(A19)),VLOOKUP(A19,'BBT3'!A:F,3,0),"")</f>
        <v>US912797TX52</v>
      </c>
      <c r="D19" s="6">
        <f>IF(NOT(ISBLANK(A19)),VLOOKUP(A19,'BBT3'!A:F,4,1),"")</f>
        <v>0</v>
      </c>
      <c r="E19">
        <f>IF(NOT(ISBLANK(A19)),VLOOKUP(A19,'BBT3'!A:F,5,0),"")</f>
        <v>46254</v>
      </c>
      <c r="F19" t="str">
        <f>IF(NOT(ISBLANK(A19)),VLOOKUP(A19,'BBT3'!A:F,6,0),"")</f>
        <v>N</v>
      </c>
      <c r="G19">
        <f>IF(NOT(ISBLANK(A19)),VLOOKUP(A19,QW_Close!A:J,5,0),"")</f>
        <v>3.7113914991224302E-2</v>
      </c>
      <c r="H19" s="5" t="e" cm="1">
        <f t="array" ref="H19">IF(NOT(ISBLANK(A19)),((_xlfn.XLOOKUP(1,(_bbt3[[#All],[ID]]=A19)*(_bbt3[[#All],[METRIC_NAME]]="YLD_YTM_ASK"),_bbt3[[#All],[METRIC_VALUE]])*0.5)+(_xlfn.XLOOKUP(1,(_bbt3[[#All],[ID]]=A19)*(_bbt3[[#All],[METRIC_NAME]]="YLD_YTM_BID"),_bbt3[[#All],[METRIC_VALUE]])*0.5))/100,"")</f>
        <v>#N/A</v>
      </c>
      <c r="I19">
        <f>IF(ISNA(VLOOKUP(A19,QW_CloseDL!A:E,5,0)),0,VLOOKUP(A19,QW_CloseDL!A:E,5,0))</f>
        <v>3.7113914991224302E-2</v>
      </c>
      <c r="J19" s="8">
        <f t="shared" si="0"/>
        <v>0</v>
      </c>
      <c r="P19">
        <v>0</v>
      </c>
      <c r="Q19" t="e">
        <f t="shared" si="1"/>
        <v>#N/A</v>
      </c>
      <c r="R19" t="e">
        <f t="shared" si="2"/>
        <v>#N/A</v>
      </c>
      <c r="S19" s="9" t="e">
        <f t="shared" si="3"/>
        <v>#N/A</v>
      </c>
      <c r="T19" s="3" t="e">
        <f t="shared" si="4"/>
        <v>#N/A</v>
      </c>
    </row>
    <row r="20" spans="1:20" x14ac:dyDescent="0.35">
      <c r="A20" t="str">
        <v>912797TY3</v>
      </c>
      <c r="B20" t="str">
        <f>IF(NOT(ISBLANK(A20)),VLOOKUP(A20,'BBT3'!A:F,2,0),"")</f>
        <v>Bill</v>
      </c>
      <c r="C20" t="str">
        <f>IF(NOT(ISBLANK(A20)),VLOOKUP(A20,'BBT3'!A:F,3,0),"")</f>
        <v>US912797TY36</v>
      </c>
      <c r="D20" s="6">
        <f>IF(NOT(ISBLANK(A20)),VLOOKUP(A20,'BBT3'!A:F,4,1),"")</f>
        <v>0</v>
      </c>
      <c r="E20">
        <f>IF(NOT(ISBLANK(A20)),VLOOKUP(A20,'BBT3'!A:F,5,0),"")</f>
        <v>46261</v>
      </c>
      <c r="F20" t="str">
        <f>IF(NOT(ISBLANK(A20)),VLOOKUP(A20,'BBT3'!A:F,6,0),"")</f>
        <v>N</v>
      </c>
      <c r="G20">
        <f>IF(NOT(ISBLANK(A20)),VLOOKUP(A20,QW_Close!A:J,5,0),"")</f>
        <v>3.7148511604390103E-2</v>
      </c>
      <c r="H20" s="5" t="e" cm="1">
        <f t="array" ref="H20">IF(NOT(ISBLANK(A20)),((_xlfn.XLOOKUP(1,(_bbt3[[#All],[ID]]=A20)*(_bbt3[[#All],[METRIC_NAME]]="YLD_YTM_ASK"),_bbt3[[#All],[METRIC_VALUE]])*0.5)+(_xlfn.XLOOKUP(1,(_bbt3[[#All],[ID]]=A20)*(_bbt3[[#All],[METRIC_NAME]]="YLD_YTM_BID"),_bbt3[[#All],[METRIC_VALUE]])*0.5))/100,"")</f>
        <v>#N/A</v>
      </c>
      <c r="I20">
        <f>IF(ISNA(VLOOKUP(A20,QW_CloseDL!A:E,5,0)),0,VLOOKUP(A20,QW_CloseDL!A:E,5,0))</f>
        <v>3.7148511604390103E-2</v>
      </c>
      <c r="J20" s="8">
        <f t="shared" si="0"/>
        <v>0</v>
      </c>
      <c r="P20">
        <v>0</v>
      </c>
      <c r="Q20" t="e">
        <f t="shared" si="1"/>
        <v>#N/A</v>
      </c>
      <c r="R20" t="e">
        <f t="shared" si="2"/>
        <v>#N/A</v>
      </c>
      <c r="S20" s="9" t="e">
        <f t="shared" si="3"/>
        <v>#N/A</v>
      </c>
      <c r="T20" s="3" t="e">
        <f t="shared" si="4"/>
        <v>#N/A</v>
      </c>
    </row>
    <row r="21" spans="1:20" x14ac:dyDescent="0.35">
      <c r="A21" t="str">
        <v>912797TZ0</v>
      </c>
      <c r="B21" t="str">
        <f>IF(NOT(ISBLANK(A21)),VLOOKUP(A21,'BBT3'!A:F,2,0),"")</f>
        <v>Bill</v>
      </c>
      <c r="C21" t="str">
        <f>IF(NOT(ISBLANK(A21)),VLOOKUP(A21,'BBT3'!A:F,3,0),"")</f>
        <v>US912797TZ01</v>
      </c>
      <c r="D21" s="6">
        <f>IF(NOT(ISBLANK(A21)),VLOOKUP(A21,'BBT3'!A:F,4,1),"")</f>
        <v>0</v>
      </c>
      <c r="E21">
        <f>IF(NOT(ISBLANK(A21)),VLOOKUP(A21,'BBT3'!A:F,5,0),"")</f>
        <v>46182</v>
      </c>
      <c r="F21" t="str">
        <f>IF(NOT(ISBLANK(A21)),VLOOKUP(A21,'BBT3'!A:F,6,0),"")</f>
        <v>N</v>
      </c>
      <c r="G21">
        <f>IF(NOT(ISBLANK(A21)),VLOOKUP(A21,QW_Close!A:J,5,0),"")</f>
        <v>3.6725294662234703E-2</v>
      </c>
      <c r="H21" s="5" cm="1">
        <f t="array" ref="H21">IF(NOT(ISBLANK(A21)),((_xlfn.XLOOKUP(1,(_bbt3[[#All],[ID]]=A21)*(_bbt3[[#All],[METRIC_NAME]]="YLD_YTM_ASK"),_bbt3[[#All],[METRIC_VALUE]])*0.5)+(_xlfn.XLOOKUP(1,(_bbt3[[#All],[ID]]=A21)*(_bbt3[[#All],[METRIC_NAME]]="YLD_YTM_BID"),_bbt3[[#All],[METRIC_VALUE]])*0.5))/100,"")</f>
        <v>3.6399437600000001E-2</v>
      </c>
      <c r="I21">
        <f>IF(ISNA(VLOOKUP(A21,QW_CloseDL!A:E,5,0)),0,VLOOKUP(A21,QW_CloseDL!A:E,5,0))</f>
        <v>3.6725294662234703E-2</v>
      </c>
      <c r="J21" s="8">
        <f t="shared" si="0"/>
        <v>0</v>
      </c>
      <c r="P21">
        <v>0</v>
      </c>
      <c r="Q21" t="e">
        <f t="shared" si="1"/>
        <v>#N/A</v>
      </c>
      <c r="R21" t="e">
        <f t="shared" si="2"/>
        <v>#N/A</v>
      </c>
      <c r="S21" s="9" t="e">
        <f t="shared" si="3"/>
        <v>#N/A</v>
      </c>
      <c r="T21" s="3" t="e">
        <f t="shared" si="4"/>
        <v>#N/A</v>
      </c>
    </row>
    <row r="22" spans="1:20" x14ac:dyDescent="0.35">
      <c r="A22" t="str">
        <v>912797UA3</v>
      </c>
      <c r="B22" t="str">
        <f>IF(NOT(ISBLANK(A22)),VLOOKUP(A22,'BBT3'!A:F,2,0),"")</f>
        <v>Bill</v>
      </c>
      <c r="C22" t="str">
        <f>IF(NOT(ISBLANK(A22)),VLOOKUP(A22,'BBT3'!A:F,3,0),"")</f>
        <v>US912797UA31</v>
      </c>
      <c r="D22" s="6">
        <f>IF(NOT(ISBLANK(A22)),VLOOKUP(A22,'BBT3'!A:F,4,1),"")</f>
        <v>0</v>
      </c>
      <c r="E22">
        <f>IF(NOT(ISBLANK(A22)),VLOOKUP(A22,'BBT3'!A:F,5,0),"")</f>
        <v>46189</v>
      </c>
      <c r="F22" t="str">
        <f>IF(NOT(ISBLANK(A22)),VLOOKUP(A22,'BBT3'!A:F,6,0),"")</f>
        <v>N</v>
      </c>
      <c r="G22">
        <f>IF(NOT(ISBLANK(A22)),VLOOKUP(A22,QW_Close!A:J,5,0),"")</f>
        <v>3.67475381229556E-2</v>
      </c>
      <c r="H22" s="5" t="e" cm="1">
        <f t="array" ref="H22">IF(NOT(ISBLANK(A22)),((_xlfn.XLOOKUP(1,(_bbt3[[#All],[ID]]=A22)*(_bbt3[[#All],[METRIC_NAME]]="YLD_YTM_ASK"),_bbt3[[#All],[METRIC_VALUE]])*0.5)+(_xlfn.XLOOKUP(1,(_bbt3[[#All],[ID]]=A22)*(_bbt3[[#All],[METRIC_NAME]]="YLD_YTM_BID"),_bbt3[[#All],[METRIC_VALUE]])*0.5))/100,"")</f>
        <v>#N/A</v>
      </c>
      <c r="I22">
        <f>IF(ISNA(VLOOKUP(A22,QW_CloseDL!A:E,5,0)),0,VLOOKUP(A22,QW_CloseDL!A:E,5,0))</f>
        <v>3.67475381229556E-2</v>
      </c>
      <c r="J22" s="8">
        <f t="shared" si="0"/>
        <v>0</v>
      </c>
      <c r="P22">
        <v>0</v>
      </c>
      <c r="Q22" t="e">
        <f t="shared" si="1"/>
        <v>#N/A</v>
      </c>
      <c r="R22" t="e">
        <f t="shared" si="2"/>
        <v>#N/A</v>
      </c>
      <c r="S22" s="9" t="e">
        <f t="shared" si="3"/>
        <v>#N/A</v>
      </c>
      <c r="T22" s="3" t="e">
        <f t="shared" si="4"/>
        <v>#N/A</v>
      </c>
    </row>
    <row r="23" spans="1:20" x14ac:dyDescent="0.35">
      <c r="A23" t="str">
        <v>912797UB1</v>
      </c>
      <c r="B23" t="str">
        <f>IF(NOT(ISBLANK(A23)),VLOOKUP(A23,'BBT3'!A:F,2,0),"")</f>
        <v>Bill</v>
      </c>
      <c r="C23" t="str">
        <f>IF(NOT(ISBLANK(A23)),VLOOKUP(A23,'BBT3'!A:F,3,0),"")</f>
        <v>US912797UB14</v>
      </c>
      <c r="D23" s="6">
        <f>IF(NOT(ISBLANK(A23)),VLOOKUP(A23,'BBT3'!A:F,4,1),"")</f>
        <v>0</v>
      </c>
      <c r="E23">
        <f>IF(NOT(ISBLANK(A23)),VLOOKUP(A23,'BBT3'!A:F,5,0),"")</f>
        <v>46196</v>
      </c>
      <c r="F23" t="str">
        <f>IF(NOT(ISBLANK(A23)),VLOOKUP(A23,'BBT3'!A:F,6,0),"")</f>
        <v>N</v>
      </c>
      <c r="G23">
        <f>IF(NOT(ISBLANK(A23)),VLOOKUP(A23,QW_Close!A:J,5,0),"")</f>
        <v>3.6771358476430198E-2</v>
      </c>
      <c r="H23" s="5" cm="1">
        <f t="array" ref="H23">IF(NOT(ISBLANK(A23)),((_xlfn.XLOOKUP(1,(_bbt3[[#All],[ID]]=A23)*(_bbt3[[#All],[METRIC_NAME]]="YLD_YTM_ASK"),_bbt3[[#All],[METRIC_VALUE]])*0.5)+(_xlfn.XLOOKUP(1,(_bbt3[[#All],[ID]]=A23)*(_bbt3[[#All],[METRIC_NAME]]="YLD_YTM_BID"),_bbt3[[#All],[METRIC_VALUE]])*0.5))/100,"")</f>
        <v>3.6470169550000001E-2</v>
      </c>
      <c r="I23">
        <f>IF(ISNA(VLOOKUP(A23,QW_CloseDL!A:E,5,0)),0,VLOOKUP(A23,QW_CloseDL!A:E,5,0))</f>
        <v>3.6771358476430198E-2</v>
      </c>
      <c r="J23" s="8">
        <f t="shared" si="0"/>
        <v>0</v>
      </c>
      <c r="P23">
        <v>0</v>
      </c>
      <c r="Q23" t="e">
        <f t="shared" si="1"/>
        <v>#N/A</v>
      </c>
      <c r="R23" t="e">
        <f t="shared" si="2"/>
        <v>#N/A</v>
      </c>
      <c r="S23" s="9" t="e">
        <f t="shared" si="3"/>
        <v>#N/A</v>
      </c>
      <c r="T23" s="3" t="e">
        <f t="shared" si="4"/>
        <v>#N/A</v>
      </c>
    </row>
    <row r="24" spans="1:20" x14ac:dyDescent="0.35">
      <c r="A24" t="str">
        <v>912797UC9</v>
      </c>
      <c r="B24" t="str">
        <f>IF(NOT(ISBLANK(A24)),VLOOKUP(A24,'BBT3'!A:F,2,0),"")</f>
        <v>Bill</v>
      </c>
      <c r="C24" t="str">
        <f>IF(NOT(ISBLANK(A24)),VLOOKUP(A24,'BBT3'!A:F,3,0),"")</f>
        <v>US912797UC96</v>
      </c>
      <c r="D24" s="6">
        <f>IF(NOT(ISBLANK(A24)),VLOOKUP(A24,'BBT3'!A:F,4,1),"")</f>
        <v>0</v>
      </c>
      <c r="E24">
        <f>IF(NOT(ISBLANK(A24)),VLOOKUP(A24,'BBT3'!A:F,5,0),"")</f>
        <v>46203</v>
      </c>
      <c r="F24" t="str">
        <f>IF(NOT(ISBLANK(A24)),VLOOKUP(A24,'BBT3'!A:F,6,0),"")</f>
        <v>N</v>
      </c>
      <c r="G24">
        <f>IF(NOT(ISBLANK(A24)),VLOOKUP(A24,QW_Close!A:J,5,0),"")</f>
        <v>3.6913732002553899E-2</v>
      </c>
      <c r="H24" s="5" cm="1">
        <f t="array" ref="H24">IF(NOT(ISBLANK(A24)),((_xlfn.XLOOKUP(1,(_bbt3[[#All],[ID]]=A24)*(_bbt3[[#All],[METRIC_NAME]]="YLD_YTM_ASK"),_bbt3[[#All],[METRIC_VALUE]])*0.5)+(_xlfn.XLOOKUP(1,(_bbt3[[#All],[ID]]=A24)*(_bbt3[[#All],[METRIC_NAME]]="YLD_YTM_BID"),_bbt3[[#All],[METRIC_VALUE]])*0.5))/100,"")</f>
        <v>3.6623067299999999E-2</v>
      </c>
      <c r="I24">
        <f>IF(ISNA(VLOOKUP(A24,QW_CloseDL!A:E,5,0)),0,VLOOKUP(A24,QW_CloseDL!A:E,5,0))</f>
        <v>3.6913732002553899E-2</v>
      </c>
      <c r="J24" s="8">
        <f t="shared" si="0"/>
        <v>0</v>
      </c>
      <c r="P24">
        <v>0</v>
      </c>
      <c r="Q24" t="e">
        <f t="shared" si="1"/>
        <v>#N/A</v>
      </c>
      <c r="R24" t="e">
        <f t="shared" si="2"/>
        <v>#N/A</v>
      </c>
      <c r="S24" s="9" t="e">
        <f t="shared" si="3"/>
        <v>#N/A</v>
      </c>
      <c r="T24" s="3" t="e">
        <f t="shared" si="4"/>
        <v>#N/A</v>
      </c>
    </row>
    <row r="25" spans="1:20" x14ac:dyDescent="0.35">
      <c r="A25" t="str">
        <v>912797UD7</v>
      </c>
      <c r="B25" t="str">
        <f>IF(NOT(ISBLANK(A25)),VLOOKUP(A25,'BBT3'!A:F,2,0),"")</f>
        <v>Bill</v>
      </c>
      <c r="C25" t="str">
        <f>IF(NOT(ISBLANK(A25)),VLOOKUP(A25,'BBT3'!A:F,3,0),"")</f>
        <v>US912797UD79</v>
      </c>
      <c r="D25" s="6">
        <f>IF(NOT(ISBLANK(A25)),VLOOKUP(A25,'BBT3'!A:F,4,1),"")</f>
        <v>0</v>
      </c>
      <c r="E25">
        <f>IF(NOT(ISBLANK(A25)),VLOOKUP(A25,'BBT3'!A:F,5,0),"")</f>
        <v>46464</v>
      </c>
      <c r="F25" t="str">
        <f>IF(NOT(ISBLANK(A25)),VLOOKUP(A25,'BBT3'!A:F,6,0),"")</f>
        <v>N</v>
      </c>
      <c r="G25">
        <f>IF(NOT(ISBLANK(A25)),VLOOKUP(A25,QW_Close!A:J,5,0),"")</f>
        <v>3.74685350847428E-2</v>
      </c>
      <c r="H25" s="5" cm="1">
        <f t="array" ref="H25">IF(NOT(ISBLANK(A25)),((_xlfn.XLOOKUP(1,(_bbt3[[#All],[ID]]=A25)*(_bbt3[[#All],[METRIC_NAME]]="YLD_YTM_ASK"),_bbt3[[#All],[METRIC_VALUE]])*0.5)+(_xlfn.XLOOKUP(1,(_bbt3[[#All],[ID]]=A25)*(_bbt3[[#All],[METRIC_NAME]]="YLD_YTM_BID"),_bbt3[[#All],[METRIC_VALUE]])*0.5))/100,"")</f>
        <v>3.7413771950000001E-2</v>
      </c>
      <c r="I25">
        <f>IF(ISNA(VLOOKUP(A25,QW_CloseDL!A:E,5,0)),0,VLOOKUP(A25,QW_CloseDL!A:E,5,0))</f>
        <v>3.74685350847428E-2</v>
      </c>
      <c r="J25" s="8">
        <f t="shared" si="0"/>
        <v>0</v>
      </c>
      <c r="P25">
        <v>0</v>
      </c>
      <c r="Q25" t="e">
        <f t="shared" si="1"/>
        <v>#N/A</v>
      </c>
      <c r="R25" t="e">
        <f t="shared" si="2"/>
        <v>#N/A</v>
      </c>
      <c r="S25" s="9" t="e">
        <f t="shared" si="3"/>
        <v>#N/A</v>
      </c>
      <c r="T25" s="3" t="e">
        <f t="shared" si="4"/>
        <v>#N/A</v>
      </c>
    </row>
    <row r="26" spans="1:20" x14ac:dyDescent="0.35">
      <c r="A26" t="str">
        <v>912797UE5</v>
      </c>
      <c r="B26" t="str">
        <f>IF(NOT(ISBLANK(A26)),VLOOKUP(A26,'BBT3'!A:F,2,0),"")</f>
        <v>Bill</v>
      </c>
      <c r="C26" t="str">
        <f>IF(NOT(ISBLANK(A26)),VLOOKUP(A26,'BBT3'!A:F,3,0),"")</f>
        <v>US912797UE52</v>
      </c>
      <c r="D26" s="6">
        <f>IF(NOT(ISBLANK(A26)),VLOOKUP(A26,'BBT3'!A:F,4,1),"")</f>
        <v>0</v>
      </c>
      <c r="E26">
        <f>IF(NOT(ISBLANK(A26)),VLOOKUP(A26,'BBT3'!A:F,5,0),"")</f>
        <v>46492</v>
      </c>
      <c r="F26" t="str">
        <f>IF(NOT(ISBLANK(A26)),VLOOKUP(A26,'BBT3'!A:F,6,0),"")</f>
        <v>N</v>
      </c>
      <c r="G26">
        <f>IF(NOT(ISBLANK(A26)),VLOOKUP(A26,QW_Close!A:J,5,0),"")</f>
        <v>3.7943856694059502E-2</v>
      </c>
      <c r="H26" s="5" cm="1">
        <f t="array" ref="H26">IF(NOT(ISBLANK(A26)),((_xlfn.XLOOKUP(1,(_bbt3[[#All],[ID]]=A26)*(_bbt3[[#All],[METRIC_NAME]]="YLD_YTM_ASK"),_bbt3[[#All],[METRIC_VALUE]])*0.5)+(_xlfn.XLOOKUP(1,(_bbt3[[#All],[ID]]=A26)*(_bbt3[[#All],[METRIC_NAME]]="YLD_YTM_BID"),_bbt3[[#All],[METRIC_VALUE]])*0.5))/100,"")</f>
        <v>3.7901944999999999E-2</v>
      </c>
      <c r="I26">
        <f>IF(ISNA(VLOOKUP(A26,QW_CloseDL!A:E,5,0)),0,VLOOKUP(A26,QW_CloseDL!A:E,5,0))</f>
        <v>3.7943856694059502E-2</v>
      </c>
      <c r="J26" s="8">
        <f t="shared" si="0"/>
        <v>0</v>
      </c>
      <c r="P26">
        <v>0</v>
      </c>
      <c r="Q26" t="e">
        <f t="shared" si="1"/>
        <v>#N/A</v>
      </c>
      <c r="R26" t="e">
        <f t="shared" si="2"/>
        <v>#N/A</v>
      </c>
      <c r="S26" s="9" t="e">
        <f t="shared" si="3"/>
        <v>#N/A</v>
      </c>
      <c r="T26" s="3" t="e">
        <f t="shared" si="4"/>
        <v>#N/A</v>
      </c>
    </row>
    <row r="27" spans="1:20" x14ac:dyDescent="0.35">
      <c r="A27" t="str">
        <v>912797UF2</v>
      </c>
      <c r="B27" t="str">
        <f>IF(NOT(ISBLANK(A27)),VLOOKUP(A27,'BBT3'!A:F,2,0),"")</f>
        <v>Bill</v>
      </c>
      <c r="C27" t="str">
        <f>IF(NOT(ISBLANK(A27)),VLOOKUP(A27,'BBT3'!A:F,3,0),"")</f>
        <v>US912797UF28</v>
      </c>
      <c r="D27" s="6">
        <f>IF(NOT(ISBLANK(A27)),VLOOKUP(A27,'BBT3'!A:F,4,1),"")</f>
        <v>0</v>
      </c>
      <c r="E27">
        <f>IF(NOT(ISBLANK(A27)),VLOOKUP(A27,'BBT3'!A:F,5,0),"")</f>
        <v>46275</v>
      </c>
      <c r="F27" t="str">
        <f>IF(NOT(ISBLANK(A27)),VLOOKUP(A27,'BBT3'!A:F,6,0),"")</f>
        <v>N</v>
      </c>
      <c r="G27">
        <f>IF(NOT(ISBLANK(A27)),VLOOKUP(A27,QW_Close!A:J,5,0),"")</f>
        <v>3.7137532466540599E-2</v>
      </c>
      <c r="H27" s="5" cm="1">
        <f t="array" ref="H27">IF(NOT(ISBLANK(A27)),((_xlfn.XLOOKUP(1,(_bbt3[[#All],[ID]]=A27)*(_bbt3[[#All],[METRIC_NAME]]="YLD_YTM_ASK"),_bbt3[[#All],[METRIC_VALUE]])*0.5)+(_xlfn.XLOOKUP(1,(_bbt3[[#All],[ID]]=A27)*(_bbt3[[#All],[METRIC_NAME]]="YLD_YTM_BID"),_bbt3[[#All],[METRIC_VALUE]])*0.5))/100,"")</f>
        <v>3.6977449750000002E-2</v>
      </c>
      <c r="I27">
        <f>IF(ISNA(VLOOKUP(A27,QW_CloseDL!A:E,5,0)),0,VLOOKUP(A27,QW_CloseDL!A:E,5,0))</f>
        <v>3.7137532466540599E-2</v>
      </c>
      <c r="J27" s="8">
        <f t="shared" si="0"/>
        <v>0</v>
      </c>
      <c r="P27">
        <v>0</v>
      </c>
      <c r="Q27" t="e">
        <f t="shared" si="1"/>
        <v>#N/A</v>
      </c>
      <c r="R27" t="e">
        <f t="shared" si="2"/>
        <v>#N/A</v>
      </c>
      <c r="S27" s="9" t="e">
        <f t="shared" si="3"/>
        <v>#N/A</v>
      </c>
      <c r="T27" s="3" t="e">
        <f t="shared" si="4"/>
        <v>#N/A</v>
      </c>
    </row>
    <row r="28" spans="1:20" x14ac:dyDescent="0.35">
      <c r="A28" t="str">
        <v>912797UG0</v>
      </c>
      <c r="B28" t="str">
        <f>IF(NOT(ISBLANK(A28)),VLOOKUP(A28,'BBT3'!A:F,2,0),"")</f>
        <v>Bill</v>
      </c>
      <c r="C28" t="str">
        <f>IF(NOT(ISBLANK(A28)),VLOOKUP(A28,'BBT3'!A:F,3,0),"")</f>
        <v>US912797UG01</v>
      </c>
      <c r="D28" s="6">
        <f>IF(NOT(ISBLANK(A28)),VLOOKUP(A28,'BBT3'!A:F,4,1),"")</f>
        <v>0</v>
      </c>
      <c r="E28">
        <f>IF(NOT(ISBLANK(A28)),VLOOKUP(A28,'BBT3'!A:F,5,0),"")</f>
        <v>46282</v>
      </c>
      <c r="F28" t="str">
        <f>IF(NOT(ISBLANK(A28)),VLOOKUP(A28,'BBT3'!A:F,6,0),"")</f>
        <v>N</v>
      </c>
      <c r="G28">
        <f>IF(NOT(ISBLANK(A28)),VLOOKUP(A28,QW_Close!A:J,5,0),"")</f>
        <v>3.7255693916511401E-2</v>
      </c>
      <c r="H28" s="5" cm="1">
        <f t="array" ref="H28">IF(NOT(ISBLANK(A28)),((_xlfn.XLOOKUP(1,(_bbt3[[#All],[ID]]=A28)*(_bbt3[[#All],[METRIC_NAME]]="YLD_YTM_ASK"),_bbt3[[#All],[METRIC_VALUE]])*0.5)+(_xlfn.XLOOKUP(1,(_bbt3[[#All],[ID]]=A28)*(_bbt3[[#All],[METRIC_NAME]]="YLD_YTM_BID"),_bbt3[[#All],[METRIC_VALUE]])*0.5))/100,"")</f>
        <v>3.7107749400000001E-2</v>
      </c>
      <c r="I28">
        <f>IF(ISNA(VLOOKUP(A28,QW_CloseDL!A:E,5,0)),0,VLOOKUP(A28,QW_CloseDL!A:E,5,0))</f>
        <v>3.7255693916511401E-2</v>
      </c>
      <c r="J28" s="8">
        <f t="shared" si="0"/>
        <v>0</v>
      </c>
      <c r="P28">
        <v>0</v>
      </c>
      <c r="Q28" t="e">
        <f t="shared" si="1"/>
        <v>#N/A</v>
      </c>
      <c r="R28" t="e">
        <f t="shared" si="2"/>
        <v>#N/A</v>
      </c>
      <c r="S28" s="9" t="e">
        <f t="shared" si="3"/>
        <v>#N/A</v>
      </c>
      <c r="T28" s="3" t="e">
        <f t="shared" si="4"/>
        <v>#N/A</v>
      </c>
    </row>
    <row r="29" spans="1:20" x14ac:dyDescent="0.35">
      <c r="A29" t="str">
        <v>912797UH8</v>
      </c>
      <c r="B29" t="str">
        <f>IF(NOT(ISBLANK(A29)),VLOOKUP(A29,'BBT3'!A:F,2,0),"")</f>
        <v>Bill</v>
      </c>
      <c r="C29" t="str">
        <f>IF(NOT(ISBLANK(A29)),VLOOKUP(A29,'BBT3'!A:F,3,0),"")</f>
        <v>US912797UH83</v>
      </c>
      <c r="D29" s="6">
        <f>IF(NOT(ISBLANK(A29)),VLOOKUP(A29,'BBT3'!A:F,4,1),"")</f>
        <v>0</v>
      </c>
      <c r="E29">
        <f>IF(NOT(ISBLANK(A29)),VLOOKUP(A29,'BBT3'!A:F,5,0),"")</f>
        <v>46289</v>
      </c>
      <c r="F29" t="str">
        <f>IF(NOT(ISBLANK(A29)),VLOOKUP(A29,'BBT3'!A:F,6,0),"")</f>
        <v>N</v>
      </c>
      <c r="G29">
        <f>IF(NOT(ISBLANK(A29)),VLOOKUP(A29,QW_Close!A:J,5,0),"")</f>
        <v>3.72690561617528E-2</v>
      </c>
      <c r="H29" s="5" cm="1">
        <f t="array" ref="H29">IF(NOT(ISBLANK(A29)),((_xlfn.XLOOKUP(1,(_bbt3[[#All],[ID]]=A29)*(_bbt3[[#All],[METRIC_NAME]]="YLD_YTM_ASK"),_bbt3[[#All],[METRIC_VALUE]])*0.5)+(_xlfn.XLOOKUP(1,(_bbt3[[#All],[ID]]=A29)*(_bbt3[[#All],[METRIC_NAME]]="YLD_YTM_BID"),_bbt3[[#All],[METRIC_VALUE]])*0.5))/100,"")</f>
        <v>3.7134178000000004E-2</v>
      </c>
      <c r="I29">
        <f>IF(ISNA(VLOOKUP(A29,QW_CloseDL!A:E,5,0)),0,VLOOKUP(A29,QW_CloseDL!A:E,5,0))</f>
        <v>3.72690561617528E-2</v>
      </c>
      <c r="J29" s="8">
        <f t="shared" si="0"/>
        <v>0</v>
      </c>
      <c r="P29">
        <v>0</v>
      </c>
      <c r="Q29" t="e">
        <f t="shared" si="1"/>
        <v>#N/A</v>
      </c>
      <c r="R29" t="e">
        <f t="shared" si="2"/>
        <v>#N/A</v>
      </c>
      <c r="S29" s="9" t="e">
        <f t="shared" si="3"/>
        <v>#N/A</v>
      </c>
      <c r="T29" s="3" t="e">
        <f t="shared" si="4"/>
        <v>#N/A</v>
      </c>
    </row>
    <row r="30" spans="1:20" x14ac:dyDescent="0.35">
      <c r="A30" t="str">
        <v>912797UJ4</v>
      </c>
      <c r="B30" t="str">
        <f>IF(NOT(ISBLANK(A30)),VLOOKUP(A30,'BBT3'!A:F,2,0),"")</f>
        <v>Bill</v>
      </c>
      <c r="C30" t="str">
        <f>IF(NOT(ISBLANK(A30)),VLOOKUP(A30,'BBT3'!A:F,3,0),"")</f>
        <v>US912797UJ40</v>
      </c>
      <c r="D30" s="6">
        <f>IF(NOT(ISBLANK(A30)),VLOOKUP(A30,'BBT3'!A:F,4,1),"")</f>
        <v>0</v>
      </c>
      <c r="E30">
        <f>IF(NOT(ISBLANK(A30)),VLOOKUP(A30,'BBT3'!A:F,5,0),"")</f>
        <v>46303</v>
      </c>
      <c r="F30" t="str">
        <f>IF(NOT(ISBLANK(A30)),VLOOKUP(A30,'BBT3'!A:F,6,0),"")</f>
        <v>N</v>
      </c>
      <c r="G30">
        <f>IF(NOT(ISBLANK(A30)),VLOOKUP(A30,QW_Close!A:J,5,0),"")</f>
        <v>3.7146780467031799E-2</v>
      </c>
      <c r="H30" s="5" cm="1">
        <f t="array" ref="H30">IF(NOT(ISBLANK(A30)),((_xlfn.XLOOKUP(1,(_bbt3[[#All],[ID]]=A30)*(_bbt3[[#All],[METRIC_NAME]]="YLD_YTM_ASK"),_bbt3[[#All],[METRIC_VALUE]])*0.5)+(_xlfn.XLOOKUP(1,(_bbt3[[#All],[ID]]=A30)*(_bbt3[[#All],[METRIC_NAME]]="YLD_YTM_BID"),_bbt3[[#All],[METRIC_VALUE]])*0.5))/100,"")</f>
        <v>3.7038967249999999E-2</v>
      </c>
      <c r="I30">
        <f>IF(ISNA(VLOOKUP(A30,QW_CloseDL!A:E,5,0)),0,VLOOKUP(A30,QW_CloseDL!A:E,5,0))</f>
        <v>3.7146780467031799E-2</v>
      </c>
      <c r="J30" s="8">
        <f t="shared" si="0"/>
        <v>0</v>
      </c>
      <c r="P30">
        <v>0</v>
      </c>
      <c r="Q30" t="e">
        <f t="shared" si="1"/>
        <v>#N/A</v>
      </c>
      <c r="R30" t="e">
        <f t="shared" si="2"/>
        <v>#N/A</v>
      </c>
      <c r="S30" s="9" t="e">
        <f t="shared" si="3"/>
        <v>#N/A</v>
      </c>
      <c r="T30" s="3" t="e">
        <f t="shared" si="4"/>
        <v>#N/A</v>
      </c>
    </row>
    <row r="31" spans="1:20" x14ac:dyDescent="0.35">
      <c r="A31" t="str">
        <v>912797UK1</v>
      </c>
      <c r="B31" t="str">
        <f>IF(NOT(ISBLANK(A31)),VLOOKUP(A31,'BBT3'!A:F,2,0),"")</f>
        <v>Bill</v>
      </c>
      <c r="C31" t="str">
        <f>IF(NOT(ISBLANK(A31)),VLOOKUP(A31,'BBT3'!A:F,3,0),"")</f>
        <v>US912797UK13</v>
      </c>
      <c r="D31" s="6">
        <f>IF(NOT(ISBLANK(A31)),VLOOKUP(A31,'BBT3'!A:F,4,1),"")</f>
        <v>0</v>
      </c>
      <c r="E31">
        <f>IF(NOT(ISBLANK(A31)),VLOOKUP(A31,'BBT3'!A:F,5,0),"")</f>
        <v>46310</v>
      </c>
      <c r="F31" t="str">
        <f>IF(NOT(ISBLANK(A31)),VLOOKUP(A31,'BBT3'!A:F,6,0),"")</f>
        <v>N</v>
      </c>
      <c r="G31">
        <f>IF(NOT(ISBLANK(A31)),VLOOKUP(A31,QW_Close!A:J,5,0),"")</f>
        <v>3.7201414194189202E-2</v>
      </c>
      <c r="H31" s="5" cm="1">
        <f t="array" ref="H31">IF(NOT(ISBLANK(A31)),((_xlfn.XLOOKUP(1,(_bbt3[[#All],[ID]]=A31)*(_bbt3[[#All],[METRIC_NAME]]="YLD_YTM_ASK"),_bbt3[[#All],[METRIC_VALUE]])*0.5)+(_xlfn.XLOOKUP(1,(_bbt3[[#All],[ID]]=A31)*(_bbt3[[#All],[METRIC_NAME]]="YLD_YTM_BID"),_bbt3[[#All],[METRIC_VALUE]])*0.5))/100,"")</f>
        <v>3.7106428200000006E-2</v>
      </c>
      <c r="I31">
        <f>IF(ISNA(VLOOKUP(A31,QW_CloseDL!A:E,5,0)),0,VLOOKUP(A31,QW_CloseDL!A:E,5,0))</f>
        <v>3.7201414194189202E-2</v>
      </c>
      <c r="J31" s="8">
        <f t="shared" si="0"/>
        <v>0</v>
      </c>
      <c r="P31">
        <v>0</v>
      </c>
      <c r="Q31" t="e">
        <f t="shared" si="1"/>
        <v>#N/A</v>
      </c>
      <c r="R31" t="e">
        <f t="shared" si="2"/>
        <v>#N/A</v>
      </c>
      <c r="S31" s="9" t="e">
        <f t="shared" si="3"/>
        <v>#N/A</v>
      </c>
      <c r="T31" s="3" t="e">
        <f t="shared" si="4"/>
        <v>#N/A</v>
      </c>
    </row>
    <row r="32" spans="1:20" x14ac:dyDescent="0.35">
      <c r="A32" t="str">
        <v>912797UL9</v>
      </c>
      <c r="B32" t="str">
        <f>IF(NOT(ISBLANK(A32)),VLOOKUP(A32,'BBT3'!A:F,2,0),"")</f>
        <v>Bill</v>
      </c>
      <c r="C32" t="str">
        <f>IF(NOT(ISBLANK(A32)),VLOOKUP(A32,'BBT3'!A:F,3,0),"")</f>
        <v>US912797UL95</v>
      </c>
      <c r="D32" s="6">
        <f>IF(NOT(ISBLANK(A32)),VLOOKUP(A32,'BBT3'!A:F,4,1),"")</f>
        <v>0</v>
      </c>
      <c r="E32">
        <f>IF(NOT(ISBLANK(A32)),VLOOKUP(A32,'BBT3'!A:F,5,0),"")</f>
        <v>46317</v>
      </c>
      <c r="F32" t="str">
        <f>IF(NOT(ISBLANK(A32)),VLOOKUP(A32,'BBT3'!A:F,6,0),"")</f>
        <v>N</v>
      </c>
      <c r="G32">
        <f>IF(NOT(ISBLANK(A32)),VLOOKUP(A32,QW_Close!A:J,5,0),"")</f>
        <v>3.72891149237118E-2</v>
      </c>
      <c r="H32" s="5" cm="1">
        <f t="array" ref="H32">IF(NOT(ISBLANK(A32)),((_xlfn.XLOOKUP(1,(_bbt3[[#All],[ID]]=A32)*(_bbt3[[#All],[METRIC_NAME]]="YLD_YTM_ASK"),_bbt3[[#All],[METRIC_VALUE]])*0.5)+(_xlfn.XLOOKUP(1,(_bbt3[[#All],[ID]]=A32)*(_bbt3[[#All],[METRIC_NAME]]="YLD_YTM_BID"),_bbt3[[#All],[METRIC_VALUE]])*0.5))/100,"")</f>
        <v>3.7206891649999997E-2</v>
      </c>
      <c r="I32">
        <f>IF(ISNA(VLOOKUP(A32,QW_CloseDL!A:E,5,0)),0,VLOOKUP(A32,QW_CloseDL!A:E,5,0))</f>
        <v>3.72891149237118E-2</v>
      </c>
      <c r="J32" s="8">
        <f t="shared" si="0"/>
        <v>0</v>
      </c>
      <c r="P32">
        <v>0</v>
      </c>
      <c r="Q32" t="e">
        <f t="shared" si="1"/>
        <v>#N/A</v>
      </c>
      <c r="R32" t="e">
        <f t="shared" si="2"/>
        <v>#N/A</v>
      </c>
      <c r="S32" s="9" t="e">
        <f t="shared" si="3"/>
        <v>#N/A</v>
      </c>
      <c r="T32" s="3" t="e">
        <f t="shared" si="4"/>
        <v>#N/A</v>
      </c>
    </row>
    <row r="33" spans="1:20" x14ac:dyDescent="0.35">
      <c r="A33" t="str">
        <v>912797UM7</v>
      </c>
      <c r="B33" t="str">
        <f>IF(NOT(ISBLANK(A33)),VLOOKUP(A33,'BBT3'!A:F,2,0),"")</f>
        <v>Bill</v>
      </c>
      <c r="C33" t="str">
        <f>IF(NOT(ISBLANK(A33)),VLOOKUP(A33,'BBT3'!A:F,3,0),"")</f>
        <v>US912797UM78</v>
      </c>
      <c r="D33" s="6">
        <f>IF(NOT(ISBLANK(A33)),VLOOKUP(A33,'BBT3'!A:F,4,1),"")</f>
        <v>0</v>
      </c>
      <c r="E33">
        <f>IF(NOT(ISBLANK(A33)),VLOOKUP(A33,'BBT3'!A:F,5,0),"")</f>
        <v>46331</v>
      </c>
      <c r="F33" t="str">
        <f>IF(NOT(ISBLANK(A33)),VLOOKUP(A33,'BBT3'!A:F,6,0),"")</f>
        <v>N</v>
      </c>
      <c r="G33">
        <f>IF(NOT(ISBLANK(A33)),VLOOKUP(A33,QW_Close!A:J,5,0),"")</f>
        <v>3.7405619774981698E-2</v>
      </c>
      <c r="H33" s="5" cm="1">
        <f t="array" ref="H33">IF(NOT(ISBLANK(A33)),((_xlfn.XLOOKUP(1,(_bbt3[[#All],[ID]]=A33)*(_bbt3[[#All],[METRIC_NAME]]="YLD_YTM_ASK"),_bbt3[[#All],[METRIC_VALUE]])*0.5)+(_xlfn.XLOOKUP(1,(_bbt3[[#All],[ID]]=A33)*(_bbt3[[#All],[METRIC_NAME]]="YLD_YTM_BID"),_bbt3[[#All],[METRIC_VALUE]])*0.5))/100,"")</f>
        <v>3.7349485299999999E-2</v>
      </c>
      <c r="I33">
        <f>IF(ISNA(VLOOKUP(A33,QW_CloseDL!A:E,5,0)),0,VLOOKUP(A33,QW_CloseDL!A:E,5,0))</f>
        <v>3.7405619774981698E-2</v>
      </c>
      <c r="J33" s="8">
        <f t="shared" si="0"/>
        <v>0</v>
      </c>
      <c r="P33">
        <v>0</v>
      </c>
      <c r="Q33" t="e">
        <f t="shared" si="1"/>
        <v>#N/A</v>
      </c>
      <c r="R33" t="e">
        <f t="shared" si="2"/>
        <v>#N/A</v>
      </c>
      <c r="S33" s="9" t="e">
        <f t="shared" si="3"/>
        <v>#N/A</v>
      </c>
      <c r="T33" s="3" t="e">
        <f t="shared" si="4"/>
        <v>#N/A</v>
      </c>
    </row>
    <row r="34" spans="1:20" x14ac:dyDescent="0.35">
      <c r="A34" t="str">
        <v>912797UN5</v>
      </c>
      <c r="B34" t="str">
        <f>IF(NOT(ISBLANK(A34)),VLOOKUP(A34,'BBT3'!A:F,2,0),"")</f>
        <v>Bill</v>
      </c>
      <c r="C34" t="str">
        <f>IF(NOT(ISBLANK(A34)),VLOOKUP(A34,'BBT3'!A:F,3,0),"")</f>
        <v>US912797UN51</v>
      </c>
      <c r="D34" s="6">
        <f>IF(NOT(ISBLANK(A34)),VLOOKUP(A34,'BBT3'!A:F,4,1),"")</f>
        <v>0</v>
      </c>
      <c r="E34">
        <f>IF(NOT(ISBLANK(A34)),VLOOKUP(A34,'BBT3'!A:F,5,0),"")</f>
        <v>46210</v>
      </c>
      <c r="F34" t="str">
        <f>IF(NOT(ISBLANK(A34)),VLOOKUP(A34,'BBT3'!A:F,6,0),"")</f>
        <v>N</v>
      </c>
      <c r="G34">
        <f>IF(NOT(ISBLANK(A34)),VLOOKUP(A34,QW_Close!A:J,5,0),"")</f>
        <v>3.6911276148705201E-2</v>
      </c>
      <c r="H34" s="5" cm="1">
        <f t="array" ref="H34">IF(NOT(ISBLANK(A34)),((_xlfn.XLOOKUP(1,(_bbt3[[#All],[ID]]=A34)*(_bbt3[[#All],[METRIC_NAME]]="YLD_YTM_ASK"),_bbt3[[#All],[METRIC_VALUE]])*0.5)+(_xlfn.XLOOKUP(1,(_bbt3[[#All],[ID]]=A34)*(_bbt3[[#All],[METRIC_NAME]]="YLD_YTM_BID"),_bbt3[[#All],[METRIC_VALUE]])*0.5))/100,"")</f>
        <v>3.6633502149999997E-2</v>
      </c>
      <c r="I34">
        <f>IF(ISNA(VLOOKUP(A34,QW_CloseDL!A:E,5,0)),0,VLOOKUP(A34,QW_CloseDL!A:E,5,0))</f>
        <v>3.6911276148705201E-2</v>
      </c>
      <c r="J34" s="8">
        <f t="shared" si="0"/>
        <v>0</v>
      </c>
      <c r="P34">
        <v>0</v>
      </c>
      <c r="Q34" t="e">
        <f t="shared" si="1"/>
        <v>#N/A</v>
      </c>
      <c r="R34" t="e">
        <f t="shared" si="2"/>
        <v>#N/A</v>
      </c>
      <c r="S34" s="9" t="e">
        <f t="shared" si="3"/>
        <v>#N/A</v>
      </c>
      <c r="T34" s="3" t="e">
        <f t="shared" si="4"/>
        <v>#N/A</v>
      </c>
    </row>
    <row r="35" spans="1:20" x14ac:dyDescent="0.35">
      <c r="A35" t="str">
        <v>912797UP0</v>
      </c>
      <c r="B35" t="str">
        <f>IF(NOT(ISBLANK(A35)),VLOOKUP(A35,'BBT3'!A:F,2,0),"")</f>
        <v>Bill</v>
      </c>
      <c r="C35" t="str">
        <f>IF(NOT(ISBLANK(A35)),VLOOKUP(A35,'BBT3'!A:F,3,0),"")</f>
        <v>US912797UP00</v>
      </c>
      <c r="D35" s="6">
        <f>IF(NOT(ISBLANK(A35)),VLOOKUP(A35,'BBT3'!A:F,4,1),"")</f>
        <v>0</v>
      </c>
      <c r="E35">
        <f>IF(NOT(ISBLANK(A35)),VLOOKUP(A35,'BBT3'!A:F,5,0),"")</f>
        <v>46217</v>
      </c>
      <c r="F35" t="str">
        <f>IF(NOT(ISBLANK(A35)),VLOOKUP(A35,'BBT3'!A:F,6,0),"")</f>
        <v>N</v>
      </c>
      <c r="G35">
        <f>IF(NOT(ISBLANK(A35)),VLOOKUP(A35,QW_Close!A:J,5,0),"")</f>
        <v>3.6875638496284897E-2</v>
      </c>
      <c r="H35" s="5" cm="1">
        <f t="array" ref="H35">IF(NOT(ISBLANK(A35)),((_xlfn.XLOOKUP(1,(_bbt3[[#All],[ID]]=A35)*(_bbt3[[#All],[METRIC_NAME]]="YLD_YTM_ASK"),_bbt3[[#All],[METRIC_VALUE]])*0.5)+(_xlfn.XLOOKUP(1,(_bbt3[[#All],[ID]]=A35)*(_bbt3[[#All],[METRIC_NAME]]="YLD_YTM_BID"),_bbt3[[#All],[METRIC_VALUE]])*0.5))/100,"")</f>
        <v>3.661123065E-2</v>
      </c>
      <c r="I35">
        <f>IF(ISNA(VLOOKUP(A35,QW_CloseDL!A:E,5,0)),0,VLOOKUP(A35,QW_CloseDL!A:E,5,0))</f>
        <v>3.6875638496284897E-2</v>
      </c>
      <c r="J35" s="8">
        <f t="shared" si="0"/>
        <v>0</v>
      </c>
      <c r="P35">
        <v>0</v>
      </c>
      <c r="Q35" t="e">
        <f t="shared" si="1"/>
        <v>#N/A</v>
      </c>
      <c r="R35" t="e">
        <f t="shared" si="2"/>
        <v>#N/A</v>
      </c>
      <c r="S35" s="9" t="e">
        <f t="shared" si="3"/>
        <v>#N/A</v>
      </c>
      <c r="T35" s="3" t="e">
        <f t="shared" si="4"/>
        <v>#N/A</v>
      </c>
    </row>
    <row r="36" spans="1:20" x14ac:dyDescent="0.35">
      <c r="A36" t="str">
        <v>912797UQ8</v>
      </c>
      <c r="B36" t="str">
        <f>IF(NOT(ISBLANK(A36)),VLOOKUP(A36,'BBT3'!A:F,2,0),"")</f>
        <v>Bill</v>
      </c>
      <c r="C36" t="str">
        <f>IF(NOT(ISBLANK(A36)),VLOOKUP(A36,'BBT3'!A:F,3,0),"")</f>
        <v>US912797UQ82</v>
      </c>
      <c r="D36" s="6">
        <f>IF(NOT(ISBLANK(A36)),VLOOKUP(A36,'BBT3'!A:F,4,1),"")</f>
        <v>0</v>
      </c>
      <c r="E36">
        <f>IF(NOT(ISBLANK(A36)),VLOOKUP(A36,'BBT3'!A:F,5,0),"")</f>
        <v>46224</v>
      </c>
      <c r="F36" t="str">
        <f>IF(NOT(ISBLANK(A36)),VLOOKUP(A36,'BBT3'!A:F,6,0),"")</f>
        <v>N</v>
      </c>
      <c r="G36">
        <f>IF(NOT(ISBLANK(A36)),VLOOKUP(A36,QW_Close!A:J,5,0),"")</f>
        <v>3.6960798492829697E-2</v>
      </c>
      <c r="H36" s="5" cm="1">
        <f t="array" ref="H36">IF(NOT(ISBLANK(A36)),((_xlfn.XLOOKUP(1,(_bbt3[[#All],[ID]]=A36)*(_bbt3[[#All],[METRIC_NAME]]="YLD_YTM_ASK"),_bbt3[[#All],[METRIC_VALUE]])*0.5)+(_xlfn.XLOOKUP(1,(_bbt3[[#All],[ID]]=A36)*(_bbt3[[#All],[METRIC_NAME]]="YLD_YTM_BID"),_bbt3[[#All],[METRIC_VALUE]])*0.5))/100,"")</f>
        <v>3.6708073050000005E-2</v>
      </c>
      <c r="I36">
        <f>IF(ISNA(VLOOKUP(A36,QW_CloseDL!A:E,5,0)),0,VLOOKUP(A36,QW_CloseDL!A:E,5,0))</f>
        <v>3.6960798492829697E-2</v>
      </c>
      <c r="J36" s="8">
        <f t="shared" si="0"/>
        <v>0</v>
      </c>
      <c r="P36">
        <v>0</v>
      </c>
      <c r="Q36" t="e">
        <f t="shared" si="1"/>
        <v>#N/A</v>
      </c>
      <c r="R36" t="e">
        <f t="shared" si="2"/>
        <v>#N/A</v>
      </c>
      <c r="S36" s="9" t="e">
        <f t="shared" si="3"/>
        <v>#N/A</v>
      </c>
      <c r="T36" s="3" t="e">
        <f t="shared" si="4"/>
        <v>#N/A</v>
      </c>
    </row>
    <row r="37" spans="1:20" x14ac:dyDescent="0.35">
      <c r="A37" t="str">
        <v>912797UR6</v>
      </c>
      <c r="B37" t="str">
        <f>IF(NOT(ISBLANK(A37)),VLOOKUP(A37,'BBT3'!A:F,2,0),"")</f>
        <v>Bill</v>
      </c>
      <c r="C37" t="str">
        <f>IF(NOT(ISBLANK(A37)),VLOOKUP(A37,'BBT3'!A:F,3,0),"")</f>
        <v>US912797UR65</v>
      </c>
      <c r="D37" s="6">
        <f>IF(NOT(ISBLANK(A37)),VLOOKUP(A37,'BBT3'!A:F,4,1),"")</f>
        <v>0</v>
      </c>
      <c r="E37">
        <f>IF(NOT(ISBLANK(A37)),VLOOKUP(A37,'BBT3'!A:F,5,0),"")</f>
        <v>46231</v>
      </c>
      <c r="F37" t="str">
        <f>IF(NOT(ISBLANK(A37)),VLOOKUP(A37,'BBT3'!A:F,6,0),"")</f>
        <v>N</v>
      </c>
      <c r="G37">
        <f>IF(NOT(ISBLANK(A37)),VLOOKUP(A37,QW_Close!A:J,5,0),"")</f>
        <v>3.7014412103310197E-2</v>
      </c>
      <c r="H37" s="5" cm="1">
        <f t="array" ref="H37">IF(NOT(ISBLANK(A37)),((_xlfn.XLOOKUP(1,(_bbt3[[#All],[ID]]=A37)*(_bbt3[[#All],[METRIC_NAME]]="YLD_YTM_ASK"),_bbt3[[#All],[METRIC_VALUE]])*0.5)+(_xlfn.XLOOKUP(1,(_bbt3[[#All],[ID]]=A37)*(_bbt3[[#All],[METRIC_NAME]]="YLD_YTM_BID"),_bbt3[[#All],[METRIC_VALUE]])*0.5))/100,"")</f>
        <v>3.6773898249999999E-2</v>
      </c>
      <c r="I37">
        <f>IF(ISNA(VLOOKUP(A37,QW_CloseDL!A:E,5,0)),0,VLOOKUP(A37,QW_CloseDL!A:E,5,0))</f>
        <v>3.7014412103310197E-2</v>
      </c>
      <c r="J37" s="8">
        <f t="shared" si="0"/>
        <v>0</v>
      </c>
      <c r="P37">
        <v>0</v>
      </c>
      <c r="Q37" t="e">
        <f t="shared" si="1"/>
        <v>#N/A</v>
      </c>
      <c r="R37" t="e">
        <f t="shared" si="2"/>
        <v>#N/A</v>
      </c>
      <c r="S37" s="9" t="e">
        <f t="shared" si="3"/>
        <v>#N/A</v>
      </c>
      <c r="T37" s="3" t="e">
        <f t="shared" si="4"/>
        <v>#N/A</v>
      </c>
    </row>
    <row r="38" spans="1:20" x14ac:dyDescent="0.35">
      <c r="A38" t="str">
        <v>912797US4</v>
      </c>
      <c r="B38" t="str">
        <f>IF(NOT(ISBLANK(A38)),VLOOKUP(A38,'BBT3'!A:F,2,0),"")</f>
        <v>Bill</v>
      </c>
      <c r="C38" t="str">
        <f>IF(NOT(ISBLANK(A38)),VLOOKUP(A38,'BBT3'!A:F,3,0),"")</f>
        <v>US912797US49</v>
      </c>
      <c r="D38" s="6">
        <f>IF(NOT(ISBLANK(A38)),VLOOKUP(A38,'BBT3'!A:F,4,1),"")</f>
        <v>0</v>
      </c>
      <c r="E38">
        <f>IF(NOT(ISBLANK(A38)),VLOOKUP(A38,'BBT3'!A:F,5,0),"")</f>
        <v>46238</v>
      </c>
      <c r="F38" t="str">
        <f>IF(NOT(ISBLANK(A38)),VLOOKUP(A38,'BBT3'!A:F,6,0),"")</f>
        <v>N</v>
      </c>
      <c r="G38">
        <f>IF(NOT(ISBLANK(A38)),VLOOKUP(A38,QW_Close!A:J,5,0),"")</f>
        <v>3.7006800951390903E-2</v>
      </c>
      <c r="H38" s="5" t="e" cm="1">
        <f t="array" ref="H38">IF(NOT(ISBLANK(A38)),((_xlfn.XLOOKUP(1,(_bbt3[[#All],[ID]]=A38)*(_bbt3[[#All],[METRIC_NAME]]="YLD_YTM_ASK"),_bbt3[[#All],[METRIC_VALUE]])*0.5)+(_xlfn.XLOOKUP(1,(_bbt3[[#All],[ID]]=A38)*(_bbt3[[#All],[METRIC_NAME]]="YLD_YTM_BID"),_bbt3[[#All],[METRIC_VALUE]])*0.5))/100,"")</f>
        <v>#N/A</v>
      </c>
      <c r="I38">
        <f>IF(ISNA(VLOOKUP(A38,QW_CloseDL!A:E,5,0)),0,VLOOKUP(A38,QW_CloseDL!A:E,5,0))</f>
        <v>3.7006800951390903E-2</v>
      </c>
      <c r="J38" s="8">
        <f t="shared" si="0"/>
        <v>0</v>
      </c>
      <c r="P38">
        <v>0</v>
      </c>
      <c r="Q38" t="e">
        <f t="shared" si="1"/>
        <v>#N/A</v>
      </c>
      <c r="R38" t="e">
        <f t="shared" si="2"/>
        <v>#N/A</v>
      </c>
      <c r="S38" s="9" t="e">
        <f t="shared" si="3"/>
        <v>#N/A</v>
      </c>
      <c r="T38" s="3" t="e">
        <f t="shared" si="4"/>
        <v>#N/A</v>
      </c>
    </row>
    <row r="39" spans="1:20" x14ac:dyDescent="0.35">
      <c r="A39" t="str">
        <v>912797UT2</v>
      </c>
      <c r="B39" t="str">
        <f>IF(NOT(ISBLANK(A39)),VLOOKUP(A39,'BBT3'!A:F,2,0),"")</f>
        <v>Bill</v>
      </c>
      <c r="C39" t="str">
        <f>IF(NOT(ISBLANK(A39)),VLOOKUP(A39,'BBT3'!A:F,3,0),"")</f>
        <v>US912797UT22</v>
      </c>
      <c r="D39" s="6">
        <f>IF(NOT(ISBLANK(A39)),VLOOKUP(A39,'BBT3'!A:F,4,1),"")</f>
        <v>0</v>
      </c>
      <c r="E39">
        <f>IF(NOT(ISBLANK(A39)),VLOOKUP(A39,'BBT3'!A:F,5,0),"")</f>
        <v>46245</v>
      </c>
      <c r="F39" t="str">
        <f>IF(NOT(ISBLANK(A39)),VLOOKUP(A39,'BBT3'!A:F,6,0),"")</f>
        <v>N</v>
      </c>
      <c r="G39">
        <f>IF(NOT(ISBLANK(A39)),VLOOKUP(A39,QW_Close!A:J,5,0),"")</f>
        <v>3.6944594003691697E-2</v>
      </c>
      <c r="H39" s="5" t="e" cm="1">
        <f t="array" ref="H39">IF(NOT(ISBLANK(A39)),((_xlfn.XLOOKUP(1,(_bbt3[[#All],[ID]]=A39)*(_bbt3[[#All],[METRIC_NAME]]="YLD_YTM_ASK"),_bbt3[[#All],[METRIC_VALUE]])*0.5)+(_xlfn.XLOOKUP(1,(_bbt3[[#All],[ID]]=A39)*(_bbt3[[#All],[METRIC_NAME]]="YLD_YTM_BID"),_bbt3[[#All],[METRIC_VALUE]])*0.5))/100,"")</f>
        <v>#N/A</v>
      </c>
      <c r="I39">
        <f>IF(ISNA(VLOOKUP(A39,QW_CloseDL!A:E,5,0)),0,VLOOKUP(A39,QW_CloseDL!A:E,5,0))</f>
        <v>3.6944594003691697E-2</v>
      </c>
      <c r="J39" s="8">
        <f t="shared" si="0"/>
        <v>0</v>
      </c>
      <c r="P39">
        <v>0</v>
      </c>
      <c r="Q39" t="e">
        <f t="shared" si="1"/>
        <v>#N/A</v>
      </c>
      <c r="R39" t="e">
        <f t="shared" si="2"/>
        <v>#N/A</v>
      </c>
      <c r="S39" s="9" t="e">
        <f t="shared" si="3"/>
        <v>#N/A</v>
      </c>
      <c r="T39" s="3" t="e">
        <f t="shared" si="4"/>
        <v>#N/A</v>
      </c>
    </row>
    <row r="40" spans="1:20" x14ac:dyDescent="0.35">
      <c r="A40" t="str">
        <v>912797UU9</v>
      </c>
      <c r="B40" t="str">
        <f>IF(NOT(ISBLANK(A40)),VLOOKUP(A40,'BBT3'!A:F,2,0),"")</f>
        <v>Bill</v>
      </c>
      <c r="C40" t="str">
        <f>IF(NOT(ISBLANK(A40)),VLOOKUP(A40,'BBT3'!A:F,3,0),"")</f>
        <v>US912797UU94</v>
      </c>
      <c r="D40" s="6">
        <f>IF(NOT(ISBLANK(A40)),VLOOKUP(A40,'BBT3'!A:F,4,1),"")</f>
        <v>0</v>
      </c>
      <c r="E40">
        <f>IF(NOT(ISBLANK(A40)),VLOOKUP(A40,'BBT3'!A:F,5,0),"")</f>
        <v>46252</v>
      </c>
      <c r="F40" t="str">
        <f>IF(NOT(ISBLANK(A40)),VLOOKUP(A40,'BBT3'!A:F,6,0),"")</f>
        <v>N</v>
      </c>
      <c r="G40">
        <f>IF(NOT(ISBLANK(A40)),VLOOKUP(A40,QW_Close!A:J,5,0),"")</f>
        <v>3.70789196122479E-2</v>
      </c>
      <c r="H40" s="5" t="e" cm="1">
        <f t="array" ref="H40">IF(NOT(ISBLANK(A40)),((_xlfn.XLOOKUP(1,(_bbt3[[#All],[ID]]=A40)*(_bbt3[[#All],[METRIC_NAME]]="YLD_YTM_ASK"),_bbt3[[#All],[METRIC_VALUE]])*0.5)+(_xlfn.XLOOKUP(1,(_bbt3[[#All],[ID]]=A40)*(_bbt3[[#All],[METRIC_NAME]]="YLD_YTM_BID"),_bbt3[[#All],[METRIC_VALUE]])*0.5))/100,"")</f>
        <v>#N/A</v>
      </c>
      <c r="I40">
        <f>IF(ISNA(VLOOKUP(A40,QW_CloseDL!A:E,5,0)),0,VLOOKUP(A40,QW_CloseDL!A:E,5,0))</f>
        <v>3.70789196122479E-2</v>
      </c>
      <c r="J40" s="8">
        <f t="shared" si="0"/>
        <v>0</v>
      </c>
      <c r="P40">
        <v>0</v>
      </c>
      <c r="Q40" t="e">
        <f t="shared" si="1"/>
        <v>#N/A</v>
      </c>
      <c r="R40" t="e">
        <f t="shared" si="2"/>
        <v>#N/A</v>
      </c>
      <c r="S40" s="9" t="e">
        <f t="shared" si="3"/>
        <v>#N/A</v>
      </c>
      <c r="T40" s="3" t="e">
        <f t="shared" si="4"/>
        <v>#N/A</v>
      </c>
    </row>
    <row r="41" spans="1:20" x14ac:dyDescent="0.35">
      <c r="A41" t="str">
        <v>912797UV7</v>
      </c>
      <c r="B41" t="str">
        <f>IF(NOT(ISBLANK(A41)),VLOOKUP(A41,'BBT3'!A:F,2,0),"")</f>
        <v>Bill</v>
      </c>
      <c r="C41" t="str">
        <f>IF(NOT(ISBLANK(A41)),VLOOKUP(A41,'BBT3'!A:F,3,0),"")</f>
        <v>US912797UV77</v>
      </c>
      <c r="D41" s="6">
        <f>IF(NOT(ISBLANK(A41)),VLOOKUP(A41,'BBT3'!A:F,4,1),"")</f>
        <v>0</v>
      </c>
      <c r="E41">
        <f>IF(NOT(ISBLANK(A41)),VLOOKUP(A41,'BBT3'!A:F,5,0),"")</f>
        <v>46259</v>
      </c>
      <c r="F41" t="str">
        <f>IF(NOT(ISBLANK(A41)),VLOOKUP(A41,'BBT3'!A:F,6,0),"")</f>
        <v>N</v>
      </c>
      <c r="G41">
        <f>IF(NOT(ISBLANK(A41)),VLOOKUP(A41,QW_Close!A:J,5,0),"")</f>
        <v>3.7166585927711299E-2</v>
      </c>
      <c r="H41" s="5" t="e" cm="1">
        <f t="array" ref="H41">IF(NOT(ISBLANK(A41)),((_xlfn.XLOOKUP(1,(_bbt3[[#All],[ID]]=A41)*(_bbt3[[#All],[METRIC_NAME]]="YLD_YTM_ASK"),_bbt3[[#All],[METRIC_VALUE]])*0.5)+(_xlfn.XLOOKUP(1,(_bbt3[[#All],[ID]]=A41)*(_bbt3[[#All],[METRIC_NAME]]="YLD_YTM_BID"),_bbt3[[#All],[METRIC_VALUE]])*0.5))/100,"")</f>
        <v>#N/A</v>
      </c>
      <c r="I41">
        <f>IF(ISNA(VLOOKUP(A41,QW_CloseDL!A:E,5,0)),0,VLOOKUP(A41,QW_CloseDL!A:E,5,0))</f>
        <v>3.7166585927711299E-2</v>
      </c>
      <c r="J41" s="8">
        <f t="shared" si="0"/>
        <v>0</v>
      </c>
      <c r="P41">
        <v>0</v>
      </c>
      <c r="Q41" t="e">
        <f t="shared" si="1"/>
        <v>#N/A</v>
      </c>
      <c r="R41" t="e">
        <f t="shared" si="2"/>
        <v>#N/A</v>
      </c>
      <c r="S41" s="9" t="e">
        <f t="shared" si="3"/>
        <v>#N/A</v>
      </c>
      <c r="T41" s="3" t="e">
        <f t="shared" si="4"/>
        <v>#N/A</v>
      </c>
    </row>
    <row r="42" spans="1:20" x14ac:dyDescent="0.35">
      <c r="A42" t="str">
        <v>912797UX3</v>
      </c>
      <c r="B42" t="str">
        <f>IF(NOT(ISBLANK(A42)),VLOOKUP(A42,'BBT3'!A:F,2,0),"")</f>
        <v>Bill</v>
      </c>
      <c r="C42" t="str">
        <f>IF(NOT(ISBLANK(A42)),VLOOKUP(A42,'BBT3'!A:F,3,0),"")</f>
        <v>US912797UX34</v>
      </c>
      <c r="D42" s="6">
        <f>IF(NOT(ISBLANK(A42)),VLOOKUP(A42,'BBT3'!A:F,4,1),"")</f>
        <v>0</v>
      </c>
      <c r="E42">
        <f>IF(NOT(ISBLANK(A42)),VLOOKUP(A42,'BBT3'!A:F,5,0),"")</f>
        <v>46520</v>
      </c>
      <c r="F42" t="str">
        <f>IF(NOT(ISBLANK(A42)),VLOOKUP(A42,'BBT3'!A:F,6,0),"")</f>
        <v>N</v>
      </c>
      <c r="G42">
        <f>IF(NOT(ISBLANK(A42)),VLOOKUP(A42,QW_Close!A:J,5,0),"")</f>
        <v>3.7986409744348297E-2</v>
      </c>
      <c r="H42" s="5" cm="1">
        <f t="array" ref="H42">IF(NOT(ISBLANK(A42)),((_xlfn.XLOOKUP(1,(_bbt3[[#All],[ID]]=A42)*(_bbt3[[#All],[METRIC_NAME]]="YLD_YTM_ASK"),_bbt3[[#All],[METRIC_VALUE]])*0.5)+(_xlfn.XLOOKUP(1,(_bbt3[[#All],[ID]]=A42)*(_bbt3[[#All],[METRIC_NAME]]="YLD_YTM_BID"),_bbt3[[#All],[METRIC_VALUE]])*0.5))/100,"")</f>
        <v>3.7965331650000003E-2</v>
      </c>
      <c r="I42">
        <f>IF(ISNA(VLOOKUP(A42,QW_CloseDL!A:E,5,0)),0,VLOOKUP(A42,QW_CloseDL!A:E,5,0))</f>
        <v>3.7986409744348297E-2</v>
      </c>
      <c r="J42" s="8">
        <f t="shared" si="0"/>
        <v>0</v>
      </c>
      <c r="P42">
        <v>0</v>
      </c>
      <c r="Q42" t="e">
        <f t="shared" si="1"/>
        <v>#N/A</v>
      </c>
      <c r="R42" t="e">
        <f t="shared" si="2"/>
        <v>#N/A</v>
      </c>
      <c r="S42" s="9" t="e">
        <f t="shared" si="3"/>
        <v>#N/A</v>
      </c>
      <c r="T42" s="3" t="e">
        <f t="shared" si="4"/>
        <v>#N/A</v>
      </c>
    </row>
    <row r="43" spans="1:20" x14ac:dyDescent="0.35">
      <c r="A43" t="str">
        <v>912797UY1</v>
      </c>
      <c r="B43" t="str">
        <f>IF(NOT(ISBLANK(A43)),VLOOKUP(A43,'BBT3'!A:F,2,0),"")</f>
        <v>Bill</v>
      </c>
      <c r="C43" t="str">
        <f>IF(NOT(ISBLANK(A43)),VLOOKUP(A43,'BBT3'!A:F,3,0),"")</f>
        <v>US912797UY17</v>
      </c>
      <c r="D43" s="6">
        <f>IF(NOT(ISBLANK(A43)),VLOOKUP(A43,'BBT3'!A:F,4,1),"")</f>
        <v>0</v>
      </c>
      <c r="E43">
        <f>IF(NOT(ISBLANK(A43)),VLOOKUP(A43,'BBT3'!A:F,5,0),"")</f>
        <v>46338</v>
      </c>
      <c r="F43" t="str">
        <f>IF(NOT(ISBLANK(A43)),VLOOKUP(A43,'BBT3'!A:F,6,0),"")</f>
        <v>N</v>
      </c>
      <c r="G43">
        <f>IF(NOT(ISBLANK(A43)),VLOOKUP(A43,QW_Close!A:J,5,0),"")</f>
        <v>3.7456905178938599E-2</v>
      </c>
      <c r="H43" s="5" cm="1">
        <f t="array" ref="H43">IF(NOT(ISBLANK(A43)),((_xlfn.XLOOKUP(1,(_bbt3[[#All],[ID]]=A43)*(_bbt3[[#All],[METRIC_NAME]]="YLD_YTM_ASK"),_bbt3[[#All],[METRIC_VALUE]])*0.5)+(_xlfn.XLOOKUP(1,(_bbt3[[#All],[ID]]=A43)*(_bbt3[[#All],[METRIC_NAME]]="YLD_YTM_BID"),_bbt3[[#All],[METRIC_VALUE]])*0.5))/100,"")</f>
        <v>3.7413962850000003E-2</v>
      </c>
      <c r="I43">
        <f>IF(ISNA(VLOOKUP(A43,QW_CloseDL!A:E,5,0)),0,VLOOKUP(A43,QW_CloseDL!A:E,5,0))</f>
        <v>3.7456905178938599E-2</v>
      </c>
      <c r="J43" s="8">
        <f t="shared" si="0"/>
        <v>0</v>
      </c>
      <c r="P43">
        <v>0</v>
      </c>
      <c r="Q43" t="e">
        <f t="shared" si="1"/>
        <v>#N/A</v>
      </c>
      <c r="R43" t="e">
        <f t="shared" si="2"/>
        <v>#N/A</v>
      </c>
      <c r="S43" s="9" t="e">
        <f t="shared" si="3"/>
        <v>#N/A</v>
      </c>
      <c r="T43" s="3" t="e">
        <f t="shared" si="4"/>
        <v>#N/A</v>
      </c>
    </row>
    <row r="44" spans="1:20" x14ac:dyDescent="0.35">
      <c r="A44" t="str">
        <v>912797UZ8</v>
      </c>
      <c r="B44" t="str">
        <f>IF(NOT(ISBLANK(A44)),VLOOKUP(A44,'BBT3'!A:F,2,0),"")</f>
        <v>Bill</v>
      </c>
      <c r="C44" t="str">
        <f>IF(NOT(ISBLANK(A44)),VLOOKUP(A44,'BBT3'!A:F,3,0),"")</f>
        <v>US912797UZ81</v>
      </c>
      <c r="D44" s="6">
        <f>IF(NOT(ISBLANK(A44)),VLOOKUP(A44,'BBT3'!A:F,4,1),"")</f>
        <v>0</v>
      </c>
      <c r="E44">
        <f>IF(NOT(ISBLANK(A44)),VLOOKUP(A44,'BBT3'!A:F,5,0),"")</f>
        <v>46345</v>
      </c>
      <c r="F44" t="str">
        <f>IF(NOT(ISBLANK(A44)),VLOOKUP(A44,'BBT3'!A:F,6,0),"")</f>
        <v>N</v>
      </c>
      <c r="G44">
        <f>IF(NOT(ISBLANK(A44)),VLOOKUP(A44,QW_Close!A:J,5,0),"")</f>
        <v>3.7527170895407899E-2</v>
      </c>
      <c r="H44" s="5" cm="1">
        <f t="array" ref="H44">IF(NOT(ISBLANK(A44)),((_xlfn.XLOOKUP(1,(_bbt3[[#All],[ID]]=A44)*(_bbt3[[#All],[METRIC_NAME]]="YLD_YTM_ASK"),_bbt3[[#All],[METRIC_VALUE]])*0.5)+(_xlfn.XLOOKUP(1,(_bbt3[[#All],[ID]]=A44)*(_bbt3[[#All],[METRIC_NAME]]="YLD_YTM_BID"),_bbt3[[#All],[METRIC_VALUE]])*0.5))/100,"")</f>
        <v>3.7497470599999999E-2</v>
      </c>
      <c r="I44">
        <f>IF(ISNA(VLOOKUP(A44,QW_CloseDL!A:E,5,0)),0,VLOOKUP(A44,QW_CloseDL!A:E,5,0))</f>
        <v>3.7527170895407899E-2</v>
      </c>
      <c r="J44" s="8">
        <f t="shared" si="0"/>
        <v>0</v>
      </c>
      <c r="P44">
        <v>0</v>
      </c>
      <c r="Q44" t="e">
        <f t="shared" si="1"/>
        <v>#N/A</v>
      </c>
      <c r="R44" t="e">
        <f t="shared" si="2"/>
        <v>#N/A</v>
      </c>
      <c r="S44" s="9" t="e">
        <f t="shared" si="3"/>
        <v>#N/A</v>
      </c>
      <c r="T44" s="3" t="e">
        <f t="shared" si="4"/>
        <v>#N/A</v>
      </c>
    </row>
    <row r="45" spans="1:20" x14ac:dyDescent="0.35">
      <c r="A45" t="str">
        <v>912797VA2</v>
      </c>
      <c r="B45" t="str">
        <f>IF(NOT(ISBLANK(A45)),VLOOKUP(A45,'BBT3'!A:F,2,0),"")</f>
        <v>Bill</v>
      </c>
      <c r="C45" t="str">
        <f>IF(NOT(ISBLANK(A45)),VLOOKUP(A45,'BBT3'!A:F,3,0),"")</f>
        <v>US912797VA22</v>
      </c>
      <c r="D45" s="6">
        <f>IF(NOT(ISBLANK(A45)),VLOOKUP(A45,'BBT3'!A:F,4,1),"")</f>
        <v>0</v>
      </c>
      <c r="E45">
        <f>IF(NOT(ISBLANK(A45)),VLOOKUP(A45,'BBT3'!A:F,5,0),"")</f>
        <v>46359</v>
      </c>
      <c r="F45" t="str">
        <f>IF(NOT(ISBLANK(A45)),VLOOKUP(A45,'BBT3'!A:F,6,0),"")</f>
        <v>N</v>
      </c>
      <c r="G45">
        <f>IF(NOT(ISBLANK(A45)),VLOOKUP(A45,QW_Close!A:J,5,0),"")</f>
        <v>3.7598024032017702E-2</v>
      </c>
      <c r="H45" s="5" cm="1">
        <f t="array" ref="H45">IF(NOT(ISBLANK(A45)),((_xlfn.XLOOKUP(1,(_bbt3[[#All],[ID]]=A45)*(_bbt3[[#All],[METRIC_NAME]]="YLD_YTM_ASK"),_bbt3[[#All],[METRIC_VALUE]])*0.5)+(_xlfn.XLOOKUP(1,(_bbt3[[#All],[ID]]=A45)*(_bbt3[[#All],[METRIC_NAME]]="YLD_YTM_BID"),_bbt3[[#All],[METRIC_VALUE]])*0.5))/100,"")</f>
        <v>3.7595138149999999E-2</v>
      </c>
      <c r="I45">
        <f>IF(ISNA(VLOOKUP(A45,QW_CloseDL!A:E,5,0)),0,VLOOKUP(A45,QW_CloseDL!A:E,5,0))</f>
        <v>3.7598024032017702E-2</v>
      </c>
      <c r="J45" s="8">
        <f t="shared" si="0"/>
        <v>0</v>
      </c>
      <c r="P45">
        <v>0</v>
      </c>
      <c r="Q45" t="e">
        <f t="shared" si="1"/>
        <v>#N/A</v>
      </c>
      <c r="R45" t="e">
        <f t="shared" si="2"/>
        <v>#N/A</v>
      </c>
      <c r="S45" s="9" t="e">
        <f t="shared" si="3"/>
        <v>#N/A</v>
      </c>
      <c r="T45" s="3" t="e">
        <f t="shared" si="4"/>
        <v>#N/A</v>
      </c>
    </row>
    <row r="46" spans="1:20" x14ac:dyDescent="0.35">
      <c r="A46" t="str">
        <v>912797VB0</v>
      </c>
      <c r="B46" t="str">
        <f>IF(NOT(ISBLANK(A46)),VLOOKUP(A46,'BBT3'!A:F,2,0),"")</f>
        <v>Bill</v>
      </c>
      <c r="C46" t="str">
        <f>IF(NOT(ISBLANK(A46)),VLOOKUP(A46,'BBT3'!A:F,3,0),"")</f>
        <v>US912797VB05</v>
      </c>
      <c r="D46" s="6">
        <f>IF(NOT(ISBLANK(A46)),VLOOKUP(A46,'BBT3'!A:F,4,1),"")</f>
        <v>0</v>
      </c>
      <c r="E46">
        <f>IF(NOT(ISBLANK(A46)),VLOOKUP(A46,'BBT3'!A:F,5,0),"")</f>
        <v>46273</v>
      </c>
      <c r="F46" t="str">
        <f>IF(NOT(ISBLANK(A46)),VLOOKUP(A46,'BBT3'!A:F,6,0),"")</f>
        <v>N</v>
      </c>
      <c r="G46">
        <f>IF(NOT(ISBLANK(A46)),VLOOKUP(A46,QW_Close!A:J,5,0),"")</f>
        <v>3.7159287307880998E-2</v>
      </c>
      <c r="H46" s="5" t="e" cm="1">
        <f t="array" ref="H46">IF(NOT(ISBLANK(A46)),((_xlfn.XLOOKUP(1,(_bbt3[[#All],[ID]]=A46)*(_bbt3[[#All],[METRIC_NAME]]="YLD_YTM_ASK"),_bbt3[[#All],[METRIC_VALUE]])*0.5)+(_xlfn.XLOOKUP(1,(_bbt3[[#All],[ID]]=A46)*(_bbt3[[#All],[METRIC_NAME]]="YLD_YTM_BID"),_bbt3[[#All],[METRIC_VALUE]])*0.5))/100,"")</f>
        <v>#N/A</v>
      </c>
      <c r="I46">
        <f>IF(ISNA(VLOOKUP(A46,QW_CloseDL!A:E,5,0)),0,VLOOKUP(A46,QW_CloseDL!A:E,5,0))</f>
        <v>3.7159287307880998E-2</v>
      </c>
      <c r="J46" s="8">
        <f t="shared" si="0"/>
        <v>0</v>
      </c>
      <c r="P46">
        <v>0</v>
      </c>
      <c r="Q46" t="e">
        <f t="shared" si="1"/>
        <v>#N/A</v>
      </c>
      <c r="R46" t="e">
        <f t="shared" si="2"/>
        <v>#N/A</v>
      </c>
      <c r="S46" s="9" t="e">
        <f t="shared" si="3"/>
        <v>#N/A</v>
      </c>
      <c r="T46" s="3" t="e">
        <f t="shared" si="4"/>
        <v>#N/A</v>
      </c>
    </row>
    <row r="47" spans="1:20" x14ac:dyDescent="0.35">
      <c r="A47" t="str">
        <v>912797VC8</v>
      </c>
      <c r="B47" t="str">
        <f>IF(NOT(ISBLANK(A47)),VLOOKUP(A47,'BBT3'!A:F,2,0),"")</f>
        <v>Bill</v>
      </c>
      <c r="C47" t="str">
        <f>IF(NOT(ISBLANK(A47)),VLOOKUP(A47,'BBT3'!A:F,3,0),"")</f>
        <v>US912797VC87</v>
      </c>
      <c r="D47" s="6">
        <f>IF(NOT(ISBLANK(A47)),VLOOKUP(A47,'BBT3'!A:F,4,1),"")</f>
        <v>0</v>
      </c>
      <c r="E47">
        <f>IF(NOT(ISBLANK(A47)),VLOOKUP(A47,'BBT3'!A:F,5,0),"")</f>
        <v>46280</v>
      </c>
      <c r="F47" t="str">
        <f>IF(NOT(ISBLANK(A47)),VLOOKUP(A47,'BBT3'!A:F,6,0),"")</f>
        <v>N</v>
      </c>
      <c r="G47">
        <f>IF(NOT(ISBLANK(A47)),VLOOKUP(A47,QW_Close!A:J,5,0),"")</f>
        <v>3.7244052390452698E-2</v>
      </c>
      <c r="H47" s="5" t="e" cm="1">
        <f t="array" ref="H47">IF(NOT(ISBLANK(A47)),((_xlfn.XLOOKUP(1,(_bbt3[[#All],[ID]]=A47)*(_bbt3[[#All],[METRIC_NAME]]="YLD_YTM_ASK"),_bbt3[[#All],[METRIC_VALUE]])*0.5)+(_xlfn.XLOOKUP(1,(_bbt3[[#All],[ID]]=A47)*(_bbt3[[#All],[METRIC_NAME]]="YLD_YTM_BID"),_bbt3[[#All],[METRIC_VALUE]])*0.5))/100,"")</f>
        <v>#N/A</v>
      </c>
      <c r="I47">
        <f>IF(ISNA(VLOOKUP(A47,QW_CloseDL!A:E,5,0)),0,VLOOKUP(A47,QW_CloseDL!A:E,5,0))</f>
        <v>3.7244052390452698E-2</v>
      </c>
      <c r="J47" s="8">
        <f t="shared" si="0"/>
        <v>0</v>
      </c>
      <c r="P47">
        <v>0</v>
      </c>
      <c r="Q47" t="e">
        <f t="shared" si="1"/>
        <v>#N/A</v>
      </c>
      <c r="R47" t="e">
        <f t="shared" si="2"/>
        <v>#N/A</v>
      </c>
      <c r="S47" s="9" t="e">
        <f t="shared" si="3"/>
        <v>#N/A</v>
      </c>
      <c r="T47" s="3" t="e">
        <f t="shared" si="4"/>
        <v>#N/A</v>
      </c>
    </row>
    <row r="48" spans="1:20" x14ac:dyDescent="0.35">
      <c r="A48" t="str">
        <v>912797VD6</v>
      </c>
      <c r="B48" t="str">
        <f>IF(NOT(ISBLANK(A48)),VLOOKUP(A48,'BBT3'!A:F,2,0),"")</f>
        <v>Bill</v>
      </c>
      <c r="C48" t="str">
        <f>IF(NOT(ISBLANK(A48)),VLOOKUP(A48,'BBT3'!A:F,3,0),"")</f>
        <v>US912797VD60</v>
      </c>
      <c r="D48" s="6">
        <f>IF(NOT(ISBLANK(A48)),VLOOKUP(A48,'BBT3'!A:F,4,1),"")</f>
        <v>0</v>
      </c>
      <c r="E48">
        <f>IF(NOT(ISBLANK(A48)),VLOOKUP(A48,'BBT3'!A:F,5,0),"")</f>
        <v>46287</v>
      </c>
      <c r="F48" t="str">
        <f>IF(NOT(ISBLANK(A48)),VLOOKUP(A48,'BBT3'!A:F,6,0),"")</f>
        <v>N</v>
      </c>
      <c r="G48">
        <f>IF(NOT(ISBLANK(A48)),VLOOKUP(A48,QW_Close!A:J,5,0),"")</f>
        <v>3.7245918950600497E-2</v>
      </c>
      <c r="H48" s="5" t="e" cm="1">
        <f t="array" ref="H48">IF(NOT(ISBLANK(A48)),((_xlfn.XLOOKUP(1,(_bbt3[[#All],[ID]]=A48)*(_bbt3[[#All],[METRIC_NAME]]="YLD_YTM_ASK"),_bbt3[[#All],[METRIC_VALUE]])*0.5)+(_xlfn.XLOOKUP(1,(_bbt3[[#All],[ID]]=A48)*(_bbt3[[#All],[METRIC_NAME]]="YLD_YTM_BID"),_bbt3[[#All],[METRIC_VALUE]])*0.5))/100,"")</f>
        <v>#N/A</v>
      </c>
      <c r="I48">
        <f>IF(ISNA(VLOOKUP(A48,QW_CloseDL!A:E,5,0)),0,VLOOKUP(A48,QW_CloseDL!A:E,5,0))</f>
        <v>3.7245918950600497E-2</v>
      </c>
      <c r="J48" s="8">
        <f t="shared" si="0"/>
        <v>0</v>
      </c>
      <c r="P48">
        <v>0</v>
      </c>
      <c r="Q48" t="e">
        <f t="shared" si="1"/>
        <v>#N/A</v>
      </c>
      <c r="R48" t="e">
        <f t="shared" si="2"/>
        <v>#N/A</v>
      </c>
      <c r="S48" s="9" t="e">
        <f t="shared" si="3"/>
        <v>#N/A</v>
      </c>
      <c r="T48" s="3" t="e">
        <f t="shared" si="4"/>
        <v>#N/A</v>
      </c>
    </row>
    <row r="49" spans="1:20" x14ac:dyDescent="0.35">
      <c r="A49" t="str">
        <v>912797VE4</v>
      </c>
      <c r="B49" t="str">
        <f>IF(NOT(ISBLANK(A49)),VLOOKUP(A49,'BBT3'!A:F,2,0),"")</f>
        <v>Bill</v>
      </c>
      <c r="C49" t="str">
        <f>IF(NOT(ISBLANK(A49)),VLOOKUP(A49,'BBT3'!A:F,3,0),"")</f>
        <v>US912797VE44</v>
      </c>
      <c r="D49" s="6">
        <f>IF(NOT(ISBLANK(A49)),VLOOKUP(A49,'BBT3'!A:F,4,1),"")</f>
        <v>0</v>
      </c>
      <c r="E49">
        <f>IF(NOT(ISBLANK(A49)),VLOOKUP(A49,'BBT3'!A:F,5,0),"")</f>
        <v>46294</v>
      </c>
      <c r="F49" t="str">
        <f>IF(NOT(ISBLANK(A49)),VLOOKUP(A49,'BBT3'!A:F,6,0),"")</f>
        <v>N</v>
      </c>
      <c r="G49">
        <f>IF(NOT(ISBLANK(A49)),VLOOKUP(A49,QW_Close!A:J,5,0),"")</f>
        <v>3.7280175913450501E-2</v>
      </c>
      <c r="H49" s="5" t="e" cm="1">
        <f t="array" ref="H49">IF(NOT(ISBLANK(A49)),((_xlfn.XLOOKUP(1,(_bbt3[[#All],[ID]]=A49)*(_bbt3[[#All],[METRIC_NAME]]="YLD_YTM_ASK"),_bbt3[[#All],[METRIC_VALUE]])*0.5)+(_xlfn.XLOOKUP(1,(_bbt3[[#All],[ID]]=A49)*(_bbt3[[#All],[METRIC_NAME]]="YLD_YTM_BID"),_bbt3[[#All],[METRIC_VALUE]])*0.5))/100,"")</f>
        <v>#N/A</v>
      </c>
      <c r="I49">
        <f>IF(ISNA(VLOOKUP(A49,QW_CloseDL!A:E,5,0)),0,VLOOKUP(A49,QW_CloseDL!A:E,5,0))</f>
        <v>3.7280175913450501E-2</v>
      </c>
      <c r="J49" s="8">
        <f t="shared" si="0"/>
        <v>0</v>
      </c>
      <c r="P49">
        <v>0</v>
      </c>
      <c r="Q49" t="e">
        <f t="shared" si="1"/>
        <v>#N/A</v>
      </c>
      <c r="R49" t="e">
        <f t="shared" si="2"/>
        <v>#N/A</v>
      </c>
      <c r="S49" s="9" t="e">
        <f t="shared" si="3"/>
        <v>#N/A</v>
      </c>
      <c r="T49" s="3" t="e">
        <f t="shared" si="4"/>
        <v>#N/A</v>
      </c>
    </row>
    <row r="50" spans="1:20" x14ac:dyDescent="0.35">
      <c r="A50" t="str">
        <v>912803BH5</v>
      </c>
      <c r="B50" t="str">
        <f>IF(NOT(ISBLANK(A50)),VLOOKUP(A50,'BBT3'!A:F,2,0),"")</f>
        <v>Bond</v>
      </c>
      <c r="C50" t="str">
        <f>IF(NOT(ISBLANK(A50)),VLOOKUP(A50,'BBT3'!A:F,3,0),"")</f>
        <v>US912803BH54</v>
      </c>
      <c r="D50" s="6">
        <f>IF(NOT(ISBLANK(A50)),VLOOKUP(A50,'BBT3'!A:F,4,1),"")</f>
        <v>0</v>
      </c>
      <c r="E50">
        <f>IF(NOT(ISBLANK(A50)),VLOOKUP(A50,'BBT3'!A:F,5,0),"")</f>
        <v>46249</v>
      </c>
      <c r="F50" t="str">
        <f>IF(NOT(ISBLANK(A50)),VLOOKUP(A50,'BBT3'!A:F,6,0),"")</f>
        <v>N</v>
      </c>
      <c r="G50">
        <f>IF(NOT(ISBLANK(A50)),VLOOKUP(A50,QW_Close!A:J,5,0),"")</f>
        <v>3.5915879464175501E-2</v>
      </c>
      <c r="H50" s="5" t="e" cm="1">
        <f t="array" ref="H50">IF(NOT(ISBLANK(A50)),((_xlfn.XLOOKUP(1,(_bbt3[[#All],[ID]]=A50)*(_bbt3[[#All],[METRIC_NAME]]="YLD_YTM_ASK"),_bbt3[[#All],[METRIC_VALUE]])*0.5)+(_xlfn.XLOOKUP(1,(_bbt3[[#All],[ID]]=A50)*(_bbt3[[#All],[METRIC_NAME]]="YLD_YTM_BID"),_bbt3[[#All],[METRIC_VALUE]])*0.5))/100,"")</f>
        <v>#N/A</v>
      </c>
      <c r="I50">
        <f>IF(ISNA(VLOOKUP(A50,QW_CloseDL!A:E,5,0)),0,VLOOKUP(A50,QW_CloseDL!A:E,5,0))</f>
        <v>3.5899971927794497E-2</v>
      </c>
      <c r="J50" s="8">
        <f t="shared" si="0"/>
        <v>0.15907536381004617</v>
      </c>
      <c r="P50">
        <v>0</v>
      </c>
      <c r="Q50" t="e">
        <f t="shared" si="1"/>
        <v>#N/A</v>
      </c>
      <c r="R50" t="e">
        <f t="shared" si="2"/>
        <v>#N/A</v>
      </c>
      <c r="S50" s="9" t="e">
        <f t="shared" si="3"/>
        <v>#N/A</v>
      </c>
      <c r="T50" s="3" t="e">
        <f t="shared" si="4"/>
        <v>#N/A</v>
      </c>
    </row>
    <row r="51" spans="1:20" x14ac:dyDescent="0.35">
      <c r="A51" t="str">
        <v>912803BJ1</v>
      </c>
      <c r="B51" t="str">
        <f>IF(NOT(ISBLANK(A51)),VLOOKUP(A51,'BBT3'!A:F,2,0),"")</f>
        <v>Bond</v>
      </c>
      <c r="C51" t="str">
        <f>IF(NOT(ISBLANK(A51)),VLOOKUP(A51,'BBT3'!A:F,3,0),"")</f>
        <v>US912803BJ11</v>
      </c>
      <c r="D51" s="6">
        <f>IF(NOT(ISBLANK(A51)),VLOOKUP(A51,'BBT3'!A:F,4,1),"")</f>
        <v>0</v>
      </c>
      <c r="E51">
        <f>IF(NOT(ISBLANK(A51)),VLOOKUP(A51,'BBT3'!A:F,5,0),"")</f>
        <v>46341</v>
      </c>
      <c r="F51" t="str">
        <f>IF(NOT(ISBLANK(A51)),VLOOKUP(A51,'BBT3'!A:F,6,0),"")</f>
        <v>N</v>
      </c>
      <c r="G51">
        <f>IF(NOT(ISBLANK(A51)),VLOOKUP(A51,QW_Close!A:J,5,0),"")</f>
        <v>3.6453603589244599E-2</v>
      </c>
      <c r="H51" s="5" t="e" cm="1">
        <f t="array" ref="H51">IF(NOT(ISBLANK(A51)),((_xlfn.XLOOKUP(1,(_bbt3[[#All],[ID]]=A51)*(_bbt3[[#All],[METRIC_NAME]]="YLD_YTM_ASK"),_bbt3[[#All],[METRIC_VALUE]])*0.5)+(_xlfn.XLOOKUP(1,(_bbt3[[#All],[ID]]=A51)*(_bbt3[[#All],[METRIC_NAME]]="YLD_YTM_BID"),_bbt3[[#All],[METRIC_VALUE]])*0.5))/100,"")</f>
        <v>#N/A</v>
      </c>
      <c r="I51">
        <f>IF(ISNA(VLOOKUP(A51,QW_CloseDL!A:E,5,0)),0,VLOOKUP(A51,QW_CloseDL!A:E,5,0))</f>
        <v>3.6454835144121699E-2</v>
      </c>
      <c r="J51" s="8">
        <f t="shared" si="0"/>
        <v>1.2315548770999718E-2</v>
      </c>
      <c r="P51">
        <v>0</v>
      </c>
      <c r="Q51" t="e">
        <f t="shared" si="1"/>
        <v>#N/A</v>
      </c>
      <c r="R51" t="e">
        <f t="shared" si="2"/>
        <v>#N/A</v>
      </c>
      <c r="S51" s="9" t="e">
        <f t="shared" si="3"/>
        <v>#N/A</v>
      </c>
      <c r="T51" s="3" t="e">
        <f t="shared" si="4"/>
        <v>#N/A</v>
      </c>
    </row>
    <row r="52" spans="1:20" x14ac:dyDescent="0.35">
      <c r="A52" t="str">
        <v>912803BK8</v>
      </c>
      <c r="B52" t="str">
        <f>IF(NOT(ISBLANK(A52)),VLOOKUP(A52,'BBT3'!A:F,2,0),"")</f>
        <v>Bond</v>
      </c>
      <c r="C52" t="str">
        <f>IF(NOT(ISBLANK(A52)),VLOOKUP(A52,'BBT3'!A:F,3,0),"")</f>
        <v>US912803BK83</v>
      </c>
      <c r="D52" s="6">
        <f>IF(NOT(ISBLANK(A52)),VLOOKUP(A52,'BBT3'!A:F,4,1),"")</f>
        <v>0</v>
      </c>
      <c r="E52">
        <f>IF(NOT(ISBLANK(A52)),VLOOKUP(A52,'BBT3'!A:F,5,0),"")</f>
        <v>46433</v>
      </c>
      <c r="F52" t="str">
        <f>IF(NOT(ISBLANK(A52)),VLOOKUP(A52,'BBT3'!A:F,6,0),"")</f>
        <v>N</v>
      </c>
      <c r="G52">
        <f>IF(NOT(ISBLANK(A52)),VLOOKUP(A52,QW_Close!A:J,5,0),"")</f>
        <v>3.6469755957459701E-2</v>
      </c>
      <c r="H52" s="5" t="e" cm="1">
        <f t="array" ref="H52">IF(NOT(ISBLANK(A52)),((_xlfn.XLOOKUP(1,(_bbt3[[#All],[ID]]=A52)*(_bbt3[[#All],[METRIC_NAME]]="YLD_YTM_ASK"),_bbt3[[#All],[METRIC_VALUE]])*0.5)+(_xlfn.XLOOKUP(1,(_bbt3[[#All],[ID]]=A52)*(_bbt3[[#All],[METRIC_NAME]]="YLD_YTM_BID"),_bbt3[[#All],[METRIC_VALUE]])*0.5))/100,"")</f>
        <v>#N/A</v>
      </c>
      <c r="I52">
        <f>IF(ISNA(VLOOKUP(A52,QW_CloseDL!A:E,5,0)),0,VLOOKUP(A52,QW_CloseDL!A:E,5,0))</f>
        <v>3.6467695616587102E-2</v>
      </c>
      <c r="J52" s="8">
        <f t="shared" si="0"/>
        <v>2.0603408725991534E-2</v>
      </c>
      <c r="P52">
        <v>0</v>
      </c>
      <c r="Q52" t="e">
        <f t="shared" si="1"/>
        <v>#N/A</v>
      </c>
      <c r="R52" t="e">
        <f t="shared" si="2"/>
        <v>#N/A</v>
      </c>
      <c r="S52" s="9" t="e">
        <f t="shared" si="3"/>
        <v>#N/A</v>
      </c>
      <c r="T52" s="3" t="e">
        <f t="shared" si="4"/>
        <v>#N/A</v>
      </c>
    </row>
    <row r="53" spans="1:20" x14ac:dyDescent="0.35">
      <c r="A53" t="str">
        <v>912803BL6</v>
      </c>
      <c r="B53" t="str">
        <f>IF(NOT(ISBLANK(A53)),VLOOKUP(A53,'BBT3'!A:F,2,0),"")</f>
        <v>Bond</v>
      </c>
      <c r="C53" t="str">
        <f>IF(NOT(ISBLANK(A53)),VLOOKUP(A53,'BBT3'!A:F,3,0),"")</f>
        <v>US912803BL66</v>
      </c>
      <c r="D53" s="6">
        <f>IF(NOT(ISBLANK(A53)),VLOOKUP(A53,'BBT3'!A:F,4,1),"")</f>
        <v>0</v>
      </c>
      <c r="E53">
        <f>IF(NOT(ISBLANK(A53)),VLOOKUP(A53,'BBT3'!A:F,5,0),"")</f>
        <v>46614</v>
      </c>
      <c r="F53" t="str">
        <f>IF(NOT(ISBLANK(A53)),VLOOKUP(A53,'BBT3'!A:F,6,0),"")</f>
        <v>N</v>
      </c>
      <c r="G53">
        <f>IF(NOT(ISBLANK(A53)),VLOOKUP(A53,QW_Close!A:J,5,0),"")</f>
        <v>3.8933780239786497E-2</v>
      </c>
      <c r="H53" s="5" t="e" cm="1">
        <f t="array" ref="H53">IF(NOT(ISBLANK(A53)),((_xlfn.XLOOKUP(1,(_bbt3[[#All],[ID]]=A53)*(_bbt3[[#All],[METRIC_NAME]]="YLD_YTM_ASK"),_bbt3[[#All],[METRIC_VALUE]])*0.5)+(_xlfn.XLOOKUP(1,(_bbt3[[#All],[ID]]=A53)*(_bbt3[[#All],[METRIC_NAME]]="YLD_YTM_BID"),_bbt3[[#All],[METRIC_VALUE]])*0.5))/100,"")</f>
        <v>#N/A</v>
      </c>
      <c r="I53">
        <f>IF(ISNA(VLOOKUP(A53,QW_CloseDL!A:E,5,0)),0,VLOOKUP(A53,QW_CloseDL!A:E,5,0))</f>
        <v>3.8934835259961699E-2</v>
      </c>
      <c r="J53" s="8">
        <f t="shared" si="0"/>
        <v>1.0550201752015931E-2</v>
      </c>
      <c r="P53">
        <v>0</v>
      </c>
      <c r="Q53" t="e">
        <f t="shared" si="1"/>
        <v>#N/A</v>
      </c>
      <c r="R53" t="e">
        <f t="shared" si="2"/>
        <v>#N/A</v>
      </c>
      <c r="S53" s="9" t="e">
        <f t="shared" si="3"/>
        <v>#N/A</v>
      </c>
      <c r="T53" s="3" t="e">
        <f t="shared" si="4"/>
        <v>#N/A</v>
      </c>
    </row>
    <row r="54" spans="1:20" x14ac:dyDescent="0.35">
      <c r="A54" t="str">
        <v>912803BM4</v>
      </c>
      <c r="B54" t="str">
        <f>IF(NOT(ISBLANK(A54)),VLOOKUP(A54,'BBT3'!A:F,2,0),"")</f>
        <v>Bond</v>
      </c>
      <c r="C54" t="str">
        <f>IF(NOT(ISBLANK(A54)),VLOOKUP(A54,'BBT3'!A:F,3,0),"")</f>
        <v>US912803BM40</v>
      </c>
      <c r="D54" s="6">
        <f>IF(NOT(ISBLANK(A54)),VLOOKUP(A54,'BBT3'!A:F,4,1),"")</f>
        <v>0</v>
      </c>
      <c r="E54">
        <f>IF(NOT(ISBLANK(A54)),VLOOKUP(A54,'BBT3'!A:F,5,0),"")</f>
        <v>46706</v>
      </c>
      <c r="F54" t="str">
        <f>IF(NOT(ISBLANK(A54)),VLOOKUP(A54,'BBT3'!A:F,6,0),"")</f>
        <v>N</v>
      </c>
      <c r="G54">
        <f>IF(NOT(ISBLANK(A54)),VLOOKUP(A54,QW_Close!A:J,5,0),"")</f>
        <v>3.9655421196342001E-2</v>
      </c>
      <c r="H54" s="5" t="e" cm="1">
        <f t="array" ref="H54">IF(NOT(ISBLANK(A54)),((_xlfn.XLOOKUP(1,(_bbt3[[#All],[ID]]=A54)*(_bbt3[[#All],[METRIC_NAME]]="YLD_YTM_ASK"),_bbt3[[#All],[METRIC_VALUE]])*0.5)+(_xlfn.XLOOKUP(1,(_bbt3[[#All],[ID]]=A54)*(_bbt3[[#All],[METRIC_NAME]]="YLD_YTM_BID"),_bbt3[[#All],[METRIC_VALUE]])*0.5))/100,"")</f>
        <v>#N/A</v>
      </c>
      <c r="I54">
        <f>IF(ISNA(VLOOKUP(A54,QW_CloseDL!A:E,5,0)),0,VLOOKUP(A54,QW_CloseDL!A:E,5,0))</f>
        <v>3.9654737435000302E-2</v>
      </c>
      <c r="J54" s="8">
        <f t="shared" si="0"/>
        <v>6.8376134169934044E-3</v>
      </c>
      <c r="P54">
        <v>0</v>
      </c>
      <c r="Q54" t="e">
        <f t="shared" si="1"/>
        <v>#N/A</v>
      </c>
      <c r="R54" t="e">
        <f t="shared" si="2"/>
        <v>#N/A</v>
      </c>
      <c r="S54" s="9" t="e">
        <f t="shared" si="3"/>
        <v>#N/A</v>
      </c>
      <c r="T54" s="3" t="e">
        <f t="shared" si="4"/>
        <v>#N/A</v>
      </c>
    </row>
    <row r="55" spans="1:20" x14ac:dyDescent="0.35">
      <c r="A55" t="str">
        <v>912803BP7</v>
      </c>
      <c r="B55" t="str">
        <f>IF(NOT(ISBLANK(A55)),VLOOKUP(A55,'BBT3'!A:F,2,0),"")</f>
        <v>Bond</v>
      </c>
      <c r="C55" t="str">
        <f>IF(NOT(ISBLANK(A55)),VLOOKUP(A55,'BBT3'!A:F,3,0),"")</f>
        <v>US912803BP70</v>
      </c>
      <c r="D55" s="6">
        <f>IF(NOT(ISBLANK(A55)),VLOOKUP(A55,'BBT3'!A:F,4,1),"")</f>
        <v>0</v>
      </c>
      <c r="E55">
        <f>IF(NOT(ISBLANK(A55)),VLOOKUP(A55,'BBT3'!A:F,5,0),"")</f>
        <v>46980</v>
      </c>
      <c r="F55" t="str">
        <f>IF(NOT(ISBLANK(A55)),VLOOKUP(A55,'BBT3'!A:F,6,0),"")</f>
        <v>N</v>
      </c>
      <c r="G55">
        <f>IF(NOT(ISBLANK(A55)),VLOOKUP(A55,QW_Close!A:J,5,0),"")</f>
        <v>4.0479497146357499E-2</v>
      </c>
      <c r="H55" s="5" t="e" cm="1">
        <f t="array" ref="H55">IF(NOT(ISBLANK(A55)),((_xlfn.XLOOKUP(1,(_bbt3[[#All],[ID]]=A55)*(_bbt3[[#All],[METRIC_NAME]]="YLD_YTM_ASK"),_bbt3[[#All],[METRIC_VALUE]])*0.5)+(_xlfn.XLOOKUP(1,(_bbt3[[#All],[ID]]=A55)*(_bbt3[[#All],[METRIC_NAME]]="YLD_YTM_BID"),_bbt3[[#All],[METRIC_VALUE]])*0.5))/100,"")</f>
        <v>#N/A</v>
      </c>
      <c r="I55">
        <f>IF(ISNA(VLOOKUP(A55,QW_CloseDL!A:E,5,0)),0,VLOOKUP(A55,QW_CloseDL!A:E,5,0))</f>
        <v>4.0479263587720603E-2</v>
      </c>
      <c r="J55" s="8">
        <f t="shared" si="0"/>
        <v>2.3355863689594747E-3</v>
      </c>
      <c r="P55">
        <v>0</v>
      </c>
      <c r="Q55" t="e">
        <f t="shared" si="1"/>
        <v>#N/A</v>
      </c>
      <c r="R55" t="e">
        <f t="shared" si="2"/>
        <v>#N/A</v>
      </c>
      <c r="S55" s="9" t="e">
        <f t="shared" si="3"/>
        <v>#N/A</v>
      </c>
      <c r="T55" s="3" t="e">
        <f t="shared" si="4"/>
        <v>#N/A</v>
      </c>
    </row>
    <row r="56" spans="1:20" x14ac:dyDescent="0.35">
      <c r="A56" t="str">
        <v>912803BV4</v>
      </c>
      <c r="B56" t="str">
        <f>IF(NOT(ISBLANK(A56)),VLOOKUP(A56,'BBT3'!A:F,2,0),"")</f>
        <v>Bond</v>
      </c>
      <c r="C56" t="str">
        <f>IF(NOT(ISBLANK(A56)),VLOOKUP(A56,'BBT3'!A:F,3,0),"")</f>
        <v>US912803BV49</v>
      </c>
      <c r="D56" s="6">
        <f>IF(NOT(ISBLANK(A56)),VLOOKUP(A56,'BBT3'!A:F,4,1),"")</f>
        <v>0</v>
      </c>
      <c r="E56">
        <f>IF(NOT(ISBLANK(A56)),VLOOKUP(A56,'BBT3'!A:F,5,0),"")</f>
        <v>47072</v>
      </c>
      <c r="F56" t="str">
        <f>IF(NOT(ISBLANK(A56)),VLOOKUP(A56,'BBT3'!A:F,6,0),"")</f>
        <v>N</v>
      </c>
      <c r="G56">
        <f>IF(NOT(ISBLANK(A56)),VLOOKUP(A56,QW_Close!A:J,5,0),"")</f>
        <v>4.06353780864201E-2</v>
      </c>
      <c r="H56" s="5" t="e" cm="1">
        <f t="array" ref="H56">IF(NOT(ISBLANK(A56)),((_xlfn.XLOOKUP(1,(_bbt3[[#All],[ID]]=A56)*(_bbt3[[#All],[METRIC_NAME]]="YLD_YTM_ASK"),_bbt3[[#All],[METRIC_VALUE]])*0.5)+(_xlfn.XLOOKUP(1,(_bbt3[[#All],[ID]]=A56)*(_bbt3[[#All],[METRIC_NAME]]="YLD_YTM_BID"),_bbt3[[#All],[METRIC_VALUE]])*0.5))/100,"")</f>
        <v>#N/A</v>
      </c>
      <c r="I56">
        <f>IF(ISNA(VLOOKUP(A56,QW_CloseDL!A:E,5,0)),0,VLOOKUP(A56,QW_CloseDL!A:E,5,0))</f>
        <v>4.0634874488698201E-2</v>
      </c>
      <c r="J56" s="8">
        <f t="shared" si="0"/>
        <v>5.0359772189867424E-3</v>
      </c>
      <c r="P56">
        <v>0</v>
      </c>
      <c r="Q56" t="e">
        <f t="shared" si="1"/>
        <v>#N/A</v>
      </c>
      <c r="R56" t="e">
        <f t="shared" si="2"/>
        <v>#N/A</v>
      </c>
      <c r="S56" s="9" t="e">
        <f t="shared" si="3"/>
        <v>#N/A</v>
      </c>
      <c r="T56" s="3" t="e">
        <f t="shared" si="4"/>
        <v>#N/A</v>
      </c>
    </row>
    <row r="57" spans="1:20" x14ac:dyDescent="0.35">
      <c r="A57" t="str">
        <v>912803BW2</v>
      </c>
      <c r="B57" t="str">
        <f>IF(NOT(ISBLANK(A57)),VLOOKUP(A57,'BBT3'!A:F,2,0),"")</f>
        <v>Bond</v>
      </c>
      <c r="C57" t="str">
        <f>IF(NOT(ISBLANK(A57)),VLOOKUP(A57,'BBT3'!A:F,3,0),"")</f>
        <v>US912803BW22</v>
      </c>
      <c r="D57" s="6">
        <f>IF(NOT(ISBLANK(A57)),VLOOKUP(A57,'BBT3'!A:F,4,1),"")</f>
        <v>0</v>
      </c>
      <c r="E57">
        <f>IF(NOT(ISBLANK(A57)),VLOOKUP(A57,'BBT3'!A:F,5,0),"")</f>
        <v>47164</v>
      </c>
      <c r="F57" t="str">
        <f>IF(NOT(ISBLANK(A57)),VLOOKUP(A57,'BBT3'!A:F,6,0),"")</f>
        <v>N</v>
      </c>
      <c r="G57">
        <f>IF(NOT(ISBLANK(A57)),VLOOKUP(A57,QW_Close!A:J,5,0),"")</f>
        <v>3.9695318145211503E-2</v>
      </c>
      <c r="H57" s="5" t="e" cm="1">
        <f t="array" ref="H57">IF(NOT(ISBLANK(A57)),((_xlfn.XLOOKUP(1,(_bbt3[[#All],[ID]]=A57)*(_bbt3[[#All],[METRIC_NAME]]="YLD_YTM_ASK"),_bbt3[[#All],[METRIC_VALUE]])*0.5)+(_xlfn.XLOOKUP(1,(_bbt3[[#All],[ID]]=A57)*(_bbt3[[#All],[METRIC_NAME]]="YLD_YTM_BID"),_bbt3[[#All],[METRIC_VALUE]])*0.5))/100,"")</f>
        <v>#N/A</v>
      </c>
      <c r="I57">
        <f>IF(ISNA(VLOOKUP(A57,QW_CloseDL!A:E,5,0)),0,VLOOKUP(A57,QW_CloseDL!A:E,5,0))</f>
        <v>3.9694184589947397E-2</v>
      </c>
      <c r="J57" s="8">
        <f t="shared" si="0"/>
        <v>1.1335552641059121E-2</v>
      </c>
      <c r="P57">
        <v>0</v>
      </c>
      <c r="Q57" t="e">
        <f t="shared" si="1"/>
        <v>#N/A</v>
      </c>
      <c r="R57" t="e">
        <f t="shared" si="2"/>
        <v>#N/A</v>
      </c>
      <c r="S57" s="9" t="e">
        <f t="shared" si="3"/>
        <v>#N/A</v>
      </c>
      <c r="T57" s="3" t="e">
        <f t="shared" si="4"/>
        <v>#N/A</v>
      </c>
    </row>
    <row r="58" spans="1:20" x14ac:dyDescent="0.35">
      <c r="A58" t="str">
        <v>912803CG6</v>
      </c>
      <c r="B58" t="str">
        <f>IF(NOT(ISBLANK(A58)),VLOOKUP(A58,'BBT3'!A:F,2,0),"")</f>
        <v>Bond</v>
      </c>
      <c r="C58" t="str">
        <f>IF(NOT(ISBLANK(A58)),VLOOKUP(A58,'BBT3'!A:F,3,0),"")</f>
        <v>US912803CG62</v>
      </c>
      <c r="D58" s="6">
        <f>IF(NOT(ISBLANK(A58)),VLOOKUP(A58,'BBT3'!A:F,4,1),"")</f>
        <v>0</v>
      </c>
      <c r="E58">
        <f>IF(NOT(ISBLANK(A58)),VLOOKUP(A58,'BBT3'!A:F,5,0),"")</f>
        <v>47345</v>
      </c>
      <c r="F58" t="str">
        <f>IF(NOT(ISBLANK(A58)),VLOOKUP(A58,'BBT3'!A:F,6,0),"")</f>
        <v>N</v>
      </c>
      <c r="G58">
        <f>IF(NOT(ISBLANK(A58)),VLOOKUP(A58,QW_Close!A:J,5,0),"")</f>
        <v>4.1183471438095698E-2</v>
      </c>
      <c r="H58" s="5" t="e" cm="1">
        <f t="array" ref="H58">IF(NOT(ISBLANK(A58)),((_xlfn.XLOOKUP(1,(_bbt3[[#All],[ID]]=A58)*(_bbt3[[#All],[METRIC_NAME]]="YLD_YTM_ASK"),_bbt3[[#All],[METRIC_VALUE]])*0.5)+(_xlfn.XLOOKUP(1,(_bbt3[[#All],[ID]]=A58)*(_bbt3[[#All],[METRIC_NAME]]="YLD_YTM_BID"),_bbt3[[#All],[METRIC_VALUE]])*0.5))/100,"")</f>
        <v>#N/A</v>
      </c>
      <c r="I58">
        <f>IF(ISNA(VLOOKUP(A58,QW_CloseDL!A:E,5,0)),0,VLOOKUP(A58,QW_CloseDL!A:E,5,0))</f>
        <v>4.1184842425127599E-2</v>
      </c>
      <c r="J58" s="8">
        <f t="shared" si="0"/>
        <v>1.3709870319011941E-2</v>
      </c>
      <c r="P58">
        <v>0</v>
      </c>
      <c r="Q58" t="e">
        <f t="shared" si="1"/>
        <v>#N/A</v>
      </c>
      <c r="R58" t="e">
        <f t="shared" si="2"/>
        <v>#N/A</v>
      </c>
      <c r="S58" s="9" t="e">
        <f t="shared" si="3"/>
        <v>#N/A</v>
      </c>
      <c r="T58" s="3" t="e">
        <f t="shared" si="4"/>
        <v>#N/A</v>
      </c>
    </row>
    <row r="59" spans="1:20" x14ac:dyDescent="0.35">
      <c r="A59" t="str">
        <v>912803CH4</v>
      </c>
      <c r="B59" t="str">
        <f>IF(NOT(ISBLANK(A59)),VLOOKUP(A59,'BBT3'!A:F,2,0),"")</f>
        <v>Bond</v>
      </c>
      <c r="C59" t="str">
        <f>IF(NOT(ISBLANK(A59)),VLOOKUP(A59,'BBT3'!A:F,3,0),"")</f>
        <v>US912803CH46</v>
      </c>
      <c r="D59" s="6">
        <f>IF(NOT(ISBLANK(A59)),VLOOKUP(A59,'BBT3'!A:F,4,1),"")</f>
        <v>0</v>
      </c>
      <c r="E59">
        <f>IF(NOT(ISBLANK(A59)),VLOOKUP(A59,'BBT3'!A:F,5,0),"")</f>
        <v>47618</v>
      </c>
      <c r="F59" t="str">
        <f>IF(NOT(ISBLANK(A59)),VLOOKUP(A59,'BBT3'!A:F,6,0),"")</f>
        <v>N</v>
      </c>
      <c r="G59">
        <f>IF(NOT(ISBLANK(A59)),VLOOKUP(A59,QW_Close!A:J,5,0),"")</f>
        <v>4.15199772181424E-2</v>
      </c>
      <c r="H59" s="5" t="e" cm="1">
        <f t="array" ref="H59">IF(NOT(ISBLANK(A59)),((_xlfn.XLOOKUP(1,(_bbt3[[#All],[ID]]=A59)*(_bbt3[[#All],[METRIC_NAME]]="YLD_YTM_ASK"),_bbt3[[#All],[METRIC_VALUE]])*0.5)+(_xlfn.XLOOKUP(1,(_bbt3[[#All],[ID]]=A59)*(_bbt3[[#All],[METRIC_NAME]]="YLD_YTM_BID"),_bbt3[[#All],[METRIC_VALUE]])*0.5))/100,"")</f>
        <v>#N/A</v>
      </c>
      <c r="I59">
        <f>IF(ISNA(VLOOKUP(A59,QW_CloseDL!A:E,5,0)),0,VLOOKUP(A59,QW_CloseDL!A:E,5,0))</f>
        <v>4.1519825449006703E-2</v>
      </c>
      <c r="J59" s="8">
        <f t="shared" si="0"/>
        <v>1.5176913569642236E-3</v>
      </c>
      <c r="P59">
        <v>0</v>
      </c>
      <c r="Q59" t="e">
        <f t="shared" si="1"/>
        <v>#N/A</v>
      </c>
      <c r="R59" t="e">
        <f t="shared" si="2"/>
        <v>#N/A</v>
      </c>
      <c r="S59" s="9" t="e">
        <f t="shared" si="3"/>
        <v>#N/A</v>
      </c>
      <c r="T59" s="3" t="e">
        <f t="shared" si="4"/>
        <v>#N/A</v>
      </c>
    </row>
    <row r="60" spans="1:20" x14ac:dyDescent="0.35">
      <c r="A60" t="str">
        <v>912803CK7</v>
      </c>
      <c r="B60" t="str">
        <f>IF(NOT(ISBLANK(A60)),VLOOKUP(A60,'BBT3'!A:F,2,0),"")</f>
        <v>Bond</v>
      </c>
      <c r="C60" t="str">
        <f>IF(NOT(ISBLANK(A60)),VLOOKUP(A60,'BBT3'!A:F,3,0),"")</f>
        <v>US912803CK74</v>
      </c>
      <c r="D60" s="6">
        <f>IF(NOT(ISBLANK(A60)),VLOOKUP(A60,'BBT3'!A:F,4,1),"")</f>
        <v>0</v>
      </c>
      <c r="E60">
        <f>IF(NOT(ISBLANK(A60)),VLOOKUP(A60,'BBT3'!A:F,5,0),"")</f>
        <v>47894</v>
      </c>
      <c r="F60" t="str">
        <f>IF(NOT(ISBLANK(A60)),VLOOKUP(A60,'BBT3'!A:F,6,0),"")</f>
        <v>N</v>
      </c>
      <c r="G60">
        <f>IF(NOT(ISBLANK(A60)),VLOOKUP(A60,QW_Close!A:J,5,0),"")</f>
        <v>4.1569470483913101E-2</v>
      </c>
      <c r="H60" s="5" t="e" cm="1">
        <f t="array" ref="H60">IF(NOT(ISBLANK(A60)),((_xlfn.XLOOKUP(1,(_bbt3[[#All],[ID]]=A60)*(_bbt3[[#All],[METRIC_NAME]]="YLD_YTM_ASK"),_bbt3[[#All],[METRIC_VALUE]])*0.5)+(_xlfn.XLOOKUP(1,(_bbt3[[#All],[ID]]=A60)*(_bbt3[[#All],[METRIC_NAME]]="YLD_YTM_BID"),_bbt3[[#All],[METRIC_VALUE]])*0.5))/100,"")</f>
        <v>#N/A</v>
      </c>
      <c r="I60">
        <f>IF(ISNA(VLOOKUP(A60,QW_CloseDL!A:E,5,0)),0,VLOOKUP(A60,QW_CloseDL!A:E,5,0))</f>
        <v>4.1569755409182702E-2</v>
      </c>
      <c r="J60" s="8">
        <f t="shared" si="0"/>
        <v>2.8492526960022246E-3</v>
      </c>
      <c r="P60">
        <v>0</v>
      </c>
      <c r="Q60" t="e">
        <f t="shared" si="1"/>
        <v>#N/A</v>
      </c>
      <c r="R60" t="e">
        <f t="shared" si="2"/>
        <v>#N/A</v>
      </c>
      <c r="S60" s="9" t="e">
        <f t="shared" si="3"/>
        <v>#N/A</v>
      </c>
      <c r="T60" s="3" t="e">
        <f t="shared" si="4"/>
        <v>#N/A</v>
      </c>
    </row>
    <row r="61" spans="1:20" x14ac:dyDescent="0.35">
      <c r="A61" t="str">
        <v>912803CX9</v>
      </c>
      <c r="B61" t="str">
        <f>IF(NOT(ISBLANK(A61)),VLOOKUP(A61,'BBT3'!A:F,2,0),"")</f>
        <v>Bond</v>
      </c>
      <c r="C61" t="str">
        <f>IF(NOT(ISBLANK(A61)),VLOOKUP(A61,'BBT3'!A:F,3,0),"")</f>
        <v>US912803CX95</v>
      </c>
      <c r="D61" s="6">
        <f>IF(NOT(ISBLANK(A61)),VLOOKUP(A61,'BBT3'!A:F,4,1),"")</f>
        <v>0</v>
      </c>
      <c r="E61">
        <f>IF(NOT(ISBLANK(A61)),VLOOKUP(A61,'BBT3'!A:F,5,0),"")</f>
        <v>49720</v>
      </c>
      <c r="F61" t="str">
        <f>IF(NOT(ISBLANK(A61)),VLOOKUP(A61,'BBT3'!A:F,6,0),"")</f>
        <v>N</v>
      </c>
      <c r="G61">
        <f>IF(NOT(ISBLANK(A61)),VLOOKUP(A61,QW_Close!A:J,5,0),"")</f>
        <v>4.3859612371623301E-2</v>
      </c>
      <c r="H61" s="5" t="e" cm="1">
        <f t="array" ref="H61">IF(NOT(ISBLANK(A61)),((_xlfn.XLOOKUP(1,(_bbt3[[#All],[ID]]=A61)*(_bbt3[[#All],[METRIC_NAME]]="YLD_YTM_ASK"),_bbt3[[#All],[METRIC_VALUE]])*0.5)+(_xlfn.XLOOKUP(1,(_bbt3[[#All],[ID]]=A61)*(_bbt3[[#All],[METRIC_NAME]]="YLD_YTM_BID"),_bbt3[[#All],[METRIC_VALUE]])*0.5))/100,"")</f>
        <v>#N/A</v>
      </c>
      <c r="I61">
        <f>IF(ISNA(VLOOKUP(A61,QW_CloseDL!A:E,5,0)),0,VLOOKUP(A61,QW_CloseDL!A:E,5,0))</f>
        <v>4.3859872287496902E-2</v>
      </c>
      <c r="J61" s="8">
        <f t="shared" si="0"/>
        <v>2.5991587360163493E-3</v>
      </c>
      <c r="P61">
        <v>0</v>
      </c>
      <c r="Q61" t="e">
        <f t="shared" si="1"/>
        <v>#N/A</v>
      </c>
      <c r="R61" t="e">
        <f t="shared" si="2"/>
        <v>#N/A</v>
      </c>
      <c r="S61" s="9" t="e">
        <f t="shared" si="3"/>
        <v>#N/A</v>
      </c>
      <c r="T61" s="3" t="e">
        <f t="shared" si="4"/>
        <v>#N/A</v>
      </c>
    </row>
    <row r="62" spans="1:20" x14ac:dyDescent="0.35">
      <c r="A62" t="str">
        <v>912803CZ4</v>
      </c>
      <c r="B62" t="str">
        <f>IF(NOT(ISBLANK(A62)),VLOOKUP(A62,'BBT3'!A:F,2,0),"")</f>
        <v>Bond</v>
      </c>
      <c r="C62" t="str">
        <f>IF(NOT(ISBLANK(A62)),VLOOKUP(A62,'BBT3'!A:F,3,0),"")</f>
        <v>US912803CZ44</v>
      </c>
      <c r="D62" s="6">
        <f>IF(NOT(ISBLANK(A62)),VLOOKUP(A62,'BBT3'!A:F,4,1),"")</f>
        <v>0</v>
      </c>
      <c r="E62">
        <f>IF(NOT(ISBLANK(A62)),VLOOKUP(A62,'BBT3'!A:F,5,0),"")</f>
        <v>50086</v>
      </c>
      <c r="F62" t="str">
        <f>IF(NOT(ISBLANK(A62)),VLOOKUP(A62,'BBT3'!A:F,6,0),"")</f>
        <v>N</v>
      </c>
      <c r="G62">
        <f>IF(NOT(ISBLANK(A62)),VLOOKUP(A62,QW_Close!A:J,5,0),"")</f>
        <v>4.4794677638627697E-2</v>
      </c>
      <c r="H62" s="5" t="e" cm="1">
        <f t="array" ref="H62">IF(NOT(ISBLANK(A62)),((_xlfn.XLOOKUP(1,(_bbt3[[#All],[ID]]=A62)*(_bbt3[[#All],[METRIC_NAME]]="YLD_YTM_ASK"),_bbt3[[#All],[METRIC_VALUE]])*0.5)+(_xlfn.XLOOKUP(1,(_bbt3[[#All],[ID]]=A62)*(_bbt3[[#All],[METRIC_NAME]]="YLD_YTM_BID"),_bbt3[[#All],[METRIC_VALUE]])*0.5))/100,"")</f>
        <v>#N/A</v>
      </c>
      <c r="I62">
        <f>IF(ISNA(VLOOKUP(A62,QW_CloseDL!A:E,5,0)),0,VLOOKUP(A62,QW_CloseDL!A:E,5,0))</f>
        <v>4.4794884882843597E-2</v>
      </c>
      <c r="J62" s="8">
        <f t="shared" si="0"/>
        <v>2.0724421589957132E-3</v>
      </c>
      <c r="P62">
        <v>0</v>
      </c>
      <c r="Q62" t="e">
        <f t="shared" si="1"/>
        <v>#N/A</v>
      </c>
      <c r="R62" t="e">
        <f t="shared" si="2"/>
        <v>#N/A</v>
      </c>
      <c r="S62" s="9" t="e">
        <f t="shared" si="3"/>
        <v>#N/A</v>
      </c>
      <c r="T62" s="3" t="e">
        <f t="shared" si="4"/>
        <v>#N/A</v>
      </c>
    </row>
    <row r="63" spans="1:20" x14ac:dyDescent="0.35">
      <c r="A63" t="str">
        <v>912803DA8</v>
      </c>
      <c r="B63" t="str">
        <f>IF(NOT(ISBLANK(A63)),VLOOKUP(A63,'BBT3'!A:F,2,0),"")</f>
        <v>Bond</v>
      </c>
      <c r="C63" t="str">
        <f>IF(NOT(ISBLANK(A63)),VLOOKUP(A63,'BBT3'!A:F,3,0),"")</f>
        <v>US912803DA83</v>
      </c>
      <c r="D63" s="6">
        <f>IF(NOT(ISBLANK(A63)),VLOOKUP(A63,'BBT3'!A:F,4,1),"")</f>
        <v>0</v>
      </c>
      <c r="E63">
        <f>IF(NOT(ISBLANK(A63)),VLOOKUP(A63,'BBT3'!A:F,5,0),"")</f>
        <v>50175</v>
      </c>
      <c r="F63" t="str">
        <f>IF(NOT(ISBLANK(A63)),VLOOKUP(A63,'BBT3'!A:F,6,0),"")</f>
        <v>N</v>
      </c>
      <c r="G63">
        <f>IF(NOT(ISBLANK(A63)),VLOOKUP(A63,QW_Close!A:J,5,0),"")</f>
        <v>4.4759132338607399E-2</v>
      </c>
      <c r="H63" s="5" t="e" cm="1">
        <f t="array" ref="H63">IF(NOT(ISBLANK(A63)),((_xlfn.XLOOKUP(1,(_bbt3[[#All],[ID]]=A63)*(_bbt3[[#All],[METRIC_NAME]]="YLD_YTM_ASK"),_bbt3[[#All],[METRIC_VALUE]])*0.5)+(_xlfn.XLOOKUP(1,(_bbt3[[#All],[ID]]=A63)*(_bbt3[[#All],[METRIC_NAME]]="YLD_YTM_BID"),_bbt3[[#All],[METRIC_VALUE]])*0.5))/100,"")</f>
        <v>#N/A</v>
      </c>
      <c r="I63">
        <f>IF(ISNA(VLOOKUP(A63,QW_CloseDL!A:E,5,0)),0,VLOOKUP(A63,QW_CloseDL!A:E,5,0))</f>
        <v>4.4758824168039002E-2</v>
      </c>
      <c r="J63" s="8">
        <f t="shared" si="0"/>
        <v>3.0817056839715917E-3</v>
      </c>
      <c r="P63">
        <v>0</v>
      </c>
      <c r="Q63" t="e">
        <f t="shared" si="1"/>
        <v>#N/A</v>
      </c>
      <c r="R63" t="e">
        <f t="shared" si="2"/>
        <v>#N/A</v>
      </c>
      <c r="S63" s="9" t="e">
        <f t="shared" si="3"/>
        <v>#N/A</v>
      </c>
      <c r="T63" s="3" t="e">
        <f t="shared" si="4"/>
        <v>#N/A</v>
      </c>
    </row>
    <row r="64" spans="1:20" x14ac:dyDescent="0.35">
      <c r="A64" t="str">
        <v>912803DC4</v>
      </c>
      <c r="B64" t="str">
        <f>IF(NOT(ISBLANK(A64)),VLOOKUP(A64,'BBT3'!A:F,2,0),"")</f>
        <v>Bond</v>
      </c>
      <c r="C64" t="str">
        <f>IF(NOT(ISBLANK(A64)),VLOOKUP(A64,'BBT3'!A:F,3,0),"")</f>
        <v>US912803DC40</v>
      </c>
      <c r="D64" s="6">
        <f>IF(NOT(ISBLANK(A64)),VLOOKUP(A64,'BBT3'!A:F,4,1),"")</f>
        <v>0</v>
      </c>
      <c r="E64">
        <f>IF(NOT(ISBLANK(A64)),VLOOKUP(A64,'BBT3'!A:F,5,0),"")</f>
        <v>50451</v>
      </c>
      <c r="F64" t="str">
        <f>IF(NOT(ISBLANK(A64)),VLOOKUP(A64,'BBT3'!A:F,6,0),"")</f>
        <v>N</v>
      </c>
      <c r="G64">
        <f>IF(NOT(ISBLANK(A64)),VLOOKUP(A64,QW_Close!A:J,5,0),"")</f>
        <v>4.5339505205170001E-2</v>
      </c>
      <c r="H64" s="5" t="e" cm="1">
        <f t="array" ref="H64">IF(NOT(ISBLANK(A64)),((_xlfn.XLOOKUP(1,(_bbt3[[#All],[ID]]=A64)*(_bbt3[[#All],[METRIC_NAME]]="YLD_YTM_ASK"),_bbt3[[#All],[METRIC_VALUE]])*0.5)+(_xlfn.XLOOKUP(1,(_bbt3[[#All],[ID]]=A64)*(_bbt3[[#All],[METRIC_NAME]]="YLD_YTM_BID"),_bbt3[[#All],[METRIC_VALUE]])*0.5))/100,"")</f>
        <v>#N/A</v>
      </c>
      <c r="I64">
        <f>IF(ISNA(VLOOKUP(A64,QW_CloseDL!A:E,5,0)),0,VLOOKUP(A64,QW_CloseDL!A:E,5,0))</f>
        <v>4.5339865831493603E-2</v>
      </c>
      <c r="J64" s="8">
        <f t="shared" si="0"/>
        <v>3.6062632360195357E-3</v>
      </c>
      <c r="P64">
        <v>0</v>
      </c>
      <c r="Q64" t="e">
        <f t="shared" si="1"/>
        <v>#N/A</v>
      </c>
      <c r="R64" t="e">
        <f t="shared" si="2"/>
        <v>#N/A</v>
      </c>
      <c r="S64" s="9" t="e">
        <f t="shared" si="3"/>
        <v>#N/A</v>
      </c>
      <c r="T64" s="3" t="e">
        <f t="shared" si="4"/>
        <v>#N/A</v>
      </c>
    </row>
    <row r="65" spans="1:20" x14ac:dyDescent="0.35">
      <c r="A65" t="str">
        <v>912803DD2</v>
      </c>
      <c r="B65" t="str">
        <f>IF(NOT(ISBLANK(A65)),VLOOKUP(A65,'BBT3'!A:F,2,0),"")</f>
        <v>Bond</v>
      </c>
      <c r="C65" t="str">
        <f>IF(NOT(ISBLANK(A65)),VLOOKUP(A65,'BBT3'!A:F,3,0),"")</f>
        <v>US912803DD23</v>
      </c>
      <c r="D65" s="6">
        <f>IF(NOT(ISBLANK(A65)),VLOOKUP(A65,'BBT3'!A:F,4,1),"")</f>
        <v>0</v>
      </c>
      <c r="E65">
        <f>IF(NOT(ISBLANK(A65)),VLOOKUP(A65,'BBT3'!A:F,5,0),"")</f>
        <v>50540</v>
      </c>
      <c r="F65" t="str">
        <f>IF(NOT(ISBLANK(A65)),VLOOKUP(A65,'BBT3'!A:F,6,0),"")</f>
        <v>N</v>
      </c>
      <c r="G65">
        <f>IF(NOT(ISBLANK(A65)),VLOOKUP(A65,QW_Close!A:J,5,0),"")</f>
        <v>4.5668750033624E-2</v>
      </c>
      <c r="H65" s="5" t="e" cm="1">
        <f t="array" ref="H65">IF(NOT(ISBLANK(A65)),((_xlfn.XLOOKUP(1,(_bbt3[[#All],[ID]]=A65)*(_bbt3[[#All],[METRIC_NAME]]="YLD_YTM_ASK"),_bbt3[[#All],[METRIC_VALUE]])*0.5)+(_xlfn.XLOOKUP(1,(_bbt3[[#All],[ID]]=A65)*(_bbt3[[#All],[METRIC_NAME]]="YLD_YTM_BID"),_bbt3[[#All],[METRIC_VALUE]])*0.5))/100,"")</f>
        <v>#N/A</v>
      </c>
      <c r="I65">
        <f>IF(ISNA(VLOOKUP(A65,QW_CloseDL!A:E,5,0)),0,VLOOKUP(A65,QW_CloseDL!A:E,5,0))</f>
        <v>4.5668562707412201E-2</v>
      </c>
      <c r="J65" s="8">
        <f t="shared" si="0"/>
        <v>1.873262117993435E-3</v>
      </c>
      <c r="P65">
        <v>0</v>
      </c>
      <c r="Q65" t="e">
        <f t="shared" si="1"/>
        <v>#N/A</v>
      </c>
      <c r="R65" t="e">
        <f t="shared" si="2"/>
        <v>#N/A</v>
      </c>
      <c r="S65" s="9" t="e">
        <f t="shared" si="3"/>
        <v>#N/A</v>
      </c>
      <c r="T65" s="3" t="e">
        <f t="shared" si="4"/>
        <v>#N/A</v>
      </c>
    </row>
    <row r="66" spans="1:20" x14ac:dyDescent="0.35">
      <c r="A66" t="str">
        <v>912803DF7</v>
      </c>
      <c r="B66" t="str">
        <f>IF(NOT(ISBLANK(A66)),VLOOKUP(A66,'BBT3'!A:F,2,0),"")</f>
        <v>Bond</v>
      </c>
      <c r="C66" t="str">
        <f>IF(NOT(ISBLANK(A66)),VLOOKUP(A66,'BBT3'!A:F,3,0),"")</f>
        <v>US912803DF70</v>
      </c>
      <c r="D66" s="6">
        <f>IF(NOT(ISBLANK(A66)),VLOOKUP(A66,'BBT3'!A:F,4,1),"")</f>
        <v>0</v>
      </c>
      <c r="E66">
        <f>IF(NOT(ISBLANK(A66)),VLOOKUP(A66,'BBT3'!A:F,5,0),"")</f>
        <v>50816</v>
      </c>
      <c r="F66" t="str">
        <f>IF(NOT(ISBLANK(A66)),VLOOKUP(A66,'BBT3'!A:F,6,0),"")</f>
        <v>N</v>
      </c>
      <c r="G66">
        <f>IF(NOT(ISBLANK(A66)),VLOOKUP(A66,QW_Close!A:J,5,0),"")</f>
        <v>4.6464257938939102E-2</v>
      </c>
      <c r="H66" s="5" t="e" cm="1">
        <f t="array" ref="H66">IF(NOT(ISBLANK(A66)),((_xlfn.XLOOKUP(1,(_bbt3[[#All],[ID]]=A66)*(_bbt3[[#All],[METRIC_NAME]]="YLD_YTM_ASK"),_bbt3[[#All],[METRIC_VALUE]])*0.5)+(_xlfn.XLOOKUP(1,(_bbt3[[#All],[ID]]=A66)*(_bbt3[[#All],[METRIC_NAME]]="YLD_YTM_BID"),_bbt3[[#All],[METRIC_VALUE]])*0.5))/100,"")</f>
        <v>#N/A</v>
      </c>
      <c r="I66">
        <f>IF(ISNA(VLOOKUP(A66,QW_CloseDL!A:E,5,0)),0,VLOOKUP(A66,QW_CloseDL!A:E,5,0))</f>
        <v>4.6464565779376098E-2</v>
      </c>
      <c r="J66" s="8">
        <f t="shared" si="0"/>
        <v>3.0784043699577657E-3</v>
      </c>
      <c r="P66">
        <v>0</v>
      </c>
      <c r="Q66" t="e">
        <f t="shared" si="1"/>
        <v>#N/A</v>
      </c>
      <c r="R66" t="e">
        <f t="shared" si="2"/>
        <v>#N/A</v>
      </c>
      <c r="S66" s="9" t="e">
        <f t="shared" si="3"/>
        <v>#N/A</v>
      </c>
      <c r="T66" s="3" t="e">
        <f t="shared" si="4"/>
        <v>#N/A</v>
      </c>
    </row>
    <row r="67" spans="1:20" x14ac:dyDescent="0.35">
      <c r="A67" t="str">
        <v>912803DG5</v>
      </c>
      <c r="B67" t="str">
        <f>IF(NOT(ISBLANK(A67)),VLOOKUP(A67,'BBT3'!A:F,2,0),"")</f>
        <v>Bond</v>
      </c>
      <c r="C67" t="str">
        <f>IF(NOT(ISBLANK(A67)),VLOOKUP(A67,'BBT3'!A:F,3,0),"")</f>
        <v>US912803DG53</v>
      </c>
      <c r="D67" s="6">
        <f>IF(NOT(ISBLANK(A67)),VLOOKUP(A67,'BBT3'!A:F,4,1),"")</f>
        <v>0</v>
      </c>
      <c r="E67">
        <f>IF(NOT(ISBLANK(A67)),VLOOKUP(A67,'BBT3'!A:F,5,0),"")</f>
        <v>50905</v>
      </c>
      <c r="F67" t="str">
        <f>IF(NOT(ISBLANK(A67)),VLOOKUP(A67,'BBT3'!A:F,6,0),"")</f>
        <v>N</v>
      </c>
      <c r="G67">
        <f>IF(NOT(ISBLANK(A67)),VLOOKUP(A67,QW_Close!A:J,5,0),"")</f>
        <v>4.7145057391895701E-2</v>
      </c>
      <c r="H67" s="5" t="e" cm="1">
        <f t="array" ref="H67">IF(NOT(ISBLANK(A67)),((_xlfn.XLOOKUP(1,(_bbt3[[#All],[ID]]=A67)*(_bbt3[[#All],[METRIC_NAME]]="YLD_YTM_ASK"),_bbt3[[#All],[METRIC_VALUE]])*0.5)+(_xlfn.XLOOKUP(1,(_bbt3[[#All],[ID]]=A67)*(_bbt3[[#All],[METRIC_NAME]]="YLD_YTM_BID"),_bbt3[[#All],[METRIC_VALUE]])*0.5))/100,"")</f>
        <v>#N/A</v>
      </c>
      <c r="I67">
        <f>IF(ISNA(VLOOKUP(A67,QW_CloseDL!A:E,5,0)),0,VLOOKUP(A67,QW_CloseDL!A:E,5,0))</f>
        <v>4.7144913153785002E-2</v>
      </c>
      <c r="J67" s="8">
        <f t="shared" ref="J67:J130" si="5">IF(ISNA(IF(NOT(ISBLANK(A67)),ABS(G67-I67),"")),0,(IF(NOT(ISBLANK(A67)),ABS(G67-I67)*10000,"")))</f>
        <v>1.4423811069835812E-3</v>
      </c>
      <c r="P67">
        <v>0</v>
      </c>
      <c r="Q67" t="e">
        <f t="shared" si="1"/>
        <v>#N/A</v>
      </c>
      <c r="R67" t="e">
        <f t="shared" si="2"/>
        <v>#N/A</v>
      </c>
      <c r="S67" s="9" t="e">
        <f t="shared" si="3"/>
        <v>#N/A</v>
      </c>
      <c r="T67" s="3" t="e">
        <f t="shared" si="4"/>
        <v>#N/A</v>
      </c>
    </row>
    <row r="68" spans="1:20" x14ac:dyDescent="0.35">
      <c r="A68" t="str">
        <v>912803DH3</v>
      </c>
      <c r="B68" t="str">
        <f>IF(NOT(ISBLANK(A68)),VLOOKUP(A68,'BBT3'!A:F,2,0),"")</f>
        <v>Bond</v>
      </c>
      <c r="C68" t="str">
        <f>IF(NOT(ISBLANK(A68)),VLOOKUP(A68,'BBT3'!A:F,3,0),"")</f>
        <v>US912803DH37</v>
      </c>
      <c r="D68" s="6">
        <f>IF(NOT(ISBLANK(A68)),VLOOKUP(A68,'BBT3'!A:F,4,1),"")</f>
        <v>0</v>
      </c>
      <c r="E68">
        <f>IF(NOT(ISBLANK(A68)),VLOOKUP(A68,'BBT3'!A:F,5,0),"")</f>
        <v>50997</v>
      </c>
      <c r="F68" t="str">
        <f>IF(NOT(ISBLANK(A68)),VLOOKUP(A68,'BBT3'!A:F,6,0),"")</f>
        <v>N</v>
      </c>
      <c r="G68">
        <f>IF(NOT(ISBLANK(A68)),VLOOKUP(A68,QW_Close!A:J,5,0),"")</f>
        <v>4.7624726394740802E-2</v>
      </c>
      <c r="H68" s="5" t="e" cm="1">
        <f t="array" ref="H68">IF(NOT(ISBLANK(A68)),((_xlfn.XLOOKUP(1,(_bbt3[[#All],[ID]]=A68)*(_bbt3[[#All],[METRIC_NAME]]="YLD_YTM_ASK"),_bbt3[[#All],[METRIC_VALUE]])*0.5)+(_xlfn.XLOOKUP(1,(_bbt3[[#All],[ID]]=A68)*(_bbt3[[#All],[METRIC_NAME]]="YLD_YTM_BID"),_bbt3[[#All],[METRIC_VALUE]])*0.5))/100,"")</f>
        <v>#N/A</v>
      </c>
      <c r="I68">
        <f>IF(ISNA(VLOOKUP(A68,QW_CloseDL!A:E,5,0)),0,VLOOKUP(A68,QW_CloseDL!A:E,5,0))</f>
        <v>4.7624895487658497E-2</v>
      </c>
      <c r="J68" s="8">
        <f t="shared" si="5"/>
        <v>1.6909291769562351E-3</v>
      </c>
      <c r="P68">
        <v>0</v>
      </c>
      <c r="Q68" t="e">
        <f t="shared" si="1"/>
        <v>#N/A</v>
      </c>
      <c r="R68" t="e">
        <f t="shared" si="2"/>
        <v>#N/A</v>
      </c>
      <c r="S68" s="9" t="e">
        <f t="shared" si="3"/>
        <v>#N/A</v>
      </c>
      <c r="T68" s="3" t="e">
        <f t="shared" si="4"/>
        <v>#N/A</v>
      </c>
    </row>
    <row r="69" spans="1:20" x14ac:dyDescent="0.35">
      <c r="A69" t="str">
        <v>912803DJ9</v>
      </c>
      <c r="B69" t="str">
        <f>IF(NOT(ISBLANK(A69)),VLOOKUP(A69,'BBT3'!A:F,2,0),"")</f>
        <v>Bond</v>
      </c>
      <c r="C69" t="str">
        <f>IF(NOT(ISBLANK(A69)),VLOOKUP(A69,'BBT3'!A:F,3,0),"")</f>
        <v>US912803DJ92</v>
      </c>
      <c r="D69" s="6">
        <f>IF(NOT(ISBLANK(A69)),VLOOKUP(A69,'BBT3'!A:F,4,1),"")</f>
        <v>0</v>
      </c>
      <c r="E69">
        <f>IF(NOT(ISBLANK(A69)),VLOOKUP(A69,'BBT3'!A:F,5,0),"")</f>
        <v>51089</v>
      </c>
      <c r="F69" t="str">
        <f>IF(NOT(ISBLANK(A69)),VLOOKUP(A69,'BBT3'!A:F,6,0),"")</f>
        <v>N</v>
      </c>
      <c r="G69">
        <f>IF(NOT(ISBLANK(A69)),VLOOKUP(A69,QW_Close!A:J,5,0),"")</f>
        <v>4.7940012128796401E-2</v>
      </c>
      <c r="H69" s="5" t="e" cm="1">
        <f t="array" ref="H69">IF(NOT(ISBLANK(A69)),((_xlfn.XLOOKUP(1,(_bbt3[[#All],[ID]]=A69)*(_bbt3[[#All],[METRIC_NAME]]="YLD_YTM_ASK"),_bbt3[[#All],[METRIC_VALUE]])*0.5)+(_xlfn.XLOOKUP(1,(_bbt3[[#All],[ID]]=A69)*(_bbt3[[#All],[METRIC_NAME]]="YLD_YTM_BID"),_bbt3[[#All],[METRIC_VALUE]])*0.5))/100,"")</f>
        <v>#N/A</v>
      </c>
      <c r="I69">
        <f>IF(ISNA(VLOOKUP(A69,QW_CloseDL!A:E,5,0)),0,VLOOKUP(A69,QW_CloseDL!A:E,5,0))</f>
        <v>4.7939901958654302E-2</v>
      </c>
      <c r="J69" s="8">
        <f t="shared" si="5"/>
        <v>1.1017014209940834E-3</v>
      </c>
      <c r="P69">
        <v>0</v>
      </c>
      <c r="Q69" t="e">
        <f t="shared" si="1"/>
        <v>#N/A</v>
      </c>
      <c r="R69" t="e">
        <f t="shared" si="2"/>
        <v>#N/A</v>
      </c>
      <c r="S69" s="9" t="e">
        <f t="shared" si="3"/>
        <v>#N/A</v>
      </c>
      <c r="T69" s="3" t="e">
        <f t="shared" si="4"/>
        <v>#N/A</v>
      </c>
    </row>
    <row r="70" spans="1:20" x14ac:dyDescent="0.35">
      <c r="A70" t="str">
        <v>912803DK6</v>
      </c>
      <c r="B70" t="str">
        <f>IF(NOT(ISBLANK(A70)),VLOOKUP(A70,'BBT3'!A:F,2,0),"")</f>
        <v>Bond</v>
      </c>
      <c r="C70" t="str">
        <f>IF(NOT(ISBLANK(A70)),VLOOKUP(A70,'BBT3'!A:F,3,0),"")</f>
        <v>US912803DK65</v>
      </c>
      <c r="D70" s="6">
        <f>IF(NOT(ISBLANK(A70)),VLOOKUP(A70,'BBT3'!A:F,4,1),"")</f>
        <v>0</v>
      </c>
      <c r="E70">
        <f>IF(NOT(ISBLANK(A70)),VLOOKUP(A70,'BBT3'!A:F,5,0),"")</f>
        <v>51181</v>
      </c>
      <c r="F70" t="str">
        <f>IF(NOT(ISBLANK(A70)),VLOOKUP(A70,'BBT3'!A:F,6,0),"")</f>
        <v>N</v>
      </c>
      <c r="G70">
        <f>IF(NOT(ISBLANK(A70)),VLOOKUP(A70,QW_Close!A:J,5,0),"")</f>
        <v>4.8124336668002497E-2</v>
      </c>
      <c r="H70" s="5" t="e" cm="1">
        <f t="array" ref="H70">IF(NOT(ISBLANK(A70)),((_xlfn.XLOOKUP(1,(_bbt3[[#All],[ID]]=A70)*(_bbt3[[#All],[METRIC_NAME]]="YLD_YTM_ASK"),_bbt3[[#All],[METRIC_VALUE]])*0.5)+(_xlfn.XLOOKUP(1,(_bbt3[[#All],[ID]]=A70)*(_bbt3[[#All],[METRIC_NAME]]="YLD_YTM_BID"),_bbt3[[#All],[METRIC_VALUE]])*0.5))/100,"")</f>
        <v>#N/A</v>
      </c>
      <c r="I70">
        <f>IF(ISNA(VLOOKUP(A70,QW_CloseDL!A:E,5,0)),0,VLOOKUP(A70,QW_CloseDL!A:E,5,0))</f>
        <v>4.8124731550257101E-2</v>
      </c>
      <c r="J70" s="8">
        <f t="shared" si="5"/>
        <v>3.9488225460349025E-3</v>
      </c>
      <c r="P70">
        <v>0</v>
      </c>
      <c r="Q70" t="e">
        <f t="shared" si="1"/>
        <v>#N/A</v>
      </c>
      <c r="R70" t="e">
        <f t="shared" si="2"/>
        <v>#N/A</v>
      </c>
      <c r="S70" s="9" t="e">
        <f t="shared" si="3"/>
        <v>#N/A</v>
      </c>
      <c r="T70" s="3" t="e">
        <f t="shared" si="4"/>
        <v>#N/A</v>
      </c>
    </row>
    <row r="71" spans="1:20" x14ac:dyDescent="0.35">
      <c r="A71" t="str">
        <v>912803DM2</v>
      </c>
      <c r="B71" t="str">
        <f>IF(NOT(ISBLANK(A71)),VLOOKUP(A71,'BBT3'!A:F,2,0),"")</f>
        <v>Bond</v>
      </c>
      <c r="C71" t="str">
        <f>IF(NOT(ISBLANK(A71)),VLOOKUP(A71,'BBT3'!A:F,3,0),"")</f>
        <v>US912803DM22</v>
      </c>
      <c r="D71" s="6">
        <f>IF(NOT(ISBLANK(A71)),VLOOKUP(A71,'BBT3'!A:F,4,1),"")</f>
        <v>0</v>
      </c>
      <c r="E71">
        <f>IF(NOT(ISBLANK(A71)),VLOOKUP(A71,'BBT3'!A:F,5,0),"")</f>
        <v>51271</v>
      </c>
      <c r="F71" t="str">
        <f>IF(NOT(ISBLANK(A71)),VLOOKUP(A71,'BBT3'!A:F,6,0),"")</f>
        <v>N</v>
      </c>
      <c r="G71">
        <f>IF(NOT(ISBLANK(A71)),VLOOKUP(A71,QW_Close!A:J,5,0),"")</f>
        <v>4.8319793086949302E-2</v>
      </c>
      <c r="H71" s="5" t="e" cm="1">
        <f t="array" ref="H71">IF(NOT(ISBLANK(A71)),((_xlfn.XLOOKUP(1,(_bbt3[[#All],[ID]]=A71)*(_bbt3[[#All],[METRIC_NAME]]="YLD_YTM_ASK"),_bbt3[[#All],[METRIC_VALUE]])*0.5)+(_xlfn.XLOOKUP(1,(_bbt3[[#All],[ID]]=A71)*(_bbt3[[#All],[METRIC_NAME]]="YLD_YTM_BID"),_bbt3[[#All],[METRIC_VALUE]])*0.5))/100,"")</f>
        <v>#N/A</v>
      </c>
      <c r="I71">
        <f>IF(ISNA(VLOOKUP(A71,QW_CloseDL!A:E,5,0)),0,VLOOKUP(A71,QW_CloseDL!A:E,5,0))</f>
        <v>4.8320107916013703E-2</v>
      </c>
      <c r="J71" s="8">
        <f t="shared" si="5"/>
        <v>3.1482906440172265E-3</v>
      </c>
      <c r="P71">
        <v>0</v>
      </c>
      <c r="Q71" t="e">
        <f t="shared" si="1"/>
        <v>#N/A</v>
      </c>
      <c r="R71" t="e">
        <f t="shared" si="2"/>
        <v>#N/A</v>
      </c>
      <c r="S71" s="9" t="e">
        <f t="shared" si="3"/>
        <v>#N/A</v>
      </c>
      <c r="T71" s="3" t="e">
        <f t="shared" si="4"/>
        <v>#N/A</v>
      </c>
    </row>
    <row r="72" spans="1:20" x14ac:dyDescent="0.35">
      <c r="A72" t="str">
        <v>912803DN0</v>
      </c>
      <c r="B72" t="str">
        <f>IF(NOT(ISBLANK(A72)),VLOOKUP(A72,'BBT3'!A:F,2,0),"")</f>
        <v>Bond</v>
      </c>
      <c r="C72" t="str">
        <f>IF(NOT(ISBLANK(A72)),VLOOKUP(A72,'BBT3'!A:F,3,0),"")</f>
        <v>US912803DN05</v>
      </c>
      <c r="D72" s="6">
        <f>IF(NOT(ISBLANK(A72)),VLOOKUP(A72,'BBT3'!A:F,4,1),"")</f>
        <v>0</v>
      </c>
      <c r="E72">
        <f>IF(NOT(ISBLANK(A72)),VLOOKUP(A72,'BBT3'!A:F,5,0),"")</f>
        <v>51363</v>
      </c>
      <c r="F72" t="str">
        <f>IF(NOT(ISBLANK(A72)),VLOOKUP(A72,'BBT3'!A:F,6,0),"")</f>
        <v>N</v>
      </c>
      <c r="G72">
        <f>IF(NOT(ISBLANK(A72)),VLOOKUP(A72,QW_Close!A:J,5,0),"")</f>
        <v>4.8575015137788002E-2</v>
      </c>
      <c r="H72" s="5" t="e" cm="1">
        <f t="array" ref="H72">IF(NOT(ISBLANK(A72)),((_xlfn.XLOOKUP(1,(_bbt3[[#All],[ID]]=A72)*(_bbt3[[#All],[METRIC_NAME]]="YLD_YTM_ASK"),_bbt3[[#All],[METRIC_VALUE]])*0.5)+(_xlfn.XLOOKUP(1,(_bbt3[[#All],[ID]]=A72)*(_bbt3[[#All],[METRIC_NAME]]="YLD_YTM_BID"),_bbt3[[#All],[METRIC_VALUE]])*0.5))/100,"")</f>
        <v>#N/A</v>
      </c>
      <c r="I72">
        <f>IF(ISNA(VLOOKUP(A72,QW_CloseDL!A:E,5,0)),0,VLOOKUP(A72,QW_CloseDL!A:E,5,0))</f>
        <v>4.8574835348612198E-2</v>
      </c>
      <c r="J72" s="8">
        <f t="shared" si="5"/>
        <v>1.7978917580402376E-3</v>
      </c>
      <c r="P72">
        <v>0</v>
      </c>
      <c r="Q72" t="e">
        <f t="shared" si="1"/>
        <v>#N/A</v>
      </c>
      <c r="R72" t="e">
        <f t="shared" si="2"/>
        <v>#N/A</v>
      </c>
      <c r="S72" s="9" t="e">
        <f t="shared" si="3"/>
        <v>#N/A</v>
      </c>
      <c r="T72" s="3" t="e">
        <f t="shared" si="4"/>
        <v>#N/A</v>
      </c>
    </row>
    <row r="73" spans="1:20" x14ac:dyDescent="0.35">
      <c r="A73" t="str">
        <v>912803DP5</v>
      </c>
      <c r="B73" t="str">
        <f>IF(NOT(ISBLANK(A73)),VLOOKUP(A73,'BBT3'!A:F,2,0),"")</f>
        <v>Bond</v>
      </c>
      <c r="C73" t="str">
        <f>IF(NOT(ISBLANK(A73)),VLOOKUP(A73,'BBT3'!A:F,3,0),"")</f>
        <v>US912803DP52</v>
      </c>
      <c r="D73" s="6">
        <f>IF(NOT(ISBLANK(A73)),VLOOKUP(A73,'BBT3'!A:F,4,1),"")</f>
        <v>0</v>
      </c>
      <c r="E73">
        <f>IF(NOT(ISBLANK(A73)),VLOOKUP(A73,'BBT3'!A:F,5,0),"")</f>
        <v>51455</v>
      </c>
      <c r="F73" t="str">
        <f>IF(NOT(ISBLANK(A73)),VLOOKUP(A73,'BBT3'!A:F,6,0),"")</f>
        <v>N</v>
      </c>
      <c r="G73">
        <f>IF(NOT(ISBLANK(A73)),VLOOKUP(A73,QW_Close!A:J,5,0),"")</f>
        <v>4.8765034877809997E-2</v>
      </c>
      <c r="H73" s="5" t="e" cm="1">
        <f t="array" ref="H73">IF(NOT(ISBLANK(A73)),((_xlfn.XLOOKUP(1,(_bbt3[[#All],[ID]]=A73)*(_bbt3[[#All],[METRIC_NAME]]="YLD_YTM_ASK"),_bbt3[[#All],[METRIC_VALUE]])*0.5)+(_xlfn.XLOOKUP(1,(_bbt3[[#All],[ID]]=A73)*(_bbt3[[#All],[METRIC_NAME]]="YLD_YTM_BID"),_bbt3[[#All],[METRIC_VALUE]])*0.5))/100,"")</f>
        <v>#N/A</v>
      </c>
      <c r="I73">
        <f>IF(ISNA(VLOOKUP(A73,QW_CloseDL!A:E,5,0)),0,VLOOKUP(A73,QW_CloseDL!A:E,5,0))</f>
        <v>4.8764903535487097E-2</v>
      </c>
      <c r="J73" s="8">
        <f t="shared" si="5"/>
        <v>1.3134232289963022E-3</v>
      </c>
      <c r="P73">
        <v>0</v>
      </c>
      <c r="Q73" t="e">
        <f t="shared" si="1"/>
        <v>#N/A</v>
      </c>
      <c r="R73" t="e">
        <f t="shared" si="2"/>
        <v>#N/A</v>
      </c>
      <c r="S73" s="9" t="e">
        <f t="shared" si="3"/>
        <v>#N/A</v>
      </c>
      <c r="T73" s="3" t="e">
        <f t="shared" si="4"/>
        <v>#N/A</v>
      </c>
    </row>
    <row r="74" spans="1:20" x14ac:dyDescent="0.35">
      <c r="A74" t="str">
        <v>912803DQ3</v>
      </c>
      <c r="B74" t="str">
        <f>IF(NOT(ISBLANK(A74)),VLOOKUP(A74,'BBT3'!A:F,2,0),"")</f>
        <v>Bond</v>
      </c>
      <c r="C74" t="str">
        <f>IF(NOT(ISBLANK(A74)),VLOOKUP(A74,'BBT3'!A:F,3,0),"")</f>
        <v>US912803DQ36</v>
      </c>
      <c r="D74" s="6">
        <f>IF(NOT(ISBLANK(A74)),VLOOKUP(A74,'BBT3'!A:F,4,1),"")</f>
        <v>0</v>
      </c>
      <c r="E74">
        <f>IF(NOT(ISBLANK(A74)),VLOOKUP(A74,'BBT3'!A:F,5,0),"")</f>
        <v>51547</v>
      </c>
      <c r="F74" t="str">
        <f>IF(NOT(ISBLANK(A74)),VLOOKUP(A74,'BBT3'!A:F,6,0),"")</f>
        <v>N</v>
      </c>
      <c r="G74">
        <f>IF(NOT(ISBLANK(A74)),VLOOKUP(A74,QW_Close!A:J,5,0),"")</f>
        <v>4.8869679016187703E-2</v>
      </c>
      <c r="H74" s="5" t="e" cm="1">
        <f t="array" ref="H74">IF(NOT(ISBLANK(A74)),((_xlfn.XLOOKUP(1,(_bbt3[[#All],[ID]]=A74)*(_bbt3[[#All],[METRIC_NAME]]="YLD_YTM_ASK"),_bbt3[[#All],[METRIC_VALUE]])*0.5)+(_xlfn.XLOOKUP(1,(_bbt3[[#All],[ID]]=A74)*(_bbt3[[#All],[METRIC_NAME]]="YLD_YTM_BID"),_bbt3[[#All],[METRIC_VALUE]])*0.5))/100,"")</f>
        <v>#N/A</v>
      </c>
      <c r="I74">
        <f>IF(ISNA(VLOOKUP(A74,QW_CloseDL!A:E,5,0)),0,VLOOKUP(A74,QW_CloseDL!A:E,5,0))</f>
        <v>4.88698931951334E-2</v>
      </c>
      <c r="J74" s="8">
        <f t="shared" si="5"/>
        <v>2.1417894569691898E-3</v>
      </c>
      <c r="P74">
        <v>0</v>
      </c>
      <c r="Q74" t="e">
        <f t="shared" si="1"/>
        <v>#N/A</v>
      </c>
      <c r="R74" t="e">
        <f t="shared" si="2"/>
        <v>#N/A</v>
      </c>
      <c r="S74" s="9" t="e">
        <f t="shared" si="3"/>
        <v>#N/A</v>
      </c>
      <c r="T74" s="3" t="e">
        <f t="shared" si="4"/>
        <v>#N/A</v>
      </c>
    </row>
    <row r="75" spans="1:20" x14ac:dyDescent="0.35">
      <c r="A75" t="str">
        <v>912803DS9</v>
      </c>
      <c r="B75" t="str">
        <f>IF(NOT(ISBLANK(A75)),VLOOKUP(A75,'BBT3'!A:F,2,0),"")</f>
        <v>Bond</v>
      </c>
      <c r="C75" t="str">
        <f>IF(NOT(ISBLANK(A75)),VLOOKUP(A75,'BBT3'!A:F,3,0),"")</f>
        <v>US912803DS91</v>
      </c>
      <c r="D75" s="6">
        <f>IF(NOT(ISBLANK(A75)),VLOOKUP(A75,'BBT3'!A:F,4,1),"")</f>
        <v>0</v>
      </c>
      <c r="E75">
        <f>IF(NOT(ISBLANK(A75)),VLOOKUP(A75,'BBT3'!A:F,5,0),"")</f>
        <v>51636</v>
      </c>
      <c r="F75" t="str">
        <f>IF(NOT(ISBLANK(A75)),VLOOKUP(A75,'BBT3'!A:F,6,0),"")</f>
        <v>N</v>
      </c>
      <c r="G75">
        <f>IF(NOT(ISBLANK(A75)),VLOOKUP(A75,QW_Close!A:J,5,0),"")</f>
        <v>4.9090054133151102E-2</v>
      </c>
      <c r="H75" s="5" t="e" cm="1">
        <f t="array" ref="H75">IF(NOT(ISBLANK(A75)),((_xlfn.XLOOKUP(1,(_bbt3[[#All],[ID]]=A75)*(_bbt3[[#All],[METRIC_NAME]]="YLD_YTM_ASK"),_bbt3[[#All],[METRIC_VALUE]])*0.5)+(_xlfn.XLOOKUP(1,(_bbt3[[#All],[ID]]=A75)*(_bbt3[[#All],[METRIC_NAME]]="YLD_YTM_BID"),_bbt3[[#All],[METRIC_VALUE]])*0.5))/100,"")</f>
        <v>#N/A</v>
      </c>
      <c r="I75">
        <f>IF(ISNA(VLOOKUP(A75,QW_CloseDL!A:E,5,0)),0,VLOOKUP(A75,QW_CloseDL!A:E,5,0))</f>
        <v>4.9090041240464698E-2</v>
      </c>
      <c r="J75" s="8">
        <f t="shared" si="5"/>
        <v>1.2892686404586406E-4</v>
      </c>
      <c r="P75">
        <v>0</v>
      </c>
      <c r="Q75" t="e">
        <f t="shared" si="1"/>
        <v>#N/A</v>
      </c>
      <c r="R75" t="e">
        <f t="shared" si="2"/>
        <v>#N/A</v>
      </c>
      <c r="S75" s="9" t="e">
        <f t="shared" si="3"/>
        <v>#N/A</v>
      </c>
      <c r="T75" s="3" t="e">
        <f t="shared" si="4"/>
        <v>#N/A</v>
      </c>
    </row>
    <row r="76" spans="1:20" x14ac:dyDescent="0.35">
      <c r="A76" t="str">
        <v>912803DT7</v>
      </c>
      <c r="B76" t="str">
        <f>IF(NOT(ISBLANK(A76)),VLOOKUP(A76,'BBT3'!A:F,2,0),"")</f>
        <v>Bond</v>
      </c>
      <c r="C76" t="str">
        <f>IF(NOT(ISBLANK(A76)),VLOOKUP(A76,'BBT3'!A:F,3,0),"")</f>
        <v>US912803DT74</v>
      </c>
      <c r="D76" s="6">
        <f>IF(NOT(ISBLANK(A76)),VLOOKUP(A76,'BBT3'!A:F,4,1),"")</f>
        <v>0</v>
      </c>
      <c r="E76">
        <f>IF(NOT(ISBLANK(A76)),VLOOKUP(A76,'BBT3'!A:F,5,0),"")</f>
        <v>51728</v>
      </c>
      <c r="F76" t="str">
        <f>IF(NOT(ISBLANK(A76)),VLOOKUP(A76,'BBT3'!A:F,6,0),"")</f>
        <v>N</v>
      </c>
      <c r="G76">
        <f>IF(NOT(ISBLANK(A76)),VLOOKUP(A76,QW_Close!A:J,5,0),"")</f>
        <v>4.9249625943477801E-2</v>
      </c>
      <c r="H76" s="5" t="e" cm="1">
        <f t="array" ref="H76">IF(NOT(ISBLANK(A76)),((_xlfn.XLOOKUP(1,(_bbt3[[#All],[ID]]=A76)*(_bbt3[[#All],[METRIC_NAME]]="YLD_YTM_ASK"),_bbt3[[#All],[METRIC_VALUE]])*0.5)+(_xlfn.XLOOKUP(1,(_bbt3[[#All],[ID]]=A76)*(_bbt3[[#All],[METRIC_NAME]]="YLD_YTM_BID"),_bbt3[[#All],[METRIC_VALUE]])*0.5))/100,"")</f>
        <v>#N/A</v>
      </c>
      <c r="I76">
        <f>IF(ISNA(VLOOKUP(A76,QW_CloseDL!A:E,5,0)),0,VLOOKUP(A76,QW_CloseDL!A:E,5,0))</f>
        <v>4.9249889702201198E-2</v>
      </c>
      <c r="J76" s="8">
        <f t="shared" si="5"/>
        <v>2.6375872339695627E-3</v>
      </c>
      <c r="P76">
        <v>0</v>
      </c>
      <c r="Q76" t="e">
        <f t="shared" si="1"/>
        <v>#N/A</v>
      </c>
      <c r="R76" t="e">
        <f t="shared" si="2"/>
        <v>#N/A</v>
      </c>
      <c r="S76" s="9" t="e">
        <f t="shared" si="3"/>
        <v>#N/A</v>
      </c>
      <c r="T76" s="3" t="e">
        <f t="shared" si="4"/>
        <v>#N/A</v>
      </c>
    </row>
    <row r="77" spans="1:20" x14ac:dyDescent="0.35">
      <c r="A77" t="str">
        <v>912803DU4</v>
      </c>
      <c r="B77" t="str">
        <f>IF(NOT(ISBLANK(A77)),VLOOKUP(A77,'BBT3'!A:F,2,0),"")</f>
        <v>Bond</v>
      </c>
      <c r="C77" t="str">
        <f>IF(NOT(ISBLANK(A77)),VLOOKUP(A77,'BBT3'!A:F,3,0),"")</f>
        <v>US912803DU48</v>
      </c>
      <c r="D77" s="6">
        <f>IF(NOT(ISBLANK(A77)),VLOOKUP(A77,'BBT3'!A:F,4,1),"")</f>
        <v>0</v>
      </c>
      <c r="E77">
        <f>IF(NOT(ISBLANK(A77)),VLOOKUP(A77,'BBT3'!A:F,5,0),"")</f>
        <v>51820</v>
      </c>
      <c r="F77" t="str">
        <f>IF(NOT(ISBLANK(A77)),VLOOKUP(A77,'BBT3'!A:F,6,0),"")</f>
        <v>N</v>
      </c>
      <c r="G77">
        <f>IF(NOT(ISBLANK(A77)),VLOOKUP(A77,QW_Close!A:J,5,0),"")</f>
        <v>4.9560009734436E-2</v>
      </c>
      <c r="H77" s="5" t="e" cm="1">
        <f t="array" ref="H77">IF(NOT(ISBLANK(A77)),((_xlfn.XLOOKUP(1,(_bbt3[[#All],[ID]]=A77)*(_bbt3[[#All],[METRIC_NAME]]="YLD_YTM_ASK"),_bbt3[[#All],[METRIC_VALUE]])*0.5)+(_xlfn.XLOOKUP(1,(_bbt3[[#All],[ID]]=A77)*(_bbt3[[#All],[METRIC_NAME]]="YLD_YTM_BID"),_bbt3[[#All],[METRIC_VALUE]])*0.5))/100,"")</f>
        <v>#N/A</v>
      </c>
      <c r="I77">
        <f>IF(ISNA(VLOOKUP(A77,QW_CloseDL!A:E,5,0)),0,VLOOKUP(A77,QW_CloseDL!A:E,5,0))</f>
        <v>4.9559905877427902E-2</v>
      </c>
      <c r="J77" s="8">
        <f t="shared" si="5"/>
        <v>1.0385700809772969E-3</v>
      </c>
      <c r="P77">
        <v>0</v>
      </c>
      <c r="Q77" t="e">
        <f t="shared" ref="Q77:Q140" si="6">VLOOKUP(P77,A:B,2,0)</f>
        <v>#N/A</v>
      </c>
      <c r="R77" t="e">
        <f t="shared" ref="R77:R140" si="7">VLOOKUP(P77,A:E,4,0)</f>
        <v>#N/A</v>
      </c>
      <c r="S77" s="9" t="e">
        <f t="shared" ref="S77:S140" si="8">VLOOKUP(P77,A:J,10,0)</f>
        <v>#N/A</v>
      </c>
      <c r="T77" s="3" t="e">
        <f t="shared" ref="T77:T140" si="9">VLOOKUP(P77,A:J,5,0)</f>
        <v>#N/A</v>
      </c>
    </row>
    <row r="78" spans="1:20" x14ac:dyDescent="0.35">
      <c r="A78" t="str">
        <v>912803DV2</v>
      </c>
      <c r="B78" t="str">
        <f>IF(NOT(ISBLANK(A78)),VLOOKUP(A78,'BBT3'!A:F,2,0),"")</f>
        <v>Bond</v>
      </c>
      <c r="C78" t="str">
        <f>IF(NOT(ISBLANK(A78)),VLOOKUP(A78,'BBT3'!A:F,3,0),"")</f>
        <v>US912803DV21</v>
      </c>
      <c r="D78" s="6">
        <f>IF(NOT(ISBLANK(A78)),VLOOKUP(A78,'BBT3'!A:F,4,1),"")</f>
        <v>0</v>
      </c>
      <c r="E78">
        <f>IF(NOT(ISBLANK(A78)),VLOOKUP(A78,'BBT3'!A:F,5,0),"")</f>
        <v>51912</v>
      </c>
      <c r="F78" t="str">
        <f>IF(NOT(ISBLANK(A78)),VLOOKUP(A78,'BBT3'!A:F,6,0),"")</f>
        <v>N</v>
      </c>
      <c r="G78">
        <f>IF(NOT(ISBLANK(A78)),VLOOKUP(A78,QW_Close!A:J,5,0),"")</f>
        <v>4.9769542246430598E-2</v>
      </c>
      <c r="H78" s="5" t="e" cm="1">
        <f t="array" ref="H78">IF(NOT(ISBLANK(A78)),((_xlfn.XLOOKUP(1,(_bbt3[[#All],[ID]]=A78)*(_bbt3[[#All],[METRIC_NAME]]="YLD_YTM_ASK"),_bbt3[[#All],[METRIC_VALUE]])*0.5)+(_xlfn.XLOOKUP(1,(_bbt3[[#All],[ID]]=A78)*(_bbt3[[#All],[METRIC_NAME]]="YLD_YTM_BID"),_bbt3[[#All],[METRIC_VALUE]])*0.5))/100,"")</f>
        <v>#N/A</v>
      </c>
      <c r="I78">
        <f>IF(ISNA(VLOOKUP(A78,QW_CloseDL!A:E,5,0)),0,VLOOKUP(A78,QW_CloseDL!A:E,5,0))</f>
        <v>4.9769904390562301E-2</v>
      </c>
      <c r="J78" s="8">
        <f t="shared" si="5"/>
        <v>3.6214413170337911E-3</v>
      </c>
      <c r="P78">
        <v>0</v>
      </c>
      <c r="Q78" t="e">
        <f t="shared" si="6"/>
        <v>#N/A</v>
      </c>
      <c r="R78" t="e">
        <f t="shared" si="7"/>
        <v>#N/A</v>
      </c>
      <c r="S78" s="9" t="e">
        <f t="shared" si="8"/>
        <v>#N/A</v>
      </c>
      <c r="T78" s="3" t="e">
        <f t="shared" si="9"/>
        <v>#N/A</v>
      </c>
    </row>
    <row r="79" spans="1:20" x14ac:dyDescent="0.35">
      <c r="A79" t="str">
        <v>912803DX8</v>
      </c>
      <c r="B79" t="str">
        <f>IF(NOT(ISBLANK(A79)),VLOOKUP(A79,'BBT3'!A:F,2,0),"")</f>
        <v>Bond</v>
      </c>
      <c r="C79" t="str">
        <f>IF(NOT(ISBLANK(A79)),VLOOKUP(A79,'BBT3'!A:F,3,0),"")</f>
        <v>US912803DX86</v>
      </c>
      <c r="D79" s="6">
        <f>IF(NOT(ISBLANK(A79)),VLOOKUP(A79,'BBT3'!A:F,4,1),"")</f>
        <v>0</v>
      </c>
      <c r="E79">
        <f>IF(NOT(ISBLANK(A79)),VLOOKUP(A79,'BBT3'!A:F,5,0),"")</f>
        <v>52001</v>
      </c>
      <c r="F79" t="str">
        <f>IF(NOT(ISBLANK(A79)),VLOOKUP(A79,'BBT3'!A:F,6,0),"")</f>
        <v>N</v>
      </c>
      <c r="G79">
        <f>IF(NOT(ISBLANK(A79)),VLOOKUP(A79,QW_Close!A:J,5,0),"")</f>
        <v>4.9904869453773502E-2</v>
      </c>
      <c r="H79" s="5" t="e" cm="1">
        <f t="array" ref="H79">IF(NOT(ISBLANK(A79)),((_xlfn.XLOOKUP(1,(_bbt3[[#All],[ID]]=A79)*(_bbt3[[#All],[METRIC_NAME]]="YLD_YTM_ASK"),_bbt3[[#All],[METRIC_VALUE]])*0.5)+(_xlfn.XLOOKUP(1,(_bbt3[[#All],[ID]]=A79)*(_bbt3[[#All],[METRIC_NAME]]="YLD_YTM_BID"),_bbt3[[#All],[METRIC_VALUE]])*0.5))/100,"")</f>
        <v>#N/A</v>
      </c>
      <c r="I79">
        <f>IF(ISNA(VLOOKUP(A79,QW_CloseDL!A:E,5,0)),0,VLOOKUP(A79,QW_CloseDL!A:E,5,0))</f>
        <v>4.9904911562981498E-2</v>
      </c>
      <c r="J79" s="8">
        <f t="shared" si="5"/>
        <v>4.2109207995522091E-4</v>
      </c>
      <c r="P79">
        <v>0</v>
      </c>
      <c r="Q79" t="e">
        <f t="shared" si="6"/>
        <v>#N/A</v>
      </c>
      <c r="R79" t="e">
        <f t="shared" si="7"/>
        <v>#N/A</v>
      </c>
      <c r="S79" s="9" t="e">
        <f t="shared" si="8"/>
        <v>#N/A</v>
      </c>
      <c r="T79" s="3" t="e">
        <f t="shared" si="9"/>
        <v>#N/A</v>
      </c>
    </row>
    <row r="80" spans="1:20" x14ac:dyDescent="0.35">
      <c r="A80" t="str">
        <v>912803DY6</v>
      </c>
      <c r="B80" t="str">
        <f>IF(NOT(ISBLANK(A80)),VLOOKUP(A80,'BBT3'!A:F,2,0),"")</f>
        <v>Bond</v>
      </c>
      <c r="C80" t="str">
        <f>IF(NOT(ISBLANK(A80)),VLOOKUP(A80,'BBT3'!A:F,3,0),"")</f>
        <v>US912803DY69</v>
      </c>
      <c r="D80" s="6">
        <f>IF(NOT(ISBLANK(A80)),VLOOKUP(A80,'BBT3'!A:F,4,1),"")</f>
        <v>0</v>
      </c>
      <c r="E80">
        <f>IF(NOT(ISBLANK(A80)),VLOOKUP(A80,'BBT3'!A:F,5,0),"")</f>
        <v>52093</v>
      </c>
      <c r="F80" t="str">
        <f>IF(NOT(ISBLANK(A80)),VLOOKUP(A80,'BBT3'!A:F,6,0),"")</f>
        <v>N</v>
      </c>
      <c r="G80">
        <f>IF(NOT(ISBLANK(A80)),VLOOKUP(A80,QW_Close!A:J,5,0),"")</f>
        <v>5.0094640863043501E-2</v>
      </c>
      <c r="H80" s="5" t="e" cm="1">
        <f t="array" ref="H80">IF(NOT(ISBLANK(A80)),((_xlfn.XLOOKUP(1,(_bbt3[[#All],[ID]]=A80)*(_bbt3[[#All],[METRIC_NAME]]="YLD_YTM_ASK"),_bbt3[[#All],[METRIC_VALUE]])*0.5)+(_xlfn.XLOOKUP(1,(_bbt3[[#All],[ID]]=A80)*(_bbt3[[#All],[METRIC_NAME]]="YLD_YTM_BID"),_bbt3[[#All],[METRIC_VALUE]])*0.5))/100,"")</f>
        <v>#N/A</v>
      </c>
      <c r="I80">
        <f>IF(ISNA(VLOOKUP(A80,QW_CloseDL!A:E,5,0)),0,VLOOKUP(A80,QW_CloseDL!A:E,5,0))</f>
        <v>5.0094910213940101E-2</v>
      </c>
      <c r="J80" s="8">
        <f t="shared" si="5"/>
        <v>2.6935089660062861E-3</v>
      </c>
      <c r="P80">
        <v>0</v>
      </c>
      <c r="Q80" t="e">
        <f t="shared" si="6"/>
        <v>#N/A</v>
      </c>
      <c r="R80" t="e">
        <f t="shared" si="7"/>
        <v>#N/A</v>
      </c>
      <c r="S80" s="9" t="e">
        <f t="shared" si="8"/>
        <v>#N/A</v>
      </c>
      <c r="T80" s="3" t="e">
        <f t="shared" si="9"/>
        <v>#N/A</v>
      </c>
    </row>
    <row r="81" spans="1:20" x14ac:dyDescent="0.35">
      <c r="A81" t="str">
        <v>912803DZ3</v>
      </c>
      <c r="B81" t="str">
        <f>IF(NOT(ISBLANK(A81)),VLOOKUP(A81,'BBT3'!A:F,2,0),"")</f>
        <v>Bond</v>
      </c>
      <c r="C81" t="str">
        <f>IF(NOT(ISBLANK(A81)),VLOOKUP(A81,'BBT3'!A:F,3,0),"")</f>
        <v>US912803DZ35</v>
      </c>
      <c r="D81" s="6">
        <f>IF(NOT(ISBLANK(A81)),VLOOKUP(A81,'BBT3'!A:F,4,1),"")</f>
        <v>0</v>
      </c>
      <c r="E81">
        <f>IF(NOT(ISBLANK(A81)),VLOOKUP(A81,'BBT3'!A:F,5,0),"")</f>
        <v>52185</v>
      </c>
      <c r="F81" t="str">
        <f>IF(NOT(ISBLANK(A81)),VLOOKUP(A81,'BBT3'!A:F,6,0),"")</f>
        <v>N</v>
      </c>
      <c r="G81">
        <f>IF(NOT(ISBLANK(A81)),VLOOKUP(A81,QW_Close!A:J,5,0),"")</f>
        <v>5.0300153908624599E-2</v>
      </c>
      <c r="H81" s="5" t="e" cm="1">
        <f t="array" ref="H81">IF(NOT(ISBLANK(A81)),((_xlfn.XLOOKUP(1,(_bbt3[[#All],[ID]]=A81)*(_bbt3[[#All],[METRIC_NAME]]="YLD_YTM_ASK"),_bbt3[[#All],[METRIC_VALUE]])*0.5)+(_xlfn.XLOOKUP(1,(_bbt3[[#All],[ID]]=A81)*(_bbt3[[#All],[METRIC_NAME]]="YLD_YTM_BID"),_bbt3[[#All],[METRIC_VALUE]])*0.5))/100,"")</f>
        <v>#N/A</v>
      </c>
      <c r="I81">
        <f>IF(ISNA(VLOOKUP(A81,QW_CloseDL!A:E,5,0)),0,VLOOKUP(A81,QW_CloseDL!A:E,5,0))</f>
        <v>5.0299900014095497E-2</v>
      </c>
      <c r="J81" s="8">
        <f t="shared" si="5"/>
        <v>2.5389452910223875E-3</v>
      </c>
      <c r="P81">
        <v>0</v>
      </c>
      <c r="Q81" t="e">
        <f t="shared" si="6"/>
        <v>#N/A</v>
      </c>
      <c r="R81" t="e">
        <f t="shared" si="7"/>
        <v>#N/A</v>
      </c>
      <c r="S81" s="9" t="e">
        <f t="shared" si="8"/>
        <v>#N/A</v>
      </c>
      <c r="T81" s="3" t="e">
        <f t="shared" si="9"/>
        <v>#N/A</v>
      </c>
    </row>
    <row r="82" spans="1:20" x14ac:dyDescent="0.35">
      <c r="A82" t="str">
        <v>912803EA7</v>
      </c>
      <c r="B82" t="str">
        <f>IF(NOT(ISBLANK(A82)),VLOOKUP(A82,'BBT3'!A:F,2,0),"")</f>
        <v>Bond</v>
      </c>
      <c r="C82" t="str">
        <f>IF(NOT(ISBLANK(A82)),VLOOKUP(A82,'BBT3'!A:F,3,0),"")</f>
        <v>US912803EA74</v>
      </c>
      <c r="D82" s="6">
        <f>IF(NOT(ISBLANK(A82)),VLOOKUP(A82,'BBT3'!A:F,4,1),"")</f>
        <v>0</v>
      </c>
      <c r="E82">
        <f>IF(NOT(ISBLANK(A82)),VLOOKUP(A82,'BBT3'!A:F,5,0),"")</f>
        <v>52277</v>
      </c>
      <c r="F82" t="str">
        <f>IF(NOT(ISBLANK(A82)),VLOOKUP(A82,'BBT3'!A:F,6,0),"")</f>
        <v>N</v>
      </c>
      <c r="G82">
        <f>IF(NOT(ISBLANK(A82)),VLOOKUP(A82,QW_Close!A:J,5,0),"")</f>
        <v>5.0465379531185101E-2</v>
      </c>
      <c r="H82" s="5" t="e" cm="1">
        <f t="array" ref="H82">IF(NOT(ISBLANK(A82)),((_xlfn.XLOOKUP(1,(_bbt3[[#All],[ID]]=A82)*(_bbt3[[#All],[METRIC_NAME]]="YLD_YTM_ASK"),_bbt3[[#All],[METRIC_VALUE]])*0.5)+(_xlfn.XLOOKUP(1,(_bbt3[[#All],[ID]]=A82)*(_bbt3[[#All],[METRIC_NAME]]="YLD_YTM_BID"),_bbt3[[#All],[METRIC_VALUE]])*0.5))/100,"")</f>
        <v>#N/A</v>
      </c>
      <c r="I82">
        <f>IF(ISNA(VLOOKUP(A82,QW_CloseDL!A:E,5,0)),0,VLOOKUP(A82,QW_CloseDL!A:E,5,0))</f>
        <v>5.0464907538801999E-2</v>
      </c>
      <c r="J82" s="8">
        <f t="shared" si="5"/>
        <v>4.7199238310119407E-3</v>
      </c>
      <c r="P82">
        <v>0</v>
      </c>
      <c r="Q82" t="e">
        <f t="shared" si="6"/>
        <v>#N/A</v>
      </c>
      <c r="R82" t="e">
        <f t="shared" si="7"/>
        <v>#N/A</v>
      </c>
      <c r="S82" s="9" t="e">
        <f t="shared" si="8"/>
        <v>#N/A</v>
      </c>
      <c r="T82" s="3" t="e">
        <f t="shared" si="9"/>
        <v>#N/A</v>
      </c>
    </row>
    <row r="83" spans="1:20" x14ac:dyDescent="0.35">
      <c r="A83" t="str">
        <v>912803EC3</v>
      </c>
      <c r="B83" t="str">
        <f>IF(NOT(ISBLANK(A83)),VLOOKUP(A83,'BBT3'!A:F,2,0),"")</f>
        <v>Bond</v>
      </c>
      <c r="C83" t="str">
        <f>IF(NOT(ISBLANK(A83)),VLOOKUP(A83,'BBT3'!A:F,3,0),"")</f>
        <v>US912803EC31</v>
      </c>
      <c r="D83" s="6">
        <f>IF(NOT(ISBLANK(A83)),VLOOKUP(A83,'BBT3'!A:F,4,1),"")</f>
        <v>0</v>
      </c>
      <c r="E83">
        <f>IF(NOT(ISBLANK(A83)),VLOOKUP(A83,'BBT3'!A:F,5,0),"")</f>
        <v>52366</v>
      </c>
      <c r="F83" t="str">
        <f>IF(NOT(ISBLANK(A83)),VLOOKUP(A83,'BBT3'!A:F,6,0),"")</f>
        <v>N</v>
      </c>
      <c r="G83">
        <f>IF(NOT(ISBLANK(A83)),VLOOKUP(A83,QW_Close!A:J,5,0),"")</f>
        <v>5.0580311965788799E-2</v>
      </c>
      <c r="H83" s="5" t="e" cm="1">
        <f t="array" ref="H83">IF(NOT(ISBLANK(A83)),((_xlfn.XLOOKUP(1,(_bbt3[[#All],[ID]]=A83)*(_bbt3[[#All],[METRIC_NAME]]="YLD_YTM_ASK"),_bbt3[[#All],[METRIC_VALUE]])*0.5)+(_xlfn.XLOOKUP(1,(_bbt3[[#All],[ID]]=A83)*(_bbt3[[#All],[METRIC_NAME]]="YLD_YTM_BID"),_bbt3[[#All],[METRIC_VALUE]])*0.5))/100,"")</f>
        <v>#N/A</v>
      </c>
      <c r="I83">
        <f>IF(ISNA(VLOOKUP(A83,QW_CloseDL!A:E,5,0)),0,VLOOKUP(A83,QW_CloseDL!A:E,5,0))</f>
        <v>5.0579897074798E-2</v>
      </c>
      <c r="J83" s="8">
        <f t="shared" si="5"/>
        <v>4.1489099079916603E-3</v>
      </c>
      <c r="P83">
        <v>0</v>
      </c>
      <c r="Q83" t="e">
        <f t="shared" si="6"/>
        <v>#N/A</v>
      </c>
      <c r="R83" t="e">
        <f t="shared" si="7"/>
        <v>#N/A</v>
      </c>
      <c r="S83" s="9" t="e">
        <f t="shared" si="8"/>
        <v>#N/A</v>
      </c>
      <c r="T83" s="3" t="e">
        <f t="shared" si="9"/>
        <v>#N/A</v>
      </c>
    </row>
    <row r="84" spans="1:20" x14ac:dyDescent="0.35">
      <c r="A84" t="str">
        <v>912803ED1</v>
      </c>
      <c r="B84" t="str">
        <f>IF(NOT(ISBLANK(A84)),VLOOKUP(A84,'BBT3'!A:F,2,0),"")</f>
        <v>Bond</v>
      </c>
      <c r="C84" t="str">
        <f>IF(NOT(ISBLANK(A84)),VLOOKUP(A84,'BBT3'!A:F,3,0),"")</f>
        <v>US912803ED14</v>
      </c>
      <c r="D84" s="6">
        <f>IF(NOT(ISBLANK(A84)),VLOOKUP(A84,'BBT3'!A:F,4,1),"")</f>
        <v>0</v>
      </c>
      <c r="E84">
        <f>IF(NOT(ISBLANK(A84)),VLOOKUP(A84,'BBT3'!A:F,5,0),"")</f>
        <v>52458</v>
      </c>
      <c r="F84" t="str">
        <f>IF(NOT(ISBLANK(A84)),VLOOKUP(A84,'BBT3'!A:F,6,0),"")</f>
        <v>N</v>
      </c>
      <c r="G84">
        <f>IF(NOT(ISBLANK(A84)),VLOOKUP(A84,QW_Close!A:J,5,0),"")</f>
        <v>5.06998637488787E-2</v>
      </c>
      <c r="H84" s="5" t="e" cm="1">
        <f t="array" ref="H84">IF(NOT(ISBLANK(A84)),((_xlfn.XLOOKUP(1,(_bbt3[[#All],[ID]]=A84)*(_bbt3[[#All],[METRIC_NAME]]="YLD_YTM_ASK"),_bbt3[[#All],[METRIC_VALUE]])*0.5)+(_xlfn.XLOOKUP(1,(_bbt3[[#All],[ID]]=A84)*(_bbt3[[#All],[METRIC_NAME]]="YLD_YTM_BID"),_bbt3[[#All],[METRIC_VALUE]])*0.5))/100,"")</f>
        <v>#N/A</v>
      </c>
      <c r="I84">
        <f>IF(ISNA(VLOOKUP(A84,QW_CloseDL!A:E,5,0)),0,VLOOKUP(A84,QW_CloseDL!A:E,5,0))</f>
        <v>5.0699895582744701E-2</v>
      </c>
      <c r="J84" s="8">
        <f t="shared" si="5"/>
        <v>3.1833866001584887E-4</v>
      </c>
      <c r="P84">
        <v>0</v>
      </c>
      <c r="Q84" t="e">
        <f t="shared" si="6"/>
        <v>#N/A</v>
      </c>
      <c r="R84" t="e">
        <f t="shared" si="7"/>
        <v>#N/A</v>
      </c>
      <c r="S84" s="9" t="e">
        <f t="shared" si="8"/>
        <v>#N/A</v>
      </c>
      <c r="T84" s="3" t="e">
        <f t="shared" si="9"/>
        <v>#N/A</v>
      </c>
    </row>
    <row r="85" spans="1:20" x14ac:dyDescent="0.35">
      <c r="A85" t="str">
        <v>912803EE9</v>
      </c>
      <c r="B85" t="str">
        <f>IF(NOT(ISBLANK(A85)),VLOOKUP(A85,'BBT3'!A:F,2,0),"")</f>
        <v>Bond</v>
      </c>
      <c r="C85" t="str">
        <f>IF(NOT(ISBLANK(A85)),VLOOKUP(A85,'BBT3'!A:F,3,0),"")</f>
        <v>US912803EE96</v>
      </c>
      <c r="D85" s="6">
        <f>IF(NOT(ISBLANK(A85)),VLOOKUP(A85,'BBT3'!A:F,4,1),"")</f>
        <v>0</v>
      </c>
      <c r="E85">
        <f>IF(NOT(ISBLANK(A85)),VLOOKUP(A85,'BBT3'!A:F,5,0),"")</f>
        <v>52550</v>
      </c>
      <c r="F85" t="str">
        <f>IF(NOT(ISBLANK(A85)),VLOOKUP(A85,'BBT3'!A:F,6,0),"")</f>
        <v>N</v>
      </c>
      <c r="G85">
        <f>IF(NOT(ISBLANK(A85)),VLOOKUP(A85,QW_Close!A:J,5,0),"")</f>
        <v>5.08349277472517E-2</v>
      </c>
      <c r="H85" s="5" t="e" cm="1">
        <f t="array" ref="H85">IF(NOT(ISBLANK(A85)),((_xlfn.XLOOKUP(1,(_bbt3[[#All],[ID]]=A85)*(_bbt3[[#All],[METRIC_NAME]]="YLD_YTM_ASK"),_bbt3[[#All],[METRIC_VALUE]])*0.5)+(_xlfn.XLOOKUP(1,(_bbt3[[#All],[ID]]=A85)*(_bbt3[[#All],[METRIC_NAME]]="YLD_YTM_BID"),_bbt3[[#All],[METRIC_VALUE]])*0.5))/100,"")</f>
        <v>#N/A</v>
      </c>
      <c r="I85">
        <f>IF(ISNA(VLOOKUP(A85,QW_CloseDL!A:E,5,0)),0,VLOOKUP(A85,QW_CloseDL!A:E,5,0))</f>
        <v>5.0834903539607797E-2</v>
      </c>
      <c r="J85" s="8">
        <f t="shared" si="5"/>
        <v>2.4207643903317866E-4</v>
      </c>
      <c r="P85">
        <v>0</v>
      </c>
      <c r="Q85" t="e">
        <f t="shared" si="6"/>
        <v>#N/A</v>
      </c>
      <c r="R85" t="e">
        <f t="shared" si="7"/>
        <v>#N/A</v>
      </c>
      <c r="S85" s="9" t="e">
        <f t="shared" si="8"/>
        <v>#N/A</v>
      </c>
      <c r="T85" s="3" t="e">
        <f t="shared" si="9"/>
        <v>#N/A</v>
      </c>
    </row>
    <row r="86" spans="1:20" x14ac:dyDescent="0.35">
      <c r="A86" t="str">
        <v>912803EF6</v>
      </c>
      <c r="B86" t="str">
        <f>IF(NOT(ISBLANK(A86)),VLOOKUP(A86,'BBT3'!A:F,2,0),"")</f>
        <v>Bond</v>
      </c>
      <c r="C86" t="str">
        <f>IF(NOT(ISBLANK(A86)),VLOOKUP(A86,'BBT3'!A:F,3,0),"")</f>
        <v>US912803EF61</v>
      </c>
      <c r="D86" s="6">
        <f>IF(NOT(ISBLANK(A86)),VLOOKUP(A86,'BBT3'!A:F,4,1),"")</f>
        <v>0</v>
      </c>
      <c r="E86">
        <f>IF(NOT(ISBLANK(A86)),VLOOKUP(A86,'BBT3'!A:F,5,0),"")</f>
        <v>52642</v>
      </c>
      <c r="F86" t="str">
        <f>IF(NOT(ISBLANK(A86)),VLOOKUP(A86,'BBT3'!A:F,6,0),"")</f>
        <v>N</v>
      </c>
      <c r="G86">
        <f>IF(NOT(ISBLANK(A86)),VLOOKUP(A86,QW_Close!A:J,5,0),"")</f>
        <v>5.0949933040801303E-2</v>
      </c>
      <c r="H86" s="5" t="e" cm="1">
        <f t="array" ref="H86">IF(NOT(ISBLANK(A86)),((_xlfn.XLOOKUP(1,(_bbt3[[#All],[ID]]=A86)*(_bbt3[[#All],[METRIC_NAME]]="YLD_YTM_ASK"),_bbt3[[#All],[METRIC_VALUE]])*0.5)+(_xlfn.XLOOKUP(1,(_bbt3[[#All],[ID]]=A86)*(_bbt3[[#All],[METRIC_NAME]]="YLD_YTM_BID"),_bbt3[[#All],[METRIC_VALUE]])*0.5))/100,"")</f>
        <v>#N/A</v>
      </c>
      <c r="I86">
        <f>IF(ISNA(VLOOKUP(A86,QW_CloseDL!A:E,5,0)),0,VLOOKUP(A86,QW_CloseDL!A:E,5,0))</f>
        <v>5.0949517335668298E-2</v>
      </c>
      <c r="J86" s="8">
        <f t="shared" si="5"/>
        <v>4.1570513300420719E-3</v>
      </c>
      <c r="P86">
        <v>0</v>
      </c>
      <c r="Q86" t="e">
        <f t="shared" si="6"/>
        <v>#N/A</v>
      </c>
      <c r="R86" t="e">
        <f t="shared" si="7"/>
        <v>#N/A</v>
      </c>
      <c r="S86" s="9" t="e">
        <f t="shared" si="8"/>
        <v>#N/A</v>
      </c>
      <c r="T86" s="3" t="e">
        <f t="shared" si="9"/>
        <v>#N/A</v>
      </c>
    </row>
    <row r="87" spans="1:20" x14ac:dyDescent="0.35">
      <c r="A87" t="str">
        <v>912803EH2</v>
      </c>
      <c r="B87" t="str">
        <f>IF(NOT(ISBLANK(A87)),VLOOKUP(A87,'BBT3'!A:F,2,0),"")</f>
        <v>Bond</v>
      </c>
      <c r="C87" t="str">
        <f>IF(NOT(ISBLANK(A87)),VLOOKUP(A87,'BBT3'!A:F,3,0),"")</f>
        <v>US912803EH28</v>
      </c>
      <c r="D87" s="6">
        <f>IF(NOT(ISBLANK(A87)),VLOOKUP(A87,'BBT3'!A:F,4,1),"")</f>
        <v>0</v>
      </c>
      <c r="E87">
        <f>IF(NOT(ISBLANK(A87)),VLOOKUP(A87,'BBT3'!A:F,5,0),"")</f>
        <v>52732</v>
      </c>
      <c r="F87" t="str">
        <f>IF(NOT(ISBLANK(A87)),VLOOKUP(A87,'BBT3'!A:F,6,0),"")</f>
        <v>N</v>
      </c>
      <c r="G87">
        <f>IF(NOT(ISBLANK(A87)),VLOOKUP(A87,QW_Close!A:J,5,0),"")</f>
        <v>5.1005190808590402E-2</v>
      </c>
      <c r="H87" s="5" t="e" cm="1">
        <f t="array" ref="H87">IF(NOT(ISBLANK(A87)),((_xlfn.XLOOKUP(1,(_bbt3[[#All],[ID]]=A87)*(_bbt3[[#All],[METRIC_NAME]]="YLD_YTM_ASK"),_bbt3[[#All],[METRIC_VALUE]])*0.5)+(_xlfn.XLOOKUP(1,(_bbt3[[#All],[ID]]=A87)*(_bbt3[[#All],[METRIC_NAME]]="YLD_YTM_BID"),_bbt3[[#All],[METRIC_VALUE]])*0.5))/100,"")</f>
        <v>#N/A</v>
      </c>
      <c r="I87">
        <f>IF(ISNA(VLOOKUP(A87,QW_CloseDL!A:E,5,0)),0,VLOOKUP(A87,QW_CloseDL!A:E,5,0))</f>
        <v>5.1004900861541302E-2</v>
      </c>
      <c r="J87" s="8">
        <f t="shared" si="5"/>
        <v>2.8994704909940383E-3</v>
      </c>
      <c r="P87">
        <v>0</v>
      </c>
      <c r="Q87" t="e">
        <f t="shared" si="6"/>
        <v>#N/A</v>
      </c>
      <c r="R87" t="e">
        <f t="shared" si="7"/>
        <v>#N/A</v>
      </c>
      <c r="S87" s="9" t="e">
        <f t="shared" si="8"/>
        <v>#N/A</v>
      </c>
      <c r="T87" s="3" t="e">
        <f t="shared" si="9"/>
        <v>#N/A</v>
      </c>
    </row>
    <row r="88" spans="1:20" x14ac:dyDescent="0.35">
      <c r="A88" t="str">
        <v>912803EJ8</v>
      </c>
      <c r="B88" t="str">
        <f>IF(NOT(ISBLANK(A88)),VLOOKUP(A88,'BBT3'!A:F,2,0),"")</f>
        <v>Bond</v>
      </c>
      <c r="C88" t="str">
        <f>IF(NOT(ISBLANK(A88)),VLOOKUP(A88,'BBT3'!A:F,3,0),"")</f>
        <v>US912803EJ83</v>
      </c>
      <c r="D88" s="6">
        <f>IF(NOT(ISBLANK(A88)),VLOOKUP(A88,'BBT3'!A:F,4,1),"")</f>
        <v>0</v>
      </c>
      <c r="E88">
        <f>IF(NOT(ISBLANK(A88)),VLOOKUP(A88,'BBT3'!A:F,5,0),"")</f>
        <v>52824</v>
      </c>
      <c r="F88" t="str">
        <f>IF(NOT(ISBLANK(A88)),VLOOKUP(A88,'BBT3'!A:F,6,0),"")</f>
        <v>N</v>
      </c>
      <c r="G88">
        <f>IF(NOT(ISBLANK(A88)),VLOOKUP(A88,QW_Close!A:J,5,0),"")</f>
        <v>5.1109883441757403E-2</v>
      </c>
      <c r="H88" s="5" t="e" cm="1">
        <f t="array" ref="H88">IF(NOT(ISBLANK(A88)),((_xlfn.XLOOKUP(1,(_bbt3[[#All],[ID]]=A88)*(_bbt3[[#All],[METRIC_NAME]]="YLD_YTM_ASK"),_bbt3[[#All],[METRIC_VALUE]])*0.5)+(_xlfn.XLOOKUP(1,(_bbt3[[#All],[ID]]=A88)*(_bbt3[[#All],[METRIC_NAME]]="YLD_YTM_BID"),_bbt3[[#All],[METRIC_VALUE]])*0.5))/100,"")</f>
        <v>#N/A</v>
      </c>
      <c r="I88">
        <f>IF(ISNA(VLOOKUP(A88,QW_CloseDL!A:E,5,0)),0,VLOOKUP(A88,QW_CloseDL!A:E,5,0))</f>
        <v>5.1109889710539799E-2</v>
      </c>
      <c r="J88" s="8">
        <f t="shared" si="5"/>
        <v>6.2687823959572953E-5</v>
      </c>
      <c r="P88">
        <v>0</v>
      </c>
      <c r="Q88" t="e">
        <f t="shared" si="6"/>
        <v>#N/A</v>
      </c>
      <c r="R88" t="e">
        <f t="shared" si="7"/>
        <v>#N/A</v>
      </c>
      <c r="S88" s="9" t="e">
        <f t="shared" si="8"/>
        <v>#N/A</v>
      </c>
      <c r="T88" s="3" t="e">
        <f t="shared" si="9"/>
        <v>#N/A</v>
      </c>
    </row>
    <row r="89" spans="1:20" x14ac:dyDescent="0.35">
      <c r="A89" t="str">
        <v>912803EK5</v>
      </c>
      <c r="B89" t="str">
        <f>IF(NOT(ISBLANK(A89)),VLOOKUP(A89,'BBT3'!A:F,2,0),"")</f>
        <v>Bond</v>
      </c>
      <c r="C89" t="str">
        <f>IF(NOT(ISBLANK(A89)),VLOOKUP(A89,'BBT3'!A:F,3,0),"")</f>
        <v>US912803EK56</v>
      </c>
      <c r="D89" s="6">
        <f>IF(NOT(ISBLANK(A89)),VLOOKUP(A89,'BBT3'!A:F,4,1),"")</f>
        <v>0</v>
      </c>
      <c r="E89">
        <f>IF(NOT(ISBLANK(A89)),VLOOKUP(A89,'BBT3'!A:F,5,0),"")</f>
        <v>52916</v>
      </c>
      <c r="F89" t="str">
        <f>IF(NOT(ISBLANK(A89)),VLOOKUP(A89,'BBT3'!A:F,6,0),"")</f>
        <v>N</v>
      </c>
      <c r="G89">
        <f>IF(NOT(ISBLANK(A89)),VLOOKUP(A89,QW_Close!A:J,5,0),"")</f>
        <v>5.1200044984033702E-2</v>
      </c>
      <c r="H89" s="5" t="e" cm="1">
        <f t="array" ref="H89">IF(NOT(ISBLANK(A89)),((_xlfn.XLOOKUP(1,(_bbt3[[#All],[ID]]=A89)*(_bbt3[[#All],[METRIC_NAME]]="YLD_YTM_ASK"),_bbt3[[#All],[METRIC_VALUE]])*0.5)+(_xlfn.XLOOKUP(1,(_bbt3[[#All],[ID]]=A89)*(_bbt3[[#All],[METRIC_NAME]]="YLD_YTM_BID"),_bbt3[[#All],[METRIC_VALUE]])*0.5))/100,"")</f>
        <v>#N/A</v>
      </c>
      <c r="I89">
        <f>IF(ISNA(VLOOKUP(A89,QW_CloseDL!A:E,5,0)),0,VLOOKUP(A89,QW_CloseDL!A:E,5,0))</f>
        <v>5.1199907652610399E-2</v>
      </c>
      <c r="J89" s="8">
        <f t="shared" si="5"/>
        <v>1.373314233027445E-3</v>
      </c>
      <c r="P89">
        <v>0</v>
      </c>
      <c r="Q89" t="e">
        <f t="shared" si="6"/>
        <v>#N/A</v>
      </c>
      <c r="R89" t="e">
        <f t="shared" si="7"/>
        <v>#N/A</v>
      </c>
      <c r="S89" s="9" t="e">
        <f t="shared" si="8"/>
        <v>#N/A</v>
      </c>
      <c r="T89" s="3" t="e">
        <f t="shared" si="9"/>
        <v>#N/A</v>
      </c>
    </row>
    <row r="90" spans="1:20" x14ac:dyDescent="0.35">
      <c r="A90" t="str">
        <v>912803EL3</v>
      </c>
      <c r="B90" t="str">
        <f>IF(NOT(ISBLANK(A90)),VLOOKUP(A90,'BBT3'!A:F,2,0),"")</f>
        <v>Bond</v>
      </c>
      <c r="C90" t="str">
        <f>IF(NOT(ISBLANK(A90)),VLOOKUP(A90,'BBT3'!A:F,3,0),"")</f>
        <v>US912803EL30</v>
      </c>
      <c r="D90" s="6">
        <f>IF(NOT(ISBLANK(A90)),VLOOKUP(A90,'BBT3'!A:F,4,1),"")</f>
        <v>0</v>
      </c>
      <c r="E90">
        <f>IF(NOT(ISBLANK(A90)),VLOOKUP(A90,'BBT3'!A:F,5,0),"")</f>
        <v>53008</v>
      </c>
      <c r="F90" t="str">
        <f>IF(NOT(ISBLANK(A90)),VLOOKUP(A90,'BBT3'!A:F,6,0),"")</f>
        <v>N</v>
      </c>
      <c r="G90">
        <f>IF(NOT(ISBLANK(A90)),VLOOKUP(A90,QW_Close!A:J,5,0),"")</f>
        <v>5.1225022950389297E-2</v>
      </c>
      <c r="H90" s="5" t="e" cm="1">
        <f t="array" ref="H90">IF(NOT(ISBLANK(A90)),((_xlfn.XLOOKUP(1,(_bbt3[[#All],[ID]]=A90)*(_bbt3[[#All],[METRIC_NAME]]="YLD_YTM_ASK"),_bbt3[[#All],[METRIC_VALUE]])*0.5)+(_xlfn.XLOOKUP(1,(_bbt3[[#All],[ID]]=A90)*(_bbt3[[#All],[METRIC_NAME]]="YLD_YTM_BID"),_bbt3[[#All],[METRIC_VALUE]])*0.5))/100,"")</f>
        <v>#N/A</v>
      </c>
      <c r="I90">
        <f>IF(ISNA(VLOOKUP(A90,QW_CloseDL!A:E,5,0)),0,VLOOKUP(A90,QW_CloseDL!A:E,5,0))</f>
        <v>5.1224626297572101E-2</v>
      </c>
      <c r="J90" s="8">
        <f t="shared" si="5"/>
        <v>3.9665281719586387E-3</v>
      </c>
      <c r="P90">
        <v>0</v>
      </c>
      <c r="Q90" t="e">
        <f t="shared" si="6"/>
        <v>#N/A</v>
      </c>
      <c r="R90" t="e">
        <f t="shared" si="7"/>
        <v>#N/A</v>
      </c>
      <c r="S90" s="9" t="e">
        <f t="shared" si="8"/>
        <v>#N/A</v>
      </c>
      <c r="T90" s="3" t="e">
        <f t="shared" si="9"/>
        <v>#N/A</v>
      </c>
    </row>
    <row r="91" spans="1:20" x14ac:dyDescent="0.35">
      <c r="A91" t="str">
        <v>912803EN9</v>
      </c>
      <c r="B91" t="str">
        <f>IF(NOT(ISBLANK(A91)),VLOOKUP(A91,'BBT3'!A:F,2,0),"")</f>
        <v>Bond</v>
      </c>
      <c r="C91" t="str">
        <f>IF(NOT(ISBLANK(A91)),VLOOKUP(A91,'BBT3'!A:F,3,0),"")</f>
        <v>US912803EN95</v>
      </c>
      <c r="D91" s="6">
        <f>IF(NOT(ISBLANK(A91)),VLOOKUP(A91,'BBT3'!A:F,4,1),"")</f>
        <v>0</v>
      </c>
      <c r="E91">
        <f>IF(NOT(ISBLANK(A91)),VLOOKUP(A91,'BBT3'!A:F,5,0),"")</f>
        <v>53097</v>
      </c>
      <c r="F91" t="str">
        <f>IF(NOT(ISBLANK(A91)),VLOOKUP(A91,'BBT3'!A:F,6,0),"")</f>
        <v>N</v>
      </c>
      <c r="G91">
        <f>IF(NOT(ISBLANK(A91)),VLOOKUP(A91,QW_Close!A:J,5,0),"")</f>
        <v>5.1289715372695298E-2</v>
      </c>
      <c r="H91" s="5" t="e" cm="1">
        <f t="array" ref="H91">IF(NOT(ISBLANK(A91)),((_xlfn.XLOOKUP(1,(_bbt3[[#All],[ID]]=A91)*(_bbt3[[#All],[METRIC_NAME]]="YLD_YTM_ASK"),_bbt3[[#All],[METRIC_VALUE]])*0.5)+(_xlfn.XLOOKUP(1,(_bbt3[[#All],[ID]]=A91)*(_bbt3[[#All],[METRIC_NAME]]="YLD_YTM_BID"),_bbt3[[#All],[METRIC_VALUE]])*0.5))/100,"")</f>
        <v>#N/A</v>
      </c>
      <c r="I91">
        <f>IF(ISNA(VLOOKUP(A91,QW_CloseDL!A:E,5,0)),0,VLOOKUP(A91,QW_CloseDL!A:E,5,0))</f>
        <v>5.1289905219460398E-2</v>
      </c>
      <c r="J91" s="8">
        <f t="shared" si="5"/>
        <v>1.8984676510014342E-3</v>
      </c>
      <c r="P91">
        <v>0</v>
      </c>
      <c r="Q91" t="e">
        <f t="shared" si="6"/>
        <v>#N/A</v>
      </c>
      <c r="R91" t="e">
        <f t="shared" si="7"/>
        <v>#N/A</v>
      </c>
      <c r="S91" s="9" t="e">
        <f t="shared" si="8"/>
        <v>#N/A</v>
      </c>
      <c r="T91" s="3" t="e">
        <f t="shared" si="9"/>
        <v>#N/A</v>
      </c>
    </row>
    <row r="92" spans="1:20" x14ac:dyDescent="0.35">
      <c r="A92" t="str">
        <v>912803EP4</v>
      </c>
      <c r="B92" t="str">
        <f>IF(NOT(ISBLANK(A92)),VLOOKUP(A92,'BBT3'!A:F,2,0),"")</f>
        <v>Bond</v>
      </c>
      <c r="C92" t="str">
        <f>IF(NOT(ISBLANK(A92)),VLOOKUP(A92,'BBT3'!A:F,3,0),"")</f>
        <v>US912803EP44</v>
      </c>
      <c r="D92" s="6">
        <f>IF(NOT(ISBLANK(A92)),VLOOKUP(A92,'BBT3'!A:F,4,1),"")</f>
        <v>0</v>
      </c>
      <c r="E92">
        <f>IF(NOT(ISBLANK(A92)),VLOOKUP(A92,'BBT3'!A:F,5,0),"")</f>
        <v>53189</v>
      </c>
      <c r="F92" t="str">
        <f>IF(NOT(ISBLANK(A92)),VLOOKUP(A92,'BBT3'!A:F,6,0),"")</f>
        <v>N</v>
      </c>
      <c r="G92">
        <f>IF(NOT(ISBLANK(A92)),VLOOKUP(A92,QW_Close!A:J,5,0),"")</f>
        <v>5.1334699795088097E-2</v>
      </c>
      <c r="H92" s="5" t="e" cm="1">
        <f t="array" ref="H92">IF(NOT(ISBLANK(A92)),((_xlfn.XLOOKUP(1,(_bbt3[[#All],[ID]]=A92)*(_bbt3[[#All],[METRIC_NAME]]="YLD_YTM_ASK"),_bbt3[[#All],[METRIC_VALUE]])*0.5)+(_xlfn.XLOOKUP(1,(_bbt3[[#All],[ID]]=A92)*(_bbt3[[#All],[METRIC_NAME]]="YLD_YTM_BID"),_bbt3[[#All],[METRIC_VALUE]])*0.5))/100,"")</f>
        <v>#N/A</v>
      </c>
      <c r="I92">
        <f>IF(ISNA(VLOOKUP(A92,QW_CloseDL!A:E,5,0)),0,VLOOKUP(A92,QW_CloseDL!A:E,5,0))</f>
        <v>5.1334913342560601E-2</v>
      </c>
      <c r="J92" s="8">
        <f t="shared" si="5"/>
        <v>2.1354747250373896E-3</v>
      </c>
      <c r="P92">
        <v>0</v>
      </c>
      <c r="Q92" t="e">
        <f t="shared" si="6"/>
        <v>#N/A</v>
      </c>
      <c r="R92" t="e">
        <f t="shared" si="7"/>
        <v>#N/A</v>
      </c>
      <c r="S92" s="9" t="e">
        <f t="shared" si="8"/>
        <v>#N/A</v>
      </c>
      <c r="T92" s="3" t="e">
        <f t="shared" si="9"/>
        <v>#N/A</v>
      </c>
    </row>
    <row r="93" spans="1:20" x14ac:dyDescent="0.35">
      <c r="A93" t="str">
        <v>912803EQ2</v>
      </c>
      <c r="B93" t="str">
        <f>IF(NOT(ISBLANK(A93)),VLOOKUP(A93,'BBT3'!A:F,2,0),"")</f>
        <v>Bond</v>
      </c>
      <c r="C93" t="str">
        <f>IF(NOT(ISBLANK(A93)),VLOOKUP(A93,'BBT3'!A:F,3,0),"")</f>
        <v>US912803EQ27</v>
      </c>
      <c r="D93" s="6">
        <f>IF(NOT(ISBLANK(A93)),VLOOKUP(A93,'BBT3'!A:F,4,1),"")</f>
        <v>0</v>
      </c>
      <c r="E93">
        <f>IF(NOT(ISBLANK(A93)),VLOOKUP(A93,'BBT3'!A:F,5,0),"")</f>
        <v>53281</v>
      </c>
      <c r="F93" t="str">
        <f>IF(NOT(ISBLANK(A93)),VLOOKUP(A93,'BBT3'!A:F,6,0),"")</f>
        <v>N</v>
      </c>
      <c r="G93">
        <f>IF(NOT(ISBLANK(A93)),VLOOKUP(A93,QW_Close!A:J,5,0),"")</f>
        <v>5.1404909298944299E-2</v>
      </c>
      <c r="H93" s="5" t="e" cm="1">
        <f t="array" ref="H93">IF(NOT(ISBLANK(A93)),((_xlfn.XLOOKUP(1,(_bbt3[[#All],[ID]]=A93)*(_bbt3[[#All],[METRIC_NAME]]="YLD_YTM_ASK"),_bbt3[[#All],[METRIC_VALUE]])*0.5)+(_xlfn.XLOOKUP(1,(_bbt3[[#All],[ID]]=A93)*(_bbt3[[#All],[METRIC_NAME]]="YLD_YTM_BID"),_bbt3[[#All],[METRIC_VALUE]])*0.5))/100,"")</f>
        <v>#N/A</v>
      </c>
      <c r="I93">
        <f>IF(ISNA(VLOOKUP(A93,QW_CloseDL!A:E,5,0)),0,VLOOKUP(A93,QW_CloseDL!A:E,5,0))</f>
        <v>5.1404912263913402E-2</v>
      </c>
      <c r="J93" s="8">
        <f t="shared" si="5"/>
        <v>2.9649691035693593E-5</v>
      </c>
      <c r="P93">
        <v>0</v>
      </c>
      <c r="Q93" t="e">
        <f t="shared" si="6"/>
        <v>#N/A</v>
      </c>
      <c r="R93" t="e">
        <f t="shared" si="7"/>
        <v>#N/A</v>
      </c>
      <c r="S93" s="9" t="e">
        <f t="shared" si="8"/>
        <v>#N/A</v>
      </c>
      <c r="T93" s="3" t="e">
        <f t="shared" si="9"/>
        <v>#N/A</v>
      </c>
    </row>
    <row r="94" spans="1:20" x14ac:dyDescent="0.35">
      <c r="A94" t="str">
        <v>912803ER0</v>
      </c>
      <c r="B94" t="str">
        <f>IF(NOT(ISBLANK(A94)),VLOOKUP(A94,'BBT3'!A:F,2,0),"")</f>
        <v>Bond</v>
      </c>
      <c r="C94" t="str">
        <f>IF(NOT(ISBLANK(A94)),VLOOKUP(A94,'BBT3'!A:F,3,0),"")</f>
        <v>US912803ER00</v>
      </c>
      <c r="D94" s="6">
        <f>IF(NOT(ISBLANK(A94)),VLOOKUP(A94,'BBT3'!A:F,4,1),"")</f>
        <v>0</v>
      </c>
      <c r="E94">
        <f>IF(NOT(ISBLANK(A94)),VLOOKUP(A94,'BBT3'!A:F,5,0),"")</f>
        <v>53373</v>
      </c>
      <c r="F94" t="str">
        <f>IF(NOT(ISBLANK(A94)),VLOOKUP(A94,'BBT3'!A:F,6,0),"")</f>
        <v>N</v>
      </c>
      <c r="G94">
        <f>IF(NOT(ISBLANK(A94)),VLOOKUP(A94,QW_Close!A:J,5,0),"")</f>
        <v>5.1414741950542901E-2</v>
      </c>
      <c r="H94" s="5" t="e" cm="1">
        <f t="array" ref="H94">IF(NOT(ISBLANK(A94)),((_xlfn.XLOOKUP(1,(_bbt3[[#All],[ID]]=A94)*(_bbt3[[#All],[METRIC_NAME]]="YLD_YTM_ASK"),_bbt3[[#All],[METRIC_VALUE]])*0.5)+(_xlfn.XLOOKUP(1,(_bbt3[[#All],[ID]]=A94)*(_bbt3[[#All],[METRIC_NAME]]="YLD_YTM_BID"),_bbt3[[#All],[METRIC_VALUE]])*0.5))/100,"")</f>
        <v>#N/A</v>
      </c>
      <c r="I94">
        <f>IF(ISNA(VLOOKUP(A94,QW_CloseDL!A:E,5,0)),0,VLOOKUP(A94,QW_CloseDL!A:E,5,0))</f>
        <v>5.1414792077308702E-2</v>
      </c>
      <c r="J94" s="8">
        <f t="shared" si="5"/>
        <v>5.0126765800684314E-4</v>
      </c>
      <c r="P94">
        <v>0</v>
      </c>
      <c r="Q94" t="e">
        <f t="shared" si="6"/>
        <v>#N/A</v>
      </c>
      <c r="R94" t="e">
        <f t="shared" si="7"/>
        <v>#N/A</v>
      </c>
      <c r="S94" s="9" t="e">
        <f t="shared" si="8"/>
        <v>#N/A</v>
      </c>
      <c r="T94" s="3" t="e">
        <f t="shared" si="9"/>
        <v>#N/A</v>
      </c>
    </row>
    <row r="95" spans="1:20" x14ac:dyDescent="0.35">
      <c r="A95" t="str">
        <v>912803ET6</v>
      </c>
      <c r="B95" t="str">
        <f>IF(NOT(ISBLANK(A95)),VLOOKUP(A95,'BBT3'!A:F,2,0),"")</f>
        <v>Bond</v>
      </c>
      <c r="C95" t="str">
        <f>IF(NOT(ISBLANK(A95)),VLOOKUP(A95,'BBT3'!A:F,3,0),"")</f>
        <v>US912803ET65</v>
      </c>
      <c r="D95" s="6">
        <f>IF(NOT(ISBLANK(A95)),VLOOKUP(A95,'BBT3'!A:F,4,1),"")</f>
        <v>0</v>
      </c>
      <c r="E95">
        <f>IF(NOT(ISBLANK(A95)),VLOOKUP(A95,'BBT3'!A:F,5,0),"")</f>
        <v>53462</v>
      </c>
      <c r="F95" t="str">
        <f>IF(NOT(ISBLANK(A95)),VLOOKUP(A95,'BBT3'!A:F,6,0),"")</f>
        <v>N</v>
      </c>
      <c r="G95">
        <f>IF(NOT(ISBLANK(A95)),VLOOKUP(A95,QW_Close!A:J,5,0),"")</f>
        <v>5.1460160931867303E-2</v>
      </c>
      <c r="H95" s="5" t="e" cm="1">
        <f t="array" ref="H95">IF(NOT(ISBLANK(A95)),((_xlfn.XLOOKUP(1,(_bbt3[[#All],[ID]]=A95)*(_bbt3[[#All],[METRIC_NAME]]="YLD_YTM_ASK"),_bbt3[[#All],[METRIC_VALUE]])*0.5)+(_xlfn.XLOOKUP(1,(_bbt3[[#All],[ID]]=A95)*(_bbt3[[#All],[METRIC_NAME]]="YLD_YTM_BID"),_bbt3[[#All],[METRIC_VALUE]])*0.5))/100,"")</f>
        <v>#N/A</v>
      </c>
      <c r="I95">
        <f>IF(ISNA(VLOOKUP(A95,QW_CloseDL!A:E,5,0)),0,VLOOKUP(A95,QW_CloseDL!A:E,5,0))</f>
        <v>5.14600369832948E-2</v>
      </c>
      <c r="J95" s="8">
        <f t="shared" si="5"/>
        <v>1.2394857250297431E-3</v>
      </c>
      <c r="P95">
        <v>0</v>
      </c>
      <c r="Q95" t="e">
        <f t="shared" si="6"/>
        <v>#N/A</v>
      </c>
      <c r="R95" t="e">
        <f t="shared" si="7"/>
        <v>#N/A</v>
      </c>
      <c r="S95" s="9" t="e">
        <f t="shared" si="8"/>
        <v>#N/A</v>
      </c>
      <c r="T95" s="3" t="e">
        <f t="shared" si="9"/>
        <v>#N/A</v>
      </c>
    </row>
    <row r="96" spans="1:20" x14ac:dyDescent="0.35">
      <c r="A96" t="str">
        <v>912803EU3</v>
      </c>
      <c r="B96" t="str">
        <f>IF(NOT(ISBLANK(A96)),VLOOKUP(A96,'BBT3'!A:F,2,0),"")</f>
        <v>Bond</v>
      </c>
      <c r="C96" t="str">
        <f>IF(NOT(ISBLANK(A96)),VLOOKUP(A96,'BBT3'!A:F,3,0),"")</f>
        <v>US912803EU39</v>
      </c>
      <c r="D96" s="6">
        <f>IF(NOT(ISBLANK(A96)),VLOOKUP(A96,'BBT3'!A:F,4,1),"")</f>
        <v>0</v>
      </c>
      <c r="E96">
        <f>IF(NOT(ISBLANK(A96)),VLOOKUP(A96,'BBT3'!A:F,5,0),"")</f>
        <v>53554</v>
      </c>
      <c r="F96" t="str">
        <f>IF(NOT(ISBLANK(A96)),VLOOKUP(A96,'BBT3'!A:F,6,0),"")</f>
        <v>N</v>
      </c>
      <c r="G96">
        <f>IF(NOT(ISBLANK(A96)),VLOOKUP(A96,QW_Close!A:J,5,0),"")</f>
        <v>5.1489767011859103E-2</v>
      </c>
      <c r="H96" s="5" t="e" cm="1">
        <f t="array" ref="H96">IF(NOT(ISBLANK(A96)),((_xlfn.XLOOKUP(1,(_bbt3[[#All],[ID]]=A96)*(_bbt3[[#All],[METRIC_NAME]]="YLD_YTM_ASK"),_bbt3[[#All],[METRIC_VALUE]])*0.5)+(_xlfn.XLOOKUP(1,(_bbt3[[#All],[ID]]=A96)*(_bbt3[[#All],[METRIC_NAME]]="YLD_YTM_BID"),_bbt3[[#All],[METRIC_VALUE]])*0.5))/100,"")</f>
        <v>#N/A</v>
      </c>
      <c r="I96">
        <f>IF(ISNA(VLOOKUP(A96,QW_CloseDL!A:E,5,0)),0,VLOOKUP(A96,QW_CloseDL!A:E,5,0))</f>
        <v>5.14899182842068E-2</v>
      </c>
      <c r="J96" s="8">
        <f t="shared" si="5"/>
        <v>1.5127234769679587E-3</v>
      </c>
      <c r="P96">
        <v>0</v>
      </c>
      <c r="Q96" t="e">
        <f t="shared" si="6"/>
        <v>#N/A</v>
      </c>
      <c r="R96" t="e">
        <f t="shared" si="7"/>
        <v>#N/A</v>
      </c>
      <c r="S96" s="9" t="e">
        <f t="shared" si="8"/>
        <v>#N/A</v>
      </c>
      <c r="T96" s="3" t="e">
        <f t="shared" si="9"/>
        <v>#N/A</v>
      </c>
    </row>
    <row r="97" spans="1:20" x14ac:dyDescent="0.35">
      <c r="A97" t="str">
        <v>912803EV1</v>
      </c>
      <c r="B97" t="str">
        <f>IF(NOT(ISBLANK(A97)),VLOOKUP(A97,'BBT3'!A:F,2,0),"")</f>
        <v>Bond</v>
      </c>
      <c r="C97" t="str">
        <f>IF(NOT(ISBLANK(A97)),VLOOKUP(A97,'BBT3'!A:F,3,0),"")</f>
        <v>US912803EV12</v>
      </c>
      <c r="D97" s="6">
        <f>IF(NOT(ISBLANK(A97)),VLOOKUP(A97,'BBT3'!A:F,4,1),"")</f>
        <v>0</v>
      </c>
      <c r="E97">
        <f>IF(NOT(ISBLANK(A97)),VLOOKUP(A97,'BBT3'!A:F,5,0),"")</f>
        <v>53646</v>
      </c>
      <c r="F97" t="str">
        <f>IF(NOT(ISBLANK(A97)),VLOOKUP(A97,'BBT3'!A:F,6,0),"")</f>
        <v>N</v>
      </c>
      <c r="G97">
        <f>IF(NOT(ISBLANK(A97)),VLOOKUP(A97,QW_Close!A:J,5,0),"")</f>
        <v>5.1520143369201701E-2</v>
      </c>
      <c r="H97" s="5" t="e" cm="1">
        <f t="array" ref="H97">IF(NOT(ISBLANK(A97)),((_xlfn.XLOOKUP(1,(_bbt3[[#All],[ID]]=A97)*(_bbt3[[#All],[METRIC_NAME]]="YLD_YTM_ASK"),_bbt3[[#All],[METRIC_VALUE]])*0.5)+(_xlfn.XLOOKUP(1,(_bbt3[[#All],[ID]]=A97)*(_bbt3[[#All],[METRIC_NAME]]="YLD_YTM_BID"),_bbt3[[#All],[METRIC_VALUE]])*0.5))/100,"")</f>
        <v>#N/A</v>
      </c>
      <c r="I97">
        <f>IF(ISNA(VLOOKUP(A97,QW_CloseDL!A:E,5,0)),0,VLOOKUP(A97,QW_CloseDL!A:E,5,0))</f>
        <v>5.1519917308546798E-2</v>
      </c>
      <c r="J97" s="8">
        <f t="shared" si="5"/>
        <v>2.2606065490371474E-3</v>
      </c>
      <c r="P97">
        <v>0</v>
      </c>
      <c r="Q97" t="e">
        <f t="shared" si="6"/>
        <v>#N/A</v>
      </c>
      <c r="R97" t="e">
        <f t="shared" si="7"/>
        <v>#N/A</v>
      </c>
      <c r="S97" s="9" t="e">
        <f t="shared" si="8"/>
        <v>#N/A</v>
      </c>
      <c r="T97" s="3" t="e">
        <f t="shared" si="9"/>
        <v>#N/A</v>
      </c>
    </row>
    <row r="98" spans="1:20" x14ac:dyDescent="0.35">
      <c r="A98" t="str">
        <v>912803EW9</v>
      </c>
      <c r="B98" t="str">
        <f>IF(NOT(ISBLANK(A98)),VLOOKUP(A98,'BBT3'!A:F,2,0),"")</f>
        <v>Bond</v>
      </c>
      <c r="C98" t="str">
        <f>IF(NOT(ISBLANK(A98)),VLOOKUP(A98,'BBT3'!A:F,3,0),"")</f>
        <v>US912803EW94</v>
      </c>
      <c r="D98" s="6">
        <f>IF(NOT(ISBLANK(A98)),VLOOKUP(A98,'BBT3'!A:F,4,1),"")</f>
        <v>0</v>
      </c>
      <c r="E98">
        <f>IF(NOT(ISBLANK(A98)),VLOOKUP(A98,'BBT3'!A:F,5,0),"")</f>
        <v>53738</v>
      </c>
      <c r="F98" t="str">
        <f>IF(NOT(ISBLANK(A98)),VLOOKUP(A98,'BBT3'!A:F,6,0),"")</f>
        <v>N</v>
      </c>
      <c r="G98">
        <f>IF(NOT(ISBLANK(A98)),VLOOKUP(A98,QW_Close!A:J,5,0),"")</f>
        <v>5.1554429079402303E-2</v>
      </c>
      <c r="H98" s="5" t="e" cm="1">
        <f t="array" ref="H98">IF(NOT(ISBLANK(A98)),((_xlfn.XLOOKUP(1,(_bbt3[[#All],[ID]]=A98)*(_bbt3[[#All],[METRIC_NAME]]="YLD_YTM_ASK"),_bbt3[[#All],[METRIC_VALUE]])*0.5)+(_xlfn.XLOOKUP(1,(_bbt3[[#All],[ID]]=A98)*(_bbt3[[#All],[METRIC_NAME]]="YLD_YTM_BID"),_bbt3[[#All],[METRIC_VALUE]])*0.5))/100,"")</f>
        <v>#N/A</v>
      </c>
      <c r="I98">
        <f>IF(ISNA(VLOOKUP(A98,QW_CloseDL!A:E,5,0)),0,VLOOKUP(A98,QW_CloseDL!A:E,5,0))</f>
        <v>5.1554906754140303E-2</v>
      </c>
      <c r="J98" s="8">
        <f t="shared" si="5"/>
        <v>4.7767473800031102E-3</v>
      </c>
      <c r="P98">
        <v>0</v>
      </c>
      <c r="Q98" t="e">
        <f t="shared" si="6"/>
        <v>#N/A</v>
      </c>
      <c r="R98" t="e">
        <f t="shared" si="7"/>
        <v>#N/A</v>
      </c>
      <c r="S98" s="9" t="e">
        <f t="shared" si="8"/>
        <v>#N/A</v>
      </c>
      <c r="T98" s="3" t="e">
        <f t="shared" si="9"/>
        <v>#N/A</v>
      </c>
    </row>
    <row r="99" spans="1:20" x14ac:dyDescent="0.35">
      <c r="A99" t="str">
        <v>912803EY5</v>
      </c>
      <c r="B99" t="str">
        <f>IF(NOT(ISBLANK(A99)),VLOOKUP(A99,'BBT3'!A:F,2,0),"")</f>
        <v>Bond</v>
      </c>
      <c r="C99" t="str">
        <f>IF(NOT(ISBLANK(A99)),VLOOKUP(A99,'BBT3'!A:F,3,0),"")</f>
        <v>US912803EY50</v>
      </c>
      <c r="D99" s="6">
        <f>IF(NOT(ISBLANK(A99)),VLOOKUP(A99,'BBT3'!A:F,4,1),"")</f>
        <v>0</v>
      </c>
      <c r="E99">
        <f>IF(NOT(ISBLANK(A99)),VLOOKUP(A99,'BBT3'!A:F,5,0),"")</f>
        <v>53827</v>
      </c>
      <c r="F99" t="str">
        <f>IF(NOT(ISBLANK(A99)),VLOOKUP(A99,'BBT3'!A:F,6,0),"")</f>
        <v>N</v>
      </c>
      <c r="G99">
        <f>IF(NOT(ISBLANK(A99)),VLOOKUP(A99,QW_Close!A:J,5,0),"")</f>
        <v>5.1569575174215801E-2</v>
      </c>
      <c r="H99" s="5" t="e" cm="1">
        <f t="array" ref="H99">IF(NOT(ISBLANK(A99)),((_xlfn.XLOOKUP(1,(_bbt3[[#All],[ID]]=A99)*(_bbt3[[#All],[METRIC_NAME]]="YLD_YTM_ASK"),_bbt3[[#All],[METRIC_VALUE]])*0.5)+(_xlfn.XLOOKUP(1,(_bbt3[[#All],[ID]]=A99)*(_bbt3[[#All],[METRIC_NAME]]="YLD_YTM_BID"),_bbt3[[#All],[METRIC_VALUE]])*0.5))/100,"")</f>
        <v>#N/A</v>
      </c>
      <c r="I99">
        <f>IF(ISNA(VLOOKUP(A99,QW_CloseDL!A:E,5,0)),0,VLOOKUP(A99,QW_CloseDL!A:E,5,0))</f>
        <v>5.1569915340740097E-2</v>
      </c>
      <c r="J99" s="8">
        <f t="shared" si="5"/>
        <v>3.4016652429580407E-3</v>
      </c>
      <c r="P99">
        <v>0</v>
      </c>
      <c r="Q99" t="e">
        <f t="shared" si="6"/>
        <v>#N/A</v>
      </c>
      <c r="R99" t="e">
        <f t="shared" si="7"/>
        <v>#N/A</v>
      </c>
      <c r="S99" s="9" t="e">
        <f t="shared" si="8"/>
        <v>#N/A</v>
      </c>
      <c r="T99" s="3" t="e">
        <f t="shared" si="9"/>
        <v>#N/A</v>
      </c>
    </row>
    <row r="100" spans="1:20" x14ac:dyDescent="0.35">
      <c r="A100" t="str">
        <v>912803EZ2</v>
      </c>
      <c r="B100" t="str">
        <f>IF(NOT(ISBLANK(A100)),VLOOKUP(A100,'BBT3'!A:F,2,0),"")</f>
        <v>Bond</v>
      </c>
      <c r="C100" t="str">
        <f>IF(NOT(ISBLANK(A100)),VLOOKUP(A100,'BBT3'!A:F,3,0),"")</f>
        <v>US912803EZ26</v>
      </c>
      <c r="D100" s="6">
        <f>IF(NOT(ISBLANK(A100)),VLOOKUP(A100,'BBT3'!A:F,4,1),"")</f>
        <v>0</v>
      </c>
      <c r="E100">
        <f>IF(NOT(ISBLANK(A100)),VLOOKUP(A100,'BBT3'!A:F,5,0),"")</f>
        <v>53919</v>
      </c>
      <c r="F100" t="str">
        <f>IF(NOT(ISBLANK(A100)),VLOOKUP(A100,'BBT3'!A:F,6,0),"")</f>
        <v>N</v>
      </c>
      <c r="G100">
        <f>IF(NOT(ISBLANK(A100)),VLOOKUP(A100,QW_Close!A:J,5,0),"")</f>
        <v>5.1639433095248398E-2</v>
      </c>
      <c r="H100" s="5" t="e" cm="1">
        <f t="array" ref="H100">IF(NOT(ISBLANK(A100)),((_xlfn.XLOOKUP(1,(_bbt3[[#All],[ID]]=A100)*(_bbt3[[#All],[METRIC_NAME]]="YLD_YTM_ASK"),_bbt3[[#All],[METRIC_VALUE]])*0.5)+(_xlfn.XLOOKUP(1,(_bbt3[[#All],[ID]]=A100)*(_bbt3[[#All],[METRIC_NAME]]="YLD_YTM_BID"),_bbt3[[#All],[METRIC_VALUE]])*0.5))/100,"")</f>
        <v>#N/A</v>
      </c>
      <c r="I100">
        <f>IF(ISNA(VLOOKUP(A100,QW_CloseDL!A:E,5,0)),0,VLOOKUP(A100,QW_CloseDL!A:E,5,0))</f>
        <v>5.1639872041755498E-2</v>
      </c>
      <c r="J100" s="8">
        <f t="shared" si="5"/>
        <v>4.3894650710030181E-3</v>
      </c>
      <c r="P100">
        <v>0</v>
      </c>
      <c r="Q100" t="e">
        <f t="shared" si="6"/>
        <v>#N/A</v>
      </c>
      <c r="R100" t="e">
        <f t="shared" si="7"/>
        <v>#N/A</v>
      </c>
      <c r="S100" s="9" t="e">
        <f t="shared" si="8"/>
        <v>#N/A</v>
      </c>
      <c r="T100" s="3" t="e">
        <f t="shared" si="9"/>
        <v>#N/A</v>
      </c>
    </row>
    <row r="101" spans="1:20" x14ac:dyDescent="0.35">
      <c r="A101" t="str">
        <v>912803FA6</v>
      </c>
      <c r="B101" t="str">
        <f>IF(NOT(ISBLANK(A101)),VLOOKUP(A101,'BBT3'!A:F,2,0),"")</f>
        <v>Bond</v>
      </c>
      <c r="C101" t="str">
        <f>IF(NOT(ISBLANK(A101)),VLOOKUP(A101,'BBT3'!A:F,3,0),"")</f>
        <v>US912803FA65</v>
      </c>
      <c r="D101" s="6">
        <f>IF(NOT(ISBLANK(A101)),VLOOKUP(A101,'BBT3'!A:F,4,1),"")</f>
        <v>0</v>
      </c>
      <c r="E101">
        <f>IF(NOT(ISBLANK(A101)),VLOOKUP(A101,'BBT3'!A:F,5,0),"")</f>
        <v>54011</v>
      </c>
      <c r="F101" t="str">
        <f>IF(NOT(ISBLANK(A101)),VLOOKUP(A101,'BBT3'!A:F,6,0),"")</f>
        <v>N</v>
      </c>
      <c r="G101">
        <f>IF(NOT(ISBLANK(A101)),VLOOKUP(A101,QW_Close!A:J,5,0),"")</f>
        <v>5.1620375672046602E-2</v>
      </c>
      <c r="H101" s="5" t="e" cm="1">
        <f t="array" ref="H101">IF(NOT(ISBLANK(A101)),((_xlfn.XLOOKUP(1,(_bbt3[[#All],[ID]]=A101)*(_bbt3[[#All],[METRIC_NAME]]="YLD_YTM_ASK"),_bbt3[[#All],[METRIC_VALUE]])*0.5)+(_xlfn.XLOOKUP(1,(_bbt3[[#All],[ID]]=A101)*(_bbt3[[#All],[METRIC_NAME]]="YLD_YTM_BID"),_bbt3[[#All],[METRIC_VALUE]])*0.5))/100,"")</f>
        <v>#N/A</v>
      </c>
      <c r="I101">
        <f>IF(ISNA(VLOOKUP(A101,QW_CloseDL!A:E,5,0)),0,VLOOKUP(A101,QW_CloseDL!A:E,5,0))</f>
        <v>5.16199133650126E-2</v>
      </c>
      <c r="J101" s="8">
        <f t="shared" si="5"/>
        <v>4.6230703400207407E-3</v>
      </c>
      <c r="P101">
        <v>0</v>
      </c>
      <c r="Q101" t="e">
        <f t="shared" si="6"/>
        <v>#N/A</v>
      </c>
      <c r="R101" t="e">
        <f t="shared" si="7"/>
        <v>#N/A</v>
      </c>
      <c r="S101" s="9" t="e">
        <f t="shared" si="8"/>
        <v>#N/A</v>
      </c>
      <c r="T101" s="3" t="e">
        <f t="shared" si="9"/>
        <v>#N/A</v>
      </c>
    </row>
    <row r="102" spans="1:20" x14ac:dyDescent="0.35">
      <c r="A102" t="str">
        <v>912803FB4</v>
      </c>
      <c r="B102" t="str">
        <f>IF(NOT(ISBLANK(A102)),VLOOKUP(A102,'BBT3'!A:F,2,0),"")</f>
        <v>Bond</v>
      </c>
      <c r="C102" t="str">
        <f>IF(NOT(ISBLANK(A102)),VLOOKUP(A102,'BBT3'!A:F,3,0),"")</f>
        <v>US912803FB49</v>
      </c>
      <c r="D102" s="6">
        <f>IF(NOT(ISBLANK(A102)),VLOOKUP(A102,'BBT3'!A:F,4,1),"")</f>
        <v>0</v>
      </c>
      <c r="E102">
        <f>IF(NOT(ISBLANK(A102)),VLOOKUP(A102,'BBT3'!A:F,5,0),"")</f>
        <v>54103</v>
      </c>
      <c r="F102" t="str">
        <f>IF(NOT(ISBLANK(A102)),VLOOKUP(A102,'BBT3'!A:F,6,0),"")</f>
        <v>N</v>
      </c>
      <c r="G102">
        <f>IF(NOT(ISBLANK(A102)),VLOOKUP(A102,QW_Close!A:J,5,0),"")</f>
        <v>5.1649883271668098E-2</v>
      </c>
      <c r="H102" s="5" t="e" cm="1">
        <f t="array" ref="H102">IF(NOT(ISBLANK(A102)),((_xlfn.XLOOKUP(1,(_bbt3[[#All],[ID]]=A102)*(_bbt3[[#All],[METRIC_NAME]]="YLD_YTM_ASK"),_bbt3[[#All],[METRIC_VALUE]])*0.5)+(_xlfn.XLOOKUP(1,(_bbt3[[#All],[ID]]=A102)*(_bbt3[[#All],[METRIC_NAME]]="YLD_YTM_BID"),_bbt3[[#All],[METRIC_VALUE]])*0.5))/100,"")</f>
        <v>#N/A</v>
      </c>
      <c r="I102">
        <f>IF(ISNA(VLOOKUP(A102,QW_CloseDL!A:E,5,0)),0,VLOOKUP(A102,QW_CloseDL!A:E,5,0))</f>
        <v>5.1649912369173198E-2</v>
      </c>
      <c r="J102" s="8">
        <f t="shared" si="5"/>
        <v>2.909750509982878E-4</v>
      </c>
      <c r="P102">
        <v>0</v>
      </c>
      <c r="Q102" t="e">
        <f t="shared" si="6"/>
        <v>#N/A</v>
      </c>
      <c r="R102" t="e">
        <f t="shared" si="7"/>
        <v>#N/A</v>
      </c>
      <c r="S102" s="9" t="e">
        <f t="shared" si="8"/>
        <v>#N/A</v>
      </c>
      <c r="T102" s="3" t="e">
        <f t="shared" si="9"/>
        <v>#N/A</v>
      </c>
    </row>
    <row r="103" spans="1:20" x14ac:dyDescent="0.35">
      <c r="A103" t="str">
        <v>912803FD0</v>
      </c>
      <c r="B103" t="str">
        <f>IF(NOT(ISBLANK(A103)),VLOOKUP(A103,'BBT3'!A:F,2,0),"")</f>
        <v>Bond</v>
      </c>
      <c r="C103" t="str">
        <f>IF(NOT(ISBLANK(A103)),VLOOKUP(A103,'BBT3'!A:F,3,0),"")</f>
        <v>US912803FD05</v>
      </c>
      <c r="D103" s="6">
        <f>IF(NOT(ISBLANK(A103)),VLOOKUP(A103,'BBT3'!A:F,4,1),"")</f>
        <v>0</v>
      </c>
      <c r="E103">
        <f>IF(NOT(ISBLANK(A103)),VLOOKUP(A103,'BBT3'!A:F,5,0),"")</f>
        <v>54193</v>
      </c>
      <c r="F103" t="str">
        <f>IF(NOT(ISBLANK(A103)),VLOOKUP(A103,'BBT3'!A:F,6,0),"")</f>
        <v>N</v>
      </c>
      <c r="G103">
        <f>IF(NOT(ISBLANK(A103)),VLOOKUP(A103,QW_Close!A:J,5,0),"")</f>
        <v>5.16446410976414E-2</v>
      </c>
      <c r="H103" s="5" t="e" cm="1">
        <f t="array" ref="H103">IF(NOT(ISBLANK(A103)),((_xlfn.XLOOKUP(1,(_bbt3[[#All],[ID]]=A103)*(_bbt3[[#All],[METRIC_NAME]]="YLD_YTM_ASK"),_bbt3[[#All],[METRIC_VALUE]])*0.5)+(_xlfn.XLOOKUP(1,(_bbt3[[#All],[ID]]=A103)*(_bbt3[[#All],[METRIC_NAME]]="YLD_YTM_BID"),_bbt3[[#All],[METRIC_VALUE]])*0.5))/100,"")</f>
        <v>#N/A</v>
      </c>
      <c r="I103">
        <f>IF(ISNA(VLOOKUP(A103,QW_CloseDL!A:E,5,0)),0,VLOOKUP(A103,QW_CloseDL!A:E,5,0))</f>
        <v>5.16449012760739E-2</v>
      </c>
      <c r="J103" s="8">
        <f t="shared" si="5"/>
        <v>2.6017843249986905E-3</v>
      </c>
      <c r="P103">
        <v>0</v>
      </c>
      <c r="Q103" t="e">
        <f t="shared" si="6"/>
        <v>#N/A</v>
      </c>
      <c r="R103" t="e">
        <f t="shared" si="7"/>
        <v>#N/A</v>
      </c>
      <c r="S103" s="9" t="e">
        <f t="shared" si="8"/>
        <v>#N/A</v>
      </c>
      <c r="T103" s="3" t="e">
        <f t="shared" si="9"/>
        <v>#N/A</v>
      </c>
    </row>
    <row r="104" spans="1:20" x14ac:dyDescent="0.35">
      <c r="A104" t="str">
        <v>912803FE8</v>
      </c>
      <c r="B104" t="str">
        <f>IF(NOT(ISBLANK(A104)),VLOOKUP(A104,'BBT3'!A:F,2,0),"")</f>
        <v>Bond</v>
      </c>
      <c r="C104" t="str">
        <f>IF(NOT(ISBLANK(A104)),VLOOKUP(A104,'BBT3'!A:F,3,0),"")</f>
        <v>US912803FE87</v>
      </c>
      <c r="D104" s="6">
        <f>IF(NOT(ISBLANK(A104)),VLOOKUP(A104,'BBT3'!A:F,4,1),"")</f>
        <v>0</v>
      </c>
      <c r="E104">
        <f>IF(NOT(ISBLANK(A104)),VLOOKUP(A104,'BBT3'!A:F,5,0),"")</f>
        <v>54285</v>
      </c>
      <c r="F104" t="str">
        <f>IF(NOT(ISBLANK(A104)),VLOOKUP(A104,'BBT3'!A:F,6,0),"")</f>
        <v>N</v>
      </c>
      <c r="G104">
        <f>IF(NOT(ISBLANK(A104)),VLOOKUP(A104,QW_Close!A:J,5,0),"")</f>
        <v>5.16797516565227E-2</v>
      </c>
      <c r="H104" s="5" t="e" cm="1">
        <f t="array" ref="H104">IF(NOT(ISBLANK(A104)),((_xlfn.XLOOKUP(1,(_bbt3[[#All],[ID]]=A104)*(_bbt3[[#All],[METRIC_NAME]]="YLD_YTM_ASK"),_bbt3[[#All],[METRIC_VALUE]])*0.5)+(_xlfn.XLOOKUP(1,(_bbt3[[#All],[ID]]=A104)*(_bbt3[[#All],[METRIC_NAME]]="YLD_YTM_BID"),_bbt3[[#All],[METRIC_VALUE]])*0.5))/100,"")</f>
        <v>#N/A</v>
      </c>
      <c r="I104">
        <f>IF(ISNA(VLOOKUP(A104,QW_CloseDL!A:E,5,0)),0,VLOOKUP(A104,QW_CloseDL!A:E,5,0))</f>
        <v>5.1679910401526703E-2</v>
      </c>
      <c r="J104" s="8">
        <f t="shared" si="5"/>
        <v>1.5874500400303582E-3</v>
      </c>
      <c r="P104">
        <v>0</v>
      </c>
      <c r="Q104" t="e">
        <f t="shared" si="6"/>
        <v>#N/A</v>
      </c>
      <c r="R104" t="e">
        <f t="shared" si="7"/>
        <v>#N/A</v>
      </c>
      <c r="S104" s="9" t="e">
        <f t="shared" si="8"/>
        <v>#N/A</v>
      </c>
      <c r="T104" s="3" t="e">
        <f t="shared" si="9"/>
        <v>#N/A</v>
      </c>
    </row>
    <row r="105" spans="1:20" x14ac:dyDescent="0.35">
      <c r="A105" t="str">
        <v>912803FF5</v>
      </c>
      <c r="B105" t="str">
        <f>IF(NOT(ISBLANK(A105)),VLOOKUP(A105,'BBT3'!A:F,2,0),"")</f>
        <v>Bond</v>
      </c>
      <c r="C105" t="str">
        <f>IF(NOT(ISBLANK(A105)),VLOOKUP(A105,'BBT3'!A:F,3,0),"")</f>
        <v>US912803FF52</v>
      </c>
      <c r="D105" s="6">
        <f>IF(NOT(ISBLANK(A105)),VLOOKUP(A105,'BBT3'!A:F,4,1),"")</f>
        <v>0</v>
      </c>
      <c r="E105">
        <f>IF(NOT(ISBLANK(A105)),VLOOKUP(A105,'BBT3'!A:F,5,0),"")</f>
        <v>54377</v>
      </c>
      <c r="F105" t="str">
        <f>IF(NOT(ISBLANK(A105)),VLOOKUP(A105,'BBT3'!A:F,6,0),"")</f>
        <v>N</v>
      </c>
      <c r="G105">
        <f>IF(NOT(ISBLANK(A105)),VLOOKUP(A105,QW_Close!A:J,5,0),"")</f>
        <v>5.1655025770455602E-2</v>
      </c>
      <c r="H105" s="5" t="e" cm="1">
        <f t="array" ref="H105">IF(NOT(ISBLANK(A105)),((_xlfn.XLOOKUP(1,(_bbt3[[#All],[ID]]=A105)*(_bbt3[[#All],[METRIC_NAME]]="YLD_YTM_ASK"),_bbt3[[#All],[METRIC_VALUE]])*0.5)+(_xlfn.XLOOKUP(1,(_bbt3[[#All],[ID]]=A105)*(_bbt3[[#All],[METRIC_NAME]]="YLD_YTM_BID"),_bbt3[[#All],[METRIC_VALUE]])*0.5))/100,"")</f>
        <v>#N/A</v>
      </c>
      <c r="I105">
        <f>IF(ISNA(VLOOKUP(A105,QW_CloseDL!A:E,5,0)),0,VLOOKUP(A105,QW_CloseDL!A:E,5,0))</f>
        <v>5.1654899073642499E-2</v>
      </c>
      <c r="J105" s="8">
        <f t="shared" si="5"/>
        <v>1.2669681310334413E-3</v>
      </c>
      <c r="P105">
        <v>0</v>
      </c>
      <c r="Q105" t="e">
        <f t="shared" si="6"/>
        <v>#N/A</v>
      </c>
      <c r="R105" t="e">
        <f t="shared" si="7"/>
        <v>#N/A</v>
      </c>
      <c r="S105" s="9" t="e">
        <f t="shared" si="8"/>
        <v>#N/A</v>
      </c>
      <c r="T105" s="3" t="e">
        <f t="shared" si="9"/>
        <v>#N/A</v>
      </c>
    </row>
    <row r="106" spans="1:20" x14ac:dyDescent="0.35">
      <c r="A106" t="str">
        <v>912803FG3</v>
      </c>
      <c r="B106" t="str">
        <f>IF(NOT(ISBLANK(A106)),VLOOKUP(A106,'BBT3'!A:F,2,0),"")</f>
        <v>Bond</v>
      </c>
      <c r="C106" t="str">
        <f>IF(NOT(ISBLANK(A106)),VLOOKUP(A106,'BBT3'!A:F,3,0),"")</f>
        <v>US912803FG36</v>
      </c>
      <c r="D106" s="6">
        <f>IF(NOT(ISBLANK(A106)),VLOOKUP(A106,'BBT3'!A:F,4,1),"")</f>
        <v>0</v>
      </c>
      <c r="E106">
        <f>IF(NOT(ISBLANK(A106)),VLOOKUP(A106,'BBT3'!A:F,5,0),"")</f>
        <v>54469</v>
      </c>
      <c r="F106" t="str">
        <f>IF(NOT(ISBLANK(A106)),VLOOKUP(A106,'BBT3'!A:F,6,0),"")</f>
        <v>N</v>
      </c>
      <c r="G106">
        <f>IF(NOT(ISBLANK(A106)),VLOOKUP(A106,QW_Close!A:J,5,0),"")</f>
        <v>5.1664443835029598E-2</v>
      </c>
      <c r="H106" s="5" t="e" cm="1">
        <f t="array" ref="H106">IF(NOT(ISBLANK(A106)),((_xlfn.XLOOKUP(1,(_bbt3[[#All],[ID]]=A106)*(_bbt3[[#All],[METRIC_NAME]]="YLD_YTM_ASK"),_bbt3[[#All],[METRIC_VALUE]])*0.5)+(_xlfn.XLOOKUP(1,(_bbt3[[#All],[ID]]=A106)*(_bbt3[[#All],[METRIC_NAME]]="YLD_YTM_BID"),_bbt3[[#All],[METRIC_VALUE]])*0.5))/100,"")</f>
        <v>#N/A</v>
      </c>
      <c r="I106">
        <f>IF(ISNA(VLOOKUP(A106,QW_CloseDL!A:E,5,0)),0,VLOOKUP(A106,QW_CloseDL!A:E,5,0))</f>
        <v>5.1664918313715898E-2</v>
      </c>
      <c r="J106" s="8">
        <f t="shared" si="5"/>
        <v>4.7447868629924006E-3</v>
      </c>
      <c r="P106">
        <v>0</v>
      </c>
      <c r="Q106" t="e">
        <f t="shared" si="6"/>
        <v>#N/A</v>
      </c>
      <c r="R106" t="e">
        <f t="shared" si="7"/>
        <v>#N/A</v>
      </c>
      <c r="S106" s="9" t="e">
        <f t="shared" si="8"/>
        <v>#N/A</v>
      </c>
      <c r="T106" s="3" t="e">
        <f t="shared" si="9"/>
        <v>#N/A</v>
      </c>
    </row>
    <row r="107" spans="1:20" x14ac:dyDescent="0.35">
      <c r="A107" t="str">
        <v>912803FJ7</v>
      </c>
      <c r="B107" t="str">
        <f>IF(NOT(ISBLANK(A107)),VLOOKUP(A107,'BBT3'!A:F,2,0),"")</f>
        <v>Bond</v>
      </c>
      <c r="C107" t="str">
        <f>IF(NOT(ISBLANK(A107)),VLOOKUP(A107,'BBT3'!A:F,3,0),"")</f>
        <v>US912803FJ74</v>
      </c>
      <c r="D107" s="6">
        <f>IF(NOT(ISBLANK(A107)),VLOOKUP(A107,'BBT3'!A:F,4,1),"")</f>
        <v>0</v>
      </c>
      <c r="E107">
        <f>IF(NOT(ISBLANK(A107)),VLOOKUP(A107,'BBT3'!A:F,5,0),"")</f>
        <v>54558</v>
      </c>
      <c r="F107" t="str">
        <f>IF(NOT(ISBLANK(A107)),VLOOKUP(A107,'BBT3'!A:F,6,0),"")</f>
        <v>N</v>
      </c>
      <c r="G107">
        <f>IF(NOT(ISBLANK(A107)),VLOOKUP(A107,QW_Close!A:J,5,0),"")</f>
        <v>5.16845088479179E-2</v>
      </c>
      <c r="H107" s="5" t="e" cm="1">
        <f t="array" ref="H107">IF(NOT(ISBLANK(A107)),((_xlfn.XLOOKUP(1,(_bbt3[[#All],[ID]]=A107)*(_bbt3[[#All],[METRIC_NAME]]="YLD_YTM_ASK"),_bbt3[[#All],[METRIC_VALUE]])*0.5)+(_xlfn.XLOOKUP(1,(_bbt3[[#All],[ID]]=A107)*(_bbt3[[#All],[METRIC_NAME]]="YLD_YTM_BID"),_bbt3[[#All],[METRIC_VALUE]])*0.5))/100,"")</f>
        <v>#N/A</v>
      </c>
      <c r="I107">
        <f>IF(ISNA(VLOOKUP(A107,QW_CloseDL!A:E,5,0)),0,VLOOKUP(A107,QW_CloseDL!A:E,5,0))</f>
        <v>5.1684917448226397E-2</v>
      </c>
      <c r="J107" s="8">
        <f t="shared" si="5"/>
        <v>4.0860030849770856E-3</v>
      </c>
      <c r="P107">
        <v>0</v>
      </c>
      <c r="Q107" t="e">
        <f t="shared" si="6"/>
        <v>#N/A</v>
      </c>
      <c r="R107" t="e">
        <f t="shared" si="7"/>
        <v>#N/A</v>
      </c>
      <c r="S107" s="9" t="e">
        <f t="shared" si="8"/>
        <v>#N/A</v>
      </c>
      <c r="T107" s="3" t="e">
        <f t="shared" si="9"/>
        <v>#N/A</v>
      </c>
    </row>
    <row r="108" spans="1:20" x14ac:dyDescent="0.35">
      <c r="A108" t="str">
        <v>912803FK4</v>
      </c>
      <c r="B108" t="str">
        <f>IF(NOT(ISBLANK(A108)),VLOOKUP(A108,'BBT3'!A:F,2,0),"")</f>
        <v>Bond</v>
      </c>
      <c r="C108" t="str">
        <f>IF(NOT(ISBLANK(A108)),VLOOKUP(A108,'BBT3'!A:F,3,0),"")</f>
        <v>US912803FK48</v>
      </c>
      <c r="D108" s="6">
        <f>IF(NOT(ISBLANK(A108)),VLOOKUP(A108,'BBT3'!A:F,4,1),"")</f>
        <v>0</v>
      </c>
      <c r="E108">
        <f>IF(NOT(ISBLANK(A108)),VLOOKUP(A108,'BBT3'!A:F,5,0),"")</f>
        <v>54650</v>
      </c>
      <c r="F108" t="str">
        <f>IF(NOT(ISBLANK(A108)),VLOOKUP(A108,'BBT3'!A:F,6,0),"")</f>
        <v>N</v>
      </c>
      <c r="G108">
        <f>IF(NOT(ISBLANK(A108)),VLOOKUP(A108,QW_Close!A:J,5,0),"")</f>
        <v>5.1669880368549602E-2</v>
      </c>
      <c r="H108" s="5" t="e" cm="1">
        <f t="array" ref="H108">IF(NOT(ISBLANK(A108)),((_xlfn.XLOOKUP(1,(_bbt3[[#All],[ID]]=A108)*(_bbt3[[#All],[METRIC_NAME]]="YLD_YTM_ASK"),_bbt3[[#All],[METRIC_VALUE]])*0.5)+(_xlfn.XLOOKUP(1,(_bbt3[[#All],[ID]]=A108)*(_bbt3[[#All],[METRIC_NAME]]="YLD_YTM_BID"),_bbt3[[#All],[METRIC_VALUE]])*0.5))/100,"")</f>
        <v>#N/A</v>
      </c>
      <c r="I108">
        <f>IF(ISNA(VLOOKUP(A108,QW_CloseDL!A:E,5,0)),0,VLOOKUP(A108,QW_CloseDL!A:E,5,0))</f>
        <v>5.1669926078860798E-2</v>
      </c>
      <c r="J108" s="8">
        <f t="shared" si="5"/>
        <v>4.5710311195878983E-4</v>
      </c>
      <c r="P108">
        <v>0</v>
      </c>
      <c r="Q108" t="e">
        <f t="shared" si="6"/>
        <v>#N/A</v>
      </c>
      <c r="R108" t="e">
        <f t="shared" si="7"/>
        <v>#N/A</v>
      </c>
      <c r="S108" s="9" t="e">
        <f t="shared" si="8"/>
        <v>#N/A</v>
      </c>
      <c r="T108" s="3" t="e">
        <f t="shared" si="9"/>
        <v>#N/A</v>
      </c>
    </row>
    <row r="109" spans="1:20" x14ac:dyDescent="0.35">
      <c r="A109" t="str">
        <v>912803FL2</v>
      </c>
      <c r="B109" t="str">
        <f>IF(NOT(ISBLANK(A109)),VLOOKUP(A109,'BBT3'!A:F,2,0),"")</f>
        <v>Bond</v>
      </c>
      <c r="C109" t="str">
        <f>IF(NOT(ISBLANK(A109)),VLOOKUP(A109,'BBT3'!A:F,3,0),"")</f>
        <v>US912803FL21</v>
      </c>
      <c r="D109" s="6">
        <f>IF(NOT(ISBLANK(A109)),VLOOKUP(A109,'BBT3'!A:F,4,1),"")</f>
        <v>0</v>
      </c>
      <c r="E109">
        <f>IF(NOT(ISBLANK(A109)),VLOOKUP(A109,'BBT3'!A:F,5,0),"")</f>
        <v>54742</v>
      </c>
      <c r="F109" t="str">
        <f>IF(NOT(ISBLANK(A109)),VLOOKUP(A109,'BBT3'!A:F,6,0),"")</f>
        <v>N</v>
      </c>
      <c r="G109">
        <f>IF(NOT(ISBLANK(A109)),VLOOKUP(A109,QW_Close!A:J,5,0),"")</f>
        <v>5.1700025569666297E-2</v>
      </c>
      <c r="H109" s="5" t="e" cm="1">
        <f t="array" ref="H109">IF(NOT(ISBLANK(A109)),((_xlfn.XLOOKUP(1,(_bbt3[[#All],[ID]]=A109)*(_bbt3[[#All],[METRIC_NAME]]="YLD_YTM_ASK"),_bbt3[[#All],[METRIC_VALUE]])*0.5)+(_xlfn.XLOOKUP(1,(_bbt3[[#All],[ID]]=A109)*(_bbt3[[#All],[METRIC_NAME]]="YLD_YTM_BID"),_bbt3[[#All],[METRIC_VALUE]])*0.5))/100,"")</f>
        <v>#N/A</v>
      </c>
      <c r="I109">
        <f>IF(ISNA(VLOOKUP(A109,QW_CloseDL!A:E,5,0)),0,VLOOKUP(A109,QW_CloseDL!A:E,5,0))</f>
        <v>5.1699925314851597E-2</v>
      </c>
      <c r="J109" s="8">
        <f t="shared" si="5"/>
        <v>1.0025481469999598E-3</v>
      </c>
      <c r="P109">
        <v>0</v>
      </c>
      <c r="Q109" t="e">
        <f t="shared" si="6"/>
        <v>#N/A</v>
      </c>
      <c r="R109" t="e">
        <f t="shared" si="7"/>
        <v>#N/A</v>
      </c>
      <c r="S109" s="9" t="e">
        <f t="shared" si="8"/>
        <v>#N/A</v>
      </c>
      <c r="T109" s="3" t="e">
        <f t="shared" si="9"/>
        <v>#N/A</v>
      </c>
    </row>
    <row r="110" spans="1:20" x14ac:dyDescent="0.35">
      <c r="A110" t="str">
        <v>912803FM0</v>
      </c>
      <c r="B110" t="str">
        <f>IF(NOT(ISBLANK(A110)),VLOOKUP(A110,'BBT3'!A:F,2,0),"")</f>
        <v>Bond</v>
      </c>
      <c r="C110" t="str">
        <f>IF(NOT(ISBLANK(A110)),VLOOKUP(A110,'BBT3'!A:F,3,0),"")</f>
        <v>US912803FM04</v>
      </c>
      <c r="D110" s="6">
        <f>IF(NOT(ISBLANK(A110)),VLOOKUP(A110,'BBT3'!A:F,4,1),"")</f>
        <v>0</v>
      </c>
      <c r="E110">
        <f>IF(NOT(ISBLANK(A110)),VLOOKUP(A110,'BBT3'!A:F,5,0),"")</f>
        <v>54834</v>
      </c>
      <c r="F110" t="str">
        <f>IF(NOT(ISBLANK(A110)),VLOOKUP(A110,'BBT3'!A:F,6,0),"")</f>
        <v>N</v>
      </c>
      <c r="G110">
        <f>IF(NOT(ISBLANK(A110)),VLOOKUP(A110,QW_Close!A:J,5,0),"")</f>
        <v>5.1669879911291301E-2</v>
      </c>
      <c r="H110" s="5" t="e" cm="1">
        <f t="array" ref="H110">IF(NOT(ISBLANK(A110)),((_xlfn.XLOOKUP(1,(_bbt3[[#All],[ID]]=A110)*(_bbt3[[#All],[METRIC_NAME]]="YLD_YTM_ASK"),_bbt3[[#All],[METRIC_VALUE]])*0.5)+(_xlfn.XLOOKUP(1,(_bbt3[[#All],[ID]]=A110)*(_bbt3[[#All],[METRIC_NAME]]="YLD_YTM_BID"),_bbt3[[#All],[METRIC_VALUE]])*0.5))/100,"")</f>
        <v>#N/A</v>
      </c>
      <c r="I110">
        <f>IF(ISNA(VLOOKUP(A110,QW_CloseDL!A:E,5,0)),0,VLOOKUP(A110,QW_CloseDL!A:E,5,0))</f>
        <v>5.1669626121518701E-2</v>
      </c>
      <c r="J110" s="8">
        <f t="shared" si="5"/>
        <v>2.5378977260015478E-3</v>
      </c>
      <c r="P110">
        <v>0</v>
      </c>
      <c r="Q110" t="e">
        <f t="shared" si="6"/>
        <v>#N/A</v>
      </c>
      <c r="R110" t="e">
        <f t="shared" si="7"/>
        <v>#N/A</v>
      </c>
      <c r="S110" s="9" t="e">
        <f t="shared" si="8"/>
        <v>#N/A</v>
      </c>
      <c r="T110" s="3" t="e">
        <f t="shared" si="9"/>
        <v>#N/A</v>
      </c>
    </row>
    <row r="111" spans="1:20" x14ac:dyDescent="0.35">
      <c r="A111" t="str">
        <v>912803FP3</v>
      </c>
      <c r="B111" t="str">
        <f>IF(NOT(ISBLANK(A111)),VLOOKUP(A111,'BBT3'!A:F,2,0),"")</f>
        <v>Bond</v>
      </c>
      <c r="C111" t="str">
        <f>IF(NOT(ISBLANK(A111)),VLOOKUP(A111,'BBT3'!A:F,3,0),"")</f>
        <v>US912803FP35</v>
      </c>
      <c r="D111" s="6">
        <f>IF(NOT(ISBLANK(A111)),VLOOKUP(A111,'BBT3'!A:F,4,1),"")</f>
        <v>0</v>
      </c>
      <c r="E111">
        <f>IF(NOT(ISBLANK(A111)),VLOOKUP(A111,'BBT3'!A:F,5,0),"")</f>
        <v>54923</v>
      </c>
      <c r="F111" t="str">
        <f>IF(NOT(ISBLANK(A111)),VLOOKUP(A111,'BBT3'!A:F,6,0),"")</f>
        <v>N</v>
      </c>
      <c r="G111">
        <f>IF(NOT(ISBLANK(A111)),VLOOKUP(A111,QW_Close!A:J,5,0),"")</f>
        <v>5.1519996612377501E-2</v>
      </c>
      <c r="H111" s="5" t="e" cm="1">
        <f t="array" ref="H111">IF(NOT(ISBLANK(A111)),((_xlfn.XLOOKUP(1,(_bbt3[[#All],[ID]]=A111)*(_bbt3[[#All],[METRIC_NAME]]="YLD_YTM_ASK"),_bbt3[[#All],[METRIC_VALUE]])*0.5)+(_xlfn.XLOOKUP(1,(_bbt3[[#All],[ID]]=A111)*(_bbt3[[#All],[METRIC_NAME]]="YLD_YTM_BID"),_bbt3[[#All],[METRIC_VALUE]])*0.5))/100,"")</f>
        <v>#N/A</v>
      </c>
      <c r="I111">
        <f>IF(ISNA(VLOOKUP(A111,QW_CloseDL!A:E,5,0)),0,VLOOKUP(A111,QW_CloseDL!A:E,5,0))</f>
        <v>5.1519923743110901E-2</v>
      </c>
      <c r="J111" s="8">
        <f t="shared" si="5"/>
        <v>7.2869266599939753E-4</v>
      </c>
      <c r="P111">
        <v>0</v>
      </c>
      <c r="Q111" t="e">
        <f t="shared" si="6"/>
        <v>#N/A</v>
      </c>
      <c r="R111" t="e">
        <f t="shared" si="7"/>
        <v>#N/A</v>
      </c>
      <c r="S111" s="9" t="e">
        <f t="shared" si="8"/>
        <v>#N/A</v>
      </c>
      <c r="T111" s="3" t="e">
        <f t="shared" si="9"/>
        <v>#N/A</v>
      </c>
    </row>
    <row r="112" spans="1:20" x14ac:dyDescent="0.35">
      <c r="A112" t="str">
        <v>912803FR9</v>
      </c>
      <c r="B112" t="str">
        <f>IF(NOT(ISBLANK(A112)),VLOOKUP(A112,'BBT3'!A:F,2,0),"")</f>
        <v>Bond</v>
      </c>
      <c r="C112" t="str">
        <f>IF(NOT(ISBLANK(A112)),VLOOKUP(A112,'BBT3'!A:F,3,0),"")</f>
        <v>US912803FR90</v>
      </c>
      <c r="D112" s="6">
        <f>IF(NOT(ISBLANK(A112)),VLOOKUP(A112,'BBT3'!A:F,4,1),"")</f>
        <v>0</v>
      </c>
      <c r="E112">
        <f>IF(NOT(ISBLANK(A112)),VLOOKUP(A112,'BBT3'!A:F,5,0),"")</f>
        <v>55015</v>
      </c>
      <c r="F112" t="str">
        <f>IF(NOT(ISBLANK(A112)),VLOOKUP(A112,'BBT3'!A:F,6,0),"")</f>
        <v>N</v>
      </c>
      <c r="G112">
        <f>IF(NOT(ISBLANK(A112)),VLOOKUP(A112,QW_Close!A:J,5,0),"")</f>
        <v>5.1555440630648999E-2</v>
      </c>
      <c r="H112" s="5" t="e" cm="1">
        <f t="array" ref="H112">IF(NOT(ISBLANK(A112)),((_xlfn.XLOOKUP(1,(_bbt3[[#All],[ID]]=A112)*(_bbt3[[#All],[METRIC_NAME]]="YLD_YTM_ASK"),_bbt3[[#All],[METRIC_VALUE]])*0.5)+(_xlfn.XLOOKUP(1,(_bbt3[[#All],[ID]]=A112)*(_bbt3[[#All],[METRIC_NAME]]="YLD_YTM_BID"),_bbt3[[#All],[METRIC_VALUE]])*0.5))/100,"")</f>
        <v>#N/A</v>
      </c>
      <c r="I112">
        <f>IF(ISNA(VLOOKUP(A112,QW_CloseDL!A:E,5,0)),0,VLOOKUP(A112,QW_CloseDL!A:E,5,0))</f>
        <v>5.15548913601548E-2</v>
      </c>
      <c r="J112" s="8">
        <f t="shared" si="5"/>
        <v>5.4927049419895013E-3</v>
      </c>
      <c r="P112">
        <v>0</v>
      </c>
      <c r="Q112" t="e">
        <f t="shared" si="6"/>
        <v>#N/A</v>
      </c>
      <c r="R112" t="e">
        <f t="shared" si="7"/>
        <v>#N/A</v>
      </c>
      <c r="S112" s="9" t="e">
        <f t="shared" si="8"/>
        <v>#N/A</v>
      </c>
      <c r="T112" s="3" t="e">
        <f t="shared" si="9"/>
        <v>#N/A</v>
      </c>
    </row>
    <row r="113" spans="1:20" x14ac:dyDescent="0.35">
      <c r="A113" t="str">
        <v>912803FT5</v>
      </c>
      <c r="B113" t="str">
        <f>IF(NOT(ISBLANK(A113)),VLOOKUP(A113,'BBT3'!A:F,2,0),"")</f>
        <v>Bond</v>
      </c>
      <c r="C113" t="str">
        <f>IF(NOT(ISBLANK(A113)),VLOOKUP(A113,'BBT3'!A:F,3,0),"")</f>
        <v>US912803FT56</v>
      </c>
      <c r="D113" s="6">
        <f>IF(NOT(ISBLANK(A113)),VLOOKUP(A113,'BBT3'!A:F,4,1),"")</f>
        <v>0</v>
      </c>
      <c r="E113">
        <f>IF(NOT(ISBLANK(A113)),VLOOKUP(A113,'BBT3'!A:F,5,0),"")</f>
        <v>55107</v>
      </c>
      <c r="F113" t="str">
        <f>IF(NOT(ISBLANK(A113)),VLOOKUP(A113,'BBT3'!A:F,6,0),"")</f>
        <v>N</v>
      </c>
      <c r="G113">
        <f>IF(NOT(ISBLANK(A113)),VLOOKUP(A113,QW_Close!A:J,5,0),"")</f>
        <v>5.1640273858761097E-2</v>
      </c>
      <c r="H113" s="5" t="e" cm="1">
        <f t="array" ref="H113">IF(NOT(ISBLANK(A113)),((_xlfn.XLOOKUP(1,(_bbt3[[#All],[ID]]=A113)*(_bbt3[[#All],[METRIC_NAME]]="YLD_YTM_ASK"),_bbt3[[#All],[METRIC_VALUE]])*0.5)+(_xlfn.XLOOKUP(1,(_bbt3[[#All],[ID]]=A113)*(_bbt3[[#All],[METRIC_NAME]]="YLD_YTM_BID"),_bbt3[[#All],[METRIC_VALUE]])*0.5))/100,"")</f>
        <v>#N/A</v>
      </c>
      <c r="I113">
        <f>IF(ISNA(VLOOKUP(A113,QW_CloseDL!A:E,5,0)),0,VLOOKUP(A113,QW_CloseDL!A:E,5,0))</f>
        <v>5.1639922191252199E-2</v>
      </c>
      <c r="J113" s="8">
        <f t="shared" si="5"/>
        <v>3.5166750889797926E-3</v>
      </c>
      <c r="P113">
        <v>0</v>
      </c>
      <c r="Q113" t="e">
        <f t="shared" si="6"/>
        <v>#N/A</v>
      </c>
      <c r="R113" t="e">
        <f t="shared" si="7"/>
        <v>#N/A</v>
      </c>
      <c r="S113" s="9" t="e">
        <f t="shared" si="8"/>
        <v>#N/A</v>
      </c>
      <c r="T113" s="3" t="e">
        <f t="shared" si="9"/>
        <v>#N/A</v>
      </c>
    </row>
    <row r="114" spans="1:20" x14ac:dyDescent="0.35">
      <c r="A114" t="str">
        <v>912803FV0</v>
      </c>
      <c r="B114" t="str">
        <f>IF(NOT(ISBLANK(A114)),VLOOKUP(A114,'BBT3'!A:F,2,0),"")</f>
        <v>Bond</v>
      </c>
      <c r="C114" t="str">
        <f>IF(NOT(ISBLANK(A114)),VLOOKUP(A114,'BBT3'!A:F,3,0),"")</f>
        <v>US912803FV03</v>
      </c>
      <c r="D114" s="6">
        <f>IF(NOT(ISBLANK(A114)),VLOOKUP(A114,'BBT3'!A:F,4,1),"")</f>
        <v>0</v>
      </c>
      <c r="E114">
        <f>IF(NOT(ISBLANK(A114)),VLOOKUP(A114,'BBT3'!A:F,5,0),"")</f>
        <v>55199</v>
      </c>
      <c r="F114" t="str">
        <f>IF(NOT(ISBLANK(A114)),VLOOKUP(A114,'BBT3'!A:F,6,0),"")</f>
        <v>N</v>
      </c>
      <c r="G114">
        <f>IF(NOT(ISBLANK(A114)),VLOOKUP(A114,QW_Close!A:J,5,0),"")</f>
        <v>5.1655000674212699E-2</v>
      </c>
      <c r="H114" s="5" t="e" cm="1">
        <f t="array" ref="H114">IF(NOT(ISBLANK(A114)),((_xlfn.XLOOKUP(1,(_bbt3[[#All],[ID]]=A114)*(_bbt3[[#All],[METRIC_NAME]]="YLD_YTM_ASK"),_bbt3[[#All],[METRIC_VALUE]])*0.5)+(_xlfn.XLOOKUP(1,(_bbt3[[#All],[ID]]=A114)*(_bbt3[[#All],[METRIC_NAME]]="YLD_YTM_BID"),_bbt3[[#All],[METRIC_VALUE]])*0.5))/100,"")</f>
        <v>#N/A</v>
      </c>
      <c r="I114">
        <f>IF(ISNA(VLOOKUP(A114,QW_CloseDL!A:E,5,0)),0,VLOOKUP(A114,QW_CloseDL!A:E,5,0))</f>
        <v>5.1654815861688103E-2</v>
      </c>
      <c r="J114" s="8">
        <f t="shared" si="5"/>
        <v>1.8481252459651154E-3</v>
      </c>
      <c r="P114">
        <v>0</v>
      </c>
      <c r="Q114" t="e">
        <f t="shared" si="6"/>
        <v>#N/A</v>
      </c>
      <c r="R114" t="e">
        <f t="shared" si="7"/>
        <v>#N/A</v>
      </c>
      <c r="S114" s="9" t="e">
        <f t="shared" si="8"/>
        <v>#N/A</v>
      </c>
      <c r="T114" s="3" t="e">
        <f t="shared" si="9"/>
        <v>#N/A</v>
      </c>
    </row>
    <row r="115" spans="1:20" x14ac:dyDescent="0.35">
      <c r="A115" t="str">
        <v>912803FY4</v>
      </c>
      <c r="B115" t="str">
        <f>IF(NOT(ISBLANK(A115)),VLOOKUP(A115,'BBT3'!A:F,2,0),"")</f>
        <v>Bond</v>
      </c>
      <c r="C115" t="str">
        <f>IF(NOT(ISBLANK(A115)),VLOOKUP(A115,'BBT3'!A:F,3,0),"")</f>
        <v>US912803FY42</v>
      </c>
      <c r="D115" s="6">
        <f>IF(NOT(ISBLANK(A115)),VLOOKUP(A115,'BBT3'!A:F,4,1),"")</f>
        <v>0</v>
      </c>
      <c r="E115">
        <f>IF(NOT(ISBLANK(A115)),VLOOKUP(A115,'BBT3'!A:F,5,0),"")</f>
        <v>55288</v>
      </c>
      <c r="F115" t="str">
        <f>IF(NOT(ISBLANK(A115)),VLOOKUP(A115,'BBT3'!A:F,6,0),"")</f>
        <v>N</v>
      </c>
      <c r="G115">
        <f>IF(NOT(ISBLANK(A115)),VLOOKUP(A115,QW_Close!A:J,5,0),"")</f>
        <v>5.1639918683470502E-2</v>
      </c>
      <c r="H115" s="5" t="e" cm="1">
        <f t="array" ref="H115">IF(NOT(ISBLANK(A115)),((_xlfn.XLOOKUP(1,(_bbt3[[#All],[ID]]=A115)*(_bbt3[[#All],[METRIC_NAME]]="YLD_YTM_ASK"),_bbt3[[#All],[METRIC_VALUE]])*0.5)+(_xlfn.XLOOKUP(1,(_bbt3[[#All],[ID]]=A115)*(_bbt3[[#All],[METRIC_NAME]]="YLD_YTM_BID"),_bbt3[[#All],[METRIC_VALUE]])*0.5))/100,"")</f>
        <v>#N/A</v>
      </c>
      <c r="I115">
        <f>IF(ISNA(VLOOKUP(A115,QW_CloseDL!A:E,5,0)),0,VLOOKUP(A115,QW_CloseDL!A:E,5,0))</f>
        <v>5.1640109512791001E-2</v>
      </c>
      <c r="J115" s="8">
        <f t="shared" si="5"/>
        <v>1.9082932049829804E-3</v>
      </c>
      <c r="P115">
        <v>0</v>
      </c>
      <c r="Q115" t="e">
        <f t="shared" si="6"/>
        <v>#N/A</v>
      </c>
      <c r="R115" t="e">
        <f t="shared" si="7"/>
        <v>#N/A</v>
      </c>
      <c r="S115" s="9" t="e">
        <f t="shared" si="8"/>
        <v>#N/A</v>
      </c>
      <c r="T115" s="3" t="e">
        <f t="shared" si="9"/>
        <v>#N/A</v>
      </c>
    </row>
    <row r="116" spans="1:20" x14ac:dyDescent="0.35">
      <c r="A116" t="str">
        <v>912803GA5</v>
      </c>
      <c r="B116" t="str">
        <f>IF(NOT(ISBLANK(A116)),VLOOKUP(A116,'BBT3'!A:F,2,0),"")</f>
        <v>Bond</v>
      </c>
      <c r="C116" t="str">
        <f>IF(NOT(ISBLANK(A116)),VLOOKUP(A116,'BBT3'!A:F,3,0),"")</f>
        <v>US912803GA56</v>
      </c>
      <c r="D116" s="6">
        <f>IF(NOT(ISBLANK(A116)),VLOOKUP(A116,'BBT3'!A:F,4,1),"")</f>
        <v>0</v>
      </c>
      <c r="E116">
        <f>IF(NOT(ISBLANK(A116)),VLOOKUP(A116,'BBT3'!A:F,5,0),"")</f>
        <v>55380</v>
      </c>
      <c r="F116" t="str">
        <f>IF(NOT(ISBLANK(A116)),VLOOKUP(A116,'BBT3'!A:F,6,0),"")</f>
        <v>N</v>
      </c>
      <c r="G116">
        <f>IF(NOT(ISBLANK(A116)),VLOOKUP(A116,QW_Close!A:J,5,0),"")</f>
        <v>5.1614600502218999E-2</v>
      </c>
      <c r="H116" s="5" t="e" cm="1">
        <f t="array" ref="H116">IF(NOT(ISBLANK(A116)),((_xlfn.XLOOKUP(1,(_bbt3[[#All],[ID]]=A116)*(_bbt3[[#All],[METRIC_NAME]]="YLD_YTM_ASK"),_bbt3[[#All],[METRIC_VALUE]])*0.5)+(_xlfn.XLOOKUP(1,(_bbt3[[#All],[ID]]=A116)*(_bbt3[[#All],[METRIC_NAME]]="YLD_YTM_BID"),_bbt3[[#All],[METRIC_VALUE]])*0.5))/100,"")</f>
        <v>#N/A</v>
      </c>
      <c r="I116">
        <f>IF(ISNA(VLOOKUP(A116,QW_CloseDL!A:E,5,0)),0,VLOOKUP(A116,QW_CloseDL!A:E,5,0))</f>
        <v>5.1614909507068103E-2</v>
      </c>
      <c r="J116" s="8">
        <f t="shared" si="5"/>
        <v>3.0900484910417747E-3</v>
      </c>
      <c r="P116">
        <v>0</v>
      </c>
      <c r="Q116" t="e">
        <f t="shared" si="6"/>
        <v>#N/A</v>
      </c>
      <c r="R116" t="e">
        <f t="shared" si="7"/>
        <v>#N/A</v>
      </c>
      <c r="S116" s="9" t="e">
        <f t="shared" si="8"/>
        <v>#N/A</v>
      </c>
      <c r="T116" s="3" t="e">
        <f t="shared" si="9"/>
        <v>#N/A</v>
      </c>
    </row>
    <row r="117" spans="1:20" x14ac:dyDescent="0.35">
      <c r="A117" t="str">
        <v>912803GC1</v>
      </c>
      <c r="B117" t="str">
        <f>IF(NOT(ISBLANK(A117)),VLOOKUP(A117,'BBT3'!A:F,2,0),"")</f>
        <v>Bond</v>
      </c>
      <c r="C117" t="str">
        <f>IF(NOT(ISBLANK(A117)),VLOOKUP(A117,'BBT3'!A:F,3,0),"")</f>
        <v>US912803GC13</v>
      </c>
      <c r="D117" s="6">
        <f>IF(NOT(ISBLANK(A117)),VLOOKUP(A117,'BBT3'!A:F,4,1),"")</f>
        <v>0</v>
      </c>
      <c r="E117">
        <f>IF(NOT(ISBLANK(A117)),VLOOKUP(A117,'BBT3'!A:F,5,0),"")</f>
        <v>55472</v>
      </c>
      <c r="F117" t="str">
        <f>IF(NOT(ISBLANK(A117)),VLOOKUP(A117,'BBT3'!A:F,6,0),"")</f>
        <v>N</v>
      </c>
      <c r="G117">
        <f>IF(NOT(ISBLANK(A117)),VLOOKUP(A117,QW_Close!A:J,5,0),"")</f>
        <v>5.1559921050047398E-2</v>
      </c>
      <c r="H117" s="5" t="e" cm="1">
        <f t="array" ref="H117">IF(NOT(ISBLANK(A117)),((_xlfn.XLOOKUP(1,(_bbt3[[#All],[ID]]=A117)*(_bbt3[[#All],[METRIC_NAME]]="YLD_YTM_ASK"),_bbt3[[#All],[METRIC_VALUE]])*0.5)+(_xlfn.XLOOKUP(1,(_bbt3[[#All],[ID]]=A117)*(_bbt3[[#All],[METRIC_NAME]]="YLD_YTM_BID"),_bbt3[[#All],[METRIC_VALUE]])*0.5))/100,"")</f>
        <v>#N/A</v>
      </c>
      <c r="I117">
        <f>IF(ISNA(VLOOKUP(A117,QW_CloseDL!A:E,5,0)),0,VLOOKUP(A117,QW_CloseDL!A:E,5,0))</f>
        <v>5.1559919069832399E-2</v>
      </c>
      <c r="J117" s="8">
        <f t="shared" si="5"/>
        <v>1.9802149989200934E-5</v>
      </c>
      <c r="P117">
        <v>0</v>
      </c>
      <c r="Q117" t="e">
        <f t="shared" si="6"/>
        <v>#N/A</v>
      </c>
      <c r="R117" t="e">
        <f t="shared" si="7"/>
        <v>#N/A</v>
      </c>
      <c r="S117" s="9" t="e">
        <f t="shared" si="8"/>
        <v>#N/A</v>
      </c>
      <c r="T117" s="3" t="e">
        <f t="shared" si="9"/>
        <v>#N/A</v>
      </c>
    </row>
    <row r="118" spans="1:20" x14ac:dyDescent="0.35">
      <c r="A118" t="str">
        <v>912803GE7</v>
      </c>
      <c r="B118" t="str">
        <f>IF(NOT(ISBLANK(A118)),VLOOKUP(A118,'BBT3'!A:F,2,0),"")</f>
        <v>Bond</v>
      </c>
      <c r="C118" t="str">
        <f>IF(NOT(ISBLANK(A118)),VLOOKUP(A118,'BBT3'!A:F,3,0),"")</f>
        <v>US912803GE78</v>
      </c>
      <c r="D118" s="6">
        <f>IF(NOT(ISBLANK(A118)),VLOOKUP(A118,'BBT3'!A:F,4,1),"")</f>
        <v>0</v>
      </c>
      <c r="E118">
        <f>IF(NOT(ISBLANK(A118)),VLOOKUP(A118,'BBT3'!A:F,5,0),"")</f>
        <v>55564</v>
      </c>
      <c r="F118" t="str">
        <f>IF(NOT(ISBLANK(A118)),VLOOKUP(A118,'BBT3'!A:F,6,0),"")</f>
        <v>N</v>
      </c>
      <c r="G118">
        <f>IF(NOT(ISBLANK(A118)),VLOOKUP(A118,QW_Close!A:J,5,0),"")</f>
        <v>5.1555197627865097E-2</v>
      </c>
      <c r="H118" s="5" t="e" cm="1">
        <f t="array" ref="H118">IF(NOT(ISBLANK(A118)),((_xlfn.XLOOKUP(1,(_bbt3[[#All],[ID]]=A118)*(_bbt3[[#All],[METRIC_NAME]]="YLD_YTM_ASK"),_bbt3[[#All],[METRIC_VALUE]])*0.5)+(_xlfn.XLOOKUP(1,(_bbt3[[#All],[ID]]=A118)*(_bbt3[[#All],[METRIC_NAME]]="YLD_YTM_BID"),_bbt3[[#All],[METRIC_VALUE]])*0.5))/100,"")</f>
        <v>#N/A</v>
      </c>
      <c r="I118">
        <f>IF(ISNA(VLOOKUP(A118,QW_CloseDL!A:E,5,0)),0,VLOOKUP(A118,QW_CloseDL!A:E,5,0))</f>
        <v>5.1554907746674997E-2</v>
      </c>
      <c r="J118" s="8">
        <f t="shared" si="5"/>
        <v>2.8988119010059377E-3</v>
      </c>
      <c r="P118">
        <v>0</v>
      </c>
      <c r="Q118" t="e">
        <f t="shared" si="6"/>
        <v>#N/A</v>
      </c>
      <c r="R118" t="e">
        <f t="shared" si="7"/>
        <v>#N/A</v>
      </c>
      <c r="S118" s="9" t="e">
        <f t="shared" si="8"/>
        <v>#N/A</v>
      </c>
      <c r="T118" s="3" t="e">
        <f t="shared" si="9"/>
        <v>#N/A</v>
      </c>
    </row>
    <row r="119" spans="1:20" x14ac:dyDescent="0.35">
      <c r="A119" t="str">
        <v>912803GH0</v>
      </c>
      <c r="B119" t="str">
        <f>IF(NOT(ISBLANK(A119)),VLOOKUP(A119,'BBT3'!A:F,2,0),"")</f>
        <v>Bond</v>
      </c>
      <c r="C119" t="str">
        <f>IF(NOT(ISBLANK(A119)),VLOOKUP(A119,'BBT3'!A:F,3,0),"")</f>
        <v>US912803GH00</v>
      </c>
      <c r="D119" s="6">
        <f>IF(NOT(ISBLANK(A119)),VLOOKUP(A119,'BBT3'!A:F,4,1),"")</f>
        <v>0</v>
      </c>
      <c r="E119">
        <f>IF(NOT(ISBLANK(A119)),VLOOKUP(A119,'BBT3'!A:F,5,0),"")</f>
        <v>55654</v>
      </c>
      <c r="F119" t="str">
        <f>IF(NOT(ISBLANK(A119)),VLOOKUP(A119,'BBT3'!A:F,6,0),"")</f>
        <v>N</v>
      </c>
      <c r="G119">
        <f>IF(NOT(ISBLANK(A119)),VLOOKUP(A119,QW_Close!A:J,5,0),"")</f>
        <v>5.15004613773992E-2</v>
      </c>
      <c r="H119" s="5" t="e" cm="1">
        <f t="array" ref="H119">IF(NOT(ISBLANK(A119)),((_xlfn.XLOOKUP(1,(_bbt3[[#All],[ID]]=A119)*(_bbt3[[#All],[METRIC_NAME]]="YLD_YTM_ASK"),_bbt3[[#All],[METRIC_VALUE]])*0.5)+(_xlfn.XLOOKUP(1,(_bbt3[[#All],[ID]]=A119)*(_bbt3[[#All],[METRIC_NAME]]="YLD_YTM_BID"),_bbt3[[#All],[METRIC_VALUE]])*0.5))/100,"")</f>
        <v>#N/A</v>
      </c>
      <c r="I119">
        <f>IF(ISNA(VLOOKUP(A119,QW_CloseDL!A:E,5,0)),0,VLOOKUP(A119,QW_CloseDL!A:E,5,0))</f>
        <v>5.1499977542320198E-2</v>
      </c>
      <c r="J119" s="8">
        <f t="shared" si="5"/>
        <v>4.8383507900151557E-3</v>
      </c>
      <c r="P119">
        <v>0</v>
      </c>
      <c r="Q119" t="e">
        <f t="shared" si="6"/>
        <v>#N/A</v>
      </c>
      <c r="R119" t="e">
        <f t="shared" si="7"/>
        <v>#N/A</v>
      </c>
      <c r="S119" s="9" t="e">
        <f t="shared" si="8"/>
        <v>#N/A</v>
      </c>
      <c r="T119" s="3" t="e">
        <f t="shared" si="9"/>
        <v>#N/A</v>
      </c>
    </row>
    <row r="120" spans="1:20" x14ac:dyDescent="0.35">
      <c r="A120" t="str">
        <v>912803GK3</v>
      </c>
      <c r="B120" t="str">
        <f>IF(NOT(ISBLANK(A120)),VLOOKUP(A120,'BBT3'!A:F,2,0),"")</f>
        <v>Bond</v>
      </c>
      <c r="C120" t="str">
        <f>IF(NOT(ISBLANK(A120)),VLOOKUP(A120,'BBT3'!A:F,3,0),"")</f>
        <v>US912803GK39</v>
      </c>
      <c r="D120" s="6">
        <f>IF(NOT(ISBLANK(A120)),VLOOKUP(A120,'BBT3'!A:F,4,1),"")</f>
        <v>0</v>
      </c>
      <c r="E120">
        <f>IF(NOT(ISBLANK(A120)),VLOOKUP(A120,'BBT3'!A:F,5,0),"")</f>
        <v>55746</v>
      </c>
      <c r="F120" t="str">
        <f>IF(NOT(ISBLANK(A120)),VLOOKUP(A120,'BBT3'!A:F,6,0),"")</f>
        <v>N</v>
      </c>
      <c r="G120">
        <f>IF(NOT(ISBLANK(A120)),VLOOKUP(A120,QW_Close!A:J,5,0),"")</f>
        <v>5.1449975750027799E-2</v>
      </c>
      <c r="H120" s="5" t="e" cm="1">
        <f t="array" ref="H120">IF(NOT(ISBLANK(A120)),((_xlfn.XLOOKUP(1,(_bbt3[[#All],[ID]]=A120)*(_bbt3[[#All],[METRIC_NAME]]="YLD_YTM_ASK"),_bbt3[[#All],[METRIC_VALUE]])*0.5)+(_xlfn.XLOOKUP(1,(_bbt3[[#All],[ID]]=A120)*(_bbt3[[#All],[METRIC_NAME]]="YLD_YTM_BID"),_bbt3[[#All],[METRIC_VALUE]])*0.5))/100,"")</f>
        <v>#N/A</v>
      </c>
      <c r="I120">
        <f>IF(ISNA(VLOOKUP(A120,QW_CloseDL!A:E,5,0)),0,VLOOKUP(A120,QW_CloseDL!A:E,5,0))</f>
        <v>5.1449916715926698E-2</v>
      </c>
      <c r="J120" s="8">
        <f t="shared" si="5"/>
        <v>5.9034101100585712E-4</v>
      </c>
      <c r="P120">
        <v>0</v>
      </c>
      <c r="Q120" t="e">
        <f t="shared" si="6"/>
        <v>#N/A</v>
      </c>
      <c r="R120" t="e">
        <f t="shared" si="7"/>
        <v>#N/A</v>
      </c>
      <c r="S120" s="9" t="e">
        <f t="shared" si="8"/>
        <v>#N/A</v>
      </c>
      <c r="T120" s="3" t="e">
        <f t="shared" si="9"/>
        <v>#N/A</v>
      </c>
    </row>
    <row r="121" spans="1:20" x14ac:dyDescent="0.35">
      <c r="A121" t="str">
        <v>912803GM9</v>
      </c>
      <c r="B121" t="str">
        <f>IF(NOT(ISBLANK(A121)),VLOOKUP(A121,'BBT3'!A:F,2,0),"")</f>
        <v>Bond</v>
      </c>
      <c r="C121" t="str">
        <f>IF(NOT(ISBLANK(A121)),VLOOKUP(A121,'BBT3'!A:F,3,0),"")</f>
        <v>US912803GM94</v>
      </c>
      <c r="D121" s="6">
        <f>IF(NOT(ISBLANK(A121)),VLOOKUP(A121,'BBT3'!A:F,4,1),"")</f>
        <v>0</v>
      </c>
      <c r="E121">
        <f>IF(NOT(ISBLANK(A121)),VLOOKUP(A121,'BBT3'!A:F,5,0),"")</f>
        <v>55838</v>
      </c>
      <c r="F121" t="str">
        <f>IF(NOT(ISBLANK(A121)),VLOOKUP(A121,'BBT3'!A:F,6,0),"")</f>
        <v>N</v>
      </c>
      <c r="G121">
        <f>IF(NOT(ISBLANK(A121)),VLOOKUP(A121,QW_Close!A:J,5,0),"")</f>
        <v>5.1374592280647002E-2</v>
      </c>
      <c r="H121" s="5" t="e" cm="1">
        <f t="array" ref="H121">IF(NOT(ISBLANK(A121)),((_xlfn.XLOOKUP(1,(_bbt3[[#All],[ID]]=A121)*(_bbt3[[#All],[METRIC_NAME]]="YLD_YTM_ASK"),_bbt3[[#All],[METRIC_VALUE]])*0.5)+(_xlfn.XLOOKUP(1,(_bbt3[[#All],[ID]]=A121)*(_bbt3[[#All],[METRIC_NAME]]="YLD_YTM_BID"),_bbt3[[#All],[METRIC_VALUE]])*0.5))/100,"")</f>
        <v>#N/A</v>
      </c>
      <c r="I121">
        <f>IF(ISNA(VLOOKUP(A121,QW_CloseDL!A:E,5,0)),0,VLOOKUP(A121,QW_CloseDL!A:E,5,0))</f>
        <v>5.1374926123553197E-2</v>
      </c>
      <c r="J121" s="8">
        <f t="shared" si="5"/>
        <v>3.3384290619442591E-3</v>
      </c>
      <c r="P121">
        <v>0</v>
      </c>
      <c r="Q121" t="e">
        <f t="shared" si="6"/>
        <v>#N/A</v>
      </c>
      <c r="R121" t="e">
        <f t="shared" si="7"/>
        <v>#N/A</v>
      </c>
      <c r="S121" s="9" t="e">
        <f t="shared" si="8"/>
        <v>#N/A</v>
      </c>
      <c r="T121" s="3" t="e">
        <f t="shared" si="9"/>
        <v>#N/A</v>
      </c>
    </row>
    <row r="122" spans="1:20" x14ac:dyDescent="0.35">
      <c r="A122" t="str">
        <v>912803GP2</v>
      </c>
      <c r="B122" t="str">
        <f>IF(NOT(ISBLANK(A122)),VLOOKUP(A122,'BBT3'!A:F,2,0),"")</f>
        <v>Bond</v>
      </c>
      <c r="C122" t="str">
        <f>IF(NOT(ISBLANK(A122)),VLOOKUP(A122,'BBT3'!A:F,3,0),"")</f>
        <v>US912803GP26</v>
      </c>
      <c r="D122" s="6">
        <f>IF(NOT(ISBLANK(A122)),VLOOKUP(A122,'BBT3'!A:F,4,1),"")</f>
        <v>0</v>
      </c>
      <c r="E122">
        <f>IF(NOT(ISBLANK(A122)),VLOOKUP(A122,'BBT3'!A:F,5,0),"")</f>
        <v>55930</v>
      </c>
      <c r="F122" t="str">
        <f>IF(NOT(ISBLANK(A122)),VLOOKUP(A122,'BBT3'!A:F,6,0),"")</f>
        <v>N</v>
      </c>
      <c r="G122">
        <f>IF(NOT(ISBLANK(A122)),VLOOKUP(A122,QW_Close!A:J,5,0),"")</f>
        <v>5.1310341953108303E-2</v>
      </c>
      <c r="H122" s="5" t="e" cm="1">
        <f t="array" ref="H122">IF(NOT(ISBLANK(A122)),((_xlfn.XLOOKUP(1,(_bbt3[[#All],[ID]]=A122)*(_bbt3[[#All],[METRIC_NAME]]="YLD_YTM_ASK"),_bbt3[[#All],[METRIC_VALUE]])*0.5)+(_xlfn.XLOOKUP(1,(_bbt3[[#All],[ID]]=A122)*(_bbt3[[#All],[METRIC_NAME]]="YLD_YTM_BID"),_bbt3[[#All],[METRIC_VALUE]])*0.5))/100,"")</f>
        <v>#N/A</v>
      </c>
      <c r="I122">
        <f>IF(ISNA(VLOOKUP(A122,QW_CloseDL!A:E,5,0)),0,VLOOKUP(A122,QW_CloseDL!A:E,5,0))</f>
        <v>5.1309935034826802E-2</v>
      </c>
      <c r="J122" s="8">
        <f t="shared" si="5"/>
        <v>4.0691828150085652E-3</v>
      </c>
      <c r="P122">
        <v>0</v>
      </c>
      <c r="Q122" t="e">
        <f t="shared" si="6"/>
        <v>#N/A</v>
      </c>
      <c r="R122" t="e">
        <f t="shared" si="7"/>
        <v>#N/A</v>
      </c>
      <c r="S122" s="9" t="e">
        <f t="shared" si="8"/>
        <v>#N/A</v>
      </c>
      <c r="T122" s="3" t="e">
        <f t="shared" si="9"/>
        <v>#N/A</v>
      </c>
    </row>
    <row r="123" spans="1:20" x14ac:dyDescent="0.35">
      <c r="A123" t="str">
        <v>912803GS6</v>
      </c>
      <c r="B123" t="str">
        <f>IF(NOT(ISBLANK(A123)),VLOOKUP(A123,'BBT3'!A:F,2,0),"")</f>
        <v>Bond</v>
      </c>
      <c r="C123" t="str">
        <f>IF(NOT(ISBLANK(A123)),VLOOKUP(A123,'BBT3'!A:F,3,0),"")</f>
        <v>US912803GS64</v>
      </c>
      <c r="D123" s="6">
        <f>IF(NOT(ISBLANK(A123)),VLOOKUP(A123,'BBT3'!A:F,4,1),"")</f>
        <v>0</v>
      </c>
      <c r="E123">
        <f>IF(NOT(ISBLANK(A123)),VLOOKUP(A123,'BBT3'!A:F,5,0),"")</f>
        <v>56019</v>
      </c>
      <c r="F123" t="str">
        <f>IF(NOT(ISBLANK(A123)),VLOOKUP(A123,'BBT3'!A:F,6,0),"")</f>
        <v>N</v>
      </c>
      <c r="G123">
        <f>IF(NOT(ISBLANK(A123)),VLOOKUP(A123,QW_Close!A:J,5,0),"")</f>
        <v>5.1259958636791503E-2</v>
      </c>
      <c r="H123" s="5" t="e" cm="1">
        <f t="array" ref="H123">IF(NOT(ISBLANK(A123)),((_xlfn.XLOOKUP(1,(_bbt3[[#All],[ID]]=A123)*(_bbt3[[#All],[METRIC_NAME]]="YLD_YTM_ASK"),_bbt3[[#All],[METRIC_VALUE]])*0.5)+(_xlfn.XLOOKUP(1,(_bbt3[[#All],[ID]]=A123)*(_bbt3[[#All],[METRIC_NAME]]="YLD_YTM_BID"),_bbt3[[#All],[METRIC_VALUE]])*0.5))/100,"")</f>
        <v>#N/A</v>
      </c>
      <c r="I123">
        <f>IF(ISNA(VLOOKUP(A123,QW_CloseDL!A:E,5,0)),0,VLOOKUP(A123,QW_CloseDL!A:E,5,0))</f>
        <v>5.1259934446403997E-2</v>
      </c>
      <c r="J123" s="8">
        <f t="shared" si="5"/>
        <v>2.4190387505618194E-4</v>
      </c>
      <c r="P123">
        <v>0</v>
      </c>
      <c r="Q123" t="e">
        <f t="shared" si="6"/>
        <v>#N/A</v>
      </c>
      <c r="R123" t="e">
        <f t="shared" si="7"/>
        <v>#N/A</v>
      </c>
      <c r="S123" s="9" t="e">
        <f t="shared" si="8"/>
        <v>#N/A</v>
      </c>
      <c r="T123" s="3" t="e">
        <f t="shared" si="9"/>
        <v>#N/A</v>
      </c>
    </row>
    <row r="124" spans="1:20" x14ac:dyDescent="0.35">
      <c r="A124" t="str">
        <v>912810EX2</v>
      </c>
      <c r="B124" t="str">
        <f>IF(NOT(ISBLANK(A124)),VLOOKUP(A124,'BBT3'!A:F,2,0),"")</f>
        <v>Bond</v>
      </c>
      <c r="C124" t="str">
        <f>IF(NOT(ISBLANK(A124)),VLOOKUP(A124,'BBT3'!A:F,3,0),"")</f>
        <v>US912810EX29</v>
      </c>
      <c r="D124" s="6">
        <f>IF(NOT(ISBLANK(A124)),VLOOKUP(A124,'BBT3'!A:F,4,1),"")</f>
        <v>6.75</v>
      </c>
      <c r="E124">
        <f>IF(NOT(ISBLANK(A124)),VLOOKUP(A124,'BBT3'!A:F,5,0),"")</f>
        <v>46249</v>
      </c>
      <c r="F124" t="str">
        <f>IF(NOT(ISBLANK(A124)),VLOOKUP(A124,'BBT3'!A:F,6,0),"")</f>
        <v>N</v>
      </c>
      <c r="G124">
        <f>IF(NOT(ISBLANK(A124)),VLOOKUP(A124,QW_Close!A:J,5,0),"")</f>
        <v>3.4119246420532101E-2</v>
      </c>
      <c r="H124" s="5" t="e" cm="1">
        <f t="array" ref="H124">IF(NOT(ISBLANK(A124)),((_xlfn.XLOOKUP(1,(_bbt3[[#All],[ID]]=A124)*(_bbt3[[#All],[METRIC_NAME]]="YLD_YTM_ASK"),_bbt3[[#All],[METRIC_VALUE]])*0.5)+(_xlfn.XLOOKUP(1,(_bbt3[[#All],[ID]]=A124)*(_bbt3[[#All],[METRIC_NAME]]="YLD_YTM_BID"),_bbt3[[#All],[METRIC_VALUE]])*0.5))/100,"")</f>
        <v>#N/A</v>
      </c>
      <c r="I124">
        <f>IF(ISNA(VLOOKUP(A124,QW_CloseDL!A:E,5,0)),0,VLOOKUP(A124,QW_CloseDL!A:E,5,0))</f>
        <v>3.4119246420532101E-2</v>
      </c>
      <c r="J124" s="8">
        <f t="shared" si="5"/>
        <v>0</v>
      </c>
      <c r="P124">
        <v>0</v>
      </c>
      <c r="Q124" t="e">
        <f t="shared" si="6"/>
        <v>#N/A</v>
      </c>
      <c r="R124" t="e">
        <f t="shared" si="7"/>
        <v>#N/A</v>
      </c>
      <c r="S124" s="9" t="e">
        <f t="shared" si="8"/>
        <v>#N/A</v>
      </c>
      <c r="T124" s="3" t="e">
        <f t="shared" si="9"/>
        <v>#N/A</v>
      </c>
    </row>
    <row r="125" spans="1:20" x14ac:dyDescent="0.35">
      <c r="A125" t="str">
        <v>912810EY0</v>
      </c>
      <c r="B125" t="str">
        <f>IF(NOT(ISBLANK(A125)),VLOOKUP(A125,'BBT3'!A:F,2,0),"")</f>
        <v>Bond</v>
      </c>
      <c r="C125" t="str">
        <f>IF(NOT(ISBLANK(A125)),VLOOKUP(A125,'BBT3'!A:F,3,0),"")</f>
        <v>US912810EY02</v>
      </c>
      <c r="D125" s="6">
        <f>IF(NOT(ISBLANK(A125)),VLOOKUP(A125,'BBT3'!A:F,4,1),"")</f>
        <v>6.5</v>
      </c>
      <c r="E125">
        <f>IF(NOT(ISBLANK(A125)),VLOOKUP(A125,'BBT3'!A:F,5,0),"")</f>
        <v>46341</v>
      </c>
      <c r="F125" t="str">
        <f>IF(NOT(ISBLANK(A125)),VLOOKUP(A125,'BBT3'!A:F,6,0),"")</f>
        <v>N</v>
      </c>
      <c r="G125">
        <f>IF(NOT(ISBLANK(A125)),VLOOKUP(A125,QW_Close!A:J,5,0),"")</f>
        <v>3.6324758093862798E-2</v>
      </c>
      <c r="H125" s="5" t="e" cm="1">
        <f t="array" ref="H125">IF(NOT(ISBLANK(A125)),((_xlfn.XLOOKUP(1,(_bbt3[[#All],[ID]]=A125)*(_bbt3[[#All],[METRIC_NAME]]="YLD_YTM_ASK"),_bbt3[[#All],[METRIC_VALUE]])*0.5)+(_xlfn.XLOOKUP(1,(_bbt3[[#All],[ID]]=A125)*(_bbt3[[#All],[METRIC_NAME]]="YLD_YTM_BID"),_bbt3[[#All],[METRIC_VALUE]])*0.5))/100,"")</f>
        <v>#N/A</v>
      </c>
      <c r="I125">
        <f>IF(ISNA(VLOOKUP(A125,QW_CloseDL!A:E,5,0)),0,VLOOKUP(A125,QW_CloseDL!A:E,5,0))</f>
        <v>3.6324758093862798E-2</v>
      </c>
      <c r="J125" s="8">
        <f t="shared" si="5"/>
        <v>0</v>
      </c>
      <c r="P125">
        <v>0</v>
      </c>
      <c r="Q125" t="e">
        <f t="shared" si="6"/>
        <v>#N/A</v>
      </c>
      <c r="R125" t="e">
        <f t="shared" si="7"/>
        <v>#N/A</v>
      </c>
      <c r="S125" s="9" t="e">
        <f t="shared" si="8"/>
        <v>#N/A</v>
      </c>
      <c r="T125" s="3" t="e">
        <f t="shared" si="9"/>
        <v>#N/A</v>
      </c>
    </row>
    <row r="126" spans="1:20" x14ac:dyDescent="0.35">
      <c r="A126" t="str">
        <v>912810EZ7</v>
      </c>
      <c r="B126" t="str">
        <f>IF(NOT(ISBLANK(A126)),VLOOKUP(A126,'BBT3'!A:F,2,0),"")</f>
        <v>Bond</v>
      </c>
      <c r="C126" t="str">
        <f>IF(NOT(ISBLANK(A126)),VLOOKUP(A126,'BBT3'!A:F,3,0),"")</f>
        <v>US912810EZ76</v>
      </c>
      <c r="D126" s="6">
        <f>IF(NOT(ISBLANK(A126)),VLOOKUP(A126,'BBT3'!A:F,4,1),"")</f>
        <v>6.625</v>
      </c>
      <c r="E126">
        <f>IF(NOT(ISBLANK(A126)),VLOOKUP(A126,'BBT3'!A:F,5,0),"")</f>
        <v>46433</v>
      </c>
      <c r="F126" t="str">
        <f>IF(NOT(ISBLANK(A126)),VLOOKUP(A126,'BBT3'!A:F,6,0),"")</f>
        <v>N</v>
      </c>
      <c r="G126">
        <f>IF(NOT(ISBLANK(A126)),VLOOKUP(A126,QW_Close!A:J,5,0),"")</f>
        <v>3.7174996490539701E-2</v>
      </c>
      <c r="H126" s="5" t="e" cm="1">
        <f t="array" ref="H126">IF(NOT(ISBLANK(A126)),((_xlfn.XLOOKUP(1,(_bbt3[[#All],[ID]]=A126)*(_bbt3[[#All],[METRIC_NAME]]="YLD_YTM_ASK"),_bbt3[[#All],[METRIC_VALUE]])*0.5)+(_xlfn.XLOOKUP(1,(_bbt3[[#All],[ID]]=A126)*(_bbt3[[#All],[METRIC_NAME]]="YLD_YTM_BID"),_bbt3[[#All],[METRIC_VALUE]])*0.5))/100,"")</f>
        <v>#N/A</v>
      </c>
      <c r="I126">
        <f>IF(ISNA(VLOOKUP(A126,QW_CloseDL!A:E,5,0)),0,VLOOKUP(A126,QW_CloseDL!A:E,5,0))</f>
        <v>3.7174996490539701E-2</v>
      </c>
      <c r="J126" s="8">
        <f t="shared" si="5"/>
        <v>0</v>
      </c>
      <c r="P126">
        <v>0</v>
      </c>
      <c r="Q126" t="e">
        <f t="shared" si="6"/>
        <v>#N/A</v>
      </c>
      <c r="R126" t="e">
        <f t="shared" si="7"/>
        <v>#N/A</v>
      </c>
      <c r="S126" s="9" t="e">
        <f t="shared" si="8"/>
        <v>#N/A</v>
      </c>
      <c r="T126" s="3" t="e">
        <f t="shared" si="9"/>
        <v>#N/A</v>
      </c>
    </row>
    <row r="127" spans="1:20" x14ac:dyDescent="0.35">
      <c r="A127" t="str">
        <v>912810FA1</v>
      </c>
      <c r="B127" t="str">
        <f>IF(NOT(ISBLANK(A127)),VLOOKUP(A127,'BBT3'!A:F,2,0),"")</f>
        <v>Bond</v>
      </c>
      <c r="C127" t="str">
        <f>IF(NOT(ISBLANK(A127)),VLOOKUP(A127,'BBT3'!A:F,3,0),"")</f>
        <v>US912810FA17</v>
      </c>
      <c r="D127" s="6">
        <f>IF(NOT(ISBLANK(A127)),VLOOKUP(A127,'BBT3'!A:F,4,1),"")</f>
        <v>6.375</v>
      </c>
      <c r="E127">
        <f>IF(NOT(ISBLANK(A127)),VLOOKUP(A127,'BBT3'!A:F,5,0),"")</f>
        <v>46614</v>
      </c>
      <c r="F127" t="str">
        <f>IF(NOT(ISBLANK(A127)),VLOOKUP(A127,'BBT3'!A:F,6,0),"")</f>
        <v>N</v>
      </c>
      <c r="G127">
        <f>IF(NOT(ISBLANK(A127)),VLOOKUP(A127,QW_Close!A:J,5,0),"")</f>
        <v>3.9251639601370902E-2</v>
      </c>
      <c r="H127" s="5" t="e" cm="1">
        <f t="array" ref="H127">IF(NOT(ISBLANK(A127)),((_xlfn.XLOOKUP(1,(_bbt3[[#All],[ID]]=A127)*(_bbt3[[#All],[METRIC_NAME]]="YLD_YTM_ASK"),_bbt3[[#All],[METRIC_VALUE]])*0.5)+(_xlfn.XLOOKUP(1,(_bbt3[[#All],[ID]]=A127)*(_bbt3[[#All],[METRIC_NAME]]="YLD_YTM_BID"),_bbt3[[#All],[METRIC_VALUE]])*0.5))/100,"")</f>
        <v>#N/A</v>
      </c>
      <c r="I127">
        <f>IF(ISNA(VLOOKUP(A127,QW_CloseDL!A:E,5,0)),0,VLOOKUP(A127,QW_CloseDL!A:E,5,0))</f>
        <v>3.9251639601370902E-2</v>
      </c>
      <c r="J127" s="8">
        <f t="shared" si="5"/>
        <v>0</v>
      </c>
      <c r="P127">
        <v>0</v>
      </c>
      <c r="Q127" t="e">
        <f t="shared" si="6"/>
        <v>#N/A</v>
      </c>
      <c r="R127" t="e">
        <f t="shared" si="7"/>
        <v>#N/A</v>
      </c>
      <c r="S127" s="9" t="e">
        <f t="shared" si="8"/>
        <v>#N/A</v>
      </c>
      <c r="T127" s="3" t="e">
        <f t="shared" si="9"/>
        <v>#N/A</v>
      </c>
    </row>
    <row r="128" spans="1:20" x14ac:dyDescent="0.35">
      <c r="A128" t="str">
        <v>912810FB9</v>
      </c>
      <c r="B128" t="str">
        <f>IF(NOT(ISBLANK(A128)),VLOOKUP(A128,'BBT3'!A:F,2,0),"")</f>
        <v>Bond</v>
      </c>
      <c r="C128" t="str">
        <f>IF(NOT(ISBLANK(A128)),VLOOKUP(A128,'BBT3'!A:F,3,0),"")</f>
        <v>US912810FB99</v>
      </c>
      <c r="D128" s="6">
        <f>IF(NOT(ISBLANK(A128)),VLOOKUP(A128,'BBT3'!A:F,4,1),"")</f>
        <v>6.125</v>
      </c>
      <c r="E128">
        <f>IF(NOT(ISBLANK(A128)),VLOOKUP(A128,'BBT3'!A:F,5,0),"")</f>
        <v>46706</v>
      </c>
      <c r="F128" t="str">
        <f>IF(NOT(ISBLANK(A128)),VLOOKUP(A128,'BBT3'!A:F,6,0),"")</f>
        <v>N</v>
      </c>
      <c r="G128">
        <f>IF(NOT(ISBLANK(A128)),VLOOKUP(A128,QW_Close!A:J,5,0),"")</f>
        <v>3.96869025048135E-2</v>
      </c>
      <c r="H128" s="5" t="e" cm="1">
        <f t="array" ref="H128">IF(NOT(ISBLANK(A128)),((_xlfn.XLOOKUP(1,(_bbt3[[#All],[ID]]=A128)*(_bbt3[[#All],[METRIC_NAME]]="YLD_YTM_ASK"),_bbt3[[#All],[METRIC_VALUE]])*0.5)+(_xlfn.XLOOKUP(1,(_bbt3[[#All],[ID]]=A128)*(_bbt3[[#All],[METRIC_NAME]]="YLD_YTM_BID"),_bbt3[[#All],[METRIC_VALUE]])*0.5))/100,"")</f>
        <v>#N/A</v>
      </c>
      <c r="I128">
        <f>IF(ISNA(VLOOKUP(A128,QW_CloseDL!A:E,5,0)),0,VLOOKUP(A128,QW_CloseDL!A:E,5,0))</f>
        <v>3.96869025048135E-2</v>
      </c>
      <c r="J128" s="8">
        <f t="shared" si="5"/>
        <v>0</v>
      </c>
      <c r="M128">
        <v>104.05859375</v>
      </c>
      <c r="P128">
        <v>0</v>
      </c>
      <c r="Q128" t="e">
        <f t="shared" si="6"/>
        <v>#N/A</v>
      </c>
      <c r="R128" t="e">
        <f t="shared" si="7"/>
        <v>#N/A</v>
      </c>
      <c r="S128" s="9" t="e">
        <f t="shared" si="8"/>
        <v>#N/A</v>
      </c>
      <c r="T128" s="3" t="e">
        <f t="shared" si="9"/>
        <v>#N/A</v>
      </c>
    </row>
    <row r="129" spans="1:20" x14ac:dyDescent="0.35">
      <c r="A129" s="11" t="str">
        <v>912810FD5</v>
      </c>
      <c r="B129" s="11" t="str">
        <f>IF(NOT(ISBLANK(A129)),VLOOKUP(A129,'BBT3'!A:F,2,0),"")</f>
        <v>Bond</v>
      </c>
      <c r="C129" s="11" t="str">
        <f>IF(NOT(ISBLANK(A129)),VLOOKUP(A129,'BBT3'!A:F,3,0),"")</f>
        <v>US912810FD55</v>
      </c>
      <c r="D129" s="19">
        <f>IF(NOT(ISBLANK(A129)),VLOOKUP(A129,'BBT3'!A:F,4,1),"")</f>
        <v>3.625</v>
      </c>
      <c r="E129" s="11">
        <f>IF(NOT(ISBLANK(A129)),VLOOKUP(A129,'BBT3'!A:F,5,0),"")</f>
        <v>46858</v>
      </c>
      <c r="F129" s="11" t="str">
        <f>IF(NOT(ISBLANK(A129)),VLOOKUP(A129,'BBT3'!A:F,6,0),"")</f>
        <v>Y</v>
      </c>
      <c r="G129" s="11">
        <f>IF(NOT(ISBLANK(A129)),VLOOKUP(A129,QW_Close!A:J,5,0),"")</f>
        <v>1.3651310768762101E-2</v>
      </c>
      <c r="H129" s="20" t="e" cm="1">
        <f t="array" ref="H129">IF(NOT(ISBLANK(A129)),((_xlfn.XLOOKUP(1,(_bbt3[[#All],[ID]]=A129)*(_bbt3[[#All],[METRIC_NAME]]="YLD_YTM_ASK"),_bbt3[[#All],[METRIC_VALUE]])*0.5)+(_xlfn.XLOOKUP(1,(_bbt3[[#All],[ID]]=A129)*(_bbt3[[#All],[METRIC_NAME]]="YLD_YTM_BID"),_bbt3[[#All],[METRIC_VALUE]])*0.5))/100,"")</f>
        <v>#N/A</v>
      </c>
      <c r="I129" s="11">
        <f>IF(ISNA(VLOOKUP(A129,QW_CloseDL!A:E,5,0)),0,VLOOKUP(A129,QW_CloseDL!A:E,5,0))</f>
        <v>1.4066998199925001E-2</v>
      </c>
      <c r="J129" s="21">
        <f t="shared" si="5"/>
        <v>4.1568743116290019</v>
      </c>
      <c r="K129" t="s">
        <v>6938</v>
      </c>
      <c r="M129" t="e" cm="1">
        <f t="array" ref="M129">_xll.qwYield(P1,C129,0)</f>
        <v>#NUM!</v>
      </c>
      <c r="P129">
        <v>0</v>
      </c>
      <c r="Q129" t="e">
        <f t="shared" si="6"/>
        <v>#N/A</v>
      </c>
      <c r="R129" t="e">
        <f t="shared" si="7"/>
        <v>#N/A</v>
      </c>
      <c r="S129" s="9" t="e">
        <f t="shared" si="8"/>
        <v>#N/A</v>
      </c>
      <c r="T129" s="3" t="e">
        <f t="shared" si="9"/>
        <v>#N/A</v>
      </c>
    </row>
    <row r="130" spans="1:20" x14ac:dyDescent="0.35">
      <c r="A130" t="str">
        <v>912810FE3</v>
      </c>
      <c r="B130" t="str">
        <f>IF(NOT(ISBLANK(A130)),VLOOKUP(A130,'BBT3'!A:F,2,0),"")</f>
        <v>Bond</v>
      </c>
      <c r="C130" t="str">
        <f>IF(NOT(ISBLANK(A130)),VLOOKUP(A130,'BBT3'!A:F,3,0),"")</f>
        <v>US912810FE39</v>
      </c>
      <c r="D130" s="6">
        <f>IF(NOT(ISBLANK(A130)),VLOOKUP(A130,'BBT3'!A:F,4,1),"")</f>
        <v>5.5</v>
      </c>
      <c r="E130">
        <f>IF(NOT(ISBLANK(A130)),VLOOKUP(A130,'BBT3'!A:F,5,0),"")</f>
        <v>46980</v>
      </c>
      <c r="F130" t="str">
        <f>IF(NOT(ISBLANK(A130)),VLOOKUP(A130,'BBT3'!A:F,6,0),"")</f>
        <v>N</v>
      </c>
      <c r="G130">
        <f>IF(NOT(ISBLANK(A130)),VLOOKUP(A130,QW_Close!A:J,5,0),"")</f>
        <v>4.0423886365072798E-2</v>
      </c>
      <c r="H130" s="5" t="e" cm="1">
        <f t="array" ref="H130">IF(NOT(ISBLANK(A130)),((_xlfn.XLOOKUP(1,(_bbt3[[#All],[ID]]=A130)*(_bbt3[[#All],[METRIC_NAME]]="YLD_YTM_ASK"),_bbt3[[#All],[METRIC_VALUE]])*0.5)+(_xlfn.XLOOKUP(1,(_bbt3[[#All],[ID]]=A130)*(_bbt3[[#All],[METRIC_NAME]]="YLD_YTM_BID"),_bbt3[[#All],[METRIC_VALUE]])*0.5))/100,"")</f>
        <v>#N/A</v>
      </c>
      <c r="I130">
        <f>IF(ISNA(VLOOKUP(A130,QW_CloseDL!A:E,5,0)),0,VLOOKUP(A130,QW_CloseDL!A:E,5,0))</f>
        <v>4.0423886365072798E-2</v>
      </c>
      <c r="J130" s="8">
        <f t="shared" si="5"/>
        <v>0</v>
      </c>
      <c r="M130" t="e" cm="1">
        <f t="array" ref="M130">_xll.qwPrice(P1,C129)</f>
        <v>#NUM!</v>
      </c>
      <c r="P130">
        <v>0</v>
      </c>
      <c r="Q130" t="e">
        <f t="shared" si="6"/>
        <v>#N/A</v>
      </c>
      <c r="R130" t="e">
        <f t="shared" si="7"/>
        <v>#N/A</v>
      </c>
      <c r="S130" s="9" t="e">
        <f t="shared" si="8"/>
        <v>#N/A</v>
      </c>
      <c r="T130" s="3" t="e">
        <f t="shared" si="9"/>
        <v>#N/A</v>
      </c>
    </row>
    <row r="131" spans="1:20" x14ac:dyDescent="0.35">
      <c r="A131" t="str">
        <v>912810FF0</v>
      </c>
      <c r="B131" t="str">
        <f>IF(NOT(ISBLANK(A131)),VLOOKUP(A131,'BBT3'!A:F,2,0),"")</f>
        <v>Bond</v>
      </c>
      <c r="C131" t="str">
        <f>IF(NOT(ISBLANK(A131)),VLOOKUP(A131,'BBT3'!A:F,3,0),"")</f>
        <v>US912810FF04</v>
      </c>
      <c r="D131" s="6">
        <f>IF(NOT(ISBLANK(A131)),VLOOKUP(A131,'BBT3'!A:F,4,1),"")</f>
        <v>5.25</v>
      </c>
      <c r="E131">
        <f>IF(NOT(ISBLANK(A131)),VLOOKUP(A131,'BBT3'!A:F,5,0),"")</f>
        <v>47072</v>
      </c>
      <c r="F131" t="str">
        <f>IF(NOT(ISBLANK(A131)),VLOOKUP(A131,'BBT3'!A:F,6,0),"")</f>
        <v>N</v>
      </c>
      <c r="G131">
        <f>IF(NOT(ISBLANK(A131)),VLOOKUP(A131,QW_Close!A:J,5,0),"")</f>
        <v>4.0701133453429801E-2</v>
      </c>
      <c r="H131" s="5" t="e" cm="1">
        <f t="array" ref="H131">IF(NOT(ISBLANK(A131)),((_xlfn.XLOOKUP(1,(_bbt3[[#All],[ID]]=A131)*(_bbt3[[#All],[METRIC_NAME]]="YLD_YTM_ASK"),_bbt3[[#All],[METRIC_VALUE]])*0.5)+(_xlfn.XLOOKUP(1,(_bbt3[[#All],[ID]]=A131)*(_bbt3[[#All],[METRIC_NAME]]="YLD_YTM_BID"),_bbt3[[#All],[METRIC_VALUE]])*0.5))/100,"")</f>
        <v>#N/A</v>
      </c>
      <c r="I131">
        <f>IF(ISNA(VLOOKUP(A131,QW_CloseDL!A:E,5,0)),0,VLOOKUP(A131,QW_CloseDL!A:E,5,0))</f>
        <v>4.0701133453429801E-2</v>
      </c>
      <c r="J131" s="8">
        <f t="shared" ref="J131:J194" si="10">IF(ISNA(IF(NOT(ISBLANK(A131)),ABS(G131-I131),"")),0,(IF(NOT(ISBLANK(A131)),ABS(G131-I131)*10000,"")))</f>
        <v>0</v>
      </c>
      <c r="P131">
        <v>0</v>
      </c>
      <c r="Q131" t="e">
        <f t="shared" si="6"/>
        <v>#N/A</v>
      </c>
      <c r="R131" t="e">
        <f t="shared" si="7"/>
        <v>#N/A</v>
      </c>
      <c r="S131" s="9" t="e">
        <f t="shared" si="8"/>
        <v>#N/A</v>
      </c>
      <c r="T131" s="3" t="e">
        <f t="shared" si="9"/>
        <v>#N/A</v>
      </c>
    </row>
    <row r="132" spans="1:20" x14ac:dyDescent="0.35">
      <c r="A132" t="str">
        <v>912810FG8</v>
      </c>
      <c r="B132" t="str">
        <f>IF(NOT(ISBLANK(A132)),VLOOKUP(A132,'BBT3'!A:F,2,0),"")</f>
        <v>Bond</v>
      </c>
      <c r="C132" t="str">
        <f>IF(NOT(ISBLANK(A132)),VLOOKUP(A132,'BBT3'!A:F,3,0),"")</f>
        <v>US912810FG86</v>
      </c>
      <c r="D132" s="6">
        <f>IF(NOT(ISBLANK(A132)),VLOOKUP(A132,'BBT3'!A:F,4,1),"")</f>
        <v>5.25</v>
      </c>
      <c r="E132">
        <f>IF(NOT(ISBLANK(A132)),VLOOKUP(A132,'BBT3'!A:F,5,0),"")</f>
        <v>47164</v>
      </c>
      <c r="F132" t="str">
        <f>IF(NOT(ISBLANK(A132)),VLOOKUP(A132,'BBT3'!A:F,6,0),"")</f>
        <v>N</v>
      </c>
      <c r="G132">
        <f>IF(NOT(ISBLANK(A132)),VLOOKUP(A132,QW_Close!A:J,5,0),"")</f>
        <v>3.9676947365158102E-2</v>
      </c>
      <c r="H132" s="5" t="e" cm="1">
        <f t="array" ref="H132">IF(NOT(ISBLANK(A132)),((_xlfn.XLOOKUP(1,(_bbt3[[#All],[ID]]=A132)*(_bbt3[[#All],[METRIC_NAME]]="YLD_YTM_ASK"),_bbt3[[#All],[METRIC_VALUE]])*0.5)+(_xlfn.XLOOKUP(1,(_bbt3[[#All],[ID]]=A132)*(_bbt3[[#All],[METRIC_NAME]]="YLD_YTM_BID"),_bbt3[[#All],[METRIC_VALUE]])*0.5))/100,"")</f>
        <v>#N/A</v>
      </c>
      <c r="I132">
        <f>IF(ISNA(VLOOKUP(A132,QW_CloseDL!A:E,5,0)),0,VLOOKUP(A132,QW_CloseDL!A:E,5,0))</f>
        <v>3.9676947365158102E-2</v>
      </c>
      <c r="J132" s="8">
        <f t="shared" si="10"/>
        <v>0</v>
      </c>
      <c r="P132">
        <v>0</v>
      </c>
      <c r="Q132" t="e">
        <f t="shared" si="6"/>
        <v>#N/A</v>
      </c>
      <c r="R132" t="e">
        <f t="shared" si="7"/>
        <v>#N/A</v>
      </c>
      <c r="S132" s="9" t="e">
        <f t="shared" si="8"/>
        <v>#N/A</v>
      </c>
      <c r="T132" s="3" t="e">
        <f t="shared" si="9"/>
        <v>#N/A</v>
      </c>
    </row>
    <row r="133" spans="1:20" x14ac:dyDescent="0.35">
      <c r="A133" t="str">
        <v>912810FH6</v>
      </c>
      <c r="B133" t="str">
        <f>IF(NOT(ISBLANK(A133)),VLOOKUP(A133,'BBT3'!A:F,2,0),"")</f>
        <v>Bond</v>
      </c>
      <c r="C133" t="str">
        <f>IF(NOT(ISBLANK(A133)),VLOOKUP(A133,'BBT3'!A:F,3,0),"")</f>
        <v>US912810FH69</v>
      </c>
      <c r="D133" s="6">
        <f>IF(NOT(ISBLANK(A133)),VLOOKUP(A133,'BBT3'!A:F,4,1),"")</f>
        <v>3.875</v>
      </c>
      <c r="E133">
        <f>IF(NOT(ISBLANK(A133)),VLOOKUP(A133,'BBT3'!A:F,5,0),"")</f>
        <v>47223</v>
      </c>
      <c r="F133" t="str">
        <f>IF(NOT(ISBLANK(A133)),VLOOKUP(A133,'BBT3'!A:F,6,0),"")</f>
        <v>Y</v>
      </c>
      <c r="G133">
        <f>IF(NOT(ISBLANK(A133)),VLOOKUP(A133,QW_Close!A:J,5,0),"")</f>
        <v>1.49178744123977E-2</v>
      </c>
      <c r="H133" s="5" t="e" cm="1">
        <f t="array" ref="H133">IF(NOT(ISBLANK(A133)),((_xlfn.XLOOKUP(1,(_bbt3[[#All],[ID]]=A133)*(_bbt3[[#All],[METRIC_NAME]]="YLD_YTM_ASK"),_bbt3[[#All],[METRIC_VALUE]])*0.5)+(_xlfn.XLOOKUP(1,(_bbt3[[#All],[ID]]=A133)*(_bbt3[[#All],[METRIC_NAME]]="YLD_YTM_BID"),_bbt3[[#All],[METRIC_VALUE]])*0.5))/100,"")</f>
        <v>#N/A</v>
      </c>
      <c r="I133">
        <f>IF(ISNA(VLOOKUP(A133,QW_CloseDL!A:E,5,0)),0,VLOOKUP(A133,QW_CloseDL!A:E,5,0))</f>
        <v>1.52681064819677E-2</v>
      </c>
      <c r="J133" s="8">
        <f t="shared" si="10"/>
        <v>3.5023206956999973</v>
      </c>
      <c r="P133">
        <v>0</v>
      </c>
      <c r="Q133" t="e">
        <f t="shared" si="6"/>
        <v>#N/A</v>
      </c>
      <c r="R133" t="e">
        <f t="shared" si="7"/>
        <v>#N/A</v>
      </c>
      <c r="S133" s="9" t="e">
        <f t="shared" si="8"/>
        <v>#N/A</v>
      </c>
      <c r="T133" s="3" t="e">
        <f t="shared" si="9"/>
        <v>#N/A</v>
      </c>
    </row>
    <row r="134" spans="1:20" x14ac:dyDescent="0.35">
      <c r="A134" t="str">
        <v>912810FJ2</v>
      </c>
      <c r="B134" t="str">
        <f>IF(NOT(ISBLANK(A134)),VLOOKUP(A134,'BBT3'!A:F,2,0),"")</f>
        <v>Bond</v>
      </c>
      <c r="C134" t="str">
        <f>IF(NOT(ISBLANK(A134)),VLOOKUP(A134,'BBT3'!A:F,3,0),"")</f>
        <v>US912810FJ26</v>
      </c>
      <c r="D134" s="6">
        <f>IF(NOT(ISBLANK(A134)),VLOOKUP(A134,'BBT3'!A:F,4,1),"")</f>
        <v>6.125</v>
      </c>
      <c r="E134">
        <f>IF(NOT(ISBLANK(A134)),VLOOKUP(A134,'BBT3'!A:F,5,0),"")</f>
        <v>47345</v>
      </c>
      <c r="F134" t="str">
        <f>IF(NOT(ISBLANK(A134)),VLOOKUP(A134,'BBT3'!A:F,6,0),"")</f>
        <v>N</v>
      </c>
      <c r="G134">
        <f>IF(NOT(ISBLANK(A134)),VLOOKUP(A134,QW_Close!A:J,5,0),"")</f>
        <v>4.10673421465595E-2</v>
      </c>
      <c r="H134" s="5" t="e" cm="1">
        <f t="array" ref="H134">IF(NOT(ISBLANK(A134)),((_xlfn.XLOOKUP(1,(_bbt3[[#All],[ID]]=A134)*(_bbt3[[#All],[METRIC_NAME]]="YLD_YTM_ASK"),_bbt3[[#All],[METRIC_VALUE]])*0.5)+(_xlfn.XLOOKUP(1,(_bbt3[[#All],[ID]]=A134)*(_bbt3[[#All],[METRIC_NAME]]="YLD_YTM_BID"),_bbt3[[#All],[METRIC_VALUE]])*0.5))/100,"")</f>
        <v>#N/A</v>
      </c>
      <c r="I134">
        <f>IF(ISNA(VLOOKUP(A134,QW_CloseDL!A:E,5,0)),0,VLOOKUP(A134,QW_CloseDL!A:E,5,0))</f>
        <v>4.10673421465595E-2</v>
      </c>
      <c r="J134" s="8">
        <f t="shared" si="10"/>
        <v>0</v>
      </c>
      <c r="P134">
        <v>0</v>
      </c>
      <c r="Q134" t="e">
        <f t="shared" si="6"/>
        <v>#N/A</v>
      </c>
      <c r="R134" t="e">
        <f t="shared" si="7"/>
        <v>#N/A</v>
      </c>
      <c r="S134" s="9" t="e">
        <f t="shared" si="8"/>
        <v>#N/A</v>
      </c>
      <c r="T134" s="3" t="e">
        <f t="shared" si="9"/>
        <v>#N/A</v>
      </c>
    </row>
    <row r="135" spans="1:20" x14ac:dyDescent="0.35">
      <c r="A135" t="str">
        <v>912810FM5</v>
      </c>
      <c r="B135" t="str">
        <f>IF(NOT(ISBLANK(A135)),VLOOKUP(A135,'BBT3'!A:F,2,0),"")</f>
        <v>Bond</v>
      </c>
      <c r="C135" t="str">
        <f>IF(NOT(ISBLANK(A135)),VLOOKUP(A135,'BBT3'!A:F,3,0),"")</f>
        <v>US912810FM54</v>
      </c>
      <c r="D135" s="6">
        <f>IF(NOT(ISBLANK(A135)),VLOOKUP(A135,'BBT3'!A:F,4,1),"")</f>
        <v>6.25</v>
      </c>
      <c r="E135">
        <f>IF(NOT(ISBLANK(A135)),VLOOKUP(A135,'BBT3'!A:F,5,0),"")</f>
        <v>47618</v>
      </c>
      <c r="F135" t="str">
        <f>IF(NOT(ISBLANK(A135)),VLOOKUP(A135,'BBT3'!A:F,6,0),"")</f>
        <v>N</v>
      </c>
      <c r="G135">
        <f>IF(NOT(ISBLANK(A135)),VLOOKUP(A135,QW_Close!A:J,5,0),"")</f>
        <v>4.1438968747769103E-2</v>
      </c>
      <c r="H135" s="5" t="e" cm="1">
        <f t="array" ref="H135">IF(NOT(ISBLANK(A135)),((_xlfn.XLOOKUP(1,(_bbt3[[#All],[ID]]=A135)*(_bbt3[[#All],[METRIC_NAME]]="YLD_YTM_ASK"),_bbt3[[#All],[METRIC_VALUE]])*0.5)+(_xlfn.XLOOKUP(1,(_bbt3[[#All],[ID]]=A135)*(_bbt3[[#All],[METRIC_NAME]]="YLD_YTM_BID"),_bbt3[[#All],[METRIC_VALUE]])*0.5))/100,"")</f>
        <v>#N/A</v>
      </c>
      <c r="I135">
        <f>IF(ISNA(VLOOKUP(A135,QW_CloseDL!A:E,5,0)),0,VLOOKUP(A135,QW_CloseDL!A:E,5,0))</f>
        <v>4.1438968747769103E-2</v>
      </c>
      <c r="J135" s="8">
        <f t="shared" si="10"/>
        <v>0</v>
      </c>
      <c r="P135">
        <v>0</v>
      </c>
      <c r="Q135" t="e">
        <f t="shared" si="6"/>
        <v>#N/A</v>
      </c>
      <c r="R135" t="e">
        <f t="shared" si="7"/>
        <v>#N/A</v>
      </c>
      <c r="S135" s="9" t="e">
        <f t="shared" si="8"/>
        <v>#N/A</v>
      </c>
      <c r="T135" s="3" t="e">
        <f t="shared" si="9"/>
        <v>#N/A</v>
      </c>
    </row>
    <row r="136" spans="1:20" x14ac:dyDescent="0.35">
      <c r="A136" t="str">
        <v>912810FP8</v>
      </c>
      <c r="B136" t="str">
        <f>IF(NOT(ISBLANK(A136)),VLOOKUP(A136,'BBT3'!A:F,2,0),"")</f>
        <v>Bond</v>
      </c>
      <c r="C136" t="str">
        <f>IF(NOT(ISBLANK(A136)),VLOOKUP(A136,'BBT3'!A:F,3,0),"")</f>
        <v>US912810FP85</v>
      </c>
      <c r="D136" s="6">
        <f>IF(NOT(ISBLANK(A136)),VLOOKUP(A136,'BBT3'!A:F,4,1),"")</f>
        <v>5.375</v>
      </c>
      <c r="E136">
        <f>IF(NOT(ISBLANK(A136)),VLOOKUP(A136,'BBT3'!A:F,5,0),"")</f>
        <v>47894</v>
      </c>
      <c r="F136" t="str">
        <f>IF(NOT(ISBLANK(A136)),VLOOKUP(A136,'BBT3'!A:F,6,0),"")</f>
        <v>N</v>
      </c>
      <c r="G136">
        <f>IF(NOT(ISBLANK(A136)),VLOOKUP(A136,QW_Close!A:J,5,0),"")</f>
        <v>4.14908990775553E-2</v>
      </c>
      <c r="H136" s="5" t="e" cm="1">
        <f t="array" ref="H136">IF(NOT(ISBLANK(A136)),((_xlfn.XLOOKUP(1,(_bbt3[[#All],[ID]]=A136)*(_bbt3[[#All],[METRIC_NAME]]="YLD_YTM_ASK"),_bbt3[[#All],[METRIC_VALUE]])*0.5)+(_xlfn.XLOOKUP(1,(_bbt3[[#All],[ID]]=A136)*(_bbt3[[#All],[METRIC_NAME]]="YLD_YTM_BID"),_bbt3[[#All],[METRIC_VALUE]])*0.5))/100,"")</f>
        <v>#N/A</v>
      </c>
      <c r="I136">
        <f>IF(ISNA(VLOOKUP(A136,QW_CloseDL!A:E,5,0)),0,VLOOKUP(A136,QW_CloseDL!A:E,5,0))</f>
        <v>4.14908990775553E-2</v>
      </c>
      <c r="J136" s="8">
        <f t="shared" si="10"/>
        <v>0</v>
      </c>
      <c r="P136">
        <v>0</v>
      </c>
      <c r="Q136" t="e">
        <f t="shared" si="6"/>
        <v>#N/A</v>
      </c>
      <c r="R136" t="e">
        <f t="shared" si="7"/>
        <v>#N/A</v>
      </c>
      <c r="S136" s="9" t="e">
        <f t="shared" si="8"/>
        <v>#N/A</v>
      </c>
      <c r="T136" s="3" t="e">
        <f t="shared" si="9"/>
        <v>#N/A</v>
      </c>
    </row>
    <row r="137" spans="1:20" x14ac:dyDescent="0.35">
      <c r="A137" t="str">
        <v>912810FQ6</v>
      </c>
      <c r="B137" t="str">
        <f>IF(NOT(ISBLANK(A137)),VLOOKUP(A137,'BBT3'!A:F,2,0),"")</f>
        <v>Bond</v>
      </c>
      <c r="C137" t="str">
        <f>IF(NOT(ISBLANK(A137)),VLOOKUP(A137,'BBT3'!A:F,3,0),"")</f>
        <v>US912810FQ68</v>
      </c>
      <c r="D137" s="6">
        <f>IF(NOT(ISBLANK(A137)),VLOOKUP(A137,'BBT3'!A:F,4,1),"")</f>
        <v>3.375</v>
      </c>
      <c r="E137">
        <f>IF(NOT(ISBLANK(A137)),VLOOKUP(A137,'BBT3'!A:F,5,0),"")</f>
        <v>48319</v>
      </c>
      <c r="F137" t="str">
        <f>IF(NOT(ISBLANK(A137)),VLOOKUP(A137,'BBT3'!A:F,6,0),"")</f>
        <v>Y</v>
      </c>
      <c r="G137">
        <f>IF(NOT(ISBLANK(A137)),VLOOKUP(A137,QW_Close!A:J,5,0),"")</f>
        <v>1.7400991528456301E-2</v>
      </c>
      <c r="H137" s="5" t="e" cm="1">
        <f t="array" ref="H137">IF(NOT(ISBLANK(A137)),((_xlfn.XLOOKUP(1,(_bbt3[[#All],[ID]]=A137)*(_bbt3[[#All],[METRIC_NAME]]="YLD_YTM_ASK"),_bbt3[[#All],[METRIC_VALUE]])*0.5)+(_xlfn.XLOOKUP(1,(_bbt3[[#All],[ID]]=A137)*(_bbt3[[#All],[METRIC_NAME]]="YLD_YTM_BID"),_bbt3[[#All],[METRIC_VALUE]])*0.5))/100,"")</f>
        <v>#N/A</v>
      </c>
      <c r="I137">
        <f>IF(ISNA(VLOOKUP(A137,QW_CloseDL!A:E,5,0)),0,VLOOKUP(A137,QW_CloseDL!A:E,5,0))</f>
        <v>1.7508207619201199E-2</v>
      </c>
      <c r="J137" s="8">
        <f t="shared" si="10"/>
        <v>1.0721609074489797</v>
      </c>
      <c r="P137">
        <v>0</v>
      </c>
      <c r="Q137" t="e">
        <f t="shared" si="6"/>
        <v>#N/A</v>
      </c>
      <c r="R137" t="e">
        <f t="shared" si="7"/>
        <v>#N/A</v>
      </c>
      <c r="S137" s="9" t="e">
        <f t="shared" si="8"/>
        <v>#N/A</v>
      </c>
      <c r="T137" s="3" t="e">
        <f t="shared" si="9"/>
        <v>#N/A</v>
      </c>
    </row>
    <row r="138" spans="1:20" x14ac:dyDescent="0.35">
      <c r="A138" t="str">
        <v>912810FT0</v>
      </c>
      <c r="B138" t="str">
        <f>IF(NOT(ISBLANK(A138)),VLOOKUP(A138,'BBT3'!A:F,2,0),"")</f>
        <v>Bond</v>
      </c>
      <c r="C138" t="str">
        <f>IF(NOT(ISBLANK(A138)),VLOOKUP(A138,'BBT3'!A:F,3,0),"")</f>
        <v>US912810FT08</v>
      </c>
      <c r="D138" s="6">
        <f>IF(NOT(ISBLANK(A138)),VLOOKUP(A138,'BBT3'!A:F,4,1),"")</f>
        <v>4.5</v>
      </c>
      <c r="E138">
        <f>IF(NOT(ISBLANK(A138)),VLOOKUP(A138,'BBT3'!A:F,5,0),"")</f>
        <v>49720</v>
      </c>
      <c r="F138" t="str">
        <f>IF(NOT(ISBLANK(A138)),VLOOKUP(A138,'BBT3'!A:F,6,0),"")</f>
        <v>N</v>
      </c>
      <c r="G138">
        <f>IF(NOT(ISBLANK(A138)),VLOOKUP(A138,QW_Close!A:J,5,0),"")</f>
        <v>4.3765775866240801E-2</v>
      </c>
      <c r="H138" s="5" t="e" cm="1">
        <f t="array" ref="H138">IF(NOT(ISBLANK(A138)),((_xlfn.XLOOKUP(1,(_bbt3[[#All],[ID]]=A138)*(_bbt3[[#All],[METRIC_NAME]]="YLD_YTM_ASK"),_bbt3[[#All],[METRIC_VALUE]])*0.5)+(_xlfn.XLOOKUP(1,(_bbt3[[#All],[ID]]=A138)*(_bbt3[[#All],[METRIC_NAME]]="YLD_YTM_BID"),_bbt3[[#All],[METRIC_VALUE]])*0.5))/100,"")</f>
        <v>#N/A</v>
      </c>
      <c r="I138">
        <f>IF(ISNA(VLOOKUP(A138,QW_CloseDL!A:E,5,0)),0,VLOOKUP(A138,QW_CloseDL!A:E,5,0))</f>
        <v>4.3765775866240801E-2</v>
      </c>
      <c r="J138" s="8">
        <f t="shared" si="10"/>
        <v>0</v>
      </c>
      <c r="P138">
        <v>0</v>
      </c>
      <c r="Q138" t="e">
        <f t="shared" si="6"/>
        <v>#N/A</v>
      </c>
      <c r="R138" t="e">
        <f t="shared" si="7"/>
        <v>#N/A</v>
      </c>
      <c r="S138" s="9" t="e">
        <f t="shared" si="8"/>
        <v>#N/A</v>
      </c>
      <c r="T138" s="3" t="e">
        <f t="shared" si="9"/>
        <v>#N/A</v>
      </c>
    </row>
    <row r="139" spans="1:20" x14ac:dyDescent="0.35">
      <c r="A139" t="str">
        <v>912810PS1</v>
      </c>
      <c r="B139" t="str">
        <f>IF(NOT(ISBLANK(A139)),VLOOKUP(A139,'BBT3'!A:F,2,0),"")</f>
        <v>Bond</v>
      </c>
      <c r="C139" t="str">
        <f>IF(NOT(ISBLANK(A139)),VLOOKUP(A139,'BBT3'!A:F,3,0),"")</f>
        <v>US912810PS15</v>
      </c>
      <c r="D139" s="6">
        <f>IF(NOT(ISBLANK(A139)),VLOOKUP(A139,'BBT3'!A:F,4,1),"")</f>
        <v>2.375</v>
      </c>
      <c r="E139">
        <f>IF(NOT(ISBLANK(A139)),VLOOKUP(A139,'BBT3'!A:F,5,0),"")</f>
        <v>46402</v>
      </c>
      <c r="F139" t="str">
        <f>IF(NOT(ISBLANK(A139)),VLOOKUP(A139,'BBT3'!A:F,6,0),"")</f>
        <v>Y</v>
      </c>
      <c r="G139">
        <f>IF(NOT(ISBLANK(A139)),VLOOKUP(A139,QW_Close!A:J,5,0),"")</f>
        <v>8.2521879213123105E-3</v>
      </c>
      <c r="H139" s="5" t="e" cm="1">
        <f t="array" ref="H139">IF(NOT(ISBLANK(A139)),((_xlfn.XLOOKUP(1,(_bbt3[[#All],[ID]]=A139)*(_bbt3[[#All],[METRIC_NAME]]="YLD_YTM_ASK"),_bbt3[[#All],[METRIC_VALUE]])*0.5)+(_xlfn.XLOOKUP(1,(_bbt3[[#All],[ID]]=A139)*(_bbt3[[#All],[METRIC_NAME]]="YLD_YTM_BID"),_bbt3[[#All],[METRIC_VALUE]])*0.5))/100,"")</f>
        <v>#N/A</v>
      </c>
      <c r="I139">
        <f>IF(ISNA(VLOOKUP(A139,QW_CloseDL!A:E,5,0)),0,VLOOKUP(A139,QW_CloseDL!A:E,5,0))</f>
        <v>8.2520860350051902E-3</v>
      </c>
      <c r="J139" s="8">
        <f t="shared" si="10"/>
        <v>1.0188630712032465E-3</v>
      </c>
      <c r="P139">
        <v>0</v>
      </c>
      <c r="Q139" t="e">
        <f t="shared" si="6"/>
        <v>#N/A</v>
      </c>
      <c r="R139" t="e">
        <f t="shared" si="7"/>
        <v>#N/A</v>
      </c>
      <c r="S139" s="9" t="e">
        <f t="shared" si="8"/>
        <v>#N/A</v>
      </c>
      <c r="T139" s="3" t="e">
        <f t="shared" si="9"/>
        <v>#N/A</v>
      </c>
    </row>
    <row r="140" spans="1:20" x14ac:dyDescent="0.35">
      <c r="A140" t="str">
        <v>912810PT9</v>
      </c>
      <c r="B140" t="str">
        <f>IF(NOT(ISBLANK(A140)),VLOOKUP(A140,'BBT3'!A:F,2,0),"")</f>
        <v>Bond</v>
      </c>
      <c r="C140" t="str">
        <f>IF(NOT(ISBLANK(A140)),VLOOKUP(A140,'BBT3'!A:F,3,0),"")</f>
        <v>US912810PT97</v>
      </c>
      <c r="D140" s="6">
        <f>IF(NOT(ISBLANK(A140)),VLOOKUP(A140,'BBT3'!A:F,4,1),"")</f>
        <v>4.75</v>
      </c>
      <c r="E140">
        <f>IF(NOT(ISBLANK(A140)),VLOOKUP(A140,'BBT3'!A:F,5,0),"")</f>
        <v>50086</v>
      </c>
      <c r="F140" t="str">
        <f>IF(NOT(ISBLANK(A140)),VLOOKUP(A140,'BBT3'!A:F,6,0),"")</f>
        <v>N</v>
      </c>
      <c r="G140">
        <f>IF(NOT(ISBLANK(A140)),VLOOKUP(A140,QW_Close!A:J,5,0),"")</f>
        <v>4.4556601503726201E-2</v>
      </c>
      <c r="H140" s="5" t="e" cm="1">
        <f t="array" ref="H140">IF(NOT(ISBLANK(A140)),((_xlfn.XLOOKUP(1,(_bbt3[[#All],[ID]]=A140)*(_bbt3[[#All],[METRIC_NAME]]="YLD_YTM_ASK"),_bbt3[[#All],[METRIC_VALUE]])*0.5)+(_xlfn.XLOOKUP(1,(_bbt3[[#All],[ID]]=A140)*(_bbt3[[#All],[METRIC_NAME]]="YLD_YTM_BID"),_bbt3[[#All],[METRIC_VALUE]])*0.5))/100,"")</f>
        <v>#N/A</v>
      </c>
      <c r="I140">
        <f>IF(ISNA(VLOOKUP(A140,QW_CloseDL!A:E,5,0)),0,VLOOKUP(A140,QW_CloseDL!A:E,5,0))</f>
        <v>4.4556601503726201E-2</v>
      </c>
      <c r="J140" s="8">
        <f t="shared" si="10"/>
        <v>0</v>
      </c>
      <c r="P140">
        <v>0</v>
      </c>
      <c r="Q140" t="e">
        <f t="shared" si="6"/>
        <v>#N/A</v>
      </c>
      <c r="R140" t="e">
        <f t="shared" si="7"/>
        <v>#N/A</v>
      </c>
      <c r="S140" s="9" t="e">
        <f t="shared" si="8"/>
        <v>#N/A</v>
      </c>
      <c r="T140" s="3" t="e">
        <f t="shared" si="9"/>
        <v>#N/A</v>
      </c>
    </row>
    <row r="141" spans="1:20" x14ac:dyDescent="0.35">
      <c r="A141" t="str">
        <v>912810PU6</v>
      </c>
      <c r="B141" t="str">
        <f>IF(NOT(ISBLANK(A141)),VLOOKUP(A141,'BBT3'!A:F,2,0),"")</f>
        <v>Bond</v>
      </c>
      <c r="C141" t="str">
        <f>IF(NOT(ISBLANK(A141)),VLOOKUP(A141,'BBT3'!A:F,3,0),"")</f>
        <v>US912810PU60</v>
      </c>
      <c r="D141" s="6">
        <f>IF(NOT(ISBLANK(A141)),VLOOKUP(A141,'BBT3'!A:F,4,1),"")</f>
        <v>5</v>
      </c>
      <c r="E141">
        <f>IF(NOT(ISBLANK(A141)),VLOOKUP(A141,'BBT3'!A:F,5,0),"")</f>
        <v>50175</v>
      </c>
      <c r="F141" t="str">
        <f>IF(NOT(ISBLANK(A141)),VLOOKUP(A141,'BBT3'!A:F,6,0),"")</f>
        <v>N</v>
      </c>
      <c r="G141">
        <f>IF(NOT(ISBLANK(A141)),VLOOKUP(A141,QW_Close!A:J,5,0),"")</f>
        <v>4.4555951967177897E-2</v>
      </c>
      <c r="H141" s="5" t="e" cm="1">
        <f t="array" ref="H141">IF(NOT(ISBLANK(A141)),((_xlfn.XLOOKUP(1,(_bbt3[[#All],[ID]]=A141)*(_bbt3[[#All],[METRIC_NAME]]="YLD_YTM_ASK"),_bbt3[[#All],[METRIC_VALUE]])*0.5)+(_xlfn.XLOOKUP(1,(_bbt3[[#All],[ID]]=A141)*(_bbt3[[#All],[METRIC_NAME]]="YLD_YTM_BID"),_bbt3[[#All],[METRIC_VALUE]])*0.5))/100,"")</f>
        <v>#N/A</v>
      </c>
      <c r="I141">
        <f>IF(ISNA(VLOOKUP(A141,QW_CloseDL!A:E,5,0)),0,VLOOKUP(A141,QW_CloseDL!A:E,5,0))</f>
        <v>4.4555951967177897E-2</v>
      </c>
      <c r="J141" s="8">
        <f t="shared" si="10"/>
        <v>0</v>
      </c>
      <c r="P141">
        <v>0</v>
      </c>
      <c r="Q141" t="e">
        <f t="shared" ref="Q141:Q204" si="11">VLOOKUP(P141,A:B,2,0)</f>
        <v>#N/A</v>
      </c>
      <c r="R141" t="e">
        <f t="shared" ref="R141:R204" si="12">VLOOKUP(P141,A:E,4,0)</f>
        <v>#N/A</v>
      </c>
      <c r="S141" s="9" t="e">
        <f t="shared" ref="S141:S204" si="13">VLOOKUP(P141,A:J,10,0)</f>
        <v>#N/A</v>
      </c>
      <c r="T141" s="3" t="e">
        <f t="shared" ref="T141:T204" si="14">VLOOKUP(P141,A:J,5,0)</f>
        <v>#N/A</v>
      </c>
    </row>
    <row r="142" spans="1:20" x14ac:dyDescent="0.35">
      <c r="A142" t="str">
        <v>912810PV4</v>
      </c>
      <c r="B142" t="str">
        <f>IF(NOT(ISBLANK(A142)),VLOOKUP(A142,'BBT3'!A:F,2,0),"")</f>
        <v>Bond</v>
      </c>
      <c r="C142" t="str">
        <f>IF(NOT(ISBLANK(A142)),VLOOKUP(A142,'BBT3'!A:F,3,0),"")</f>
        <v>US912810PV44</v>
      </c>
      <c r="D142" s="6">
        <f>IF(NOT(ISBLANK(A142)),VLOOKUP(A142,'BBT3'!A:F,4,1),"")</f>
        <v>1.75</v>
      </c>
      <c r="E142">
        <f>IF(NOT(ISBLANK(A142)),VLOOKUP(A142,'BBT3'!A:F,5,0),"")</f>
        <v>46767</v>
      </c>
      <c r="F142" t="str">
        <f>IF(NOT(ISBLANK(A142)),VLOOKUP(A142,'BBT3'!A:F,6,0),"")</f>
        <v>Y</v>
      </c>
      <c r="G142">
        <f>IF(NOT(ISBLANK(A142)),VLOOKUP(A142,QW_Close!A:J,5,0),"")</f>
        <v>1.3437749438156701E-2</v>
      </c>
      <c r="H142" s="5" t="e" cm="1">
        <f t="array" ref="H142">IF(NOT(ISBLANK(A142)),((_xlfn.XLOOKUP(1,(_bbt3[[#All],[ID]]=A142)*(_bbt3[[#All],[METRIC_NAME]]="YLD_YTM_ASK"),_bbt3[[#All],[METRIC_VALUE]])*0.5)+(_xlfn.XLOOKUP(1,(_bbt3[[#All],[ID]]=A142)*(_bbt3[[#All],[METRIC_NAME]]="YLD_YTM_BID"),_bbt3[[#All],[METRIC_VALUE]])*0.5))/100,"")</f>
        <v>#N/A</v>
      </c>
      <c r="I142">
        <f>IF(ISNA(VLOOKUP(A142,QW_CloseDL!A:E,5,0)),0,VLOOKUP(A142,QW_CloseDL!A:E,5,0))</f>
        <v>1.3437866989810801E-2</v>
      </c>
      <c r="J142" s="8">
        <f t="shared" si="10"/>
        <v>1.1755165410000379E-3</v>
      </c>
      <c r="P142">
        <v>0</v>
      </c>
      <c r="Q142" t="e">
        <f t="shared" si="11"/>
        <v>#N/A</v>
      </c>
      <c r="R142" t="e">
        <f t="shared" si="12"/>
        <v>#N/A</v>
      </c>
      <c r="S142" s="9" t="e">
        <f t="shared" si="13"/>
        <v>#N/A</v>
      </c>
      <c r="T142" s="3" t="e">
        <f t="shared" si="14"/>
        <v>#N/A</v>
      </c>
    </row>
    <row r="143" spans="1:20" x14ac:dyDescent="0.35">
      <c r="A143" t="str">
        <v>912810PW2</v>
      </c>
      <c r="B143" t="str">
        <f>IF(NOT(ISBLANK(A143)),VLOOKUP(A143,'BBT3'!A:F,2,0),"")</f>
        <v>Bond</v>
      </c>
      <c r="C143" t="str">
        <f>IF(NOT(ISBLANK(A143)),VLOOKUP(A143,'BBT3'!A:F,3,0),"")</f>
        <v>US912810PW27</v>
      </c>
      <c r="D143" s="6">
        <f>IF(NOT(ISBLANK(A143)),VLOOKUP(A143,'BBT3'!A:F,4,1),"")</f>
        <v>4.375</v>
      </c>
      <c r="E143">
        <f>IF(NOT(ISBLANK(A143)),VLOOKUP(A143,'BBT3'!A:F,5,0),"")</f>
        <v>50451</v>
      </c>
      <c r="F143" t="str">
        <f>IF(NOT(ISBLANK(A143)),VLOOKUP(A143,'BBT3'!A:F,6,0),"")</f>
        <v>N</v>
      </c>
      <c r="G143">
        <f>IF(NOT(ISBLANK(A143)),VLOOKUP(A143,QW_Close!A:J,5,0),"")</f>
        <v>4.5095843119179302E-2</v>
      </c>
      <c r="H143" s="5" t="e" cm="1">
        <f t="array" ref="H143">IF(NOT(ISBLANK(A143)),((_xlfn.XLOOKUP(1,(_bbt3[[#All],[ID]]=A143)*(_bbt3[[#All],[METRIC_NAME]]="YLD_YTM_ASK"),_bbt3[[#All],[METRIC_VALUE]])*0.5)+(_xlfn.XLOOKUP(1,(_bbt3[[#All],[ID]]=A143)*(_bbt3[[#All],[METRIC_NAME]]="YLD_YTM_BID"),_bbt3[[#All],[METRIC_VALUE]])*0.5))/100,"")</f>
        <v>#N/A</v>
      </c>
      <c r="I143">
        <f>IF(ISNA(VLOOKUP(A143,QW_CloseDL!A:E,5,0)),0,VLOOKUP(A143,QW_CloseDL!A:E,5,0))</f>
        <v>4.5095843119179302E-2</v>
      </c>
      <c r="J143" s="8">
        <f t="shared" si="10"/>
        <v>0</v>
      </c>
      <c r="P143">
        <v>0</v>
      </c>
      <c r="Q143" t="e">
        <f t="shared" si="11"/>
        <v>#N/A</v>
      </c>
      <c r="R143" t="e">
        <f t="shared" si="12"/>
        <v>#N/A</v>
      </c>
      <c r="S143" s="9" t="e">
        <f t="shared" si="13"/>
        <v>#N/A</v>
      </c>
      <c r="T143" s="3" t="e">
        <f t="shared" si="14"/>
        <v>#N/A</v>
      </c>
    </row>
    <row r="144" spans="1:20" x14ac:dyDescent="0.35">
      <c r="A144" t="str">
        <v>912810PX0</v>
      </c>
      <c r="B144" t="str">
        <f>IF(NOT(ISBLANK(A144)),VLOOKUP(A144,'BBT3'!A:F,2,0),"")</f>
        <v>Bond</v>
      </c>
      <c r="C144" t="str">
        <f>IF(NOT(ISBLANK(A144)),VLOOKUP(A144,'BBT3'!A:F,3,0),"")</f>
        <v>US912810PX00</v>
      </c>
      <c r="D144" s="6">
        <f>IF(NOT(ISBLANK(A144)),VLOOKUP(A144,'BBT3'!A:F,4,1),"")</f>
        <v>4.5</v>
      </c>
      <c r="E144">
        <f>IF(NOT(ISBLANK(A144)),VLOOKUP(A144,'BBT3'!A:F,5,0),"")</f>
        <v>50540</v>
      </c>
      <c r="F144" t="str">
        <f>IF(NOT(ISBLANK(A144)),VLOOKUP(A144,'BBT3'!A:F,6,0),"")</f>
        <v>N</v>
      </c>
      <c r="G144">
        <f>IF(NOT(ISBLANK(A144)),VLOOKUP(A144,QW_Close!A:J,5,0),"")</f>
        <v>4.5364651279771503E-2</v>
      </c>
      <c r="H144" s="5" t="e" cm="1">
        <f t="array" ref="H144">IF(NOT(ISBLANK(A144)),((_xlfn.XLOOKUP(1,(_bbt3[[#All],[ID]]=A144)*(_bbt3[[#All],[METRIC_NAME]]="YLD_YTM_ASK"),_bbt3[[#All],[METRIC_VALUE]])*0.5)+(_xlfn.XLOOKUP(1,(_bbt3[[#All],[ID]]=A144)*(_bbt3[[#All],[METRIC_NAME]]="YLD_YTM_BID"),_bbt3[[#All],[METRIC_VALUE]])*0.5))/100,"")</f>
        <v>#N/A</v>
      </c>
      <c r="I144">
        <f>IF(ISNA(VLOOKUP(A144,QW_CloseDL!A:E,5,0)),0,VLOOKUP(A144,QW_CloseDL!A:E,5,0))</f>
        <v>4.5364651279771503E-2</v>
      </c>
      <c r="J144" s="8">
        <f t="shared" si="10"/>
        <v>0</v>
      </c>
      <c r="P144">
        <v>0</v>
      </c>
      <c r="Q144" t="e">
        <f t="shared" si="11"/>
        <v>#N/A</v>
      </c>
      <c r="R144" t="e">
        <f t="shared" si="12"/>
        <v>#N/A</v>
      </c>
      <c r="S144" s="9" t="e">
        <f t="shared" si="13"/>
        <v>#N/A</v>
      </c>
      <c r="T144" s="3" t="e">
        <f t="shared" si="14"/>
        <v>#N/A</v>
      </c>
    </row>
    <row r="145" spans="1:20" x14ac:dyDescent="0.35">
      <c r="A145" t="str">
        <v>912810PZ5</v>
      </c>
      <c r="B145" t="str">
        <f>IF(NOT(ISBLANK(A145)),VLOOKUP(A145,'BBT3'!A:F,2,0),"")</f>
        <v>Bond</v>
      </c>
      <c r="C145" t="str">
        <f>IF(NOT(ISBLANK(A145)),VLOOKUP(A145,'BBT3'!A:F,3,0),"")</f>
        <v>US912810PZ57</v>
      </c>
      <c r="D145" s="6">
        <f>IF(NOT(ISBLANK(A145)),VLOOKUP(A145,'BBT3'!A:F,4,1),"")</f>
        <v>2.5</v>
      </c>
      <c r="E145">
        <f>IF(NOT(ISBLANK(A145)),VLOOKUP(A145,'BBT3'!A:F,5,0),"")</f>
        <v>47133</v>
      </c>
      <c r="F145" t="str">
        <f>IF(NOT(ISBLANK(A145)),VLOOKUP(A145,'BBT3'!A:F,6,0),"")</f>
        <v>Y</v>
      </c>
      <c r="G145">
        <f>IF(NOT(ISBLANK(A145)),VLOOKUP(A145,QW_Close!A:J,5,0),"")</f>
        <v>1.44088301503538E-2</v>
      </c>
      <c r="H145" s="5" t="e" cm="1">
        <f t="array" ref="H145">IF(NOT(ISBLANK(A145)),((_xlfn.XLOOKUP(1,(_bbt3[[#All],[ID]]=A145)*(_bbt3[[#All],[METRIC_NAME]]="YLD_YTM_ASK"),_bbt3[[#All],[METRIC_VALUE]])*0.5)+(_xlfn.XLOOKUP(1,(_bbt3[[#All],[ID]]=A145)*(_bbt3[[#All],[METRIC_NAME]]="YLD_YTM_BID"),_bbt3[[#All],[METRIC_VALUE]])*0.5))/100,"")</f>
        <v>#N/A</v>
      </c>
      <c r="I145">
        <f>IF(ISNA(VLOOKUP(A145,QW_CloseDL!A:E,5,0)),0,VLOOKUP(A145,QW_CloseDL!A:E,5,0))</f>
        <v>1.44089264867587E-2</v>
      </c>
      <c r="J145" s="8">
        <f t="shared" si="10"/>
        <v>9.6336404900240757E-4</v>
      </c>
      <c r="P145">
        <v>0</v>
      </c>
      <c r="Q145" t="e">
        <f t="shared" si="11"/>
        <v>#N/A</v>
      </c>
      <c r="R145" t="e">
        <f t="shared" si="12"/>
        <v>#N/A</v>
      </c>
      <c r="S145" s="9" t="e">
        <f t="shared" si="13"/>
        <v>#N/A</v>
      </c>
      <c r="T145" s="3" t="e">
        <f t="shared" si="14"/>
        <v>#N/A</v>
      </c>
    </row>
    <row r="146" spans="1:20" x14ac:dyDescent="0.35">
      <c r="A146" t="str">
        <v>912810QA9</v>
      </c>
      <c r="B146" t="str">
        <f>IF(NOT(ISBLANK(A146)),VLOOKUP(A146,'BBT3'!A:F,2,0),"")</f>
        <v>Bond</v>
      </c>
      <c r="C146" t="str">
        <f>IF(NOT(ISBLANK(A146)),VLOOKUP(A146,'BBT3'!A:F,3,0),"")</f>
        <v>US912810QA97</v>
      </c>
      <c r="D146" s="6">
        <f>IF(NOT(ISBLANK(A146)),VLOOKUP(A146,'BBT3'!A:F,4,1),"")</f>
        <v>3.5</v>
      </c>
      <c r="E146">
        <f>IF(NOT(ISBLANK(A146)),VLOOKUP(A146,'BBT3'!A:F,5,0),"")</f>
        <v>50816</v>
      </c>
      <c r="F146" t="str">
        <f>IF(NOT(ISBLANK(A146)),VLOOKUP(A146,'BBT3'!A:F,6,0),"")</f>
        <v>N</v>
      </c>
      <c r="G146">
        <f>IF(NOT(ISBLANK(A146)),VLOOKUP(A146,QW_Close!A:J,5,0),"")</f>
        <v>4.60853974761831E-2</v>
      </c>
      <c r="H146" s="5" t="e" cm="1">
        <f t="array" ref="H146">IF(NOT(ISBLANK(A146)),((_xlfn.XLOOKUP(1,(_bbt3[[#All],[ID]]=A146)*(_bbt3[[#All],[METRIC_NAME]]="YLD_YTM_ASK"),_bbt3[[#All],[METRIC_VALUE]])*0.5)+(_xlfn.XLOOKUP(1,(_bbt3[[#All],[ID]]=A146)*(_bbt3[[#All],[METRIC_NAME]]="YLD_YTM_BID"),_bbt3[[#All],[METRIC_VALUE]])*0.5))/100,"")</f>
        <v>#N/A</v>
      </c>
      <c r="I146">
        <f>IF(ISNA(VLOOKUP(A146,QW_CloseDL!A:E,5,0)),0,VLOOKUP(A146,QW_CloseDL!A:E,5,0))</f>
        <v>4.60853974761831E-2</v>
      </c>
      <c r="J146" s="8">
        <f t="shared" si="10"/>
        <v>0</v>
      </c>
      <c r="P146">
        <v>0</v>
      </c>
      <c r="Q146" t="e">
        <f t="shared" si="11"/>
        <v>#N/A</v>
      </c>
      <c r="R146" t="e">
        <f t="shared" si="12"/>
        <v>#N/A</v>
      </c>
      <c r="S146" s="9" t="e">
        <f t="shared" si="13"/>
        <v>#N/A</v>
      </c>
      <c r="T146" s="3" t="e">
        <f t="shared" si="14"/>
        <v>#N/A</v>
      </c>
    </row>
    <row r="147" spans="1:20" x14ac:dyDescent="0.35">
      <c r="A147" t="str">
        <v>912810QB7</v>
      </c>
      <c r="B147" t="str">
        <f>IF(NOT(ISBLANK(A147)),VLOOKUP(A147,'BBT3'!A:F,2,0),"")</f>
        <v>Bond</v>
      </c>
      <c r="C147" t="str">
        <f>IF(NOT(ISBLANK(A147)),VLOOKUP(A147,'BBT3'!A:F,3,0),"")</f>
        <v>US912810QB70</v>
      </c>
      <c r="D147" s="6">
        <f>IF(NOT(ISBLANK(A147)),VLOOKUP(A147,'BBT3'!A:F,4,1),"")</f>
        <v>4.25</v>
      </c>
      <c r="E147">
        <f>IF(NOT(ISBLANK(A147)),VLOOKUP(A147,'BBT3'!A:F,5,0),"")</f>
        <v>50905</v>
      </c>
      <c r="F147" t="str">
        <f>IF(NOT(ISBLANK(A147)),VLOOKUP(A147,'BBT3'!A:F,6,0),"")</f>
        <v>N</v>
      </c>
      <c r="G147">
        <f>IF(NOT(ISBLANK(A147)),VLOOKUP(A147,QW_Close!A:J,5,0),"")</f>
        <v>4.6565980937359197E-2</v>
      </c>
      <c r="H147" s="5" t="e" cm="1">
        <f t="array" ref="H147">IF(NOT(ISBLANK(A147)),((_xlfn.XLOOKUP(1,(_bbt3[[#All],[ID]]=A147)*(_bbt3[[#All],[METRIC_NAME]]="YLD_YTM_ASK"),_bbt3[[#All],[METRIC_VALUE]])*0.5)+(_xlfn.XLOOKUP(1,(_bbt3[[#All],[ID]]=A147)*(_bbt3[[#All],[METRIC_NAME]]="YLD_YTM_BID"),_bbt3[[#All],[METRIC_VALUE]])*0.5))/100,"")</f>
        <v>#N/A</v>
      </c>
      <c r="I147">
        <f>IF(ISNA(VLOOKUP(A147,QW_CloseDL!A:E,5,0)),0,VLOOKUP(A147,QW_CloseDL!A:E,5,0))</f>
        <v>4.6565980937359197E-2</v>
      </c>
      <c r="J147" s="8">
        <f t="shared" si="10"/>
        <v>0</v>
      </c>
      <c r="P147">
        <v>0</v>
      </c>
      <c r="Q147" t="e">
        <f t="shared" si="11"/>
        <v>#N/A</v>
      </c>
      <c r="R147" t="e">
        <f t="shared" si="12"/>
        <v>#N/A</v>
      </c>
      <c r="S147" s="9" t="e">
        <f t="shared" si="13"/>
        <v>#N/A</v>
      </c>
      <c r="T147" s="3" t="e">
        <f t="shared" si="14"/>
        <v>#N/A</v>
      </c>
    </row>
    <row r="148" spans="1:20" x14ac:dyDescent="0.35">
      <c r="A148" t="str">
        <v>912810QC5</v>
      </c>
      <c r="B148" t="str">
        <f>IF(NOT(ISBLANK(A148)),VLOOKUP(A148,'BBT3'!A:F,2,0),"")</f>
        <v>Bond</v>
      </c>
      <c r="C148" t="str">
        <f>IF(NOT(ISBLANK(A148)),VLOOKUP(A148,'BBT3'!A:F,3,0),"")</f>
        <v>US912810QC53</v>
      </c>
      <c r="D148" s="6">
        <f>IF(NOT(ISBLANK(A148)),VLOOKUP(A148,'BBT3'!A:F,4,1),"")</f>
        <v>4.5</v>
      </c>
      <c r="E148">
        <f>IF(NOT(ISBLANK(A148)),VLOOKUP(A148,'BBT3'!A:F,5,0),"")</f>
        <v>50997</v>
      </c>
      <c r="F148" t="str">
        <f>IF(NOT(ISBLANK(A148)),VLOOKUP(A148,'BBT3'!A:F,6,0),"")</f>
        <v>N</v>
      </c>
      <c r="G148">
        <f>IF(NOT(ISBLANK(A148)),VLOOKUP(A148,QW_Close!A:J,5,0),"")</f>
        <v>4.6891209457735998E-2</v>
      </c>
      <c r="H148" s="5" t="e" cm="1">
        <f t="array" ref="H148">IF(NOT(ISBLANK(A148)),((_xlfn.XLOOKUP(1,(_bbt3[[#All],[ID]]=A148)*(_bbt3[[#All],[METRIC_NAME]]="YLD_YTM_ASK"),_bbt3[[#All],[METRIC_VALUE]])*0.5)+(_xlfn.XLOOKUP(1,(_bbt3[[#All],[ID]]=A148)*(_bbt3[[#All],[METRIC_NAME]]="YLD_YTM_BID"),_bbt3[[#All],[METRIC_VALUE]])*0.5))/100,"")</f>
        <v>#N/A</v>
      </c>
      <c r="I148">
        <f>IF(ISNA(VLOOKUP(A148,QW_CloseDL!A:E,5,0)),0,VLOOKUP(A148,QW_CloseDL!A:E,5,0))</f>
        <v>4.6891209457735998E-2</v>
      </c>
      <c r="J148" s="8">
        <f t="shared" si="10"/>
        <v>0</v>
      </c>
      <c r="P148">
        <v>0</v>
      </c>
      <c r="Q148" t="e">
        <f t="shared" si="11"/>
        <v>#N/A</v>
      </c>
      <c r="R148" t="e">
        <f t="shared" si="12"/>
        <v>#N/A</v>
      </c>
      <c r="S148" s="9" t="e">
        <f t="shared" si="13"/>
        <v>#N/A</v>
      </c>
      <c r="T148" s="3" t="e">
        <f t="shared" si="14"/>
        <v>#N/A</v>
      </c>
    </row>
    <row r="149" spans="1:20" x14ac:dyDescent="0.35">
      <c r="A149" t="str">
        <v>912810QD3</v>
      </c>
      <c r="B149" t="str">
        <f>IF(NOT(ISBLANK(A149)),VLOOKUP(A149,'BBT3'!A:F,2,0),"")</f>
        <v>Bond</v>
      </c>
      <c r="C149" t="str">
        <f>IF(NOT(ISBLANK(A149)),VLOOKUP(A149,'BBT3'!A:F,3,0),"")</f>
        <v>US912810QD37</v>
      </c>
      <c r="D149" s="6">
        <f>IF(NOT(ISBLANK(A149)),VLOOKUP(A149,'BBT3'!A:F,4,1),"")</f>
        <v>4.375</v>
      </c>
      <c r="E149">
        <f>IF(NOT(ISBLANK(A149)),VLOOKUP(A149,'BBT3'!A:F,5,0),"")</f>
        <v>51089</v>
      </c>
      <c r="F149" t="str">
        <f>IF(NOT(ISBLANK(A149)),VLOOKUP(A149,'BBT3'!A:F,6,0),"")</f>
        <v>N</v>
      </c>
      <c r="G149">
        <f>IF(NOT(ISBLANK(A149)),VLOOKUP(A149,QW_Close!A:J,5,0),"")</f>
        <v>4.7190269294299501E-2</v>
      </c>
      <c r="H149" s="5" t="e" cm="1">
        <f t="array" ref="H149">IF(NOT(ISBLANK(A149)),((_xlfn.XLOOKUP(1,(_bbt3[[#All],[ID]]=A149)*(_bbt3[[#All],[METRIC_NAME]]="YLD_YTM_ASK"),_bbt3[[#All],[METRIC_VALUE]])*0.5)+(_xlfn.XLOOKUP(1,(_bbt3[[#All],[ID]]=A149)*(_bbt3[[#All],[METRIC_NAME]]="YLD_YTM_BID"),_bbt3[[#All],[METRIC_VALUE]])*0.5))/100,"")</f>
        <v>#N/A</v>
      </c>
      <c r="I149">
        <f>IF(ISNA(VLOOKUP(A149,QW_CloseDL!A:E,5,0)),0,VLOOKUP(A149,QW_CloseDL!A:E,5,0))</f>
        <v>4.7190269294299501E-2</v>
      </c>
      <c r="J149" s="8">
        <f t="shared" si="10"/>
        <v>0</v>
      </c>
      <c r="P149">
        <v>0</v>
      </c>
      <c r="Q149" t="e">
        <f t="shared" si="11"/>
        <v>#N/A</v>
      </c>
      <c r="R149" t="e">
        <f t="shared" si="12"/>
        <v>#N/A</v>
      </c>
      <c r="S149" s="9" t="e">
        <f t="shared" si="13"/>
        <v>#N/A</v>
      </c>
      <c r="T149" s="3" t="e">
        <f t="shared" si="14"/>
        <v>#N/A</v>
      </c>
    </row>
    <row r="150" spans="1:20" x14ac:dyDescent="0.35">
      <c r="A150" t="str">
        <v>912810QE1</v>
      </c>
      <c r="B150" t="str">
        <f>IF(NOT(ISBLANK(A150)),VLOOKUP(A150,'BBT3'!A:F,2,0),"")</f>
        <v>Bond</v>
      </c>
      <c r="C150" t="str">
        <f>IF(NOT(ISBLANK(A150)),VLOOKUP(A150,'BBT3'!A:F,3,0),"")</f>
        <v>US912810QE10</v>
      </c>
      <c r="D150" s="6">
        <f>IF(NOT(ISBLANK(A150)),VLOOKUP(A150,'BBT3'!A:F,4,1),"")</f>
        <v>4.625</v>
      </c>
      <c r="E150">
        <f>IF(NOT(ISBLANK(A150)),VLOOKUP(A150,'BBT3'!A:F,5,0),"")</f>
        <v>51181</v>
      </c>
      <c r="F150" t="str">
        <f>IF(NOT(ISBLANK(A150)),VLOOKUP(A150,'BBT3'!A:F,6,0),"")</f>
        <v>N</v>
      </c>
      <c r="G150">
        <f>IF(NOT(ISBLANK(A150)),VLOOKUP(A150,QW_Close!A:J,5,0),"")</f>
        <v>4.7290680068382801E-2</v>
      </c>
      <c r="H150" s="5" t="e" cm="1">
        <f t="array" ref="H150">IF(NOT(ISBLANK(A150)),((_xlfn.XLOOKUP(1,(_bbt3[[#All],[ID]]=A150)*(_bbt3[[#All],[METRIC_NAME]]="YLD_YTM_ASK"),_bbt3[[#All],[METRIC_VALUE]])*0.5)+(_xlfn.XLOOKUP(1,(_bbt3[[#All],[ID]]=A150)*(_bbt3[[#All],[METRIC_NAME]]="YLD_YTM_BID"),_bbt3[[#All],[METRIC_VALUE]])*0.5))/100,"")</f>
        <v>#N/A</v>
      </c>
      <c r="I150">
        <f>IF(ISNA(VLOOKUP(A150,QW_CloseDL!A:E,5,0)),0,VLOOKUP(A150,QW_CloseDL!A:E,5,0))</f>
        <v>4.7290680068382801E-2</v>
      </c>
      <c r="J150" s="8">
        <f t="shared" si="10"/>
        <v>0</v>
      </c>
      <c r="P150">
        <v>0</v>
      </c>
      <c r="Q150" t="e">
        <f t="shared" si="11"/>
        <v>#N/A</v>
      </c>
      <c r="R150" t="e">
        <f t="shared" si="12"/>
        <v>#N/A</v>
      </c>
      <c r="S150" s="9" t="e">
        <f t="shared" si="13"/>
        <v>#N/A</v>
      </c>
      <c r="T150" s="3" t="e">
        <f t="shared" si="14"/>
        <v>#N/A</v>
      </c>
    </row>
    <row r="151" spans="1:20" x14ac:dyDescent="0.35">
      <c r="A151" t="str">
        <v>912810QF8</v>
      </c>
      <c r="B151" t="str">
        <f>IF(NOT(ISBLANK(A151)),VLOOKUP(A151,'BBT3'!A:F,2,0),"")</f>
        <v>Bond</v>
      </c>
      <c r="C151" t="str">
        <f>IF(NOT(ISBLANK(A151)),VLOOKUP(A151,'BBT3'!A:F,3,0),"")</f>
        <v>US912810QF84</v>
      </c>
      <c r="D151" s="6">
        <f>IF(NOT(ISBLANK(A151)),VLOOKUP(A151,'BBT3'!A:F,4,1),"")</f>
        <v>2.125</v>
      </c>
      <c r="E151">
        <f>IF(NOT(ISBLANK(A151)),VLOOKUP(A151,'BBT3'!A:F,5,0),"")</f>
        <v>51181</v>
      </c>
      <c r="F151" t="str">
        <f>IF(NOT(ISBLANK(A151)),VLOOKUP(A151,'BBT3'!A:F,6,0),"")</f>
        <v>Y</v>
      </c>
      <c r="G151">
        <f>IF(NOT(ISBLANK(A151)),VLOOKUP(A151,QW_Close!A:J,5,0),"")</f>
        <v>2.3202575375456599E-2</v>
      </c>
      <c r="H151" s="5" t="e" cm="1">
        <f t="array" ref="H151">IF(NOT(ISBLANK(A151)),((_xlfn.XLOOKUP(1,(_bbt3[[#All],[ID]]=A151)*(_bbt3[[#All],[METRIC_NAME]]="YLD_YTM_ASK"),_bbt3[[#All],[METRIC_VALUE]])*0.5)+(_xlfn.XLOOKUP(1,(_bbt3[[#All],[ID]]=A151)*(_bbt3[[#All],[METRIC_NAME]]="YLD_YTM_BID"),_bbt3[[#All],[METRIC_VALUE]])*0.5))/100,"")</f>
        <v>#N/A</v>
      </c>
      <c r="I151">
        <f>IF(ISNA(VLOOKUP(A151,QW_CloseDL!A:E,5,0)),0,VLOOKUP(A151,QW_CloseDL!A:E,5,0))</f>
        <v>2.3202575375456599E-2</v>
      </c>
      <c r="J151" s="8">
        <f t="shared" si="10"/>
        <v>0</v>
      </c>
      <c r="P151">
        <v>0</v>
      </c>
      <c r="Q151" t="e">
        <f t="shared" si="11"/>
        <v>#N/A</v>
      </c>
      <c r="R151" t="e">
        <f t="shared" si="12"/>
        <v>#N/A</v>
      </c>
      <c r="S151" s="9" t="e">
        <f t="shared" si="13"/>
        <v>#N/A</v>
      </c>
      <c r="T151" s="3" t="e">
        <f t="shared" si="14"/>
        <v>#N/A</v>
      </c>
    </row>
    <row r="152" spans="1:20" x14ac:dyDescent="0.35">
      <c r="A152" t="str">
        <v>912810QH4</v>
      </c>
      <c r="B152" t="str">
        <f>IF(NOT(ISBLANK(A152)),VLOOKUP(A152,'BBT3'!A:F,2,0),"")</f>
        <v>Bond</v>
      </c>
      <c r="C152" t="str">
        <f>IF(NOT(ISBLANK(A152)),VLOOKUP(A152,'BBT3'!A:F,3,0),"")</f>
        <v>US912810QH41</v>
      </c>
      <c r="D152" s="6">
        <f>IF(NOT(ISBLANK(A152)),VLOOKUP(A152,'BBT3'!A:F,4,1),"")</f>
        <v>4.375</v>
      </c>
      <c r="E152">
        <f>IF(NOT(ISBLANK(A152)),VLOOKUP(A152,'BBT3'!A:F,5,0),"")</f>
        <v>51271</v>
      </c>
      <c r="F152" t="str">
        <f>IF(NOT(ISBLANK(A152)),VLOOKUP(A152,'BBT3'!A:F,6,0),"")</f>
        <v>N</v>
      </c>
      <c r="G152">
        <f>IF(NOT(ISBLANK(A152)),VLOOKUP(A152,QW_Close!A:J,5,0),"")</f>
        <v>4.7486470981925599E-2</v>
      </c>
      <c r="H152" s="5" t="e" cm="1">
        <f t="array" ref="H152">IF(NOT(ISBLANK(A152)),((_xlfn.XLOOKUP(1,(_bbt3[[#All],[ID]]=A152)*(_bbt3[[#All],[METRIC_NAME]]="YLD_YTM_ASK"),_bbt3[[#All],[METRIC_VALUE]])*0.5)+(_xlfn.XLOOKUP(1,(_bbt3[[#All],[ID]]=A152)*(_bbt3[[#All],[METRIC_NAME]]="YLD_YTM_BID"),_bbt3[[#All],[METRIC_VALUE]])*0.5))/100,"")</f>
        <v>#N/A</v>
      </c>
      <c r="I152">
        <f>IF(ISNA(VLOOKUP(A152,QW_CloseDL!A:E,5,0)),0,VLOOKUP(A152,QW_CloseDL!A:E,5,0))</f>
        <v>4.7486470981925599E-2</v>
      </c>
      <c r="J152" s="8">
        <f t="shared" si="10"/>
        <v>0</v>
      </c>
      <c r="P152">
        <v>0</v>
      </c>
      <c r="Q152" t="e">
        <f t="shared" si="11"/>
        <v>#N/A</v>
      </c>
      <c r="R152" t="e">
        <f t="shared" si="12"/>
        <v>#N/A</v>
      </c>
      <c r="S152" s="9" t="e">
        <f t="shared" si="13"/>
        <v>#N/A</v>
      </c>
      <c r="T152" s="3" t="e">
        <f t="shared" si="14"/>
        <v>#N/A</v>
      </c>
    </row>
    <row r="153" spans="1:20" x14ac:dyDescent="0.35">
      <c r="A153" t="str">
        <v>912810QK7</v>
      </c>
      <c r="B153" t="str">
        <f>IF(NOT(ISBLANK(A153)),VLOOKUP(A153,'BBT3'!A:F,2,0),"")</f>
        <v>Bond</v>
      </c>
      <c r="C153" t="str">
        <f>IF(NOT(ISBLANK(A153)),VLOOKUP(A153,'BBT3'!A:F,3,0),"")</f>
        <v>US912810QK79</v>
      </c>
      <c r="D153" s="6">
        <f>IF(NOT(ISBLANK(A153)),VLOOKUP(A153,'BBT3'!A:F,4,1),"")</f>
        <v>3.875</v>
      </c>
      <c r="E153">
        <f>IF(NOT(ISBLANK(A153)),VLOOKUP(A153,'BBT3'!A:F,5,0),"")</f>
        <v>51363</v>
      </c>
      <c r="F153" t="str">
        <f>IF(NOT(ISBLANK(A153)),VLOOKUP(A153,'BBT3'!A:F,6,0),"")</f>
        <v>N</v>
      </c>
      <c r="G153">
        <f>IF(NOT(ISBLANK(A153)),VLOOKUP(A153,QW_Close!A:J,5,0),"")</f>
        <v>4.7761274846542301E-2</v>
      </c>
      <c r="H153" s="5" t="e" cm="1">
        <f t="array" ref="H153">IF(NOT(ISBLANK(A153)),((_xlfn.XLOOKUP(1,(_bbt3[[#All],[ID]]=A153)*(_bbt3[[#All],[METRIC_NAME]]="YLD_YTM_ASK"),_bbt3[[#All],[METRIC_VALUE]])*0.5)+(_xlfn.XLOOKUP(1,(_bbt3[[#All],[ID]]=A153)*(_bbt3[[#All],[METRIC_NAME]]="YLD_YTM_BID"),_bbt3[[#All],[METRIC_VALUE]])*0.5))/100,"")</f>
        <v>#N/A</v>
      </c>
      <c r="I153">
        <f>IF(ISNA(VLOOKUP(A153,QW_CloseDL!A:E,5,0)),0,VLOOKUP(A153,QW_CloseDL!A:E,5,0))</f>
        <v>4.7761274846542301E-2</v>
      </c>
      <c r="J153" s="8">
        <f t="shared" si="10"/>
        <v>0</v>
      </c>
      <c r="P153">
        <v>0</v>
      </c>
      <c r="Q153" t="e">
        <f t="shared" si="11"/>
        <v>#N/A</v>
      </c>
      <c r="R153" t="e">
        <f t="shared" si="12"/>
        <v>#N/A</v>
      </c>
      <c r="S153" s="9" t="e">
        <f t="shared" si="13"/>
        <v>#N/A</v>
      </c>
      <c r="T153" s="3" t="e">
        <f t="shared" si="14"/>
        <v>#N/A</v>
      </c>
    </row>
    <row r="154" spans="1:20" x14ac:dyDescent="0.35">
      <c r="A154" t="str">
        <v>912810QL5</v>
      </c>
      <c r="B154" t="str">
        <f>IF(NOT(ISBLANK(A154)),VLOOKUP(A154,'BBT3'!A:F,2,0),"")</f>
        <v>Bond</v>
      </c>
      <c r="C154" t="str">
        <f>IF(NOT(ISBLANK(A154)),VLOOKUP(A154,'BBT3'!A:F,3,0),"")</f>
        <v>US912810QL52</v>
      </c>
      <c r="D154" s="6">
        <f>IF(NOT(ISBLANK(A154)),VLOOKUP(A154,'BBT3'!A:F,4,1),"")</f>
        <v>4.25</v>
      </c>
      <c r="E154">
        <f>IF(NOT(ISBLANK(A154)),VLOOKUP(A154,'BBT3'!A:F,5,0),"")</f>
        <v>51455</v>
      </c>
      <c r="F154" t="str">
        <f>IF(NOT(ISBLANK(A154)),VLOOKUP(A154,'BBT3'!A:F,6,0),"")</f>
        <v>N</v>
      </c>
      <c r="G154">
        <f>IF(NOT(ISBLANK(A154)),VLOOKUP(A154,QW_Close!A:J,5,0),"")</f>
        <v>4.7861235771956799E-2</v>
      </c>
      <c r="H154" s="5" t="e" cm="1">
        <f t="array" ref="H154">IF(NOT(ISBLANK(A154)),((_xlfn.XLOOKUP(1,(_bbt3[[#All],[ID]]=A154)*(_bbt3[[#All],[METRIC_NAME]]="YLD_YTM_ASK"),_bbt3[[#All],[METRIC_VALUE]])*0.5)+(_xlfn.XLOOKUP(1,(_bbt3[[#All],[ID]]=A154)*(_bbt3[[#All],[METRIC_NAME]]="YLD_YTM_BID"),_bbt3[[#All],[METRIC_VALUE]])*0.5))/100,"")</f>
        <v>#N/A</v>
      </c>
      <c r="I154">
        <f>IF(ISNA(VLOOKUP(A154,QW_CloseDL!A:E,5,0)),0,VLOOKUP(A154,QW_CloseDL!A:E,5,0))</f>
        <v>4.7861235771956799E-2</v>
      </c>
      <c r="J154" s="8">
        <f t="shared" si="10"/>
        <v>0</v>
      </c>
      <c r="P154">
        <v>0</v>
      </c>
      <c r="Q154" t="e">
        <f t="shared" si="11"/>
        <v>#N/A</v>
      </c>
      <c r="R154" t="e">
        <f t="shared" si="12"/>
        <v>#N/A</v>
      </c>
      <c r="S154" s="9" t="e">
        <f t="shared" si="13"/>
        <v>#N/A</v>
      </c>
      <c r="T154" s="3" t="e">
        <f t="shared" si="14"/>
        <v>#N/A</v>
      </c>
    </row>
    <row r="155" spans="1:20" x14ac:dyDescent="0.35">
      <c r="A155" t="str">
        <v>912810QN1</v>
      </c>
      <c r="B155" t="str">
        <f>IF(NOT(ISBLANK(A155)),VLOOKUP(A155,'BBT3'!A:F,2,0),"")</f>
        <v>Bond</v>
      </c>
      <c r="C155" t="str">
        <f>IF(NOT(ISBLANK(A155)),VLOOKUP(A155,'BBT3'!A:F,3,0),"")</f>
        <v>US912810QN19</v>
      </c>
      <c r="D155" s="6">
        <f>IF(NOT(ISBLANK(A155)),VLOOKUP(A155,'BBT3'!A:F,4,1),"")</f>
        <v>4.75</v>
      </c>
      <c r="E155">
        <f>IF(NOT(ISBLANK(A155)),VLOOKUP(A155,'BBT3'!A:F,5,0),"")</f>
        <v>51547</v>
      </c>
      <c r="F155" t="str">
        <f>IF(NOT(ISBLANK(A155)),VLOOKUP(A155,'BBT3'!A:F,6,0),"")</f>
        <v>N</v>
      </c>
      <c r="G155">
        <f>IF(NOT(ISBLANK(A155)),VLOOKUP(A155,QW_Close!A:J,5,0),"")</f>
        <v>4.7874284208796303E-2</v>
      </c>
      <c r="H155" s="5" t="e" cm="1">
        <f t="array" ref="H155">IF(NOT(ISBLANK(A155)),((_xlfn.XLOOKUP(1,(_bbt3[[#All],[ID]]=A155)*(_bbt3[[#All],[METRIC_NAME]]="YLD_YTM_ASK"),_bbt3[[#All],[METRIC_VALUE]])*0.5)+(_xlfn.XLOOKUP(1,(_bbt3[[#All],[ID]]=A155)*(_bbt3[[#All],[METRIC_NAME]]="YLD_YTM_BID"),_bbt3[[#All],[METRIC_VALUE]])*0.5))/100,"")</f>
        <v>#N/A</v>
      </c>
      <c r="I155">
        <f>IF(ISNA(VLOOKUP(A155,QW_CloseDL!A:E,5,0)),0,VLOOKUP(A155,QW_CloseDL!A:E,5,0))</f>
        <v>4.7874284208796303E-2</v>
      </c>
      <c r="J155" s="8">
        <f t="shared" si="10"/>
        <v>0</v>
      </c>
      <c r="P155">
        <v>0</v>
      </c>
      <c r="Q155" t="e">
        <f t="shared" si="11"/>
        <v>#N/A</v>
      </c>
      <c r="R155" t="e">
        <f t="shared" si="12"/>
        <v>#N/A</v>
      </c>
      <c r="S155" s="9" t="e">
        <f t="shared" si="13"/>
        <v>#N/A</v>
      </c>
      <c r="T155" s="3" t="e">
        <f t="shared" si="14"/>
        <v>#N/A</v>
      </c>
    </row>
    <row r="156" spans="1:20" x14ac:dyDescent="0.35">
      <c r="A156" t="str">
        <v>912810QP6</v>
      </c>
      <c r="B156" t="str">
        <f>IF(NOT(ISBLANK(A156)),VLOOKUP(A156,'BBT3'!A:F,2,0),"")</f>
        <v>Bond</v>
      </c>
      <c r="C156" t="str">
        <f>IF(NOT(ISBLANK(A156)),VLOOKUP(A156,'BBT3'!A:F,3,0),"")</f>
        <v>US912810QP66</v>
      </c>
      <c r="D156" s="6">
        <f>IF(NOT(ISBLANK(A156)),VLOOKUP(A156,'BBT3'!A:F,4,1),"")</f>
        <v>2.125</v>
      </c>
      <c r="E156">
        <f>IF(NOT(ISBLANK(A156)),VLOOKUP(A156,'BBT3'!A:F,5,0),"")</f>
        <v>51547</v>
      </c>
      <c r="F156" t="str">
        <f>IF(NOT(ISBLANK(A156)),VLOOKUP(A156,'BBT3'!A:F,6,0),"")</f>
        <v>Y</v>
      </c>
      <c r="G156">
        <f>IF(NOT(ISBLANK(A156)),VLOOKUP(A156,QW_Close!A:J,5,0),"")</f>
        <v>2.3935725071954201E-2</v>
      </c>
      <c r="H156" s="5" t="e" cm="1">
        <f t="array" ref="H156">IF(NOT(ISBLANK(A156)),((_xlfn.XLOOKUP(1,(_bbt3[[#All],[ID]]=A156)*(_bbt3[[#All],[METRIC_NAME]]="YLD_YTM_ASK"),_bbt3[[#All],[METRIC_VALUE]])*0.5)+(_xlfn.XLOOKUP(1,(_bbt3[[#All],[ID]]=A156)*(_bbt3[[#All],[METRIC_NAME]]="YLD_YTM_BID"),_bbt3[[#All],[METRIC_VALUE]])*0.5))/100,"")</f>
        <v>#N/A</v>
      </c>
      <c r="I156">
        <f>IF(ISNA(VLOOKUP(A156,QW_CloseDL!A:E,5,0)),0,VLOOKUP(A156,QW_CloseDL!A:E,5,0))</f>
        <v>2.3935725071954201E-2</v>
      </c>
      <c r="J156" s="8">
        <f t="shared" si="10"/>
        <v>0</v>
      </c>
      <c r="P156">
        <v>0</v>
      </c>
      <c r="Q156" t="e">
        <f t="shared" si="11"/>
        <v>#N/A</v>
      </c>
      <c r="R156" t="e">
        <f t="shared" si="12"/>
        <v>#N/A</v>
      </c>
      <c r="S156" s="9" t="e">
        <f t="shared" si="13"/>
        <v>#N/A</v>
      </c>
      <c r="T156" s="3" t="e">
        <f t="shared" si="14"/>
        <v>#N/A</v>
      </c>
    </row>
    <row r="157" spans="1:20" x14ac:dyDescent="0.35">
      <c r="A157" t="str">
        <v>912810QQ4</v>
      </c>
      <c r="B157" t="str">
        <f>IF(NOT(ISBLANK(A157)),VLOOKUP(A157,'BBT3'!A:F,2,0),"")</f>
        <v>Bond</v>
      </c>
      <c r="C157" t="str">
        <f>IF(NOT(ISBLANK(A157)),VLOOKUP(A157,'BBT3'!A:F,3,0),"")</f>
        <v>US912810QQ40</v>
      </c>
      <c r="D157" s="6">
        <f>IF(NOT(ISBLANK(A157)),VLOOKUP(A157,'BBT3'!A:F,4,1),"")</f>
        <v>4.375</v>
      </c>
      <c r="E157">
        <f>IF(NOT(ISBLANK(A157)),VLOOKUP(A157,'BBT3'!A:F,5,0),"")</f>
        <v>51636</v>
      </c>
      <c r="F157" t="str">
        <f>IF(NOT(ISBLANK(A157)),VLOOKUP(A157,'BBT3'!A:F,6,0),"")</f>
        <v>N</v>
      </c>
      <c r="G157">
        <f>IF(NOT(ISBLANK(A157)),VLOOKUP(A157,QW_Close!A:J,5,0),"")</f>
        <v>4.8108042562989999E-2</v>
      </c>
      <c r="H157" s="5" cm="1">
        <f t="array" ref="H157">IF(NOT(ISBLANK(A157)),((_xlfn.XLOOKUP(1,(_bbt3[[#All],[ID]]=A157)*(_bbt3[[#All],[METRIC_NAME]]="YLD_YTM_ASK"),_bbt3[[#All],[METRIC_VALUE]])*0.5)+(_xlfn.XLOOKUP(1,(_bbt3[[#All],[ID]]=A157)*(_bbt3[[#All],[METRIC_NAME]]="YLD_YTM_BID"),_bbt3[[#All],[METRIC_VALUE]])*0.5))/100,"")</f>
        <v>4.8108056499999996E-2</v>
      </c>
      <c r="I157">
        <f>IF(ISNA(VLOOKUP(A157,QW_CloseDL!A:E,5,0)),0,VLOOKUP(A157,QW_CloseDL!A:E,5,0))</f>
        <v>4.8108042562989999E-2</v>
      </c>
      <c r="J157" s="8">
        <f t="shared" si="10"/>
        <v>0</v>
      </c>
      <c r="P157">
        <v>0</v>
      </c>
      <c r="Q157" t="e">
        <f t="shared" si="11"/>
        <v>#N/A</v>
      </c>
      <c r="R157" t="e">
        <f t="shared" si="12"/>
        <v>#N/A</v>
      </c>
      <c r="S157" s="9" t="e">
        <f t="shared" si="13"/>
        <v>#N/A</v>
      </c>
      <c r="T157" s="3" t="e">
        <f t="shared" si="14"/>
        <v>#N/A</v>
      </c>
    </row>
    <row r="158" spans="1:20" x14ac:dyDescent="0.35">
      <c r="A158" t="str">
        <v>912810QS0</v>
      </c>
      <c r="B158" t="str">
        <f>IF(NOT(ISBLANK(A158)),VLOOKUP(A158,'BBT3'!A:F,2,0),"")</f>
        <v>Bond</v>
      </c>
      <c r="C158" t="str">
        <f>IF(NOT(ISBLANK(A158)),VLOOKUP(A158,'BBT3'!A:F,3,0),"")</f>
        <v>US912810QS06</v>
      </c>
      <c r="D158" s="6">
        <f>IF(NOT(ISBLANK(A158)),VLOOKUP(A158,'BBT3'!A:F,4,1),"")</f>
        <v>3.75</v>
      </c>
      <c r="E158">
        <f>IF(NOT(ISBLANK(A158)),VLOOKUP(A158,'BBT3'!A:F,5,0),"")</f>
        <v>51728</v>
      </c>
      <c r="F158" t="str">
        <f>IF(NOT(ISBLANK(A158)),VLOOKUP(A158,'BBT3'!A:F,6,0),"")</f>
        <v>N</v>
      </c>
      <c r="G158">
        <f>IF(NOT(ISBLANK(A158)),VLOOKUP(A158,QW_Close!A:J,5,0),"")</f>
        <v>4.8339857086209199E-2</v>
      </c>
      <c r="H158" s="5" t="e" cm="1">
        <f t="array" ref="H158">IF(NOT(ISBLANK(A158)),((_xlfn.XLOOKUP(1,(_bbt3[[#All],[ID]]=A158)*(_bbt3[[#All],[METRIC_NAME]]="YLD_YTM_ASK"),_bbt3[[#All],[METRIC_VALUE]])*0.5)+(_xlfn.XLOOKUP(1,(_bbt3[[#All],[ID]]=A158)*(_bbt3[[#All],[METRIC_NAME]]="YLD_YTM_BID"),_bbt3[[#All],[METRIC_VALUE]])*0.5))/100,"")</f>
        <v>#N/A</v>
      </c>
      <c r="I158">
        <f>IF(ISNA(VLOOKUP(A158,QW_CloseDL!A:E,5,0)),0,VLOOKUP(A158,QW_CloseDL!A:E,5,0))</f>
        <v>4.8339857086209199E-2</v>
      </c>
      <c r="J158" s="8">
        <f t="shared" si="10"/>
        <v>0</v>
      </c>
      <c r="P158">
        <v>0</v>
      </c>
      <c r="Q158" t="e">
        <f t="shared" si="11"/>
        <v>#N/A</v>
      </c>
      <c r="R158" t="e">
        <f t="shared" si="12"/>
        <v>#N/A</v>
      </c>
      <c r="S158" s="9" t="e">
        <f t="shared" si="13"/>
        <v>#N/A</v>
      </c>
      <c r="T158" s="3" t="e">
        <f t="shared" si="14"/>
        <v>#N/A</v>
      </c>
    </row>
    <row r="159" spans="1:20" x14ac:dyDescent="0.35">
      <c r="A159" t="str">
        <v>912810QT8</v>
      </c>
      <c r="B159" t="str">
        <f>IF(NOT(ISBLANK(A159)),VLOOKUP(A159,'BBT3'!A:F,2,0),"")</f>
        <v>Bond</v>
      </c>
      <c r="C159" t="str">
        <f>IF(NOT(ISBLANK(A159)),VLOOKUP(A159,'BBT3'!A:F,3,0),"")</f>
        <v>US912810QT88</v>
      </c>
      <c r="D159" s="6">
        <f>IF(NOT(ISBLANK(A159)),VLOOKUP(A159,'BBT3'!A:F,4,1),"")</f>
        <v>3.125</v>
      </c>
      <c r="E159">
        <f>IF(NOT(ISBLANK(A159)),VLOOKUP(A159,'BBT3'!A:F,5,0),"")</f>
        <v>51820</v>
      </c>
      <c r="F159" t="str">
        <f>IF(NOT(ISBLANK(A159)),VLOOKUP(A159,'BBT3'!A:F,6,0),"")</f>
        <v>N</v>
      </c>
      <c r="G159">
        <f>IF(NOT(ISBLANK(A159)),VLOOKUP(A159,QW_Close!A:J,5,0),"")</f>
        <v>4.87155058012863E-2</v>
      </c>
      <c r="H159" s="5" t="e" cm="1">
        <f t="array" ref="H159">IF(NOT(ISBLANK(A159)),((_xlfn.XLOOKUP(1,(_bbt3[[#All],[ID]]=A159)*(_bbt3[[#All],[METRIC_NAME]]="YLD_YTM_ASK"),_bbt3[[#All],[METRIC_VALUE]])*0.5)+(_xlfn.XLOOKUP(1,(_bbt3[[#All],[ID]]=A159)*(_bbt3[[#All],[METRIC_NAME]]="YLD_YTM_BID"),_bbt3[[#All],[METRIC_VALUE]])*0.5))/100,"")</f>
        <v>#N/A</v>
      </c>
      <c r="I159">
        <f>IF(ISNA(VLOOKUP(A159,QW_CloseDL!A:E,5,0)),0,VLOOKUP(A159,QW_CloseDL!A:E,5,0))</f>
        <v>4.87155058012863E-2</v>
      </c>
      <c r="J159" s="8">
        <f t="shared" si="10"/>
        <v>0</v>
      </c>
      <c r="P159">
        <v>0</v>
      </c>
      <c r="Q159" t="e">
        <f t="shared" si="11"/>
        <v>#N/A</v>
      </c>
      <c r="R159" t="e">
        <f t="shared" si="12"/>
        <v>#N/A</v>
      </c>
      <c r="S159" s="9" t="e">
        <f t="shared" si="13"/>
        <v>#N/A</v>
      </c>
      <c r="T159" s="3" t="e">
        <f t="shared" si="14"/>
        <v>#N/A</v>
      </c>
    </row>
    <row r="160" spans="1:20" x14ac:dyDescent="0.35">
      <c r="A160" t="str">
        <v>912810QU5</v>
      </c>
      <c r="B160" t="str">
        <f>IF(NOT(ISBLANK(A160)),VLOOKUP(A160,'BBT3'!A:F,2,0),"")</f>
        <v>Bond</v>
      </c>
      <c r="C160" t="str">
        <f>IF(NOT(ISBLANK(A160)),VLOOKUP(A160,'BBT3'!A:F,3,0),"")</f>
        <v>US912810QU51</v>
      </c>
      <c r="D160" s="6">
        <f>IF(NOT(ISBLANK(A160)),VLOOKUP(A160,'BBT3'!A:F,4,1),"")</f>
        <v>3.125</v>
      </c>
      <c r="E160">
        <f>IF(NOT(ISBLANK(A160)),VLOOKUP(A160,'BBT3'!A:F,5,0),"")</f>
        <v>51912</v>
      </c>
      <c r="F160" t="str">
        <f>IF(NOT(ISBLANK(A160)),VLOOKUP(A160,'BBT3'!A:F,6,0),"")</f>
        <v>N</v>
      </c>
      <c r="G160">
        <f>IF(NOT(ISBLANK(A160)),VLOOKUP(A160,QW_Close!A:J,5,0),"")</f>
        <v>4.8872810953865101E-2</v>
      </c>
      <c r="H160" s="5" t="e" cm="1">
        <f t="array" ref="H160">IF(NOT(ISBLANK(A160)),((_xlfn.XLOOKUP(1,(_bbt3[[#All],[ID]]=A160)*(_bbt3[[#All],[METRIC_NAME]]="YLD_YTM_ASK"),_bbt3[[#All],[METRIC_VALUE]])*0.5)+(_xlfn.XLOOKUP(1,(_bbt3[[#All],[ID]]=A160)*(_bbt3[[#All],[METRIC_NAME]]="YLD_YTM_BID"),_bbt3[[#All],[METRIC_VALUE]])*0.5))/100,"")</f>
        <v>#N/A</v>
      </c>
      <c r="I160">
        <f>IF(ISNA(VLOOKUP(A160,QW_CloseDL!A:E,5,0)),0,VLOOKUP(A160,QW_CloseDL!A:E,5,0))</f>
        <v>4.8872810953865101E-2</v>
      </c>
      <c r="J160" s="8">
        <f t="shared" si="10"/>
        <v>0</v>
      </c>
      <c r="P160">
        <v>0</v>
      </c>
      <c r="Q160" t="e">
        <f t="shared" si="11"/>
        <v>#N/A</v>
      </c>
      <c r="R160" t="e">
        <f t="shared" si="12"/>
        <v>#N/A</v>
      </c>
      <c r="S160" s="9" t="e">
        <f t="shared" si="13"/>
        <v>#N/A</v>
      </c>
      <c r="T160" s="3" t="e">
        <f t="shared" si="14"/>
        <v>#N/A</v>
      </c>
    </row>
    <row r="161" spans="1:20" x14ac:dyDescent="0.35">
      <c r="A161" t="str">
        <v>912810QV3</v>
      </c>
      <c r="B161" t="str">
        <f>IF(NOT(ISBLANK(A161)),VLOOKUP(A161,'BBT3'!A:F,2,0),"")</f>
        <v>Bond</v>
      </c>
      <c r="C161" t="str">
        <f>IF(NOT(ISBLANK(A161)),VLOOKUP(A161,'BBT3'!A:F,3,0),"")</f>
        <v>US912810QV35</v>
      </c>
      <c r="D161" s="6">
        <f>IF(NOT(ISBLANK(A161)),VLOOKUP(A161,'BBT3'!A:F,4,1),"")</f>
        <v>0.75</v>
      </c>
      <c r="E161">
        <f>IF(NOT(ISBLANK(A161)),VLOOKUP(A161,'BBT3'!A:F,5,0),"")</f>
        <v>51912</v>
      </c>
      <c r="F161" t="str">
        <f>IF(NOT(ISBLANK(A161)),VLOOKUP(A161,'BBT3'!A:F,6,0),"")</f>
        <v>Y</v>
      </c>
      <c r="G161">
        <f>IF(NOT(ISBLANK(A161)),VLOOKUP(A161,QW_Close!A:J,5,0),"")</f>
        <v>2.5205930977354501E-2</v>
      </c>
      <c r="H161" s="5" t="e" cm="1">
        <f t="array" ref="H161">IF(NOT(ISBLANK(A161)),((_xlfn.XLOOKUP(1,(_bbt3[[#All],[ID]]=A161)*(_bbt3[[#All],[METRIC_NAME]]="YLD_YTM_ASK"),_bbt3[[#All],[METRIC_VALUE]])*0.5)+(_xlfn.XLOOKUP(1,(_bbt3[[#All],[ID]]=A161)*(_bbt3[[#All],[METRIC_NAME]]="YLD_YTM_BID"),_bbt3[[#All],[METRIC_VALUE]])*0.5))/100,"")</f>
        <v>#N/A</v>
      </c>
      <c r="I161">
        <f>IF(ISNA(VLOOKUP(A161,QW_CloseDL!A:E,5,0)),0,VLOOKUP(A161,QW_CloseDL!A:E,5,0))</f>
        <v>2.5205928742536601E-2</v>
      </c>
      <c r="J161" s="8">
        <f t="shared" si="10"/>
        <v>2.2348179001818735E-5</v>
      </c>
      <c r="P161">
        <v>0</v>
      </c>
      <c r="Q161" t="e">
        <f t="shared" si="11"/>
        <v>#N/A</v>
      </c>
      <c r="R161" t="e">
        <f t="shared" si="12"/>
        <v>#N/A</v>
      </c>
      <c r="S161" s="9" t="e">
        <f t="shared" si="13"/>
        <v>#N/A</v>
      </c>
      <c r="T161" s="3" t="e">
        <f t="shared" si="14"/>
        <v>#N/A</v>
      </c>
    </row>
    <row r="162" spans="1:20" x14ac:dyDescent="0.35">
      <c r="A162" t="str">
        <v>912810QW1</v>
      </c>
      <c r="B162" t="str">
        <f>IF(NOT(ISBLANK(A162)),VLOOKUP(A162,'BBT3'!A:F,2,0),"")</f>
        <v>Bond</v>
      </c>
      <c r="C162" t="str">
        <f>IF(NOT(ISBLANK(A162)),VLOOKUP(A162,'BBT3'!A:F,3,0),"")</f>
        <v>US912810QW18</v>
      </c>
      <c r="D162" s="6">
        <f>IF(NOT(ISBLANK(A162)),VLOOKUP(A162,'BBT3'!A:F,4,1),"")</f>
        <v>3</v>
      </c>
      <c r="E162">
        <f>IF(NOT(ISBLANK(A162)),VLOOKUP(A162,'BBT3'!A:F,5,0),"")</f>
        <v>52001</v>
      </c>
      <c r="F162" t="str">
        <f>IF(NOT(ISBLANK(A162)),VLOOKUP(A162,'BBT3'!A:F,6,0),"")</f>
        <v>N</v>
      </c>
      <c r="G162">
        <f>IF(NOT(ISBLANK(A162)),VLOOKUP(A162,QW_Close!A:J,5,0),"")</f>
        <v>4.9020156134791902E-2</v>
      </c>
      <c r="H162" s="5" t="e" cm="1">
        <f t="array" ref="H162">IF(NOT(ISBLANK(A162)),((_xlfn.XLOOKUP(1,(_bbt3[[#All],[ID]]=A162)*(_bbt3[[#All],[METRIC_NAME]]="YLD_YTM_ASK"),_bbt3[[#All],[METRIC_VALUE]])*0.5)+(_xlfn.XLOOKUP(1,(_bbt3[[#All],[ID]]=A162)*(_bbt3[[#All],[METRIC_NAME]]="YLD_YTM_BID"),_bbt3[[#All],[METRIC_VALUE]])*0.5))/100,"")</f>
        <v>#N/A</v>
      </c>
      <c r="I162">
        <f>IF(ISNA(VLOOKUP(A162,QW_CloseDL!A:E,5,0)),0,VLOOKUP(A162,QW_CloseDL!A:E,5,0))</f>
        <v>4.9020156134791902E-2</v>
      </c>
      <c r="J162" s="8">
        <f t="shared" si="10"/>
        <v>0</v>
      </c>
      <c r="P162">
        <v>0</v>
      </c>
      <c r="Q162" t="e">
        <f t="shared" si="11"/>
        <v>#N/A</v>
      </c>
      <c r="R162" t="e">
        <f t="shared" si="12"/>
        <v>#N/A</v>
      </c>
      <c r="S162" s="9" t="e">
        <f t="shared" si="13"/>
        <v>#N/A</v>
      </c>
      <c r="T162" s="3" t="e">
        <f t="shared" si="14"/>
        <v>#N/A</v>
      </c>
    </row>
    <row r="163" spans="1:20" x14ac:dyDescent="0.35">
      <c r="A163" t="str">
        <v>912810QX9</v>
      </c>
      <c r="B163" t="str">
        <f>IF(NOT(ISBLANK(A163)),VLOOKUP(A163,'BBT3'!A:F,2,0),"")</f>
        <v>Bond</v>
      </c>
      <c r="C163" t="str">
        <f>IF(NOT(ISBLANK(A163)),VLOOKUP(A163,'BBT3'!A:F,3,0),"")</f>
        <v>US912810QX90</v>
      </c>
      <c r="D163" s="6">
        <f>IF(NOT(ISBLANK(A163)),VLOOKUP(A163,'BBT3'!A:F,4,1),"")</f>
        <v>2.75</v>
      </c>
      <c r="E163">
        <f>IF(NOT(ISBLANK(A163)),VLOOKUP(A163,'BBT3'!A:F,5,0),"")</f>
        <v>52093</v>
      </c>
      <c r="F163" t="str">
        <f>IF(NOT(ISBLANK(A163)),VLOOKUP(A163,'BBT3'!A:F,6,0),"")</f>
        <v>N</v>
      </c>
      <c r="G163">
        <f>IF(NOT(ISBLANK(A163)),VLOOKUP(A163,QW_Close!A:J,5,0),"")</f>
        <v>4.9244424734183001E-2</v>
      </c>
      <c r="H163" s="5" t="e" cm="1">
        <f t="array" ref="H163">IF(NOT(ISBLANK(A163)),((_xlfn.XLOOKUP(1,(_bbt3[[#All],[ID]]=A163)*(_bbt3[[#All],[METRIC_NAME]]="YLD_YTM_ASK"),_bbt3[[#All],[METRIC_VALUE]])*0.5)+(_xlfn.XLOOKUP(1,(_bbt3[[#All],[ID]]=A163)*(_bbt3[[#All],[METRIC_NAME]]="YLD_YTM_BID"),_bbt3[[#All],[METRIC_VALUE]])*0.5))/100,"")</f>
        <v>#N/A</v>
      </c>
      <c r="I163">
        <f>IF(ISNA(VLOOKUP(A163,QW_CloseDL!A:E,5,0)),0,VLOOKUP(A163,QW_CloseDL!A:E,5,0))</f>
        <v>4.9244424734183001E-2</v>
      </c>
      <c r="J163" s="8">
        <f t="shared" si="10"/>
        <v>0</v>
      </c>
      <c r="P163">
        <v>0</v>
      </c>
      <c r="Q163" t="e">
        <f t="shared" si="11"/>
        <v>#N/A</v>
      </c>
      <c r="R163" t="e">
        <f t="shared" si="12"/>
        <v>#N/A</v>
      </c>
      <c r="S163" s="9" t="e">
        <f t="shared" si="13"/>
        <v>#N/A</v>
      </c>
      <c r="T163" s="3" t="e">
        <f t="shared" si="14"/>
        <v>#N/A</v>
      </c>
    </row>
    <row r="164" spans="1:20" x14ac:dyDescent="0.35">
      <c r="A164" t="str">
        <v>912810QY7</v>
      </c>
      <c r="B164" t="str">
        <f>IF(NOT(ISBLANK(A164)),VLOOKUP(A164,'BBT3'!A:F,2,0),"")</f>
        <v>Bond</v>
      </c>
      <c r="C164" t="str">
        <f>IF(NOT(ISBLANK(A164)),VLOOKUP(A164,'BBT3'!A:F,3,0),"")</f>
        <v>US912810QY73</v>
      </c>
      <c r="D164" s="6">
        <f>IF(NOT(ISBLANK(A164)),VLOOKUP(A164,'BBT3'!A:F,4,1),"")</f>
        <v>2.75</v>
      </c>
      <c r="E164">
        <f>IF(NOT(ISBLANK(A164)),VLOOKUP(A164,'BBT3'!A:F,5,0),"")</f>
        <v>52185</v>
      </c>
      <c r="F164" t="str">
        <f>IF(NOT(ISBLANK(A164)),VLOOKUP(A164,'BBT3'!A:F,6,0),"")</f>
        <v>N</v>
      </c>
      <c r="G164">
        <f>IF(NOT(ISBLANK(A164)),VLOOKUP(A164,QW_Close!A:J,5,0),"")</f>
        <v>4.9407167218763003E-2</v>
      </c>
      <c r="H164" s="5" t="e" cm="1">
        <f t="array" ref="H164">IF(NOT(ISBLANK(A164)),((_xlfn.XLOOKUP(1,(_bbt3[[#All],[ID]]=A164)*(_bbt3[[#All],[METRIC_NAME]]="YLD_YTM_ASK"),_bbt3[[#All],[METRIC_VALUE]])*0.5)+(_xlfn.XLOOKUP(1,(_bbt3[[#All],[ID]]=A164)*(_bbt3[[#All],[METRIC_NAME]]="YLD_YTM_BID"),_bbt3[[#All],[METRIC_VALUE]])*0.5))/100,"")</f>
        <v>#N/A</v>
      </c>
      <c r="I164">
        <f>IF(ISNA(VLOOKUP(A164,QW_CloseDL!A:E,5,0)),0,VLOOKUP(A164,QW_CloseDL!A:E,5,0))</f>
        <v>4.9407167218763003E-2</v>
      </c>
      <c r="J164" s="8">
        <f t="shared" si="10"/>
        <v>0</v>
      </c>
      <c r="P164">
        <v>0</v>
      </c>
      <c r="Q164" t="e">
        <f t="shared" si="11"/>
        <v>#N/A</v>
      </c>
      <c r="R164" t="e">
        <f t="shared" si="12"/>
        <v>#N/A</v>
      </c>
      <c r="S164" s="9" t="e">
        <f t="shared" si="13"/>
        <v>#N/A</v>
      </c>
      <c r="T164" s="3" t="e">
        <f t="shared" si="14"/>
        <v>#N/A</v>
      </c>
    </row>
    <row r="165" spans="1:20" x14ac:dyDescent="0.35">
      <c r="A165" t="str">
        <v>912810QZ4</v>
      </c>
      <c r="B165" t="str">
        <f>IF(NOT(ISBLANK(A165)),VLOOKUP(A165,'BBT3'!A:F,2,0),"")</f>
        <v>Bond</v>
      </c>
      <c r="C165" t="str">
        <f>IF(NOT(ISBLANK(A165)),VLOOKUP(A165,'BBT3'!A:F,3,0),"")</f>
        <v>US912810QZ49</v>
      </c>
      <c r="D165" s="6">
        <f>IF(NOT(ISBLANK(A165)),VLOOKUP(A165,'BBT3'!A:F,4,1),"")</f>
        <v>3.125</v>
      </c>
      <c r="E165">
        <f>IF(NOT(ISBLANK(A165)),VLOOKUP(A165,'BBT3'!A:F,5,0),"")</f>
        <v>52277</v>
      </c>
      <c r="F165" t="str">
        <f>IF(NOT(ISBLANK(A165)),VLOOKUP(A165,'BBT3'!A:F,6,0),"")</f>
        <v>N</v>
      </c>
      <c r="G165">
        <f>IF(NOT(ISBLANK(A165)),VLOOKUP(A165,QW_Close!A:J,5,0),"")</f>
        <v>4.9453719852371299E-2</v>
      </c>
      <c r="H165" s="5" t="e" cm="1">
        <f t="array" ref="H165">IF(NOT(ISBLANK(A165)),((_xlfn.XLOOKUP(1,(_bbt3[[#All],[ID]]=A165)*(_bbt3[[#All],[METRIC_NAME]]="YLD_YTM_ASK"),_bbt3[[#All],[METRIC_VALUE]])*0.5)+(_xlfn.XLOOKUP(1,(_bbt3[[#All],[ID]]=A165)*(_bbt3[[#All],[METRIC_NAME]]="YLD_YTM_BID"),_bbt3[[#All],[METRIC_VALUE]])*0.5))/100,"")</f>
        <v>#N/A</v>
      </c>
      <c r="I165">
        <f>IF(ISNA(VLOOKUP(A165,QW_CloseDL!A:E,5,0)),0,VLOOKUP(A165,QW_CloseDL!A:E,5,0))</f>
        <v>4.9453719852371299E-2</v>
      </c>
      <c r="J165" s="8">
        <f t="shared" si="10"/>
        <v>0</v>
      </c>
      <c r="P165">
        <v>0</v>
      </c>
      <c r="Q165" t="e">
        <f t="shared" si="11"/>
        <v>#N/A</v>
      </c>
      <c r="R165" t="e">
        <f t="shared" si="12"/>
        <v>#N/A</v>
      </c>
      <c r="S165" s="9" t="e">
        <f t="shared" si="13"/>
        <v>#N/A</v>
      </c>
      <c r="T165" s="3" t="e">
        <f t="shared" si="14"/>
        <v>#N/A</v>
      </c>
    </row>
    <row r="166" spans="1:20" x14ac:dyDescent="0.35">
      <c r="A166" t="str">
        <v>912810RA8</v>
      </c>
      <c r="B166" t="str">
        <f>IF(NOT(ISBLANK(A166)),VLOOKUP(A166,'BBT3'!A:F,2,0),"")</f>
        <v>Bond</v>
      </c>
      <c r="C166" t="str">
        <f>IF(NOT(ISBLANK(A166)),VLOOKUP(A166,'BBT3'!A:F,3,0),"")</f>
        <v>US912810RA88</v>
      </c>
      <c r="D166" s="6">
        <f>IF(NOT(ISBLANK(A166)),VLOOKUP(A166,'BBT3'!A:F,4,1),"")</f>
        <v>0.625</v>
      </c>
      <c r="E166">
        <f>IF(NOT(ISBLANK(A166)),VLOOKUP(A166,'BBT3'!A:F,5,0),"")</f>
        <v>52277</v>
      </c>
      <c r="F166" t="str">
        <f>IF(NOT(ISBLANK(A166)),VLOOKUP(A166,'BBT3'!A:F,6,0),"")</f>
        <v>Y</v>
      </c>
      <c r="G166">
        <f>IF(NOT(ISBLANK(A166)),VLOOKUP(A166,QW_Close!A:J,5,0),"")</f>
        <v>2.5620513286227001E-2</v>
      </c>
      <c r="H166" s="5" t="e" cm="1">
        <f t="array" ref="H166">IF(NOT(ISBLANK(A166)),((_xlfn.XLOOKUP(1,(_bbt3[[#All],[ID]]=A166)*(_bbt3[[#All],[METRIC_NAME]]="YLD_YTM_ASK"),_bbt3[[#All],[METRIC_VALUE]])*0.5)+(_xlfn.XLOOKUP(1,(_bbt3[[#All],[ID]]=A166)*(_bbt3[[#All],[METRIC_NAME]]="YLD_YTM_BID"),_bbt3[[#All],[METRIC_VALUE]])*0.5))/100,"")</f>
        <v>#N/A</v>
      </c>
      <c r="I166">
        <f>IF(ISNA(VLOOKUP(A166,QW_CloseDL!A:E,5,0)),0,VLOOKUP(A166,QW_CloseDL!A:E,5,0))</f>
        <v>2.5620511101866601E-2</v>
      </c>
      <c r="J166" s="8">
        <f t="shared" si="10"/>
        <v>2.1843604008919826E-5</v>
      </c>
      <c r="P166">
        <v>0</v>
      </c>
      <c r="Q166" t="e">
        <f t="shared" si="11"/>
        <v>#N/A</v>
      </c>
      <c r="R166" t="e">
        <f t="shared" si="12"/>
        <v>#N/A</v>
      </c>
      <c r="S166" s="9" t="e">
        <f t="shared" si="13"/>
        <v>#N/A</v>
      </c>
      <c r="T166" s="3" t="e">
        <f t="shared" si="14"/>
        <v>#N/A</v>
      </c>
    </row>
    <row r="167" spans="1:20" x14ac:dyDescent="0.35">
      <c r="A167" t="str">
        <v>912810RB6</v>
      </c>
      <c r="B167" t="str">
        <f>IF(NOT(ISBLANK(A167)),VLOOKUP(A167,'BBT3'!A:F,2,0),"")</f>
        <v>Bond</v>
      </c>
      <c r="C167" t="str">
        <f>IF(NOT(ISBLANK(A167)),VLOOKUP(A167,'BBT3'!A:F,3,0),"")</f>
        <v>US912810RB61</v>
      </c>
      <c r="D167" s="6">
        <f>IF(NOT(ISBLANK(A167)),VLOOKUP(A167,'BBT3'!A:F,4,1),"")</f>
        <v>2.875</v>
      </c>
      <c r="E167">
        <f>IF(NOT(ISBLANK(A167)),VLOOKUP(A167,'BBT3'!A:F,5,0),"")</f>
        <v>52366</v>
      </c>
      <c r="F167" t="str">
        <f>IF(NOT(ISBLANK(A167)),VLOOKUP(A167,'BBT3'!A:F,6,0),"")</f>
        <v>N</v>
      </c>
      <c r="G167">
        <f>IF(NOT(ISBLANK(A167)),VLOOKUP(A167,QW_Close!A:J,5,0),"")</f>
        <v>4.96168673612521E-2</v>
      </c>
      <c r="H167" s="5" t="e" cm="1">
        <f t="array" ref="H167">IF(NOT(ISBLANK(A167)),((_xlfn.XLOOKUP(1,(_bbt3[[#All],[ID]]=A167)*(_bbt3[[#All],[METRIC_NAME]]="YLD_YTM_ASK"),_bbt3[[#All],[METRIC_VALUE]])*0.5)+(_xlfn.XLOOKUP(1,(_bbt3[[#All],[ID]]=A167)*(_bbt3[[#All],[METRIC_NAME]]="YLD_YTM_BID"),_bbt3[[#All],[METRIC_VALUE]])*0.5))/100,"")</f>
        <v>#N/A</v>
      </c>
      <c r="I167">
        <f>IF(ISNA(VLOOKUP(A167,QW_CloseDL!A:E,5,0)),0,VLOOKUP(A167,QW_CloseDL!A:E,5,0))</f>
        <v>4.96168673612521E-2</v>
      </c>
      <c r="J167" s="8">
        <f t="shared" si="10"/>
        <v>0</v>
      </c>
      <c r="P167">
        <v>0</v>
      </c>
      <c r="Q167" t="e">
        <f t="shared" si="11"/>
        <v>#N/A</v>
      </c>
      <c r="R167" t="e">
        <f t="shared" si="12"/>
        <v>#N/A</v>
      </c>
      <c r="S167" s="9" t="e">
        <f t="shared" si="13"/>
        <v>#N/A</v>
      </c>
      <c r="T167" s="3" t="e">
        <f t="shared" si="14"/>
        <v>#N/A</v>
      </c>
    </row>
    <row r="168" spans="1:20" x14ac:dyDescent="0.35">
      <c r="A168" t="str">
        <v>912810RC4</v>
      </c>
      <c r="B168" t="str">
        <f>IF(NOT(ISBLANK(A168)),VLOOKUP(A168,'BBT3'!A:F,2,0),"")</f>
        <v>Bond</v>
      </c>
      <c r="C168" t="str">
        <f>IF(NOT(ISBLANK(A168)),VLOOKUP(A168,'BBT3'!A:F,3,0),"")</f>
        <v>US912810RC45</v>
      </c>
      <c r="D168" s="6">
        <f>IF(NOT(ISBLANK(A168)),VLOOKUP(A168,'BBT3'!A:F,4,1),"")</f>
        <v>3.625</v>
      </c>
      <c r="E168">
        <f>IF(NOT(ISBLANK(A168)),VLOOKUP(A168,'BBT3'!A:F,5,0),"")</f>
        <v>52458</v>
      </c>
      <c r="F168" t="str">
        <f>IF(NOT(ISBLANK(A168)),VLOOKUP(A168,'BBT3'!A:F,6,0),"")</f>
        <v>N</v>
      </c>
      <c r="G168">
        <f>IF(NOT(ISBLANK(A168)),VLOOKUP(A168,QW_Close!A:J,5,0),"")</f>
        <v>4.9522375544981102E-2</v>
      </c>
      <c r="H168" s="5" t="e" cm="1">
        <f t="array" ref="H168">IF(NOT(ISBLANK(A168)),((_xlfn.XLOOKUP(1,(_bbt3[[#All],[ID]]=A168)*(_bbt3[[#All],[METRIC_NAME]]="YLD_YTM_ASK"),_bbt3[[#All],[METRIC_VALUE]])*0.5)+(_xlfn.XLOOKUP(1,(_bbt3[[#All],[ID]]=A168)*(_bbt3[[#All],[METRIC_NAME]]="YLD_YTM_BID"),_bbt3[[#All],[METRIC_VALUE]])*0.5))/100,"")</f>
        <v>#N/A</v>
      </c>
      <c r="I168">
        <f>IF(ISNA(VLOOKUP(A168,QW_CloseDL!A:E,5,0)),0,VLOOKUP(A168,QW_CloseDL!A:E,5,0))</f>
        <v>4.9522375544981102E-2</v>
      </c>
      <c r="J168" s="8">
        <f t="shared" si="10"/>
        <v>0</v>
      </c>
      <c r="P168">
        <v>0</v>
      </c>
      <c r="Q168" t="e">
        <f t="shared" si="11"/>
        <v>#N/A</v>
      </c>
      <c r="R168" t="e">
        <f t="shared" si="12"/>
        <v>#N/A</v>
      </c>
      <c r="S168" s="9" t="e">
        <f t="shared" si="13"/>
        <v>#N/A</v>
      </c>
      <c r="T168" s="3" t="e">
        <f t="shared" si="14"/>
        <v>#N/A</v>
      </c>
    </row>
    <row r="169" spans="1:20" x14ac:dyDescent="0.35">
      <c r="A169" t="str">
        <v>912810RD2</v>
      </c>
      <c r="B169" t="str">
        <f>IF(NOT(ISBLANK(A169)),VLOOKUP(A169,'BBT3'!A:F,2,0),"")</f>
        <v>Bond</v>
      </c>
      <c r="C169" t="str">
        <f>IF(NOT(ISBLANK(A169)),VLOOKUP(A169,'BBT3'!A:F,3,0),"")</f>
        <v>US912810RD28</v>
      </c>
      <c r="D169" s="6">
        <f>IF(NOT(ISBLANK(A169)),VLOOKUP(A169,'BBT3'!A:F,4,1),"")</f>
        <v>3.75</v>
      </c>
      <c r="E169">
        <f>IF(NOT(ISBLANK(A169)),VLOOKUP(A169,'BBT3'!A:F,5,0),"")</f>
        <v>52550</v>
      </c>
      <c r="F169" t="str">
        <f>IF(NOT(ISBLANK(A169)),VLOOKUP(A169,'BBT3'!A:F,6,0),"")</f>
        <v>N</v>
      </c>
      <c r="G169">
        <f>IF(NOT(ISBLANK(A169)),VLOOKUP(A169,QW_Close!A:J,5,0),"")</f>
        <v>4.9611986934145598E-2</v>
      </c>
      <c r="H169" s="5" t="e" cm="1">
        <f t="array" ref="H169">IF(NOT(ISBLANK(A169)),((_xlfn.XLOOKUP(1,(_bbt3[[#All],[ID]]=A169)*(_bbt3[[#All],[METRIC_NAME]]="YLD_YTM_ASK"),_bbt3[[#All],[METRIC_VALUE]])*0.5)+(_xlfn.XLOOKUP(1,(_bbt3[[#All],[ID]]=A169)*(_bbt3[[#All],[METRIC_NAME]]="YLD_YTM_BID"),_bbt3[[#All],[METRIC_VALUE]])*0.5))/100,"")</f>
        <v>#N/A</v>
      </c>
      <c r="I169">
        <f>IF(ISNA(VLOOKUP(A169,QW_CloseDL!A:E,5,0)),0,VLOOKUP(A169,QW_CloseDL!A:E,5,0))</f>
        <v>4.9611986934145598E-2</v>
      </c>
      <c r="J169" s="8">
        <f t="shared" si="10"/>
        <v>0</v>
      </c>
      <c r="P169">
        <v>0</v>
      </c>
      <c r="Q169" t="e">
        <f t="shared" si="11"/>
        <v>#N/A</v>
      </c>
      <c r="R169" t="e">
        <f t="shared" si="12"/>
        <v>#N/A</v>
      </c>
      <c r="S169" s="9" t="e">
        <f t="shared" si="13"/>
        <v>#N/A</v>
      </c>
      <c r="T169" s="3" t="e">
        <f t="shared" si="14"/>
        <v>#N/A</v>
      </c>
    </row>
    <row r="170" spans="1:20" x14ac:dyDescent="0.35">
      <c r="A170" t="str">
        <v>912810RE0</v>
      </c>
      <c r="B170" t="str">
        <f>IF(NOT(ISBLANK(A170)),VLOOKUP(A170,'BBT3'!A:F,2,0),"")</f>
        <v>Bond</v>
      </c>
      <c r="C170" t="str">
        <f>IF(NOT(ISBLANK(A170)),VLOOKUP(A170,'BBT3'!A:F,3,0),"")</f>
        <v>US912810RE01</v>
      </c>
      <c r="D170" s="6">
        <f>IF(NOT(ISBLANK(A170)),VLOOKUP(A170,'BBT3'!A:F,4,1),"")</f>
        <v>3.625</v>
      </c>
      <c r="E170">
        <f>IF(NOT(ISBLANK(A170)),VLOOKUP(A170,'BBT3'!A:F,5,0),"")</f>
        <v>52642</v>
      </c>
      <c r="F170" t="str">
        <f>IF(NOT(ISBLANK(A170)),VLOOKUP(A170,'BBT3'!A:F,6,0),"")</f>
        <v>N</v>
      </c>
      <c r="G170">
        <f>IF(NOT(ISBLANK(A170)),VLOOKUP(A170,QW_Close!A:J,5,0),"")</f>
        <v>4.9732781240518803E-2</v>
      </c>
      <c r="H170" s="5" t="e" cm="1">
        <f t="array" ref="H170">IF(NOT(ISBLANK(A170)),((_xlfn.XLOOKUP(1,(_bbt3[[#All],[ID]]=A170)*(_bbt3[[#All],[METRIC_NAME]]="YLD_YTM_ASK"),_bbt3[[#All],[METRIC_VALUE]])*0.5)+(_xlfn.XLOOKUP(1,(_bbt3[[#All],[ID]]=A170)*(_bbt3[[#All],[METRIC_NAME]]="YLD_YTM_BID"),_bbt3[[#All],[METRIC_VALUE]])*0.5))/100,"")</f>
        <v>#N/A</v>
      </c>
      <c r="I170">
        <f>IF(ISNA(VLOOKUP(A170,QW_CloseDL!A:E,5,0)),0,VLOOKUP(A170,QW_CloseDL!A:E,5,0))</f>
        <v>4.9732781240518803E-2</v>
      </c>
      <c r="J170" s="8">
        <f t="shared" si="10"/>
        <v>0</v>
      </c>
      <c r="P170">
        <v>0</v>
      </c>
      <c r="Q170" t="e">
        <f t="shared" si="11"/>
        <v>#N/A</v>
      </c>
      <c r="R170" t="e">
        <f t="shared" si="12"/>
        <v>#N/A</v>
      </c>
      <c r="S170" s="9" t="e">
        <f t="shared" si="13"/>
        <v>#N/A</v>
      </c>
      <c r="T170" s="3" t="e">
        <f t="shared" si="14"/>
        <v>#N/A</v>
      </c>
    </row>
    <row r="171" spans="1:20" x14ac:dyDescent="0.35">
      <c r="A171" t="str">
        <v>912810RF7</v>
      </c>
      <c r="B171" t="str">
        <f>IF(NOT(ISBLANK(A171)),VLOOKUP(A171,'BBT3'!A:F,2,0),"")</f>
        <v>Bond</v>
      </c>
      <c r="C171" t="str">
        <f>IF(NOT(ISBLANK(A171)),VLOOKUP(A171,'BBT3'!A:F,3,0),"")</f>
        <v>US912810RF75</v>
      </c>
      <c r="D171" s="6">
        <f>IF(NOT(ISBLANK(A171)),VLOOKUP(A171,'BBT3'!A:F,4,1),"")</f>
        <v>1.375</v>
      </c>
      <c r="E171">
        <f>IF(NOT(ISBLANK(A171)),VLOOKUP(A171,'BBT3'!A:F,5,0),"")</f>
        <v>52642</v>
      </c>
      <c r="F171" t="str">
        <f>IF(NOT(ISBLANK(A171)),VLOOKUP(A171,'BBT3'!A:F,6,0),"")</f>
        <v>Y</v>
      </c>
      <c r="G171">
        <f>IF(NOT(ISBLANK(A171)),VLOOKUP(A171,QW_Close!A:J,5,0),"")</f>
        <v>2.6031727202876699E-2</v>
      </c>
      <c r="H171" s="5" t="e" cm="1">
        <f t="array" ref="H171">IF(NOT(ISBLANK(A171)),((_xlfn.XLOOKUP(1,(_bbt3[[#All],[ID]]=A171)*(_bbt3[[#All],[METRIC_NAME]]="YLD_YTM_ASK"),_bbt3[[#All],[METRIC_VALUE]])*0.5)+(_xlfn.XLOOKUP(1,(_bbt3[[#All],[ID]]=A171)*(_bbt3[[#All],[METRIC_NAME]]="YLD_YTM_BID"),_bbt3[[#All],[METRIC_VALUE]])*0.5))/100,"")</f>
        <v>#N/A</v>
      </c>
      <c r="I171">
        <f>IF(ISNA(VLOOKUP(A171,QW_CloseDL!A:E,5,0)),0,VLOOKUP(A171,QW_CloseDL!A:E,5,0))</f>
        <v>2.6031731150084201E-2</v>
      </c>
      <c r="J171" s="8">
        <f t="shared" si="10"/>
        <v>3.9472075018254227E-5</v>
      </c>
      <c r="P171">
        <v>0</v>
      </c>
      <c r="Q171" t="e">
        <f t="shared" si="11"/>
        <v>#N/A</v>
      </c>
      <c r="R171" t="e">
        <f t="shared" si="12"/>
        <v>#N/A</v>
      </c>
      <c r="S171" s="9" t="e">
        <f t="shared" si="13"/>
        <v>#N/A</v>
      </c>
      <c r="T171" s="3" t="e">
        <f t="shared" si="14"/>
        <v>#N/A</v>
      </c>
    </row>
    <row r="172" spans="1:20" x14ac:dyDescent="0.35">
      <c r="A172" t="str">
        <v>912810RG5</v>
      </c>
      <c r="B172" t="str">
        <f>IF(NOT(ISBLANK(A172)),VLOOKUP(A172,'BBT3'!A:F,2,0),"")</f>
        <v>Bond</v>
      </c>
      <c r="C172" t="str">
        <f>IF(NOT(ISBLANK(A172)),VLOOKUP(A172,'BBT3'!A:F,3,0),"")</f>
        <v>US912810RG58</v>
      </c>
      <c r="D172" s="6">
        <f>IF(NOT(ISBLANK(A172)),VLOOKUP(A172,'BBT3'!A:F,4,1),"")</f>
        <v>3.375</v>
      </c>
      <c r="E172">
        <f>IF(NOT(ISBLANK(A172)),VLOOKUP(A172,'BBT3'!A:F,5,0),"")</f>
        <v>52732</v>
      </c>
      <c r="F172" t="str">
        <f>IF(NOT(ISBLANK(A172)),VLOOKUP(A172,'BBT3'!A:F,6,0),"")</f>
        <v>N</v>
      </c>
      <c r="G172">
        <f>IF(NOT(ISBLANK(A172)),VLOOKUP(A172,QW_Close!A:J,5,0),"")</f>
        <v>4.9838398228331998E-2</v>
      </c>
      <c r="H172" s="5" t="e" cm="1">
        <f t="array" ref="H172">IF(NOT(ISBLANK(A172)),((_xlfn.XLOOKUP(1,(_bbt3[[#All],[ID]]=A172)*(_bbt3[[#All],[METRIC_NAME]]="YLD_YTM_ASK"),_bbt3[[#All],[METRIC_VALUE]])*0.5)+(_xlfn.XLOOKUP(1,(_bbt3[[#All],[ID]]=A172)*(_bbt3[[#All],[METRIC_NAME]]="YLD_YTM_BID"),_bbt3[[#All],[METRIC_VALUE]])*0.5))/100,"")</f>
        <v>#N/A</v>
      </c>
      <c r="I172">
        <f>IF(ISNA(VLOOKUP(A172,QW_CloseDL!A:E,5,0)),0,VLOOKUP(A172,QW_CloseDL!A:E,5,0))</f>
        <v>4.9838398228331998E-2</v>
      </c>
      <c r="J172" s="8">
        <f t="shared" si="10"/>
        <v>0</v>
      </c>
      <c r="P172">
        <v>0</v>
      </c>
      <c r="Q172" t="e">
        <f t="shared" si="11"/>
        <v>#N/A</v>
      </c>
      <c r="R172" t="e">
        <f t="shared" si="12"/>
        <v>#N/A</v>
      </c>
      <c r="S172" s="9" t="e">
        <f t="shared" si="13"/>
        <v>#N/A</v>
      </c>
      <c r="T172" s="3" t="e">
        <f t="shared" si="14"/>
        <v>#N/A</v>
      </c>
    </row>
    <row r="173" spans="1:20" x14ac:dyDescent="0.35">
      <c r="A173" t="str">
        <v>912810RH3</v>
      </c>
      <c r="B173" t="str">
        <f>IF(NOT(ISBLANK(A173)),VLOOKUP(A173,'BBT3'!A:F,2,0),"")</f>
        <v>Bond</v>
      </c>
      <c r="C173" t="str">
        <f>IF(NOT(ISBLANK(A173)),VLOOKUP(A173,'BBT3'!A:F,3,0),"")</f>
        <v>US912810RH32</v>
      </c>
      <c r="D173" s="6">
        <f>IF(NOT(ISBLANK(A173)),VLOOKUP(A173,'BBT3'!A:F,4,1),"")</f>
        <v>3.125</v>
      </c>
      <c r="E173">
        <f>IF(NOT(ISBLANK(A173)),VLOOKUP(A173,'BBT3'!A:F,5,0),"")</f>
        <v>52824</v>
      </c>
      <c r="F173" t="str">
        <f>IF(NOT(ISBLANK(A173)),VLOOKUP(A173,'BBT3'!A:F,6,0),"")</f>
        <v>N</v>
      </c>
      <c r="G173">
        <f>IF(NOT(ISBLANK(A173)),VLOOKUP(A173,QW_Close!A:J,5,0),"")</f>
        <v>5.0004939632331297E-2</v>
      </c>
      <c r="H173" s="5" t="e" cm="1">
        <f t="array" ref="H173">IF(NOT(ISBLANK(A173)),((_xlfn.XLOOKUP(1,(_bbt3[[#All],[ID]]=A173)*(_bbt3[[#All],[METRIC_NAME]]="YLD_YTM_ASK"),_bbt3[[#All],[METRIC_VALUE]])*0.5)+(_xlfn.XLOOKUP(1,(_bbt3[[#All],[ID]]=A173)*(_bbt3[[#All],[METRIC_NAME]]="YLD_YTM_BID"),_bbt3[[#All],[METRIC_VALUE]])*0.5))/100,"")</f>
        <v>#N/A</v>
      </c>
      <c r="I173">
        <f>IF(ISNA(VLOOKUP(A173,QW_CloseDL!A:E,5,0)),0,VLOOKUP(A173,QW_CloseDL!A:E,5,0))</f>
        <v>5.0004939632331297E-2</v>
      </c>
      <c r="J173" s="8">
        <f t="shared" si="10"/>
        <v>0</v>
      </c>
      <c r="P173">
        <v>0</v>
      </c>
      <c r="Q173" t="e">
        <f t="shared" si="11"/>
        <v>#N/A</v>
      </c>
      <c r="R173" t="e">
        <f t="shared" si="12"/>
        <v>#N/A</v>
      </c>
      <c r="S173" s="9" t="e">
        <f t="shared" si="13"/>
        <v>#N/A</v>
      </c>
      <c r="T173" s="3" t="e">
        <f t="shared" si="14"/>
        <v>#N/A</v>
      </c>
    </row>
    <row r="174" spans="1:20" x14ac:dyDescent="0.35">
      <c r="A174" t="str">
        <v>912810RJ9</v>
      </c>
      <c r="B174" t="str">
        <f>IF(NOT(ISBLANK(A174)),VLOOKUP(A174,'BBT3'!A:F,2,0),"")</f>
        <v>Bond</v>
      </c>
      <c r="C174" t="str">
        <f>IF(NOT(ISBLANK(A174)),VLOOKUP(A174,'BBT3'!A:F,3,0),"")</f>
        <v>US912810RJ97</v>
      </c>
      <c r="D174" s="6">
        <f>IF(NOT(ISBLANK(A174)),VLOOKUP(A174,'BBT3'!A:F,4,1),"")</f>
        <v>3</v>
      </c>
      <c r="E174">
        <f>IF(NOT(ISBLANK(A174)),VLOOKUP(A174,'BBT3'!A:F,5,0),"")</f>
        <v>52916</v>
      </c>
      <c r="F174" t="str">
        <f>IF(NOT(ISBLANK(A174)),VLOOKUP(A174,'BBT3'!A:F,6,0),"")</f>
        <v>N</v>
      </c>
      <c r="G174">
        <f>IF(NOT(ISBLANK(A174)),VLOOKUP(A174,QW_Close!A:J,5,0),"")</f>
        <v>5.0101105892811602E-2</v>
      </c>
      <c r="H174" s="5" t="e" cm="1">
        <f t="array" ref="H174">IF(NOT(ISBLANK(A174)),((_xlfn.XLOOKUP(1,(_bbt3[[#All],[ID]]=A174)*(_bbt3[[#All],[METRIC_NAME]]="YLD_YTM_ASK"),_bbt3[[#All],[METRIC_VALUE]])*0.5)+(_xlfn.XLOOKUP(1,(_bbt3[[#All],[ID]]=A174)*(_bbt3[[#All],[METRIC_NAME]]="YLD_YTM_BID"),_bbt3[[#All],[METRIC_VALUE]])*0.5))/100,"")</f>
        <v>#N/A</v>
      </c>
      <c r="I174">
        <f>IF(ISNA(VLOOKUP(A174,QW_CloseDL!A:E,5,0)),0,VLOOKUP(A174,QW_CloseDL!A:E,5,0))</f>
        <v>5.0101105892811602E-2</v>
      </c>
      <c r="J174" s="8">
        <f t="shared" si="10"/>
        <v>0</v>
      </c>
      <c r="P174">
        <v>0</v>
      </c>
      <c r="Q174" t="e">
        <f t="shared" si="11"/>
        <v>#N/A</v>
      </c>
      <c r="R174" t="e">
        <f t="shared" si="12"/>
        <v>#N/A</v>
      </c>
      <c r="S174" s="9" t="e">
        <f t="shared" si="13"/>
        <v>#N/A</v>
      </c>
      <c r="T174" s="3" t="e">
        <f t="shared" si="14"/>
        <v>#N/A</v>
      </c>
    </row>
    <row r="175" spans="1:20" x14ac:dyDescent="0.35">
      <c r="A175" t="str">
        <v>912810RK6</v>
      </c>
      <c r="B175" t="str">
        <f>IF(NOT(ISBLANK(A175)),VLOOKUP(A175,'BBT3'!A:F,2,0),"")</f>
        <v>Bond</v>
      </c>
      <c r="C175" t="str">
        <f>IF(NOT(ISBLANK(A175)),VLOOKUP(A175,'BBT3'!A:F,3,0),"")</f>
        <v>US912810RK60</v>
      </c>
      <c r="D175" s="6">
        <f>IF(NOT(ISBLANK(A175)),VLOOKUP(A175,'BBT3'!A:F,4,1),"")</f>
        <v>2.5</v>
      </c>
      <c r="E175">
        <f>IF(NOT(ISBLANK(A175)),VLOOKUP(A175,'BBT3'!A:F,5,0),"")</f>
        <v>53008</v>
      </c>
      <c r="F175" t="str">
        <f>IF(NOT(ISBLANK(A175)),VLOOKUP(A175,'BBT3'!A:F,6,0),"")</f>
        <v>N</v>
      </c>
      <c r="G175">
        <f>IF(NOT(ISBLANK(A175)),VLOOKUP(A175,QW_Close!A:J,5,0),"")</f>
        <v>5.0272741864377697E-2</v>
      </c>
      <c r="H175" s="5" t="e" cm="1">
        <f t="array" ref="H175">IF(NOT(ISBLANK(A175)),((_xlfn.XLOOKUP(1,(_bbt3[[#All],[ID]]=A175)*(_bbt3[[#All],[METRIC_NAME]]="YLD_YTM_ASK"),_bbt3[[#All],[METRIC_VALUE]])*0.5)+(_xlfn.XLOOKUP(1,(_bbt3[[#All],[ID]]=A175)*(_bbt3[[#All],[METRIC_NAME]]="YLD_YTM_BID"),_bbt3[[#All],[METRIC_VALUE]])*0.5))/100,"")</f>
        <v>#N/A</v>
      </c>
      <c r="I175">
        <f>IF(ISNA(VLOOKUP(A175,QW_CloseDL!A:E,5,0)),0,VLOOKUP(A175,QW_CloseDL!A:E,5,0))</f>
        <v>5.0272741864377697E-2</v>
      </c>
      <c r="J175" s="8">
        <f t="shared" si="10"/>
        <v>0</v>
      </c>
      <c r="P175">
        <v>0</v>
      </c>
      <c r="Q175" t="e">
        <f t="shared" si="11"/>
        <v>#N/A</v>
      </c>
      <c r="R175" t="e">
        <f t="shared" si="12"/>
        <v>#N/A</v>
      </c>
      <c r="S175" s="9" t="e">
        <f t="shared" si="13"/>
        <v>#N/A</v>
      </c>
      <c r="T175" s="3" t="e">
        <f t="shared" si="14"/>
        <v>#N/A</v>
      </c>
    </row>
    <row r="176" spans="1:20" x14ac:dyDescent="0.35">
      <c r="A176" t="str">
        <v>912810RL4</v>
      </c>
      <c r="B176" t="str">
        <f>IF(NOT(ISBLANK(A176)),VLOOKUP(A176,'BBT3'!A:F,2,0),"")</f>
        <v>Bond</v>
      </c>
      <c r="C176" t="str">
        <f>IF(NOT(ISBLANK(A176)),VLOOKUP(A176,'BBT3'!A:F,3,0),"")</f>
        <v>US912810RL44</v>
      </c>
      <c r="D176" s="6">
        <f>IF(NOT(ISBLANK(A176)),VLOOKUP(A176,'BBT3'!A:F,4,1),"")</f>
        <v>0.75</v>
      </c>
      <c r="E176">
        <f>IF(NOT(ISBLANK(A176)),VLOOKUP(A176,'BBT3'!A:F,5,0),"")</f>
        <v>53008</v>
      </c>
      <c r="F176" t="str">
        <f>IF(NOT(ISBLANK(A176)),VLOOKUP(A176,'BBT3'!A:F,6,0),"")</f>
        <v>Y</v>
      </c>
      <c r="G176">
        <f>IF(NOT(ISBLANK(A176)),VLOOKUP(A176,QW_Close!A:J,5,0),"")</f>
        <v>2.6711300742517399E-2</v>
      </c>
      <c r="H176" s="5" t="e" cm="1">
        <f t="array" ref="H176">IF(NOT(ISBLANK(A176)),((_xlfn.XLOOKUP(1,(_bbt3[[#All],[ID]]=A176)*(_bbt3[[#All],[METRIC_NAME]]="YLD_YTM_ASK"),_bbt3[[#All],[METRIC_VALUE]])*0.5)+(_xlfn.XLOOKUP(1,(_bbt3[[#All],[ID]]=A176)*(_bbt3[[#All],[METRIC_NAME]]="YLD_YTM_BID"),_bbt3[[#All],[METRIC_VALUE]])*0.5))/100,"")</f>
        <v>#N/A</v>
      </c>
      <c r="I176">
        <f>IF(ISNA(VLOOKUP(A176,QW_CloseDL!A:E,5,0)),0,VLOOKUP(A176,QW_CloseDL!A:E,5,0))</f>
        <v>2.6711301767856601E-2</v>
      </c>
      <c r="J176" s="8">
        <f t="shared" si="10"/>
        <v>1.025339202431752E-5</v>
      </c>
      <c r="P176">
        <v>0</v>
      </c>
      <c r="Q176" t="e">
        <f t="shared" si="11"/>
        <v>#N/A</v>
      </c>
      <c r="R176" t="e">
        <f t="shared" si="12"/>
        <v>#N/A</v>
      </c>
      <c r="S176" s="9" t="e">
        <f t="shared" si="13"/>
        <v>#N/A</v>
      </c>
      <c r="T176" s="3" t="e">
        <f t="shared" si="14"/>
        <v>#N/A</v>
      </c>
    </row>
    <row r="177" spans="1:20" x14ac:dyDescent="0.35">
      <c r="A177" t="str">
        <v>912810RM2</v>
      </c>
      <c r="B177" t="str">
        <f>IF(NOT(ISBLANK(A177)),VLOOKUP(A177,'BBT3'!A:F,2,0),"")</f>
        <v>Bond</v>
      </c>
      <c r="C177" t="str">
        <f>IF(NOT(ISBLANK(A177)),VLOOKUP(A177,'BBT3'!A:F,3,0),"")</f>
        <v>US912810RM27</v>
      </c>
      <c r="D177" s="6">
        <f>IF(NOT(ISBLANK(A177)),VLOOKUP(A177,'BBT3'!A:F,4,1),"")</f>
        <v>3</v>
      </c>
      <c r="E177">
        <f>IF(NOT(ISBLANK(A177)),VLOOKUP(A177,'BBT3'!A:F,5,0),"")</f>
        <v>53097</v>
      </c>
      <c r="F177" t="str">
        <f>IF(NOT(ISBLANK(A177)),VLOOKUP(A177,'BBT3'!A:F,6,0),"")</f>
        <v>N</v>
      </c>
      <c r="G177">
        <f>IF(NOT(ISBLANK(A177)),VLOOKUP(A177,QW_Close!A:J,5,0),"")</f>
        <v>5.0190351543943003E-2</v>
      </c>
      <c r="H177" s="5" t="e" cm="1">
        <f t="array" ref="H177">IF(NOT(ISBLANK(A177)),((_xlfn.XLOOKUP(1,(_bbt3[[#All],[ID]]=A177)*(_bbt3[[#All],[METRIC_NAME]]="YLD_YTM_ASK"),_bbt3[[#All],[METRIC_VALUE]])*0.5)+(_xlfn.XLOOKUP(1,(_bbt3[[#All],[ID]]=A177)*(_bbt3[[#All],[METRIC_NAME]]="YLD_YTM_BID"),_bbt3[[#All],[METRIC_VALUE]])*0.5))/100,"")</f>
        <v>#N/A</v>
      </c>
      <c r="I177">
        <f>IF(ISNA(VLOOKUP(A177,QW_CloseDL!A:E,5,0)),0,VLOOKUP(A177,QW_CloseDL!A:E,5,0))</f>
        <v>5.0190351543943003E-2</v>
      </c>
      <c r="J177" s="8">
        <f t="shared" si="10"/>
        <v>0</v>
      </c>
      <c r="P177">
        <v>0</v>
      </c>
      <c r="Q177" t="e">
        <f t="shared" si="11"/>
        <v>#N/A</v>
      </c>
      <c r="R177" t="e">
        <f t="shared" si="12"/>
        <v>#N/A</v>
      </c>
      <c r="S177" s="9" t="e">
        <f t="shared" si="13"/>
        <v>#N/A</v>
      </c>
      <c r="T177" s="3" t="e">
        <f t="shared" si="14"/>
        <v>#N/A</v>
      </c>
    </row>
    <row r="178" spans="1:20" x14ac:dyDescent="0.35">
      <c r="A178" t="str">
        <v>912810RN0</v>
      </c>
      <c r="B178" t="str">
        <f>IF(NOT(ISBLANK(A178)),VLOOKUP(A178,'BBT3'!A:F,2,0),"")</f>
        <v>Bond</v>
      </c>
      <c r="C178" t="str">
        <f>IF(NOT(ISBLANK(A178)),VLOOKUP(A178,'BBT3'!A:F,3,0),"")</f>
        <v>US912810RN00</v>
      </c>
      <c r="D178" s="6">
        <f>IF(NOT(ISBLANK(A178)),VLOOKUP(A178,'BBT3'!A:F,4,1),"")</f>
        <v>2.875</v>
      </c>
      <c r="E178">
        <f>IF(NOT(ISBLANK(A178)),VLOOKUP(A178,'BBT3'!A:F,5,0),"")</f>
        <v>53189</v>
      </c>
      <c r="F178" t="str">
        <f>IF(NOT(ISBLANK(A178)),VLOOKUP(A178,'BBT3'!A:F,6,0),"")</f>
        <v>N</v>
      </c>
      <c r="G178">
        <f>IF(NOT(ISBLANK(A178)),VLOOKUP(A178,QW_Close!A:J,5,0),"")</f>
        <v>5.0266945509679799E-2</v>
      </c>
      <c r="H178" s="5" t="e" cm="1">
        <f t="array" ref="H178">IF(NOT(ISBLANK(A178)),((_xlfn.XLOOKUP(1,(_bbt3[[#All],[ID]]=A178)*(_bbt3[[#All],[METRIC_NAME]]="YLD_YTM_ASK"),_bbt3[[#All],[METRIC_VALUE]])*0.5)+(_xlfn.XLOOKUP(1,(_bbt3[[#All],[ID]]=A178)*(_bbt3[[#All],[METRIC_NAME]]="YLD_YTM_BID"),_bbt3[[#All],[METRIC_VALUE]])*0.5))/100,"")</f>
        <v>#N/A</v>
      </c>
      <c r="I178">
        <f>IF(ISNA(VLOOKUP(A178,QW_CloseDL!A:E,5,0)),0,VLOOKUP(A178,QW_CloseDL!A:E,5,0))</f>
        <v>5.0266945509679799E-2</v>
      </c>
      <c r="J178" s="8">
        <f t="shared" si="10"/>
        <v>0</v>
      </c>
      <c r="P178">
        <v>0</v>
      </c>
      <c r="Q178" t="e">
        <f t="shared" si="11"/>
        <v>#N/A</v>
      </c>
      <c r="R178" t="e">
        <f t="shared" si="12"/>
        <v>#N/A</v>
      </c>
      <c r="S178" s="9" t="e">
        <f t="shared" si="13"/>
        <v>#N/A</v>
      </c>
      <c r="T178" s="3" t="e">
        <f t="shared" si="14"/>
        <v>#N/A</v>
      </c>
    </row>
    <row r="179" spans="1:20" x14ac:dyDescent="0.35">
      <c r="A179" t="str">
        <v>912810RP5</v>
      </c>
      <c r="B179" t="str">
        <f>IF(NOT(ISBLANK(A179)),VLOOKUP(A179,'BBT3'!A:F,2,0),"")</f>
        <v>Bond</v>
      </c>
      <c r="C179" t="str">
        <f>IF(NOT(ISBLANK(A179)),VLOOKUP(A179,'BBT3'!A:F,3,0),"")</f>
        <v>US912810RP57</v>
      </c>
      <c r="D179" s="6">
        <f>IF(NOT(ISBLANK(A179)),VLOOKUP(A179,'BBT3'!A:F,4,1),"")</f>
        <v>3</v>
      </c>
      <c r="E179">
        <f>IF(NOT(ISBLANK(A179)),VLOOKUP(A179,'BBT3'!A:F,5,0),"")</f>
        <v>53281</v>
      </c>
      <c r="F179" t="str">
        <f>IF(NOT(ISBLANK(A179)),VLOOKUP(A179,'BBT3'!A:F,6,0),"")</f>
        <v>N</v>
      </c>
      <c r="G179">
        <f>IF(NOT(ISBLANK(A179)),VLOOKUP(A179,QW_Close!A:J,5,0),"")</f>
        <v>5.0302289872695999E-2</v>
      </c>
      <c r="H179" s="5" t="e" cm="1">
        <f t="array" ref="H179">IF(NOT(ISBLANK(A179)),((_xlfn.XLOOKUP(1,(_bbt3[[#All],[ID]]=A179)*(_bbt3[[#All],[METRIC_NAME]]="YLD_YTM_ASK"),_bbt3[[#All],[METRIC_VALUE]])*0.5)+(_xlfn.XLOOKUP(1,(_bbt3[[#All],[ID]]=A179)*(_bbt3[[#All],[METRIC_NAME]]="YLD_YTM_BID"),_bbt3[[#All],[METRIC_VALUE]])*0.5))/100,"")</f>
        <v>#N/A</v>
      </c>
      <c r="I179">
        <f>IF(ISNA(VLOOKUP(A179,QW_CloseDL!A:E,5,0)),0,VLOOKUP(A179,QW_CloseDL!A:E,5,0))</f>
        <v>5.0302289872695999E-2</v>
      </c>
      <c r="J179" s="8">
        <f t="shared" si="10"/>
        <v>0</v>
      </c>
      <c r="P179">
        <v>0</v>
      </c>
      <c r="Q179" t="e">
        <f t="shared" si="11"/>
        <v>#N/A</v>
      </c>
      <c r="R179" t="e">
        <f t="shared" si="12"/>
        <v>#N/A</v>
      </c>
      <c r="S179" s="9" t="e">
        <f t="shared" si="13"/>
        <v>#N/A</v>
      </c>
      <c r="T179" s="3" t="e">
        <f t="shared" si="14"/>
        <v>#N/A</v>
      </c>
    </row>
    <row r="180" spans="1:20" x14ac:dyDescent="0.35">
      <c r="A180" t="str">
        <v>912810RQ3</v>
      </c>
      <c r="B180" t="str">
        <f>IF(NOT(ISBLANK(A180)),VLOOKUP(A180,'BBT3'!A:F,2,0),"")</f>
        <v>Bond</v>
      </c>
      <c r="C180" t="str">
        <f>IF(NOT(ISBLANK(A180)),VLOOKUP(A180,'BBT3'!A:F,3,0),"")</f>
        <v>US912810RQ31</v>
      </c>
      <c r="D180" s="6">
        <f>IF(NOT(ISBLANK(A180)),VLOOKUP(A180,'BBT3'!A:F,4,1),"")</f>
        <v>2.5</v>
      </c>
      <c r="E180">
        <f>IF(NOT(ISBLANK(A180)),VLOOKUP(A180,'BBT3'!A:F,5,0),"")</f>
        <v>53373</v>
      </c>
      <c r="F180" t="str">
        <f>IF(NOT(ISBLANK(A180)),VLOOKUP(A180,'BBT3'!A:F,6,0),"")</f>
        <v>N</v>
      </c>
      <c r="G180">
        <f>IF(NOT(ISBLANK(A180)),VLOOKUP(A180,QW_Close!A:J,5,0),"")</f>
        <v>5.0446797273719299E-2</v>
      </c>
      <c r="H180" s="5" t="e" cm="1">
        <f t="array" ref="H180">IF(NOT(ISBLANK(A180)),((_xlfn.XLOOKUP(1,(_bbt3[[#All],[ID]]=A180)*(_bbt3[[#All],[METRIC_NAME]]="YLD_YTM_ASK"),_bbt3[[#All],[METRIC_VALUE]])*0.5)+(_xlfn.XLOOKUP(1,(_bbt3[[#All],[ID]]=A180)*(_bbt3[[#All],[METRIC_NAME]]="YLD_YTM_BID"),_bbt3[[#All],[METRIC_VALUE]])*0.5))/100,"")</f>
        <v>#N/A</v>
      </c>
      <c r="I180">
        <f>IF(ISNA(VLOOKUP(A180,QW_CloseDL!A:E,5,0)),0,VLOOKUP(A180,QW_CloseDL!A:E,5,0))</f>
        <v>5.0446797273719299E-2</v>
      </c>
      <c r="J180" s="8">
        <f t="shared" si="10"/>
        <v>0</v>
      </c>
      <c r="P180">
        <v>0</v>
      </c>
      <c r="Q180" t="e">
        <f t="shared" si="11"/>
        <v>#N/A</v>
      </c>
      <c r="R180" t="e">
        <f t="shared" si="12"/>
        <v>#N/A</v>
      </c>
      <c r="S180" s="9" t="e">
        <f t="shared" si="13"/>
        <v>#N/A</v>
      </c>
      <c r="T180" s="3" t="e">
        <f t="shared" si="14"/>
        <v>#N/A</v>
      </c>
    </row>
    <row r="181" spans="1:20" x14ac:dyDescent="0.35">
      <c r="A181" t="str">
        <v>912810RR1</v>
      </c>
      <c r="B181" t="str">
        <f>IF(NOT(ISBLANK(A181)),VLOOKUP(A181,'BBT3'!A:F,2,0),"")</f>
        <v>Bond</v>
      </c>
      <c r="C181" t="str">
        <f>IF(NOT(ISBLANK(A181)),VLOOKUP(A181,'BBT3'!A:F,3,0),"")</f>
        <v>US912810RR14</v>
      </c>
      <c r="D181" s="6">
        <f>IF(NOT(ISBLANK(A181)),VLOOKUP(A181,'BBT3'!A:F,4,1),"")</f>
        <v>1</v>
      </c>
      <c r="E181">
        <f>IF(NOT(ISBLANK(A181)),VLOOKUP(A181,'BBT3'!A:F,5,0),"")</f>
        <v>53373</v>
      </c>
      <c r="F181" t="str">
        <f>IF(NOT(ISBLANK(A181)),VLOOKUP(A181,'BBT3'!A:F,6,0),"")</f>
        <v>Y</v>
      </c>
      <c r="G181">
        <f>IF(NOT(ISBLANK(A181)),VLOOKUP(A181,QW_Close!A:J,5,0),"")</f>
        <v>2.6940571745798399E-2</v>
      </c>
      <c r="H181" s="5" t="e" cm="1">
        <f t="array" ref="H181">IF(NOT(ISBLANK(A181)),((_xlfn.XLOOKUP(1,(_bbt3[[#All],[ID]]=A181)*(_bbt3[[#All],[METRIC_NAME]]="YLD_YTM_ASK"),_bbt3[[#All],[METRIC_VALUE]])*0.5)+(_xlfn.XLOOKUP(1,(_bbt3[[#All],[ID]]=A181)*(_bbt3[[#All],[METRIC_NAME]]="YLD_YTM_BID"),_bbt3[[#All],[METRIC_VALUE]])*0.5))/100,"")</f>
        <v>#N/A</v>
      </c>
      <c r="I181">
        <f>IF(ISNA(VLOOKUP(A181,QW_CloseDL!A:E,5,0)),0,VLOOKUP(A181,QW_CloseDL!A:E,5,0))</f>
        <v>2.69405746620658E-2</v>
      </c>
      <c r="J181" s="8">
        <f t="shared" si="10"/>
        <v>2.9162674011762313E-5</v>
      </c>
      <c r="P181">
        <v>0</v>
      </c>
      <c r="Q181" t="e">
        <f t="shared" si="11"/>
        <v>#N/A</v>
      </c>
      <c r="R181" t="e">
        <f t="shared" si="12"/>
        <v>#N/A</v>
      </c>
      <c r="S181" s="9" t="e">
        <f t="shared" si="13"/>
        <v>#N/A</v>
      </c>
      <c r="T181" s="3" t="e">
        <f t="shared" si="14"/>
        <v>#N/A</v>
      </c>
    </row>
    <row r="182" spans="1:20" x14ac:dyDescent="0.35">
      <c r="A182" t="str">
        <v>912810RS9</v>
      </c>
      <c r="B182" t="str">
        <f>IF(NOT(ISBLANK(A182)),VLOOKUP(A182,'BBT3'!A:F,2,0),"")</f>
        <v>Bond</v>
      </c>
      <c r="C182" t="str">
        <f>IF(NOT(ISBLANK(A182)),VLOOKUP(A182,'BBT3'!A:F,3,0),"")</f>
        <v>US912810RS96</v>
      </c>
      <c r="D182" s="6">
        <f>IF(NOT(ISBLANK(A182)),VLOOKUP(A182,'BBT3'!A:F,4,1),"")</f>
        <v>2.5</v>
      </c>
      <c r="E182">
        <f>IF(NOT(ISBLANK(A182)),VLOOKUP(A182,'BBT3'!A:F,5,0),"")</f>
        <v>53462</v>
      </c>
      <c r="F182" t="str">
        <f>IF(NOT(ISBLANK(A182)),VLOOKUP(A182,'BBT3'!A:F,6,0),"")</f>
        <v>N</v>
      </c>
      <c r="G182">
        <f>IF(NOT(ISBLANK(A182)),VLOOKUP(A182,QW_Close!A:J,5,0),"")</f>
        <v>5.0500117081041199E-2</v>
      </c>
      <c r="H182" s="5" t="e" cm="1">
        <f t="array" ref="H182">IF(NOT(ISBLANK(A182)),((_xlfn.XLOOKUP(1,(_bbt3[[#All],[ID]]=A182)*(_bbt3[[#All],[METRIC_NAME]]="YLD_YTM_ASK"),_bbt3[[#All],[METRIC_VALUE]])*0.5)+(_xlfn.XLOOKUP(1,(_bbt3[[#All],[ID]]=A182)*(_bbt3[[#All],[METRIC_NAME]]="YLD_YTM_BID"),_bbt3[[#All],[METRIC_VALUE]])*0.5))/100,"")</f>
        <v>#N/A</v>
      </c>
      <c r="I182">
        <f>IF(ISNA(VLOOKUP(A182,QW_CloseDL!A:E,5,0)),0,VLOOKUP(A182,QW_CloseDL!A:E,5,0))</f>
        <v>5.0500117081041199E-2</v>
      </c>
      <c r="J182" s="8">
        <f t="shared" si="10"/>
        <v>0</v>
      </c>
      <c r="P182">
        <v>0</v>
      </c>
      <c r="Q182" t="e">
        <f t="shared" si="11"/>
        <v>#N/A</v>
      </c>
      <c r="R182" t="e">
        <f t="shared" si="12"/>
        <v>#N/A</v>
      </c>
      <c r="S182" s="9" t="e">
        <f t="shared" si="13"/>
        <v>#N/A</v>
      </c>
      <c r="T182" s="3" t="e">
        <f t="shared" si="14"/>
        <v>#N/A</v>
      </c>
    </row>
    <row r="183" spans="1:20" x14ac:dyDescent="0.35">
      <c r="A183" t="str">
        <v>912810RT7</v>
      </c>
      <c r="B183" t="str">
        <f>IF(NOT(ISBLANK(A183)),VLOOKUP(A183,'BBT3'!A:F,2,0),"")</f>
        <v>Bond</v>
      </c>
      <c r="C183" t="str">
        <f>IF(NOT(ISBLANK(A183)),VLOOKUP(A183,'BBT3'!A:F,3,0),"")</f>
        <v>US912810RT79</v>
      </c>
      <c r="D183" s="6">
        <f>IF(NOT(ISBLANK(A183)),VLOOKUP(A183,'BBT3'!A:F,4,1),"")</f>
        <v>2.25</v>
      </c>
      <c r="E183">
        <f>IF(NOT(ISBLANK(A183)),VLOOKUP(A183,'BBT3'!A:F,5,0),"")</f>
        <v>53554</v>
      </c>
      <c r="F183" t="str">
        <f>IF(NOT(ISBLANK(A183)),VLOOKUP(A183,'BBT3'!A:F,6,0),"")</f>
        <v>N</v>
      </c>
      <c r="G183">
        <f>IF(NOT(ISBLANK(A183)),VLOOKUP(A183,QW_Close!A:J,5,0),"")</f>
        <v>5.0602382506862102E-2</v>
      </c>
      <c r="H183" s="5" t="e" cm="1">
        <f t="array" ref="H183">IF(NOT(ISBLANK(A183)),((_xlfn.XLOOKUP(1,(_bbt3[[#All],[ID]]=A183)*(_bbt3[[#All],[METRIC_NAME]]="YLD_YTM_ASK"),_bbt3[[#All],[METRIC_VALUE]])*0.5)+(_xlfn.XLOOKUP(1,(_bbt3[[#All],[ID]]=A183)*(_bbt3[[#All],[METRIC_NAME]]="YLD_YTM_BID"),_bbt3[[#All],[METRIC_VALUE]])*0.5))/100,"")</f>
        <v>#N/A</v>
      </c>
      <c r="I183">
        <f>IF(ISNA(VLOOKUP(A183,QW_CloseDL!A:E,5,0)),0,VLOOKUP(A183,QW_CloseDL!A:E,5,0))</f>
        <v>5.0602382506862102E-2</v>
      </c>
      <c r="J183" s="8">
        <f t="shared" si="10"/>
        <v>0</v>
      </c>
      <c r="P183">
        <v>0</v>
      </c>
      <c r="Q183" t="e">
        <f t="shared" si="11"/>
        <v>#N/A</v>
      </c>
      <c r="R183" t="e">
        <f t="shared" si="12"/>
        <v>#N/A</v>
      </c>
      <c r="S183" s="9" t="e">
        <f t="shared" si="13"/>
        <v>#N/A</v>
      </c>
      <c r="T183" s="3" t="e">
        <f t="shared" si="14"/>
        <v>#N/A</v>
      </c>
    </row>
    <row r="184" spans="1:20" x14ac:dyDescent="0.35">
      <c r="A184" t="str">
        <v>912810RU4</v>
      </c>
      <c r="B184" t="str">
        <f>IF(NOT(ISBLANK(A184)),VLOOKUP(A184,'BBT3'!A:F,2,0),"")</f>
        <v>Bond</v>
      </c>
      <c r="C184" t="str">
        <f>IF(NOT(ISBLANK(A184)),VLOOKUP(A184,'BBT3'!A:F,3,0),"")</f>
        <v>US912810RU43</v>
      </c>
      <c r="D184" s="6">
        <f>IF(NOT(ISBLANK(A184)),VLOOKUP(A184,'BBT3'!A:F,4,1),"")</f>
        <v>2.875</v>
      </c>
      <c r="E184">
        <f>IF(NOT(ISBLANK(A184)),VLOOKUP(A184,'BBT3'!A:F,5,0),"")</f>
        <v>53646</v>
      </c>
      <c r="F184" t="str">
        <f>IF(NOT(ISBLANK(A184)),VLOOKUP(A184,'BBT3'!A:F,6,0),"")</f>
        <v>N</v>
      </c>
      <c r="G184">
        <f>IF(NOT(ISBLANK(A184)),VLOOKUP(A184,QW_Close!A:J,5,0),"")</f>
        <v>5.0444729264486503E-2</v>
      </c>
      <c r="H184" s="5" t="e" cm="1">
        <f t="array" ref="H184">IF(NOT(ISBLANK(A184)),((_xlfn.XLOOKUP(1,(_bbt3[[#All],[ID]]=A184)*(_bbt3[[#All],[METRIC_NAME]]="YLD_YTM_ASK"),_bbt3[[#All],[METRIC_VALUE]])*0.5)+(_xlfn.XLOOKUP(1,(_bbt3[[#All],[ID]]=A184)*(_bbt3[[#All],[METRIC_NAME]]="YLD_YTM_BID"),_bbt3[[#All],[METRIC_VALUE]])*0.5))/100,"")</f>
        <v>#N/A</v>
      </c>
      <c r="I184">
        <f>IF(ISNA(VLOOKUP(A184,QW_CloseDL!A:E,5,0)),0,VLOOKUP(A184,QW_CloseDL!A:E,5,0))</f>
        <v>5.0444729264486503E-2</v>
      </c>
      <c r="J184" s="8">
        <f t="shared" si="10"/>
        <v>0</v>
      </c>
      <c r="P184">
        <v>0</v>
      </c>
      <c r="Q184" t="e">
        <f t="shared" si="11"/>
        <v>#N/A</v>
      </c>
      <c r="R184" t="e">
        <f t="shared" si="12"/>
        <v>#N/A</v>
      </c>
      <c r="S184" s="9" t="e">
        <f t="shared" si="13"/>
        <v>#N/A</v>
      </c>
      <c r="T184" s="3" t="e">
        <f t="shared" si="14"/>
        <v>#N/A</v>
      </c>
    </row>
    <row r="185" spans="1:20" x14ac:dyDescent="0.35">
      <c r="A185" t="str">
        <v>912810RV2</v>
      </c>
      <c r="B185" t="str">
        <f>IF(NOT(ISBLANK(A185)),VLOOKUP(A185,'BBT3'!A:F,2,0),"")</f>
        <v>Bond</v>
      </c>
      <c r="C185" t="str">
        <f>IF(NOT(ISBLANK(A185)),VLOOKUP(A185,'BBT3'!A:F,3,0),"")</f>
        <v>US912810RV26</v>
      </c>
      <c r="D185" s="6">
        <f>IF(NOT(ISBLANK(A185)),VLOOKUP(A185,'BBT3'!A:F,4,1),"")</f>
        <v>3</v>
      </c>
      <c r="E185">
        <f>IF(NOT(ISBLANK(A185)),VLOOKUP(A185,'BBT3'!A:F,5,0),"")</f>
        <v>53738</v>
      </c>
      <c r="F185" t="str">
        <f>IF(NOT(ISBLANK(A185)),VLOOKUP(A185,'BBT3'!A:F,6,0),"")</f>
        <v>N</v>
      </c>
      <c r="G185">
        <f>IF(NOT(ISBLANK(A185)),VLOOKUP(A185,QW_Close!A:J,5,0),"")</f>
        <v>5.0443268236347198E-2</v>
      </c>
      <c r="H185" s="5" t="e" cm="1">
        <f t="array" ref="H185">IF(NOT(ISBLANK(A185)),((_xlfn.XLOOKUP(1,(_bbt3[[#All],[ID]]=A185)*(_bbt3[[#All],[METRIC_NAME]]="YLD_YTM_ASK"),_bbt3[[#All],[METRIC_VALUE]])*0.5)+(_xlfn.XLOOKUP(1,(_bbt3[[#All],[ID]]=A185)*(_bbt3[[#All],[METRIC_NAME]]="YLD_YTM_BID"),_bbt3[[#All],[METRIC_VALUE]])*0.5))/100,"")</f>
        <v>#N/A</v>
      </c>
      <c r="I185">
        <f>IF(ISNA(VLOOKUP(A185,QW_CloseDL!A:E,5,0)),0,VLOOKUP(A185,QW_CloseDL!A:E,5,0))</f>
        <v>5.0443268236347198E-2</v>
      </c>
      <c r="J185" s="8">
        <f t="shared" si="10"/>
        <v>0</v>
      </c>
      <c r="P185">
        <v>0</v>
      </c>
      <c r="Q185" t="e">
        <f t="shared" si="11"/>
        <v>#N/A</v>
      </c>
      <c r="R185" t="e">
        <f t="shared" si="12"/>
        <v>#N/A</v>
      </c>
      <c r="S185" s="9" t="e">
        <f t="shared" si="13"/>
        <v>#N/A</v>
      </c>
      <c r="T185" s="3" t="e">
        <f t="shared" si="14"/>
        <v>#N/A</v>
      </c>
    </row>
    <row r="186" spans="1:20" x14ac:dyDescent="0.35">
      <c r="A186" t="str">
        <v>912810RW0</v>
      </c>
      <c r="B186" t="str">
        <f>IF(NOT(ISBLANK(A186)),VLOOKUP(A186,'BBT3'!A:F,2,0),"")</f>
        <v>Bond</v>
      </c>
      <c r="C186" t="str">
        <f>IF(NOT(ISBLANK(A186)),VLOOKUP(A186,'BBT3'!A:F,3,0),"")</f>
        <v>US912810RW09</v>
      </c>
      <c r="D186" s="6">
        <f>IF(NOT(ISBLANK(A186)),VLOOKUP(A186,'BBT3'!A:F,4,1),"")</f>
        <v>0.875</v>
      </c>
      <c r="E186">
        <f>IF(NOT(ISBLANK(A186)),VLOOKUP(A186,'BBT3'!A:F,5,0),"")</f>
        <v>53738</v>
      </c>
      <c r="F186" t="str">
        <f>IF(NOT(ISBLANK(A186)),VLOOKUP(A186,'BBT3'!A:F,6,0),"")</f>
        <v>Y</v>
      </c>
      <c r="G186">
        <f>IF(NOT(ISBLANK(A186)),VLOOKUP(A186,QW_Close!A:J,5,0),"")</f>
        <v>2.7090346898327799E-2</v>
      </c>
      <c r="H186" s="5" t="e" cm="1">
        <f t="array" ref="H186">IF(NOT(ISBLANK(A186)),((_xlfn.XLOOKUP(1,(_bbt3[[#All],[ID]]=A186)*(_bbt3[[#All],[METRIC_NAME]]="YLD_YTM_ASK"),_bbt3[[#All],[METRIC_VALUE]])*0.5)+(_xlfn.XLOOKUP(1,(_bbt3[[#All],[ID]]=A186)*(_bbt3[[#All],[METRIC_NAME]]="YLD_YTM_BID"),_bbt3[[#All],[METRIC_VALUE]])*0.5))/100,"")</f>
        <v>#N/A</v>
      </c>
      <c r="I186">
        <f>IF(ISNA(VLOOKUP(A186,QW_CloseDL!A:E,5,0)),0,VLOOKUP(A186,QW_CloseDL!A:E,5,0))</f>
        <v>2.7090347858941901E-2</v>
      </c>
      <c r="J186" s="8">
        <f t="shared" si="10"/>
        <v>9.6061410215231291E-6</v>
      </c>
      <c r="P186">
        <v>0</v>
      </c>
      <c r="Q186" t="e">
        <f t="shared" si="11"/>
        <v>#N/A</v>
      </c>
      <c r="R186" t="e">
        <f t="shared" si="12"/>
        <v>#N/A</v>
      </c>
      <c r="S186" s="9" t="e">
        <f t="shared" si="13"/>
        <v>#N/A</v>
      </c>
      <c r="T186" s="3" t="e">
        <f t="shared" si="14"/>
        <v>#N/A</v>
      </c>
    </row>
    <row r="187" spans="1:20" x14ac:dyDescent="0.35">
      <c r="A187" t="str">
        <v>912810RX8</v>
      </c>
      <c r="B187" t="str">
        <f>IF(NOT(ISBLANK(A187)),VLOOKUP(A187,'BBT3'!A:F,2,0),"")</f>
        <v>Bond</v>
      </c>
      <c r="C187" t="str">
        <f>IF(NOT(ISBLANK(A187)),VLOOKUP(A187,'BBT3'!A:F,3,0),"")</f>
        <v>US912810RX81</v>
      </c>
      <c r="D187" s="6">
        <f>IF(NOT(ISBLANK(A187)),VLOOKUP(A187,'BBT3'!A:F,4,1),"")</f>
        <v>3</v>
      </c>
      <c r="E187">
        <f>IF(NOT(ISBLANK(A187)),VLOOKUP(A187,'BBT3'!A:F,5,0),"")</f>
        <v>53827</v>
      </c>
      <c r="F187" t="str">
        <f>IF(NOT(ISBLANK(A187)),VLOOKUP(A187,'BBT3'!A:F,6,0),"")</f>
        <v>N</v>
      </c>
      <c r="G187">
        <f>IF(NOT(ISBLANK(A187)),VLOOKUP(A187,QW_Close!A:J,5,0),"")</f>
        <v>5.0485644842459002E-2</v>
      </c>
      <c r="H187" s="5" t="e" cm="1">
        <f t="array" ref="H187">IF(NOT(ISBLANK(A187)),((_xlfn.XLOOKUP(1,(_bbt3[[#All],[ID]]=A187)*(_bbt3[[#All],[METRIC_NAME]]="YLD_YTM_ASK"),_bbt3[[#All],[METRIC_VALUE]])*0.5)+(_xlfn.XLOOKUP(1,(_bbt3[[#All],[ID]]=A187)*(_bbt3[[#All],[METRIC_NAME]]="YLD_YTM_BID"),_bbt3[[#All],[METRIC_VALUE]])*0.5))/100,"")</f>
        <v>#N/A</v>
      </c>
      <c r="I187">
        <f>IF(ISNA(VLOOKUP(A187,QW_CloseDL!A:E,5,0)),0,VLOOKUP(A187,QW_CloseDL!A:E,5,0))</f>
        <v>5.0485644842459002E-2</v>
      </c>
      <c r="J187" s="8">
        <f t="shared" si="10"/>
        <v>0</v>
      </c>
      <c r="P187">
        <v>0</v>
      </c>
      <c r="Q187" t="e">
        <f t="shared" si="11"/>
        <v>#N/A</v>
      </c>
      <c r="R187" t="e">
        <f t="shared" si="12"/>
        <v>#N/A</v>
      </c>
      <c r="S187" s="9" t="e">
        <f t="shared" si="13"/>
        <v>#N/A</v>
      </c>
      <c r="T187" s="3" t="e">
        <f t="shared" si="14"/>
        <v>#N/A</v>
      </c>
    </row>
    <row r="188" spans="1:20" x14ac:dyDescent="0.35">
      <c r="A188" t="str">
        <v>912810RY6</v>
      </c>
      <c r="B188" t="str">
        <f>IF(NOT(ISBLANK(A188)),VLOOKUP(A188,'BBT3'!A:F,2,0),"")</f>
        <v>Bond</v>
      </c>
      <c r="C188" t="str">
        <f>IF(NOT(ISBLANK(A188)),VLOOKUP(A188,'BBT3'!A:F,3,0),"")</f>
        <v>US912810RY64</v>
      </c>
      <c r="D188" s="6">
        <f>IF(NOT(ISBLANK(A188)),VLOOKUP(A188,'BBT3'!A:F,4,1),"")</f>
        <v>2.75</v>
      </c>
      <c r="E188">
        <f>IF(NOT(ISBLANK(A188)),VLOOKUP(A188,'BBT3'!A:F,5,0),"")</f>
        <v>53919</v>
      </c>
      <c r="F188" t="str">
        <f>IF(NOT(ISBLANK(A188)),VLOOKUP(A188,'BBT3'!A:F,6,0),"")</f>
        <v>N</v>
      </c>
      <c r="G188">
        <f>IF(NOT(ISBLANK(A188)),VLOOKUP(A188,QW_Close!A:J,5,0),"")</f>
        <v>5.0586046242741801E-2</v>
      </c>
      <c r="H188" s="5" t="e" cm="1">
        <f t="array" ref="H188">IF(NOT(ISBLANK(A188)),((_xlfn.XLOOKUP(1,(_bbt3[[#All],[ID]]=A188)*(_bbt3[[#All],[METRIC_NAME]]="YLD_YTM_ASK"),_bbt3[[#All],[METRIC_VALUE]])*0.5)+(_xlfn.XLOOKUP(1,(_bbt3[[#All],[ID]]=A188)*(_bbt3[[#All],[METRIC_NAME]]="YLD_YTM_BID"),_bbt3[[#All],[METRIC_VALUE]])*0.5))/100,"")</f>
        <v>#N/A</v>
      </c>
      <c r="I188">
        <f>IF(ISNA(VLOOKUP(A188,QW_CloseDL!A:E,5,0)),0,VLOOKUP(A188,QW_CloseDL!A:E,5,0))</f>
        <v>5.0586046242741801E-2</v>
      </c>
      <c r="J188" s="8">
        <f t="shared" si="10"/>
        <v>0</v>
      </c>
      <c r="P188">
        <v>0</v>
      </c>
      <c r="Q188" t="e">
        <f t="shared" si="11"/>
        <v>#N/A</v>
      </c>
      <c r="R188" t="e">
        <f t="shared" si="12"/>
        <v>#N/A</v>
      </c>
      <c r="S188" s="9" t="e">
        <f t="shared" si="13"/>
        <v>#N/A</v>
      </c>
      <c r="T188" s="3" t="e">
        <f t="shared" si="14"/>
        <v>#N/A</v>
      </c>
    </row>
    <row r="189" spans="1:20" x14ac:dyDescent="0.35">
      <c r="A189" t="str">
        <v>912810RZ3</v>
      </c>
      <c r="B189" t="str">
        <f>IF(NOT(ISBLANK(A189)),VLOOKUP(A189,'BBT3'!A:F,2,0),"")</f>
        <v>Bond</v>
      </c>
      <c r="C189" t="str">
        <f>IF(NOT(ISBLANK(A189)),VLOOKUP(A189,'BBT3'!A:F,3,0),"")</f>
        <v>US912810RZ30</v>
      </c>
      <c r="D189" s="6">
        <f>IF(NOT(ISBLANK(A189)),VLOOKUP(A189,'BBT3'!A:F,4,1),"")</f>
        <v>2.75</v>
      </c>
      <c r="E189">
        <f>IF(NOT(ISBLANK(A189)),VLOOKUP(A189,'BBT3'!A:F,5,0),"")</f>
        <v>54011</v>
      </c>
      <c r="F189" t="str">
        <f>IF(NOT(ISBLANK(A189)),VLOOKUP(A189,'BBT3'!A:F,6,0),"")</f>
        <v>N</v>
      </c>
      <c r="G189">
        <f>IF(NOT(ISBLANK(A189)),VLOOKUP(A189,QW_Close!A:J,5,0),"")</f>
        <v>5.05820837101233E-2</v>
      </c>
      <c r="H189" s="5" t="e" cm="1">
        <f t="array" ref="H189">IF(NOT(ISBLANK(A189)),((_xlfn.XLOOKUP(1,(_bbt3[[#All],[ID]]=A189)*(_bbt3[[#All],[METRIC_NAME]]="YLD_YTM_ASK"),_bbt3[[#All],[METRIC_VALUE]])*0.5)+(_xlfn.XLOOKUP(1,(_bbt3[[#All],[ID]]=A189)*(_bbt3[[#All],[METRIC_NAME]]="YLD_YTM_BID"),_bbt3[[#All],[METRIC_VALUE]])*0.5))/100,"")</f>
        <v>#N/A</v>
      </c>
      <c r="I189">
        <f>IF(ISNA(VLOOKUP(A189,QW_CloseDL!A:E,5,0)),0,VLOOKUP(A189,QW_CloseDL!A:E,5,0))</f>
        <v>5.05820837101233E-2</v>
      </c>
      <c r="J189" s="8">
        <f t="shared" si="10"/>
        <v>0</v>
      </c>
      <c r="P189">
        <v>0</v>
      </c>
      <c r="Q189" t="e">
        <f t="shared" si="11"/>
        <v>#N/A</v>
      </c>
      <c r="R189" t="e">
        <f t="shared" si="12"/>
        <v>#N/A</v>
      </c>
      <c r="S189" s="9" t="e">
        <f t="shared" si="13"/>
        <v>#N/A</v>
      </c>
      <c r="T189" s="3" t="e">
        <f t="shared" si="14"/>
        <v>#N/A</v>
      </c>
    </row>
    <row r="190" spans="1:20" x14ac:dyDescent="0.35">
      <c r="A190" t="str">
        <v>912810SA7</v>
      </c>
      <c r="B190" t="str">
        <f>IF(NOT(ISBLANK(A190)),VLOOKUP(A190,'BBT3'!A:F,2,0),"")</f>
        <v>Bond</v>
      </c>
      <c r="C190" t="str">
        <f>IF(NOT(ISBLANK(A190)),VLOOKUP(A190,'BBT3'!A:F,3,0),"")</f>
        <v>US912810SA79</v>
      </c>
      <c r="D190" s="6">
        <f>IF(NOT(ISBLANK(A190)),VLOOKUP(A190,'BBT3'!A:F,4,1),"")</f>
        <v>3</v>
      </c>
      <c r="E190">
        <f>IF(NOT(ISBLANK(A190)),VLOOKUP(A190,'BBT3'!A:F,5,0),"")</f>
        <v>54103</v>
      </c>
      <c r="F190" t="str">
        <f>IF(NOT(ISBLANK(A190)),VLOOKUP(A190,'BBT3'!A:F,6,0),"")</f>
        <v>N</v>
      </c>
      <c r="G190">
        <f>IF(NOT(ISBLANK(A190)),VLOOKUP(A190,QW_Close!A:J,5,0),"")</f>
        <v>5.0546258761876003E-2</v>
      </c>
      <c r="H190" s="5" t="e" cm="1">
        <f t="array" ref="H190">IF(NOT(ISBLANK(A190)),((_xlfn.XLOOKUP(1,(_bbt3[[#All],[ID]]=A190)*(_bbt3[[#All],[METRIC_NAME]]="YLD_YTM_ASK"),_bbt3[[#All],[METRIC_VALUE]])*0.5)+(_xlfn.XLOOKUP(1,(_bbt3[[#All],[ID]]=A190)*(_bbt3[[#All],[METRIC_NAME]]="YLD_YTM_BID"),_bbt3[[#All],[METRIC_VALUE]])*0.5))/100,"")</f>
        <v>#N/A</v>
      </c>
      <c r="I190">
        <f>IF(ISNA(VLOOKUP(A190,QW_CloseDL!A:E,5,0)),0,VLOOKUP(A190,QW_CloseDL!A:E,5,0))</f>
        <v>5.0546258761876003E-2</v>
      </c>
      <c r="J190" s="8">
        <f t="shared" si="10"/>
        <v>0</v>
      </c>
      <c r="P190">
        <v>0</v>
      </c>
      <c r="Q190" t="e">
        <f t="shared" si="11"/>
        <v>#N/A</v>
      </c>
      <c r="R190" t="e">
        <f t="shared" si="12"/>
        <v>#N/A</v>
      </c>
      <c r="S190" s="9" t="e">
        <f t="shared" si="13"/>
        <v>#N/A</v>
      </c>
      <c r="T190" s="3" t="e">
        <f t="shared" si="14"/>
        <v>#N/A</v>
      </c>
    </row>
    <row r="191" spans="1:20" x14ac:dyDescent="0.35">
      <c r="A191" t="str">
        <v>912810SB5</v>
      </c>
      <c r="B191" t="str">
        <f>IF(NOT(ISBLANK(A191)),VLOOKUP(A191,'BBT3'!A:F,2,0),"")</f>
        <v>Bond</v>
      </c>
      <c r="C191" t="str">
        <f>IF(NOT(ISBLANK(A191)),VLOOKUP(A191,'BBT3'!A:F,3,0),"")</f>
        <v>US912810SB52</v>
      </c>
      <c r="D191" s="6">
        <f>IF(NOT(ISBLANK(A191)),VLOOKUP(A191,'BBT3'!A:F,4,1),"")</f>
        <v>1</v>
      </c>
      <c r="E191">
        <f>IF(NOT(ISBLANK(A191)),VLOOKUP(A191,'BBT3'!A:F,5,0),"")</f>
        <v>54103</v>
      </c>
      <c r="F191" t="str">
        <f>IF(NOT(ISBLANK(A191)),VLOOKUP(A191,'BBT3'!A:F,6,0),"")</f>
        <v>Y</v>
      </c>
      <c r="G191">
        <f>IF(NOT(ISBLANK(A191)),VLOOKUP(A191,QW_Close!A:J,5,0),"")</f>
        <v>2.7196197078693501E-2</v>
      </c>
      <c r="H191" s="5" t="e" cm="1">
        <f t="array" ref="H191">IF(NOT(ISBLANK(A191)),((_xlfn.XLOOKUP(1,(_bbt3[[#All],[ID]]=A191)*(_bbt3[[#All],[METRIC_NAME]]="YLD_YTM_ASK"),_bbt3[[#All],[METRIC_VALUE]])*0.5)+(_xlfn.XLOOKUP(1,(_bbt3[[#All],[ID]]=A191)*(_bbt3[[#All],[METRIC_NAME]]="YLD_YTM_BID"),_bbt3[[#All],[METRIC_VALUE]])*0.5))/100,"")</f>
        <v>#N/A</v>
      </c>
      <c r="I191">
        <f>IF(ISNA(VLOOKUP(A191,QW_CloseDL!A:E,5,0)),0,VLOOKUP(A191,QW_CloseDL!A:E,5,0))</f>
        <v>2.7196196154713699E-2</v>
      </c>
      <c r="J191" s="8">
        <f t="shared" si="10"/>
        <v>9.2397980239189437E-6</v>
      </c>
      <c r="P191">
        <v>0</v>
      </c>
      <c r="Q191" t="e">
        <f t="shared" si="11"/>
        <v>#N/A</v>
      </c>
      <c r="R191" t="e">
        <f t="shared" si="12"/>
        <v>#N/A</v>
      </c>
      <c r="S191" s="9" t="e">
        <f t="shared" si="13"/>
        <v>#N/A</v>
      </c>
      <c r="T191" s="3" t="e">
        <f t="shared" si="14"/>
        <v>#N/A</v>
      </c>
    </row>
    <row r="192" spans="1:20" x14ac:dyDescent="0.35">
      <c r="A192" t="str">
        <v>912810SC3</v>
      </c>
      <c r="B192" t="str">
        <f>IF(NOT(ISBLANK(A192)),VLOOKUP(A192,'BBT3'!A:F,2,0),"")</f>
        <v>Bond</v>
      </c>
      <c r="C192" t="str">
        <f>IF(NOT(ISBLANK(A192)),VLOOKUP(A192,'BBT3'!A:F,3,0),"")</f>
        <v>US912810SC36</v>
      </c>
      <c r="D192" s="6">
        <f>IF(NOT(ISBLANK(A192)),VLOOKUP(A192,'BBT3'!A:F,4,1),"")</f>
        <v>3.125</v>
      </c>
      <c r="E192">
        <f>IF(NOT(ISBLANK(A192)),VLOOKUP(A192,'BBT3'!A:F,5,0),"")</f>
        <v>54193</v>
      </c>
      <c r="F192" t="str">
        <f>IF(NOT(ISBLANK(A192)),VLOOKUP(A192,'BBT3'!A:F,6,0),"")</f>
        <v>N</v>
      </c>
      <c r="G192">
        <f>IF(NOT(ISBLANK(A192)),VLOOKUP(A192,QW_Close!A:J,5,0),"")</f>
        <v>5.0542191781961503E-2</v>
      </c>
      <c r="H192" s="5" t="e" cm="1">
        <f t="array" ref="H192">IF(NOT(ISBLANK(A192)),((_xlfn.XLOOKUP(1,(_bbt3[[#All],[ID]]=A192)*(_bbt3[[#All],[METRIC_NAME]]="YLD_YTM_ASK"),_bbt3[[#All],[METRIC_VALUE]])*0.5)+(_xlfn.XLOOKUP(1,(_bbt3[[#All],[ID]]=A192)*(_bbt3[[#All],[METRIC_NAME]]="YLD_YTM_BID"),_bbt3[[#All],[METRIC_VALUE]])*0.5))/100,"")</f>
        <v>#N/A</v>
      </c>
      <c r="I192">
        <f>IF(ISNA(VLOOKUP(A192,QW_CloseDL!A:E,5,0)),0,VLOOKUP(A192,QW_CloseDL!A:E,5,0))</f>
        <v>5.0542191781961503E-2</v>
      </c>
      <c r="J192" s="8">
        <f t="shared" si="10"/>
        <v>0</v>
      </c>
      <c r="P192">
        <v>0</v>
      </c>
      <c r="Q192" t="e">
        <f t="shared" si="11"/>
        <v>#N/A</v>
      </c>
      <c r="R192" t="e">
        <f t="shared" si="12"/>
        <v>#N/A</v>
      </c>
      <c r="S192" s="9" t="e">
        <f t="shared" si="13"/>
        <v>#N/A</v>
      </c>
      <c r="T192" s="3" t="e">
        <f t="shared" si="14"/>
        <v>#N/A</v>
      </c>
    </row>
    <row r="193" spans="1:20" x14ac:dyDescent="0.35">
      <c r="A193" t="str">
        <v>912810SD1</v>
      </c>
      <c r="B193" t="str">
        <f>IF(NOT(ISBLANK(A193)),VLOOKUP(A193,'BBT3'!A:F,2,0),"")</f>
        <v>Bond</v>
      </c>
      <c r="C193" t="str">
        <f>IF(NOT(ISBLANK(A193)),VLOOKUP(A193,'BBT3'!A:F,3,0),"")</f>
        <v>US912810SD19</v>
      </c>
      <c r="D193" s="6">
        <f>IF(NOT(ISBLANK(A193)),VLOOKUP(A193,'BBT3'!A:F,4,1),"")</f>
        <v>3</v>
      </c>
      <c r="E193">
        <f>IF(NOT(ISBLANK(A193)),VLOOKUP(A193,'BBT3'!A:F,5,0),"")</f>
        <v>54285</v>
      </c>
      <c r="F193" t="str">
        <f>IF(NOT(ISBLANK(A193)),VLOOKUP(A193,'BBT3'!A:F,6,0),"")</f>
        <v>N</v>
      </c>
      <c r="G193">
        <f>IF(NOT(ISBLANK(A193)),VLOOKUP(A193,QW_Close!A:J,5,0),"")</f>
        <v>5.0593984128443098E-2</v>
      </c>
      <c r="H193" s="5" t="e" cm="1">
        <f t="array" ref="H193">IF(NOT(ISBLANK(A193)),((_xlfn.XLOOKUP(1,(_bbt3[[#All],[ID]]=A193)*(_bbt3[[#All],[METRIC_NAME]]="YLD_YTM_ASK"),_bbt3[[#All],[METRIC_VALUE]])*0.5)+(_xlfn.XLOOKUP(1,(_bbt3[[#All],[ID]]=A193)*(_bbt3[[#All],[METRIC_NAME]]="YLD_YTM_BID"),_bbt3[[#All],[METRIC_VALUE]])*0.5))/100,"")</f>
        <v>#N/A</v>
      </c>
      <c r="I193">
        <f>IF(ISNA(VLOOKUP(A193,QW_CloseDL!A:E,5,0)),0,VLOOKUP(A193,QW_CloseDL!A:E,5,0))</f>
        <v>5.0593984128443098E-2</v>
      </c>
      <c r="J193" s="8">
        <f t="shared" si="10"/>
        <v>0</v>
      </c>
      <c r="P193">
        <v>0</v>
      </c>
      <c r="Q193" t="e">
        <f t="shared" si="11"/>
        <v>#N/A</v>
      </c>
      <c r="R193" t="e">
        <f t="shared" si="12"/>
        <v>#N/A</v>
      </c>
      <c r="S193" s="9" t="e">
        <f t="shared" si="13"/>
        <v>#N/A</v>
      </c>
      <c r="T193" s="3" t="e">
        <f t="shared" si="14"/>
        <v>#N/A</v>
      </c>
    </row>
    <row r="194" spans="1:20" x14ac:dyDescent="0.35">
      <c r="A194" t="str">
        <v>912810SE9</v>
      </c>
      <c r="B194" t="str">
        <f>IF(NOT(ISBLANK(A194)),VLOOKUP(A194,'BBT3'!A:F,2,0),"")</f>
        <v>Bond</v>
      </c>
      <c r="C194" t="str">
        <f>IF(NOT(ISBLANK(A194)),VLOOKUP(A194,'BBT3'!A:F,3,0),"")</f>
        <v>US912810SE91</v>
      </c>
      <c r="D194" s="6">
        <f>IF(NOT(ISBLANK(A194)),VLOOKUP(A194,'BBT3'!A:F,4,1),"")</f>
        <v>3.375</v>
      </c>
      <c r="E194">
        <f>IF(NOT(ISBLANK(A194)),VLOOKUP(A194,'BBT3'!A:F,5,0),"")</f>
        <v>54377</v>
      </c>
      <c r="F194" t="str">
        <f>IF(NOT(ISBLANK(A194)),VLOOKUP(A194,'BBT3'!A:F,6,0),"")</f>
        <v>N</v>
      </c>
      <c r="G194">
        <f>IF(NOT(ISBLANK(A194)),VLOOKUP(A194,QW_Close!A:J,5,0),"")</f>
        <v>5.0502736420701397E-2</v>
      </c>
      <c r="H194" s="5" t="e" cm="1">
        <f t="array" ref="H194">IF(NOT(ISBLANK(A194)),((_xlfn.XLOOKUP(1,(_bbt3[[#All],[ID]]=A194)*(_bbt3[[#All],[METRIC_NAME]]="YLD_YTM_ASK"),_bbt3[[#All],[METRIC_VALUE]])*0.5)+(_xlfn.XLOOKUP(1,(_bbt3[[#All],[ID]]=A194)*(_bbt3[[#All],[METRIC_NAME]]="YLD_YTM_BID"),_bbt3[[#All],[METRIC_VALUE]])*0.5))/100,"")</f>
        <v>#N/A</v>
      </c>
      <c r="I194">
        <f>IF(ISNA(VLOOKUP(A194,QW_CloseDL!A:E,5,0)),0,VLOOKUP(A194,QW_CloseDL!A:E,5,0))</f>
        <v>5.0502736420701397E-2</v>
      </c>
      <c r="J194" s="8">
        <f t="shared" si="10"/>
        <v>0</v>
      </c>
      <c r="P194">
        <v>0</v>
      </c>
      <c r="Q194" t="e">
        <f t="shared" si="11"/>
        <v>#N/A</v>
      </c>
      <c r="R194" t="e">
        <f t="shared" si="12"/>
        <v>#N/A</v>
      </c>
      <c r="S194" s="9" t="e">
        <f t="shared" si="13"/>
        <v>#N/A</v>
      </c>
      <c r="T194" s="3" t="e">
        <f t="shared" si="14"/>
        <v>#N/A</v>
      </c>
    </row>
    <row r="195" spans="1:20" x14ac:dyDescent="0.35">
      <c r="A195" t="str">
        <v>912810SF6</v>
      </c>
      <c r="B195" t="str">
        <f>IF(NOT(ISBLANK(A195)),VLOOKUP(A195,'BBT3'!A:F,2,0),"")</f>
        <v>Bond</v>
      </c>
      <c r="C195" t="str">
        <f>IF(NOT(ISBLANK(A195)),VLOOKUP(A195,'BBT3'!A:F,3,0),"")</f>
        <v>US912810SF66</v>
      </c>
      <c r="D195" s="6">
        <f>IF(NOT(ISBLANK(A195)),VLOOKUP(A195,'BBT3'!A:F,4,1),"")</f>
        <v>3</v>
      </c>
      <c r="E195">
        <f>IF(NOT(ISBLANK(A195)),VLOOKUP(A195,'BBT3'!A:F,5,0),"")</f>
        <v>54469</v>
      </c>
      <c r="F195" t="str">
        <f>IF(NOT(ISBLANK(A195)),VLOOKUP(A195,'BBT3'!A:F,6,0),"")</f>
        <v>N</v>
      </c>
      <c r="G195">
        <f>IF(NOT(ISBLANK(A195)),VLOOKUP(A195,QW_Close!A:J,5,0),"")</f>
        <v>5.0598260834099698E-2</v>
      </c>
      <c r="H195" s="5" t="e" cm="1">
        <f t="array" ref="H195">IF(NOT(ISBLANK(A195)),((_xlfn.XLOOKUP(1,(_bbt3[[#All],[ID]]=A195)*(_bbt3[[#All],[METRIC_NAME]]="YLD_YTM_ASK"),_bbt3[[#All],[METRIC_VALUE]])*0.5)+(_xlfn.XLOOKUP(1,(_bbt3[[#All],[ID]]=A195)*(_bbt3[[#All],[METRIC_NAME]]="YLD_YTM_BID"),_bbt3[[#All],[METRIC_VALUE]])*0.5))/100,"")</f>
        <v>#N/A</v>
      </c>
      <c r="I195">
        <f>IF(ISNA(VLOOKUP(A195,QW_CloseDL!A:E,5,0)),0,VLOOKUP(A195,QW_CloseDL!A:E,5,0))</f>
        <v>5.0598260834099698E-2</v>
      </c>
      <c r="J195" s="8">
        <f t="shared" ref="J195:J258" si="15">IF(ISNA(IF(NOT(ISBLANK(A195)),ABS(G195-I195),"")),0,(IF(NOT(ISBLANK(A195)),ABS(G195-I195)*10000,"")))</f>
        <v>0</v>
      </c>
      <c r="P195">
        <v>0</v>
      </c>
      <c r="Q195" t="e">
        <f t="shared" si="11"/>
        <v>#N/A</v>
      </c>
      <c r="R195" t="e">
        <f t="shared" si="12"/>
        <v>#N/A</v>
      </c>
      <c r="S195" s="9" t="e">
        <f t="shared" si="13"/>
        <v>#N/A</v>
      </c>
      <c r="T195" s="3" t="e">
        <f t="shared" si="14"/>
        <v>#N/A</v>
      </c>
    </row>
    <row r="196" spans="1:20" x14ac:dyDescent="0.35">
      <c r="A196" t="str">
        <v>912810SG4</v>
      </c>
      <c r="B196" t="str">
        <f>IF(NOT(ISBLANK(A196)),VLOOKUP(A196,'BBT3'!A:F,2,0),"")</f>
        <v>Bond</v>
      </c>
      <c r="C196" t="str">
        <f>IF(NOT(ISBLANK(A196)),VLOOKUP(A196,'BBT3'!A:F,3,0),"")</f>
        <v>US912810SG40</v>
      </c>
      <c r="D196" s="6">
        <f>IF(NOT(ISBLANK(A196)),VLOOKUP(A196,'BBT3'!A:F,4,1),"")</f>
        <v>1</v>
      </c>
      <c r="E196">
        <f>IF(NOT(ISBLANK(A196)),VLOOKUP(A196,'BBT3'!A:F,5,0),"")</f>
        <v>54469</v>
      </c>
      <c r="F196" t="str">
        <f>IF(NOT(ISBLANK(A196)),VLOOKUP(A196,'BBT3'!A:F,6,0),"")</f>
        <v>Y</v>
      </c>
      <c r="G196">
        <f>IF(NOT(ISBLANK(A196)),VLOOKUP(A196,QW_Close!A:J,5,0),"")</f>
        <v>2.7246712879850699E-2</v>
      </c>
      <c r="H196" s="5" t="e" cm="1">
        <f t="array" ref="H196">IF(NOT(ISBLANK(A196)),((_xlfn.XLOOKUP(1,(_bbt3[[#All],[ID]]=A196)*(_bbt3[[#All],[METRIC_NAME]]="YLD_YTM_ASK"),_bbt3[[#All],[METRIC_VALUE]])*0.5)+(_xlfn.XLOOKUP(1,(_bbt3[[#All],[ID]]=A196)*(_bbt3[[#All],[METRIC_NAME]]="YLD_YTM_BID"),_bbt3[[#All],[METRIC_VALUE]])*0.5))/100,"")</f>
        <v>#N/A</v>
      </c>
      <c r="I196">
        <f>IF(ISNA(VLOOKUP(A196,QW_CloseDL!A:E,5,0)),0,VLOOKUP(A196,QW_CloseDL!A:E,5,0))</f>
        <v>2.72467101724298E-2</v>
      </c>
      <c r="J196" s="8">
        <f t="shared" si="15"/>
        <v>2.707420898584445E-5</v>
      </c>
      <c r="P196">
        <v>0</v>
      </c>
      <c r="Q196" t="e">
        <f t="shared" si="11"/>
        <v>#N/A</v>
      </c>
      <c r="R196" t="e">
        <f t="shared" si="12"/>
        <v>#N/A</v>
      </c>
      <c r="S196" s="9" t="e">
        <f t="shared" si="13"/>
        <v>#N/A</v>
      </c>
      <c r="T196" s="3" t="e">
        <f t="shared" si="14"/>
        <v>#N/A</v>
      </c>
    </row>
    <row r="197" spans="1:20" x14ac:dyDescent="0.35">
      <c r="A197" t="str">
        <v>912810SH2</v>
      </c>
      <c r="B197" t="str">
        <f>IF(NOT(ISBLANK(A197)),VLOOKUP(A197,'BBT3'!A:F,2,0),"")</f>
        <v>Bond</v>
      </c>
      <c r="C197" t="str">
        <f>IF(NOT(ISBLANK(A197)),VLOOKUP(A197,'BBT3'!A:F,3,0),"")</f>
        <v>US912810SH23</v>
      </c>
      <c r="D197" s="6">
        <f>IF(NOT(ISBLANK(A197)),VLOOKUP(A197,'BBT3'!A:F,4,1),"")</f>
        <v>2.875</v>
      </c>
      <c r="E197">
        <f>IF(NOT(ISBLANK(A197)),VLOOKUP(A197,'BBT3'!A:F,5,0),"")</f>
        <v>54558</v>
      </c>
      <c r="F197" t="str">
        <f>IF(NOT(ISBLANK(A197)),VLOOKUP(A197,'BBT3'!A:F,6,0),"")</f>
        <v>N</v>
      </c>
      <c r="G197">
        <f>IF(NOT(ISBLANK(A197)),VLOOKUP(A197,QW_Close!A:J,5,0),"")</f>
        <v>5.0649689723156303E-2</v>
      </c>
      <c r="H197" s="5" t="e" cm="1">
        <f t="array" ref="H197">IF(NOT(ISBLANK(A197)),((_xlfn.XLOOKUP(1,(_bbt3[[#All],[ID]]=A197)*(_bbt3[[#All],[METRIC_NAME]]="YLD_YTM_ASK"),_bbt3[[#All],[METRIC_VALUE]])*0.5)+(_xlfn.XLOOKUP(1,(_bbt3[[#All],[ID]]=A197)*(_bbt3[[#All],[METRIC_NAME]]="YLD_YTM_BID"),_bbt3[[#All],[METRIC_VALUE]])*0.5))/100,"")</f>
        <v>#N/A</v>
      </c>
      <c r="I197">
        <f>IF(ISNA(VLOOKUP(A197,QW_CloseDL!A:E,5,0)),0,VLOOKUP(A197,QW_CloseDL!A:E,5,0))</f>
        <v>5.0649689723156303E-2</v>
      </c>
      <c r="J197" s="8">
        <f t="shared" si="15"/>
        <v>0</v>
      </c>
      <c r="P197">
        <v>0</v>
      </c>
      <c r="Q197" t="e">
        <f t="shared" si="11"/>
        <v>#N/A</v>
      </c>
      <c r="R197" t="e">
        <f t="shared" si="12"/>
        <v>#N/A</v>
      </c>
      <c r="S197" s="9" t="e">
        <f t="shared" si="13"/>
        <v>#N/A</v>
      </c>
      <c r="T197" s="3" t="e">
        <f t="shared" si="14"/>
        <v>#N/A</v>
      </c>
    </row>
    <row r="198" spans="1:20" x14ac:dyDescent="0.35">
      <c r="A198" t="str">
        <v>912810SJ8</v>
      </c>
      <c r="B198" t="str">
        <f>IF(NOT(ISBLANK(A198)),VLOOKUP(A198,'BBT3'!A:F,2,0),"")</f>
        <v>Bond</v>
      </c>
      <c r="C198" t="str">
        <f>IF(NOT(ISBLANK(A198)),VLOOKUP(A198,'BBT3'!A:F,3,0),"")</f>
        <v>US912810SJ88</v>
      </c>
      <c r="D198" s="6">
        <f>IF(NOT(ISBLANK(A198)),VLOOKUP(A198,'BBT3'!A:F,4,1),"")</f>
        <v>2.25</v>
      </c>
      <c r="E198">
        <f>IF(NOT(ISBLANK(A198)),VLOOKUP(A198,'BBT3'!A:F,5,0),"")</f>
        <v>54650</v>
      </c>
      <c r="F198" t="str">
        <f>IF(NOT(ISBLANK(A198)),VLOOKUP(A198,'BBT3'!A:F,6,0),"")</f>
        <v>N</v>
      </c>
      <c r="G198">
        <f>IF(NOT(ISBLANK(A198)),VLOOKUP(A198,QW_Close!A:J,5,0),"")</f>
        <v>5.0800798200348503E-2</v>
      </c>
      <c r="H198" s="5" t="e" cm="1">
        <f t="array" ref="H198">IF(NOT(ISBLANK(A198)),((_xlfn.XLOOKUP(1,(_bbt3[[#All],[ID]]=A198)*(_bbt3[[#All],[METRIC_NAME]]="YLD_YTM_ASK"),_bbt3[[#All],[METRIC_VALUE]])*0.5)+(_xlfn.XLOOKUP(1,(_bbt3[[#All],[ID]]=A198)*(_bbt3[[#All],[METRIC_NAME]]="YLD_YTM_BID"),_bbt3[[#All],[METRIC_VALUE]])*0.5))/100,"")</f>
        <v>#N/A</v>
      </c>
      <c r="I198">
        <f>IF(ISNA(VLOOKUP(A198,QW_CloseDL!A:E,5,0)),0,VLOOKUP(A198,QW_CloseDL!A:E,5,0))</f>
        <v>5.0800798200348503E-2</v>
      </c>
      <c r="J198" s="8">
        <f t="shared" si="15"/>
        <v>0</v>
      </c>
      <c r="P198">
        <v>0</v>
      </c>
      <c r="Q198" t="e">
        <f t="shared" si="11"/>
        <v>#N/A</v>
      </c>
      <c r="R198" t="e">
        <f t="shared" si="12"/>
        <v>#N/A</v>
      </c>
      <c r="S198" s="9" t="e">
        <f t="shared" si="13"/>
        <v>#N/A</v>
      </c>
      <c r="T198" s="3" t="e">
        <f t="shared" si="14"/>
        <v>#N/A</v>
      </c>
    </row>
    <row r="199" spans="1:20" x14ac:dyDescent="0.35">
      <c r="A199" t="str">
        <v>912810SK5</v>
      </c>
      <c r="B199" t="str">
        <f>IF(NOT(ISBLANK(A199)),VLOOKUP(A199,'BBT3'!A:F,2,0),"")</f>
        <v>Bond</v>
      </c>
      <c r="C199" t="str">
        <f>IF(NOT(ISBLANK(A199)),VLOOKUP(A199,'BBT3'!A:F,3,0),"")</f>
        <v>US912810SK51</v>
      </c>
      <c r="D199" s="6">
        <f>IF(NOT(ISBLANK(A199)),VLOOKUP(A199,'BBT3'!A:F,4,1),"")</f>
        <v>2.375</v>
      </c>
      <c r="E199">
        <f>IF(NOT(ISBLANK(A199)),VLOOKUP(A199,'BBT3'!A:F,5,0),"")</f>
        <v>54742</v>
      </c>
      <c r="F199" t="str">
        <f>IF(NOT(ISBLANK(A199)),VLOOKUP(A199,'BBT3'!A:F,6,0),"")</f>
        <v>N</v>
      </c>
      <c r="G199">
        <f>IF(NOT(ISBLANK(A199)),VLOOKUP(A199,QW_Close!A:J,5,0),"")</f>
        <v>5.07901936845482E-2</v>
      </c>
      <c r="H199" s="5" t="e" cm="1">
        <f t="array" ref="H199">IF(NOT(ISBLANK(A199)),((_xlfn.XLOOKUP(1,(_bbt3[[#All],[ID]]=A199)*(_bbt3[[#All],[METRIC_NAME]]="YLD_YTM_ASK"),_bbt3[[#All],[METRIC_VALUE]])*0.5)+(_xlfn.XLOOKUP(1,(_bbt3[[#All],[ID]]=A199)*(_bbt3[[#All],[METRIC_NAME]]="YLD_YTM_BID"),_bbt3[[#All],[METRIC_VALUE]])*0.5))/100,"")</f>
        <v>#N/A</v>
      </c>
      <c r="I199">
        <f>IF(ISNA(VLOOKUP(A199,QW_CloseDL!A:E,5,0)),0,VLOOKUP(A199,QW_CloseDL!A:E,5,0))</f>
        <v>5.07901936845482E-2</v>
      </c>
      <c r="J199" s="8">
        <f t="shared" si="15"/>
        <v>0</v>
      </c>
      <c r="P199">
        <v>0</v>
      </c>
      <c r="Q199" t="e">
        <f t="shared" si="11"/>
        <v>#N/A</v>
      </c>
      <c r="R199" t="e">
        <f t="shared" si="12"/>
        <v>#N/A</v>
      </c>
      <c r="S199" s="9" t="e">
        <f t="shared" si="13"/>
        <v>#N/A</v>
      </c>
      <c r="T199" s="3" t="e">
        <f t="shared" si="14"/>
        <v>#N/A</v>
      </c>
    </row>
    <row r="200" spans="1:20" x14ac:dyDescent="0.35">
      <c r="A200" t="str">
        <v>912810SL3</v>
      </c>
      <c r="B200" t="str">
        <f>IF(NOT(ISBLANK(A200)),VLOOKUP(A200,'BBT3'!A:F,2,0),"")</f>
        <v>Bond</v>
      </c>
      <c r="C200" t="str">
        <f>IF(NOT(ISBLANK(A200)),VLOOKUP(A200,'BBT3'!A:F,3,0),"")</f>
        <v>US912810SL35</v>
      </c>
      <c r="D200" s="6">
        <f>IF(NOT(ISBLANK(A200)),VLOOKUP(A200,'BBT3'!A:F,4,1),"")</f>
        <v>2</v>
      </c>
      <c r="E200">
        <f>IF(NOT(ISBLANK(A200)),VLOOKUP(A200,'BBT3'!A:F,5,0),"")</f>
        <v>54834</v>
      </c>
      <c r="F200" t="str">
        <f>IF(NOT(ISBLANK(A200)),VLOOKUP(A200,'BBT3'!A:F,6,0),"")</f>
        <v>N</v>
      </c>
      <c r="G200">
        <f>IF(NOT(ISBLANK(A200)),VLOOKUP(A200,QW_Close!A:J,5,0),"")</f>
        <v>5.0888552005565899E-2</v>
      </c>
      <c r="H200" s="5" t="e" cm="1">
        <f t="array" ref="H200">IF(NOT(ISBLANK(A200)),((_xlfn.XLOOKUP(1,(_bbt3[[#All],[ID]]=A200)*(_bbt3[[#All],[METRIC_NAME]]="YLD_YTM_ASK"),_bbt3[[#All],[METRIC_VALUE]])*0.5)+(_xlfn.XLOOKUP(1,(_bbt3[[#All],[ID]]=A200)*(_bbt3[[#All],[METRIC_NAME]]="YLD_YTM_BID"),_bbt3[[#All],[METRIC_VALUE]])*0.5))/100,"")</f>
        <v>#N/A</v>
      </c>
      <c r="I200">
        <f>IF(ISNA(VLOOKUP(A200,QW_CloseDL!A:E,5,0)),0,VLOOKUP(A200,QW_CloseDL!A:E,5,0))</f>
        <v>5.0888552005565899E-2</v>
      </c>
      <c r="J200" s="8">
        <f t="shared" si="15"/>
        <v>0</v>
      </c>
      <c r="P200">
        <v>0</v>
      </c>
      <c r="Q200" t="e">
        <f t="shared" si="11"/>
        <v>#N/A</v>
      </c>
      <c r="R200" t="e">
        <f t="shared" si="12"/>
        <v>#N/A</v>
      </c>
      <c r="S200" s="9" t="e">
        <f t="shared" si="13"/>
        <v>#N/A</v>
      </c>
      <c r="T200" s="3" t="e">
        <f t="shared" si="14"/>
        <v>#N/A</v>
      </c>
    </row>
    <row r="201" spans="1:20" x14ac:dyDescent="0.35">
      <c r="A201" t="str">
        <v>912810SM1</v>
      </c>
      <c r="B201" t="str">
        <f>IF(NOT(ISBLANK(A201)),VLOOKUP(A201,'BBT3'!A:F,2,0),"")</f>
        <v>Bond</v>
      </c>
      <c r="C201" t="str">
        <f>IF(NOT(ISBLANK(A201)),VLOOKUP(A201,'BBT3'!A:F,3,0),"")</f>
        <v>US912810SM18</v>
      </c>
      <c r="D201" s="6">
        <f>IF(NOT(ISBLANK(A201)),VLOOKUP(A201,'BBT3'!A:F,4,1),"")</f>
        <v>0.25</v>
      </c>
      <c r="E201">
        <f>IF(NOT(ISBLANK(A201)),VLOOKUP(A201,'BBT3'!A:F,5,0),"")</f>
        <v>54834</v>
      </c>
      <c r="F201" t="str">
        <f>IF(NOT(ISBLANK(A201)),VLOOKUP(A201,'BBT3'!A:F,6,0),"")</f>
        <v>Y</v>
      </c>
      <c r="G201">
        <f>IF(NOT(ISBLANK(A201)),VLOOKUP(A201,QW_Close!A:J,5,0),"")</f>
        <v>2.73240071215557E-2</v>
      </c>
      <c r="H201" s="5" t="e" cm="1">
        <f t="array" ref="H201">IF(NOT(ISBLANK(A201)),((_xlfn.XLOOKUP(1,(_bbt3[[#All],[ID]]=A201)*(_bbt3[[#All],[METRIC_NAME]]="YLD_YTM_ASK"),_bbt3[[#All],[METRIC_VALUE]])*0.5)+(_xlfn.XLOOKUP(1,(_bbt3[[#All],[ID]]=A201)*(_bbt3[[#All],[METRIC_NAME]]="YLD_YTM_BID"),_bbt3[[#All],[METRIC_VALUE]])*0.5))/100,"")</f>
        <v>#N/A</v>
      </c>
      <c r="I201">
        <f>IF(ISNA(VLOOKUP(A201,QW_CloseDL!A:E,5,0)),0,VLOOKUP(A201,QW_CloseDL!A:E,5,0))</f>
        <v>2.73240071215557E-2</v>
      </c>
      <c r="J201" s="8">
        <f t="shared" si="15"/>
        <v>0</v>
      </c>
      <c r="P201">
        <v>0</v>
      </c>
      <c r="Q201" t="e">
        <f t="shared" si="11"/>
        <v>#N/A</v>
      </c>
      <c r="R201" t="e">
        <f t="shared" si="12"/>
        <v>#N/A</v>
      </c>
      <c r="S201" s="9" t="e">
        <f t="shared" si="13"/>
        <v>#N/A</v>
      </c>
      <c r="T201" s="3" t="e">
        <f t="shared" si="14"/>
        <v>#N/A</v>
      </c>
    </row>
    <row r="202" spans="1:20" x14ac:dyDescent="0.35">
      <c r="A202" t="str">
        <v>912810SN9</v>
      </c>
      <c r="B202" t="str">
        <f>IF(NOT(ISBLANK(A202)),VLOOKUP(A202,'BBT3'!A:F,2,0),"")</f>
        <v>Bond</v>
      </c>
      <c r="C202" t="str">
        <f>IF(NOT(ISBLANK(A202)),VLOOKUP(A202,'BBT3'!A:F,3,0),"")</f>
        <v>US912810SN90</v>
      </c>
      <c r="D202" s="6">
        <f>IF(NOT(ISBLANK(A202)),VLOOKUP(A202,'BBT3'!A:F,4,1),"")</f>
        <v>1.25</v>
      </c>
      <c r="E202">
        <f>IF(NOT(ISBLANK(A202)),VLOOKUP(A202,'BBT3'!A:F,5,0),"")</f>
        <v>54923</v>
      </c>
      <c r="F202" t="str">
        <f>IF(NOT(ISBLANK(A202)),VLOOKUP(A202,'BBT3'!A:F,6,0),"")</f>
        <v>N</v>
      </c>
      <c r="G202">
        <f>IF(NOT(ISBLANK(A202)),VLOOKUP(A202,QW_Close!A:J,5,0),"")</f>
        <v>5.0988628095438998E-2</v>
      </c>
      <c r="H202" s="5" t="e" cm="1">
        <f t="array" ref="H202">IF(NOT(ISBLANK(A202)),((_xlfn.XLOOKUP(1,(_bbt3[[#All],[ID]]=A202)*(_bbt3[[#All],[METRIC_NAME]]="YLD_YTM_ASK"),_bbt3[[#All],[METRIC_VALUE]])*0.5)+(_xlfn.XLOOKUP(1,(_bbt3[[#All],[ID]]=A202)*(_bbt3[[#All],[METRIC_NAME]]="YLD_YTM_BID"),_bbt3[[#All],[METRIC_VALUE]])*0.5))/100,"")</f>
        <v>#N/A</v>
      </c>
      <c r="I202">
        <f>IF(ISNA(VLOOKUP(A202,QW_CloseDL!A:E,5,0)),0,VLOOKUP(A202,QW_CloseDL!A:E,5,0))</f>
        <v>5.0988628095438998E-2</v>
      </c>
      <c r="J202" s="8">
        <f t="shared" si="15"/>
        <v>0</v>
      </c>
      <c r="P202">
        <v>0</v>
      </c>
      <c r="Q202" t="e">
        <f t="shared" si="11"/>
        <v>#N/A</v>
      </c>
      <c r="R202" t="e">
        <f t="shared" si="12"/>
        <v>#N/A</v>
      </c>
      <c r="S202" s="9" t="e">
        <f t="shared" si="13"/>
        <v>#N/A</v>
      </c>
      <c r="T202" s="3" t="e">
        <f t="shared" si="14"/>
        <v>#N/A</v>
      </c>
    </row>
    <row r="203" spans="1:20" x14ac:dyDescent="0.35">
      <c r="A203" t="str">
        <v>912810SP4</v>
      </c>
      <c r="B203" t="str">
        <f>IF(NOT(ISBLANK(A203)),VLOOKUP(A203,'BBT3'!A:F,2,0),"")</f>
        <v>Bond</v>
      </c>
      <c r="C203" t="str">
        <f>IF(NOT(ISBLANK(A203)),VLOOKUP(A203,'BBT3'!A:F,3,0),"")</f>
        <v>US912810SP49</v>
      </c>
      <c r="D203" s="6">
        <f>IF(NOT(ISBLANK(A203)),VLOOKUP(A203,'BBT3'!A:F,4,1),"")</f>
        <v>1.375</v>
      </c>
      <c r="E203">
        <f>IF(NOT(ISBLANK(A203)),VLOOKUP(A203,'BBT3'!A:F,5,0),"")</f>
        <v>55015</v>
      </c>
      <c r="F203" t="str">
        <f>IF(NOT(ISBLANK(A203)),VLOOKUP(A203,'BBT3'!A:F,6,0),"")</f>
        <v>N</v>
      </c>
      <c r="G203">
        <f>IF(NOT(ISBLANK(A203)),VLOOKUP(A203,QW_Close!A:J,5,0),"")</f>
        <v>5.0990117893846901E-2</v>
      </c>
      <c r="H203" s="5" t="e" cm="1">
        <f t="array" ref="H203">IF(NOT(ISBLANK(A203)),((_xlfn.XLOOKUP(1,(_bbt3[[#All],[ID]]=A203)*(_bbt3[[#All],[METRIC_NAME]]="YLD_YTM_ASK"),_bbt3[[#All],[METRIC_VALUE]])*0.5)+(_xlfn.XLOOKUP(1,(_bbt3[[#All],[ID]]=A203)*(_bbt3[[#All],[METRIC_NAME]]="YLD_YTM_BID"),_bbt3[[#All],[METRIC_VALUE]])*0.5))/100,"")</f>
        <v>#N/A</v>
      </c>
      <c r="I203">
        <f>IF(ISNA(VLOOKUP(A203,QW_CloseDL!A:E,5,0)),0,VLOOKUP(A203,QW_CloseDL!A:E,5,0))</f>
        <v>5.0990117893846901E-2</v>
      </c>
      <c r="J203" s="8">
        <f t="shared" si="15"/>
        <v>0</v>
      </c>
      <c r="P203">
        <v>0</v>
      </c>
      <c r="Q203" t="e">
        <f t="shared" si="11"/>
        <v>#N/A</v>
      </c>
      <c r="R203" t="e">
        <f t="shared" si="12"/>
        <v>#N/A</v>
      </c>
      <c r="S203" s="9" t="e">
        <f t="shared" si="13"/>
        <v>#N/A</v>
      </c>
      <c r="T203" s="3" t="e">
        <f t="shared" si="14"/>
        <v>#N/A</v>
      </c>
    </row>
    <row r="204" spans="1:20" x14ac:dyDescent="0.35">
      <c r="A204" t="str">
        <v>912810SQ2</v>
      </c>
      <c r="B204" t="str">
        <f>IF(NOT(ISBLANK(A204)),VLOOKUP(A204,'BBT3'!A:F,2,0),"")</f>
        <v>Bond</v>
      </c>
      <c r="C204" t="str">
        <f>IF(NOT(ISBLANK(A204)),VLOOKUP(A204,'BBT3'!A:F,3,0),"")</f>
        <v>US912810SQ22</v>
      </c>
      <c r="D204" s="6">
        <f>IF(NOT(ISBLANK(A204)),VLOOKUP(A204,'BBT3'!A:F,4,1),"")</f>
        <v>1.125</v>
      </c>
      <c r="E204">
        <f>IF(NOT(ISBLANK(A204)),VLOOKUP(A204,'BBT3'!A:F,5,0),"")</f>
        <v>51363</v>
      </c>
      <c r="F204" t="str">
        <f>IF(NOT(ISBLANK(A204)),VLOOKUP(A204,'BBT3'!A:F,6,0),"")</f>
        <v>N</v>
      </c>
      <c r="G204">
        <f>IF(NOT(ISBLANK(A204)),VLOOKUP(A204,QW_Close!A:J,5,0),"")</f>
        <v>4.8458728533605999E-2</v>
      </c>
      <c r="H204" s="5" t="e" cm="1">
        <f t="array" ref="H204">IF(NOT(ISBLANK(A204)),((_xlfn.XLOOKUP(1,(_bbt3[[#All],[ID]]=A204)*(_bbt3[[#All],[METRIC_NAME]]="YLD_YTM_ASK"),_bbt3[[#All],[METRIC_VALUE]])*0.5)+(_xlfn.XLOOKUP(1,(_bbt3[[#All],[ID]]=A204)*(_bbt3[[#All],[METRIC_NAME]]="YLD_YTM_BID"),_bbt3[[#All],[METRIC_VALUE]])*0.5))/100,"")</f>
        <v>#N/A</v>
      </c>
      <c r="I204">
        <f>IF(ISNA(VLOOKUP(A204,QW_CloseDL!A:E,5,0)),0,VLOOKUP(A204,QW_CloseDL!A:E,5,0))</f>
        <v>4.8458728533605999E-2</v>
      </c>
      <c r="J204" s="8">
        <f t="shared" si="15"/>
        <v>0</v>
      </c>
      <c r="P204">
        <v>0</v>
      </c>
      <c r="Q204" t="e">
        <f t="shared" si="11"/>
        <v>#N/A</v>
      </c>
      <c r="R204" t="e">
        <f t="shared" si="12"/>
        <v>#N/A</v>
      </c>
      <c r="S204" s="9" t="e">
        <f t="shared" si="13"/>
        <v>#N/A</v>
      </c>
      <c r="T204" s="3" t="e">
        <f t="shared" si="14"/>
        <v>#N/A</v>
      </c>
    </row>
    <row r="205" spans="1:20" x14ac:dyDescent="0.35">
      <c r="A205" t="str">
        <v>912810SR0</v>
      </c>
      <c r="B205" t="str">
        <f>IF(NOT(ISBLANK(A205)),VLOOKUP(A205,'BBT3'!A:F,2,0),"")</f>
        <v>Bond</v>
      </c>
      <c r="C205" t="str">
        <f>IF(NOT(ISBLANK(A205)),VLOOKUP(A205,'BBT3'!A:F,3,0),"")</f>
        <v>US912810SR05</v>
      </c>
      <c r="D205" s="6">
        <f>IF(NOT(ISBLANK(A205)),VLOOKUP(A205,'BBT3'!A:F,4,1),"")</f>
        <v>1.125</v>
      </c>
      <c r="E205">
        <f>IF(NOT(ISBLANK(A205)),VLOOKUP(A205,'BBT3'!A:F,5,0),"")</f>
        <v>51271</v>
      </c>
      <c r="F205" t="str">
        <f>IF(NOT(ISBLANK(A205)),VLOOKUP(A205,'BBT3'!A:F,6,0),"")</f>
        <v>N</v>
      </c>
      <c r="G205">
        <f>IF(NOT(ISBLANK(A205)),VLOOKUP(A205,QW_Close!A:J,5,0),"")</f>
        <v>4.8224255922518902E-2</v>
      </c>
      <c r="H205" s="5" t="e" cm="1">
        <f t="array" ref="H205">IF(NOT(ISBLANK(A205)),((_xlfn.XLOOKUP(1,(_bbt3[[#All],[ID]]=A205)*(_bbt3[[#All],[METRIC_NAME]]="YLD_YTM_ASK"),_bbt3[[#All],[METRIC_VALUE]])*0.5)+(_xlfn.XLOOKUP(1,(_bbt3[[#All],[ID]]=A205)*(_bbt3[[#All],[METRIC_NAME]]="YLD_YTM_BID"),_bbt3[[#All],[METRIC_VALUE]])*0.5))/100,"")</f>
        <v>#N/A</v>
      </c>
      <c r="I205">
        <f>IF(ISNA(VLOOKUP(A205,QW_CloseDL!A:E,5,0)),0,VLOOKUP(A205,QW_CloseDL!A:E,5,0))</f>
        <v>4.8224255922518902E-2</v>
      </c>
      <c r="J205" s="8">
        <f t="shared" si="15"/>
        <v>0</v>
      </c>
      <c r="P205">
        <v>0</v>
      </c>
      <c r="Q205" t="e">
        <f t="shared" ref="Q205:Q268" si="16">VLOOKUP(P205,A:B,2,0)</f>
        <v>#N/A</v>
      </c>
      <c r="R205" t="e">
        <f t="shared" ref="R205:R268" si="17">VLOOKUP(P205,A:E,4,0)</f>
        <v>#N/A</v>
      </c>
      <c r="S205" s="9" t="e">
        <f t="shared" ref="S205:S268" si="18">VLOOKUP(P205,A:J,10,0)</f>
        <v>#N/A</v>
      </c>
      <c r="T205" s="3" t="e">
        <f t="shared" ref="T205:T268" si="19">VLOOKUP(P205,A:J,5,0)</f>
        <v>#N/A</v>
      </c>
    </row>
    <row r="206" spans="1:20" x14ac:dyDescent="0.35">
      <c r="A206" t="str">
        <v>912810SS8</v>
      </c>
      <c r="B206" t="str">
        <f>IF(NOT(ISBLANK(A206)),VLOOKUP(A206,'BBT3'!A:F,2,0),"")</f>
        <v>Bond</v>
      </c>
      <c r="C206" t="str">
        <f>IF(NOT(ISBLANK(A206)),VLOOKUP(A206,'BBT3'!A:F,3,0),"")</f>
        <v>US912810SS87</v>
      </c>
      <c r="D206" s="6">
        <f>IF(NOT(ISBLANK(A206)),VLOOKUP(A206,'BBT3'!A:F,4,1),"")</f>
        <v>1.625</v>
      </c>
      <c r="E206">
        <f>IF(NOT(ISBLANK(A206)),VLOOKUP(A206,'BBT3'!A:F,5,0),"")</f>
        <v>55107</v>
      </c>
      <c r="F206" t="str">
        <f>IF(NOT(ISBLANK(A206)),VLOOKUP(A206,'BBT3'!A:F,6,0),"")</f>
        <v>N</v>
      </c>
      <c r="G206">
        <f>IF(NOT(ISBLANK(A206)),VLOOKUP(A206,QW_Close!A:J,5,0),"")</f>
        <v>5.0975297855858498E-2</v>
      </c>
      <c r="H206" s="5" t="e" cm="1">
        <f t="array" ref="H206">IF(NOT(ISBLANK(A206)),((_xlfn.XLOOKUP(1,(_bbt3[[#All],[ID]]=A206)*(_bbt3[[#All],[METRIC_NAME]]="YLD_YTM_ASK"),_bbt3[[#All],[METRIC_VALUE]])*0.5)+(_xlfn.XLOOKUP(1,(_bbt3[[#All],[ID]]=A206)*(_bbt3[[#All],[METRIC_NAME]]="YLD_YTM_BID"),_bbt3[[#All],[METRIC_VALUE]])*0.5))/100,"")</f>
        <v>#N/A</v>
      </c>
      <c r="I206">
        <f>IF(ISNA(VLOOKUP(A206,QW_CloseDL!A:E,5,0)),0,VLOOKUP(A206,QW_CloseDL!A:E,5,0))</f>
        <v>5.0975297855858498E-2</v>
      </c>
      <c r="J206" s="8">
        <f t="shared" si="15"/>
        <v>0</v>
      </c>
      <c r="P206">
        <v>0</v>
      </c>
      <c r="Q206" t="e">
        <f t="shared" si="16"/>
        <v>#N/A</v>
      </c>
      <c r="R206" t="e">
        <f t="shared" si="17"/>
        <v>#N/A</v>
      </c>
      <c r="S206" s="9" t="e">
        <f t="shared" si="18"/>
        <v>#N/A</v>
      </c>
      <c r="T206" s="3" t="e">
        <f t="shared" si="19"/>
        <v>#N/A</v>
      </c>
    </row>
    <row r="207" spans="1:20" x14ac:dyDescent="0.35">
      <c r="A207" t="str">
        <v>912810ST6</v>
      </c>
      <c r="B207" t="str">
        <f>IF(NOT(ISBLANK(A207)),VLOOKUP(A207,'BBT3'!A:F,2,0),"")</f>
        <v>Bond</v>
      </c>
      <c r="C207" t="str">
        <f>IF(NOT(ISBLANK(A207)),VLOOKUP(A207,'BBT3'!A:F,3,0),"")</f>
        <v>US912810ST60</v>
      </c>
      <c r="D207" s="6">
        <f>IF(NOT(ISBLANK(A207)),VLOOKUP(A207,'BBT3'!A:F,4,1),"")</f>
        <v>1.375</v>
      </c>
      <c r="E207">
        <f>IF(NOT(ISBLANK(A207)),VLOOKUP(A207,'BBT3'!A:F,5,0),"")</f>
        <v>51455</v>
      </c>
      <c r="F207" t="str">
        <f>IF(NOT(ISBLANK(A207)),VLOOKUP(A207,'BBT3'!A:F,6,0),"")</f>
        <v>N</v>
      </c>
      <c r="G207">
        <f>IF(NOT(ISBLANK(A207)),VLOOKUP(A207,QW_Close!A:J,5,0),"")</f>
        <v>4.8578608635041799E-2</v>
      </c>
      <c r="H207" s="5" t="e" cm="1">
        <f t="array" ref="H207">IF(NOT(ISBLANK(A207)),((_xlfn.XLOOKUP(1,(_bbt3[[#All],[ID]]=A207)*(_bbt3[[#All],[METRIC_NAME]]="YLD_YTM_ASK"),_bbt3[[#All],[METRIC_VALUE]])*0.5)+(_xlfn.XLOOKUP(1,(_bbt3[[#All],[ID]]=A207)*(_bbt3[[#All],[METRIC_NAME]]="YLD_YTM_BID"),_bbt3[[#All],[METRIC_VALUE]])*0.5))/100,"")</f>
        <v>#N/A</v>
      </c>
      <c r="I207">
        <f>IF(ISNA(VLOOKUP(A207,QW_CloseDL!A:E,5,0)),0,VLOOKUP(A207,QW_CloseDL!A:E,5,0))</f>
        <v>4.8578608635041799E-2</v>
      </c>
      <c r="J207" s="8">
        <f t="shared" si="15"/>
        <v>0</v>
      </c>
      <c r="P207">
        <v>0</v>
      </c>
      <c r="Q207" t="e">
        <f t="shared" si="16"/>
        <v>#N/A</v>
      </c>
      <c r="R207" t="e">
        <f t="shared" si="17"/>
        <v>#N/A</v>
      </c>
      <c r="S207" s="9" t="e">
        <f t="shared" si="18"/>
        <v>#N/A</v>
      </c>
      <c r="T207" s="3" t="e">
        <f t="shared" si="19"/>
        <v>#N/A</v>
      </c>
    </row>
    <row r="208" spans="1:20" x14ac:dyDescent="0.35">
      <c r="A208" t="str">
        <v>912810SU3</v>
      </c>
      <c r="B208" t="str">
        <f>IF(NOT(ISBLANK(A208)),VLOOKUP(A208,'BBT3'!A:F,2,0),"")</f>
        <v>Bond</v>
      </c>
      <c r="C208" t="str">
        <f>IF(NOT(ISBLANK(A208)),VLOOKUP(A208,'BBT3'!A:F,3,0),"")</f>
        <v>US912810SU34</v>
      </c>
      <c r="D208" s="6">
        <f>IF(NOT(ISBLANK(A208)),VLOOKUP(A208,'BBT3'!A:F,4,1),"")</f>
        <v>1.875</v>
      </c>
      <c r="E208">
        <f>IF(NOT(ISBLANK(A208)),VLOOKUP(A208,'BBT3'!A:F,5,0),"")</f>
        <v>55199</v>
      </c>
      <c r="F208" t="str">
        <f>IF(NOT(ISBLANK(A208)),VLOOKUP(A208,'BBT3'!A:F,6,0),"")</f>
        <v>N</v>
      </c>
      <c r="G208">
        <f>IF(NOT(ISBLANK(A208)),VLOOKUP(A208,QW_Close!A:J,5,0),"")</f>
        <v>5.0919277621984102E-2</v>
      </c>
      <c r="H208" s="5" t="e" cm="1">
        <f t="array" ref="H208">IF(NOT(ISBLANK(A208)),((_xlfn.XLOOKUP(1,(_bbt3[[#All],[ID]]=A208)*(_bbt3[[#All],[METRIC_NAME]]="YLD_YTM_ASK"),_bbt3[[#All],[METRIC_VALUE]])*0.5)+(_xlfn.XLOOKUP(1,(_bbt3[[#All],[ID]]=A208)*(_bbt3[[#All],[METRIC_NAME]]="YLD_YTM_BID"),_bbt3[[#All],[METRIC_VALUE]])*0.5))/100,"")</f>
        <v>#N/A</v>
      </c>
      <c r="I208">
        <f>IF(ISNA(VLOOKUP(A208,QW_CloseDL!A:E,5,0)),0,VLOOKUP(A208,QW_CloseDL!A:E,5,0))</f>
        <v>5.0919277621984102E-2</v>
      </c>
      <c r="J208" s="8">
        <f t="shared" si="15"/>
        <v>0</v>
      </c>
      <c r="P208">
        <v>0</v>
      </c>
      <c r="Q208" t="e">
        <f t="shared" si="16"/>
        <v>#N/A</v>
      </c>
      <c r="R208" t="e">
        <f t="shared" si="17"/>
        <v>#N/A</v>
      </c>
      <c r="S208" s="9" t="e">
        <f t="shared" si="18"/>
        <v>#N/A</v>
      </c>
      <c r="T208" s="3" t="e">
        <f t="shared" si="19"/>
        <v>#N/A</v>
      </c>
    </row>
    <row r="209" spans="1:20" x14ac:dyDescent="0.35">
      <c r="A209" t="str">
        <v>912810SV1</v>
      </c>
      <c r="B209" t="str">
        <f>IF(NOT(ISBLANK(A209)),VLOOKUP(A209,'BBT3'!A:F,2,0),"")</f>
        <v>Bond</v>
      </c>
      <c r="C209" t="str">
        <f>IF(NOT(ISBLANK(A209)),VLOOKUP(A209,'BBT3'!A:F,3,0),"")</f>
        <v>US912810SV17</v>
      </c>
      <c r="D209" s="6">
        <f>IF(NOT(ISBLANK(A209)),VLOOKUP(A209,'BBT3'!A:F,4,1),"")</f>
        <v>0.125</v>
      </c>
      <c r="E209">
        <f>IF(NOT(ISBLANK(A209)),VLOOKUP(A209,'BBT3'!A:F,5,0),"")</f>
        <v>55199</v>
      </c>
      <c r="F209" t="str">
        <f>IF(NOT(ISBLANK(A209)),VLOOKUP(A209,'BBT3'!A:F,6,0),"")</f>
        <v>Y</v>
      </c>
      <c r="G209">
        <f>IF(NOT(ISBLANK(A209)),VLOOKUP(A209,QW_Close!A:J,5,0),"")</f>
        <v>2.7369205613340001E-2</v>
      </c>
      <c r="H209" s="5" t="e" cm="1">
        <f t="array" ref="H209">IF(NOT(ISBLANK(A209)),((_xlfn.XLOOKUP(1,(_bbt3[[#All],[ID]]=A209)*(_bbt3[[#All],[METRIC_NAME]]="YLD_YTM_ASK"),_bbt3[[#All],[METRIC_VALUE]])*0.5)+(_xlfn.XLOOKUP(1,(_bbt3[[#All],[ID]]=A209)*(_bbt3[[#All],[METRIC_NAME]]="YLD_YTM_BID"),_bbt3[[#All],[METRIC_VALUE]])*0.5))/100,"")</f>
        <v>#N/A</v>
      </c>
      <c r="I209">
        <f>IF(ISNA(VLOOKUP(A209,QW_CloseDL!A:E,5,0)),0,VLOOKUP(A209,QW_CloseDL!A:E,5,0))</f>
        <v>2.7369207582243101E-2</v>
      </c>
      <c r="J209" s="8">
        <f t="shared" si="15"/>
        <v>1.9689030995861945E-5</v>
      </c>
      <c r="P209">
        <v>0</v>
      </c>
      <c r="Q209" t="e">
        <f t="shared" si="16"/>
        <v>#N/A</v>
      </c>
      <c r="R209" t="e">
        <f t="shared" si="17"/>
        <v>#N/A</v>
      </c>
      <c r="S209" s="9" t="e">
        <f t="shared" si="18"/>
        <v>#N/A</v>
      </c>
      <c r="T209" s="3" t="e">
        <f t="shared" si="19"/>
        <v>#N/A</v>
      </c>
    </row>
    <row r="210" spans="1:20" x14ac:dyDescent="0.35">
      <c r="A210" t="str">
        <v>912810SW9</v>
      </c>
      <c r="B210" t="str">
        <f>IF(NOT(ISBLANK(A210)),VLOOKUP(A210,'BBT3'!A:F,2,0),"")</f>
        <v>Bond</v>
      </c>
      <c r="C210" t="str">
        <f>IF(NOT(ISBLANK(A210)),VLOOKUP(A210,'BBT3'!A:F,3,0),"")</f>
        <v>US912810SW99</v>
      </c>
      <c r="D210" s="6">
        <f>IF(NOT(ISBLANK(A210)),VLOOKUP(A210,'BBT3'!A:F,4,1),"")</f>
        <v>1.875</v>
      </c>
      <c r="E210">
        <f>IF(NOT(ISBLANK(A210)),VLOOKUP(A210,'BBT3'!A:F,5,0),"")</f>
        <v>51547</v>
      </c>
      <c r="F210" t="str">
        <f>IF(NOT(ISBLANK(A210)),VLOOKUP(A210,'BBT3'!A:F,6,0),"")</f>
        <v>N</v>
      </c>
      <c r="G210">
        <f>IF(NOT(ISBLANK(A210)),VLOOKUP(A210,QW_Close!A:J,5,0),"")</f>
        <v>4.86073493260347E-2</v>
      </c>
      <c r="H210" s="5" t="e" cm="1">
        <f t="array" ref="H210">IF(NOT(ISBLANK(A210)),((_xlfn.XLOOKUP(1,(_bbt3[[#All],[ID]]=A210)*(_bbt3[[#All],[METRIC_NAME]]="YLD_YTM_ASK"),_bbt3[[#All],[METRIC_VALUE]])*0.5)+(_xlfn.XLOOKUP(1,(_bbt3[[#All],[ID]]=A210)*(_bbt3[[#All],[METRIC_NAME]]="YLD_YTM_BID"),_bbt3[[#All],[METRIC_VALUE]])*0.5))/100,"")</f>
        <v>#N/A</v>
      </c>
      <c r="I210">
        <f>IF(ISNA(VLOOKUP(A210,QW_CloseDL!A:E,5,0)),0,VLOOKUP(A210,QW_CloseDL!A:E,5,0))</f>
        <v>4.86073493260347E-2</v>
      </c>
      <c r="J210" s="8">
        <f t="shared" si="15"/>
        <v>0</v>
      </c>
      <c r="P210">
        <v>0</v>
      </c>
      <c r="Q210" t="e">
        <f t="shared" si="16"/>
        <v>#N/A</v>
      </c>
      <c r="R210" t="e">
        <f t="shared" si="17"/>
        <v>#N/A</v>
      </c>
      <c r="S210" s="9" t="e">
        <f t="shared" si="18"/>
        <v>#N/A</v>
      </c>
      <c r="T210" s="3" t="e">
        <f t="shared" si="19"/>
        <v>#N/A</v>
      </c>
    </row>
    <row r="211" spans="1:20" x14ac:dyDescent="0.35">
      <c r="A211" t="str">
        <v>912810SX7</v>
      </c>
      <c r="B211" t="str">
        <f>IF(NOT(ISBLANK(A211)),VLOOKUP(A211,'BBT3'!A:F,2,0),"")</f>
        <v>Bond</v>
      </c>
      <c r="C211" t="str">
        <f>IF(NOT(ISBLANK(A211)),VLOOKUP(A211,'BBT3'!A:F,3,0),"")</f>
        <v>US912810SX72</v>
      </c>
      <c r="D211" s="6">
        <f>IF(NOT(ISBLANK(A211)),VLOOKUP(A211,'BBT3'!A:F,4,1),"")</f>
        <v>2.375</v>
      </c>
      <c r="E211">
        <f>IF(NOT(ISBLANK(A211)),VLOOKUP(A211,'BBT3'!A:F,5,0),"")</f>
        <v>55288</v>
      </c>
      <c r="F211" t="str">
        <f>IF(NOT(ISBLANK(A211)),VLOOKUP(A211,'BBT3'!A:F,6,0),"")</f>
        <v>N</v>
      </c>
      <c r="G211">
        <f>IF(NOT(ISBLANK(A211)),VLOOKUP(A211,QW_Close!A:J,5,0),"")</f>
        <v>5.0779581662804697E-2</v>
      </c>
      <c r="H211" s="5" t="e" cm="1">
        <f t="array" ref="H211">IF(NOT(ISBLANK(A211)),((_xlfn.XLOOKUP(1,(_bbt3[[#All],[ID]]=A211)*(_bbt3[[#All],[METRIC_NAME]]="YLD_YTM_ASK"),_bbt3[[#All],[METRIC_VALUE]])*0.5)+(_xlfn.XLOOKUP(1,(_bbt3[[#All],[ID]]=A211)*(_bbt3[[#All],[METRIC_NAME]]="YLD_YTM_BID"),_bbt3[[#All],[METRIC_VALUE]])*0.5))/100,"")</f>
        <v>#N/A</v>
      </c>
      <c r="I211">
        <f>IF(ISNA(VLOOKUP(A211,QW_CloseDL!A:E,5,0)),0,VLOOKUP(A211,QW_CloseDL!A:E,5,0))</f>
        <v>5.0779581662804697E-2</v>
      </c>
      <c r="J211" s="8">
        <f t="shared" si="15"/>
        <v>0</v>
      </c>
      <c r="P211">
        <v>0</v>
      </c>
      <c r="Q211" t="e">
        <f t="shared" si="16"/>
        <v>#N/A</v>
      </c>
      <c r="R211" t="e">
        <f t="shared" si="17"/>
        <v>#N/A</v>
      </c>
      <c r="S211" s="9" t="e">
        <f t="shared" si="18"/>
        <v>#N/A</v>
      </c>
      <c r="T211" s="3" t="e">
        <f t="shared" si="19"/>
        <v>#N/A</v>
      </c>
    </row>
    <row r="212" spans="1:20" x14ac:dyDescent="0.35">
      <c r="A212" t="str">
        <v>912810SY5</v>
      </c>
      <c r="B212" t="str">
        <f>IF(NOT(ISBLANK(A212)),VLOOKUP(A212,'BBT3'!A:F,2,0),"")</f>
        <v>Bond</v>
      </c>
      <c r="C212" t="str">
        <f>IF(NOT(ISBLANK(A212)),VLOOKUP(A212,'BBT3'!A:F,3,0),"")</f>
        <v>US912810SY55</v>
      </c>
      <c r="D212" s="6">
        <f>IF(NOT(ISBLANK(A212)),VLOOKUP(A212,'BBT3'!A:F,4,1),"")</f>
        <v>2.25</v>
      </c>
      <c r="E212">
        <f>IF(NOT(ISBLANK(A212)),VLOOKUP(A212,'BBT3'!A:F,5,0),"")</f>
        <v>51636</v>
      </c>
      <c r="F212" t="str">
        <f>IF(NOT(ISBLANK(A212)),VLOOKUP(A212,'BBT3'!A:F,6,0),"")</f>
        <v>N</v>
      </c>
      <c r="G212">
        <f>IF(NOT(ISBLANK(A212)),VLOOKUP(A212,QW_Close!A:J,5,0),"")</f>
        <v>4.8653468978009401E-2</v>
      </c>
      <c r="H212" s="5" t="e" cm="1">
        <f t="array" ref="H212">IF(NOT(ISBLANK(A212)),((_xlfn.XLOOKUP(1,(_bbt3[[#All],[ID]]=A212)*(_bbt3[[#All],[METRIC_NAME]]="YLD_YTM_ASK"),_bbt3[[#All],[METRIC_VALUE]])*0.5)+(_xlfn.XLOOKUP(1,(_bbt3[[#All],[ID]]=A212)*(_bbt3[[#All],[METRIC_NAME]]="YLD_YTM_BID"),_bbt3[[#All],[METRIC_VALUE]])*0.5))/100,"")</f>
        <v>#N/A</v>
      </c>
      <c r="I212">
        <f>IF(ISNA(VLOOKUP(A212,QW_CloseDL!A:E,5,0)),0,VLOOKUP(A212,QW_CloseDL!A:E,5,0))</f>
        <v>4.8653468978009401E-2</v>
      </c>
      <c r="J212" s="8">
        <f t="shared" si="15"/>
        <v>0</v>
      </c>
      <c r="P212">
        <v>0</v>
      </c>
      <c r="Q212" t="e">
        <f t="shared" si="16"/>
        <v>#N/A</v>
      </c>
      <c r="R212" t="e">
        <f t="shared" si="17"/>
        <v>#N/A</v>
      </c>
      <c r="S212" s="9" t="e">
        <f t="shared" si="18"/>
        <v>#N/A</v>
      </c>
      <c r="T212" s="3" t="e">
        <f t="shared" si="19"/>
        <v>#N/A</v>
      </c>
    </row>
    <row r="213" spans="1:20" x14ac:dyDescent="0.35">
      <c r="A213" t="str">
        <v>912810SZ2</v>
      </c>
      <c r="B213" t="str">
        <f>IF(NOT(ISBLANK(A213)),VLOOKUP(A213,'BBT3'!A:F,2,0),"")</f>
        <v>Bond</v>
      </c>
      <c r="C213" t="str">
        <f>IF(NOT(ISBLANK(A213)),VLOOKUP(A213,'BBT3'!A:F,3,0),"")</f>
        <v>US912810SZ21</v>
      </c>
      <c r="D213" s="6">
        <f>IF(NOT(ISBLANK(A213)),VLOOKUP(A213,'BBT3'!A:F,4,1),"")</f>
        <v>2</v>
      </c>
      <c r="E213">
        <f>IF(NOT(ISBLANK(A213)),VLOOKUP(A213,'BBT3'!A:F,5,0),"")</f>
        <v>55380</v>
      </c>
      <c r="F213" t="str">
        <f>IF(NOT(ISBLANK(A213)),VLOOKUP(A213,'BBT3'!A:F,6,0),"")</f>
        <v>N</v>
      </c>
      <c r="G213">
        <f>IF(NOT(ISBLANK(A213)),VLOOKUP(A213,QW_Close!A:J,5,0),"")</f>
        <v>5.0852656214904403E-2</v>
      </c>
      <c r="H213" s="5" t="e" cm="1">
        <f t="array" ref="H213">IF(NOT(ISBLANK(A213)),((_xlfn.XLOOKUP(1,(_bbt3[[#All],[ID]]=A213)*(_bbt3[[#All],[METRIC_NAME]]="YLD_YTM_ASK"),_bbt3[[#All],[METRIC_VALUE]])*0.5)+(_xlfn.XLOOKUP(1,(_bbt3[[#All],[ID]]=A213)*(_bbt3[[#All],[METRIC_NAME]]="YLD_YTM_BID"),_bbt3[[#All],[METRIC_VALUE]])*0.5))/100,"")</f>
        <v>#N/A</v>
      </c>
      <c r="I213">
        <f>IF(ISNA(VLOOKUP(A213,QW_CloseDL!A:E,5,0)),0,VLOOKUP(A213,QW_CloseDL!A:E,5,0))</f>
        <v>5.0852656214904403E-2</v>
      </c>
      <c r="J213" s="8">
        <f t="shared" si="15"/>
        <v>0</v>
      </c>
      <c r="P213">
        <v>0</v>
      </c>
      <c r="Q213" t="e">
        <f t="shared" si="16"/>
        <v>#N/A</v>
      </c>
      <c r="R213" t="e">
        <f t="shared" si="17"/>
        <v>#N/A</v>
      </c>
      <c r="S213" s="9" t="e">
        <f t="shared" si="18"/>
        <v>#N/A</v>
      </c>
      <c r="T213" s="3" t="e">
        <f t="shared" si="19"/>
        <v>#N/A</v>
      </c>
    </row>
    <row r="214" spans="1:20" x14ac:dyDescent="0.35">
      <c r="A214" t="str">
        <v>912810TA6</v>
      </c>
      <c r="B214" t="str">
        <f>IF(NOT(ISBLANK(A214)),VLOOKUP(A214,'BBT3'!A:F,2,0),"")</f>
        <v>Bond</v>
      </c>
      <c r="C214" t="str">
        <f>IF(NOT(ISBLANK(A214)),VLOOKUP(A214,'BBT3'!A:F,3,0),"")</f>
        <v>US912810TA60</v>
      </c>
      <c r="D214" s="6">
        <f>IF(NOT(ISBLANK(A214)),VLOOKUP(A214,'BBT3'!A:F,4,1),"")</f>
        <v>1.75</v>
      </c>
      <c r="E214">
        <f>IF(NOT(ISBLANK(A214)),VLOOKUP(A214,'BBT3'!A:F,5,0),"")</f>
        <v>51728</v>
      </c>
      <c r="F214" t="str">
        <f>IF(NOT(ISBLANK(A214)),VLOOKUP(A214,'BBT3'!A:F,6,0),"")</f>
        <v>N</v>
      </c>
      <c r="G214">
        <f>IF(NOT(ISBLANK(A214)),VLOOKUP(A214,QW_Close!A:J,5,0),"")</f>
        <v>4.8955600912036899E-2</v>
      </c>
      <c r="H214" s="5" t="e" cm="1">
        <f t="array" ref="H214">IF(NOT(ISBLANK(A214)),((_xlfn.XLOOKUP(1,(_bbt3[[#All],[ID]]=A214)*(_bbt3[[#All],[METRIC_NAME]]="YLD_YTM_ASK"),_bbt3[[#All],[METRIC_VALUE]])*0.5)+(_xlfn.XLOOKUP(1,(_bbt3[[#All],[ID]]=A214)*(_bbt3[[#All],[METRIC_NAME]]="YLD_YTM_BID"),_bbt3[[#All],[METRIC_VALUE]])*0.5))/100,"")</f>
        <v>#N/A</v>
      </c>
      <c r="I214">
        <f>IF(ISNA(VLOOKUP(A214,QW_CloseDL!A:E,5,0)),0,VLOOKUP(A214,QW_CloseDL!A:E,5,0))</f>
        <v>4.8955600912036899E-2</v>
      </c>
      <c r="J214" s="8">
        <f t="shared" si="15"/>
        <v>0</v>
      </c>
      <c r="P214">
        <v>0</v>
      </c>
      <c r="Q214" t="e">
        <f t="shared" si="16"/>
        <v>#N/A</v>
      </c>
      <c r="R214" t="e">
        <f t="shared" si="17"/>
        <v>#N/A</v>
      </c>
      <c r="S214" s="9" t="e">
        <f t="shared" si="18"/>
        <v>#N/A</v>
      </c>
      <c r="T214" s="3" t="e">
        <f t="shared" si="19"/>
        <v>#N/A</v>
      </c>
    </row>
    <row r="215" spans="1:20" x14ac:dyDescent="0.35">
      <c r="A215" t="str">
        <v>912810TB4</v>
      </c>
      <c r="B215" t="str">
        <f>IF(NOT(ISBLANK(A215)),VLOOKUP(A215,'BBT3'!A:F,2,0),"")</f>
        <v>Bond</v>
      </c>
      <c r="C215" t="str">
        <f>IF(NOT(ISBLANK(A215)),VLOOKUP(A215,'BBT3'!A:F,3,0),"")</f>
        <v>US912810TB44</v>
      </c>
      <c r="D215" s="6">
        <f>IF(NOT(ISBLANK(A215)),VLOOKUP(A215,'BBT3'!A:F,4,1),"")</f>
        <v>1.875</v>
      </c>
      <c r="E215">
        <f>IF(NOT(ISBLANK(A215)),VLOOKUP(A215,'BBT3'!A:F,5,0),"")</f>
        <v>55472</v>
      </c>
      <c r="F215" t="str">
        <f>IF(NOT(ISBLANK(A215)),VLOOKUP(A215,'BBT3'!A:F,6,0),"")</f>
        <v>N</v>
      </c>
      <c r="G215">
        <f>IF(NOT(ISBLANK(A215)),VLOOKUP(A215,QW_Close!A:J,5,0),"")</f>
        <v>5.0863176286540697E-2</v>
      </c>
      <c r="H215" s="5" t="e" cm="1">
        <f t="array" ref="H215">IF(NOT(ISBLANK(A215)),((_xlfn.XLOOKUP(1,(_bbt3[[#All],[ID]]=A215)*(_bbt3[[#All],[METRIC_NAME]]="YLD_YTM_ASK"),_bbt3[[#All],[METRIC_VALUE]])*0.5)+(_xlfn.XLOOKUP(1,(_bbt3[[#All],[ID]]=A215)*(_bbt3[[#All],[METRIC_NAME]]="YLD_YTM_BID"),_bbt3[[#All],[METRIC_VALUE]])*0.5))/100,"")</f>
        <v>#N/A</v>
      </c>
      <c r="I215">
        <f>IF(ISNA(VLOOKUP(A215,QW_CloseDL!A:E,5,0)),0,VLOOKUP(A215,QW_CloseDL!A:E,5,0))</f>
        <v>5.0863176286540697E-2</v>
      </c>
      <c r="J215" s="8">
        <f t="shared" si="15"/>
        <v>0</v>
      </c>
      <c r="P215">
        <v>0</v>
      </c>
      <c r="Q215" t="e">
        <f t="shared" si="16"/>
        <v>#N/A</v>
      </c>
      <c r="R215" t="e">
        <f t="shared" si="17"/>
        <v>#N/A</v>
      </c>
      <c r="S215" s="9" t="e">
        <f t="shared" si="18"/>
        <v>#N/A</v>
      </c>
      <c r="T215" s="3" t="e">
        <f t="shared" si="19"/>
        <v>#N/A</v>
      </c>
    </row>
    <row r="216" spans="1:20" x14ac:dyDescent="0.35">
      <c r="A216" t="str">
        <v>912810TC2</v>
      </c>
      <c r="B216" t="str">
        <f>IF(NOT(ISBLANK(A216)),VLOOKUP(A216,'BBT3'!A:F,2,0),"")</f>
        <v>Bond</v>
      </c>
      <c r="C216" t="str">
        <f>IF(NOT(ISBLANK(A216)),VLOOKUP(A216,'BBT3'!A:F,3,0),"")</f>
        <v>US912810TC27</v>
      </c>
      <c r="D216" s="6">
        <f>IF(NOT(ISBLANK(A216)),VLOOKUP(A216,'BBT3'!A:F,4,1),"")</f>
        <v>2</v>
      </c>
      <c r="E216">
        <f>IF(NOT(ISBLANK(A216)),VLOOKUP(A216,'BBT3'!A:F,5,0),"")</f>
        <v>51820</v>
      </c>
      <c r="F216" t="str">
        <f>IF(NOT(ISBLANK(A216)),VLOOKUP(A216,'BBT3'!A:F,6,0),"")</f>
        <v>N</v>
      </c>
      <c r="G216">
        <f>IF(NOT(ISBLANK(A216)),VLOOKUP(A216,QW_Close!A:J,5,0),"")</f>
        <v>4.9049118054677397E-2</v>
      </c>
      <c r="H216" s="5" t="e" cm="1">
        <f t="array" ref="H216">IF(NOT(ISBLANK(A216)),((_xlfn.XLOOKUP(1,(_bbt3[[#All],[ID]]=A216)*(_bbt3[[#All],[METRIC_NAME]]="YLD_YTM_ASK"),_bbt3[[#All],[METRIC_VALUE]])*0.5)+(_xlfn.XLOOKUP(1,(_bbt3[[#All],[ID]]=A216)*(_bbt3[[#All],[METRIC_NAME]]="YLD_YTM_BID"),_bbt3[[#All],[METRIC_VALUE]])*0.5))/100,"")</f>
        <v>#N/A</v>
      </c>
      <c r="I216">
        <f>IF(ISNA(VLOOKUP(A216,QW_CloseDL!A:E,5,0)),0,VLOOKUP(A216,QW_CloseDL!A:E,5,0))</f>
        <v>4.9049118054677397E-2</v>
      </c>
      <c r="J216" s="8">
        <f t="shared" si="15"/>
        <v>0</v>
      </c>
      <c r="P216">
        <v>0</v>
      </c>
      <c r="Q216" t="e">
        <f t="shared" si="16"/>
        <v>#N/A</v>
      </c>
      <c r="R216" t="e">
        <f t="shared" si="17"/>
        <v>#N/A</v>
      </c>
      <c r="S216" s="9" t="e">
        <f t="shared" si="18"/>
        <v>#N/A</v>
      </c>
      <c r="T216" s="3" t="e">
        <f t="shared" si="19"/>
        <v>#N/A</v>
      </c>
    </row>
    <row r="217" spans="1:20" x14ac:dyDescent="0.35">
      <c r="A217" t="str">
        <v>912810TD0</v>
      </c>
      <c r="B217" t="str">
        <f>IF(NOT(ISBLANK(A217)),VLOOKUP(A217,'BBT3'!A:F,2,0),"")</f>
        <v>Bond</v>
      </c>
      <c r="C217" t="str">
        <f>IF(NOT(ISBLANK(A217)),VLOOKUP(A217,'BBT3'!A:F,3,0),"")</f>
        <v>US912810TD00</v>
      </c>
      <c r="D217" s="6">
        <f>IF(NOT(ISBLANK(A217)),VLOOKUP(A217,'BBT3'!A:F,4,1),"")</f>
        <v>2.25</v>
      </c>
      <c r="E217">
        <f>IF(NOT(ISBLANK(A217)),VLOOKUP(A217,'BBT3'!A:F,5,0),"")</f>
        <v>55564</v>
      </c>
      <c r="F217" t="str">
        <f>IF(NOT(ISBLANK(A217)),VLOOKUP(A217,'BBT3'!A:F,6,0),"")</f>
        <v>N</v>
      </c>
      <c r="G217">
        <f>IF(NOT(ISBLANK(A217)),VLOOKUP(A217,QW_Close!A:J,5,0),"")</f>
        <v>5.0758360308120899E-2</v>
      </c>
      <c r="H217" s="5" t="e" cm="1">
        <f t="array" ref="H217">IF(NOT(ISBLANK(A217)),((_xlfn.XLOOKUP(1,(_bbt3[[#All],[ID]]=A217)*(_bbt3[[#All],[METRIC_NAME]]="YLD_YTM_ASK"),_bbt3[[#All],[METRIC_VALUE]])*0.5)+(_xlfn.XLOOKUP(1,(_bbt3[[#All],[ID]]=A217)*(_bbt3[[#All],[METRIC_NAME]]="YLD_YTM_BID"),_bbt3[[#All],[METRIC_VALUE]])*0.5))/100,"")</f>
        <v>#N/A</v>
      </c>
      <c r="I217">
        <f>IF(ISNA(VLOOKUP(A217,QW_CloseDL!A:E,5,0)),0,VLOOKUP(A217,QW_CloseDL!A:E,5,0))</f>
        <v>5.0758360308120899E-2</v>
      </c>
      <c r="J217" s="8">
        <f t="shared" si="15"/>
        <v>0</v>
      </c>
      <c r="P217">
        <v>0</v>
      </c>
      <c r="Q217" t="e">
        <f t="shared" si="16"/>
        <v>#N/A</v>
      </c>
      <c r="R217" t="e">
        <f t="shared" si="17"/>
        <v>#N/A</v>
      </c>
      <c r="S217" s="9" t="e">
        <f t="shared" si="18"/>
        <v>#N/A</v>
      </c>
      <c r="T217" s="3" t="e">
        <f t="shared" si="19"/>
        <v>#N/A</v>
      </c>
    </row>
    <row r="218" spans="1:20" x14ac:dyDescent="0.35">
      <c r="A218" t="str">
        <v>912810TE8</v>
      </c>
      <c r="B218" t="str">
        <f>IF(NOT(ISBLANK(A218)),VLOOKUP(A218,'BBT3'!A:F,2,0),"")</f>
        <v>Bond</v>
      </c>
      <c r="C218" t="str">
        <f>IF(NOT(ISBLANK(A218)),VLOOKUP(A218,'BBT3'!A:F,3,0),"")</f>
        <v>US912810TE82</v>
      </c>
      <c r="D218" s="6">
        <f>IF(NOT(ISBLANK(A218)),VLOOKUP(A218,'BBT3'!A:F,4,1),"")</f>
        <v>0.125</v>
      </c>
      <c r="E218">
        <f>IF(NOT(ISBLANK(A218)),VLOOKUP(A218,'BBT3'!A:F,5,0),"")</f>
        <v>55564</v>
      </c>
      <c r="F218" t="str">
        <f>IF(NOT(ISBLANK(A218)),VLOOKUP(A218,'BBT3'!A:F,6,0),"")</f>
        <v>Y</v>
      </c>
      <c r="G218">
        <f>IF(NOT(ISBLANK(A218)),VLOOKUP(A218,QW_Close!A:J,5,0),"")</f>
        <v>2.71971536687153E-2</v>
      </c>
      <c r="H218" s="5" t="e" cm="1">
        <f t="array" ref="H218">IF(NOT(ISBLANK(A218)),((_xlfn.XLOOKUP(1,(_bbt3[[#All],[ID]]=A218)*(_bbt3[[#All],[METRIC_NAME]]="YLD_YTM_ASK"),_bbt3[[#All],[METRIC_VALUE]])*0.5)+(_xlfn.XLOOKUP(1,(_bbt3[[#All],[ID]]=A218)*(_bbt3[[#All],[METRIC_NAME]]="YLD_YTM_BID"),_bbt3[[#All],[METRIC_VALUE]])*0.5))/100,"")</f>
        <v>#N/A</v>
      </c>
      <c r="I218">
        <f>IF(ISNA(VLOOKUP(A218,QW_CloseDL!A:E,5,0)),0,VLOOKUP(A218,QW_CloseDL!A:E,5,0))</f>
        <v>2.71971536687153E-2</v>
      </c>
      <c r="J218" s="8">
        <f t="shared" si="15"/>
        <v>0</v>
      </c>
      <c r="P218">
        <v>0</v>
      </c>
      <c r="Q218" t="e">
        <f t="shared" si="16"/>
        <v>#N/A</v>
      </c>
      <c r="R218" t="e">
        <f t="shared" si="17"/>
        <v>#N/A</v>
      </c>
      <c r="S218" s="9" t="e">
        <f t="shared" si="18"/>
        <v>#N/A</v>
      </c>
      <c r="T218" s="3" t="e">
        <f t="shared" si="19"/>
        <v>#N/A</v>
      </c>
    </row>
    <row r="219" spans="1:20" x14ac:dyDescent="0.35">
      <c r="A219" t="str">
        <v>912810TF5</v>
      </c>
      <c r="B219" t="str">
        <f>IF(NOT(ISBLANK(A219)),VLOOKUP(A219,'BBT3'!A:F,2,0),"")</f>
        <v>Bond</v>
      </c>
      <c r="C219" t="str">
        <f>IF(NOT(ISBLANK(A219)),VLOOKUP(A219,'BBT3'!A:F,3,0),"")</f>
        <v>US912810TF57</v>
      </c>
      <c r="D219" s="6">
        <f>IF(NOT(ISBLANK(A219)),VLOOKUP(A219,'BBT3'!A:F,4,1),"")</f>
        <v>2.375</v>
      </c>
      <c r="E219">
        <f>IF(NOT(ISBLANK(A219)),VLOOKUP(A219,'BBT3'!A:F,5,0),"")</f>
        <v>51912</v>
      </c>
      <c r="F219" t="str">
        <f>IF(NOT(ISBLANK(A219)),VLOOKUP(A219,'BBT3'!A:F,6,0),"")</f>
        <v>N</v>
      </c>
      <c r="G219">
        <f>IF(NOT(ISBLANK(A219)),VLOOKUP(A219,QW_Close!A:J,5,0),"")</f>
        <v>4.9111944470199301E-2</v>
      </c>
      <c r="H219" s="5" t="e" cm="1">
        <f t="array" ref="H219">IF(NOT(ISBLANK(A219)),((_xlfn.XLOOKUP(1,(_bbt3[[#All],[ID]]=A219)*(_bbt3[[#All],[METRIC_NAME]]="YLD_YTM_ASK"),_bbt3[[#All],[METRIC_VALUE]])*0.5)+(_xlfn.XLOOKUP(1,(_bbt3[[#All],[ID]]=A219)*(_bbt3[[#All],[METRIC_NAME]]="YLD_YTM_BID"),_bbt3[[#All],[METRIC_VALUE]])*0.5))/100,"")</f>
        <v>#N/A</v>
      </c>
      <c r="I219">
        <f>IF(ISNA(VLOOKUP(A219,QW_CloseDL!A:E,5,0)),0,VLOOKUP(A219,QW_CloseDL!A:E,5,0))</f>
        <v>4.9111944470199301E-2</v>
      </c>
      <c r="J219" s="8">
        <f t="shared" si="15"/>
        <v>0</v>
      </c>
      <c r="P219">
        <v>0</v>
      </c>
      <c r="Q219" t="e">
        <f t="shared" si="16"/>
        <v>#N/A</v>
      </c>
      <c r="R219" t="e">
        <f t="shared" si="17"/>
        <v>#N/A</v>
      </c>
      <c r="S219" s="9" t="e">
        <f t="shared" si="18"/>
        <v>#N/A</v>
      </c>
      <c r="T219" s="3" t="e">
        <f t="shared" si="19"/>
        <v>#N/A</v>
      </c>
    </row>
    <row r="220" spans="1:20" x14ac:dyDescent="0.35">
      <c r="A220" t="str">
        <v>912810TG3</v>
      </c>
      <c r="B220" t="str">
        <f>IF(NOT(ISBLANK(A220)),VLOOKUP(A220,'BBT3'!A:F,2,0),"")</f>
        <v>Bond</v>
      </c>
      <c r="C220" t="str">
        <f>IF(NOT(ISBLANK(A220)),VLOOKUP(A220,'BBT3'!A:F,3,0),"")</f>
        <v>US912810TG31</v>
      </c>
      <c r="D220" s="6">
        <f>IF(NOT(ISBLANK(A220)),VLOOKUP(A220,'BBT3'!A:F,4,1),"")</f>
        <v>2.875</v>
      </c>
      <c r="E220">
        <f>IF(NOT(ISBLANK(A220)),VLOOKUP(A220,'BBT3'!A:F,5,0),"")</f>
        <v>55654</v>
      </c>
      <c r="F220" t="str">
        <f>IF(NOT(ISBLANK(A220)),VLOOKUP(A220,'BBT3'!A:F,6,0),"")</f>
        <v>N</v>
      </c>
      <c r="G220">
        <f>IF(NOT(ISBLANK(A220)),VLOOKUP(A220,QW_Close!A:J,5,0),"")</f>
        <v>5.0595189994164597E-2</v>
      </c>
      <c r="H220" s="5" t="e" cm="1">
        <f t="array" ref="H220">IF(NOT(ISBLANK(A220)),((_xlfn.XLOOKUP(1,(_bbt3[[#All],[ID]]=A220)*(_bbt3[[#All],[METRIC_NAME]]="YLD_YTM_ASK"),_bbt3[[#All],[METRIC_VALUE]])*0.5)+(_xlfn.XLOOKUP(1,(_bbt3[[#All],[ID]]=A220)*(_bbt3[[#All],[METRIC_NAME]]="YLD_YTM_BID"),_bbt3[[#All],[METRIC_VALUE]])*0.5))/100,"")</f>
        <v>#N/A</v>
      </c>
      <c r="I220">
        <f>IF(ISNA(VLOOKUP(A220,QW_CloseDL!A:E,5,0)),0,VLOOKUP(A220,QW_CloseDL!A:E,5,0))</f>
        <v>5.0595189994164597E-2</v>
      </c>
      <c r="J220" s="8">
        <f t="shared" si="15"/>
        <v>0</v>
      </c>
      <c r="P220">
        <v>0</v>
      </c>
      <c r="Q220" t="e">
        <f t="shared" si="16"/>
        <v>#N/A</v>
      </c>
      <c r="R220" t="e">
        <f t="shared" si="17"/>
        <v>#N/A</v>
      </c>
      <c r="S220" s="9" t="e">
        <f t="shared" si="18"/>
        <v>#N/A</v>
      </c>
      <c r="T220" s="3" t="e">
        <f t="shared" si="19"/>
        <v>#N/A</v>
      </c>
    </row>
    <row r="221" spans="1:20" x14ac:dyDescent="0.35">
      <c r="A221" t="str">
        <v>912810TH1</v>
      </c>
      <c r="B221" t="str">
        <f>IF(NOT(ISBLANK(A221)),VLOOKUP(A221,'BBT3'!A:F,2,0),"")</f>
        <v>Bond</v>
      </c>
      <c r="C221" t="str">
        <f>IF(NOT(ISBLANK(A221)),VLOOKUP(A221,'BBT3'!A:F,3,0),"")</f>
        <v>US912810TH14</v>
      </c>
      <c r="D221" s="6">
        <f>IF(NOT(ISBLANK(A221)),VLOOKUP(A221,'BBT3'!A:F,4,1),"")</f>
        <v>3.25</v>
      </c>
      <c r="E221">
        <f>IF(NOT(ISBLANK(A221)),VLOOKUP(A221,'BBT3'!A:F,5,0),"")</f>
        <v>52001</v>
      </c>
      <c r="F221" t="str">
        <f>IF(NOT(ISBLANK(A221)),VLOOKUP(A221,'BBT3'!A:F,6,0),"")</f>
        <v>N</v>
      </c>
      <c r="G221">
        <f>IF(NOT(ISBLANK(A221)),VLOOKUP(A221,QW_Close!A:J,5,0),"")</f>
        <v>4.9013358734250799E-2</v>
      </c>
      <c r="H221" s="5" t="e" cm="1">
        <f t="array" ref="H221">IF(NOT(ISBLANK(A221)),((_xlfn.XLOOKUP(1,(_bbt3[[#All],[ID]]=A221)*(_bbt3[[#All],[METRIC_NAME]]="YLD_YTM_ASK"),_bbt3[[#All],[METRIC_VALUE]])*0.5)+(_xlfn.XLOOKUP(1,(_bbt3[[#All],[ID]]=A221)*(_bbt3[[#All],[METRIC_NAME]]="YLD_YTM_BID"),_bbt3[[#All],[METRIC_VALUE]])*0.5))/100,"")</f>
        <v>#N/A</v>
      </c>
      <c r="I221">
        <f>IF(ISNA(VLOOKUP(A221,QW_CloseDL!A:E,5,0)),0,VLOOKUP(A221,QW_CloseDL!A:E,5,0))</f>
        <v>4.9013358734250799E-2</v>
      </c>
      <c r="J221" s="8">
        <f t="shared" si="15"/>
        <v>0</v>
      </c>
      <c r="P221">
        <v>0</v>
      </c>
      <c r="Q221" t="e">
        <f t="shared" si="16"/>
        <v>#N/A</v>
      </c>
      <c r="R221" t="e">
        <f t="shared" si="17"/>
        <v>#N/A</v>
      </c>
      <c r="S221" s="9" t="e">
        <f t="shared" si="18"/>
        <v>#N/A</v>
      </c>
      <c r="T221" s="3" t="e">
        <f t="shared" si="19"/>
        <v>#N/A</v>
      </c>
    </row>
    <row r="222" spans="1:20" x14ac:dyDescent="0.35">
      <c r="A222" t="str">
        <v>912810TJ7</v>
      </c>
      <c r="B222" t="str">
        <f>IF(NOT(ISBLANK(A222)),VLOOKUP(A222,'BBT3'!A:F,2,0),"")</f>
        <v>Bond</v>
      </c>
      <c r="C222" t="str">
        <f>IF(NOT(ISBLANK(A222)),VLOOKUP(A222,'BBT3'!A:F,3,0),"")</f>
        <v>US912810TJ79</v>
      </c>
      <c r="D222" s="6">
        <f>IF(NOT(ISBLANK(A222)),VLOOKUP(A222,'BBT3'!A:F,4,1),"")</f>
        <v>3</v>
      </c>
      <c r="E222">
        <f>IF(NOT(ISBLANK(A222)),VLOOKUP(A222,'BBT3'!A:F,5,0),"")</f>
        <v>55746</v>
      </c>
      <c r="F222" t="str">
        <f>IF(NOT(ISBLANK(A222)),VLOOKUP(A222,'BBT3'!A:F,6,0),"")</f>
        <v>N</v>
      </c>
      <c r="G222">
        <f>IF(NOT(ISBLANK(A222)),VLOOKUP(A222,QW_Close!A:J,5,0),"")</f>
        <v>5.0543448260220898E-2</v>
      </c>
      <c r="H222" s="5" t="e" cm="1">
        <f t="array" ref="H222">IF(NOT(ISBLANK(A222)),((_xlfn.XLOOKUP(1,(_bbt3[[#All],[ID]]=A222)*(_bbt3[[#All],[METRIC_NAME]]="YLD_YTM_ASK"),_bbt3[[#All],[METRIC_VALUE]])*0.5)+(_xlfn.XLOOKUP(1,(_bbt3[[#All],[ID]]=A222)*(_bbt3[[#All],[METRIC_NAME]]="YLD_YTM_BID"),_bbt3[[#All],[METRIC_VALUE]])*0.5))/100,"")</f>
        <v>#N/A</v>
      </c>
      <c r="I222">
        <f>IF(ISNA(VLOOKUP(A222,QW_CloseDL!A:E,5,0)),0,VLOOKUP(A222,QW_CloseDL!A:E,5,0))</f>
        <v>5.0543448260220898E-2</v>
      </c>
      <c r="J222" s="8">
        <f t="shared" si="15"/>
        <v>0</v>
      </c>
      <c r="P222">
        <v>0</v>
      </c>
      <c r="Q222" t="e">
        <f t="shared" si="16"/>
        <v>#N/A</v>
      </c>
      <c r="R222" t="e">
        <f t="shared" si="17"/>
        <v>#N/A</v>
      </c>
      <c r="S222" s="9" t="e">
        <f t="shared" si="18"/>
        <v>#N/A</v>
      </c>
      <c r="T222" s="3" t="e">
        <f t="shared" si="19"/>
        <v>#N/A</v>
      </c>
    </row>
    <row r="223" spans="1:20" x14ac:dyDescent="0.35">
      <c r="A223" t="str">
        <v>912810TK4</v>
      </c>
      <c r="B223" t="str">
        <f>IF(NOT(ISBLANK(A223)),VLOOKUP(A223,'BBT3'!A:F,2,0),"")</f>
        <v>Bond</v>
      </c>
      <c r="C223" t="str">
        <f>IF(NOT(ISBLANK(A223)),VLOOKUP(A223,'BBT3'!A:F,3,0),"")</f>
        <v>US912810TK43</v>
      </c>
      <c r="D223" s="6">
        <f>IF(NOT(ISBLANK(A223)),VLOOKUP(A223,'BBT3'!A:F,4,1),"")</f>
        <v>3.375</v>
      </c>
      <c r="E223">
        <f>IF(NOT(ISBLANK(A223)),VLOOKUP(A223,'BBT3'!A:F,5,0),"")</f>
        <v>52093</v>
      </c>
      <c r="F223" t="str">
        <f>IF(NOT(ISBLANK(A223)),VLOOKUP(A223,'BBT3'!A:F,6,0),"")</f>
        <v>N</v>
      </c>
      <c r="G223">
        <f>IF(NOT(ISBLANK(A223)),VLOOKUP(A223,QW_Close!A:J,5,0),"")</f>
        <v>4.9082799355888398E-2</v>
      </c>
      <c r="H223" s="5" t="e" cm="1">
        <f t="array" ref="H223">IF(NOT(ISBLANK(A223)),((_xlfn.XLOOKUP(1,(_bbt3[[#All],[ID]]=A223)*(_bbt3[[#All],[METRIC_NAME]]="YLD_YTM_ASK"),_bbt3[[#All],[METRIC_VALUE]])*0.5)+(_xlfn.XLOOKUP(1,(_bbt3[[#All],[ID]]=A223)*(_bbt3[[#All],[METRIC_NAME]]="YLD_YTM_BID"),_bbt3[[#All],[METRIC_VALUE]])*0.5))/100,"")</f>
        <v>#N/A</v>
      </c>
      <c r="I223">
        <f>IF(ISNA(VLOOKUP(A223,QW_CloseDL!A:E,5,0)),0,VLOOKUP(A223,QW_CloseDL!A:E,5,0))</f>
        <v>4.9082799355888398E-2</v>
      </c>
      <c r="J223" s="8">
        <f t="shared" si="15"/>
        <v>0</v>
      </c>
      <c r="P223">
        <v>0</v>
      </c>
      <c r="Q223" t="e">
        <f t="shared" si="16"/>
        <v>#N/A</v>
      </c>
      <c r="R223" t="e">
        <f t="shared" si="17"/>
        <v>#N/A</v>
      </c>
      <c r="S223" s="9" t="e">
        <f t="shared" si="18"/>
        <v>#N/A</v>
      </c>
      <c r="T223" s="3" t="e">
        <f t="shared" si="19"/>
        <v>#N/A</v>
      </c>
    </row>
    <row r="224" spans="1:20" x14ac:dyDescent="0.35">
      <c r="A224" t="str">
        <v>912810TL2</v>
      </c>
      <c r="B224" t="str">
        <f>IF(NOT(ISBLANK(A224)),VLOOKUP(A224,'BBT3'!A:F,2,0),"")</f>
        <v>Bond</v>
      </c>
      <c r="C224" t="str">
        <f>IF(NOT(ISBLANK(A224)),VLOOKUP(A224,'BBT3'!A:F,3,0),"")</f>
        <v>US912810TL26</v>
      </c>
      <c r="D224" s="6">
        <f>IF(NOT(ISBLANK(A224)),VLOOKUP(A224,'BBT3'!A:F,4,1),"")</f>
        <v>4</v>
      </c>
      <c r="E224">
        <f>IF(NOT(ISBLANK(A224)),VLOOKUP(A224,'BBT3'!A:F,5,0),"")</f>
        <v>55838</v>
      </c>
      <c r="F224" t="str">
        <f>IF(NOT(ISBLANK(A224)),VLOOKUP(A224,'BBT3'!A:F,6,0),"")</f>
        <v>N</v>
      </c>
      <c r="G224">
        <f>IF(NOT(ISBLANK(A224)),VLOOKUP(A224,QW_Close!A:J,5,0),"")</f>
        <v>5.0355782445013403E-2</v>
      </c>
      <c r="H224" s="5" t="e" cm="1">
        <f t="array" ref="H224">IF(NOT(ISBLANK(A224)),((_xlfn.XLOOKUP(1,(_bbt3[[#All],[ID]]=A224)*(_bbt3[[#All],[METRIC_NAME]]="YLD_YTM_ASK"),_bbt3[[#All],[METRIC_VALUE]])*0.5)+(_xlfn.XLOOKUP(1,(_bbt3[[#All],[ID]]=A224)*(_bbt3[[#All],[METRIC_NAME]]="YLD_YTM_BID"),_bbt3[[#All],[METRIC_VALUE]])*0.5))/100,"")</f>
        <v>#N/A</v>
      </c>
      <c r="I224">
        <f>IF(ISNA(VLOOKUP(A224,QW_CloseDL!A:E,5,0)),0,VLOOKUP(A224,QW_CloseDL!A:E,5,0))</f>
        <v>5.0355782445013403E-2</v>
      </c>
      <c r="J224" s="8">
        <f t="shared" si="15"/>
        <v>0</v>
      </c>
      <c r="P224">
        <v>0</v>
      </c>
      <c r="Q224" t="e">
        <f t="shared" si="16"/>
        <v>#N/A</v>
      </c>
      <c r="R224" t="e">
        <f t="shared" si="17"/>
        <v>#N/A</v>
      </c>
      <c r="S224" s="9" t="e">
        <f t="shared" si="18"/>
        <v>#N/A</v>
      </c>
      <c r="T224" s="3" t="e">
        <f t="shared" si="19"/>
        <v>#N/A</v>
      </c>
    </row>
    <row r="225" spans="1:20" x14ac:dyDescent="0.35">
      <c r="A225" t="str">
        <v>912810TM0</v>
      </c>
      <c r="B225" t="str">
        <f>IF(NOT(ISBLANK(A225)),VLOOKUP(A225,'BBT3'!A:F,2,0),"")</f>
        <v>Bond</v>
      </c>
      <c r="C225" t="str">
        <f>IF(NOT(ISBLANK(A225)),VLOOKUP(A225,'BBT3'!A:F,3,0),"")</f>
        <v>US912810TM09</v>
      </c>
      <c r="D225" s="6">
        <f>IF(NOT(ISBLANK(A225)),VLOOKUP(A225,'BBT3'!A:F,4,1),"")</f>
        <v>4</v>
      </c>
      <c r="E225">
        <f>IF(NOT(ISBLANK(A225)),VLOOKUP(A225,'BBT3'!A:F,5,0),"")</f>
        <v>52185</v>
      </c>
      <c r="F225" t="str">
        <f>IF(NOT(ISBLANK(A225)),VLOOKUP(A225,'BBT3'!A:F,6,0),"")</f>
        <v>N</v>
      </c>
      <c r="G225">
        <f>IF(NOT(ISBLANK(A225)),VLOOKUP(A225,QW_Close!A:J,5,0),"")</f>
        <v>4.9091737460389001E-2</v>
      </c>
      <c r="H225" s="5" t="e" cm="1">
        <f t="array" ref="H225">IF(NOT(ISBLANK(A225)),((_xlfn.XLOOKUP(1,(_bbt3[[#All],[ID]]=A225)*(_bbt3[[#All],[METRIC_NAME]]="YLD_YTM_ASK"),_bbt3[[#All],[METRIC_VALUE]])*0.5)+(_xlfn.XLOOKUP(1,(_bbt3[[#All],[ID]]=A225)*(_bbt3[[#All],[METRIC_NAME]]="YLD_YTM_BID"),_bbt3[[#All],[METRIC_VALUE]])*0.5))/100,"")</f>
        <v>#N/A</v>
      </c>
      <c r="I225">
        <f>IF(ISNA(VLOOKUP(A225,QW_CloseDL!A:E,5,0)),0,VLOOKUP(A225,QW_CloseDL!A:E,5,0))</f>
        <v>4.9091737460389001E-2</v>
      </c>
      <c r="J225" s="8">
        <f t="shared" si="15"/>
        <v>0</v>
      </c>
      <c r="P225">
        <v>0</v>
      </c>
      <c r="Q225" t="e">
        <f t="shared" si="16"/>
        <v>#N/A</v>
      </c>
      <c r="R225" t="e">
        <f t="shared" si="17"/>
        <v>#N/A</v>
      </c>
      <c r="S225" s="9" t="e">
        <f t="shared" si="18"/>
        <v>#N/A</v>
      </c>
      <c r="T225" s="3" t="e">
        <f t="shared" si="19"/>
        <v>#N/A</v>
      </c>
    </row>
    <row r="226" spans="1:20" x14ac:dyDescent="0.35">
      <c r="A226" t="str">
        <v>912810TN8</v>
      </c>
      <c r="B226" t="str">
        <f>IF(NOT(ISBLANK(A226)),VLOOKUP(A226,'BBT3'!A:F,2,0),"")</f>
        <v>Bond</v>
      </c>
      <c r="C226" t="str">
        <f>IF(NOT(ISBLANK(A226)),VLOOKUP(A226,'BBT3'!A:F,3,0),"")</f>
        <v>US912810TN81</v>
      </c>
      <c r="D226" s="6">
        <f>IF(NOT(ISBLANK(A226)),VLOOKUP(A226,'BBT3'!A:F,4,1),"")</f>
        <v>3.625</v>
      </c>
      <c r="E226">
        <f>IF(NOT(ISBLANK(A226)),VLOOKUP(A226,'BBT3'!A:F,5,0),"")</f>
        <v>55930</v>
      </c>
      <c r="F226" t="str">
        <f>IF(NOT(ISBLANK(A226)),VLOOKUP(A226,'BBT3'!A:F,6,0),"")</f>
        <v>N</v>
      </c>
      <c r="G226">
        <f>IF(NOT(ISBLANK(A226)),VLOOKUP(A226,QW_Close!A:J,5,0),"")</f>
        <v>5.0376305930482097E-2</v>
      </c>
      <c r="H226" s="5" t="e" cm="1">
        <f t="array" ref="H226">IF(NOT(ISBLANK(A226)),((_xlfn.XLOOKUP(1,(_bbt3[[#All],[ID]]=A226)*(_bbt3[[#All],[METRIC_NAME]]="YLD_YTM_ASK"),_bbt3[[#All],[METRIC_VALUE]])*0.5)+(_xlfn.XLOOKUP(1,(_bbt3[[#All],[ID]]=A226)*(_bbt3[[#All],[METRIC_NAME]]="YLD_YTM_BID"),_bbt3[[#All],[METRIC_VALUE]])*0.5))/100,"")</f>
        <v>#N/A</v>
      </c>
      <c r="I226">
        <f>IF(ISNA(VLOOKUP(A226,QW_CloseDL!A:E,5,0)),0,VLOOKUP(A226,QW_CloseDL!A:E,5,0))</f>
        <v>5.0376305930482097E-2</v>
      </c>
      <c r="J226" s="8">
        <f t="shared" si="15"/>
        <v>0</v>
      </c>
      <c r="P226">
        <v>0</v>
      </c>
      <c r="Q226" t="e">
        <f t="shared" si="16"/>
        <v>#N/A</v>
      </c>
      <c r="R226" t="e">
        <f t="shared" si="17"/>
        <v>#N/A</v>
      </c>
      <c r="S226" s="9" t="e">
        <f t="shared" si="18"/>
        <v>#N/A</v>
      </c>
      <c r="T226" s="3" t="e">
        <f t="shared" si="19"/>
        <v>#N/A</v>
      </c>
    </row>
    <row r="227" spans="1:20" x14ac:dyDescent="0.35">
      <c r="A227" t="str">
        <v>912810TP3</v>
      </c>
      <c r="B227" t="str">
        <f>IF(NOT(ISBLANK(A227)),VLOOKUP(A227,'BBT3'!A:F,2,0),"")</f>
        <v>Bond</v>
      </c>
      <c r="C227" t="str">
        <f>IF(NOT(ISBLANK(A227)),VLOOKUP(A227,'BBT3'!A:F,3,0),"")</f>
        <v>US912810TP30</v>
      </c>
      <c r="D227" s="6">
        <f>IF(NOT(ISBLANK(A227)),VLOOKUP(A227,'BBT3'!A:F,4,1),"")</f>
        <v>1.5</v>
      </c>
      <c r="E227">
        <f>IF(NOT(ISBLANK(A227)),VLOOKUP(A227,'BBT3'!A:F,5,0),"")</f>
        <v>55930</v>
      </c>
      <c r="F227" t="str">
        <f>IF(NOT(ISBLANK(A227)),VLOOKUP(A227,'BBT3'!A:F,6,0),"")</f>
        <v>Y</v>
      </c>
      <c r="G227">
        <f>IF(NOT(ISBLANK(A227)),VLOOKUP(A227,QW_Close!A:J,5,0),"")</f>
        <v>2.73512612996386E-2</v>
      </c>
      <c r="H227" s="5" t="e" cm="1">
        <f t="array" ref="H227">IF(NOT(ISBLANK(A227)),((_xlfn.XLOOKUP(1,(_bbt3[[#All],[ID]]=A227)*(_bbt3[[#All],[METRIC_NAME]]="YLD_YTM_ASK"),_bbt3[[#All],[METRIC_VALUE]])*0.5)+(_xlfn.XLOOKUP(1,(_bbt3[[#All],[ID]]=A227)*(_bbt3[[#All],[METRIC_NAME]]="YLD_YTM_BID"),_bbt3[[#All],[METRIC_VALUE]])*0.5))/100,"")</f>
        <v>#N/A</v>
      </c>
      <c r="I227">
        <f>IF(ISNA(VLOOKUP(A227,QW_CloseDL!A:E,5,0)),0,VLOOKUP(A227,QW_CloseDL!A:E,5,0))</f>
        <v>2.7351260523295201E-2</v>
      </c>
      <c r="J227" s="8">
        <f t="shared" si="15"/>
        <v>7.7634339928911444E-6</v>
      </c>
      <c r="P227">
        <v>0</v>
      </c>
      <c r="Q227" t="e">
        <f t="shared" si="16"/>
        <v>#N/A</v>
      </c>
      <c r="R227" t="e">
        <f t="shared" si="17"/>
        <v>#N/A</v>
      </c>
      <c r="S227" s="9" t="e">
        <f t="shared" si="18"/>
        <v>#N/A</v>
      </c>
      <c r="T227" s="3" t="e">
        <f t="shared" si="19"/>
        <v>#N/A</v>
      </c>
    </row>
    <row r="228" spans="1:20" x14ac:dyDescent="0.35">
      <c r="A228" t="str">
        <v>912810TQ1</v>
      </c>
      <c r="B228" t="str">
        <f>IF(NOT(ISBLANK(A228)),VLOOKUP(A228,'BBT3'!A:F,2,0),"")</f>
        <v>Bond</v>
      </c>
      <c r="C228" t="str">
        <f>IF(NOT(ISBLANK(A228)),VLOOKUP(A228,'BBT3'!A:F,3,0),"")</f>
        <v>US912810TQ13</v>
      </c>
      <c r="D228" s="6">
        <f>IF(NOT(ISBLANK(A228)),VLOOKUP(A228,'BBT3'!A:F,4,1),"")</f>
        <v>3.875</v>
      </c>
      <c r="E228">
        <f>IF(NOT(ISBLANK(A228)),VLOOKUP(A228,'BBT3'!A:F,5,0),"")</f>
        <v>52277</v>
      </c>
      <c r="F228" t="str">
        <f>IF(NOT(ISBLANK(A228)),VLOOKUP(A228,'BBT3'!A:F,6,0),"")</f>
        <v>N</v>
      </c>
      <c r="G228">
        <f>IF(NOT(ISBLANK(A228)),VLOOKUP(A228,QW_Close!A:J,5,0),"")</f>
        <v>4.9246383984208802E-2</v>
      </c>
      <c r="H228" s="5" t="e" cm="1">
        <f t="array" ref="H228">IF(NOT(ISBLANK(A228)),((_xlfn.XLOOKUP(1,(_bbt3[[#All],[ID]]=A228)*(_bbt3[[#All],[METRIC_NAME]]="YLD_YTM_ASK"),_bbt3[[#All],[METRIC_VALUE]])*0.5)+(_xlfn.XLOOKUP(1,(_bbt3[[#All],[ID]]=A228)*(_bbt3[[#All],[METRIC_NAME]]="YLD_YTM_BID"),_bbt3[[#All],[METRIC_VALUE]])*0.5))/100,"")</f>
        <v>#N/A</v>
      </c>
      <c r="I228">
        <f>IF(ISNA(VLOOKUP(A228,QW_CloseDL!A:E,5,0)),0,VLOOKUP(A228,QW_CloseDL!A:E,5,0))</f>
        <v>4.9246383984208802E-2</v>
      </c>
      <c r="J228" s="8">
        <f t="shared" si="15"/>
        <v>0</v>
      </c>
      <c r="P228">
        <v>0</v>
      </c>
      <c r="Q228" t="e">
        <f t="shared" si="16"/>
        <v>#N/A</v>
      </c>
      <c r="R228" t="e">
        <f t="shared" si="17"/>
        <v>#N/A</v>
      </c>
      <c r="S228" s="9" t="e">
        <f t="shared" si="18"/>
        <v>#N/A</v>
      </c>
      <c r="T228" s="3" t="e">
        <f t="shared" si="19"/>
        <v>#N/A</v>
      </c>
    </row>
    <row r="229" spans="1:20" x14ac:dyDescent="0.35">
      <c r="A229" t="str">
        <v>912810TR9</v>
      </c>
      <c r="B229" t="str">
        <f>IF(NOT(ISBLANK(A229)),VLOOKUP(A229,'BBT3'!A:F,2,0),"")</f>
        <v>Bond</v>
      </c>
      <c r="C229" t="str">
        <f>IF(NOT(ISBLANK(A229)),VLOOKUP(A229,'BBT3'!A:F,3,0),"")</f>
        <v>US912810TR95</v>
      </c>
      <c r="D229" s="6">
        <f>IF(NOT(ISBLANK(A229)),VLOOKUP(A229,'BBT3'!A:F,4,1),"")</f>
        <v>3.625</v>
      </c>
      <c r="E229">
        <f>IF(NOT(ISBLANK(A229)),VLOOKUP(A229,'BBT3'!A:F,5,0),"")</f>
        <v>56019</v>
      </c>
      <c r="F229" t="str">
        <f>IF(NOT(ISBLANK(A229)),VLOOKUP(A229,'BBT3'!A:F,6,0),"")</f>
        <v>N</v>
      </c>
      <c r="G229">
        <f>IF(NOT(ISBLANK(A229)),VLOOKUP(A229,QW_Close!A:J,5,0),"")</f>
        <v>5.0368739397639702E-2</v>
      </c>
      <c r="H229" s="5" t="e" cm="1">
        <f t="array" ref="H229">IF(NOT(ISBLANK(A229)),((_xlfn.XLOOKUP(1,(_bbt3[[#All],[ID]]=A229)*(_bbt3[[#All],[METRIC_NAME]]="YLD_YTM_ASK"),_bbt3[[#All],[METRIC_VALUE]])*0.5)+(_xlfn.XLOOKUP(1,(_bbt3[[#All],[ID]]=A229)*(_bbt3[[#All],[METRIC_NAME]]="YLD_YTM_BID"),_bbt3[[#All],[METRIC_VALUE]])*0.5))/100,"")</f>
        <v>#N/A</v>
      </c>
      <c r="I229">
        <f>IF(ISNA(VLOOKUP(A229,QW_CloseDL!A:E,5,0)),0,VLOOKUP(A229,QW_CloseDL!A:E,5,0))</f>
        <v>5.0368739397639702E-2</v>
      </c>
      <c r="J229" s="8">
        <f t="shared" si="15"/>
        <v>0</v>
      </c>
      <c r="P229">
        <v>0</v>
      </c>
      <c r="Q229" t="e">
        <f t="shared" si="16"/>
        <v>#N/A</v>
      </c>
      <c r="R229" t="e">
        <f t="shared" si="17"/>
        <v>#N/A</v>
      </c>
      <c r="S229" s="9" t="e">
        <f t="shared" si="18"/>
        <v>#N/A</v>
      </c>
      <c r="T229" s="3" t="e">
        <f t="shared" si="19"/>
        <v>#N/A</v>
      </c>
    </row>
    <row r="230" spans="1:20" x14ac:dyDescent="0.35">
      <c r="A230" t="str">
        <v>912810TS7</v>
      </c>
      <c r="B230" t="str">
        <f>IF(NOT(ISBLANK(A230)),VLOOKUP(A230,'BBT3'!A:F,2,0),"")</f>
        <v>Bond</v>
      </c>
      <c r="C230" t="str">
        <f>IF(NOT(ISBLANK(A230)),VLOOKUP(A230,'BBT3'!A:F,3,0),"")</f>
        <v>US912810TS78</v>
      </c>
      <c r="D230" s="6">
        <f>IF(NOT(ISBLANK(A230)),VLOOKUP(A230,'BBT3'!A:F,4,1),"")</f>
        <v>3.875</v>
      </c>
      <c r="E230">
        <f>IF(NOT(ISBLANK(A230)),VLOOKUP(A230,'BBT3'!A:F,5,0),"")</f>
        <v>52366</v>
      </c>
      <c r="F230" t="str">
        <f>IF(NOT(ISBLANK(A230)),VLOOKUP(A230,'BBT3'!A:F,6,0),"")</f>
        <v>N</v>
      </c>
      <c r="G230">
        <f>IF(NOT(ISBLANK(A230)),VLOOKUP(A230,QW_Close!A:J,5,0),"")</f>
        <v>4.9342752037127603E-2</v>
      </c>
      <c r="H230" s="5" t="e" cm="1">
        <f t="array" ref="H230">IF(NOT(ISBLANK(A230)),((_xlfn.XLOOKUP(1,(_bbt3[[#All],[ID]]=A230)*(_bbt3[[#All],[METRIC_NAME]]="YLD_YTM_ASK"),_bbt3[[#All],[METRIC_VALUE]])*0.5)+(_xlfn.XLOOKUP(1,(_bbt3[[#All],[ID]]=A230)*(_bbt3[[#All],[METRIC_NAME]]="YLD_YTM_BID"),_bbt3[[#All],[METRIC_VALUE]])*0.5))/100,"")</f>
        <v>#N/A</v>
      </c>
      <c r="I230">
        <f>IF(ISNA(VLOOKUP(A230,QW_CloseDL!A:E,5,0)),0,VLOOKUP(A230,QW_CloseDL!A:E,5,0))</f>
        <v>4.9342752037127603E-2</v>
      </c>
      <c r="J230" s="8">
        <f t="shared" si="15"/>
        <v>0</v>
      </c>
      <c r="P230">
        <v>0</v>
      </c>
      <c r="Q230" t="e">
        <f t="shared" si="16"/>
        <v>#N/A</v>
      </c>
      <c r="R230" t="e">
        <f t="shared" si="17"/>
        <v>#N/A</v>
      </c>
      <c r="S230" s="9" t="e">
        <f t="shared" si="18"/>
        <v>#N/A</v>
      </c>
      <c r="T230" s="3" t="e">
        <f t="shared" si="19"/>
        <v>#N/A</v>
      </c>
    </row>
    <row r="231" spans="1:20" x14ac:dyDescent="0.35">
      <c r="A231" t="str">
        <v>912810TT5</v>
      </c>
      <c r="B231" t="str">
        <f>IF(NOT(ISBLANK(A231)),VLOOKUP(A231,'BBT3'!A:F,2,0),"")</f>
        <v>Bond</v>
      </c>
      <c r="C231" t="str">
        <f>IF(NOT(ISBLANK(A231)),VLOOKUP(A231,'BBT3'!A:F,3,0),"")</f>
        <v>US912810TT51</v>
      </c>
      <c r="D231" s="6">
        <f>IF(NOT(ISBLANK(A231)),VLOOKUP(A231,'BBT3'!A:F,4,1),"")</f>
        <v>4.125</v>
      </c>
      <c r="E231">
        <f>IF(NOT(ISBLANK(A231)),VLOOKUP(A231,'BBT3'!A:F,5,0),"")</f>
        <v>56111</v>
      </c>
      <c r="F231" t="str">
        <f>IF(NOT(ISBLANK(A231)),VLOOKUP(A231,'BBT3'!A:F,6,0),"")</f>
        <v>N</v>
      </c>
      <c r="G231">
        <f>IF(NOT(ISBLANK(A231)),VLOOKUP(A231,QW_Close!A:J,5,0),"")</f>
        <v>5.0227538273865301E-2</v>
      </c>
      <c r="H231" s="5" t="e" cm="1">
        <f t="array" ref="H231">IF(NOT(ISBLANK(A231)),((_xlfn.XLOOKUP(1,(_bbt3[[#All],[ID]]=A231)*(_bbt3[[#All],[METRIC_NAME]]="YLD_YTM_ASK"),_bbt3[[#All],[METRIC_VALUE]])*0.5)+(_xlfn.XLOOKUP(1,(_bbt3[[#All],[ID]]=A231)*(_bbt3[[#All],[METRIC_NAME]]="YLD_YTM_BID"),_bbt3[[#All],[METRIC_VALUE]])*0.5))/100,"")</f>
        <v>#N/A</v>
      </c>
      <c r="I231">
        <f>IF(ISNA(VLOOKUP(A231,QW_CloseDL!A:E,5,0)),0,VLOOKUP(A231,QW_CloseDL!A:E,5,0))</f>
        <v>5.0227538273865301E-2</v>
      </c>
      <c r="J231" s="8">
        <f t="shared" si="15"/>
        <v>0</v>
      </c>
      <c r="P231">
        <v>0</v>
      </c>
      <c r="Q231" t="e">
        <f t="shared" si="16"/>
        <v>#N/A</v>
      </c>
      <c r="R231" t="e">
        <f t="shared" si="17"/>
        <v>#N/A</v>
      </c>
      <c r="S231" s="9" t="e">
        <f t="shared" si="18"/>
        <v>#N/A</v>
      </c>
      <c r="T231" s="3" t="e">
        <f t="shared" si="19"/>
        <v>#N/A</v>
      </c>
    </row>
    <row r="232" spans="1:20" x14ac:dyDescent="0.35">
      <c r="A232" t="str">
        <v>912810TU2</v>
      </c>
      <c r="B232" t="str">
        <f>IF(NOT(ISBLANK(A232)),VLOOKUP(A232,'BBT3'!A:F,2,0),"")</f>
        <v>Bond</v>
      </c>
      <c r="C232" t="str">
        <f>IF(NOT(ISBLANK(A232)),VLOOKUP(A232,'BBT3'!A:F,3,0),"")</f>
        <v>US912810TU25</v>
      </c>
      <c r="D232" s="6">
        <f>IF(NOT(ISBLANK(A232)),VLOOKUP(A232,'BBT3'!A:F,4,1),"")</f>
        <v>4.375</v>
      </c>
      <c r="E232">
        <f>IF(NOT(ISBLANK(A232)),VLOOKUP(A232,'BBT3'!A:F,5,0),"")</f>
        <v>52458</v>
      </c>
      <c r="F232" t="str">
        <f>IF(NOT(ISBLANK(A232)),VLOOKUP(A232,'BBT3'!A:F,6,0),"")</f>
        <v>N</v>
      </c>
      <c r="G232">
        <f>IF(NOT(ISBLANK(A232)),VLOOKUP(A232,QW_Close!A:J,5,0),"")</f>
        <v>4.93627933921814E-2</v>
      </c>
      <c r="H232" s="5" t="e" cm="1">
        <f t="array" ref="H232">IF(NOT(ISBLANK(A232)),((_xlfn.XLOOKUP(1,(_bbt3[[#All],[ID]]=A232)*(_bbt3[[#All],[METRIC_NAME]]="YLD_YTM_ASK"),_bbt3[[#All],[METRIC_VALUE]])*0.5)+(_xlfn.XLOOKUP(1,(_bbt3[[#All],[ID]]=A232)*(_bbt3[[#All],[METRIC_NAME]]="YLD_YTM_BID"),_bbt3[[#All],[METRIC_VALUE]])*0.5))/100,"")</f>
        <v>#N/A</v>
      </c>
      <c r="I232">
        <f>IF(ISNA(VLOOKUP(A232,QW_CloseDL!A:E,5,0)),0,VLOOKUP(A232,QW_CloseDL!A:E,5,0))</f>
        <v>4.93627933921814E-2</v>
      </c>
      <c r="J232" s="8">
        <f t="shared" si="15"/>
        <v>0</v>
      </c>
      <c r="P232">
        <v>0</v>
      </c>
      <c r="Q232" t="e">
        <f t="shared" si="16"/>
        <v>#N/A</v>
      </c>
      <c r="R232" t="e">
        <f t="shared" si="17"/>
        <v>#N/A</v>
      </c>
      <c r="S232" s="9" t="e">
        <f t="shared" si="18"/>
        <v>#N/A</v>
      </c>
      <c r="T232" s="3" t="e">
        <f t="shared" si="19"/>
        <v>#N/A</v>
      </c>
    </row>
    <row r="233" spans="1:20" x14ac:dyDescent="0.35">
      <c r="A233" t="str">
        <v>912810TV0</v>
      </c>
      <c r="B233" t="str">
        <f>IF(NOT(ISBLANK(A233)),VLOOKUP(A233,'BBT3'!A:F,2,0),"")</f>
        <v>Bond</v>
      </c>
      <c r="C233" t="str">
        <f>IF(NOT(ISBLANK(A233)),VLOOKUP(A233,'BBT3'!A:F,3,0),"")</f>
        <v>US912810TV08</v>
      </c>
      <c r="D233" s="6">
        <f>IF(NOT(ISBLANK(A233)),VLOOKUP(A233,'BBT3'!A:F,4,1),"")</f>
        <v>4.75</v>
      </c>
      <c r="E233">
        <f>IF(NOT(ISBLANK(A233)),VLOOKUP(A233,'BBT3'!A:F,5,0),"")</f>
        <v>56203</v>
      </c>
      <c r="F233" t="str">
        <f>IF(NOT(ISBLANK(A233)),VLOOKUP(A233,'BBT3'!A:F,6,0),"")</f>
        <v>N</v>
      </c>
      <c r="G233">
        <f>IF(NOT(ISBLANK(A233)),VLOOKUP(A233,QW_Close!A:J,5,0),"")</f>
        <v>5.0111877905009899E-2</v>
      </c>
      <c r="H233" s="5" t="e" cm="1">
        <f t="array" ref="H233">IF(NOT(ISBLANK(A233)),((_xlfn.XLOOKUP(1,(_bbt3[[#All],[ID]]=A233)*(_bbt3[[#All],[METRIC_NAME]]="YLD_YTM_ASK"),_bbt3[[#All],[METRIC_VALUE]])*0.5)+(_xlfn.XLOOKUP(1,(_bbt3[[#All],[ID]]=A233)*(_bbt3[[#All],[METRIC_NAME]]="YLD_YTM_BID"),_bbt3[[#All],[METRIC_VALUE]])*0.5))/100,"")</f>
        <v>#N/A</v>
      </c>
      <c r="I233">
        <f>IF(ISNA(VLOOKUP(A233,QW_CloseDL!A:E,5,0)),0,VLOOKUP(A233,QW_CloseDL!A:E,5,0))</f>
        <v>5.0111877905009899E-2</v>
      </c>
      <c r="J233" s="8">
        <f t="shared" si="15"/>
        <v>0</v>
      </c>
      <c r="P233">
        <v>0</v>
      </c>
      <c r="Q233" t="e">
        <f t="shared" si="16"/>
        <v>#N/A</v>
      </c>
      <c r="R233" t="e">
        <f t="shared" si="17"/>
        <v>#N/A</v>
      </c>
      <c r="S233" s="9" t="e">
        <f t="shared" si="18"/>
        <v>#N/A</v>
      </c>
      <c r="T233" s="3" t="e">
        <f t="shared" si="19"/>
        <v>#N/A</v>
      </c>
    </row>
    <row r="234" spans="1:20" x14ac:dyDescent="0.35">
      <c r="A234" t="str">
        <v>912810TW8</v>
      </c>
      <c r="B234" t="str">
        <f>IF(NOT(ISBLANK(A234)),VLOOKUP(A234,'BBT3'!A:F,2,0),"")</f>
        <v>Bond</v>
      </c>
      <c r="C234" t="str">
        <f>IF(NOT(ISBLANK(A234)),VLOOKUP(A234,'BBT3'!A:F,3,0),"")</f>
        <v>US912810TW80</v>
      </c>
      <c r="D234" s="6">
        <f>IF(NOT(ISBLANK(A234)),VLOOKUP(A234,'BBT3'!A:F,4,1),"")</f>
        <v>4.75</v>
      </c>
      <c r="E234">
        <f>IF(NOT(ISBLANK(A234)),VLOOKUP(A234,'BBT3'!A:F,5,0),"")</f>
        <v>52550</v>
      </c>
      <c r="F234" t="str">
        <f>IF(NOT(ISBLANK(A234)),VLOOKUP(A234,'BBT3'!A:F,6,0),"")</f>
        <v>N</v>
      </c>
      <c r="G234">
        <f>IF(NOT(ISBLANK(A234)),VLOOKUP(A234,QW_Close!A:J,5,0),"")</f>
        <v>4.9335014887805201E-2</v>
      </c>
      <c r="H234" s="5" t="e" cm="1">
        <f t="array" ref="H234">IF(NOT(ISBLANK(A234)),((_xlfn.XLOOKUP(1,(_bbt3[[#All],[ID]]=A234)*(_bbt3[[#All],[METRIC_NAME]]="YLD_YTM_ASK"),_bbt3[[#All],[METRIC_VALUE]])*0.5)+(_xlfn.XLOOKUP(1,(_bbt3[[#All],[ID]]=A234)*(_bbt3[[#All],[METRIC_NAME]]="YLD_YTM_BID"),_bbt3[[#All],[METRIC_VALUE]])*0.5))/100,"")</f>
        <v>#N/A</v>
      </c>
      <c r="I234">
        <f>IF(ISNA(VLOOKUP(A234,QW_CloseDL!A:E,5,0)),0,VLOOKUP(A234,QW_CloseDL!A:E,5,0))</f>
        <v>4.9335014887805201E-2</v>
      </c>
      <c r="J234" s="8">
        <f t="shared" si="15"/>
        <v>0</v>
      </c>
      <c r="P234">
        <v>0</v>
      </c>
      <c r="Q234" t="e">
        <f t="shared" si="16"/>
        <v>#N/A</v>
      </c>
      <c r="R234" t="e">
        <f t="shared" si="17"/>
        <v>#N/A</v>
      </c>
      <c r="S234" s="9" t="e">
        <f t="shared" si="18"/>
        <v>#N/A</v>
      </c>
      <c r="T234" s="3" t="e">
        <f t="shared" si="19"/>
        <v>#N/A</v>
      </c>
    </row>
    <row r="235" spans="1:20" x14ac:dyDescent="0.35">
      <c r="A235" t="str">
        <v>912810TX6</v>
      </c>
      <c r="B235" t="str">
        <f>IF(NOT(ISBLANK(A235)),VLOOKUP(A235,'BBT3'!A:F,2,0),"")</f>
        <v>Bond</v>
      </c>
      <c r="C235" t="str">
        <f>IF(NOT(ISBLANK(A235)),VLOOKUP(A235,'BBT3'!A:F,3,0),"")</f>
        <v>US912810TX63</v>
      </c>
      <c r="D235" s="6">
        <f>IF(NOT(ISBLANK(A235)),VLOOKUP(A235,'BBT3'!A:F,4,1),"")</f>
        <v>4.25</v>
      </c>
      <c r="E235">
        <f>IF(NOT(ISBLANK(A235)),VLOOKUP(A235,'BBT3'!A:F,5,0),"")</f>
        <v>56295</v>
      </c>
      <c r="F235" t="str">
        <f>IF(NOT(ISBLANK(A235)),VLOOKUP(A235,'BBT3'!A:F,6,0),"")</f>
        <v>N</v>
      </c>
      <c r="G235">
        <f>IF(NOT(ISBLANK(A235)),VLOOKUP(A235,QW_Close!A:J,5,0),"")</f>
        <v>5.01494287246914E-2</v>
      </c>
      <c r="H235" s="5" t="e" cm="1">
        <f t="array" ref="H235">IF(NOT(ISBLANK(A235)),((_xlfn.XLOOKUP(1,(_bbt3[[#All],[ID]]=A235)*(_bbt3[[#All],[METRIC_NAME]]="YLD_YTM_ASK"),_bbt3[[#All],[METRIC_VALUE]])*0.5)+(_xlfn.XLOOKUP(1,(_bbt3[[#All],[ID]]=A235)*(_bbt3[[#All],[METRIC_NAME]]="YLD_YTM_BID"),_bbt3[[#All],[METRIC_VALUE]])*0.5))/100,"")</f>
        <v>#N/A</v>
      </c>
      <c r="I235">
        <f>IF(ISNA(VLOOKUP(A235,QW_CloseDL!A:E,5,0)),0,VLOOKUP(A235,QW_CloseDL!A:E,5,0))</f>
        <v>5.01494287246914E-2</v>
      </c>
      <c r="J235" s="8">
        <f t="shared" si="15"/>
        <v>0</v>
      </c>
      <c r="P235">
        <v>0</v>
      </c>
      <c r="Q235" t="e">
        <f t="shared" si="16"/>
        <v>#N/A</v>
      </c>
      <c r="R235" t="e">
        <f t="shared" si="17"/>
        <v>#N/A</v>
      </c>
      <c r="S235" s="9" t="e">
        <f t="shared" si="18"/>
        <v>#N/A</v>
      </c>
      <c r="T235" s="3" t="e">
        <f t="shared" si="19"/>
        <v>#N/A</v>
      </c>
    </row>
    <row r="236" spans="1:20" x14ac:dyDescent="0.35">
      <c r="A236" t="str">
        <v>912810TY4</v>
      </c>
      <c r="B236" t="str">
        <f>IF(NOT(ISBLANK(A236)),VLOOKUP(A236,'BBT3'!A:F,2,0),"")</f>
        <v>Bond</v>
      </c>
      <c r="C236" t="str">
        <f>IF(NOT(ISBLANK(A236)),VLOOKUP(A236,'BBT3'!A:F,3,0),"")</f>
        <v>US912810TY47</v>
      </c>
      <c r="D236" s="6">
        <f>IF(NOT(ISBLANK(A236)),VLOOKUP(A236,'BBT3'!A:F,4,1),"")</f>
        <v>2.125</v>
      </c>
      <c r="E236">
        <f>IF(NOT(ISBLANK(A236)),VLOOKUP(A236,'BBT3'!A:F,5,0),"")</f>
        <v>56295</v>
      </c>
      <c r="F236" t="str">
        <f>IF(NOT(ISBLANK(A236)),VLOOKUP(A236,'BBT3'!A:F,6,0),"")</f>
        <v>Y</v>
      </c>
      <c r="G236">
        <f>IF(NOT(ISBLANK(A236)),VLOOKUP(A236,QW_Close!A:J,5,0),"")</f>
        <v>2.7360017137143498E-2</v>
      </c>
      <c r="H236" s="5" t="e" cm="1">
        <f t="array" ref="H236">IF(NOT(ISBLANK(A236)),((_xlfn.XLOOKUP(1,(_bbt3[[#All],[ID]]=A236)*(_bbt3[[#All],[METRIC_NAME]]="YLD_YTM_ASK"),_bbt3[[#All],[METRIC_VALUE]])*0.5)+(_xlfn.XLOOKUP(1,(_bbt3[[#All],[ID]]=A236)*(_bbt3[[#All],[METRIC_NAME]]="YLD_YTM_BID"),_bbt3[[#All],[METRIC_VALUE]])*0.5))/100,"")</f>
        <v>#N/A</v>
      </c>
      <c r="I236">
        <f>IF(ISNA(VLOOKUP(A236,QW_CloseDL!A:E,5,0)),0,VLOOKUP(A236,QW_CloseDL!A:E,5,0))</f>
        <v>2.7360017137143498E-2</v>
      </c>
      <c r="J236" s="8">
        <f t="shared" si="15"/>
        <v>0</v>
      </c>
      <c r="P236">
        <v>0</v>
      </c>
      <c r="Q236" t="e">
        <f t="shared" si="16"/>
        <v>#N/A</v>
      </c>
      <c r="R236" t="e">
        <f t="shared" si="17"/>
        <v>#N/A</v>
      </c>
      <c r="S236" s="9" t="e">
        <f t="shared" si="18"/>
        <v>#N/A</v>
      </c>
      <c r="T236" s="3" t="e">
        <f t="shared" si="19"/>
        <v>#N/A</v>
      </c>
    </row>
    <row r="237" spans="1:20" x14ac:dyDescent="0.35">
      <c r="A237" t="str">
        <v>912810TZ1</v>
      </c>
      <c r="B237" t="str">
        <f>IF(NOT(ISBLANK(A237)),VLOOKUP(A237,'BBT3'!A:F,2,0),"")</f>
        <v>Bond</v>
      </c>
      <c r="C237" t="str">
        <f>IF(NOT(ISBLANK(A237)),VLOOKUP(A237,'BBT3'!A:F,3,0),"")</f>
        <v>US912810TZ12</v>
      </c>
      <c r="D237" s="6">
        <f>IF(NOT(ISBLANK(A237)),VLOOKUP(A237,'BBT3'!A:F,4,1),"")</f>
        <v>4.5</v>
      </c>
      <c r="E237">
        <f>IF(NOT(ISBLANK(A237)),VLOOKUP(A237,'BBT3'!A:F,5,0),"")</f>
        <v>52642</v>
      </c>
      <c r="F237" t="str">
        <f>IF(NOT(ISBLANK(A237)),VLOOKUP(A237,'BBT3'!A:F,6,0),"")</f>
        <v>N</v>
      </c>
      <c r="G237">
        <f>IF(NOT(ISBLANK(A237)),VLOOKUP(A237,QW_Close!A:J,5,0),"")</f>
        <v>4.9502284960766099E-2</v>
      </c>
      <c r="H237" s="5" t="e" cm="1">
        <f t="array" ref="H237">IF(NOT(ISBLANK(A237)),((_xlfn.XLOOKUP(1,(_bbt3[[#All],[ID]]=A237)*(_bbt3[[#All],[METRIC_NAME]]="YLD_YTM_ASK"),_bbt3[[#All],[METRIC_VALUE]])*0.5)+(_xlfn.XLOOKUP(1,(_bbt3[[#All],[ID]]=A237)*(_bbt3[[#All],[METRIC_NAME]]="YLD_YTM_BID"),_bbt3[[#All],[METRIC_VALUE]])*0.5))/100,"")</f>
        <v>#N/A</v>
      </c>
      <c r="I237">
        <f>IF(ISNA(VLOOKUP(A237,QW_CloseDL!A:E,5,0)),0,VLOOKUP(A237,QW_CloseDL!A:E,5,0))</f>
        <v>4.9502284960766099E-2</v>
      </c>
      <c r="J237" s="8">
        <f t="shared" si="15"/>
        <v>0</v>
      </c>
      <c r="P237">
        <v>0</v>
      </c>
      <c r="Q237" t="e">
        <f t="shared" si="16"/>
        <v>#N/A</v>
      </c>
      <c r="R237" t="e">
        <f t="shared" si="17"/>
        <v>#N/A</v>
      </c>
      <c r="S237" s="9" t="e">
        <f t="shared" si="18"/>
        <v>#N/A</v>
      </c>
      <c r="T237" s="3" t="e">
        <f t="shared" si="19"/>
        <v>#N/A</v>
      </c>
    </row>
    <row r="238" spans="1:20" x14ac:dyDescent="0.35">
      <c r="A238" t="str">
        <v>912810UA4</v>
      </c>
      <c r="B238" t="str">
        <f>IF(NOT(ISBLANK(A238)),VLOOKUP(A238,'BBT3'!A:F,2,0),"")</f>
        <v>Bond</v>
      </c>
      <c r="C238" t="str">
        <f>IF(NOT(ISBLANK(A238)),VLOOKUP(A238,'BBT3'!A:F,3,0),"")</f>
        <v>US912810UA42</v>
      </c>
      <c r="D238" s="6">
        <f>IF(NOT(ISBLANK(A238)),VLOOKUP(A238,'BBT3'!A:F,4,1),"")</f>
        <v>4.625</v>
      </c>
      <c r="E238">
        <f>IF(NOT(ISBLANK(A238)),VLOOKUP(A238,'BBT3'!A:F,5,0),"")</f>
        <v>56384</v>
      </c>
      <c r="F238" t="str">
        <f>IF(NOT(ISBLANK(A238)),VLOOKUP(A238,'BBT3'!A:F,6,0),"")</f>
        <v>N</v>
      </c>
      <c r="G238">
        <f>IF(NOT(ISBLANK(A238)),VLOOKUP(A238,QW_Close!A:J,5,0),"")</f>
        <v>5.0038940318290898E-2</v>
      </c>
      <c r="H238" s="5" t="e" cm="1">
        <f t="array" ref="H238">IF(NOT(ISBLANK(A238)),((_xlfn.XLOOKUP(1,(_bbt3[[#All],[ID]]=A238)*(_bbt3[[#All],[METRIC_NAME]]="YLD_YTM_ASK"),_bbt3[[#All],[METRIC_VALUE]])*0.5)+(_xlfn.XLOOKUP(1,(_bbt3[[#All],[ID]]=A238)*(_bbt3[[#All],[METRIC_NAME]]="YLD_YTM_BID"),_bbt3[[#All],[METRIC_VALUE]])*0.5))/100,"")</f>
        <v>#N/A</v>
      </c>
      <c r="I238">
        <f>IF(ISNA(VLOOKUP(A238,QW_CloseDL!A:E,5,0)),0,VLOOKUP(A238,QW_CloseDL!A:E,5,0))</f>
        <v>5.0038940318290898E-2</v>
      </c>
      <c r="J238" s="8">
        <f t="shared" si="15"/>
        <v>0</v>
      </c>
      <c r="P238">
        <v>0</v>
      </c>
      <c r="Q238" t="e">
        <f t="shared" si="16"/>
        <v>#N/A</v>
      </c>
      <c r="R238" t="e">
        <f t="shared" si="17"/>
        <v>#N/A</v>
      </c>
      <c r="S238" s="9" t="e">
        <f t="shared" si="18"/>
        <v>#N/A</v>
      </c>
      <c r="T238" s="3" t="e">
        <f t="shared" si="19"/>
        <v>#N/A</v>
      </c>
    </row>
    <row r="239" spans="1:20" x14ac:dyDescent="0.35">
      <c r="A239" t="str">
        <v>912810UB2</v>
      </c>
      <c r="B239" t="str">
        <f>IF(NOT(ISBLANK(A239)),VLOOKUP(A239,'BBT3'!A:F,2,0),"")</f>
        <v>Bond</v>
      </c>
      <c r="C239" t="str">
        <f>IF(NOT(ISBLANK(A239)),VLOOKUP(A239,'BBT3'!A:F,3,0),"")</f>
        <v>US912810UB25</v>
      </c>
      <c r="D239" s="6">
        <f>IF(NOT(ISBLANK(A239)),VLOOKUP(A239,'BBT3'!A:F,4,1),"")</f>
        <v>4.625</v>
      </c>
      <c r="E239">
        <f>IF(NOT(ISBLANK(A239)),VLOOKUP(A239,'BBT3'!A:F,5,0),"")</f>
        <v>52732</v>
      </c>
      <c r="F239" t="str">
        <f>IF(NOT(ISBLANK(A239)),VLOOKUP(A239,'BBT3'!A:F,6,0),"")</f>
        <v>N</v>
      </c>
      <c r="G239">
        <f>IF(NOT(ISBLANK(A239)),VLOOKUP(A239,QW_Close!A:J,5,0),"")</f>
        <v>4.95525644891801E-2</v>
      </c>
      <c r="H239" s="5" t="e" cm="1">
        <f t="array" ref="H239">IF(NOT(ISBLANK(A239)),((_xlfn.XLOOKUP(1,(_bbt3[[#All],[ID]]=A239)*(_bbt3[[#All],[METRIC_NAME]]="YLD_YTM_ASK"),_bbt3[[#All],[METRIC_VALUE]])*0.5)+(_xlfn.XLOOKUP(1,(_bbt3[[#All],[ID]]=A239)*(_bbt3[[#All],[METRIC_NAME]]="YLD_YTM_BID"),_bbt3[[#All],[METRIC_VALUE]])*0.5))/100,"")</f>
        <v>#N/A</v>
      </c>
      <c r="I239">
        <f>IF(ISNA(VLOOKUP(A239,QW_CloseDL!A:E,5,0)),0,VLOOKUP(A239,QW_CloseDL!A:E,5,0))</f>
        <v>4.95525644891801E-2</v>
      </c>
      <c r="J239" s="8">
        <f t="shared" si="15"/>
        <v>0</v>
      </c>
      <c r="P239">
        <v>0</v>
      </c>
      <c r="Q239" t="e">
        <f t="shared" si="16"/>
        <v>#N/A</v>
      </c>
      <c r="R239" t="e">
        <f t="shared" si="17"/>
        <v>#N/A</v>
      </c>
      <c r="S239" s="9" t="e">
        <f t="shared" si="18"/>
        <v>#N/A</v>
      </c>
      <c r="T239" s="3" t="e">
        <f t="shared" si="19"/>
        <v>#N/A</v>
      </c>
    </row>
    <row r="240" spans="1:20" x14ac:dyDescent="0.35">
      <c r="A240" t="str">
        <v>912810UC0</v>
      </c>
      <c r="B240" t="str">
        <f>IF(NOT(ISBLANK(A240)),VLOOKUP(A240,'BBT3'!A:F,2,0),"")</f>
        <v>Bond</v>
      </c>
      <c r="C240" t="str">
        <f>IF(NOT(ISBLANK(A240)),VLOOKUP(A240,'BBT3'!A:F,3,0),"")</f>
        <v>US912810UC08</v>
      </c>
      <c r="D240" s="6">
        <f>IF(NOT(ISBLANK(A240)),VLOOKUP(A240,'BBT3'!A:F,4,1),"")</f>
        <v>4.25</v>
      </c>
      <c r="E240">
        <f>IF(NOT(ISBLANK(A240)),VLOOKUP(A240,'BBT3'!A:F,5,0),"")</f>
        <v>56476</v>
      </c>
      <c r="F240" t="str">
        <f>IF(NOT(ISBLANK(A240)),VLOOKUP(A240,'BBT3'!A:F,6,0),"")</f>
        <v>N</v>
      </c>
      <c r="G240">
        <f>IF(NOT(ISBLANK(A240)),VLOOKUP(A240,QW_Close!A:J,5,0),"")</f>
        <v>5.0046677692070697E-2</v>
      </c>
      <c r="H240" s="5" t="e" cm="1">
        <f t="array" ref="H240">IF(NOT(ISBLANK(A240)),((_xlfn.XLOOKUP(1,(_bbt3[[#All],[ID]]=A240)*(_bbt3[[#All],[METRIC_NAME]]="YLD_YTM_ASK"),_bbt3[[#All],[METRIC_VALUE]])*0.5)+(_xlfn.XLOOKUP(1,(_bbt3[[#All],[ID]]=A240)*(_bbt3[[#All],[METRIC_NAME]]="YLD_YTM_BID"),_bbt3[[#All],[METRIC_VALUE]])*0.5))/100,"")</f>
        <v>#N/A</v>
      </c>
      <c r="I240">
        <f>IF(ISNA(VLOOKUP(A240,QW_CloseDL!A:E,5,0)),0,VLOOKUP(A240,QW_CloseDL!A:E,5,0))</f>
        <v>5.0046677692070697E-2</v>
      </c>
      <c r="J240" s="8">
        <f t="shared" si="15"/>
        <v>0</v>
      </c>
      <c r="P240">
        <v>0</v>
      </c>
      <c r="Q240" t="e">
        <f t="shared" si="16"/>
        <v>#N/A</v>
      </c>
      <c r="R240" t="e">
        <f t="shared" si="17"/>
        <v>#N/A</v>
      </c>
      <c r="S240" s="9" t="e">
        <f t="shared" si="18"/>
        <v>#N/A</v>
      </c>
      <c r="T240" s="3" t="e">
        <f t="shared" si="19"/>
        <v>#N/A</v>
      </c>
    </row>
    <row r="241" spans="1:20" x14ac:dyDescent="0.35">
      <c r="A241" t="str">
        <v>912810UD8</v>
      </c>
      <c r="B241" t="str">
        <f>IF(NOT(ISBLANK(A241)),VLOOKUP(A241,'BBT3'!A:F,2,0),"")</f>
        <v>Bond</v>
      </c>
      <c r="C241" t="str">
        <f>IF(NOT(ISBLANK(A241)),VLOOKUP(A241,'BBT3'!A:F,3,0),"")</f>
        <v>US912810UD80</v>
      </c>
      <c r="D241" s="6">
        <f>IF(NOT(ISBLANK(A241)),VLOOKUP(A241,'BBT3'!A:F,4,1),"")</f>
        <v>4.125</v>
      </c>
      <c r="E241">
        <f>IF(NOT(ISBLANK(A241)),VLOOKUP(A241,'BBT3'!A:F,5,0),"")</f>
        <v>52824</v>
      </c>
      <c r="F241" t="str">
        <f>IF(NOT(ISBLANK(A241)),VLOOKUP(A241,'BBT3'!A:F,6,0),"")</f>
        <v>N</v>
      </c>
      <c r="G241">
        <f>IF(NOT(ISBLANK(A241)),VLOOKUP(A241,QW_Close!A:J,5,0),"")</f>
        <v>4.9754374441502602E-2</v>
      </c>
      <c r="H241" s="5" t="e" cm="1">
        <f t="array" ref="H241">IF(NOT(ISBLANK(A241)),((_xlfn.XLOOKUP(1,(_bbt3[[#All],[ID]]=A241)*(_bbt3[[#All],[METRIC_NAME]]="YLD_YTM_ASK"),_bbt3[[#All],[METRIC_VALUE]])*0.5)+(_xlfn.XLOOKUP(1,(_bbt3[[#All],[ID]]=A241)*(_bbt3[[#All],[METRIC_NAME]]="YLD_YTM_BID"),_bbt3[[#All],[METRIC_VALUE]])*0.5))/100,"")</f>
        <v>#N/A</v>
      </c>
      <c r="I241">
        <f>IF(ISNA(VLOOKUP(A241,QW_CloseDL!A:E,5,0)),0,VLOOKUP(A241,QW_CloseDL!A:E,5,0))</f>
        <v>4.9754374441502602E-2</v>
      </c>
      <c r="J241" s="8">
        <f t="shared" si="15"/>
        <v>0</v>
      </c>
      <c r="P241">
        <v>0</v>
      </c>
      <c r="Q241" t="e">
        <f t="shared" si="16"/>
        <v>#N/A</v>
      </c>
      <c r="R241" t="e">
        <f t="shared" si="17"/>
        <v>#N/A</v>
      </c>
      <c r="S241" s="9" t="e">
        <f t="shared" si="18"/>
        <v>#N/A</v>
      </c>
      <c r="T241" s="3" t="e">
        <f t="shared" si="19"/>
        <v>#N/A</v>
      </c>
    </row>
    <row r="242" spans="1:20" x14ac:dyDescent="0.35">
      <c r="A242" t="str">
        <v>912810UE6</v>
      </c>
      <c r="B242" t="str">
        <f>IF(NOT(ISBLANK(A242)),VLOOKUP(A242,'BBT3'!A:F,2,0),"")</f>
        <v>Bond</v>
      </c>
      <c r="C242" t="str">
        <f>IF(NOT(ISBLANK(A242)),VLOOKUP(A242,'BBT3'!A:F,3,0),"")</f>
        <v>US912810UE63</v>
      </c>
      <c r="D242" s="6">
        <f>IF(NOT(ISBLANK(A242)),VLOOKUP(A242,'BBT3'!A:F,4,1),"")</f>
        <v>4.5</v>
      </c>
      <c r="E242">
        <f>IF(NOT(ISBLANK(A242)),VLOOKUP(A242,'BBT3'!A:F,5,0),"")</f>
        <v>56568</v>
      </c>
      <c r="F242" t="str">
        <f>IF(NOT(ISBLANK(A242)),VLOOKUP(A242,'BBT3'!A:F,6,0),"")</f>
        <v>N</v>
      </c>
      <c r="G242">
        <f>IF(NOT(ISBLANK(A242)),VLOOKUP(A242,QW_Close!A:J,5,0),"")</f>
        <v>5.0009958980498002E-2</v>
      </c>
      <c r="H242" s="5" t="e" cm="1">
        <f t="array" ref="H242">IF(NOT(ISBLANK(A242)),((_xlfn.XLOOKUP(1,(_bbt3[[#All],[ID]]=A242)*(_bbt3[[#All],[METRIC_NAME]]="YLD_YTM_ASK"),_bbt3[[#All],[METRIC_VALUE]])*0.5)+(_xlfn.XLOOKUP(1,(_bbt3[[#All],[ID]]=A242)*(_bbt3[[#All],[METRIC_NAME]]="YLD_YTM_BID"),_bbt3[[#All],[METRIC_VALUE]])*0.5))/100,"")</f>
        <v>#N/A</v>
      </c>
      <c r="I242">
        <f>IF(ISNA(VLOOKUP(A242,QW_CloseDL!A:E,5,0)),0,VLOOKUP(A242,QW_CloseDL!A:E,5,0))</f>
        <v>5.0009958980498002E-2</v>
      </c>
      <c r="J242" s="8">
        <f t="shared" si="15"/>
        <v>0</v>
      </c>
      <c r="P242">
        <v>0</v>
      </c>
      <c r="Q242" t="e">
        <f t="shared" si="16"/>
        <v>#N/A</v>
      </c>
      <c r="R242" t="e">
        <f t="shared" si="17"/>
        <v>#N/A</v>
      </c>
      <c r="S242" s="9" t="e">
        <f t="shared" si="18"/>
        <v>#N/A</v>
      </c>
      <c r="T242" s="3" t="e">
        <f t="shared" si="19"/>
        <v>#N/A</v>
      </c>
    </row>
    <row r="243" spans="1:20" x14ac:dyDescent="0.35">
      <c r="A243" t="str">
        <v>912810UF3</v>
      </c>
      <c r="B243" t="str">
        <f>IF(NOT(ISBLANK(A243)),VLOOKUP(A243,'BBT3'!A:F,2,0),"")</f>
        <v>Bond</v>
      </c>
      <c r="C243" t="str">
        <f>IF(NOT(ISBLANK(A243)),VLOOKUP(A243,'BBT3'!A:F,3,0),"")</f>
        <v>US912810UF39</v>
      </c>
      <c r="D243" s="6">
        <f>IF(NOT(ISBLANK(A243)),VLOOKUP(A243,'BBT3'!A:F,4,1),"")</f>
        <v>4.625</v>
      </c>
      <c r="E243">
        <f>IF(NOT(ISBLANK(A243)),VLOOKUP(A243,'BBT3'!A:F,5,0),"")</f>
        <v>52916</v>
      </c>
      <c r="F243" t="str">
        <f>IF(NOT(ISBLANK(A243)),VLOOKUP(A243,'BBT3'!A:F,6,0),"")</f>
        <v>N</v>
      </c>
      <c r="G243">
        <f>IF(NOT(ISBLANK(A243)),VLOOKUP(A243,QW_Close!A:J,5,0),"")</f>
        <v>4.9716107680875497E-2</v>
      </c>
      <c r="H243" s="5" t="e" cm="1">
        <f t="array" ref="H243">IF(NOT(ISBLANK(A243)),((_xlfn.XLOOKUP(1,(_bbt3[[#All],[ID]]=A243)*(_bbt3[[#All],[METRIC_NAME]]="YLD_YTM_ASK"),_bbt3[[#All],[METRIC_VALUE]])*0.5)+(_xlfn.XLOOKUP(1,(_bbt3[[#All],[ID]]=A243)*(_bbt3[[#All],[METRIC_NAME]]="YLD_YTM_BID"),_bbt3[[#All],[METRIC_VALUE]])*0.5))/100,"")</f>
        <v>#N/A</v>
      </c>
      <c r="I243">
        <f>IF(ISNA(VLOOKUP(A243,QW_CloseDL!A:E,5,0)),0,VLOOKUP(A243,QW_CloseDL!A:E,5,0))</f>
        <v>4.9716107680875497E-2</v>
      </c>
      <c r="J243" s="8">
        <f t="shared" si="15"/>
        <v>0</v>
      </c>
      <c r="P243">
        <v>0</v>
      </c>
      <c r="Q243" t="e">
        <f t="shared" si="16"/>
        <v>#N/A</v>
      </c>
      <c r="R243" t="e">
        <f t="shared" si="17"/>
        <v>#N/A</v>
      </c>
      <c r="S243" s="9" t="e">
        <f t="shared" si="18"/>
        <v>#N/A</v>
      </c>
      <c r="T243" s="3" t="e">
        <f t="shared" si="19"/>
        <v>#N/A</v>
      </c>
    </row>
    <row r="244" spans="1:20" x14ac:dyDescent="0.35">
      <c r="A244" t="str">
        <v>912810UG1</v>
      </c>
      <c r="B244" t="str">
        <f>IF(NOT(ISBLANK(A244)),VLOOKUP(A244,'BBT3'!A:F,2,0),"")</f>
        <v>Bond</v>
      </c>
      <c r="C244" t="str">
        <f>IF(NOT(ISBLANK(A244)),VLOOKUP(A244,'BBT3'!A:F,3,0),"")</f>
        <v>US912810UG12</v>
      </c>
      <c r="D244" s="6">
        <f>IF(NOT(ISBLANK(A244)),VLOOKUP(A244,'BBT3'!A:F,4,1),"")</f>
        <v>4.625</v>
      </c>
      <c r="E244">
        <f>IF(NOT(ISBLANK(A244)),VLOOKUP(A244,'BBT3'!A:F,5,0),"")</f>
        <v>56660</v>
      </c>
      <c r="F244" t="str">
        <f>IF(NOT(ISBLANK(A244)),VLOOKUP(A244,'BBT3'!A:F,6,0),"")</f>
        <v>N</v>
      </c>
      <c r="G244">
        <f>IF(NOT(ISBLANK(A244)),VLOOKUP(A244,QW_Close!A:J,5,0),"")</f>
        <v>4.99507201420279E-2</v>
      </c>
      <c r="H244" s="5" t="e" cm="1">
        <f t="array" ref="H244">IF(NOT(ISBLANK(A244)),((_xlfn.XLOOKUP(1,(_bbt3[[#All],[ID]]=A244)*(_bbt3[[#All],[METRIC_NAME]]="YLD_YTM_ASK"),_bbt3[[#All],[METRIC_VALUE]])*0.5)+(_xlfn.XLOOKUP(1,(_bbt3[[#All],[ID]]=A244)*(_bbt3[[#All],[METRIC_NAME]]="YLD_YTM_BID"),_bbt3[[#All],[METRIC_VALUE]])*0.5))/100,"")</f>
        <v>#N/A</v>
      </c>
      <c r="I244">
        <f>IF(ISNA(VLOOKUP(A244,QW_CloseDL!A:E,5,0)),0,VLOOKUP(A244,QW_CloseDL!A:E,5,0))</f>
        <v>4.99507201420279E-2</v>
      </c>
      <c r="J244" s="8">
        <f t="shared" si="15"/>
        <v>0</v>
      </c>
      <c r="P244">
        <v>0</v>
      </c>
      <c r="Q244" t="e">
        <f t="shared" si="16"/>
        <v>#N/A</v>
      </c>
      <c r="R244" t="e">
        <f t="shared" si="17"/>
        <v>#N/A</v>
      </c>
      <c r="S244" s="9" t="e">
        <f t="shared" si="18"/>
        <v>#N/A</v>
      </c>
      <c r="T244" s="3" t="e">
        <f t="shared" si="19"/>
        <v>#N/A</v>
      </c>
    </row>
    <row r="245" spans="1:20" x14ac:dyDescent="0.35">
      <c r="A245" t="str">
        <v>912810UH9</v>
      </c>
      <c r="B245" t="str">
        <f>IF(NOT(ISBLANK(A245)),VLOOKUP(A245,'BBT3'!A:F,2,0),"")</f>
        <v>Bond</v>
      </c>
      <c r="C245" t="str">
        <f>IF(NOT(ISBLANK(A245)),VLOOKUP(A245,'BBT3'!A:F,3,0),"")</f>
        <v>US912810UH94</v>
      </c>
      <c r="D245" s="6">
        <f>IF(NOT(ISBLANK(A245)),VLOOKUP(A245,'BBT3'!A:F,4,1),"")</f>
        <v>2.375</v>
      </c>
      <c r="E245">
        <f>IF(NOT(ISBLANK(A245)),VLOOKUP(A245,'BBT3'!A:F,5,0),"")</f>
        <v>56660</v>
      </c>
      <c r="F245" t="str">
        <f>IF(NOT(ISBLANK(A245)),VLOOKUP(A245,'BBT3'!A:F,6,0),"")</f>
        <v>Y</v>
      </c>
      <c r="G245">
        <f>IF(NOT(ISBLANK(A245)),VLOOKUP(A245,QW_Close!A:J,5,0),"")</f>
        <v>2.7294774313942401E-2</v>
      </c>
      <c r="H245" s="5" t="e" cm="1">
        <f t="array" ref="H245">IF(NOT(ISBLANK(A245)),((_xlfn.XLOOKUP(1,(_bbt3[[#All],[ID]]=A245)*(_bbt3[[#All],[METRIC_NAME]]="YLD_YTM_ASK"),_bbt3[[#All],[METRIC_VALUE]])*0.5)+(_xlfn.XLOOKUP(1,(_bbt3[[#All],[ID]]=A245)*(_bbt3[[#All],[METRIC_NAME]]="YLD_YTM_BID"),_bbt3[[#All],[METRIC_VALUE]])*0.5))/100,"")</f>
        <v>#N/A</v>
      </c>
      <c r="I245">
        <f>IF(ISNA(VLOOKUP(A245,QW_CloseDL!A:E,5,0)),0,VLOOKUP(A245,QW_CloseDL!A:E,5,0))</f>
        <v>2.7294775634938599E-2</v>
      </c>
      <c r="J245" s="8">
        <f t="shared" si="15"/>
        <v>1.3209961978455365E-5</v>
      </c>
      <c r="P245">
        <v>0</v>
      </c>
      <c r="Q245" t="e">
        <f t="shared" si="16"/>
        <v>#N/A</v>
      </c>
      <c r="R245" t="e">
        <f t="shared" si="17"/>
        <v>#N/A</v>
      </c>
      <c r="S245" s="9" t="e">
        <f t="shared" si="18"/>
        <v>#N/A</v>
      </c>
      <c r="T245" s="3" t="e">
        <f t="shared" si="19"/>
        <v>#N/A</v>
      </c>
    </row>
    <row r="246" spans="1:20" x14ac:dyDescent="0.35">
      <c r="A246" t="str">
        <v>912810UJ5</v>
      </c>
      <c r="B246" t="str">
        <f>IF(NOT(ISBLANK(A246)),VLOOKUP(A246,'BBT3'!A:F,2,0),"")</f>
        <v>Bond</v>
      </c>
      <c r="C246" t="str">
        <f>IF(NOT(ISBLANK(A246)),VLOOKUP(A246,'BBT3'!A:F,3,0),"")</f>
        <v>US912810UJ50</v>
      </c>
      <c r="D246" s="6">
        <f>IF(NOT(ISBLANK(A246)),VLOOKUP(A246,'BBT3'!A:F,4,1),"")</f>
        <v>4.75</v>
      </c>
      <c r="E246">
        <f>IF(NOT(ISBLANK(A246)),VLOOKUP(A246,'BBT3'!A:F,5,0),"")</f>
        <v>53008</v>
      </c>
      <c r="F246" t="str">
        <f>IF(NOT(ISBLANK(A246)),VLOOKUP(A246,'BBT3'!A:F,6,0),"")</f>
        <v>N</v>
      </c>
      <c r="G246">
        <f>IF(NOT(ISBLANK(A246)),VLOOKUP(A246,QW_Close!A:J,5,0),"")</f>
        <v>4.9744751328532899E-2</v>
      </c>
      <c r="H246" s="5" t="e" cm="1">
        <f t="array" ref="H246">IF(NOT(ISBLANK(A246)),((_xlfn.XLOOKUP(1,(_bbt3[[#All],[ID]]=A246)*(_bbt3[[#All],[METRIC_NAME]]="YLD_YTM_ASK"),_bbt3[[#All],[METRIC_VALUE]])*0.5)+(_xlfn.XLOOKUP(1,(_bbt3[[#All],[ID]]=A246)*(_bbt3[[#All],[METRIC_NAME]]="YLD_YTM_BID"),_bbt3[[#All],[METRIC_VALUE]])*0.5))/100,"")</f>
        <v>#N/A</v>
      </c>
      <c r="I246">
        <f>IF(ISNA(VLOOKUP(A246,QW_CloseDL!A:E,5,0)),0,VLOOKUP(A246,QW_CloseDL!A:E,5,0))</f>
        <v>4.9744751328532899E-2</v>
      </c>
      <c r="J246" s="8">
        <f t="shared" si="15"/>
        <v>0</v>
      </c>
      <c r="P246">
        <v>0</v>
      </c>
      <c r="Q246" t="e">
        <f t="shared" si="16"/>
        <v>#N/A</v>
      </c>
      <c r="R246" t="e">
        <f t="shared" si="17"/>
        <v>#N/A</v>
      </c>
      <c r="S246" s="9" t="e">
        <f t="shared" si="18"/>
        <v>#N/A</v>
      </c>
      <c r="T246" s="3" t="e">
        <f t="shared" si="19"/>
        <v>#N/A</v>
      </c>
    </row>
    <row r="247" spans="1:20" x14ac:dyDescent="0.35">
      <c r="A247" t="str">
        <v>912810UK2</v>
      </c>
      <c r="B247" t="str">
        <f>IF(NOT(ISBLANK(A247)),VLOOKUP(A247,'BBT3'!A:F,2,0),"")</f>
        <v>Bond</v>
      </c>
      <c r="C247" t="str">
        <f>IF(NOT(ISBLANK(A247)),VLOOKUP(A247,'BBT3'!A:F,3,0),"")</f>
        <v>US912810UK24</v>
      </c>
      <c r="D247" s="6">
        <f>IF(NOT(ISBLANK(A247)),VLOOKUP(A247,'BBT3'!A:F,4,1),"")</f>
        <v>4.75</v>
      </c>
      <c r="E247">
        <f>IF(NOT(ISBLANK(A247)),VLOOKUP(A247,'BBT3'!A:F,5,0),"")</f>
        <v>56749</v>
      </c>
      <c r="F247" t="str">
        <f>IF(NOT(ISBLANK(A247)),VLOOKUP(A247,'BBT3'!A:F,6,0),"")</f>
        <v>N</v>
      </c>
      <c r="G247">
        <f>IF(NOT(ISBLANK(A247)),VLOOKUP(A247,QW_Close!A:J,5,0),"")</f>
        <v>4.9920189116336701E-2</v>
      </c>
      <c r="H247" s="5" cm="1">
        <f t="array" ref="H247">IF(NOT(ISBLANK(A247)),((_xlfn.XLOOKUP(1,(_bbt3[[#All],[ID]]=A247)*(_bbt3[[#All],[METRIC_NAME]]="YLD_YTM_ASK"),_bbt3[[#All],[METRIC_VALUE]])*0.5)+(_xlfn.XLOOKUP(1,(_bbt3[[#All],[ID]]=A247)*(_bbt3[[#All],[METRIC_NAME]]="YLD_YTM_BID"),_bbt3[[#All],[METRIC_VALUE]])*0.5))/100,"")</f>
        <v>4.9920190350000004E-2</v>
      </c>
      <c r="I247">
        <f>IF(ISNA(VLOOKUP(A247,QW_CloseDL!A:E,5,0)),0,VLOOKUP(A247,QW_CloseDL!A:E,5,0))</f>
        <v>4.9920189116336701E-2</v>
      </c>
      <c r="J247" s="8">
        <f t="shared" si="15"/>
        <v>0</v>
      </c>
      <c r="P247">
        <v>0</v>
      </c>
      <c r="Q247" t="e">
        <f t="shared" si="16"/>
        <v>#N/A</v>
      </c>
      <c r="R247" t="e">
        <f t="shared" si="17"/>
        <v>#N/A</v>
      </c>
      <c r="S247" s="9" t="e">
        <f t="shared" si="18"/>
        <v>#N/A</v>
      </c>
      <c r="T247" s="3" t="e">
        <f t="shared" si="19"/>
        <v>#N/A</v>
      </c>
    </row>
    <row r="248" spans="1:20" x14ac:dyDescent="0.35">
      <c r="A248" t="str">
        <v>912810UL0</v>
      </c>
      <c r="B248" t="str">
        <f>IF(NOT(ISBLANK(A248)),VLOOKUP(A248,'BBT3'!A:F,2,0),"")</f>
        <v>Bond</v>
      </c>
      <c r="C248" t="str">
        <f>IF(NOT(ISBLANK(A248)),VLOOKUP(A248,'BBT3'!A:F,3,0),"")</f>
        <v>US912810UL07</v>
      </c>
      <c r="D248" s="6">
        <f>IF(NOT(ISBLANK(A248)),VLOOKUP(A248,'BBT3'!A:F,4,1),"")</f>
        <v>5</v>
      </c>
      <c r="E248">
        <f>IF(NOT(ISBLANK(A248)),VLOOKUP(A248,'BBT3'!A:F,5,0),"")</f>
        <v>53097</v>
      </c>
      <c r="F248" t="str">
        <f>IF(NOT(ISBLANK(A248)),VLOOKUP(A248,'BBT3'!A:F,6,0),"")</f>
        <v>N</v>
      </c>
      <c r="G248">
        <f>IF(NOT(ISBLANK(A248)),VLOOKUP(A248,QW_Close!A:J,5,0),"")</f>
        <v>4.9721638840097698E-2</v>
      </c>
      <c r="H248" s="5" cm="1">
        <f t="array" ref="H248">IF(NOT(ISBLANK(A248)),((_xlfn.XLOOKUP(1,(_bbt3[[#All],[ID]]=A248)*(_bbt3[[#All],[METRIC_NAME]]="YLD_YTM_ASK"),_bbt3[[#All],[METRIC_VALUE]])*0.5)+(_xlfn.XLOOKUP(1,(_bbt3[[#All],[ID]]=A248)*(_bbt3[[#All],[METRIC_NAME]]="YLD_YTM_BID"),_bbt3[[#All],[METRIC_VALUE]])*0.5))/100,"")</f>
        <v>4.9721641999999996E-2</v>
      </c>
      <c r="I248">
        <f>IF(ISNA(VLOOKUP(A248,QW_CloseDL!A:E,5,0)),0,VLOOKUP(A248,QW_CloseDL!A:E,5,0))</f>
        <v>4.9721638840097698E-2</v>
      </c>
      <c r="J248" s="8">
        <f t="shared" si="15"/>
        <v>0</v>
      </c>
      <c r="P248">
        <v>0</v>
      </c>
      <c r="Q248" t="e">
        <f t="shared" si="16"/>
        <v>#N/A</v>
      </c>
      <c r="R248" t="e">
        <f t="shared" si="17"/>
        <v>#N/A</v>
      </c>
      <c r="S248" s="9" t="e">
        <f t="shared" si="18"/>
        <v>#N/A</v>
      </c>
      <c r="T248" s="3" t="e">
        <f t="shared" si="19"/>
        <v>#N/A</v>
      </c>
    </row>
    <row r="249" spans="1:20" x14ac:dyDescent="0.35">
      <c r="A249" t="str">
        <v>912810UM8</v>
      </c>
      <c r="B249" t="str">
        <f>IF(NOT(ISBLANK(A249)),VLOOKUP(A249,'BBT3'!A:F,2,0),"")</f>
        <v>Bond</v>
      </c>
      <c r="C249" t="str">
        <f>IF(NOT(ISBLANK(A249)),VLOOKUP(A249,'BBT3'!A:F,3,0),"")</f>
        <v>US912810UM89</v>
      </c>
      <c r="D249" s="6">
        <f>IF(NOT(ISBLANK(A249)),VLOOKUP(A249,'BBT3'!A:F,4,1),"")</f>
        <v>4.75</v>
      </c>
      <c r="E249">
        <f>IF(NOT(ISBLANK(A249)),VLOOKUP(A249,'BBT3'!A:F,5,0),"")</f>
        <v>56841</v>
      </c>
      <c r="F249" t="str">
        <f>IF(NOT(ISBLANK(A249)),VLOOKUP(A249,'BBT3'!A:F,6,0),"")</f>
        <v>N</v>
      </c>
      <c r="G249">
        <f>IF(NOT(ISBLANK(A249)),VLOOKUP(A249,QW_Close!A:J,5,0),"")</f>
        <v>4.9876270679841697E-2</v>
      </c>
      <c r="H249" s="5" cm="1">
        <f t="array" ref="H249">IF(NOT(ISBLANK(A249)),((_xlfn.XLOOKUP(1,(_bbt3[[#All],[ID]]=A249)*(_bbt3[[#All],[METRIC_NAME]]="YLD_YTM_ASK"),_bbt3[[#All],[METRIC_VALUE]])*0.5)+(_xlfn.XLOOKUP(1,(_bbt3[[#All],[ID]]=A249)*(_bbt3[[#All],[METRIC_NAME]]="YLD_YTM_BID"),_bbt3[[#All],[METRIC_VALUE]])*0.5))/100,"")</f>
        <v>4.9876271899999998E-2</v>
      </c>
      <c r="I249">
        <f>IF(ISNA(VLOOKUP(A249,QW_CloseDL!A:E,5,0)),0,VLOOKUP(A249,QW_CloseDL!A:E,5,0))</f>
        <v>4.9876270679841697E-2</v>
      </c>
      <c r="J249" s="8">
        <f t="shared" si="15"/>
        <v>0</v>
      </c>
      <c r="P249">
        <v>0</v>
      </c>
      <c r="Q249" t="e">
        <f t="shared" si="16"/>
        <v>#N/A</v>
      </c>
      <c r="R249" t="e">
        <f t="shared" si="17"/>
        <v>#N/A</v>
      </c>
      <c r="S249" s="9" t="e">
        <f t="shared" si="18"/>
        <v>#N/A</v>
      </c>
      <c r="T249" s="3" t="e">
        <f t="shared" si="19"/>
        <v>#N/A</v>
      </c>
    </row>
    <row r="250" spans="1:20" x14ac:dyDescent="0.35">
      <c r="A250" t="str">
        <v>912810UN6</v>
      </c>
      <c r="B250" t="str">
        <f>IF(NOT(ISBLANK(A250)),VLOOKUP(A250,'BBT3'!A:F,2,0),"")</f>
        <v>Bond</v>
      </c>
      <c r="C250" t="str">
        <f>IF(NOT(ISBLANK(A250)),VLOOKUP(A250,'BBT3'!A:F,3,0),"")</f>
        <v>US912810UN62</v>
      </c>
      <c r="D250" s="6">
        <f>IF(NOT(ISBLANK(A250)),VLOOKUP(A250,'BBT3'!A:F,4,1),"")</f>
        <v>4.875</v>
      </c>
      <c r="E250">
        <f>IF(NOT(ISBLANK(A250)),VLOOKUP(A250,'BBT3'!A:F,5,0),"")</f>
        <v>53189</v>
      </c>
      <c r="F250" t="str">
        <f>IF(NOT(ISBLANK(A250)),VLOOKUP(A250,'BBT3'!A:F,6,0),"")</f>
        <v>N</v>
      </c>
      <c r="G250">
        <f>IF(NOT(ISBLANK(A250)),VLOOKUP(A250,QW_Close!A:J,5,0),"")</f>
        <v>4.9807573827093603E-2</v>
      </c>
      <c r="H250" s="5" cm="1">
        <f t="array" ref="H250">IF(NOT(ISBLANK(A250)),((_xlfn.XLOOKUP(1,(_bbt3[[#All],[ID]]=A250)*(_bbt3[[#All],[METRIC_NAME]]="YLD_YTM_ASK"),_bbt3[[#All],[METRIC_VALUE]])*0.5)+(_xlfn.XLOOKUP(1,(_bbt3[[#All],[ID]]=A250)*(_bbt3[[#All],[METRIC_NAME]]="YLD_YTM_BID"),_bbt3[[#All],[METRIC_VALUE]])*0.5))/100,"")</f>
        <v>4.9807576999999999E-2</v>
      </c>
      <c r="I250">
        <f>IF(ISNA(VLOOKUP(A250,QW_CloseDL!A:E,5,0)),0,VLOOKUP(A250,QW_CloseDL!A:E,5,0))</f>
        <v>4.9807573827093603E-2</v>
      </c>
      <c r="J250" s="8">
        <f t="shared" si="15"/>
        <v>0</v>
      </c>
      <c r="P250">
        <v>0</v>
      </c>
      <c r="Q250" t="e">
        <f t="shared" si="16"/>
        <v>#N/A</v>
      </c>
      <c r="R250" t="e">
        <f t="shared" si="17"/>
        <v>#N/A</v>
      </c>
      <c r="S250" s="9" t="e">
        <f t="shared" si="18"/>
        <v>#N/A</v>
      </c>
      <c r="T250" s="3" t="e">
        <f t="shared" si="19"/>
        <v>#N/A</v>
      </c>
    </row>
    <row r="251" spans="1:20" x14ac:dyDescent="0.35">
      <c r="A251" t="str">
        <v>912810UP1</v>
      </c>
      <c r="B251" t="str">
        <f>IF(NOT(ISBLANK(A251)),VLOOKUP(A251,'BBT3'!A:F,2,0),"")</f>
        <v>Bond</v>
      </c>
      <c r="C251" t="str">
        <f>IF(NOT(ISBLANK(A251)),VLOOKUP(A251,'BBT3'!A:F,3,0),"")</f>
        <v>US912810UP11</v>
      </c>
      <c r="D251" s="6">
        <f>IF(NOT(ISBLANK(A251)),VLOOKUP(A251,'BBT3'!A:F,4,1),"")</f>
        <v>4.625</v>
      </c>
      <c r="E251">
        <f>IF(NOT(ISBLANK(A251)),VLOOKUP(A251,'BBT3'!A:F,5,0),"")</f>
        <v>56933</v>
      </c>
      <c r="F251" t="str">
        <f>IF(NOT(ISBLANK(A251)),VLOOKUP(A251,'BBT3'!A:F,6,0),"")</f>
        <v>N</v>
      </c>
      <c r="G251">
        <f>IF(NOT(ISBLANK(A251)),VLOOKUP(A251,QW_Close!A:J,5,0),"")</f>
        <v>4.9861387957268098E-2</v>
      </c>
      <c r="H251" s="5" cm="1">
        <f t="array" ref="H251">IF(NOT(ISBLANK(A251)),((_xlfn.XLOOKUP(1,(_bbt3[[#All],[ID]]=A251)*(_bbt3[[#All],[METRIC_NAME]]="YLD_YTM_ASK"),_bbt3[[#All],[METRIC_VALUE]])*0.5)+(_xlfn.XLOOKUP(1,(_bbt3[[#All],[ID]]=A251)*(_bbt3[[#All],[METRIC_NAME]]="YLD_YTM_BID"),_bbt3[[#All],[METRIC_VALUE]])*0.5))/100,"")</f>
        <v>4.9861389000000006E-2</v>
      </c>
      <c r="I251">
        <f>IF(ISNA(VLOOKUP(A251,QW_CloseDL!A:E,5,0)),0,VLOOKUP(A251,QW_CloseDL!A:E,5,0))</f>
        <v>4.9861387957268098E-2</v>
      </c>
      <c r="J251" s="8">
        <f t="shared" si="15"/>
        <v>0</v>
      </c>
      <c r="P251">
        <v>0</v>
      </c>
      <c r="Q251" t="e">
        <f t="shared" si="16"/>
        <v>#N/A</v>
      </c>
      <c r="R251" t="e">
        <f t="shared" si="17"/>
        <v>#N/A</v>
      </c>
      <c r="S251" s="9" t="e">
        <f t="shared" si="18"/>
        <v>#N/A</v>
      </c>
      <c r="T251" s="3" t="e">
        <f t="shared" si="19"/>
        <v>#N/A</v>
      </c>
    </row>
    <row r="252" spans="1:20" x14ac:dyDescent="0.35">
      <c r="A252" t="str">
        <v>912810UQ9</v>
      </c>
      <c r="B252" t="str">
        <f>IF(NOT(ISBLANK(A252)),VLOOKUP(A252,'BBT3'!A:F,2,0),"")</f>
        <v>Bond</v>
      </c>
      <c r="C252" t="str">
        <f>IF(NOT(ISBLANK(A252)),VLOOKUP(A252,'BBT3'!A:F,3,0),"")</f>
        <v>US912810UQ93</v>
      </c>
      <c r="D252" s="6">
        <f>IF(NOT(ISBLANK(A252)),VLOOKUP(A252,'BBT3'!A:F,4,1),"")</f>
        <v>4.625</v>
      </c>
      <c r="E252">
        <f>IF(NOT(ISBLANK(A252)),VLOOKUP(A252,'BBT3'!A:F,5,0),"")</f>
        <v>53281</v>
      </c>
      <c r="F252" t="str">
        <f>IF(NOT(ISBLANK(A252)),VLOOKUP(A252,'BBT3'!A:F,6,0),"")</f>
        <v>N</v>
      </c>
      <c r="G252">
        <f>IF(NOT(ISBLANK(A252)),VLOOKUP(A252,QW_Close!A:J,5,0),"")</f>
        <v>4.9889980521656302E-2</v>
      </c>
      <c r="H252" s="5" cm="1">
        <f t="array" ref="H252">IF(NOT(ISBLANK(A252)),((_xlfn.XLOOKUP(1,(_bbt3[[#All],[ID]]=A252)*(_bbt3[[#All],[METRIC_NAME]]="YLD_YTM_ASK"),_bbt3[[#All],[METRIC_VALUE]])*0.5)+(_xlfn.XLOOKUP(1,(_bbt3[[#All],[ID]]=A252)*(_bbt3[[#All],[METRIC_NAME]]="YLD_YTM_BID"),_bbt3[[#All],[METRIC_VALUE]])*0.5))/100,"")</f>
        <v>4.9889981999999999E-2</v>
      </c>
      <c r="I252">
        <f>IF(ISNA(VLOOKUP(A252,QW_CloseDL!A:E,5,0)),0,VLOOKUP(A252,QW_CloseDL!A:E,5,0))</f>
        <v>4.9889980521656302E-2</v>
      </c>
      <c r="J252" s="8">
        <f t="shared" si="15"/>
        <v>0</v>
      </c>
      <c r="P252">
        <v>0</v>
      </c>
      <c r="Q252" t="e">
        <f t="shared" si="16"/>
        <v>#N/A</v>
      </c>
      <c r="R252" t="e">
        <f t="shared" si="17"/>
        <v>#N/A</v>
      </c>
      <c r="S252" s="9" t="e">
        <f t="shared" si="18"/>
        <v>#N/A</v>
      </c>
      <c r="T252" s="3" t="e">
        <f t="shared" si="19"/>
        <v>#N/A</v>
      </c>
    </row>
    <row r="253" spans="1:20" x14ac:dyDescent="0.35">
      <c r="A253" t="str">
        <v>912810UR7</v>
      </c>
      <c r="B253" t="str">
        <f>IF(NOT(ISBLANK(A253)),VLOOKUP(A253,'BBT3'!A:F,2,0),"")</f>
        <v>Bond</v>
      </c>
      <c r="C253" t="str">
        <f>IF(NOT(ISBLANK(A253)),VLOOKUP(A253,'BBT3'!A:F,3,0),"")</f>
        <v>US912810UR76</v>
      </c>
      <c r="D253" s="6">
        <f>IF(NOT(ISBLANK(A253)),VLOOKUP(A253,'BBT3'!A:F,4,1),"")</f>
        <v>4.75</v>
      </c>
      <c r="E253">
        <f>IF(NOT(ISBLANK(A253)),VLOOKUP(A253,'BBT3'!A:F,5,0),"")</f>
        <v>57025</v>
      </c>
      <c r="F253" t="str">
        <f>IF(NOT(ISBLANK(A253)),VLOOKUP(A253,'BBT3'!A:F,6,0),"")</f>
        <v>N</v>
      </c>
      <c r="G253">
        <f>IF(NOT(ISBLANK(A253)),VLOOKUP(A253,QW_Close!A:J,5,0),"")</f>
        <v>4.9800673749153999E-2</v>
      </c>
      <c r="H253" s="5" cm="1">
        <f t="array" ref="H253">IF(NOT(ISBLANK(A253)),((_xlfn.XLOOKUP(1,(_bbt3[[#All],[ID]]=A253)*(_bbt3[[#All],[METRIC_NAME]]="YLD_YTM_ASK"),_bbt3[[#All],[METRIC_VALUE]])*0.5)+(_xlfn.XLOOKUP(1,(_bbt3[[#All],[ID]]=A253)*(_bbt3[[#All],[METRIC_NAME]]="YLD_YTM_BID"),_bbt3[[#All],[METRIC_VALUE]])*0.5))/100,"")</f>
        <v>4.9800674000000003E-2</v>
      </c>
      <c r="I253">
        <f>IF(ISNA(VLOOKUP(A253,QW_CloseDL!A:E,5,0)),0,VLOOKUP(A253,QW_CloseDL!A:E,5,0))</f>
        <v>4.9800673749153999E-2</v>
      </c>
      <c r="J253" s="8">
        <f t="shared" si="15"/>
        <v>0</v>
      </c>
      <c r="P253">
        <v>0</v>
      </c>
      <c r="Q253" t="e">
        <f t="shared" si="16"/>
        <v>#N/A</v>
      </c>
      <c r="R253" t="e">
        <f t="shared" si="17"/>
        <v>#N/A</v>
      </c>
      <c r="S253" s="9" t="e">
        <f t="shared" si="18"/>
        <v>#N/A</v>
      </c>
      <c r="T253" s="3" t="e">
        <f t="shared" si="19"/>
        <v>#N/A</v>
      </c>
    </row>
    <row r="254" spans="1:20" x14ac:dyDescent="0.35">
      <c r="A254" t="str">
        <v>912810US5</v>
      </c>
      <c r="B254" t="str">
        <f>IF(NOT(ISBLANK(A254)),VLOOKUP(A254,'BBT3'!A:F,2,0),"")</f>
        <v>Bond</v>
      </c>
      <c r="C254" t="str">
        <f>IF(NOT(ISBLANK(A254)),VLOOKUP(A254,'BBT3'!A:F,3,0),"")</f>
        <v>US912810US59</v>
      </c>
      <c r="D254" s="6">
        <f>IF(NOT(ISBLANK(A254)),VLOOKUP(A254,'BBT3'!A:F,4,1),"")</f>
        <v>2.375</v>
      </c>
      <c r="E254">
        <f>IF(NOT(ISBLANK(A254)),VLOOKUP(A254,'BBT3'!A:F,5,0),"")</f>
        <v>57025</v>
      </c>
      <c r="F254" t="str">
        <f>IF(NOT(ISBLANK(A254)),VLOOKUP(A254,'BBT3'!A:F,6,0),"")</f>
        <v>Y</v>
      </c>
      <c r="G254">
        <f>IF(NOT(ISBLANK(A254)),VLOOKUP(A254,QW_Close!A:J,5,0),"")</f>
        <v>2.7206269778340699E-2</v>
      </c>
      <c r="H254" s="5" t="e" cm="1">
        <f t="array" ref="H254">IF(NOT(ISBLANK(A254)),((_xlfn.XLOOKUP(1,(_bbt3[[#All],[ID]]=A254)*(_bbt3[[#All],[METRIC_NAME]]="YLD_YTM_ASK"),_bbt3[[#All],[METRIC_VALUE]])*0.5)+(_xlfn.XLOOKUP(1,(_bbt3[[#All],[ID]]=A254)*(_bbt3[[#All],[METRIC_NAME]]="YLD_YTM_BID"),_bbt3[[#All],[METRIC_VALUE]])*0.5))/100,"")</f>
        <v>#N/A</v>
      </c>
      <c r="I254">
        <f>IF(ISNA(VLOOKUP(A254,QW_CloseDL!A:E,5,0)),0,VLOOKUP(A254,QW_CloseDL!A:E,5,0))</f>
        <v>2.7206269133140299E-2</v>
      </c>
      <c r="J254" s="8">
        <f t="shared" si="15"/>
        <v>6.4520040005122681E-6</v>
      </c>
      <c r="P254">
        <v>0</v>
      </c>
      <c r="Q254" t="e">
        <f t="shared" si="16"/>
        <v>#N/A</v>
      </c>
      <c r="R254" t="e">
        <f t="shared" si="17"/>
        <v>#N/A</v>
      </c>
      <c r="S254" s="9" t="e">
        <f t="shared" si="18"/>
        <v>#N/A</v>
      </c>
      <c r="T254" s="3" t="e">
        <f t="shared" si="19"/>
        <v>#N/A</v>
      </c>
    </row>
    <row r="255" spans="1:20" x14ac:dyDescent="0.35">
      <c r="A255" t="str">
        <v>912810UT3</v>
      </c>
      <c r="B255" t="str">
        <f>IF(NOT(ISBLANK(A255)),VLOOKUP(A255,'BBT3'!A:F,2,0),"")</f>
        <v>Bond</v>
      </c>
      <c r="C255" t="str">
        <f>IF(NOT(ISBLANK(A255)),VLOOKUP(A255,'BBT3'!A:F,3,0),"")</f>
        <v>US912810UT33</v>
      </c>
      <c r="D255" s="6">
        <f>IF(NOT(ISBLANK(A255)),VLOOKUP(A255,'BBT3'!A:F,4,1),"")</f>
        <v>4.625</v>
      </c>
      <c r="E255">
        <f>IF(NOT(ISBLANK(A255)),VLOOKUP(A255,'BBT3'!A:F,5,0),"")</f>
        <v>53373</v>
      </c>
      <c r="F255" t="str">
        <f>IF(NOT(ISBLANK(A255)),VLOOKUP(A255,'BBT3'!A:F,6,0),"")</f>
        <v>N</v>
      </c>
      <c r="G255">
        <f>IF(NOT(ISBLANK(A255)),VLOOKUP(A255,QW_Close!A:J,5,0),"")</f>
        <v>4.9909752067397797E-2</v>
      </c>
      <c r="H255" s="5" cm="1">
        <f t="array" ref="H255">IF(NOT(ISBLANK(A255)),((_xlfn.XLOOKUP(1,(_bbt3[[#All],[ID]]=A255)*(_bbt3[[#All],[METRIC_NAME]]="YLD_YTM_ASK"),_bbt3[[#All],[METRIC_VALUE]])*0.5)+(_xlfn.XLOOKUP(1,(_bbt3[[#All],[ID]]=A255)*(_bbt3[[#All],[METRIC_NAME]]="YLD_YTM_BID"),_bbt3[[#All],[METRIC_VALUE]])*0.5))/100,"")</f>
        <v>4.9909753499999994E-2</v>
      </c>
      <c r="I255">
        <f>IF(ISNA(VLOOKUP(A255,QW_CloseDL!A:E,5,0)),0,VLOOKUP(A255,QW_CloseDL!A:E,5,0))</f>
        <v>4.9909752067397797E-2</v>
      </c>
      <c r="J255" s="8">
        <f t="shared" si="15"/>
        <v>0</v>
      </c>
      <c r="P255">
        <v>0</v>
      </c>
      <c r="Q255" t="e">
        <f t="shared" si="16"/>
        <v>#N/A</v>
      </c>
      <c r="R255" t="e">
        <f t="shared" si="17"/>
        <v>#N/A</v>
      </c>
      <c r="S255" s="9" t="e">
        <f t="shared" si="18"/>
        <v>#N/A</v>
      </c>
      <c r="T255" s="3" t="e">
        <f t="shared" si="19"/>
        <v>#N/A</v>
      </c>
    </row>
    <row r="256" spans="1:20" x14ac:dyDescent="0.35">
      <c r="A256" t="str">
        <v>912810UU0</v>
      </c>
      <c r="B256" t="str">
        <f>IF(NOT(ISBLANK(A256)),VLOOKUP(A256,'BBT3'!A:F,2,0),"")</f>
        <v>Bond</v>
      </c>
      <c r="C256" t="str">
        <f>IF(NOT(ISBLANK(A256)),VLOOKUP(A256,'BBT3'!A:F,3,0),"")</f>
        <v>US912810UU06</v>
      </c>
      <c r="D256" s="6">
        <f>IF(NOT(ISBLANK(A256)),VLOOKUP(A256,'BBT3'!A:F,4,1),"")</f>
        <v>5</v>
      </c>
      <c r="E256">
        <f>IF(NOT(ISBLANK(A256)),VLOOKUP(A256,'BBT3'!A:F,5,0),"")</f>
        <v>57115</v>
      </c>
      <c r="F256" t="str">
        <f>IF(NOT(ISBLANK(A256)),VLOOKUP(A256,'BBT3'!A:F,6,0),"")</f>
        <v>N</v>
      </c>
      <c r="G256">
        <f>IF(NOT(ISBLANK(A256)),VLOOKUP(A256,QW_Close!A:J,5,0),"")</f>
        <v>4.9770918940725897E-2</v>
      </c>
      <c r="H256" s="5" cm="1">
        <f t="array" ref="H256">IF(NOT(ISBLANK(A256)),((_xlfn.XLOOKUP(1,(_bbt3[[#All],[ID]]=A256)*(_bbt3[[#All],[METRIC_NAME]]="YLD_YTM_ASK"),_bbt3[[#All],[METRIC_VALUE]])*0.5)+(_xlfn.XLOOKUP(1,(_bbt3[[#All],[ID]]=A256)*(_bbt3[[#All],[METRIC_NAME]]="YLD_YTM_BID"),_bbt3[[#All],[METRIC_VALUE]])*0.5))/100,"")</f>
        <v>4.9770919199999993E-2</v>
      </c>
      <c r="I256">
        <f>IF(ISNA(VLOOKUP(A256,QW_CloseDL!A:E,5,0)),0,VLOOKUP(A256,QW_CloseDL!A:E,5,0))</f>
        <v>4.9770918940725897E-2</v>
      </c>
      <c r="J256" s="8">
        <f t="shared" si="15"/>
        <v>0</v>
      </c>
      <c r="P256">
        <v>0</v>
      </c>
      <c r="Q256" t="e">
        <f t="shared" si="16"/>
        <v>#N/A</v>
      </c>
      <c r="R256" t="e">
        <f t="shared" si="17"/>
        <v>#N/A</v>
      </c>
      <c r="S256" s="9" t="e">
        <f t="shared" si="18"/>
        <v>#N/A</v>
      </c>
      <c r="T256" s="3" t="e">
        <f t="shared" si="19"/>
        <v>#N/A</v>
      </c>
    </row>
    <row r="257" spans="1:20" x14ac:dyDescent="0.35">
      <c r="A257" t="str">
        <v>912810UV8</v>
      </c>
      <c r="B257" t="str">
        <f>IF(NOT(ISBLANK(A257)),VLOOKUP(A257,'BBT3'!A:F,2,0),"")</f>
        <v>Bond</v>
      </c>
      <c r="C257" t="str">
        <f>IF(NOT(ISBLANK(A257)),VLOOKUP(A257,'BBT3'!A:F,3,0),"")</f>
        <v>US912810UV88</v>
      </c>
      <c r="D257" s="6">
        <f>IF(NOT(ISBLANK(A257)),VLOOKUP(A257,'BBT3'!A:F,4,1),"")</f>
        <v>5</v>
      </c>
      <c r="E257">
        <f>IF(NOT(ISBLANK(A257)),VLOOKUP(A257,'BBT3'!A:F,5,0),"")</f>
        <v>53462</v>
      </c>
      <c r="F257" t="str">
        <f>IF(NOT(ISBLANK(A257)),VLOOKUP(A257,'BBT3'!A:F,6,0),"")</f>
        <v>N</v>
      </c>
      <c r="G257">
        <f>IF(NOT(ISBLANK(A257)),VLOOKUP(A257,QW_Close!A:J,5,0),"")</f>
        <v>4.9816997315009999E-2</v>
      </c>
      <c r="H257" s="5" cm="1">
        <f t="array" ref="H257">IF(NOT(ISBLANK(A257)),((_xlfn.XLOOKUP(1,(_bbt3[[#All],[ID]]=A257)*(_bbt3[[#All],[METRIC_NAME]]="YLD_YTM_ASK"),_bbt3[[#All],[METRIC_VALUE]])*0.5)+(_xlfn.XLOOKUP(1,(_bbt3[[#All],[ID]]=A257)*(_bbt3[[#All],[METRIC_NAME]]="YLD_YTM_BID"),_bbt3[[#All],[METRIC_VALUE]])*0.5))/100,"")</f>
        <v>4.9816997499999995E-2</v>
      </c>
      <c r="I257">
        <f>IF(ISNA(VLOOKUP(A257,QW_CloseDL!A:E,5,0)),0,VLOOKUP(A257,QW_CloseDL!A:E,5,0))</f>
        <v>4.9816997315009999E-2</v>
      </c>
      <c r="J257" s="8">
        <f t="shared" si="15"/>
        <v>0</v>
      </c>
      <c r="P257">
        <v>0</v>
      </c>
      <c r="Q257" t="e">
        <f t="shared" si="16"/>
        <v>#N/A</v>
      </c>
      <c r="R257" t="e">
        <f t="shared" si="17"/>
        <v>#N/A</v>
      </c>
      <c r="S257" s="9" t="e">
        <f t="shared" si="18"/>
        <v>#N/A</v>
      </c>
      <c r="T257" s="3" t="e">
        <f t="shared" si="19"/>
        <v>#N/A</v>
      </c>
    </row>
    <row r="258" spans="1:20" x14ac:dyDescent="0.35">
      <c r="A258" t="str">
        <v>9128204M6</v>
      </c>
      <c r="B258" t="str">
        <f>IF(NOT(ISBLANK(A258)),VLOOKUP(A258,'BBT3'!A:F,2,0),"")</f>
        <v>Bond</v>
      </c>
      <c r="C258" t="str">
        <f>IF(NOT(ISBLANK(A258)),VLOOKUP(A258,'BBT3'!A:F,3,0),"")</f>
        <v>US9128204M63</v>
      </c>
      <c r="D258" s="6">
        <f>IF(NOT(ISBLANK(A258)),VLOOKUP(A258,'BBT3'!A:F,4,1),"")</f>
        <v>0</v>
      </c>
      <c r="E258">
        <f>IF(NOT(ISBLANK(A258)),VLOOKUP(A258,'BBT3'!A:F,5,0),"")</f>
        <v>46798</v>
      </c>
      <c r="F258" t="str">
        <f>IF(NOT(ISBLANK(A258)),VLOOKUP(A258,'BBT3'!A:F,6,0),"")</f>
        <v>N</v>
      </c>
      <c r="G258">
        <f>IF(NOT(ISBLANK(A258)),VLOOKUP(A258,QW_Close!A:J,5,0),"")</f>
        <v>4.0380157949003598E-2</v>
      </c>
      <c r="H258" s="5" t="e" cm="1">
        <f t="array" ref="H258">IF(NOT(ISBLANK(A258)),((_xlfn.XLOOKUP(1,(_bbt3[[#All],[ID]]=A258)*(_bbt3[[#All],[METRIC_NAME]]="YLD_YTM_ASK"),_bbt3[[#All],[METRIC_VALUE]])*0.5)+(_xlfn.XLOOKUP(1,(_bbt3[[#All],[ID]]=A258)*(_bbt3[[#All],[METRIC_NAME]]="YLD_YTM_BID"),_bbt3[[#All],[METRIC_VALUE]])*0.5))/100,"")</f>
        <v>#N/A</v>
      </c>
      <c r="I258">
        <f>IF(ISNA(VLOOKUP(A258,QW_CloseDL!A:E,5,0)),0,VLOOKUP(A258,QW_CloseDL!A:E,5,0))</f>
        <v>4.0379827805755802E-2</v>
      </c>
      <c r="J258" s="8">
        <f t="shared" si="15"/>
        <v>3.3014324779534476E-3</v>
      </c>
      <c r="P258">
        <v>0</v>
      </c>
      <c r="Q258" t="e">
        <f t="shared" si="16"/>
        <v>#N/A</v>
      </c>
      <c r="R258" t="e">
        <f t="shared" si="17"/>
        <v>#N/A</v>
      </c>
      <c r="S258" s="9" t="e">
        <f t="shared" si="18"/>
        <v>#N/A</v>
      </c>
      <c r="T258" s="3" t="e">
        <f t="shared" si="19"/>
        <v>#N/A</v>
      </c>
    </row>
    <row r="259" spans="1:20" x14ac:dyDescent="0.35">
      <c r="A259" t="str">
        <v>9128205B9</v>
      </c>
      <c r="B259" t="str">
        <f>IF(NOT(ISBLANK(A259)),VLOOKUP(A259,'BBT3'!A:F,2,0),"")</f>
        <v>Bond</v>
      </c>
      <c r="C259" t="str">
        <f>IF(NOT(ISBLANK(A259)),VLOOKUP(A259,'BBT3'!A:F,3,0),"")</f>
        <v>US9128205B99</v>
      </c>
      <c r="D259" s="6">
        <f>IF(NOT(ISBLANK(A259)),VLOOKUP(A259,'BBT3'!A:F,4,1),"")</f>
        <v>0</v>
      </c>
      <c r="E259">
        <f>IF(NOT(ISBLANK(A259)),VLOOKUP(A259,'BBT3'!A:F,5,0),"")</f>
        <v>46888</v>
      </c>
      <c r="F259" t="str">
        <f>IF(NOT(ISBLANK(A259)),VLOOKUP(A259,'BBT3'!A:F,6,0),"")</f>
        <v>N</v>
      </c>
      <c r="G259">
        <f>IF(NOT(ISBLANK(A259)),VLOOKUP(A259,QW_Close!A:J,5,0),"")</f>
        <v>4.0570623467782403E-2</v>
      </c>
      <c r="H259" s="5" t="e" cm="1">
        <f t="array" ref="H259">IF(NOT(ISBLANK(A259)),((_xlfn.XLOOKUP(1,(_bbt3[[#All],[ID]]=A259)*(_bbt3[[#All],[METRIC_NAME]]="YLD_YTM_ASK"),_bbt3[[#All],[METRIC_VALUE]])*0.5)+(_xlfn.XLOOKUP(1,(_bbt3[[#All],[ID]]=A259)*(_bbt3[[#All],[METRIC_NAME]]="YLD_YTM_BID"),_bbt3[[#All],[METRIC_VALUE]])*0.5))/100,"")</f>
        <v>#N/A</v>
      </c>
      <c r="I259">
        <f>IF(ISNA(VLOOKUP(A259,QW_CloseDL!A:E,5,0)),0,VLOOKUP(A259,QW_CloseDL!A:E,5,0))</f>
        <v>4.0569746669234297E-2</v>
      </c>
      <c r="J259" s="8">
        <f t="shared" ref="J259:J322" si="20">IF(ISNA(IF(NOT(ISBLANK(A259)),ABS(G259-I259),"")),0,(IF(NOT(ISBLANK(A259)),ABS(G259-I259)*10000,"")))</f>
        <v>8.7679854810646107E-3</v>
      </c>
      <c r="P259">
        <v>0</v>
      </c>
      <c r="Q259" t="e">
        <f t="shared" si="16"/>
        <v>#N/A</v>
      </c>
      <c r="R259" t="e">
        <f t="shared" si="17"/>
        <v>#N/A</v>
      </c>
      <c r="S259" s="9" t="e">
        <f t="shared" si="18"/>
        <v>#N/A</v>
      </c>
      <c r="T259" s="3" t="e">
        <f t="shared" si="19"/>
        <v>#N/A</v>
      </c>
    </row>
    <row r="260" spans="1:20" x14ac:dyDescent="0.35">
      <c r="A260" t="str">
        <v>9128207D3</v>
      </c>
      <c r="B260" t="str">
        <f>IF(NOT(ISBLANK(A260)),VLOOKUP(A260,'BBT3'!A:F,2,0),"")</f>
        <v>Bond</v>
      </c>
      <c r="C260" t="str">
        <f>IF(NOT(ISBLANK(A260)),VLOOKUP(A260,'BBT3'!A:F,3,0),"")</f>
        <v>US9128207D38</v>
      </c>
      <c r="D260" s="6">
        <f>IF(NOT(ISBLANK(A260)),VLOOKUP(A260,'BBT3'!A:F,4,1),"")</f>
        <v>0</v>
      </c>
      <c r="E260">
        <f>IF(NOT(ISBLANK(A260)),VLOOKUP(A260,'BBT3'!A:F,5,0),"")</f>
        <v>46522</v>
      </c>
      <c r="F260" t="str">
        <f>IF(NOT(ISBLANK(A260)),VLOOKUP(A260,'BBT3'!A:F,6,0),"")</f>
        <v>N</v>
      </c>
      <c r="G260">
        <f>IF(NOT(ISBLANK(A260)),VLOOKUP(A260,QW_Close!A:J,5,0),"")</f>
        <v>3.8960472823657201E-2</v>
      </c>
      <c r="H260" s="5" t="e" cm="1">
        <f t="array" ref="H260">IF(NOT(ISBLANK(A260)),((_xlfn.XLOOKUP(1,(_bbt3[[#All],[ID]]=A260)*(_bbt3[[#All],[METRIC_NAME]]="YLD_YTM_ASK"),_bbt3[[#All],[METRIC_VALUE]])*0.5)+(_xlfn.XLOOKUP(1,(_bbt3[[#All],[ID]]=A260)*(_bbt3[[#All],[METRIC_NAME]]="YLD_YTM_BID"),_bbt3[[#All],[METRIC_VALUE]])*0.5))/100,"")</f>
        <v>#N/A</v>
      </c>
      <c r="I260">
        <f>IF(ISNA(VLOOKUP(A260,QW_CloseDL!A:E,5,0)),0,VLOOKUP(A260,QW_CloseDL!A:E,5,0))</f>
        <v>3.8959778047766097E-2</v>
      </c>
      <c r="J260" s="8">
        <f t="shared" si="20"/>
        <v>6.9477589110383819E-3</v>
      </c>
      <c r="P260">
        <v>0</v>
      </c>
      <c r="Q260" t="e">
        <f t="shared" si="16"/>
        <v>#N/A</v>
      </c>
      <c r="R260" t="e">
        <f t="shared" si="17"/>
        <v>#N/A</v>
      </c>
      <c r="S260" s="9" t="e">
        <f t="shared" si="18"/>
        <v>#N/A</v>
      </c>
      <c r="T260" s="3" t="e">
        <f t="shared" si="19"/>
        <v>#N/A</v>
      </c>
    </row>
    <row r="261" spans="1:20" x14ac:dyDescent="0.35">
      <c r="A261" t="str">
        <v>912821CA1</v>
      </c>
      <c r="B261" t="str">
        <f>IF(NOT(ISBLANK(A261)),VLOOKUP(A261,'BBT3'!A:F,2,0),"")</f>
        <v>Bond</v>
      </c>
      <c r="C261" t="str">
        <f>IF(NOT(ISBLANK(A261)),VLOOKUP(A261,'BBT3'!A:F,3,0),"")</f>
        <v>US912821CA17</v>
      </c>
      <c r="D261" s="6">
        <f>IF(NOT(ISBLANK(A261)),VLOOKUP(A261,'BBT3'!A:F,4,1),"")</f>
        <v>0</v>
      </c>
      <c r="E261">
        <f>IF(NOT(ISBLANK(A261)),VLOOKUP(A261,'BBT3'!A:F,5,0),"")</f>
        <v>47253</v>
      </c>
      <c r="F261" t="str">
        <f>IF(NOT(ISBLANK(A261)),VLOOKUP(A261,'BBT3'!A:F,6,0),"")</f>
        <v>N</v>
      </c>
      <c r="G261">
        <f>IF(NOT(ISBLANK(A261)),VLOOKUP(A261,QW_Close!A:J,5,0),"")</f>
        <v>4.0994947473670301E-2</v>
      </c>
      <c r="H261" s="5" t="e" cm="1">
        <f t="array" ref="H261">IF(NOT(ISBLANK(A261)),((_xlfn.XLOOKUP(1,(_bbt3[[#All],[ID]]=A261)*(_bbt3[[#All],[METRIC_NAME]]="YLD_YTM_ASK"),_bbt3[[#All],[METRIC_VALUE]])*0.5)+(_xlfn.XLOOKUP(1,(_bbt3[[#All],[ID]]=A261)*(_bbt3[[#All],[METRIC_NAME]]="YLD_YTM_BID"),_bbt3[[#All],[METRIC_VALUE]])*0.5))/100,"")</f>
        <v>#N/A</v>
      </c>
      <c r="I261">
        <f>IF(ISNA(VLOOKUP(A261,QW_CloseDL!A:E,5,0)),0,VLOOKUP(A261,QW_CloseDL!A:E,5,0))</f>
        <v>4.0994914611732901E-2</v>
      </c>
      <c r="J261" s="8">
        <f t="shared" si="20"/>
        <v>3.2861937400430197E-4</v>
      </c>
      <c r="P261">
        <v>0</v>
      </c>
      <c r="Q261" t="e">
        <f t="shared" si="16"/>
        <v>#N/A</v>
      </c>
      <c r="R261" t="e">
        <f t="shared" si="17"/>
        <v>#N/A</v>
      </c>
      <c r="S261" s="9" t="e">
        <f t="shared" si="18"/>
        <v>#N/A</v>
      </c>
      <c r="T261" s="3" t="e">
        <f t="shared" si="19"/>
        <v>#N/A</v>
      </c>
    </row>
    <row r="262" spans="1:20" x14ac:dyDescent="0.35">
      <c r="A262" t="str">
        <v>912821CP8</v>
      </c>
      <c r="B262" t="str">
        <f>IF(NOT(ISBLANK(A262)),VLOOKUP(A262,'BBT3'!A:F,2,0),"")</f>
        <v>Bond</v>
      </c>
      <c r="C262" t="str">
        <f>IF(NOT(ISBLANK(A262)),VLOOKUP(A262,'BBT3'!A:F,3,0),"")</f>
        <v>US912821CP85</v>
      </c>
      <c r="D262" s="6">
        <f>IF(NOT(ISBLANK(A262)),VLOOKUP(A262,'BBT3'!A:F,4,1),"")</f>
        <v>0</v>
      </c>
      <c r="E262">
        <f>IF(NOT(ISBLANK(A262)),VLOOKUP(A262,'BBT3'!A:F,5,0),"")</f>
        <v>46234</v>
      </c>
      <c r="F262" t="str">
        <f>IF(NOT(ISBLANK(A262)),VLOOKUP(A262,'BBT3'!A:F,6,0),"")</f>
        <v>N</v>
      </c>
      <c r="G262" t="e">
        <f>IF(NOT(ISBLANK(A262)),VLOOKUP(A262,QW_Close!A:J,5,0),"")</f>
        <v>#N/A</v>
      </c>
      <c r="H262" s="5" cm="1">
        <f t="array" ref="H262">IF(NOT(ISBLANK(A262)),((_xlfn.XLOOKUP(1,(_bbt3[[#All],[ID]]=A262)*(_bbt3[[#All],[METRIC_NAME]]="YLD_YTM_ASK"),_bbt3[[#All],[METRIC_VALUE]])*0.5)+(_xlfn.XLOOKUP(1,(_bbt3[[#All],[ID]]=A262)*(_bbt3[[#All],[METRIC_NAME]]="YLD_YTM_BID"),_bbt3[[#All],[METRIC_VALUE]])*0.5))/100,"")</f>
        <v>3.6819999999999999E-2</v>
      </c>
      <c r="I262">
        <f>IF(ISNA(VLOOKUP(A262,QW_CloseDL!A:E,5,0)),0,VLOOKUP(A262,QW_CloseDL!A:E,5,0))</f>
        <v>3.6819999729281697E-2</v>
      </c>
      <c r="J262" s="8">
        <f t="shared" si="20"/>
        <v>0</v>
      </c>
      <c r="P262">
        <v>0</v>
      </c>
      <c r="Q262" t="e">
        <f t="shared" si="16"/>
        <v>#N/A</v>
      </c>
      <c r="R262" t="e">
        <f t="shared" si="17"/>
        <v>#N/A</v>
      </c>
      <c r="S262" s="9" t="e">
        <f t="shared" si="18"/>
        <v>#N/A</v>
      </c>
      <c r="T262" s="3" t="e">
        <f t="shared" si="19"/>
        <v>#N/A</v>
      </c>
    </row>
    <row r="263" spans="1:20" x14ac:dyDescent="0.35">
      <c r="A263" t="str">
        <v>912821DF9</v>
      </c>
      <c r="B263" t="str">
        <f>IF(NOT(ISBLANK(A263)),VLOOKUP(A263,'BBT3'!A:F,2,0),"")</f>
        <v>Bond</v>
      </c>
      <c r="C263" t="str">
        <f>IF(NOT(ISBLANK(A263)),VLOOKUP(A263,'BBT3'!A:F,3,0),"")</f>
        <v>US912821DF94</v>
      </c>
      <c r="D263" s="6">
        <f>IF(NOT(ISBLANK(A263)),VLOOKUP(A263,'BBT3'!A:F,4,1),"")</f>
        <v>0</v>
      </c>
      <c r="E263">
        <f>IF(NOT(ISBLANK(A263)),VLOOKUP(A263,'BBT3'!A:F,5,0),"")</f>
        <v>47437</v>
      </c>
      <c r="F263" t="str">
        <f>IF(NOT(ISBLANK(A263)),VLOOKUP(A263,'BBT3'!A:F,6,0),"")</f>
        <v>N</v>
      </c>
      <c r="G263">
        <f>IF(NOT(ISBLANK(A263)),VLOOKUP(A263,QW_Close!A:J,5,0),"")</f>
        <v>4.1214986362254798E-2</v>
      </c>
      <c r="H263" s="5" t="e" cm="1">
        <f t="array" ref="H263">IF(NOT(ISBLANK(A263)),((_xlfn.XLOOKUP(1,(_bbt3[[#All],[ID]]=A263)*(_bbt3[[#All],[METRIC_NAME]]="YLD_YTM_ASK"),_bbt3[[#All],[METRIC_VALUE]])*0.5)+(_xlfn.XLOOKUP(1,(_bbt3[[#All],[ID]]=A263)*(_bbt3[[#All],[METRIC_NAME]]="YLD_YTM_BID"),_bbt3[[#All],[METRIC_VALUE]])*0.5))/100,"")</f>
        <v>#N/A</v>
      </c>
      <c r="I263">
        <f>IF(ISNA(VLOOKUP(A263,QW_CloseDL!A:E,5,0)),0,VLOOKUP(A263,QW_CloseDL!A:E,5,0))</f>
        <v>4.1214853915438297E-2</v>
      </c>
      <c r="J263" s="8">
        <f t="shared" si="20"/>
        <v>1.324468165003756E-3</v>
      </c>
      <c r="P263">
        <v>0</v>
      </c>
      <c r="Q263" t="e">
        <f t="shared" si="16"/>
        <v>#N/A</v>
      </c>
      <c r="R263" t="e">
        <f t="shared" si="17"/>
        <v>#N/A</v>
      </c>
      <c r="S263" s="9" t="e">
        <f t="shared" si="18"/>
        <v>#N/A</v>
      </c>
      <c r="T263" s="3" t="e">
        <f t="shared" si="19"/>
        <v>#N/A</v>
      </c>
    </row>
    <row r="264" spans="1:20" x14ac:dyDescent="0.35">
      <c r="A264" t="str">
        <v>912821DV4</v>
      </c>
      <c r="B264" t="str">
        <f>IF(NOT(ISBLANK(A264)),VLOOKUP(A264,'BBT3'!A:F,2,0),"")</f>
        <v>Bond</v>
      </c>
      <c r="C264" t="str">
        <f>IF(NOT(ISBLANK(A264)),VLOOKUP(A264,'BBT3'!A:F,3,0),"")</f>
        <v>US912821DV45</v>
      </c>
      <c r="D264" s="6">
        <f>IF(NOT(ISBLANK(A264)),VLOOKUP(A264,'BBT3'!A:F,4,1),"")</f>
        <v>0</v>
      </c>
      <c r="E264">
        <f>IF(NOT(ISBLANK(A264)),VLOOKUP(A264,'BBT3'!A:F,5,0),"")</f>
        <v>47529</v>
      </c>
      <c r="F264" t="str">
        <f>IF(NOT(ISBLANK(A264)),VLOOKUP(A264,'BBT3'!A:F,6,0),"")</f>
        <v>N</v>
      </c>
      <c r="G264">
        <f>IF(NOT(ISBLANK(A264)),VLOOKUP(A264,QW_Close!A:J,5,0),"")</f>
        <v>4.1324350089720699E-2</v>
      </c>
      <c r="H264" s="5" cm="1">
        <f t="array" ref="H264">IF(NOT(ISBLANK(A264)),((_xlfn.XLOOKUP(1,(_bbt3[[#All],[ID]]=A264)*(_bbt3[[#All],[METRIC_NAME]]="YLD_YTM_ASK"),_bbt3[[#All],[METRIC_VALUE]])*0.5)+(_xlfn.XLOOKUP(1,(_bbt3[[#All],[ID]]=A264)*(_bbt3[[#All],[METRIC_NAME]]="YLD_YTM_BID"),_bbt3[[#All],[METRIC_VALUE]])*0.5))/100,"")</f>
        <v>4.1325000000000001E-2</v>
      </c>
      <c r="I264">
        <f>IF(ISNA(VLOOKUP(A264,QW_CloseDL!A:E,5,0)),0,VLOOKUP(A264,QW_CloseDL!A:E,5,0))</f>
        <v>4.1323318388681897E-2</v>
      </c>
      <c r="J264" s="8">
        <f t="shared" si="20"/>
        <v>1.0317010388019576E-2</v>
      </c>
      <c r="P264">
        <v>0</v>
      </c>
      <c r="Q264" t="e">
        <f t="shared" si="16"/>
        <v>#N/A</v>
      </c>
      <c r="R264" t="e">
        <f t="shared" si="17"/>
        <v>#N/A</v>
      </c>
      <c r="S264" s="9" t="e">
        <f t="shared" si="18"/>
        <v>#N/A</v>
      </c>
      <c r="T264" s="3" t="e">
        <f t="shared" si="19"/>
        <v>#N/A</v>
      </c>
    </row>
    <row r="265" spans="1:20" x14ac:dyDescent="0.35">
      <c r="A265" t="str">
        <v>912821EZ4</v>
      </c>
      <c r="B265" t="str">
        <f>IF(NOT(ISBLANK(A265)),VLOOKUP(A265,'BBT3'!A:F,2,0),"")</f>
        <v>Bond</v>
      </c>
      <c r="C265" t="str">
        <f>IF(NOT(ISBLANK(A265)),VLOOKUP(A265,'BBT3'!A:F,3,0),"")</f>
        <v>US912821EZ40</v>
      </c>
      <c r="D265" s="6">
        <f>IF(NOT(ISBLANK(A265)),VLOOKUP(A265,'BBT3'!A:F,4,1),"")</f>
        <v>0</v>
      </c>
      <c r="E265">
        <f>IF(NOT(ISBLANK(A265)),VLOOKUP(A265,'BBT3'!A:F,5,0),"")</f>
        <v>47710</v>
      </c>
      <c r="F265" t="str">
        <f>IF(NOT(ISBLANK(A265)),VLOOKUP(A265,'BBT3'!A:F,6,0),"")</f>
        <v>N</v>
      </c>
      <c r="G265">
        <f>IF(NOT(ISBLANK(A265)),VLOOKUP(A265,QW_Close!A:J,5,0),"")</f>
        <v>4.1639724302852801E-2</v>
      </c>
      <c r="H265" s="5" t="e" cm="1">
        <f t="array" ref="H265">IF(NOT(ISBLANK(A265)),((_xlfn.XLOOKUP(1,(_bbt3[[#All],[ID]]=A265)*(_bbt3[[#All],[METRIC_NAME]]="YLD_YTM_ASK"),_bbt3[[#All],[METRIC_VALUE]])*0.5)+(_xlfn.XLOOKUP(1,(_bbt3[[#All],[ID]]=A265)*(_bbt3[[#All],[METRIC_NAME]]="YLD_YTM_BID"),_bbt3[[#All],[METRIC_VALUE]])*0.5))/100,"")</f>
        <v>#N/A</v>
      </c>
      <c r="I265">
        <f>IF(ISNA(VLOOKUP(A265,QW_CloseDL!A:E,5,0)),0,VLOOKUP(A265,QW_CloseDL!A:E,5,0))</f>
        <v>4.1639888671603502E-2</v>
      </c>
      <c r="J265" s="8">
        <f t="shared" si="20"/>
        <v>1.6436875070052759E-3</v>
      </c>
      <c r="P265">
        <v>0</v>
      </c>
      <c r="Q265" t="e">
        <f t="shared" si="16"/>
        <v>#N/A</v>
      </c>
      <c r="R265" t="e">
        <f t="shared" si="17"/>
        <v>#N/A</v>
      </c>
      <c r="S265" s="9" t="e">
        <f t="shared" si="18"/>
        <v>#N/A</v>
      </c>
      <c r="T265" s="3" t="e">
        <f t="shared" si="19"/>
        <v>#N/A</v>
      </c>
    </row>
    <row r="266" spans="1:20" x14ac:dyDescent="0.35">
      <c r="A266" t="str">
        <v>912821FP5</v>
      </c>
      <c r="B266" t="str">
        <f>IF(NOT(ISBLANK(A266)),VLOOKUP(A266,'BBT3'!A:F,2,0),"")</f>
        <v>Bond</v>
      </c>
      <c r="C266" t="str">
        <f>IF(NOT(ISBLANK(A266)),VLOOKUP(A266,'BBT3'!A:F,3,0),"")</f>
        <v>US912821FP58</v>
      </c>
      <c r="D266" s="6">
        <f>IF(NOT(ISBLANK(A266)),VLOOKUP(A266,'BBT3'!A:F,4,1),"")</f>
        <v>0</v>
      </c>
      <c r="E266">
        <f>IF(NOT(ISBLANK(A266)),VLOOKUP(A266,'BBT3'!A:F,5,0),"")</f>
        <v>47802</v>
      </c>
      <c r="F266" t="str">
        <f>IF(NOT(ISBLANK(A266)),VLOOKUP(A266,'BBT3'!A:F,6,0),"")</f>
        <v>N</v>
      </c>
      <c r="G266">
        <f>IF(NOT(ISBLANK(A266)),VLOOKUP(A266,QW_Close!A:J,5,0),"")</f>
        <v>4.1749395916498601E-2</v>
      </c>
      <c r="H266" s="5" t="e" cm="1">
        <f t="array" ref="H266">IF(NOT(ISBLANK(A266)),((_xlfn.XLOOKUP(1,(_bbt3[[#All],[ID]]=A266)*(_bbt3[[#All],[METRIC_NAME]]="YLD_YTM_ASK"),_bbt3[[#All],[METRIC_VALUE]])*0.5)+(_xlfn.XLOOKUP(1,(_bbt3[[#All],[ID]]=A266)*(_bbt3[[#All],[METRIC_NAME]]="YLD_YTM_BID"),_bbt3[[#All],[METRIC_VALUE]])*0.5))/100,"")</f>
        <v>#N/A</v>
      </c>
      <c r="I266">
        <f>IF(ISNA(VLOOKUP(A266,QW_CloseDL!A:E,5,0)),0,VLOOKUP(A266,QW_CloseDL!A:E,5,0))</f>
        <v>4.1749871929237597E-2</v>
      </c>
      <c r="J266" s="8">
        <f t="shared" si="20"/>
        <v>4.7601273899661178E-3</v>
      </c>
      <c r="P266">
        <v>0</v>
      </c>
      <c r="Q266" t="e">
        <f t="shared" si="16"/>
        <v>#N/A</v>
      </c>
      <c r="R266" t="e">
        <f t="shared" si="17"/>
        <v>#N/A</v>
      </c>
      <c r="S266" s="9" t="e">
        <f t="shared" si="18"/>
        <v>#N/A</v>
      </c>
      <c r="T266" s="3" t="e">
        <f t="shared" si="19"/>
        <v>#N/A</v>
      </c>
    </row>
    <row r="267" spans="1:20" x14ac:dyDescent="0.35">
      <c r="A267" t="str">
        <v>912821GU3</v>
      </c>
      <c r="B267" t="str">
        <f>IF(NOT(ISBLANK(A267)),VLOOKUP(A267,'BBT3'!A:F,2,0),"")</f>
        <v>Bond</v>
      </c>
      <c r="C267" t="str">
        <f>IF(NOT(ISBLANK(A267)),VLOOKUP(A267,'BBT3'!A:F,3,0),"")</f>
        <v>US912821GU35</v>
      </c>
      <c r="D267" s="6">
        <f>IF(NOT(ISBLANK(A267)),VLOOKUP(A267,'BBT3'!A:F,4,1),"")</f>
        <v>0</v>
      </c>
      <c r="E267">
        <f>IF(NOT(ISBLANK(A267)),VLOOKUP(A267,'BBT3'!A:F,5,0),"")</f>
        <v>48167</v>
      </c>
      <c r="F267" t="str">
        <f>IF(NOT(ISBLANK(A267)),VLOOKUP(A267,'BBT3'!A:F,6,0),"")</f>
        <v>N</v>
      </c>
      <c r="G267">
        <f>IF(NOT(ISBLANK(A267)),VLOOKUP(A267,QW_Close!A:J,5,0),"")</f>
        <v>4.2374348328086099E-2</v>
      </c>
      <c r="H267" s="5" t="e" cm="1">
        <f t="array" ref="H267">IF(NOT(ISBLANK(A267)),((_xlfn.XLOOKUP(1,(_bbt3[[#All],[ID]]=A267)*(_bbt3[[#All],[METRIC_NAME]]="YLD_YTM_ASK"),_bbt3[[#All],[METRIC_VALUE]])*0.5)+(_xlfn.XLOOKUP(1,(_bbt3[[#All],[ID]]=A267)*(_bbt3[[#All],[METRIC_NAME]]="YLD_YTM_BID"),_bbt3[[#All],[METRIC_VALUE]])*0.5))/100,"")</f>
        <v>#N/A</v>
      </c>
      <c r="I267">
        <f>IF(ISNA(VLOOKUP(A267,QW_CloseDL!A:E,5,0)),0,VLOOKUP(A267,QW_CloseDL!A:E,5,0))</f>
        <v>4.2374920780858402E-2</v>
      </c>
      <c r="J267" s="8">
        <f t="shared" si="20"/>
        <v>5.7245277230305591E-3</v>
      </c>
      <c r="P267">
        <v>0</v>
      </c>
      <c r="Q267" t="e">
        <f t="shared" si="16"/>
        <v>#N/A</v>
      </c>
      <c r="R267" t="e">
        <f t="shared" si="17"/>
        <v>#N/A</v>
      </c>
      <c r="S267" s="9" t="e">
        <f t="shared" si="18"/>
        <v>#N/A</v>
      </c>
      <c r="T267" s="3" t="e">
        <f t="shared" si="19"/>
        <v>#N/A</v>
      </c>
    </row>
    <row r="268" spans="1:20" x14ac:dyDescent="0.35">
      <c r="A268" t="str">
        <v>912821HJ7</v>
      </c>
      <c r="B268" t="str">
        <f>IF(NOT(ISBLANK(A268)),VLOOKUP(A268,'BBT3'!A:F,2,0),"")</f>
        <v>Bond</v>
      </c>
      <c r="C268" t="str">
        <f>IF(NOT(ISBLANK(A268)),VLOOKUP(A268,'BBT3'!A:F,3,0),"")</f>
        <v>US912821HJ70</v>
      </c>
      <c r="D268" s="6">
        <f>IF(NOT(ISBLANK(A268)),VLOOKUP(A268,'BBT3'!A:F,4,1),"")</f>
        <v>0</v>
      </c>
      <c r="E268">
        <f>IF(NOT(ISBLANK(A268)),VLOOKUP(A268,'BBT3'!A:F,5,0),"")</f>
        <v>48259</v>
      </c>
      <c r="F268" t="str">
        <f>IF(NOT(ISBLANK(A268)),VLOOKUP(A268,'BBT3'!A:F,6,0),"")</f>
        <v>N</v>
      </c>
      <c r="G268">
        <f>IF(NOT(ISBLANK(A268)),VLOOKUP(A268,QW_Close!A:J,5,0),"")</f>
        <v>4.2539289523133503E-2</v>
      </c>
      <c r="H268" s="5" t="e" cm="1">
        <f t="array" ref="H268">IF(NOT(ISBLANK(A268)),((_xlfn.XLOOKUP(1,(_bbt3[[#All],[ID]]=A268)*(_bbt3[[#All],[METRIC_NAME]]="YLD_YTM_ASK"),_bbt3[[#All],[METRIC_VALUE]])*0.5)+(_xlfn.XLOOKUP(1,(_bbt3[[#All],[ID]]=A268)*(_bbt3[[#All],[METRIC_NAME]]="YLD_YTM_BID"),_bbt3[[#All],[METRIC_VALUE]])*0.5))/100,"")</f>
        <v>#N/A</v>
      </c>
      <c r="I268">
        <f>IF(ISNA(VLOOKUP(A268,QW_CloseDL!A:E,5,0)),0,VLOOKUP(A268,QW_CloseDL!A:E,5,0))</f>
        <v>4.2539931746693897E-2</v>
      </c>
      <c r="J268" s="8">
        <f t="shared" si="20"/>
        <v>6.422235603945059E-3</v>
      </c>
      <c r="P268">
        <v>0</v>
      </c>
      <c r="Q268" t="e">
        <f t="shared" si="16"/>
        <v>#N/A</v>
      </c>
      <c r="R268" t="e">
        <f t="shared" si="17"/>
        <v>#N/A</v>
      </c>
      <c r="S268" s="9" t="e">
        <f t="shared" si="18"/>
        <v>#N/A</v>
      </c>
      <c r="T268" s="3" t="e">
        <f t="shared" si="19"/>
        <v>#N/A</v>
      </c>
    </row>
    <row r="269" spans="1:20" x14ac:dyDescent="0.35">
      <c r="A269" t="str">
        <v>912821HY4</v>
      </c>
      <c r="B269" t="str">
        <f>IF(NOT(ISBLANK(A269)),VLOOKUP(A269,'BBT3'!A:F,2,0),"")</f>
        <v>Bond</v>
      </c>
      <c r="C269" t="str">
        <f>IF(NOT(ISBLANK(A269)),VLOOKUP(A269,'BBT3'!A:F,3,0),"")</f>
        <v>US912821HY48</v>
      </c>
      <c r="D269" s="6">
        <f>IF(NOT(ISBLANK(A269)),VLOOKUP(A269,'BBT3'!A:F,4,1),"")</f>
        <v>0</v>
      </c>
      <c r="E269">
        <f>IF(NOT(ISBLANK(A269)),VLOOKUP(A269,'BBT3'!A:F,5,0),"")</f>
        <v>48349</v>
      </c>
      <c r="F269" t="str">
        <f>IF(NOT(ISBLANK(A269)),VLOOKUP(A269,'BBT3'!A:F,6,0),"")</f>
        <v>N</v>
      </c>
      <c r="G269">
        <f>IF(NOT(ISBLANK(A269)),VLOOKUP(A269,QW_Close!A:J,5,0),"")</f>
        <v>4.2724636566750199E-2</v>
      </c>
      <c r="H269" s="5" t="e" cm="1">
        <f t="array" ref="H269">IF(NOT(ISBLANK(A269)),((_xlfn.XLOOKUP(1,(_bbt3[[#All],[ID]]=A269)*(_bbt3[[#All],[METRIC_NAME]]="YLD_YTM_ASK"),_bbt3[[#All],[METRIC_VALUE]])*0.5)+(_xlfn.XLOOKUP(1,(_bbt3[[#All],[ID]]=A269)*(_bbt3[[#All],[METRIC_NAME]]="YLD_YTM_BID"),_bbt3[[#All],[METRIC_VALUE]])*0.5))/100,"")</f>
        <v>#N/A</v>
      </c>
      <c r="I269">
        <f>IF(ISNA(VLOOKUP(A269,QW_CloseDL!A:E,5,0)),0,VLOOKUP(A269,QW_CloseDL!A:E,5,0))</f>
        <v>4.27251411804579E-2</v>
      </c>
      <c r="J269" s="8">
        <f t="shared" si="20"/>
        <v>5.0461370770110703E-3</v>
      </c>
      <c r="P269">
        <v>0</v>
      </c>
      <c r="Q269" t="e">
        <f t="shared" ref="Q269:Q332" si="21">VLOOKUP(P269,A:B,2,0)</f>
        <v>#N/A</v>
      </c>
      <c r="R269" t="e">
        <f t="shared" ref="R269:R332" si="22">VLOOKUP(P269,A:E,4,0)</f>
        <v>#N/A</v>
      </c>
      <c r="S269" s="9" t="e">
        <f t="shared" ref="S269:S332" si="23">VLOOKUP(P269,A:J,10,0)</f>
        <v>#N/A</v>
      </c>
      <c r="T269" s="3" t="e">
        <f t="shared" ref="T269:T332" si="24">VLOOKUP(P269,A:J,5,0)</f>
        <v>#N/A</v>
      </c>
    </row>
    <row r="270" spans="1:20" x14ac:dyDescent="0.35">
      <c r="A270" t="str">
        <v>912821JN6</v>
      </c>
      <c r="B270" t="str">
        <f>IF(NOT(ISBLANK(A270)),VLOOKUP(A270,'BBT3'!A:F,2,0),"")</f>
        <v>Bond</v>
      </c>
      <c r="C270" t="str">
        <f>IF(NOT(ISBLANK(A270)),VLOOKUP(A270,'BBT3'!A:F,3,0),"")</f>
        <v>US912821JN64</v>
      </c>
      <c r="D270" s="6">
        <f>IF(NOT(ISBLANK(A270)),VLOOKUP(A270,'BBT3'!A:F,4,1),"")</f>
        <v>0</v>
      </c>
      <c r="E270">
        <f>IF(NOT(ISBLANK(A270)),VLOOKUP(A270,'BBT3'!A:F,5,0),"")</f>
        <v>48441</v>
      </c>
      <c r="F270" t="str">
        <f>IF(NOT(ISBLANK(A270)),VLOOKUP(A270,'BBT3'!A:F,6,0),"")</f>
        <v>N</v>
      </c>
      <c r="G270">
        <f>IF(NOT(ISBLANK(A270)),VLOOKUP(A270,QW_Close!A:J,5,0),"")</f>
        <v>4.2929879150498999E-2</v>
      </c>
      <c r="H270" s="5" t="e" cm="1">
        <f t="array" ref="H270">IF(NOT(ISBLANK(A270)),((_xlfn.XLOOKUP(1,(_bbt3[[#All],[ID]]=A270)*(_bbt3[[#All],[METRIC_NAME]]="YLD_YTM_ASK"),_bbt3[[#All],[METRIC_VALUE]])*0.5)+(_xlfn.XLOOKUP(1,(_bbt3[[#All],[ID]]=A270)*(_bbt3[[#All],[METRIC_NAME]]="YLD_YTM_BID"),_bbt3[[#All],[METRIC_VALUE]])*0.5))/100,"")</f>
        <v>#N/A</v>
      </c>
      <c r="I270">
        <f>IF(ISNA(VLOOKUP(A270,QW_CloseDL!A:E,5,0)),0,VLOOKUP(A270,QW_CloseDL!A:E,5,0))</f>
        <v>4.29298413577721E-2</v>
      </c>
      <c r="J270" s="8">
        <f t="shared" si="20"/>
        <v>3.7792726899354978E-4</v>
      </c>
      <c r="P270">
        <v>0</v>
      </c>
      <c r="Q270" t="e">
        <f t="shared" si="21"/>
        <v>#N/A</v>
      </c>
      <c r="R270" t="e">
        <f t="shared" si="22"/>
        <v>#N/A</v>
      </c>
      <c r="S270" s="9" t="e">
        <f t="shared" si="23"/>
        <v>#N/A</v>
      </c>
      <c r="T270" s="3" t="e">
        <f t="shared" si="24"/>
        <v>#N/A</v>
      </c>
    </row>
    <row r="271" spans="1:20" x14ac:dyDescent="0.35">
      <c r="A271" t="str">
        <v>912821KC8</v>
      </c>
      <c r="B271" t="str">
        <f>IF(NOT(ISBLANK(A271)),VLOOKUP(A271,'BBT3'!A:F,2,0),"")</f>
        <v>Bond</v>
      </c>
      <c r="C271" t="str">
        <f>IF(NOT(ISBLANK(A271)),VLOOKUP(A271,'BBT3'!A:F,3,0),"")</f>
        <v>US912821KC80</v>
      </c>
      <c r="D271" s="6">
        <f>IF(NOT(ISBLANK(A271)),VLOOKUP(A271,'BBT3'!A:F,4,1),"")</f>
        <v>0</v>
      </c>
      <c r="E271">
        <f>IF(NOT(ISBLANK(A271)),VLOOKUP(A271,'BBT3'!A:F,5,0),"")</f>
        <v>48533</v>
      </c>
      <c r="F271" t="str">
        <f>IF(NOT(ISBLANK(A271)),VLOOKUP(A271,'BBT3'!A:F,6,0),"")</f>
        <v>N</v>
      </c>
      <c r="G271">
        <f>IF(NOT(ISBLANK(A271)),VLOOKUP(A271,QW_Close!A:J,5,0),"")</f>
        <v>4.3060171877179101E-2</v>
      </c>
      <c r="H271" s="5" t="e" cm="1">
        <f t="array" ref="H271">IF(NOT(ISBLANK(A271)),((_xlfn.XLOOKUP(1,(_bbt3[[#All],[ID]]=A271)*(_bbt3[[#All],[METRIC_NAME]]="YLD_YTM_ASK"),_bbt3[[#All],[METRIC_VALUE]])*0.5)+(_xlfn.XLOOKUP(1,(_bbt3[[#All],[ID]]=A271)*(_bbt3[[#All],[METRIC_NAME]]="YLD_YTM_BID"),_bbt3[[#All],[METRIC_VALUE]])*0.5))/100,"")</f>
        <v>#N/A</v>
      </c>
      <c r="I271">
        <f>IF(ISNA(VLOOKUP(A271,QW_CloseDL!A:E,5,0)),0,VLOOKUP(A271,QW_CloseDL!A:E,5,0))</f>
        <v>4.30599235347058E-2</v>
      </c>
      <c r="J271" s="8">
        <f t="shared" si="20"/>
        <v>2.4834247330102199E-3</v>
      </c>
      <c r="P271">
        <v>0</v>
      </c>
      <c r="Q271" t="e">
        <f t="shared" si="21"/>
        <v>#N/A</v>
      </c>
      <c r="R271" t="e">
        <f t="shared" si="22"/>
        <v>#N/A</v>
      </c>
      <c r="S271" s="9" t="e">
        <f t="shared" si="23"/>
        <v>#N/A</v>
      </c>
      <c r="T271" s="3" t="e">
        <f t="shared" si="24"/>
        <v>#N/A</v>
      </c>
    </row>
    <row r="272" spans="1:20" x14ac:dyDescent="0.35">
      <c r="A272" t="str">
        <v>912821KS3</v>
      </c>
      <c r="B272" t="str">
        <f>IF(NOT(ISBLANK(A272)),VLOOKUP(A272,'BBT3'!A:F,2,0),"")</f>
        <v>Bond</v>
      </c>
      <c r="C272" t="str">
        <f>IF(NOT(ISBLANK(A272)),VLOOKUP(A272,'BBT3'!A:F,3,0),"")</f>
        <v>US912821KS33</v>
      </c>
      <c r="D272" s="6">
        <f>IF(NOT(ISBLANK(A272)),VLOOKUP(A272,'BBT3'!A:F,4,1),"")</f>
        <v>0</v>
      </c>
      <c r="E272">
        <f>IF(NOT(ISBLANK(A272)),VLOOKUP(A272,'BBT3'!A:F,5,0),"")</f>
        <v>48625</v>
      </c>
      <c r="F272" t="str">
        <f>IF(NOT(ISBLANK(A272)),VLOOKUP(A272,'BBT3'!A:F,6,0),"")</f>
        <v>N</v>
      </c>
      <c r="G272">
        <f>IF(NOT(ISBLANK(A272)),VLOOKUP(A272,QW_Close!A:J,5,0),"")</f>
        <v>4.3295009322159003E-2</v>
      </c>
      <c r="H272" s="5" t="e" cm="1">
        <f t="array" ref="H272">IF(NOT(ISBLANK(A272)),((_xlfn.XLOOKUP(1,(_bbt3[[#All],[ID]]=A272)*(_bbt3[[#All],[METRIC_NAME]]="YLD_YTM_ASK"),_bbt3[[#All],[METRIC_VALUE]])*0.5)+(_xlfn.XLOOKUP(1,(_bbt3[[#All],[ID]]=A272)*(_bbt3[[#All],[METRIC_NAME]]="YLD_YTM_BID"),_bbt3[[#All],[METRIC_VALUE]])*0.5))/100,"")</f>
        <v>#N/A</v>
      </c>
      <c r="I272">
        <f>IF(ISNA(VLOOKUP(A272,QW_CloseDL!A:E,5,0)),0,VLOOKUP(A272,QW_CloseDL!A:E,5,0))</f>
        <v>4.3294904117819999E-2</v>
      </c>
      <c r="J272" s="8">
        <f t="shared" si="20"/>
        <v>1.0520433900429449E-3</v>
      </c>
      <c r="P272">
        <v>0</v>
      </c>
      <c r="Q272" t="e">
        <f t="shared" si="21"/>
        <v>#N/A</v>
      </c>
      <c r="R272" t="e">
        <f t="shared" si="22"/>
        <v>#N/A</v>
      </c>
      <c r="S272" s="9" t="e">
        <f t="shared" si="23"/>
        <v>#N/A</v>
      </c>
      <c r="T272" s="3" t="e">
        <f t="shared" si="24"/>
        <v>#N/A</v>
      </c>
    </row>
    <row r="273" spans="1:20" x14ac:dyDescent="0.35">
      <c r="A273" t="str">
        <v>912821LG8</v>
      </c>
      <c r="B273" t="str">
        <f>IF(NOT(ISBLANK(A273)),VLOOKUP(A273,'BBT3'!A:F,2,0),"")</f>
        <v>Bond</v>
      </c>
      <c r="C273" t="str">
        <f>IF(NOT(ISBLANK(A273)),VLOOKUP(A273,'BBT3'!A:F,3,0),"")</f>
        <v>US912821LG85</v>
      </c>
      <c r="D273" s="6">
        <f>IF(NOT(ISBLANK(A273)),VLOOKUP(A273,'BBT3'!A:F,4,1),"")</f>
        <v>0</v>
      </c>
      <c r="E273">
        <f>IF(NOT(ISBLANK(A273)),VLOOKUP(A273,'BBT3'!A:F,5,0),"")</f>
        <v>48714</v>
      </c>
      <c r="F273" t="str">
        <f>IF(NOT(ISBLANK(A273)),VLOOKUP(A273,'BBT3'!A:F,6,0),"")</f>
        <v>N</v>
      </c>
      <c r="G273">
        <f>IF(NOT(ISBLANK(A273)),VLOOKUP(A273,QW_Close!A:J,5,0),"")</f>
        <v>4.3454871447190999E-2</v>
      </c>
      <c r="H273" s="5" t="e" cm="1">
        <f t="array" ref="H273">IF(NOT(ISBLANK(A273)),((_xlfn.XLOOKUP(1,(_bbt3[[#All],[ID]]=A273)*(_bbt3[[#All],[METRIC_NAME]]="YLD_YTM_ASK"),_bbt3[[#All],[METRIC_VALUE]])*0.5)+(_xlfn.XLOOKUP(1,(_bbt3[[#All],[ID]]=A273)*(_bbt3[[#All],[METRIC_NAME]]="YLD_YTM_BID"),_bbt3[[#All],[METRIC_VALUE]])*0.5))/100,"")</f>
        <v>#N/A</v>
      </c>
      <c r="I273">
        <f>IF(ISNA(VLOOKUP(A273,QW_CloseDL!A:E,5,0)),0,VLOOKUP(A273,QW_CloseDL!A:E,5,0))</f>
        <v>4.3454923413120898E-2</v>
      </c>
      <c r="J273" s="8">
        <f t="shared" si="20"/>
        <v>5.1965929899477903E-4</v>
      </c>
      <c r="P273">
        <v>0</v>
      </c>
      <c r="Q273" t="e">
        <f t="shared" si="21"/>
        <v>#N/A</v>
      </c>
      <c r="R273" t="e">
        <f t="shared" si="22"/>
        <v>#N/A</v>
      </c>
      <c r="S273" s="9" t="e">
        <f t="shared" si="23"/>
        <v>#N/A</v>
      </c>
      <c r="T273" s="3" t="e">
        <f t="shared" si="24"/>
        <v>#N/A</v>
      </c>
    </row>
    <row r="274" spans="1:20" x14ac:dyDescent="0.35">
      <c r="A274" t="str">
        <v>912821MH5</v>
      </c>
      <c r="B274" t="str">
        <f>IF(NOT(ISBLANK(A274)),VLOOKUP(A274,'BBT3'!A:F,2,0),"")</f>
        <v>Bond</v>
      </c>
      <c r="C274" t="str">
        <f>IF(NOT(ISBLANK(A274)),VLOOKUP(A274,'BBT3'!A:F,3,0),"")</f>
        <v>US912821MH59</v>
      </c>
      <c r="D274" s="6">
        <f>IF(NOT(ISBLANK(A274)),VLOOKUP(A274,'BBT3'!A:F,4,1),"")</f>
        <v>0</v>
      </c>
      <c r="E274">
        <f>IF(NOT(ISBLANK(A274)),VLOOKUP(A274,'BBT3'!A:F,5,0),"")</f>
        <v>47983</v>
      </c>
      <c r="F274" t="str">
        <f>IF(NOT(ISBLANK(A274)),VLOOKUP(A274,'BBT3'!A:F,6,0),"")</f>
        <v>N</v>
      </c>
      <c r="G274">
        <f>IF(NOT(ISBLANK(A274)),VLOOKUP(A274,QW_Close!A:J,5,0),"")</f>
        <v>4.2010408377756103E-2</v>
      </c>
      <c r="H274" s="5" cm="1">
        <f t="array" ref="H274">IF(NOT(ISBLANK(A274)),((_xlfn.XLOOKUP(1,(_bbt3[[#All],[ID]]=A274)*(_bbt3[[#All],[METRIC_NAME]]="YLD_YTM_ASK"),_bbt3[[#All],[METRIC_VALUE]])*0.5)+(_xlfn.XLOOKUP(1,(_bbt3[[#All],[ID]]=A274)*(_bbt3[[#All],[METRIC_NAME]]="YLD_YTM_BID"),_bbt3[[#All],[METRIC_VALUE]])*0.5))/100,"")</f>
        <v>4.2010000000000006E-2</v>
      </c>
      <c r="I274">
        <f>IF(ISNA(VLOOKUP(A274,QW_CloseDL!A:E,5,0)),0,VLOOKUP(A274,QW_CloseDL!A:E,5,0))</f>
        <v>4.2010632573953897E-2</v>
      </c>
      <c r="J274" s="8">
        <f t="shared" si="20"/>
        <v>2.2419619779417976E-3</v>
      </c>
      <c r="P274">
        <v>0</v>
      </c>
      <c r="Q274" t="e">
        <f t="shared" si="21"/>
        <v>#N/A</v>
      </c>
      <c r="R274" t="e">
        <f t="shared" si="22"/>
        <v>#N/A</v>
      </c>
      <c r="S274" s="9" t="e">
        <f t="shared" si="23"/>
        <v>#N/A</v>
      </c>
      <c r="T274" s="3" t="e">
        <f t="shared" si="24"/>
        <v>#N/A</v>
      </c>
    </row>
    <row r="275" spans="1:20" x14ac:dyDescent="0.35">
      <c r="A275" t="str">
        <v>912821MX0</v>
      </c>
      <c r="B275" t="str">
        <f>IF(NOT(ISBLANK(A275)),VLOOKUP(A275,'BBT3'!A:F,2,0),"")</f>
        <v>Bond</v>
      </c>
      <c r="C275" t="str">
        <f>IF(NOT(ISBLANK(A275)),VLOOKUP(A275,'BBT3'!A:F,3,0),"")</f>
        <v>US912821MX00</v>
      </c>
      <c r="D275" s="6">
        <f>IF(NOT(ISBLANK(A275)),VLOOKUP(A275,'BBT3'!A:F,4,1),"")</f>
        <v>0</v>
      </c>
      <c r="E275">
        <f>IF(NOT(ISBLANK(A275)),VLOOKUP(A275,'BBT3'!A:F,5,0),"")</f>
        <v>48075</v>
      </c>
      <c r="F275" t="str">
        <f>IF(NOT(ISBLANK(A275)),VLOOKUP(A275,'BBT3'!A:F,6,0),"")</f>
        <v>N</v>
      </c>
      <c r="G275">
        <f>IF(NOT(ISBLANK(A275)),VLOOKUP(A275,QW_Close!A:J,5,0),"")</f>
        <v>4.2160606839281502E-2</v>
      </c>
      <c r="H275" s="5" cm="1">
        <f t="array" ref="H275">IF(NOT(ISBLANK(A275)),((_xlfn.XLOOKUP(1,(_bbt3[[#All],[ID]]=A275)*(_bbt3[[#All],[METRIC_NAME]]="YLD_YTM_ASK"),_bbt3[[#All],[METRIC_VALUE]])*0.5)+(_xlfn.XLOOKUP(1,(_bbt3[[#All],[ID]]=A275)*(_bbt3[[#All],[METRIC_NAME]]="YLD_YTM_BID"),_bbt3[[#All],[METRIC_VALUE]])*0.5))/100,"")</f>
        <v>4.2159999999999996E-2</v>
      </c>
      <c r="I275">
        <f>IF(ISNA(VLOOKUP(A275,QW_CloseDL!A:E,5,0)),0,VLOOKUP(A275,QW_CloseDL!A:E,5,0))</f>
        <v>4.2159825674518502E-2</v>
      </c>
      <c r="J275" s="8">
        <f t="shared" si="20"/>
        <v>7.8116476300016391E-3</v>
      </c>
      <c r="P275">
        <v>0</v>
      </c>
      <c r="Q275" t="e">
        <f t="shared" si="21"/>
        <v>#N/A</v>
      </c>
      <c r="R275" t="e">
        <f t="shared" si="22"/>
        <v>#N/A</v>
      </c>
      <c r="S275" s="9" t="e">
        <f t="shared" si="23"/>
        <v>#N/A</v>
      </c>
      <c r="T275" s="3" t="e">
        <f t="shared" si="24"/>
        <v>#N/A</v>
      </c>
    </row>
    <row r="276" spans="1:20" x14ac:dyDescent="0.35">
      <c r="A276" t="str">
        <v>9128282A7</v>
      </c>
      <c r="B276" t="str">
        <f>IF(NOT(ISBLANK(A276)),VLOOKUP(A276,'BBT3'!A:F,2,0),"")</f>
        <v>Bond</v>
      </c>
      <c r="C276" t="str">
        <f>IF(NOT(ISBLANK(A276)),VLOOKUP(A276,'BBT3'!A:F,3,0),"")</f>
        <v>US9128282A70</v>
      </c>
      <c r="D276" s="6">
        <f>IF(NOT(ISBLANK(A276)),VLOOKUP(A276,'BBT3'!A:F,4,1),"")</f>
        <v>1.5</v>
      </c>
      <c r="E276">
        <f>IF(NOT(ISBLANK(A276)),VLOOKUP(A276,'BBT3'!A:F,5,0),"")</f>
        <v>46249</v>
      </c>
      <c r="F276" t="str">
        <f>IF(NOT(ISBLANK(A276)),VLOOKUP(A276,'BBT3'!A:F,6,0),"")</f>
        <v>N</v>
      </c>
      <c r="G276">
        <f>IF(NOT(ISBLANK(A276)),VLOOKUP(A276,QW_Close!A:J,5,0),"")</f>
        <v>3.7600405485841898E-2</v>
      </c>
      <c r="H276" s="5" cm="1">
        <f t="array" ref="H276">IF(NOT(ISBLANK(A276)),((_xlfn.XLOOKUP(1,(_bbt3[[#All],[ID]]=A276)*(_bbt3[[#All],[METRIC_NAME]]="YLD_YTM_ASK"),_bbt3[[#All],[METRIC_VALUE]])*0.5)+(_xlfn.XLOOKUP(1,(_bbt3[[#All],[ID]]=A276)*(_bbt3[[#All],[METRIC_NAME]]="YLD_YTM_BID"),_bbt3[[#All],[METRIC_VALUE]])*0.5))/100,"")</f>
        <v>3.7600454450000001E-2</v>
      </c>
      <c r="I276">
        <f>IF(ISNA(VLOOKUP(A276,QW_CloseDL!A:E,5,0)),0,VLOOKUP(A276,QW_CloseDL!A:E,5,0))</f>
        <v>3.7600405485841898E-2</v>
      </c>
      <c r="J276" s="8">
        <f t="shared" si="20"/>
        <v>0</v>
      </c>
      <c r="P276">
        <v>0</v>
      </c>
      <c r="Q276" t="e">
        <f t="shared" si="21"/>
        <v>#N/A</v>
      </c>
      <c r="R276" t="e">
        <f t="shared" si="22"/>
        <v>#N/A</v>
      </c>
      <c r="S276" s="9" t="e">
        <f t="shared" si="23"/>
        <v>#N/A</v>
      </c>
      <c r="T276" s="3" t="e">
        <f t="shared" si="24"/>
        <v>#N/A</v>
      </c>
    </row>
    <row r="277" spans="1:20" x14ac:dyDescent="0.35">
      <c r="A277" t="str">
        <v>9128282L3</v>
      </c>
      <c r="B277" t="str">
        <f>IF(NOT(ISBLANK(A277)),VLOOKUP(A277,'BBT3'!A:F,2,0),"")</f>
        <v>Bond</v>
      </c>
      <c r="C277" t="str">
        <f>IF(NOT(ISBLANK(A277)),VLOOKUP(A277,'BBT3'!A:F,3,0),"")</f>
        <v>US9128282L36</v>
      </c>
      <c r="D277" s="6">
        <f>IF(NOT(ISBLANK(A277)),VLOOKUP(A277,'BBT3'!A:F,4,1),"")</f>
        <v>0.375</v>
      </c>
      <c r="E277">
        <f>IF(NOT(ISBLANK(A277)),VLOOKUP(A277,'BBT3'!A:F,5,0),"")</f>
        <v>46583</v>
      </c>
      <c r="F277" t="str">
        <f>IF(NOT(ISBLANK(A277)),VLOOKUP(A277,'BBT3'!A:F,6,0),"")</f>
        <v>Y</v>
      </c>
      <c r="G277">
        <f>IF(NOT(ISBLANK(A277)),VLOOKUP(A277,QW_Close!A:J,5,0),"")</f>
        <v>8.2819351451707598E-3</v>
      </c>
      <c r="H277" s="5" cm="1">
        <f t="array" ref="H277">IF(NOT(ISBLANK(A277)),((_xlfn.XLOOKUP(1,(_bbt3[[#All],[ID]]=A277)*(_bbt3[[#All],[METRIC_NAME]]="YLD_YTM_ASK"),_bbt3[[#All],[METRIC_VALUE]])*0.5)+(_xlfn.XLOOKUP(1,(_bbt3[[#All],[ID]]=A277)*(_bbt3[[#All],[METRIC_NAME]]="YLD_YTM_BID"),_bbt3[[#All],[METRIC_VALUE]])*0.5))/100,"")</f>
        <v>8.2819999500000005E-3</v>
      </c>
      <c r="I277">
        <f>IF(ISNA(VLOOKUP(A277,QW_CloseDL!A:E,5,0)),0,VLOOKUP(A277,QW_CloseDL!A:E,5,0))</f>
        <v>8.2819351451707598E-3</v>
      </c>
      <c r="J277" s="8">
        <f t="shared" si="20"/>
        <v>0</v>
      </c>
      <c r="P277">
        <v>0</v>
      </c>
      <c r="Q277" t="e">
        <f t="shared" si="21"/>
        <v>#N/A</v>
      </c>
      <c r="R277" t="e">
        <f t="shared" si="22"/>
        <v>#N/A</v>
      </c>
      <c r="S277" s="9" t="e">
        <f t="shared" si="23"/>
        <v>#N/A</v>
      </c>
      <c r="T277" s="3" t="e">
        <f t="shared" si="24"/>
        <v>#N/A</v>
      </c>
    </row>
    <row r="278" spans="1:20" x14ac:dyDescent="0.35">
      <c r="A278" t="str">
        <v>9128282R0</v>
      </c>
      <c r="B278" t="str">
        <f>IF(NOT(ISBLANK(A278)),VLOOKUP(A278,'BBT3'!A:F,2,0),"")</f>
        <v>Bond</v>
      </c>
      <c r="C278" t="str">
        <f>IF(NOT(ISBLANK(A278)),VLOOKUP(A278,'BBT3'!A:F,3,0),"")</f>
        <v>US9128282R06</v>
      </c>
      <c r="D278" s="6">
        <f>IF(NOT(ISBLANK(A278)),VLOOKUP(A278,'BBT3'!A:F,4,1),"")</f>
        <v>2.25</v>
      </c>
      <c r="E278">
        <f>IF(NOT(ISBLANK(A278)),VLOOKUP(A278,'BBT3'!A:F,5,0),"")</f>
        <v>46614</v>
      </c>
      <c r="F278" t="str">
        <f>IF(NOT(ISBLANK(A278)),VLOOKUP(A278,'BBT3'!A:F,6,0),"")</f>
        <v>N</v>
      </c>
      <c r="G278">
        <f>IF(NOT(ISBLANK(A278)),VLOOKUP(A278,QW_Close!A:J,5,0),"")</f>
        <v>3.9747040454628499E-2</v>
      </c>
      <c r="H278" s="5" cm="1">
        <f t="array" ref="H278">IF(NOT(ISBLANK(A278)),((_xlfn.XLOOKUP(1,(_bbt3[[#All],[ID]]=A278)*(_bbt3[[#All],[METRIC_NAME]]="YLD_YTM_ASK"),_bbt3[[#All],[METRIC_VALUE]])*0.5)+(_xlfn.XLOOKUP(1,(_bbt3[[#All],[ID]]=A278)*(_bbt3[[#All],[METRIC_NAME]]="YLD_YTM_BID"),_bbt3[[#All],[METRIC_VALUE]])*0.5))/100,"")</f>
        <v>3.9747052349999999E-2</v>
      </c>
      <c r="I278">
        <f>IF(ISNA(VLOOKUP(A278,QW_CloseDL!A:E,5,0)),0,VLOOKUP(A278,QW_CloseDL!A:E,5,0))</f>
        <v>3.9747040454628499E-2</v>
      </c>
      <c r="J278" s="8">
        <f t="shared" si="20"/>
        <v>0</v>
      </c>
      <c r="P278">
        <v>0</v>
      </c>
      <c r="Q278" t="e">
        <f t="shared" si="21"/>
        <v>#N/A</v>
      </c>
      <c r="R278" t="e">
        <f t="shared" si="22"/>
        <v>#N/A</v>
      </c>
      <c r="S278" s="9" t="e">
        <f t="shared" si="23"/>
        <v>#N/A</v>
      </c>
      <c r="T278" s="3" t="e">
        <f t="shared" si="24"/>
        <v>#N/A</v>
      </c>
    </row>
    <row r="279" spans="1:20" x14ac:dyDescent="0.35">
      <c r="A279" t="str">
        <v>9128283F5</v>
      </c>
      <c r="B279" t="str">
        <f>IF(NOT(ISBLANK(A279)),VLOOKUP(A279,'BBT3'!A:F,2,0),"")</f>
        <v>Bond</v>
      </c>
      <c r="C279" t="str">
        <f>IF(NOT(ISBLANK(A279)),VLOOKUP(A279,'BBT3'!A:F,3,0),"")</f>
        <v>US9128283F58</v>
      </c>
      <c r="D279" s="6">
        <f>IF(NOT(ISBLANK(A279)),VLOOKUP(A279,'BBT3'!A:F,4,1),"")</f>
        <v>2.25</v>
      </c>
      <c r="E279">
        <f>IF(NOT(ISBLANK(A279)),VLOOKUP(A279,'BBT3'!A:F,5,0),"")</f>
        <v>46706</v>
      </c>
      <c r="F279" t="str">
        <f>IF(NOT(ISBLANK(A279)),VLOOKUP(A279,'BBT3'!A:F,6,0),"")</f>
        <v>N</v>
      </c>
      <c r="G279">
        <f>IF(NOT(ISBLANK(A279)),VLOOKUP(A279,QW_Close!A:J,5,0),"")</f>
        <v>4.0145941265556699E-2</v>
      </c>
      <c r="H279" s="5" cm="1">
        <f t="array" ref="H279">IF(NOT(ISBLANK(A279)),((_xlfn.XLOOKUP(1,(_bbt3[[#All],[ID]]=A279)*(_bbt3[[#All],[METRIC_NAME]]="YLD_YTM_ASK"),_bbt3[[#All],[METRIC_VALUE]])*0.5)+(_xlfn.XLOOKUP(1,(_bbt3[[#All],[ID]]=A279)*(_bbt3[[#All],[METRIC_NAME]]="YLD_YTM_BID"),_bbt3[[#All],[METRIC_VALUE]])*0.5))/100,"")</f>
        <v>4.0145950800000003E-2</v>
      </c>
      <c r="I279">
        <f>IF(ISNA(VLOOKUP(A279,QW_CloseDL!A:E,5,0)),0,VLOOKUP(A279,QW_CloseDL!A:E,5,0))</f>
        <v>4.0145941265556699E-2</v>
      </c>
      <c r="J279" s="8">
        <f t="shared" si="20"/>
        <v>0</v>
      </c>
      <c r="P279">
        <v>0</v>
      </c>
      <c r="Q279" t="e">
        <f t="shared" si="21"/>
        <v>#N/A</v>
      </c>
      <c r="R279" t="e">
        <f t="shared" si="22"/>
        <v>#N/A</v>
      </c>
      <c r="S279" s="9" t="e">
        <f t="shared" si="23"/>
        <v>#N/A</v>
      </c>
      <c r="T279" s="3" t="e">
        <f t="shared" si="24"/>
        <v>#N/A</v>
      </c>
    </row>
    <row r="280" spans="1:20" x14ac:dyDescent="0.35">
      <c r="A280" t="str">
        <v>9128283R9</v>
      </c>
      <c r="B280" t="str">
        <f>IF(NOT(ISBLANK(A280)),VLOOKUP(A280,'BBT3'!A:F,2,0),"")</f>
        <v>Bond</v>
      </c>
      <c r="C280" t="str">
        <f>IF(NOT(ISBLANK(A280)),VLOOKUP(A280,'BBT3'!A:F,3,0),"")</f>
        <v>US9128283R96</v>
      </c>
      <c r="D280" s="6">
        <f>IF(NOT(ISBLANK(A280)),VLOOKUP(A280,'BBT3'!A:F,4,1),"")</f>
        <v>0.5</v>
      </c>
      <c r="E280">
        <f>IF(NOT(ISBLANK(A280)),VLOOKUP(A280,'BBT3'!A:F,5,0),"")</f>
        <v>46767</v>
      </c>
      <c r="F280" t="str">
        <f>IF(NOT(ISBLANK(A280)),VLOOKUP(A280,'BBT3'!A:F,6,0),"")</f>
        <v>Y</v>
      </c>
      <c r="G280">
        <f>IF(NOT(ISBLANK(A280)),VLOOKUP(A280,QW_Close!A:J,5,0),"")</f>
        <v>1.34119880593646E-2</v>
      </c>
      <c r="H280" s="5" t="e" cm="1">
        <f t="array" ref="H280">IF(NOT(ISBLANK(A280)),((_xlfn.XLOOKUP(1,(_bbt3[[#All],[ID]]=A280)*(_bbt3[[#All],[METRIC_NAME]]="YLD_YTM_ASK"),_bbt3[[#All],[METRIC_VALUE]])*0.5)+(_xlfn.XLOOKUP(1,(_bbt3[[#All],[ID]]=A280)*(_bbt3[[#All],[METRIC_NAME]]="YLD_YTM_BID"),_bbt3[[#All],[METRIC_VALUE]])*0.5))/100,"")</f>
        <v>#N/A</v>
      </c>
      <c r="I280">
        <f>IF(ISNA(VLOOKUP(A280,QW_CloseDL!A:E,5,0)),0,VLOOKUP(A280,QW_CloseDL!A:E,5,0))</f>
        <v>1.34119721773417E-2</v>
      </c>
      <c r="J280" s="8">
        <f t="shared" si="20"/>
        <v>1.5882022899940673E-4</v>
      </c>
      <c r="P280">
        <v>0</v>
      </c>
      <c r="Q280" t="e">
        <f t="shared" si="21"/>
        <v>#N/A</v>
      </c>
      <c r="R280" t="e">
        <f t="shared" si="22"/>
        <v>#N/A</v>
      </c>
      <c r="S280" s="9" t="e">
        <f t="shared" si="23"/>
        <v>#N/A</v>
      </c>
      <c r="T280" s="3" t="e">
        <f t="shared" si="24"/>
        <v>#N/A</v>
      </c>
    </row>
    <row r="281" spans="1:20" x14ac:dyDescent="0.35">
      <c r="A281" t="str">
        <v>9128283W8</v>
      </c>
      <c r="B281" t="str">
        <f>IF(NOT(ISBLANK(A281)),VLOOKUP(A281,'BBT3'!A:F,2,0),"")</f>
        <v>Bond</v>
      </c>
      <c r="C281" t="str">
        <f>IF(NOT(ISBLANK(A281)),VLOOKUP(A281,'BBT3'!A:F,3,0),"")</f>
        <v>US9128283W81</v>
      </c>
      <c r="D281" s="6">
        <f>IF(NOT(ISBLANK(A281)),VLOOKUP(A281,'BBT3'!A:F,4,1),"")</f>
        <v>2.75</v>
      </c>
      <c r="E281">
        <f>IF(NOT(ISBLANK(A281)),VLOOKUP(A281,'BBT3'!A:F,5,0),"")</f>
        <v>46798</v>
      </c>
      <c r="F281" t="str">
        <f>IF(NOT(ISBLANK(A281)),VLOOKUP(A281,'BBT3'!A:F,6,0),"")</f>
        <v>N</v>
      </c>
      <c r="G281">
        <f>IF(NOT(ISBLANK(A281)),VLOOKUP(A281,QW_Close!A:J,5,0),"")</f>
        <v>4.0387906318640497E-2</v>
      </c>
      <c r="H281" s="5" cm="1">
        <f t="array" ref="H281">IF(NOT(ISBLANK(A281)),((_xlfn.XLOOKUP(1,(_bbt3[[#All],[ID]]=A281)*(_bbt3[[#All],[METRIC_NAME]]="YLD_YTM_ASK"),_bbt3[[#All],[METRIC_VALUE]])*0.5)+(_xlfn.XLOOKUP(1,(_bbt3[[#All],[ID]]=A281)*(_bbt3[[#All],[METRIC_NAME]]="YLD_YTM_BID"),_bbt3[[#All],[METRIC_VALUE]])*0.5))/100,"")</f>
        <v>4.0387914150000002E-2</v>
      </c>
      <c r="I281">
        <f>IF(ISNA(VLOOKUP(A281,QW_CloseDL!A:E,5,0)),0,VLOOKUP(A281,QW_CloseDL!A:E,5,0))</f>
        <v>4.0387906318640497E-2</v>
      </c>
      <c r="J281" s="8">
        <f t="shared" si="20"/>
        <v>0</v>
      </c>
      <c r="P281">
        <v>0</v>
      </c>
      <c r="Q281" t="e">
        <f t="shared" si="21"/>
        <v>#N/A</v>
      </c>
      <c r="R281" t="e">
        <f t="shared" si="22"/>
        <v>#N/A</v>
      </c>
      <c r="S281" s="9" t="e">
        <f t="shared" si="23"/>
        <v>#N/A</v>
      </c>
      <c r="T281" s="3" t="e">
        <f t="shared" si="24"/>
        <v>#N/A</v>
      </c>
    </row>
    <row r="282" spans="1:20" x14ac:dyDescent="0.35">
      <c r="A282" t="str">
        <v>9128284N7</v>
      </c>
      <c r="B282" t="str">
        <f>IF(NOT(ISBLANK(A282)),VLOOKUP(A282,'BBT3'!A:F,2,0),"")</f>
        <v>Bond</v>
      </c>
      <c r="C282" t="str">
        <f>IF(NOT(ISBLANK(A282)),VLOOKUP(A282,'BBT3'!A:F,3,0),"")</f>
        <v>US9128284N73</v>
      </c>
      <c r="D282" s="6">
        <f>IF(NOT(ISBLANK(A282)),VLOOKUP(A282,'BBT3'!A:F,4,1),"")</f>
        <v>2.875</v>
      </c>
      <c r="E282">
        <f>IF(NOT(ISBLANK(A282)),VLOOKUP(A282,'BBT3'!A:F,5,0),"")</f>
        <v>46888</v>
      </c>
      <c r="F282" t="str">
        <f>IF(NOT(ISBLANK(A282)),VLOOKUP(A282,'BBT3'!A:F,6,0),"")</f>
        <v>N</v>
      </c>
      <c r="G282">
        <f>IF(NOT(ISBLANK(A282)),VLOOKUP(A282,QW_Close!A:J,5,0),"")</f>
        <v>4.0574811380279401E-2</v>
      </c>
      <c r="H282" s="5" cm="1">
        <f t="array" ref="H282">IF(NOT(ISBLANK(A282)),((_xlfn.XLOOKUP(1,(_bbt3[[#All],[ID]]=A282)*(_bbt3[[#All],[METRIC_NAME]]="YLD_YTM_ASK"),_bbt3[[#All],[METRIC_VALUE]])*0.5)+(_xlfn.XLOOKUP(1,(_bbt3[[#All],[ID]]=A282)*(_bbt3[[#All],[METRIC_NAME]]="YLD_YTM_BID"),_bbt3[[#All],[METRIC_VALUE]])*0.5))/100,"")</f>
        <v>4.0574814799999998E-2</v>
      </c>
      <c r="I282">
        <f>IF(ISNA(VLOOKUP(A282,QW_CloseDL!A:E,5,0)),0,VLOOKUP(A282,QW_CloseDL!A:E,5,0))</f>
        <v>4.0574811380279401E-2</v>
      </c>
      <c r="J282" s="8">
        <f t="shared" si="20"/>
        <v>0</v>
      </c>
      <c r="P282">
        <v>0</v>
      </c>
      <c r="Q282" t="e">
        <f t="shared" si="21"/>
        <v>#N/A</v>
      </c>
      <c r="R282" t="e">
        <f t="shared" si="22"/>
        <v>#N/A</v>
      </c>
      <c r="S282" s="9" t="e">
        <f t="shared" si="23"/>
        <v>#N/A</v>
      </c>
      <c r="T282" s="3" t="e">
        <f t="shared" si="24"/>
        <v>#N/A</v>
      </c>
    </row>
    <row r="283" spans="1:20" x14ac:dyDescent="0.35">
      <c r="A283" t="str">
        <v>9128284V9</v>
      </c>
      <c r="B283" t="str">
        <f>IF(NOT(ISBLANK(A283)),VLOOKUP(A283,'BBT3'!A:F,2,0),"")</f>
        <v>Bond</v>
      </c>
      <c r="C283" t="str">
        <f>IF(NOT(ISBLANK(A283)),VLOOKUP(A283,'BBT3'!A:F,3,0),"")</f>
        <v>US9128284V99</v>
      </c>
      <c r="D283" s="6">
        <f>IF(NOT(ISBLANK(A283)),VLOOKUP(A283,'BBT3'!A:F,4,1),"")</f>
        <v>2.875</v>
      </c>
      <c r="E283">
        <f>IF(NOT(ISBLANK(A283)),VLOOKUP(A283,'BBT3'!A:F,5,0),"")</f>
        <v>46980</v>
      </c>
      <c r="F283" t="str">
        <f>IF(NOT(ISBLANK(A283)),VLOOKUP(A283,'BBT3'!A:F,6,0),"")</f>
        <v>N</v>
      </c>
      <c r="G283">
        <f>IF(NOT(ISBLANK(A283)),VLOOKUP(A283,QW_Close!A:J,5,0),"")</f>
        <v>4.0654173443795197E-2</v>
      </c>
      <c r="H283" s="5" cm="1">
        <f t="array" ref="H283">IF(NOT(ISBLANK(A283)),((_xlfn.XLOOKUP(1,(_bbt3[[#All],[ID]]=A283)*(_bbt3[[#All],[METRIC_NAME]]="YLD_YTM_ASK"),_bbt3[[#All],[METRIC_VALUE]])*0.5)+(_xlfn.XLOOKUP(1,(_bbt3[[#All],[ID]]=A283)*(_bbt3[[#All],[METRIC_NAME]]="YLD_YTM_BID"),_bbt3[[#All],[METRIC_VALUE]])*0.5))/100,"")</f>
        <v>4.0654185350000004E-2</v>
      </c>
      <c r="I283">
        <f>IF(ISNA(VLOOKUP(A283,QW_CloseDL!A:E,5,0)),0,VLOOKUP(A283,QW_CloseDL!A:E,5,0))</f>
        <v>4.0654173443795197E-2</v>
      </c>
      <c r="J283" s="8">
        <f t="shared" si="20"/>
        <v>0</v>
      </c>
      <c r="P283">
        <v>0</v>
      </c>
      <c r="Q283" t="e">
        <f t="shared" si="21"/>
        <v>#N/A</v>
      </c>
      <c r="R283" t="e">
        <f t="shared" si="22"/>
        <v>#N/A</v>
      </c>
      <c r="S283" s="9" t="e">
        <f t="shared" si="23"/>
        <v>#N/A</v>
      </c>
      <c r="T283" s="3" t="e">
        <f t="shared" si="24"/>
        <v>#N/A</v>
      </c>
    </row>
    <row r="284" spans="1:20" x14ac:dyDescent="0.35">
      <c r="A284" t="str">
        <v>9128285M8</v>
      </c>
      <c r="B284" t="str">
        <f>IF(NOT(ISBLANK(A284)),VLOOKUP(A284,'BBT3'!A:F,2,0),"")</f>
        <v>Bond</v>
      </c>
      <c r="C284" t="str">
        <f>IF(NOT(ISBLANK(A284)),VLOOKUP(A284,'BBT3'!A:F,3,0),"")</f>
        <v>US9128285M81</v>
      </c>
      <c r="D284" s="6">
        <f>IF(NOT(ISBLANK(A284)),VLOOKUP(A284,'BBT3'!A:F,4,1),"")</f>
        <v>3.125</v>
      </c>
      <c r="E284">
        <f>IF(NOT(ISBLANK(A284)),VLOOKUP(A284,'BBT3'!A:F,5,0),"")</f>
        <v>47072</v>
      </c>
      <c r="F284" t="str">
        <f>IF(NOT(ISBLANK(A284)),VLOOKUP(A284,'BBT3'!A:F,6,0),"")</f>
        <v>N</v>
      </c>
      <c r="G284">
        <f>IF(NOT(ISBLANK(A284)),VLOOKUP(A284,QW_Close!A:J,5,0),"")</f>
        <v>4.0827279576158303E-2</v>
      </c>
      <c r="H284" s="5" cm="1">
        <f t="array" ref="H284">IF(NOT(ISBLANK(A284)),((_xlfn.XLOOKUP(1,(_bbt3[[#All],[ID]]=A284)*(_bbt3[[#All],[METRIC_NAME]]="YLD_YTM_ASK"),_bbt3[[#All],[METRIC_VALUE]])*0.5)+(_xlfn.XLOOKUP(1,(_bbt3[[#All],[ID]]=A284)*(_bbt3[[#All],[METRIC_NAME]]="YLD_YTM_BID"),_bbt3[[#All],[METRIC_VALUE]])*0.5))/100,"")</f>
        <v>4.0827290099999997E-2</v>
      </c>
      <c r="I284">
        <f>IF(ISNA(VLOOKUP(A284,QW_CloseDL!A:E,5,0)),0,VLOOKUP(A284,QW_CloseDL!A:E,5,0))</f>
        <v>4.0827279576158303E-2</v>
      </c>
      <c r="J284" s="8">
        <f t="shared" si="20"/>
        <v>0</v>
      </c>
      <c r="P284">
        <v>0</v>
      </c>
      <c r="Q284" t="e">
        <f t="shared" si="21"/>
        <v>#N/A</v>
      </c>
      <c r="R284" t="e">
        <f t="shared" si="22"/>
        <v>#N/A</v>
      </c>
      <c r="S284" s="9" t="e">
        <f t="shared" si="23"/>
        <v>#N/A</v>
      </c>
      <c r="T284" s="3" t="e">
        <f t="shared" si="24"/>
        <v>#N/A</v>
      </c>
    </row>
    <row r="285" spans="1:20" x14ac:dyDescent="0.35">
      <c r="A285" t="str">
        <v>9128285W6</v>
      </c>
      <c r="B285" t="str">
        <f>IF(NOT(ISBLANK(A285)),VLOOKUP(A285,'BBT3'!A:F,2,0),"")</f>
        <v>Bond</v>
      </c>
      <c r="C285" t="str">
        <f>IF(NOT(ISBLANK(A285)),VLOOKUP(A285,'BBT3'!A:F,3,0),"")</f>
        <v>US9128285W63</v>
      </c>
      <c r="D285" s="6">
        <f>IF(NOT(ISBLANK(A285)),VLOOKUP(A285,'BBT3'!A:F,4,1),"")</f>
        <v>0.875</v>
      </c>
      <c r="E285">
        <f>IF(NOT(ISBLANK(A285)),VLOOKUP(A285,'BBT3'!A:F,5,0),"")</f>
        <v>47133</v>
      </c>
      <c r="F285" t="str">
        <f>IF(NOT(ISBLANK(A285)),VLOOKUP(A285,'BBT3'!A:F,6,0),"")</f>
        <v>Y</v>
      </c>
      <c r="G285">
        <f>IF(NOT(ISBLANK(A285)),VLOOKUP(A285,QW_Close!A:J,5,0),"")</f>
        <v>1.4456509126414999E-2</v>
      </c>
      <c r="H285" s="5" cm="1">
        <f t="array" ref="H285">IF(NOT(ISBLANK(A285)),((_xlfn.XLOOKUP(1,(_bbt3[[#All],[ID]]=A285)*(_bbt3[[#All],[METRIC_NAME]]="YLD_YTM_ASK"),_bbt3[[#All],[METRIC_VALUE]])*0.5)+(_xlfn.XLOOKUP(1,(_bbt3[[#All],[ID]]=A285)*(_bbt3[[#All],[METRIC_NAME]]="YLD_YTM_BID"),_bbt3[[#All],[METRIC_VALUE]])*0.5))/100,"")</f>
        <v>1.4456512249999999E-2</v>
      </c>
      <c r="I285">
        <f>IF(ISNA(VLOOKUP(A285,QW_CloseDL!A:E,5,0)),0,VLOOKUP(A285,QW_CloseDL!A:E,5,0))</f>
        <v>1.4456494307899701E-2</v>
      </c>
      <c r="J285" s="8">
        <f t="shared" si="20"/>
        <v>1.4818515298511969E-4</v>
      </c>
      <c r="P285">
        <v>0</v>
      </c>
      <c r="Q285" t="e">
        <f t="shared" si="21"/>
        <v>#N/A</v>
      </c>
      <c r="R285" t="e">
        <f t="shared" si="22"/>
        <v>#N/A</v>
      </c>
      <c r="S285" s="9" t="e">
        <f t="shared" si="23"/>
        <v>#N/A</v>
      </c>
      <c r="T285" s="3" t="e">
        <f t="shared" si="24"/>
        <v>#N/A</v>
      </c>
    </row>
    <row r="286" spans="1:20" x14ac:dyDescent="0.35">
      <c r="A286" t="str">
        <v>9128286B1</v>
      </c>
      <c r="B286" t="str">
        <f>IF(NOT(ISBLANK(A286)),VLOOKUP(A286,'BBT3'!A:F,2,0),"")</f>
        <v>Bond</v>
      </c>
      <c r="C286" t="str">
        <f>IF(NOT(ISBLANK(A286)),VLOOKUP(A286,'BBT3'!A:F,3,0),"")</f>
        <v>US9128286B18</v>
      </c>
      <c r="D286" s="6">
        <f>IF(NOT(ISBLANK(A286)),VLOOKUP(A286,'BBT3'!A:F,4,1),"")</f>
        <v>2.625</v>
      </c>
      <c r="E286">
        <f>IF(NOT(ISBLANK(A286)),VLOOKUP(A286,'BBT3'!A:F,5,0),"")</f>
        <v>47164</v>
      </c>
      <c r="F286" t="str">
        <f>IF(NOT(ISBLANK(A286)),VLOOKUP(A286,'BBT3'!A:F,6,0),"")</f>
        <v>N</v>
      </c>
      <c r="G286">
        <f>IF(NOT(ISBLANK(A286)),VLOOKUP(A286,QW_Close!A:J,5,0),"")</f>
        <v>4.0993694528912598E-2</v>
      </c>
      <c r="H286" s="5" cm="1">
        <f t="array" ref="H286">IF(NOT(ISBLANK(A286)),((_xlfn.XLOOKUP(1,(_bbt3[[#All],[ID]]=A286)*(_bbt3[[#All],[METRIC_NAME]]="YLD_YTM_ASK"),_bbt3[[#All],[METRIC_VALUE]])*0.5)+(_xlfn.XLOOKUP(1,(_bbt3[[#All],[ID]]=A286)*(_bbt3[[#All],[METRIC_NAME]]="YLD_YTM_BID"),_bbt3[[#All],[METRIC_VALUE]])*0.5))/100,"")</f>
        <v>4.0993704199999995E-2</v>
      </c>
      <c r="I286">
        <f>IF(ISNA(VLOOKUP(A286,QW_CloseDL!A:E,5,0)),0,VLOOKUP(A286,QW_CloseDL!A:E,5,0))</f>
        <v>4.0993694528912598E-2</v>
      </c>
      <c r="J286" s="8">
        <f t="shared" si="20"/>
        <v>0</v>
      </c>
      <c r="P286">
        <v>0</v>
      </c>
      <c r="Q286" t="e">
        <f t="shared" si="21"/>
        <v>#N/A</v>
      </c>
      <c r="R286" t="e">
        <f t="shared" si="22"/>
        <v>#N/A</v>
      </c>
      <c r="S286" s="9" t="e">
        <f t="shared" si="23"/>
        <v>#N/A</v>
      </c>
      <c r="T286" s="3" t="e">
        <f t="shared" si="24"/>
        <v>#N/A</v>
      </c>
    </row>
    <row r="287" spans="1:20" x14ac:dyDescent="0.35">
      <c r="A287" t="str">
        <v>9128286T2</v>
      </c>
      <c r="B287" t="str">
        <f>IF(NOT(ISBLANK(A287)),VLOOKUP(A287,'BBT3'!A:F,2,0),"")</f>
        <v>Bond</v>
      </c>
      <c r="C287" t="str">
        <f>IF(NOT(ISBLANK(A287)),VLOOKUP(A287,'BBT3'!A:F,3,0),"")</f>
        <v>US9128286T26</v>
      </c>
      <c r="D287" s="6">
        <f>IF(NOT(ISBLANK(A287)),VLOOKUP(A287,'BBT3'!A:F,4,1),"")</f>
        <v>2.375</v>
      </c>
      <c r="E287">
        <f>IF(NOT(ISBLANK(A287)),VLOOKUP(A287,'BBT3'!A:F,5,0),"")</f>
        <v>47253</v>
      </c>
      <c r="F287" t="str">
        <f>IF(NOT(ISBLANK(A287)),VLOOKUP(A287,'BBT3'!A:F,6,0),"")</f>
        <v>N</v>
      </c>
      <c r="G287">
        <f>IF(NOT(ISBLANK(A287)),VLOOKUP(A287,QW_Close!A:J,5,0),"")</f>
        <v>4.0972009835612701E-2</v>
      </c>
      <c r="H287" s="5" cm="1">
        <f t="array" ref="H287">IF(NOT(ISBLANK(A287)),((_xlfn.XLOOKUP(1,(_bbt3[[#All],[ID]]=A287)*(_bbt3[[#All],[METRIC_NAME]]="YLD_YTM_ASK"),_bbt3[[#All],[METRIC_VALUE]])*0.5)+(_xlfn.XLOOKUP(1,(_bbt3[[#All],[ID]]=A287)*(_bbt3[[#All],[METRIC_NAME]]="YLD_YTM_BID"),_bbt3[[#All],[METRIC_VALUE]])*0.5))/100,"")</f>
        <v>4.0972018800000003E-2</v>
      </c>
      <c r="I287">
        <f>IF(ISNA(VLOOKUP(A287,QW_CloseDL!A:E,5,0)),0,VLOOKUP(A287,QW_CloseDL!A:E,5,0))</f>
        <v>4.0972009835612701E-2</v>
      </c>
      <c r="J287" s="8">
        <f t="shared" si="20"/>
        <v>0</v>
      </c>
      <c r="P287">
        <v>0</v>
      </c>
      <c r="Q287" t="e">
        <f t="shared" si="21"/>
        <v>#N/A</v>
      </c>
      <c r="R287" t="e">
        <f t="shared" si="22"/>
        <v>#N/A</v>
      </c>
      <c r="S287" s="9" t="e">
        <f t="shared" si="23"/>
        <v>#N/A</v>
      </c>
      <c r="T287" s="3" t="e">
        <f t="shared" si="24"/>
        <v>#N/A</v>
      </c>
    </row>
    <row r="288" spans="1:20" x14ac:dyDescent="0.35">
      <c r="A288" t="str">
        <v>9128287B0</v>
      </c>
      <c r="B288" t="str">
        <f>IF(NOT(ISBLANK(A288)),VLOOKUP(A288,'BBT3'!A:F,2,0),"")</f>
        <v>Bond</v>
      </c>
      <c r="C288" t="str">
        <f>IF(NOT(ISBLANK(A288)),VLOOKUP(A288,'BBT3'!A:F,3,0),"")</f>
        <v>US9128287B09</v>
      </c>
      <c r="D288" s="6">
        <f>IF(NOT(ISBLANK(A288)),VLOOKUP(A288,'BBT3'!A:F,4,1),"")</f>
        <v>1.875</v>
      </c>
      <c r="E288">
        <f>IF(NOT(ISBLANK(A288)),VLOOKUP(A288,'BBT3'!A:F,5,0),"")</f>
        <v>46203</v>
      </c>
      <c r="F288" t="str">
        <f>IF(NOT(ISBLANK(A288)),VLOOKUP(A288,'BBT3'!A:F,6,0),"")</f>
        <v>N</v>
      </c>
      <c r="G288">
        <f>IF(NOT(ISBLANK(A288)),VLOOKUP(A288,QW_Close!A:J,5,0),"")</f>
        <v>3.5755255122143698E-2</v>
      </c>
      <c r="H288" s="5" cm="1">
        <f t="array" ref="H288">IF(NOT(ISBLANK(A288)),((_xlfn.XLOOKUP(1,(_bbt3[[#All],[ID]]=A288)*(_bbt3[[#All],[METRIC_NAME]]="YLD_YTM_ASK"),_bbt3[[#All],[METRIC_VALUE]])*0.5)+(_xlfn.XLOOKUP(1,(_bbt3[[#All],[ID]]=A288)*(_bbt3[[#All],[METRIC_NAME]]="YLD_YTM_BID"),_bbt3[[#All],[METRIC_VALUE]])*0.5))/100,"")</f>
        <v>3.5755522749999998E-2</v>
      </c>
      <c r="I288">
        <f>IF(ISNA(VLOOKUP(A288,QW_CloseDL!A:E,5,0)),0,VLOOKUP(A288,QW_CloseDL!A:E,5,0))</f>
        <v>3.5755255122143698E-2</v>
      </c>
      <c r="J288" s="8">
        <f t="shared" si="20"/>
        <v>0</v>
      </c>
      <c r="P288">
        <v>0</v>
      </c>
      <c r="Q288" t="e">
        <f t="shared" si="21"/>
        <v>#N/A</v>
      </c>
      <c r="R288" t="e">
        <f t="shared" si="22"/>
        <v>#N/A</v>
      </c>
      <c r="S288" s="9" t="e">
        <f t="shared" si="23"/>
        <v>#N/A</v>
      </c>
      <c r="T288" s="3" t="e">
        <f t="shared" si="24"/>
        <v>#N/A</v>
      </c>
    </row>
    <row r="289" spans="1:20" x14ac:dyDescent="0.35">
      <c r="A289" t="str">
        <v>9128287D6</v>
      </c>
      <c r="B289" t="str">
        <f>IF(NOT(ISBLANK(A289)),VLOOKUP(A289,'BBT3'!A:F,2,0),"")</f>
        <v>Bond</v>
      </c>
      <c r="C289" t="str">
        <f>IF(NOT(ISBLANK(A289)),VLOOKUP(A289,'BBT3'!A:F,3,0),"")</f>
        <v>US9128287D64</v>
      </c>
      <c r="D289" s="6">
        <f>IF(NOT(ISBLANK(A289)),VLOOKUP(A289,'BBT3'!A:F,4,1),"")</f>
        <v>0.25</v>
      </c>
      <c r="E289">
        <f>IF(NOT(ISBLANK(A289)),VLOOKUP(A289,'BBT3'!A:F,5,0),"")</f>
        <v>47314</v>
      </c>
      <c r="F289" t="str">
        <f>IF(NOT(ISBLANK(A289)),VLOOKUP(A289,'BBT3'!A:F,6,0),"")</f>
        <v>Y</v>
      </c>
      <c r="G289">
        <f>IF(NOT(ISBLANK(A289)),VLOOKUP(A289,QW_Close!A:J,5,0),"")</f>
        <v>1.39337113217769E-2</v>
      </c>
      <c r="H289" s="5" cm="1">
        <f t="array" ref="H289">IF(NOT(ISBLANK(A289)),((_xlfn.XLOOKUP(1,(_bbt3[[#All],[ID]]=A289)*(_bbt3[[#All],[METRIC_NAME]]="YLD_YTM_ASK"),_bbt3[[#All],[METRIC_VALUE]])*0.5)+(_xlfn.XLOOKUP(1,(_bbt3[[#All],[ID]]=A289)*(_bbt3[[#All],[METRIC_NAME]]="YLD_YTM_BID"),_bbt3[[#All],[METRIC_VALUE]])*0.5))/100,"")</f>
        <v>1.3933722450000002E-2</v>
      </c>
      <c r="I289">
        <f>IF(ISNA(VLOOKUP(A289,QW_CloseDL!A:E,5,0)),0,VLOOKUP(A289,QW_CloseDL!A:E,5,0))</f>
        <v>1.39337113217769E-2</v>
      </c>
      <c r="J289" s="8">
        <f t="shared" si="20"/>
        <v>0</v>
      </c>
      <c r="P289">
        <v>0</v>
      </c>
      <c r="Q289" t="e">
        <f t="shared" si="21"/>
        <v>#N/A</v>
      </c>
      <c r="R289" t="e">
        <f t="shared" si="22"/>
        <v>#N/A</v>
      </c>
      <c r="S289" s="9" t="e">
        <f t="shared" si="23"/>
        <v>#N/A</v>
      </c>
      <c r="T289" s="3" t="e">
        <f t="shared" si="24"/>
        <v>#N/A</v>
      </c>
    </row>
    <row r="290" spans="1:20" x14ac:dyDescent="0.35">
      <c r="A290" t="str">
        <v>912828S50</v>
      </c>
      <c r="B290" t="str">
        <f>IF(NOT(ISBLANK(A290)),VLOOKUP(A290,'BBT3'!A:F,2,0),"")</f>
        <v>Bond</v>
      </c>
      <c r="C290" t="str">
        <f>IF(NOT(ISBLANK(A290)),VLOOKUP(A290,'BBT3'!A:F,3,0),"")</f>
        <v>US912828S505</v>
      </c>
      <c r="D290" s="6">
        <f>IF(NOT(ISBLANK(A290)),VLOOKUP(A290,'BBT3'!A:F,4,1),"")</f>
        <v>0.125</v>
      </c>
      <c r="E290">
        <f>IF(NOT(ISBLANK(A290)),VLOOKUP(A290,'BBT3'!A:F,5,0),"")</f>
        <v>46218</v>
      </c>
      <c r="F290" t="str">
        <f>IF(NOT(ISBLANK(A290)),VLOOKUP(A290,'BBT3'!A:F,6,0),"")</f>
        <v>Y</v>
      </c>
      <c r="G290">
        <f>IF(NOT(ISBLANK(A290)),VLOOKUP(A290,QW_Close!A:J,5,0),"")</f>
        <v>-5.5992084065441199E-2</v>
      </c>
      <c r="H290" s="5" cm="1">
        <f t="array" ref="H290">IF(NOT(ISBLANK(A290)),((_xlfn.XLOOKUP(1,(_bbt3[[#All],[ID]]=A290)*(_bbt3[[#All],[METRIC_NAME]]="YLD_YTM_ASK"),_bbt3[[#All],[METRIC_VALUE]])*0.5)+(_xlfn.XLOOKUP(1,(_bbt3[[#All],[ID]]=A290)*(_bbt3[[#All],[METRIC_NAME]]="YLD_YTM_BID"),_bbt3[[#All],[METRIC_VALUE]])*0.5))/100,"")</f>
        <v>-5.5987654550000009E-2</v>
      </c>
      <c r="I290">
        <f>IF(ISNA(VLOOKUP(A290,QW_CloseDL!A:E,5,0)),0,VLOOKUP(A290,QW_CloseDL!A:E,5,0))</f>
        <v>-5.5989292571055699E-2</v>
      </c>
      <c r="J290" s="8">
        <f t="shared" si="20"/>
        <v>2.7914943854998042E-2</v>
      </c>
      <c r="P290">
        <v>0</v>
      </c>
      <c r="Q290" t="e">
        <f t="shared" si="21"/>
        <v>#N/A</v>
      </c>
      <c r="R290" t="e">
        <f t="shared" si="22"/>
        <v>#N/A</v>
      </c>
      <c r="S290" s="9" t="e">
        <f t="shared" si="23"/>
        <v>#N/A</v>
      </c>
      <c r="T290" s="3" t="e">
        <f t="shared" si="24"/>
        <v>#N/A</v>
      </c>
    </row>
    <row r="291" spans="1:20" x14ac:dyDescent="0.35">
      <c r="A291" t="str">
        <v>912828U24</v>
      </c>
      <c r="B291" t="str">
        <f>IF(NOT(ISBLANK(A291)),VLOOKUP(A291,'BBT3'!A:F,2,0),"")</f>
        <v>Bond</v>
      </c>
      <c r="C291" t="str">
        <f>IF(NOT(ISBLANK(A291)),VLOOKUP(A291,'BBT3'!A:F,3,0),"")</f>
        <v>US912828U246</v>
      </c>
      <c r="D291" s="6">
        <f>IF(NOT(ISBLANK(A291)),VLOOKUP(A291,'BBT3'!A:F,4,1),"")</f>
        <v>2</v>
      </c>
      <c r="E291">
        <f>IF(NOT(ISBLANK(A291)),VLOOKUP(A291,'BBT3'!A:F,5,0),"")</f>
        <v>46341</v>
      </c>
      <c r="F291" t="str">
        <f>IF(NOT(ISBLANK(A291)),VLOOKUP(A291,'BBT3'!A:F,6,0),"")</f>
        <v>N</v>
      </c>
      <c r="G291">
        <f>IF(NOT(ISBLANK(A291)),VLOOKUP(A291,QW_Close!A:J,5,0),"")</f>
        <v>3.7665154728389501E-2</v>
      </c>
      <c r="H291" s="5" cm="1">
        <f t="array" ref="H291">IF(NOT(ISBLANK(A291)),((_xlfn.XLOOKUP(1,(_bbt3[[#All],[ID]]=A291)*(_bbt3[[#All],[METRIC_NAME]]="YLD_YTM_ASK"),_bbt3[[#All],[METRIC_VALUE]])*0.5)+(_xlfn.XLOOKUP(1,(_bbt3[[#All],[ID]]=A291)*(_bbt3[[#All],[METRIC_NAME]]="YLD_YTM_BID"),_bbt3[[#All],[METRIC_VALUE]])*0.5))/100,"")</f>
        <v>3.76651982E-2</v>
      </c>
      <c r="I291">
        <f>IF(ISNA(VLOOKUP(A291,QW_CloseDL!A:E,5,0)),0,VLOOKUP(A291,QW_CloseDL!A:E,5,0))</f>
        <v>3.7665154728389501E-2</v>
      </c>
      <c r="J291" s="8">
        <f t="shared" si="20"/>
        <v>0</v>
      </c>
      <c r="P291">
        <v>0</v>
      </c>
      <c r="Q291" t="e">
        <f t="shared" si="21"/>
        <v>#N/A</v>
      </c>
      <c r="R291" t="e">
        <f t="shared" si="22"/>
        <v>#N/A</v>
      </c>
      <c r="S291" s="9" t="e">
        <f t="shared" si="23"/>
        <v>#N/A</v>
      </c>
      <c r="T291" s="3" t="e">
        <f t="shared" si="24"/>
        <v>#N/A</v>
      </c>
    </row>
    <row r="292" spans="1:20" x14ac:dyDescent="0.35">
      <c r="A292" t="str">
        <v>912828V49</v>
      </c>
      <c r="B292" t="str">
        <f>IF(NOT(ISBLANK(A292)),VLOOKUP(A292,'BBT3'!A:F,2,0),"")</f>
        <v>Bond</v>
      </c>
      <c r="C292" t="str">
        <f>IF(NOT(ISBLANK(A292)),VLOOKUP(A292,'BBT3'!A:F,3,0),"")</f>
        <v>US912828V491</v>
      </c>
      <c r="D292" s="6">
        <f>IF(NOT(ISBLANK(A292)),VLOOKUP(A292,'BBT3'!A:F,4,1),"")</f>
        <v>0.375</v>
      </c>
      <c r="E292">
        <f>IF(NOT(ISBLANK(A292)),VLOOKUP(A292,'BBT3'!A:F,5,0),"")</f>
        <v>46402</v>
      </c>
      <c r="F292" t="str">
        <f>IF(NOT(ISBLANK(A292)),VLOOKUP(A292,'BBT3'!A:F,6,0),"")</f>
        <v>Y</v>
      </c>
      <c r="G292">
        <f>IF(NOT(ISBLANK(A292)),VLOOKUP(A292,QW_Close!A:J,5,0),"")</f>
        <v>8.4416422656862899E-3</v>
      </c>
      <c r="H292" s="5" cm="1">
        <f t="array" ref="H292">IF(NOT(ISBLANK(A292)),((_xlfn.XLOOKUP(1,(_bbt3[[#All],[ID]]=A292)*(_bbt3[[#All],[METRIC_NAME]]="YLD_YTM_ASK"),_bbt3[[#All],[METRIC_VALUE]])*0.5)+(_xlfn.XLOOKUP(1,(_bbt3[[#All],[ID]]=A292)*(_bbt3[[#All],[METRIC_NAME]]="YLD_YTM_BID"),_bbt3[[#All],[METRIC_VALUE]])*0.5))/100,"")</f>
        <v>8.4418488499999993E-3</v>
      </c>
      <c r="I292">
        <f>IF(ISNA(VLOOKUP(A292,QW_CloseDL!A:E,5,0)),0,VLOOKUP(A292,QW_CloseDL!A:E,5,0))</f>
        <v>8.4416628875426895E-3</v>
      </c>
      <c r="J292" s="8">
        <f t="shared" si="20"/>
        <v>2.0621856399588578E-4</v>
      </c>
      <c r="P292">
        <v>0</v>
      </c>
      <c r="Q292" t="e">
        <f t="shared" si="21"/>
        <v>#N/A</v>
      </c>
      <c r="R292" t="e">
        <f t="shared" si="22"/>
        <v>#N/A</v>
      </c>
      <c r="S292" s="9" t="e">
        <f t="shared" si="23"/>
        <v>#N/A</v>
      </c>
      <c r="T292" s="3" t="e">
        <f t="shared" si="24"/>
        <v>#N/A</v>
      </c>
    </row>
    <row r="293" spans="1:20" x14ac:dyDescent="0.35">
      <c r="A293" t="str">
        <v>912828V98</v>
      </c>
      <c r="B293" t="str">
        <f>IF(NOT(ISBLANK(A293)),VLOOKUP(A293,'BBT3'!A:F,2,0),"")</f>
        <v>Bond</v>
      </c>
      <c r="C293" t="str">
        <f>IF(NOT(ISBLANK(A293)),VLOOKUP(A293,'BBT3'!A:F,3,0),"")</f>
        <v>US912828V988</v>
      </c>
      <c r="D293" s="6">
        <f>IF(NOT(ISBLANK(A293)),VLOOKUP(A293,'BBT3'!A:F,4,1),"")</f>
        <v>2.25</v>
      </c>
      <c r="E293">
        <f>IF(NOT(ISBLANK(A293)),VLOOKUP(A293,'BBT3'!A:F,5,0),"")</f>
        <v>46433</v>
      </c>
      <c r="F293" t="str">
        <f>IF(NOT(ISBLANK(A293)),VLOOKUP(A293,'BBT3'!A:F,6,0),"")</f>
        <v>N</v>
      </c>
      <c r="G293">
        <f>IF(NOT(ISBLANK(A293)),VLOOKUP(A293,QW_Close!A:J,5,0),"")</f>
        <v>3.8305183309964998E-2</v>
      </c>
      <c r="H293" s="5" cm="1">
        <f t="array" ref="H293">IF(NOT(ISBLANK(A293)),((_xlfn.XLOOKUP(1,(_bbt3[[#All],[ID]]=A293)*(_bbt3[[#All],[METRIC_NAME]]="YLD_YTM_ASK"),_bbt3[[#All],[METRIC_VALUE]])*0.5)+(_xlfn.XLOOKUP(1,(_bbt3[[#All],[ID]]=A293)*(_bbt3[[#All],[METRIC_NAME]]="YLD_YTM_BID"),_bbt3[[#All],[METRIC_VALUE]])*0.5))/100,"")</f>
        <v>3.8305201000000004E-2</v>
      </c>
      <c r="I293">
        <f>IF(ISNA(VLOOKUP(A293,QW_CloseDL!A:E,5,0)),0,VLOOKUP(A293,QW_CloseDL!A:E,5,0))</f>
        <v>3.8305183309964998E-2</v>
      </c>
      <c r="J293" s="8">
        <f t="shared" si="20"/>
        <v>0</v>
      </c>
      <c r="P293">
        <v>0</v>
      </c>
      <c r="Q293" t="e">
        <f t="shared" si="21"/>
        <v>#N/A</v>
      </c>
      <c r="R293" t="e">
        <f t="shared" si="22"/>
        <v>#N/A</v>
      </c>
      <c r="S293" s="9" t="e">
        <f t="shared" si="23"/>
        <v>#N/A</v>
      </c>
      <c r="T293" s="3" t="e">
        <f t="shared" si="24"/>
        <v>#N/A</v>
      </c>
    </row>
    <row r="294" spans="1:20" x14ac:dyDescent="0.35">
      <c r="A294" t="str">
        <v>912828X88</v>
      </c>
      <c r="B294" t="str">
        <f>IF(NOT(ISBLANK(A294)),VLOOKUP(A294,'BBT3'!A:F,2,0),"")</f>
        <v>Bond</v>
      </c>
      <c r="C294" t="str">
        <f>IF(NOT(ISBLANK(A294)),VLOOKUP(A294,'BBT3'!A:F,3,0),"")</f>
        <v>US912828X885</v>
      </c>
      <c r="D294" s="6">
        <f>IF(NOT(ISBLANK(A294)),VLOOKUP(A294,'BBT3'!A:F,4,1),"")</f>
        <v>2.375</v>
      </c>
      <c r="E294">
        <f>IF(NOT(ISBLANK(A294)),VLOOKUP(A294,'BBT3'!A:F,5,0),"")</f>
        <v>46522</v>
      </c>
      <c r="F294" t="str">
        <f>IF(NOT(ISBLANK(A294)),VLOOKUP(A294,'BBT3'!A:F,6,0),"")</f>
        <v>N</v>
      </c>
      <c r="G294">
        <f>IF(NOT(ISBLANK(A294)),VLOOKUP(A294,QW_Close!A:J,5,0),"")</f>
        <v>3.9007946312662099E-2</v>
      </c>
      <c r="H294" s="5" cm="1">
        <f t="array" ref="H294">IF(NOT(ISBLANK(A294)),((_xlfn.XLOOKUP(1,(_bbt3[[#All],[ID]]=A294)*(_bbt3[[#All],[METRIC_NAME]]="YLD_YTM_ASK"),_bbt3[[#All],[METRIC_VALUE]])*0.5)+(_xlfn.XLOOKUP(1,(_bbt3[[#All],[ID]]=A294)*(_bbt3[[#All],[METRIC_NAME]]="YLD_YTM_BID"),_bbt3[[#All],[METRIC_VALUE]])*0.5))/100,"")</f>
        <v>3.9007962349999994E-2</v>
      </c>
      <c r="I294">
        <f>IF(ISNA(VLOOKUP(A294,QW_CloseDL!A:E,5,0)),0,VLOOKUP(A294,QW_CloseDL!A:E,5,0))</f>
        <v>3.9007946312662099E-2</v>
      </c>
      <c r="J294" s="8">
        <f t="shared" si="20"/>
        <v>0</v>
      </c>
      <c r="P294">
        <v>0</v>
      </c>
      <c r="Q294" t="e">
        <f t="shared" si="21"/>
        <v>#N/A</v>
      </c>
      <c r="R294" t="e">
        <f t="shared" si="22"/>
        <v>#N/A</v>
      </c>
      <c r="S294" s="9" t="e">
        <f t="shared" si="23"/>
        <v>#N/A</v>
      </c>
      <c r="T294" s="3" t="e">
        <f t="shared" si="24"/>
        <v>#N/A</v>
      </c>
    </row>
    <row r="295" spans="1:20" x14ac:dyDescent="0.35">
      <c r="A295" t="str">
        <v>912828Y38</v>
      </c>
      <c r="B295" t="str">
        <f>IF(NOT(ISBLANK(A295)),VLOOKUP(A295,'BBT3'!A:F,2,0),"")</f>
        <v>Bond</v>
      </c>
      <c r="C295" t="str">
        <f>IF(NOT(ISBLANK(A295)),VLOOKUP(A295,'BBT3'!A:F,3,0),"")</f>
        <v>US912828Y388</v>
      </c>
      <c r="D295" s="6">
        <f>IF(NOT(ISBLANK(A295)),VLOOKUP(A295,'BBT3'!A:F,4,1),"")</f>
        <v>0.75</v>
      </c>
      <c r="E295">
        <f>IF(NOT(ISBLANK(A295)),VLOOKUP(A295,'BBT3'!A:F,5,0),"")</f>
        <v>46949</v>
      </c>
      <c r="F295" t="str">
        <f>IF(NOT(ISBLANK(A295)),VLOOKUP(A295,'BBT3'!A:F,6,0),"")</f>
        <v>Y</v>
      </c>
      <c r="G295">
        <f>IF(NOT(ISBLANK(A295)),VLOOKUP(A295,QW_Close!A:J,5,0),"")</f>
        <v>1.2105587254310501E-2</v>
      </c>
      <c r="H295" s="5" cm="1">
        <f t="array" ref="H295">IF(NOT(ISBLANK(A295)),((_xlfn.XLOOKUP(1,(_bbt3[[#All],[ID]]=A295)*(_bbt3[[#All],[METRIC_NAME]]="YLD_YTM_ASK"),_bbt3[[#All],[METRIC_VALUE]])*0.5)+(_xlfn.XLOOKUP(1,(_bbt3[[#All],[ID]]=A295)*(_bbt3[[#All],[METRIC_NAME]]="YLD_YTM_BID"),_bbt3[[#All],[METRIC_VALUE]])*0.5))/100,"")</f>
        <v>1.2105591800000003E-2</v>
      </c>
      <c r="I295">
        <f>IF(ISNA(VLOOKUP(A295,QW_CloseDL!A:E,5,0)),0,VLOOKUP(A295,QW_CloseDL!A:E,5,0))</f>
        <v>1.2105569097586699E-2</v>
      </c>
      <c r="J295" s="8">
        <f t="shared" si="20"/>
        <v>1.8156723801537877E-4</v>
      </c>
      <c r="P295">
        <v>0</v>
      </c>
      <c r="Q295" t="e">
        <f t="shared" si="21"/>
        <v>#N/A</v>
      </c>
      <c r="R295" t="e">
        <f t="shared" si="22"/>
        <v>#N/A</v>
      </c>
      <c r="S295" s="9" t="e">
        <f t="shared" si="23"/>
        <v>#N/A</v>
      </c>
      <c r="T295" s="3" t="e">
        <f t="shared" si="24"/>
        <v>#N/A</v>
      </c>
    </row>
    <row r="296" spans="1:20" x14ac:dyDescent="0.35">
      <c r="A296" t="str">
        <v>912828Y95</v>
      </c>
      <c r="B296" t="str">
        <f>IF(NOT(ISBLANK(A296)),VLOOKUP(A296,'BBT3'!A:F,2,0),"")</f>
        <v>Bond</v>
      </c>
      <c r="C296" t="str">
        <f>IF(NOT(ISBLANK(A296)),VLOOKUP(A296,'BBT3'!A:F,3,0),"")</f>
        <v>US912828Y958</v>
      </c>
      <c r="D296" s="6">
        <f>IF(NOT(ISBLANK(A296)),VLOOKUP(A296,'BBT3'!A:F,4,1),"")</f>
        <v>1.875</v>
      </c>
      <c r="E296">
        <f>IF(NOT(ISBLANK(A296)),VLOOKUP(A296,'BBT3'!A:F,5,0),"")</f>
        <v>46234</v>
      </c>
      <c r="F296" t="str">
        <f>IF(NOT(ISBLANK(A296)),VLOOKUP(A296,'BBT3'!A:F,6,0),"")</f>
        <v>N</v>
      </c>
      <c r="G296">
        <f>IF(NOT(ISBLANK(A296)),VLOOKUP(A296,QW_Close!A:J,5,0),"")</f>
        <v>3.6669549822122498E-2</v>
      </c>
      <c r="H296" s="5" cm="1">
        <f t="array" ref="H296">IF(NOT(ISBLANK(A296)),((_xlfn.XLOOKUP(1,(_bbt3[[#All],[ID]]=A296)*(_bbt3[[#All],[METRIC_NAME]]="YLD_YTM_ASK"),_bbt3[[#All],[METRIC_VALUE]])*0.5)+(_xlfn.XLOOKUP(1,(_bbt3[[#All],[ID]]=A296)*(_bbt3[[#All],[METRIC_NAME]]="YLD_YTM_BID"),_bbt3[[#All],[METRIC_VALUE]])*0.5))/100,"")</f>
        <v>3.6669611349999999E-2</v>
      </c>
      <c r="I296">
        <f>IF(ISNA(VLOOKUP(A296,QW_CloseDL!A:E,5,0)),0,VLOOKUP(A296,QW_CloseDL!A:E,5,0))</f>
        <v>3.6669549822122498E-2</v>
      </c>
      <c r="J296" s="8">
        <f t="shared" si="20"/>
        <v>0</v>
      </c>
      <c r="P296">
        <v>0</v>
      </c>
      <c r="Q296" t="e">
        <f t="shared" si="21"/>
        <v>#N/A</v>
      </c>
      <c r="R296" t="e">
        <f t="shared" si="22"/>
        <v>#N/A</v>
      </c>
      <c r="S296" s="9" t="e">
        <f t="shared" si="23"/>
        <v>#N/A</v>
      </c>
      <c r="T296" s="3" t="e">
        <f t="shared" si="24"/>
        <v>#N/A</v>
      </c>
    </row>
    <row r="297" spans="1:20" x14ac:dyDescent="0.35">
      <c r="A297" t="str">
        <v>912828YB0</v>
      </c>
      <c r="B297" t="str">
        <f>IF(NOT(ISBLANK(A297)),VLOOKUP(A297,'BBT3'!A:F,2,0),"")</f>
        <v>Bond</v>
      </c>
      <c r="C297" t="str">
        <f>IF(NOT(ISBLANK(A297)),VLOOKUP(A297,'BBT3'!A:F,3,0),"")</f>
        <v>US912828YB05</v>
      </c>
      <c r="D297" s="6">
        <f>IF(NOT(ISBLANK(A297)),VLOOKUP(A297,'BBT3'!A:F,4,1),"")</f>
        <v>1.625</v>
      </c>
      <c r="E297">
        <f>IF(NOT(ISBLANK(A297)),VLOOKUP(A297,'BBT3'!A:F,5,0),"")</f>
        <v>47345</v>
      </c>
      <c r="F297" t="str">
        <f>IF(NOT(ISBLANK(A297)),VLOOKUP(A297,'BBT3'!A:F,6,0),"")</f>
        <v>N</v>
      </c>
      <c r="G297">
        <f>IF(NOT(ISBLANK(A297)),VLOOKUP(A297,QW_Close!A:J,5,0),"")</f>
        <v>4.0992767269995199E-2</v>
      </c>
      <c r="H297" s="5" cm="1">
        <f t="array" ref="H297">IF(NOT(ISBLANK(A297)),((_xlfn.XLOOKUP(1,(_bbt3[[#All],[ID]]=A297)*(_bbt3[[#All],[METRIC_NAME]]="YLD_YTM_ASK"),_bbt3[[#All],[METRIC_VALUE]])*0.5)+(_xlfn.XLOOKUP(1,(_bbt3[[#All],[ID]]=A297)*(_bbt3[[#All],[METRIC_NAME]]="YLD_YTM_BID"),_bbt3[[#All],[METRIC_VALUE]])*0.5))/100,"")</f>
        <v>4.0992779549999997E-2</v>
      </c>
      <c r="I297">
        <f>IF(ISNA(VLOOKUP(A297,QW_CloseDL!A:E,5,0)),0,VLOOKUP(A297,QW_CloseDL!A:E,5,0))</f>
        <v>4.0992767269995199E-2</v>
      </c>
      <c r="J297" s="8">
        <f t="shared" si="20"/>
        <v>0</v>
      </c>
      <c r="P297">
        <v>0</v>
      </c>
      <c r="Q297" t="e">
        <f t="shared" si="21"/>
        <v>#N/A</v>
      </c>
      <c r="R297" t="e">
        <f t="shared" si="22"/>
        <v>#N/A</v>
      </c>
      <c r="S297" s="9" t="e">
        <f t="shared" si="23"/>
        <v>#N/A</v>
      </c>
      <c r="T297" s="3" t="e">
        <f t="shared" si="24"/>
        <v>#N/A</v>
      </c>
    </row>
    <row r="298" spans="1:20" x14ac:dyDescent="0.35">
      <c r="A298" t="str">
        <v>912828YD6</v>
      </c>
      <c r="B298" t="str">
        <f>IF(NOT(ISBLANK(A298)),VLOOKUP(A298,'BBT3'!A:F,2,0),"")</f>
        <v>Bond</v>
      </c>
      <c r="C298" t="str">
        <f>IF(NOT(ISBLANK(A298)),VLOOKUP(A298,'BBT3'!A:F,3,0),"")</f>
        <v>US912828YD60</v>
      </c>
      <c r="D298" s="6">
        <f>IF(NOT(ISBLANK(A298)),VLOOKUP(A298,'BBT3'!A:F,4,1),"")</f>
        <v>1.375</v>
      </c>
      <c r="E298">
        <f>IF(NOT(ISBLANK(A298)),VLOOKUP(A298,'BBT3'!A:F,5,0),"")</f>
        <v>46265</v>
      </c>
      <c r="F298" t="str">
        <f>IF(NOT(ISBLANK(A298)),VLOOKUP(A298,'BBT3'!A:F,6,0),"")</f>
        <v>N</v>
      </c>
      <c r="G298">
        <f>IF(NOT(ISBLANK(A298)),VLOOKUP(A298,QW_Close!A:J,5,0),"")</f>
        <v>3.72843248189468E-2</v>
      </c>
      <c r="H298" s="5" cm="1">
        <f t="array" ref="H298">IF(NOT(ISBLANK(A298)),((_xlfn.XLOOKUP(1,(_bbt3[[#All],[ID]]=A298)*(_bbt3[[#All],[METRIC_NAME]]="YLD_YTM_ASK"),_bbt3[[#All],[METRIC_VALUE]])*0.5)+(_xlfn.XLOOKUP(1,(_bbt3[[#All],[ID]]=A298)*(_bbt3[[#All],[METRIC_NAME]]="YLD_YTM_BID"),_bbt3[[#All],[METRIC_VALUE]])*0.5))/100,"")</f>
        <v>3.7284429399999999E-2</v>
      </c>
      <c r="I298">
        <f>IF(ISNA(VLOOKUP(A298,QW_CloseDL!A:E,5,0)),0,VLOOKUP(A298,QW_CloseDL!A:E,5,0))</f>
        <v>3.72843248189468E-2</v>
      </c>
      <c r="J298" s="8">
        <f t="shared" si="20"/>
        <v>0</v>
      </c>
      <c r="P298">
        <v>0</v>
      </c>
      <c r="Q298" t="e">
        <f t="shared" si="21"/>
        <v>#N/A</v>
      </c>
      <c r="R298" t="e">
        <f t="shared" si="22"/>
        <v>#N/A</v>
      </c>
      <c r="S298" s="9" t="e">
        <f t="shared" si="23"/>
        <v>#N/A</v>
      </c>
      <c r="T298" s="3" t="e">
        <f t="shared" si="24"/>
        <v>#N/A</v>
      </c>
    </row>
    <row r="299" spans="1:20" x14ac:dyDescent="0.35">
      <c r="A299" t="str">
        <v>912828YG9</v>
      </c>
      <c r="B299" t="str">
        <f>IF(NOT(ISBLANK(A299)),VLOOKUP(A299,'BBT3'!A:F,2,0),"")</f>
        <v>Bond</v>
      </c>
      <c r="C299" t="str">
        <f>IF(NOT(ISBLANK(A299)),VLOOKUP(A299,'BBT3'!A:F,3,0),"")</f>
        <v>US912828YG91</v>
      </c>
      <c r="D299" s="6">
        <f>IF(NOT(ISBLANK(A299)),VLOOKUP(A299,'BBT3'!A:F,4,1),"")</f>
        <v>1.625</v>
      </c>
      <c r="E299">
        <f>IF(NOT(ISBLANK(A299)),VLOOKUP(A299,'BBT3'!A:F,5,0),"")</f>
        <v>46295</v>
      </c>
      <c r="F299" t="str">
        <f>IF(NOT(ISBLANK(A299)),VLOOKUP(A299,'BBT3'!A:F,6,0),"")</f>
        <v>N</v>
      </c>
      <c r="G299">
        <f>IF(NOT(ISBLANK(A299)),VLOOKUP(A299,QW_Close!A:J,5,0),"")</f>
        <v>3.7285228422593998E-2</v>
      </c>
      <c r="H299" s="5" cm="1">
        <f t="array" ref="H299">IF(NOT(ISBLANK(A299)),((_xlfn.XLOOKUP(1,(_bbt3[[#All],[ID]]=A299)*(_bbt3[[#All],[METRIC_NAME]]="YLD_YTM_ASK"),_bbt3[[#All],[METRIC_VALUE]])*0.5)+(_xlfn.XLOOKUP(1,(_bbt3[[#All],[ID]]=A299)*(_bbt3[[#All],[METRIC_NAME]]="YLD_YTM_BID"),_bbt3[[#All],[METRIC_VALUE]])*0.5))/100,"")</f>
        <v>3.7285272200000004E-2</v>
      </c>
      <c r="I299">
        <f>IF(ISNA(VLOOKUP(A299,QW_CloseDL!A:E,5,0)),0,VLOOKUP(A299,QW_CloseDL!A:E,5,0))</f>
        <v>3.7285228422593998E-2</v>
      </c>
      <c r="J299" s="8">
        <f t="shared" si="20"/>
        <v>0</v>
      </c>
      <c r="P299">
        <v>0</v>
      </c>
      <c r="Q299" t="e">
        <f t="shared" si="21"/>
        <v>#N/A</v>
      </c>
      <c r="R299" t="e">
        <f t="shared" si="22"/>
        <v>#N/A</v>
      </c>
      <c r="S299" s="9" t="e">
        <f t="shared" si="23"/>
        <v>#N/A</v>
      </c>
      <c r="T299" s="3" t="e">
        <f t="shared" si="24"/>
        <v>#N/A</v>
      </c>
    </row>
    <row r="300" spans="1:20" x14ac:dyDescent="0.35">
      <c r="A300" t="str">
        <v>912828YQ7</v>
      </c>
      <c r="B300" t="str">
        <f>IF(NOT(ISBLANK(A300)),VLOOKUP(A300,'BBT3'!A:F,2,0),"")</f>
        <v>Bond</v>
      </c>
      <c r="C300" t="str">
        <f>IF(NOT(ISBLANK(A300)),VLOOKUP(A300,'BBT3'!A:F,3,0),"")</f>
        <v>US912828YQ73</v>
      </c>
      <c r="D300" s="6">
        <f>IF(NOT(ISBLANK(A300)),VLOOKUP(A300,'BBT3'!A:F,4,1),"")</f>
        <v>1.625</v>
      </c>
      <c r="E300">
        <f>IF(NOT(ISBLANK(A300)),VLOOKUP(A300,'BBT3'!A:F,5,0),"")</f>
        <v>46326</v>
      </c>
      <c r="F300" t="str">
        <f>IF(NOT(ISBLANK(A300)),VLOOKUP(A300,'BBT3'!A:F,6,0),"")</f>
        <v>N</v>
      </c>
      <c r="G300">
        <f>IF(NOT(ISBLANK(A300)),VLOOKUP(A300,QW_Close!A:J,5,0),"")</f>
        <v>3.7784282908697203E-2</v>
      </c>
      <c r="H300" s="5" cm="1">
        <f t="array" ref="H300">IF(NOT(ISBLANK(A300)),((_xlfn.XLOOKUP(1,(_bbt3[[#All],[ID]]=A300)*(_bbt3[[#All],[METRIC_NAME]]="YLD_YTM_ASK"),_bbt3[[#All],[METRIC_VALUE]])*0.5)+(_xlfn.XLOOKUP(1,(_bbt3[[#All],[ID]]=A300)*(_bbt3[[#All],[METRIC_NAME]]="YLD_YTM_BID"),_bbt3[[#All],[METRIC_VALUE]])*0.5))/100,"")</f>
        <v>3.7784318050000001E-2</v>
      </c>
      <c r="I300">
        <f>IF(ISNA(VLOOKUP(A300,QW_CloseDL!A:E,5,0)),0,VLOOKUP(A300,QW_CloseDL!A:E,5,0))</f>
        <v>3.7784282908697203E-2</v>
      </c>
      <c r="J300" s="8">
        <f t="shared" si="20"/>
        <v>0</v>
      </c>
      <c r="P300">
        <v>0</v>
      </c>
      <c r="Q300" t="e">
        <f t="shared" si="21"/>
        <v>#N/A</v>
      </c>
      <c r="R300" t="e">
        <f t="shared" si="22"/>
        <v>#N/A</v>
      </c>
      <c r="S300" s="9" t="e">
        <f t="shared" si="23"/>
        <v>#N/A</v>
      </c>
      <c r="T300" s="3" t="e">
        <f t="shared" si="24"/>
        <v>#N/A</v>
      </c>
    </row>
    <row r="301" spans="1:20" x14ac:dyDescent="0.35">
      <c r="A301" t="str">
        <v>912828YS3</v>
      </c>
      <c r="B301" t="str">
        <f>IF(NOT(ISBLANK(A301)),VLOOKUP(A301,'BBT3'!A:F,2,0),"")</f>
        <v>Bond</v>
      </c>
      <c r="C301" t="str">
        <f>IF(NOT(ISBLANK(A301)),VLOOKUP(A301,'BBT3'!A:F,3,0),"")</f>
        <v>US912828YS30</v>
      </c>
      <c r="D301" s="6">
        <f>IF(NOT(ISBLANK(A301)),VLOOKUP(A301,'BBT3'!A:F,4,1),"")</f>
        <v>1.75</v>
      </c>
      <c r="E301">
        <f>IF(NOT(ISBLANK(A301)),VLOOKUP(A301,'BBT3'!A:F,5,0),"")</f>
        <v>47437</v>
      </c>
      <c r="F301" t="str">
        <f>IF(NOT(ISBLANK(A301)),VLOOKUP(A301,'BBT3'!A:F,6,0),"")</f>
        <v>N</v>
      </c>
      <c r="G301">
        <f>IF(NOT(ISBLANK(A301)),VLOOKUP(A301,QW_Close!A:J,5,0),"")</f>
        <v>4.1196059508445203E-2</v>
      </c>
      <c r="H301" s="5" cm="1">
        <f t="array" ref="H301">IF(NOT(ISBLANK(A301)),((_xlfn.XLOOKUP(1,(_bbt3[[#All],[ID]]=A301)*(_bbt3[[#All],[METRIC_NAME]]="YLD_YTM_ASK"),_bbt3[[#All],[METRIC_VALUE]])*0.5)+(_xlfn.XLOOKUP(1,(_bbt3[[#All],[ID]]=A301)*(_bbt3[[#All],[METRIC_NAME]]="YLD_YTM_BID"),_bbt3[[#All],[METRIC_VALUE]])*0.5))/100,"")</f>
        <v>4.1196074999999999E-2</v>
      </c>
      <c r="I301">
        <f>IF(ISNA(VLOOKUP(A301,QW_CloseDL!A:E,5,0)),0,VLOOKUP(A301,QW_CloseDL!A:E,5,0))</f>
        <v>4.1196059508445203E-2</v>
      </c>
      <c r="J301" s="8">
        <f t="shared" si="20"/>
        <v>0</v>
      </c>
      <c r="P301">
        <v>0</v>
      </c>
      <c r="Q301" t="e">
        <f t="shared" si="21"/>
        <v>#N/A</v>
      </c>
      <c r="R301" t="e">
        <f t="shared" si="22"/>
        <v>#N/A</v>
      </c>
      <c r="S301" s="9" t="e">
        <f t="shared" si="23"/>
        <v>#N/A</v>
      </c>
      <c r="T301" s="3" t="e">
        <f t="shared" si="24"/>
        <v>#N/A</v>
      </c>
    </row>
    <row r="302" spans="1:20" x14ac:dyDescent="0.35">
      <c r="A302" t="str">
        <v>912828YU8</v>
      </c>
      <c r="B302" t="str">
        <f>IF(NOT(ISBLANK(A302)),VLOOKUP(A302,'BBT3'!A:F,2,0),"")</f>
        <v>Bond</v>
      </c>
      <c r="C302" t="str">
        <f>IF(NOT(ISBLANK(A302)),VLOOKUP(A302,'BBT3'!A:F,3,0),"")</f>
        <v>US912828YU85</v>
      </c>
      <c r="D302" s="6">
        <f>IF(NOT(ISBLANK(A302)),VLOOKUP(A302,'BBT3'!A:F,4,1),"")</f>
        <v>1.625</v>
      </c>
      <c r="E302">
        <f>IF(NOT(ISBLANK(A302)),VLOOKUP(A302,'BBT3'!A:F,5,0),"")</f>
        <v>46356</v>
      </c>
      <c r="F302" t="str">
        <f>IF(NOT(ISBLANK(A302)),VLOOKUP(A302,'BBT3'!A:F,6,0),"")</f>
        <v>N</v>
      </c>
      <c r="G302">
        <f>IF(NOT(ISBLANK(A302)),VLOOKUP(A302,QW_Close!A:J,5,0),"")</f>
        <v>3.7670890172483297E-2</v>
      </c>
      <c r="H302" s="5" cm="1">
        <f t="array" ref="H302">IF(NOT(ISBLANK(A302)),((_xlfn.XLOOKUP(1,(_bbt3[[#All],[ID]]=A302)*(_bbt3[[#All],[METRIC_NAME]]="YLD_YTM_ASK"),_bbt3[[#All],[METRIC_VALUE]])*0.5)+(_xlfn.XLOOKUP(1,(_bbt3[[#All],[ID]]=A302)*(_bbt3[[#All],[METRIC_NAME]]="YLD_YTM_BID"),_bbt3[[#All],[METRIC_VALUE]])*0.5))/100,"")</f>
        <v>3.7670942299999996E-2</v>
      </c>
      <c r="I302">
        <f>IF(ISNA(VLOOKUP(A302,QW_CloseDL!A:E,5,0)),0,VLOOKUP(A302,QW_CloseDL!A:E,5,0))</f>
        <v>3.7670890172483297E-2</v>
      </c>
      <c r="J302" s="8">
        <f t="shared" si="20"/>
        <v>0</v>
      </c>
      <c r="P302">
        <v>0</v>
      </c>
      <c r="Q302" t="e">
        <f t="shared" si="21"/>
        <v>#N/A</v>
      </c>
      <c r="R302" t="e">
        <f t="shared" si="22"/>
        <v>#N/A</v>
      </c>
      <c r="S302" s="9" t="e">
        <f t="shared" si="23"/>
        <v>#N/A</v>
      </c>
      <c r="T302" s="3" t="e">
        <f t="shared" si="24"/>
        <v>#N/A</v>
      </c>
    </row>
    <row r="303" spans="1:20" x14ac:dyDescent="0.35">
      <c r="A303" t="str">
        <v>912828YX2</v>
      </c>
      <c r="B303" t="str">
        <f>IF(NOT(ISBLANK(A303)),VLOOKUP(A303,'BBT3'!A:F,2,0),"")</f>
        <v>Bond</v>
      </c>
      <c r="C303" t="str">
        <f>IF(NOT(ISBLANK(A303)),VLOOKUP(A303,'BBT3'!A:F,3,0),"")</f>
        <v>US912828YX25</v>
      </c>
      <c r="D303" s="6">
        <f>IF(NOT(ISBLANK(A303)),VLOOKUP(A303,'BBT3'!A:F,4,1),"")</f>
        <v>1.75</v>
      </c>
      <c r="E303">
        <f>IF(NOT(ISBLANK(A303)),VLOOKUP(A303,'BBT3'!A:F,5,0),"")</f>
        <v>46387</v>
      </c>
      <c r="F303" t="str">
        <f>IF(NOT(ISBLANK(A303)),VLOOKUP(A303,'BBT3'!A:F,6,0),"")</f>
        <v>N</v>
      </c>
      <c r="G303">
        <f>IF(NOT(ISBLANK(A303)),VLOOKUP(A303,QW_Close!A:J,5,0),"")</f>
        <v>3.7862243615102403E-2</v>
      </c>
      <c r="H303" s="5" cm="1">
        <f t="array" ref="H303">IF(NOT(ISBLANK(A303)),((_xlfn.XLOOKUP(1,(_bbt3[[#All],[ID]]=A303)*(_bbt3[[#All],[METRIC_NAME]]="YLD_YTM_ASK"),_bbt3[[#All],[METRIC_VALUE]])*0.5)+(_xlfn.XLOOKUP(1,(_bbt3[[#All],[ID]]=A303)*(_bbt3[[#All],[METRIC_NAME]]="YLD_YTM_BID"),_bbt3[[#All],[METRIC_VALUE]])*0.5))/100,"")</f>
        <v>3.7862285650000001E-2</v>
      </c>
      <c r="I303">
        <f>IF(ISNA(VLOOKUP(A303,QW_CloseDL!A:E,5,0)),0,VLOOKUP(A303,QW_CloseDL!A:E,5,0))</f>
        <v>3.7862243615102403E-2</v>
      </c>
      <c r="J303" s="8">
        <f t="shared" si="20"/>
        <v>0</v>
      </c>
      <c r="P303">
        <v>0</v>
      </c>
      <c r="Q303" t="e">
        <f t="shared" si="21"/>
        <v>#N/A</v>
      </c>
      <c r="R303" t="e">
        <f t="shared" si="22"/>
        <v>#N/A</v>
      </c>
      <c r="S303" s="9" t="e">
        <f t="shared" si="23"/>
        <v>#N/A</v>
      </c>
      <c r="T303" s="3" t="e">
        <f t="shared" si="24"/>
        <v>#N/A</v>
      </c>
    </row>
    <row r="304" spans="1:20" x14ac:dyDescent="0.35">
      <c r="A304" t="str">
        <v>912828Z37</v>
      </c>
      <c r="B304" t="str">
        <f>IF(NOT(ISBLANK(A304)),VLOOKUP(A304,'BBT3'!A:F,2,0),"")</f>
        <v>Bond</v>
      </c>
      <c r="C304" t="str">
        <f>IF(NOT(ISBLANK(A304)),VLOOKUP(A304,'BBT3'!A:F,3,0),"")</f>
        <v>US912828Z377</v>
      </c>
      <c r="D304" s="6">
        <f>IF(NOT(ISBLANK(A304)),VLOOKUP(A304,'BBT3'!A:F,4,1),"")</f>
        <v>0.125</v>
      </c>
      <c r="E304">
        <f>IF(NOT(ISBLANK(A304)),VLOOKUP(A304,'BBT3'!A:F,5,0),"")</f>
        <v>47498</v>
      </c>
      <c r="F304" t="str">
        <f>IF(NOT(ISBLANK(A304)),VLOOKUP(A304,'BBT3'!A:F,6,0),"")</f>
        <v>Y</v>
      </c>
      <c r="G304">
        <f>IF(NOT(ISBLANK(A304)),VLOOKUP(A304,QW_Close!A:J,5,0),"")</f>
        <v>1.54638751571709E-2</v>
      </c>
      <c r="H304" s="5" cm="1">
        <f t="array" ref="H304">IF(NOT(ISBLANK(A304)),((_xlfn.XLOOKUP(1,(_bbt3[[#All],[ID]]=A304)*(_bbt3[[#All],[METRIC_NAME]]="YLD_YTM_ASK"),_bbt3[[#All],[METRIC_VALUE]])*0.5)+(_xlfn.XLOOKUP(1,(_bbt3[[#All],[ID]]=A304)*(_bbt3[[#All],[METRIC_NAME]]="YLD_YTM_BID"),_bbt3[[#All],[METRIC_VALUE]])*0.5))/100,"")</f>
        <v>1.546389145E-2</v>
      </c>
      <c r="I304">
        <f>IF(ISNA(VLOOKUP(A304,QW_CloseDL!A:E,5,0)),0,VLOOKUP(A304,QW_CloseDL!A:E,5,0))</f>
        <v>1.54638788359751E-2</v>
      </c>
      <c r="J304" s="8">
        <f t="shared" si="20"/>
        <v>3.6788042005048149E-5</v>
      </c>
      <c r="P304">
        <v>0</v>
      </c>
      <c r="Q304" t="e">
        <f t="shared" si="21"/>
        <v>#N/A</v>
      </c>
      <c r="R304" t="e">
        <f t="shared" si="22"/>
        <v>#N/A</v>
      </c>
      <c r="S304" s="9" t="e">
        <f t="shared" si="23"/>
        <v>#N/A</v>
      </c>
      <c r="T304" s="3" t="e">
        <f t="shared" si="24"/>
        <v>#N/A</v>
      </c>
    </row>
    <row r="305" spans="1:20" x14ac:dyDescent="0.35">
      <c r="A305" t="str">
        <v>912828Z78</v>
      </c>
      <c r="B305" t="str">
        <f>IF(NOT(ISBLANK(A305)),VLOOKUP(A305,'BBT3'!A:F,2,0),"")</f>
        <v>Bond</v>
      </c>
      <c r="C305" t="str">
        <f>IF(NOT(ISBLANK(A305)),VLOOKUP(A305,'BBT3'!A:F,3,0),"")</f>
        <v>US912828Z781</v>
      </c>
      <c r="D305" s="6">
        <f>IF(NOT(ISBLANK(A305)),VLOOKUP(A305,'BBT3'!A:F,4,1),"")</f>
        <v>1.5</v>
      </c>
      <c r="E305">
        <f>IF(NOT(ISBLANK(A305)),VLOOKUP(A305,'BBT3'!A:F,5,0),"")</f>
        <v>46418</v>
      </c>
      <c r="F305" t="str">
        <f>IF(NOT(ISBLANK(A305)),VLOOKUP(A305,'BBT3'!A:F,6,0),"")</f>
        <v>N</v>
      </c>
      <c r="G305">
        <f>IF(NOT(ISBLANK(A305)),VLOOKUP(A305,QW_Close!A:J,5,0),"")</f>
        <v>3.8210681324669003E-2</v>
      </c>
      <c r="H305" s="5" cm="1">
        <f t="array" ref="H305">IF(NOT(ISBLANK(A305)),((_xlfn.XLOOKUP(1,(_bbt3[[#All],[ID]]=A305)*(_bbt3[[#All],[METRIC_NAME]]="YLD_YTM_ASK"),_bbt3[[#All],[METRIC_VALUE]])*0.5)+(_xlfn.XLOOKUP(1,(_bbt3[[#All],[ID]]=A305)*(_bbt3[[#All],[METRIC_NAME]]="YLD_YTM_BID"),_bbt3[[#All],[METRIC_VALUE]])*0.5))/100,"")</f>
        <v>3.821070075E-2</v>
      </c>
      <c r="I305">
        <f>IF(ISNA(VLOOKUP(A305,QW_CloseDL!A:E,5,0)),0,VLOOKUP(A305,QW_CloseDL!A:E,5,0))</f>
        <v>3.8210681324669003E-2</v>
      </c>
      <c r="J305" s="8">
        <f t="shared" si="20"/>
        <v>0</v>
      </c>
      <c r="P305">
        <v>0</v>
      </c>
      <c r="Q305" t="e">
        <f t="shared" si="21"/>
        <v>#N/A</v>
      </c>
      <c r="R305" t="e">
        <f t="shared" si="22"/>
        <v>#N/A</v>
      </c>
      <c r="S305" s="9" t="e">
        <f t="shared" si="23"/>
        <v>#N/A</v>
      </c>
      <c r="T305" s="3" t="e">
        <f t="shared" si="24"/>
        <v>#N/A</v>
      </c>
    </row>
    <row r="306" spans="1:20" x14ac:dyDescent="0.35">
      <c r="A306" t="str">
        <v>912828Z94</v>
      </c>
      <c r="B306" t="str">
        <f>IF(NOT(ISBLANK(A306)),VLOOKUP(A306,'BBT3'!A:F,2,0),"")</f>
        <v>Bond</v>
      </c>
      <c r="C306" t="str">
        <f>IF(NOT(ISBLANK(A306)),VLOOKUP(A306,'BBT3'!A:F,3,0),"")</f>
        <v>US912828Z948</v>
      </c>
      <c r="D306" s="6">
        <f>IF(NOT(ISBLANK(A306)),VLOOKUP(A306,'BBT3'!A:F,4,1),"")</f>
        <v>1.5</v>
      </c>
      <c r="E306">
        <f>IF(NOT(ISBLANK(A306)),VLOOKUP(A306,'BBT3'!A:F,5,0),"")</f>
        <v>47529</v>
      </c>
      <c r="F306" t="str">
        <f>IF(NOT(ISBLANK(A306)),VLOOKUP(A306,'BBT3'!A:F,6,0),"")</f>
        <v>N</v>
      </c>
      <c r="G306">
        <f>IF(NOT(ISBLANK(A306)),VLOOKUP(A306,QW_Close!A:J,5,0),"")</f>
        <v>4.13413562076849E-2</v>
      </c>
      <c r="H306" s="5" cm="1">
        <f t="array" ref="H306">IF(NOT(ISBLANK(A306)),((_xlfn.XLOOKUP(1,(_bbt3[[#All],[ID]]=A306)*(_bbt3[[#All],[METRIC_NAME]]="YLD_YTM_ASK"),_bbt3[[#All],[METRIC_VALUE]])*0.5)+(_xlfn.XLOOKUP(1,(_bbt3[[#All],[ID]]=A306)*(_bbt3[[#All],[METRIC_NAME]]="YLD_YTM_BID"),_bbt3[[#All],[METRIC_VALUE]])*0.5))/100,"")</f>
        <v>4.1341366999999997E-2</v>
      </c>
      <c r="I306">
        <f>IF(ISNA(VLOOKUP(A306,QW_CloseDL!A:E,5,0)),0,VLOOKUP(A306,QW_CloseDL!A:E,5,0))</f>
        <v>4.13413562076849E-2</v>
      </c>
      <c r="J306" s="8">
        <f t="shared" si="20"/>
        <v>0</v>
      </c>
      <c r="P306">
        <v>0</v>
      </c>
      <c r="Q306" t="e">
        <f t="shared" si="21"/>
        <v>#N/A</v>
      </c>
      <c r="R306" t="e">
        <f t="shared" si="22"/>
        <v>#N/A</v>
      </c>
      <c r="S306" s="9" t="e">
        <f t="shared" si="23"/>
        <v>#N/A</v>
      </c>
      <c r="T306" s="3" t="e">
        <f t="shared" si="24"/>
        <v>#N/A</v>
      </c>
    </row>
    <row r="307" spans="1:20" x14ac:dyDescent="0.35">
      <c r="A307" t="str">
        <v>912828ZB9</v>
      </c>
      <c r="B307" t="str">
        <f>IF(NOT(ISBLANK(A307)),VLOOKUP(A307,'BBT3'!A:F,2,0),"")</f>
        <v>Bond</v>
      </c>
      <c r="C307" t="str">
        <f>IF(NOT(ISBLANK(A307)),VLOOKUP(A307,'BBT3'!A:F,3,0),"")</f>
        <v>US912828ZB95</v>
      </c>
      <c r="D307" s="6">
        <f>IF(NOT(ISBLANK(A307)),VLOOKUP(A307,'BBT3'!A:F,4,1),"")</f>
        <v>1.125</v>
      </c>
      <c r="E307">
        <f>IF(NOT(ISBLANK(A307)),VLOOKUP(A307,'BBT3'!A:F,5,0),"")</f>
        <v>46446</v>
      </c>
      <c r="F307" t="str">
        <f>IF(NOT(ISBLANK(A307)),VLOOKUP(A307,'BBT3'!A:F,6,0),"")</f>
        <v>N</v>
      </c>
      <c r="G307">
        <f>IF(NOT(ISBLANK(A307)),VLOOKUP(A307,QW_Close!A:J,5,0),"")</f>
        <v>3.8190775089827801E-2</v>
      </c>
      <c r="H307" s="5" cm="1">
        <f t="array" ref="H307">IF(NOT(ISBLANK(A307)),((_xlfn.XLOOKUP(1,(_bbt3[[#All],[ID]]=A307)*(_bbt3[[#All],[METRIC_NAME]]="YLD_YTM_ASK"),_bbt3[[#All],[METRIC_VALUE]])*0.5)+(_xlfn.XLOOKUP(1,(_bbt3[[#All],[ID]]=A307)*(_bbt3[[#All],[METRIC_NAME]]="YLD_YTM_BID"),_bbt3[[#All],[METRIC_VALUE]])*0.5))/100,"")</f>
        <v>3.8190797500000005E-2</v>
      </c>
      <c r="I307">
        <f>IF(ISNA(VLOOKUP(A307,QW_CloseDL!A:E,5,0)),0,VLOOKUP(A307,QW_CloseDL!A:E,5,0))</f>
        <v>3.8190775089827801E-2</v>
      </c>
      <c r="J307" s="8">
        <f t="shared" si="20"/>
        <v>0</v>
      </c>
      <c r="P307">
        <v>0</v>
      </c>
      <c r="Q307" t="e">
        <f t="shared" si="21"/>
        <v>#N/A</v>
      </c>
      <c r="R307" t="e">
        <f t="shared" si="22"/>
        <v>#N/A</v>
      </c>
      <c r="S307" s="9" t="e">
        <f t="shared" si="23"/>
        <v>#N/A</v>
      </c>
      <c r="T307" s="3" t="e">
        <f t="shared" si="24"/>
        <v>#N/A</v>
      </c>
    </row>
    <row r="308" spans="1:20" x14ac:dyDescent="0.35">
      <c r="A308" t="str">
        <v>912828ZE3</v>
      </c>
      <c r="B308" t="str">
        <f>IF(NOT(ISBLANK(A308)),VLOOKUP(A308,'BBT3'!A:F,2,0),"")</f>
        <v>Bond</v>
      </c>
      <c r="C308" t="str">
        <f>IF(NOT(ISBLANK(A308)),VLOOKUP(A308,'BBT3'!A:F,3,0),"")</f>
        <v>US912828ZE35</v>
      </c>
      <c r="D308" s="6">
        <f>IF(NOT(ISBLANK(A308)),VLOOKUP(A308,'BBT3'!A:F,4,1),"")</f>
        <v>0.625</v>
      </c>
      <c r="E308">
        <f>IF(NOT(ISBLANK(A308)),VLOOKUP(A308,'BBT3'!A:F,5,0),"")</f>
        <v>46477</v>
      </c>
      <c r="F308" t="str">
        <f>IF(NOT(ISBLANK(A308)),VLOOKUP(A308,'BBT3'!A:F,6,0),"")</f>
        <v>N</v>
      </c>
      <c r="G308">
        <f>IF(NOT(ISBLANK(A308)),VLOOKUP(A308,QW_Close!A:J,5,0),"")</f>
        <v>3.8295520998297701E-2</v>
      </c>
      <c r="H308" s="5" cm="1">
        <f t="array" ref="H308">IF(NOT(ISBLANK(A308)),((_xlfn.XLOOKUP(1,(_bbt3[[#All],[ID]]=A308)*(_bbt3[[#All],[METRIC_NAME]]="YLD_YTM_ASK"),_bbt3[[#All],[METRIC_VALUE]])*0.5)+(_xlfn.XLOOKUP(1,(_bbt3[[#All],[ID]]=A308)*(_bbt3[[#All],[METRIC_NAME]]="YLD_YTM_BID"),_bbt3[[#All],[METRIC_VALUE]])*0.5))/100,"")</f>
        <v>3.8295535450000001E-2</v>
      </c>
      <c r="I308">
        <f>IF(ISNA(VLOOKUP(A308,QW_CloseDL!A:E,5,0)),0,VLOOKUP(A308,QW_CloseDL!A:E,5,0))</f>
        <v>3.8295520998297701E-2</v>
      </c>
      <c r="J308" s="8">
        <f t="shared" si="20"/>
        <v>0</v>
      </c>
      <c r="P308">
        <v>0</v>
      </c>
      <c r="Q308" t="e">
        <f t="shared" si="21"/>
        <v>#N/A</v>
      </c>
      <c r="R308" t="e">
        <f t="shared" si="22"/>
        <v>#N/A</v>
      </c>
      <c r="S308" s="9" t="e">
        <f t="shared" si="23"/>
        <v>#N/A</v>
      </c>
      <c r="T308" s="3" t="e">
        <f t="shared" si="24"/>
        <v>#N/A</v>
      </c>
    </row>
    <row r="309" spans="1:20" x14ac:dyDescent="0.35">
      <c r="A309" t="str">
        <v>912828ZN3</v>
      </c>
      <c r="B309" t="str">
        <f>IF(NOT(ISBLANK(A309)),VLOOKUP(A309,'BBT3'!A:F,2,0),"")</f>
        <v>Bond</v>
      </c>
      <c r="C309" t="str">
        <f>IF(NOT(ISBLANK(A309)),VLOOKUP(A309,'BBT3'!A:F,3,0),"")</f>
        <v>US912828ZN34</v>
      </c>
      <c r="D309" s="6">
        <f>IF(NOT(ISBLANK(A309)),VLOOKUP(A309,'BBT3'!A:F,4,1),"")</f>
        <v>0.5</v>
      </c>
      <c r="E309">
        <f>IF(NOT(ISBLANK(A309)),VLOOKUP(A309,'BBT3'!A:F,5,0),"")</f>
        <v>46507</v>
      </c>
      <c r="F309" t="str">
        <f>IF(NOT(ISBLANK(A309)),VLOOKUP(A309,'BBT3'!A:F,6,0),"")</f>
        <v>N</v>
      </c>
      <c r="G309">
        <f>IF(NOT(ISBLANK(A309)),VLOOKUP(A309,QW_Close!A:J,5,0),"")</f>
        <v>3.8822528213682497E-2</v>
      </c>
      <c r="H309" s="5" cm="1">
        <f t="array" ref="H309">IF(NOT(ISBLANK(A309)),((_xlfn.XLOOKUP(1,(_bbt3[[#All],[ID]]=A309)*(_bbt3[[#All],[METRIC_NAME]]="YLD_YTM_ASK"),_bbt3[[#All],[METRIC_VALUE]])*0.5)+(_xlfn.XLOOKUP(1,(_bbt3[[#All],[ID]]=A309)*(_bbt3[[#All],[METRIC_NAME]]="YLD_YTM_BID"),_bbt3[[#All],[METRIC_VALUE]])*0.5))/100,"")</f>
        <v>3.8822545650000005E-2</v>
      </c>
      <c r="I309">
        <f>IF(ISNA(VLOOKUP(A309,QW_CloseDL!A:E,5,0)),0,VLOOKUP(A309,QW_CloseDL!A:E,5,0))</f>
        <v>3.8822528213682497E-2</v>
      </c>
      <c r="J309" s="8">
        <f t="shared" si="20"/>
        <v>0</v>
      </c>
      <c r="P309">
        <v>0</v>
      </c>
      <c r="Q309" t="e">
        <f t="shared" si="21"/>
        <v>#N/A</v>
      </c>
      <c r="R309" t="e">
        <f t="shared" si="22"/>
        <v>#N/A</v>
      </c>
      <c r="S309" s="9" t="e">
        <f t="shared" si="23"/>
        <v>#N/A</v>
      </c>
      <c r="T309" s="3" t="e">
        <f t="shared" si="24"/>
        <v>#N/A</v>
      </c>
    </row>
    <row r="310" spans="1:20" x14ac:dyDescent="0.35">
      <c r="A310" t="str">
        <v>912828ZQ6</v>
      </c>
      <c r="B310" t="str">
        <f>IF(NOT(ISBLANK(A310)),VLOOKUP(A310,'BBT3'!A:F,2,0),"")</f>
        <v>Bond</v>
      </c>
      <c r="C310" t="str">
        <f>IF(NOT(ISBLANK(A310)),VLOOKUP(A310,'BBT3'!A:F,3,0),"")</f>
        <v>US912828ZQ64</v>
      </c>
      <c r="D310" s="6">
        <f>IF(NOT(ISBLANK(A310)),VLOOKUP(A310,'BBT3'!A:F,4,1),"")</f>
        <v>0.625</v>
      </c>
      <c r="E310">
        <f>IF(NOT(ISBLANK(A310)),VLOOKUP(A310,'BBT3'!A:F,5,0),"")</f>
        <v>47618</v>
      </c>
      <c r="F310" t="str">
        <f>IF(NOT(ISBLANK(A310)),VLOOKUP(A310,'BBT3'!A:F,6,0),"")</f>
        <v>N</v>
      </c>
      <c r="G310">
        <f>IF(NOT(ISBLANK(A310)),VLOOKUP(A310,QW_Close!A:J,5,0),"")</f>
        <v>4.1542369658596402E-2</v>
      </c>
      <c r="H310" s="5" cm="1">
        <f t="array" ref="H310">IF(NOT(ISBLANK(A310)),((_xlfn.XLOOKUP(1,(_bbt3[[#All],[ID]]=A310)*(_bbt3[[#All],[METRIC_NAME]]="YLD_YTM_ASK"),_bbt3[[#All],[METRIC_VALUE]])*0.5)+(_xlfn.XLOOKUP(1,(_bbt3[[#All],[ID]]=A310)*(_bbt3[[#All],[METRIC_NAME]]="YLD_YTM_BID"),_bbt3[[#All],[METRIC_VALUE]])*0.5))/100,"")</f>
        <v>4.15423771E-2</v>
      </c>
      <c r="I310">
        <f>IF(ISNA(VLOOKUP(A310,QW_CloseDL!A:E,5,0)),0,VLOOKUP(A310,QW_CloseDL!A:E,5,0))</f>
        <v>4.1542369658596402E-2</v>
      </c>
      <c r="J310" s="8">
        <f t="shared" si="20"/>
        <v>0</v>
      </c>
      <c r="P310">
        <v>0</v>
      </c>
      <c r="Q310" t="e">
        <f t="shared" si="21"/>
        <v>#N/A</v>
      </c>
      <c r="R310" t="e">
        <f t="shared" si="22"/>
        <v>#N/A</v>
      </c>
      <c r="S310" s="9" t="e">
        <f t="shared" si="23"/>
        <v>#N/A</v>
      </c>
      <c r="T310" s="3" t="e">
        <f t="shared" si="24"/>
        <v>#N/A</v>
      </c>
    </row>
    <row r="311" spans="1:20" x14ac:dyDescent="0.35">
      <c r="A311" t="str">
        <v>912828ZS2</v>
      </c>
      <c r="B311" t="str">
        <f>IF(NOT(ISBLANK(A311)),VLOOKUP(A311,'BBT3'!A:F,2,0),"")</f>
        <v>Bond</v>
      </c>
      <c r="C311" t="str">
        <f>IF(NOT(ISBLANK(A311)),VLOOKUP(A311,'BBT3'!A:F,3,0),"")</f>
        <v>US912828ZS21</v>
      </c>
      <c r="D311" s="6">
        <f>IF(NOT(ISBLANK(A311)),VLOOKUP(A311,'BBT3'!A:F,4,1),"")</f>
        <v>0.5</v>
      </c>
      <c r="E311">
        <f>IF(NOT(ISBLANK(A311)),VLOOKUP(A311,'BBT3'!A:F,5,0),"")</f>
        <v>46538</v>
      </c>
      <c r="F311" t="str">
        <f>IF(NOT(ISBLANK(A311)),VLOOKUP(A311,'BBT3'!A:F,6,0),"")</f>
        <v>N</v>
      </c>
      <c r="G311">
        <f>IF(NOT(ISBLANK(A311)),VLOOKUP(A311,QW_Close!A:J,5,0),"")</f>
        <v>3.9155870459170898E-2</v>
      </c>
      <c r="H311" s="5" cm="1">
        <f t="array" ref="H311">IF(NOT(ISBLANK(A311)),((_xlfn.XLOOKUP(1,(_bbt3[[#All],[ID]]=A311)*(_bbt3[[#All],[METRIC_NAME]]="YLD_YTM_ASK"),_bbt3[[#All],[METRIC_VALUE]])*0.5)+(_xlfn.XLOOKUP(1,(_bbt3[[#All],[ID]]=A311)*(_bbt3[[#All],[METRIC_NAME]]="YLD_YTM_BID"),_bbt3[[#All],[METRIC_VALUE]])*0.5))/100,"")</f>
        <v>3.9155881500000003E-2</v>
      </c>
      <c r="I311">
        <f>IF(ISNA(VLOOKUP(A311,QW_CloseDL!A:E,5,0)),0,VLOOKUP(A311,QW_CloseDL!A:E,5,0))</f>
        <v>3.9155870459170898E-2</v>
      </c>
      <c r="J311" s="8">
        <f t="shared" si="20"/>
        <v>0</v>
      </c>
      <c r="P311">
        <v>0</v>
      </c>
      <c r="Q311" t="e">
        <f t="shared" si="21"/>
        <v>#N/A</v>
      </c>
      <c r="R311" t="e">
        <f t="shared" si="22"/>
        <v>#N/A</v>
      </c>
      <c r="S311" s="9" t="e">
        <f t="shared" si="23"/>
        <v>#N/A</v>
      </c>
      <c r="T311" s="3" t="e">
        <f t="shared" si="24"/>
        <v>#N/A</v>
      </c>
    </row>
    <row r="312" spans="1:20" x14ac:dyDescent="0.35">
      <c r="A312" t="str">
        <v>912828ZV5</v>
      </c>
      <c r="B312" t="str">
        <f>IF(NOT(ISBLANK(A312)),VLOOKUP(A312,'BBT3'!A:F,2,0),"")</f>
        <v>Bond</v>
      </c>
      <c r="C312" t="str">
        <f>IF(NOT(ISBLANK(A312)),VLOOKUP(A312,'BBT3'!A:F,3,0),"")</f>
        <v>US912828ZV59</v>
      </c>
      <c r="D312" s="6">
        <f>IF(NOT(ISBLANK(A312)),VLOOKUP(A312,'BBT3'!A:F,4,1),"")</f>
        <v>0.5</v>
      </c>
      <c r="E312">
        <f>IF(NOT(ISBLANK(A312)),VLOOKUP(A312,'BBT3'!A:F,5,0),"")</f>
        <v>46568</v>
      </c>
      <c r="F312" t="str">
        <f>IF(NOT(ISBLANK(A312)),VLOOKUP(A312,'BBT3'!A:F,6,0),"")</f>
        <v>N</v>
      </c>
      <c r="G312">
        <f>IF(NOT(ISBLANK(A312)),VLOOKUP(A312,QW_Close!A:J,5,0),"")</f>
        <v>3.9295448776070101E-2</v>
      </c>
      <c r="H312" s="5" cm="1">
        <f t="array" ref="H312">IF(NOT(ISBLANK(A312)),((_xlfn.XLOOKUP(1,(_bbt3[[#All],[ID]]=A312)*(_bbt3[[#All],[METRIC_NAME]]="YLD_YTM_ASK"),_bbt3[[#All],[METRIC_VALUE]])*0.5)+(_xlfn.XLOOKUP(1,(_bbt3[[#All],[ID]]=A312)*(_bbt3[[#All],[METRIC_NAME]]="YLD_YTM_BID"),_bbt3[[#All],[METRIC_VALUE]])*0.5))/100,"")</f>
        <v>3.9295462849999997E-2</v>
      </c>
      <c r="I312">
        <f>IF(ISNA(VLOOKUP(A312,QW_CloseDL!A:E,5,0)),0,VLOOKUP(A312,QW_CloseDL!A:E,5,0))</f>
        <v>3.9295448776070101E-2</v>
      </c>
      <c r="J312" s="8">
        <f t="shared" si="20"/>
        <v>0</v>
      </c>
      <c r="P312">
        <v>0</v>
      </c>
      <c r="Q312" t="e">
        <f t="shared" si="21"/>
        <v>#N/A</v>
      </c>
      <c r="R312" t="e">
        <f t="shared" si="22"/>
        <v>#N/A</v>
      </c>
      <c r="S312" s="9" t="e">
        <f t="shared" si="23"/>
        <v>#N/A</v>
      </c>
      <c r="T312" s="3" t="e">
        <f t="shared" si="24"/>
        <v>#N/A</v>
      </c>
    </row>
    <row r="313" spans="1:20" x14ac:dyDescent="0.35">
      <c r="A313" t="str">
        <v>912828ZZ6</v>
      </c>
      <c r="B313" t="str">
        <f>IF(NOT(ISBLANK(A313)),VLOOKUP(A313,'BBT3'!A:F,2,0),"")</f>
        <v>Bond</v>
      </c>
      <c r="C313" t="str">
        <f>IF(NOT(ISBLANK(A313)),VLOOKUP(A313,'BBT3'!A:F,3,0),"")</f>
        <v>US912828ZZ63</v>
      </c>
      <c r="D313" s="6">
        <f>IF(NOT(ISBLANK(A313)),VLOOKUP(A313,'BBT3'!A:F,4,1),"")</f>
        <v>0.125</v>
      </c>
      <c r="E313">
        <f>IF(NOT(ISBLANK(A313)),VLOOKUP(A313,'BBT3'!A:F,5,0),"")</f>
        <v>47679</v>
      </c>
      <c r="F313" t="str">
        <f>IF(NOT(ISBLANK(A313)),VLOOKUP(A313,'BBT3'!A:F,6,0),"")</f>
        <v>Y</v>
      </c>
      <c r="G313">
        <f>IF(NOT(ISBLANK(A313)),VLOOKUP(A313,QW_Close!A:J,5,0),"")</f>
        <v>1.51408861321499E-2</v>
      </c>
      <c r="H313" s="5" t="e" cm="1">
        <f t="array" ref="H313">IF(NOT(ISBLANK(A313)),((_xlfn.XLOOKUP(1,(_bbt3[[#All],[ID]]=A313)*(_bbt3[[#All],[METRIC_NAME]]="YLD_YTM_ASK"),_bbt3[[#All],[METRIC_VALUE]])*0.5)+(_xlfn.XLOOKUP(1,(_bbt3[[#All],[ID]]=A313)*(_bbt3[[#All],[METRIC_NAME]]="YLD_YTM_BID"),_bbt3[[#All],[METRIC_VALUE]])*0.5))/100,"")</f>
        <v>#N/A</v>
      </c>
      <c r="I313">
        <f>IF(ISNA(VLOOKUP(A313,QW_CloseDL!A:E,5,0)),0,VLOOKUP(A313,QW_CloseDL!A:E,5,0))</f>
        <v>1.51408861321499E-2</v>
      </c>
      <c r="J313" s="8">
        <f t="shared" si="20"/>
        <v>0</v>
      </c>
      <c r="P313">
        <v>0</v>
      </c>
      <c r="Q313" t="e">
        <f t="shared" si="21"/>
        <v>#N/A</v>
      </c>
      <c r="R313" t="e">
        <f t="shared" si="22"/>
        <v>#N/A</v>
      </c>
      <c r="S313" s="9" t="e">
        <f t="shared" si="23"/>
        <v>#N/A</v>
      </c>
      <c r="T313" s="3" t="e">
        <f t="shared" si="24"/>
        <v>#N/A</v>
      </c>
    </row>
    <row r="314" spans="1:20" x14ac:dyDescent="0.35">
      <c r="A314" t="str">
        <v>91282CAD3</v>
      </c>
      <c r="B314" t="str">
        <f>IF(NOT(ISBLANK(A314)),VLOOKUP(A314,'BBT3'!A:F,2,0),"")</f>
        <v>Bond</v>
      </c>
      <c r="C314" t="str">
        <f>IF(NOT(ISBLANK(A314)),VLOOKUP(A314,'BBT3'!A:F,3,0),"")</f>
        <v>US91282CAD39</v>
      </c>
      <c r="D314" s="6">
        <f>IF(NOT(ISBLANK(A314)),VLOOKUP(A314,'BBT3'!A:F,4,1),"")</f>
        <v>0.375</v>
      </c>
      <c r="E314">
        <f>IF(NOT(ISBLANK(A314)),VLOOKUP(A314,'BBT3'!A:F,5,0),"")</f>
        <v>46599</v>
      </c>
      <c r="F314" t="str">
        <f>IF(NOT(ISBLANK(A314)),VLOOKUP(A314,'BBT3'!A:F,6,0),"")</f>
        <v>N</v>
      </c>
      <c r="G314">
        <f>IF(NOT(ISBLANK(A314)),VLOOKUP(A314,QW_Close!A:J,5,0),"")</f>
        <v>3.9651212974179603E-2</v>
      </c>
      <c r="H314" s="5" cm="1">
        <f t="array" ref="H314">IF(NOT(ISBLANK(A314)),((_xlfn.XLOOKUP(1,(_bbt3[[#All],[ID]]=A314)*(_bbt3[[#All],[METRIC_NAME]]="YLD_YTM_ASK"),_bbt3[[#All],[METRIC_VALUE]])*0.5)+(_xlfn.XLOOKUP(1,(_bbt3[[#All],[ID]]=A314)*(_bbt3[[#All],[METRIC_NAME]]="YLD_YTM_BID"),_bbt3[[#All],[METRIC_VALUE]])*0.5))/100,"")</f>
        <v>3.9651225800000002E-2</v>
      </c>
      <c r="I314">
        <f>IF(ISNA(VLOOKUP(A314,QW_CloseDL!A:E,5,0)),0,VLOOKUP(A314,QW_CloseDL!A:E,5,0))</f>
        <v>3.9651212974179603E-2</v>
      </c>
      <c r="J314" s="8">
        <f t="shared" si="20"/>
        <v>0</v>
      </c>
      <c r="P314">
        <v>0</v>
      </c>
      <c r="Q314" t="e">
        <f t="shared" si="21"/>
        <v>#N/A</v>
      </c>
      <c r="R314" t="e">
        <f t="shared" si="22"/>
        <v>#N/A</v>
      </c>
      <c r="S314" s="9" t="e">
        <f t="shared" si="23"/>
        <v>#N/A</v>
      </c>
      <c r="T314" s="3" t="e">
        <f t="shared" si="24"/>
        <v>#N/A</v>
      </c>
    </row>
    <row r="315" spans="1:20" x14ac:dyDescent="0.35">
      <c r="A315" t="str">
        <v>91282CAE1</v>
      </c>
      <c r="B315" t="str">
        <f>IF(NOT(ISBLANK(A315)),VLOOKUP(A315,'BBT3'!A:F,2,0),"")</f>
        <v>Bond</v>
      </c>
      <c r="C315" t="str">
        <f>IF(NOT(ISBLANK(A315)),VLOOKUP(A315,'BBT3'!A:F,3,0),"")</f>
        <v>US91282CAE12</v>
      </c>
      <c r="D315" s="6">
        <f>IF(NOT(ISBLANK(A315)),VLOOKUP(A315,'BBT3'!A:F,4,1),"")</f>
        <v>0.625</v>
      </c>
      <c r="E315">
        <f>IF(NOT(ISBLANK(A315)),VLOOKUP(A315,'BBT3'!A:F,5,0),"")</f>
        <v>47710</v>
      </c>
      <c r="F315" t="str">
        <f>IF(NOT(ISBLANK(A315)),VLOOKUP(A315,'BBT3'!A:F,6,0),"")</f>
        <v>N</v>
      </c>
      <c r="G315">
        <f>IF(NOT(ISBLANK(A315)),VLOOKUP(A315,QW_Close!A:J,5,0),"")</f>
        <v>4.16241631461058E-2</v>
      </c>
      <c r="H315" s="5" cm="1">
        <f t="array" ref="H315">IF(NOT(ISBLANK(A315)),((_xlfn.XLOOKUP(1,(_bbt3[[#All],[ID]]=A315)*(_bbt3[[#All],[METRIC_NAME]]="YLD_YTM_ASK"),_bbt3[[#All],[METRIC_VALUE]])*0.5)+(_xlfn.XLOOKUP(1,(_bbt3[[#All],[ID]]=A315)*(_bbt3[[#All],[METRIC_NAME]]="YLD_YTM_BID"),_bbt3[[#All],[METRIC_VALUE]])*0.5))/100,"")</f>
        <v>4.16241735E-2</v>
      </c>
      <c r="I315">
        <f>IF(ISNA(VLOOKUP(A315,QW_CloseDL!A:E,5,0)),0,VLOOKUP(A315,QW_CloseDL!A:E,5,0))</f>
        <v>4.16241631461058E-2</v>
      </c>
      <c r="J315" s="8">
        <f t="shared" si="20"/>
        <v>0</v>
      </c>
      <c r="P315">
        <v>0</v>
      </c>
      <c r="Q315" t="e">
        <f t="shared" si="21"/>
        <v>#N/A</v>
      </c>
      <c r="R315" t="e">
        <f t="shared" si="22"/>
        <v>#N/A</v>
      </c>
      <c r="S315" s="9" t="e">
        <f t="shared" si="23"/>
        <v>#N/A</v>
      </c>
      <c r="T315" s="3" t="e">
        <f t="shared" si="24"/>
        <v>#N/A</v>
      </c>
    </row>
    <row r="316" spans="1:20" x14ac:dyDescent="0.35">
      <c r="A316" t="str">
        <v>91282CAH4</v>
      </c>
      <c r="B316" t="str">
        <f>IF(NOT(ISBLANK(A316)),VLOOKUP(A316,'BBT3'!A:F,2,0),"")</f>
        <v>Bond</v>
      </c>
      <c r="C316" t="str">
        <f>IF(NOT(ISBLANK(A316)),VLOOKUP(A316,'BBT3'!A:F,3,0),"")</f>
        <v>US91282CAH43</v>
      </c>
      <c r="D316" s="6">
        <f>IF(NOT(ISBLANK(A316)),VLOOKUP(A316,'BBT3'!A:F,4,1),"")</f>
        <v>0.5</v>
      </c>
      <c r="E316">
        <f>IF(NOT(ISBLANK(A316)),VLOOKUP(A316,'BBT3'!A:F,5,0),"")</f>
        <v>46630</v>
      </c>
      <c r="F316" t="str">
        <f>IF(NOT(ISBLANK(A316)),VLOOKUP(A316,'BBT3'!A:F,6,0),"")</f>
        <v>N</v>
      </c>
      <c r="G316">
        <f>IF(NOT(ISBLANK(A316)),VLOOKUP(A316,QW_Close!A:J,5,0),"")</f>
        <v>3.9726234393318002E-2</v>
      </c>
      <c r="H316" s="5" cm="1">
        <f t="array" ref="H316">IF(NOT(ISBLANK(A316)),((_xlfn.XLOOKUP(1,(_bbt3[[#All],[ID]]=A316)*(_bbt3[[#All],[METRIC_NAME]]="YLD_YTM_ASK"),_bbt3[[#All],[METRIC_VALUE]])*0.5)+(_xlfn.XLOOKUP(1,(_bbt3[[#All],[ID]]=A316)*(_bbt3[[#All],[METRIC_NAME]]="YLD_YTM_BID"),_bbt3[[#All],[METRIC_VALUE]])*0.5))/100,"")</f>
        <v>3.9726246200000002E-2</v>
      </c>
      <c r="I316">
        <f>IF(ISNA(VLOOKUP(A316,QW_CloseDL!A:E,5,0)),0,VLOOKUP(A316,QW_CloseDL!A:E,5,0))</f>
        <v>3.9726234393318002E-2</v>
      </c>
      <c r="J316" s="8">
        <f t="shared" si="20"/>
        <v>0</v>
      </c>
      <c r="P316">
        <v>0</v>
      </c>
      <c r="Q316" t="e">
        <f t="shared" si="21"/>
        <v>#N/A</v>
      </c>
      <c r="R316" t="e">
        <f t="shared" si="22"/>
        <v>#N/A</v>
      </c>
      <c r="S316" s="9" t="e">
        <f t="shared" si="23"/>
        <v>#N/A</v>
      </c>
      <c r="T316" s="3" t="e">
        <f t="shared" si="24"/>
        <v>#N/A</v>
      </c>
    </row>
    <row r="317" spans="1:20" x14ac:dyDescent="0.35">
      <c r="A317" t="str">
        <v>91282CAL5</v>
      </c>
      <c r="B317" t="str">
        <f>IF(NOT(ISBLANK(A317)),VLOOKUP(A317,'BBT3'!A:F,2,0),"")</f>
        <v>Bond</v>
      </c>
      <c r="C317" t="str">
        <f>IF(NOT(ISBLANK(A317)),VLOOKUP(A317,'BBT3'!A:F,3,0),"")</f>
        <v>US91282CAL54</v>
      </c>
      <c r="D317" s="6">
        <f>IF(NOT(ISBLANK(A317)),VLOOKUP(A317,'BBT3'!A:F,4,1),"")</f>
        <v>0.375</v>
      </c>
      <c r="E317">
        <f>IF(NOT(ISBLANK(A317)),VLOOKUP(A317,'BBT3'!A:F,5,0),"")</f>
        <v>46660</v>
      </c>
      <c r="F317" t="str">
        <f>IF(NOT(ISBLANK(A317)),VLOOKUP(A317,'BBT3'!A:F,6,0),"")</f>
        <v>N</v>
      </c>
      <c r="G317">
        <f>IF(NOT(ISBLANK(A317)),VLOOKUP(A317,QW_Close!A:J,5,0),"")</f>
        <v>3.9824522862027499E-2</v>
      </c>
      <c r="H317" s="5" cm="1">
        <f t="array" ref="H317">IF(NOT(ISBLANK(A317)),((_xlfn.XLOOKUP(1,(_bbt3[[#All],[ID]]=A317)*(_bbt3[[#All],[METRIC_NAME]]="YLD_YTM_ASK"),_bbt3[[#All],[METRIC_VALUE]])*0.5)+(_xlfn.XLOOKUP(1,(_bbt3[[#All],[ID]]=A317)*(_bbt3[[#All],[METRIC_NAME]]="YLD_YTM_BID"),_bbt3[[#All],[METRIC_VALUE]])*0.5))/100,"")</f>
        <v>3.9824530950000006E-2</v>
      </c>
      <c r="I317">
        <f>IF(ISNA(VLOOKUP(A317,QW_CloseDL!A:E,5,0)),0,VLOOKUP(A317,QW_CloseDL!A:E,5,0))</f>
        <v>3.9824522862027499E-2</v>
      </c>
      <c r="J317" s="8">
        <f t="shared" si="20"/>
        <v>0</v>
      </c>
      <c r="P317">
        <v>0</v>
      </c>
      <c r="Q317" t="e">
        <f t="shared" si="21"/>
        <v>#N/A</v>
      </c>
      <c r="R317" t="e">
        <f t="shared" si="22"/>
        <v>#N/A</v>
      </c>
      <c r="S317" s="9" t="e">
        <f t="shared" si="23"/>
        <v>#N/A</v>
      </c>
      <c r="T317" s="3" t="e">
        <f t="shared" si="24"/>
        <v>#N/A</v>
      </c>
    </row>
    <row r="318" spans="1:20" x14ac:dyDescent="0.35">
      <c r="A318" t="str">
        <v>91282CAU5</v>
      </c>
      <c r="B318" t="str">
        <f>IF(NOT(ISBLANK(A318)),VLOOKUP(A318,'BBT3'!A:F,2,0),"")</f>
        <v>Bond</v>
      </c>
      <c r="C318" t="str">
        <f>IF(NOT(ISBLANK(A318)),VLOOKUP(A318,'BBT3'!A:F,3,0),"")</f>
        <v>US91282CAU53</v>
      </c>
      <c r="D318" s="6">
        <f>IF(NOT(ISBLANK(A318)),VLOOKUP(A318,'BBT3'!A:F,4,1),"")</f>
        <v>0.5</v>
      </c>
      <c r="E318">
        <f>IF(NOT(ISBLANK(A318)),VLOOKUP(A318,'BBT3'!A:F,5,0),"")</f>
        <v>46691</v>
      </c>
      <c r="F318" t="str">
        <f>IF(NOT(ISBLANK(A318)),VLOOKUP(A318,'BBT3'!A:F,6,0),"")</f>
        <v>N</v>
      </c>
      <c r="G318">
        <f>IF(NOT(ISBLANK(A318)),VLOOKUP(A318,QW_Close!A:J,5,0),"")</f>
        <v>4.0100474043220799E-2</v>
      </c>
      <c r="H318" s="5" cm="1">
        <f t="array" ref="H318">IF(NOT(ISBLANK(A318)),((_xlfn.XLOOKUP(1,(_bbt3[[#All],[ID]]=A318)*(_bbt3[[#All],[METRIC_NAME]]="YLD_YTM_ASK"),_bbt3[[#All],[METRIC_VALUE]])*0.5)+(_xlfn.XLOOKUP(1,(_bbt3[[#All],[ID]]=A318)*(_bbt3[[#All],[METRIC_NAME]]="YLD_YTM_BID"),_bbt3[[#All],[METRIC_VALUE]])*0.5))/100,"")</f>
        <v>4.0100479499999994E-2</v>
      </c>
      <c r="I318">
        <f>IF(ISNA(VLOOKUP(A318,QW_CloseDL!A:E,5,0)),0,VLOOKUP(A318,QW_CloseDL!A:E,5,0))</f>
        <v>4.0100474043220799E-2</v>
      </c>
      <c r="J318" s="8">
        <f t="shared" si="20"/>
        <v>0</v>
      </c>
      <c r="P318">
        <v>0</v>
      </c>
      <c r="Q318" t="e">
        <f t="shared" si="21"/>
        <v>#N/A</v>
      </c>
      <c r="R318" t="e">
        <f t="shared" si="22"/>
        <v>#N/A</v>
      </c>
      <c r="S318" s="9" t="e">
        <f t="shared" si="23"/>
        <v>#N/A</v>
      </c>
      <c r="T318" s="3" t="e">
        <f t="shared" si="24"/>
        <v>#N/A</v>
      </c>
    </row>
    <row r="319" spans="1:20" x14ac:dyDescent="0.35">
      <c r="A319" t="str">
        <v>91282CAV3</v>
      </c>
      <c r="B319" t="str">
        <f>IF(NOT(ISBLANK(A319)),VLOOKUP(A319,'BBT3'!A:F,2,0),"")</f>
        <v>Bond</v>
      </c>
      <c r="C319" t="str">
        <f>IF(NOT(ISBLANK(A319)),VLOOKUP(A319,'BBT3'!A:F,3,0),"")</f>
        <v>US91282CAV37</v>
      </c>
      <c r="D319" s="6">
        <f>IF(NOT(ISBLANK(A319)),VLOOKUP(A319,'BBT3'!A:F,4,1),"")</f>
        <v>0.875</v>
      </c>
      <c r="E319">
        <f>IF(NOT(ISBLANK(A319)),VLOOKUP(A319,'BBT3'!A:F,5,0),"")</f>
        <v>47802</v>
      </c>
      <c r="F319" t="str">
        <f>IF(NOT(ISBLANK(A319)),VLOOKUP(A319,'BBT3'!A:F,6,0),"")</f>
        <v>N</v>
      </c>
      <c r="G319">
        <f>IF(NOT(ISBLANK(A319)),VLOOKUP(A319,QW_Close!A:J,5,0),"")</f>
        <v>4.1741262437970703E-2</v>
      </c>
      <c r="H319" s="5" cm="1">
        <f t="array" ref="H319">IF(NOT(ISBLANK(A319)),((_xlfn.XLOOKUP(1,(_bbt3[[#All],[ID]]=A319)*(_bbt3[[#All],[METRIC_NAME]]="YLD_YTM_ASK"),_bbt3[[#All],[METRIC_VALUE]])*0.5)+(_xlfn.XLOOKUP(1,(_bbt3[[#All],[ID]]=A319)*(_bbt3[[#All],[METRIC_NAME]]="YLD_YTM_BID"),_bbt3[[#All],[METRIC_VALUE]])*0.5))/100,"")</f>
        <v>4.1741276000000001E-2</v>
      </c>
      <c r="I319">
        <f>IF(ISNA(VLOOKUP(A319,QW_CloseDL!A:E,5,0)),0,VLOOKUP(A319,QW_CloseDL!A:E,5,0))</f>
        <v>4.1741262437970703E-2</v>
      </c>
      <c r="J319" s="8">
        <f t="shared" si="20"/>
        <v>0</v>
      </c>
      <c r="P319">
        <v>0</v>
      </c>
      <c r="Q319" t="e">
        <f t="shared" si="21"/>
        <v>#N/A</v>
      </c>
      <c r="R319" t="e">
        <f t="shared" si="22"/>
        <v>#N/A</v>
      </c>
      <c r="S319" s="9" t="e">
        <f t="shared" si="23"/>
        <v>#N/A</v>
      </c>
      <c r="T319" s="3" t="e">
        <f t="shared" si="24"/>
        <v>#N/A</v>
      </c>
    </row>
    <row r="320" spans="1:20" x14ac:dyDescent="0.35">
      <c r="A320" t="str">
        <v>91282CAY7</v>
      </c>
      <c r="B320" t="str">
        <f>IF(NOT(ISBLANK(A320)),VLOOKUP(A320,'BBT3'!A:F,2,0),"")</f>
        <v>Bond</v>
      </c>
      <c r="C320" t="str">
        <f>IF(NOT(ISBLANK(A320)),VLOOKUP(A320,'BBT3'!A:F,3,0),"")</f>
        <v>US91282CAY75</v>
      </c>
      <c r="D320" s="6">
        <f>IF(NOT(ISBLANK(A320)),VLOOKUP(A320,'BBT3'!A:F,4,1),"")</f>
        <v>0.625</v>
      </c>
      <c r="E320">
        <f>IF(NOT(ISBLANK(A320)),VLOOKUP(A320,'BBT3'!A:F,5,0),"")</f>
        <v>46721</v>
      </c>
      <c r="F320" t="str">
        <f>IF(NOT(ISBLANK(A320)),VLOOKUP(A320,'BBT3'!A:F,6,0),"")</f>
        <v>N</v>
      </c>
      <c r="G320">
        <f>IF(NOT(ISBLANK(A320)),VLOOKUP(A320,QW_Close!A:J,5,0),"")</f>
        <v>4.0173993065455701E-2</v>
      </c>
      <c r="H320" s="5" cm="1">
        <f t="array" ref="H320">IF(NOT(ISBLANK(A320)),((_xlfn.XLOOKUP(1,(_bbt3[[#All],[ID]]=A320)*(_bbt3[[#All],[METRIC_NAME]]="YLD_YTM_ASK"),_bbt3[[#All],[METRIC_VALUE]])*0.5)+(_xlfn.XLOOKUP(1,(_bbt3[[#All],[ID]]=A320)*(_bbt3[[#All],[METRIC_NAME]]="YLD_YTM_BID"),_bbt3[[#All],[METRIC_VALUE]])*0.5))/100,"")</f>
        <v>4.0174000050000006E-2</v>
      </c>
      <c r="I320">
        <f>IF(ISNA(VLOOKUP(A320,QW_CloseDL!A:E,5,0)),0,VLOOKUP(A320,QW_CloseDL!A:E,5,0))</f>
        <v>4.0173993065455701E-2</v>
      </c>
      <c r="J320" s="8">
        <f t="shared" si="20"/>
        <v>0</v>
      </c>
      <c r="P320">
        <v>0</v>
      </c>
      <c r="Q320" t="e">
        <f t="shared" si="21"/>
        <v>#N/A</v>
      </c>
      <c r="R320" t="e">
        <f t="shared" si="22"/>
        <v>#N/A</v>
      </c>
      <c r="S320" s="9" t="e">
        <f t="shared" si="23"/>
        <v>#N/A</v>
      </c>
      <c r="T320" s="3" t="e">
        <f t="shared" si="24"/>
        <v>#N/A</v>
      </c>
    </row>
    <row r="321" spans="1:20" x14ac:dyDescent="0.35">
      <c r="A321" t="str">
        <v>91282CBB6</v>
      </c>
      <c r="B321" t="str">
        <f>IF(NOT(ISBLANK(A321)),VLOOKUP(A321,'BBT3'!A:F,2,0),"")</f>
        <v>Bond</v>
      </c>
      <c r="C321" t="str">
        <f>IF(NOT(ISBLANK(A321)),VLOOKUP(A321,'BBT3'!A:F,3,0),"")</f>
        <v>US91282CBB63</v>
      </c>
      <c r="D321" s="6">
        <f>IF(NOT(ISBLANK(A321)),VLOOKUP(A321,'BBT3'!A:F,4,1),"")</f>
        <v>0.625</v>
      </c>
      <c r="E321">
        <f>IF(NOT(ISBLANK(A321)),VLOOKUP(A321,'BBT3'!A:F,5,0),"")</f>
        <v>46752</v>
      </c>
      <c r="F321" t="str">
        <f>IF(NOT(ISBLANK(A321)),VLOOKUP(A321,'BBT3'!A:F,6,0),"")</f>
        <v>N</v>
      </c>
      <c r="G321">
        <f>IF(NOT(ISBLANK(A321)),VLOOKUP(A321,QW_Close!A:J,5,0),"")</f>
        <v>4.0334905284976803E-2</v>
      </c>
      <c r="H321" s="5" cm="1">
        <f t="array" ref="H321">IF(NOT(ISBLANK(A321)),((_xlfn.XLOOKUP(1,(_bbt3[[#All],[ID]]=A321)*(_bbt3[[#All],[METRIC_NAME]]="YLD_YTM_ASK"),_bbt3[[#All],[METRIC_VALUE]])*0.5)+(_xlfn.XLOOKUP(1,(_bbt3[[#All],[ID]]=A321)*(_bbt3[[#All],[METRIC_NAME]]="YLD_YTM_BID"),_bbt3[[#All],[METRIC_VALUE]])*0.5))/100,"")</f>
        <v>4.0334911850000002E-2</v>
      </c>
      <c r="I321">
        <f>IF(ISNA(VLOOKUP(A321,QW_CloseDL!A:E,5,0)),0,VLOOKUP(A321,QW_CloseDL!A:E,5,0))</f>
        <v>4.0334905284976803E-2</v>
      </c>
      <c r="J321" s="8">
        <f t="shared" si="20"/>
        <v>0</v>
      </c>
      <c r="P321">
        <v>0</v>
      </c>
      <c r="Q321" t="e">
        <f t="shared" si="21"/>
        <v>#N/A</v>
      </c>
      <c r="R321" t="e">
        <f t="shared" si="22"/>
        <v>#N/A</v>
      </c>
      <c r="S321" s="9" t="e">
        <f t="shared" si="23"/>
        <v>#N/A</v>
      </c>
      <c r="T321" s="3" t="e">
        <f t="shared" si="24"/>
        <v>#N/A</v>
      </c>
    </row>
    <row r="322" spans="1:20" x14ac:dyDescent="0.35">
      <c r="A322" t="str">
        <v>91282CBF7</v>
      </c>
      <c r="B322" t="str">
        <f>IF(NOT(ISBLANK(A322)),VLOOKUP(A322,'BBT3'!A:F,2,0),"")</f>
        <v>Bond</v>
      </c>
      <c r="C322" t="str">
        <f>IF(NOT(ISBLANK(A322)),VLOOKUP(A322,'BBT3'!A:F,3,0),"")</f>
        <v>US91282CBF77</v>
      </c>
      <c r="D322" s="6">
        <f>IF(NOT(ISBLANK(A322)),VLOOKUP(A322,'BBT3'!A:F,4,1),"")</f>
        <v>0.125</v>
      </c>
      <c r="E322">
        <f>IF(NOT(ISBLANK(A322)),VLOOKUP(A322,'BBT3'!A:F,5,0),"")</f>
        <v>47863</v>
      </c>
      <c r="F322" t="str">
        <f>IF(NOT(ISBLANK(A322)),VLOOKUP(A322,'BBT3'!A:F,6,0),"")</f>
        <v>Y</v>
      </c>
      <c r="G322">
        <f>IF(NOT(ISBLANK(A322)),VLOOKUP(A322,QW_Close!A:J,5,0),"")</f>
        <v>1.6294873688502499E-2</v>
      </c>
      <c r="H322" s="5" cm="1">
        <f t="array" ref="H322">IF(NOT(ISBLANK(A322)),((_xlfn.XLOOKUP(1,(_bbt3[[#All],[ID]]=A322)*(_bbt3[[#All],[METRIC_NAME]]="YLD_YTM_ASK"),_bbt3[[#All],[METRIC_VALUE]])*0.5)+(_xlfn.XLOOKUP(1,(_bbt3[[#All],[ID]]=A322)*(_bbt3[[#All],[METRIC_NAME]]="YLD_YTM_BID"),_bbt3[[#All],[METRIC_VALUE]])*0.5))/100,"")</f>
        <v>1.6294881349999998E-2</v>
      </c>
      <c r="I322">
        <f>IF(ISNA(VLOOKUP(A322,QW_CloseDL!A:E,5,0)),0,VLOOKUP(A322,QW_CloseDL!A:E,5,0))</f>
        <v>1.6294873688502499E-2</v>
      </c>
      <c r="J322" s="8">
        <f t="shared" si="20"/>
        <v>0</v>
      </c>
      <c r="P322">
        <v>0</v>
      </c>
      <c r="Q322" t="e">
        <f t="shared" si="21"/>
        <v>#N/A</v>
      </c>
      <c r="R322" t="e">
        <f t="shared" si="22"/>
        <v>#N/A</v>
      </c>
      <c r="S322" s="9" t="e">
        <f t="shared" si="23"/>
        <v>#N/A</v>
      </c>
      <c r="T322" s="3" t="e">
        <f t="shared" si="24"/>
        <v>#N/A</v>
      </c>
    </row>
    <row r="323" spans="1:20" x14ac:dyDescent="0.35">
      <c r="A323" t="str">
        <v>91282CBJ9</v>
      </c>
      <c r="B323" t="str">
        <f>IF(NOT(ISBLANK(A323)),VLOOKUP(A323,'BBT3'!A:F,2,0),"")</f>
        <v>Bond</v>
      </c>
      <c r="C323" t="str">
        <f>IF(NOT(ISBLANK(A323)),VLOOKUP(A323,'BBT3'!A:F,3,0),"")</f>
        <v>US91282CBJ99</v>
      </c>
      <c r="D323" s="6">
        <f>IF(NOT(ISBLANK(A323)),VLOOKUP(A323,'BBT3'!A:F,4,1),"")</f>
        <v>0.75</v>
      </c>
      <c r="E323">
        <f>IF(NOT(ISBLANK(A323)),VLOOKUP(A323,'BBT3'!A:F,5,0),"")</f>
        <v>46783</v>
      </c>
      <c r="F323" t="str">
        <f>IF(NOT(ISBLANK(A323)),VLOOKUP(A323,'BBT3'!A:F,6,0),"")</f>
        <v>N</v>
      </c>
      <c r="G323">
        <f>IF(NOT(ISBLANK(A323)),VLOOKUP(A323,QW_Close!A:J,5,0),"")</f>
        <v>4.0417874294201302E-2</v>
      </c>
      <c r="H323" s="5" cm="1">
        <f t="array" ref="H323">IF(NOT(ISBLANK(A323)),((_xlfn.XLOOKUP(1,(_bbt3[[#All],[ID]]=A323)*(_bbt3[[#All],[METRIC_NAME]]="YLD_YTM_ASK"),_bbt3[[#All],[METRIC_VALUE]])*0.5)+(_xlfn.XLOOKUP(1,(_bbt3[[#All],[ID]]=A323)*(_bbt3[[#All],[METRIC_NAME]]="YLD_YTM_BID"),_bbt3[[#All],[METRIC_VALUE]])*0.5))/100,"")</f>
        <v>4.0417877000000005E-2</v>
      </c>
      <c r="I323">
        <f>IF(ISNA(VLOOKUP(A323,QW_CloseDL!A:E,5,0)),0,VLOOKUP(A323,QW_CloseDL!A:E,5,0))</f>
        <v>4.0417874294201302E-2</v>
      </c>
      <c r="J323" s="8">
        <f t="shared" ref="J323:J386" si="25">IF(ISNA(IF(NOT(ISBLANK(A323)),ABS(G323-I323),"")),0,(IF(NOT(ISBLANK(A323)),ABS(G323-I323)*10000,"")))</f>
        <v>0</v>
      </c>
      <c r="P323">
        <v>0</v>
      </c>
      <c r="Q323" t="e">
        <f t="shared" si="21"/>
        <v>#N/A</v>
      </c>
      <c r="R323" t="e">
        <f t="shared" si="22"/>
        <v>#N/A</v>
      </c>
      <c r="S323" s="9" t="e">
        <f t="shared" si="23"/>
        <v>#N/A</v>
      </c>
      <c r="T323" s="3" t="e">
        <f t="shared" si="24"/>
        <v>#N/A</v>
      </c>
    </row>
    <row r="324" spans="1:20" x14ac:dyDescent="0.35">
      <c r="A324" t="str">
        <v>91282CBL4</v>
      </c>
      <c r="B324" t="str">
        <f>IF(NOT(ISBLANK(A324)),VLOOKUP(A324,'BBT3'!A:F,2,0),"")</f>
        <v>Bond</v>
      </c>
      <c r="C324" t="str">
        <f>IF(NOT(ISBLANK(A324)),VLOOKUP(A324,'BBT3'!A:F,3,0),"")</f>
        <v>US91282CBL46</v>
      </c>
      <c r="D324" s="6">
        <f>IF(NOT(ISBLANK(A324)),VLOOKUP(A324,'BBT3'!A:F,4,1),"")</f>
        <v>1.125</v>
      </c>
      <c r="E324">
        <f>IF(NOT(ISBLANK(A324)),VLOOKUP(A324,'BBT3'!A:F,5,0),"")</f>
        <v>47894</v>
      </c>
      <c r="F324" t="str">
        <f>IF(NOT(ISBLANK(A324)),VLOOKUP(A324,'BBT3'!A:F,6,0),"")</f>
        <v>N</v>
      </c>
      <c r="G324">
        <f>IF(NOT(ISBLANK(A324)),VLOOKUP(A324,QW_Close!A:J,5,0),"")</f>
        <v>4.1650386983855099E-2</v>
      </c>
      <c r="H324" s="5" cm="1">
        <f t="array" ref="H324">IF(NOT(ISBLANK(A324)),((_xlfn.XLOOKUP(1,(_bbt3[[#All],[ID]]=A324)*(_bbt3[[#All],[METRIC_NAME]]="YLD_YTM_ASK"),_bbt3[[#All],[METRIC_VALUE]])*0.5)+(_xlfn.XLOOKUP(1,(_bbt3[[#All],[ID]]=A324)*(_bbt3[[#All],[METRIC_NAME]]="YLD_YTM_BID"),_bbt3[[#All],[METRIC_VALUE]])*0.5))/100,"")</f>
        <v>4.1650393500000008E-2</v>
      </c>
      <c r="I324">
        <f>IF(ISNA(VLOOKUP(A324,QW_CloseDL!A:E,5,0)),0,VLOOKUP(A324,QW_CloseDL!A:E,5,0))</f>
        <v>4.1650386983855099E-2</v>
      </c>
      <c r="J324" s="8">
        <f t="shared" si="25"/>
        <v>0</v>
      </c>
      <c r="P324">
        <v>0</v>
      </c>
      <c r="Q324" t="e">
        <f t="shared" si="21"/>
        <v>#N/A</v>
      </c>
      <c r="R324" t="e">
        <f t="shared" si="22"/>
        <v>#N/A</v>
      </c>
      <c r="S324" s="9" t="e">
        <f t="shared" si="23"/>
        <v>#N/A</v>
      </c>
      <c r="T324" s="3" t="e">
        <f t="shared" si="24"/>
        <v>#N/A</v>
      </c>
    </row>
    <row r="325" spans="1:20" x14ac:dyDescent="0.35">
      <c r="A325" t="str">
        <v>91282CBP5</v>
      </c>
      <c r="B325" t="str">
        <f>IF(NOT(ISBLANK(A325)),VLOOKUP(A325,'BBT3'!A:F,2,0),"")</f>
        <v>Bond</v>
      </c>
      <c r="C325" t="str">
        <f>IF(NOT(ISBLANK(A325)),VLOOKUP(A325,'BBT3'!A:F,3,0),"")</f>
        <v>US91282CBP59</v>
      </c>
      <c r="D325" s="6">
        <f>IF(NOT(ISBLANK(A325)),VLOOKUP(A325,'BBT3'!A:F,4,1),"")</f>
        <v>1.125</v>
      </c>
      <c r="E325">
        <f>IF(NOT(ISBLANK(A325)),VLOOKUP(A325,'BBT3'!A:F,5,0),"")</f>
        <v>46812</v>
      </c>
      <c r="F325" t="str">
        <f>IF(NOT(ISBLANK(A325)),VLOOKUP(A325,'BBT3'!A:F,6,0),"")</f>
        <v>N</v>
      </c>
      <c r="G325">
        <f>IF(NOT(ISBLANK(A325)),VLOOKUP(A325,QW_Close!A:J,5,0),"")</f>
        <v>4.0431792192870901E-2</v>
      </c>
      <c r="H325" s="5" cm="1">
        <f t="array" ref="H325">IF(NOT(ISBLANK(A325)),((_xlfn.XLOOKUP(1,(_bbt3[[#All],[ID]]=A325)*(_bbt3[[#All],[METRIC_NAME]]="YLD_YTM_ASK"),_bbt3[[#All],[METRIC_VALUE]])*0.5)+(_xlfn.XLOOKUP(1,(_bbt3[[#All],[ID]]=A325)*(_bbt3[[#All],[METRIC_NAME]]="YLD_YTM_BID"),_bbt3[[#All],[METRIC_VALUE]])*0.5))/100,"")</f>
        <v>4.0431797999999998E-2</v>
      </c>
      <c r="I325">
        <f>IF(ISNA(VLOOKUP(A325,QW_CloseDL!A:E,5,0)),0,VLOOKUP(A325,QW_CloseDL!A:E,5,0))</f>
        <v>4.0431792192870901E-2</v>
      </c>
      <c r="J325" s="8">
        <f t="shared" si="25"/>
        <v>0</v>
      </c>
      <c r="P325">
        <v>0</v>
      </c>
      <c r="Q325" t="e">
        <f t="shared" si="21"/>
        <v>#N/A</v>
      </c>
      <c r="R325" t="e">
        <f t="shared" si="22"/>
        <v>#N/A</v>
      </c>
      <c r="S325" s="9" t="e">
        <f t="shared" si="23"/>
        <v>#N/A</v>
      </c>
      <c r="T325" s="3" t="e">
        <f t="shared" si="24"/>
        <v>#N/A</v>
      </c>
    </row>
    <row r="326" spans="1:20" x14ac:dyDescent="0.35">
      <c r="A326" t="str">
        <v>91282CBS9</v>
      </c>
      <c r="B326" t="str">
        <f>IF(NOT(ISBLANK(A326)),VLOOKUP(A326,'BBT3'!A:F,2,0),"")</f>
        <v>Bond</v>
      </c>
      <c r="C326" t="str">
        <f>IF(NOT(ISBLANK(A326)),VLOOKUP(A326,'BBT3'!A:F,3,0),"")</f>
        <v>US91282CBS98</v>
      </c>
      <c r="D326" s="6">
        <f>IF(NOT(ISBLANK(A326)),VLOOKUP(A326,'BBT3'!A:F,4,1),"")</f>
        <v>1.25</v>
      </c>
      <c r="E326">
        <f>IF(NOT(ISBLANK(A326)),VLOOKUP(A326,'BBT3'!A:F,5,0),"")</f>
        <v>46843</v>
      </c>
      <c r="F326" t="str">
        <f>IF(NOT(ISBLANK(A326)),VLOOKUP(A326,'BBT3'!A:F,6,0),"")</f>
        <v>N</v>
      </c>
      <c r="G326">
        <f>IF(NOT(ISBLANK(A326)),VLOOKUP(A326,QW_Close!A:J,5,0),"")</f>
        <v>4.0518630400370202E-2</v>
      </c>
      <c r="H326" s="5" cm="1">
        <f t="array" ref="H326">IF(NOT(ISBLANK(A326)),((_xlfn.XLOOKUP(1,(_bbt3[[#All],[ID]]=A326)*(_bbt3[[#All],[METRIC_NAME]]="YLD_YTM_ASK"),_bbt3[[#All],[METRIC_VALUE]])*0.5)+(_xlfn.XLOOKUP(1,(_bbt3[[#All],[ID]]=A326)*(_bbt3[[#All],[METRIC_NAME]]="YLD_YTM_BID"),_bbt3[[#All],[METRIC_VALUE]])*0.5))/100,"")</f>
        <v>4.05186342E-2</v>
      </c>
      <c r="I326">
        <f>IF(ISNA(VLOOKUP(A326,QW_CloseDL!A:E,5,0)),0,VLOOKUP(A326,QW_CloseDL!A:E,5,0))</f>
        <v>4.0518630400370202E-2</v>
      </c>
      <c r="J326" s="8">
        <f t="shared" si="25"/>
        <v>0</v>
      </c>
      <c r="P326">
        <v>0</v>
      </c>
      <c r="Q326" t="e">
        <f t="shared" si="21"/>
        <v>#N/A</v>
      </c>
      <c r="R326" t="e">
        <f t="shared" si="22"/>
        <v>#N/A</v>
      </c>
      <c r="S326" s="9" t="e">
        <f t="shared" si="23"/>
        <v>#N/A</v>
      </c>
      <c r="T326" s="3" t="e">
        <f t="shared" si="24"/>
        <v>#N/A</v>
      </c>
    </row>
    <row r="327" spans="1:20" x14ac:dyDescent="0.35">
      <c r="A327" t="str">
        <v>91282CBZ3</v>
      </c>
      <c r="B327" t="str">
        <f>IF(NOT(ISBLANK(A327)),VLOOKUP(A327,'BBT3'!A:F,2,0),"")</f>
        <v>Bond</v>
      </c>
      <c r="C327" t="str">
        <f>IF(NOT(ISBLANK(A327)),VLOOKUP(A327,'BBT3'!A:F,3,0),"")</f>
        <v>US91282CBZ32</v>
      </c>
      <c r="D327" s="6">
        <f>IF(NOT(ISBLANK(A327)),VLOOKUP(A327,'BBT3'!A:F,4,1),"")</f>
        <v>1.25</v>
      </c>
      <c r="E327">
        <f>IF(NOT(ISBLANK(A327)),VLOOKUP(A327,'BBT3'!A:F,5,0),"")</f>
        <v>46873</v>
      </c>
      <c r="F327" t="str">
        <f>IF(NOT(ISBLANK(A327)),VLOOKUP(A327,'BBT3'!A:F,6,0),"")</f>
        <v>N</v>
      </c>
      <c r="G327">
        <f>IF(NOT(ISBLANK(A327)),VLOOKUP(A327,QW_Close!A:J,5,0),"")</f>
        <v>4.05686610257949E-2</v>
      </c>
      <c r="H327" s="5" cm="1">
        <f t="array" ref="H327">IF(NOT(ISBLANK(A327)),((_xlfn.XLOOKUP(1,(_bbt3[[#All],[ID]]=A327)*(_bbt3[[#All],[METRIC_NAME]]="YLD_YTM_ASK"),_bbt3[[#All],[METRIC_VALUE]])*0.5)+(_xlfn.XLOOKUP(1,(_bbt3[[#All],[ID]]=A327)*(_bbt3[[#All],[METRIC_NAME]]="YLD_YTM_BID"),_bbt3[[#All],[METRIC_VALUE]])*0.5))/100,"")</f>
        <v>4.05686663E-2</v>
      </c>
      <c r="I327">
        <f>IF(ISNA(VLOOKUP(A327,QW_CloseDL!A:E,5,0)),0,VLOOKUP(A327,QW_CloseDL!A:E,5,0))</f>
        <v>4.05686610257949E-2</v>
      </c>
      <c r="J327" s="8">
        <f t="shared" si="25"/>
        <v>0</v>
      </c>
      <c r="P327">
        <v>0</v>
      </c>
      <c r="Q327" t="e">
        <f t="shared" si="21"/>
        <v>#N/A</v>
      </c>
      <c r="R327" t="e">
        <f t="shared" si="22"/>
        <v>#N/A</v>
      </c>
      <c r="S327" s="9" t="e">
        <f t="shared" si="23"/>
        <v>#N/A</v>
      </c>
      <c r="T327" s="3" t="e">
        <f t="shared" si="24"/>
        <v>#N/A</v>
      </c>
    </row>
    <row r="328" spans="1:20" x14ac:dyDescent="0.35">
      <c r="A328" t="str">
        <v>91282CCB5</v>
      </c>
      <c r="B328" t="str">
        <f>IF(NOT(ISBLANK(A328)),VLOOKUP(A328,'BBT3'!A:F,2,0),"")</f>
        <v>Bond</v>
      </c>
      <c r="C328" t="str">
        <f>IF(NOT(ISBLANK(A328)),VLOOKUP(A328,'BBT3'!A:F,3,0),"")</f>
        <v>US91282CCB54</v>
      </c>
      <c r="D328" s="6">
        <f>IF(NOT(ISBLANK(A328)),VLOOKUP(A328,'BBT3'!A:F,4,1),"")</f>
        <v>1.625</v>
      </c>
      <c r="E328">
        <f>IF(NOT(ISBLANK(A328)),VLOOKUP(A328,'BBT3'!A:F,5,0),"")</f>
        <v>47983</v>
      </c>
      <c r="F328" t="str">
        <f>IF(NOT(ISBLANK(A328)),VLOOKUP(A328,'BBT3'!A:F,6,0),"")</f>
        <v>N</v>
      </c>
      <c r="G328">
        <f>IF(NOT(ISBLANK(A328)),VLOOKUP(A328,QW_Close!A:J,5,0),"")</f>
        <v>4.19983983907267E-2</v>
      </c>
      <c r="H328" s="5" cm="1">
        <f t="array" ref="H328">IF(NOT(ISBLANK(A328)),((_xlfn.XLOOKUP(1,(_bbt3[[#All],[ID]]=A328)*(_bbt3[[#All],[METRIC_NAME]]="YLD_YTM_ASK"),_bbt3[[#All],[METRIC_VALUE]])*0.5)+(_xlfn.XLOOKUP(1,(_bbt3[[#All],[ID]]=A328)*(_bbt3[[#All],[METRIC_NAME]]="YLD_YTM_BID"),_bbt3[[#All],[METRIC_VALUE]])*0.5))/100,"")</f>
        <v>4.1998404000000003E-2</v>
      </c>
      <c r="I328">
        <f>IF(ISNA(VLOOKUP(A328,QW_CloseDL!A:E,5,0)),0,VLOOKUP(A328,QW_CloseDL!A:E,5,0))</f>
        <v>4.19983983907267E-2</v>
      </c>
      <c r="J328" s="8">
        <f t="shared" si="25"/>
        <v>0</v>
      </c>
      <c r="P328">
        <v>0</v>
      </c>
      <c r="Q328" t="e">
        <f t="shared" si="21"/>
        <v>#N/A</v>
      </c>
      <c r="R328" t="e">
        <f t="shared" si="22"/>
        <v>#N/A</v>
      </c>
      <c r="S328" s="9" t="e">
        <f t="shared" si="23"/>
        <v>#N/A</v>
      </c>
      <c r="T328" s="3" t="e">
        <f t="shared" si="24"/>
        <v>#N/A</v>
      </c>
    </row>
    <row r="329" spans="1:20" x14ac:dyDescent="0.35">
      <c r="A329" t="str">
        <v>91282CCE9</v>
      </c>
      <c r="B329" t="str">
        <f>IF(NOT(ISBLANK(A329)),VLOOKUP(A329,'BBT3'!A:F,2,0),"")</f>
        <v>Bond</v>
      </c>
      <c r="C329" t="str">
        <f>IF(NOT(ISBLANK(A329)),VLOOKUP(A329,'BBT3'!A:F,3,0),"")</f>
        <v>US91282CCE93</v>
      </c>
      <c r="D329" s="6">
        <f>IF(NOT(ISBLANK(A329)),VLOOKUP(A329,'BBT3'!A:F,4,1),"")</f>
        <v>1.25</v>
      </c>
      <c r="E329">
        <f>IF(NOT(ISBLANK(A329)),VLOOKUP(A329,'BBT3'!A:F,5,0),"")</f>
        <v>46904</v>
      </c>
      <c r="F329" t="str">
        <f>IF(NOT(ISBLANK(A329)),VLOOKUP(A329,'BBT3'!A:F,6,0),"")</f>
        <v>N</v>
      </c>
      <c r="G329">
        <f>IF(NOT(ISBLANK(A329)),VLOOKUP(A329,QW_Close!A:J,5,0),"")</f>
        <v>4.0597217501672E-2</v>
      </c>
      <c r="H329" s="5" cm="1">
        <f t="array" ref="H329">IF(NOT(ISBLANK(A329)),((_xlfn.XLOOKUP(1,(_bbt3[[#All],[ID]]=A329)*(_bbt3[[#All],[METRIC_NAME]]="YLD_YTM_ASK"),_bbt3[[#All],[METRIC_VALUE]])*0.5)+(_xlfn.XLOOKUP(1,(_bbt3[[#All],[ID]]=A329)*(_bbt3[[#All],[METRIC_NAME]]="YLD_YTM_BID"),_bbt3[[#All],[METRIC_VALUE]])*0.5))/100,"")</f>
        <v>4.0597221000000003E-2</v>
      </c>
      <c r="I329">
        <f>IF(ISNA(VLOOKUP(A329,QW_CloseDL!A:E,5,0)),0,VLOOKUP(A329,QW_CloseDL!A:E,5,0))</f>
        <v>4.0597217501672E-2</v>
      </c>
      <c r="J329" s="8">
        <f t="shared" si="25"/>
        <v>0</v>
      </c>
      <c r="P329">
        <v>0</v>
      </c>
      <c r="Q329" t="e">
        <f t="shared" si="21"/>
        <v>#N/A</v>
      </c>
      <c r="R329" t="e">
        <f t="shared" si="22"/>
        <v>#N/A</v>
      </c>
      <c r="S329" s="9" t="e">
        <f t="shared" si="23"/>
        <v>#N/A</v>
      </c>
      <c r="T329" s="3" t="e">
        <f t="shared" si="24"/>
        <v>#N/A</v>
      </c>
    </row>
    <row r="330" spans="1:20" x14ac:dyDescent="0.35">
      <c r="A330" t="str">
        <v>91282CCH2</v>
      </c>
      <c r="B330" t="str">
        <f>IF(NOT(ISBLANK(A330)),VLOOKUP(A330,'BBT3'!A:F,2,0),"")</f>
        <v>Bond</v>
      </c>
      <c r="C330" t="str">
        <f>IF(NOT(ISBLANK(A330)),VLOOKUP(A330,'BBT3'!A:F,3,0),"")</f>
        <v>US91282CCH25</v>
      </c>
      <c r="D330" s="6">
        <f>IF(NOT(ISBLANK(A330)),VLOOKUP(A330,'BBT3'!A:F,4,1),"")</f>
        <v>1.25</v>
      </c>
      <c r="E330">
        <f>IF(NOT(ISBLANK(A330)),VLOOKUP(A330,'BBT3'!A:F,5,0),"")</f>
        <v>46934</v>
      </c>
      <c r="F330" t="str">
        <f>IF(NOT(ISBLANK(A330)),VLOOKUP(A330,'BBT3'!A:F,6,0),"")</f>
        <v>N</v>
      </c>
      <c r="G330">
        <f>IF(NOT(ISBLANK(A330)),VLOOKUP(A330,QW_Close!A:J,5,0),"")</f>
        <v>4.0598363148448197E-2</v>
      </c>
      <c r="H330" s="5" cm="1">
        <f t="array" ref="H330">IF(NOT(ISBLANK(A330)),((_xlfn.XLOOKUP(1,(_bbt3[[#All],[ID]]=A330)*(_bbt3[[#All],[METRIC_NAME]]="YLD_YTM_ASK"),_bbt3[[#All],[METRIC_VALUE]])*0.5)+(_xlfn.XLOOKUP(1,(_bbt3[[#All],[ID]]=A330)*(_bbt3[[#All],[METRIC_NAME]]="YLD_YTM_BID"),_bbt3[[#All],[METRIC_VALUE]])*0.5))/100,"")</f>
        <v>4.0598371699999997E-2</v>
      </c>
      <c r="I330">
        <f>IF(ISNA(VLOOKUP(A330,QW_CloseDL!A:E,5,0)),0,VLOOKUP(A330,QW_CloseDL!A:E,5,0))</f>
        <v>4.0598363148448197E-2</v>
      </c>
      <c r="J330" s="8">
        <f t="shared" si="25"/>
        <v>0</v>
      </c>
      <c r="P330">
        <v>0</v>
      </c>
      <c r="Q330" t="e">
        <f t="shared" si="21"/>
        <v>#N/A</v>
      </c>
      <c r="R330" t="e">
        <f t="shared" si="22"/>
        <v>#N/A</v>
      </c>
      <c r="S330" s="9" t="e">
        <f t="shared" si="23"/>
        <v>#N/A</v>
      </c>
      <c r="T330" s="3" t="e">
        <f t="shared" si="24"/>
        <v>#N/A</v>
      </c>
    </row>
    <row r="331" spans="1:20" x14ac:dyDescent="0.35">
      <c r="A331" t="str">
        <v>91282CCJ8</v>
      </c>
      <c r="B331" t="str">
        <f>IF(NOT(ISBLANK(A331)),VLOOKUP(A331,'BBT3'!A:F,2,0),"")</f>
        <v>Bond</v>
      </c>
      <c r="C331" t="str">
        <f>IF(NOT(ISBLANK(A331)),VLOOKUP(A331,'BBT3'!A:F,3,0),"")</f>
        <v>US91282CCJ80</v>
      </c>
      <c r="D331" s="6">
        <f>IF(NOT(ISBLANK(A331)),VLOOKUP(A331,'BBT3'!A:F,4,1),"")</f>
        <v>0.875</v>
      </c>
      <c r="E331">
        <f>IF(NOT(ISBLANK(A331)),VLOOKUP(A331,'BBT3'!A:F,5,0),"")</f>
        <v>46203</v>
      </c>
      <c r="F331" t="str">
        <f>IF(NOT(ISBLANK(A331)),VLOOKUP(A331,'BBT3'!A:F,6,0),"")</f>
        <v>N</v>
      </c>
      <c r="G331">
        <f>IF(NOT(ISBLANK(A331)),VLOOKUP(A331,QW_Close!A:J,5,0),"")</f>
        <v>3.6681049844917699E-2</v>
      </c>
      <c r="H331" s="5" cm="1">
        <f t="array" ref="H331">IF(NOT(ISBLANK(A331)),((_xlfn.XLOOKUP(1,(_bbt3[[#All],[ID]]=A331)*(_bbt3[[#All],[METRIC_NAME]]="YLD_YTM_ASK"),_bbt3[[#All],[METRIC_VALUE]])*0.5)+(_xlfn.XLOOKUP(1,(_bbt3[[#All],[ID]]=A331)*(_bbt3[[#All],[METRIC_NAME]]="YLD_YTM_BID"),_bbt3[[#All],[METRIC_VALUE]])*0.5))/100,"")</f>
        <v>3.6681187749999997E-2</v>
      </c>
      <c r="I331">
        <f>IF(ISNA(VLOOKUP(A331,QW_CloseDL!A:E,5,0)),0,VLOOKUP(A331,QW_CloseDL!A:E,5,0))</f>
        <v>3.6681049844917699E-2</v>
      </c>
      <c r="J331" s="8">
        <f t="shared" si="25"/>
        <v>0</v>
      </c>
      <c r="P331">
        <v>0</v>
      </c>
      <c r="Q331" t="e">
        <f t="shared" si="21"/>
        <v>#N/A</v>
      </c>
      <c r="R331" t="e">
        <f t="shared" si="22"/>
        <v>#N/A</v>
      </c>
      <c r="S331" s="9" t="e">
        <f t="shared" si="23"/>
        <v>#N/A</v>
      </c>
      <c r="T331" s="3" t="e">
        <f t="shared" si="24"/>
        <v>#N/A</v>
      </c>
    </row>
    <row r="332" spans="1:20" x14ac:dyDescent="0.35">
      <c r="A332" t="str">
        <v>91282CCM1</v>
      </c>
      <c r="B332" t="str">
        <f>IF(NOT(ISBLANK(A332)),VLOOKUP(A332,'BBT3'!A:F,2,0),"")</f>
        <v>Bond</v>
      </c>
      <c r="C332" t="str">
        <f>IF(NOT(ISBLANK(A332)),VLOOKUP(A332,'BBT3'!A:F,3,0),"")</f>
        <v>US91282CCM10</v>
      </c>
      <c r="D332" s="6">
        <f>IF(NOT(ISBLANK(A332)),VLOOKUP(A332,'BBT3'!A:F,4,1),"")</f>
        <v>0.125</v>
      </c>
      <c r="E332">
        <f>IF(NOT(ISBLANK(A332)),VLOOKUP(A332,'BBT3'!A:F,5,0),"")</f>
        <v>48044</v>
      </c>
      <c r="F332" t="str">
        <f>IF(NOT(ISBLANK(A332)),VLOOKUP(A332,'BBT3'!A:F,6,0),"")</f>
        <v>Y</v>
      </c>
      <c r="G332">
        <f>IF(NOT(ISBLANK(A332)),VLOOKUP(A332,QW_Close!A:J,5,0),"")</f>
        <v>1.6092711046317001E-2</v>
      </c>
      <c r="H332" s="5" t="e" cm="1">
        <f t="array" ref="H332">IF(NOT(ISBLANK(A332)),((_xlfn.XLOOKUP(1,(_bbt3[[#All],[ID]]=A332)*(_bbt3[[#All],[METRIC_NAME]]="YLD_YTM_ASK"),_bbt3[[#All],[METRIC_VALUE]])*0.5)+(_xlfn.XLOOKUP(1,(_bbt3[[#All],[ID]]=A332)*(_bbt3[[#All],[METRIC_NAME]]="YLD_YTM_BID"),_bbt3[[#All],[METRIC_VALUE]])*0.5))/100,"")</f>
        <v>#N/A</v>
      </c>
      <c r="I332">
        <f>IF(ISNA(VLOOKUP(A332,QW_CloseDL!A:E,5,0)),0,VLOOKUP(A332,QW_CloseDL!A:E,5,0))</f>
        <v>1.60927137128111E-2</v>
      </c>
      <c r="J332" s="8">
        <f t="shared" si="25"/>
        <v>2.6664940984411079E-5</v>
      </c>
      <c r="P332">
        <v>0</v>
      </c>
      <c r="Q332" t="e">
        <f t="shared" si="21"/>
        <v>#N/A</v>
      </c>
      <c r="R332" t="e">
        <f t="shared" si="22"/>
        <v>#N/A</v>
      </c>
      <c r="S332" s="9" t="e">
        <f t="shared" si="23"/>
        <v>#N/A</v>
      </c>
      <c r="T332" s="3" t="e">
        <f t="shared" si="24"/>
        <v>#N/A</v>
      </c>
    </row>
    <row r="333" spans="1:20" x14ac:dyDescent="0.35">
      <c r="A333" t="str">
        <v>91282CCP4</v>
      </c>
      <c r="B333" t="str">
        <f>IF(NOT(ISBLANK(A333)),VLOOKUP(A333,'BBT3'!A:F,2,0),"")</f>
        <v>Bond</v>
      </c>
      <c r="C333" t="str">
        <f>IF(NOT(ISBLANK(A333)),VLOOKUP(A333,'BBT3'!A:F,3,0),"")</f>
        <v>US91282CCP41</v>
      </c>
      <c r="D333" s="6">
        <f>IF(NOT(ISBLANK(A333)),VLOOKUP(A333,'BBT3'!A:F,4,1),"")</f>
        <v>0.625</v>
      </c>
      <c r="E333">
        <f>IF(NOT(ISBLANK(A333)),VLOOKUP(A333,'BBT3'!A:F,5,0),"")</f>
        <v>46234</v>
      </c>
      <c r="F333" t="str">
        <f>IF(NOT(ISBLANK(A333)),VLOOKUP(A333,'BBT3'!A:F,6,0),"")</f>
        <v>N</v>
      </c>
      <c r="G333">
        <f>IF(NOT(ISBLANK(A333)),VLOOKUP(A333,QW_Close!A:J,5,0),"")</f>
        <v>3.63894483434987E-2</v>
      </c>
      <c r="H333" s="5" cm="1">
        <f t="array" ref="H333">IF(NOT(ISBLANK(A333)),((_xlfn.XLOOKUP(1,(_bbt3[[#All],[ID]]=A333)*(_bbt3[[#All],[METRIC_NAME]]="YLD_YTM_ASK"),_bbt3[[#All],[METRIC_VALUE]])*0.5)+(_xlfn.XLOOKUP(1,(_bbt3[[#All],[ID]]=A333)*(_bbt3[[#All],[METRIC_NAME]]="YLD_YTM_BID"),_bbt3[[#All],[METRIC_VALUE]])*0.5))/100,"")</f>
        <v>3.6389538049999996E-2</v>
      </c>
      <c r="I333">
        <f>IF(ISNA(VLOOKUP(A333,QW_CloseDL!A:E,5,0)),0,VLOOKUP(A333,QW_CloseDL!A:E,5,0))</f>
        <v>3.63894483434987E-2</v>
      </c>
      <c r="J333" s="8">
        <f t="shared" si="25"/>
        <v>0</v>
      </c>
      <c r="P333">
        <v>0</v>
      </c>
      <c r="Q333" t="e">
        <f t="shared" ref="Q333:Q396" si="26">VLOOKUP(P333,A:B,2,0)</f>
        <v>#N/A</v>
      </c>
      <c r="R333" t="e">
        <f t="shared" ref="R333:R396" si="27">VLOOKUP(P333,A:E,4,0)</f>
        <v>#N/A</v>
      </c>
      <c r="S333" s="9" t="e">
        <f t="shared" ref="S333:S396" si="28">VLOOKUP(P333,A:J,10,0)</f>
        <v>#N/A</v>
      </c>
      <c r="T333" s="3" t="e">
        <f t="shared" ref="T333:T396" si="29">VLOOKUP(P333,A:J,5,0)</f>
        <v>#N/A</v>
      </c>
    </row>
    <row r="334" spans="1:20" x14ac:dyDescent="0.35">
      <c r="A334" t="str">
        <v>91282CCR0</v>
      </c>
      <c r="B334" t="str">
        <f>IF(NOT(ISBLANK(A334)),VLOOKUP(A334,'BBT3'!A:F,2,0),"")</f>
        <v>Bond</v>
      </c>
      <c r="C334" t="str">
        <f>IF(NOT(ISBLANK(A334)),VLOOKUP(A334,'BBT3'!A:F,3,0),"")</f>
        <v>US91282CCR07</v>
      </c>
      <c r="D334" s="6">
        <f>IF(NOT(ISBLANK(A334)),VLOOKUP(A334,'BBT3'!A:F,4,1),"")</f>
        <v>1</v>
      </c>
      <c r="E334">
        <f>IF(NOT(ISBLANK(A334)),VLOOKUP(A334,'BBT3'!A:F,5,0),"")</f>
        <v>46965</v>
      </c>
      <c r="F334" t="str">
        <f>IF(NOT(ISBLANK(A334)),VLOOKUP(A334,'BBT3'!A:F,6,0),"")</f>
        <v>N</v>
      </c>
      <c r="G334">
        <f>IF(NOT(ISBLANK(A334)),VLOOKUP(A334,QW_Close!A:J,5,0),"")</f>
        <v>4.0640584850705298E-2</v>
      </c>
      <c r="H334" s="5" cm="1">
        <f t="array" ref="H334">IF(NOT(ISBLANK(A334)),((_xlfn.XLOOKUP(1,(_bbt3[[#All],[ID]]=A334)*(_bbt3[[#All],[METRIC_NAME]]="YLD_YTM_ASK"),_bbt3[[#All],[METRIC_VALUE]])*0.5)+(_xlfn.XLOOKUP(1,(_bbt3[[#All],[ID]]=A334)*(_bbt3[[#All],[METRIC_NAME]]="YLD_YTM_BID"),_bbt3[[#All],[METRIC_VALUE]])*0.5))/100,"")</f>
        <v>4.0640588999999998E-2</v>
      </c>
      <c r="I334">
        <f>IF(ISNA(VLOOKUP(A334,QW_CloseDL!A:E,5,0)),0,VLOOKUP(A334,QW_CloseDL!A:E,5,0))</f>
        <v>4.0640584850705298E-2</v>
      </c>
      <c r="J334" s="8">
        <f t="shared" si="25"/>
        <v>0</v>
      </c>
      <c r="P334">
        <v>0</v>
      </c>
      <c r="Q334" t="e">
        <f t="shared" si="26"/>
        <v>#N/A</v>
      </c>
      <c r="R334" t="e">
        <f t="shared" si="27"/>
        <v>#N/A</v>
      </c>
      <c r="S334" s="9" t="e">
        <f t="shared" si="28"/>
        <v>#N/A</v>
      </c>
      <c r="T334" s="3" t="e">
        <f t="shared" si="29"/>
        <v>#N/A</v>
      </c>
    </row>
    <row r="335" spans="1:20" x14ac:dyDescent="0.35">
      <c r="A335" t="str">
        <v>91282CCS8</v>
      </c>
      <c r="B335" t="str">
        <f>IF(NOT(ISBLANK(A335)),VLOOKUP(A335,'BBT3'!A:F,2,0),"")</f>
        <v>Bond</v>
      </c>
      <c r="C335" t="str">
        <f>IF(NOT(ISBLANK(A335)),VLOOKUP(A335,'BBT3'!A:F,3,0),"")</f>
        <v>US91282CCS89</v>
      </c>
      <c r="D335" s="6">
        <f>IF(NOT(ISBLANK(A335)),VLOOKUP(A335,'BBT3'!A:F,4,1),"")</f>
        <v>1.25</v>
      </c>
      <c r="E335">
        <f>IF(NOT(ISBLANK(A335)),VLOOKUP(A335,'BBT3'!A:F,5,0),"")</f>
        <v>48075</v>
      </c>
      <c r="F335" t="str">
        <f>IF(NOT(ISBLANK(A335)),VLOOKUP(A335,'BBT3'!A:F,6,0),"")</f>
        <v>N</v>
      </c>
      <c r="G335">
        <f>IF(NOT(ISBLANK(A335)),VLOOKUP(A335,QW_Close!A:J,5,0),"")</f>
        <v>4.2136430525218899E-2</v>
      </c>
      <c r="H335" s="5" cm="1">
        <f t="array" ref="H335">IF(NOT(ISBLANK(A335)),((_xlfn.XLOOKUP(1,(_bbt3[[#All],[ID]]=A335)*(_bbt3[[#All],[METRIC_NAME]]="YLD_YTM_ASK"),_bbt3[[#All],[METRIC_VALUE]])*0.5)+(_xlfn.XLOOKUP(1,(_bbt3[[#All],[ID]]=A335)*(_bbt3[[#All],[METRIC_NAME]]="YLD_YTM_BID"),_bbt3[[#All],[METRIC_VALUE]])*0.5))/100,"")</f>
        <v>4.2136438999999998E-2</v>
      </c>
      <c r="I335">
        <f>IF(ISNA(VLOOKUP(A335,QW_CloseDL!A:E,5,0)),0,VLOOKUP(A335,QW_CloseDL!A:E,5,0))</f>
        <v>4.2136430525218899E-2</v>
      </c>
      <c r="J335" s="8">
        <f t="shared" si="25"/>
        <v>0</v>
      </c>
      <c r="P335">
        <v>0</v>
      </c>
      <c r="Q335" t="e">
        <f t="shared" si="26"/>
        <v>#N/A</v>
      </c>
      <c r="R335" t="e">
        <f t="shared" si="27"/>
        <v>#N/A</v>
      </c>
      <c r="S335" s="9" t="e">
        <f t="shared" si="28"/>
        <v>#N/A</v>
      </c>
      <c r="T335" s="3" t="e">
        <f t="shared" si="29"/>
        <v>#N/A</v>
      </c>
    </row>
    <row r="336" spans="1:20" x14ac:dyDescent="0.35">
      <c r="A336" t="str">
        <v>91282CCV1</v>
      </c>
      <c r="B336" t="str">
        <f>IF(NOT(ISBLANK(A336)),VLOOKUP(A336,'BBT3'!A:F,2,0),"")</f>
        <v>Bond</v>
      </c>
      <c r="C336" t="str">
        <f>IF(NOT(ISBLANK(A336)),VLOOKUP(A336,'BBT3'!A:F,3,0),"")</f>
        <v>US91282CCV19</v>
      </c>
      <c r="D336" s="6">
        <f>IF(NOT(ISBLANK(A336)),VLOOKUP(A336,'BBT3'!A:F,4,1),"")</f>
        <v>1.125</v>
      </c>
      <c r="E336">
        <f>IF(NOT(ISBLANK(A336)),VLOOKUP(A336,'BBT3'!A:F,5,0),"")</f>
        <v>46996</v>
      </c>
      <c r="F336" t="str">
        <f>IF(NOT(ISBLANK(A336)),VLOOKUP(A336,'BBT3'!A:F,6,0),"")</f>
        <v>N</v>
      </c>
      <c r="G336">
        <f>IF(NOT(ISBLANK(A336)),VLOOKUP(A336,QW_Close!A:J,5,0),"")</f>
        <v>4.0728445304630601E-2</v>
      </c>
      <c r="H336" s="5" cm="1">
        <f t="array" ref="H336">IF(NOT(ISBLANK(A336)),((_xlfn.XLOOKUP(1,(_bbt3[[#All],[ID]]=A336)*(_bbt3[[#All],[METRIC_NAME]]="YLD_YTM_ASK"),_bbt3[[#All],[METRIC_VALUE]])*0.5)+(_xlfn.XLOOKUP(1,(_bbt3[[#All],[ID]]=A336)*(_bbt3[[#All],[METRIC_NAME]]="YLD_YTM_BID"),_bbt3[[#All],[METRIC_VALUE]])*0.5))/100,"")</f>
        <v>4.07284532E-2</v>
      </c>
      <c r="I336">
        <f>IF(ISNA(VLOOKUP(A336,QW_CloseDL!A:E,5,0)),0,VLOOKUP(A336,QW_CloseDL!A:E,5,0))</f>
        <v>4.0728445304630601E-2</v>
      </c>
      <c r="J336" s="8">
        <f t="shared" si="25"/>
        <v>0</v>
      </c>
      <c r="P336">
        <v>0</v>
      </c>
      <c r="Q336" t="e">
        <f t="shared" si="26"/>
        <v>#N/A</v>
      </c>
      <c r="R336" t="e">
        <f t="shared" si="27"/>
        <v>#N/A</v>
      </c>
      <c r="S336" s="9" t="e">
        <f t="shared" si="28"/>
        <v>#N/A</v>
      </c>
      <c r="T336" s="3" t="e">
        <f t="shared" si="29"/>
        <v>#N/A</v>
      </c>
    </row>
    <row r="337" spans="1:20" x14ac:dyDescent="0.35">
      <c r="A337" t="str">
        <v>91282CCW9</v>
      </c>
      <c r="B337" t="str">
        <f>IF(NOT(ISBLANK(A337)),VLOOKUP(A337,'BBT3'!A:F,2,0),"")</f>
        <v>Bond</v>
      </c>
      <c r="C337" t="str">
        <f>IF(NOT(ISBLANK(A337)),VLOOKUP(A337,'BBT3'!A:F,3,0),"")</f>
        <v>US91282CCW91</v>
      </c>
      <c r="D337" s="6">
        <f>IF(NOT(ISBLANK(A337)),VLOOKUP(A337,'BBT3'!A:F,4,1),"")</f>
        <v>0.75</v>
      </c>
      <c r="E337">
        <f>IF(NOT(ISBLANK(A337)),VLOOKUP(A337,'BBT3'!A:F,5,0),"")</f>
        <v>46265</v>
      </c>
      <c r="F337" t="str">
        <f>IF(NOT(ISBLANK(A337)),VLOOKUP(A337,'BBT3'!A:F,6,0),"")</f>
        <v>N</v>
      </c>
      <c r="G337">
        <f>IF(NOT(ISBLANK(A337)),VLOOKUP(A337,QW_Close!A:J,5,0),"")</f>
        <v>3.7514337464789098E-2</v>
      </c>
      <c r="H337" s="5" cm="1">
        <f t="array" ref="H337">IF(NOT(ISBLANK(A337)),((_xlfn.XLOOKUP(1,(_bbt3[[#All],[ID]]=A337)*(_bbt3[[#All],[METRIC_NAME]]="YLD_YTM_ASK"),_bbt3[[#All],[METRIC_VALUE]])*0.5)+(_xlfn.XLOOKUP(1,(_bbt3[[#All],[ID]]=A337)*(_bbt3[[#All],[METRIC_NAME]]="YLD_YTM_BID"),_bbt3[[#All],[METRIC_VALUE]])*0.5))/100,"")</f>
        <v>3.7514378600000002E-2</v>
      </c>
      <c r="I337">
        <f>IF(ISNA(VLOOKUP(A337,QW_CloseDL!A:E,5,0)),0,VLOOKUP(A337,QW_CloseDL!A:E,5,0))</f>
        <v>3.7514337464789098E-2</v>
      </c>
      <c r="J337" s="8">
        <f t="shared" si="25"/>
        <v>0</v>
      </c>
      <c r="P337">
        <v>0</v>
      </c>
      <c r="Q337" t="e">
        <f t="shared" si="26"/>
        <v>#N/A</v>
      </c>
      <c r="R337" t="e">
        <f t="shared" si="27"/>
        <v>#N/A</v>
      </c>
      <c r="S337" s="9" t="e">
        <f t="shared" si="28"/>
        <v>#N/A</v>
      </c>
      <c r="T337" s="3" t="e">
        <f t="shared" si="29"/>
        <v>#N/A</v>
      </c>
    </row>
    <row r="338" spans="1:20" x14ac:dyDescent="0.35">
      <c r="A338" t="str">
        <v>91282CCY5</v>
      </c>
      <c r="B338" t="str">
        <f>IF(NOT(ISBLANK(A338)),VLOOKUP(A338,'BBT3'!A:F,2,0),"")</f>
        <v>Bond</v>
      </c>
      <c r="C338" t="str">
        <f>IF(NOT(ISBLANK(A338)),VLOOKUP(A338,'BBT3'!A:F,3,0),"")</f>
        <v>US91282CCY57</v>
      </c>
      <c r="D338" s="6">
        <f>IF(NOT(ISBLANK(A338)),VLOOKUP(A338,'BBT3'!A:F,4,1),"")</f>
        <v>1.25</v>
      </c>
      <c r="E338">
        <f>IF(NOT(ISBLANK(A338)),VLOOKUP(A338,'BBT3'!A:F,5,0),"")</f>
        <v>47026</v>
      </c>
      <c r="F338" t="str">
        <f>IF(NOT(ISBLANK(A338)),VLOOKUP(A338,'BBT3'!A:F,6,0),"")</f>
        <v>N</v>
      </c>
      <c r="G338">
        <f>IF(NOT(ISBLANK(A338)),VLOOKUP(A338,QW_Close!A:J,5,0),"")</f>
        <v>4.0828532089198198E-2</v>
      </c>
      <c r="H338" s="5" cm="1">
        <f t="array" ref="H338">IF(NOT(ISBLANK(A338)),((_xlfn.XLOOKUP(1,(_bbt3[[#All],[ID]]=A338)*(_bbt3[[#All],[METRIC_NAME]]="YLD_YTM_ASK"),_bbt3[[#All],[METRIC_VALUE]])*0.5)+(_xlfn.XLOOKUP(1,(_bbt3[[#All],[ID]]=A338)*(_bbt3[[#All],[METRIC_NAME]]="YLD_YTM_BID"),_bbt3[[#All],[METRIC_VALUE]])*0.5))/100,"")</f>
        <v>4.0828539650000002E-2</v>
      </c>
      <c r="I338">
        <f>IF(ISNA(VLOOKUP(A338,QW_CloseDL!A:E,5,0)),0,VLOOKUP(A338,QW_CloseDL!A:E,5,0))</f>
        <v>4.0828532089198198E-2</v>
      </c>
      <c r="J338" s="8">
        <f t="shared" si="25"/>
        <v>0</v>
      </c>
      <c r="P338">
        <v>0</v>
      </c>
      <c r="Q338" t="e">
        <f t="shared" si="26"/>
        <v>#N/A</v>
      </c>
      <c r="R338" t="e">
        <f t="shared" si="27"/>
        <v>#N/A</v>
      </c>
      <c r="S338" s="9" t="e">
        <f t="shared" si="28"/>
        <v>#N/A</v>
      </c>
      <c r="T338" s="3" t="e">
        <f t="shared" si="29"/>
        <v>#N/A</v>
      </c>
    </row>
    <row r="339" spans="1:20" x14ac:dyDescent="0.35">
      <c r="A339" t="str">
        <v>91282CCZ2</v>
      </c>
      <c r="B339" t="str">
        <f>IF(NOT(ISBLANK(A339)),VLOOKUP(A339,'BBT3'!A:F,2,0),"")</f>
        <v>Bond</v>
      </c>
      <c r="C339" t="str">
        <f>IF(NOT(ISBLANK(A339)),VLOOKUP(A339,'BBT3'!A:F,3,0),"")</f>
        <v>US91282CCZ23</v>
      </c>
      <c r="D339" s="6">
        <f>IF(NOT(ISBLANK(A339)),VLOOKUP(A339,'BBT3'!A:F,4,1),"")</f>
        <v>0.875</v>
      </c>
      <c r="E339">
        <f>IF(NOT(ISBLANK(A339)),VLOOKUP(A339,'BBT3'!A:F,5,0),"")</f>
        <v>46295</v>
      </c>
      <c r="F339" t="str">
        <f>IF(NOT(ISBLANK(A339)),VLOOKUP(A339,'BBT3'!A:F,6,0),"")</f>
        <v>N</v>
      </c>
      <c r="G339">
        <f>IF(NOT(ISBLANK(A339)),VLOOKUP(A339,QW_Close!A:J,5,0),"")</f>
        <v>3.7254544731771401E-2</v>
      </c>
      <c r="H339" s="5" cm="1">
        <f t="array" ref="H339">IF(NOT(ISBLANK(A339)),((_xlfn.XLOOKUP(1,(_bbt3[[#All],[ID]]=A339)*(_bbt3[[#All],[METRIC_NAME]]="YLD_YTM_ASK"),_bbt3[[#All],[METRIC_VALUE]])*0.5)+(_xlfn.XLOOKUP(1,(_bbt3[[#All],[ID]]=A339)*(_bbt3[[#All],[METRIC_NAME]]="YLD_YTM_BID"),_bbt3[[#All],[METRIC_VALUE]])*0.5))/100,"")</f>
        <v>3.7254588849999999E-2</v>
      </c>
      <c r="I339">
        <f>IF(ISNA(VLOOKUP(A339,QW_CloseDL!A:E,5,0)),0,VLOOKUP(A339,QW_CloseDL!A:E,5,0))</f>
        <v>3.7254544731771401E-2</v>
      </c>
      <c r="J339" s="8">
        <f t="shared" si="25"/>
        <v>0</v>
      </c>
      <c r="P339">
        <v>0</v>
      </c>
      <c r="Q339" t="e">
        <f t="shared" si="26"/>
        <v>#N/A</v>
      </c>
      <c r="R339" t="e">
        <f t="shared" si="27"/>
        <v>#N/A</v>
      </c>
      <c r="S339" s="9" t="e">
        <f t="shared" si="28"/>
        <v>#N/A</v>
      </c>
      <c r="T339" s="3" t="e">
        <f t="shared" si="29"/>
        <v>#N/A</v>
      </c>
    </row>
    <row r="340" spans="1:20" x14ac:dyDescent="0.35">
      <c r="A340" t="str">
        <v>91282CDC2</v>
      </c>
      <c r="B340" t="str">
        <f>IF(NOT(ISBLANK(A340)),VLOOKUP(A340,'BBT3'!A:F,2,0),"")</f>
        <v>Bond</v>
      </c>
      <c r="C340" t="str">
        <f>IF(NOT(ISBLANK(A340)),VLOOKUP(A340,'BBT3'!A:F,3,0),"")</f>
        <v>US91282CDC29</v>
      </c>
      <c r="D340" s="6">
        <f>IF(NOT(ISBLANK(A340)),VLOOKUP(A340,'BBT3'!A:F,4,1),"")</f>
        <v>0.125</v>
      </c>
      <c r="E340">
        <f>IF(NOT(ISBLANK(A340)),VLOOKUP(A340,'BBT3'!A:F,5,0),"")</f>
        <v>46310</v>
      </c>
      <c r="F340" t="str">
        <f>IF(NOT(ISBLANK(A340)),VLOOKUP(A340,'BBT3'!A:F,6,0),"")</f>
        <v>Y</v>
      </c>
      <c r="G340">
        <f>IF(NOT(ISBLANK(A340)),VLOOKUP(A340,QW_Close!A:J,5,0),"")</f>
        <v>-5.8832824767895602E-3</v>
      </c>
      <c r="H340" s="5" t="e" cm="1">
        <f t="array" ref="H340">IF(NOT(ISBLANK(A340)),((_xlfn.XLOOKUP(1,(_bbt3[[#All],[ID]]=A340)*(_bbt3[[#All],[METRIC_NAME]]="YLD_YTM_ASK"),_bbt3[[#All],[METRIC_VALUE]])*0.5)+(_xlfn.XLOOKUP(1,(_bbt3[[#All],[ID]]=A340)*(_bbt3[[#All],[METRIC_NAME]]="YLD_YTM_BID"),_bbt3[[#All],[METRIC_VALUE]])*0.5))/100,"")</f>
        <v>#N/A</v>
      </c>
      <c r="I340">
        <f>IF(ISNA(VLOOKUP(A340,QW_CloseDL!A:E,5,0)),0,VLOOKUP(A340,QW_CloseDL!A:E,5,0))</f>
        <v>-5.8822477581550398E-3</v>
      </c>
      <c r="J340" s="8">
        <f t="shared" si="25"/>
        <v>1.0347186345203985E-2</v>
      </c>
      <c r="P340">
        <v>0</v>
      </c>
      <c r="Q340" t="e">
        <f t="shared" si="26"/>
        <v>#N/A</v>
      </c>
      <c r="R340" t="e">
        <f t="shared" si="27"/>
        <v>#N/A</v>
      </c>
      <c r="S340" s="9" t="e">
        <f t="shared" si="28"/>
        <v>#N/A</v>
      </c>
      <c r="T340" s="3" t="e">
        <f t="shared" si="29"/>
        <v>#N/A</v>
      </c>
    </row>
    <row r="341" spans="1:20" x14ac:dyDescent="0.35">
      <c r="A341" t="str">
        <v>91282CDF5</v>
      </c>
      <c r="B341" t="str">
        <f>IF(NOT(ISBLANK(A341)),VLOOKUP(A341,'BBT3'!A:F,2,0),"")</f>
        <v>Bond</v>
      </c>
      <c r="C341" t="str">
        <f>IF(NOT(ISBLANK(A341)),VLOOKUP(A341,'BBT3'!A:F,3,0),"")</f>
        <v>US91282CDF59</v>
      </c>
      <c r="D341" s="6">
        <f>IF(NOT(ISBLANK(A341)),VLOOKUP(A341,'BBT3'!A:F,4,1),"")</f>
        <v>1.375</v>
      </c>
      <c r="E341">
        <f>IF(NOT(ISBLANK(A341)),VLOOKUP(A341,'BBT3'!A:F,5,0),"")</f>
        <v>47057</v>
      </c>
      <c r="F341" t="str">
        <f>IF(NOT(ISBLANK(A341)),VLOOKUP(A341,'BBT3'!A:F,6,0),"")</f>
        <v>N</v>
      </c>
      <c r="G341">
        <f>IF(NOT(ISBLANK(A341)),VLOOKUP(A341,QW_Close!A:J,5,0),"")</f>
        <v>4.0914056972684097E-2</v>
      </c>
      <c r="H341" s="5" cm="1">
        <f t="array" ref="H341">IF(NOT(ISBLANK(A341)),((_xlfn.XLOOKUP(1,(_bbt3[[#All],[ID]]=A341)*(_bbt3[[#All],[METRIC_NAME]]="YLD_YTM_ASK"),_bbt3[[#All],[METRIC_VALUE]])*0.5)+(_xlfn.XLOOKUP(1,(_bbt3[[#All],[ID]]=A341)*(_bbt3[[#All],[METRIC_NAME]]="YLD_YTM_BID"),_bbt3[[#All],[METRIC_VALUE]])*0.5))/100,"")</f>
        <v>4.09140645E-2</v>
      </c>
      <c r="I341">
        <f>IF(ISNA(VLOOKUP(A341,QW_CloseDL!A:E,5,0)),0,VLOOKUP(A341,QW_CloseDL!A:E,5,0))</f>
        <v>4.0914056972684097E-2</v>
      </c>
      <c r="J341" s="8">
        <f t="shared" si="25"/>
        <v>0</v>
      </c>
      <c r="P341">
        <v>0</v>
      </c>
      <c r="Q341" t="e">
        <f t="shared" si="26"/>
        <v>#N/A</v>
      </c>
      <c r="R341" t="e">
        <f t="shared" si="27"/>
        <v>#N/A</v>
      </c>
      <c r="S341" s="9" t="e">
        <f t="shared" si="28"/>
        <v>#N/A</v>
      </c>
      <c r="T341" s="3" t="e">
        <f t="shared" si="29"/>
        <v>#N/A</v>
      </c>
    </row>
    <row r="342" spans="1:20" x14ac:dyDescent="0.35">
      <c r="A342" t="str">
        <v>91282CDG3</v>
      </c>
      <c r="B342" t="str">
        <f>IF(NOT(ISBLANK(A342)),VLOOKUP(A342,'BBT3'!A:F,2,0),"")</f>
        <v>Bond</v>
      </c>
      <c r="C342" t="str">
        <f>IF(NOT(ISBLANK(A342)),VLOOKUP(A342,'BBT3'!A:F,3,0),"")</f>
        <v>US91282CDG33</v>
      </c>
      <c r="D342" s="6">
        <f>IF(NOT(ISBLANK(A342)),VLOOKUP(A342,'BBT3'!A:F,4,1),"")</f>
        <v>1.125</v>
      </c>
      <c r="E342">
        <f>IF(NOT(ISBLANK(A342)),VLOOKUP(A342,'BBT3'!A:F,5,0),"")</f>
        <v>46326</v>
      </c>
      <c r="F342" t="str">
        <f>IF(NOT(ISBLANK(A342)),VLOOKUP(A342,'BBT3'!A:F,6,0),"")</f>
        <v>N</v>
      </c>
      <c r="G342">
        <f>IF(NOT(ISBLANK(A342)),VLOOKUP(A342,QW_Close!A:J,5,0),"")</f>
        <v>3.7981364763524997E-2</v>
      </c>
      <c r="H342" s="5" cm="1">
        <f t="array" ref="H342">IF(NOT(ISBLANK(A342)),((_xlfn.XLOOKUP(1,(_bbt3[[#All],[ID]]=A342)*(_bbt3[[#All],[METRIC_NAME]]="YLD_YTM_ASK"),_bbt3[[#All],[METRIC_VALUE]])*0.5)+(_xlfn.XLOOKUP(1,(_bbt3[[#All],[ID]]=A342)*(_bbt3[[#All],[METRIC_NAME]]="YLD_YTM_BID"),_bbt3[[#All],[METRIC_VALUE]])*0.5))/100,"")</f>
        <v>3.7981389300000001E-2</v>
      </c>
      <c r="I342">
        <f>IF(ISNA(VLOOKUP(A342,QW_CloseDL!A:E,5,0)),0,VLOOKUP(A342,QW_CloseDL!A:E,5,0))</f>
        <v>3.7981364763524997E-2</v>
      </c>
      <c r="J342" s="8">
        <f t="shared" si="25"/>
        <v>0</v>
      </c>
      <c r="P342">
        <v>0</v>
      </c>
      <c r="Q342" t="e">
        <f t="shared" si="26"/>
        <v>#N/A</v>
      </c>
      <c r="R342" t="e">
        <f t="shared" si="27"/>
        <v>#N/A</v>
      </c>
      <c r="S342" s="9" t="e">
        <f t="shared" si="28"/>
        <v>#N/A</v>
      </c>
      <c r="T342" s="3" t="e">
        <f t="shared" si="29"/>
        <v>#N/A</v>
      </c>
    </row>
    <row r="343" spans="1:20" x14ac:dyDescent="0.35">
      <c r="A343" t="str">
        <v>91282CDJ7</v>
      </c>
      <c r="B343" t="str">
        <f>IF(NOT(ISBLANK(A343)),VLOOKUP(A343,'BBT3'!A:F,2,0),"")</f>
        <v>Bond</v>
      </c>
      <c r="C343" t="str">
        <f>IF(NOT(ISBLANK(A343)),VLOOKUP(A343,'BBT3'!A:F,3,0),"")</f>
        <v>US91282CDJ71</v>
      </c>
      <c r="D343" s="6">
        <f>IF(NOT(ISBLANK(A343)),VLOOKUP(A343,'BBT3'!A:F,4,1),"")</f>
        <v>1.375</v>
      </c>
      <c r="E343">
        <f>IF(NOT(ISBLANK(A343)),VLOOKUP(A343,'BBT3'!A:F,5,0),"")</f>
        <v>48167</v>
      </c>
      <c r="F343" t="str">
        <f>IF(NOT(ISBLANK(A343)),VLOOKUP(A343,'BBT3'!A:F,6,0),"")</f>
        <v>N</v>
      </c>
      <c r="G343">
        <f>IF(NOT(ISBLANK(A343)),VLOOKUP(A343,QW_Close!A:J,5,0),"")</f>
        <v>4.23654090015399E-2</v>
      </c>
      <c r="H343" s="5" cm="1">
        <f t="array" ref="H343">IF(NOT(ISBLANK(A343)),((_xlfn.XLOOKUP(1,(_bbt3[[#All],[ID]]=A343)*(_bbt3[[#All],[METRIC_NAME]]="YLD_YTM_ASK"),_bbt3[[#All],[METRIC_VALUE]])*0.5)+(_xlfn.XLOOKUP(1,(_bbt3[[#All],[ID]]=A343)*(_bbt3[[#All],[METRIC_NAME]]="YLD_YTM_BID"),_bbt3[[#All],[METRIC_VALUE]])*0.5))/100,"")</f>
        <v>4.2365417050000007E-2</v>
      </c>
      <c r="I343">
        <f>IF(ISNA(VLOOKUP(A343,QW_CloseDL!A:E,5,0)),0,VLOOKUP(A343,QW_CloseDL!A:E,5,0))</f>
        <v>4.23654090015399E-2</v>
      </c>
      <c r="J343" s="8">
        <f t="shared" si="25"/>
        <v>0</v>
      </c>
      <c r="P343">
        <v>0</v>
      </c>
      <c r="Q343" t="e">
        <f t="shared" si="26"/>
        <v>#N/A</v>
      </c>
      <c r="R343" t="e">
        <f t="shared" si="27"/>
        <v>#N/A</v>
      </c>
      <c r="S343" s="9" t="e">
        <f t="shared" si="28"/>
        <v>#N/A</v>
      </c>
      <c r="T343" s="3" t="e">
        <f t="shared" si="29"/>
        <v>#N/A</v>
      </c>
    </row>
    <row r="344" spans="1:20" x14ac:dyDescent="0.35">
      <c r="A344" t="str">
        <v>91282CDK4</v>
      </c>
      <c r="B344" t="str">
        <f>IF(NOT(ISBLANK(A344)),VLOOKUP(A344,'BBT3'!A:F,2,0),"")</f>
        <v>Bond</v>
      </c>
      <c r="C344" t="str">
        <f>IF(NOT(ISBLANK(A344)),VLOOKUP(A344,'BBT3'!A:F,3,0),"")</f>
        <v>US91282CDK45</v>
      </c>
      <c r="D344" s="6">
        <f>IF(NOT(ISBLANK(A344)),VLOOKUP(A344,'BBT3'!A:F,4,1),"")</f>
        <v>1.25</v>
      </c>
      <c r="E344">
        <f>IF(NOT(ISBLANK(A344)),VLOOKUP(A344,'BBT3'!A:F,5,0),"")</f>
        <v>46356</v>
      </c>
      <c r="F344" t="str">
        <f>IF(NOT(ISBLANK(A344)),VLOOKUP(A344,'BBT3'!A:F,6,0),"")</f>
        <v>N</v>
      </c>
      <c r="G344">
        <f>IF(NOT(ISBLANK(A344)),VLOOKUP(A344,QW_Close!A:J,5,0),"")</f>
        <v>3.7726767290017997E-2</v>
      </c>
      <c r="H344" s="5" cm="1">
        <f t="array" ref="H344">IF(NOT(ISBLANK(A344)),((_xlfn.XLOOKUP(1,(_bbt3[[#All],[ID]]=A344)*(_bbt3[[#All],[METRIC_NAME]]="YLD_YTM_ASK"),_bbt3[[#All],[METRIC_VALUE]])*0.5)+(_xlfn.XLOOKUP(1,(_bbt3[[#All],[ID]]=A344)*(_bbt3[[#All],[METRIC_NAME]]="YLD_YTM_BID"),_bbt3[[#All],[METRIC_VALUE]])*0.5))/100,"")</f>
        <v>3.7726807349999995E-2</v>
      </c>
      <c r="I344">
        <f>IF(ISNA(VLOOKUP(A344,QW_CloseDL!A:E,5,0)),0,VLOOKUP(A344,QW_CloseDL!A:E,5,0))</f>
        <v>3.7726767290017997E-2</v>
      </c>
      <c r="J344" s="8">
        <f t="shared" si="25"/>
        <v>0</v>
      </c>
      <c r="P344">
        <v>0</v>
      </c>
      <c r="Q344" t="e">
        <f t="shared" si="26"/>
        <v>#N/A</v>
      </c>
      <c r="R344" t="e">
        <f t="shared" si="27"/>
        <v>#N/A</v>
      </c>
      <c r="S344" s="9" t="e">
        <f t="shared" si="28"/>
        <v>#N/A</v>
      </c>
      <c r="T344" s="3" t="e">
        <f t="shared" si="29"/>
        <v>#N/A</v>
      </c>
    </row>
    <row r="345" spans="1:20" x14ac:dyDescent="0.35">
      <c r="A345" t="str">
        <v>91282CDL2</v>
      </c>
      <c r="B345" t="str">
        <f>IF(NOT(ISBLANK(A345)),VLOOKUP(A345,'BBT3'!A:F,2,0),"")</f>
        <v>Bond</v>
      </c>
      <c r="C345" t="str">
        <f>IF(NOT(ISBLANK(A345)),VLOOKUP(A345,'BBT3'!A:F,3,0),"")</f>
        <v>US91282CDL28</v>
      </c>
      <c r="D345" s="6">
        <f>IF(NOT(ISBLANK(A345)),VLOOKUP(A345,'BBT3'!A:F,4,1),"")</f>
        <v>1.5</v>
      </c>
      <c r="E345">
        <f>IF(NOT(ISBLANK(A345)),VLOOKUP(A345,'BBT3'!A:F,5,0),"")</f>
        <v>47087</v>
      </c>
      <c r="F345" t="str">
        <f>IF(NOT(ISBLANK(A345)),VLOOKUP(A345,'BBT3'!A:F,6,0),"")</f>
        <v>N</v>
      </c>
      <c r="G345">
        <f>IF(NOT(ISBLANK(A345)),VLOOKUP(A345,QW_Close!A:J,5,0),"")</f>
        <v>4.08911063421694E-2</v>
      </c>
      <c r="H345" s="5" cm="1">
        <f t="array" ref="H345">IF(NOT(ISBLANK(A345)),((_xlfn.XLOOKUP(1,(_bbt3[[#All],[ID]]=A345)*(_bbt3[[#All],[METRIC_NAME]]="YLD_YTM_ASK"),_bbt3[[#All],[METRIC_VALUE]])*0.5)+(_xlfn.XLOOKUP(1,(_bbt3[[#All],[ID]]=A345)*(_bbt3[[#All],[METRIC_NAME]]="YLD_YTM_BID"),_bbt3[[#All],[METRIC_VALUE]])*0.5))/100,"")</f>
        <v>4.0891113299999997E-2</v>
      </c>
      <c r="I345">
        <f>IF(ISNA(VLOOKUP(A345,QW_CloseDL!A:E,5,0)),0,VLOOKUP(A345,QW_CloseDL!A:E,5,0))</f>
        <v>4.08911063421694E-2</v>
      </c>
      <c r="J345" s="8">
        <f t="shared" si="25"/>
        <v>0</v>
      </c>
      <c r="P345">
        <v>0</v>
      </c>
      <c r="Q345" t="e">
        <f t="shared" si="26"/>
        <v>#N/A</v>
      </c>
      <c r="R345" t="e">
        <f t="shared" si="27"/>
        <v>#N/A</v>
      </c>
      <c r="S345" s="9" t="e">
        <f t="shared" si="28"/>
        <v>#N/A</v>
      </c>
      <c r="T345" s="3" t="e">
        <f t="shared" si="29"/>
        <v>#N/A</v>
      </c>
    </row>
    <row r="346" spans="1:20" x14ac:dyDescent="0.35">
      <c r="A346" t="str">
        <v>91282CDP3</v>
      </c>
      <c r="B346" t="str">
        <f>IF(NOT(ISBLANK(A346)),VLOOKUP(A346,'BBT3'!A:F,2,0),"")</f>
        <v>Bond</v>
      </c>
      <c r="C346" t="str">
        <f>IF(NOT(ISBLANK(A346)),VLOOKUP(A346,'BBT3'!A:F,3,0),"")</f>
        <v>US91282CDP32</v>
      </c>
      <c r="D346" s="6">
        <f>IF(NOT(ISBLANK(A346)),VLOOKUP(A346,'BBT3'!A:F,4,1),"")</f>
        <v>1.375</v>
      </c>
      <c r="E346">
        <f>IF(NOT(ISBLANK(A346)),VLOOKUP(A346,'BBT3'!A:F,5,0),"")</f>
        <v>47118</v>
      </c>
      <c r="F346" t="str">
        <f>IF(NOT(ISBLANK(A346)),VLOOKUP(A346,'BBT3'!A:F,6,0),"")</f>
        <v>N</v>
      </c>
      <c r="G346">
        <f>IF(NOT(ISBLANK(A346)),VLOOKUP(A346,QW_Close!A:J,5,0),"")</f>
        <v>4.0883511531064301E-2</v>
      </c>
      <c r="H346" s="5" cm="1">
        <f t="array" ref="H346">IF(NOT(ISBLANK(A346)),((_xlfn.XLOOKUP(1,(_bbt3[[#All],[ID]]=A346)*(_bbt3[[#All],[METRIC_NAME]]="YLD_YTM_ASK"),_bbt3[[#All],[METRIC_VALUE]])*0.5)+(_xlfn.XLOOKUP(1,(_bbt3[[#All],[ID]]=A346)*(_bbt3[[#All],[METRIC_NAME]]="YLD_YTM_BID"),_bbt3[[#All],[METRIC_VALUE]])*0.5))/100,"")</f>
        <v>4.0883518300000005E-2</v>
      </c>
      <c r="I346">
        <f>IF(ISNA(VLOOKUP(A346,QW_CloseDL!A:E,5,0)),0,VLOOKUP(A346,QW_CloseDL!A:E,5,0))</f>
        <v>4.0883511531064301E-2</v>
      </c>
      <c r="J346" s="8">
        <f t="shared" si="25"/>
        <v>0</v>
      </c>
      <c r="P346">
        <v>0</v>
      </c>
      <c r="Q346" t="e">
        <f t="shared" si="26"/>
        <v>#N/A</v>
      </c>
      <c r="R346" t="e">
        <f t="shared" si="27"/>
        <v>#N/A</v>
      </c>
      <c r="S346" s="9" t="e">
        <f t="shared" si="28"/>
        <v>#N/A</v>
      </c>
      <c r="T346" s="3" t="e">
        <f t="shared" si="29"/>
        <v>#N/A</v>
      </c>
    </row>
    <row r="347" spans="1:20" x14ac:dyDescent="0.35">
      <c r="A347" t="str">
        <v>91282CDQ1</v>
      </c>
      <c r="B347" t="str">
        <f>IF(NOT(ISBLANK(A347)),VLOOKUP(A347,'BBT3'!A:F,2,0),"")</f>
        <v>Bond</v>
      </c>
      <c r="C347" t="str">
        <f>IF(NOT(ISBLANK(A347)),VLOOKUP(A347,'BBT3'!A:F,3,0),"")</f>
        <v>US91282CDQ15</v>
      </c>
      <c r="D347" s="6">
        <f>IF(NOT(ISBLANK(A347)),VLOOKUP(A347,'BBT3'!A:F,4,1),"")</f>
        <v>1.25</v>
      </c>
      <c r="E347">
        <f>IF(NOT(ISBLANK(A347)),VLOOKUP(A347,'BBT3'!A:F,5,0),"")</f>
        <v>46387</v>
      </c>
      <c r="F347" t="str">
        <f>IF(NOT(ISBLANK(A347)),VLOOKUP(A347,'BBT3'!A:F,6,0),"")</f>
        <v>N</v>
      </c>
      <c r="G347">
        <f>IF(NOT(ISBLANK(A347)),VLOOKUP(A347,QW_Close!A:J,5,0),"")</f>
        <v>3.7803875982294302E-2</v>
      </c>
      <c r="H347" s="5" cm="1">
        <f t="array" ref="H347">IF(NOT(ISBLANK(A347)),((_xlfn.XLOOKUP(1,(_bbt3[[#All],[ID]]=A347)*(_bbt3[[#All],[METRIC_NAME]]="YLD_YTM_ASK"),_bbt3[[#All],[METRIC_VALUE]])*0.5)+(_xlfn.XLOOKUP(1,(_bbt3[[#All],[ID]]=A347)*(_bbt3[[#All],[METRIC_NAME]]="YLD_YTM_BID"),_bbt3[[#All],[METRIC_VALUE]])*0.5))/100,"")</f>
        <v>3.7803892450000001E-2</v>
      </c>
      <c r="I347">
        <f>IF(ISNA(VLOOKUP(A347,QW_CloseDL!A:E,5,0)),0,VLOOKUP(A347,QW_CloseDL!A:E,5,0))</f>
        <v>3.7803875982294302E-2</v>
      </c>
      <c r="J347" s="8">
        <f t="shared" si="25"/>
        <v>0</v>
      </c>
      <c r="P347">
        <v>0</v>
      </c>
      <c r="Q347" t="e">
        <f t="shared" si="26"/>
        <v>#N/A</v>
      </c>
      <c r="R347" t="e">
        <f t="shared" si="27"/>
        <v>#N/A</v>
      </c>
      <c r="S347" s="9" t="e">
        <f t="shared" si="28"/>
        <v>#N/A</v>
      </c>
      <c r="T347" s="3" t="e">
        <f t="shared" si="29"/>
        <v>#N/A</v>
      </c>
    </row>
    <row r="348" spans="1:20" x14ac:dyDescent="0.35">
      <c r="A348" t="str">
        <v>91282CDW8</v>
      </c>
      <c r="B348" t="str">
        <f>IF(NOT(ISBLANK(A348)),VLOOKUP(A348,'BBT3'!A:F,2,0),"")</f>
        <v>Bond</v>
      </c>
      <c r="C348" t="str">
        <f>IF(NOT(ISBLANK(A348)),VLOOKUP(A348,'BBT3'!A:F,3,0),"")</f>
        <v>US91282CDW82</v>
      </c>
      <c r="D348" s="6">
        <f>IF(NOT(ISBLANK(A348)),VLOOKUP(A348,'BBT3'!A:F,4,1),"")</f>
        <v>1.75</v>
      </c>
      <c r="E348">
        <f>IF(NOT(ISBLANK(A348)),VLOOKUP(A348,'BBT3'!A:F,5,0),"")</f>
        <v>47149</v>
      </c>
      <c r="F348" t="str">
        <f>IF(NOT(ISBLANK(A348)),VLOOKUP(A348,'BBT3'!A:F,6,0),"")</f>
        <v>N</v>
      </c>
      <c r="G348">
        <f>IF(NOT(ISBLANK(A348)),VLOOKUP(A348,QW_Close!A:J,5,0),"")</f>
        <v>4.0963998164145803E-2</v>
      </c>
      <c r="H348" s="5" cm="1">
        <f t="array" ref="H348">IF(NOT(ISBLANK(A348)),((_xlfn.XLOOKUP(1,(_bbt3[[#All],[ID]]=A348)*(_bbt3[[#All],[METRIC_NAME]]="YLD_YTM_ASK"),_bbt3[[#All],[METRIC_VALUE]])*0.5)+(_xlfn.XLOOKUP(1,(_bbt3[[#All],[ID]]=A348)*(_bbt3[[#All],[METRIC_NAME]]="YLD_YTM_BID"),_bbt3[[#All],[METRIC_VALUE]])*0.5))/100,"")</f>
        <v>4.09640083E-2</v>
      </c>
      <c r="I348">
        <f>IF(ISNA(VLOOKUP(A348,QW_CloseDL!A:E,5,0)),0,VLOOKUP(A348,QW_CloseDL!A:E,5,0))</f>
        <v>4.0963998164145803E-2</v>
      </c>
      <c r="J348" s="8">
        <f t="shared" si="25"/>
        <v>0</v>
      </c>
      <c r="P348">
        <v>0</v>
      </c>
      <c r="Q348" t="e">
        <f t="shared" si="26"/>
        <v>#N/A</v>
      </c>
      <c r="R348" t="e">
        <f t="shared" si="27"/>
        <v>#N/A</v>
      </c>
      <c r="S348" s="9" t="e">
        <f t="shared" si="28"/>
        <v>#N/A</v>
      </c>
      <c r="T348" s="3" t="e">
        <f t="shared" si="29"/>
        <v>#N/A</v>
      </c>
    </row>
    <row r="349" spans="1:20" x14ac:dyDescent="0.35">
      <c r="A349" t="str">
        <v>91282CDX6</v>
      </c>
      <c r="B349" t="str">
        <f>IF(NOT(ISBLANK(A349)),VLOOKUP(A349,'BBT3'!A:F,2,0),"")</f>
        <v>Bond</v>
      </c>
      <c r="C349" t="str">
        <f>IF(NOT(ISBLANK(A349)),VLOOKUP(A349,'BBT3'!A:F,3,0),"")</f>
        <v>US91282CDX65</v>
      </c>
      <c r="D349" s="6">
        <f>IF(NOT(ISBLANK(A349)),VLOOKUP(A349,'BBT3'!A:F,4,1),"")</f>
        <v>0.125</v>
      </c>
      <c r="E349">
        <f>IF(NOT(ISBLANK(A349)),VLOOKUP(A349,'BBT3'!A:F,5,0),"")</f>
        <v>48228</v>
      </c>
      <c r="F349" t="str">
        <f>IF(NOT(ISBLANK(A349)),VLOOKUP(A349,'BBT3'!A:F,6,0),"")</f>
        <v>Y</v>
      </c>
      <c r="G349">
        <f>IF(NOT(ISBLANK(A349)),VLOOKUP(A349,QW_Close!A:J,5,0),"")</f>
        <v>1.73237870622709E-2</v>
      </c>
      <c r="H349" s="5" t="e" cm="1">
        <f t="array" ref="H349">IF(NOT(ISBLANK(A349)),((_xlfn.XLOOKUP(1,(_bbt3[[#All],[ID]]=A349)*(_bbt3[[#All],[METRIC_NAME]]="YLD_YTM_ASK"),_bbt3[[#All],[METRIC_VALUE]])*0.5)+(_xlfn.XLOOKUP(1,(_bbt3[[#All],[ID]]=A349)*(_bbt3[[#All],[METRIC_NAME]]="YLD_YTM_BID"),_bbt3[[#All],[METRIC_VALUE]])*0.5))/100,"")</f>
        <v>#N/A</v>
      </c>
      <c r="I349">
        <f>IF(ISNA(VLOOKUP(A349,QW_CloseDL!A:E,5,0)),0,VLOOKUP(A349,QW_CloseDL!A:E,5,0))</f>
        <v>1.7323784596365899E-2</v>
      </c>
      <c r="J349" s="8">
        <f t="shared" si="25"/>
        <v>2.4659050010256145E-5</v>
      </c>
      <c r="P349">
        <v>0</v>
      </c>
      <c r="Q349" t="e">
        <f t="shared" si="26"/>
        <v>#N/A</v>
      </c>
      <c r="R349" t="e">
        <f t="shared" si="27"/>
        <v>#N/A</v>
      </c>
      <c r="S349" s="9" t="e">
        <f t="shared" si="28"/>
        <v>#N/A</v>
      </c>
      <c r="T349" s="3" t="e">
        <f t="shared" si="29"/>
        <v>#N/A</v>
      </c>
    </row>
    <row r="350" spans="1:20" x14ac:dyDescent="0.35">
      <c r="A350" t="str">
        <v>91282CDY4</v>
      </c>
      <c r="B350" t="str">
        <f>IF(NOT(ISBLANK(A350)),VLOOKUP(A350,'BBT3'!A:F,2,0),"")</f>
        <v>Bond</v>
      </c>
      <c r="C350" t="str">
        <f>IF(NOT(ISBLANK(A350)),VLOOKUP(A350,'BBT3'!A:F,3,0),"")</f>
        <v>US91282CDY49</v>
      </c>
      <c r="D350" s="6">
        <f>IF(NOT(ISBLANK(A350)),VLOOKUP(A350,'BBT3'!A:F,4,1),"")</f>
        <v>1.875</v>
      </c>
      <c r="E350">
        <f>IF(NOT(ISBLANK(A350)),VLOOKUP(A350,'BBT3'!A:F,5,0),"")</f>
        <v>48259</v>
      </c>
      <c r="F350" t="str">
        <f>IF(NOT(ISBLANK(A350)),VLOOKUP(A350,'BBT3'!A:F,6,0),"")</f>
        <v>N</v>
      </c>
      <c r="G350">
        <f>IF(NOT(ISBLANK(A350)),VLOOKUP(A350,QW_Close!A:J,5,0),"")</f>
        <v>4.2533447878760601E-2</v>
      </c>
      <c r="H350" s="5" cm="1">
        <f t="array" ref="H350">IF(NOT(ISBLANK(A350)),((_xlfn.XLOOKUP(1,(_bbt3[[#All],[ID]]=A350)*(_bbt3[[#All],[METRIC_NAME]]="YLD_YTM_ASK"),_bbt3[[#All],[METRIC_VALUE]])*0.5)+(_xlfn.XLOOKUP(1,(_bbt3[[#All],[ID]]=A350)*(_bbt3[[#All],[METRIC_NAME]]="YLD_YTM_BID"),_bbt3[[#All],[METRIC_VALUE]])*0.5))/100,"")</f>
        <v>4.2533455399999996E-2</v>
      </c>
      <c r="I350">
        <f>IF(ISNA(VLOOKUP(A350,QW_CloseDL!A:E,5,0)),0,VLOOKUP(A350,QW_CloseDL!A:E,5,0))</f>
        <v>4.2533447878760601E-2</v>
      </c>
      <c r="J350" s="8">
        <f t="shared" si="25"/>
        <v>0</v>
      </c>
      <c r="P350">
        <v>0</v>
      </c>
      <c r="Q350" t="e">
        <f t="shared" si="26"/>
        <v>#N/A</v>
      </c>
      <c r="R350" t="e">
        <f t="shared" si="27"/>
        <v>#N/A</v>
      </c>
      <c r="S350" s="9" t="e">
        <f t="shared" si="28"/>
        <v>#N/A</v>
      </c>
      <c r="T350" s="3" t="e">
        <f t="shared" si="29"/>
        <v>#N/A</v>
      </c>
    </row>
    <row r="351" spans="1:20" x14ac:dyDescent="0.35">
      <c r="A351" t="str">
        <v>91282CEB3</v>
      </c>
      <c r="B351" t="str">
        <f>IF(NOT(ISBLANK(A351)),VLOOKUP(A351,'BBT3'!A:F,2,0),"")</f>
        <v>Bond</v>
      </c>
      <c r="C351" t="str">
        <f>IF(NOT(ISBLANK(A351)),VLOOKUP(A351,'BBT3'!A:F,3,0),"")</f>
        <v>US91282CEB37</v>
      </c>
      <c r="D351" s="6">
        <f>IF(NOT(ISBLANK(A351)),VLOOKUP(A351,'BBT3'!A:F,4,1),"")</f>
        <v>1.875</v>
      </c>
      <c r="E351">
        <f>IF(NOT(ISBLANK(A351)),VLOOKUP(A351,'BBT3'!A:F,5,0),"")</f>
        <v>47177</v>
      </c>
      <c r="F351" t="str">
        <f>IF(NOT(ISBLANK(A351)),VLOOKUP(A351,'BBT3'!A:F,6,0),"")</f>
        <v>N</v>
      </c>
      <c r="G351">
        <f>IF(NOT(ISBLANK(A351)),VLOOKUP(A351,QW_Close!A:J,5,0),"")</f>
        <v>4.0969760344350098E-2</v>
      </c>
      <c r="H351" s="5" cm="1">
        <f t="array" ref="H351">IF(NOT(ISBLANK(A351)),((_xlfn.XLOOKUP(1,(_bbt3[[#All],[ID]]=A351)*(_bbt3[[#All],[METRIC_NAME]]="YLD_YTM_ASK"),_bbt3[[#All],[METRIC_VALUE]])*0.5)+(_xlfn.XLOOKUP(1,(_bbt3[[#All],[ID]]=A351)*(_bbt3[[#All],[METRIC_NAME]]="YLD_YTM_BID"),_bbt3[[#All],[METRIC_VALUE]])*0.5))/100,"")</f>
        <v>4.0969770150000001E-2</v>
      </c>
      <c r="I351">
        <f>IF(ISNA(VLOOKUP(A351,QW_CloseDL!A:E,5,0)),0,VLOOKUP(A351,QW_CloseDL!A:E,5,0))</f>
        <v>4.0969760344350098E-2</v>
      </c>
      <c r="J351" s="8">
        <f t="shared" si="25"/>
        <v>0</v>
      </c>
      <c r="P351">
        <v>0</v>
      </c>
      <c r="Q351" t="e">
        <f t="shared" si="26"/>
        <v>#N/A</v>
      </c>
      <c r="R351" t="e">
        <f t="shared" si="27"/>
        <v>#N/A</v>
      </c>
      <c r="S351" s="9" t="e">
        <f t="shared" si="28"/>
        <v>#N/A</v>
      </c>
      <c r="T351" s="3" t="e">
        <f t="shared" si="29"/>
        <v>#N/A</v>
      </c>
    </row>
    <row r="352" spans="1:20" x14ac:dyDescent="0.35">
      <c r="A352" t="str">
        <v>91282CEC1</v>
      </c>
      <c r="B352" t="str">
        <f>IF(NOT(ISBLANK(A352)),VLOOKUP(A352,'BBT3'!A:F,2,0),"")</f>
        <v>Bond</v>
      </c>
      <c r="C352" t="str">
        <f>IF(NOT(ISBLANK(A352)),VLOOKUP(A352,'BBT3'!A:F,3,0),"")</f>
        <v>US91282CEC10</v>
      </c>
      <c r="D352" s="6">
        <f>IF(NOT(ISBLANK(A352)),VLOOKUP(A352,'BBT3'!A:F,4,1),"")</f>
        <v>1.875</v>
      </c>
      <c r="E352">
        <f>IF(NOT(ISBLANK(A352)),VLOOKUP(A352,'BBT3'!A:F,5,0),"")</f>
        <v>46446</v>
      </c>
      <c r="F352" t="str">
        <f>IF(NOT(ISBLANK(A352)),VLOOKUP(A352,'BBT3'!A:F,6,0),"")</f>
        <v>N</v>
      </c>
      <c r="G352">
        <f>IF(NOT(ISBLANK(A352)),VLOOKUP(A352,QW_Close!A:J,5,0),"")</f>
        <v>3.8295038199515401E-2</v>
      </c>
      <c r="H352" s="5" cm="1">
        <f t="array" ref="H352">IF(NOT(ISBLANK(A352)),((_xlfn.XLOOKUP(1,(_bbt3[[#All],[ID]]=A352)*(_bbt3[[#All],[METRIC_NAME]]="YLD_YTM_ASK"),_bbt3[[#All],[METRIC_VALUE]])*0.5)+(_xlfn.XLOOKUP(1,(_bbt3[[#All],[ID]]=A352)*(_bbt3[[#All],[METRIC_NAME]]="YLD_YTM_BID"),_bbt3[[#All],[METRIC_VALUE]])*0.5))/100,"")</f>
        <v>3.8295049599999999E-2</v>
      </c>
      <c r="I352">
        <f>IF(ISNA(VLOOKUP(A352,QW_CloseDL!A:E,5,0)),0,VLOOKUP(A352,QW_CloseDL!A:E,5,0))</f>
        <v>3.8295038199515401E-2</v>
      </c>
      <c r="J352" s="8">
        <f t="shared" si="25"/>
        <v>0</v>
      </c>
      <c r="P352">
        <v>0</v>
      </c>
      <c r="Q352" t="e">
        <f t="shared" si="26"/>
        <v>#N/A</v>
      </c>
      <c r="R352" t="e">
        <f t="shared" si="27"/>
        <v>#N/A</v>
      </c>
      <c r="S352" s="9" t="e">
        <f t="shared" si="28"/>
        <v>#N/A</v>
      </c>
      <c r="T352" s="3" t="e">
        <f t="shared" si="29"/>
        <v>#N/A</v>
      </c>
    </row>
    <row r="353" spans="1:20" x14ac:dyDescent="0.35">
      <c r="A353" t="str">
        <v>91282CEE7</v>
      </c>
      <c r="B353" t="str">
        <f>IF(NOT(ISBLANK(A353)),VLOOKUP(A353,'BBT3'!A:F,2,0),"")</f>
        <v>Bond</v>
      </c>
      <c r="C353" t="str">
        <f>IF(NOT(ISBLANK(A353)),VLOOKUP(A353,'BBT3'!A:F,3,0),"")</f>
        <v>US91282CEE75</v>
      </c>
      <c r="D353" s="6">
        <f>IF(NOT(ISBLANK(A353)),VLOOKUP(A353,'BBT3'!A:F,4,1),"")</f>
        <v>2.375</v>
      </c>
      <c r="E353">
        <f>IF(NOT(ISBLANK(A353)),VLOOKUP(A353,'BBT3'!A:F,5,0),"")</f>
        <v>47208</v>
      </c>
      <c r="F353" t="str">
        <f>IF(NOT(ISBLANK(A353)),VLOOKUP(A353,'BBT3'!A:F,6,0),"")</f>
        <v>N</v>
      </c>
      <c r="G353">
        <f>IF(NOT(ISBLANK(A353)),VLOOKUP(A353,QW_Close!A:J,5,0),"")</f>
        <v>4.10095150564799E-2</v>
      </c>
      <c r="H353" s="5" cm="1">
        <f t="array" ref="H353">IF(NOT(ISBLANK(A353)),((_xlfn.XLOOKUP(1,(_bbt3[[#All],[ID]]=A353)*(_bbt3[[#All],[METRIC_NAME]]="YLD_YTM_ASK"),_bbt3[[#All],[METRIC_VALUE]])*0.5)+(_xlfn.XLOOKUP(1,(_bbt3[[#All],[ID]]=A353)*(_bbt3[[#All],[METRIC_NAME]]="YLD_YTM_BID"),_bbt3[[#All],[METRIC_VALUE]])*0.5))/100,"")</f>
        <v>4.1009521000000007E-2</v>
      </c>
      <c r="I353">
        <f>IF(ISNA(VLOOKUP(A353,QW_CloseDL!A:E,5,0)),0,VLOOKUP(A353,QW_CloseDL!A:E,5,0))</f>
        <v>4.10095150564799E-2</v>
      </c>
      <c r="J353" s="8">
        <f t="shared" si="25"/>
        <v>0</v>
      </c>
      <c r="P353">
        <v>0</v>
      </c>
      <c r="Q353" t="e">
        <f t="shared" si="26"/>
        <v>#N/A</v>
      </c>
      <c r="R353" t="e">
        <f t="shared" si="27"/>
        <v>#N/A</v>
      </c>
      <c r="S353" s="9" t="e">
        <f t="shared" si="28"/>
        <v>#N/A</v>
      </c>
      <c r="T353" s="3" t="e">
        <f t="shared" si="29"/>
        <v>#N/A</v>
      </c>
    </row>
    <row r="354" spans="1:20" x14ac:dyDescent="0.35">
      <c r="A354" t="str">
        <v>91282CEF4</v>
      </c>
      <c r="B354" t="str">
        <f>IF(NOT(ISBLANK(A354)),VLOOKUP(A354,'BBT3'!A:F,2,0),"")</f>
        <v>Bond</v>
      </c>
      <c r="C354" t="str">
        <f>IF(NOT(ISBLANK(A354)),VLOOKUP(A354,'BBT3'!A:F,3,0),"")</f>
        <v>US91282CEF41</v>
      </c>
      <c r="D354" s="6">
        <f>IF(NOT(ISBLANK(A354)),VLOOKUP(A354,'BBT3'!A:F,4,1),"")</f>
        <v>2.5</v>
      </c>
      <c r="E354">
        <f>IF(NOT(ISBLANK(A354)),VLOOKUP(A354,'BBT3'!A:F,5,0),"")</f>
        <v>46477</v>
      </c>
      <c r="F354" t="str">
        <f>IF(NOT(ISBLANK(A354)),VLOOKUP(A354,'BBT3'!A:F,6,0),"")</f>
        <v>N</v>
      </c>
      <c r="G354">
        <f>IF(NOT(ISBLANK(A354)),VLOOKUP(A354,QW_Close!A:J,5,0),"")</f>
        <v>3.8305486861105201E-2</v>
      </c>
      <c r="H354" s="5" cm="1">
        <f t="array" ref="H354">IF(NOT(ISBLANK(A354)),((_xlfn.XLOOKUP(1,(_bbt3[[#All],[ID]]=A354)*(_bbt3[[#All],[METRIC_NAME]]="YLD_YTM_ASK"),_bbt3[[#All],[METRIC_VALUE]])*0.5)+(_xlfn.XLOOKUP(1,(_bbt3[[#All],[ID]]=A354)*(_bbt3[[#All],[METRIC_NAME]]="YLD_YTM_BID"),_bbt3[[#All],[METRIC_VALUE]])*0.5))/100,"")</f>
        <v>3.8305500950000002E-2</v>
      </c>
      <c r="I354">
        <f>IF(ISNA(VLOOKUP(A354,QW_CloseDL!A:E,5,0)),0,VLOOKUP(A354,QW_CloseDL!A:E,5,0))</f>
        <v>3.8305486861105201E-2</v>
      </c>
      <c r="J354" s="8">
        <f t="shared" si="25"/>
        <v>0</v>
      </c>
      <c r="P354">
        <v>0</v>
      </c>
      <c r="Q354" t="e">
        <f t="shared" si="26"/>
        <v>#N/A</v>
      </c>
      <c r="R354" t="e">
        <f t="shared" si="27"/>
        <v>#N/A</v>
      </c>
      <c r="S354" s="9" t="e">
        <f t="shared" si="28"/>
        <v>#N/A</v>
      </c>
      <c r="T354" s="3" t="e">
        <f t="shared" si="29"/>
        <v>#N/A</v>
      </c>
    </row>
    <row r="355" spans="1:20" x14ac:dyDescent="0.35">
      <c r="A355" t="str">
        <v>91282CEJ6</v>
      </c>
      <c r="B355" t="str">
        <f>IF(NOT(ISBLANK(A355)),VLOOKUP(A355,'BBT3'!A:F,2,0),"")</f>
        <v>Bond</v>
      </c>
      <c r="C355" t="str">
        <f>IF(NOT(ISBLANK(A355)),VLOOKUP(A355,'BBT3'!A:F,3,0),"")</f>
        <v>US91282CEJ62</v>
      </c>
      <c r="D355" s="6">
        <f>IF(NOT(ISBLANK(A355)),VLOOKUP(A355,'BBT3'!A:F,4,1),"")</f>
        <v>0.125</v>
      </c>
      <c r="E355">
        <f>IF(NOT(ISBLANK(A355)),VLOOKUP(A355,'BBT3'!A:F,5,0),"")</f>
        <v>46492</v>
      </c>
      <c r="F355" t="str">
        <f>IF(NOT(ISBLANK(A355)),VLOOKUP(A355,'BBT3'!A:F,6,0),"")</f>
        <v>Y</v>
      </c>
      <c r="G355">
        <f>IF(NOT(ISBLANK(A355)),VLOOKUP(A355,QW_Close!A:J,5,0),"")</f>
        <v>1.15879078563377E-2</v>
      </c>
      <c r="H355" s="5" t="e" cm="1">
        <f t="array" ref="H355">IF(NOT(ISBLANK(A355)),((_xlfn.XLOOKUP(1,(_bbt3[[#All],[ID]]=A355)*(_bbt3[[#All],[METRIC_NAME]]="YLD_YTM_ASK"),_bbt3[[#All],[METRIC_VALUE]])*0.5)+(_xlfn.XLOOKUP(1,(_bbt3[[#All],[ID]]=A355)*(_bbt3[[#All],[METRIC_NAME]]="YLD_YTM_BID"),_bbt3[[#All],[METRIC_VALUE]])*0.5))/100,"")</f>
        <v>#N/A</v>
      </c>
      <c r="I355">
        <f>IF(ISNA(VLOOKUP(A355,QW_CloseDL!A:E,5,0)),0,VLOOKUP(A355,QW_CloseDL!A:E,5,0))</f>
        <v>1.15879373380498E-2</v>
      </c>
      <c r="J355" s="8">
        <f t="shared" si="25"/>
        <v>2.9481712099377333E-4</v>
      </c>
      <c r="P355">
        <v>0</v>
      </c>
      <c r="Q355" t="e">
        <f t="shared" si="26"/>
        <v>#N/A</v>
      </c>
      <c r="R355" t="e">
        <f t="shared" si="27"/>
        <v>#N/A</v>
      </c>
      <c r="S355" s="9" t="e">
        <f t="shared" si="28"/>
        <v>#N/A</v>
      </c>
      <c r="T355" s="3" t="e">
        <f t="shared" si="29"/>
        <v>#N/A</v>
      </c>
    </row>
    <row r="356" spans="1:20" x14ac:dyDescent="0.35">
      <c r="A356" t="str">
        <v>91282CEM9</v>
      </c>
      <c r="B356" t="str">
        <f>IF(NOT(ISBLANK(A356)),VLOOKUP(A356,'BBT3'!A:F,2,0),"")</f>
        <v>Bond</v>
      </c>
      <c r="C356" t="str">
        <f>IF(NOT(ISBLANK(A356)),VLOOKUP(A356,'BBT3'!A:F,3,0),"")</f>
        <v>US91282CEM91</v>
      </c>
      <c r="D356" s="6">
        <f>IF(NOT(ISBLANK(A356)),VLOOKUP(A356,'BBT3'!A:F,4,1),"")</f>
        <v>2.875</v>
      </c>
      <c r="E356">
        <f>IF(NOT(ISBLANK(A356)),VLOOKUP(A356,'BBT3'!A:F,5,0),"")</f>
        <v>47238</v>
      </c>
      <c r="F356" t="str">
        <f>IF(NOT(ISBLANK(A356)),VLOOKUP(A356,'BBT3'!A:F,6,0),"")</f>
        <v>N</v>
      </c>
      <c r="G356">
        <f>IF(NOT(ISBLANK(A356)),VLOOKUP(A356,QW_Close!A:J,5,0),"")</f>
        <v>4.1037202651618601E-2</v>
      </c>
      <c r="H356" s="5" cm="1">
        <f t="array" ref="H356">IF(NOT(ISBLANK(A356)),((_xlfn.XLOOKUP(1,(_bbt3[[#All],[ID]]=A356)*(_bbt3[[#All],[METRIC_NAME]]="YLD_YTM_ASK"),_bbt3[[#All],[METRIC_VALUE]])*0.5)+(_xlfn.XLOOKUP(1,(_bbt3[[#All],[ID]]=A356)*(_bbt3[[#All],[METRIC_NAME]]="YLD_YTM_BID"),_bbt3[[#All],[METRIC_VALUE]])*0.5))/100,"")</f>
        <v>4.1037211500000004E-2</v>
      </c>
      <c r="I356">
        <f>IF(ISNA(VLOOKUP(A356,QW_CloseDL!A:E,5,0)),0,VLOOKUP(A356,QW_CloseDL!A:E,5,0))</f>
        <v>4.1037202651618601E-2</v>
      </c>
      <c r="J356" s="8">
        <f t="shared" si="25"/>
        <v>0</v>
      </c>
      <c r="P356">
        <v>0</v>
      </c>
      <c r="Q356" t="e">
        <f t="shared" si="26"/>
        <v>#N/A</v>
      </c>
      <c r="R356" t="e">
        <f t="shared" si="27"/>
        <v>#N/A</v>
      </c>
      <c r="S356" s="9" t="e">
        <f t="shared" si="28"/>
        <v>#N/A</v>
      </c>
      <c r="T356" s="3" t="e">
        <f t="shared" si="29"/>
        <v>#N/A</v>
      </c>
    </row>
    <row r="357" spans="1:20" x14ac:dyDescent="0.35">
      <c r="A357" t="str">
        <v>91282CEN7</v>
      </c>
      <c r="B357" t="str">
        <f>IF(NOT(ISBLANK(A357)),VLOOKUP(A357,'BBT3'!A:F,2,0),"")</f>
        <v>Bond</v>
      </c>
      <c r="C357" t="str">
        <f>IF(NOT(ISBLANK(A357)),VLOOKUP(A357,'BBT3'!A:F,3,0),"")</f>
        <v>US91282CEN74</v>
      </c>
      <c r="D357" s="6">
        <f>IF(NOT(ISBLANK(A357)),VLOOKUP(A357,'BBT3'!A:F,4,1),"")</f>
        <v>2.75</v>
      </c>
      <c r="E357">
        <f>IF(NOT(ISBLANK(A357)),VLOOKUP(A357,'BBT3'!A:F,5,0),"")</f>
        <v>46507</v>
      </c>
      <c r="F357" t="str">
        <f>IF(NOT(ISBLANK(A357)),VLOOKUP(A357,'BBT3'!A:F,6,0),"")</f>
        <v>N</v>
      </c>
      <c r="G357">
        <f>IF(NOT(ISBLANK(A357)),VLOOKUP(A357,QW_Close!A:J,5,0),"")</f>
        <v>3.8841062379262097E-2</v>
      </c>
      <c r="H357" s="5" cm="1">
        <f t="array" ref="H357">IF(NOT(ISBLANK(A357)),((_xlfn.XLOOKUP(1,(_bbt3[[#All],[ID]]=A357)*(_bbt3[[#All],[METRIC_NAME]]="YLD_YTM_ASK"),_bbt3[[#All],[METRIC_VALUE]])*0.5)+(_xlfn.XLOOKUP(1,(_bbt3[[#All],[ID]]=A357)*(_bbt3[[#All],[METRIC_NAME]]="YLD_YTM_BID"),_bbt3[[#All],[METRIC_VALUE]])*0.5))/100,"")</f>
        <v>3.8841070999999998E-2</v>
      </c>
      <c r="I357">
        <f>IF(ISNA(VLOOKUP(A357,QW_CloseDL!A:E,5,0)),0,VLOOKUP(A357,QW_CloseDL!A:E,5,0))</f>
        <v>3.8841062379262097E-2</v>
      </c>
      <c r="J357" s="8">
        <f t="shared" si="25"/>
        <v>0</v>
      </c>
      <c r="P357">
        <v>0</v>
      </c>
      <c r="Q357" t="e">
        <f t="shared" si="26"/>
        <v>#N/A</v>
      </c>
      <c r="R357" t="e">
        <f t="shared" si="27"/>
        <v>#N/A</v>
      </c>
      <c r="S357" s="9" t="e">
        <f t="shared" si="28"/>
        <v>#N/A</v>
      </c>
      <c r="T357" s="3" t="e">
        <f t="shared" si="29"/>
        <v>#N/A</v>
      </c>
    </row>
    <row r="358" spans="1:20" x14ac:dyDescent="0.35">
      <c r="A358" t="str">
        <v>91282CEP2</v>
      </c>
      <c r="B358" t="str">
        <f>IF(NOT(ISBLANK(A358)),VLOOKUP(A358,'BBT3'!A:F,2,0),"")</f>
        <v>Bond</v>
      </c>
      <c r="C358" t="str">
        <f>IF(NOT(ISBLANK(A358)),VLOOKUP(A358,'BBT3'!A:F,3,0),"")</f>
        <v>US91282CEP23</v>
      </c>
      <c r="D358" s="6">
        <f>IF(NOT(ISBLANK(A358)),VLOOKUP(A358,'BBT3'!A:F,4,1),"")</f>
        <v>2.875</v>
      </c>
      <c r="E358">
        <f>IF(NOT(ISBLANK(A358)),VLOOKUP(A358,'BBT3'!A:F,5,0),"")</f>
        <v>48349</v>
      </c>
      <c r="F358" t="str">
        <f>IF(NOT(ISBLANK(A358)),VLOOKUP(A358,'BBT3'!A:F,6,0),"")</f>
        <v>N</v>
      </c>
      <c r="G358">
        <f>IF(NOT(ISBLANK(A358)),VLOOKUP(A358,QW_Close!A:J,5,0),"")</f>
        <v>4.2672589880545002E-2</v>
      </c>
      <c r="H358" s="5" cm="1">
        <f t="array" ref="H358">IF(NOT(ISBLANK(A358)),((_xlfn.XLOOKUP(1,(_bbt3[[#All],[ID]]=A358)*(_bbt3[[#All],[METRIC_NAME]]="YLD_YTM_ASK"),_bbt3[[#All],[METRIC_VALUE]])*0.5)+(_xlfn.XLOOKUP(1,(_bbt3[[#All],[ID]]=A358)*(_bbt3[[#All],[METRIC_NAME]]="YLD_YTM_BID"),_bbt3[[#All],[METRIC_VALUE]])*0.5))/100,"")</f>
        <v>4.26725965E-2</v>
      </c>
      <c r="I358">
        <f>IF(ISNA(VLOOKUP(A358,QW_CloseDL!A:E,5,0)),0,VLOOKUP(A358,QW_CloseDL!A:E,5,0))</f>
        <v>4.2672589880545002E-2</v>
      </c>
      <c r="J358" s="8">
        <f t="shared" si="25"/>
        <v>0</v>
      </c>
      <c r="P358">
        <v>0</v>
      </c>
      <c r="Q358" t="e">
        <f t="shared" si="26"/>
        <v>#N/A</v>
      </c>
      <c r="R358" t="e">
        <f t="shared" si="27"/>
        <v>#N/A</v>
      </c>
      <c r="S358" s="9" t="e">
        <f t="shared" si="28"/>
        <v>#N/A</v>
      </c>
      <c r="T358" s="3" t="e">
        <f t="shared" si="29"/>
        <v>#N/A</v>
      </c>
    </row>
    <row r="359" spans="1:20" x14ac:dyDescent="0.35">
      <c r="A359" t="str">
        <v>91282CES6</v>
      </c>
      <c r="B359" t="str">
        <f>IF(NOT(ISBLANK(A359)),VLOOKUP(A359,'BBT3'!A:F,2,0),"")</f>
        <v>Bond</v>
      </c>
      <c r="C359" t="str">
        <f>IF(NOT(ISBLANK(A359)),VLOOKUP(A359,'BBT3'!A:F,3,0),"")</f>
        <v>US91282CES61</v>
      </c>
      <c r="D359" s="6">
        <f>IF(NOT(ISBLANK(A359)),VLOOKUP(A359,'BBT3'!A:F,4,1),"")</f>
        <v>2.75</v>
      </c>
      <c r="E359">
        <f>IF(NOT(ISBLANK(A359)),VLOOKUP(A359,'BBT3'!A:F,5,0),"")</f>
        <v>47269</v>
      </c>
      <c r="F359" t="str">
        <f>IF(NOT(ISBLANK(A359)),VLOOKUP(A359,'BBT3'!A:F,6,0),"")</f>
        <v>N</v>
      </c>
      <c r="G359">
        <f>IF(NOT(ISBLANK(A359)),VLOOKUP(A359,QW_Close!A:J,5,0),"")</f>
        <v>4.1053814531347002E-2</v>
      </c>
      <c r="H359" s="5" cm="1">
        <f t="array" ref="H359">IF(NOT(ISBLANK(A359)),((_xlfn.XLOOKUP(1,(_bbt3[[#All],[ID]]=A359)*(_bbt3[[#All],[METRIC_NAME]]="YLD_YTM_ASK"),_bbt3[[#All],[METRIC_VALUE]])*0.5)+(_xlfn.XLOOKUP(1,(_bbt3[[#All],[ID]]=A359)*(_bbt3[[#All],[METRIC_NAME]]="YLD_YTM_BID"),_bbt3[[#All],[METRIC_VALUE]])*0.5))/100,"")</f>
        <v>4.1053820099999999E-2</v>
      </c>
      <c r="I359">
        <f>IF(ISNA(VLOOKUP(A359,QW_CloseDL!A:E,5,0)),0,VLOOKUP(A359,QW_CloseDL!A:E,5,0))</f>
        <v>4.1053814531347002E-2</v>
      </c>
      <c r="J359" s="8">
        <f t="shared" si="25"/>
        <v>0</v>
      </c>
      <c r="P359">
        <v>0</v>
      </c>
      <c r="Q359" t="e">
        <f t="shared" si="26"/>
        <v>#N/A</v>
      </c>
      <c r="R359" t="e">
        <f t="shared" si="27"/>
        <v>#N/A</v>
      </c>
      <c r="S359" s="9" t="e">
        <f t="shared" si="28"/>
        <v>#N/A</v>
      </c>
      <c r="T359" s="3" t="e">
        <f t="shared" si="29"/>
        <v>#N/A</v>
      </c>
    </row>
    <row r="360" spans="1:20" x14ac:dyDescent="0.35">
      <c r="A360" t="str">
        <v>91282CET4</v>
      </c>
      <c r="B360" t="str">
        <f>IF(NOT(ISBLANK(A360)),VLOOKUP(A360,'BBT3'!A:F,2,0),"")</f>
        <v>Bond</v>
      </c>
      <c r="C360" t="str">
        <f>IF(NOT(ISBLANK(A360)),VLOOKUP(A360,'BBT3'!A:F,3,0),"")</f>
        <v>US91282CET45</v>
      </c>
      <c r="D360" s="6">
        <f>IF(NOT(ISBLANK(A360)),VLOOKUP(A360,'BBT3'!A:F,4,1),"")</f>
        <v>2.625</v>
      </c>
      <c r="E360">
        <f>IF(NOT(ISBLANK(A360)),VLOOKUP(A360,'BBT3'!A:F,5,0),"")</f>
        <v>46538</v>
      </c>
      <c r="F360" t="str">
        <f>IF(NOT(ISBLANK(A360)),VLOOKUP(A360,'BBT3'!A:F,6,0),"")</f>
        <v>N</v>
      </c>
      <c r="G360">
        <f>IF(NOT(ISBLANK(A360)),VLOOKUP(A360,QW_Close!A:J,5,0),"")</f>
        <v>3.9126239759297701E-2</v>
      </c>
      <c r="H360" s="5" cm="1">
        <f t="array" ref="H360">IF(NOT(ISBLANK(A360)),((_xlfn.XLOOKUP(1,(_bbt3[[#All],[ID]]=A360)*(_bbt3[[#All],[METRIC_NAME]]="YLD_YTM_ASK"),_bbt3[[#All],[METRIC_VALUE]])*0.5)+(_xlfn.XLOOKUP(1,(_bbt3[[#All],[ID]]=A360)*(_bbt3[[#All],[METRIC_NAME]]="YLD_YTM_BID"),_bbt3[[#All],[METRIC_VALUE]])*0.5))/100,"")</f>
        <v>3.9126250850000002E-2</v>
      </c>
      <c r="I360">
        <f>IF(ISNA(VLOOKUP(A360,QW_CloseDL!A:E,5,0)),0,VLOOKUP(A360,QW_CloseDL!A:E,5,0))</f>
        <v>3.9126239759297701E-2</v>
      </c>
      <c r="J360" s="8">
        <f t="shared" si="25"/>
        <v>0</v>
      </c>
      <c r="P360">
        <v>0</v>
      </c>
      <c r="Q360" t="e">
        <f t="shared" si="26"/>
        <v>#N/A</v>
      </c>
      <c r="R360" t="e">
        <f t="shared" si="27"/>
        <v>#N/A</v>
      </c>
      <c r="S360" s="9" t="e">
        <f t="shared" si="28"/>
        <v>#N/A</v>
      </c>
      <c r="T360" s="3" t="e">
        <f t="shared" si="29"/>
        <v>#N/A</v>
      </c>
    </row>
    <row r="361" spans="1:20" x14ac:dyDescent="0.35">
      <c r="A361" t="str">
        <v>91282CEV9</v>
      </c>
      <c r="B361" t="str">
        <f>IF(NOT(ISBLANK(A361)),VLOOKUP(A361,'BBT3'!A:F,2,0),"")</f>
        <v>Bond</v>
      </c>
      <c r="C361" t="str">
        <f>IF(NOT(ISBLANK(A361)),VLOOKUP(A361,'BBT3'!A:F,3,0),"")</f>
        <v>US91282CEV90</v>
      </c>
      <c r="D361" s="6">
        <f>IF(NOT(ISBLANK(A361)),VLOOKUP(A361,'BBT3'!A:F,4,1),"")</f>
        <v>3.25</v>
      </c>
      <c r="E361">
        <f>IF(NOT(ISBLANK(A361)),VLOOKUP(A361,'BBT3'!A:F,5,0),"")</f>
        <v>47299</v>
      </c>
      <c r="F361" t="str">
        <f>IF(NOT(ISBLANK(A361)),VLOOKUP(A361,'BBT3'!A:F,6,0),"")</f>
        <v>N</v>
      </c>
      <c r="G361">
        <f>IF(NOT(ISBLANK(A361)),VLOOKUP(A361,QW_Close!A:J,5,0),"")</f>
        <v>4.1124014717973001E-2</v>
      </c>
      <c r="H361" s="5" cm="1">
        <f t="array" ref="H361">IF(NOT(ISBLANK(A361)),((_xlfn.XLOOKUP(1,(_bbt3[[#All],[ID]]=A361)*(_bbt3[[#All],[METRIC_NAME]]="YLD_YTM_ASK"),_bbt3[[#All],[METRIC_VALUE]])*0.5)+(_xlfn.XLOOKUP(1,(_bbt3[[#All],[ID]]=A361)*(_bbt3[[#All],[METRIC_NAME]]="YLD_YTM_BID"),_bbt3[[#All],[METRIC_VALUE]])*0.5))/100,"")</f>
        <v>4.1124023000000003E-2</v>
      </c>
      <c r="I361">
        <f>IF(ISNA(VLOOKUP(A361,QW_CloseDL!A:E,5,0)),0,VLOOKUP(A361,QW_CloseDL!A:E,5,0))</f>
        <v>4.1124014717973001E-2</v>
      </c>
      <c r="J361" s="8">
        <f t="shared" si="25"/>
        <v>0</v>
      </c>
      <c r="P361">
        <v>0</v>
      </c>
      <c r="Q361" t="e">
        <f t="shared" si="26"/>
        <v>#N/A</v>
      </c>
      <c r="R361" t="e">
        <f t="shared" si="27"/>
        <v>#N/A</v>
      </c>
      <c r="S361" s="9" t="e">
        <f t="shared" si="28"/>
        <v>#N/A</v>
      </c>
      <c r="T361" s="3" t="e">
        <f t="shared" si="29"/>
        <v>#N/A</v>
      </c>
    </row>
    <row r="362" spans="1:20" x14ac:dyDescent="0.35">
      <c r="A362" t="str">
        <v>91282CEW7</v>
      </c>
      <c r="B362" t="str">
        <f>IF(NOT(ISBLANK(A362)),VLOOKUP(A362,'BBT3'!A:F,2,0),"")</f>
        <v>Bond</v>
      </c>
      <c r="C362" t="str">
        <f>IF(NOT(ISBLANK(A362)),VLOOKUP(A362,'BBT3'!A:F,3,0),"")</f>
        <v>US91282CEW73</v>
      </c>
      <c r="D362" s="6">
        <f>IF(NOT(ISBLANK(A362)),VLOOKUP(A362,'BBT3'!A:F,4,1),"")</f>
        <v>3.25</v>
      </c>
      <c r="E362">
        <f>IF(NOT(ISBLANK(A362)),VLOOKUP(A362,'BBT3'!A:F,5,0),"")</f>
        <v>46568</v>
      </c>
      <c r="F362" t="str">
        <f>IF(NOT(ISBLANK(A362)),VLOOKUP(A362,'BBT3'!A:F,6,0),"")</f>
        <v>N</v>
      </c>
      <c r="G362">
        <f>IF(NOT(ISBLANK(A362)),VLOOKUP(A362,QW_Close!A:J,5,0),"")</f>
        <v>3.9262194918170998E-2</v>
      </c>
      <c r="H362" s="5" cm="1">
        <f t="array" ref="H362">IF(NOT(ISBLANK(A362)),((_xlfn.XLOOKUP(1,(_bbt3[[#All],[ID]]=A362)*(_bbt3[[#All],[METRIC_NAME]]="YLD_YTM_ASK"),_bbt3[[#All],[METRIC_VALUE]])*0.5)+(_xlfn.XLOOKUP(1,(_bbt3[[#All],[ID]]=A362)*(_bbt3[[#All],[METRIC_NAME]]="YLD_YTM_BID"),_bbt3[[#All],[METRIC_VALUE]])*0.5))/100,"")</f>
        <v>3.9262212500000004E-2</v>
      </c>
      <c r="I362">
        <f>IF(ISNA(VLOOKUP(A362,QW_CloseDL!A:E,5,0)),0,VLOOKUP(A362,QW_CloseDL!A:E,5,0))</f>
        <v>3.9262194918170998E-2</v>
      </c>
      <c r="J362" s="8">
        <f t="shared" si="25"/>
        <v>0</v>
      </c>
      <c r="P362">
        <v>0</v>
      </c>
      <c r="Q362" t="e">
        <f t="shared" si="26"/>
        <v>#N/A</v>
      </c>
      <c r="R362" t="e">
        <f t="shared" si="27"/>
        <v>#N/A</v>
      </c>
      <c r="S362" s="9" t="e">
        <f t="shared" si="28"/>
        <v>#N/A</v>
      </c>
      <c r="T362" s="3" t="e">
        <f t="shared" si="29"/>
        <v>#N/A</v>
      </c>
    </row>
    <row r="363" spans="1:20" x14ac:dyDescent="0.35">
      <c r="A363" t="str">
        <v>91282CEZ0</v>
      </c>
      <c r="B363" t="str">
        <f>IF(NOT(ISBLANK(A363)),VLOOKUP(A363,'BBT3'!A:F,2,0),"")</f>
        <v>Bond</v>
      </c>
      <c r="C363" t="str">
        <f>IF(NOT(ISBLANK(A363)),VLOOKUP(A363,'BBT3'!A:F,3,0),"")</f>
        <v>US91282CEZ05</v>
      </c>
      <c r="D363" s="6">
        <f>IF(NOT(ISBLANK(A363)),VLOOKUP(A363,'BBT3'!A:F,4,1),"")</f>
        <v>0.625</v>
      </c>
      <c r="E363">
        <f>IF(NOT(ISBLANK(A363)),VLOOKUP(A363,'BBT3'!A:F,5,0),"")</f>
        <v>48410</v>
      </c>
      <c r="F363" t="str">
        <f>IF(NOT(ISBLANK(A363)),VLOOKUP(A363,'BBT3'!A:F,6,0),"")</f>
        <v>Y</v>
      </c>
      <c r="G363">
        <f>IF(NOT(ISBLANK(A363)),VLOOKUP(A363,QW_Close!A:J,5,0),"")</f>
        <v>1.7197068817879899E-2</v>
      </c>
      <c r="H363" s="5" t="e" cm="1">
        <f t="array" ref="H363">IF(NOT(ISBLANK(A363)),((_xlfn.XLOOKUP(1,(_bbt3[[#All],[ID]]=A363)*(_bbt3[[#All],[METRIC_NAME]]="YLD_YTM_ASK"),_bbt3[[#All],[METRIC_VALUE]])*0.5)+(_xlfn.XLOOKUP(1,(_bbt3[[#All],[ID]]=A363)*(_bbt3[[#All],[METRIC_NAME]]="YLD_YTM_BID"),_bbt3[[#All],[METRIC_VALUE]])*0.5))/100,"")</f>
        <v>#N/A</v>
      </c>
      <c r="I363">
        <f>IF(ISNA(VLOOKUP(A363,QW_CloseDL!A:E,5,0)),0,VLOOKUP(A363,QW_CloseDL!A:E,5,0))</f>
        <v>1.7197066574958699E-2</v>
      </c>
      <c r="J363" s="8">
        <f t="shared" si="25"/>
        <v>2.2429211994634546E-5</v>
      </c>
      <c r="P363">
        <v>0</v>
      </c>
      <c r="Q363" t="e">
        <f t="shared" si="26"/>
        <v>#N/A</v>
      </c>
      <c r="R363" t="e">
        <f t="shared" si="27"/>
        <v>#N/A</v>
      </c>
      <c r="S363" s="9" t="e">
        <f t="shared" si="28"/>
        <v>#N/A</v>
      </c>
      <c r="T363" s="3" t="e">
        <f t="shared" si="29"/>
        <v>#N/A</v>
      </c>
    </row>
    <row r="364" spans="1:20" x14ac:dyDescent="0.35">
      <c r="A364" t="str">
        <v>91282CFB2</v>
      </c>
      <c r="B364" t="str">
        <f>IF(NOT(ISBLANK(A364)),VLOOKUP(A364,'BBT3'!A:F,2,0),"")</f>
        <v>Bond</v>
      </c>
      <c r="C364" t="str">
        <f>IF(NOT(ISBLANK(A364)),VLOOKUP(A364,'BBT3'!A:F,3,0),"")</f>
        <v>US91282CFB28</v>
      </c>
      <c r="D364" s="6">
        <f>IF(NOT(ISBLANK(A364)),VLOOKUP(A364,'BBT3'!A:F,4,1),"")</f>
        <v>2.75</v>
      </c>
      <c r="E364">
        <f>IF(NOT(ISBLANK(A364)),VLOOKUP(A364,'BBT3'!A:F,5,0),"")</f>
        <v>46599</v>
      </c>
      <c r="F364" t="str">
        <f>IF(NOT(ISBLANK(A364)),VLOOKUP(A364,'BBT3'!A:F,6,0),"")</f>
        <v>N</v>
      </c>
      <c r="G364">
        <f>IF(NOT(ISBLANK(A364)),VLOOKUP(A364,QW_Close!A:J,5,0),"")</f>
        <v>3.9652086118322397E-2</v>
      </c>
      <c r="H364" s="5" cm="1">
        <f t="array" ref="H364">IF(NOT(ISBLANK(A364)),((_xlfn.XLOOKUP(1,(_bbt3[[#All],[ID]]=A364)*(_bbt3[[#All],[METRIC_NAME]]="YLD_YTM_ASK"),_bbt3[[#All],[METRIC_VALUE]])*0.5)+(_xlfn.XLOOKUP(1,(_bbt3[[#All],[ID]]=A364)*(_bbt3[[#All],[METRIC_NAME]]="YLD_YTM_BID"),_bbt3[[#All],[METRIC_VALUE]])*0.5))/100,"")</f>
        <v>3.9652092E-2</v>
      </c>
      <c r="I364">
        <f>IF(ISNA(VLOOKUP(A364,QW_CloseDL!A:E,5,0)),0,VLOOKUP(A364,QW_CloseDL!A:E,5,0))</f>
        <v>3.9652086118322397E-2</v>
      </c>
      <c r="J364" s="8">
        <f t="shared" si="25"/>
        <v>0</v>
      </c>
      <c r="P364">
        <v>0</v>
      </c>
      <c r="Q364" t="e">
        <f t="shared" si="26"/>
        <v>#N/A</v>
      </c>
      <c r="R364" t="e">
        <f t="shared" si="27"/>
        <v>#N/A</v>
      </c>
      <c r="S364" s="9" t="e">
        <f t="shared" si="28"/>
        <v>#N/A</v>
      </c>
      <c r="T364" s="3" t="e">
        <f t="shared" si="29"/>
        <v>#N/A</v>
      </c>
    </row>
    <row r="365" spans="1:20" x14ac:dyDescent="0.35">
      <c r="A365" t="str">
        <v>91282CFC0</v>
      </c>
      <c r="B365" t="str">
        <f>IF(NOT(ISBLANK(A365)),VLOOKUP(A365,'BBT3'!A:F,2,0),"")</f>
        <v>Bond</v>
      </c>
      <c r="C365" t="str">
        <f>IF(NOT(ISBLANK(A365)),VLOOKUP(A365,'BBT3'!A:F,3,0),"")</f>
        <v>US91282CFC01</v>
      </c>
      <c r="D365" s="6">
        <f>IF(NOT(ISBLANK(A365)),VLOOKUP(A365,'BBT3'!A:F,4,1),"")</f>
        <v>2.625</v>
      </c>
      <c r="E365">
        <f>IF(NOT(ISBLANK(A365)),VLOOKUP(A365,'BBT3'!A:F,5,0),"")</f>
        <v>47330</v>
      </c>
      <c r="F365" t="str">
        <f>IF(NOT(ISBLANK(A365)),VLOOKUP(A365,'BBT3'!A:F,6,0),"")</f>
        <v>N</v>
      </c>
      <c r="G365">
        <f>IF(NOT(ISBLANK(A365)),VLOOKUP(A365,QW_Close!A:J,5,0),"")</f>
        <v>4.1170605514918399E-2</v>
      </c>
      <c r="H365" s="5" cm="1">
        <f t="array" ref="H365">IF(NOT(ISBLANK(A365)),((_xlfn.XLOOKUP(1,(_bbt3[[#All],[ID]]=A365)*(_bbt3[[#All],[METRIC_NAME]]="YLD_YTM_ASK"),_bbt3[[#All],[METRIC_VALUE]])*0.5)+(_xlfn.XLOOKUP(1,(_bbt3[[#All],[ID]]=A365)*(_bbt3[[#All],[METRIC_NAME]]="YLD_YTM_BID"),_bbt3[[#All],[METRIC_VALUE]])*0.5))/100,"")</f>
        <v>4.1170610999999996E-2</v>
      </c>
      <c r="I365">
        <f>IF(ISNA(VLOOKUP(A365,QW_CloseDL!A:E,5,0)),0,VLOOKUP(A365,QW_CloseDL!A:E,5,0))</f>
        <v>4.1170605514918399E-2</v>
      </c>
      <c r="J365" s="8">
        <f t="shared" si="25"/>
        <v>0</v>
      </c>
      <c r="P365">
        <v>0</v>
      </c>
      <c r="Q365" t="e">
        <f t="shared" si="26"/>
        <v>#N/A</v>
      </c>
      <c r="R365" t="e">
        <f t="shared" si="27"/>
        <v>#N/A</v>
      </c>
      <c r="S365" s="9" t="e">
        <f t="shared" si="28"/>
        <v>#N/A</v>
      </c>
      <c r="T365" s="3" t="e">
        <f t="shared" si="29"/>
        <v>#N/A</v>
      </c>
    </row>
    <row r="366" spans="1:20" x14ac:dyDescent="0.35">
      <c r="A366" t="str">
        <v>91282CFF3</v>
      </c>
      <c r="B366" t="str">
        <f>IF(NOT(ISBLANK(A366)),VLOOKUP(A366,'BBT3'!A:F,2,0),"")</f>
        <v>Bond</v>
      </c>
      <c r="C366" t="str">
        <f>IF(NOT(ISBLANK(A366)),VLOOKUP(A366,'BBT3'!A:F,3,0),"")</f>
        <v>US91282CFF32</v>
      </c>
      <c r="D366" s="6">
        <f>IF(NOT(ISBLANK(A366)),VLOOKUP(A366,'BBT3'!A:F,4,1),"")</f>
        <v>2.75</v>
      </c>
      <c r="E366">
        <f>IF(NOT(ISBLANK(A366)),VLOOKUP(A366,'BBT3'!A:F,5,0),"")</f>
        <v>48441</v>
      </c>
      <c r="F366" t="str">
        <f>IF(NOT(ISBLANK(A366)),VLOOKUP(A366,'BBT3'!A:F,6,0),"")</f>
        <v>N</v>
      </c>
      <c r="G366">
        <f>IF(NOT(ISBLANK(A366)),VLOOKUP(A366,QW_Close!A:J,5,0),"")</f>
        <v>4.2868652388729202E-2</v>
      </c>
      <c r="H366" s="5" cm="1">
        <f t="array" ref="H366">IF(NOT(ISBLANK(A366)),((_xlfn.XLOOKUP(1,(_bbt3[[#All],[ID]]=A366)*(_bbt3[[#All],[METRIC_NAME]]="YLD_YTM_ASK"),_bbt3[[#All],[METRIC_VALUE]])*0.5)+(_xlfn.XLOOKUP(1,(_bbt3[[#All],[ID]]=A366)*(_bbt3[[#All],[METRIC_NAME]]="YLD_YTM_BID"),_bbt3[[#All],[METRIC_VALUE]])*0.5))/100,"")</f>
        <v>4.2868659050000001E-2</v>
      </c>
      <c r="I366">
        <f>IF(ISNA(VLOOKUP(A366,QW_CloseDL!A:E,5,0)),0,VLOOKUP(A366,QW_CloseDL!A:E,5,0))</f>
        <v>4.2868652388729202E-2</v>
      </c>
      <c r="J366" s="8">
        <f t="shared" si="25"/>
        <v>0</v>
      </c>
      <c r="P366">
        <v>0</v>
      </c>
      <c r="Q366" t="e">
        <f t="shared" si="26"/>
        <v>#N/A</v>
      </c>
      <c r="R366" t="e">
        <f t="shared" si="27"/>
        <v>#N/A</v>
      </c>
      <c r="S366" s="9" t="e">
        <f t="shared" si="28"/>
        <v>#N/A</v>
      </c>
      <c r="T366" s="3" t="e">
        <f t="shared" si="29"/>
        <v>#N/A</v>
      </c>
    </row>
    <row r="367" spans="1:20" x14ac:dyDescent="0.35">
      <c r="A367" t="str">
        <v>91282CFH9</v>
      </c>
      <c r="B367" t="str">
        <f>IF(NOT(ISBLANK(A367)),VLOOKUP(A367,'BBT3'!A:F,2,0),"")</f>
        <v>Bond</v>
      </c>
      <c r="C367" t="str">
        <f>IF(NOT(ISBLANK(A367)),VLOOKUP(A367,'BBT3'!A:F,3,0),"")</f>
        <v>US91282CFH97</v>
      </c>
      <c r="D367" s="6">
        <f>IF(NOT(ISBLANK(A367)),VLOOKUP(A367,'BBT3'!A:F,4,1),"")</f>
        <v>3.125</v>
      </c>
      <c r="E367">
        <f>IF(NOT(ISBLANK(A367)),VLOOKUP(A367,'BBT3'!A:F,5,0),"")</f>
        <v>46630</v>
      </c>
      <c r="F367" t="str">
        <f>IF(NOT(ISBLANK(A367)),VLOOKUP(A367,'BBT3'!A:F,6,0),"")</f>
        <v>N</v>
      </c>
      <c r="G367">
        <f>IF(NOT(ISBLANK(A367)),VLOOKUP(A367,QW_Close!A:J,5,0),"")</f>
        <v>3.9667507657740998E-2</v>
      </c>
      <c r="H367" s="5" cm="1">
        <f t="array" ref="H367">IF(NOT(ISBLANK(A367)),((_xlfn.XLOOKUP(1,(_bbt3[[#All],[ID]]=A367)*(_bbt3[[#All],[METRIC_NAME]]="YLD_YTM_ASK"),_bbt3[[#All],[METRIC_VALUE]])*0.5)+(_xlfn.XLOOKUP(1,(_bbt3[[#All],[ID]]=A367)*(_bbt3[[#All],[METRIC_NAME]]="YLD_YTM_BID"),_bbt3[[#All],[METRIC_VALUE]])*0.5))/100,"")</f>
        <v>3.9667513350000003E-2</v>
      </c>
      <c r="I367">
        <f>IF(ISNA(VLOOKUP(A367,QW_CloseDL!A:E,5,0)),0,VLOOKUP(A367,QW_CloseDL!A:E,5,0))</f>
        <v>3.9667507657740998E-2</v>
      </c>
      <c r="J367" s="8">
        <f t="shared" si="25"/>
        <v>0</v>
      </c>
      <c r="P367">
        <v>0</v>
      </c>
      <c r="Q367" t="e">
        <f t="shared" si="26"/>
        <v>#N/A</v>
      </c>
      <c r="R367" t="e">
        <f t="shared" si="27"/>
        <v>#N/A</v>
      </c>
      <c r="S367" s="9" t="e">
        <f t="shared" si="28"/>
        <v>#N/A</v>
      </c>
      <c r="T367" s="3" t="e">
        <f t="shared" si="29"/>
        <v>#N/A</v>
      </c>
    </row>
    <row r="368" spans="1:20" x14ac:dyDescent="0.35">
      <c r="A368" t="str">
        <v>91282CFJ5</v>
      </c>
      <c r="B368" t="str">
        <f>IF(NOT(ISBLANK(A368)),VLOOKUP(A368,'BBT3'!A:F,2,0),"")</f>
        <v>Bond</v>
      </c>
      <c r="C368" t="str">
        <f>IF(NOT(ISBLANK(A368)),VLOOKUP(A368,'BBT3'!A:F,3,0),"")</f>
        <v>US91282CFJ53</v>
      </c>
      <c r="D368" s="6">
        <f>IF(NOT(ISBLANK(A368)),VLOOKUP(A368,'BBT3'!A:F,4,1),"")</f>
        <v>3.125</v>
      </c>
      <c r="E368">
        <f>IF(NOT(ISBLANK(A368)),VLOOKUP(A368,'BBT3'!A:F,5,0),"")</f>
        <v>47361</v>
      </c>
      <c r="F368" t="str">
        <f>IF(NOT(ISBLANK(A368)),VLOOKUP(A368,'BBT3'!A:F,6,0),"")</f>
        <v>N</v>
      </c>
      <c r="G368">
        <f>IF(NOT(ISBLANK(A368)),VLOOKUP(A368,QW_Close!A:J,5,0),"")</f>
        <v>4.1286628286036901E-2</v>
      </c>
      <c r="H368" s="5" cm="1">
        <f t="array" ref="H368">IF(NOT(ISBLANK(A368)),((_xlfn.XLOOKUP(1,(_bbt3[[#All],[ID]]=A368)*(_bbt3[[#All],[METRIC_NAME]]="YLD_YTM_ASK"),_bbt3[[#All],[METRIC_VALUE]])*0.5)+(_xlfn.XLOOKUP(1,(_bbt3[[#All],[ID]]=A368)*(_bbt3[[#All],[METRIC_NAME]]="YLD_YTM_BID"),_bbt3[[#All],[METRIC_VALUE]])*0.5))/100,"")</f>
        <v>4.1286633349999997E-2</v>
      </c>
      <c r="I368">
        <f>IF(ISNA(VLOOKUP(A368,QW_CloseDL!A:E,5,0)),0,VLOOKUP(A368,QW_CloseDL!A:E,5,0))</f>
        <v>4.1286628286036901E-2</v>
      </c>
      <c r="J368" s="8">
        <f t="shared" si="25"/>
        <v>0</v>
      </c>
      <c r="P368">
        <v>0</v>
      </c>
      <c r="Q368" t="e">
        <f t="shared" si="26"/>
        <v>#N/A</v>
      </c>
      <c r="R368" t="e">
        <f t="shared" si="27"/>
        <v>#N/A</v>
      </c>
      <c r="S368" s="9" t="e">
        <f t="shared" si="28"/>
        <v>#N/A</v>
      </c>
      <c r="T368" s="3" t="e">
        <f t="shared" si="29"/>
        <v>#N/A</v>
      </c>
    </row>
    <row r="369" spans="1:20" x14ac:dyDescent="0.35">
      <c r="A369" t="str">
        <v>91282CFL0</v>
      </c>
      <c r="B369" t="str">
        <f>IF(NOT(ISBLANK(A369)),VLOOKUP(A369,'BBT3'!A:F,2,0),"")</f>
        <v>Bond</v>
      </c>
      <c r="C369" t="str">
        <f>IF(NOT(ISBLANK(A369)),VLOOKUP(A369,'BBT3'!A:F,3,0),"")</f>
        <v>US91282CFL00</v>
      </c>
      <c r="D369" s="6">
        <f>IF(NOT(ISBLANK(A369)),VLOOKUP(A369,'BBT3'!A:F,4,1),"")</f>
        <v>3.875</v>
      </c>
      <c r="E369">
        <f>IF(NOT(ISBLANK(A369)),VLOOKUP(A369,'BBT3'!A:F,5,0),"")</f>
        <v>47391</v>
      </c>
      <c r="F369" t="str">
        <f>IF(NOT(ISBLANK(A369)),VLOOKUP(A369,'BBT3'!A:F,6,0),"")</f>
        <v>N</v>
      </c>
      <c r="G369">
        <f>IF(NOT(ISBLANK(A369)),VLOOKUP(A369,QW_Close!A:J,5,0),"")</f>
        <v>4.12648793033061E-2</v>
      </c>
      <c r="H369" s="5" cm="1">
        <f t="array" ref="H369">IF(NOT(ISBLANK(A369)),((_xlfn.XLOOKUP(1,(_bbt3[[#All],[ID]]=A369)*(_bbt3[[#All],[METRIC_NAME]]="YLD_YTM_ASK"),_bbt3[[#All],[METRIC_VALUE]])*0.5)+(_xlfn.XLOOKUP(1,(_bbt3[[#All],[ID]]=A369)*(_bbt3[[#All],[METRIC_NAME]]="YLD_YTM_BID"),_bbt3[[#All],[METRIC_VALUE]])*0.5))/100,"")</f>
        <v>4.1264886799999997E-2</v>
      </c>
      <c r="I369">
        <f>IF(ISNA(VLOOKUP(A369,QW_CloseDL!A:E,5,0)),0,VLOOKUP(A369,QW_CloseDL!A:E,5,0))</f>
        <v>4.12648793033061E-2</v>
      </c>
      <c r="J369" s="8">
        <f t="shared" si="25"/>
        <v>0</v>
      </c>
      <c r="P369">
        <v>0</v>
      </c>
      <c r="Q369" t="e">
        <f t="shared" si="26"/>
        <v>#N/A</v>
      </c>
      <c r="R369" t="e">
        <f t="shared" si="27"/>
        <v>#N/A</v>
      </c>
      <c r="S369" s="9" t="e">
        <f t="shared" si="28"/>
        <v>#N/A</v>
      </c>
      <c r="T369" s="3" t="e">
        <f t="shared" si="29"/>
        <v>#N/A</v>
      </c>
    </row>
    <row r="370" spans="1:20" x14ac:dyDescent="0.35">
      <c r="A370" t="str">
        <v>91282CFM8</v>
      </c>
      <c r="B370" t="str">
        <f>IF(NOT(ISBLANK(A370)),VLOOKUP(A370,'BBT3'!A:F,2,0),"")</f>
        <v>Bond</v>
      </c>
      <c r="C370" t="str">
        <f>IF(NOT(ISBLANK(A370)),VLOOKUP(A370,'BBT3'!A:F,3,0),"")</f>
        <v>US91282CFM82</v>
      </c>
      <c r="D370" s="6">
        <f>IF(NOT(ISBLANK(A370)),VLOOKUP(A370,'BBT3'!A:F,4,1),"")</f>
        <v>4.125</v>
      </c>
      <c r="E370">
        <f>IF(NOT(ISBLANK(A370)),VLOOKUP(A370,'BBT3'!A:F,5,0),"")</f>
        <v>46660</v>
      </c>
      <c r="F370" t="str">
        <f>IF(NOT(ISBLANK(A370)),VLOOKUP(A370,'BBT3'!A:F,6,0),"")</f>
        <v>N</v>
      </c>
      <c r="G370">
        <f>IF(NOT(ISBLANK(A370)),VLOOKUP(A370,QW_Close!A:J,5,0),"")</f>
        <v>3.9893892288514497E-2</v>
      </c>
      <c r="H370" s="5" cm="1">
        <f t="array" ref="H370">IF(NOT(ISBLANK(A370)),((_xlfn.XLOOKUP(1,(_bbt3[[#All],[ID]]=A370)*(_bbt3[[#All],[METRIC_NAME]]="YLD_YTM_ASK"),_bbt3[[#All],[METRIC_VALUE]])*0.5)+(_xlfn.XLOOKUP(1,(_bbt3[[#All],[ID]]=A370)*(_bbt3[[#All],[METRIC_NAME]]="YLD_YTM_BID"),_bbt3[[#All],[METRIC_VALUE]])*0.5))/100,"")</f>
        <v>3.98938998E-2</v>
      </c>
      <c r="I370">
        <f>IF(ISNA(VLOOKUP(A370,QW_CloseDL!A:E,5,0)),0,VLOOKUP(A370,QW_CloseDL!A:E,5,0))</f>
        <v>3.9893892288514497E-2</v>
      </c>
      <c r="J370" s="8">
        <f t="shared" si="25"/>
        <v>0</v>
      </c>
      <c r="P370">
        <v>0</v>
      </c>
      <c r="Q370" t="e">
        <f t="shared" si="26"/>
        <v>#N/A</v>
      </c>
      <c r="R370" t="e">
        <f t="shared" si="27"/>
        <v>#N/A</v>
      </c>
      <c r="S370" s="9" t="e">
        <f t="shared" si="28"/>
        <v>#N/A</v>
      </c>
      <c r="T370" s="3" t="e">
        <f t="shared" si="29"/>
        <v>#N/A</v>
      </c>
    </row>
    <row r="371" spans="1:20" x14ac:dyDescent="0.35">
      <c r="A371" t="str">
        <v>91282CFR7</v>
      </c>
      <c r="B371" t="str">
        <f>IF(NOT(ISBLANK(A371)),VLOOKUP(A371,'BBT3'!A:F,2,0),"")</f>
        <v>Bond</v>
      </c>
      <c r="C371" t="str">
        <f>IF(NOT(ISBLANK(A371)),VLOOKUP(A371,'BBT3'!A:F,3,0),"")</f>
        <v>US91282CFR79</v>
      </c>
      <c r="D371" s="6">
        <f>IF(NOT(ISBLANK(A371)),VLOOKUP(A371,'BBT3'!A:F,4,1),"")</f>
        <v>1.625</v>
      </c>
      <c r="E371">
        <f>IF(NOT(ISBLANK(A371)),VLOOKUP(A371,'BBT3'!A:F,5,0),"")</f>
        <v>46675</v>
      </c>
      <c r="F371" t="str">
        <f>IF(NOT(ISBLANK(A371)),VLOOKUP(A371,'BBT3'!A:F,6,0),"")</f>
        <v>Y</v>
      </c>
      <c r="G371">
        <f>IF(NOT(ISBLANK(A371)),VLOOKUP(A371,QW_Close!A:J,5,0),"")</f>
        <v>1.00169796111259E-2</v>
      </c>
      <c r="H371" s="5" t="e" cm="1">
        <f t="array" ref="H371">IF(NOT(ISBLANK(A371)),((_xlfn.XLOOKUP(1,(_bbt3[[#All],[ID]]=A371)*(_bbt3[[#All],[METRIC_NAME]]="YLD_YTM_ASK"),_bbt3[[#All],[METRIC_VALUE]])*0.5)+(_xlfn.XLOOKUP(1,(_bbt3[[#All],[ID]]=A371)*(_bbt3[[#All],[METRIC_NAME]]="YLD_YTM_BID"),_bbt3[[#All],[METRIC_VALUE]])*0.5))/100,"")</f>
        <v>#N/A</v>
      </c>
      <c r="I371">
        <f>IF(ISNA(VLOOKUP(A371,QW_CloseDL!A:E,5,0)),0,VLOOKUP(A371,QW_CloseDL!A:E,5,0))</f>
        <v>1.0017025694146401E-2</v>
      </c>
      <c r="J371" s="8">
        <f t="shared" si="25"/>
        <v>4.6083020500270466E-4</v>
      </c>
      <c r="P371">
        <v>0</v>
      </c>
      <c r="Q371" t="e">
        <f t="shared" si="26"/>
        <v>#N/A</v>
      </c>
      <c r="R371" t="e">
        <f t="shared" si="27"/>
        <v>#N/A</v>
      </c>
      <c r="S371" s="9" t="e">
        <f t="shared" si="28"/>
        <v>#N/A</v>
      </c>
      <c r="T371" s="3" t="e">
        <f t="shared" si="29"/>
        <v>#N/A</v>
      </c>
    </row>
    <row r="372" spans="1:20" x14ac:dyDescent="0.35">
      <c r="A372" t="str">
        <v>91282CFT3</v>
      </c>
      <c r="B372" t="str">
        <f>IF(NOT(ISBLANK(A372)),VLOOKUP(A372,'BBT3'!A:F,2,0),"")</f>
        <v>Bond</v>
      </c>
      <c r="C372" t="str">
        <f>IF(NOT(ISBLANK(A372)),VLOOKUP(A372,'BBT3'!A:F,3,0),"")</f>
        <v>US91282CFT36</v>
      </c>
      <c r="D372" s="6">
        <f>IF(NOT(ISBLANK(A372)),VLOOKUP(A372,'BBT3'!A:F,4,1),"")</f>
        <v>4</v>
      </c>
      <c r="E372">
        <f>IF(NOT(ISBLANK(A372)),VLOOKUP(A372,'BBT3'!A:F,5,0),"")</f>
        <v>47422</v>
      </c>
      <c r="F372" t="str">
        <f>IF(NOT(ISBLANK(A372)),VLOOKUP(A372,'BBT3'!A:F,6,0),"")</f>
        <v>N</v>
      </c>
      <c r="G372">
        <f>IF(NOT(ISBLANK(A372)),VLOOKUP(A372,QW_Close!A:J,5,0),"")</f>
        <v>4.1331772636808498E-2</v>
      </c>
      <c r="H372" s="5" cm="1">
        <f t="array" ref="H372">IF(NOT(ISBLANK(A372)),((_xlfn.XLOOKUP(1,(_bbt3[[#All],[ID]]=A372)*(_bbt3[[#All],[METRIC_NAME]]="YLD_YTM_ASK"),_bbt3[[#All],[METRIC_VALUE]])*0.5)+(_xlfn.XLOOKUP(1,(_bbt3[[#All],[ID]]=A372)*(_bbt3[[#All],[METRIC_NAME]]="YLD_YTM_BID"),_bbt3[[#All],[METRIC_VALUE]])*0.5))/100,"")</f>
        <v>4.1331783099999998E-2</v>
      </c>
      <c r="I372">
        <f>IF(ISNA(VLOOKUP(A372,QW_CloseDL!A:E,5,0)),0,VLOOKUP(A372,QW_CloseDL!A:E,5,0))</f>
        <v>4.1331772636808498E-2</v>
      </c>
      <c r="J372" s="8">
        <f t="shared" si="25"/>
        <v>0</v>
      </c>
      <c r="P372">
        <v>0</v>
      </c>
      <c r="Q372" t="e">
        <f t="shared" si="26"/>
        <v>#N/A</v>
      </c>
      <c r="R372" t="e">
        <f t="shared" si="27"/>
        <v>#N/A</v>
      </c>
      <c r="S372" s="9" t="e">
        <f t="shared" si="28"/>
        <v>#N/A</v>
      </c>
      <c r="T372" s="3" t="e">
        <f t="shared" si="29"/>
        <v>#N/A</v>
      </c>
    </row>
    <row r="373" spans="1:20" x14ac:dyDescent="0.35">
      <c r="A373" t="str">
        <v>91282CFU0</v>
      </c>
      <c r="B373" t="str">
        <f>IF(NOT(ISBLANK(A373)),VLOOKUP(A373,'BBT3'!A:F,2,0),"")</f>
        <v>Bond</v>
      </c>
      <c r="C373" t="str">
        <f>IF(NOT(ISBLANK(A373)),VLOOKUP(A373,'BBT3'!A:F,3,0),"")</f>
        <v>US91282CFU09</v>
      </c>
      <c r="D373" s="6">
        <f>IF(NOT(ISBLANK(A373)),VLOOKUP(A373,'BBT3'!A:F,4,1),"")</f>
        <v>4.125</v>
      </c>
      <c r="E373">
        <f>IF(NOT(ISBLANK(A373)),VLOOKUP(A373,'BBT3'!A:F,5,0),"")</f>
        <v>46691</v>
      </c>
      <c r="F373" t="str">
        <f>IF(NOT(ISBLANK(A373)),VLOOKUP(A373,'BBT3'!A:F,6,0),"")</f>
        <v>N</v>
      </c>
      <c r="G373">
        <f>IF(NOT(ISBLANK(A373)),VLOOKUP(A373,QW_Close!A:J,5,0),"")</f>
        <v>4.0112466361969301E-2</v>
      </c>
      <c r="H373" s="5" cm="1">
        <f t="array" ref="H373">IF(NOT(ISBLANK(A373)),((_xlfn.XLOOKUP(1,(_bbt3[[#All],[ID]]=A373)*(_bbt3[[#All],[METRIC_NAME]]="YLD_YTM_ASK"),_bbt3[[#All],[METRIC_VALUE]])*0.5)+(_xlfn.XLOOKUP(1,(_bbt3[[#All],[ID]]=A373)*(_bbt3[[#All],[METRIC_NAME]]="YLD_YTM_BID"),_bbt3[[#All],[METRIC_VALUE]])*0.5))/100,"")</f>
        <v>4.0112471199999999E-2</v>
      </c>
      <c r="I373">
        <f>IF(ISNA(VLOOKUP(A373,QW_CloseDL!A:E,5,0)),0,VLOOKUP(A373,QW_CloseDL!A:E,5,0))</f>
        <v>4.0112466361969301E-2</v>
      </c>
      <c r="J373" s="8">
        <f t="shared" si="25"/>
        <v>0</v>
      </c>
      <c r="P373">
        <v>0</v>
      </c>
      <c r="Q373" t="e">
        <f t="shared" si="26"/>
        <v>#N/A</v>
      </c>
      <c r="R373" t="e">
        <f t="shared" si="27"/>
        <v>#N/A</v>
      </c>
      <c r="S373" s="9" t="e">
        <f t="shared" si="28"/>
        <v>#N/A</v>
      </c>
      <c r="T373" s="3" t="e">
        <f t="shared" si="29"/>
        <v>#N/A</v>
      </c>
    </row>
    <row r="374" spans="1:20" x14ac:dyDescent="0.35">
      <c r="A374" t="str">
        <v>91282CFV8</v>
      </c>
      <c r="B374" t="str">
        <f>IF(NOT(ISBLANK(A374)),VLOOKUP(A374,'BBT3'!A:F,2,0),"")</f>
        <v>Bond</v>
      </c>
      <c r="C374" t="str">
        <f>IF(NOT(ISBLANK(A374)),VLOOKUP(A374,'BBT3'!A:F,3,0),"")</f>
        <v>US91282CFV81</v>
      </c>
      <c r="D374" s="6">
        <f>IF(NOT(ISBLANK(A374)),VLOOKUP(A374,'BBT3'!A:F,4,1),"")</f>
        <v>4.125</v>
      </c>
      <c r="E374">
        <f>IF(NOT(ISBLANK(A374)),VLOOKUP(A374,'BBT3'!A:F,5,0),"")</f>
        <v>48533</v>
      </c>
      <c r="F374" t="str">
        <f>IF(NOT(ISBLANK(A374)),VLOOKUP(A374,'BBT3'!A:F,6,0),"")</f>
        <v>N</v>
      </c>
      <c r="G374">
        <f>IF(NOT(ISBLANK(A374)),VLOOKUP(A374,QW_Close!A:J,5,0),"")</f>
        <v>4.2948197451127303E-2</v>
      </c>
      <c r="H374" s="5" cm="1">
        <f t="array" ref="H374">IF(NOT(ISBLANK(A374)),((_xlfn.XLOOKUP(1,(_bbt3[[#All],[ID]]=A374)*(_bbt3[[#All],[METRIC_NAME]]="YLD_YTM_ASK"),_bbt3[[#All],[METRIC_VALUE]])*0.5)+(_xlfn.XLOOKUP(1,(_bbt3[[#All],[ID]]=A374)*(_bbt3[[#All],[METRIC_NAME]]="YLD_YTM_BID"),_bbt3[[#All],[METRIC_VALUE]])*0.5))/100,"")</f>
        <v>4.2948201499999998E-2</v>
      </c>
      <c r="I374">
        <f>IF(ISNA(VLOOKUP(A374,QW_CloseDL!A:E,5,0)),0,VLOOKUP(A374,QW_CloseDL!A:E,5,0))</f>
        <v>4.2948197451127303E-2</v>
      </c>
      <c r="J374" s="8">
        <f t="shared" si="25"/>
        <v>0</v>
      </c>
      <c r="P374">
        <v>0</v>
      </c>
      <c r="Q374" t="e">
        <f t="shared" si="26"/>
        <v>#N/A</v>
      </c>
      <c r="R374" t="e">
        <f t="shared" si="27"/>
        <v>#N/A</v>
      </c>
      <c r="S374" s="9" t="e">
        <f t="shared" si="28"/>
        <v>#N/A</v>
      </c>
      <c r="T374" s="3" t="e">
        <f t="shared" si="29"/>
        <v>#N/A</v>
      </c>
    </row>
    <row r="375" spans="1:20" x14ac:dyDescent="0.35">
      <c r="A375" t="str">
        <v>91282CFY2</v>
      </c>
      <c r="B375" t="str">
        <f>IF(NOT(ISBLANK(A375)),VLOOKUP(A375,'BBT3'!A:F,2,0),"")</f>
        <v>Bond</v>
      </c>
      <c r="C375" t="str">
        <f>IF(NOT(ISBLANK(A375)),VLOOKUP(A375,'BBT3'!A:F,3,0),"")</f>
        <v>US91282CFY21</v>
      </c>
      <c r="D375" s="6">
        <f>IF(NOT(ISBLANK(A375)),VLOOKUP(A375,'BBT3'!A:F,4,1),"")</f>
        <v>3.875</v>
      </c>
      <c r="E375">
        <f>IF(NOT(ISBLANK(A375)),VLOOKUP(A375,'BBT3'!A:F,5,0),"")</f>
        <v>47452</v>
      </c>
      <c r="F375" t="str">
        <f>IF(NOT(ISBLANK(A375)),VLOOKUP(A375,'BBT3'!A:F,6,0),"")</f>
        <v>N</v>
      </c>
      <c r="G375">
        <f>IF(NOT(ISBLANK(A375)),VLOOKUP(A375,QW_Close!A:J,5,0),"")</f>
        <v>4.1335542201028301E-2</v>
      </c>
      <c r="H375" s="5" cm="1">
        <f t="array" ref="H375">IF(NOT(ISBLANK(A375)),((_xlfn.XLOOKUP(1,(_bbt3[[#All],[ID]]=A375)*(_bbt3[[#All],[METRIC_NAME]]="YLD_YTM_ASK"),_bbt3[[#All],[METRIC_VALUE]])*0.5)+(_xlfn.XLOOKUP(1,(_bbt3[[#All],[ID]]=A375)*(_bbt3[[#All],[METRIC_NAME]]="YLD_YTM_BID"),_bbt3[[#All],[METRIC_VALUE]])*0.5))/100,"")</f>
        <v>4.133554930000001E-2</v>
      </c>
      <c r="I375">
        <f>IF(ISNA(VLOOKUP(A375,QW_CloseDL!A:E,5,0)),0,VLOOKUP(A375,QW_CloseDL!A:E,5,0))</f>
        <v>4.1335542201028301E-2</v>
      </c>
      <c r="J375" s="8">
        <f t="shared" si="25"/>
        <v>0</v>
      </c>
      <c r="P375">
        <v>0</v>
      </c>
      <c r="Q375" t="e">
        <f t="shared" si="26"/>
        <v>#N/A</v>
      </c>
      <c r="R375" t="e">
        <f t="shared" si="27"/>
        <v>#N/A</v>
      </c>
      <c r="S375" s="9" t="e">
        <f t="shared" si="28"/>
        <v>#N/A</v>
      </c>
      <c r="T375" s="3" t="e">
        <f t="shared" si="29"/>
        <v>#N/A</v>
      </c>
    </row>
    <row r="376" spans="1:20" x14ac:dyDescent="0.35">
      <c r="A376" t="str">
        <v>91282CFZ9</v>
      </c>
      <c r="B376" t="str">
        <f>IF(NOT(ISBLANK(A376)),VLOOKUP(A376,'BBT3'!A:F,2,0),"")</f>
        <v>Bond</v>
      </c>
      <c r="C376" t="str">
        <f>IF(NOT(ISBLANK(A376)),VLOOKUP(A376,'BBT3'!A:F,3,0),"")</f>
        <v>US91282CFZ95</v>
      </c>
      <c r="D376" s="6">
        <f>IF(NOT(ISBLANK(A376)),VLOOKUP(A376,'BBT3'!A:F,4,1),"")</f>
        <v>3.875</v>
      </c>
      <c r="E376">
        <f>IF(NOT(ISBLANK(A376)),VLOOKUP(A376,'BBT3'!A:F,5,0),"")</f>
        <v>46721</v>
      </c>
      <c r="F376" t="str">
        <f>IF(NOT(ISBLANK(A376)),VLOOKUP(A376,'BBT3'!A:F,6,0),"")</f>
        <v>N</v>
      </c>
      <c r="G376">
        <f>IF(NOT(ISBLANK(A376)),VLOOKUP(A376,QW_Close!A:J,5,0),"")</f>
        <v>4.0208975897648602E-2</v>
      </c>
      <c r="H376" s="5" cm="1">
        <f t="array" ref="H376">IF(NOT(ISBLANK(A376)),((_xlfn.XLOOKUP(1,(_bbt3[[#All],[ID]]=A376)*(_bbt3[[#All],[METRIC_NAME]]="YLD_YTM_ASK"),_bbt3[[#All],[METRIC_VALUE]])*0.5)+(_xlfn.XLOOKUP(1,(_bbt3[[#All],[ID]]=A376)*(_bbt3[[#All],[METRIC_NAME]]="YLD_YTM_BID"),_bbt3[[#All],[METRIC_VALUE]])*0.5))/100,"")</f>
        <v>4.0208980450000001E-2</v>
      </c>
      <c r="I376">
        <f>IF(ISNA(VLOOKUP(A376,QW_CloseDL!A:E,5,0)),0,VLOOKUP(A376,QW_CloseDL!A:E,5,0))</f>
        <v>4.0208975897648602E-2</v>
      </c>
      <c r="J376" s="8">
        <f t="shared" si="25"/>
        <v>0</v>
      </c>
      <c r="P376">
        <v>0</v>
      </c>
      <c r="Q376" t="e">
        <f t="shared" si="26"/>
        <v>#N/A</v>
      </c>
      <c r="R376" t="e">
        <f t="shared" si="27"/>
        <v>#N/A</v>
      </c>
      <c r="S376" s="9" t="e">
        <f t="shared" si="28"/>
        <v>#N/A</v>
      </c>
      <c r="T376" s="3" t="e">
        <f t="shared" si="29"/>
        <v>#N/A</v>
      </c>
    </row>
    <row r="377" spans="1:20" x14ac:dyDescent="0.35">
      <c r="A377" t="str">
        <v>91282CGB1</v>
      </c>
      <c r="B377" t="str">
        <f>IF(NOT(ISBLANK(A377)),VLOOKUP(A377,'BBT3'!A:F,2,0),"")</f>
        <v>Bond</v>
      </c>
      <c r="C377" t="str">
        <f>IF(NOT(ISBLANK(A377)),VLOOKUP(A377,'BBT3'!A:F,3,0),"")</f>
        <v>US91282CGB19</v>
      </c>
      <c r="D377" s="6">
        <f>IF(NOT(ISBLANK(A377)),VLOOKUP(A377,'BBT3'!A:F,4,1),"")</f>
        <v>3.875</v>
      </c>
      <c r="E377">
        <f>IF(NOT(ISBLANK(A377)),VLOOKUP(A377,'BBT3'!A:F,5,0),"")</f>
        <v>47483</v>
      </c>
      <c r="F377" t="str">
        <f>IF(NOT(ISBLANK(A377)),VLOOKUP(A377,'BBT3'!A:F,6,0),"")</f>
        <v>N</v>
      </c>
      <c r="G377">
        <f>IF(NOT(ISBLANK(A377)),VLOOKUP(A377,QW_Close!A:J,5,0),"")</f>
        <v>4.1429163382419303E-2</v>
      </c>
      <c r="H377" s="5" cm="1">
        <f t="array" ref="H377">IF(NOT(ISBLANK(A377)),((_xlfn.XLOOKUP(1,(_bbt3[[#All],[ID]]=A377)*(_bbt3[[#All],[METRIC_NAME]]="YLD_YTM_ASK"),_bbt3[[#All],[METRIC_VALUE]])*0.5)+(_xlfn.XLOOKUP(1,(_bbt3[[#All],[ID]]=A377)*(_bbt3[[#All],[METRIC_NAME]]="YLD_YTM_BID"),_bbt3[[#All],[METRIC_VALUE]])*0.5))/100,"")</f>
        <v>4.1429168000000002E-2</v>
      </c>
      <c r="I377">
        <f>IF(ISNA(VLOOKUP(A377,QW_CloseDL!A:E,5,0)),0,VLOOKUP(A377,QW_CloseDL!A:E,5,0))</f>
        <v>4.1429163382419303E-2</v>
      </c>
      <c r="J377" s="8">
        <f t="shared" si="25"/>
        <v>0</v>
      </c>
      <c r="P377">
        <v>0</v>
      </c>
      <c r="Q377" t="e">
        <f t="shared" si="26"/>
        <v>#N/A</v>
      </c>
      <c r="R377" t="e">
        <f t="shared" si="27"/>
        <v>#N/A</v>
      </c>
      <c r="S377" s="9" t="e">
        <f t="shared" si="28"/>
        <v>#N/A</v>
      </c>
      <c r="T377" s="3" t="e">
        <f t="shared" si="29"/>
        <v>#N/A</v>
      </c>
    </row>
    <row r="378" spans="1:20" x14ac:dyDescent="0.35">
      <c r="A378" t="str">
        <v>91282CGC9</v>
      </c>
      <c r="B378" t="str">
        <f>IF(NOT(ISBLANK(A378)),VLOOKUP(A378,'BBT3'!A:F,2,0),"")</f>
        <v>Bond</v>
      </c>
      <c r="C378" t="str">
        <f>IF(NOT(ISBLANK(A378)),VLOOKUP(A378,'BBT3'!A:F,3,0),"")</f>
        <v>US91282CGC91</v>
      </c>
      <c r="D378" s="6">
        <f>IF(NOT(ISBLANK(A378)),VLOOKUP(A378,'BBT3'!A:F,4,1),"")</f>
        <v>3.875</v>
      </c>
      <c r="E378">
        <f>IF(NOT(ISBLANK(A378)),VLOOKUP(A378,'BBT3'!A:F,5,0),"")</f>
        <v>46752</v>
      </c>
      <c r="F378" t="str">
        <f>IF(NOT(ISBLANK(A378)),VLOOKUP(A378,'BBT3'!A:F,6,0),"")</f>
        <v>N</v>
      </c>
      <c r="G378">
        <f>IF(NOT(ISBLANK(A378)),VLOOKUP(A378,QW_Close!A:J,5,0),"")</f>
        <v>4.0343065838907399E-2</v>
      </c>
      <c r="H378" s="5" cm="1">
        <f t="array" ref="H378">IF(NOT(ISBLANK(A378)),((_xlfn.XLOOKUP(1,(_bbt3[[#All],[ID]]=A378)*(_bbt3[[#All],[METRIC_NAME]]="YLD_YTM_ASK"),_bbt3[[#All],[METRIC_VALUE]])*0.5)+(_xlfn.XLOOKUP(1,(_bbt3[[#All],[ID]]=A378)*(_bbt3[[#All],[METRIC_NAME]]="YLD_YTM_BID"),_bbt3[[#All],[METRIC_VALUE]])*0.5))/100,"")</f>
        <v>4.0343068500000002E-2</v>
      </c>
      <c r="I378">
        <f>IF(ISNA(VLOOKUP(A378,QW_CloseDL!A:E,5,0)),0,VLOOKUP(A378,QW_CloseDL!A:E,5,0))</f>
        <v>4.0343065838907399E-2</v>
      </c>
      <c r="J378" s="8">
        <f t="shared" si="25"/>
        <v>0</v>
      </c>
      <c r="P378">
        <v>0</v>
      </c>
      <c r="Q378" t="e">
        <f t="shared" si="26"/>
        <v>#N/A</v>
      </c>
      <c r="R378" t="e">
        <f t="shared" si="27"/>
        <v>#N/A</v>
      </c>
      <c r="S378" s="9" t="e">
        <f t="shared" si="28"/>
        <v>#N/A</v>
      </c>
      <c r="T378" s="3" t="e">
        <f t="shared" si="29"/>
        <v>#N/A</v>
      </c>
    </row>
    <row r="379" spans="1:20" x14ac:dyDescent="0.35">
      <c r="A379" t="str">
        <v>91282CGH8</v>
      </c>
      <c r="B379" t="str">
        <f>IF(NOT(ISBLANK(A379)),VLOOKUP(A379,'BBT3'!A:F,2,0),"")</f>
        <v>Bond</v>
      </c>
      <c r="C379" t="str">
        <f>IF(NOT(ISBLANK(A379)),VLOOKUP(A379,'BBT3'!A:F,3,0),"")</f>
        <v>US91282CGH88</v>
      </c>
      <c r="D379" s="6">
        <f>IF(NOT(ISBLANK(A379)),VLOOKUP(A379,'BBT3'!A:F,4,1),"")</f>
        <v>3.5</v>
      </c>
      <c r="E379">
        <f>IF(NOT(ISBLANK(A379)),VLOOKUP(A379,'BBT3'!A:F,5,0),"")</f>
        <v>46783</v>
      </c>
      <c r="F379" t="str">
        <f>IF(NOT(ISBLANK(A379)),VLOOKUP(A379,'BBT3'!A:F,6,0),"")</f>
        <v>N</v>
      </c>
      <c r="G379">
        <f>IF(NOT(ISBLANK(A379)),VLOOKUP(A379,QW_Close!A:J,5,0),"")</f>
        <v>4.03853278221619E-2</v>
      </c>
      <c r="H379" s="5" cm="1">
        <f t="array" ref="H379">IF(NOT(ISBLANK(A379)),((_xlfn.XLOOKUP(1,(_bbt3[[#All],[ID]]=A379)*(_bbt3[[#All],[METRIC_NAME]]="YLD_YTM_ASK"),_bbt3[[#All],[METRIC_VALUE]])*0.5)+(_xlfn.XLOOKUP(1,(_bbt3[[#All],[ID]]=A379)*(_bbt3[[#All],[METRIC_NAME]]="YLD_YTM_BID"),_bbt3[[#All],[METRIC_VALUE]])*0.5))/100,"")</f>
        <v>4.0385329250000004E-2</v>
      </c>
      <c r="I379">
        <f>IF(ISNA(VLOOKUP(A379,QW_CloseDL!A:E,5,0)),0,VLOOKUP(A379,QW_CloseDL!A:E,5,0))</f>
        <v>4.03853278221619E-2</v>
      </c>
      <c r="J379" s="8">
        <f t="shared" si="25"/>
        <v>0</v>
      </c>
      <c r="P379">
        <v>0</v>
      </c>
      <c r="Q379" t="e">
        <f t="shared" si="26"/>
        <v>#N/A</v>
      </c>
      <c r="R379" t="e">
        <f t="shared" si="27"/>
        <v>#N/A</v>
      </c>
      <c r="S379" s="9" t="e">
        <f t="shared" si="28"/>
        <v>#N/A</v>
      </c>
      <c r="T379" s="3" t="e">
        <f t="shared" si="29"/>
        <v>#N/A</v>
      </c>
    </row>
    <row r="380" spans="1:20" x14ac:dyDescent="0.35">
      <c r="A380" t="str">
        <v>91282CGJ4</v>
      </c>
      <c r="B380" t="str">
        <f>IF(NOT(ISBLANK(A380)),VLOOKUP(A380,'BBT3'!A:F,2,0),"")</f>
        <v>Bond</v>
      </c>
      <c r="C380" t="str">
        <f>IF(NOT(ISBLANK(A380)),VLOOKUP(A380,'BBT3'!A:F,3,0),"")</f>
        <v>US91282CGJ45</v>
      </c>
      <c r="D380" s="6">
        <f>IF(NOT(ISBLANK(A380)),VLOOKUP(A380,'BBT3'!A:F,4,1),"")</f>
        <v>3.5</v>
      </c>
      <c r="E380">
        <f>IF(NOT(ISBLANK(A380)),VLOOKUP(A380,'BBT3'!A:F,5,0),"")</f>
        <v>47514</v>
      </c>
      <c r="F380" t="str">
        <f>IF(NOT(ISBLANK(A380)),VLOOKUP(A380,'BBT3'!A:F,6,0),"")</f>
        <v>N</v>
      </c>
      <c r="G380">
        <f>IF(NOT(ISBLANK(A380)),VLOOKUP(A380,QW_Close!A:J,5,0),"")</f>
        <v>4.1477606380531301E-2</v>
      </c>
      <c r="H380" s="5" cm="1">
        <f t="array" ref="H380">IF(NOT(ISBLANK(A380)),((_xlfn.XLOOKUP(1,(_bbt3[[#All],[ID]]=A380)*(_bbt3[[#All],[METRIC_NAME]]="YLD_YTM_ASK"),_bbt3[[#All],[METRIC_VALUE]])*0.5)+(_xlfn.XLOOKUP(1,(_bbt3[[#All],[ID]]=A380)*(_bbt3[[#All],[METRIC_NAME]]="YLD_YTM_BID"),_bbt3[[#All],[METRIC_VALUE]])*0.5))/100,"")</f>
        <v>4.1477610849999999E-2</v>
      </c>
      <c r="I380">
        <f>IF(ISNA(VLOOKUP(A380,QW_CloseDL!A:E,5,0)),0,VLOOKUP(A380,QW_CloseDL!A:E,5,0))</f>
        <v>4.1477606380531301E-2</v>
      </c>
      <c r="J380" s="8">
        <f t="shared" si="25"/>
        <v>0</v>
      </c>
      <c r="P380">
        <v>0</v>
      </c>
      <c r="Q380" t="e">
        <f t="shared" si="26"/>
        <v>#N/A</v>
      </c>
      <c r="R380" t="e">
        <f t="shared" si="27"/>
        <v>#N/A</v>
      </c>
      <c r="S380" s="9" t="e">
        <f t="shared" si="28"/>
        <v>#N/A</v>
      </c>
      <c r="T380" s="3" t="e">
        <f t="shared" si="29"/>
        <v>#N/A</v>
      </c>
    </row>
    <row r="381" spans="1:20" x14ac:dyDescent="0.35">
      <c r="A381" t="str">
        <v>91282CGK1</v>
      </c>
      <c r="B381" t="str">
        <f>IF(NOT(ISBLANK(A381)),VLOOKUP(A381,'BBT3'!A:F,2,0),"")</f>
        <v>Bond</v>
      </c>
      <c r="C381" t="str">
        <f>IF(NOT(ISBLANK(A381)),VLOOKUP(A381,'BBT3'!A:F,3,0),"")</f>
        <v>US91282CGK18</v>
      </c>
      <c r="D381" s="6">
        <f>IF(NOT(ISBLANK(A381)),VLOOKUP(A381,'BBT3'!A:F,4,1),"")</f>
        <v>1.125</v>
      </c>
      <c r="E381">
        <f>IF(NOT(ISBLANK(A381)),VLOOKUP(A381,'BBT3'!A:F,5,0),"")</f>
        <v>48594</v>
      </c>
      <c r="F381" t="str">
        <f>IF(NOT(ISBLANK(A381)),VLOOKUP(A381,'BBT3'!A:F,6,0),"")</f>
        <v>Y</v>
      </c>
      <c r="G381">
        <f>IF(NOT(ISBLANK(A381)),VLOOKUP(A381,QW_Close!A:J,5,0),"")</f>
        <v>1.8319193016034099E-2</v>
      </c>
      <c r="H381" s="5" cm="1">
        <f t="array" ref="H381">IF(NOT(ISBLANK(A381)),((_xlfn.XLOOKUP(1,(_bbt3[[#All],[ID]]=A381)*(_bbt3[[#All],[METRIC_NAME]]="YLD_YTM_ASK"),_bbt3[[#All],[METRIC_VALUE]])*0.5)+(_xlfn.XLOOKUP(1,(_bbt3[[#All],[ID]]=A381)*(_bbt3[[#All],[METRIC_NAME]]="YLD_YTM_BID"),_bbt3[[#All],[METRIC_VALUE]])*0.5))/100,"")</f>
        <v>1.831920645E-2</v>
      </c>
      <c r="I381">
        <f>IF(ISNA(VLOOKUP(A381,QW_CloseDL!A:E,5,0)),0,VLOOKUP(A381,QW_CloseDL!A:E,5,0))</f>
        <v>1.83191971496557E-2</v>
      </c>
      <c r="J381" s="8">
        <f t="shared" si="25"/>
        <v>4.1336216012599625E-5</v>
      </c>
      <c r="P381">
        <v>0</v>
      </c>
      <c r="Q381" t="e">
        <f t="shared" si="26"/>
        <v>#N/A</v>
      </c>
      <c r="R381" t="e">
        <f t="shared" si="27"/>
        <v>#N/A</v>
      </c>
      <c r="S381" s="9" t="e">
        <f t="shared" si="28"/>
        <v>#N/A</v>
      </c>
      <c r="T381" s="3" t="e">
        <f t="shared" si="29"/>
        <v>#N/A</v>
      </c>
    </row>
    <row r="382" spans="1:20" x14ac:dyDescent="0.35">
      <c r="A382" t="str">
        <v>91282CGM7</v>
      </c>
      <c r="B382" t="str">
        <f>IF(NOT(ISBLANK(A382)),VLOOKUP(A382,'BBT3'!A:F,2,0),"")</f>
        <v>Bond</v>
      </c>
      <c r="C382" t="str">
        <f>IF(NOT(ISBLANK(A382)),VLOOKUP(A382,'BBT3'!A:F,3,0),"")</f>
        <v>US91282CGM73</v>
      </c>
      <c r="D382" s="6">
        <f>IF(NOT(ISBLANK(A382)),VLOOKUP(A382,'BBT3'!A:F,4,1),"")</f>
        <v>3.5</v>
      </c>
      <c r="E382">
        <f>IF(NOT(ISBLANK(A382)),VLOOKUP(A382,'BBT3'!A:F,5,0),"")</f>
        <v>48625</v>
      </c>
      <c r="F382" t="str">
        <f>IF(NOT(ISBLANK(A382)),VLOOKUP(A382,'BBT3'!A:F,6,0),"")</f>
        <v>N</v>
      </c>
      <c r="G382">
        <f>IF(NOT(ISBLANK(A382)),VLOOKUP(A382,QW_Close!A:J,5,0),"")</f>
        <v>4.3168449170774399E-2</v>
      </c>
      <c r="H382" s="5" cm="1">
        <f t="array" ref="H382">IF(NOT(ISBLANK(A382)),((_xlfn.XLOOKUP(1,(_bbt3[[#All],[ID]]=A382)*(_bbt3[[#All],[METRIC_NAME]]="YLD_YTM_ASK"),_bbt3[[#All],[METRIC_VALUE]])*0.5)+(_xlfn.XLOOKUP(1,(_bbt3[[#All],[ID]]=A382)*(_bbt3[[#All],[METRIC_NAME]]="YLD_YTM_BID"),_bbt3[[#All],[METRIC_VALUE]])*0.5))/100,"")</f>
        <v>4.3168451799999993E-2</v>
      </c>
      <c r="I382">
        <f>IF(ISNA(VLOOKUP(A382,QW_CloseDL!A:E,5,0)),0,VLOOKUP(A382,QW_CloseDL!A:E,5,0))</f>
        <v>4.3168449170774399E-2</v>
      </c>
      <c r="J382" s="8">
        <f t="shared" si="25"/>
        <v>0</v>
      </c>
      <c r="P382">
        <v>0</v>
      </c>
      <c r="Q382" t="e">
        <f t="shared" si="26"/>
        <v>#N/A</v>
      </c>
      <c r="R382" t="e">
        <f t="shared" si="27"/>
        <v>#N/A</v>
      </c>
      <c r="S382" s="9" t="e">
        <f t="shared" si="28"/>
        <v>#N/A</v>
      </c>
      <c r="T382" s="3" t="e">
        <f t="shared" si="29"/>
        <v>#N/A</v>
      </c>
    </row>
    <row r="383" spans="1:20" x14ac:dyDescent="0.35">
      <c r="A383" t="str">
        <v>91282CGP0</v>
      </c>
      <c r="B383" t="str">
        <f>IF(NOT(ISBLANK(A383)),VLOOKUP(A383,'BBT3'!A:F,2,0),"")</f>
        <v>Bond</v>
      </c>
      <c r="C383" t="str">
        <f>IF(NOT(ISBLANK(A383)),VLOOKUP(A383,'BBT3'!A:F,3,0),"")</f>
        <v>US91282CGP05</v>
      </c>
      <c r="D383" s="6">
        <f>IF(NOT(ISBLANK(A383)),VLOOKUP(A383,'BBT3'!A:F,4,1),"")</f>
        <v>4</v>
      </c>
      <c r="E383">
        <f>IF(NOT(ISBLANK(A383)),VLOOKUP(A383,'BBT3'!A:F,5,0),"")</f>
        <v>46812</v>
      </c>
      <c r="F383" t="str">
        <f>IF(NOT(ISBLANK(A383)),VLOOKUP(A383,'BBT3'!A:F,6,0),"")</f>
        <v>N</v>
      </c>
      <c r="G383">
        <f>IF(NOT(ISBLANK(A383)),VLOOKUP(A383,QW_Close!A:J,5,0),"")</f>
        <v>4.0381597957861101E-2</v>
      </c>
      <c r="H383" s="5" cm="1">
        <f t="array" ref="H383">IF(NOT(ISBLANK(A383)),((_xlfn.XLOOKUP(1,(_bbt3[[#All],[ID]]=A383)*(_bbt3[[#All],[METRIC_NAME]]="YLD_YTM_ASK"),_bbt3[[#All],[METRIC_VALUE]])*0.5)+(_xlfn.XLOOKUP(1,(_bbt3[[#All],[ID]]=A383)*(_bbt3[[#All],[METRIC_NAME]]="YLD_YTM_BID"),_bbt3[[#All],[METRIC_VALUE]])*0.5))/100,"")</f>
        <v>4.0381602000000003E-2</v>
      </c>
      <c r="I383">
        <f>IF(ISNA(VLOOKUP(A383,QW_CloseDL!A:E,5,0)),0,VLOOKUP(A383,QW_CloseDL!A:E,5,0))</f>
        <v>4.0381597957861101E-2</v>
      </c>
      <c r="J383" s="8">
        <f t="shared" si="25"/>
        <v>0</v>
      </c>
      <c r="P383">
        <v>0</v>
      </c>
      <c r="Q383" t="e">
        <f t="shared" si="26"/>
        <v>#N/A</v>
      </c>
      <c r="R383" t="e">
        <f t="shared" si="27"/>
        <v>#N/A</v>
      </c>
      <c r="S383" s="9" t="e">
        <f t="shared" si="28"/>
        <v>#N/A</v>
      </c>
      <c r="T383" s="3" t="e">
        <f t="shared" si="29"/>
        <v>#N/A</v>
      </c>
    </row>
    <row r="384" spans="1:20" x14ac:dyDescent="0.35">
      <c r="A384" t="str">
        <v>91282CGQ8</v>
      </c>
      <c r="B384" t="str">
        <f>IF(NOT(ISBLANK(A384)),VLOOKUP(A384,'BBT3'!A:F,2,0),"")</f>
        <v>Bond</v>
      </c>
      <c r="C384" t="str">
        <f>IF(NOT(ISBLANK(A384)),VLOOKUP(A384,'BBT3'!A:F,3,0),"")</f>
        <v>US91282CGQ87</v>
      </c>
      <c r="D384" s="6">
        <f>IF(NOT(ISBLANK(A384)),VLOOKUP(A384,'BBT3'!A:F,4,1),"")</f>
        <v>4</v>
      </c>
      <c r="E384">
        <f>IF(NOT(ISBLANK(A384)),VLOOKUP(A384,'BBT3'!A:F,5,0),"")</f>
        <v>47542</v>
      </c>
      <c r="F384" t="str">
        <f>IF(NOT(ISBLANK(A384)),VLOOKUP(A384,'BBT3'!A:F,6,0),"")</f>
        <v>N</v>
      </c>
      <c r="G384">
        <f>IF(NOT(ISBLANK(A384)),VLOOKUP(A384,QW_Close!A:J,5,0),"")</f>
        <v>4.1431918540427E-2</v>
      </c>
      <c r="H384" s="5" cm="1">
        <f t="array" ref="H384">IF(NOT(ISBLANK(A384)),((_xlfn.XLOOKUP(1,(_bbt3[[#All],[ID]]=A384)*(_bbt3[[#All],[METRIC_NAME]]="YLD_YTM_ASK"),_bbt3[[#All],[METRIC_VALUE]])*0.5)+(_xlfn.XLOOKUP(1,(_bbt3[[#All],[ID]]=A384)*(_bbt3[[#All],[METRIC_NAME]]="YLD_YTM_BID"),_bbt3[[#All],[METRIC_VALUE]])*0.5))/100,"")</f>
        <v>4.1431920899999995E-2</v>
      </c>
      <c r="I384">
        <f>IF(ISNA(VLOOKUP(A384,QW_CloseDL!A:E,5,0)),0,VLOOKUP(A384,QW_CloseDL!A:E,5,0))</f>
        <v>4.1431918540427E-2</v>
      </c>
      <c r="J384" s="8">
        <f t="shared" si="25"/>
        <v>0</v>
      </c>
      <c r="P384">
        <v>0</v>
      </c>
      <c r="Q384" t="e">
        <f t="shared" si="26"/>
        <v>#N/A</v>
      </c>
      <c r="R384" t="e">
        <f t="shared" si="27"/>
        <v>#N/A</v>
      </c>
      <c r="S384" s="9" t="e">
        <f t="shared" si="28"/>
        <v>#N/A</v>
      </c>
      <c r="T384" s="3" t="e">
        <f t="shared" si="29"/>
        <v>#N/A</v>
      </c>
    </row>
    <row r="385" spans="1:20" x14ac:dyDescent="0.35">
      <c r="A385" t="str">
        <v>91282CGS4</v>
      </c>
      <c r="B385" t="str">
        <f>IF(NOT(ISBLANK(A385)),VLOOKUP(A385,'BBT3'!A:F,2,0),"")</f>
        <v>Bond</v>
      </c>
      <c r="C385" t="str">
        <f>IF(NOT(ISBLANK(A385)),VLOOKUP(A385,'BBT3'!A:F,3,0),"")</f>
        <v>US91282CGS44</v>
      </c>
      <c r="D385" s="6">
        <f>IF(NOT(ISBLANK(A385)),VLOOKUP(A385,'BBT3'!A:F,4,1),"")</f>
        <v>3.625</v>
      </c>
      <c r="E385">
        <f>IF(NOT(ISBLANK(A385)),VLOOKUP(A385,'BBT3'!A:F,5,0),"")</f>
        <v>47573</v>
      </c>
      <c r="F385" t="str">
        <f>IF(NOT(ISBLANK(A385)),VLOOKUP(A385,'BBT3'!A:F,6,0),"")</f>
        <v>N</v>
      </c>
      <c r="G385">
        <f>IF(NOT(ISBLANK(A385)),VLOOKUP(A385,QW_Close!A:J,5,0),"")</f>
        <v>4.1518578838906799E-2</v>
      </c>
      <c r="H385" s="5" cm="1">
        <f t="array" ref="H385">IF(NOT(ISBLANK(A385)),((_xlfn.XLOOKUP(1,(_bbt3[[#All],[ID]]=A385)*(_bbt3[[#All],[METRIC_NAME]]="YLD_YTM_ASK"),_bbt3[[#All],[METRIC_VALUE]])*0.5)+(_xlfn.XLOOKUP(1,(_bbt3[[#All],[ID]]=A385)*(_bbt3[[#All],[METRIC_NAME]]="YLD_YTM_BID"),_bbt3[[#All],[METRIC_VALUE]])*0.5))/100,"")</f>
        <v>4.1518585449999999E-2</v>
      </c>
      <c r="I385">
        <f>IF(ISNA(VLOOKUP(A385,QW_CloseDL!A:E,5,0)),0,VLOOKUP(A385,QW_CloseDL!A:E,5,0))</f>
        <v>4.1518578838906799E-2</v>
      </c>
      <c r="J385" s="8">
        <f t="shared" si="25"/>
        <v>0</v>
      </c>
      <c r="P385">
        <v>0</v>
      </c>
      <c r="Q385" t="e">
        <f t="shared" si="26"/>
        <v>#N/A</v>
      </c>
      <c r="R385" t="e">
        <f t="shared" si="27"/>
        <v>#N/A</v>
      </c>
      <c r="S385" s="9" t="e">
        <f t="shared" si="28"/>
        <v>#N/A</v>
      </c>
      <c r="T385" s="3" t="e">
        <f t="shared" si="29"/>
        <v>#N/A</v>
      </c>
    </row>
    <row r="386" spans="1:20" x14ac:dyDescent="0.35">
      <c r="A386" t="str">
        <v>91282CGT2</v>
      </c>
      <c r="B386" t="str">
        <f>IF(NOT(ISBLANK(A386)),VLOOKUP(A386,'BBT3'!A:F,2,0),"")</f>
        <v>Bond</v>
      </c>
      <c r="C386" t="str">
        <f>IF(NOT(ISBLANK(A386)),VLOOKUP(A386,'BBT3'!A:F,3,0),"")</f>
        <v>US91282CGT27</v>
      </c>
      <c r="D386" s="6">
        <f>IF(NOT(ISBLANK(A386)),VLOOKUP(A386,'BBT3'!A:F,4,1),"")</f>
        <v>3.625</v>
      </c>
      <c r="E386">
        <f>IF(NOT(ISBLANK(A386)),VLOOKUP(A386,'BBT3'!A:F,5,0),"")</f>
        <v>46843</v>
      </c>
      <c r="F386" t="str">
        <f>IF(NOT(ISBLANK(A386)),VLOOKUP(A386,'BBT3'!A:F,6,0),"")</f>
        <v>N</v>
      </c>
      <c r="G386">
        <f>IF(NOT(ISBLANK(A386)),VLOOKUP(A386,QW_Close!A:J,5,0),"")</f>
        <v>4.0475289494825401E-2</v>
      </c>
      <c r="H386" s="5" cm="1">
        <f t="array" ref="H386">IF(NOT(ISBLANK(A386)),((_xlfn.XLOOKUP(1,(_bbt3[[#All],[ID]]=A386)*(_bbt3[[#All],[METRIC_NAME]]="YLD_YTM_ASK"),_bbt3[[#All],[METRIC_VALUE]])*0.5)+(_xlfn.XLOOKUP(1,(_bbt3[[#All],[ID]]=A386)*(_bbt3[[#All],[METRIC_NAME]]="YLD_YTM_BID"),_bbt3[[#All],[METRIC_VALUE]])*0.5))/100,"")</f>
        <v>4.0475291749999996E-2</v>
      </c>
      <c r="I386">
        <f>IF(ISNA(VLOOKUP(A386,QW_CloseDL!A:E,5,0)),0,VLOOKUP(A386,QW_CloseDL!A:E,5,0))</f>
        <v>4.0475289494825401E-2</v>
      </c>
      <c r="J386" s="8">
        <f t="shared" si="25"/>
        <v>0</v>
      </c>
      <c r="P386">
        <v>0</v>
      </c>
      <c r="Q386" t="e">
        <f t="shared" si="26"/>
        <v>#N/A</v>
      </c>
      <c r="R386" t="e">
        <f t="shared" si="27"/>
        <v>#N/A</v>
      </c>
      <c r="S386" s="9" t="e">
        <f t="shared" si="28"/>
        <v>#N/A</v>
      </c>
      <c r="T386" s="3" t="e">
        <f t="shared" si="29"/>
        <v>#N/A</v>
      </c>
    </row>
    <row r="387" spans="1:20" x14ac:dyDescent="0.35">
      <c r="A387" t="str">
        <v>91282CGW5</v>
      </c>
      <c r="B387" t="str">
        <f>IF(NOT(ISBLANK(A387)),VLOOKUP(A387,'BBT3'!A:F,2,0),"")</f>
        <v>Bond</v>
      </c>
      <c r="C387" t="str">
        <f>IF(NOT(ISBLANK(A387)),VLOOKUP(A387,'BBT3'!A:F,3,0),"")</f>
        <v>US91282CGW55</v>
      </c>
      <c r="D387" s="6">
        <f>IF(NOT(ISBLANK(A387)),VLOOKUP(A387,'BBT3'!A:F,4,1),"")</f>
        <v>1.25</v>
      </c>
      <c r="E387">
        <f>IF(NOT(ISBLANK(A387)),VLOOKUP(A387,'BBT3'!A:F,5,0),"")</f>
        <v>46858</v>
      </c>
      <c r="F387" t="str">
        <f>IF(NOT(ISBLANK(A387)),VLOOKUP(A387,'BBT3'!A:F,6,0),"")</f>
        <v>Y</v>
      </c>
      <c r="G387">
        <f>IF(NOT(ISBLANK(A387)),VLOOKUP(A387,QW_Close!A:J,5,0),"")</f>
        <v>1.42053377368654E-2</v>
      </c>
      <c r="H387" s="5" t="e" cm="1">
        <f t="array" ref="H387">IF(NOT(ISBLANK(A387)),((_xlfn.XLOOKUP(1,(_bbt3[[#All],[ID]]=A387)*(_bbt3[[#All],[METRIC_NAME]]="YLD_YTM_ASK"),_bbt3[[#All],[METRIC_VALUE]])*0.5)+(_xlfn.XLOOKUP(1,(_bbt3[[#All],[ID]]=A387)*(_bbt3[[#All],[METRIC_NAME]]="YLD_YTM_BID"),_bbt3[[#All],[METRIC_VALUE]])*0.5))/100,"")</f>
        <v>#N/A</v>
      </c>
      <c r="I387">
        <f>IF(ISNA(VLOOKUP(A387,QW_CloseDL!A:E,5,0)),0,VLOOKUP(A387,QW_CloseDL!A:E,5,0))</f>
        <v>1.42053377368654E-2</v>
      </c>
      <c r="J387" s="8">
        <f t="shared" ref="J387:J450" si="30">IF(ISNA(IF(NOT(ISBLANK(A387)),ABS(G387-I387),"")),0,(IF(NOT(ISBLANK(A387)),ABS(G387-I387)*10000,"")))</f>
        <v>0</v>
      </c>
      <c r="P387">
        <v>0</v>
      </c>
      <c r="Q387" t="e">
        <f t="shared" si="26"/>
        <v>#N/A</v>
      </c>
      <c r="R387" t="e">
        <f t="shared" si="27"/>
        <v>#N/A</v>
      </c>
      <c r="S387" s="9" t="e">
        <f t="shared" si="28"/>
        <v>#N/A</v>
      </c>
      <c r="T387" s="3" t="e">
        <f t="shared" si="29"/>
        <v>#N/A</v>
      </c>
    </row>
    <row r="388" spans="1:20" x14ac:dyDescent="0.35">
      <c r="A388" t="str">
        <v>91282CGZ8</v>
      </c>
      <c r="B388" t="str">
        <f>IF(NOT(ISBLANK(A388)),VLOOKUP(A388,'BBT3'!A:F,2,0),"")</f>
        <v>Bond</v>
      </c>
      <c r="C388" t="str">
        <f>IF(NOT(ISBLANK(A388)),VLOOKUP(A388,'BBT3'!A:F,3,0),"")</f>
        <v>US91282CGZ86</v>
      </c>
      <c r="D388" s="6">
        <f>IF(NOT(ISBLANK(A388)),VLOOKUP(A388,'BBT3'!A:F,4,1),"")</f>
        <v>3.5</v>
      </c>
      <c r="E388">
        <f>IF(NOT(ISBLANK(A388)),VLOOKUP(A388,'BBT3'!A:F,5,0),"")</f>
        <v>47603</v>
      </c>
      <c r="F388" t="str">
        <f>IF(NOT(ISBLANK(A388)),VLOOKUP(A388,'BBT3'!A:F,6,0),"")</f>
        <v>N</v>
      </c>
      <c r="G388">
        <f>IF(NOT(ISBLANK(A388)),VLOOKUP(A388,QW_Close!A:J,5,0),"")</f>
        <v>4.15384044635475E-2</v>
      </c>
      <c r="H388" s="5" cm="1">
        <f t="array" ref="H388">IF(NOT(ISBLANK(A388)),((_xlfn.XLOOKUP(1,(_bbt3[[#All],[ID]]=A388)*(_bbt3[[#All],[METRIC_NAME]]="YLD_YTM_ASK"),_bbt3[[#All],[METRIC_VALUE]])*0.5)+(_xlfn.XLOOKUP(1,(_bbt3[[#All],[ID]]=A388)*(_bbt3[[#All],[METRIC_NAME]]="YLD_YTM_BID"),_bbt3[[#All],[METRIC_VALUE]])*0.5))/100,"")</f>
        <v>4.1538413500000003E-2</v>
      </c>
      <c r="I388">
        <f>IF(ISNA(VLOOKUP(A388,QW_CloseDL!A:E,5,0)),0,VLOOKUP(A388,QW_CloseDL!A:E,5,0))</f>
        <v>4.15384044635475E-2</v>
      </c>
      <c r="J388" s="8">
        <f t="shared" si="30"/>
        <v>0</v>
      </c>
      <c r="P388">
        <v>0</v>
      </c>
      <c r="Q388" t="e">
        <f t="shared" si="26"/>
        <v>#N/A</v>
      </c>
      <c r="R388" t="e">
        <f t="shared" si="27"/>
        <v>#N/A</v>
      </c>
      <c r="S388" s="9" t="e">
        <f t="shared" si="28"/>
        <v>#N/A</v>
      </c>
      <c r="T388" s="3" t="e">
        <f t="shared" si="29"/>
        <v>#N/A</v>
      </c>
    </row>
    <row r="389" spans="1:20" x14ac:dyDescent="0.35">
      <c r="A389" t="str">
        <v>91282CHA2</v>
      </c>
      <c r="B389" t="str">
        <f>IF(NOT(ISBLANK(A389)),VLOOKUP(A389,'BBT3'!A:F,2,0),"")</f>
        <v>Bond</v>
      </c>
      <c r="C389" t="str">
        <f>IF(NOT(ISBLANK(A389)),VLOOKUP(A389,'BBT3'!A:F,3,0),"")</f>
        <v>US91282CHA27</v>
      </c>
      <c r="D389" s="6">
        <f>IF(NOT(ISBLANK(A389)),VLOOKUP(A389,'BBT3'!A:F,4,1),"")</f>
        <v>3.5</v>
      </c>
      <c r="E389">
        <f>IF(NOT(ISBLANK(A389)),VLOOKUP(A389,'BBT3'!A:F,5,0),"")</f>
        <v>46873</v>
      </c>
      <c r="F389" t="str">
        <f>IF(NOT(ISBLANK(A389)),VLOOKUP(A389,'BBT3'!A:F,6,0),"")</f>
        <v>N</v>
      </c>
      <c r="G389">
        <f>IF(NOT(ISBLANK(A389)),VLOOKUP(A389,QW_Close!A:J,5,0),"")</f>
        <v>4.0521749073317001E-2</v>
      </c>
      <c r="H389" s="5" cm="1">
        <f t="array" ref="H389">IF(NOT(ISBLANK(A389)),((_xlfn.XLOOKUP(1,(_bbt3[[#All],[ID]]=A389)*(_bbt3[[#All],[METRIC_NAME]]="YLD_YTM_ASK"),_bbt3[[#All],[METRIC_VALUE]])*0.5)+(_xlfn.XLOOKUP(1,(_bbt3[[#All],[ID]]=A389)*(_bbt3[[#All],[METRIC_NAME]]="YLD_YTM_BID"),_bbt3[[#All],[METRIC_VALUE]])*0.5))/100,"")</f>
        <v>4.0521750999999995E-2</v>
      </c>
      <c r="I389">
        <f>IF(ISNA(VLOOKUP(A389,QW_CloseDL!A:E,5,0)),0,VLOOKUP(A389,QW_CloseDL!A:E,5,0))</f>
        <v>4.0521749073317001E-2</v>
      </c>
      <c r="J389" s="8">
        <f t="shared" si="30"/>
        <v>0</v>
      </c>
      <c r="P389">
        <v>0</v>
      </c>
      <c r="Q389" t="e">
        <f t="shared" si="26"/>
        <v>#N/A</v>
      </c>
      <c r="R389" t="e">
        <f t="shared" si="27"/>
        <v>#N/A</v>
      </c>
      <c r="S389" s="9" t="e">
        <f t="shared" si="28"/>
        <v>#N/A</v>
      </c>
      <c r="T389" s="3" t="e">
        <f t="shared" si="29"/>
        <v>#N/A</v>
      </c>
    </row>
    <row r="390" spans="1:20" x14ac:dyDescent="0.35">
      <c r="A390" t="str">
        <v>91282CHC8</v>
      </c>
      <c r="B390" t="str">
        <f>IF(NOT(ISBLANK(A390)),VLOOKUP(A390,'BBT3'!A:F,2,0),"")</f>
        <v>Bond</v>
      </c>
      <c r="C390" t="str">
        <f>IF(NOT(ISBLANK(A390)),VLOOKUP(A390,'BBT3'!A:F,3,0),"")</f>
        <v>US91282CHC82</v>
      </c>
      <c r="D390" s="6">
        <f>IF(NOT(ISBLANK(A390)),VLOOKUP(A390,'BBT3'!A:F,4,1),"")</f>
        <v>3.375</v>
      </c>
      <c r="E390">
        <f>IF(NOT(ISBLANK(A390)),VLOOKUP(A390,'BBT3'!A:F,5,0),"")</f>
        <v>48714</v>
      </c>
      <c r="F390" t="str">
        <f>IF(NOT(ISBLANK(A390)),VLOOKUP(A390,'BBT3'!A:F,6,0),"")</f>
        <v>N</v>
      </c>
      <c r="G390">
        <f>IF(NOT(ISBLANK(A390)),VLOOKUP(A390,QW_Close!A:J,5,0),"")</f>
        <v>4.3340433444365403E-2</v>
      </c>
      <c r="H390" s="5" cm="1">
        <f t="array" ref="H390">IF(NOT(ISBLANK(A390)),((_xlfn.XLOOKUP(1,(_bbt3[[#All],[ID]]=A390)*(_bbt3[[#All],[METRIC_NAME]]="YLD_YTM_ASK"),_bbt3[[#All],[METRIC_VALUE]])*0.5)+(_xlfn.XLOOKUP(1,(_bbt3[[#All],[ID]]=A390)*(_bbt3[[#All],[METRIC_NAME]]="YLD_YTM_BID"),_bbt3[[#All],[METRIC_VALUE]])*0.5))/100,"")</f>
        <v>4.3340437499999995E-2</v>
      </c>
      <c r="I390">
        <f>IF(ISNA(VLOOKUP(A390,QW_CloseDL!A:E,5,0)),0,VLOOKUP(A390,QW_CloseDL!A:E,5,0))</f>
        <v>4.3340433444365403E-2</v>
      </c>
      <c r="J390" s="8">
        <f t="shared" si="30"/>
        <v>0</v>
      </c>
      <c r="P390">
        <v>0</v>
      </c>
      <c r="Q390" t="e">
        <f t="shared" si="26"/>
        <v>#N/A</v>
      </c>
      <c r="R390" t="e">
        <f t="shared" si="27"/>
        <v>#N/A</v>
      </c>
      <c r="S390" s="9" t="e">
        <f t="shared" si="28"/>
        <v>#N/A</v>
      </c>
      <c r="T390" s="3" t="e">
        <f t="shared" si="29"/>
        <v>#N/A</v>
      </c>
    </row>
    <row r="391" spans="1:20" x14ac:dyDescent="0.35">
      <c r="A391" t="str">
        <v>91282CHE4</v>
      </c>
      <c r="B391" t="str">
        <f>IF(NOT(ISBLANK(A391)),VLOOKUP(A391,'BBT3'!A:F,2,0),"")</f>
        <v>Bond</v>
      </c>
      <c r="C391" t="str">
        <f>IF(NOT(ISBLANK(A391)),VLOOKUP(A391,'BBT3'!A:F,3,0),"")</f>
        <v>US91282CHE49</v>
      </c>
      <c r="D391" s="6">
        <f>IF(NOT(ISBLANK(A391)),VLOOKUP(A391,'BBT3'!A:F,4,1),"")</f>
        <v>3.625</v>
      </c>
      <c r="E391">
        <f>IF(NOT(ISBLANK(A391)),VLOOKUP(A391,'BBT3'!A:F,5,0),"")</f>
        <v>46904</v>
      </c>
      <c r="F391" t="str">
        <f>IF(NOT(ISBLANK(A391)),VLOOKUP(A391,'BBT3'!A:F,6,0),"")</f>
        <v>N</v>
      </c>
      <c r="G391">
        <f>IF(NOT(ISBLANK(A391)),VLOOKUP(A391,QW_Close!A:J,5,0),"")</f>
        <v>4.0577283087921003E-2</v>
      </c>
      <c r="H391" s="5" cm="1">
        <f t="array" ref="H391">IF(NOT(ISBLANK(A391)),((_xlfn.XLOOKUP(1,(_bbt3[[#All],[ID]]=A391)*(_bbt3[[#All],[METRIC_NAME]]="YLD_YTM_ASK"),_bbt3[[#All],[METRIC_VALUE]])*0.5)+(_xlfn.XLOOKUP(1,(_bbt3[[#All],[ID]]=A391)*(_bbt3[[#All],[METRIC_NAME]]="YLD_YTM_BID"),_bbt3[[#All],[METRIC_VALUE]])*0.5))/100,"")</f>
        <v>4.0577286349999998E-2</v>
      </c>
      <c r="I391">
        <f>IF(ISNA(VLOOKUP(A391,QW_CloseDL!A:E,5,0)),0,VLOOKUP(A391,QW_CloseDL!A:E,5,0))</f>
        <v>4.0577283087921003E-2</v>
      </c>
      <c r="J391" s="8">
        <f t="shared" si="30"/>
        <v>0</v>
      </c>
      <c r="P391">
        <v>0</v>
      </c>
      <c r="Q391" t="e">
        <f t="shared" si="26"/>
        <v>#N/A</v>
      </c>
      <c r="R391" t="e">
        <f t="shared" si="27"/>
        <v>#N/A</v>
      </c>
      <c r="S391" s="9" t="e">
        <f t="shared" si="28"/>
        <v>#N/A</v>
      </c>
      <c r="T391" s="3" t="e">
        <f t="shared" si="29"/>
        <v>#N/A</v>
      </c>
    </row>
    <row r="392" spans="1:20" x14ac:dyDescent="0.35">
      <c r="A392" t="str">
        <v>91282CHF1</v>
      </c>
      <c r="B392" t="str">
        <f>IF(NOT(ISBLANK(A392)),VLOOKUP(A392,'BBT3'!A:F,2,0),"")</f>
        <v>Bond</v>
      </c>
      <c r="C392" t="str">
        <f>IF(NOT(ISBLANK(A392)),VLOOKUP(A392,'BBT3'!A:F,3,0),"")</f>
        <v>US91282CHF14</v>
      </c>
      <c r="D392" s="6">
        <f>IF(NOT(ISBLANK(A392)),VLOOKUP(A392,'BBT3'!A:F,4,1),"")</f>
        <v>3.75</v>
      </c>
      <c r="E392">
        <f>IF(NOT(ISBLANK(A392)),VLOOKUP(A392,'BBT3'!A:F,5,0),"")</f>
        <v>47634</v>
      </c>
      <c r="F392" t="str">
        <f>IF(NOT(ISBLANK(A392)),VLOOKUP(A392,'BBT3'!A:F,6,0),"")</f>
        <v>N</v>
      </c>
      <c r="G392">
        <f>IF(NOT(ISBLANK(A392)),VLOOKUP(A392,QW_Close!A:J,5,0),"")</f>
        <v>4.15345291730757E-2</v>
      </c>
      <c r="H392" s="5" cm="1">
        <f t="array" ref="H392">IF(NOT(ISBLANK(A392)),((_xlfn.XLOOKUP(1,(_bbt3[[#All],[ID]]=A392)*(_bbt3[[#All],[METRIC_NAME]]="YLD_YTM_ASK"),_bbt3[[#All],[METRIC_VALUE]])*0.5)+(_xlfn.XLOOKUP(1,(_bbt3[[#All],[ID]]=A392)*(_bbt3[[#All],[METRIC_NAME]]="YLD_YTM_BID"),_bbt3[[#All],[METRIC_VALUE]])*0.5))/100,"")</f>
        <v>4.1534533200000008E-2</v>
      </c>
      <c r="I392">
        <f>IF(ISNA(VLOOKUP(A392,QW_CloseDL!A:E,5,0)),0,VLOOKUP(A392,QW_CloseDL!A:E,5,0))</f>
        <v>4.15345291730757E-2</v>
      </c>
      <c r="J392" s="8">
        <f t="shared" si="30"/>
        <v>0</v>
      </c>
      <c r="P392">
        <v>0</v>
      </c>
      <c r="Q392" t="e">
        <f t="shared" si="26"/>
        <v>#N/A</v>
      </c>
      <c r="R392" t="e">
        <f t="shared" si="27"/>
        <v>#N/A</v>
      </c>
      <c r="S392" s="9" t="e">
        <f t="shared" si="28"/>
        <v>#N/A</v>
      </c>
      <c r="T392" s="3" t="e">
        <f t="shared" si="29"/>
        <v>#N/A</v>
      </c>
    </row>
    <row r="393" spans="1:20" x14ac:dyDescent="0.35">
      <c r="A393" t="str">
        <v>91282CHH7</v>
      </c>
      <c r="B393" t="str">
        <f>IF(NOT(ISBLANK(A393)),VLOOKUP(A393,'BBT3'!A:F,2,0),"")</f>
        <v>Bond</v>
      </c>
      <c r="C393" t="str">
        <f>IF(NOT(ISBLANK(A393)),VLOOKUP(A393,'BBT3'!A:F,3,0),"")</f>
        <v>US91282CHH79</v>
      </c>
      <c r="D393" s="6">
        <f>IF(NOT(ISBLANK(A393)),VLOOKUP(A393,'BBT3'!A:F,4,1),"")</f>
        <v>4.125</v>
      </c>
      <c r="E393">
        <f>IF(NOT(ISBLANK(A393)),VLOOKUP(A393,'BBT3'!A:F,5,0),"")</f>
        <v>46188</v>
      </c>
      <c r="F393" t="str">
        <f>IF(NOT(ISBLANK(A393)),VLOOKUP(A393,'BBT3'!A:F,6,0),"")</f>
        <v>N</v>
      </c>
      <c r="G393">
        <f>IF(NOT(ISBLANK(A393)),VLOOKUP(A393,QW_Close!A:J,5,0),"")</f>
        <v>3.55751514581224E-2</v>
      </c>
      <c r="H393" s="5" cm="1">
        <f t="array" ref="H393">IF(NOT(ISBLANK(A393)),((_xlfn.XLOOKUP(1,(_bbt3[[#All],[ID]]=A393)*(_bbt3[[#All],[METRIC_NAME]]="YLD_YTM_ASK"),_bbt3[[#All],[METRIC_VALUE]])*0.5)+(_xlfn.XLOOKUP(1,(_bbt3[[#All],[ID]]=A393)*(_bbt3[[#All],[METRIC_NAME]]="YLD_YTM_BID"),_bbt3[[#All],[METRIC_VALUE]])*0.5))/100,"")</f>
        <v>3.5575806549999998E-2</v>
      </c>
      <c r="I393">
        <f>IF(ISNA(VLOOKUP(A393,QW_CloseDL!A:E,5,0)),0,VLOOKUP(A393,QW_CloseDL!A:E,5,0))</f>
        <v>3.55751514581224E-2</v>
      </c>
      <c r="J393" s="8">
        <f t="shared" si="30"/>
        <v>0</v>
      </c>
      <c r="P393">
        <v>0</v>
      </c>
      <c r="Q393" t="e">
        <f t="shared" si="26"/>
        <v>#N/A</v>
      </c>
      <c r="R393" t="e">
        <f t="shared" si="27"/>
        <v>#N/A</v>
      </c>
      <c r="S393" s="9" t="e">
        <f t="shared" si="28"/>
        <v>#N/A</v>
      </c>
      <c r="T393" s="3" t="e">
        <f t="shared" si="29"/>
        <v>#N/A</v>
      </c>
    </row>
    <row r="394" spans="1:20" x14ac:dyDescent="0.35">
      <c r="A394" t="str">
        <v>91282CHJ3</v>
      </c>
      <c r="B394" t="str">
        <f>IF(NOT(ISBLANK(A394)),VLOOKUP(A394,'BBT3'!A:F,2,0),"")</f>
        <v>Bond</v>
      </c>
      <c r="C394" t="str">
        <f>IF(NOT(ISBLANK(A394)),VLOOKUP(A394,'BBT3'!A:F,3,0),"")</f>
        <v>US91282CHJ36</v>
      </c>
      <c r="D394" s="6">
        <f>IF(NOT(ISBLANK(A394)),VLOOKUP(A394,'BBT3'!A:F,4,1),"")</f>
        <v>3.75</v>
      </c>
      <c r="E394">
        <f>IF(NOT(ISBLANK(A394)),VLOOKUP(A394,'BBT3'!A:F,5,0),"")</f>
        <v>47664</v>
      </c>
      <c r="F394" t="str">
        <f>IF(NOT(ISBLANK(A394)),VLOOKUP(A394,'BBT3'!A:F,6,0),"")</f>
        <v>N</v>
      </c>
      <c r="G394">
        <f>IF(NOT(ISBLANK(A394)),VLOOKUP(A394,QW_Close!A:J,5,0),"")</f>
        <v>4.16022847117768E-2</v>
      </c>
      <c r="H394" s="5" cm="1">
        <f t="array" ref="H394">IF(NOT(ISBLANK(A394)),((_xlfn.XLOOKUP(1,(_bbt3[[#All],[ID]]=A394)*(_bbt3[[#All],[METRIC_NAME]]="YLD_YTM_ASK"),_bbt3[[#All],[METRIC_VALUE]])*0.5)+(_xlfn.XLOOKUP(1,(_bbt3[[#All],[ID]]=A394)*(_bbt3[[#All],[METRIC_NAME]]="YLD_YTM_BID"),_bbt3[[#All],[METRIC_VALUE]])*0.5))/100,"")</f>
        <v>4.1602288650000006E-2</v>
      </c>
      <c r="I394">
        <f>IF(ISNA(VLOOKUP(A394,QW_CloseDL!A:E,5,0)),0,VLOOKUP(A394,QW_CloseDL!A:E,5,0))</f>
        <v>4.16022847117768E-2</v>
      </c>
      <c r="J394" s="8">
        <f t="shared" si="30"/>
        <v>0</v>
      </c>
      <c r="P394">
        <v>0</v>
      </c>
      <c r="Q394" t="e">
        <f t="shared" si="26"/>
        <v>#N/A</v>
      </c>
      <c r="R394" t="e">
        <f t="shared" si="27"/>
        <v>#N/A</v>
      </c>
      <c r="S394" s="9" t="e">
        <f t="shared" si="28"/>
        <v>#N/A</v>
      </c>
      <c r="T394" s="3" t="e">
        <f t="shared" si="29"/>
        <v>#N/A</v>
      </c>
    </row>
    <row r="395" spans="1:20" x14ac:dyDescent="0.35">
      <c r="A395" t="str">
        <v>91282CHK0</v>
      </c>
      <c r="B395" t="str">
        <f>IF(NOT(ISBLANK(A395)),VLOOKUP(A395,'BBT3'!A:F,2,0),"")</f>
        <v>Bond</v>
      </c>
      <c r="C395" t="str">
        <f>IF(NOT(ISBLANK(A395)),VLOOKUP(A395,'BBT3'!A:F,3,0),"")</f>
        <v>US91282CHK09</v>
      </c>
      <c r="D395" s="6">
        <f>IF(NOT(ISBLANK(A395)),VLOOKUP(A395,'BBT3'!A:F,4,1),"")</f>
        <v>4</v>
      </c>
      <c r="E395">
        <f>IF(NOT(ISBLANK(A395)),VLOOKUP(A395,'BBT3'!A:F,5,0),"")</f>
        <v>46934</v>
      </c>
      <c r="F395" t="str">
        <f>IF(NOT(ISBLANK(A395)),VLOOKUP(A395,'BBT3'!A:F,6,0),"")</f>
        <v>N</v>
      </c>
      <c r="G395">
        <f>IF(NOT(ISBLANK(A395)),VLOOKUP(A395,QW_Close!A:J,5,0),"")</f>
        <v>4.0584020062594803E-2</v>
      </c>
      <c r="H395" s="5" cm="1">
        <f t="array" ref="H395">IF(NOT(ISBLANK(A395)),((_xlfn.XLOOKUP(1,(_bbt3[[#All],[ID]]=A395)*(_bbt3[[#All],[METRIC_NAME]]="YLD_YTM_ASK"),_bbt3[[#All],[METRIC_VALUE]])*0.5)+(_xlfn.XLOOKUP(1,(_bbt3[[#All],[ID]]=A395)*(_bbt3[[#All],[METRIC_NAME]]="YLD_YTM_BID"),_bbt3[[#All],[METRIC_VALUE]])*0.5))/100,"")</f>
        <v>4.0584027950000004E-2</v>
      </c>
      <c r="I395">
        <f>IF(ISNA(VLOOKUP(A395,QW_CloseDL!A:E,5,0)),0,VLOOKUP(A395,QW_CloseDL!A:E,5,0))</f>
        <v>4.0584020062594803E-2</v>
      </c>
      <c r="J395" s="8">
        <f t="shared" si="30"/>
        <v>0</v>
      </c>
      <c r="P395">
        <v>0</v>
      </c>
      <c r="Q395" t="e">
        <f t="shared" si="26"/>
        <v>#N/A</v>
      </c>
      <c r="R395" t="e">
        <f t="shared" si="27"/>
        <v>#N/A</v>
      </c>
      <c r="S395" s="9" t="e">
        <f t="shared" si="28"/>
        <v>#N/A</v>
      </c>
      <c r="T395" s="3" t="e">
        <f t="shared" si="29"/>
        <v>#N/A</v>
      </c>
    </row>
    <row r="396" spans="1:20" x14ac:dyDescent="0.35">
      <c r="A396" t="str">
        <v>91282CHM6</v>
      </c>
      <c r="B396" t="str">
        <f>IF(NOT(ISBLANK(A396)),VLOOKUP(A396,'BBT3'!A:F,2,0),"")</f>
        <v>Bond</v>
      </c>
      <c r="C396" t="str">
        <f>IF(NOT(ISBLANK(A396)),VLOOKUP(A396,'BBT3'!A:F,3,0),"")</f>
        <v>US91282CHM64</v>
      </c>
      <c r="D396" s="6">
        <f>IF(NOT(ISBLANK(A396)),VLOOKUP(A396,'BBT3'!A:F,4,1),"")</f>
        <v>4.5</v>
      </c>
      <c r="E396">
        <f>IF(NOT(ISBLANK(A396)),VLOOKUP(A396,'BBT3'!A:F,5,0),"")</f>
        <v>46218</v>
      </c>
      <c r="F396" t="str">
        <f>IF(NOT(ISBLANK(A396)),VLOOKUP(A396,'BBT3'!A:F,6,0),"")</f>
        <v>N</v>
      </c>
      <c r="G396">
        <f>IF(NOT(ISBLANK(A396)),VLOOKUP(A396,QW_Close!A:J,5,0),"")</f>
        <v>3.6027828155539302E-2</v>
      </c>
      <c r="H396" s="5" cm="1">
        <f t="array" ref="H396">IF(NOT(ISBLANK(A396)),((_xlfn.XLOOKUP(1,(_bbt3[[#All],[ID]]=A396)*(_bbt3[[#All],[METRIC_NAME]]="YLD_YTM_ASK"),_bbt3[[#All],[METRIC_VALUE]])*0.5)+(_xlfn.XLOOKUP(1,(_bbt3[[#All],[ID]]=A396)*(_bbt3[[#All],[METRIC_NAME]]="YLD_YTM_BID"),_bbt3[[#All],[METRIC_VALUE]])*0.5))/100,"")</f>
        <v>3.6027911699999998E-2</v>
      </c>
      <c r="I396">
        <f>IF(ISNA(VLOOKUP(A396,QW_CloseDL!A:E,5,0)),0,VLOOKUP(A396,QW_CloseDL!A:E,5,0))</f>
        <v>3.6027828155539302E-2</v>
      </c>
      <c r="J396" s="8">
        <f t="shared" si="30"/>
        <v>0</v>
      </c>
      <c r="P396">
        <v>0</v>
      </c>
      <c r="Q396" t="e">
        <f t="shared" si="26"/>
        <v>#N/A</v>
      </c>
      <c r="R396" t="e">
        <f t="shared" si="27"/>
        <v>#N/A</v>
      </c>
      <c r="S396" s="9" t="e">
        <f t="shared" si="28"/>
        <v>#N/A</v>
      </c>
      <c r="T396" s="3" t="e">
        <f t="shared" si="29"/>
        <v>#N/A</v>
      </c>
    </row>
    <row r="397" spans="1:20" x14ac:dyDescent="0.35">
      <c r="A397" t="str">
        <v>91282CHP9</v>
      </c>
      <c r="B397" t="str">
        <f>IF(NOT(ISBLANK(A397)),VLOOKUP(A397,'BBT3'!A:F,2,0),"")</f>
        <v>Bond</v>
      </c>
      <c r="C397" t="str">
        <f>IF(NOT(ISBLANK(A397)),VLOOKUP(A397,'BBT3'!A:F,3,0),"")</f>
        <v>US91282CHP95</v>
      </c>
      <c r="D397" s="6">
        <f>IF(NOT(ISBLANK(A397)),VLOOKUP(A397,'BBT3'!A:F,4,1),"")</f>
        <v>1.375</v>
      </c>
      <c r="E397">
        <f>IF(NOT(ISBLANK(A397)),VLOOKUP(A397,'BBT3'!A:F,5,0),"")</f>
        <v>48775</v>
      </c>
      <c r="F397" t="str">
        <f>IF(NOT(ISBLANK(A397)),VLOOKUP(A397,'BBT3'!A:F,6,0),"")</f>
        <v>Y</v>
      </c>
      <c r="G397">
        <f>IF(NOT(ISBLANK(A397)),VLOOKUP(A397,QW_Close!A:J,5,0),"")</f>
        <v>1.8291398164058999E-2</v>
      </c>
      <c r="H397" s="5" cm="1">
        <f t="array" ref="H397">IF(NOT(ISBLANK(A397)),((_xlfn.XLOOKUP(1,(_bbt3[[#All],[ID]]=A397)*(_bbt3[[#All],[METRIC_NAME]]="YLD_YTM_ASK"),_bbt3[[#All],[METRIC_VALUE]])*0.5)+(_xlfn.XLOOKUP(1,(_bbt3[[#All],[ID]]=A397)*(_bbt3[[#All],[METRIC_NAME]]="YLD_YTM_BID"),_bbt3[[#All],[METRIC_VALUE]])*0.5))/100,"")</f>
        <v>1.8291399050000001E-2</v>
      </c>
      <c r="I397">
        <f>IF(ISNA(VLOOKUP(A397,QW_CloseDL!A:E,5,0)),0,VLOOKUP(A397,QW_CloseDL!A:E,5,0))</f>
        <v>1.8291390504753001E-2</v>
      </c>
      <c r="J397" s="8">
        <f t="shared" si="30"/>
        <v>7.6593059984697565E-5</v>
      </c>
      <c r="P397">
        <v>0</v>
      </c>
      <c r="Q397" t="e">
        <f t="shared" ref="Q397:Q460" si="31">VLOOKUP(P397,A:B,2,0)</f>
        <v>#N/A</v>
      </c>
      <c r="R397" t="e">
        <f t="shared" ref="R397:R460" si="32">VLOOKUP(P397,A:E,4,0)</f>
        <v>#N/A</v>
      </c>
      <c r="S397" s="9" t="e">
        <f t="shared" ref="S397:S460" si="33">VLOOKUP(P397,A:J,10,0)</f>
        <v>#N/A</v>
      </c>
      <c r="T397" s="3" t="e">
        <f t="shared" ref="T397:T460" si="34">VLOOKUP(P397,A:J,5,0)</f>
        <v>#N/A</v>
      </c>
    </row>
    <row r="398" spans="1:20" x14ac:dyDescent="0.35">
      <c r="A398" t="str">
        <v>91282CHQ7</v>
      </c>
      <c r="B398" t="str">
        <f>IF(NOT(ISBLANK(A398)),VLOOKUP(A398,'BBT3'!A:F,2,0),"")</f>
        <v>Bond</v>
      </c>
      <c r="C398" t="str">
        <f>IF(NOT(ISBLANK(A398)),VLOOKUP(A398,'BBT3'!A:F,3,0),"")</f>
        <v>US91282CHQ78</v>
      </c>
      <c r="D398" s="6">
        <f>IF(NOT(ISBLANK(A398)),VLOOKUP(A398,'BBT3'!A:F,4,1),"")</f>
        <v>4.125</v>
      </c>
      <c r="E398">
        <f>IF(NOT(ISBLANK(A398)),VLOOKUP(A398,'BBT3'!A:F,5,0),"")</f>
        <v>46965</v>
      </c>
      <c r="F398" t="str">
        <f>IF(NOT(ISBLANK(A398)),VLOOKUP(A398,'BBT3'!A:F,6,0),"")</f>
        <v>N</v>
      </c>
      <c r="G398">
        <f>IF(NOT(ISBLANK(A398)),VLOOKUP(A398,QW_Close!A:J,5,0),"")</f>
        <v>4.0635632947226698E-2</v>
      </c>
      <c r="H398" s="5" cm="1">
        <f t="array" ref="H398">IF(NOT(ISBLANK(A398)),((_xlfn.XLOOKUP(1,(_bbt3[[#All],[ID]]=A398)*(_bbt3[[#All],[METRIC_NAME]]="YLD_YTM_ASK"),_bbt3[[#All],[METRIC_VALUE]])*0.5)+(_xlfn.XLOOKUP(1,(_bbt3[[#All],[ID]]=A398)*(_bbt3[[#All],[METRIC_NAME]]="YLD_YTM_BID"),_bbt3[[#All],[METRIC_VALUE]])*0.5))/100,"")</f>
        <v>4.0635637150000001E-2</v>
      </c>
      <c r="I398">
        <f>IF(ISNA(VLOOKUP(A398,QW_CloseDL!A:E,5,0)),0,VLOOKUP(A398,QW_CloseDL!A:E,5,0))</f>
        <v>4.0635632947226698E-2</v>
      </c>
      <c r="J398" s="8">
        <f t="shared" si="30"/>
        <v>0</v>
      </c>
      <c r="P398">
        <v>0</v>
      </c>
      <c r="Q398" t="e">
        <f t="shared" si="31"/>
        <v>#N/A</v>
      </c>
      <c r="R398" t="e">
        <f t="shared" si="32"/>
        <v>#N/A</v>
      </c>
      <c r="S398" s="9" t="e">
        <f t="shared" si="33"/>
        <v>#N/A</v>
      </c>
      <c r="T398" s="3" t="e">
        <f t="shared" si="34"/>
        <v>#N/A</v>
      </c>
    </row>
    <row r="399" spans="1:20" x14ac:dyDescent="0.35">
      <c r="A399" t="str">
        <v>91282CHR5</v>
      </c>
      <c r="B399" t="str">
        <f>IF(NOT(ISBLANK(A399)),VLOOKUP(A399,'BBT3'!A:F,2,0),"")</f>
        <v>Bond</v>
      </c>
      <c r="C399" t="str">
        <f>IF(NOT(ISBLANK(A399)),VLOOKUP(A399,'BBT3'!A:F,3,0),"")</f>
        <v>US91282CHR51</v>
      </c>
      <c r="D399" s="6">
        <f>IF(NOT(ISBLANK(A399)),VLOOKUP(A399,'BBT3'!A:F,4,1),"")</f>
        <v>4</v>
      </c>
      <c r="E399">
        <f>IF(NOT(ISBLANK(A399)),VLOOKUP(A399,'BBT3'!A:F,5,0),"")</f>
        <v>47695</v>
      </c>
      <c r="F399" t="str">
        <f>IF(NOT(ISBLANK(A399)),VLOOKUP(A399,'BBT3'!A:F,6,0),"")</f>
        <v>N</v>
      </c>
      <c r="G399">
        <f>IF(NOT(ISBLANK(A399)),VLOOKUP(A399,QW_Close!A:J,5,0),"")</f>
        <v>4.1610995398252297E-2</v>
      </c>
      <c r="H399" s="5" cm="1">
        <f t="array" ref="H399">IF(NOT(ISBLANK(A399)),((_xlfn.XLOOKUP(1,(_bbt3[[#All],[ID]]=A399)*(_bbt3[[#All],[METRIC_NAME]]="YLD_YTM_ASK"),_bbt3[[#All],[METRIC_VALUE]])*0.5)+(_xlfn.XLOOKUP(1,(_bbt3[[#All],[ID]]=A399)*(_bbt3[[#All],[METRIC_NAME]]="YLD_YTM_BID"),_bbt3[[#All],[METRIC_VALUE]])*0.5))/100,"")</f>
        <v>4.16110014E-2</v>
      </c>
      <c r="I399">
        <f>IF(ISNA(VLOOKUP(A399,QW_CloseDL!A:E,5,0)),0,VLOOKUP(A399,QW_CloseDL!A:E,5,0))</f>
        <v>4.1610995398252297E-2</v>
      </c>
      <c r="J399" s="8">
        <f t="shared" si="30"/>
        <v>0</v>
      </c>
      <c r="P399">
        <v>0</v>
      </c>
      <c r="Q399" t="e">
        <f t="shared" si="31"/>
        <v>#N/A</v>
      </c>
      <c r="R399" t="e">
        <f t="shared" si="32"/>
        <v>#N/A</v>
      </c>
      <c r="S399" s="9" t="e">
        <f t="shared" si="33"/>
        <v>#N/A</v>
      </c>
      <c r="T399" s="3" t="e">
        <f t="shared" si="34"/>
        <v>#N/A</v>
      </c>
    </row>
    <row r="400" spans="1:20" x14ac:dyDescent="0.35">
      <c r="A400" t="str">
        <v>91282CHT1</v>
      </c>
      <c r="B400" t="str">
        <f>IF(NOT(ISBLANK(A400)),VLOOKUP(A400,'BBT3'!A:F,2,0),"")</f>
        <v>Bond</v>
      </c>
      <c r="C400" t="str">
        <f>IF(NOT(ISBLANK(A400)),VLOOKUP(A400,'BBT3'!A:F,3,0),"")</f>
        <v>US91282CHT18</v>
      </c>
      <c r="D400" s="6">
        <f>IF(NOT(ISBLANK(A400)),VLOOKUP(A400,'BBT3'!A:F,4,1),"")</f>
        <v>3.875</v>
      </c>
      <c r="E400">
        <f>IF(NOT(ISBLANK(A400)),VLOOKUP(A400,'BBT3'!A:F,5,0),"")</f>
        <v>48806</v>
      </c>
      <c r="F400" t="str">
        <f>IF(NOT(ISBLANK(A400)),VLOOKUP(A400,'BBT3'!A:F,6,0),"")</f>
        <v>N</v>
      </c>
      <c r="G400">
        <f>IF(NOT(ISBLANK(A400)),VLOOKUP(A400,QW_Close!A:J,5,0),"")</f>
        <v>4.3423883047433297E-2</v>
      </c>
      <c r="H400" s="5" cm="1">
        <f t="array" ref="H400">IF(NOT(ISBLANK(A400)),((_xlfn.XLOOKUP(1,(_bbt3[[#All],[ID]]=A400)*(_bbt3[[#All],[METRIC_NAME]]="YLD_YTM_ASK"),_bbt3[[#All],[METRIC_VALUE]])*0.5)+(_xlfn.XLOOKUP(1,(_bbt3[[#All],[ID]]=A400)*(_bbt3[[#All],[METRIC_NAME]]="YLD_YTM_BID"),_bbt3[[#All],[METRIC_VALUE]])*0.5))/100,"")</f>
        <v>4.3423885500000002E-2</v>
      </c>
      <c r="I400">
        <f>IF(ISNA(VLOOKUP(A400,QW_CloseDL!A:E,5,0)),0,VLOOKUP(A400,QW_CloseDL!A:E,5,0))</f>
        <v>4.3423883047433297E-2</v>
      </c>
      <c r="J400" s="8">
        <f t="shared" si="30"/>
        <v>0</v>
      </c>
      <c r="P400">
        <v>0</v>
      </c>
      <c r="Q400" t="e">
        <f t="shared" si="31"/>
        <v>#N/A</v>
      </c>
      <c r="R400" t="e">
        <f t="shared" si="32"/>
        <v>#N/A</v>
      </c>
      <c r="S400" s="9" t="e">
        <f t="shared" si="33"/>
        <v>#N/A</v>
      </c>
      <c r="T400" s="3" t="e">
        <f t="shared" si="34"/>
        <v>#N/A</v>
      </c>
    </row>
    <row r="401" spans="1:20" x14ac:dyDescent="0.35">
      <c r="A401" t="str">
        <v>91282CHU8</v>
      </c>
      <c r="B401" t="str">
        <f>IF(NOT(ISBLANK(A401)),VLOOKUP(A401,'BBT3'!A:F,2,0),"")</f>
        <v>Bond</v>
      </c>
      <c r="C401" t="str">
        <f>IF(NOT(ISBLANK(A401)),VLOOKUP(A401,'BBT3'!A:F,3,0),"")</f>
        <v>US91282CHU80</v>
      </c>
      <c r="D401" s="6">
        <f>IF(NOT(ISBLANK(A401)),VLOOKUP(A401,'BBT3'!A:F,4,1),"")</f>
        <v>4.375</v>
      </c>
      <c r="E401">
        <f>IF(NOT(ISBLANK(A401)),VLOOKUP(A401,'BBT3'!A:F,5,0),"")</f>
        <v>46249</v>
      </c>
      <c r="F401" t="str">
        <f>IF(NOT(ISBLANK(A401)),VLOOKUP(A401,'BBT3'!A:F,6,0),"")</f>
        <v>N</v>
      </c>
      <c r="G401">
        <f>IF(NOT(ISBLANK(A401)),VLOOKUP(A401,QW_Close!A:J,5,0),"")</f>
        <v>3.7829764235989299E-2</v>
      </c>
      <c r="H401" s="5" cm="1">
        <f t="array" ref="H401">IF(NOT(ISBLANK(A401)),((_xlfn.XLOOKUP(1,(_bbt3[[#All],[ID]]=A401)*(_bbt3[[#All],[METRIC_NAME]]="YLD_YTM_ASK"),_bbt3[[#All],[METRIC_VALUE]])*0.5)+(_xlfn.XLOOKUP(1,(_bbt3[[#All],[ID]]=A401)*(_bbt3[[#All],[METRIC_NAME]]="YLD_YTM_BID"),_bbt3[[#All],[METRIC_VALUE]])*0.5))/100,"")</f>
        <v>3.7829832799999998E-2</v>
      </c>
      <c r="I401">
        <f>IF(ISNA(VLOOKUP(A401,QW_CloseDL!A:E,5,0)),0,VLOOKUP(A401,QW_CloseDL!A:E,5,0))</f>
        <v>3.7829764235989299E-2</v>
      </c>
      <c r="J401" s="8">
        <f t="shared" si="30"/>
        <v>0</v>
      </c>
      <c r="P401">
        <v>0</v>
      </c>
      <c r="Q401" t="e">
        <f t="shared" si="31"/>
        <v>#N/A</v>
      </c>
      <c r="R401" t="e">
        <f t="shared" si="32"/>
        <v>#N/A</v>
      </c>
      <c r="S401" s="9" t="e">
        <f t="shared" si="33"/>
        <v>#N/A</v>
      </c>
      <c r="T401" s="3" t="e">
        <f t="shared" si="34"/>
        <v>#N/A</v>
      </c>
    </row>
    <row r="402" spans="1:20" x14ac:dyDescent="0.35">
      <c r="A402" t="str">
        <v>91282CHW4</v>
      </c>
      <c r="B402" t="str">
        <f>IF(NOT(ISBLANK(A402)),VLOOKUP(A402,'BBT3'!A:F,2,0),"")</f>
        <v>Bond</v>
      </c>
      <c r="C402" t="str">
        <f>IF(NOT(ISBLANK(A402)),VLOOKUP(A402,'BBT3'!A:F,3,0),"")</f>
        <v>US91282CHW47</v>
      </c>
      <c r="D402" s="6">
        <f>IF(NOT(ISBLANK(A402)),VLOOKUP(A402,'BBT3'!A:F,4,1),"")</f>
        <v>4.125</v>
      </c>
      <c r="E402">
        <f>IF(NOT(ISBLANK(A402)),VLOOKUP(A402,'BBT3'!A:F,5,0),"")</f>
        <v>47726</v>
      </c>
      <c r="F402" t="str">
        <f>IF(NOT(ISBLANK(A402)),VLOOKUP(A402,'BBT3'!A:F,6,0),"")</f>
        <v>N</v>
      </c>
      <c r="G402">
        <f>IF(NOT(ISBLANK(A402)),VLOOKUP(A402,QW_Close!A:J,5,0),"")</f>
        <v>4.1703323296067601E-2</v>
      </c>
      <c r="H402" s="5" cm="1">
        <f t="array" ref="H402">IF(NOT(ISBLANK(A402)),((_xlfn.XLOOKUP(1,(_bbt3[[#All],[ID]]=A402)*(_bbt3[[#All],[METRIC_NAME]]="YLD_YTM_ASK"),_bbt3[[#All],[METRIC_VALUE]])*0.5)+(_xlfn.XLOOKUP(1,(_bbt3[[#All],[ID]]=A402)*(_bbt3[[#All],[METRIC_NAME]]="YLD_YTM_BID"),_bbt3[[#All],[METRIC_VALUE]])*0.5))/100,"")</f>
        <v>4.1703327049999996E-2</v>
      </c>
      <c r="I402">
        <f>IF(ISNA(VLOOKUP(A402,QW_CloseDL!A:E,5,0)),0,VLOOKUP(A402,QW_CloseDL!A:E,5,0))</f>
        <v>4.1703323296067601E-2</v>
      </c>
      <c r="J402" s="8">
        <f t="shared" si="30"/>
        <v>0</v>
      </c>
      <c r="P402">
        <v>0</v>
      </c>
      <c r="Q402" t="e">
        <f t="shared" si="31"/>
        <v>#N/A</v>
      </c>
      <c r="R402" t="e">
        <f t="shared" si="32"/>
        <v>#N/A</v>
      </c>
      <c r="S402" s="9" t="e">
        <f t="shared" si="33"/>
        <v>#N/A</v>
      </c>
      <c r="T402" s="3" t="e">
        <f t="shared" si="34"/>
        <v>#N/A</v>
      </c>
    </row>
    <row r="403" spans="1:20" x14ac:dyDescent="0.35">
      <c r="A403" t="str">
        <v>91282CHX2</v>
      </c>
      <c r="B403" t="str">
        <f>IF(NOT(ISBLANK(A403)),VLOOKUP(A403,'BBT3'!A:F,2,0),"")</f>
        <v>Bond</v>
      </c>
      <c r="C403" t="str">
        <f>IF(NOT(ISBLANK(A403)),VLOOKUP(A403,'BBT3'!A:F,3,0),"")</f>
        <v>US91282CHX20</v>
      </c>
      <c r="D403" s="6">
        <f>IF(NOT(ISBLANK(A403)),VLOOKUP(A403,'BBT3'!A:F,4,1),"")</f>
        <v>4.375</v>
      </c>
      <c r="E403">
        <f>IF(NOT(ISBLANK(A403)),VLOOKUP(A403,'BBT3'!A:F,5,0),"")</f>
        <v>46996</v>
      </c>
      <c r="F403" t="str">
        <f>IF(NOT(ISBLANK(A403)),VLOOKUP(A403,'BBT3'!A:F,6,0),"")</f>
        <v>N</v>
      </c>
      <c r="G403">
        <f>IF(NOT(ISBLANK(A403)),VLOOKUP(A403,QW_Close!A:J,5,0),"")</f>
        <v>4.0734899555218397E-2</v>
      </c>
      <c r="H403" s="5" cm="1">
        <f t="array" ref="H403">IF(NOT(ISBLANK(A403)),((_xlfn.XLOOKUP(1,(_bbt3[[#All],[ID]]=A403)*(_bbt3[[#All],[METRIC_NAME]]="YLD_YTM_ASK"),_bbt3[[#All],[METRIC_VALUE]])*0.5)+(_xlfn.XLOOKUP(1,(_bbt3[[#All],[ID]]=A403)*(_bbt3[[#All],[METRIC_NAME]]="YLD_YTM_BID"),_bbt3[[#All],[METRIC_VALUE]])*0.5))/100,"")</f>
        <v>4.0734906699999997E-2</v>
      </c>
      <c r="I403">
        <f>IF(ISNA(VLOOKUP(A403,QW_CloseDL!A:E,5,0)),0,VLOOKUP(A403,QW_CloseDL!A:E,5,0))</f>
        <v>4.0734899555218397E-2</v>
      </c>
      <c r="J403" s="8">
        <f t="shared" si="30"/>
        <v>0</v>
      </c>
      <c r="P403">
        <v>0</v>
      </c>
      <c r="Q403" t="e">
        <f t="shared" si="31"/>
        <v>#N/A</v>
      </c>
      <c r="R403" t="e">
        <f t="shared" si="32"/>
        <v>#N/A</v>
      </c>
      <c r="S403" s="9" t="e">
        <f t="shared" si="33"/>
        <v>#N/A</v>
      </c>
      <c r="T403" s="3" t="e">
        <f t="shared" si="34"/>
        <v>#N/A</v>
      </c>
    </row>
    <row r="404" spans="1:20" x14ac:dyDescent="0.35">
      <c r="A404" t="str">
        <v>91282CHY0</v>
      </c>
      <c r="B404" t="str">
        <f>IF(NOT(ISBLANK(A404)),VLOOKUP(A404,'BBT3'!A:F,2,0),"")</f>
        <v>Bond</v>
      </c>
      <c r="C404" t="str">
        <f>IF(NOT(ISBLANK(A404)),VLOOKUP(A404,'BBT3'!A:F,3,0),"")</f>
        <v>US91282CHY03</v>
      </c>
      <c r="D404" s="6">
        <f>IF(NOT(ISBLANK(A404)),VLOOKUP(A404,'BBT3'!A:F,4,1),"")</f>
        <v>4.625</v>
      </c>
      <c r="E404">
        <f>IF(NOT(ISBLANK(A404)),VLOOKUP(A404,'BBT3'!A:F,5,0),"")</f>
        <v>46280</v>
      </c>
      <c r="F404" t="str">
        <f>IF(NOT(ISBLANK(A404)),VLOOKUP(A404,'BBT3'!A:F,6,0),"")</f>
        <v>N</v>
      </c>
      <c r="G404">
        <f>IF(NOT(ISBLANK(A404)),VLOOKUP(A404,QW_Close!A:J,5,0),"")</f>
        <v>3.6970521805007601E-2</v>
      </c>
      <c r="H404" s="5" cm="1">
        <f t="array" ref="H404">IF(NOT(ISBLANK(A404)),((_xlfn.XLOOKUP(1,(_bbt3[[#All],[ID]]=A404)*(_bbt3[[#All],[METRIC_NAME]]="YLD_YTM_ASK"),_bbt3[[#All],[METRIC_VALUE]])*0.5)+(_xlfn.XLOOKUP(1,(_bbt3[[#All],[ID]]=A404)*(_bbt3[[#All],[METRIC_NAME]]="YLD_YTM_BID"),_bbt3[[#All],[METRIC_VALUE]])*0.5))/100,"")</f>
        <v>3.6970631599999998E-2</v>
      </c>
      <c r="I404">
        <f>IF(ISNA(VLOOKUP(A404,QW_CloseDL!A:E,5,0)),0,VLOOKUP(A404,QW_CloseDL!A:E,5,0))</f>
        <v>3.6970521805007601E-2</v>
      </c>
      <c r="J404" s="8">
        <f t="shared" si="30"/>
        <v>0</v>
      </c>
      <c r="P404">
        <v>0</v>
      </c>
      <c r="Q404" t="e">
        <f t="shared" si="31"/>
        <v>#N/A</v>
      </c>
      <c r="R404" t="e">
        <f t="shared" si="32"/>
        <v>#N/A</v>
      </c>
      <c r="S404" s="9" t="e">
        <f t="shared" si="33"/>
        <v>#N/A</v>
      </c>
      <c r="T404" s="3" t="e">
        <f t="shared" si="34"/>
        <v>#N/A</v>
      </c>
    </row>
    <row r="405" spans="1:20" x14ac:dyDescent="0.35">
      <c r="A405" t="str">
        <v>91282CHZ7</v>
      </c>
      <c r="B405" t="str">
        <f>IF(NOT(ISBLANK(A405)),VLOOKUP(A405,'BBT3'!A:F,2,0),"")</f>
        <v>Bond</v>
      </c>
      <c r="C405" t="str">
        <f>IF(NOT(ISBLANK(A405)),VLOOKUP(A405,'BBT3'!A:F,3,0),"")</f>
        <v>US91282CHZ77</v>
      </c>
      <c r="D405" s="6">
        <f>IF(NOT(ISBLANK(A405)),VLOOKUP(A405,'BBT3'!A:F,4,1),"")</f>
        <v>4.625</v>
      </c>
      <c r="E405">
        <f>IF(NOT(ISBLANK(A405)),VLOOKUP(A405,'BBT3'!A:F,5,0),"")</f>
        <v>47756</v>
      </c>
      <c r="F405" t="str">
        <f>IF(NOT(ISBLANK(A405)),VLOOKUP(A405,'BBT3'!A:F,6,0),"")</f>
        <v>N</v>
      </c>
      <c r="G405">
        <f>IF(NOT(ISBLANK(A405)),VLOOKUP(A405,QW_Close!A:J,5,0),"")</f>
        <v>4.1697132975984E-2</v>
      </c>
      <c r="H405" s="5" cm="1">
        <f t="array" ref="H405">IF(NOT(ISBLANK(A405)),((_xlfn.XLOOKUP(1,(_bbt3[[#All],[ID]]=A405)*(_bbt3[[#All],[METRIC_NAME]]="YLD_YTM_ASK"),_bbt3[[#All],[METRIC_VALUE]])*0.5)+(_xlfn.XLOOKUP(1,(_bbt3[[#All],[ID]]=A405)*(_bbt3[[#All],[METRIC_NAME]]="YLD_YTM_BID"),_bbt3[[#All],[METRIC_VALUE]])*0.5))/100,"")</f>
        <v>4.1697138500000001E-2</v>
      </c>
      <c r="I405">
        <f>IF(ISNA(VLOOKUP(A405,QW_CloseDL!A:E,5,0)),0,VLOOKUP(A405,QW_CloseDL!A:E,5,0))</f>
        <v>4.1697132975984E-2</v>
      </c>
      <c r="J405" s="8">
        <f t="shared" si="30"/>
        <v>0</v>
      </c>
      <c r="P405">
        <v>0</v>
      </c>
      <c r="Q405" t="e">
        <f t="shared" si="31"/>
        <v>#N/A</v>
      </c>
      <c r="R405" t="e">
        <f t="shared" si="32"/>
        <v>#N/A</v>
      </c>
      <c r="S405" s="9" t="e">
        <f t="shared" si="33"/>
        <v>#N/A</v>
      </c>
      <c r="T405" s="3" t="e">
        <f t="shared" si="34"/>
        <v>#N/A</v>
      </c>
    </row>
    <row r="406" spans="1:20" x14ac:dyDescent="0.35">
      <c r="A406" t="str">
        <v>91282CJA0</v>
      </c>
      <c r="B406" t="str">
        <f>IF(NOT(ISBLANK(A406)),VLOOKUP(A406,'BBT3'!A:F,2,0),"")</f>
        <v>Bond</v>
      </c>
      <c r="C406" t="str">
        <f>IF(NOT(ISBLANK(A406)),VLOOKUP(A406,'BBT3'!A:F,3,0),"")</f>
        <v>US91282CJA09</v>
      </c>
      <c r="D406" s="6">
        <f>IF(NOT(ISBLANK(A406)),VLOOKUP(A406,'BBT3'!A:F,4,1),"")</f>
        <v>4.625</v>
      </c>
      <c r="E406">
        <f>IF(NOT(ISBLANK(A406)),VLOOKUP(A406,'BBT3'!A:F,5,0),"")</f>
        <v>47026</v>
      </c>
      <c r="F406" t="str">
        <f>IF(NOT(ISBLANK(A406)),VLOOKUP(A406,'BBT3'!A:F,6,0),"")</f>
        <v>N</v>
      </c>
      <c r="G406">
        <f>IF(NOT(ISBLANK(A406)),VLOOKUP(A406,QW_Close!A:J,5,0),"")</f>
        <v>4.0755033602891198E-2</v>
      </c>
      <c r="H406" s="5" cm="1">
        <f t="array" ref="H406">IF(NOT(ISBLANK(A406)),((_xlfn.XLOOKUP(1,(_bbt3[[#All],[ID]]=A406)*(_bbt3[[#All],[METRIC_NAME]]="YLD_YTM_ASK"),_bbt3[[#All],[METRIC_VALUE]])*0.5)+(_xlfn.XLOOKUP(1,(_bbt3[[#All],[ID]]=A406)*(_bbt3[[#All],[METRIC_NAME]]="YLD_YTM_BID"),_bbt3[[#All],[METRIC_VALUE]])*0.5))/100,"")</f>
        <v>4.0755036999999994E-2</v>
      </c>
      <c r="I406">
        <f>IF(ISNA(VLOOKUP(A406,QW_CloseDL!A:E,5,0)),0,VLOOKUP(A406,QW_CloseDL!A:E,5,0))</f>
        <v>4.0755033602891198E-2</v>
      </c>
      <c r="J406" s="8">
        <f t="shared" si="30"/>
        <v>0</v>
      </c>
      <c r="P406">
        <v>0</v>
      </c>
      <c r="Q406" t="e">
        <f t="shared" si="31"/>
        <v>#N/A</v>
      </c>
      <c r="R406" t="e">
        <f t="shared" si="32"/>
        <v>#N/A</v>
      </c>
      <c r="S406" s="9" t="e">
        <f t="shared" si="33"/>
        <v>#N/A</v>
      </c>
      <c r="T406" s="3" t="e">
        <f t="shared" si="34"/>
        <v>#N/A</v>
      </c>
    </row>
    <row r="407" spans="1:20" x14ac:dyDescent="0.35">
      <c r="A407" t="str">
        <v>91282CJC6</v>
      </c>
      <c r="B407" t="str">
        <f>IF(NOT(ISBLANK(A407)),VLOOKUP(A407,'BBT3'!A:F,2,0),"")</f>
        <v>Bond</v>
      </c>
      <c r="C407" t="str">
        <f>IF(NOT(ISBLANK(A407)),VLOOKUP(A407,'BBT3'!A:F,3,0),"")</f>
        <v>US91282CJC64</v>
      </c>
      <c r="D407" s="6">
        <f>IF(NOT(ISBLANK(A407)),VLOOKUP(A407,'BBT3'!A:F,4,1),"")</f>
        <v>4.625</v>
      </c>
      <c r="E407">
        <f>IF(NOT(ISBLANK(A407)),VLOOKUP(A407,'BBT3'!A:F,5,0),"")</f>
        <v>46310</v>
      </c>
      <c r="F407" t="str">
        <f>IF(NOT(ISBLANK(A407)),VLOOKUP(A407,'BBT3'!A:F,6,0),"")</f>
        <v>N</v>
      </c>
      <c r="G407">
        <f>IF(NOT(ISBLANK(A407)),VLOOKUP(A407,QW_Close!A:J,5,0),"")</f>
        <v>3.7283321132935698E-2</v>
      </c>
      <c r="H407" s="5" cm="1">
        <f t="array" ref="H407">IF(NOT(ISBLANK(A407)),((_xlfn.XLOOKUP(1,(_bbt3[[#All],[ID]]=A407)*(_bbt3[[#All],[METRIC_NAME]]="YLD_YTM_ASK"),_bbt3[[#All],[METRIC_VALUE]])*0.5)+(_xlfn.XLOOKUP(1,(_bbt3[[#All],[ID]]=A407)*(_bbt3[[#All],[METRIC_NAME]]="YLD_YTM_BID"),_bbt3[[#All],[METRIC_VALUE]])*0.5))/100,"")</f>
        <v>3.728337265E-2</v>
      </c>
      <c r="I407">
        <f>IF(ISNA(VLOOKUP(A407,QW_CloseDL!A:E,5,0)),0,VLOOKUP(A407,QW_CloseDL!A:E,5,0))</f>
        <v>3.7283321132935698E-2</v>
      </c>
      <c r="J407" s="8">
        <f t="shared" si="30"/>
        <v>0</v>
      </c>
      <c r="P407">
        <v>0</v>
      </c>
      <c r="Q407" t="e">
        <f t="shared" si="31"/>
        <v>#N/A</v>
      </c>
      <c r="R407" t="e">
        <f t="shared" si="32"/>
        <v>#N/A</v>
      </c>
      <c r="S407" s="9" t="e">
        <f t="shared" si="33"/>
        <v>#N/A</v>
      </c>
      <c r="T407" s="3" t="e">
        <f t="shared" si="34"/>
        <v>#N/A</v>
      </c>
    </row>
    <row r="408" spans="1:20" x14ac:dyDescent="0.35">
      <c r="A408" t="str">
        <v>91282CJF9</v>
      </c>
      <c r="B408" t="str">
        <f>IF(NOT(ISBLANK(A408)),VLOOKUP(A408,'BBT3'!A:F,2,0),"")</f>
        <v>Bond</v>
      </c>
      <c r="C408" t="str">
        <f>IF(NOT(ISBLANK(A408)),VLOOKUP(A408,'BBT3'!A:F,3,0),"")</f>
        <v>US91282CJF95</v>
      </c>
      <c r="D408" s="6">
        <f>IF(NOT(ISBLANK(A408)),VLOOKUP(A408,'BBT3'!A:F,4,1),"")</f>
        <v>4.875</v>
      </c>
      <c r="E408">
        <f>IF(NOT(ISBLANK(A408)),VLOOKUP(A408,'BBT3'!A:F,5,0),"")</f>
        <v>47057</v>
      </c>
      <c r="F408" t="str">
        <f>IF(NOT(ISBLANK(A408)),VLOOKUP(A408,'BBT3'!A:F,6,0),"")</f>
        <v>N</v>
      </c>
      <c r="G408">
        <f>IF(NOT(ISBLANK(A408)),VLOOKUP(A408,QW_Close!A:J,5,0),"")</f>
        <v>4.0855283827874199E-2</v>
      </c>
      <c r="H408" s="5" cm="1">
        <f t="array" ref="H408">IF(NOT(ISBLANK(A408)),((_xlfn.XLOOKUP(1,(_bbt3[[#All],[ID]]=A408)*(_bbt3[[#All],[METRIC_NAME]]="YLD_YTM_ASK"),_bbt3[[#All],[METRIC_VALUE]])*0.5)+(_xlfn.XLOOKUP(1,(_bbt3[[#All],[ID]]=A408)*(_bbt3[[#All],[METRIC_NAME]]="YLD_YTM_BID"),_bbt3[[#All],[METRIC_VALUE]])*0.5))/100,"")</f>
        <v>4.0855287499999997E-2</v>
      </c>
      <c r="I408">
        <f>IF(ISNA(VLOOKUP(A408,QW_CloseDL!A:E,5,0)),0,VLOOKUP(A408,QW_CloseDL!A:E,5,0))</f>
        <v>4.0855283827874199E-2</v>
      </c>
      <c r="J408" s="8">
        <f t="shared" si="30"/>
        <v>0</v>
      </c>
      <c r="P408">
        <v>0</v>
      </c>
      <c r="Q408" t="e">
        <f t="shared" si="31"/>
        <v>#N/A</v>
      </c>
      <c r="R408" t="e">
        <f t="shared" si="32"/>
        <v>#N/A</v>
      </c>
      <c r="S408" s="9" t="e">
        <f t="shared" si="33"/>
        <v>#N/A</v>
      </c>
      <c r="T408" s="3" t="e">
        <f t="shared" si="34"/>
        <v>#N/A</v>
      </c>
    </row>
    <row r="409" spans="1:20" x14ac:dyDescent="0.35">
      <c r="A409" t="str">
        <v>91282CJG7</v>
      </c>
      <c r="B409" t="str">
        <f>IF(NOT(ISBLANK(A409)),VLOOKUP(A409,'BBT3'!A:F,2,0),"")</f>
        <v>Bond</v>
      </c>
      <c r="C409" t="str">
        <f>IF(NOT(ISBLANK(A409)),VLOOKUP(A409,'BBT3'!A:F,3,0),"")</f>
        <v>US91282CJG78</v>
      </c>
      <c r="D409" s="6">
        <f>IF(NOT(ISBLANK(A409)),VLOOKUP(A409,'BBT3'!A:F,4,1),"")</f>
        <v>4.875</v>
      </c>
      <c r="E409">
        <f>IF(NOT(ISBLANK(A409)),VLOOKUP(A409,'BBT3'!A:F,5,0),"")</f>
        <v>47787</v>
      </c>
      <c r="F409" t="str">
        <f>IF(NOT(ISBLANK(A409)),VLOOKUP(A409,'BBT3'!A:F,6,0),"")</f>
        <v>N</v>
      </c>
      <c r="G409">
        <f>IF(NOT(ISBLANK(A409)),VLOOKUP(A409,QW_Close!A:J,5,0),"")</f>
        <v>4.1729207154951702E-2</v>
      </c>
      <c r="H409" s="5" cm="1">
        <f t="array" ref="H409">IF(NOT(ISBLANK(A409)),((_xlfn.XLOOKUP(1,(_bbt3[[#All],[ID]]=A409)*(_bbt3[[#All],[METRIC_NAME]]="YLD_YTM_ASK"),_bbt3[[#All],[METRIC_VALUE]])*0.5)+(_xlfn.XLOOKUP(1,(_bbt3[[#All],[ID]]=A409)*(_bbt3[[#All],[METRIC_NAME]]="YLD_YTM_BID"),_bbt3[[#All],[METRIC_VALUE]])*0.5))/100,"")</f>
        <v>4.1729212550000006E-2</v>
      </c>
      <c r="I409">
        <f>IF(ISNA(VLOOKUP(A409,QW_CloseDL!A:E,5,0)),0,VLOOKUP(A409,QW_CloseDL!A:E,5,0))</f>
        <v>4.1729207154951702E-2</v>
      </c>
      <c r="J409" s="8">
        <f t="shared" si="30"/>
        <v>0</v>
      </c>
      <c r="P409">
        <v>0</v>
      </c>
      <c r="Q409" t="e">
        <f t="shared" si="31"/>
        <v>#N/A</v>
      </c>
      <c r="R409" t="e">
        <f t="shared" si="32"/>
        <v>#N/A</v>
      </c>
      <c r="S409" s="9" t="e">
        <f t="shared" si="33"/>
        <v>#N/A</v>
      </c>
      <c r="T409" s="3" t="e">
        <f t="shared" si="34"/>
        <v>#N/A</v>
      </c>
    </row>
    <row r="410" spans="1:20" x14ac:dyDescent="0.35">
      <c r="A410" t="str">
        <v>91282CJH5</v>
      </c>
      <c r="B410" t="str">
        <f>IF(NOT(ISBLANK(A410)),VLOOKUP(A410,'BBT3'!A:F,2,0),"")</f>
        <v>Bond</v>
      </c>
      <c r="C410" t="str">
        <f>IF(NOT(ISBLANK(A410)),VLOOKUP(A410,'BBT3'!A:F,3,0),"")</f>
        <v>US91282CJH51</v>
      </c>
      <c r="D410" s="6">
        <f>IF(NOT(ISBLANK(A410)),VLOOKUP(A410,'BBT3'!A:F,4,1),"")</f>
        <v>2.375</v>
      </c>
      <c r="E410">
        <f>IF(NOT(ISBLANK(A410)),VLOOKUP(A410,'BBT3'!A:F,5,0),"")</f>
        <v>47041</v>
      </c>
      <c r="F410" t="str">
        <f>IF(NOT(ISBLANK(A410)),VLOOKUP(A410,'BBT3'!A:F,6,0),"")</f>
        <v>Y</v>
      </c>
      <c r="G410">
        <f>IF(NOT(ISBLANK(A410)),VLOOKUP(A410,QW_Close!A:J,5,0),"")</f>
        <v>1.2876251554541401E-2</v>
      </c>
      <c r="H410" s="5" cm="1">
        <f t="array" ref="H410">IF(NOT(ISBLANK(A410)),((_xlfn.XLOOKUP(1,(_bbt3[[#All],[ID]]=A410)*(_bbt3[[#All],[METRIC_NAME]]="YLD_YTM_ASK"),_bbt3[[#All],[METRIC_VALUE]])*0.5)+(_xlfn.XLOOKUP(1,(_bbt3[[#All],[ID]]=A410)*(_bbt3[[#All],[METRIC_NAME]]="YLD_YTM_BID"),_bbt3[[#All],[METRIC_VALUE]])*0.5))/100,"")</f>
        <v>1.2876350250000002E-2</v>
      </c>
      <c r="I410">
        <f>IF(ISNA(VLOOKUP(A410,QW_CloseDL!A:E,5,0)),0,VLOOKUP(A410,QW_CloseDL!A:E,5,0))</f>
        <v>1.28763312039618E-2</v>
      </c>
      <c r="J410" s="8">
        <f t="shared" si="30"/>
        <v>7.9649420399452442E-4</v>
      </c>
      <c r="P410">
        <v>0</v>
      </c>
      <c r="Q410" t="e">
        <f t="shared" si="31"/>
        <v>#N/A</v>
      </c>
      <c r="R410" t="e">
        <f t="shared" si="32"/>
        <v>#N/A</v>
      </c>
      <c r="S410" s="9" t="e">
        <f t="shared" si="33"/>
        <v>#N/A</v>
      </c>
      <c r="T410" s="3" t="e">
        <f t="shared" si="34"/>
        <v>#N/A</v>
      </c>
    </row>
    <row r="411" spans="1:20" x14ac:dyDescent="0.35">
      <c r="A411" t="str">
        <v>91282CJJ1</v>
      </c>
      <c r="B411" t="str">
        <f>IF(NOT(ISBLANK(A411)),VLOOKUP(A411,'BBT3'!A:F,2,0),"")</f>
        <v>Bond</v>
      </c>
      <c r="C411" t="str">
        <f>IF(NOT(ISBLANK(A411)),VLOOKUP(A411,'BBT3'!A:F,3,0),"")</f>
        <v>US91282CJJ18</v>
      </c>
      <c r="D411" s="6">
        <f>IF(NOT(ISBLANK(A411)),VLOOKUP(A411,'BBT3'!A:F,4,1),"")</f>
        <v>4.5</v>
      </c>
      <c r="E411">
        <f>IF(NOT(ISBLANK(A411)),VLOOKUP(A411,'BBT3'!A:F,5,0),"")</f>
        <v>48898</v>
      </c>
      <c r="F411" t="str">
        <f>IF(NOT(ISBLANK(A411)),VLOOKUP(A411,'BBT3'!A:F,6,0),"")</f>
        <v>N</v>
      </c>
      <c r="G411">
        <f>IF(NOT(ISBLANK(A411)),VLOOKUP(A411,QW_Close!A:J,5,0),"")</f>
        <v>4.35574101205711E-2</v>
      </c>
      <c r="H411" s="5" cm="1">
        <f t="array" ref="H411">IF(NOT(ISBLANK(A411)),((_xlfn.XLOOKUP(1,(_bbt3[[#All],[ID]]=A411)*(_bbt3[[#All],[METRIC_NAME]]="YLD_YTM_ASK"),_bbt3[[#All],[METRIC_VALUE]])*0.5)+(_xlfn.XLOOKUP(1,(_bbt3[[#All],[ID]]=A411)*(_bbt3[[#All],[METRIC_NAME]]="YLD_YTM_BID"),_bbt3[[#All],[METRIC_VALUE]])*0.5))/100,"")</f>
        <v>4.3557412349999998E-2</v>
      </c>
      <c r="I411">
        <f>IF(ISNA(VLOOKUP(A411,QW_CloseDL!A:E,5,0)),0,VLOOKUP(A411,QW_CloseDL!A:E,5,0))</f>
        <v>4.35574101205711E-2</v>
      </c>
      <c r="J411" s="8">
        <f t="shared" si="30"/>
        <v>0</v>
      </c>
      <c r="P411">
        <v>0</v>
      </c>
      <c r="Q411" t="e">
        <f t="shared" si="31"/>
        <v>#N/A</v>
      </c>
      <c r="R411" t="e">
        <f t="shared" si="32"/>
        <v>#N/A</v>
      </c>
      <c r="S411" s="9" t="e">
        <f t="shared" si="33"/>
        <v>#N/A</v>
      </c>
      <c r="T411" s="3" t="e">
        <f t="shared" si="34"/>
        <v>#N/A</v>
      </c>
    </row>
    <row r="412" spans="1:20" x14ac:dyDescent="0.35">
      <c r="A412" t="str">
        <v>91282CJK8</v>
      </c>
      <c r="B412" t="str">
        <f>IF(NOT(ISBLANK(A412)),VLOOKUP(A412,'BBT3'!A:F,2,0),"")</f>
        <v>Bond</v>
      </c>
      <c r="C412" t="str">
        <f>IF(NOT(ISBLANK(A412)),VLOOKUP(A412,'BBT3'!A:F,3,0),"")</f>
        <v>US91282CJK80</v>
      </c>
      <c r="D412" s="6">
        <f>IF(NOT(ISBLANK(A412)),VLOOKUP(A412,'BBT3'!A:F,4,1),"")</f>
        <v>4.625</v>
      </c>
      <c r="E412">
        <f>IF(NOT(ISBLANK(A412)),VLOOKUP(A412,'BBT3'!A:F,5,0),"")</f>
        <v>46341</v>
      </c>
      <c r="F412" t="str">
        <f>IF(NOT(ISBLANK(A412)),VLOOKUP(A412,'BBT3'!A:F,6,0),"")</f>
        <v>N</v>
      </c>
      <c r="G412">
        <f>IF(NOT(ISBLANK(A412)),VLOOKUP(A412,QW_Close!A:J,5,0),"")</f>
        <v>3.7543864582377101E-2</v>
      </c>
      <c r="H412" s="5" cm="1">
        <f t="array" ref="H412">IF(NOT(ISBLANK(A412)),((_xlfn.XLOOKUP(1,(_bbt3[[#All],[ID]]=A412)*(_bbt3[[#All],[METRIC_NAME]]="YLD_YTM_ASK"),_bbt3[[#All],[METRIC_VALUE]])*0.5)+(_xlfn.XLOOKUP(1,(_bbt3[[#All],[ID]]=A412)*(_bbt3[[#All],[METRIC_NAME]]="YLD_YTM_BID"),_bbt3[[#All],[METRIC_VALUE]])*0.5))/100,"")</f>
        <v>3.7543895699999996E-2</v>
      </c>
      <c r="I412">
        <f>IF(ISNA(VLOOKUP(A412,QW_CloseDL!A:E,5,0)),0,VLOOKUP(A412,QW_CloseDL!A:E,5,0))</f>
        <v>3.7543864582377101E-2</v>
      </c>
      <c r="J412" s="8">
        <f t="shared" si="30"/>
        <v>0</v>
      </c>
      <c r="P412">
        <v>0</v>
      </c>
      <c r="Q412" t="e">
        <f t="shared" si="31"/>
        <v>#N/A</v>
      </c>
      <c r="R412" t="e">
        <f t="shared" si="32"/>
        <v>#N/A</v>
      </c>
      <c r="S412" s="9" t="e">
        <f t="shared" si="33"/>
        <v>#N/A</v>
      </c>
      <c r="T412" s="3" t="e">
        <f t="shared" si="34"/>
        <v>#N/A</v>
      </c>
    </row>
    <row r="413" spans="1:20" x14ac:dyDescent="0.35">
      <c r="A413" t="str">
        <v>91282CJM4</v>
      </c>
      <c r="B413" t="str">
        <f>IF(NOT(ISBLANK(A413)),VLOOKUP(A413,'BBT3'!A:F,2,0),"")</f>
        <v>Bond</v>
      </c>
      <c r="C413" t="str">
        <f>IF(NOT(ISBLANK(A413)),VLOOKUP(A413,'BBT3'!A:F,3,0),"")</f>
        <v>US91282CJM47</v>
      </c>
      <c r="D413" s="6">
        <f>IF(NOT(ISBLANK(A413)),VLOOKUP(A413,'BBT3'!A:F,4,1),"")</f>
        <v>4.375</v>
      </c>
      <c r="E413">
        <f>IF(NOT(ISBLANK(A413)),VLOOKUP(A413,'BBT3'!A:F,5,0),"")</f>
        <v>47817</v>
      </c>
      <c r="F413" t="str">
        <f>IF(NOT(ISBLANK(A413)),VLOOKUP(A413,'BBT3'!A:F,6,0),"")</f>
        <v>N</v>
      </c>
      <c r="G413">
        <f>IF(NOT(ISBLANK(A413)),VLOOKUP(A413,QW_Close!A:J,5,0),"")</f>
        <v>4.1772592661818299E-2</v>
      </c>
      <c r="H413" s="5" cm="1">
        <f t="array" ref="H413">IF(NOT(ISBLANK(A413)),((_xlfn.XLOOKUP(1,(_bbt3[[#All],[ID]]=A413)*(_bbt3[[#All],[METRIC_NAME]]="YLD_YTM_ASK"),_bbt3[[#All],[METRIC_VALUE]])*0.5)+(_xlfn.XLOOKUP(1,(_bbt3[[#All],[ID]]=A413)*(_bbt3[[#All],[METRIC_NAME]]="YLD_YTM_BID"),_bbt3[[#All],[METRIC_VALUE]])*0.5))/100,"")</f>
        <v>4.177259815E-2</v>
      </c>
      <c r="I413">
        <f>IF(ISNA(VLOOKUP(A413,QW_CloseDL!A:E,5,0)),0,VLOOKUP(A413,QW_CloseDL!A:E,5,0))</f>
        <v>4.1772592661818299E-2</v>
      </c>
      <c r="J413" s="8">
        <f t="shared" si="30"/>
        <v>0</v>
      </c>
      <c r="P413">
        <v>0</v>
      </c>
      <c r="Q413" t="e">
        <f t="shared" si="31"/>
        <v>#N/A</v>
      </c>
      <c r="R413" t="e">
        <f t="shared" si="32"/>
        <v>#N/A</v>
      </c>
      <c r="S413" s="9" t="e">
        <f t="shared" si="33"/>
        <v>#N/A</v>
      </c>
      <c r="T413" s="3" t="e">
        <f t="shared" si="34"/>
        <v>#N/A</v>
      </c>
    </row>
    <row r="414" spans="1:20" x14ac:dyDescent="0.35">
      <c r="A414" t="str">
        <v>91282CJN2</v>
      </c>
      <c r="B414" t="str">
        <f>IF(NOT(ISBLANK(A414)),VLOOKUP(A414,'BBT3'!A:F,2,0),"")</f>
        <v>Bond</v>
      </c>
      <c r="C414" t="str">
        <f>IF(NOT(ISBLANK(A414)),VLOOKUP(A414,'BBT3'!A:F,3,0),"")</f>
        <v>US91282CJN20</v>
      </c>
      <c r="D414" s="6">
        <f>IF(NOT(ISBLANK(A414)),VLOOKUP(A414,'BBT3'!A:F,4,1),"")</f>
        <v>4.375</v>
      </c>
      <c r="E414">
        <f>IF(NOT(ISBLANK(A414)),VLOOKUP(A414,'BBT3'!A:F,5,0),"")</f>
        <v>47087</v>
      </c>
      <c r="F414" t="str">
        <f>IF(NOT(ISBLANK(A414)),VLOOKUP(A414,'BBT3'!A:F,6,0),"")</f>
        <v>N</v>
      </c>
      <c r="G414">
        <f>IF(NOT(ISBLANK(A414)),VLOOKUP(A414,QW_Close!A:J,5,0),"")</f>
        <v>4.0861467529106903E-2</v>
      </c>
      <c r="H414" s="5" cm="1">
        <f t="array" ref="H414">IF(NOT(ISBLANK(A414)),((_xlfn.XLOOKUP(1,(_bbt3[[#All],[ID]]=A414)*(_bbt3[[#All],[METRIC_NAME]]="YLD_YTM_ASK"),_bbt3[[#All],[METRIC_VALUE]])*0.5)+(_xlfn.XLOOKUP(1,(_bbt3[[#All],[ID]]=A414)*(_bbt3[[#All],[METRIC_NAME]]="YLD_YTM_BID"),_bbt3[[#All],[METRIC_VALUE]])*0.5))/100,"")</f>
        <v>4.0861471099999998E-2</v>
      </c>
      <c r="I414">
        <f>IF(ISNA(VLOOKUP(A414,QW_CloseDL!A:E,5,0)),0,VLOOKUP(A414,QW_CloseDL!A:E,5,0))</f>
        <v>4.0861467529106903E-2</v>
      </c>
      <c r="J414" s="8">
        <f t="shared" si="30"/>
        <v>0</v>
      </c>
      <c r="P414">
        <v>0</v>
      </c>
      <c r="Q414" t="e">
        <f t="shared" si="31"/>
        <v>#N/A</v>
      </c>
      <c r="R414" t="e">
        <f t="shared" si="32"/>
        <v>#N/A</v>
      </c>
      <c r="S414" s="9" t="e">
        <f t="shared" si="33"/>
        <v>#N/A</v>
      </c>
      <c r="T414" s="3" t="e">
        <f t="shared" si="34"/>
        <v>#N/A</v>
      </c>
    </row>
    <row r="415" spans="1:20" x14ac:dyDescent="0.35">
      <c r="A415" t="str">
        <v>91282CJP7</v>
      </c>
      <c r="B415" t="str">
        <f>IF(NOT(ISBLANK(A415)),VLOOKUP(A415,'BBT3'!A:F,2,0),"")</f>
        <v>Bond</v>
      </c>
      <c r="C415" t="str">
        <f>IF(NOT(ISBLANK(A415)),VLOOKUP(A415,'BBT3'!A:F,3,0),"")</f>
        <v>US91282CJP77</v>
      </c>
      <c r="D415" s="6">
        <f>IF(NOT(ISBLANK(A415)),VLOOKUP(A415,'BBT3'!A:F,4,1),"")</f>
        <v>4.375</v>
      </c>
      <c r="E415">
        <f>IF(NOT(ISBLANK(A415)),VLOOKUP(A415,'BBT3'!A:F,5,0),"")</f>
        <v>46371</v>
      </c>
      <c r="F415" t="str">
        <f>IF(NOT(ISBLANK(A415)),VLOOKUP(A415,'BBT3'!A:F,6,0),"")</f>
        <v>N</v>
      </c>
      <c r="G415">
        <f>IF(NOT(ISBLANK(A415)),VLOOKUP(A415,QW_Close!A:J,5,0),"")</f>
        <v>3.7163840554207302E-2</v>
      </c>
      <c r="H415" s="5" cm="1">
        <f t="array" ref="H415">IF(NOT(ISBLANK(A415)),((_xlfn.XLOOKUP(1,(_bbt3[[#All],[ID]]=A415)*(_bbt3[[#All],[METRIC_NAME]]="YLD_YTM_ASK"),_bbt3[[#All],[METRIC_VALUE]])*0.5)+(_xlfn.XLOOKUP(1,(_bbt3[[#All],[ID]]=A415)*(_bbt3[[#All],[METRIC_NAME]]="YLD_YTM_BID"),_bbt3[[#All],[METRIC_VALUE]])*0.5))/100,"")</f>
        <v>3.7163866199999999E-2</v>
      </c>
      <c r="I415">
        <f>IF(ISNA(VLOOKUP(A415,QW_CloseDL!A:E,5,0)),0,VLOOKUP(A415,QW_CloseDL!A:E,5,0))</f>
        <v>3.7163840554207302E-2</v>
      </c>
      <c r="J415" s="8">
        <f t="shared" si="30"/>
        <v>0</v>
      </c>
      <c r="P415">
        <v>0</v>
      </c>
      <c r="Q415" t="e">
        <f t="shared" si="31"/>
        <v>#N/A</v>
      </c>
      <c r="R415" t="e">
        <f t="shared" si="32"/>
        <v>#N/A</v>
      </c>
      <c r="S415" s="9" t="e">
        <f t="shared" si="33"/>
        <v>#N/A</v>
      </c>
      <c r="T415" s="3" t="e">
        <f t="shared" si="34"/>
        <v>#N/A</v>
      </c>
    </row>
    <row r="416" spans="1:20" x14ac:dyDescent="0.35">
      <c r="A416" t="str">
        <v>91282CJQ5</v>
      </c>
      <c r="B416" t="str">
        <f>IF(NOT(ISBLANK(A416)),VLOOKUP(A416,'BBT3'!A:F,2,0),"")</f>
        <v>Bond</v>
      </c>
      <c r="C416" t="str">
        <f>IF(NOT(ISBLANK(A416)),VLOOKUP(A416,'BBT3'!A:F,3,0),"")</f>
        <v>US91282CJQ50</v>
      </c>
      <c r="D416" s="6">
        <f>IF(NOT(ISBLANK(A416)),VLOOKUP(A416,'BBT3'!A:F,4,1),"")</f>
        <v>3.75</v>
      </c>
      <c r="E416">
        <f>IF(NOT(ISBLANK(A416)),VLOOKUP(A416,'BBT3'!A:F,5,0),"")</f>
        <v>47848</v>
      </c>
      <c r="F416" t="str">
        <f>IF(NOT(ISBLANK(A416)),VLOOKUP(A416,'BBT3'!A:F,6,0),"")</f>
        <v>N</v>
      </c>
      <c r="G416">
        <f>IF(NOT(ISBLANK(A416)),VLOOKUP(A416,QW_Close!A:J,5,0),"")</f>
        <v>4.1827249548464299E-2</v>
      </c>
      <c r="H416" s="5" cm="1">
        <f t="array" ref="H416">IF(NOT(ISBLANK(A416)),((_xlfn.XLOOKUP(1,(_bbt3[[#All],[ID]]=A416)*(_bbt3[[#All],[METRIC_NAME]]="YLD_YTM_ASK"),_bbt3[[#All],[METRIC_VALUE]])*0.5)+(_xlfn.XLOOKUP(1,(_bbt3[[#All],[ID]]=A416)*(_bbt3[[#All],[METRIC_NAME]]="YLD_YTM_BID"),_bbt3[[#All],[METRIC_VALUE]])*0.5))/100,"")</f>
        <v>4.1827255000000001E-2</v>
      </c>
      <c r="I416">
        <f>IF(ISNA(VLOOKUP(A416,QW_CloseDL!A:E,5,0)),0,VLOOKUP(A416,QW_CloseDL!A:E,5,0))</f>
        <v>4.1827249548464299E-2</v>
      </c>
      <c r="J416" s="8">
        <f t="shared" si="30"/>
        <v>0</v>
      </c>
      <c r="P416">
        <v>0</v>
      </c>
      <c r="Q416" t="e">
        <f t="shared" si="31"/>
        <v>#N/A</v>
      </c>
      <c r="R416" t="e">
        <f t="shared" si="32"/>
        <v>#N/A</v>
      </c>
      <c r="S416" s="9" t="e">
        <f t="shared" si="33"/>
        <v>#N/A</v>
      </c>
      <c r="T416" s="3" t="e">
        <f t="shared" si="34"/>
        <v>#N/A</v>
      </c>
    </row>
    <row r="417" spans="1:20" x14ac:dyDescent="0.35">
      <c r="A417" t="str">
        <v>91282CJR3</v>
      </c>
      <c r="B417" t="str">
        <f>IF(NOT(ISBLANK(A417)),VLOOKUP(A417,'BBT3'!A:F,2,0),"")</f>
        <v>Bond</v>
      </c>
      <c r="C417" t="str">
        <f>IF(NOT(ISBLANK(A417)),VLOOKUP(A417,'BBT3'!A:F,3,0),"")</f>
        <v>US91282CJR34</v>
      </c>
      <c r="D417" s="6">
        <f>IF(NOT(ISBLANK(A417)),VLOOKUP(A417,'BBT3'!A:F,4,1),"")</f>
        <v>3.75</v>
      </c>
      <c r="E417">
        <f>IF(NOT(ISBLANK(A417)),VLOOKUP(A417,'BBT3'!A:F,5,0),"")</f>
        <v>47118</v>
      </c>
      <c r="F417" t="str">
        <f>IF(NOT(ISBLANK(A417)),VLOOKUP(A417,'BBT3'!A:F,6,0),"")</f>
        <v>N</v>
      </c>
      <c r="G417">
        <f>IF(NOT(ISBLANK(A417)),VLOOKUP(A417,QW_Close!A:J,5,0),"")</f>
        <v>4.0951811752181801E-2</v>
      </c>
      <c r="H417" s="5" cm="1">
        <f t="array" ref="H417">IF(NOT(ISBLANK(A417)),((_xlfn.XLOOKUP(1,(_bbt3[[#All],[ID]]=A417)*(_bbt3[[#All],[METRIC_NAME]]="YLD_YTM_ASK"),_bbt3[[#All],[METRIC_VALUE]])*0.5)+(_xlfn.XLOOKUP(1,(_bbt3[[#All],[ID]]=A417)*(_bbt3[[#All],[METRIC_NAME]]="YLD_YTM_BID"),_bbt3[[#All],[METRIC_VALUE]])*0.5))/100,"")</f>
        <v>4.0951818000000001E-2</v>
      </c>
      <c r="I417">
        <f>IF(ISNA(VLOOKUP(A417,QW_CloseDL!A:E,5,0)),0,VLOOKUP(A417,QW_CloseDL!A:E,5,0))</f>
        <v>4.0951811752181801E-2</v>
      </c>
      <c r="J417" s="8">
        <f t="shared" si="30"/>
        <v>0</v>
      </c>
      <c r="P417">
        <v>0</v>
      </c>
      <c r="Q417" t="e">
        <f t="shared" si="31"/>
        <v>#N/A</v>
      </c>
      <c r="R417" t="e">
        <f t="shared" si="32"/>
        <v>#N/A</v>
      </c>
      <c r="S417" s="9" t="e">
        <f t="shared" si="33"/>
        <v>#N/A</v>
      </c>
      <c r="T417" s="3" t="e">
        <f t="shared" si="34"/>
        <v>#N/A</v>
      </c>
    </row>
    <row r="418" spans="1:20" x14ac:dyDescent="0.35">
      <c r="A418" t="str">
        <v>91282CJT9</v>
      </c>
      <c r="B418" t="str">
        <f>IF(NOT(ISBLANK(A418)),VLOOKUP(A418,'BBT3'!A:F,2,0),"")</f>
        <v>Bond</v>
      </c>
      <c r="C418" t="str">
        <f>IF(NOT(ISBLANK(A418)),VLOOKUP(A418,'BBT3'!A:F,3,0),"")</f>
        <v>US91282CJT99</v>
      </c>
      <c r="D418" s="6">
        <f>IF(NOT(ISBLANK(A418)),VLOOKUP(A418,'BBT3'!A:F,4,1),"")</f>
        <v>4</v>
      </c>
      <c r="E418">
        <f>IF(NOT(ISBLANK(A418)),VLOOKUP(A418,'BBT3'!A:F,5,0),"")</f>
        <v>46402</v>
      </c>
      <c r="F418" t="str">
        <f>IF(NOT(ISBLANK(A418)),VLOOKUP(A418,'BBT3'!A:F,6,0),"")</f>
        <v>N</v>
      </c>
      <c r="G418">
        <f>IF(NOT(ISBLANK(A418)),VLOOKUP(A418,QW_Close!A:J,5,0),"")</f>
        <v>3.7692449427771203E-2</v>
      </c>
      <c r="H418" s="5" cm="1">
        <f t="array" ref="H418">IF(NOT(ISBLANK(A418)),((_xlfn.XLOOKUP(1,(_bbt3[[#All],[ID]]=A418)*(_bbt3[[#All],[METRIC_NAME]]="YLD_YTM_ASK"),_bbt3[[#All],[METRIC_VALUE]])*0.5)+(_xlfn.XLOOKUP(1,(_bbt3[[#All],[ID]]=A418)*(_bbt3[[#All],[METRIC_NAME]]="YLD_YTM_BID"),_bbt3[[#All],[METRIC_VALUE]])*0.5))/100,"")</f>
        <v>3.7692496499999999E-2</v>
      </c>
      <c r="I418">
        <f>IF(ISNA(VLOOKUP(A418,QW_CloseDL!A:E,5,0)),0,VLOOKUP(A418,QW_CloseDL!A:E,5,0))</f>
        <v>3.7692449427771203E-2</v>
      </c>
      <c r="J418" s="8">
        <f t="shared" si="30"/>
        <v>0</v>
      </c>
      <c r="P418">
        <v>0</v>
      </c>
      <c r="Q418" t="e">
        <f t="shared" si="31"/>
        <v>#N/A</v>
      </c>
      <c r="R418" t="e">
        <f t="shared" si="32"/>
        <v>#N/A</v>
      </c>
      <c r="S418" s="9" t="e">
        <f t="shared" si="33"/>
        <v>#N/A</v>
      </c>
      <c r="T418" s="3" t="e">
        <f t="shared" si="34"/>
        <v>#N/A</v>
      </c>
    </row>
    <row r="419" spans="1:20" x14ac:dyDescent="0.35">
      <c r="A419" t="str">
        <v>91282CJW2</v>
      </c>
      <c r="B419" t="str">
        <f>IF(NOT(ISBLANK(A419)),VLOOKUP(A419,'BBT3'!A:F,2,0),"")</f>
        <v>Bond</v>
      </c>
      <c r="C419" t="str">
        <f>IF(NOT(ISBLANK(A419)),VLOOKUP(A419,'BBT3'!A:F,3,0),"")</f>
        <v>US91282CJW29</v>
      </c>
      <c r="D419" s="6">
        <f>IF(NOT(ISBLANK(A419)),VLOOKUP(A419,'BBT3'!A:F,4,1),"")</f>
        <v>4</v>
      </c>
      <c r="E419">
        <f>IF(NOT(ISBLANK(A419)),VLOOKUP(A419,'BBT3'!A:F,5,0),"")</f>
        <v>47149</v>
      </c>
      <c r="F419" t="str">
        <f>IF(NOT(ISBLANK(A419)),VLOOKUP(A419,'BBT3'!A:F,6,0),"")</f>
        <v>N</v>
      </c>
      <c r="G419">
        <f>IF(NOT(ISBLANK(A419)),VLOOKUP(A419,QW_Close!A:J,5,0),"")</f>
        <v>4.1001772482707803E-2</v>
      </c>
      <c r="H419" s="5" cm="1">
        <f t="array" ref="H419">IF(NOT(ISBLANK(A419)),((_xlfn.XLOOKUP(1,(_bbt3[[#All],[ID]]=A419)*(_bbt3[[#All],[METRIC_NAME]]="YLD_YTM_ASK"),_bbt3[[#All],[METRIC_VALUE]])*0.5)+(_xlfn.XLOOKUP(1,(_bbt3[[#All],[ID]]=A419)*(_bbt3[[#All],[METRIC_NAME]]="YLD_YTM_BID"),_bbt3[[#All],[METRIC_VALUE]])*0.5))/100,"")</f>
        <v>4.1001775849999998E-2</v>
      </c>
      <c r="I419">
        <f>IF(ISNA(VLOOKUP(A419,QW_CloseDL!A:E,5,0)),0,VLOOKUP(A419,QW_CloseDL!A:E,5,0))</f>
        <v>4.1001772482707803E-2</v>
      </c>
      <c r="J419" s="8">
        <f t="shared" si="30"/>
        <v>0</v>
      </c>
      <c r="P419">
        <v>0</v>
      </c>
      <c r="Q419" t="e">
        <f t="shared" si="31"/>
        <v>#N/A</v>
      </c>
      <c r="R419" t="e">
        <f t="shared" si="32"/>
        <v>#N/A</v>
      </c>
      <c r="S419" s="9" t="e">
        <f t="shared" si="33"/>
        <v>#N/A</v>
      </c>
      <c r="T419" s="3" t="e">
        <f t="shared" si="34"/>
        <v>#N/A</v>
      </c>
    </row>
    <row r="420" spans="1:20" x14ac:dyDescent="0.35">
      <c r="A420" t="str">
        <v>91282CJX0</v>
      </c>
      <c r="B420" t="str">
        <f>IF(NOT(ISBLANK(A420)),VLOOKUP(A420,'BBT3'!A:F,2,0),"")</f>
        <v>Bond</v>
      </c>
      <c r="C420" t="str">
        <f>IF(NOT(ISBLANK(A420)),VLOOKUP(A420,'BBT3'!A:F,3,0),"")</f>
        <v>US91282CJX02</v>
      </c>
      <c r="D420" s="6">
        <f>IF(NOT(ISBLANK(A420)),VLOOKUP(A420,'BBT3'!A:F,4,1),"")</f>
        <v>4</v>
      </c>
      <c r="E420">
        <f>IF(NOT(ISBLANK(A420)),VLOOKUP(A420,'BBT3'!A:F,5,0),"")</f>
        <v>47879</v>
      </c>
      <c r="F420" t="str">
        <f>IF(NOT(ISBLANK(A420)),VLOOKUP(A420,'BBT3'!A:F,6,0),"")</f>
        <v>N</v>
      </c>
      <c r="G420">
        <f>IF(NOT(ISBLANK(A420)),VLOOKUP(A420,QW_Close!A:J,5,0),"")</f>
        <v>4.1835354827114701E-2</v>
      </c>
      <c r="H420" s="5" cm="1">
        <f t="array" ref="H420">IF(NOT(ISBLANK(A420)),((_xlfn.XLOOKUP(1,(_bbt3[[#All],[ID]]=A420)*(_bbt3[[#All],[METRIC_NAME]]="YLD_YTM_ASK"),_bbt3[[#All],[METRIC_VALUE]])*0.5)+(_xlfn.XLOOKUP(1,(_bbt3[[#All],[ID]]=A420)*(_bbt3[[#All],[METRIC_NAME]]="YLD_YTM_BID"),_bbt3[[#All],[METRIC_VALUE]])*0.5))/100,"")</f>
        <v>4.18353583E-2</v>
      </c>
      <c r="I420">
        <f>IF(ISNA(VLOOKUP(A420,QW_CloseDL!A:E,5,0)),0,VLOOKUP(A420,QW_CloseDL!A:E,5,0))</f>
        <v>4.1835354827114701E-2</v>
      </c>
      <c r="J420" s="8">
        <f t="shared" si="30"/>
        <v>0</v>
      </c>
      <c r="P420">
        <v>0</v>
      </c>
      <c r="Q420" t="e">
        <f t="shared" si="31"/>
        <v>#N/A</v>
      </c>
      <c r="R420" t="e">
        <f t="shared" si="32"/>
        <v>#N/A</v>
      </c>
      <c r="S420" s="9" t="e">
        <f t="shared" si="33"/>
        <v>#N/A</v>
      </c>
      <c r="T420" s="3" t="e">
        <f t="shared" si="34"/>
        <v>#N/A</v>
      </c>
    </row>
    <row r="421" spans="1:20" x14ac:dyDescent="0.35">
      <c r="A421" t="str">
        <v>91282CJY8</v>
      </c>
      <c r="B421" t="str">
        <f>IF(NOT(ISBLANK(A421)),VLOOKUP(A421,'BBT3'!A:F,2,0),"")</f>
        <v>Bond</v>
      </c>
      <c r="C421" t="str">
        <f>IF(NOT(ISBLANK(A421)),VLOOKUP(A421,'BBT3'!A:F,3,0),"")</f>
        <v>US91282CJY84</v>
      </c>
      <c r="D421" s="6">
        <f>IF(NOT(ISBLANK(A421)),VLOOKUP(A421,'BBT3'!A:F,4,1),"")</f>
        <v>1.75</v>
      </c>
      <c r="E421">
        <f>IF(NOT(ISBLANK(A421)),VLOOKUP(A421,'BBT3'!A:F,5,0),"")</f>
        <v>48959</v>
      </c>
      <c r="F421" t="str">
        <f>IF(NOT(ISBLANK(A421)),VLOOKUP(A421,'BBT3'!A:F,6,0),"")</f>
        <v>Y</v>
      </c>
      <c r="G421">
        <f>IF(NOT(ISBLANK(A421)),VLOOKUP(A421,QW_Close!A:J,5,0),"")</f>
        <v>1.9317387456064102E-2</v>
      </c>
      <c r="H421" s="5" cm="1">
        <f t="array" ref="H421">IF(NOT(ISBLANK(A421)),((_xlfn.XLOOKUP(1,(_bbt3[[#All],[ID]]=A421)*(_bbt3[[#All],[METRIC_NAME]]="YLD_YTM_ASK"),_bbt3[[#All],[METRIC_VALUE]])*0.5)+(_xlfn.XLOOKUP(1,(_bbt3[[#All],[ID]]=A421)*(_bbt3[[#All],[METRIC_NAME]]="YLD_YTM_BID"),_bbt3[[#All],[METRIC_VALUE]])*0.5))/100,"")</f>
        <v>1.9317391900000001E-2</v>
      </c>
      <c r="I421">
        <f>IF(ISNA(VLOOKUP(A421,QW_CloseDL!A:E,5,0)),0,VLOOKUP(A421,QW_CloseDL!A:E,5,0))</f>
        <v>1.9317387456064102E-2</v>
      </c>
      <c r="J421" s="8">
        <f t="shared" si="30"/>
        <v>0</v>
      </c>
      <c r="P421">
        <v>0</v>
      </c>
      <c r="Q421" t="e">
        <f t="shared" si="31"/>
        <v>#N/A</v>
      </c>
      <c r="R421" t="e">
        <f t="shared" si="32"/>
        <v>#N/A</v>
      </c>
      <c r="S421" s="9" t="e">
        <f t="shared" si="33"/>
        <v>#N/A</v>
      </c>
      <c r="T421" s="3" t="e">
        <f t="shared" si="34"/>
        <v>#N/A</v>
      </c>
    </row>
    <row r="422" spans="1:20" x14ac:dyDescent="0.35">
      <c r="A422" t="str">
        <v>91282CJZ5</v>
      </c>
      <c r="B422" t="str">
        <f>IF(NOT(ISBLANK(A422)),VLOOKUP(A422,'BBT3'!A:F,2,0),"")</f>
        <v>Bond</v>
      </c>
      <c r="C422" t="str">
        <f>IF(NOT(ISBLANK(A422)),VLOOKUP(A422,'BBT3'!A:F,3,0),"")</f>
        <v>US91282CJZ59</v>
      </c>
      <c r="D422" s="6">
        <f>IF(NOT(ISBLANK(A422)),VLOOKUP(A422,'BBT3'!A:F,4,1),"")</f>
        <v>4</v>
      </c>
      <c r="E422">
        <f>IF(NOT(ISBLANK(A422)),VLOOKUP(A422,'BBT3'!A:F,5,0),"")</f>
        <v>48990</v>
      </c>
      <c r="F422" t="str">
        <f>IF(NOT(ISBLANK(A422)),VLOOKUP(A422,'BBT3'!A:F,6,0),"")</f>
        <v>N</v>
      </c>
      <c r="G422">
        <f>IF(NOT(ISBLANK(A422)),VLOOKUP(A422,QW_Close!A:J,5,0),"")</f>
        <v>4.3732084180857903E-2</v>
      </c>
      <c r="H422" s="5" cm="1">
        <f t="array" ref="H422">IF(NOT(ISBLANK(A422)),((_xlfn.XLOOKUP(1,(_bbt3[[#All],[ID]]=A422)*(_bbt3[[#All],[METRIC_NAME]]="YLD_YTM_ASK"),_bbt3[[#All],[METRIC_VALUE]])*0.5)+(_xlfn.XLOOKUP(1,(_bbt3[[#All],[ID]]=A422)*(_bbt3[[#All],[METRIC_NAME]]="YLD_YTM_BID"),_bbt3[[#All],[METRIC_VALUE]])*0.5))/100,"")</f>
        <v>4.3732086449999999E-2</v>
      </c>
      <c r="I422">
        <f>IF(ISNA(VLOOKUP(A422,QW_CloseDL!A:E,5,0)),0,VLOOKUP(A422,QW_CloseDL!A:E,5,0))</f>
        <v>4.3732084180857903E-2</v>
      </c>
      <c r="J422" s="8">
        <f t="shared" si="30"/>
        <v>0</v>
      </c>
      <c r="P422">
        <v>0</v>
      </c>
      <c r="Q422" t="e">
        <f t="shared" si="31"/>
        <v>#N/A</v>
      </c>
      <c r="R422" t="e">
        <f t="shared" si="32"/>
        <v>#N/A</v>
      </c>
      <c r="S422" s="9" t="e">
        <f t="shared" si="33"/>
        <v>#N/A</v>
      </c>
      <c r="T422" s="3" t="e">
        <f t="shared" si="34"/>
        <v>#N/A</v>
      </c>
    </row>
    <row r="423" spans="1:20" x14ac:dyDescent="0.35">
      <c r="A423" t="str">
        <v>91282CKA8</v>
      </c>
      <c r="B423" t="str">
        <f>IF(NOT(ISBLANK(A423)),VLOOKUP(A423,'BBT3'!A:F,2,0),"")</f>
        <v>Bond</v>
      </c>
      <c r="C423" t="str">
        <f>IF(NOT(ISBLANK(A423)),VLOOKUP(A423,'BBT3'!A:F,3,0),"")</f>
        <v>US91282CKA89</v>
      </c>
      <c r="D423" s="6">
        <f>IF(NOT(ISBLANK(A423)),VLOOKUP(A423,'BBT3'!A:F,4,1),"")</f>
        <v>4.125</v>
      </c>
      <c r="E423">
        <f>IF(NOT(ISBLANK(A423)),VLOOKUP(A423,'BBT3'!A:F,5,0),"")</f>
        <v>46433</v>
      </c>
      <c r="F423" t="str">
        <f>IF(NOT(ISBLANK(A423)),VLOOKUP(A423,'BBT3'!A:F,6,0),"")</f>
        <v>N</v>
      </c>
      <c r="G423">
        <f>IF(NOT(ISBLANK(A423)),VLOOKUP(A423,QW_Close!A:J,5,0),"")</f>
        <v>3.8282761902850203E-2</v>
      </c>
      <c r="H423" s="5" cm="1">
        <f t="array" ref="H423">IF(NOT(ISBLANK(A423)),((_xlfn.XLOOKUP(1,(_bbt3[[#All],[ID]]=A423)*(_bbt3[[#All],[METRIC_NAME]]="YLD_YTM_ASK"),_bbt3[[#All],[METRIC_VALUE]])*0.5)+(_xlfn.XLOOKUP(1,(_bbt3[[#All],[ID]]=A423)*(_bbt3[[#All],[METRIC_NAME]]="YLD_YTM_BID"),_bbt3[[#All],[METRIC_VALUE]])*0.5))/100,"")</f>
        <v>3.8282785350000001E-2</v>
      </c>
      <c r="I423">
        <f>IF(ISNA(VLOOKUP(A423,QW_CloseDL!A:E,5,0)),0,VLOOKUP(A423,QW_CloseDL!A:E,5,0))</f>
        <v>3.8282761902850203E-2</v>
      </c>
      <c r="J423" s="8">
        <f t="shared" si="30"/>
        <v>0</v>
      </c>
      <c r="P423">
        <v>0</v>
      </c>
      <c r="Q423" t="e">
        <f t="shared" si="31"/>
        <v>#N/A</v>
      </c>
      <c r="R423" t="e">
        <f t="shared" si="32"/>
        <v>#N/A</v>
      </c>
      <c r="S423" s="9" t="e">
        <f t="shared" si="33"/>
        <v>#N/A</v>
      </c>
      <c r="T423" s="3" t="e">
        <f t="shared" si="34"/>
        <v>#N/A</v>
      </c>
    </row>
    <row r="424" spans="1:20" x14ac:dyDescent="0.35">
      <c r="A424" t="str">
        <v>91282CKC4</v>
      </c>
      <c r="B424" t="str">
        <f>IF(NOT(ISBLANK(A424)),VLOOKUP(A424,'BBT3'!A:F,2,0),"")</f>
        <v>Bond</v>
      </c>
      <c r="C424" t="str">
        <f>IF(NOT(ISBLANK(A424)),VLOOKUP(A424,'BBT3'!A:F,3,0),"")</f>
        <v>US91282CKC46</v>
      </c>
      <c r="D424" s="6">
        <f>IF(NOT(ISBLANK(A424)),VLOOKUP(A424,'BBT3'!A:F,4,1),"")</f>
        <v>4.25</v>
      </c>
      <c r="E424">
        <f>IF(NOT(ISBLANK(A424)),VLOOKUP(A424,'BBT3'!A:F,5,0),"")</f>
        <v>47907</v>
      </c>
      <c r="F424" t="str">
        <f>IF(NOT(ISBLANK(A424)),VLOOKUP(A424,'BBT3'!A:F,6,0),"")</f>
        <v>N</v>
      </c>
      <c r="G424">
        <f>IF(NOT(ISBLANK(A424)),VLOOKUP(A424,QW_Close!A:J,5,0),"")</f>
        <v>4.1863027417422698E-2</v>
      </c>
      <c r="H424" s="5" cm="1">
        <f t="array" ref="H424">IF(NOT(ISBLANK(A424)),((_xlfn.XLOOKUP(1,(_bbt3[[#All],[ID]]=A424)*(_bbt3[[#All],[METRIC_NAME]]="YLD_YTM_ASK"),_bbt3[[#All],[METRIC_VALUE]])*0.5)+(_xlfn.XLOOKUP(1,(_bbt3[[#All],[ID]]=A424)*(_bbt3[[#All],[METRIC_NAME]]="YLD_YTM_BID"),_bbt3[[#All],[METRIC_VALUE]])*0.5))/100,"")</f>
        <v>4.1863030749999995E-2</v>
      </c>
      <c r="I424">
        <f>IF(ISNA(VLOOKUP(A424,QW_CloseDL!A:E,5,0)),0,VLOOKUP(A424,QW_CloseDL!A:E,5,0))</f>
        <v>4.1863027417422698E-2</v>
      </c>
      <c r="J424" s="8">
        <f t="shared" si="30"/>
        <v>0</v>
      </c>
      <c r="P424">
        <v>0</v>
      </c>
      <c r="Q424" t="e">
        <f t="shared" si="31"/>
        <v>#N/A</v>
      </c>
      <c r="R424" t="e">
        <f t="shared" si="32"/>
        <v>#N/A</v>
      </c>
      <c r="S424" s="9" t="e">
        <f t="shared" si="33"/>
        <v>#N/A</v>
      </c>
      <c r="T424" s="3" t="e">
        <f t="shared" si="34"/>
        <v>#N/A</v>
      </c>
    </row>
    <row r="425" spans="1:20" x14ac:dyDescent="0.35">
      <c r="A425" t="str">
        <v>91282CKD2</v>
      </c>
      <c r="B425" t="str">
        <f>IF(NOT(ISBLANK(A425)),VLOOKUP(A425,'BBT3'!A:F,2,0),"")</f>
        <v>Bond</v>
      </c>
      <c r="C425" t="str">
        <f>IF(NOT(ISBLANK(A425)),VLOOKUP(A425,'BBT3'!A:F,3,0),"")</f>
        <v>US91282CKD29</v>
      </c>
      <c r="D425" s="6">
        <f>IF(NOT(ISBLANK(A425)),VLOOKUP(A425,'BBT3'!A:F,4,1),"")</f>
        <v>4.25</v>
      </c>
      <c r="E425">
        <f>IF(NOT(ISBLANK(A425)),VLOOKUP(A425,'BBT3'!A:F,5,0),"")</f>
        <v>47177</v>
      </c>
      <c r="F425" t="str">
        <f>IF(NOT(ISBLANK(A425)),VLOOKUP(A425,'BBT3'!A:F,6,0),"")</f>
        <v>N</v>
      </c>
      <c r="G425">
        <f>IF(NOT(ISBLANK(A425)),VLOOKUP(A425,QW_Close!A:J,5,0),"")</f>
        <v>4.1001089960376803E-2</v>
      </c>
      <c r="H425" s="5" cm="1">
        <f t="array" ref="H425">IF(NOT(ISBLANK(A425)),((_xlfn.XLOOKUP(1,(_bbt3[[#All],[ID]]=A425)*(_bbt3[[#All],[METRIC_NAME]]="YLD_YTM_ASK"),_bbt3[[#All],[METRIC_VALUE]])*0.5)+(_xlfn.XLOOKUP(1,(_bbt3[[#All],[ID]]=A425)*(_bbt3[[#All],[METRIC_NAME]]="YLD_YTM_BID"),_bbt3[[#All],[METRIC_VALUE]])*0.5))/100,"")</f>
        <v>4.1001093199999998E-2</v>
      </c>
      <c r="I425">
        <f>IF(ISNA(VLOOKUP(A425,QW_CloseDL!A:E,5,0)),0,VLOOKUP(A425,QW_CloseDL!A:E,5,0))</f>
        <v>4.1001089960376803E-2</v>
      </c>
      <c r="J425" s="8">
        <f t="shared" si="30"/>
        <v>0</v>
      </c>
      <c r="P425">
        <v>0</v>
      </c>
      <c r="Q425" t="e">
        <f t="shared" si="31"/>
        <v>#N/A</v>
      </c>
      <c r="R425" t="e">
        <f t="shared" si="32"/>
        <v>#N/A</v>
      </c>
      <c r="S425" s="9" t="e">
        <f t="shared" si="33"/>
        <v>#N/A</v>
      </c>
      <c r="T425" s="3" t="e">
        <f t="shared" si="34"/>
        <v>#N/A</v>
      </c>
    </row>
    <row r="426" spans="1:20" x14ac:dyDescent="0.35">
      <c r="A426" t="str">
        <v>91282CKE0</v>
      </c>
      <c r="B426" t="str">
        <f>IF(NOT(ISBLANK(A426)),VLOOKUP(A426,'BBT3'!A:F,2,0),"")</f>
        <v>Bond</v>
      </c>
      <c r="C426" t="str">
        <f>IF(NOT(ISBLANK(A426)),VLOOKUP(A426,'BBT3'!A:F,3,0),"")</f>
        <v>US91282CKE02</v>
      </c>
      <c r="D426" s="6">
        <f>IF(NOT(ISBLANK(A426)),VLOOKUP(A426,'BBT3'!A:F,4,1),"")</f>
        <v>4.25</v>
      </c>
      <c r="E426">
        <f>IF(NOT(ISBLANK(A426)),VLOOKUP(A426,'BBT3'!A:F,5,0),"")</f>
        <v>46461</v>
      </c>
      <c r="F426" t="str">
        <f>IF(NOT(ISBLANK(A426)),VLOOKUP(A426,'BBT3'!A:F,6,0),"")</f>
        <v>N</v>
      </c>
      <c r="G426">
        <f>IF(NOT(ISBLANK(A426)),VLOOKUP(A426,QW_Close!A:J,5,0),"")</f>
        <v>3.8058502866418001E-2</v>
      </c>
      <c r="H426" s="5" cm="1">
        <f t="array" ref="H426">IF(NOT(ISBLANK(A426)),((_xlfn.XLOOKUP(1,(_bbt3[[#All],[ID]]=A426)*(_bbt3[[#All],[METRIC_NAME]]="YLD_YTM_ASK"),_bbt3[[#All],[METRIC_VALUE]])*0.5)+(_xlfn.XLOOKUP(1,(_bbt3[[#All],[ID]]=A426)*(_bbt3[[#All],[METRIC_NAME]]="YLD_YTM_BID"),_bbt3[[#All],[METRIC_VALUE]])*0.5))/100,"")</f>
        <v>3.8058517649999998E-2</v>
      </c>
      <c r="I426">
        <f>IF(ISNA(VLOOKUP(A426,QW_CloseDL!A:E,5,0)),0,VLOOKUP(A426,QW_CloseDL!A:E,5,0))</f>
        <v>3.8058502866418001E-2</v>
      </c>
      <c r="J426" s="8">
        <f t="shared" si="30"/>
        <v>0</v>
      </c>
      <c r="P426">
        <v>0</v>
      </c>
      <c r="Q426" t="e">
        <f t="shared" si="31"/>
        <v>#N/A</v>
      </c>
      <c r="R426" t="e">
        <f t="shared" si="32"/>
        <v>#N/A</v>
      </c>
      <c r="S426" s="9" t="e">
        <f t="shared" si="33"/>
        <v>#N/A</v>
      </c>
      <c r="T426" s="3" t="e">
        <f t="shared" si="34"/>
        <v>#N/A</v>
      </c>
    </row>
    <row r="427" spans="1:20" x14ac:dyDescent="0.35">
      <c r="A427" t="str">
        <v>91282CKF7</v>
      </c>
      <c r="B427" t="str">
        <f>IF(NOT(ISBLANK(A427)),VLOOKUP(A427,'BBT3'!A:F,2,0),"")</f>
        <v>Bond</v>
      </c>
      <c r="C427" t="str">
        <f>IF(NOT(ISBLANK(A427)),VLOOKUP(A427,'BBT3'!A:F,3,0),"")</f>
        <v>US91282CKF76</v>
      </c>
      <c r="D427" s="6">
        <f>IF(NOT(ISBLANK(A427)),VLOOKUP(A427,'BBT3'!A:F,4,1),"")</f>
        <v>4.125</v>
      </c>
      <c r="E427">
        <f>IF(NOT(ISBLANK(A427)),VLOOKUP(A427,'BBT3'!A:F,5,0),"")</f>
        <v>47938</v>
      </c>
      <c r="F427" t="str">
        <f>IF(NOT(ISBLANK(A427)),VLOOKUP(A427,'BBT3'!A:F,6,0),"")</f>
        <v>N</v>
      </c>
      <c r="G427">
        <f>IF(NOT(ISBLANK(A427)),VLOOKUP(A427,QW_Close!A:J,5,0),"")</f>
        <v>4.1925304782177902E-2</v>
      </c>
      <c r="H427" s="5" cm="1">
        <f t="array" ref="H427">IF(NOT(ISBLANK(A427)),((_xlfn.XLOOKUP(1,(_bbt3[[#All],[ID]]=A427)*(_bbt3[[#All],[METRIC_NAME]]="YLD_YTM_ASK"),_bbt3[[#All],[METRIC_VALUE]])*0.5)+(_xlfn.XLOOKUP(1,(_bbt3[[#All],[ID]]=A427)*(_bbt3[[#All],[METRIC_NAME]]="YLD_YTM_BID"),_bbt3[[#All],[METRIC_VALUE]])*0.5))/100,"")</f>
        <v>4.1925308000000001E-2</v>
      </c>
      <c r="I427">
        <f>IF(ISNA(VLOOKUP(A427,QW_CloseDL!A:E,5,0)),0,VLOOKUP(A427,QW_CloseDL!A:E,5,0))</f>
        <v>4.1925304782177902E-2</v>
      </c>
      <c r="J427" s="8">
        <f t="shared" si="30"/>
        <v>0</v>
      </c>
      <c r="P427">
        <v>0</v>
      </c>
      <c r="Q427" t="e">
        <f t="shared" si="31"/>
        <v>#N/A</v>
      </c>
      <c r="R427" t="e">
        <f t="shared" si="32"/>
        <v>#N/A</v>
      </c>
      <c r="S427" s="9" t="e">
        <f t="shared" si="33"/>
        <v>#N/A</v>
      </c>
      <c r="T427" s="3" t="e">
        <f t="shared" si="34"/>
        <v>#N/A</v>
      </c>
    </row>
    <row r="428" spans="1:20" x14ac:dyDescent="0.35">
      <c r="A428" t="str">
        <v>91282CKG5</v>
      </c>
      <c r="B428" t="str">
        <f>IF(NOT(ISBLANK(A428)),VLOOKUP(A428,'BBT3'!A:F,2,0),"")</f>
        <v>Bond</v>
      </c>
      <c r="C428" t="str">
        <f>IF(NOT(ISBLANK(A428)),VLOOKUP(A428,'BBT3'!A:F,3,0),"")</f>
        <v>US91282CKG59</v>
      </c>
      <c r="D428" s="6">
        <f>IF(NOT(ISBLANK(A428)),VLOOKUP(A428,'BBT3'!A:F,4,1),"")</f>
        <v>4.125</v>
      </c>
      <c r="E428">
        <f>IF(NOT(ISBLANK(A428)),VLOOKUP(A428,'BBT3'!A:F,5,0),"")</f>
        <v>47208</v>
      </c>
      <c r="F428" t="str">
        <f>IF(NOT(ISBLANK(A428)),VLOOKUP(A428,'BBT3'!A:F,6,0),"")</f>
        <v>N</v>
      </c>
      <c r="G428">
        <f>IF(NOT(ISBLANK(A428)),VLOOKUP(A428,QW_Close!A:J,5,0),"")</f>
        <v>4.1024345878858101E-2</v>
      </c>
      <c r="H428" s="5" cm="1">
        <f t="array" ref="H428">IF(NOT(ISBLANK(A428)),((_xlfn.XLOOKUP(1,(_bbt3[[#All],[ID]]=A428)*(_bbt3[[#All],[METRIC_NAME]]="YLD_YTM_ASK"),_bbt3[[#All],[METRIC_VALUE]])*0.5)+(_xlfn.XLOOKUP(1,(_bbt3[[#All],[ID]]=A428)*(_bbt3[[#All],[METRIC_NAME]]="YLD_YTM_BID"),_bbt3[[#All],[METRIC_VALUE]])*0.5))/100,"")</f>
        <v>4.10243515E-2</v>
      </c>
      <c r="I428">
        <f>IF(ISNA(VLOOKUP(A428,QW_CloseDL!A:E,5,0)),0,VLOOKUP(A428,QW_CloseDL!A:E,5,0))</f>
        <v>4.1024345878858101E-2</v>
      </c>
      <c r="J428" s="8">
        <f t="shared" si="30"/>
        <v>0</v>
      </c>
      <c r="P428">
        <v>0</v>
      </c>
      <c r="Q428" t="e">
        <f t="shared" si="31"/>
        <v>#N/A</v>
      </c>
      <c r="R428" t="e">
        <f t="shared" si="32"/>
        <v>#N/A</v>
      </c>
      <c r="S428" s="9" t="e">
        <f t="shared" si="33"/>
        <v>#N/A</v>
      </c>
      <c r="T428" s="3" t="e">
        <f t="shared" si="34"/>
        <v>#N/A</v>
      </c>
    </row>
    <row r="429" spans="1:20" x14ac:dyDescent="0.35">
      <c r="A429" t="str">
        <v>91282CKJ9</v>
      </c>
      <c r="B429" t="str">
        <f>IF(NOT(ISBLANK(A429)),VLOOKUP(A429,'BBT3'!A:F,2,0),"")</f>
        <v>Bond</v>
      </c>
      <c r="C429" t="str">
        <f>IF(NOT(ISBLANK(A429)),VLOOKUP(A429,'BBT3'!A:F,3,0),"")</f>
        <v>US91282CKJ98</v>
      </c>
      <c r="D429" s="6">
        <f>IF(NOT(ISBLANK(A429)),VLOOKUP(A429,'BBT3'!A:F,4,1),"")</f>
        <v>4.5</v>
      </c>
      <c r="E429">
        <f>IF(NOT(ISBLANK(A429)),VLOOKUP(A429,'BBT3'!A:F,5,0),"")</f>
        <v>46492</v>
      </c>
      <c r="F429" t="str">
        <f>IF(NOT(ISBLANK(A429)),VLOOKUP(A429,'BBT3'!A:F,6,0),"")</f>
        <v>N</v>
      </c>
      <c r="G429">
        <f>IF(NOT(ISBLANK(A429)),VLOOKUP(A429,QW_Close!A:J,5,0),"")</f>
        <v>3.8613357724408902E-2</v>
      </c>
      <c r="H429" s="5" cm="1">
        <f t="array" ref="H429">IF(NOT(ISBLANK(A429)),((_xlfn.XLOOKUP(1,(_bbt3[[#All],[ID]]=A429)*(_bbt3[[#All],[METRIC_NAME]]="YLD_YTM_ASK"),_bbt3[[#All],[METRIC_VALUE]])*0.5)+(_xlfn.XLOOKUP(1,(_bbt3[[#All],[ID]]=A429)*(_bbt3[[#All],[METRIC_NAME]]="YLD_YTM_BID"),_bbt3[[#All],[METRIC_VALUE]])*0.5))/100,"")</f>
        <v>3.8613370600000002E-2</v>
      </c>
      <c r="I429">
        <f>IF(ISNA(VLOOKUP(A429,QW_CloseDL!A:E,5,0)),0,VLOOKUP(A429,QW_CloseDL!A:E,5,0))</f>
        <v>3.8613357724408902E-2</v>
      </c>
      <c r="J429" s="8">
        <f t="shared" si="30"/>
        <v>0</v>
      </c>
      <c r="P429">
        <v>0</v>
      </c>
      <c r="Q429" t="e">
        <f t="shared" si="31"/>
        <v>#N/A</v>
      </c>
      <c r="R429" t="e">
        <f t="shared" si="32"/>
        <v>#N/A</v>
      </c>
      <c r="S429" s="9" t="e">
        <f t="shared" si="33"/>
        <v>#N/A</v>
      </c>
      <c r="T429" s="3" t="e">
        <f t="shared" si="34"/>
        <v>#N/A</v>
      </c>
    </row>
    <row r="430" spans="1:20" x14ac:dyDescent="0.35">
      <c r="A430" t="str">
        <v>91282CKL4</v>
      </c>
      <c r="B430" t="str">
        <f>IF(NOT(ISBLANK(A430)),VLOOKUP(A430,'BBT3'!A:F,2,0),"")</f>
        <v>Bond</v>
      </c>
      <c r="C430" t="str">
        <f>IF(NOT(ISBLANK(A430)),VLOOKUP(A430,'BBT3'!A:F,3,0),"")</f>
        <v>US91282CKL45</v>
      </c>
      <c r="D430" s="6">
        <f>IF(NOT(ISBLANK(A430)),VLOOKUP(A430,'BBT3'!A:F,4,1),"")</f>
        <v>2.125</v>
      </c>
      <c r="E430">
        <f>IF(NOT(ISBLANK(A430)),VLOOKUP(A430,'BBT3'!A:F,5,0),"")</f>
        <v>47223</v>
      </c>
      <c r="F430" t="str">
        <f>IF(NOT(ISBLANK(A430)),VLOOKUP(A430,'BBT3'!A:F,6,0),"")</f>
        <v>Y</v>
      </c>
      <c r="G430">
        <f>IF(NOT(ISBLANK(A430)),VLOOKUP(A430,QW_Close!A:J,5,0),"")</f>
        <v>1.53213570096081E-2</v>
      </c>
      <c r="H430" s="5" cm="1">
        <f t="array" ref="H430">IF(NOT(ISBLANK(A430)),((_xlfn.XLOOKUP(1,(_bbt3[[#All],[ID]]=A430)*(_bbt3[[#All],[METRIC_NAME]]="YLD_YTM_ASK"),_bbt3[[#All],[METRIC_VALUE]])*0.5)+(_xlfn.XLOOKUP(1,(_bbt3[[#All],[ID]]=A430)*(_bbt3[[#All],[METRIC_NAME]]="YLD_YTM_BID"),_bbt3[[#All],[METRIC_VALUE]])*0.5))/100,"")</f>
        <v>1.5321394800000001E-2</v>
      </c>
      <c r="I430">
        <f>IF(ISNA(VLOOKUP(A430,QW_CloseDL!A:E,5,0)),0,VLOOKUP(A430,QW_CloseDL!A:E,5,0))</f>
        <v>1.5321379201312499E-2</v>
      </c>
      <c r="J430" s="8">
        <f t="shared" si="30"/>
        <v>2.2191704399446288E-4</v>
      </c>
      <c r="P430">
        <v>0</v>
      </c>
      <c r="Q430" t="e">
        <f t="shared" si="31"/>
        <v>#N/A</v>
      </c>
      <c r="R430" t="e">
        <f t="shared" si="32"/>
        <v>#N/A</v>
      </c>
      <c r="S430" s="9" t="e">
        <f t="shared" si="33"/>
        <v>#N/A</v>
      </c>
      <c r="T430" s="3" t="e">
        <f t="shared" si="34"/>
        <v>#N/A</v>
      </c>
    </row>
    <row r="431" spans="1:20" x14ac:dyDescent="0.35">
      <c r="A431" t="str">
        <v>91282CKN0</v>
      </c>
      <c r="B431" t="str">
        <f>IF(NOT(ISBLANK(A431)),VLOOKUP(A431,'BBT3'!A:F,2,0),"")</f>
        <v>Bond</v>
      </c>
      <c r="C431" t="str">
        <f>IF(NOT(ISBLANK(A431)),VLOOKUP(A431,'BBT3'!A:F,3,0),"")</f>
        <v>US91282CKN01</v>
      </c>
      <c r="D431" s="6">
        <f>IF(NOT(ISBLANK(A431)),VLOOKUP(A431,'BBT3'!A:F,4,1),"")</f>
        <v>4.625</v>
      </c>
      <c r="E431">
        <f>IF(NOT(ISBLANK(A431)),VLOOKUP(A431,'BBT3'!A:F,5,0),"")</f>
        <v>47968</v>
      </c>
      <c r="F431" t="str">
        <f>IF(NOT(ISBLANK(A431)),VLOOKUP(A431,'BBT3'!A:F,6,0),"")</f>
        <v>N</v>
      </c>
      <c r="G431">
        <f>IF(NOT(ISBLANK(A431)),VLOOKUP(A431,QW_Close!A:J,5,0),"")</f>
        <v>4.19345721933614E-2</v>
      </c>
      <c r="H431" s="5" cm="1">
        <f t="array" ref="H431">IF(NOT(ISBLANK(A431)),((_xlfn.XLOOKUP(1,(_bbt3[[#All],[ID]]=A431)*(_bbt3[[#All],[METRIC_NAME]]="YLD_YTM_ASK"),_bbt3[[#All],[METRIC_VALUE]])*0.5)+(_xlfn.XLOOKUP(1,(_bbt3[[#All],[ID]]=A431)*(_bbt3[[#All],[METRIC_NAME]]="YLD_YTM_BID"),_bbt3[[#All],[METRIC_VALUE]])*0.5))/100,"")</f>
        <v>4.1934575350000003E-2</v>
      </c>
      <c r="I431">
        <f>IF(ISNA(VLOOKUP(A431,QW_CloseDL!A:E,5,0)),0,VLOOKUP(A431,QW_CloseDL!A:E,5,0))</f>
        <v>4.19345721933614E-2</v>
      </c>
      <c r="J431" s="8">
        <f t="shared" si="30"/>
        <v>0</v>
      </c>
      <c r="P431">
        <v>0</v>
      </c>
      <c r="Q431" t="e">
        <f t="shared" si="31"/>
        <v>#N/A</v>
      </c>
      <c r="R431" t="e">
        <f t="shared" si="32"/>
        <v>#N/A</v>
      </c>
      <c r="S431" s="9" t="e">
        <f t="shared" si="33"/>
        <v>#N/A</v>
      </c>
      <c r="T431" s="3" t="e">
        <f t="shared" si="34"/>
        <v>#N/A</v>
      </c>
    </row>
    <row r="432" spans="1:20" x14ac:dyDescent="0.35">
      <c r="A432" t="str">
        <v>91282CKP5</v>
      </c>
      <c r="B432" t="str">
        <f>IF(NOT(ISBLANK(A432)),VLOOKUP(A432,'BBT3'!A:F,2,0),"")</f>
        <v>Bond</v>
      </c>
      <c r="C432" t="str">
        <f>IF(NOT(ISBLANK(A432)),VLOOKUP(A432,'BBT3'!A:F,3,0),"")</f>
        <v>US91282CKP58</v>
      </c>
      <c r="D432" s="6">
        <f>IF(NOT(ISBLANK(A432)),VLOOKUP(A432,'BBT3'!A:F,4,1),"")</f>
        <v>4.625</v>
      </c>
      <c r="E432">
        <f>IF(NOT(ISBLANK(A432)),VLOOKUP(A432,'BBT3'!A:F,5,0),"")</f>
        <v>47238</v>
      </c>
      <c r="F432" t="str">
        <f>IF(NOT(ISBLANK(A432)),VLOOKUP(A432,'BBT3'!A:F,6,0),"")</f>
        <v>N</v>
      </c>
      <c r="G432">
        <f>IF(NOT(ISBLANK(A432)),VLOOKUP(A432,QW_Close!A:J,5,0),"")</f>
        <v>4.1047043099900898E-2</v>
      </c>
      <c r="H432" s="5" cm="1">
        <f t="array" ref="H432">IF(NOT(ISBLANK(A432)),((_xlfn.XLOOKUP(1,(_bbt3[[#All],[ID]]=A432)*(_bbt3[[#All],[METRIC_NAME]]="YLD_YTM_ASK"),_bbt3[[#All],[METRIC_VALUE]])*0.5)+(_xlfn.XLOOKUP(1,(_bbt3[[#All],[ID]]=A432)*(_bbt3[[#All],[METRIC_NAME]]="YLD_YTM_BID"),_bbt3[[#All],[METRIC_VALUE]])*0.5))/100,"")</f>
        <v>4.1047048450000005E-2</v>
      </c>
      <c r="I432">
        <f>IF(ISNA(VLOOKUP(A432,QW_CloseDL!A:E,5,0)),0,VLOOKUP(A432,QW_CloseDL!A:E,5,0))</f>
        <v>4.1047043099900898E-2</v>
      </c>
      <c r="J432" s="8">
        <f t="shared" si="30"/>
        <v>0</v>
      </c>
      <c r="P432">
        <v>0</v>
      </c>
      <c r="Q432" t="e">
        <f t="shared" si="31"/>
        <v>#N/A</v>
      </c>
      <c r="R432" t="e">
        <f t="shared" si="32"/>
        <v>#N/A</v>
      </c>
      <c r="S432" s="9" t="e">
        <f t="shared" si="33"/>
        <v>#N/A</v>
      </c>
      <c r="T432" s="3" t="e">
        <f t="shared" si="34"/>
        <v>#N/A</v>
      </c>
    </row>
    <row r="433" spans="1:20" x14ac:dyDescent="0.35">
      <c r="A433" t="str">
        <v>91282CKQ3</v>
      </c>
      <c r="B433" t="str">
        <f>IF(NOT(ISBLANK(A433)),VLOOKUP(A433,'BBT3'!A:F,2,0),"")</f>
        <v>Bond</v>
      </c>
      <c r="C433" t="str">
        <f>IF(NOT(ISBLANK(A433)),VLOOKUP(A433,'BBT3'!A:F,3,0),"")</f>
        <v>US91282CKQ32</v>
      </c>
      <c r="D433" s="6">
        <f>IF(NOT(ISBLANK(A433)),VLOOKUP(A433,'BBT3'!A:F,4,1),"")</f>
        <v>4.375</v>
      </c>
      <c r="E433">
        <f>IF(NOT(ISBLANK(A433)),VLOOKUP(A433,'BBT3'!A:F,5,0),"")</f>
        <v>49079</v>
      </c>
      <c r="F433" t="str">
        <f>IF(NOT(ISBLANK(A433)),VLOOKUP(A433,'BBT3'!A:F,6,0),"")</f>
        <v>N</v>
      </c>
      <c r="G433">
        <f>IF(NOT(ISBLANK(A433)),VLOOKUP(A433,QW_Close!A:J,5,0),"")</f>
        <v>4.3828676756388699E-2</v>
      </c>
      <c r="H433" s="5" cm="1">
        <f t="array" ref="H433">IF(NOT(ISBLANK(A433)),((_xlfn.XLOOKUP(1,(_bbt3[[#All],[ID]]=A433)*(_bbt3[[#All],[METRIC_NAME]]="YLD_YTM_ASK"),_bbt3[[#All],[METRIC_VALUE]])*0.5)+(_xlfn.XLOOKUP(1,(_bbt3[[#All],[ID]]=A433)*(_bbt3[[#All],[METRIC_NAME]]="YLD_YTM_BID"),_bbt3[[#All],[METRIC_VALUE]])*0.5))/100,"")</f>
        <v>4.3828681599999995E-2</v>
      </c>
      <c r="I433">
        <f>IF(ISNA(VLOOKUP(A433,QW_CloseDL!A:E,5,0)),0,VLOOKUP(A433,QW_CloseDL!A:E,5,0))</f>
        <v>4.3828676756388699E-2</v>
      </c>
      <c r="J433" s="8">
        <f t="shared" si="30"/>
        <v>0</v>
      </c>
      <c r="P433">
        <v>0</v>
      </c>
      <c r="Q433" t="e">
        <f t="shared" si="31"/>
        <v>#N/A</v>
      </c>
      <c r="R433" t="e">
        <f t="shared" si="32"/>
        <v>#N/A</v>
      </c>
      <c r="S433" s="9" t="e">
        <f t="shared" si="33"/>
        <v>#N/A</v>
      </c>
      <c r="T433" s="3" t="e">
        <f t="shared" si="34"/>
        <v>#N/A</v>
      </c>
    </row>
    <row r="434" spans="1:20" x14ac:dyDescent="0.35">
      <c r="A434" t="str">
        <v>91282CKR1</v>
      </c>
      <c r="B434" t="str">
        <f>IF(NOT(ISBLANK(A434)),VLOOKUP(A434,'BBT3'!A:F,2,0),"")</f>
        <v>Bond</v>
      </c>
      <c r="C434" t="str">
        <f>IF(NOT(ISBLANK(A434)),VLOOKUP(A434,'BBT3'!A:F,3,0),"")</f>
        <v>US91282CKR15</v>
      </c>
      <c r="D434" s="6">
        <f>IF(NOT(ISBLANK(A434)),VLOOKUP(A434,'BBT3'!A:F,4,1),"")</f>
        <v>4.5</v>
      </c>
      <c r="E434">
        <f>IF(NOT(ISBLANK(A434)),VLOOKUP(A434,'BBT3'!A:F,5,0),"")</f>
        <v>46522</v>
      </c>
      <c r="F434" t="str">
        <f>IF(NOT(ISBLANK(A434)),VLOOKUP(A434,'BBT3'!A:F,6,0),"")</f>
        <v>N</v>
      </c>
      <c r="G434">
        <f>IF(NOT(ISBLANK(A434)),VLOOKUP(A434,QW_Close!A:J,5,0),"")</f>
        <v>3.9033876182979703E-2</v>
      </c>
      <c r="H434" s="5" cm="1">
        <f t="array" ref="H434">IF(NOT(ISBLANK(A434)),((_xlfn.XLOOKUP(1,(_bbt3[[#All],[ID]]=A434)*(_bbt3[[#All],[METRIC_NAME]]="YLD_YTM_ASK"),_bbt3[[#All],[METRIC_VALUE]])*0.5)+(_xlfn.XLOOKUP(1,(_bbt3[[#All],[ID]]=A434)*(_bbt3[[#All],[METRIC_NAME]]="YLD_YTM_BID"),_bbt3[[#All],[METRIC_VALUE]])*0.5))/100,"")</f>
        <v>3.9033884099999999E-2</v>
      </c>
      <c r="I434">
        <f>IF(ISNA(VLOOKUP(A434,QW_CloseDL!A:E,5,0)),0,VLOOKUP(A434,QW_CloseDL!A:E,5,0))</f>
        <v>3.9033876182979703E-2</v>
      </c>
      <c r="J434" s="8">
        <f t="shared" si="30"/>
        <v>0</v>
      </c>
      <c r="P434">
        <v>0</v>
      </c>
      <c r="Q434" t="e">
        <f t="shared" si="31"/>
        <v>#N/A</v>
      </c>
      <c r="R434" t="e">
        <f t="shared" si="32"/>
        <v>#N/A</v>
      </c>
      <c r="S434" s="9" t="e">
        <f t="shared" si="33"/>
        <v>#N/A</v>
      </c>
      <c r="T434" s="3" t="e">
        <f t="shared" si="34"/>
        <v>#N/A</v>
      </c>
    </row>
    <row r="435" spans="1:20" x14ac:dyDescent="0.35">
      <c r="A435" t="str">
        <v>91282CKT7</v>
      </c>
      <c r="B435" t="str">
        <f>IF(NOT(ISBLANK(A435)),VLOOKUP(A435,'BBT3'!A:F,2,0),"")</f>
        <v>Bond</v>
      </c>
      <c r="C435" t="str">
        <f>IF(NOT(ISBLANK(A435)),VLOOKUP(A435,'BBT3'!A:F,3,0),"")</f>
        <v>US91282CKT70</v>
      </c>
      <c r="D435" s="6">
        <f>IF(NOT(ISBLANK(A435)),VLOOKUP(A435,'BBT3'!A:F,4,1),"")</f>
        <v>4.5</v>
      </c>
      <c r="E435">
        <f>IF(NOT(ISBLANK(A435)),VLOOKUP(A435,'BBT3'!A:F,5,0),"")</f>
        <v>47269</v>
      </c>
      <c r="F435" t="str">
        <f>IF(NOT(ISBLANK(A435)),VLOOKUP(A435,'BBT3'!A:F,6,0),"")</f>
        <v>N</v>
      </c>
      <c r="G435">
        <f>IF(NOT(ISBLANK(A435)),VLOOKUP(A435,QW_Close!A:J,5,0),"")</f>
        <v>4.1124462995197703E-2</v>
      </c>
      <c r="H435" s="5" cm="1">
        <f t="array" ref="H435">IF(NOT(ISBLANK(A435)),((_xlfn.XLOOKUP(1,(_bbt3[[#All],[ID]]=A435)*(_bbt3[[#All],[METRIC_NAME]]="YLD_YTM_ASK"),_bbt3[[#All],[METRIC_VALUE]])*0.5)+(_xlfn.XLOOKUP(1,(_bbt3[[#All],[ID]]=A435)*(_bbt3[[#All],[METRIC_NAME]]="YLD_YTM_BID"),_bbt3[[#All],[METRIC_VALUE]])*0.5))/100,"")</f>
        <v>4.112446824999999E-2</v>
      </c>
      <c r="I435">
        <f>IF(ISNA(VLOOKUP(A435,QW_CloseDL!A:E,5,0)),0,VLOOKUP(A435,QW_CloseDL!A:E,5,0))</f>
        <v>4.1124462995197703E-2</v>
      </c>
      <c r="J435" s="8">
        <f t="shared" si="30"/>
        <v>0</v>
      </c>
      <c r="P435">
        <v>0</v>
      </c>
      <c r="Q435" t="e">
        <f t="shared" si="31"/>
        <v>#N/A</v>
      </c>
      <c r="R435" t="e">
        <f t="shared" si="32"/>
        <v>#N/A</v>
      </c>
      <c r="S435" s="9" t="e">
        <f t="shared" si="33"/>
        <v>#N/A</v>
      </c>
      <c r="T435" s="3" t="e">
        <f t="shared" si="34"/>
        <v>#N/A</v>
      </c>
    </row>
    <row r="436" spans="1:20" x14ac:dyDescent="0.35">
      <c r="A436" t="str">
        <v>91282CKU4</v>
      </c>
      <c r="B436" t="str">
        <f>IF(NOT(ISBLANK(A436)),VLOOKUP(A436,'BBT3'!A:F,2,0),"")</f>
        <v>Bond</v>
      </c>
      <c r="C436" t="str">
        <f>IF(NOT(ISBLANK(A436)),VLOOKUP(A436,'BBT3'!A:F,3,0),"")</f>
        <v>US91282CKU44</v>
      </c>
      <c r="D436" s="6">
        <f>IF(NOT(ISBLANK(A436)),VLOOKUP(A436,'BBT3'!A:F,4,1),"")</f>
        <v>4.625</v>
      </c>
      <c r="E436">
        <f>IF(NOT(ISBLANK(A436)),VLOOKUP(A436,'BBT3'!A:F,5,0),"")</f>
        <v>47999</v>
      </c>
      <c r="F436" t="str">
        <f>IF(NOT(ISBLANK(A436)),VLOOKUP(A436,'BBT3'!A:F,6,0),"")</f>
        <v>N</v>
      </c>
      <c r="G436">
        <f>IF(NOT(ISBLANK(A436)),VLOOKUP(A436,QW_Close!A:J,5,0),"")</f>
        <v>4.2023818342189899E-2</v>
      </c>
      <c r="H436" s="5" cm="1">
        <f t="array" ref="H436">IF(NOT(ISBLANK(A436)),((_xlfn.XLOOKUP(1,(_bbt3[[#All],[ID]]=A436)*(_bbt3[[#All],[METRIC_NAME]]="YLD_YTM_ASK"),_bbt3[[#All],[METRIC_VALUE]])*0.5)+(_xlfn.XLOOKUP(1,(_bbt3[[#All],[ID]]=A436)*(_bbt3[[#All],[METRIC_NAME]]="YLD_YTM_BID"),_bbt3[[#All],[METRIC_VALUE]])*0.5))/100,"")</f>
        <v>4.2023821500000003E-2</v>
      </c>
      <c r="I436">
        <f>IF(ISNA(VLOOKUP(A436,QW_CloseDL!A:E,5,0)),0,VLOOKUP(A436,QW_CloseDL!A:E,5,0))</f>
        <v>4.2023818342189899E-2</v>
      </c>
      <c r="J436" s="8">
        <f t="shared" si="30"/>
        <v>0</v>
      </c>
      <c r="P436">
        <v>0</v>
      </c>
      <c r="Q436" t="e">
        <f t="shared" si="31"/>
        <v>#N/A</v>
      </c>
      <c r="R436" t="e">
        <f t="shared" si="32"/>
        <v>#N/A</v>
      </c>
      <c r="S436" s="9" t="e">
        <f t="shared" si="33"/>
        <v>#N/A</v>
      </c>
      <c r="T436" s="3" t="e">
        <f t="shared" si="34"/>
        <v>#N/A</v>
      </c>
    </row>
    <row r="437" spans="1:20" x14ac:dyDescent="0.35">
      <c r="A437" t="str">
        <v>91282CKV2</v>
      </c>
      <c r="B437" t="str">
        <f>IF(NOT(ISBLANK(A437)),VLOOKUP(A437,'BBT3'!A:F,2,0),"")</f>
        <v>Bond</v>
      </c>
      <c r="C437" t="str">
        <f>IF(NOT(ISBLANK(A437)),VLOOKUP(A437,'BBT3'!A:F,3,0),"")</f>
        <v>US91282CKV27</v>
      </c>
      <c r="D437" s="6">
        <f>IF(NOT(ISBLANK(A437)),VLOOKUP(A437,'BBT3'!A:F,4,1),"")</f>
        <v>4.625</v>
      </c>
      <c r="E437">
        <f>IF(NOT(ISBLANK(A437)),VLOOKUP(A437,'BBT3'!A:F,5,0),"")</f>
        <v>46553</v>
      </c>
      <c r="F437" t="str">
        <f>IF(NOT(ISBLANK(A437)),VLOOKUP(A437,'BBT3'!A:F,6,0),"")</f>
        <v>N</v>
      </c>
      <c r="G437">
        <f>IF(NOT(ISBLANK(A437)),VLOOKUP(A437,QW_Close!A:J,5,0),"")</f>
        <v>3.9228461658298998E-2</v>
      </c>
      <c r="H437" s="5" cm="1">
        <f t="array" ref="H437">IF(NOT(ISBLANK(A437)),((_xlfn.XLOOKUP(1,(_bbt3[[#All],[ID]]=A437)*(_bbt3[[#All],[METRIC_NAME]]="YLD_YTM_ASK"),_bbt3[[#All],[METRIC_VALUE]])*0.5)+(_xlfn.XLOOKUP(1,(_bbt3[[#All],[ID]]=A437)*(_bbt3[[#All],[METRIC_NAME]]="YLD_YTM_BID"),_bbt3[[#All],[METRIC_VALUE]])*0.5))/100,"")</f>
        <v>3.9228472E-2</v>
      </c>
      <c r="I437">
        <f>IF(ISNA(VLOOKUP(A437,QW_CloseDL!A:E,5,0)),0,VLOOKUP(A437,QW_CloseDL!A:E,5,0))</f>
        <v>3.9228461658298998E-2</v>
      </c>
      <c r="J437" s="8">
        <f t="shared" si="30"/>
        <v>0</v>
      </c>
      <c r="P437">
        <v>0</v>
      </c>
      <c r="Q437" t="e">
        <f t="shared" si="31"/>
        <v>#N/A</v>
      </c>
      <c r="R437" t="e">
        <f t="shared" si="32"/>
        <v>#N/A</v>
      </c>
      <c r="S437" s="9" t="e">
        <f t="shared" si="33"/>
        <v>#N/A</v>
      </c>
      <c r="T437" s="3" t="e">
        <f t="shared" si="34"/>
        <v>#N/A</v>
      </c>
    </row>
    <row r="438" spans="1:20" x14ac:dyDescent="0.35">
      <c r="A438" t="str">
        <v>91282CKW0</v>
      </c>
      <c r="B438" t="str">
        <f>IF(NOT(ISBLANK(A438)),VLOOKUP(A438,'BBT3'!A:F,2,0),"")</f>
        <v>Bond</v>
      </c>
      <c r="C438" t="str">
        <f>IF(NOT(ISBLANK(A438)),VLOOKUP(A438,'BBT3'!A:F,3,0),"")</f>
        <v>US91282CKW00</v>
      </c>
      <c r="D438" s="6">
        <f>IF(NOT(ISBLANK(A438)),VLOOKUP(A438,'BBT3'!A:F,4,1),"")</f>
        <v>4.25</v>
      </c>
      <c r="E438">
        <f>IF(NOT(ISBLANK(A438)),VLOOKUP(A438,'BBT3'!A:F,5,0),"")</f>
        <v>48029</v>
      </c>
      <c r="F438" t="str">
        <f>IF(NOT(ISBLANK(A438)),VLOOKUP(A438,'BBT3'!A:F,6,0),"")</f>
        <v>N</v>
      </c>
      <c r="G438">
        <f>IF(NOT(ISBLANK(A438)),VLOOKUP(A438,QW_Close!A:J,5,0),"")</f>
        <v>4.1993307965626198E-2</v>
      </c>
      <c r="H438" s="5" cm="1">
        <f t="array" ref="H438">IF(NOT(ISBLANK(A438)),((_xlfn.XLOOKUP(1,(_bbt3[[#All],[ID]]=A438)*(_bbt3[[#All],[METRIC_NAME]]="YLD_YTM_ASK"),_bbt3[[#All],[METRIC_VALUE]])*0.5)+(_xlfn.XLOOKUP(1,(_bbt3[[#All],[ID]]=A438)*(_bbt3[[#All],[METRIC_NAME]]="YLD_YTM_BID"),_bbt3[[#All],[METRIC_VALUE]])*0.5))/100,"")</f>
        <v>4.1993311000000005E-2</v>
      </c>
      <c r="I438">
        <f>IF(ISNA(VLOOKUP(A438,QW_CloseDL!A:E,5,0)),0,VLOOKUP(A438,QW_CloseDL!A:E,5,0))</f>
        <v>4.1993307965626198E-2</v>
      </c>
      <c r="J438" s="8">
        <f t="shared" si="30"/>
        <v>0</v>
      </c>
      <c r="P438">
        <v>0</v>
      </c>
      <c r="Q438" t="e">
        <f t="shared" si="31"/>
        <v>#N/A</v>
      </c>
      <c r="R438" t="e">
        <f t="shared" si="32"/>
        <v>#N/A</v>
      </c>
      <c r="S438" s="9" t="e">
        <f t="shared" si="33"/>
        <v>#N/A</v>
      </c>
      <c r="T438" s="3" t="e">
        <f t="shared" si="34"/>
        <v>#N/A</v>
      </c>
    </row>
    <row r="439" spans="1:20" x14ac:dyDescent="0.35">
      <c r="A439" t="str">
        <v>91282CKX8</v>
      </c>
      <c r="B439" t="str">
        <f>IF(NOT(ISBLANK(A439)),VLOOKUP(A439,'BBT3'!A:F,2,0),"")</f>
        <v>Bond</v>
      </c>
      <c r="C439" t="str">
        <f>IF(NOT(ISBLANK(A439)),VLOOKUP(A439,'BBT3'!A:F,3,0),"")</f>
        <v>US91282CKX82</v>
      </c>
      <c r="D439" s="6">
        <f>IF(NOT(ISBLANK(A439)),VLOOKUP(A439,'BBT3'!A:F,4,1),"")</f>
        <v>4.25</v>
      </c>
      <c r="E439">
        <f>IF(NOT(ISBLANK(A439)),VLOOKUP(A439,'BBT3'!A:F,5,0),"")</f>
        <v>47299</v>
      </c>
      <c r="F439" t="str">
        <f>IF(NOT(ISBLANK(A439)),VLOOKUP(A439,'BBT3'!A:F,6,0),"")</f>
        <v>N</v>
      </c>
      <c r="G439">
        <f>IF(NOT(ISBLANK(A439)),VLOOKUP(A439,QW_Close!A:J,5,0),"")</f>
        <v>4.11504357335968E-2</v>
      </c>
      <c r="H439" s="5" cm="1">
        <f t="array" ref="H439">IF(NOT(ISBLANK(A439)),((_xlfn.XLOOKUP(1,(_bbt3[[#All],[ID]]=A439)*(_bbt3[[#All],[METRIC_NAME]]="YLD_YTM_ASK"),_bbt3[[#All],[METRIC_VALUE]])*0.5)+(_xlfn.XLOOKUP(1,(_bbt3[[#All],[ID]]=A439)*(_bbt3[[#All],[METRIC_NAME]]="YLD_YTM_BID"),_bbt3[[#All],[METRIC_VALUE]])*0.5))/100,"")</f>
        <v>4.1150441000000003E-2</v>
      </c>
      <c r="I439">
        <f>IF(ISNA(VLOOKUP(A439,QW_CloseDL!A:E,5,0)),0,VLOOKUP(A439,QW_CloseDL!A:E,5,0))</f>
        <v>4.11504357335968E-2</v>
      </c>
      <c r="J439" s="8">
        <f t="shared" si="30"/>
        <v>0</v>
      </c>
      <c r="P439">
        <v>0</v>
      </c>
      <c r="Q439" t="e">
        <f t="shared" si="31"/>
        <v>#N/A</v>
      </c>
      <c r="R439" t="e">
        <f t="shared" si="32"/>
        <v>#N/A</v>
      </c>
      <c r="S439" s="9" t="e">
        <f t="shared" si="33"/>
        <v>#N/A</v>
      </c>
      <c r="T439" s="3" t="e">
        <f t="shared" si="34"/>
        <v>#N/A</v>
      </c>
    </row>
    <row r="440" spans="1:20" x14ac:dyDescent="0.35">
      <c r="A440" t="str">
        <v>91282CKY6</v>
      </c>
      <c r="B440" t="str">
        <f>IF(NOT(ISBLANK(A440)),VLOOKUP(A440,'BBT3'!A:F,2,0),"")</f>
        <v>Bond</v>
      </c>
      <c r="C440" t="str">
        <f>IF(NOT(ISBLANK(A440)),VLOOKUP(A440,'BBT3'!A:F,3,0),"")</f>
        <v>US91282CKY65</v>
      </c>
      <c r="D440" s="6">
        <f>IF(NOT(ISBLANK(A440)),VLOOKUP(A440,'BBT3'!A:F,4,1),"")</f>
        <v>4.625</v>
      </c>
      <c r="E440">
        <f>IF(NOT(ISBLANK(A440)),VLOOKUP(A440,'BBT3'!A:F,5,0),"")</f>
        <v>46203</v>
      </c>
      <c r="F440" t="str">
        <f>IF(NOT(ISBLANK(A440)),VLOOKUP(A440,'BBT3'!A:F,6,0),"")</f>
        <v>N</v>
      </c>
      <c r="G440">
        <f>IF(NOT(ISBLANK(A440)),VLOOKUP(A440,QW_Close!A:J,5,0),"")</f>
        <v>3.6450721190449599E-2</v>
      </c>
      <c r="H440" s="5" cm="1">
        <f t="array" ref="H440">IF(NOT(ISBLANK(A440)),((_xlfn.XLOOKUP(1,(_bbt3[[#All],[ID]]=A440)*(_bbt3[[#All],[METRIC_NAME]]="YLD_YTM_ASK"),_bbt3[[#All],[METRIC_VALUE]])*0.5)+(_xlfn.XLOOKUP(1,(_bbt3[[#All],[ID]]=A440)*(_bbt3[[#All],[METRIC_NAME]]="YLD_YTM_BID"),_bbt3[[#All],[METRIC_VALUE]])*0.5))/100,"")</f>
        <v>3.6450912600000003E-2</v>
      </c>
      <c r="I440">
        <f>IF(ISNA(VLOOKUP(A440,QW_CloseDL!A:E,5,0)),0,VLOOKUP(A440,QW_CloseDL!A:E,5,0))</f>
        <v>3.6450721190449599E-2</v>
      </c>
      <c r="J440" s="8">
        <f t="shared" si="30"/>
        <v>0</v>
      </c>
      <c r="P440">
        <v>0</v>
      </c>
      <c r="Q440" t="e">
        <f t="shared" si="31"/>
        <v>#N/A</v>
      </c>
      <c r="R440" t="e">
        <f t="shared" si="32"/>
        <v>#N/A</v>
      </c>
      <c r="S440" s="9" t="e">
        <f t="shared" si="33"/>
        <v>#N/A</v>
      </c>
      <c r="T440" s="3" t="e">
        <f t="shared" si="34"/>
        <v>#N/A</v>
      </c>
    </row>
    <row r="441" spans="1:20" x14ac:dyDescent="0.35">
      <c r="A441" t="str">
        <v>91282CKZ3</v>
      </c>
      <c r="B441" t="str">
        <f>IF(NOT(ISBLANK(A441)),VLOOKUP(A441,'BBT3'!A:F,2,0),"")</f>
        <v>Bond</v>
      </c>
      <c r="C441" t="str">
        <f>IF(NOT(ISBLANK(A441)),VLOOKUP(A441,'BBT3'!A:F,3,0),"")</f>
        <v>US91282CKZ31</v>
      </c>
      <c r="D441" s="6">
        <f>IF(NOT(ISBLANK(A441)),VLOOKUP(A441,'BBT3'!A:F,4,1),"")</f>
        <v>4.375</v>
      </c>
      <c r="E441">
        <f>IF(NOT(ISBLANK(A441)),VLOOKUP(A441,'BBT3'!A:F,5,0),"")</f>
        <v>46583</v>
      </c>
      <c r="F441" t="str">
        <f>IF(NOT(ISBLANK(A441)),VLOOKUP(A441,'BBT3'!A:F,6,0),"")</f>
        <v>N</v>
      </c>
      <c r="G441">
        <f>IF(NOT(ISBLANK(A441)),VLOOKUP(A441,QW_Close!A:J,5,0),"")</f>
        <v>3.9342372339461702E-2</v>
      </c>
      <c r="H441" s="5" cm="1">
        <f t="array" ref="H441">IF(NOT(ISBLANK(A441)),((_xlfn.XLOOKUP(1,(_bbt3[[#All],[ID]]=A441)*(_bbt3[[#All],[METRIC_NAME]]="YLD_YTM_ASK"),_bbt3[[#All],[METRIC_VALUE]])*0.5)+(_xlfn.XLOOKUP(1,(_bbt3[[#All],[ID]]=A441)*(_bbt3[[#All],[METRIC_NAME]]="YLD_YTM_BID"),_bbt3[[#All],[METRIC_VALUE]])*0.5))/100,"")</f>
        <v>3.9342378749999997E-2</v>
      </c>
      <c r="I441">
        <f>IF(ISNA(VLOOKUP(A441,QW_CloseDL!A:E,5,0)),0,VLOOKUP(A441,QW_CloseDL!A:E,5,0))</f>
        <v>3.9342372339461702E-2</v>
      </c>
      <c r="J441" s="8">
        <f t="shared" si="30"/>
        <v>0</v>
      </c>
      <c r="P441">
        <v>0</v>
      </c>
      <c r="Q441" t="e">
        <f t="shared" si="31"/>
        <v>#N/A</v>
      </c>
      <c r="R441" t="e">
        <f t="shared" si="32"/>
        <v>#N/A</v>
      </c>
      <c r="S441" s="9" t="e">
        <f t="shared" si="33"/>
        <v>#N/A</v>
      </c>
      <c r="T441" s="3" t="e">
        <f t="shared" si="34"/>
        <v>#N/A</v>
      </c>
    </row>
    <row r="442" spans="1:20" x14ac:dyDescent="0.35">
      <c r="A442" t="str">
        <v>91282CLB5</v>
      </c>
      <c r="B442" t="str">
        <f>IF(NOT(ISBLANK(A442)),VLOOKUP(A442,'BBT3'!A:F,2,0),"")</f>
        <v>Bond</v>
      </c>
      <c r="C442" t="str">
        <f>IF(NOT(ISBLANK(A442)),VLOOKUP(A442,'BBT3'!A:F,3,0),"")</f>
        <v>US91282CLB53</v>
      </c>
      <c r="D442" s="6">
        <f>IF(NOT(ISBLANK(A442)),VLOOKUP(A442,'BBT3'!A:F,4,1),"")</f>
        <v>4.375</v>
      </c>
      <c r="E442">
        <f>IF(NOT(ISBLANK(A442)),VLOOKUP(A442,'BBT3'!A:F,5,0),"")</f>
        <v>46234</v>
      </c>
      <c r="F442" t="str">
        <f>IF(NOT(ISBLANK(A442)),VLOOKUP(A442,'BBT3'!A:F,6,0),"")</f>
        <v>N</v>
      </c>
      <c r="G442">
        <f>IF(NOT(ISBLANK(A442)),VLOOKUP(A442,QW_Close!A:J,5,0),"")</f>
        <v>3.6469752190896203E-2</v>
      </c>
      <c r="H442" s="5" cm="1">
        <f t="array" ref="H442">IF(NOT(ISBLANK(A442)),((_xlfn.XLOOKUP(1,(_bbt3[[#All],[ID]]=A442)*(_bbt3[[#All],[METRIC_NAME]]="YLD_YTM_ASK"),_bbt3[[#All],[METRIC_VALUE]])*0.5)+(_xlfn.XLOOKUP(1,(_bbt3[[#All],[ID]]=A442)*(_bbt3[[#All],[METRIC_NAME]]="YLD_YTM_BID"),_bbt3[[#All],[METRIC_VALUE]])*0.5))/100,"")</f>
        <v>3.64698122E-2</v>
      </c>
      <c r="I442">
        <f>IF(ISNA(VLOOKUP(A442,QW_CloseDL!A:E,5,0)),0,VLOOKUP(A442,QW_CloseDL!A:E,5,0))</f>
        <v>3.6469752190896203E-2</v>
      </c>
      <c r="J442" s="8">
        <f t="shared" si="30"/>
        <v>0</v>
      </c>
      <c r="P442">
        <v>0</v>
      </c>
      <c r="Q442" t="e">
        <f t="shared" si="31"/>
        <v>#N/A</v>
      </c>
      <c r="R442" t="e">
        <f t="shared" si="32"/>
        <v>#N/A</v>
      </c>
      <c r="S442" s="9" t="e">
        <f t="shared" si="33"/>
        <v>#N/A</v>
      </c>
      <c r="T442" s="3" t="e">
        <f t="shared" si="34"/>
        <v>#N/A</v>
      </c>
    </row>
    <row r="443" spans="1:20" x14ac:dyDescent="0.35">
      <c r="A443" t="str">
        <v>91282CLC3</v>
      </c>
      <c r="B443" t="str">
        <f>IF(NOT(ISBLANK(A443)),VLOOKUP(A443,'BBT3'!A:F,2,0),"")</f>
        <v>Bond</v>
      </c>
      <c r="C443" t="str">
        <f>IF(NOT(ISBLANK(A443)),VLOOKUP(A443,'BBT3'!A:F,3,0),"")</f>
        <v>US91282CLC37</v>
      </c>
      <c r="D443" s="6">
        <f>IF(NOT(ISBLANK(A443)),VLOOKUP(A443,'BBT3'!A:F,4,1),"")</f>
        <v>4</v>
      </c>
      <c r="E443">
        <f>IF(NOT(ISBLANK(A443)),VLOOKUP(A443,'BBT3'!A:F,5,0),"")</f>
        <v>47330</v>
      </c>
      <c r="F443" t="str">
        <f>IF(NOT(ISBLANK(A443)),VLOOKUP(A443,'BBT3'!A:F,6,0),"")</f>
        <v>N</v>
      </c>
      <c r="G443">
        <f>IF(NOT(ISBLANK(A443)),VLOOKUP(A443,QW_Close!A:J,5,0),"")</f>
        <v>4.11849093770493E-2</v>
      </c>
      <c r="H443" s="5" cm="1">
        <f t="array" ref="H443">IF(NOT(ISBLANK(A443)),((_xlfn.XLOOKUP(1,(_bbt3[[#All],[ID]]=A443)*(_bbt3[[#All],[METRIC_NAME]]="YLD_YTM_ASK"),_bbt3[[#All],[METRIC_VALUE]])*0.5)+(_xlfn.XLOOKUP(1,(_bbt3[[#All],[ID]]=A443)*(_bbt3[[#All],[METRIC_NAME]]="YLD_YTM_BID"),_bbt3[[#All],[METRIC_VALUE]])*0.5))/100,"")</f>
        <v>4.1184914399999994E-2</v>
      </c>
      <c r="I443">
        <f>IF(ISNA(VLOOKUP(A443,QW_CloseDL!A:E,5,0)),0,VLOOKUP(A443,QW_CloseDL!A:E,5,0))</f>
        <v>4.11849093770493E-2</v>
      </c>
      <c r="J443" s="8">
        <f t="shared" si="30"/>
        <v>0</v>
      </c>
      <c r="P443">
        <v>0</v>
      </c>
      <c r="Q443" t="e">
        <f t="shared" si="31"/>
        <v>#N/A</v>
      </c>
      <c r="R443" t="e">
        <f t="shared" si="32"/>
        <v>#N/A</v>
      </c>
      <c r="S443" s="9" t="e">
        <f t="shared" si="33"/>
        <v>#N/A</v>
      </c>
      <c r="T443" s="3" t="e">
        <f t="shared" si="34"/>
        <v>#N/A</v>
      </c>
    </row>
    <row r="444" spans="1:20" x14ac:dyDescent="0.35">
      <c r="A444" t="str">
        <v>91282CLD1</v>
      </c>
      <c r="B444" t="str">
        <f>IF(NOT(ISBLANK(A444)),VLOOKUP(A444,'BBT3'!A:F,2,0),"")</f>
        <v>Bond</v>
      </c>
      <c r="C444" t="str">
        <f>IF(NOT(ISBLANK(A444)),VLOOKUP(A444,'BBT3'!A:F,3,0),"")</f>
        <v>US91282CLD10</v>
      </c>
      <c r="D444" s="6">
        <f>IF(NOT(ISBLANK(A444)),VLOOKUP(A444,'BBT3'!A:F,4,1),"")</f>
        <v>4.125</v>
      </c>
      <c r="E444">
        <f>IF(NOT(ISBLANK(A444)),VLOOKUP(A444,'BBT3'!A:F,5,0),"")</f>
        <v>48060</v>
      </c>
      <c r="F444" t="str">
        <f>IF(NOT(ISBLANK(A444)),VLOOKUP(A444,'BBT3'!A:F,6,0),"")</f>
        <v>N</v>
      </c>
      <c r="G444">
        <f>IF(NOT(ISBLANK(A444)),VLOOKUP(A444,QW_Close!A:J,5,0),"")</f>
        <v>4.2048263214023503E-2</v>
      </c>
      <c r="H444" s="5" cm="1">
        <f t="array" ref="H444">IF(NOT(ISBLANK(A444)),((_xlfn.XLOOKUP(1,(_bbt3[[#All],[ID]]=A444)*(_bbt3[[#All],[METRIC_NAME]]="YLD_YTM_ASK"),_bbt3[[#All],[METRIC_VALUE]])*0.5)+(_xlfn.XLOOKUP(1,(_bbt3[[#All],[ID]]=A444)*(_bbt3[[#All],[METRIC_NAME]]="YLD_YTM_BID"),_bbt3[[#All],[METRIC_VALUE]])*0.5))/100,"")</f>
        <v>4.2048264949999997E-2</v>
      </c>
      <c r="I444">
        <f>IF(ISNA(VLOOKUP(A444,QW_CloseDL!A:E,5,0)),0,VLOOKUP(A444,QW_CloseDL!A:E,5,0))</f>
        <v>4.2048263214023503E-2</v>
      </c>
      <c r="J444" s="8">
        <f t="shared" si="30"/>
        <v>0</v>
      </c>
      <c r="P444">
        <v>0</v>
      </c>
      <c r="Q444" t="e">
        <f t="shared" si="31"/>
        <v>#N/A</v>
      </c>
      <c r="R444" t="e">
        <f t="shared" si="32"/>
        <v>#N/A</v>
      </c>
      <c r="S444" s="9" t="e">
        <f t="shared" si="33"/>
        <v>#N/A</v>
      </c>
      <c r="T444" s="3" t="e">
        <f t="shared" si="34"/>
        <v>#N/A</v>
      </c>
    </row>
    <row r="445" spans="1:20" x14ac:dyDescent="0.35">
      <c r="A445" t="str">
        <v>91282CLE9</v>
      </c>
      <c r="B445" t="str">
        <f>IF(NOT(ISBLANK(A445)),VLOOKUP(A445,'BBT3'!A:F,2,0),"")</f>
        <v>Bond</v>
      </c>
      <c r="C445" t="str">
        <f>IF(NOT(ISBLANK(A445)),VLOOKUP(A445,'BBT3'!A:F,3,0),"")</f>
        <v>US91282CLE92</v>
      </c>
      <c r="D445" s="6">
        <f>IF(NOT(ISBLANK(A445)),VLOOKUP(A445,'BBT3'!A:F,4,1),"")</f>
        <v>1.875</v>
      </c>
      <c r="E445">
        <f>IF(NOT(ISBLANK(A445)),VLOOKUP(A445,'BBT3'!A:F,5,0),"")</f>
        <v>49140</v>
      </c>
      <c r="F445" t="str">
        <f>IF(NOT(ISBLANK(A445)),VLOOKUP(A445,'BBT3'!A:F,6,0),"")</f>
        <v>Y</v>
      </c>
      <c r="G445">
        <f>IF(NOT(ISBLANK(A445)),VLOOKUP(A445,QW_Close!A:J,5,0),"")</f>
        <v>1.9266289708528301E-2</v>
      </c>
      <c r="H445" s="5" cm="1">
        <f t="array" ref="H445">IF(NOT(ISBLANK(A445)),((_xlfn.XLOOKUP(1,(_bbt3[[#All],[ID]]=A445)*(_bbt3[[#All],[METRIC_NAME]]="YLD_YTM_ASK"),_bbt3[[#All],[METRIC_VALUE]])*0.5)+(_xlfn.XLOOKUP(1,(_bbt3[[#All],[ID]]=A445)*(_bbt3[[#All],[METRIC_NAME]]="YLD_YTM_BID"),_bbt3[[#All],[METRIC_VALUE]])*0.5))/100,"")</f>
        <v>1.9266293400000002E-2</v>
      </c>
      <c r="I445">
        <f>IF(ISNA(VLOOKUP(A445,QW_CloseDL!A:E,5,0)),0,VLOOKUP(A445,QW_CloseDL!A:E,5,0))</f>
        <v>1.9266288032860499E-2</v>
      </c>
      <c r="J445" s="8">
        <f t="shared" si="30"/>
        <v>1.6756678024310023E-5</v>
      </c>
      <c r="P445">
        <v>0</v>
      </c>
      <c r="Q445" t="e">
        <f t="shared" si="31"/>
        <v>#N/A</v>
      </c>
      <c r="R445" t="e">
        <f t="shared" si="32"/>
        <v>#N/A</v>
      </c>
      <c r="S445" s="9" t="e">
        <f t="shared" si="33"/>
        <v>#N/A</v>
      </c>
      <c r="T445" s="3" t="e">
        <f t="shared" si="34"/>
        <v>#N/A</v>
      </c>
    </row>
    <row r="446" spans="1:20" x14ac:dyDescent="0.35">
      <c r="A446" t="str">
        <v>91282CLF6</v>
      </c>
      <c r="B446" t="str">
        <f>IF(NOT(ISBLANK(A446)),VLOOKUP(A446,'BBT3'!A:F,2,0),"")</f>
        <v>Bond</v>
      </c>
      <c r="C446" t="str">
        <f>IF(NOT(ISBLANK(A446)),VLOOKUP(A446,'BBT3'!A:F,3,0),"")</f>
        <v>US91282CLF67</v>
      </c>
      <c r="D446" s="6">
        <f>IF(NOT(ISBLANK(A446)),VLOOKUP(A446,'BBT3'!A:F,4,1),"")</f>
        <v>3.875</v>
      </c>
      <c r="E446">
        <f>IF(NOT(ISBLANK(A446)),VLOOKUP(A446,'BBT3'!A:F,5,0),"")</f>
        <v>49171</v>
      </c>
      <c r="F446" t="str">
        <f>IF(NOT(ISBLANK(A446)),VLOOKUP(A446,'BBT3'!A:F,6,0),"")</f>
        <v>N</v>
      </c>
      <c r="G446">
        <f>IF(NOT(ISBLANK(A446)),VLOOKUP(A446,QW_Close!A:J,5,0),"")</f>
        <v>4.39663739261782E-2</v>
      </c>
      <c r="H446" s="5" cm="1">
        <f t="array" ref="H446">IF(NOT(ISBLANK(A446)),((_xlfn.XLOOKUP(1,(_bbt3[[#All],[ID]]=A446)*(_bbt3[[#All],[METRIC_NAME]]="YLD_YTM_ASK"),_bbt3[[#All],[METRIC_VALUE]])*0.5)+(_xlfn.XLOOKUP(1,(_bbt3[[#All],[ID]]=A446)*(_bbt3[[#All],[METRIC_NAME]]="YLD_YTM_BID"),_bbt3[[#All],[METRIC_VALUE]])*0.5))/100,"")</f>
        <v>4.3966376149999993E-2</v>
      </c>
      <c r="I446">
        <f>IF(ISNA(VLOOKUP(A446,QW_CloseDL!A:E,5,0)),0,VLOOKUP(A446,QW_CloseDL!A:E,5,0))</f>
        <v>4.39663739261782E-2</v>
      </c>
      <c r="J446" s="8">
        <f t="shared" si="30"/>
        <v>0</v>
      </c>
      <c r="P446">
        <v>0</v>
      </c>
      <c r="Q446" t="e">
        <f t="shared" si="31"/>
        <v>#N/A</v>
      </c>
      <c r="R446" t="e">
        <f t="shared" si="32"/>
        <v>#N/A</v>
      </c>
      <c r="S446" s="9" t="e">
        <f t="shared" si="33"/>
        <v>#N/A</v>
      </c>
      <c r="T446" s="3" t="e">
        <f t="shared" si="34"/>
        <v>#N/A</v>
      </c>
    </row>
    <row r="447" spans="1:20" x14ac:dyDescent="0.35">
      <c r="A447" t="str">
        <v>91282CLG4</v>
      </c>
      <c r="B447" t="str">
        <f>IF(NOT(ISBLANK(A447)),VLOOKUP(A447,'BBT3'!A:F,2,0),"")</f>
        <v>Bond</v>
      </c>
      <c r="C447" t="str">
        <f>IF(NOT(ISBLANK(A447)),VLOOKUP(A447,'BBT3'!A:F,3,0),"")</f>
        <v>US91282CLG41</v>
      </c>
      <c r="D447" s="6">
        <f>IF(NOT(ISBLANK(A447)),VLOOKUP(A447,'BBT3'!A:F,4,1),"")</f>
        <v>3.75</v>
      </c>
      <c r="E447">
        <f>IF(NOT(ISBLANK(A447)),VLOOKUP(A447,'BBT3'!A:F,5,0),"")</f>
        <v>46614</v>
      </c>
      <c r="F447" t="str">
        <f>IF(NOT(ISBLANK(A447)),VLOOKUP(A447,'BBT3'!A:F,6,0),"")</f>
        <v>N</v>
      </c>
      <c r="G447">
        <f>IF(NOT(ISBLANK(A447)),VLOOKUP(A447,QW_Close!A:J,5,0),"")</f>
        <v>3.9639595952592498E-2</v>
      </c>
      <c r="H447" s="5" cm="1">
        <f t="array" ref="H447">IF(NOT(ISBLANK(A447)),((_xlfn.XLOOKUP(1,(_bbt3[[#All],[ID]]=A447)*(_bbt3[[#All],[METRIC_NAME]]="YLD_YTM_ASK"),_bbt3[[#All],[METRIC_VALUE]])*0.5)+(_xlfn.XLOOKUP(1,(_bbt3[[#All],[ID]]=A447)*(_bbt3[[#All],[METRIC_NAME]]="YLD_YTM_BID"),_bbt3[[#All],[METRIC_VALUE]])*0.5))/100,"")</f>
        <v>3.9639601849999997E-2</v>
      </c>
      <c r="I447">
        <f>IF(ISNA(VLOOKUP(A447,QW_CloseDL!A:E,5,0)),0,VLOOKUP(A447,QW_CloseDL!A:E,5,0))</f>
        <v>3.9639595952592498E-2</v>
      </c>
      <c r="J447" s="8">
        <f t="shared" si="30"/>
        <v>0</v>
      </c>
      <c r="P447">
        <v>0</v>
      </c>
      <c r="Q447" t="e">
        <f t="shared" si="31"/>
        <v>#N/A</v>
      </c>
      <c r="R447" t="e">
        <f t="shared" si="32"/>
        <v>#N/A</v>
      </c>
      <c r="S447" s="9" t="e">
        <f t="shared" si="33"/>
        <v>#N/A</v>
      </c>
      <c r="T447" s="3" t="e">
        <f t="shared" si="34"/>
        <v>#N/A</v>
      </c>
    </row>
    <row r="448" spans="1:20" x14ac:dyDescent="0.35">
      <c r="A448" t="str">
        <v>91282CLH2</v>
      </c>
      <c r="B448" t="str">
        <f>IF(NOT(ISBLANK(A448)),VLOOKUP(A448,'BBT3'!A:F,2,0),"")</f>
        <v>Bond</v>
      </c>
      <c r="C448" t="str">
        <f>IF(NOT(ISBLANK(A448)),VLOOKUP(A448,'BBT3'!A:F,3,0),"")</f>
        <v>US91282CLH24</v>
      </c>
      <c r="D448" s="6">
        <f>IF(NOT(ISBLANK(A448)),VLOOKUP(A448,'BBT3'!A:F,4,1),"")</f>
        <v>3.75</v>
      </c>
      <c r="E448">
        <f>IF(NOT(ISBLANK(A448)),VLOOKUP(A448,'BBT3'!A:F,5,0),"")</f>
        <v>46265</v>
      </c>
      <c r="F448" t="str">
        <f>IF(NOT(ISBLANK(A448)),VLOOKUP(A448,'BBT3'!A:F,6,0),"")</f>
        <v>N</v>
      </c>
      <c r="G448">
        <f>IF(NOT(ISBLANK(A448)),VLOOKUP(A448,QW_Close!A:J,5,0),"")</f>
        <v>3.7215484942042597E-2</v>
      </c>
      <c r="H448" s="5" cm="1">
        <f t="array" ref="H448">IF(NOT(ISBLANK(A448)),((_xlfn.XLOOKUP(1,(_bbt3[[#All],[ID]]=A448)*(_bbt3[[#All],[METRIC_NAME]]="YLD_YTM_ASK"),_bbt3[[#All],[METRIC_VALUE]])*0.5)+(_xlfn.XLOOKUP(1,(_bbt3[[#All],[ID]]=A448)*(_bbt3[[#All],[METRIC_NAME]]="YLD_YTM_BID"),_bbt3[[#All],[METRIC_VALUE]])*0.5))/100,"")</f>
        <v>3.7215524850000001E-2</v>
      </c>
      <c r="I448">
        <f>IF(ISNA(VLOOKUP(A448,QW_CloseDL!A:E,5,0)),0,VLOOKUP(A448,QW_CloseDL!A:E,5,0))</f>
        <v>3.7215484942042597E-2</v>
      </c>
      <c r="J448" s="8">
        <f t="shared" si="30"/>
        <v>0</v>
      </c>
      <c r="P448">
        <v>0</v>
      </c>
      <c r="Q448" t="e">
        <f t="shared" si="31"/>
        <v>#N/A</v>
      </c>
      <c r="R448" t="e">
        <f t="shared" si="32"/>
        <v>#N/A</v>
      </c>
      <c r="S448" s="9" t="e">
        <f t="shared" si="33"/>
        <v>#N/A</v>
      </c>
      <c r="T448" s="3" t="e">
        <f t="shared" si="34"/>
        <v>#N/A</v>
      </c>
    </row>
    <row r="449" spans="1:20" x14ac:dyDescent="0.35">
      <c r="A449" t="str">
        <v>91282CLJ8</v>
      </c>
      <c r="B449" t="str">
        <f>IF(NOT(ISBLANK(A449)),VLOOKUP(A449,'BBT3'!A:F,2,0),"")</f>
        <v>Bond</v>
      </c>
      <c r="C449" t="str">
        <f>IF(NOT(ISBLANK(A449)),VLOOKUP(A449,'BBT3'!A:F,3,0),"")</f>
        <v>US91282CLJ89</v>
      </c>
      <c r="D449" s="6">
        <f>IF(NOT(ISBLANK(A449)),VLOOKUP(A449,'BBT3'!A:F,4,1),"")</f>
        <v>3.75</v>
      </c>
      <c r="E449">
        <f>IF(NOT(ISBLANK(A449)),VLOOKUP(A449,'BBT3'!A:F,5,0),"")</f>
        <v>48091</v>
      </c>
      <c r="F449" t="str">
        <f>IF(NOT(ISBLANK(A449)),VLOOKUP(A449,'BBT3'!A:F,6,0),"")</f>
        <v>N</v>
      </c>
      <c r="G449">
        <f>IF(NOT(ISBLANK(A449)),VLOOKUP(A449,QW_Close!A:J,5,0),"")</f>
        <v>4.2172151681860698E-2</v>
      </c>
      <c r="H449" s="5" cm="1">
        <f t="array" ref="H449">IF(NOT(ISBLANK(A449)),((_xlfn.XLOOKUP(1,(_bbt3[[#All],[ID]]=A449)*(_bbt3[[#All],[METRIC_NAME]]="YLD_YTM_ASK"),_bbt3[[#All],[METRIC_VALUE]])*0.5)+(_xlfn.XLOOKUP(1,(_bbt3[[#All],[ID]]=A449)*(_bbt3[[#All],[METRIC_NAME]]="YLD_YTM_BID"),_bbt3[[#All],[METRIC_VALUE]])*0.5))/100,"")</f>
        <v>4.2172155000000003E-2</v>
      </c>
      <c r="I449">
        <f>IF(ISNA(VLOOKUP(A449,QW_CloseDL!A:E,5,0)),0,VLOOKUP(A449,QW_CloseDL!A:E,5,0))</f>
        <v>4.2172151681860698E-2</v>
      </c>
      <c r="J449" s="8">
        <f t="shared" si="30"/>
        <v>0</v>
      </c>
      <c r="P449">
        <v>0</v>
      </c>
      <c r="Q449" t="e">
        <f t="shared" si="31"/>
        <v>#N/A</v>
      </c>
      <c r="R449" t="e">
        <f t="shared" si="32"/>
        <v>#N/A</v>
      </c>
      <c r="S449" s="9" t="e">
        <f t="shared" si="33"/>
        <v>#N/A</v>
      </c>
      <c r="T449" s="3" t="e">
        <f t="shared" si="34"/>
        <v>#N/A</v>
      </c>
    </row>
    <row r="450" spans="1:20" x14ac:dyDescent="0.35">
      <c r="A450" t="str">
        <v>91282CLK5</v>
      </c>
      <c r="B450" t="str">
        <f>IF(NOT(ISBLANK(A450)),VLOOKUP(A450,'BBT3'!A:F,2,0),"")</f>
        <v>Bond</v>
      </c>
      <c r="C450" t="str">
        <f>IF(NOT(ISBLANK(A450)),VLOOKUP(A450,'BBT3'!A:F,3,0),"")</f>
        <v>US91282CLK52</v>
      </c>
      <c r="D450" s="6">
        <f>IF(NOT(ISBLANK(A450)),VLOOKUP(A450,'BBT3'!A:F,4,1),"")</f>
        <v>3.625</v>
      </c>
      <c r="E450">
        <f>IF(NOT(ISBLANK(A450)),VLOOKUP(A450,'BBT3'!A:F,5,0),"")</f>
        <v>47361</v>
      </c>
      <c r="F450" t="str">
        <f>IF(NOT(ISBLANK(A450)),VLOOKUP(A450,'BBT3'!A:F,6,0),"")</f>
        <v>N</v>
      </c>
      <c r="G450">
        <f>IF(NOT(ISBLANK(A450)),VLOOKUP(A450,QW_Close!A:J,5,0),"")</f>
        <v>4.1259324960394299E-2</v>
      </c>
      <c r="H450" s="5" cm="1">
        <f t="array" ref="H450">IF(NOT(ISBLANK(A450)),((_xlfn.XLOOKUP(1,(_bbt3[[#All],[ID]]=A450)*(_bbt3[[#All],[METRIC_NAME]]="YLD_YTM_ASK"),_bbt3[[#All],[METRIC_VALUE]])*0.5)+(_xlfn.XLOOKUP(1,(_bbt3[[#All],[ID]]=A450)*(_bbt3[[#All],[METRIC_NAME]]="YLD_YTM_BID"),_bbt3[[#All],[METRIC_VALUE]])*0.5))/100,"")</f>
        <v>4.1259329999999997E-2</v>
      </c>
      <c r="I450">
        <f>IF(ISNA(VLOOKUP(A450,QW_CloseDL!A:E,5,0)),0,VLOOKUP(A450,QW_CloseDL!A:E,5,0))</f>
        <v>4.1259324960394299E-2</v>
      </c>
      <c r="J450" s="8">
        <f t="shared" si="30"/>
        <v>0</v>
      </c>
      <c r="P450">
        <v>0</v>
      </c>
      <c r="Q450" t="e">
        <f t="shared" si="31"/>
        <v>#N/A</v>
      </c>
      <c r="R450" t="e">
        <f t="shared" si="32"/>
        <v>#N/A</v>
      </c>
      <c r="S450" s="9" t="e">
        <f t="shared" si="33"/>
        <v>#N/A</v>
      </c>
      <c r="T450" s="3" t="e">
        <f t="shared" si="34"/>
        <v>#N/A</v>
      </c>
    </row>
    <row r="451" spans="1:20" x14ac:dyDescent="0.35">
      <c r="A451" t="str">
        <v>91282CLL3</v>
      </c>
      <c r="B451" t="str">
        <f>IF(NOT(ISBLANK(A451)),VLOOKUP(A451,'BBT3'!A:F,2,0),"")</f>
        <v>Bond</v>
      </c>
      <c r="C451" t="str">
        <f>IF(NOT(ISBLANK(A451)),VLOOKUP(A451,'BBT3'!A:F,3,0),"")</f>
        <v>US91282CLL36</v>
      </c>
      <c r="D451" s="6">
        <f>IF(NOT(ISBLANK(A451)),VLOOKUP(A451,'BBT3'!A:F,4,1),"")</f>
        <v>3.375</v>
      </c>
      <c r="E451">
        <f>IF(NOT(ISBLANK(A451)),VLOOKUP(A451,'BBT3'!A:F,5,0),"")</f>
        <v>46645</v>
      </c>
      <c r="F451" t="str">
        <f>IF(NOT(ISBLANK(A451)),VLOOKUP(A451,'BBT3'!A:F,6,0),"")</f>
        <v>N</v>
      </c>
      <c r="G451">
        <f>IF(NOT(ISBLANK(A451)),VLOOKUP(A451,QW_Close!A:J,5,0),"")</f>
        <v>3.9765968201031697E-2</v>
      </c>
      <c r="H451" s="5" cm="1">
        <f t="array" ref="H451">IF(NOT(ISBLANK(A451)),((_xlfn.XLOOKUP(1,(_bbt3[[#All],[ID]]=A451)*(_bbt3[[#All],[METRIC_NAME]]="YLD_YTM_ASK"),_bbt3[[#All],[METRIC_VALUE]])*0.5)+(_xlfn.XLOOKUP(1,(_bbt3[[#All],[ID]]=A451)*(_bbt3[[#All],[METRIC_NAME]]="YLD_YTM_BID"),_bbt3[[#All],[METRIC_VALUE]])*0.5))/100,"")</f>
        <v>3.9765972000000004E-2</v>
      </c>
      <c r="I451">
        <f>IF(ISNA(VLOOKUP(A451,QW_CloseDL!A:E,5,0)),0,VLOOKUP(A451,QW_CloseDL!A:E,5,0))</f>
        <v>3.9765968201031697E-2</v>
      </c>
      <c r="J451" s="8">
        <f t="shared" ref="J451:J514" si="35">IF(ISNA(IF(NOT(ISBLANK(A451)),ABS(G451-I451),"")),0,(IF(NOT(ISBLANK(A451)),ABS(G451-I451)*10000,"")))</f>
        <v>0</v>
      </c>
      <c r="P451">
        <v>0</v>
      </c>
      <c r="Q451" t="e">
        <f t="shared" si="31"/>
        <v>#N/A</v>
      </c>
      <c r="R451" t="e">
        <f t="shared" si="32"/>
        <v>#N/A</v>
      </c>
      <c r="S451" s="9" t="e">
        <f t="shared" si="33"/>
        <v>#N/A</v>
      </c>
      <c r="T451" s="3" t="e">
        <f t="shared" si="34"/>
        <v>#N/A</v>
      </c>
    </row>
    <row r="452" spans="1:20" x14ac:dyDescent="0.35">
      <c r="A452" t="str">
        <v>91282CLM1</v>
      </c>
      <c r="B452" t="str">
        <f>IF(NOT(ISBLANK(A452)),VLOOKUP(A452,'BBT3'!A:F,2,0),"")</f>
        <v>Bond</v>
      </c>
      <c r="C452" t="str">
        <f>IF(NOT(ISBLANK(A452)),VLOOKUP(A452,'BBT3'!A:F,3,0),"")</f>
        <v>US91282CLM19</v>
      </c>
      <c r="D452" s="6">
        <f>IF(NOT(ISBLANK(A452)),VLOOKUP(A452,'BBT3'!A:F,4,1),"")</f>
        <v>3.625</v>
      </c>
      <c r="E452">
        <f>IF(NOT(ISBLANK(A452)),VLOOKUP(A452,'BBT3'!A:F,5,0),"")</f>
        <v>48121</v>
      </c>
      <c r="F452" t="str">
        <f>IF(NOT(ISBLANK(A452)),VLOOKUP(A452,'BBT3'!A:F,6,0),"")</f>
        <v>N</v>
      </c>
      <c r="G452">
        <f>IF(NOT(ISBLANK(A452)),VLOOKUP(A452,QW_Close!A:J,5,0),"")</f>
        <v>4.2165059848096799E-2</v>
      </c>
      <c r="H452" s="5" cm="1">
        <f t="array" ref="H452">IF(NOT(ISBLANK(A452)),((_xlfn.XLOOKUP(1,(_bbt3[[#All],[ID]]=A452)*(_bbt3[[#All],[METRIC_NAME]]="YLD_YTM_ASK"),_bbt3[[#All],[METRIC_VALUE]])*0.5)+(_xlfn.XLOOKUP(1,(_bbt3[[#All],[ID]]=A452)*(_bbt3[[#All],[METRIC_NAME]]="YLD_YTM_BID"),_bbt3[[#All],[METRIC_VALUE]])*0.5))/100,"")</f>
        <v>4.2165062999999996E-2</v>
      </c>
      <c r="I452">
        <f>IF(ISNA(VLOOKUP(A452,QW_CloseDL!A:E,5,0)),0,VLOOKUP(A452,QW_CloseDL!A:E,5,0))</f>
        <v>4.2165059848096799E-2</v>
      </c>
      <c r="J452" s="8">
        <f t="shared" si="35"/>
        <v>0</v>
      </c>
      <c r="P452">
        <v>0</v>
      </c>
      <c r="Q452" t="e">
        <f t="shared" si="31"/>
        <v>#N/A</v>
      </c>
      <c r="R452" t="e">
        <f t="shared" si="32"/>
        <v>#N/A</v>
      </c>
      <c r="S452" s="9" t="e">
        <f t="shared" si="33"/>
        <v>#N/A</v>
      </c>
      <c r="T452" s="3" t="e">
        <f t="shared" si="34"/>
        <v>#N/A</v>
      </c>
    </row>
    <row r="453" spans="1:20" x14ac:dyDescent="0.35">
      <c r="A453" t="str">
        <v>91282CLN9</v>
      </c>
      <c r="B453" t="str">
        <f>IF(NOT(ISBLANK(A453)),VLOOKUP(A453,'BBT3'!A:F,2,0),"")</f>
        <v>Bond</v>
      </c>
      <c r="C453" t="str">
        <f>IF(NOT(ISBLANK(A453)),VLOOKUP(A453,'BBT3'!A:F,3,0),"")</f>
        <v>US91282CLN91</v>
      </c>
      <c r="D453" s="6">
        <f>IF(NOT(ISBLANK(A453)),VLOOKUP(A453,'BBT3'!A:F,4,1),"")</f>
        <v>3.5</v>
      </c>
      <c r="E453">
        <f>IF(NOT(ISBLANK(A453)),VLOOKUP(A453,'BBT3'!A:F,5,0),"")</f>
        <v>47391</v>
      </c>
      <c r="F453" t="str">
        <f>IF(NOT(ISBLANK(A453)),VLOOKUP(A453,'BBT3'!A:F,6,0),"")</f>
        <v>N</v>
      </c>
      <c r="G453">
        <f>IF(NOT(ISBLANK(A453)),VLOOKUP(A453,QW_Close!A:J,5,0),"")</f>
        <v>4.1304976104607399E-2</v>
      </c>
      <c r="H453" s="5" cm="1">
        <f t="array" ref="H453">IF(NOT(ISBLANK(A453)),((_xlfn.XLOOKUP(1,(_bbt3[[#All],[ID]]=A453)*(_bbt3[[#All],[METRIC_NAME]]="YLD_YTM_ASK"),_bbt3[[#All],[METRIC_VALUE]])*0.5)+(_xlfn.XLOOKUP(1,(_bbt3[[#All],[ID]]=A453)*(_bbt3[[#All],[METRIC_NAME]]="YLD_YTM_BID"),_bbt3[[#All],[METRIC_VALUE]])*0.5))/100,"")</f>
        <v>4.1304978800000003E-2</v>
      </c>
      <c r="I453">
        <f>IF(ISNA(VLOOKUP(A453,QW_CloseDL!A:E,5,0)),0,VLOOKUP(A453,QW_CloseDL!A:E,5,0))</f>
        <v>4.1304976104607399E-2</v>
      </c>
      <c r="J453" s="8">
        <f t="shared" si="35"/>
        <v>0</v>
      </c>
      <c r="P453">
        <v>0</v>
      </c>
      <c r="Q453" t="e">
        <f t="shared" si="31"/>
        <v>#N/A</v>
      </c>
      <c r="R453" t="e">
        <f t="shared" si="32"/>
        <v>#N/A</v>
      </c>
      <c r="S453" s="9" t="e">
        <f t="shared" si="33"/>
        <v>#N/A</v>
      </c>
      <c r="T453" s="3" t="e">
        <f t="shared" si="34"/>
        <v>#N/A</v>
      </c>
    </row>
    <row r="454" spans="1:20" x14ac:dyDescent="0.35">
      <c r="A454" t="str">
        <v>91282CLP4</v>
      </c>
      <c r="B454" t="str">
        <f>IF(NOT(ISBLANK(A454)),VLOOKUP(A454,'BBT3'!A:F,2,0),"")</f>
        <v>Bond</v>
      </c>
      <c r="C454" t="str">
        <f>IF(NOT(ISBLANK(A454)),VLOOKUP(A454,'BBT3'!A:F,3,0),"")</f>
        <v>US91282CLP40</v>
      </c>
      <c r="D454" s="6">
        <f>IF(NOT(ISBLANK(A454)),VLOOKUP(A454,'BBT3'!A:F,4,1),"")</f>
        <v>3.5</v>
      </c>
      <c r="E454">
        <f>IF(NOT(ISBLANK(A454)),VLOOKUP(A454,'BBT3'!A:F,5,0),"")</f>
        <v>46295</v>
      </c>
      <c r="F454" t="str">
        <f>IF(NOT(ISBLANK(A454)),VLOOKUP(A454,'BBT3'!A:F,6,0),"")</f>
        <v>N</v>
      </c>
      <c r="G454">
        <f>IF(NOT(ISBLANK(A454)),VLOOKUP(A454,QW_Close!A:J,5,0),"")</f>
        <v>3.7360950702456097E-2</v>
      </c>
      <c r="H454" s="5" cm="1">
        <f t="array" ref="H454">IF(NOT(ISBLANK(A454)),((_xlfn.XLOOKUP(1,(_bbt3[[#All],[ID]]=A454)*(_bbt3[[#All],[METRIC_NAME]]="YLD_YTM_ASK"),_bbt3[[#All],[METRIC_VALUE]])*0.5)+(_xlfn.XLOOKUP(1,(_bbt3[[#All],[ID]]=A454)*(_bbt3[[#All],[METRIC_NAME]]="YLD_YTM_BID"),_bbt3[[#All],[METRIC_VALUE]])*0.5))/100,"")</f>
        <v>3.7360993699999998E-2</v>
      </c>
      <c r="I454">
        <f>IF(ISNA(VLOOKUP(A454,QW_CloseDL!A:E,5,0)),0,VLOOKUP(A454,QW_CloseDL!A:E,5,0))</f>
        <v>3.7360950702456097E-2</v>
      </c>
      <c r="J454" s="8">
        <f t="shared" si="35"/>
        <v>0</v>
      </c>
      <c r="P454">
        <v>0</v>
      </c>
      <c r="Q454" t="e">
        <f t="shared" si="31"/>
        <v>#N/A</v>
      </c>
      <c r="R454" t="e">
        <f t="shared" si="32"/>
        <v>#N/A</v>
      </c>
      <c r="S454" s="9" t="e">
        <f t="shared" si="33"/>
        <v>#N/A</v>
      </c>
      <c r="T454" s="3" t="e">
        <f t="shared" si="34"/>
        <v>#N/A</v>
      </c>
    </row>
    <row r="455" spans="1:20" x14ac:dyDescent="0.35">
      <c r="A455" t="str">
        <v>91282CLQ2</v>
      </c>
      <c r="B455" t="str">
        <f>IF(NOT(ISBLANK(A455)),VLOOKUP(A455,'BBT3'!A:F,2,0),"")</f>
        <v>Bond</v>
      </c>
      <c r="C455" t="str">
        <f>IF(NOT(ISBLANK(A455)),VLOOKUP(A455,'BBT3'!A:F,3,0),"")</f>
        <v>US91282CLQ23</v>
      </c>
      <c r="D455" s="6">
        <f>IF(NOT(ISBLANK(A455)),VLOOKUP(A455,'BBT3'!A:F,4,1),"")</f>
        <v>3.875</v>
      </c>
      <c r="E455">
        <f>IF(NOT(ISBLANK(A455)),VLOOKUP(A455,'BBT3'!A:F,5,0),"")</f>
        <v>46675</v>
      </c>
      <c r="F455" t="str">
        <f>IF(NOT(ISBLANK(A455)),VLOOKUP(A455,'BBT3'!A:F,6,0),"")</f>
        <v>N</v>
      </c>
      <c r="G455">
        <f>IF(NOT(ISBLANK(A455)),VLOOKUP(A455,QW_Close!A:J,5,0),"")</f>
        <v>3.9986412278353298E-2</v>
      </c>
      <c r="H455" s="5" cm="1">
        <f t="array" ref="H455">IF(NOT(ISBLANK(A455)),((_xlfn.XLOOKUP(1,(_bbt3[[#All],[ID]]=A455)*(_bbt3[[#All],[METRIC_NAME]]="YLD_YTM_ASK"),_bbt3[[#All],[METRIC_VALUE]])*0.5)+(_xlfn.XLOOKUP(1,(_bbt3[[#All],[ID]]=A455)*(_bbt3[[#All],[METRIC_NAME]]="YLD_YTM_BID"),_bbt3[[#All],[METRIC_VALUE]])*0.5))/100,"")</f>
        <v>3.99864173E-2</v>
      </c>
      <c r="I455">
        <f>IF(ISNA(VLOOKUP(A455,QW_CloseDL!A:E,5,0)),0,VLOOKUP(A455,QW_CloseDL!A:E,5,0))</f>
        <v>3.9986412278353298E-2</v>
      </c>
      <c r="J455" s="8">
        <f t="shared" si="35"/>
        <v>0</v>
      </c>
      <c r="P455">
        <v>0</v>
      </c>
      <c r="Q455" t="e">
        <f t="shared" si="31"/>
        <v>#N/A</v>
      </c>
      <c r="R455" t="e">
        <f t="shared" si="32"/>
        <v>#N/A</v>
      </c>
      <c r="S455" s="9" t="e">
        <f t="shared" si="33"/>
        <v>#N/A</v>
      </c>
      <c r="T455" s="3" t="e">
        <f t="shared" si="34"/>
        <v>#N/A</v>
      </c>
    </row>
    <row r="456" spans="1:20" x14ac:dyDescent="0.35">
      <c r="A456" t="str">
        <v>91282CLR0</v>
      </c>
      <c r="B456" t="str">
        <f>IF(NOT(ISBLANK(A456)),VLOOKUP(A456,'BBT3'!A:F,2,0),"")</f>
        <v>Bond</v>
      </c>
      <c r="C456" t="str">
        <f>IF(NOT(ISBLANK(A456)),VLOOKUP(A456,'BBT3'!A:F,3,0),"")</f>
        <v>US91282CLR06</v>
      </c>
      <c r="D456" s="6">
        <f>IF(NOT(ISBLANK(A456)),VLOOKUP(A456,'BBT3'!A:F,4,1),"")</f>
        <v>4.125</v>
      </c>
      <c r="E456">
        <f>IF(NOT(ISBLANK(A456)),VLOOKUP(A456,'BBT3'!A:F,5,0),"")</f>
        <v>47422</v>
      </c>
      <c r="F456" t="str">
        <f>IF(NOT(ISBLANK(A456)),VLOOKUP(A456,'BBT3'!A:F,6,0),"")</f>
        <v>N</v>
      </c>
      <c r="G456">
        <f>IF(NOT(ISBLANK(A456)),VLOOKUP(A456,QW_Close!A:J,5,0),"")</f>
        <v>4.1363719207433897E-2</v>
      </c>
      <c r="H456" s="5" cm="1">
        <f t="array" ref="H456">IF(NOT(ISBLANK(A456)),((_xlfn.XLOOKUP(1,(_bbt3[[#All],[ID]]=A456)*(_bbt3[[#All],[METRIC_NAME]]="YLD_YTM_ASK"),_bbt3[[#All],[METRIC_VALUE]])*0.5)+(_xlfn.XLOOKUP(1,(_bbt3[[#All],[ID]]=A456)*(_bbt3[[#All],[METRIC_NAME]]="YLD_YTM_BID"),_bbt3[[#All],[METRIC_VALUE]])*0.5))/100,"")</f>
        <v>4.1363723849999999E-2</v>
      </c>
      <c r="I456">
        <f>IF(ISNA(VLOOKUP(A456,QW_CloseDL!A:E,5,0)),0,VLOOKUP(A456,QW_CloseDL!A:E,5,0))</f>
        <v>4.1363719207433897E-2</v>
      </c>
      <c r="J456" s="8">
        <f t="shared" si="35"/>
        <v>0</v>
      </c>
      <c r="P456">
        <v>0</v>
      </c>
      <c r="Q456" t="e">
        <f t="shared" si="31"/>
        <v>#N/A</v>
      </c>
      <c r="R456" t="e">
        <f t="shared" si="32"/>
        <v>#N/A</v>
      </c>
      <c r="S456" s="9" t="e">
        <f t="shared" si="33"/>
        <v>#N/A</v>
      </c>
      <c r="T456" s="3" t="e">
        <f t="shared" si="34"/>
        <v>#N/A</v>
      </c>
    </row>
    <row r="457" spans="1:20" x14ac:dyDescent="0.35">
      <c r="A457" t="str">
        <v>91282CLS8</v>
      </c>
      <c r="B457" t="str">
        <f>IF(NOT(ISBLANK(A457)),VLOOKUP(A457,'BBT3'!A:F,2,0),"")</f>
        <v>Bond</v>
      </c>
      <c r="C457" t="str">
        <f>IF(NOT(ISBLANK(A457)),VLOOKUP(A457,'BBT3'!A:F,3,0),"")</f>
        <v>US91282CLS88</v>
      </c>
      <c r="D457" s="6">
        <f>IF(NOT(ISBLANK(A457)),VLOOKUP(A457,'BBT3'!A:F,4,1),"")</f>
        <v>4.125</v>
      </c>
      <c r="E457">
        <f>IF(NOT(ISBLANK(A457)),VLOOKUP(A457,'BBT3'!A:F,5,0),"")</f>
        <v>46326</v>
      </c>
      <c r="F457" t="str">
        <f>IF(NOT(ISBLANK(A457)),VLOOKUP(A457,'BBT3'!A:F,6,0),"")</f>
        <v>N</v>
      </c>
      <c r="G457">
        <f>IF(NOT(ISBLANK(A457)),VLOOKUP(A457,QW_Close!A:J,5,0),"")</f>
        <v>3.80394552612731E-2</v>
      </c>
      <c r="H457" s="5" cm="1">
        <f t="array" ref="H457">IF(NOT(ISBLANK(A457)),((_xlfn.XLOOKUP(1,(_bbt3[[#All],[ID]]=A457)*(_bbt3[[#All],[METRIC_NAME]]="YLD_YTM_ASK"),_bbt3[[#All],[METRIC_VALUE]])*0.5)+(_xlfn.XLOOKUP(1,(_bbt3[[#All],[ID]]=A457)*(_bbt3[[#All],[METRIC_NAME]]="YLD_YTM_BID"),_bbt3[[#All],[METRIC_VALUE]])*0.5))/100,"")</f>
        <v>3.8039489600000004E-2</v>
      </c>
      <c r="I457">
        <f>IF(ISNA(VLOOKUP(A457,QW_CloseDL!A:E,5,0)),0,VLOOKUP(A457,QW_CloseDL!A:E,5,0))</f>
        <v>3.80394552612731E-2</v>
      </c>
      <c r="J457" s="8">
        <f t="shared" si="35"/>
        <v>0</v>
      </c>
      <c r="P457">
        <v>0</v>
      </c>
      <c r="Q457" t="e">
        <f t="shared" si="31"/>
        <v>#N/A</v>
      </c>
      <c r="R457" t="e">
        <f t="shared" si="32"/>
        <v>#N/A</v>
      </c>
      <c r="S457" s="9" t="e">
        <f t="shared" si="33"/>
        <v>#N/A</v>
      </c>
      <c r="T457" s="3" t="e">
        <f t="shared" si="34"/>
        <v>#N/A</v>
      </c>
    </row>
    <row r="458" spans="1:20" x14ac:dyDescent="0.35">
      <c r="A458" t="str">
        <v>91282CLU3</v>
      </c>
      <c r="B458" t="str">
        <f>IF(NOT(ISBLANK(A458)),VLOOKUP(A458,'BBT3'!A:F,2,0),"")</f>
        <v>Bond</v>
      </c>
      <c r="C458" t="str">
        <f>IF(NOT(ISBLANK(A458)),VLOOKUP(A458,'BBT3'!A:F,3,0),"")</f>
        <v>US91282CLU35</v>
      </c>
      <c r="D458" s="6">
        <f>IF(NOT(ISBLANK(A458)),VLOOKUP(A458,'BBT3'!A:F,4,1),"")</f>
        <v>4.125</v>
      </c>
      <c r="E458">
        <f>IF(NOT(ISBLANK(A458)),VLOOKUP(A458,'BBT3'!A:F,5,0),"")</f>
        <v>48152</v>
      </c>
      <c r="F458" t="str">
        <f>IF(NOT(ISBLANK(A458)),VLOOKUP(A458,'BBT3'!A:F,6,0),"")</f>
        <v>N</v>
      </c>
      <c r="G458">
        <f>IF(NOT(ISBLANK(A458)),VLOOKUP(A458,QW_Close!A:J,5,0),"")</f>
        <v>4.2222442234705101E-2</v>
      </c>
      <c r="H458" s="5" cm="1">
        <f t="array" ref="H458">IF(NOT(ISBLANK(A458)),((_xlfn.XLOOKUP(1,(_bbt3[[#All],[ID]]=A458)*(_bbt3[[#All],[METRIC_NAME]]="YLD_YTM_ASK"),_bbt3[[#All],[METRIC_VALUE]])*0.5)+(_xlfn.XLOOKUP(1,(_bbt3[[#All],[ID]]=A458)*(_bbt3[[#All],[METRIC_NAME]]="YLD_YTM_BID"),_bbt3[[#All],[METRIC_VALUE]])*0.5))/100,"")</f>
        <v>4.2222445249999997E-2</v>
      </c>
      <c r="I458">
        <f>IF(ISNA(VLOOKUP(A458,QW_CloseDL!A:E,5,0)),0,VLOOKUP(A458,QW_CloseDL!A:E,5,0))</f>
        <v>4.2222442234705101E-2</v>
      </c>
      <c r="J458" s="8">
        <f t="shared" si="35"/>
        <v>0</v>
      </c>
      <c r="P458">
        <v>0</v>
      </c>
      <c r="Q458" t="e">
        <f t="shared" si="31"/>
        <v>#N/A</v>
      </c>
      <c r="R458" t="e">
        <f t="shared" si="32"/>
        <v>#N/A</v>
      </c>
      <c r="S458" s="9" t="e">
        <f t="shared" si="33"/>
        <v>#N/A</v>
      </c>
      <c r="T458" s="3" t="e">
        <f t="shared" si="34"/>
        <v>#N/A</v>
      </c>
    </row>
    <row r="459" spans="1:20" x14ac:dyDescent="0.35">
      <c r="A459" t="str">
        <v>91282CLV1</v>
      </c>
      <c r="B459" t="str">
        <f>IF(NOT(ISBLANK(A459)),VLOOKUP(A459,'BBT3'!A:F,2,0),"")</f>
        <v>Bond</v>
      </c>
      <c r="C459" t="str">
        <f>IF(NOT(ISBLANK(A459)),VLOOKUP(A459,'BBT3'!A:F,3,0),"")</f>
        <v>US91282CLV18</v>
      </c>
      <c r="D459" s="6">
        <f>IF(NOT(ISBLANK(A459)),VLOOKUP(A459,'BBT3'!A:F,4,1),"")</f>
        <v>1.625</v>
      </c>
      <c r="E459">
        <f>IF(NOT(ISBLANK(A459)),VLOOKUP(A459,'BBT3'!A:F,5,0),"")</f>
        <v>47406</v>
      </c>
      <c r="F459" t="str">
        <f>IF(NOT(ISBLANK(A459)),VLOOKUP(A459,'BBT3'!A:F,6,0),"")</f>
        <v>Y</v>
      </c>
      <c r="G459">
        <f>IF(NOT(ISBLANK(A459)),VLOOKUP(A459,QW_Close!A:J,5,0),"")</f>
        <v>1.44675456752472E-2</v>
      </c>
      <c r="H459" s="5" cm="1">
        <f t="array" ref="H459">IF(NOT(ISBLANK(A459)),((_xlfn.XLOOKUP(1,(_bbt3[[#All],[ID]]=A459)*(_bbt3[[#All],[METRIC_NAME]]="YLD_YTM_ASK"),_bbt3[[#All],[METRIC_VALUE]])*0.5)+(_xlfn.XLOOKUP(1,(_bbt3[[#All],[ID]]=A459)*(_bbt3[[#All],[METRIC_NAME]]="YLD_YTM_BID"),_bbt3[[#All],[METRIC_VALUE]])*0.5))/100,"")</f>
        <v>1.44676097E-2</v>
      </c>
      <c r="I459">
        <f>IF(ISNA(VLOOKUP(A459,QW_CloseDL!A:E,5,0)),0,VLOOKUP(A459,QW_CloseDL!A:E,5,0))</f>
        <v>1.44676028357724E-2</v>
      </c>
      <c r="J459" s="8">
        <f t="shared" si="35"/>
        <v>5.7160525200258827E-4</v>
      </c>
      <c r="P459">
        <v>0</v>
      </c>
      <c r="Q459" t="e">
        <f t="shared" si="31"/>
        <v>#N/A</v>
      </c>
      <c r="R459" t="e">
        <f t="shared" si="32"/>
        <v>#N/A</v>
      </c>
      <c r="S459" s="9" t="e">
        <f t="shared" si="33"/>
        <v>#N/A</v>
      </c>
      <c r="T459" s="3" t="e">
        <f t="shared" si="34"/>
        <v>#N/A</v>
      </c>
    </row>
    <row r="460" spans="1:20" x14ac:dyDescent="0.35">
      <c r="A460" t="str">
        <v>91282CLW9</v>
      </c>
      <c r="B460" t="str">
        <f>IF(NOT(ISBLANK(A460)),VLOOKUP(A460,'BBT3'!A:F,2,0),"")</f>
        <v>Bond</v>
      </c>
      <c r="C460" t="str">
        <f>IF(NOT(ISBLANK(A460)),VLOOKUP(A460,'BBT3'!A:F,3,0),"")</f>
        <v>US91282CLW90</v>
      </c>
      <c r="D460" s="6">
        <f>IF(NOT(ISBLANK(A460)),VLOOKUP(A460,'BBT3'!A:F,4,1),"")</f>
        <v>4.25</v>
      </c>
      <c r="E460">
        <f>IF(NOT(ISBLANK(A460)),VLOOKUP(A460,'BBT3'!A:F,5,0),"")</f>
        <v>49263</v>
      </c>
      <c r="F460" t="str">
        <f>IF(NOT(ISBLANK(A460)),VLOOKUP(A460,'BBT3'!A:F,6,0),"")</f>
        <v>N</v>
      </c>
      <c r="G460">
        <f>IF(NOT(ISBLANK(A460)),VLOOKUP(A460,QW_Close!A:J,5,0),"")</f>
        <v>4.4129585157565203E-2</v>
      </c>
      <c r="H460" s="5" cm="1">
        <f t="array" ref="H460">IF(NOT(ISBLANK(A460)),((_xlfn.XLOOKUP(1,(_bbt3[[#All],[ID]]=A460)*(_bbt3[[#All],[METRIC_NAME]]="YLD_YTM_ASK"),_bbt3[[#All],[METRIC_VALUE]])*0.5)+(_xlfn.XLOOKUP(1,(_bbt3[[#All],[ID]]=A460)*(_bbt3[[#All],[METRIC_NAME]]="YLD_YTM_BID"),_bbt3[[#All],[METRIC_VALUE]])*0.5))/100,"")</f>
        <v>4.4129587250000005E-2</v>
      </c>
      <c r="I460">
        <f>IF(ISNA(VLOOKUP(A460,QW_CloseDL!A:E,5,0)),0,VLOOKUP(A460,QW_CloseDL!A:E,5,0))</f>
        <v>4.4129585157565203E-2</v>
      </c>
      <c r="J460" s="8">
        <f t="shared" si="35"/>
        <v>0</v>
      </c>
      <c r="P460">
        <v>0</v>
      </c>
      <c r="Q460" t="e">
        <f t="shared" si="31"/>
        <v>#N/A</v>
      </c>
      <c r="R460" t="e">
        <f t="shared" si="32"/>
        <v>#N/A</v>
      </c>
      <c r="S460" s="9" t="e">
        <f t="shared" si="33"/>
        <v>#N/A</v>
      </c>
      <c r="T460" s="3" t="e">
        <f t="shared" si="34"/>
        <v>#N/A</v>
      </c>
    </row>
    <row r="461" spans="1:20" x14ac:dyDescent="0.35">
      <c r="A461" t="str">
        <v>91282CLX7</v>
      </c>
      <c r="B461" t="str">
        <f>IF(NOT(ISBLANK(A461)),VLOOKUP(A461,'BBT3'!A:F,2,0),"")</f>
        <v>Bond</v>
      </c>
      <c r="C461" t="str">
        <f>IF(NOT(ISBLANK(A461)),VLOOKUP(A461,'BBT3'!A:F,3,0),"")</f>
        <v>US91282CLX73</v>
      </c>
      <c r="D461" s="6">
        <f>IF(NOT(ISBLANK(A461)),VLOOKUP(A461,'BBT3'!A:F,4,1),"")</f>
        <v>4.125</v>
      </c>
      <c r="E461">
        <f>IF(NOT(ISBLANK(A461)),VLOOKUP(A461,'BBT3'!A:F,5,0),"")</f>
        <v>46706</v>
      </c>
      <c r="F461" t="str">
        <f>IF(NOT(ISBLANK(A461)),VLOOKUP(A461,'BBT3'!A:F,6,0),"")</f>
        <v>N</v>
      </c>
      <c r="G461">
        <f>IF(NOT(ISBLANK(A461)),VLOOKUP(A461,QW_Close!A:J,5,0),"")</f>
        <v>4.0180043283058298E-2</v>
      </c>
      <c r="H461" s="5" cm="1">
        <f t="array" ref="H461">IF(NOT(ISBLANK(A461)),((_xlfn.XLOOKUP(1,(_bbt3[[#All],[ID]]=A461)*(_bbt3[[#All],[METRIC_NAME]]="YLD_YTM_ASK"),_bbt3[[#All],[METRIC_VALUE]])*0.5)+(_xlfn.XLOOKUP(1,(_bbt3[[#All],[ID]]=A461)*(_bbt3[[#All],[METRIC_NAME]]="YLD_YTM_BID"),_bbt3[[#All],[METRIC_VALUE]])*0.5))/100,"")</f>
        <v>4.0180047949999992E-2</v>
      </c>
      <c r="I461">
        <f>IF(ISNA(VLOOKUP(A461,QW_CloseDL!A:E,5,0)),0,VLOOKUP(A461,QW_CloseDL!A:E,5,0))</f>
        <v>4.0180043283058298E-2</v>
      </c>
      <c r="J461" s="8">
        <f t="shared" si="35"/>
        <v>0</v>
      </c>
      <c r="P461">
        <v>0</v>
      </c>
      <c r="Q461" t="e">
        <f t="shared" ref="Q461:Q524" si="36">VLOOKUP(P461,A:B,2,0)</f>
        <v>#N/A</v>
      </c>
      <c r="R461" t="e">
        <f t="shared" ref="R461:R524" si="37">VLOOKUP(P461,A:E,4,0)</f>
        <v>#N/A</v>
      </c>
      <c r="S461" s="9" t="e">
        <f t="shared" ref="S461:S524" si="38">VLOOKUP(P461,A:J,10,0)</f>
        <v>#N/A</v>
      </c>
      <c r="T461" s="3" t="e">
        <f t="shared" ref="T461:T524" si="39">VLOOKUP(P461,A:J,5,0)</f>
        <v>#N/A</v>
      </c>
    </row>
    <row r="462" spans="1:20" x14ac:dyDescent="0.35">
      <c r="A462" t="str">
        <v>91282CLY5</v>
      </c>
      <c r="B462" t="str">
        <f>IF(NOT(ISBLANK(A462)),VLOOKUP(A462,'BBT3'!A:F,2,0),"")</f>
        <v>Bond</v>
      </c>
      <c r="C462" t="str">
        <f>IF(NOT(ISBLANK(A462)),VLOOKUP(A462,'BBT3'!A:F,3,0),"")</f>
        <v>US91282CLY56</v>
      </c>
      <c r="D462" s="6">
        <f>IF(NOT(ISBLANK(A462)),VLOOKUP(A462,'BBT3'!A:F,4,1),"")</f>
        <v>4.25</v>
      </c>
      <c r="E462">
        <f>IF(NOT(ISBLANK(A462)),VLOOKUP(A462,'BBT3'!A:F,5,0),"")</f>
        <v>46356</v>
      </c>
      <c r="F462" t="str">
        <f>IF(NOT(ISBLANK(A462)),VLOOKUP(A462,'BBT3'!A:F,6,0),"")</f>
        <v>N</v>
      </c>
      <c r="G462">
        <f>IF(NOT(ISBLANK(A462)),VLOOKUP(A462,QW_Close!A:J,5,0),"")</f>
        <v>3.7611733104413902E-2</v>
      </c>
      <c r="H462" s="5" cm="1">
        <f t="array" ref="H462">IF(NOT(ISBLANK(A462)),((_xlfn.XLOOKUP(1,(_bbt3[[#All],[ID]]=A462)*(_bbt3[[#All],[METRIC_NAME]]="YLD_YTM_ASK"),_bbt3[[#All],[METRIC_VALUE]])*0.5)+(_xlfn.XLOOKUP(1,(_bbt3[[#All],[ID]]=A462)*(_bbt3[[#All],[METRIC_NAME]]="YLD_YTM_BID"),_bbt3[[#All],[METRIC_VALUE]])*0.5))/100,"")</f>
        <v>3.7611752999999998E-2</v>
      </c>
      <c r="I462">
        <f>IF(ISNA(VLOOKUP(A462,QW_CloseDL!A:E,5,0)),0,VLOOKUP(A462,QW_CloseDL!A:E,5,0))</f>
        <v>3.7611733104413902E-2</v>
      </c>
      <c r="J462" s="8">
        <f t="shared" si="35"/>
        <v>0</v>
      </c>
      <c r="P462">
        <v>0</v>
      </c>
      <c r="Q462" t="e">
        <f t="shared" si="36"/>
        <v>#N/A</v>
      </c>
      <c r="R462" t="e">
        <f t="shared" si="37"/>
        <v>#N/A</v>
      </c>
      <c r="S462" s="9" t="e">
        <f t="shared" si="38"/>
        <v>#N/A</v>
      </c>
      <c r="T462" s="3" t="e">
        <f t="shared" si="39"/>
        <v>#N/A</v>
      </c>
    </row>
    <row r="463" spans="1:20" x14ac:dyDescent="0.35">
      <c r="A463" t="str">
        <v>91282CLZ2</v>
      </c>
      <c r="B463" t="str">
        <f>IF(NOT(ISBLANK(A463)),VLOOKUP(A463,'BBT3'!A:F,2,0),"")</f>
        <v>Bond</v>
      </c>
      <c r="C463" t="str">
        <f>IF(NOT(ISBLANK(A463)),VLOOKUP(A463,'BBT3'!A:F,3,0),"")</f>
        <v>US91282CLZ22</v>
      </c>
      <c r="D463" s="6">
        <f>IF(NOT(ISBLANK(A463)),VLOOKUP(A463,'BBT3'!A:F,4,1),"")</f>
        <v>4.125</v>
      </c>
      <c r="E463">
        <f>IF(NOT(ISBLANK(A463)),VLOOKUP(A463,'BBT3'!A:F,5,0),"")</f>
        <v>48182</v>
      </c>
      <c r="F463" t="str">
        <f>IF(NOT(ISBLANK(A463)),VLOOKUP(A463,'BBT3'!A:F,6,0),"")</f>
        <v>N</v>
      </c>
      <c r="G463">
        <f>IF(NOT(ISBLANK(A463)),VLOOKUP(A463,QW_Close!A:J,5,0),"")</f>
        <v>4.22633644736558E-2</v>
      </c>
      <c r="H463" s="5" cm="1">
        <f t="array" ref="H463">IF(NOT(ISBLANK(A463)),((_xlfn.XLOOKUP(1,(_bbt3[[#All],[ID]]=A463)*(_bbt3[[#All],[METRIC_NAME]]="YLD_YTM_ASK"),_bbt3[[#All],[METRIC_VALUE]])*0.5)+(_xlfn.XLOOKUP(1,(_bbt3[[#All],[ID]]=A463)*(_bbt3[[#All],[METRIC_NAME]]="YLD_YTM_BID"),_bbt3[[#All],[METRIC_VALUE]])*0.5))/100,"")</f>
        <v>4.2263367499999996E-2</v>
      </c>
      <c r="I463">
        <f>IF(ISNA(VLOOKUP(A463,QW_CloseDL!A:E,5,0)),0,VLOOKUP(A463,QW_CloseDL!A:E,5,0))</f>
        <v>4.22633644736558E-2</v>
      </c>
      <c r="J463" s="8">
        <f t="shared" si="35"/>
        <v>0</v>
      </c>
      <c r="P463">
        <v>0</v>
      </c>
      <c r="Q463" t="e">
        <f t="shared" si="36"/>
        <v>#N/A</v>
      </c>
      <c r="R463" t="e">
        <f t="shared" si="37"/>
        <v>#N/A</v>
      </c>
      <c r="S463" s="9" t="e">
        <f t="shared" si="38"/>
        <v>#N/A</v>
      </c>
      <c r="T463" s="3" t="e">
        <f t="shared" si="39"/>
        <v>#N/A</v>
      </c>
    </row>
    <row r="464" spans="1:20" x14ac:dyDescent="0.35">
      <c r="A464" t="str">
        <v>91282CMA6</v>
      </c>
      <c r="B464" t="str">
        <f>IF(NOT(ISBLANK(A464)),VLOOKUP(A464,'BBT3'!A:F,2,0),"")</f>
        <v>Bond</v>
      </c>
      <c r="C464" t="str">
        <f>IF(NOT(ISBLANK(A464)),VLOOKUP(A464,'BBT3'!A:F,3,0),"")</f>
        <v>US91282CMA61</v>
      </c>
      <c r="D464" s="6">
        <f>IF(NOT(ISBLANK(A464)),VLOOKUP(A464,'BBT3'!A:F,4,1),"")</f>
        <v>4.125</v>
      </c>
      <c r="E464">
        <f>IF(NOT(ISBLANK(A464)),VLOOKUP(A464,'BBT3'!A:F,5,0),"")</f>
        <v>47452</v>
      </c>
      <c r="F464" t="str">
        <f>IF(NOT(ISBLANK(A464)),VLOOKUP(A464,'BBT3'!A:F,6,0),"")</f>
        <v>N</v>
      </c>
      <c r="G464">
        <f>IF(NOT(ISBLANK(A464)),VLOOKUP(A464,QW_Close!A:J,5,0),"")</f>
        <v>4.1357583140749103E-2</v>
      </c>
      <c r="H464" s="5" cm="1">
        <f t="array" ref="H464">IF(NOT(ISBLANK(A464)),((_xlfn.XLOOKUP(1,(_bbt3[[#All],[ID]]=A464)*(_bbt3[[#All],[METRIC_NAME]]="YLD_YTM_ASK"),_bbt3[[#All],[METRIC_VALUE]])*0.5)+(_xlfn.XLOOKUP(1,(_bbt3[[#All],[ID]]=A464)*(_bbt3[[#All],[METRIC_NAME]]="YLD_YTM_BID"),_bbt3[[#All],[METRIC_VALUE]])*0.5))/100,"")</f>
        <v>4.1357585500000002E-2</v>
      </c>
      <c r="I464">
        <f>IF(ISNA(VLOOKUP(A464,QW_CloseDL!A:E,5,0)),0,VLOOKUP(A464,QW_CloseDL!A:E,5,0))</f>
        <v>4.1357583140749103E-2</v>
      </c>
      <c r="J464" s="8">
        <f t="shared" si="35"/>
        <v>0</v>
      </c>
      <c r="P464">
        <v>0</v>
      </c>
      <c r="Q464" t="e">
        <f t="shared" si="36"/>
        <v>#N/A</v>
      </c>
      <c r="R464" t="e">
        <f t="shared" si="37"/>
        <v>#N/A</v>
      </c>
      <c r="S464" s="9" t="e">
        <f t="shared" si="38"/>
        <v>#N/A</v>
      </c>
      <c r="T464" s="3" t="e">
        <f t="shared" si="39"/>
        <v>#N/A</v>
      </c>
    </row>
    <row r="465" spans="1:20" x14ac:dyDescent="0.35">
      <c r="A465" t="str">
        <v>91282CMB4</v>
      </c>
      <c r="B465" t="str">
        <f>IF(NOT(ISBLANK(A465)),VLOOKUP(A465,'BBT3'!A:F,2,0),"")</f>
        <v>Bond</v>
      </c>
      <c r="C465" t="str">
        <f>IF(NOT(ISBLANK(A465)),VLOOKUP(A465,'BBT3'!A:F,3,0),"")</f>
        <v>US91282CMB45</v>
      </c>
      <c r="D465" s="6">
        <f>IF(NOT(ISBLANK(A465)),VLOOKUP(A465,'BBT3'!A:F,4,1),"")</f>
        <v>4</v>
      </c>
      <c r="E465">
        <f>IF(NOT(ISBLANK(A465)),VLOOKUP(A465,'BBT3'!A:F,5,0),"")</f>
        <v>46736</v>
      </c>
      <c r="F465" t="str">
        <f>IF(NOT(ISBLANK(A465)),VLOOKUP(A465,'BBT3'!A:F,6,0),"")</f>
        <v>N</v>
      </c>
      <c r="G465">
        <f>IF(NOT(ISBLANK(A465)),VLOOKUP(A465,QW_Close!A:J,5,0),"")</f>
        <v>4.0205917123555299E-2</v>
      </c>
      <c r="H465" s="5" cm="1">
        <f t="array" ref="H465">IF(NOT(ISBLANK(A465)),((_xlfn.XLOOKUP(1,(_bbt3[[#All],[ID]]=A465)*(_bbt3[[#All],[METRIC_NAME]]="YLD_YTM_ASK"),_bbt3[[#All],[METRIC_VALUE]])*0.5)+(_xlfn.XLOOKUP(1,(_bbt3[[#All],[ID]]=A465)*(_bbt3[[#All],[METRIC_NAME]]="YLD_YTM_BID"),_bbt3[[#All],[METRIC_VALUE]])*0.5))/100,"")</f>
        <v>4.0205919999999999E-2</v>
      </c>
      <c r="I465">
        <f>IF(ISNA(VLOOKUP(A465,QW_CloseDL!A:E,5,0)),0,VLOOKUP(A465,QW_CloseDL!A:E,5,0))</f>
        <v>4.0205917123555299E-2</v>
      </c>
      <c r="J465" s="8">
        <f t="shared" si="35"/>
        <v>0</v>
      </c>
      <c r="P465">
        <v>0</v>
      </c>
      <c r="Q465" t="e">
        <f t="shared" si="36"/>
        <v>#N/A</v>
      </c>
      <c r="R465" t="e">
        <f t="shared" si="37"/>
        <v>#N/A</v>
      </c>
      <c r="S465" s="9" t="e">
        <f t="shared" si="38"/>
        <v>#N/A</v>
      </c>
      <c r="T465" s="3" t="e">
        <f t="shared" si="39"/>
        <v>#N/A</v>
      </c>
    </row>
    <row r="466" spans="1:20" x14ac:dyDescent="0.35">
      <c r="A466" t="str">
        <v>91282CMC2</v>
      </c>
      <c r="B466" t="str">
        <f>IF(NOT(ISBLANK(A466)),VLOOKUP(A466,'BBT3'!A:F,2,0),"")</f>
        <v>Bond</v>
      </c>
      <c r="C466" t="str">
        <f>IF(NOT(ISBLANK(A466)),VLOOKUP(A466,'BBT3'!A:F,3,0),"")</f>
        <v>US91282CMC28</v>
      </c>
      <c r="D466" s="6">
        <f>IF(NOT(ISBLANK(A466)),VLOOKUP(A466,'BBT3'!A:F,4,1),"")</f>
        <v>4.5</v>
      </c>
      <c r="E466">
        <f>IF(NOT(ISBLANK(A466)),VLOOKUP(A466,'BBT3'!A:F,5,0),"")</f>
        <v>48213</v>
      </c>
      <c r="F466" t="str">
        <f>IF(NOT(ISBLANK(A466)),VLOOKUP(A466,'BBT3'!A:F,6,0),"")</f>
        <v>N</v>
      </c>
      <c r="G466">
        <f>IF(NOT(ISBLANK(A466)),VLOOKUP(A466,QW_Close!A:J,5,0),"")</f>
        <v>4.2339890905587298E-2</v>
      </c>
      <c r="H466" s="5" cm="1">
        <f t="array" ref="H466">IF(NOT(ISBLANK(A466)),((_xlfn.XLOOKUP(1,(_bbt3[[#All],[ID]]=A466)*(_bbt3[[#All],[METRIC_NAME]]="YLD_YTM_ASK"),_bbt3[[#All],[METRIC_VALUE]])*0.5)+(_xlfn.XLOOKUP(1,(_bbt3[[#All],[ID]]=A466)*(_bbt3[[#All],[METRIC_NAME]]="YLD_YTM_BID"),_bbt3[[#All],[METRIC_VALUE]])*0.5))/100,"")</f>
        <v>4.2339893800000007E-2</v>
      </c>
      <c r="I466">
        <f>IF(ISNA(VLOOKUP(A466,QW_CloseDL!A:E,5,0)),0,VLOOKUP(A466,QW_CloseDL!A:E,5,0))</f>
        <v>4.2339890905587298E-2</v>
      </c>
      <c r="J466" s="8">
        <f t="shared" si="35"/>
        <v>0</v>
      </c>
      <c r="P466">
        <v>0</v>
      </c>
      <c r="Q466" t="e">
        <f t="shared" si="36"/>
        <v>#N/A</v>
      </c>
      <c r="R466" t="e">
        <f t="shared" si="37"/>
        <v>#N/A</v>
      </c>
      <c r="S466" s="9" t="e">
        <f t="shared" si="38"/>
        <v>#N/A</v>
      </c>
      <c r="T466" s="3" t="e">
        <f t="shared" si="39"/>
        <v>#N/A</v>
      </c>
    </row>
    <row r="467" spans="1:20" x14ac:dyDescent="0.35">
      <c r="A467" t="str">
        <v>91282CMD0</v>
      </c>
      <c r="B467" t="str">
        <f>IF(NOT(ISBLANK(A467)),VLOOKUP(A467,'BBT3'!A:F,2,0),"")</f>
        <v>Bond</v>
      </c>
      <c r="C467" t="str">
        <f>IF(NOT(ISBLANK(A467)),VLOOKUP(A467,'BBT3'!A:F,3,0),"")</f>
        <v>US91282CMD01</v>
      </c>
      <c r="D467" s="6">
        <f>IF(NOT(ISBLANK(A467)),VLOOKUP(A467,'BBT3'!A:F,4,1),"")</f>
        <v>4.375</v>
      </c>
      <c r="E467">
        <f>IF(NOT(ISBLANK(A467)),VLOOKUP(A467,'BBT3'!A:F,5,0),"")</f>
        <v>47483</v>
      </c>
      <c r="F467" t="str">
        <f>IF(NOT(ISBLANK(A467)),VLOOKUP(A467,'BBT3'!A:F,6,0),"")</f>
        <v>N</v>
      </c>
      <c r="G467">
        <f>IF(NOT(ISBLANK(A467)),VLOOKUP(A467,QW_Close!A:J,5,0),"")</f>
        <v>4.1400330126052903E-2</v>
      </c>
      <c r="H467" s="5" cm="1">
        <f t="array" ref="H467">IF(NOT(ISBLANK(A467)),((_xlfn.XLOOKUP(1,(_bbt3[[#All],[ID]]=A467)*(_bbt3[[#All],[METRIC_NAME]]="YLD_YTM_ASK"),_bbt3[[#All],[METRIC_VALUE]])*0.5)+(_xlfn.XLOOKUP(1,(_bbt3[[#All],[ID]]=A467)*(_bbt3[[#All],[METRIC_NAME]]="YLD_YTM_BID"),_bbt3[[#All],[METRIC_VALUE]])*0.5))/100,"")</f>
        <v>4.1400332599999999E-2</v>
      </c>
      <c r="I467">
        <f>IF(ISNA(VLOOKUP(A467,QW_CloseDL!A:E,5,0)),0,VLOOKUP(A467,QW_CloseDL!A:E,5,0))</f>
        <v>4.1400330126052903E-2</v>
      </c>
      <c r="J467" s="8">
        <f t="shared" si="35"/>
        <v>0</v>
      </c>
      <c r="P467">
        <v>0</v>
      </c>
      <c r="Q467" t="e">
        <f t="shared" si="36"/>
        <v>#N/A</v>
      </c>
      <c r="R467" t="e">
        <f t="shared" si="37"/>
        <v>#N/A</v>
      </c>
      <c r="S467" s="9" t="e">
        <f t="shared" si="38"/>
        <v>#N/A</v>
      </c>
      <c r="T467" s="3" t="e">
        <f t="shared" si="39"/>
        <v>#N/A</v>
      </c>
    </row>
    <row r="468" spans="1:20" x14ac:dyDescent="0.35">
      <c r="A468" t="str">
        <v>91282CME8</v>
      </c>
      <c r="B468" t="str">
        <f>IF(NOT(ISBLANK(A468)),VLOOKUP(A468,'BBT3'!A:F,2,0),"")</f>
        <v>Bond</v>
      </c>
      <c r="C468" t="str">
        <f>IF(NOT(ISBLANK(A468)),VLOOKUP(A468,'BBT3'!A:F,3,0),"")</f>
        <v>US91282CME83</v>
      </c>
      <c r="D468" s="6">
        <f>IF(NOT(ISBLANK(A468)),VLOOKUP(A468,'BBT3'!A:F,4,1),"")</f>
        <v>4.25</v>
      </c>
      <c r="E468">
        <f>IF(NOT(ISBLANK(A468)),VLOOKUP(A468,'BBT3'!A:F,5,0),"")</f>
        <v>46387</v>
      </c>
      <c r="F468" t="str">
        <f>IF(NOT(ISBLANK(A468)),VLOOKUP(A468,'BBT3'!A:F,6,0),"")</f>
        <v>N</v>
      </c>
      <c r="G468">
        <f>IF(NOT(ISBLANK(A468)),VLOOKUP(A468,QW_Close!A:J,5,0),"")</f>
        <v>3.7939931733161202E-2</v>
      </c>
      <c r="H468" s="5" cm="1">
        <f t="array" ref="H468">IF(NOT(ISBLANK(A468)),((_xlfn.XLOOKUP(1,(_bbt3[[#All],[ID]]=A468)*(_bbt3[[#All],[METRIC_NAME]]="YLD_YTM_ASK"),_bbt3[[#All],[METRIC_VALUE]])*0.5)+(_xlfn.XLOOKUP(1,(_bbt3[[#All],[ID]]=A468)*(_bbt3[[#All],[METRIC_NAME]]="YLD_YTM_BID"),_bbt3[[#All],[METRIC_VALUE]])*0.5))/100,"")</f>
        <v>3.793994765E-2</v>
      </c>
      <c r="I468">
        <f>IF(ISNA(VLOOKUP(A468,QW_CloseDL!A:E,5,0)),0,VLOOKUP(A468,QW_CloseDL!A:E,5,0))</f>
        <v>3.7939931733161202E-2</v>
      </c>
      <c r="J468" s="8">
        <f t="shared" si="35"/>
        <v>0</v>
      </c>
      <c r="P468">
        <v>0</v>
      </c>
      <c r="Q468" t="e">
        <f t="shared" si="36"/>
        <v>#N/A</v>
      </c>
      <c r="R468" t="e">
        <f t="shared" si="37"/>
        <v>#N/A</v>
      </c>
      <c r="S468" s="9" t="e">
        <f t="shared" si="38"/>
        <v>#N/A</v>
      </c>
      <c r="T468" s="3" t="e">
        <f t="shared" si="39"/>
        <v>#N/A</v>
      </c>
    </row>
    <row r="469" spans="1:20" x14ac:dyDescent="0.35">
      <c r="A469" t="str">
        <v>91282CMF5</v>
      </c>
      <c r="B469" t="str">
        <f>IF(NOT(ISBLANK(A469)),VLOOKUP(A469,'BBT3'!A:F,2,0),"")</f>
        <v>Bond</v>
      </c>
      <c r="C469" t="str">
        <f>IF(NOT(ISBLANK(A469)),VLOOKUP(A469,'BBT3'!A:F,3,0),"")</f>
        <v>US91282CMF58</v>
      </c>
      <c r="D469" s="6">
        <f>IF(NOT(ISBLANK(A469)),VLOOKUP(A469,'BBT3'!A:F,4,1),"")</f>
        <v>4.25</v>
      </c>
      <c r="E469">
        <f>IF(NOT(ISBLANK(A469)),VLOOKUP(A469,'BBT3'!A:F,5,0),"")</f>
        <v>46767</v>
      </c>
      <c r="F469" t="str">
        <f>IF(NOT(ISBLANK(A469)),VLOOKUP(A469,'BBT3'!A:F,6,0),"")</f>
        <v>N</v>
      </c>
      <c r="G469">
        <f>IF(NOT(ISBLANK(A469)),VLOOKUP(A469,QW_Close!A:J,5,0),"")</f>
        <v>4.0427166531667197E-2</v>
      </c>
      <c r="H469" s="5" cm="1">
        <f t="array" ref="H469">IF(NOT(ISBLANK(A469)),((_xlfn.XLOOKUP(1,(_bbt3[[#All],[ID]]=A469)*(_bbt3[[#All],[METRIC_NAME]]="YLD_YTM_ASK"),_bbt3[[#All],[METRIC_VALUE]])*0.5)+(_xlfn.XLOOKUP(1,(_bbt3[[#All],[ID]]=A469)*(_bbt3[[#All],[METRIC_NAME]]="YLD_YTM_BID"),_bbt3[[#All],[METRIC_VALUE]])*0.5))/100,"")</f>
        <v>4.0427169149999997E-2</v>
      </c>
      <c r="I469">
        <f>IF(ISNA(VLOOKUP(A469,QW_CloseDL!A:E,5,0)),0,VLOOKUP(A469,QW_CloseDL!A:E,5,0))</f>
        <v>4.0427166531667197E-2</v>
      </c>
      <c r="J469" s="8">
        <f t="shared" si="35"/>
        <v>0</v>
      </c>
      <c r="P469">
        <v>0</v>
      </c>
      <c r="Q469" t="e">
        <f t="shared" si="36"/>
        <v>#N/A</v>
      </c>
      <c r="R469" t="e">
        <f t="shared" si="37"/>
        <v>#N/A</v>
      </c>
      <c r="S469" s="9" t="e">
        <f t="shared" si="38"/>
        <v>#N/A</v>
      </c>
      <c r="T469" s="3" t="e">
        <f t="shared" si="39"/>
        <v>#N/A</v>
      </c>
    </row>
    <row r="470" spans="1:20" x14ac:dyDescent="0.35">
      <c r="A470" t="str">
        <v>91282CMG3</v>
      </c>
      <c r="B470" t="str">
        <f>IF(NOT(ISBLANK(A470)),VLOOKUP(A470,'BBT3'!A:F,2,0),"")</f>
        <v>Bond</v>
      </c>
      <c r="C470" t="str">
        <f>IF(NOT(ISBLANK(A470)),VLOOKUP(A470,'BBT3'!A:F,3,0),"")</f>
        <v>US91282CMG32</v>
      </c>
      <c r="D470" s="6">
        <f>IF(NOT(ISBLANK(A470)),VLOOKUP(A470,'BBT3'!A:F,4,1),"")</f>
        <v>4.25</v>
      </c>
      <c r="E470">
        <f>IF(NOT(ISBLANK(A470)),VLOOKUP(A470,'BBT3'!A:F,5,0),"")</f>
        <v>47514</v>
      </c>
      <c r="F470" t="str">
        <f>IF(NOT(ISBLANK(A470)),VLOOKUP(A470,'BBT3'!A:F,6,0),"")</f>
        <v>N</v>
      </c>
      <c r="G470">
        <f>IF(NOT(ISBLANK(A470)),VLOOKUP(A470,QW_Close!A:J,5,0),"")</f>
        <v>4.1462782278859502E-2</v>
      </c>
      <c r="H470" s="5" cm="1">
        <f t="array" ref="H470">IF(NOT(ISBLANK(A470)),((_xlfn.XLOOKUP(1,(_bbt3[[#All],[ID]]=A470)*(_bbt3[[#All],[METRIC_NAME]]="YLD_YTM_ASK"),_bbt3[[#All],[METRIC_VALUE]])*0.5)+(_xlfn.XLOOKUP(1,(_bbt3[[#All],[ID]]=A470)*(_bbt3[[#All],[METRIC_NAME]]="YLD_YTM_BID"),_bbt3[[#All],[METRIC_VALUE]])*0.5))/100,"")</f>
        <v>4.1462783349999997E-2</v>
      </c>
      <c r="I470">
        <f>IF(ISNA(VLOOKUP(A470,QW_CloseDL!A:E,5,0)),0,VLOOKUP(A470,QW_CloseDL!A:E,5,0))</f>
        <v>4.1462782278859502E-2</v>
      </c>
      <c r="J470" s="8">
        <f t="shared" si="35"/>
        <v>0</v>
      </c>
      <c r="P470">
        <v>0</v>
      </c>
      <c r="Q470" t="e">
        <f t="shared" si="36"/>
        <v>#N/A</v>
      </c>
      <c r="R470" t="e">
        <f t="shared" si="37"/>
        <v>#N/A</v>
      </c>
      <c r="S470" s="9" t="e">
        <f t="shared" si="38"/>
        <v>#N/A</v>
      </c>
      <c r="T470" s="3" t="e">
        <f t="shared" si="39"/>
        <v>#N/A</v>
      </c>
    </row>
    <row r="471" spans="1:20" x14ac:dyDescent="0.35">
      <c r="A471" t="str">
        <v>91282CMH1</v>
      </c>
      <c r="B471" t="str">
        <f>IF(NOT(ISBLANK(A471)),VLOOKUP(A471,'BBT3'!A:F,2,0),"")</f>
        <v>Bond</v>
      </c>
      <c r="C471" t="str">
        <f>IF(NOT(ISBLANK(A471)),VLOOKUP(A471,'BBT3'!A:F,3,0),"")</f>
        <v>US91282CMH15</v>
      </c>
      <c r="D471" s="6">
        <f>IF(NOT(ISBLANK(A471)),VLOOKUP(A471,'BBT3'!A:F,4,1),"")</f>
        <v>4.125</v>
      </c>
      <c r="E471">
        <f>IF(NOT(ISBLANK(A471)),VLOOKUP(A471,'BBT3'!A:F,5,0),"")</f>
        <v>46418</v>
      </c>
      <c r="F471" t="str">
        <f>IF(NOT(ISBLANK(A471)),VLOOKUP(A471,'BBT3'!A:F,6,0),"")</f>
        <v>N</v>
      </c>
      <c r="G471">
        <f>IF(NOT(ISBLANK(A471)),VLOOKUP(A471,QW_Close!A:J,5,0),"")</f>
        <v>3.8075179322717798E-2</v>
      </c>
      <c r="H471" s="5" cm="1">
        <f t="array" ref="H471">IF(NOT(ISBLANK(A471)),((_xlfn.XLOOKUP(1,(_bbt3[[#All],[ID]]=A471)*(_bbt3[[#All],[METRIC_NAME]]="YLD_YTM_ASK"),_bbt3[[#All],[METRIC_VALUE]])*0.5)+(_xlfn.XLOOKUP(1,(_bbt3[[#All],[ID]]=A471)*(_bbt3[[#All],[METRIC_NAME]]="YLD_YTM_BID"),_bbt3[[#All],[METRIC_VALUE]])*0.5))/100,"")</f>
        <v>3.8075198099999999E-2</v>
      </c>
      <c r="I471">
        <f>IF(ISNA(VLOOKUP(A471,QW_CloseDL!A:E,5,0)),0,VLOOKUP(A471,QW_CloseDL!A:E,5,0))</f>
        <v>3.8075179322717798E-2</v>
      </c>
      <c r="J471" s="8">
        <f t="shared" si="35"/>
        <v>0</v>
      </c>
      <c r="P471">
        <v>0</v>
      </c>
      <c r="Q471" t="e">
        <f t="shared" si="36"/>
        <v>#N/A</v>
      </c>
      <c r="R471" t="e">
        <f t="shared" si="37"/>
        <v>#N/A</v>
      </c>
      <c r="S471" s="9" t="e">
        <f t="shared" si="38"/>
        <v>#N/A</v>
      </c>
      <c r="T471" s="3" t="e">
        <f t="shared" si="39"/>
        <v>#N/A</v>
      </c>
    </row>
    <row r="472" spans="1:20" x14ac:dyDescent="0.35">
      <c r="A472" t="str">
        <v>91282CMK4</v>
      </c>
      <c r="B472" t="str">
        <f>IF(NOT(ISBLANK(A472)),VLOOKUP(A472,'BBT3'!A:F,2,0),"")</f>
        <v>Bond</v>
      </c>
      <c r="C472" t="str">
        <f>IF(NOT(ISBLANK(A472)),VLOOKUP(A472,'BBT3'!A:F,3,0),"")</f>
        <v>US91282CMK44</v>
      </c>
      <c r="D472" s="6">
        <f>IF(NOT(ISBLANK(A472)),VLOOKUP(A472,'BBT3'!A:F,4,1),"")</f>
        <v>4.375</v>
      </c>
      <c r="E472">
        <f>IF(NOT(ISBLANK(A472)),VLOOKUP(A472,'BBT3'!A:F,5,0),"")</f>
        <v>48244</v>
      </c>
      <c r="F472" t="str">
        <f>IF(NOT(ISBLANK(A472)),VLOOKUP(A472,'BBT3'!A:F,6,0),"")</f>
        <v>N</v>
      </c>
      <c r="G472">
        <f>IF(NOT(ISBLANK(A472)),VLOOKUP(A472,QW_Close!A:J,5,0),"")</f>
        <v>4.2414822530795301E-2</v>
      </c>
      <c r="H472" s="5" cm="1">
        <f t="array" ref="H472">IF(NOT(ISBLANK(A472)),((_xlfn.XLOOKUP(1,(_bbt3[[#All],[ID]]=A472)*(_bbt3[[#All],[METRIC_NAME]]="YLD_YTM_ASK"),_bbt3[[#All],[METRIC_VALUE]])*0.5)+(_xlfn.XLOOKUP(1,(_bbt3[[#All],[ID]]=A472)*(_bbt3[[#All],[METRIC_NAME]]="YLD_YTM_BID"),_bbt3[[#All],[METRIC_VALUE]])*0.5))/100,"")</f>
        <v>4.2414824099999998E-2</v>
      </c>
      <c r="I472">
        <f>IF(ISNA(VLOOKUP(A472,QW_CloseDL!A:E,5,0)),0,VLOOKUP(A472,QW_CloseDL!A:E,5,0))</f>
        <v>4.2414822530795301E-2</v>
      </c>
      <c r="J472" s="8">
        <f t="shared" si="35"/>
        <v>0</v>
      </c>
      <c r="P472">
        <v>0</v>
      </c>
      <c r="Q472" t="e">
        <f t="shared" si="36"/>
        <v>#N/A</v>
      </c>
      <c r="R472" t="e">
        <f t="shared" si="37"/>
        <v>#N/A</v>
      </c>
      <c r="S472" s="9" t="e">
        <f t="shared" si="38"/>
        <v>#N/A</v>
      </c>
      <c r="T472" s="3" t="e">
        <f t="shared" si="39"/>
        <v>#N/A</v>
      </c>
    </row>
    <row r="473" spans="1:20" x14ac:dyDescent="0.35">
      <c r="A473" t="str">
        <v>91282CML2</v>
      </c>
      <c r="B473" t="str">
        <f>IF(NOT(ISBLANK(A473)),VLOOKUP(A473,'BBT3'!A:F,2,0),"")</f>
        <v>Bond</v>
      </c>
      <c r="C473" t="str">
        <f>IF(NOT(ISBLANK(A473)),VLOOKUP(A473,'BBT3'!A:F,3,0),"")</f>
        <v>US91282CML27</v>
      </c>
      <c r="D473" s="6">
        <f>IF(NOT(ISBLANK(A473)),VLOOKUP(A473,'BBT3'!A:F,4,1),"")</f>
        <v>2.125</v>
      </c>
      <c r="E473">
        <f>IF(NOT(ISBLANK(A473)),VLOOKUP(A473,'BBT3'!A:F,5,0),"")</f>
        <v>49324</v>
      </c>
      <c r="F473" t="str">
        <f>IF(NOT(ISBLANK(A473)),VLOOKUP(A473,'BBT3'!A:F,6,0),"")</f>
        <v>Y</v>
      </c>
      <c r="G473">
        <f>IF(NOT(ISBLANK(A473)),VLOOKUP(A473,QW_Close!A:J,5,0),"")</f>
        <v>2.0176418727740199E-2</v>
      </c>
      <c r="H473" s="5" cm="1">
        <f t="array" ref="H473">IF(NOT(ISBLANK(A473)),((_xlfn.XLOOKUP(1,(_bbt3[[#All],[ID]]=A473)*(_bbt3[[#All],[METRIC_NAME]]="YLD_YTM_ASK"),_bbt3[[#All],[METRIC_VALUE]])*0.5)+(_xlfn.XLOOKUP(1,(_bbt3[[#All],[ID]]=A473)*(_bbt3[[#All],[METRIC_NAME]]="YLD_YTM_BID"),_bbt3[[#All],[METRIC_VALUE]])*0.5))/100,"")</f>
        <v>2.01764226E-2</v>
      </c>
      <c r="I473">
        <f>IF(ISNA(VLOOKUP(A473,QW_CloseDL!A:E,5,0)),0,VLOOKUP(A473,QW_CloseDL!A:E,5,0))</f>
        <v>2.0176418727740199E-2</v>
      </c>
      <c r="J473" s="8">
        <f t="shared" si="35"/>
        <v>0</v>
      </c>
      <c r="P473">
        <v>0</v>
      </c>
      <c r="Q473" t="e">
        <f t="shared" si="36"/>
        <v>#N/A</v>
      </c>
      <c r="R473" t="e">
        <f t="shared" si="37"/>
        <v>#N/A</v>
      </c>
      <c r="S473" s="9" t="e">
        <f t="shared" si="38"/>
        <v>#N/A</v>
      </c>
      <c r="T473" s="3" t="e">
        <f t="shared" si="39"/>
        <v>#N/A</v>
      </c>
    </row>
    <row r="474" spans="1:20" x14ac:dyDescent="0.35">
      <c r="A474" t="str">
        <v>91282CMM0</v>
      </c>
      <c r="B474" t="str">
        <f>IF(NOT(ISBLANK(A474)),VLOOKUP(A474,'BBT3'!A:F,2,0),"")</f>
        <v>Bond</v>
      </c>
      <c r="C474" t="str">
        <f>IF(NOT(ISBLANK(A474)),VLOOKUP(A474,'BBT3'!A:F,3,0),"")</f>
        <v>US91282CMM00</v>
      </c>
      <c r="D474" s="6">
        <f>IF(NOT(ISBLANK(A474)),VLOOKUP(A474,'BBT3'!A:F,4,1),"")</f>
        <v>4.625</v>
      </c>
      <c r="E474">
        <f>IF(NOT(ISBLANK(A474)),VLOOKUP(A474,'BBT3'!A:F,5,0),"")</f>
        <v>49355</v>
      </c>
      <c r="F474" t="str">
        <f>IF(NOT(ISBLANK(A474)),VLOOKUP(A474,'BBT3'!A:F,6,0),"")</f>
        <v>N</v>
      </c>
      <c r="G474">
        <f>IF(NOT(ISBLANK(A474)),VLOOKUP(A474,QW_Close!A:J,5,0),"")</f>
        <v>4.4243114738646103E-2</v>
      </c>
      <c r="H474" s="5" cm="1">
        <f t="array" ref="H474">IF(NOT(ISBLANK(A474)),((_xlfn.XLOOKUP(1,(_bbt3[[#All],[ID]]=A474)*(_bbt3[[#All],[METRIC_NAME]]="YLD_YTM_ASK"),_bbt3[[#All],[METRIC_VALUE]])*0.5)+(_xlfn.XLOOKUP(1,(_bbt3[[#All],[ID]]=A474)*(_bbt3[[#All],[METRIC_NAME]]="YLD_YTM_BID"),_bbt3[[#All],[METRIC_VALUE]])*0.5))/100,"")</f>
        <v>4.4243119499999997E-2</v>
      </c>
      <c r="I474">
        <f>IF(ISNA(VLOOKUP(A474,QW_CloseDL!A:E,5,0)),0,VLOOKUP(A474,QW_CloseDL!A:E,5,0))</f>
        <v>4.4243114738646103E-2</v>
      </c>
      <c r="J474" s="8">
        <f t="shared" si="35"/>
        <v>0</v>
      </c>
      <c r="P474">
        <v>0</v>
      </c>
      <c r="Q474" t="e">
        <f t="shared" si="36"/>
        <v>#N/A</v>
      </c>
      <c r="R474" t="e">
        <f t="shared" si="37"/>
        <v>#N/A</v>
      </c>
      <c r="S474" s="9" t="e">
        <f t="shared" si="38"/>
        <v>#N/A</v>
      </c>
      <c r="T474" s="3" t="e">
        <f t="shared" si="39"/>
        <v>#N/A</v>
      </c>
    </row>
    <row r="475" spans="1:20" x14ac:dyDescent="0.35">
      <c r="A475" t="str">
        <v>91282CMN8</v>
      </c>
      <c r="B475" t="str">
        <f>IF(NOT(ISBLANK(A475)),VLOOKUP(A475,'BBT3'!A:F,2,0),"")</f>
        <v>Bond</v>
      </c>
      <c r="C475" t="str">
        <f>IF(NOT(ISBLANK(A475)),VLOOKUP(A475,'BBT3'!A:F,3,0),"")</f>
        <v>US91282CMN82</v>
      </c>
      <c r="D475" s="6">
        <f>IF(NOT(ISBLANK(A475)),VLOOKUP(A475,'BBT3'!A:F,4,1),"")</f>
        <v>4.25</v>
      </c>
      <c r="E475">
        <f>IF(NOT(ISBLANK(A475)),VLOOKUP(A475,'BBT3'!A:F,5,0),"")</f>
        <v>46798</v>
      </c>
      <c r="F475" t="str">
        <f>IF(NOT(ISBLANK(A475)),VLOOKUP(A475,'BBT3'!A:F,6,0),"")</f>
        <v>N</v>
      </c>
      <c r="G475">
        <f>IF(NOT(ISBLANK(A475)),VLOOKUP(A475,QW_Close!A:J,5,0),"")</f>
        <v>4.03996056792746E-2</v>
      </c>
      <c r="H475" s="5" cm="1">
        <f t="array" ref="H475">IF(NOT(ISBLANK(A475)),((_xlfn.XLOOKUP(1,(_bbt3[[#All],[ID]]=A475)*(_bbt3[[#All],[METRIC_NAME]]="YLD_YTM_ASK"),_bbt3[[#All],[METRIC_VALUE]])*0.5)+(_xlfn.XLOOKUP(1,(_bbt3[[#All],[ID]]=A475)*(_bbt3[[#All],[METRIC_NAME]]="YLD_YTM_BID"),_bbt3[[#All],[METRIC_VALUE]])*0.5))/100,"")</f>
        <v>4.0399608000000004E-2</v>
      </c>
      <c r="I475">
        <f>IF(ISNA(VLOOKUP(A475,QW_CloseDL!A:E,5,0)),0,VLOOKUP(A475,QW_CloseDL!A:E,5,0))</f>
        <v>4.03996056792746E-2</v>
      </c>
      <c r="J475" s="8">
        <f t="shared" si="35"/>
        <v>0</v>
      </c>
      <c r="P475">
        <v>0</v>
      </c>
      <c r="Q475" t="e">
        <f t="shared" si="36"/>
        <v>#N/A</v>
      </c>
      <c r="R475" t="e">
        <f t="shared" si="37"/>
        <v>#N/A</v>
      </c>
      <c r="S475" s="9" t="e">
        <f t="shared" si="38"/>
        <v>#N/A</v>
      </c>
      <c r="T475" s="3" t="e">
        <f t="shared" si="39"/>
        <v>#N/A</v>
      </c>
    </row>
    <row r="476" spans="1:20" x14ac:dyDescent="0.35">
      <c r="A476" t="str">
        <v>91282CMP3</v>
      </c>
      <c r="B476" t="str">
        <f>IF(NOT(ISBLANK(A476)),VLOOKUP(A476,'BBT3'!A:F,2,0),"")</f>
        <v>Bond</v>
      </c>
      <c r="C476" t="str">
        <f>IF(NOT(ISBLANK(A476)),VLOOKUP(A476,'BBT3'!A:F,3,0),"")</f>
        <v>US91282CMP31</v>
      </c>
      <c r="D476" s="6">
        <f>IF(NOT(ISBLANK(A476)),VLOOKUP(A476,'BBT3'!A:F,4,1),"")</f>
        <v>4.125</v>
      </c>
      <c r="E476">
        <f>IF(NOT(ISBLANK(A476)),VLOOKUP(A476,'BBT3'!A:F,5,0),"")</f>
        <v>46446</v>
      </c>
      <c r="F476" t="str">
        <f>IF(NOT(ISBLANK(A476)),VLOOKUP(A476,'BBT3'!A:F,6,0),"")</f>
        <v>N</v>
      </c>
      <c r="G476">
        <f>IF(NOT(ISBLANK(A476)),VLOOKUP(A476,QW_Close!A:J,5,0),"")</f>
        <v>3.8358292408115301E-2</v>
      </c>
      <c r="H476" s="5" cm="1">
        <f t="array" ref="H476">IF(NOT(ISBLANK(A476)),((_xlfn.XLOOKUP(1,(_bbt3[[#All],[ID]]=A476)*(_bbt3[[#All],[METRIC_NAME]]="YLD_YTM_ASK"),_bbt3[[#All],[METRIC_VALUE]])*0.5)+(_xlfn.XLOOKUP(1,(_bbt3[[#All],[ID]]=A476)*(_bbt3[[#All],[METRIC_NAME]]="YLD_YTM_BID"),_bbt3[[#All],[METRIC_VALUE]])*0.5))/100,"")</f>
        <v>3.8358308350000002E-2</v>
      </c>
      <c r="I476">
        <f>IF(ISNA(VLOOKUP(A476,QW_CloseDL!A:E,5,0)),0,VLOOKUP(A476,QW_CloseDL!A:E,5,0))</f>
        <v>3.8358292408115301E-2</v>
      </c>
      <c r="J476" s="8">
        <f t="shared" si="35"/>
        <v>0</v>
      </c>
      <c r="P476">
        <v>0</v>
      </c>
      <c r="Q476" t="e">
        <f t="shared" si="36"/>
        <v>#N/A</v>
      </c>
      <c r="R476" t="e">
        <f t="shared" si="37"/>
        <v>#N/A</v>
      </c>
      <c r="S476" s="9" t="e">
        <f t="shared" si="38"/>
        <v>#N/A</v>
      </c>
      <c r="T476" s="3" t="e">
        <f t="shared" si="39"/>
        <v>#N/A</v>
      </c>
    </row>
    <row r="477" spans="1:20" x14ac:dyDescent="0.35">
      <c r="A477" t="str">
        <v>91282CMR9</v>
      </c>
      <c r="B477" t="str">
        <f>IF(NOT(ISBLANK(A477)),VLOOKUP(A477,'BBT3'!A:F,2,0),"")</f>
        <v>Bond</v>
      </c>
      <c r="C477" t="str">
        <f>IF(NOT(ISBLANK(A477)),VLOOKUP(A477,'BBT3'!A:F,3,0),"")</f>
        <v>US91282CMR96</v>
      </c>
      <c r="D477" s="6">
        <f>IF(NOT(ISBLANK(A477)),VLOOKUP(A477,'BBT3'!A:F,4,1),"")</f>
        <v>4.125</v>
      </c>
      <c r="E477">
        <f>IF(NOT(ISBLANK(A477)),VLOOKUP(A477,'BBT3'!A:F,5,0),"")</f>
        <v>48273</v>
      </c>
      <c r="F477" t="str">
        <f>IF(NOT(ISBLANK(A477)),VLOOKUP(A477,'BBT3'!A:F,6,0),"")</f>
        <v>N</v>
      </c>
      <c r="G477">
        <f>IF(NOT(ISBLANK(A477)),VLOOKUP(A477,QW_Close!A:J,5,0),"")</f>
        <v>4.2462881857626297E-2</v>
      </c>
      <c r="H477" s="5" cm="1">
        <f t="array" ref="H477">IF(NOT(ISBLANK(A477)),((_xlfn.XLOOKUP(1,(_bbt3[[#All],[ID]]=A477)*(_bbt3[[#All],[METRIC_NAME]]="YLD_YTM_ASK"),_bbt3[[#All],[METRIC_VALUE]])*0.5)+(_xlfn.XLOOKUP(1,(_bbt3[[#All],[ID]]=A477)*(_bbt3[[#All],[METRIC_NAME]]="YLD_YTM_BID"),_bbt3[[#All],[METRIC_VALUE]])*0.5))/100,"")</f>
        <v>4.2462884699999995E-2</v>
      </c>
      <c r="I477">
        <f>IF(ISNA(VLOOKUP(A477,QW_CloseDL!A:E,5,0)),0,VLOOKUP(A477,QW_CloseDL!A:E,5,0))</f>
        <v>4.2462881857626297E-2</v>
      </c>
      <c r="J477" s="8">
        <f t="shared" si="35"/>
        <v>0</v>
      </c>
      <c r="P477">
        <v>0</v>
      </c>
      <c r="Q477" t="e">
        <f t="shared" si="36"/>
        <v>#N/A</v>
      </c>
      <c r="R477" t="e">
        <f t="shared" si="37"/>
        <v>#N/A</v>
      </c>
      <c r="S477" s="9" t="e">
        <f t="shared" si="38"/>
        <v>#N/A</v>
      </c>
      <c r="T477" s="3" t="e">
        <f t="shared" si="39"/>
        <v>#N/A</v>
      </c>
    </row>
    <row r="478" spans="1:20" x14ac:dyDescent="0.35">
      <c r="A478" t="str">
        <v>91282CMS7</v>
      </c>
      <c r="B478" t="str">
        <f>IF(NOT(ISBLANK(A478)),VLOOKUP(A478,'BBT3'!A:F,2,0),"")</f>
        <v>Bond</v>
      </c>
      <c r="C478" t="str">
        <f>IF(NOT(ISBLANK(A478)),VLOOKUP(A478,'BBT3'!A:F,3,0),"")</f>
        <v>US91282CMS79</v>
      </c>
      <c r="D478" s="6">
        <f>IF(NOT(ISBLANK(A478)),VLOOKUP(A478,'BBT3'!A:F,4,1),"")</f>
        <v>3.875</v>
      </c>
      <c r="E478">
        <f>IF(NOT(ISBLANK(A478)),VLOOKUP(A478,'BBT3'!A:F,5,0),"")</f>
        <v>46827</v>
      </c>
      <c r="F478" t="str">
        <f>IF(NOT(ISBLANK(A478)),VLOOKUP(A478,'BBT3'!A:F,6,0),"")</f>
        <v>N</v>
      </c>
      <c r="G478">
        <f>IF(NOT(ISBLANK(A478)),VLOOKUP(A478,QW_Close!A:J,5,0),"")</f>
        <v>4.0423841772654498E-2</v>
      </c>
      <c r="H478" s="5" cm="1">
        <f t="array" ref="H478">IF(NOT(ISBLANK(A478)),((_xlfn.XLOOKUP(1,(_bbt3[[#All],[ID]]=A478)*(_bbt3[[#All],[METRIC_NAME]]="YLD_YTM_ASK"),_bbt3[[#All],[METRIC_VALUE]])*0.5)+(_xlfn.XLOOKUP(1,(_bbt3[[#All],[ID]]=A478)*(_bbt3[[#All],[METRIC_NAME]]="YLD_YTM_BID"),_bbt3[[#All],[METRIC_VALUE]])*0.5))/100,"")</f>
        <v>4.0423843999999994E-2</v>
      </c>
      <c r="I478">
        <f>IF(ISNA(VLOOKUP(A478,QW_CloseDL!A:E,5,0)),0,VLOOKUP(A478,QW_CloseDL!A:E,5,0))</f>
        <v>4.0423841772654498E-2</v>
      </c>
      <c r="J478" s="8">
        <f t="shared" si="35"/>
        <v>0</v>
      </c>
      <c r="P478">
        <v>0</v>
      </c>
      <c r="Q478" t="e">
        <f t="shared" si="36"/>
        <v>#N/A</v>
      </c>
      <c r="R478" t="e">
        <f t="shared" si="37"/>
        <v>#N/A</v>
      </c>
      <c r="S478" s="9" t="e">
        <f t="shared" si="38"/>
        <v>#N/A</v>
      </c>
      <c r="T478" s="3" t="e">
        <f t="shared" si="39"/>
        <v>#N/A</v>
      </c>
    </row>
    <row r="479" spans="1:20" x14ac:dyDescent="0.35">
      <c r="A479" t="str">
        <v>91282CMT5</v>
      </c>
      <c r="B479" t="str">
        <f>IF(NOT(ISBLANK(A479)),VLOOKUP(A479,'BBT3'!A:F,2,0),"")</f>
        <v>Bond</v>
      </c>
      <c r="C479" t="str">
        <f>IF(NOT(ISBLANK(A479)),VLOOKUP(A479,'BBT3'!A:F,3,0),"")</f>
        <v>US91282CMT52</v>
      </c>
      <c r="D479" s="6">
        <f>IF(NOT(ISBLANK(A479)),VLOOKUP(A479,'BBT3'!A:F,4,1),"")</f>
        <v>4.125</v>
      </c>
      <c r="E479">
        <f>IF(NOT(ISBLANK(A479)),VLOOKUP(A479,'BBT3'!A:F,5,0),"")</f>
        <v>48304</v>
      </c>
      <c r="F479" t="str">
        <f>IF(NOT(ISBLANK(A479)),VLOOKUP(A479,'BBT3'!A:F,6,0),"")</f>
        <v>N</v>
      </c>
      <c r="G479">
        <f>IF(NOT(ISBLANK(A479)),VLOOKUP(A479,QW_Close!A:J,5,0),"")</f>
        <v>4.2494328879251697E-2</v>
      </c>
      <c r="H479" s="5" cm="1">
        <f t="array" ref="H479">IF(NOT(ISBLANK(A479)),((_xlfn.XLOOKUP(1,(_bbt3[[#All],[ID]]=A479)*(_bbt3[[#All],[METRIC_NAME]]="YLD_YTM_ASK"),_bbt3[[#All],[METRIC_VALUE]])*0.5)+(_xlfn.XLOOKUP(1,(_bbt3[[#All],[ID]]=A479)*(_bbt3[[#All],[METRIC_NAME]]="YLD_YTM_BID"),_bbt3[[#All],[METRIC_VALUE]])*0.5))/100,"")</f>
        <v>4.2494331650000002E-2</v>
      </c>
      <c r="I479">
        <f>IF(ISNA(VLOOKUP(A479,QW_CloseDL!A:E,5,0)),0,VLOOKUP(A479,QW_CloseDL!A:E,5,0))</f>
        <v>4.2494328879251697E-2</v>
      </c>
      <c r="J479" s="8">
        <f t="shared" si="35"/>
        <v>0</v>
      </c>
      <c r="P479">
        <v>0</v>
      </c>
      <c r="Q479" t="e">
        <f t="shared" si="36"/>
        <v>#N/A</v>
      </c>
      <c r="R479" t="e">
        <f t="shared" si="37"/>
        <v>#N/A</v>
      </c>
      <c r="S479" s="9" t="e">
        <f t="shared" si="38"/>
        <v>#N/A</v>
      </c>
      <c r="T479" s="3" t="e">
        <f t="shared" si="39"/>
        <v>#N/A</v>
      </c>
    </row>
    <row r="480" spans="1:20" x14ac:dyDescent="0.35">
      <c r="A480" t="str">
        <v>91282CMU2</v>
      </c>
      <c r="B480" t="str">
        <f>IF(NOT(ISBLANK(A480)),VLOOKUP(A480,'BBT3'!A:F,2,0),"")</f>
        <v>Bond</v>
      </c>
      <c r="C480" t="str">
        <f>IF(NOT(ISBLANK(A480)),VLOOKUP(A480,'BBT3'!A:F,3,0),"")</f>
        <v>US91282CMU26</v>
      </c>
      <c r="D480" s="6">
        <f>IF(NOT(ISBLANK(A480)),VLOOKUP(A480,'BBT3'!A:F,4,1),"")</f>
        <v>4</v>
      </c>
      <c r="E480">
        <f>IF(NOT(ISBLANK(A480)),VLOOKUP(A480,'BBT3'!A:F,5,0),"")</f>
        <v>47573</v>
      </c>
      <c r="F480" t="str">
        <f>IF(NOT(ISBLANK(A480)),VLOOKUP(A480,'BBT3'!A:F,6,0),"")</f>
        <v>N</v>
      </c>
      <c r="G480">
        <f>IF(NOT(ISBLANK(A480)),VLOOKUP(A480,QW_Close!A:J,5,0),"")</f>
        <v>4.1482424322171203E-2</v>
      </c>
      <c r="H480" s="5" cm="1">
        <f t="array" ref="H480">IF(NOT(ISBLANK(A480)),((_xlfn.XLOOKUP(1,(_bbt3[[#All],[ID]]=A480)*(_bbt3[[#All],[METRIC_NAME]]="YLD_YTM_ASK"),_bbt3[[#All],[METRIC_VALUE]])*0.5)+(_xlfn.XLOOKUP(1,(_bbt3[[#All],[ID]]=A480)*(_bbt3[[#All],[METRIC_NAME]]="YLD_YTM_BID"),_bbt3[[#All],[METRIC_VALUE]])*0.5))/100,"")</f>
        <v>4.1482428450000004E-2</v>
      </c>
      <c r="I480">
        <f>IF(ISNA(VLOOKUP(A480,QW_CloseDL!A:E,5,0)),0,VLOOKUP(A480,QW_CloseDL!A:E,5,0))</f>
        <v>4.1482424322171203E-2</v>
      </c>
      <c r="J480" s="8">
        <f t="shared" si="35"/>
        <v>0</v>
      </c>
      <c r="P480">
        <v>0</v>
      </c>
      <c r="Q480" t="e">
        <f t="shared" si="36"/>
        <v>#N/A</v>
      </c>
      <c r="R480" t="e">
        <f t="shared" si="37"/>
        <v>#N/A</v>
      </c>
      <c r="S480" s="9" t="e">
        <f t="shared" si="38"/>
        <v>#N/A</v>
      </c>
      <c r="T480" s="3" t="e">
        <f t="shared" si="39"/>
        <v>#N/A</v>
      </c>
    </row>
    <row r="481" spans="1:20" x14ac:dyDescent="0.35">
      <c r="A481" t="str">
        <v>91282CMV0</v>
      </c>
      <c r="B481" t="str">
        <f>IF(NOT(ISBLANK(A481)),VLOOKUP(A481,'BBT3'!A:F,2,0),"")</f>
        <v>Bond</v>
      </c>
      <c r="C481" t="str">
        <f>IF(NOT(ISBLANK(A481)),VLOOKUP(A481,'BBT3'!A:F,3,0),"")</f>
        <v>US91282CMV09</v>
      </c>
      <c r="D481" s="6">
        <f>IF(NOT(ISBLANK(A481)),VLOOKUP(A481,'BBT3'!A:F,4,1),"")</f>
        <v>3.875</v>
      </c>
      <c r="E481">
        <f>IF(NOT(ISBLANK(A481)),VLOOKUP(A481,'BBT3'!A:F,5,0),"")</f>
        <v>46477</v>
      </c>
      <c r="F481" t="str">
        <f>IF(NOT(ISBLANK(A481)),VLOOKUP(A481,'BBT3'!A:F,6,0),"")</f>
        <v>N</v>
      </c>
      <c r="G481">
        <f>IF(NOT(ISBLANK(A481)),VLOOKUP(A481,QW_Close!A:J,5,0),"")</f>
        <v>3.8428095115429502E-2</v>
      </c>
      <c r="H481" s="5" cm="1">
        <f t="array" ref="H481">IF(NOT(ISBLANK(A481)),((_xlfn.XLOOKUP(1,(_bbt3[[#All],[ID]]=A481)*(_bbt3[[#All],[METRIC_NAME]]="YLD_YTM_ASK"),_bbt3[[#All],[METRIC_VALUE]])*0.5)+(_xlfn.XLOOKUP(1,(_bbt3[[#All],[ID]]=A481)*(_bbt3[[#All],[METRIC_NAME]]="YLD_YTM_BID"),_bbt3[[#All],[METRIC_VALUE]])*0.5))/100,"")</f>
        <v>3.8428113899999998E-2</v>
      </c>
      <c r="I481">
        <f>IF(ISNA(VLOOKUP(A481,QW_CloseDL!A:E,5,0)),0,VLOOKUP(A481,QW_CloseDL!A:E,5,0))</f>
        <v>3.8428095115429502E-2</v>
      </c>
      <c r="J481" s="8">
        <f t="shared" si="35"/>
        <v>0</v>
      </c>
      <c r="P481">
        <v>0</v>
      </c>
      <c r="Q481" t="e">
        <f t="shared" si="36"/>
        <v>#N/A</v>
      </c>
      <c r="R481" t="e">
        <f t="shared" si="37"/>
        <v>#N/A</v>
      </c>
      <c r="S481" s="9" t="e">
        <f t="shared" si="38"/>
        <v>#N/A</v>
      </c>
      <c r="T481" s="3" t="e">
        <f t="shared" si="39"/>
        <v>#N/A</v>
      </c>
    </row>
    <row r="482" spans="1:20" x14ac:dyDescent="0.35">
      <c r="A482" t="str">
        <v>91282CMW8</v>
      </c>
      <c r="B482" t="str">
        <f>IF(NOT(ISBLANK(A482)),VLOOKUP(A482,'BBT3'!A:F,2,0),"")</f>
        <v>Bond</v>
      </c>
      <c r="C482" t="str">
        <f>IF(NOT(ISBLANK(A482)),VLOOKUP(A482,'BBT3'!A:F,3,0),"")</f>
        <v>US91282CMW81</v>
      </c>
      <c r="D482" s="6">
        <f>IF(NOT(ISBLANK(A482)),VLOOKUP(A482,'BBT3'!A:F,4,1),"")</f>
        <v>3.75</v>
      </c>
      <c r="E482">
        <f>IF(NOT(ISBLANK(A482)),VLOOKUP(A482,'BBT3'!A:F,5,0),"")</f>
        <v>46858</v>
      </c>
      <c r="F482" t="str">
        <f>IF(NOT(ISBLANK(A482)),VLOOKUP(A482,'BBT3'!A:F,6,0),"")</f>
        <v>N</v>
      </c>
      <c r="G482">
        <f>IF(NOT(ISBLANK(A482)),VLOOKUP(A482,QW_Close!A:J,5,0),"")</f>
        <v>4.0493638744926598E-2</v>
      </c>
      <c r="H482" s="5" cm="1">
        <f t="array" ref="H482">IF(NOT(ISBLANK(A482)),((_xlfn.XLOOKUP(1,(_bbt3[[#All],[ID]]=A482)*(_bbt3[[#All],[METRIC_NAME]]="YLD_YTM_ASK"),_bbt3[[#All],[METRIC_VALUE]])*0.5)+(_xlfn.XLOOKUP(1,(_bbt3[[#All],[ID]]=A482)*(_bbt3[[#All],[METRIC_NAME]]="YLD_YTM_BID"),_bbt3[[#All],[METRIC_VALUE]])*0.5))/100,"")</f>
        <v>4.0493640949999993E-2</v>
      </c>
      <c r="I482">
        <f>IF(ISNA(VLOOKUP(A482,QW_CloseDL!A:E,5,0)),0,VLOOKUP(A482,QW_CloseDL!A:E,5,0))</f>
        <v>4.0493638744926598E-2</v>
      </c>
      <c r="J482" s="8">
        <f t="shared" si="35"/>
        <v>0</v>
      </c>
      <c r="P482">
        <v>0</v>
      </c>
      <c r="Q482" t="e">
        <f t="shared" si="36"/>
        <v>#N/A</v>
      </c>
      <c r="R482" t="e">
        <f t="shared" si="37"/>
        <v>#N/A</v>
      </c>
      <c r="S482" s="9" t="e">
        <f t="shared" si="38"/>
        <v>#N/A</v>
      </c>
      <c r="T482" s="3" t="e">
        <f t="shared" si="39"/>
        <v>#N/A</v>
      </c>
    </row>
    <row r="483" spans="1:20" x14ac:dyDescent="0.35">
      <c r="A483" t="str">
        <v>91282CMY4</v>
      </c>
      <c r="B483" t="str">
        <f>IF(NOT(ISBLANK(A483)),VLOOKUP(A483,'BBT3'!A:F,2,0),"")</f>
        <v>Bond</v>
      </c>
      <c r="C483" t="str">
        <f>IF(NOT(ISBLANK(A483)),VLOOKUP(A483,'BBT3'!A:F,3,0),"")</f>
        <v>US91282CMY48</v>
      </c>
      <c r="D483" s="6">
        <f>IF(NOT(ISBLANK(A483)),VLOOKUP(A483,'BBT3'!A:F,4,1),"")</f>
        <v>3.75</v>
      </c>
      <c r="E483">
        <f>IF(NOT(ISBLANK(A483)),VLOOKUP(A483,'BBT3'!A:F,5,0),"")</f>
        <v>46507</v>
      </c>
      <c r="F483" t="str">
        <f>IF(NOT(ISBLANK(A483)),VLOOKUP(A483,'BBT3'!A:F,6,0),"")</f>
        <v>N</v>
      </c>
      <c r="G483">
        <f>IF(NOT(ISBLANK(A483)),VLOOKUP(A483,QW_Close!A:J,5,0),"")</f>
        <v>3.88243968398925E-2</v>
      </c>
      <c r="H483" s="5" cm="1">
        <f t="array" ref="H483">IF(NOT(ISBLANK(A483)),((_xlfn.XLOOKUP(1,(_bbt3[[#All],[ID]]=A483)*(_bbt3[[#All],[METRIC_NAME]]="YLD_YTM_ASK"),_bbt3[[#All],[METRIC_VALUE]])*0.5)+(_xlfn.XLOOKUP(1,(_bbt3[[#All],[ID]]=A483)*(_bbt3[[#All],[METRIC_NAME]]="YLD_YTM_BID"),_bbt3[[#All],[METRIC_VALUE]])*0.5))/100,"")</f>
        <v>3.8824405300000003E-2</v>
      </c>
      <c r="I483">
        <f>IF(ISNA(VLOOKUP(A483,QW_CloseDL!A:E,5,0)),0,VLOOKUP(A483,QW_CloseDL!A:E,5,0))</f>
        <v>3.88243968398925E-2</v>
      </c>
      <c r="J483" s="8">
        <f t="shared" si="35"/>
        <v>0</v>
      </c>
      <c r="P483">
        <v>0</v>
      </c>
      <c r="Q483" t="e">
        <f t="shared" si="36"/>
        <v>#N/A</v>
      </c>
      <c r="R483" t="e">
        <f t="shared" si="37"/>
        <v>#N/A</v>
      </c>
      <c r="S483" s="9" t="e">
        <f t="shared" si="38"/>
        <v>#N/A</v>
      </c>
      <c r="T483" s="3" t="e">
        <f t="shared" si="39"/>
        <v>#N/A</v>
      </c>
    </row>
    <row r="484" spans="1:20" x14ac:dyDescent="0.35">
      <c r="A484" t="str">
        <v>91282CMZ1</v>
      </c>
      <c r="B484" t="str">
        <f>IF(NOT(ISBLANK(A484)),VLOOKUP(A484,'BBT3'!A:F,2,0),"")</f>
        <v>Bond</v>
      </c>
      <c r="C484" t="str">
        <f>IF(NOT(ISBLANK(A484)),VLOOKUP(A484,'BBT3'!A:F,3,0),"")</f>
        <v>US91282CMZ13</v>
      </c>
      <c r="D484" s="6">
        <f>IF(NOT(ISBLANK(A484)),VLOOKUP(A484,'BBT3'!A:F,4,1),"")</f>
        <v>3.875</v>
      </c>
      <c r="E484">
        <f>IF(NOT(ISBLANK(A484)),VLOOKUP(A484,'BBT3'!A:F,5,0),"")</f>
        <v>47603</v>
      </c>
      <c r="F484" t="str">
        <f>IF(NOT(ISBLANK(A484)),VLOOKUP(A484,'BBT3'!A:F,6,0),"")</f>
        <v>N</v>
      </c>
      <c r="G484">
        <f>IF(NOT(ISBLANK(A484)),VLOOKUP(A484,QW_Close!A:J,5,0),"")</f>
        <v>4.1532694674683103E-2</v>
      </c>
      <c r="H484" s="5" cm="1">
        <f t="array" ref="H484">IF(NOT(ISBLANK(A484)),((_xlfn.XLOOKUP(1,(_bbt3[[#All],[ID]]=A484)*(_bbt3[[#All],[METRIC_NAME]]="YLD_YTM_ASK"),_bbt3[[#All],[METRIC_VALUE]])*0.5)+(_xlfn.XLOOKUP(1,(_bbt3[[#All],[ID]]=A484)*(_bbt3[[#All],[METRIC_NAME]]="YLD_YTM_BID"),_bbt3[[#All],[METRIC_VALUE]])*0.5))/100,"")</f>
        <v>4.1532696950000003E-2</v>
      </c>
      <c r="I484">
        <f>IF(ISNA(VLOOKUP(A484,QW_CloseDL!A:E,5,0)),0,VLOOKUP(A484,QW_CloseDL!A:E,5,0))</f>
        <v>4.1532694674683103E-2</v>
      </c>
      <c r="J484" s="8">
        <f t="shared" si="35"/>
        <v>0</v>
      </c>
      <c r="P484">
        <v>0</v>
      </c>
      <c r="Q484" t="e">
        <f t="shared" si="36"/>
        <v>#N/A</v>
      </c>
      <c r="R484" t="e">
        <f t="shared" si="37"/>
        <v>#N/A</v>
      </c>
      <c r="S484" s="9" t="e">
        <f t="shared" si="38"/>
        <v>#N/A</v>
      </c>
      <c r="T484" s="3" t="e">
        <f t="shared" si="39"/>
        <v>#N/A</v>
      </c>
    </row>
    <row r="485" spans="1:20" x14ac:dyDescent="0.35">
      <c r="A485" t="str">
        <v>91282CNA5</v>
      </c>
      <c r="B485" t="str">
        <f>IF(NOT(ISBLANK(A485)),VLOOKUP(A485,'BBT3'!A:F,2,0),"")</f>
        <v>Bond</v>
      </c>
      <c r="C485" t="str">
        <f>IF(NOT(ISBLANK(A485)),VLOOKUP(A485,'BBT3'!A:F,3,0),"")</f>
        <v>US91282CNA52</v>
      </c>
      <c r="D485" s="6">
        <f>IF(NOT(ISBLANK(A485)),VLOOKUP(A485,'BBT3'!A:F,4,1),"")</f>
        <v>4</v>
      </c>
      <c r="E485">
        <f>IF(NOT(ISBLANK(A485)),VLOOKUP(A485,'BBT3'!A:F,5,0),"")</f>
        <v>48334</v>
      </c>
      <c r="F485" t="str">
        <f>IF(NOT(ISBLANK(A485)),VLOOKUP(A485,'BBT3'!A:F,6,0),"")</f>
        <v>N</v>
      </c>
      <c r="G485">
        <f>IF(NOT(ISBLANK(A485)),VLOOKUP(A485,QW_Close!A:J,5,0),"")</f>
        <v>4.25620306336532E-2</v>
      </c>
      <c r="H485" s="5" cm="1">
        <f t="array" ref="H485">IF(NOT(ISBLANK(A485)),((_xlfn.XLOOKUP(1,(_bbt3[[#All],[ID]]=A485)*(_bbt3[[#All],[METRIC_NAME]]="YLD_YTM_ASK"),_bbt3[[#All],[METRIC_VALUE]])*0.5)+(_xlfn.XLOOKUP(1,(_bbt3[[#All],[ID]]=A485)*(_bbt3[[#All],[METRIC_NAME]]="YLD_YTM_BID"),_bbt3[[#All],[METRIC_VALUE]])*0.5))/100,"")</f>
        <v>4.2562033399999998E-2</v>
      </c>
      <c r="I485">
        <f>IF(ISNA(VLOOKUP(A485,QW_CloseDL!A:E,5,0)),0,VLOOKUP(A485,QW_CloseDL!A:E,5,0))</f>
        <v>4.25620306336532E-2</v>
      </c>
      <c r="J485" s="8">
        <f t="shared" si="35"/>
        <v>0</v>
      </c>
      <c r="P485">
        <v>0</v>
      </c>
      <c r="Q485" t="e">
        <f t="shared" si="36"/>
        <v>#N/A</v>
      </c>
      <c r="R485" t="e">
        <f t="shared" si="37"/>
        <v>#N/A</v>
      </c>
      <c r="S485" s="9" t="e">
        <f t="shared" si="38"/>
        <v>#N/A</v>
      </c>
      <c r="T485" s="3" t="e">
        <f t="shared" si="39"/>
        <v>#N/A</v>
      </c>
    </row>
    <row r="486" spans="1:20" x14ac:dyDescent="0.35">
      <c r="A486" t="str">
        <v>91282CNB3</v>
      </c>
      <c r="B486" t="str">
        <f>IF(NOT(ISBLANK(A486)),VLOOKUP(A486,'BBT3'!A:F,2,0),"")</f>
        <v>Bond</v>
      </c>
      <c r="C486" t="str">
        <f>IF(NOT(ISBLANK(A486)),VLOOKUP(A486,'BBT3'!A:F,3,0),"")</f>
        <v>US91282CNB36</v>
      </c>
      <c r="D486" s="6">
        <f>IF(NOT(ISBLANK(A486)),VLOOKUP(A486,'BBT3'!A:F,4,1),"")</f>
        <v>1.625</v>
      </c>
      <c r="E486">
        <f>IF(NOT(ISBLANK(A486)),VLOOKUP(A486,'BBT3'!A:F,5,0),"")</f>
        <v>47588</v>
      </c>
      <c r="F486" t="str">
        <f>IF(NOT(ISBLANK(A486)),VLOOKUP(A486,'BBT3'!A:F,6,0),"")</f>
        <v>Y</v>
      </c>
      <c r="G486">
        <f>IF(NOT(ISBLANK(A486)),VLOOKUP(A486,QW_Close!A:J,5,0),"")</f>
        <v>1.6174872743214899E-2</v>
      </c>
      <c r="H486" s="5" cm="1">
        <f t="array" ref="H486">IF(NOT(ISBLANK(A486)),((_xlfn.XLOOKUP(1,(_bbt3[[#All],[ID]]=A486)*(_bbt3[[#All],[METRIC_NAME]]="YLD_YTM_ASK"),_bbt3[[#All],[METRIC_VALUE]])*0.5)+(_xlfn.XLOOKUP(1,(_bbt3[[#All],[ID]]=A486)*(_bbt3[[#All],[METRIC_NAME]]="YLD_YTM_BID"),_bbt3[[#All],[METRIC_VALUE]])*0.5))/100,"")</f>
        <v>1.6174900999999998E-2</v>
      </c>
      <c r="I486">
        <f>IF(ISNA(VLOOKUP(A486,QW_CloseDL!A:E,5,0)),0,VLOOKUP(A486,QW_CloseDL!A:E,5,0))</f>
        <v>1.6174889503737199E-2</v>
      </c>
      <c r="J486" s="8">
        <f t="shared" si="35"/>
        <v>1.6760522299902325E-4</v>
      </c>
      <c r="P486">
        <v>0</v>
      </c>
      <c r="Q486" t="e">
        <f t="shared" si="36"/>
        <v>#N/A</v>
      </c>
      <c r="R486" t="e">
        <f t="shared" si="37"/>
        <v>#N/A</v>
      </c>
      <c r="S486" s="9" t="e">
        <f t="shared" si="38"/>
        <v>#N/A</v>
      </c>
      <c r="T486" s="3" t="e">
        <f t="shared" si="39"/>
        <v>#N/A</v>
      </c>
    </row>
    <row r="487" spans="1:20" x14ac:dyDescent="0.35">
      <c r="A487" t="str">
        <v>91282CNC1</v>
      </c>
      <c r="B487" t="str">
        <f>IF(NOT(ISBLANK(A487)),VLOOKUP(A487,'BBT3'!A:F,2,0),"")</f>
        <v>Bond</v>
      </c>
      <c r="C487" t="str">
        <f>IF(NOT(ISBLANK(A487)),VLOOKUP(A487,'BBT3'!A:F,3,0),"")</f>
        <v>US91282CNC19</v>
      </c>
      <c r="D487" s="6">
        <f>IF(NOT(ISBLANK(A487)),VLOOKUP(A487,'BBT3'!A:F,4,1),"")</f>
        <v>4.25</v>
      </c>
      <c r="E487">
        <f>IF(NOT(ISBLANK(A487)),VLOOKUP(A487,'BBT3'!A:F,5,0),"")</f>
        <v>49444</v>
      </c>
      <c r="F487" t="str">
        <f>IF(NOT(ISBLANK(A487)),VLOOKUP(A487,'BBT3'!A:F,6,0),"")</f>
        <v>N</v>
      </c>
      <c r="G487">
        <f>IF(NOT(ISBLANK(A487)),VLOOKUP(A487,QW_Close!A:J,5,0),"")</f>
        <v>4.4397836587114402E-2</v>
      </c>
      <c r="H487" s="5" cm="1">
        <f t="array" ref="H487">IF(NOT(ISBLANK(A487)),((_xlfn.XLOOKUP(1,(_bbt3[[#All],[ID]]=A487)*(_bbt3[[#All],[METRIC_NAME]]="YLD_YTM_ASK"),_bbt3[[#All],[METRIC_VALUE]])*0.5)+(_xlfn.XLOOKUP(1,(_bbt3[[#All],[ID]]=A487)*(_bbt3[[#All],[METRIC_NAME]]="YLD_YTM_BID"),_bbt3[[#All],[METRIC_VALUE]])*0.5))/100,"")</f>
        <v>4.4397838600000003E-2</v>
      </c>
      <c r="I487">
        <f>IF(ISNA(VLOOKUP(A487,QW_CloseDL!A:E,5,0)),0,VLOOKUP(A487,QW_CloseDL!A:E,5,0))</f>
        <v>4.4397836587114402E-2</v>
      </c>
      <c r="J487" s="8">
        <f t="shared" si="35"/>
        <v>0</v>
      </c>
      <c r="P487">
        <v>0</v>
      </c>
      <c r="Q487" t="e">
        <f t="shared" si="36"/>
        <v>#N/A</v>
      </c>
      <c r="R487" t="e">
        <f t="shared" si="37"/>
        <v>#N/A</v>
      </c>
      <c r="S487" s="9" t="e">
        <f t="shared" si="38"/>
        <v>#N/A</v>
      </c>
      <c r="T487" s="3" t="e">
        <f t="shared" si="39"/>
        <v>#N/A</v>
      </c>
    </row>
    <row r="488" spans="1:20" x14ac:dyDescent="0.35">
      <c r="A488" t="str">
        <v>91282CND9</v>
      </c>
      <c r="B488" t="str">
        <f>IF(NOT(ISBLANK(A488)),VLOOKUP(A488,'BBT3'!A:F,2,0),"")</f>
        <v>Bond</v>
      </c>
      <c r="C488" t="str">
        <f>IF(NOT(ISBLANK(A488)),VLOOKUP(A488,'BBT3'!A:F,3,0),"")</f>
        <v>US91282CND91</v>
      </c>
      <c r="D488" s="6">
        <f>IF(NOT(ISBLANK(A488)),VLOOKUP(A488,'BBT3'!A:F,4,1),"")</f>
        <v>3.75</v>
      </c>
      <c r="E488">
        <f>IF(NOT(ISBLANK(A488)),VLOOKUP(A488,'BBT3'!A:F,5,0),"")</f>
        <v>46888</v>
      </c>
      <c r="F488" t="str">
        <f>IF(NOT(ISBLANK(A488)),VLOOKUP(A488,'BBT3'!A:F,6,0),"")</f>
        <v>N</v>
      </c>
      <c r="G488">
        <f>IF(NOT(ISBLANK(A488)),VLOOKUP(A488,QW_Close!A:J,5,0),"")</f>
        <v>4.0582516341087102E-2</v>
      </c>
      <c r="H488" s="5" cm="1">
        <f t="array" ref="H488">IF(NOT(ISBLANK(A488)),((_xlfn.XLOOKUP(1,(_bbt3[[#All],[ID]]=A488)*(_bbt3[[#All],[METRIC_NAME]]="YLD_YTM_ASK"),_bbt3[[#All],[METRIC_VALUE]])*0.5)+(_xlfn.XLOOKUP(1,(_bbt3[[#All],[ID]]=A488)*(_bbt3[[#All],[METRIC_NAME]]="YLD_YTM_BID"),_bbt3[[#All],[METRIC_VALUE]])*0.5))/100,"")</f>
        <v>4.0582517550000002E-2</v>
      </c>
      <c r="I488">
        <f>IF(ISNA(VLOOKUP(A488,QW_CloseDL!A:E,5,0)),0,VLOOKUP(A488,QW_CloseDL!A:E,5,0))</f>
        <v>4.0582516341087102E-2</v>
      </c>
      <c r="J488" s="8">
        <f t="shared" si="35"/>
        <v>0</v>
      </c>
      <c r="P488">
        <v>0</v>
      </c>
      <c r="Q488" t="e">
        <f t="shared" si="36"/>
        <v>#N/A</v>
      </c>
      <c r="R488" t="e">
        <f t="shared" si="37"/>
        <v>#N/A</v>
      </c>
      <c r="S488" s="9" t="e">
        <f t="shared" si="38"/>
        <v>#N/A</v>
      </c>
      <c r="T488" s="3" t="e">
        <f t="shared" si="39"/>
        <v>#N/A</v>
      </c>
    </row>
    <row r="489" spans="1:20" x14ac:dyDescent="0.35">
      <c r="A489" t="str">
        <v>91282CNE7</v>
      </c>
      <c r="B489" t="str">
        <f>IF(NOT(ISBLANK(A489)),VLOOKUP(A489,'BBT3'!A:F,2,0),"")</f>
        <v>Bond</v>
      </c>
      <c r="C489" t="str">
        <f>IF(NOT(ISBLANK(A489)),VLOOKUP(A489,'BBT3'!A:F,3,0),"")</f>
        <v>US91282CNE74</v>
      </c>
      <c r="D489" s="6">
        <f>IF(NOT(ISBLANK(A489)),VLOOKUP(A489,'BBT3'!A:F,4,1),"")</f>
        <v>3.875</v>
      </c>
      <c r="E489">
        <f>IF(NOT(ISBLANK(A489)),VLOOKUP(A489,'BBT3'!A:F,5,0),"")</f>
        <v>46538</v>
      </c>
      <c r="F489" t="str">
        <f>IF(NOT(ISBLANK(A489)),VLOOKUP(A489,'BBT3'!A:F,6,0),"")</f>
        <v>N</v>
      </c>
      <c r="G489">
        <f>IF(NOT(ISBLANK(A489)),VLOOKUP(A489,QW_Close!A:J,5,0),"")</f>
        <v>3.9070875407178102E-2</v>
      </c>
      <c r="H489" s="5" cm="1">
        <f t="array" ref="H489">IF(NOT(ISBLANK(A489)),((_xlfn.XLOOKUP(1,(_bbt3[[#All],[ID]]=A489)*(_bbt3[[#All],[METRIC_NAME]]="YLD_YTM_ASK"),_bbt3[[#All],[METRIC_VALUE]])*0.5)+(_xlfn.XLOOKUP(1,(_bbt3[[#All],[ID]]=A489)*(_bbt3[[#All],[METRIC_NAME]]="YLD_YTM_BID"),_bbt3[[#All],[METRIC_VALUE]])*0.5))/100,"")</f>
        <v>3.9070880499999995E-2</v>
      </c>
      <c r="I489">
        <f>IF(ISNA(VLOOKUP(A489,QW_CloseDL!A:E,5,0)),0,VLOOKUP(A489,QW_CloseDL!A:E,5,0))</f>
        <v>3.9070875407178102E-2</v>
      </c>
      <c r="J489" s="8">
        <f t="shared" si="35"/>
        <v>0</v>
      </c>
      <c r="P489">
        <v>0</v>
      </c>
      <c r="Q489" t="e">
        <f t="shared" si="36"/>
        <v>#N/A</v>
      </c>
      <c r="R489" t="e">
        <f t="shared" si="37"/>
        <v>#N/A</v>
      </c>
      <c r="S489" s="9" t="e">
        <f t="shared" si="38"/>
        <v>#N/A</v>
      </c>
      <c r="T489" s="3" t="e">
        <f t="shared" si="39"/>
        <v>#N/A</v>
      </c>
    </row>
    <row r="490" spans="1:20" x14ac:dyDescent="0.35">
      <c r="A490" t="str">
        <v>91282CNF4</v>
      </c>
      <c r="B490" t="str">
        <f>IF(NOT(ISBLANK(A490)),VLOOKUP(A490,'BBT3'!A:F,2,0),"")</f>
        <v>Bond</v>
      </c>
      <c r="C490" t="str">
        <f>IF(NOT(ISBLANK(A490)),VLOOKUP(A490,'BBT3'!A:F,3,0),"")</f>
        <v>US91282CNF40</v>
      </c>
      <c r="D490" s="6">
        <f>IF(NOT(ISBLANK(A490)),VLOOKUP(A490,'BBT3'!A:F,4,1),"")</f>
        <v>4.125</v>
      </c>
      <c r="E490">
        <f>IF(NOT(ISBLANK(A490)),VLOOKUP(A490,'BBT3'!A:F,5,0),"")</f>
        <v>48365</v>
      </c>
      <c r="F490" t="str">
        <f>IF(NOT(ISBLANK(A490)),VLOOKUP(A490,'BBT3'!A:F,6,0),"")</f>
        <v>N</v>
      </c>
      <c r="G490">
        <f>IF(NOT(ISBLANK(A490)),VLOOKUP(A490,QW_Close!A:J,5,0),"")</f>
        <v>4.2651885034471697E-2</v>
      </c>
      <c r="H490" s="5" cm="1">
        <f t="array" ref="H490">IF(NOT(ISBLANK(A490)),((_xlfn.XLOOKUP(1,(_bbt3[[#All],[ID]]=A490)*(_bbt3[[#All],[METRIC_NAME]]="YLD_YTM_ASK"),_bbt3[[#All],[METRIC_VALUE]])*0.5)+(_xlfn.XLOOKUP(1,(_bbt3[[#All],[ID]]=A490)*(_bbt3[[#All],[METRIC_NAME]]="YLD_YTM_BID"),_bbt3[[#All],[METRIC_VALUE]])*0.5))/100,"")</f>
        <v>4.2651887499999999E-2</v>
      </c>
      <c r="I490">
        <f>IF(ISNA(VLOOKUP(A490,QW_CloseDL!A:E,5,0)),0,VLOOKUP(A490,QW_CloseDL!A:E,5,0))</f>
        <v>4.2651885034471697E-2</v>
      </c>
      <c r="J490" s="8">
        <f t="shared" si="35"/>
        <v>0</v>
      </c>
      <c r="P490">
        <v>0</v>
      </c>
      <c r="Q490" t="e">
        <f t="shared" si="36"/>
        <v>#N/A</v>
      </c>
      <c r="R490" t="e">
        <f t="shared" si="37"/>
        <v>#N/A</v>
      </c>
      <c r="S490" s="9" t="e">
        <f t="shared" si="38"/>
        <v>#N/A</v>
      </c>
      <c r="T490" s="3" t="e">
        <f t="shared" si="39"/>
        <v>#N/A</v>
      </c>
    </row>
    <row r="491" spans="1:20" x14ac:dyDescent="0.35">
      <c r="A491" t="str">
        <v>91282CNG2</v>
      </c>
      <c r="B491" t="str">
        <f>IF(NOT(ISBLANK(A491)),VLOOKUP(A491,'BBT3'!A:F,2,0),"")</f>
        <v>Bond</v>
      </c>
      <c r="C491" t="str">
        <f>IF(NOT(ISBLANK(A491)),VLOOKUP(A491,'BBT3'!A:F,3,0),"")</f>
        <v>US91282CNG23</v>
      </c>
      <c r="D491" s="6">
        <f>IF(NOT(ISBLANK(A491)),VLOOKUP(A491,'BBT3'!A:F,4,1),"")</f>
        <v>4</v>
      </c>
      <c r="E491">
        <f>IF(NOT(ISBLANK(A491)),VLOOKUP(A491,'BBT3'!A:F,5,0),"")</f>
        <v>47634</v>
      </c>
      <c r="F491" t="str">
        <f>IF(NOT(ISBLANK(A491)),VLOOKUP(A491,'BBT3'!A:F,6,0),"")</f>
        <v>N</v>
      </c>
      <c r="G491">
        <f>IF(NOT(ISBLANK(A491)),VLOOKUP(A491,QW_Close!A:J,5,0),"")</f>
        <v>4.1565751318214501E-2</v>
      </c>
      <c r="H491" s="5" cm="1">
        <f t="array" ref="H491">IF(NOT(ISBLANK(A491)),((_xlfn.XLOOKUP(1,(_bbt3[[#All],[ID]]=A491)*(_bbt3[[#All],[METRIC_NAME]]="YLD_YTM_ASK"),_bbt3[[#All],[METRIC_VALUE]])*0.5)+(_xlfn.XLOOKUP(1,(_bbt3[[#All],[ID]]=A491)*(_bbt3[[#All],[METRIC_NAME]]="YLD_YTM_BID"),_bbt3[[#All],[METRIC_VALUE]])*0.5))/100,"")</f>
        <v>4.1565752499999997E-2</v>
      </c>
      <c r="I491">
        <f>IF(ISNA(VLOOKUP(A491,QW_CloseDL!A:E,5,0)),0,VLOOKUP(A491,QW_CloseDL!A:E,5,0))</f>
        <v>4.1565751318214501E-2</v>
      </c>
      <c r="J491" s="8">
        <f t="shared" si="35"/>
        <v>0</v>
      </c>
      <c r="P491">
        <v>0</v>
      </c>
      <c r="Q491" t="e">
        <f t="shared" si="36"/>
        <v>#N/A</v>
      </c>
      <c r="R491" t="e">
        <f t="shared" si="37"/>
        <v>#N/A</v>
      </c>
      <c r="S491" s="9" t="e">
        <f t="shared" si="38"/>
        <v>#N/A</v>
      </c>
      <c r="T491" s="3" t="e">
        <f t="shared" si="39"/>
        <v>#N/A</v>
      </c>
    </row>
    <row r="492" spans="1:20" x14ac:dyDescent="0.35">
      <c r="A492" t="str">
        <v>91282CNH0</v>
      </c>
      <c r="B492" t="str">
        <f>IF(NOT(ISBLANK(A492)),VLOOKUP(A492,'BBT3'!A:F,2,0),"")</f>
        <v>Bond</v>
      </c>
      <c r="C492" t="str">
        <f>IF(NOT(ISBLANK(A492)),VLOOKUP(A492,'BBT3'!A:F,3,0),"")</f>
        <v>US91282CNH06</v>
      </c>
      <c r="D492" s="6">
        <f>IF(NOT(ISBLANK(A492)),VLOOKUP(A492,'BBT3'!A:F,4,1),"")</f>
        <v>3.875</v>
      </c>
      <c r="E492">
        <f>IF(NOT(ISBLANK(A492)),VLOOKUP(A492,'BBT3'!A:F,5,0),"")</f>
        <v>46919</v>
      </c>
      <c r="F492" t="str">
        <f>IF(NOT(ISBLANK(A492)),VLOOKUP(A492,'BBT3'!A:F,6,0),"")</f>
        <v>N</v>
      </c>
      <c r="G492">
        <f>IF(NOT(ISBLANK(A492)),VLOOKUP(A492,QW_Close!A:J,5,0),"")</f>
        <v>4.0588852665612303E-2</v>
      </c>
      <c r="H492" s="5" cm="1">
        <f t="array" ref="H492">IF(NOT(ISBLANK(A492)),((_xlfn.XLOOKUP(1,(_bbt3[[#All],[ID]]=A492)*(_bbt3[[#All],[METRIC_NAME]]="YLD_YTM_ASK"),_bbt3[[#All],[METRIC_VALUE]])*0.5)+(_xlfn.XLOOKUP(1,(_bbt3[[#All],[ID]]=A492)*(_bbt3[[#All],[METRIC_NAME]]="YLD_YTM_BID"),_bbt3[[#All],[METRIC_VALUE]])*0.5))/100,"")</f>
        <v>4.05888545E-2</v>
      </c>
      <c r="I492">
        <f>IF(ISNA(VLOOKUP(A492,QW_CloseDL!A:E,5,0)),0,VLOOKUP(A492,QW_CloseDL!A:E,5,0))</f>
        <v>4.0588852665612303E-2</v>
      </c>
      <c r="J492" s="8">
        <f t="shared" si="35"/>
        <v>0</v>
      </c>
      <c r="P492">
        <v>0</v>
      </c>
      <c r="Q492" t="e">
        <f t="shared" si="36"/>
        <v>#N/A</v>
      </c>
      <c r="R492" t="e">
        <f t="shared" si="37"/>
        <v>#N/A</v>
      </c>
      <c r="S492" s="9" t="e">
        <f t="shared" si="38"/>
        <v>#N/A</v>
      </c>
      <c r="T492" s="3" t="e">
        <f t="shared" si="39"/>
        <v>#N/A</v>
      </c>
    </row>
    <row r="493" spans="1:20" x14ac:dyDescent="0.35">
      <c r="A493" t="str">
        <v>91282CNJ6</v>
      </c>
      <c r="B493" t="str">
        <f>IF(NOT(ISBLANK(A493)),VLOOKUP(A493,'BBT3'!A:F,2,0),"")</f>
        <v>Bond</v>
      </c>
      <c r="C493" t="str">
        <f>IF(NOT(ISBLANK(A493)),VLOOKUP(A493,'BBT3'!A:F,3,0),"")</f>
        <v>US91282CNJ61</v>
      </c>
      <c r="D493" s="6">
        <f>IF(NOT(ISBLANK(A493)),VLOOKUP(A493,'BBT3'!A:F,4,1),"")</f>
        <v>4</v>
      </c>
      <c r="E493">
        <f>IF(NOT(ISBLANK(A493)),VLOOKUP(A493,'BBT3'!A:F,5,0),"")</f>
        <v>48395</v>
      </c>
      <c r="F493" t="str">
        <f>IF(NOT(ISBLANK(A493)),VLOOKUP(A493,'BBT3'!A:F,6,0),"")</f>
        <v>N</v>
      </c>
      <c r="G493">
        <f>IF(NOT(ISBLANK(A493)),VLOOKUP(A493,QW_Close!A:J,5,0),"")</f>
        <v>4.2701653901398497E-2</v>
      </c>
      <c r="H493" s="5" cm="1">
        <f t="array" ref="H493">IF(NOT(ISBLANK(A493)),((_xlfn.XLOOKUP(1,(_bbt3[[#All],[ID]]=A493)*(_bbt3[[#All],[METRIC_NAME]]="YLD_YTM_ASK"),_bbt3[[#All],[METRIC_VALUE]])*0.5)+(_xlfn.XLOOKUP(1,(_bbt3[[#All],[ID]]=A493)*(_bbt3[[#All],[METRIC_NAME]]="YLD_YTM_BID"),_bbt3[[#All],[METRIC_VALUE]])*0.5))/100,"")</f>
        <v>4.2701655449999994E-2</v>
      </c>
      <c r="I493">
        <f>IF(ISNA(VLOOKUP(A493,QW_CloseDL!A:E,5,0)),0,VLOOKUP(A493,QW_CloseDL!A:E,5,0))</f>
        <v>4.2701653901398497E-2</v>
      </c>
      <c r="J493" s="8">
        <f t="shared" si="35"/>
        <v>0</v>
      </c>
      <c r="P493">
        <v>0</v>
      </c>
      <c r="Q493" t="e">
        <f t="shared" si="36"/>
        <v>#N/A</v>
      </c>
      <c r="R493" t="e">
        <f t="shared" si="37"/>
        <v>#N/A</v>
      </c>
      <c r="S493" s="9" t="e">
        <f t="shared" si="38"/>
        <v>#N/A</v>
      </c>
      <c r="T493" s="3" t="e">
        <f t="shared" si="39"/>
        <v>#N/A</v>
      </c>
    </row>
    <row r="494" spans="1:20" x14ac:dyDescent="0.35">
      <c r="A494" t="str">
        <v>91282CNK3</v>
      </c>
      <c r="B494" t="str">
        <f>IF(NOT(ISBLANK(A494)),VLOOKUP(A494,'BBT3'!A:F,2,0),"")</f>
        <v>Bond</v>
      </c>
      <c r="C494" t="str">
        <f>IF(NOT(ISBLANK(A494)),VLOOKUP(A494,'BBT3'!A:F,3,0),"")</f>
        <v>US91282CNK35</v>
      </c>
      <c r="D494" s="6">
        <f>IF(NOT(ISBLANK(A494)),VLOOKUP(A494,'BBT3'!A:F,4,1),"")</f>
        <v>3.875</v>
      </c>
      <c r="E494">
        <f>IF(NOT(ISBLANK(A494)),VLOOKUP(A494,'BBT3'!A:F,5,0),"")</f>
        <v>47664</v>
      </c>
      <c r="F494" t="str">
        <f>IF(NOT(ISBLANK(A494)),VLOOKUP(A494,'BBT3'!A:F,6,0),"")</f>
        <v>N</v>
      </c>
      <c r="G494">
        <f>IF(NOT(ISBLANK(A494)),VLOOKUP(A494,QW_Close!A:J,5,0),"")</f>
        <v>4.16196347176035E-2</v>
      </c>
      <c r="H494" s="5" cm="1">
        <f t="array" ref="H494">IF(NOT(ISBLANK(A494)),((_xlfn.XLOOKUP(1,(_bbt3[[#All],[ID]]=A494)*(_bbt3[[#All],[METRIC_NAME]]="YLD_YTM_ASK"),_bbt3[[#All],[METRIC_VALUE]])*0.5)+(_xlfn.XLOOKUP(1,(_bbt3[[#All],[ID]]=A494)*(_bbt3[[#All],[METRIC_NAME]]="YLD_YTM_BID"),_bbt3[[#All],[METRIC_VALUE]])*0.5))/100,"")</f>
        <v>4.1619636950000011E-2</v>
      </c>
      <c r="I494">
        <f>IF(ISNA(VLOOKUP(A494,QW_CloseDL!A:E,5,0)),0,VLOOKUP(A494,QW_CloseDL!A:E,5,0))</f>
        <v>4.16196347176035E-2</v>
      </c>
      <c r="J494" s="8">
        <f t="shared" si="35"/>
        <v>0</v>
      </c>
      <c r="P494">
        <v>0</v>
      </c>
      <c r="Q494" t="e">
        <f t="shared" si="36"/>
        <v>#N/A</v>
      </c>
      <c r="R494" t="e">
        <f t="shared" si="37"/>
        <v>#N/A</v>
      </c>
      <c r="S494" s="9" t="e">
        <f t="shared" si="38"/>
        <v>#N/A</v>
      </c>
      <c r="T494" s="3" t="e">
        <f t="shared" si="39"/>
        <v>#N/A</v>
      </c>
    </row>
    <row r="495" spans="1:20" x14ac:dyDescent="0.35">
      <c r="A495" t="str">
        <v>91282CNL1</v>
      </c>
      <c r="B495" t="str">
        <f>IF(NOT(ISBLANK(A495)),VLOOKUP(A495,'BBT3'!A:F,2,0),"")</f>
        <v>Bond</v>
      </c>
      <c r="C495" t="str">
        <f>IF(NOT(ISBLANK(A495)),VLOOKUP(A495,'BBT3'!A:F,3,0),"")</f>
        <v>US91282CNL18</v>
      </c>
      <c r="D495" s="6">
        <f>IF(NOT(ISBLANK(A495)),VLOOKUP(A495,'BBT3'!A:F,4,1),"")</f>
        <v>3.75</v>
      </c>
      <c r="E495">
        <f>IF(NOT(ISBLANK(A495)),VLOOKUP(A495,'BBT3'!A:F,5,0),"")</f>
        <v>46568</v>
      </c>
      <c r="F495" t="str">
        <f>IF(NOT(ISBLANK(A495)),VLOOKUP(A495,'BBT3'!A:F,6,0),"")</f>
        <v>N</v>
      </c>
      <c r="G495">
        <f>IF(NOT(ISBLANK(A495)),VLOOKUP(A495,QW_Close!A:J,5,0),"")</f>
        <v>3.9268297827602799E-2</v>
      </c>
      <c r="H495" s="5" cm="1">
        <f t="array" ref="H495">IF(NOT(ISBLANK(A495)),((_xlfn.XLOOKUP(1,(_bbt3[[#All],[ID]]=A495)*(_bbt3[[#All],[METRIC_NAME]]="YLD_YTM_ASK"),_bbt3[[#All],[METRIC_VALUE]])*0.5)+(_xlfn.XLOOKUP(1,(_bbt3[[#All],[ID]]=A495)*(_bbt3[[#All],[METRIC_NAME]]="YLD_YTM_BID"),_bbt3[[#All],[METRIC_VALUE]])*0.5))/100,"")</f>
        <v>3.9268304650000002E-2</v>
      </c>
      <c r="I495">
        <f>IF(ISNA(VLOOKUP(A495,QW_CloseDL!A:E,5,0)),0,VLOOKUP(A495,QW_CloseDL!A:E,5,0))</f>
        <v>3.9268297827602799E-2</v>
      </c>
      <c r="J495" s="8">
        <f t="shared" si="35"/>
        <v>0</v>
      </c>
      <c r="P495">
        <v>0</v>
      </c>
      <c r="Q495" t="e">
        <f t="shared" si="36"/>
        <v>#N/A</v>
      </c>
      <c r="R495" t="e">
        <f t="shared" si="37"/>
        <v>#N/A</v>
      </c>
      <c r="S495" s="9" t="e">
        <f t="shared" si="38"/>
        <v>#N/A</v>
      </c>
      <c r="T495" s="3" t="e">
        <f t="shared" si="39"/>
        <v>#N/A</v>
      </c>
    </row>
    <row r="496" spans="1:20" x14ac:dyDescent="0.35">
      <c r="A496" t="str">
        <v>91282CNM9</v>
      </c>
      <c r="B496" t="str">
        <f>IF(NOT(ISBLANK(A496)),VLOOKUP(A496,'BBT3'!A:F,2,0),"")</f>
        <v>Bond</v>
      </c>
      <c r="C496" t="str">
        <f>IF(NOT(ISBLANK(A496)),VLOOKUP(A496,'BBT3'!A:F,3,0),"")</f>
        <v>US91282CNM90</v>
      </c>
      <c r="D496" s="6">
        <f>IF(NOT(ISBLANK(A496)),VLOOKUP(A496,'BBT3'!A:F,4,1),"")</f>
        <v>3.875</v>
      </c>
      <c r="E496">
        <f>IF(NOT(ISBLANK(A496)),VLOOKUP(A496,'BBT3'!A:F,5,0),"")</f>
        <v>46949</v>
      </c>
      <c r="F496" t="str">
        <f>IF(NOT(ISBLANK(A496)),VLOOKUP(A496,'BBT3'!A:F,6,0),"")</f>
        <v>N</v>
      </c>
      <c r="G496">
        <f>IF(NOT(ISBLANK(A496)),VLOOKUP(A496,QW_Close!A:J,5,0),"")</f>
        <v>4.0683415606901502E-2</v>
      </c>
      <c r="H496" s="5" cm="1">
        <f t="array" ref="H496">IF(NOT(ISBLANK(A496)),((_xlfn.XLOOKUP(1,(_bbt3[[#All],[ID]]=A496)*(_bbt3[[#All],[METRIC_NAME]]="YLD_YTM_ASK"),_bbt3[[#All],[METRIC_VALUE]])*0.5)+(_xlfn.XLOOKUP(1,(_bbt3[[#All],[ID]]=A496)*(_bbt3[[#All],[METRIC_NAME]]="YLD_YTM_BID"),_bbt3[[#All],[METRIC_VALUE]])*0.5))/100,"")</f>
        <v>4.0683417499999999E-2</v>
      </c>
      <c r="I496">
        <f>IF(ISNA(VLOOKUP(A496,QW_CloseDL!A:E,5,0)),0,VLOOKUP(A496,QW_CloseDL!A:E,5,0))</f>
        <v>4.0683415606901502E-2</v>
      </c>
      <c r="J496" s="8">
        <f t="shared" si="35"/>
        <v>0</v>
      </c>
      <c r="P496">
        <v>0</v>
      </c>
      <c r="Q496" t="e">
        <f t="shared" si="36"/>
        <v>#N/A</v>
      </c>
      <c r="R496" t="e">
        <f t="shared" si="37"/>
        <v>#N/A</v>
      </c>
      <c r="S496" s="9" t="e">
        <f t="shared" si="38"/>
        <v>#N/A</v>
      </c>
      <c r="T496" s="3" t="e">
        <f t="shared" si="39"/>
        <v>#N/A</v>
      </c>
    </row>
    <row r="497" spans="1:20" x14ac:dyDescent="0.35">
      <c r="A497" t="str">
        <v>91282CNN7</v>
      </c>
      <c r="B497" t="str">
        <f>IF(NOT(ISBLANK(A497)),VLOOKUP(A497,'BBT3'!A:F,2,0),"")</f>
        <v>Bond</v>
      </c>
      <c r="C497" t="str">
        <f>IF(NOT(ISBLANK(A497)),VLOOKUP(A497,'BBT3'!A:F,3,0),"")</f>
        <v>US91282CNN73</v>
      </c>
      <c r="D497" s="6">
        <f>IF(NOT(ISBLANK(A497)),VLOOKUP(A497,'BBT3'!A:F,4,1),"")</f>
        <v>3.875</v>
      </c>
      <c r="E497">
        <f>IF(NOT(ISBLANK(A497)),VLOOKUP(A497,'BBT3'!A:F,5,0),"")</f>
        <v>47695</v>
      </c>
      <c r="F497" t="str">
        <f>IF(NOT(ISBLANK(A497)),VLOOKUP(A497,'BBT3'!A:F,6,0),"")</f>
        <v>N</v>
      </c>
      <c r="G497">
        <f>IF(NOT(ISBLANK(A497)),VLOOKUP(A497,QW_Close!A:J,5,0),"")</f>
        <v>4.1622343316298202E-2</v>
      </c>
      <c r="H497" s="5" cm="1">
        <f t="array" ref="H497">IF(NOT(ISBLANK(A497)),((_xlfn.XLOOKUP(1,(_bbt3[[#All],[ID]]=A497)*(_bbt3[[#All],[METRIC_NAME]]="YLD_YTM_ASK"),_bbt3[[#All],[METRIC_VALUE]])*0.5)+(_xlfn.XLOOKUP(1,(_bbt3[[#All],[ID]]=A497)*(_bbt3[[#All],[METRIC_NAME]]="YLD_YTM_BID"),_bbt3[[#All],[METRIC_VALUE]])*0.5))/100,"")</f>
        <v>4.1622345450000008E-2</v>
      </c>
      <c r="I497">
        <f>IF(ISNA(VLOOKUP(A497,QW_CloseDL!A:E,5,0)),0,VLOOKUP(A497,QW_CloseDL!A:E,5,0))</f>
        <v>4.1622343316298202E-2</v>
      </c>
      <c r="J497" s="8">
        <f t="shared" si="35"/>
        <v>0</v>
      </c>
      <c r="P497">
        <v>0</v>
      </c>
      <c r="Q497" t="e">
        <f t="shared" si="36"/>
        <v>#N/A</v>
      </c>
      <c r="R497" t="e">
        <f t="shared" si="37"/>
        <v>#N/A</v>
      </c>
      <c r="S497" s="9" t="e">
        <f t="shared" si="38"/>
        <v>#N/A</v>
      </c>
      <c r="T497" s="3" t="e">
        <f t="shared" si="39"/>
        <v>#N/A</v>
      </c>
    </row>
    <row r="498" spans="1:20" x14ac:dyDescent="0.35">
      <c r="A498" t="str">
        <v>91282CNP2</v>
      </c>
      <c r="B498" t="str">
        <f>IF(NOT(ISBLANK(A498)),VLOOKUP(A498,'BBT3'!A:F,2,0),"")</f>
        <v>Bond</v>
      </c>
      <c r="C498" t="str">
        <f>IF(NOT(ISBLANK(A498)),VLOOKUP(A498,'BBT3'!A:F,3,0),"")</f>
        <v>US91282CNP22</v>
      </c>
      <c r="D498" s="6">
        <f>IF(NOT(ISBLANK(A498)),VLOOKUP(A498,'BBT3'!A:F,4,1),"")</f>
        <v>3.875</v>
      </c>
      <c r="E498">
        <f>IF(NOT(ISBLANK(A498)),VLOOKUP(A498,'BBT3'!A:F,5,0),"")</f>
        <v>46599</v>
      </c>
      <c r="F498" t="str">
        <f>IF(NOT(ISBLANK(A498)),VLOOKUP(A498,'BBT3'!A:F,6,0),"")</f>
        <v>N</v>
      </c>
      <c r="G498">
        <f>IF(NOT(ISBLANK(A498)),VLOOKUP(A498,QW_Close!A:J,5,0),"")</f>
        <v>3.9604680328692403E-2</v>
      </c>
      <c r="H498" s="5" cm="1">
        <f t="array" ref="H498">IF(NOT(ISBLANK(A498)),((_xlfn.XLOOKUP(1,(_bbt3[[#All],[ID]]=A498)*(_bbt3[[#All],[METRIC_NAME]]="YLD_YTM_ASK"),_bbt3[[#All],[METRIC_VALUE]])*0.5)+(_xlfn.XLOOKUP(1,(_bbt3[[#All],[ID]]=A498)*(_bbt3[[#All],[METRIC_NAME]]="YLD_YTM_BID"),_bbt3[[#All],[METRIC_VALUE]])*0.5))/100,"")</f>
        <v>3.96046865E-2</v>
      </c>
      <c r="I498">
        <f>IF(ISNA(VLOOKUP(A498,QW_CloseDL!A:E,5,0)),0,VLOOKUP(A498,QW_CloseDL!A:E,5,0))</f>
        <v>3.9604680328692403E-2</v>
      </c>
      <c r="J498" s="8">
        <f t="shared" si="35"/>
        <v>0</v>
      </c>
      <c r="P498">
        <v>0</v>
      </c>
      <c r="Q498" t="e">
        <f t="shared" si="36"/>
        <v>#N/A</v>
      </c>
      <c r="R498" t="e">
        <f t="shared" si="37"/>
        <v>#N/A</v>
      </c>
      <c r="S498" s="9" t="e">
        <f t="shared" si="38"/>
        <v>#N/A</v>
      </c>
      <c r="T498" s="3" t="e">
        <f t="shared" si="39"/>
        <v>#N/A</v>
      </c>
    </row>
    <row r="499" spans="1:20" x14ac:dyDescent="0.35">
      <c r="A499" t="str">
        <v>91282CNR8</v>
      </c>
      <c r="B499" t="str">
        <f>IF(NOT(ISBLANK(A499)),VLOOKUP(A499,'BBT3'!A:F,2,0),"")</f>
        <v>Bond</v>
      </c>
      <c r="C499" t="str">
        <f>IF(NOT(ISBLANK(A499)),VLOOKUP(A499,'BBT3'!A:F,3,0),"")</f>
        <v>US91282CNR87</v>
      </c>
      <c r="D499" s="6">
        <f>IF(NOT(ISBLANK(A499)),VLOOKUP(A499,'BBT3'!A:F,4,1),"")</f>
        <v>4</v>
      </c>
      <c r="E499">
        <f>IF(NOT(ISBLANK(A499)),VLOOKUP(A499,'BBT3'!A:F,5,0),"")</f>
        <v>48426</v>
      </c>
      <c r="F499" t="str">
        <f>IF(NOT(ISBLANK(A499)),VLOOKUP(A499,'BBT3'!A:F,6,0),"")</f>
        <v>N</v>
      </c>
      <c r="G499">
        <f>IF(NOT(ISBLANK(A499)),VLOOKUP(A499,QW_Close!A:J,5,0),"")</f>
        <v>4.2782188605755E-2</v>
      </c>
      <c r="H499" s="5" cm="1">
        <f t="array" ref="H499">IF(NOT(ISBLANK(A499)),((_xlfn.XLOOKUP(1,(_bbt3[[#All],[ID]]=A499)*(_bbt3[[#All],[METRIC_NAME]]="YLD_YTM_ASK"),_bbt3[[#All],[METRIC_VALUE]])*0.5)+(_xlfn.XLOOKUP(1,(_bbt3[[#All],[ID]]=A499)*(_bbt3[[#All],[METRIC_NAME]]="YLD_YTM_BID"),_bbt3[[#All],[METRIC_VALUE]])*0.5))/100,"")</f>
        <v>4.2782190100000006E-2</v>
      </c>
      <c r="I499">
        <f>IF(ISNA(VLOOKUP(A499,QW_CloseDL!A:E,5,0)),0,VLOOKUP(A499,QW_CloseDL!A:E,5,0))</f>
        <v>4.2782188605755E-2</v>
      </c>
      <c r="J499" s="8">
        <f t="shared" si="35"/>
        <v>0</v>
      </c>
      <c r="P499">
        <v>0</v>
      </c>
      <c r="Q499" t="e">
        <f t="shared" si="36"/>
        <v>#N/A</v>
      </c>
      <c r="R499" t="e">
        <f t="shared" si="37"/>
        <v>#N/A</v>
      </c>
      <c r="S499" s="9" t="e">
        <f t="shared" si="38"/>
        <v>#N/A</v>
      </c>
      <c r="T499" s="3" t="e">
        <f t="shared" si="39"/>
        <v>#N/A</v>
      </c>
    </row>
    <row r="500" spans="1:20" x14ac:dyDescent="0.35">
      <c r="A500" t="str">
        <v>91282CNS6</v>
      </c>
      <c r="B500" t="str">
        <f>IF(NOT(ISBLANK(A500)),VLOOKUP(A500,'BBT3'!A:F,2,0),"")</f>
        <v>Bond</v>
      </c>
      <c r="C500" t="str">
        <f>IF(NOT(ISBLANK(A500)),VLOOKUP(A500,'BBT3'!A:F,3,0),"")</f>
        <v>US91282CNS60</v>
      </c>
      <c r="D500" s="6">
        <f>IF(NOT(ISBLANK(A500)),VLOOKUP(A500,'BBT3'!A:F,4,1),"")</f>
        <v>1.875</v>
      </c>
      <c r="E500">
        <f>IF(NOT(ISBLANK(A500)),VLOOKUP(A500,'BBT3'!A:F,5,0),"")</f>
        <v>49505</v>
      </c>
      <c r="F500" t="str">
        <f>IF(NOT(ISBLANK(A500)),VLOOKUP(A500,'BBT3'!A:F,6,0),"")</f>
        <v>Y</v>
      </c>
      <c r="G500">
        <f>IF(NOT(ISBLANK(A500)),VLOOKUP(A500,QW_Close!A:J,5,0),"")</f>
        <v>2.0163528899001699E-2</v>
      </c>
      <c r="H500" s="5" cm="1">
        <f t="array" ref="H500">IF(NOT(ISBLANK(A500)),((_xlfn.XLOOKUP(1,(_bbt3[[#All],[ID]]=A500)*(_bbt3[[#All],[METRIC_NAME]]="YLD_YTM_ASK"),_bbt3[[#All],[METRIC_VALUE]])*0.5)+(_xlfn.XLOOKUP(1,(_bbt3[[#All],[ID]]=A500)*(_bbt3[[#All],[METRIC_NAME]]="YLD_YTM_BID"),_bbt3[[#All],[METRIC_VALUE]])*0.5))/100,"")</f>
        <v>2.0163532650000003E-2</v>
      </c>
      <c r="I500">
        <f>IF(ISNA(VLOOKUP(A500,QW_CloseDL!A:E,5,0)),0,VLOOKUP(A500,QW_CloseDL!A:E,5,0))</f>
        <v>2.0163528899001699E-2</v>
      </c>
      <c r="J500" s="8">
        <f t="shared" si="35"/>
        <v>0</v>
      </c>
      <c r="P500">
        <v>0</v>
      </c>
      <c r="Q500" t="e">
        <f t="shared" si="36"/>
        <v>#N/A</v>
      </c>
      <c r="R500" t="e">
        <f t="shared" si="37"/>
        <v>#N/A</v>
      </c>
      <c r="S500" s="9" t="e">
        <f t="shared" si="38"/>
        <v>#N/A</v>
      </c>
      <c r="T500" s="3" t="e">
        <f t="shared" si="39"/>
        <v>#N/A</v>
      </c>
    </row>
    <row r="501" spans="1:20" x14ac:dyDescent="0.35">
      <c r="A501" t="str">
        <v>91282CNT4</v>
      </c>
      <c r="B501" t="str">
        <f>IF(NOT(ISBLANK(A501)),VLOOKUP(A501,'BBT3'!A:F,2,0),"")</f>
        <v>Bond</v>
      </c>
      <c r="C501" t="str">
        <f>IF(NOT(ISBLANK(A501)),VLOOKUP(A501,'BBT3'!A:F,3,0),"")</f>
        <v>US91282CNT44</v>
      </c>
      <c r="D501" s="6">
        <f>IF(NOT(ISBLANK(A501)),VLOOKUP(A501,'BBT3'!A:F,4,1),"")</f>
        <v>4.25</v>
      </c>
      <c r="E501">
        <f>IF(NOT(ISBLANK(A501)),VLOOKUP(A501,'BBT3'!A:F,5,0),"")</f>
        <v>49536</v>
      </c>
      <c r="F501" t="str">
        <f>IF(NOT(ISBLANK(A501)),VLOOKUP(A501,'BBT3'!A:F,6,0),"")</f>
        <v>N</v>
      </c>
      <c r="G501">
        <f>IF(NOT(ISBLANK(A501)),VLOOKUP(A501,QW_Close!A:J,5,0),"")</f>
        <v>4.45084636634221E-2</v>
      </c>
      <c r="H501" s="5" cm="1">
        <f t="array" ref="H501">IF(NOT(ISBLANK(A501)),((_xlfn.XLOOKUP(1,(_bbt3[[#All],[ID]]=A501)*(_bbt3[[#All],[METRIC_NAME]]="YLD_YTM_ASK"),_bbt3[[#All],[METRIC_VALUE]])*0.5)+(_xlfn.XLOOKUP(1,(_bbt3[[#All],[ID]]=A501)*(_bbt3[[#All],[METRIC_NAME]]="YLD_YTM_BID"),_bbt3[[#All],[METRIC_VALUE]])*0.5))/100,"")</f>
        <v>4.4508464150000003E-2</v>
      </c>
      <c r="I501">
        <f>IF(ISNA(VLOOKUP(A501,QW_CloseDL!A:E,5,0)),0,VLOOKUP(A501,QW_CloseDL!A:E,5,0))</f>
        <v>4.45084636634221E-2</v>
      </c>
      <c r="J501" s="8">
        <f t="shared" si="35"/>
        <v>0</v>
      </c>
      <c r="P501">
        <v>0</v>
      </c>
      <c r="Q501" t="e">
        <f t="shared" si="36"/>
        <v>#N/A</v>
      </c>
      <c r="R501" t="e">
        <f t="shared" si="37"/>
        <v>#N/A</v>
      </c>
      <c r="S501" s="9" t="e">
        <f t="shared" si="38"/>
        <v>#N/A</v>
      </c>
      <c r="T501" s="3" t="e">
        <f t="shared" si="39"/>
        <v>#N/A</v>
      </c>
    </row>
    <row r="502" spans="1:20" x14ac:dyDescent="0.35">
      <c r="A502" t="str">
        <v>91282CNU1</v>
      </c>
      <c r="B502" t="str">
        <f>IF(NOT(ISBLANK(A502)),VLOOKUP(A502,'BBT3'!A:F,2,0),"")</f>
        <v>Bond</v>
      </c>
      <c r="C502" t="str">
        <f>IF(NOT(ISBLANK(A502)),VLOOKUP(A502,'BBT3'!A:F,3,0),"")</f>
        <v>US91282CNU17</v>
      </c>
      <c r="D502" s="6">
        <f>IF(NOT(ISBLANK(A502)),VLOOKUP(A502,'BBT3'!A:F,4,1),"")</f>
        <v>3.625</v>
      </c>
      <c r="E502">
        <f>IF(NOT(ISBLANK(A502)),VLOOKUP(A502,'BBT3'!A:F,5,0),"")</f>
        <v>46980</v>
      </c>
      <c r="F502" t="str">
        <f>IF(NOT(ISBLANK(A502)),VLOOKUP(A502,'BBT3'!A:F,6,0),"")</f>
        <v>N</v>
      </c>
      <c r="G502">
        <f>IF(NOT(ISBLANK(A502)),VLOOKUP(A502,QW_Close!A:J,5,0),"")</f>
        <v>4.0678383353701802E-2</v>
      </c>
      <c r="H502" s="5" cm="1">
        <f t="array" ref="H502">IF(NOT(ISBLANK(A502)),((_xlfn.XLOOKUP(1,(_bbt3[[#All],[ID]]=A502)*(_bbt3[[#All],[METRIC_NAME]]="YLD_YTM_ASK"),_bbt3[[#All],[METRIC_VALUE]])*0.5)+(_xlfn.XLOOKUP(1,(_bbt3[[#All],[ID]]=A502)*(_bbt3[[#All],[METRIC_NAME]]="YLD_YTM_BID"),_bbt3[[#All],[METRIC_VALUE]])*0.5))/100,"")</f>
        <v>4.067838755E-2</v>
      </c>
      <c r="I502">
        <f>IF(ISNA(VLOOKUP(A502,QW_CloseDL!A:E,5,0)),0,VLOOKUP(A502,QW_CloseDL!A:E,5,0))</f>
        <v>4.0678383353701802E-2</v>
      </c>
      <c r="J502" s="8">
        <f t="shared" si="35"/>
        <v>0</v>
      </c>
      <c r="P502">
        <v>0</v>
      </c>
      <c r="Q502" t="e">
        <f t="shared" si="36"/>
        <v>#N/A</v>
      </c>
      <c r="R502" t="e">
        <f t="shared" si="37"/>
        <v>#N/A</v>
      </c>
      <c r="S502" s="9" t="e">
        <f t="shared" si="38"/>
        <v>#N/A</v>
      </c>
      <c r="T502" s="3" t="e">
        <f t="shared" si="39"/>
        <v>#N/A</v>
      </c>
    </row>
    <row r="503" spans="1:20" x14ac:dyDescent="0.35">
      <c r="A503" t="str">
        <v>91282CNV9</v>
      </c>
      <c r="B503" t="str">
        <f>IF(NOT(ISBLANK(A503)),VLOOKUP(A503,'BBT3'!A:F,2,0),"")</f>
        <v>Bond</v>
      </c>
      <c r="C503" t="str">
        <f>IF(NOT(ISBLANK(A503)),VLOOKUP(A503,'BBT3'!A:F,3,0),"")</f>
        <v>US91282CNV99</v>
      </c>
      <c r="D503" s="6">
        <f>IF(NOT(ISBLANK(A503)),VLOOKUP(A503,'BBT3'!A:F,4,1),"")</f>
        <v>3.625</v>
      </c>
      <c r="E503">
        <f>IF(NOT(ISBLANK(A503)),VLOOKUP(A503,'BBT3'!A:F,5,0),"")</f>
        <v>46630</v>
      </c>
      <c r="F503" t="str">
        <f>IF(NOT(ISBLANK(A503)),VLOOKUP(A503,'BBT3'!A:F,6,0),"")</f>
        <v>N</v>
      </c>
      <c r="G503">
        <f>IF(NOT(ISBLANK(A503)),VLOOKUP(A503,QW_Close!A:J,5,0),"")</f>
        <v>3.97595673152552E-2</v>
      </c>
      <c r="H503" s="5" cm="1">
        <f t="array" ref="H503">IF(NOT(ISBLANK(A503)),((_xlfn.XLOOKUP(1,(_bbt3[[#All],[ID]]=A503)*(_bbt3[[#All],[METRIC_NAME]]="YLD_YTM_ASK"),_bbt3[[#All],[METRIC_VALUE]])*0.5)+(_xlfn.XLOOKUP(1,(_bbt3[[#All],[ID]]=A503)*(_bbt3[[#All],[METRIC_NAME]]="YLD_YTM_BID"),_bbt3[[#All],[METRIC_VALUE]])*0.5))/100,"")</f>
        <v>3.9759569500000001E-2</v>
      </c>
      <c r="I503">
        <f>IF(ISNA(VLOOKUP(A503,QW_CloseDL!A:E,5,0)),0,VLOOKUP(A503,QW_CloseDL!A:E,5,0))</f>
        <v>3.97595673152552E-2</v>
      </c>
      <c r="J503" s="8">
        <f t="shared" si="35"/>
        <v>0</v>
      </c>
      <c r="P503">
        <v>0</v>
      </c>
      <c r="Q503" t="e">
        <f t="shared" si="36"/>
        <v>#N/A</v>
      </c>
      <c r="R503" t="e">
        <f t="shared" si="37"/>
        <v>#N/A</v>
      </c>
      <c r="S503" s="9" t="e">
        <f t="shared" si="38"/>
        <v>#N/A</v>
      </c>
      <c r="T503" s="3" t="e">
        <f t="shared" si="39"/>
        <v>#N/A</v>
      </c>
    </row>
    <row r="504" spans="1:20" x14ac:dyDescent="0.35">
      <c r="A504" t="str">
        <v>91282CNW7</v>
      </c>
      <c r="B504" t="str">
        <f>IF(NOT(ISBLANK(A504)),VLOOKUP(A504,'BBT3'!A:F,2,0),"")</f>
        <v>Bond</v>
      </c>
      <c r="C504" t="str">
        <f>IF(NOT(ISBLANK(A504)),VLOOKUP(A504,'BBT3'!A:F,3,0),"")</f>
        <v>US91282CNW72</v>
      </c>
      <c r="D504" s="6">
        <f>IF(NOT(ISBLANK(A504)),VLOOKUP(A504,'BBT3'!A:F,4,1),"")</f>
        <v>3.875</v>
      </c>
      <c r="E504">
        <f>IF(NOT(ISBLANK(A504)),VLOOKUP(A504,'BBT3'!A:F,5,0),"")</f>
        <v>48457</v>
      </c>
      <c r="F504" t="str">
        <f>IF(NOT(ISBLANK(A504)),VLOOKUP(A504,'BBT3'!A:F,6,0),"")</f>
        <v>N</v>
      </c>
      <c r="G504">
        <f>IF(NOT(ISBLANK(A504)),VLOOKUP(A504,QW_Close!A:J,5,0),"")</f>
        <v>4.2832336329852699E-2</v>
      </c>
      <c r="H504" s="5" cm="1">
        <f t="array" ref="H504">IF(NOT(ISBLANK(A504)),((_xlfn.XLOOKUP(1,(_bbt3[[#All],[ID]]=A504)*(_bbt3[[#All],[METRIC_NAME]]="YLD_YTM_ASK"),_bbt3[[#All],[METRIC_VALUE]])*0.5)+(_xlfn.XLOOKUP(1,(_bbt3[[#All],[ID]]=A504)*(_bbt3[[#All],[METRIC_NAME]]="YLD_YTM_BID"),_bbt3[[#All],[METRIC_VALUE]])*0.5))/100,"")</f>
        <v>4.2832338999999997E-2</v>
      </c>
      <c r="I504">
        <f>IF(ISNA(VLOOKUP(A504,QW_CloseDL!A:E,5,0)),0,VLOOKUP(A504,QW_CloseDL!A:E,5,0))</f>
        <v>4.2832336329852699E-2</v>
      </c>
      <c r="J504" s="8">
        <f t="shared" si="35"/>
        <v>0</v>
      </c>
      <c r="P504">
        <v>0</v>
      </c>
      <c r="Q504" t="e">
        <f t="shared" si="36"/>
        <v>#N/A</v>
      </c>
      <c r="R504" t="e">
        <f t="shared" si="37"/>
        <v>#N/A</v>
      </c>
      <c r="S504" s="9" t="e">
        <f t="shared" si="38"/>
        <v>#N/A</v>
      </c>
      <c r="T504" s="3" t="e">
        <f t="shared" si="39"/>
        <v>#N/A</v>
      </c>
    </row>
    <row r="505" spans="1:20" x14ac:dyDescent="0.35">
      <c r="A505" t="str">
        <v>91282CNX5</v>
      </c>
      <c r="B505" t="str">
        <f>IF(NOT(ISBLANK(A505)),VLOOKUP(A505,'BBT3'!A:F,2,0),"")</f>
        <v>Bond</v>
      </c>
      <c r="C505" t="str">
        <f>IF(NOT(ISBLANK(A505)),VLOOKUP(A505,'BBT3'!A:F,3,0),"")</f>
        <v>US91282CNX55</v>
      </c>
      <c r="D505" s="6">
        <f>IF(NOT(ISBLANK(A505)),VLOOKUP(A505,'BBT3'!A:F,4,1),"")</f>
        <v>3.625</v>
      </c>
      <c r="E505">
        <f>IF(NOT(ISBLANK(A505)),VLOOKUP(A505,'BBT3'!A:F,5,0),"")</f>
        <v>47726</v>
      </c>
      <c r="F505" t="str">
        <f>IF(NOT(ISBLANK(A505)),VLOOKUP(A505,'BBT3'!A:F,6,0),"")</f>
        <v>N</v>
      </c>
      <c r="G505">
        <f>IF(NOT(ISBLANK(A505)),VLOOKUP(A505,QW_Close!A:J,5,0),"")</f>
        <v>4.17113590111617E-2</v>
      </c>
      <c r="H505" s="5" cm="1">
        <f t="array" ref="H505">IF(NOT(ISBLANK(A505)),((_xlfn.XLOOKUP(1,(_bbt3[[#All],[ID]]=A505)*(_bbt3[[#All],[METRIC_NAME]]="YLD_YTM_ASK"),_bbt3[[#All],[METRIC_VALUE]])*0.5)+(_xlfn.XLOOKUP(1,(_bbt3[[#All],[ID]]=A505)*(_bbt3[[#All],[METRIC_NAME]]="YLD_YTM_BID"),_bbt3[[#All],[METRIC_VALUE]])*0.5))/100,"")</f>
        <v>4.1711361500000009E-2</v>
      </c>
      <c r="I505">
        <f>IF(ISNA(VLOOKUP(A505,QW_CloseDL!A:E,5,0)),0,VLOOKUP(A505,QW_CloseDL!A:E,5,0))</f>
        <v>4.17113590111617E-2</v>
      </c>
      <c r="J505" s="8">
        <f t="shared" si="35"/>
        <v>0</v>
      </c>
      <c r="P505">
        <v>0</v>
      </c>
      <c r="Q505" t="e">
        <f t="shared" si="36"/>
        <v>#N/A</v>
      </c>
      <c r="R505" t="e">
        <f t="shared" si="37"/>
        <v>#N/A</v>
      </c>
      <c r="S505" s="9" t="e">
        <f t="shared" si="38"/>
        <v>#N/A</v>
      </c>
      <c r="T505" s="3" t="e">
        <f t="shared" si="39"/>
        <v>#N/A</v>
      </c>
    </row>
    <row r="506" spans="1:20" x14ac:dyDescent="0.35">
      <c r="A506" t="str">
        <v>91282CNY3</v>
      </c>
      <c r="B506" t="str">
        <f>IF(NOT(ISBLANK(A506)),VLOOKUP(A506,'BBT3'!A:F,2,0),"")</f>
        <v>Bond</v>
      </c>
      <c r="C506" t="str">
        <f>IF(NOT(ISBLANK(A506)),VLOOKUP(A506,'BBT3'!A:F,3,0),"")</f>
        <v>US91282CNY39</v>
      </c>
      <c r="D506" s="6">
        <f>IF(NOT(ISBLANK(A506)),VLOOKUP(A506,'BBT3'!A:F,4,1),"")</f>
        <v>3.375</v>
      </c>
      <c r="E506">
        <f>IF(NOT(ISBLANK(A506)),VLOOKUP(A506,'BBT3'!A:F,5,0),"")</f>
        <v>47011</v>
      </c>
      <c r="F506" t="str">
        <f>IF(NOT(ISBLANK(A506)),VLOOKUP(A506,'BBT3'!A:F,6,0),"")</f>
        <v>N</v>
      </c>
      <c r="G506">
        <f>IF(NOT(ISBLANK(A506)),VLOOKUP(A506,QW_Close!A:J,5,0),"")</f>
        <v>4.07857857798333E-2</v>
      </c>
      <c r="H506" s="5" cm="1">
        <f t="array" ref="H506">IF(NOT(ISBLANK(A506)),((_xlfn.XLOOKUP(1,(_bbt3[[#All],[ID]]=A506)*(_bbt3[[#All],[METRIC_NAME]]="YLD_YTM_ASK"),_bbt3[[#All],[METRIC_VALUE]])*0.5)+(_xlfn.XLOOKUP(1,(_bbt3[[#All],[ID]]=A506)*(_bbt3[[#All],[METRIC_NAME]]="YLD_YTM_BID"),_bbt3[[#All],[METRIC_VALUE]])*0.5))/100,"")</f>
        <v>4.0785789850000004E-2</v>
      </c>
      <c r="I506">
        <f>IF(ISNA(VLOOKUP(A506,QW_CloseDL!A:E,5,0)),0,VLOOKUP(A506,QW_CloseDL!A:E,5,0))</f>
        <v>4.07857857798333E-2</v>
      </c>
      <c r="J506" s="8">
        <f t="shared" si="35"/>
        <v>0</v>
      </c>
      <c r="P506">
        <v>0</v>
      </c>
      <c r="Q506" t="e">
        <f t="shared" si="36"/>
        <v>#N/A</v>
      </c>
      <c r="R506" t="e">
        <f t="shared" si="37"/>
        <v>#N/A</v>
      </c>
      <c r="S506" s="9" t="e">
        <f t="shared" si="38"/>
        <v>#N/A</v>
      </c>
      <c r="T506" s="3" t="e">
        <f t="shared" si="39"/>
        <v>#N/A</v>
      </c>
    </row>
    <row r="507" spans="1:20" x14ac:dyDescent="0.35">
      <c r="A507" t="str">
        <v>91282CNZ0</v>
      </c>
      <c r="B507" t="str">
        <f>IF(NOT(ISBLANK(A507)),VLOOKUP(A507,'BBT3'!A:F,2,0),"")</f>
        <v>Bond</v>
      </c>
      <c r="C507" t="str">
        <f>IF(NOT(ISBLANK(A507)),VLOOKUP(A507,'BBT3'!A:F,3,0),"")</f>
        <v>US91282CNZ04</v>
      </c>
      <c r="D507" s="6">
        <f>IF(NOT(ISBLANK(A507)),VLOOKUP(A507,'BBT3'!A:F,4,1),"")</f>
        <v>3.875</v>
      </c>
      <c r="E507">
        <f>IF(NOT(ISBLANK(A507)),VLOOKUP(A507,'BBT3'!A:F,5,0),"")</f>
        <v>48487</v>
      </c>
      <c r="F507" t="str">
        <f>IF(NOT(ISBLANK(A507)),VLOOKUP(A507,'BBT3'!A:F,6,0),"")</f>
        <v>N</v>
      </c>
      <c r="G507">
        <f>IF(NOT(ISBLANK(A507)),VLOOKUP(A507,QW_Close!A:J,5,0),"")</f>
        <v>4.2886459512609401E-2</v>
      </c>
      <c r="H507" s="5" cm="1">
        <f t="array" ref="H507">IF(NOT(ISBLANK(A507)),((_xlfn.XLOOKUP(1,(_bbt3[[#All],[ID]]=A507)*(_bbt3[[#All],[METRIC_NAME]]="YLD_YTM_ASK"),_bbt3[[#All],[METRIC_VALUE]])*0.5)+(_xlfn.XLOOKUP(1,(_bbt3[[#All],[ID]]=A507)*(_bbt3[[#All],[METRIC_NAME]]="YLD_YTM_BID"),_bbt3[[#All],[METRIC_VALUE]])*0.5))/100,"")</f>
        <v>4.2886462200000003E-2</v>
      </c>
      <c r="I507">
        <f>IF(ISNA(VLOOKUP(A507,QW_CloseDL!A:E,5,0)),0,VLOOKUP(A507,QW_CloseDL!A:E,5,0))</f>
        <v>4.2886459512609401E-2</v>
      </c>
      <c r="J507" s="8">
        <f t="shared" si="35"/>
        <v>0</v>
      </c>
      <c r="P507">
        <v>0</v>
      </c>
      <c r="Q507" t="e">
        <f t="shared" si="36"/>
        <v>#N/A</v>
      </c>
      <c r="R507" t="e">
        <f t="shared" si="37"/>
        <v>#N/A</v>
      </c>
      <c r="S507" s="9" t="e">
        <f t="shared" si="38"/>
        <v>#N/A</v>
      </c>
      <c r="T507" s="3" t="e">
        <f t="shared" si="39"/>
        <v>#N/A</v>
      </c>
    </row>
    <row r="508" spans="1:20" x14ac:dyDescent="0.35">
      <c r="A508" t="str">
        <v>91282CPA3</v>
      </c>
      <c r="B508" t="str">
        <f>IF(NOT(ISBLANK(A508)),VLOOKUP(A508,'BBT3'!A:F,2,0),"")</f>
        <v>Bond</v>
      </c>
      <c r="C508" t="str">
        <f>IF(NOT(ISBLANK(A508)),VLOOKUP(A508,'BBT3'!A:F,3,0),"")</f>
        <v>US91282CPA35</v>
      </c>
      <c r="D508" s="6">
        <f>IF(NOT(ISBLANK(A508)),VLOOKUP(A508,'BBT3'!A:F,4,1),"")</f>
        <v>3.625</v>
      </c>
      <c r="E508">
        <f>IF(NOT(ISBLANK(A508)),VLOOKUP(A508,'BBT3'!A:F,5,0),"")</f>
        <v>47756</v>
      </c>
      <c r="F508" t="str">
        <f>IF(NOT(ISBLANK(A508)),VLOOKUP(A508,'BBT3'!A:F,6,0),"")</f>
        <v>N</v>
      </c>
      <c r="G508">
        <f>IF(NOT(ISBLANK(A508)),VLOOKUP(A508,QW_Close!A:J,5,0),"")</f>
        <v>4.1675356185568599E-2</v>
      </c>
      <c r="H508" s="5" cm="1">
        <f t="array" ref="H508">IF(NOT(ISBLANK(A508)),((_xlfn.XLOOKUP(1,(_bbt3[[#All],[ID]]=A508)*(_bbt3[[#All],[METRIC_NAME]]="YLD_YTM_ASK"),_bbt3[[#All],[METRIC_VALUE]])*0.5)+(_xlfn.XLOOKUP(1,(_bbt3[[#All],[ID]]=A508)*(_bbt3[[#All],[METRIC_NAME]]="YLD_YTM_BID"),_bbt3[[#All],[METRIC_VALUE]])*0.5))/100,"")</f>
        <v>4.16753583E-2</v>
      </c>
      <c r="I508">
        <f>IF(ISNA(VLOOKUP(A508,QW_CloseDL!A:E,5,0)),0,VLOOKUP(A508,QW_CloseDL!A:E,5,0))</f>
        <v>4.1675356185568599E-2</v>
      </c>
      <c r="J508" s="8">
        <f t="shared" si="35"/>
        <v>0</v>
      </c>
      <c r="P508">
        <v>0</v>
      </c>
      <c r="Q508" t="e">
        <f t="shared" si="36"/>
        <v>#N/A</v>
      </c>
      <c r="R508" t="e">
        <f t="shared" si="37"/>
        <v>#N/A</v>
      </c>
      <c r="S508" s="9" t="e">
        <f t="shared" si="38"/>
        <v>#N/A</v>
      </c>
      <c r="T508" s="3" t="e">
        <f t="shared" si="39"/>
        <v>#N/A</v>
      </c>
    </row>
    <row r="509" spans="1:20" x14ac:dyDescent="0.35">
      <c r="A509" t="str">
        <v>91282CPB1</v>
      </c>
      <c r="B509" t="str">
        <f>IF(NOT(ISBLANK(A509)),VLOOKUP(A509,'BBT3'!A:F,2,0),"")</f>
        <v>Bond</v>
      </c>
      <c r="C509" t="str">
        <f>IF(NOT(ISBLANK(A509)),VLOOKUP(A509,'BBT3'!A:F,3,0),"")</f>
        <v>US91282CPB18</v>
      </c>
      <c r="D509" s="6">
        <f>IF(NOT(ISBLANK(A509)),VLOOKUP(A509,'BBT3'!A:F,4,1),"")</f>
        <v>3.5</v>
      </c>
      <c r="E509">
        <f>IF(NOT(ISBLANK(A509)),VLOOKUP(A509,'BBT3'!A:F,5,0),"")</f>
        <v>46660</v>
      </c>
      <c r="F509" t="str">
        <f>IF(NOT(ISBLANK(A509)),VLOOKUP(A509,'BBT3'!A:F,6,0),"")</f>
        <v>N</v>
      </c>
      <c r="G509">
        <f>IF(NOT(ISBLANK(A509)),VLOOKUP(A509,QW_Close!A:J,5,0),"")</f>
        <v>3.9877528301816997E-2</v>
      </c>
      <c r="H509" s="5" cm="1">
        <f t="array" ref="H509">IF(NOT(ISBLANK(A509)),((_xlfn.XLOOKUP(1,(_bbt3[[#All],[ID]]=A509)*(_bbt3[[#All],[METRIC_NAME]]="YLD_YTM_ASK"),_bbt3[[#All],[METRIC_VALUE]])*0.5)+(_xlfn.XLOOKUP(1,(_bbt3[[#All],[ID]]=A509)*(_bbt3[[#All],[METRIC_NAME]]="YLD_YTM_BID"),_bbt3[[#All],[METRIC_VALUE]])*0.5))/100,"")</f>
        <v>3.9877531649999999E-2</v>
      </c>
      <c r="I509">
        <f>IF(ISNA(VLOOKUP(A509,QW_CloseDL!A:E,5,0)),0,VLOOKUP(A509,QW_CloseDL!A:E,5,0))</f>
        <v>3.9877528301816997E-2</v>
      </c>
      <c r="J509" s="8">
        <f t="shared" si="35"/>
        <v>0</v>
      </c>
      <c r="P509">
        <v>0</v>
      </c>
      <c r="Q509" t="e">
        <f t="shared" si="36"/>
        <v>#N/A</v>
      </c>
      <c r="R509" t="e">
        <f t="shared" si="37"/>
        <v>#N/A</v>
      </c>
      <c r="S509" s="9" t="e">
        <f t="shared" si="38"/>
        <v>#N/A</v>
      </c>
      <c r="T509" s="3" t="e">
        <f t="shared" si="39"/>
        <v>#N/A</v>
      </c>
    </row>
    <row r="510" spans="1:20" x14ac:dyDescent="0.35">
      <c r="A510" t="str">
        <v>91282CPC9</v>
      </c>
      <c r="B510" t="str">
        <f>IF(NOT(ISBLANK(A510)),VLOOKUP(A510,'BBT3'!A:F,2,0),"")</f>
        <v>Bond</v>
      </c>
      <c r="C510" t="str">
        <f>IF(NOT(ISBLANK(A510)),VLOOKUP(A510,'BBT3'!A:F,3,0),"")</f>
        <v>US91282CPC90</v>
      </c>
      <c r="D510" s="6">
        <f>IF(NOT(ISBLANK(A510)),VLOOKUP(A510,'BBT3'!A:F,4,1),"")</f>
        <v>3.5</v>
      </c>
      <c r="E510">
        <f>IF(NOT(ISBLANK(A510)),VLOOKUP(A510,'BBT3'!A:F,5,0),"")</f>
        <v>47041</v>
      </c>
      <c r="F510" t="str">
        <f>IF(NOT(ISBLANK(A510)),VLOOKUP(A510,'BBT3'!A:F,6,0),"")</f>
        <v>N</v>
      </c>
      <c r="G510">
        <f>IF(NOT(ISBLANK(A510)),VLOOKUP(A510,QW_Close!A:J,5,0),"")</f>
        <v>4.0837747949202398E-2</v>
      </c>
      <c r="H510" s="5" cm="1">
        <f t="array" ref="H510">IF(NOT(ISBLANK(A510)),((_xlfn.XLOOKUP(1,(_bbt3[[#All],[ID]]=A510)*(_bbt3[[#All],[METRIC_NAME]]="YLD_YTM_ASK"),_bbt3[[#All],[METRIC_VALUE]])*0.5)+(_xlfn.XLOOKUP(1,(_bbt3[[#All],[ID]]=A510)*(_bbt3[[#All],[METRIC_NAME]]="YLD_YTM_BID"),_bbt3[[#All],[METRIC_VALUE]])*0.5))/100,"")</f>
        <v>4.0837749649999998E-2</v>
      </c>
      <c r="I510">
        <f>IF(ISNA(VLOOKUP(A510,QW_CloseDL!A:E,5,0)),0,VLOOKUP(A510,QW_CloseDL!A:E,5,0))</f>
        <v>4.0837747949202398E-2</v>
      </c>
      <c r="J510" s="8">
        <f t="shared" si="35"/>
        <v>0</v>
      </c>
      <c r="P510">
        <v>0</v>
      </c>
      <c r="Q510" t="e">
        <f t="shared" si="36"/>
        <v>#N/A</v>
      </c>
      <c r="R510" t="e">
        <f t="shared" si="37"/>
        <v>#N/A</v>
      </c>
      <c r="S510" s="9" t="e">
        <f t="shared" si="38"/>
        <v>#N/A</v>
      </c>
      <c r="T510" s="3" t="e">
        <f t="shared" si="39"/>
        <v>#N/A</v>
      </c>
    </row>
    <row r="511" spans="1:20" x14ac:dyDescent="0.35">
      <c r="A511" t="str">
        <v>91282CPD7</v>
      </c>
      <c r="B511" t="str">
        <f>IF(NOT(ISBLANK(A511)),VLOOKUP(A511,'BBT3'!A:F,2,0),"")</f>
        <v>Bond</v>
      </c>
      <c r="C511" t="str">
        <f>IF(NOT(ISBLANK(A511)),VLOOKUP(A511,'BBT3'!A:F,3,0),"")</f>
        <v>US91282CPD73</v>
      </c>
      <c r="D511" s="6">
        <f>IF(NOT(ISBLANK(A511)),VLOOKUP(A511,'BBT3'!A:F,4,1),"")</f>
        <v>3.625</v>
      </c>
      <c r="E511">
        <f>IF(NOT(ISBLANK(A511)),VLOOKUP(A511,'BBT3'!A:F,5,0),"")</f>
        <v>47787</v>
      </c>
      <c r="F511" t="str">
        <f>IF(NOT(ISBLANK(A511)),VLOOKUP(A511,'BBT3'!A:F,6,0),"")</f>
        <v>N</v>
      </c>
      <c r="G511">
        <f>IF(NOT(ISBLANK(A511)),VLOOKUP(A511,QW_Close!A:J,5,0),"")</f>
        <v>4.1763507484709902E-2</v>
      </c>
      <c r="H511" s="5" cm="1">
        <f t="array" ref="H511">IF(NOT(ISBLANK(A511)),((_xlfn.XLOOKUP(1,(_bbt3[[#All],[ID]]=A511)*(_bbt3[[#All],[METRIC_NAME]]="YLD_YTM_ASK"),_bbt3[[#All],[METRIC_VALUE]])*0.5)+(_xlfn.XLOOKUP(1,(_bbt3[[#All],[ID]]=A511)*(_bbt3[[#All],[METRIC_NAME]]="YLD_YTM_BID"),_bbt3[[#All],[METRIC_VALUE]])*0.5))/100,"")</f>
        <v>4.1763509550000001E-2</v>
      </c>
      <c r="I511">
        <f>IF(ISNA(VLOOKUP(A511,QW_CloseDL!A:E,5,0)),0,VLOOKUP(A511,QW_CloseDL!A:E,5,0))</f>
        <v>4.1763507484709902E-2</v>
      </c>
      <c r="J511" s="8">
        <f t="shared" si="35"/>
        <v>0</v>
      </c>
      <c r="P511">
        <v>0</v>
      </c>
      <c r="Q511" t="e">
        <f t="shared" si="36"/>
        <v>#N/A</v>
      </c>
      <c r="R511" t="e">
        <f t="shared" si="37"/>
        <v>#N/A</v>
      </c>
      <c r="S511" s="9" t="e">
        <f t="shared" si="38"/>
        <v>#N/A</v>
      </c>
      <c r="T511" s="3" t="e">
        <f t="shared" si="39"/>
        <v>#N/A</v>
      </c>
    </row>
    <row r="512" spans="1:20" x14ac:dyDescent="0.35">
      <c r="A512" t="str">
        <v>91282CPE5</v>
      </c>
      <c r="B512" t="str">
        <f>IF(NOT(ISBLANK(A512)),VLOOKUP(A512,'BBT3'!A:F,2,0),"")</f>
        <v>Bond</v>
      </c>
      <c r="C512" t="str">
        <f>IF(NOT(ISBLANK(A512)),VLOOKUP(A512,'BBT3'!A:F,3,0),"")</f>
        <v>US91282CPE56</v>
      </c>
      <c r="D512" s="6">
        <f>IF(NOT(ISBLANK(A512)),VLOOKUP(A512,'BBT3'!A:F,4,1),"")</f>
        <v>3.5</v>
      </c>
      <c r="E512">
        <f>IF(NOT(ISBLANK(A512)),VLOOKUP(A512,'BBT3'!A:F,5,0),"")</f>
        <v>46691</v>
      </c>
      <c r="F512" t="str">
        <f>IF(NOT(ISBLANK(A512)),VLOOKUP(A512,'BBT3'!A:F,6,0),"")</f>
        <v>N</v>
      </c>
      <c r="G512">
        <f>IF(NOT(ISBLANK(A512)),VLOOKUP(A512,QW_Close!A:J,5,0),"")</f>
        <v>4.0172569444589197E-2</v>
      </c>
      <c r="H512" s="5" cm="1">
        <f t="array" ref="H512">IF(NOT(ISBLANK(A512)),((_xlfn.XLOOKUP(1,(_bbt3[[#All],[ID]]=A512)*(_bbt3[[#All],[METRIC_NAME]]="YLD_YTM_ASK"),_bbt3[[#All],[METRIC_VALUE]])*0.5)+(_xlfn.XLOOKUP(1,(_bbt3[[#All],[ID]]=A512)*(_bbt3[[#All],[METRIC_NAME]]="YLD_YTM_BID"),_bbt3[[#All],[METRIC_VALUE]])*0.5))/100,"")</f>
        <v>4.01725712E-2</v>
      </c>
      <c r="I512">
        <f>IF(ISNA(VLOOKUP(A512,QW_CloseDL!A:E,5,0)),0,VLOOKUP(A512,QW_CloseDL!A:E,5,0))</f>
        <v>4.0172569444589197E-2</v>
      </c>
      <c r="J512" s="8">
        <f t="shared" si="35"/>
        <v>0</v>
      </c>
      <c r="P512">
        <v>0</v>
      </c>
      <c r="Q512" t="e">
        <f t="shared" si="36"/>
        <v>#N/A</v>
      </c>
      <c r="R512" t="e">
        <f t="shared" si="37"/>
        <v>#N/A</v>
      </c>
      <c r="S512" s="9" t="e">
        <f t="shared" si="38"/>
        <v>#N/A</v>
      </c>
      <c r="T512" s="3" t="e">
        <f t="shared" si="39"/>
        <v>#N/A</v>
      </c>
    </row>
    <row r="513" spans="1:20" x14ac:dyDescent="0.35">
      <c r="A513" t="str">
        <v>91282CPF2</v>
      </c>
      <c r="B513" t="str">
        <f>IF(NOT(ISBLANK(A513)),VLOOKUP(A513,'BBT3'!A:F,2,0),"")</f>
        <v>Bond</v>
      </c>
      <c r="C513" t="str">
        <f>IF(NOT(ISBLANK(A513)),VLOOKUP(A513,'BBT3'!A:F,3,0),"")</f>
        <v>US91282CPF22</v>
      </c>
      <c r="D513" s="6">
        <f>IF(NOT(ISBLANK(A513)),VLOOKUP(A513,'BBT3'!A:F,4,1),"")</f>
        <v>3.75</v>
      </c>
      <c r="E513">
        <f>IF(NOT(ISBLANK(A513)),VLOOKUP(A513,'BBT3'!A:F,5,0),"")</f>
        <v>48518</v>
      </c>
      <c r="F513" t="str">
        <f>IF(NOT(ISBLANK(A513)),VLOOKUP(A513,'BBT3'!A:F,6,0),"")</f>
        <v>N</v>
      </c>
      <c r="G513">
        <f>IF(NOT(ISBLANK(A513)),VLOOKUP(A513,QW_Close!A:J,5,0),"")</f>
        <v>4.2967531769879302E-2</v>
      </c>
      <c r="H513" s="5" cm="1">
        <f t="array" ref="H513">IF(NOT(ISBLANK(A513)),((_xlfn.XLOOKUP(1,(_bbt3[[#All],[ID]]=A513)*(_bbt3[[#All],[METRIC_NAME]]="YLD_YTM_ASK"),_bbt3[[#All],[METRIC_VALUE]])*0.5)+(_xlfn.XLOOKUP(1,(_bbt3[[#All],[ID]]=A513)*(_bbt3[[#All],[METRIC_NAME]]="YLD_YTM_BID"),_bbt3[[#All],[METRIC_VALUE]])*0.5))/100,"")</f>
        <v>4.2967533299999999E-2</v>
      </c>
      <c r="I513">
        <f>IF(ISNA(VLOOKUP(A513,QW_CloseDL!A:E,5,0)),0,VLOOKUP(A513,QW_CloseDL!A:E,5,0))</f>
        <v>4.2967531769879302E-2</v>
      </c>
      <c r="J513" s="8">
        <f t="shared" si="35"/>
        <v>0</v>
      </c>
      <c r="P513">
        <v>0</v>
      </c>
      <c r="Q513" t="e">
        <f t="shared" si="36"/>
        <v>#N/A</v>
      </c>
      <c r="R513" t="e">
        <f t="shared" si="37"/>
        <v>#N/A</v>
      </c>
      <c r="S513" s="9" t="e">
        <f t="shared" si="38"/>
        <v>#N/A</v>
      </c>
      <c r="T513" s="3" t="e">
        <f t="shared" si="39"/>
        <v>#N/A</v>
      </c>
    </row>
    <row r="514" spans="1:20" x14ac:dyDescent="0.35">
      <c r="A514" t="str">
        <v>91282CPH8</v>
      </c>
      <c r="B514" t="str">
        <f>IF(NOT(ISBLANK(A514)),VLOOKUP(A514,'BBT3'!A:F,2,0),"")</f>
        <v>Bond</v>
      </c>
      <c r="C514" t="str">
        <f>IF(NOT(ISBLANK(A514)),VLOOKUP(A514,'BBT3'!A:F,3,0),"")</f>
        <v>US91282CPH87</v>
      </c>
      <c r="D514" s="6">
        <f>IF(NOT(ISBLANK(A514)),VLOOKUP(A514,'BBT3'!A:F,4,1),"")</f>
        <v>1.125</v>
      </c>
      <c r="E514">
        <f>IF(NOT(ISBLANK(A514)),VLOOKUP(A514,'BBT3'!A:F,5,0),"")</f>
        <v>47771</v>
      </c>
      <c r="F514" t="str">
        <f>IF(NOT(ISBLANK(A514)),VLOOKUP(A514,'BBT3'!A:F,6,0),"")</f>
        <v>Y</v>
      </c>
      <c r="G514">
        <f>IF(NOT(ISBLANK(A514)),VLOOKUP(A514,QW_Close!A:J,5,0),"")</f>
        <v>1.5460900426806401E-2</v>
      </c>
      <c r="H514" s="5" cm="1">
        <f t="array" ref="H514">IF(NOT(ISBLANK(A514)),((_xlfn.XLOOKUP(1,(_bbt3[[#All],[ID]]=A514)*(_bbt3[[#All],[METRIC_NAME]]="YLD_YTM_ASK"),_bbt3[[#All],[METRIC_VALUE]])*0.5)+(_xlfn.XLOOKUP(1,(_bbt3[[#All],[ID]]=A514)*(_bbt3[[#All],[METRIC_NAME]]="YLD_YTM_BID"),_bbt3[[#All],[METRIC_VALUE]])*0.5))/100,"")</f>
        <v>1.5460905500000002E-2</v>
      </c>
      <c r="I514">
        <f>IF(ISNA(VLOOKUP(A514,QW_CloseDL!A:E,5,0)),0,VLOOKUP(A514,QW_CloseDL!A:E,5,0))</f>
        <v>1.5460900426806401E-2</v>
      </c>
      <c r="J514" s="8">
        <f t="shared" si="35"/>
        <v>0</v>
      </c>
      <c r="P514">
        <v>0</v>
      </c>
      <c r="Q514" t="e">
        <f t="shared" si="36"/>
        <v>#N/A</v>
      </c>
      <c r="R514" t="e">
        <f t="shared" si="37"/>
        <v>#N/A</v>
      </c>
      <c r="S514" s="9" t="e">
        <f t="shared" si="38"/>
        <v>#N/A</v>
      </c>
      <c r="T514" s="3" t="e">
        <f t="shared" si="39"/>
        <v>#N/A</v>
      </c>
    </row>
    <row r="515" spans="1:20" x14ac:dyDescent="0.35">
      <c r="A515" t="str">
        <v>91282CPJ4</v>
      </c>
      <c r="B515" t="str">
        <f>IF(NOT(ISBLANK(A515)),VLOOKUP(A515,'BBT3'!A:F,2,0),"")</f>
        <v>Bond</v>
      </c>
      <c r="C515" t="str">
        <f>IF(NOT(ISBLANK(A515)),VLOOKUP(A515,'BBT3'!A:F,3,0),"")</f>
        <v>US91282CPJ44</v>
      </c>
      <c r="D515" s="6">
        <f>IF(NOT(ISBLANK(A515)),VLOOKUP(A515,'BBT3'!A:F,4,1),"")</f>
        <v>4</v>
      </c>
      <c r="E515">
        <f>IF(NOT(ISBLANK(A515)),VLOOKUP(A515,'BBT3'!A:F,5,0),"")</f>
        <v>49628</v>
      </c>
      <c r="F515" t="str">
        <f>IF(NOT(ISBLANK(A515)),VLOOKUP(A515,'BBT3'!A:F,6,0),"")</f>
        <v>N</v>
      </c>
      <c r="G515">
        <f>IF(NOT(ISBLANK(A515)),VLOOKUP(A515,QW_Close!A:J,5,0),"")</f>
        <v>4.46310582670119E-2</v>
      </c>
      <c r="H515" s="5" cm="1">
        <f t="array" ref="H515">IF(NOT(ISBLANK(A515)),((_xlfn.XLOOKUP(1,(_bbt3[[#All],[ID]]=A515)*(_bbt3[[#All],[METRIC_NAME]]="YLD_YTM_ASK"),_bbt3[[#All],[METRIC_VALUE]])*0.5)+(_xlfn.XLOOKUP(1,(_bbt3[[#All],[ID]]=A515)*(_bbt3[[#All],[METRIC_NAME]]="YLD_YTM_BID"),_bbt3[[#All],[METRIC_VALUE]])*0.5))/100,"")</f>
        <v>4.4631058500000001E-2</v>
      </c>
      <c r="I515">
        <f>IF(ISNA(VLOOKUP(A515,QW_CloseDL!A:E,5,0)),0,VLOOKUP(A515,QW_CloseDL!A:E,5,0))</f>
        <v>4.46310582670119E-2</v>
      </c>
      <c r="J515" s="8">
        <f t="shared" ref="J515:J578" si="40">IF(ISNA(IF(NOT(ISBLANK(A515)),ABS(G515-I515),"")),0,(IF(NOT(ISBLANK(A515)),ABS(G515-I515)*10000,"")))</f>
        <v>0</v>
      </c>
      <c r="P515">
        <v>0</v>
      </c>
      <c r="Q515" t="e">
        <f t="shared" si="36"/>
        <v>#N/A</v>
      </c>
      <c r="R515" t="e">
        <f t="shared" si="37"/>
        <v>#N/A</v>
      </c>
      <c r="S515" s="9" t="e">
        <f t="shared" si="38"/>
        <v>#N/A</v>
      </c>
      <c r="T515" s="3" t="e">
        <f t="shared" si="39"/>
        <v>#N/A</v>
      </c>
    </row>
    <row r="516" spans="1:20" x14ac:dyDescent="0.35">
      <c r="A516" t="str">
        <v>91282CPK1</v>
      </c>
      <c r="B516" t="str">
        <f>IF(NOT(ISBLANK(A516)),VLOOKUP(A516,'BBT3'!A:F,2,0),"")</f>
        <v>Bond</v>
      </c>
      <c r="C516" t="str">
        <f>IF(NOT(ISBLANK(A516)),VLOOKUP(A516,'BBT3'!A:F,3,0),"")</f>
        <v>US91282CPK17</v>
      </c>
      <c r="D516" s="6">
        <f>IF(NOT(ISBLANK(A516)),VLOOKUP(A516,'BBT3'!A:F,4,1),"")</f>
        <v>3.5</v>
      </c>
      <c r="E516">
        <f>IF(NOT(ISBLANK(A516)),VLOOKUP(A516,'BBT3'!A:F,5,0),"")</f>
        <v>47072</v>
      </c>
      <c r="F516" t="str">
        <f>IF(NOT(ISBLANK(A516)),VLOOKUP(A516,'BBT3'!A:F,6,0),"")</f>
        <v>N</v>
      </c>
      <c r="G516">
        <f>IF(NOT(ISBLANK(A516)),VLOOKUP(A516,QW_Close!A:J,5,0),"")</f>
        <v>4.09131105857585E-2</v>
      </c>
      <c r="H516" s="5" cm="1">
        <f t="array" ref="H516">IF(NOT(ISBLANK(A516)),((_xlfn.XLOOKUP(1,(_bbt3[[#All],[ID]]=A516)*(_bbt3[[#All],[METRIC_NAME]]="YLD_YTM_ASK"),_bbt3[[#All],[METRIC_VALUE]])*0.5)+(_xlfn.XLOOKUP(1,(_bbt3[[#All],[ID]]=A516)*(_bbt3[[#All],[METRIC_NAME]]="YLD_YTM_BID"),_bbt3[[#All],[METRIC_VALUE]])*0.5))/100,"")</f>
        <v>4.0913114E-2</v>
      </c>
      <c r="I516">
        <f>IF(ISNA(VLOOKUP(A516,QW_CloseDL!A:E,5,0)),0,VLOOKUP(A516,QW_CloseDL!A:E,5,0))</f>
        <v>4.09131105857585E-2</v>
      </c>
      <c r="J516" s="8">
        <f t="shared" si="40"/>
        <v>0</v>
      </c>
      <c r="P516">
        <v>0</v>
      </c>
      <c r="Q516" t="e">
        <f t="shared" si="36"/>
        <v>#N/A</v>
      </c>
      <c r="R516" t="e">
        <f t="shared" si="37"/>
        <v>#N/A</v>
      </c>
      <c r="S516" s="9" t="e">
        <f t="shared" si="38"/>
        <v>#N/A</v>
      </c>
      <c r="T516" s="3" t="e">
        <f t="shared" si="39"/>
        <v>#N/A</v>
      </c>
    </row>
    <row r="517" spans="1:20" x14ac:dyDescent="0.35">
      <c r="A517" t="str">
        <v>91282CPL9</v>
      </c>
      <c r="B517" t="str">
        <f>IF(NOT(ISBLANK(A517)),VLOOKUP(A517,'BBT3'!A:F,2,0),"")</f>
        <v>Bond</v>
      </c>
      <c r="C517" t="str">
        <f>IF(NOT(ISBLANK(A517)),VLOOKUP(A517,'BBT3'!A:F,3,0),"")</f>
        <v>US91282CPL99</v>
      </c>
      <c r="D517" s="6">
        <f>IF(NOT(ISBLANK(A517)),VLOOKUP(A517,'BBT3'!A:F,4,1),"")</f>
        <v>3.375</v>
      </c>
      <c r="E517">
        <f>IF(NOT(ISBLANK(A517)),VLOOKUP(A517,'BBT3'!A:F,5,0),"")</f>
        <v>46721</v>
      </c>
      <c r="F517" t="str">
        <f>IF(NOT(ISBLANK(A517)),VLOOKUP(A517,'BBT3'!A:F,6,0),"")</f>
        <v>N</v>
      </c>
      <c r="G517">
        <f>IF(NOT(ISBLANK(A517)),VLOOKUP(A517,QW_Close!A:J,5,0),"")</f>
        <v>4.0184695287274003E-2</v>
      </c>
      <c r="H517" s="5" cm="1">
        <f t="array" ref="H517">IF(NOT(ISBLANK(A517)),((_xlfn.XLOOKUP(1,(_bbt3[[#All],[ID]]=A517)*(_bbt3[[#All],[METRIC_NAME]]="YLD_YTM_ASK"),_bbt3[[#All],[METRIC_VALUE]])*0.5)+(_xlfn.XLOOKUP(1,(_bbt3[[#All],[ID]]=A517)*(_bbt3[[#All],[METRIC_NAME]]="YLD_YTM_BID"),_bbt3[[#All],[METRIC_VALUE]])*0.5))/100,"")</f>
        <v>4.0184696999999998E-2</v>
      </c>
      <c r="I517">
        <f>IF(ISNA(VLOOKUP(A517,QW_CloseDL!A:E,5,0)),0,VLOOKUP(A517,QW_CloseDL!A:E,5,0))</f>
        <v>4.0184695287274003E-2</v>
      </c>
      <c r="J517" s="8">
        <f t="shared" si="40"/>
        <v>0</v>
      </c>
      <c r="P517">
        <v>0</v>
      </c>
      <c r="Q517" t="e">
        <f t="shared" si="36"/>
        <v>#N/A</v>
      </c>
      <c r="R517" t="e">
        <f t="shared" si="37"/>
        <v>#N/A</v>
      </c>
      <c r="S517" s="9" t="e">
        <f t="shared" si="38"/>
        <v>#N/A</v>
      </c>
      <c r="T517" s="3" t="e">
        <f t="shared" si="39"/>
        <v>#N/A</v>
      </c>
    </row>
    <row r="518" spans="1:20" x14ac:dyDescent="0.35">
      <c r="A518" t="str">
        <v>91282CPM7</v>
      </c>
      <c r="B518" t="str">
        <f>IF(NOT(ISBLANK(A518)),VLOOKUP(A518,'BBT3'!A:F,2,0),"")</f>
        <v>Bond</v>
      </c>
      <c r="C518" t="str">
        <f>IF(NOT(ISBLANK(A518)),VLOOKUP(A518,'BBT3'!A:F,3,0),"")</f>
        <v>US91282CPM72</v>
      </c>
      <c r="D518" s="6">
        <f>IF(NOT(ISBLANK(A518)),VLOOKUP(A518,'BBT3'!A:F,4,1),"")</f>
        <v>3.75</v>
      </c>
      <c r="E518">
        <f>IF(NOT(ISBLANK(A518)),VLOOKUP(A518,'BBT3'!A:F,5,0),"")</f>
        <v>48548</v>
      </c>
      <c r="F518" t="str">
        <f>IF(NOT(ISBLANK(A518)),VLOOKUP(A518,'BBT3'!A:F,6,0),"")</f>
        <v>N</v>
      </c>
      <c r="G518">
        <f>IF(NOT(ISBLANK(A518)),VLOOKUP(A518,QW_Close!A:J,5,0),"")</f>
        <v>4.3008691085097799E-2</v>
      </c>
      <c r="H518" s="5" cm="1">
        <f t="array" ref="H518">IF(NOT(ISBLANK(A518)),((_xlfn.XLOOKUP(1,(_bbt3[[#All],[ID]]=A518)*(_bbt3[[#All],[METRIC_NAME]]="YLD_YTM_ASK"),_bbt3[[#All],[METRIC_VALUE]])*0.5)+(_xlfn.XLOOKUP(1,(_bbt3[[#All],[ID]]=A518)*(_bbt3[[#All],[METRIC_NAME]]="YLD_YTM_BID"),_bbt3[[#All],[METRIC_VALUE]])*0.5))/100,"")</f>
        <v>4.3008692500000001E-2</v>
      </c>
      <c r="I518">
        <f>IF(ISNA(VLOOKUP(A518,QW_CloseDL!A:E,5,0)),0,VLOOKUP(A518,QW_CloseDL!A:E,5,0))</f>
        <v>4.3008691085097799E-2</v>
      </c>
      <c r="J518" s="8">
        <f t="shared" si="40"/>
        <v>0</v>
      </c>
      <c r="P518">
        <v>0</v>
      </c>
      <c r="Q518" t="e">
        <f t="shared" si="36"/>
        <v>#N/A</v>
      </c>
      <c r="R518" t="e">
        <f t="shared" si="37"/>
        <v>#N/A</v>
      </c>
      <c r="S518" s="9" t="e">
        <f t="shared" si="38"/>
        <v>#N/A</v>
      </c>
      <c r="T518" s="3" t="e">
        <f t="shared" si="39"/>
        <v>#N/A</v>
      </c>
    </row>
    <row r="519" spans="1:20" x14ac:dyDescent="0.35">
      <c r="A519" t="str">
        <v>91282CPN5</v>
      </c>
      <c r="B519" t="str">
        <f>IF(NOT(ISBLANK(A519)),VLOOKUP(A519,'BBT3'!A:F,2,0),"")</f>
        <v>Bond</v>
      </c>
      <c r="C519" t="str">
        <f>IF(NOT(ISBLANK(A519)),VLOOKUP(A519,'BBT3'!A:F,3,0),"")</f>
        <v>US91282CPN55</v>
      </c>
      <c r="D519" s="6">
        <f>IF(NOT(ISBLANK(A519)),VLOOKUP(A519,'BBT3'!A:F,4,1),"")</f>
        <v>3.5</v>
      </c>
      <c r="E519">
        <f>IF(NOT(ISBLANK(A519)),VLOOKUP(A519,'BBT3'!A:F,5,0),"")</f>
        <v>47817</v>
      </c>
      <c r="F519" t="str">
        <f>IF(NOT(ISBLANK(A519)),VLOOKUP(A519,'BBT3'!A:F,6,0),"")</f>
        <v>N</v>
      </c>
      <c r="G519">
        <f>IF(NOT(ISBLANK(A519)),VLOOKUP(A519,QW_Close!A:J,5,0),"")</f>
        <v>4.1774846541017902E-2</v>
      </c>
      <c r="H519" s="5" cm="1">
        <f t="array" ref="H519">IF(NOT(ISBLANK(A519)),((_xlfn.XLOOKUP(1,(_bbt3[[#All],[ID]]=A519)*(_bbt3[[#All],[METRIC_NAME]]="YLD_YTM_ASK"),_bbt3[[#All],[METRIC_VALUE]])*0.5)+(_xlfn.XLOOKUP(1,(_bbt3[[#All],[ID]]=A519)*(_bbt3[[#All],[METRIC_NAME]]="YLD_YTM_BID"),_bbt3[[#All],[METRIC_VALUE]])*0.5))/100,"")</f>
        <v>4.177484850000001E-2</v>
      </c>
      <c r="I519">
        <f>IF(ISNA(VLOOKUP(A519,QW_CloseDL!A:E,5,0)),0,VLOOKUP(A519,QW_CloseDL!A:E,5,0))</f>
        <v>4.1774846541017902E-2</v>
      </c>
      <c r="J519" s="8">
        <f t="shared" si="40"/>
        <v>0</v>
      </c>
      <c r="P519">
        <v>0</v>
      </c>
      <c r="Q519" t="e">
        <f t="shared" si="36"/>
        <v>#N/A</v>
      </c>
      <c r="R519" t="e">
        <f t="shared" si="37"/>
        <v>#N/A</v>
      </c>
      <c r="S519" s="9" t="e">
        <f t="shared" si="38"/>
        <v>#N/A</v>
      </c>
      <c r="T519" s="3" t="e">
        <f t="shared" si="39"/>
        <v>#N/A</v>
      </c>
    </row>
    <row r="520" spans="1:20" x14ac:dyDescent="0.35">
      <c r="A520" t="str">
        <v>91282CPP0</v>
      </c>
      <c r="B520" t="str">
        <f>IF(NOT(ISBLANK(A520)),VLOOKUP(A520,'BBT3'!A:F,2,0),"")</f>
        <v>Bond</v>
      </c>
      <c r="C520" t="str">
        <f>IF(NOT(ISBLANK(A520)),VLOOKUP(A520,'BBT3'!A:F,3,0),"")</f>
        <v>US91282CPP04</v>
      </c>
      <c r="D520" s="6">
        <f>IF(NOT(ISBLANK(A520)),VLOOKUP(A520,'BBT3'!A:F,4,1),"")</f>
        <v>3.5</v>
      </c>
      <c r="E520">
        <f>IF(NOT(ISBLANK(A520)),VLOOKUP(A520,'BBT3'!A:F,5,0),"")</f>
        <v>47102</v>
      </c>
      <c r="F520" t="str">
        <f>IF(NOT(ISBLANK(A520)),VLOOKUP(A520,'BBT3'!A:F,6,0),"")</f>
        <v>N</v>
      </c>
      <c r="G520">
        <f>IF(NOT(ISBLANK(A520)),VLOOKUP(A520,QW_Close!A:J,5,0),"")</f>
        <v>4.0876106643936198E-2</v>
      </c>
      <c r="H520" s="5" cm="1">
        <f t="array" ref="H520">IF(NOT(ISBLANK(A520)),((_xlfn.XLOOKUP(1,(_bbt3[[#All],[ID]]=A520)*(_bbt3[[#All],[METRIC_NAME]]="YLD_YTM_ASK"),_bbt3[[#All],[METRIC_VALUE]])*0.5)+(_xlfn.XLOOKUP(1,(_bbt3[[#All],[ID]]=A520)*(_bbt3[[#All],[METRIC_NAME]]="YLD_YTM_BID"),_bbt3[[#All],[METRIC_VALUE]])*0.5))/100,"")</f>
        <v>4.0876108250000008E-2</v>
      </c>
      <c r="I520">
        <f>IF(ISNA(VLOOKUP(A520,QW_CloseDL!A:E,5,0)),0,VLOOKUP(A520,QW_CloseDL!A:E,5,0))</f>
        <v>4.0876106643936198E-2</v>
      </c>
      <c r="J520" s="8">
        <f t="shared" si="40"/>
        <v>0</v>
      </c>
      <c r="P520">
        <v>0</v>
      </c>
      <c r="Q520" t="e">
        <f t="shared" si="36"/>
        <v>#N/A</v>
      </c>
      <c r="R520" t="e">
        <f t="shared" si="37"/>
        <v>#N/A</v>
      </c>
      <c r="S520" s="9" t="e">
        <f t="shared" si="38"/>
        <v>#N/A</v>
      </c>
      <c r="T520" s="3" t="e">
        <f t="shared" si="39"/>
        <v>#N/A</v>
      </c>
    </row>
    <row r="521" spans="1:20" x14ac:dyDescent="0.35">
      <c r="A521" t="str">
        <v>91282CPQ8</v>
      </c>
      <c r="B521" t="str">
        <f>IF(NOT(ISBLANK(A521)),VLOOKUP(A521,'BBT3'!A:F,2,0),"")</f>
        <v>Bond</v>
      </c>
      <c r="C521" t="str">
        <f>IF(NOT(ISBLANK(A521)),VLOOKUP(A521,'BBT3'!A:F,3,0),"")</f>
        <v>US91282CPQ86</v>
      </c>
      <c r="D521" s="6">
        <f>IF(NOT(ISBLANK(A521)),VLOOKUP(A521,'BBT3'!A:F,4,1),"")</f>
        <v>3.875</v>
      </c>
      <c r="E521">
        <f>IF(NOT(ISBLANK(A521)),VLOOKUP(A521,'BBT3'!A:F,5,0),"")</f>
        <v>48579</v>
      </c>
      <c r="F521" t="str">
        <f>IF(NOT(ISBLANK(A521)),VLOOKUP(A521,'BBT3'!A:F,6,0),"")</f>
        <v>N</v>
      </c>
      <c r="G521">
        <f>IF(NOT(ISBLANK(A521)),VLOOKUP(A521,QW_Close!A:J,5,0),"")</f>
        <v>4.3073021153831201E-2</v>
      </c>
      <c r="H521" s="5" cm="1">
        <f t="array" ref="H521">IF(NOT(ISBLANK(A521)),((_xlfn.XLOOKUP(1,(_bbt3[[#All],[ID]]=A521)*(_bbt3[[#All],[METRIC_NAME]]="YLD_YTM_ASK"),_bbt3[[#All],[METRIC_VALUE]])*0.5)+(_xlfn.XLOOKUP(1,(_bbt3[[#All],[ID]]=A521)*(_bbt3[[#All],[METRIC_NAME]]="YLD_YTM_BID"),_bbt3[[#All],[METRIC_VALUE]])*0.5))/100,"")</f>
        <v>4.3073023750000002E-2</v>
      </c>
      <c r="I521">
        <f>IF(ISNA(VLOOKUP(A521,QW_CloseDL!A:E,5,0)),0,VLOOKUP(A521,QW_CloseDL!A:E,5,0))</f>
        <v>4.3073021153831201E-2</v>
      </c>
      <c r="J521" s="8">
        <f t="shared" si="40"/>
        <v>0</v>
      </c>
      <c r="P521">
        <v>0</v>
      </c>
      <c r="Q521" t="e">
        <f t="shared" si="36"/>
        <v>#N/A</v>
      </c>
      <c r="R521" t="e">
        <f t="shared" si="37"/>
        <v>#N/A</v>
      </c>
      <c r="S521" s="9" t="e">
        <f t="shared" si="38"/>
        <v>#N/A</v>
      </c>
      <c r="T521" s="3" t="e">
        <f t="shared" si="39"/>
        <v>#N/A</v>
      </c>
    </row>
    <row r="522" spans="1:20" x14ac:dyDescent="0.35">
      <c r="A522" t="str">
        <v>91282CPR6</v>
      </c>
      <c r="B522" t="str">
        <f>IF(NOT(ISBLANK(A522)),VLOOKUP(A522,'BBT3'!A:F,2,0),"")</f>
        <v>Bond</v>
      </c>
      <c r="C522" t="str">
        <f>IF(NOT(ISBLANK(A522)),VLOOKUP(A522,'BBT3'!A:F,3,0),"")</f>
        <v>US91282CPR69</v>
      </c>
      <c r="D522" s="6">
        <f>IF(NOT(ISBLANK(A522)),VLOOKUP(A522,'BBT3'!A:F,4,1),"")</f>
        <v>3.625</v>
      </c>
      <c r="E522">
        <f>IF(NOT(ISBLANK(A522)),VLOOKUP(A522,'BBT3'!A:F,5,0),"")</f>
        <v>47848</v>
      </c>
      <c r="F522" t="str">
        <f>IF(NOT(ISBLANK(A522)),VLOOKUP(A522,'BBT3'!A:F,6,0),"")</f>
        <v>N</v>
      </c>
      <c r="G522">
        <f>IF(NOT(ISBLANK(A522)),VLOOKUP(A522,QW_Close!A:J,5,0),"")</f>
        <v>4.1800141355830399E-2</v>
      </c>
      <c r="H522" s="5" cm="1">
        <f t="array" ref="H522">IF(NOT(ISBLANK(A522)),((_xlfn.XLOOKUP(1,(_bbt3[[#All],[ID]]=A522)*(_bbt3[[#All],[METRIC_NAME]]="YLD_YTM_ASK"),_bbt3[[#All],[METRIC_VALUE]])*0.5)+(_xlfn.XLOOKUP(1,(_bbt3[[#All],[ID]]=A522)*(_bbt3[[#All],[METRIC_NAME]]="YLD_YTM_BID"),_bbt3[[#All],[METRIC_VALUE]])*0.5))/100,"")</f>
        <v>4.1800142249999998E-2</v>
      </c>
      <c r="I522">
        <f>IF(ISNA(VLOOKUP(A522,QW_CloseDL!A:E,5,0)),0,VLOOKUP(A522,QW_CloseDL!A:E,5,0))</f>
        <v>4.1800141355830399E-2</v>
      </c>
      <c r="J522" s="8">
        <f t="shared" si="40"/>
        <v>0</v>
      </c>
      <c r="P522">
        <v>0</v>
      </c>
      <c r="Q522" t="e">
        <f t="shared" si="36"/>
        <v>#N/A</v>
      </c>
      <c r="R522" t="e">
        <f t="shared" si="37"/>
        <v>#N/A</v>
      </c>
      <c r="S522" s="9" t="e">
        <f t="shared" si="38"/>
        <v>#N/A</v>
      </c>
      <c r="T522" s="3" t="e">
        <f t="shared" si="39"/>
        <v>#N/A</v>
      </c>
    </row>
    <row r="523" spans="1:20" x14ac:dyDescent="0.35">
      <c r="A523" t="str">
        <v>91282CPS4</v>
      </c>
      <c r="B523" t="str">
        <f>IF(NOT(ISBLANK(A523)),VLOOKUP(A523,'BBT3'!A:F,2,0),"")</f>
        <v>Bond</v>
      </c>
      <c r="C523" t="str">
        <f>IF(NOT(ISBLANK(A523)),VLOOKUP(A523,'BBT3'!A:F,3,0),"")</f>
        <v>US91282CPS43</v>
      </c>
      <c r="D523" s="6">
        <f>IF(NOT(ISBLANK(A523)),VLOOKUP(A523,'BBT3'!A:F,4,1),"")</f>
        <v>3.375</v>
      </c>
      <c r="E523">
        <f>IF(NOT(ISBLANK(A523)),VLOOKUP(A523,'BBT3'!A:F,5,0),"")</f>
        <v>46752</v>
      </c>
      <c r="F523" t="str">
        <f>IF(NOT(ISBLANK(A523)),VLOOKUP(A523,'BBT3'!A:F,6,0),"")</f>
        <v>N</v>
      </c>
      <c r="G523">
        <f>IF(NOT(ISBLANK(A523)),VLOOKUP(A523,QW_Close!A:J,5,0),"")</f>
        <v>4.0338833394961103E-2</v>
      </c>
      <c r="H523" s="5" cm="1">
        <f t="array" ref="H523">IF(NOT(ISBLANK(A523)),((_xlfn.XLOOKUP(1,(_bbt3[[#All],[ID]]=A523)*(_bbt3[[#All],[METRIC_NAME]]="YLD_YTM_ASK"),_bbt3[[#All],[METRIC_VALUE]])*0.5)+(_xlfn.XLOOKUP(1,(_bbt3[[#All],[ID]]=A523)*(_bbt3[[#All],[METRIC_NAME]]="YLD_YTM_BID"),_bbt3[[#All],[METRIC_VALUE]])*0.5))/100,"")</f>
        <v>4.0338834900000002E-2</v>
      </c>
      <c r="I523">
        <f>IF(ISNA(VLOOKUP(A523,QW_CloseDL!A:E,5,0)),0,VLOOKUP(A523,QW_CloseDL!A:E,5,0))</f>
        <v>4.0338833394961103E-2</v>
      </c>
      <c r="J523" s="8">
        <f t="shared" si="40"/>
        <v>0</v>
      </c>
      <c r="P523">
        <v>0</v>
      </c>
      <c r="Q523" t="e">
        <f t="shared" si="36"/>
        <v>#N/A</v>
      </c>
      <c r="R523" t="e">
        <f t="shared" si="37"/>
        <v>#N/A</v>
      </c>
      <c r="S523" s="9" t="e">
        <f t="shared" si="38"/>
        <v>#N/A</v>
      </c>
      <c r="T523" s="3" t="e">
        <f t="shared" si="39"/>
        <v>#N/A</v>
      </c>
    </row>
    <row r="524" spans="1:20" x14ac:dyDescent="0.35">
      <c r="A524" t="str">
        <v>91282CPT2</v>
      </c>
      <c r="B524" t="str">
        <f>IF(NOT(ISBLANK(A524)),VLOOKUP(A524,'BBT3'!A:F,2,0),"")</f>
        <v>Bond</v>
      </c>
      <c r="C524" t="str">
        <f>IF(NOT(ISBLANK(A524)),VLOOKUP(A524,'BBT3'!A:F,3,0),"")</f>
        <v>US91282CPT26</v>
      </c>
      <c r="D524" s="6">
        <f>IF(NOT(ISBLANK(A524)),VLOOKUP(A524,'BBT3'!A:F,4,1),"")</f>
        <v>3.5</v>
      </c>
      <c r="E524">
        <f>IF(NOT(ISBLANK(A524)),VLOOKUP(A524,'BBT3'!A:F,5,0),"")</f>
        <v>47133</v>
      </c>
      <c r="F524" t="str">
        <f>IF(NOT(ISBLANK(A524)),VLOOKUP(A524,'BBT3'!A:F,6,0),"")</f>
        <v>N</v>
      </c>
      <c r="G524">
        <f>IF(NOT(ISBLANK(A524)),VLOOKUP(A524,QW_Close!A:J,5,0),"")</f>
        <v>4.09453823308897E-2</v>
      </c>
      <c r="H524" s="5" cm="1">
        <f t="array" ref="H524">IF(NOT(ISBLANK(A524)),((_xlfn.XLOOKUP(1,(_bbt3[[#All],[ID]]=A524)*(_bbt3[[#All],[METRIC_NAME]]="YLD_YTM_ASK"),_bbt3[[#All],[METRIC_VALUE]])*0.5)+(_xlfn.XLOOKUP(1,(_bbt3[[#All],[ID]]=A524)*(_bbt3[[#All],[METRIC_NAME]]="YLD_YTM_BID"),_bbt3[[#All],[METRIC_VALUE]])*0.5))/100,"")</f>
        <v>4.09453839E-2</v>
      </c>
      <c r="I524">
        <f>IF(ISNA(VLOOKUP(A524,QW_CloseDL!A:E,5,0)),0,VLOOKUP(A524,QW_CloseDL!A:E,5,0))</f>
        <v>4.09453823308897E-2</v>
      </c>
      <c r="J524" s="8">
        <f t="shared" si="40"/>
        <v>0</v>
      </c>
      <c r="P524">
        <v>0</v>
      </c>
      <c r="Q524" t="e">
        <f t="shared" si="36"/>
        <v>#N/A</v>
      </c>
      <c r="R524" t="e">
        <f t="shared" si="37"/>
        <v>#N/A</v>
      </c>
      <c r="S524" s="9" t="e">
        <f t="shared" si="38"/>
        <v>#N/A</v>
      </c>
      <c r="T524" s="3" t="e">
        <f t="shared" si="39"/>
        <v>#N/A</v>
      </c>
    </row>
    <row r="525" spans="1:20" x14ac:dyDescent="0.35">
      <c r="A525" t="str">
        <v>91282CPU9</v>
      </c>
      <c r="B525" t="str">
        <f>IF(NOT(ISBLANK(A525)),VLOOKUP(A525,'BBT3'!A:F,2,0),"")</f>
        <v>Bond</v>
      </c>
      <c r="C525" t="str">
        <f>IF(NOT(ISBLANK(A525)),VLOOKUP(A525,'BBT3'!A:F,3,0),"")</f>
        <v>US91282CPU98</v>
      </c>
      <c r="D525" s="6">
        <f>IF(NOT(ISBLANK(A525)),VLOOKUP(A525,'BBT3'!A:F,4,1),"")</f>
        <v>1.875</v>
      </c>
      <c r="E525">
        <f>IF(NOT(ISBLANK(A525)),VLOOKUP(A525,'BBT3'!A:F,5,0),"")</f>
        <v>49689</v>
      </c>
      <c r="F525" t="str">
        <f>IF(NOT(ISBLANK(A525)),VLOOKUP(A525,'BBT3'!A:F,6,0),"")</f>
        <v>Y</v>
      </c>
      <c r="G525">
        <f>IF(NOT(ISBLANK(A525)),VLOOKUP(A525,QW_Close!A:J,5,0),"")</f>
        <v>2.0935570134047701E-2</v>
      </c>
      <c r="H525" s="5" cm="1">
        <f t="array" ref="H525">IF(NOT(ISBLANK(A525)),((_xlfn.XLOOKUP(1,(_bbt3[[#All],[ID]]=A525)*(_bbt3[[#All],[METRIC_NAME]]="YLD_YTM_ASK"),_bbt3[[#All],[METRIC_VALUE]])*0.5)+(_xlfn.XLOOKUP(1,(_bbt3[[#All],[ID]]=A525)*(_bbt3[[#All],[METRIC_NAME]]="YLD_YTM_BID"),_bbt3[[#All],[METRIC_VALUE]])*0.5))/100,"")</f>
        <v>2.0935572650000001E-2</v>
      </c>
      <c r="I525">
        <f>IF(ISNA(VLOOKUP(A525,QW_CloseDL!A:E,5,0)),0,VLOOKUP(A525,QW_CloseDL!A:E,5,0))</f>
        <v>2.0935570134047701E-2</v>
      </c>
      <c r="J525" s="8">
        <f t="shared" si="40"/>
        <v>0</v>
      </c>
      <c r="P525">
        <v>0</v>
      </c>
      <c r="Q525" t="e">
        <f t="shared" ref="Q525:Q588" si="41">VLOOKUP(P525,A:B,2,0)</f>
        <v>#N/A</v>
      </c>
      <c r="R525" t="e">
        <f t="shared" ref="R525:R588" si="42">VLOOKUP(P525,A:E,4,0)</f>
        <v>#N/A</v>
      </c>
      <c r="S525" s="9" t="e">
        <f t="shared" ref="S525:S588" si="43">VLOOKUP(P525,A:J,10,0)</f>
        <v>#N/A</v>
      </c>
      <c r="T525" s="3" t="e">
        <f t="shared" ref="T525:T588" si="44">VLOOKUP(P525,A:J,5,0)</f>
        <v>#N/A</v>
      </c>
    </row>
    <row r="526" spans="1:20" x14ac:dyDescent="0.35">
      <c r="A526" t="str">
        <v>91282CPW5</v>
      </c>
      <c r="B526" t="str">
        <f>IF(NOT(ISBLANK(A526)),VLOOKUP(A526,'BBT3'!A:F,2,0),"")</f>
        <v>Bond</v>
      </c>
      <c r="C526" t="str">
        <f>IF(NOT(ISBLANK(A526)),VLOOKUP(A526,'BBT3'!A:F,3,0),"")</f>
        <v>US91282CPW54</v>
      </c>
      <c r="D526" s="6">
        <f>IF(NOT(ISBLANK(A526)),VLOOKUP(A526,'BBT3'!A:F,4,1),"")</f>
        <v>3.75</v>
      </c>
      <c r="E526">
        <f>IF(NOT(ISBLANK(A526)),VLOOKUP(A526,'BBT3'!A:F,5,0),"")</f>
        <v>47879</v>
      </c>
      <c r="F526" t="str">
        <f>IF(NOT(ISBLANK(A526)),VLOOKUP(A526,'BBT3'!A:F,6,0),"")</f>
        <v>N</v>
      </c>
      <c r="G526">
        <f>IF(NOT(ISBLANK(A526)),VLOOKUP(A526,QW_Close!A:J,5,0),"")</f>
        <v>4.18156918976881E-2</v>
      </c>
      <c r="H526" s="5" cm="1">
        <f t="array" ref="H526">IF(NOT(ISBLANK(A526)),((_xlfn.XLOOKUP(1,(_bbt3[[#All],[ID]]=A526)*(_bbt3[[#All],[METRIC_NAME]]="YLD_YTM_ASK"),_bbt3[[#All],[METRIC_VALUE]])*0.5)+(_xlfn.XLOOKUP(1,(_bbt3[[#All],[ID]]=A526)*(_bbt3[[#All],[METRIC_NAME]]="YLD_YTM_BID"),_bbt3[[#All],[METRIC_VALUE]])*0.5))/100,"")</f>
        <v>4.1815692999999994E-2</v>
      </c>
      <c r="I526">
        <f>IF(ISNA(VLOOKUP(A526,QW_CloseDL!A:E,5,0)),0,VLOOKUP(A526,QW_CloseDL!A:E,5,0))</f>
        <v>4.18156918976881E-2</v>
      </c>
      <c r="J526" s="8">
        <f t="shared" si="40"/>
        <v>0</v>
      </c>
      <c r="P526">
        <v>0</v>
      </c>
      <c r="Q526" t="e">
        <f t="shared" si="41"/>
        <v>#N/A</v>
      </c>
      <c r="R526" t="e">
        <f t="shared" si="42"/>
        <v>#N/A</v>
      </c>
      <c r="S526" s="9" t="e">
        <f t="shared" si="43"/>
        <v>#N/A</v>
      </c>
      <c r="T526" s="3" t="e">
        <f t="shared" si="44"/>
        <v>#N/A</v>
      </c>
    </row>
    <row r="527" spans="1:20" x14ac:dyDescent="0.35">
      <c r="A527" t="str">
        <v>91282CPY1</v>
      </c>
      <c r="B527" t="str">
        <f>IF(NOT(ISBLANK(A527)),VLOOKUP(A527,'BBT3'!A:F,2,0),"")</f>
        <v>Bond</v>
      </c>
      <c r="C527" t="str">
        <f>IF(NOT(ISBLANK(A527)),VLOOKUP(A527,'BBT3'!A:F,3,0),"")</f>
        <v>US91282CPY11</v>
      </c>
      <c r="D527" s="6">
        <f>IF(NOT(ISBLANK(A527)),VLOOKUP(A527,'BBT3'!A:F,4,1),"")</f>
        <v>4</v>
      </c>
      <c r="E527">
        <f>IF(NOT(ISBLANK(A527)),VLOOKUP(A527,'BBT3'!A:F,5,0),"")</f>
        <v>48610</v>
      </c>
      <c r="F527" t="str">
        <f>IF(NOT(ISBLANK(A527)),VLOOKUP(A527,'BBT3'!A:F,6,0),"")</f>
        <v>N</v>
      </c>
      <c r="G527">
        <f>IF(NOT(ISBLANK(A527)),VLOOKUP(A527,QW_Close!A:J,5,0),"")</f>
        <v>4.3120101433250298E-2</v>
      </c>
      <c r="H527" s="5" cm="1">
        <f t="array" ref="H527">IF(NOT(ISBLANK(A527)),((_xlfn.XLOOKUP(1,(_bbt3[[#All],[ID]]=A527)*(_bbt3[[#All],[METRIC_NAME]]="YLD_YTM_ASK"),_bbt3[[#All],[METRIC_VALUE]])*0.5)+(_xlfn.XLOOKUP(1,(_bbt3[[#All],[ID]]=A527)*(_bbt3[[#All],[METRIC_NAME]]="YLD_YTM_BID"),_bbt3[[#All],[METRIC_VALUE]])*0.5))/100,"")</f>
        <v>4.3120103E-2</v>
      </c>
      <c r="I527">
        <f>IF(ISNA(VLOOKUP(A527,QW_CloseDL!A:E,5,0)),0,VLOOKUP(A527,QW_CloseDL!A:E,5,0))</f>
        <v>4.3120101433250298E-2</v>
      </c>
      <c r="J527" s="8">
        <f t="shared" si="40"/>
        <v>0</v>
      </c>
      <c r="P527">
        <v>0</v>
      </c>
      <c r="Q527" t="e">
        <f t="shared" si="41"/>
        <v>#N/A</v>
      </c>
      <c r="R527" t="e">
        <f t="shared" si="42"/>
        <v>#N/A</v>
      </c>
      <c r="S527" s="9" t="e">
        <f t="shared" si="43"/>
        <v>#N/A</v>
      </c>
      <c r="T527" s="3" t="e">
        <f t="shared" si="44"/>
        <v>#N/A</v>
      </c>
    </row>
    <row r="528" spans="1:20" x14ac:dyDescent="0.35">
      <c r="A528" t="str">
        <v>91282CPZ8</v>
      </c>
      <c r="B528" t="str">
        <f>IF(NOT(ISBLANK(A528)),VLOOKUP(A528,'BBT3'!A:F,2,0),"")</f>
        <v>Bond</v>
      </c>
      <c r="C528" t="str">
        <f>IF(NOT(ISBLANK(A528)),VLOOKUP(A528,'BBT3'!A:F,3,0),"")</f>
        <v>US91282CPZ85</v>
      </c>
      <c r="D528" s="6">
        <f>IF(NOT(ISBLANK(A528)),VLOOKUP(A528,'BBT3'!A:F,4,1),"")</f>
        <v>4.125</v>
      </c>
      <c r="E528">
        <f>IF(NOT(ISBLANK(A528)),VLOOKUP(A528,'BBT3'!A:F,5,0),"")</f>
        <v>49720</v>
      </c>
      <c r="F528" t="str">
        <f>IF(NOT(ISBLANK(A528)),VLOOKUP(A528,'BBT3'!A:F,6,0),"")</f>
        <v>N</v>
      </c>
      <c r="G528">
        <f>IF(NOT(ISBLANK(A528)),VLOOKUP(A528,QW_Close!A:J,5,0),"")</f>
        <v>4.4719409648756703E-2</v>
      </c>
      <c r="H528" s="5" cm="1">
        <f t="array" ref="H528">IF(NOT(ISBLANK(A528)),((_xlfn.XLOOKUP(1,(_bbt3[[#All],[ID]]=A528)*(_bbt3[[#All],[METRIC_NAME]]="YLD_YTM_ASK"),_bbt3[[#All],[METRIC_VALUE]])*0.5)+(_xlfn.XLOOKUP(1,(_bbt3[[#All],[ID]]=A528)*(_bbt3[[#All],[METRIC_NAME]]="YLD_YTM_BID"),_bbt3[[#All],[METRIC_VALUE]])*0.5))/100,"")</f>
        <v>4.4719409999999994E-2</v>
      </c>
      <c r="I528">
        <f>IF(ISNA(VLOOKUP(A528,QW_CloseDL!A:E,5,0)),0,VLOOKUP(A528,QW_CloseDL!A:E,5,0))</f>
        <v>4.4719409648756703E-2</v>
      </c>
      <c r="J528" s="8">
        <f t="shared" si="40"/>
        <v>0</v>
      </c>
      <c r="P528">
        <v>0</v>
      </c>
      <c r="Q528" t="e">
        <f t="shared" si="41"/>
        <v>#N/A</v>
      </c>
      <c r="R528" t="e">
        <f t="shared" si="42"/>
        <v>#N/A</v>
      </c>
      <c r="S528" s="9" t="e">
        <f t="shared" si="43"/>
        <v>#N/A</v>
      </c>
      <c r="T528" s="3" t="e">
        <f t="shared" si="44"/>
        <v>#N/A</v>
      </c>
    </row>
    <row r="529" spans="1:20" x14ac:dyDescent="0.35">
      <c r="A529" t="str">
        <v>91282CQA2</v>
      </c>
      <c r="B529" t="str">
        <f>IF(NOT(ISBLANK(A529)),VLOOKUP(A529,'BBT3'!A:F,2,0),"")</f>
        <v>Bond</v>
      </c>
      <c r="C529" t="str">
        <f>IF(NOT(ISBLANK(A529)),VLOOKUP(A529,'BBT3'!A:F,3,0),"")</f>
        <v>US91282CQA26</v>
      </c>
      <c r="D529" s="6">
        <f>IF(NOT(ISBLANK(A529)),VLOOKUP(A529,'BBT3'!A:F,4,1),"")</f>
        <v>3.5</v>
      </c>
      <c r="E529">
        <f>IF(NOT(ISBLANK(A529)),VLOOKUP(A529,'BBT3'!A:F,5,0),"")</f>
        <v>47164</v>
      </c>
      <c r="F529" t="str">
        <f>IF(NOT(ISBLANK(A529)),VLOOKUP(A529,'BBT3'!A:F,6,0),"")</f>
        <v>N</v>
      </c>
      <c r="G529">
        <f>IF(NOT(ISBLANK(A529)),VLOOKUP(A529,QW_Close!A:J,5,0),"")</f>
        <v>4.0978324422251203E-2</v>
      </c>
      <c r="H529" s="5" cm="1">
        <f t="array" ref="H529">IF(NOT(ISBLANK(A529)),((_xlfn.XLOOKUP(1,(_bbt3[[#All],[ID]]=A529)*(_bbt3[[#All],[METRIC_NAME]]="YLD_YTM_ASK"),_bbt3[[#All],[METRIC_VALUE]])*0.5)+(_xlfn.XLOOKUP(1,(_bbt3[[#All],[ID]]=A529)*(_bbt3[[#All],[METRIC_NAME]]="YLD_YTM_BID"),_bbt3[[#All],[METRIC_VALUE]])*0.5))/100,"")</f>
        <v>4.0978326000000002E-2</v>
      </c>
      <c r="I529">
        <f>IF(ISNA(VLOOKUP(A529,QW_CloseDL!A:E,5,0)),0,VLOOKUP(A529,QW_CloseDL!A:E,5,0))</f>
        <v>4.0978324422251203E-2</v>
      </c>
      <c r="J529" s="8">
        <f t="shared" si="40"/>
        <v>0</v>
      </c>
      <c r="P529">
        <v>0</v>
      </c>
      <c r="Q529" t="e">
        <f t="shared" si="41"/>
        <v>#N/A</v>
      </c>
      <c r="R529" t="e">
        <f t="shared" si="42"/>
        <v>#N/A</v>
      </c>
      <c r="S529" s="9" t="e">
        <f t="shared" si="43"/>
        <v>#N/A</v>
      </c>
      <c r="T529" s="3" t="e">
        <f t="shared" si="44"/>
        <v>#N/A</v>
      </c>
    </row>
    <row r="530" spans="1:20" x14ac:dyDescent="0.35">
      <c r="A530" t="str">
        <v>91282CQB0</v>
      </c>
      <c r="B530" t="str">
        <f>IF(NOT(ISBLANK(A530)),VLOOKUP(A530,'BBT3'!A:F,2,0),"")</f>
        <v>Bond</v>
      </c>
      <c r="C530" t="str">
        <f>IF(NOT(ISBLANK(A530)),VLOOKUP(A530,'BBT3'!A:F,3,0),"")</f>
        <v>US91282CQB09</v>
      </c>
      <c r="D530" s="6">
        <f>IF(NOT(ISBLANK(A530)),VLOOKUP(A530,'BBT3'!A:F,4,1),"")</f>
        <v>3.375</v>
      </c>
      <c r="E530">
        <f>IF(NOT(ISBLANK(A530)),VLOOKUP(A530,'BBT3'!A:F,5,0),"")</f>
        <v>46812</v>
      </c>
      <c r="F530" t="str">
        <f>IF(NOT(ISBLANK(A530)),VLOOKUP(A530,'BBT3'!A:F,6,0),"")</f>
        <v>N</v>
      </c>
      <c r="G530">
        <f>IF(NOT(ISBLANK(A530)),VLOOKUP(A530,QW_Close!A:J,5,0),"")</f>
        <v>4.0309889399676398E-2</v>
      </c>
      <c r="H530" s="5" cm="1">
        <f t="array" ref="H530">IF(NOT(ISBLANK(A530)),((_xlfn.XLOOKUP(1,(_bbt3[[#All],[ID]]=A530)*(_bbt3[[#All],[METRIC_NAME]]="YLD_YTM_ASK"),_bbt3[[#All],[METRIC_VALUE]])*0.5)+(_xlfn.XLOOKUP(1,(_bbt3[[#All],[ID]]=A530)*(_bbt3[[#All],[METRIC_NAME]]="YLD_YTM_BID"),_bbt3[[#All],[METRIC_VALUE]])*0.5))/100,"")</f>
        <v>4.0309890000000001E-2</v>
      </c>
      <c r="I530">
        <f>IF(ISNA(VLOOKUP(A530,QW_CloseDL!A:E,5,0)),0,VLOOKUP(A530,QW_CloseDL!A:E,5,0))</f>
        <v>4.0309889399676398E-2</v>
      </c>
      <c r="J530" s="8">
        <f t="shared" si="40"/>
        <v>0</v>
      </c>
      <c r="P530">
        <v>0</v>
      </c>
      <c r="Q530" t="e">
        <f t="shared" si="41"/>
        <v>#N/A</v>
      </c>
      <c r="R530" t="e">
        <f t="shared" si="42"/>
        <v>#N/A</v>
      </c>
      <c r="S530" s="9" t="e">
        <f t="shared" si="43"/>
        <v>#N/A</v>
      </c>
      <c r="T530" s="3" t="e">
        <f t="shared" si="44"/>
        <v>#N/A</v>
      </c>
    </row>
    <row r="531" spans="1:20" x14ac:dyDescent="0.35">
      <c r="A531" t="str">
        <v>91282CQC8</v>
      </c>
      <c r="B531" t="str">
        <f>IF(NOT(ISBLANK(A531)),VLOOKUP(A531,'BBT3'!A:F,2,0),"")</f>
        <v>Bond</v>
      </c>
      <c r="C531" t="str">
        <f>IF(NOT(ISBLANK(A531)),VLOOKUP(A531,'BBT3'!A:F,3,0),"")</f>
        <v>US91282CQC81</v>
      </c>
      <c r="D531" s="6">
        <f>IF(NOT(ISBLANK(A531)),VLOOKUP(A531,'BBT3'!A:F,4,1),"")</f>
        <v>3.75</v>
      </c>
      <c r="E531">
        <f>IF(NOT(ISBLANK(A531)),VLOOKUP(A531,'BBT3'!A:F,5,0),"")</f>
        <v>48638</v>
      </c>
      <c r="F531" t="str">
        <f>IF(NOT(ISBLANK(A531)),VLOOKUP(A531,'BBT3'!A:F,6,0),"")</f>
        <v>N</v>
      </c>
      <c r="G531">
        <f>IF(NOT(ISBLANK(A531)),VLOOKUP(A531,QW_Close!A:J,5,0),"")</f>
        <v>4.3135977689738897E-2</v>
      </c>
      <c r="H531" s="5" cm="1">
        <f t="array" ref="H531">IF(NOT(ISBLANK(A531)),((_xlfn.XLOOKUP(1,(_bbt3[[#All],[ID]]=A531)*(_bbt3[[#All],[METRIC_NAME]]="YLD_YTM_ASK"),_bbt3[[#All],[METRIC_VALUE]])*0.5)+(_xlfn.XLOOKUP(1,(_bbt3[[#All],[ID]]=A531)*(_bbt3[[#All],[METRIC_NAME]]="YLD_YTM_BID"),_bbt3[[#All],[METRIC_VALUE]])*0.5))/100,"")</f>
        <v>4.3135978999999998E-2</v>
      </c>
      <c r="I531">
        <f>IF(ISNA(VLOOKUP(A531,QW_CloseDL!A:E,5,0)),0,VLOOKUP(A531,QW_CloseDL!A:E,5,0))</f>
        <v>4.3135977689738897E-2</v>
      </c>
      <c r="J531" s="8">
        <f t="shared" si="40"/>
        <v>0</v>
      </c>
      <c r="P531">
        <v>0</v>
      </c>
      <c r="Q531" t="e">
        <f t="shared" si="41"/>
        <v>#N/A</v>
      </c>
      <c r="R531" t="e">
        <f t="shared" si="42"/>
        <v>#N/A</v>
      </c>
      <c r="S531" s="9" t="e">
        <f t="shared" si="43"/>
        <v>#N/A</v>
      </c>
      <c r="T531" s="3" t="e">
        <f t="shared" si="44"/>
        <v>#N/A</v>
      </c>
    </row>
    <row r="532" spans="1:20" x14ac:dyDescent="0.35">
      <c r="A532" t="str">
        <v>91282CQD6</v>
      </c>
      <c r="B532" t="str">
        <f>IF(NOT(ISBLANK(A532)),VLOOKUP(A532,'BBT3'!A:F,2,0),"")</f>
        <v>Bond</v>
      </c>
      <c r="C532" t="str">
        <f>IF(NOT(ISBLANK(A532)),VLOOKUP(A532,'BBT3'!A:F,3,0),"")</f>
        <v>US91282CQD64</v>
      </c>
      <c r="D532" s="6">
        <f>IF(NOT(ISBLANK(A532)),VLOOKUP(A532,'BBT3'!A:F,4,1),"")</f>
        <v>3.5</v>
      </c>
      <c r="E532">
        <f>IF(NOT(ISBLANK(A532)),VLOOKUP(A532,'BBT3'!A:F,5,0),"")</f>
        <v>47907</v>
      </c>
      <c r="F532" t="str">
        <f>IF(NOT(ISBLANK(A532)),VLOOKUP(A532,'BBT3'!A:F,6,0),"")</f>
        <v>N</v>
      </c>
      <c r="G532">
        <f>IF(NOT(ISBLANK(A532)),VLOOKUP(A532,QW_Close!A:J,5,0),"")</f>
        <v>4.1779455793870102E-2</v>
      </c>
      <c r="H532" s="5" cm="1">
        <f t="array" ref="H532">IF(NOT(ISBLANK(A532)),((_xlfn.XLOOKUP(1,(_bbt3[[#All],[ID]]=A532)*(_bbt3[[#All],[METRIC_NAME]]="YLD_YTM_ASK"),_bbt3[[#All],[METRIC_VALUE]])*0.5)+(_xlfn.XLOOKUP(1,(_bbt3[[#All],[ID]]=A532)*(_bbt3[[#All],[METRIC_NAME]]="YLD_YTM_BID"),_bbt3[[#All],[METRIC_VALUE]])*0.5))/100,"")</f>
        <v>4.1779456499999999E-2</v>
      </c>
      <c r="I532">
        <f>IF(ISNA(VLOOKUP(A532,QW_CloseDL!A:E,5,0)),0,VLOOKUP(A532,QW_CloseDL!A:E,5,0))</f>
        <v>4.1779455793870102E-2</v>
      </c>
      <c r="J532" s="8">
        <f t="shared" si="40"/>
        <v>0</v>
      </c>
      <c r="P532">
        <v>0</v>
      </c>
      <c r="Q532" t="e">
        <f t="shared" si="41"/>
        <v>#N/A</v>
      </c>
      <c r="R532" t="e">
        <f t="shared" si="42"/>
        <v>#N/A</v>
      </c>
      <c r="S532" s="9" t="e">
        <f t="shared" si="43"/>
        <v>#N/A</v>
      </c>
      <c r="T532" s="3" t="e">
        <f t="shared" si="44"/>
        <v>#N/A</v>
      </c>
    </row>
    <row r="533" spans="1:20" x14ac:dyDescent="0.35">
      <c r="A533" t="str">
        <v>91282CQE4</v>
      </c>
      <c r="B533" t="str">
        <f>IF(NOT(ISBLANK(A533)),VLOOKUP(A533,'BBT3'!A:F,2,0),"")</f>
        <v>Bond</v>
      </c>
      <c r="C533" t="str">
        <f>IF(NOT(ISBLANK(A533)),VLOOKUP(A533,'BBT3'!A:F,3,0),"")</f>
        <v>US91282CQE48</v>
      </c>
      <c r="D533" s="6">
        <f>IF(NOT(ISBLANK(A533)),VLOOKUP(A533,'BBT3'!A:F,4,1),"")</f>
        <v>3.5</v>
      </c>
      <c r="E533">
        <f>IF(NOT(ISBLANK(A533)),VLOOKUP(A533,'BBT3'!A:F,5,0),"")</f>
        <v>47192</v>
      </c>
      <c r="F533" t="str">
        <f>IF(NOT(ISBLANK(A533)),VLOOKUP(A533,'BBT3'!A:F,6,0),"")</f>
        <v>N</v>
      </c>
      <c r="G533">
        <f>IF(NOT(ISBLANK(A533)),VLOOKUP(A533,QW_Close!A:J,5,0),"")</f>
        <v>4.0962773083141203E-2</v>
      </c>
      <c r="H533" s="5" cm="1">
        <f t="array" ref="H533">IF(NOT(ISBLANK(A533)),((_xlfn.XLOOKUP(1,(_bbt3[[#All],[ID]]=A533)*(_bbt3[[#All],[METRIC_NAME]]="YLD_YTM_ASK"),_bbt3[[#All],[METRIC_VALUE]])*0.5)+(_xlfn.XLOOKUP(1,(_bbt3[[#All],[ID]]=A533)*(_bbt3[[#All],[METRIC_NAME]]="YLD_YTM_BID"),_bbt3[[#All],[METRIC_VALUE]])*0.5))/100,"")</f>
        <v>4.0962774500000007E-2</v>
      </c>
      <c r="I533">
        <f>IF(ISNA(VLOOKUP(A533,QW_CloseDL!A:E,5,0)),0,VLOOKUP(A533,QW_CloseDL!A:E,5,0))</f>
        <v>4.0962773083141203E-2</v>
      </c>
      <c r="J533" s="8">
        <f t="shared" si="40"/>
        <v>0</v>
      </c>
      <c r="P533">
        <v>0</v>
      </c>
      <c r="Q533" t="e">
        <f t="shared" si="41"/>
        <v>#N/A</v>
      </c>
      <c r="R533" t="e">
        <f t="shared" si="42"/>
        <v>#N/A</v>
      </c>
      <c r="S533" s="9" t="e">
        <f t="shared" si="43"/>
        <v>#N/A</v>
      </c>
      <c r="T533" s="3" t="e">
        <f t="shared" si="44"/>
        <v>#N/A</v>
      </c>
    </row>
    <row r="534" spans="1:20" x14ac:dyDescent="0.35">
      <c r="A534" t="str">
        <v>91282CQF1</v>
      </c>
      <c r="B534" t="str">
        <f>IF(NOT(ISBLANK(A534)),VLOOKUP(A534,'BBT3'!A:F,2,0),"")</f>
        <v>Bond</v>
      </c>
      <c r="C534" t="str">
        <f>IF(NOT(ISBLANK(A534)),VLOOKUP(A534,'BBT3'!A:F,3,0),"")</f>
        <v>US91282CQF13</v>
      </c>
      <c r="D534" s="6">
        <f>IF(NOT(ISBLANK(A534)),VLOOKUP(A534,'BBT3'!A:F,4,1),"")</f>
        <v>4.25</v>
      </c>
      <c r="E534">
        <f>IF(NOT(ISBLANK(A534)),VLOOKUP(A534,'BBT3'!A:F,5,0),"")</f>
        <v>48669</v>
      </c>
      <c r="F534" t="str">
        <f>IF(NOT(ISBLANK(A534)),VLOOKUP(A534,'BBT3'!A:F,6,0),"")</f>
        <v>N</v>
      </c>
      <c r="G534">
        <f>IF(NOT(ISBLANK(A534)),VLOOKUP(A534,QW_Close!A:J,5,0),"")</f>
        <v>4.3171776487428003E-2</v>
      </c>
      <c r="H534" s="5" cm="1">
        <f t="array" ref="H534">IF(NOT(ISBLANK(A534)),((_xlfn.XLOOKUP(1,(_bbt3[[#All],[ID]]=A534)*(_bbt3[[#All],[METRIC_NAME]]="YLD_YTM_ASK"),_bbt3[[#All],[METRIC_VALUE]])*0.5)+(_xlfn.XLOOKUP(1,(_bbt3[[#All],[ID]]=A534)*(_bbt3[[#All],[METRIC_NAME]]="YLD_YTM_BID"),_bbt3[[#All],[METRIC_VALUE]])*0.5))/100,"")</f>
        <v>4.3171777100000003E-2</v>
      </c>
      <c r="I534">
        <f>IF(ISNA(VLOOKUP(A534,QW_CloseDL!A:E,5,0)),0,VLOOKUP(A534,QW_CloseDL!A:E,5,0))</f>
        <v>4.3171776487428003E-2</v>
      </c>
      <c r="J534" s="8">
        <f t="shared" si="40"/>
        <v>0</v>
      </c>
      <c r="P534">
        <v>0</v>
      </c>
      <c r="Q534" t="e">
        <f t="shared" si="41"/>
        <v>#N/A</v>
      </c>
      <c r="R534" t="e">
        <f t="shared" si="42"/>
        <v>#N/A</v>
      </c>
      <c r="S534" s="9" t="e">
        <f t="shared" si="43"/>
        <v>#N/A</v>
      </c>
      <c r="T534" s="3" t="e">
        <f t="shared" si="44"/>
        <v>#N/A</v>
      </c>
    </row>
    <row r="535" spans="1:20" x14ac:dyDescent="0.35">
      <c r="A535" t="str">
        <v>91282CQG9</v>
      </c>
      <c r="B535" t="str">
        <f>IF(NOT(ISBLANK(A535)),VLOOKUP(A535,'BBT3'!A:F,2,0),"")</f>
        <v>Bond</v>
      </c>
      <c r="C535" t="str">
        <f>IF(NOT(ISBLANK(A535)),VLOOKUP(A535,'BBT3'!A:F,3,0),"")</f>
        <v>US91282CQG95</v>
      </c>
      <c r="D535" s="6">
        <f>IF(NOT(ISBLANK(A535)),VLOOKUP(A535,'BBT3'!A:F,4,1),"")</f>
        <v>3.875</v>
      </c>
      <c r="E535">
        <f>IF(NOT(ISBLANK(A535)),VLOOKUP(A535,'BBT3'!A:F,5,0),"")</f>
        <v>47938</v>
      </c>
      <c r="F535" t="str">
        <f>IF(NOT(ISBLANK(A535)),VLOOKUP(A535,'BBT3'!A:F,6,0),"")</f>
        <v>N</v>
      </c>
      <c r="G535">
        <f>IF(NOT(ISBLANK(A535)),VLOOKUP(A535,QW_Close!A:J,5,0),"")</f>
        <v>4.1865145731234503E-2</v>
      </c>
      <c r="H535" s="5" cm="1">
        <f t="array" ref="H535">IF(NOT(ISBLANK(A535)),((_xlfn.XLOOKUP(1,(_bbt3[[#All],[ID]]=A535)*(_bbt3[[#All],[METRIC_NAME]]="YLD_YTM_ASK"),_bbt3[[#All],[METRIC_VALUE]])*0.5)+(_xlfn.XLOOKUP(1,(_bbt3[[#All],[ID]]=A535)*(_bbt3[[#All],[METRIC_NAME]]="YLD_YTM_BID"),_bbt3[[#All],[METRIC_VALUE]])*0.5))/100,"")</f>
        <v>4.18651466E-2</v>
      </c>
      <c r="I535">
        <f>IF(ISNA(VLOOKUP(A535,QW_CloseDL!A:E,5,0)),0,VLOOKUP(A535,QW_CloseDL!A:E,5,0))</f>
        <v>4.1865145731234503E-2</v>
      </c>
      <c r="J535" s="8">
        <f t="shared" si="40"/>
        <v>0</v>
      </c>
      <c r="P535">
        <v>0</v>
      </c>
      <c r="Q535" t="e">
        <f t="shared" si="41"/>
        <v>#N/A</v>
      </c>
      <c r="R535" t="e">
        <f t="shared" si="42"/>
        <v>#N/A</v>
      </c>
      <c r="S535" s="9" t="e">
        <f t="shared" si="43"/>
        <v>#N/A</v>
      </c>
      <c r="T535" s="3" t="e">
        <f t="shared" si="44"/>
        <v>#N/A</v>
      </c>
    </row>
    <row r="536" spans="1:20" x14ac:dyDescent="0.35">
      <c r="A536" t="str">
        <v>91282CQH7</v>
      </c>
      <c r="B536" t="str">
        <f>IF(NOT(ISBLANK(A536)),VLOOKUP(A536,'BBT3'!A:F,2,0),"")</f>
        <v>Bond</v>
      </c>
      <c r="C536" t="str">
        <f>IF(NOT(ISBLANK(A536)),VLOOKUP(A536,'BBT3'!A:F,3,0),"")</f>
        <v>US91282CQH78</v>
      </c>
      <c r="D536" s="6">
        <f>IF(NOT(ISBLANK(A536)),VLOOKUP(A536,'BBT3'!A:F,4,1),"")</f>
        <v>3.875</v>
      </c>
      <c r="E536">
        <f>IF(NOT(ISBLANK(A536)),VLOOKUP(A536,'BBT3'!A:F,5,0),"")</f>
        <v>46843</v>
      </c>
      <c r="F536" t="str">
        <f>IF(NOT(ISBLANK(A536)),VLOOKUP(A536,'BBT3'!A:F,6,0),"")</f>
        <v>N</v>
      </c>
      <c r="G536">
        <f>IF(NOT(ISBLANK(A536)),VLOOKUP(A536,QW_Close!A:J,5,0),"")</f>
        <v>4.0477973962734101E-2</v>
      </c>
      <c r="H536" s="5" cm="1">
        <f t="array" ref="H536">IF(NOT(ISBLANK(A536)),((_xlfn.XLOOKUP(1,(_bbt3[[#All],[ID]]=A536)*(_bbt3[[#All],[METRIC_NAME]]="YLD_YTM_ASK"),_bbt3[[#All],[METRIC_VALUE]])*0.5)+(_xlfn.XLOOKUP(1,(_bbt3[[#All],[ID]]=A536)*(_bbt3[[#All],[METRIC_NAME]]="YLD_YTM_BID"),_bbt3[[#All],[METRIC_VALUE]])*0.5))/100,"")</f>
        <v>4.0477974549999997E-2</v>
      </c>
      <c r="I536">
        <f>IF(ISNA(VLOOKUP(A536,QW_CloseDL!A:E,5,0)),0,VLOOKUP(A536,QW_CloseDL!A:E,5,0))</f>
        <v>4.0477973962734101E-2</v>
      </c>
      <c r="J536" s="8">
        <f t="shared" si="40"/>
        <v>0</v>
      </c>
      <c r="P536">
        <v>0</v>
      </c>
      <c r="Q536" t="e">
        <f t="shared" si="41"/>
        <v>#N/A</v>
      </c>
      <c r="R536" t="e">
        <f t="shared" si="42"/>
        <v>#N/A</v>
      </c>
      <c r="S536" s="9" t="e">
        <f t="shared" si="43"/>
        <v>#N/A</v>
      </c>
      <c r="T536" s="3" t="e">
        <f t="shared" si="44"/>
        <v>#N/A</v>
      </c>
    </row>
    <row r="537" spans="1:20" x14ac:dyDescent="0.35">
      <c r="A537" t="str">
        <v>91282CQJ3</v>
      </c>
      <c r="B537" t="str">
        <f>IF(NOT(ISBLANK(A537)),VLOOKUP(A537,'BBT3'!A:F,2,0),"")</f>
        <v>Bond</v>
      </c>
      <c r="C537" t="str">
        <f>IF(NOT(ISBLANK(A537)),VLOOKUP(A537,'BBT3'!A:F,3,0),"")</f>
        <v>US91282CQJ35</v>
      </c>
      <c r="D537" s="6">
        <f>IF(NOT(ISBLANK(A537)),VLOOKUP(A537,'BBT3'!A:F,4,1),"")</f>
        <v>3.875</v>
      </c>
      <c r="E537">
        <f>IF(NOT(ISBLANK(A537)),VLOOKUP(A537,'BBT3'!A:F,5,0),"")</f>
        <v>47223</v>
      </c>
      <c r="F537" t="str">
        <f>IF(NOT(ISBLANK(A537)),VLOOKUP(A537,'BBT3'!A:F,6,0),"")</f>
        <v>N</v>
      </c>
      <c r="G537">
        <f>IF(NOT(ISBLANK(A537)),VLOOKUP(A537,QW_Close!A:J,5,0),"")</f>
        <v>4.0999922582359301E-2</v>
      </c>
      <c r="H537" s="5" cm="1">
        <f t="array" ref="H537">IF(NOT(ISBLANK(A537)),((_xlfn.XLOOKUP(1,(_bbt3[[#All],[ID]]=A537)*(_bbt3[[#All],[METRIC_NAME]]="YLD_YTM_ASK"),_bbt3[[#All],[METRIC_VALUE]])*0.5)+(_xlfn.XLOOKUP(1,(_bbt3[[#All],[ID]]=A537)*(_bbt3[[#All],[METRIC_NAME]]="YLD_YTM_BID"),_bbt3[[#All],[METRIC_VALUE]])*0.5))/100,"")</f>
        <v>4.0999922949999996E-2</v>
      </c>
      <c r="I537">
        <f>IF(ISNA(VLOOKUP(A537,QW_CloseDL!A:E,5,0)),0,VLOOKUP(A537,QW_CloseDL!A:E,5,0))</f>
        <v>4.0999922582359301E-2</v>
      </c>
      <c r="J537" s="8">
        <f t="shared" si="40"/>
        <v>0</v>
      </c>
      <c r="P537">
        <v>0</v>
      </c>
      <c r="Q537" t="e">
        <f t="shared" si="41"/>
        <v>#N/A</v>
      </c>
      <c r="R537" t="e">
        <f t="shared" si="42"/>
        <v>#N/A</v>
      </c>
      <c r="S537" s="9" t="e">
        <f t="shared" si="43"/>
        <v>#N/A</v>
      </c>
      <c r="T537" s="3" t="e">
        <f t="shared" si="44"/>
        <v>#N/A</v>
      </c>
    </row>
    <row r="538" spans="1:20" x14ac:dyDescent="0.35">
      <c r="A538" t="str">
        <v>91282CQK0</v>
      </c>
      <c r="B538" t="str">
        <f>IF(NOT(ISBLANK(A538)),VLOOKUP(A538,'BBT3'!A:F,2,0),"")</f>
        <v>Bond</v>
      </c>
      <c r="C538" t="str">
        <f>IF(NOT(ISBLANK(A538)),VLOOKUP(A538,'BBT3'!A:F,3,0),"")</f>
        <v>US91282CQK08</v>
      </c>
      <c r="D538" s="6">
        <f>IF(NOT(ISBLANK(A538)),VLOOKUP(A538,'BBT3'!A:F,4,1),"")</f>
        <v>3.875</v>
      </c>
      <c r="E538">
        <f>IF(NOT(ISBLANK(A538)),VLOOKUP(A538,'BBT3'!A:F,5,0),"")</f>
        <v>47968</v>
      </c>
      <c r="F538" t="str">
        <f>IF(NOT(ISBLANK(A538)),VLOOKUP(A538,'BBT3'!A:F,6,0),"")</f>
        <v>N</v>
      </c>
      <c r="G538">
        <f>IF(NOT(ISBLANK(A538)),VLOOKUP(A538,QW_Close!A:J,5,0),"")</f>
        <v>4.1856654731664202E-2</v>
      </c>
      <c r="H538" s="5" cm="1">
        <f t="array" ref="H538">IF(NOT(ISBLANK(A538)),((_xlfn.XLOOKUP(1,(_bbt3[[#All],[ID]]=A538)*(_bbt3[[#All],[METRIC_NAME]]="YLD_YTM_ASK"),_bbt3[[#All],[METRIC_VALUE]])*0.5)+(_xlfn.XLOOKUP(1,(_bbt3[[#All],[ID]]=A538)*(_bbt3[[#All],[METRIC_NAME]]="YLD_YTM_BID"),_bbt3[[#All],[METRIC_VALUE]])*0.5))/100,"")</f>
        <v>4.1856655600000001E-2</v>
      </c>
      <c r="I538">
        <f>IF(ISNA(VLOOKUP(A538,QW_CloseDL!A:E,5,0)),0,VLOOKUP(A538,QW_CloseDL!A:E,5,0))</f>
        <v>4.1856654731664202E-2</v>
      </c>
      <c r="J538" s="8">
        <f t="shared" si="40"/>
        <v>0</v>
      </c>
      <c r="P538">
        <v>0</v>
      </c>
      <c r="Q538" t="e">
        <f t="shared" si="41"/>
        <v>#N/A</v>
      </c>
      <c r="R538" t="e">
        <f t="shared" si="42"/>
        <v>#N/A</v>
      </c>
      <c r="S538" s="9" t="e">
        <f t="shared" si="43"/>
        <v>#N/A</v>
      </c>
      <c r="T538" s="3" t="e">
        <f t="shared" si="44"/>
        <v>#N/A</v>
      </c>
    </row>
    <row r="539" spans="1:20" x14ac:dyDescent="0.35">
      <c r="A539" t="str">
        <v>91282CQL8</v>
      </c>
      <c r="B539" t="str">
        <f>IF(NOT(ISBLANK(A539)),VLOOKUP(A539,'BBT3'!A:F,2,0),"")</f>
        <v>Bond</v>
      </c>
      <c r="C539" t="str">
        <f>IF(NOT(ISBLANK(A539)),VLOOKUP(A539,'BBT3'!A:F,3,0),"")</f>
        <v>US91282CQL80</v>
      </c>
      <c r="D539" s="6">
        <f>IF(NOT(ISBLANK(A539)),VLOOKUP(A539,'BBT3'!A:F,4,1),"")</f>
        <v>3.75</v>
      </c>
      <c r="E539">
        <f>IF(NOT(ISBLANK(A539)),VLOOKUP(A539,'BBT3'!A:F,5,0),"")</f>
        <v>46873</v>
      </c>
      <c r="F539" t="str">
        <f>IF(NOT(ISBLANK(A539)),VLOOKUP(A539,'BBT3'!A:F,6,0),"")</f>
        <v>N</v>
      </c>
      <c r="G539">
        <f>IF(NOT(ISBLANK(A539)),VLOOKUP(A539,QW_Close!A:J,5,0),"")</f>
        <v>4.0521493439465997E-2</v>
      </c>
      <c r="H539" s="5" cm="1">
        <f t="array" ref="H539">IF(NOT(ISBLANK(A539)),((_xlfn.XLOOKUP(1,(_bbt3[[#All],[ID]]=A539)*(_bbt3[[#All],[METRIC_NAME]]="YLD_YTM_ASK"),_bbt3[[#All],[METRIC_VALUE]])*0.5)+(_xlfn.XLOOKUP(1,(_bbt3[[#All],[ID]]=A539)*(_bbt3[[#All],[METRIC_NAME]]="YLD_YTM_BID"),_bbt3[[#All],[METRIC_VALUE]])*0.5))/100,"")</f>
        <v>4.0521493999999991E-2</v>
      </c>
      <c r="I539">
        <f>IF(ISNA(VLOOKUP(A539,QW_CloseDL!A:E,5,0)),0,VLOOKUP(A539,QW_CloseDL!A:E,5,0))</f>
        <v>4.0521493439465997E-2</v>
      </c>
      <c r="J539" s="8">
        <f t="shared" si="40"/>
        <v>0</v>
      </c>
      <c r="P539">
        <v>0</v>
      </c>
      <c r="Q539" t="e">
        <f t="shared" si="41"/>
        <v>#N/A</v>
      </c>
      <c r="R539" t="e">
        <f t="shared" si="42"/>
        <v>#N/A</v>
      </c>
      <c r="S539" s="9" t="e">
        <f t="shared" si="43"/>
        <v>#N/A</v>
      </c>
      <c r="T539" s="3" t="e">
        <f t="shared" si="44"/>
        <v>#N/A</v>
      </c>
    </row>
    <row r="540" spans="1:20" x14ac:dyDescent="0.35">
      <c r="A540" t="str">
        <v>91282CQN4</v>
      </c>
      <c r="B540" t="str">
        <f>IF(NOT(ISBLANK(A540)),VLOOKUP(A540,'BBT3'!A:F,2,0),"")</f>
        <v>Bond</v>
      </c>
      <c r="C540" t="str">
        <f>IF(NOT(ISBLANK(A540)),VLOOKUP(A540,'BBT3'!A:F,3,0),"")</f>
        <v>US91282CQN47</v>
      </c>
      <c r="D540" s="6">
        <f>IF(NOT(ISBLANK(A540)),VLOOKUP(A540,'BBT3'!A:F,4,1),"")</f>
        <v>4.125</v>
      </c>
      <c r="E540">
        <f>IF(NOT(ISBLANK(A540)),VLOOKUP(A540,'BBT3'!A:F,5,0),"")</f>
        <v>48699</v>
      </c>
      <c r="F540" t="str">
        <f>IF(NOT(ISBLANK(A540)),VLOOKUP(A540,'BBT3'!A:F,6,0),"")</f>
        <v>N</v>
      </c>
      <c r="G540">
        <f>IF(NOT(ISBLANK(A540)),VLOOKUP(A540,QW_Close!A:J,5,0),"")</f>
        <v>4.3265889851545801E-2</v>
      </c>
      <c r="H540" s="5" cm="1">
        <f t="array" ref="H540">IF(NOT(ISBLANK(A540)),((_xlfn.XLOOKUP(1,(_bbt3[[#All],[ID]]=A540)*(_bbt3[[#All],[METRIC_NAME]]="YLD_YTM_ASK"),_bbt3[[#All],[METRIC_VALUE]])*0.5)+(_xlfn.XLOOKUP(1,(_bbt3[[#All],[ID]]=A540)*(_bbt3[[#All],[METRIC_NAME]]="YLD_YTM_BID"),_bbt3[[#All],[METRIC_VALUE]])*0.5))/100,"")</f>
        <v>4.3265890450000004E-2</v>
      </c>
      <c r="I540">
        <f>IF(ISNA(VLOOKUP(A540,QW_CloseDL!A:E,5,0)),0,VLOOKUP(A540,QW_CloseDL!A:E,5,0))</f>
        <v>4.3265889851545801E-2</v>
      </c>
      <c r="J540" s="8">
        <f t="shared" si="40"/>
        <v>0</v>
      </c>
      <c r="P540">
        <v>0</v>
      </c>
      <c r="Q540" t="e">
        <f t="shared" si="41"/>
        <v>#N/A</v>
      </c>
      <c r="R540" t="e">
        <f t="shared" si="42"/>
        <v>#N/A</v>
      </c>
      <c r="S540" s="9" t="e">
        <f t="shared" si="43"/>
        <v>#N/A</v>
      </c>
      <c r="T540" s="3" t="e">
        <f t="shared" si="44"/>
        <v>#N/A</v>
      </c>
    </row>
    <row r="541" spans="1:20" x14ac:dyDescent="0.35">
      <c r="A541" t="str">
        <v>91282CQP9</v>
      </c>
      <c r="B541" t="str">
        <f>IF(NOT(ISBLANK(A541)),VLOOKUP(A541,'BBT3'!A:F,2,0),"")</f>
        <v>Bond</v>
      </c>
      <c r="C541" t="str">
        <f>IF(NOT(ISBLANK(A541)),VLOOKUP(A541,'BBT3'!A:F,3,0),"")</f>
        <v>US91282CQP94</v>
      </c>
      <c r="D541" s="6">
        <f>IF(NOT(ISBLANK(A541)),VLOOKUP(A541,'BBT3'!A:F,4,1),"")</f>
        <v>1.25</v>
      </c>
      <c r="E541">
        <f>IF(NOT(ISBLANK(A541)),VLOOKUP(A541,'BBT3'!A:F,5,0),"")</f>
        <v>47953</v>
      </c>
      <c r="F541" t="str">
        <f>IF(NOT(ISBLANK(A541)),VLOOKUP(A541,'BBT3'!A:F,6,0),"")</f>
        <v>Y</v>
      </c>
      <c r="G541">
        <f>IF(NOT(ISBLANK(A541)),VLOOKUP(A541,QW_Close!A:J,5,0),"")</f>
        <v>1.68435835163043E-2</v>
      </c>
      <c r="H541" s="5" t="e" cm="1">
        <f t="array" ref="H541">IF(NOT(ISBLANK(A541)),((_xlfn.XLOOKUP(1,(_bbt3[[#All],[ID]]=A541)*(_bbt3[[#All],[METRIC_NAME]]="YLD_YTM_ASK"),_bbt3[[#All],[METRIC_VALUE]])*0.5)+(_xlfn.XLOOKUP(1,(_bbt3[[#All],[ID]]=A541)*(_bbt3[[#All],[METRIC_NAME]]="YLD_YTM_BID"),_bbt3[[#All],[METRIC_VALUE]])*0.5))/100,"")</f>
        <v>#N/A</v>
      </c>
      <c r="I541">
        <f>IF(ISNA(VLOOKUP(A541,QW_CloseDL!A:E,5,0)),0,VLOOKUP(A541,QW_CloseDL!A:E,5,0))</f>
        <v>1.68435835163043E-2</v>
      </c>
      <c r="J541" s="8">
        <f t="shared" si="40"/>
        <v>0</v>
      </c>
      <c r="P541">
        <v>0</v>
      </c>
      <c r="Q541" t="e">
        <f t="shared" si="41"/>
        <v>#N/A</v>
      </c>
      <c r="R541" t="e">
        <f t="shared" si="42"/>
        <v>#N/A</v>
      </c>
      <c r="S541" s="9" t="e">
        <f t="shared" si="43"/>
        <v>#N/A</v>
      </c>
      <c r="T541" s="3" t="e">
        <f t="shared" si="44"/>
        <v>#N/A</v>
      </c>
    </row>
    <row r="542" spans="1:20" x14ac:dyDescent="0.35">
      <c r="A542" t="str">
        <v>91282CQQ7</v>
      </c>
      <c r="B542" t="str">
        <f>IF(NOT(ISBLANK(A542)),VLOOKUP(A542,'BBT3'!A:F,2,0),"")</f>
        <v>Bond</v>
      </c>
      <c r="C542" t="str">
        <f>IF(NOT(ISBLANK(A542)),VLOOKUP(A542,'BBT3'!A:F,3,0),"")</f>
        <v>US91282CQQ77</v>
      </c>
      <c r="D542" s="6">
        <f>IF(NOT(ISBLANK(A542)),VLOOKUP(A542,'BBT3'!A:F,4,1),"")</f>
        <v>4.375</v>
      </c>
      <c r="E542">
        <f>IF(NOT(ISBLANK(A542)),VLOOKUP(A542,'BBT3'!A:F,5,0),"")</f>
        <v>49810</v>
      </c>
      <c r="F542" t="str">
        <f>IF(NOT(ISBLANK(A542)),VLOOKUP(A542,'BBT3'!A:F,6,0),"")</f>
        <v>N</v>
      </c>
      <c r="G542">
        <f>IF(NOT(ISBLANK(A542)),VLOOKUP(A542,QW_Close!A:J,5,0),"")</f>
        <v>4.4758510707736898E-2</v>
      </c>
      <c r="H542" s="5" cm="1">
        <f t="array" ref="H542">IF(NOT(ISBLANK(A542)),((_xlfn.XLOOKUP(1,(_bbt3[[#All],[ID]]=A542)*(_bbt3[[#All],[METRIC_NAME]]="YLD_YTM_ASK"),_bbt3[[#All],[METRIC_VALUE]])*0.5)+(_xlfn.XLOOKUP(1,(_bbt3[[#All],[ID]]=A542)*(_bbt3[[#All],[METRIC_NAME]]="YLD_YTM_BID"),_bbt3[[#All],[METRIC_VALUE]])*0.5))/100,"")</f>
        <v>4.4758511199999997E-2</v>
      </c>
      <c r="I542">
        <f>IF(ISNA(VLOOKUP(A542,QW_CloseDL!A:E,5,0)),0,VLOOKUP(A542,QW_CloseDL!A:E,5,0))</f>
        <v>4.4758510707736898E-2</v>
      </c>
      <c r="J542" s="8">
        <f t="shared" si="40"/>
        <v>0</v>
      </c>
      <c r="P542">
        <v>0</v>
      </c>
      <c r="Q542" t="e">
        <f t="shared" si="41"/>
        <v>#N/A</v>
      </c>
      <c r="R542" t="e">
        <f t="shared" si="42"/>
        <v>#N/A</v>
      </c>
      <c r="S542" s="9" t="e">
        <f t="shared" si="43"/>
        <v>#N/A</v>
      </c>
      <c r="T542" s="3" t="e">
        <f t="shared" si="44"/>
        <v>#N/A</v>
      </c>
    </row>
    <row r="543" spans="1:20" x14ac:dyDescent="0.35">
      <c r="A543" t="str">
        <v>91282CQR5</v>
      </c>
      <c r="B543" t="str">
        <f>IF(NOT(ISBLANK(A543)),VLOOKUP(A543,'BBT3'!A:F,2,0),"")</f>
        <v>Bond</v>
      </c>
      <c r="C543" t="str">
        <f>IF(NOT(ISBLANK(A543)),VLOOKUP(A543,'BBT3'!A:F,3,0),"")</f>
        <v>US91282CQR50</v>
      </c>
      <c r="D543" s="6">
        <f>IF(NOT(ISBLANK(A543)),VLOOKUP(A543,'BBT3'!A:F,4,1),"")</f>
        <v>3.875</v>
      </c>
      <c r="E543">
        <f>IF(NOT(ISBLANK(A543)),VLOOKUP(A543,'BBT3'!A:F,5,0),"")</f>
        <v>47253</v>
      </c>
      <c r="F543" t="str">
        <f>IF(NOT(ISBLANK(A543)),VLOOKUP(A543,'BBT3'!A:F,6,0),"")</f>
        <v>N</v>
      </c>
      <c r="G543">
        <f>IF(NOT(ISBLANK(A543)),VLOOKUP(A543,QW_Close!A:J,5,0),"")</f>
        <v>4.1004671627679401E-2</v>
      </c>
      <c r="H543" s="5" cm="1">
        <f t="array" ref="H543">IF(NOT(ISBLANK(A543)),((_xlfn.XLOOKUP(1,(_bbt3[[#All],[ID]]=A543)*(_bbt3[[#All],[METRIC_NAME]]="YLD_YTM_ASK"),_bbt3[[#All],[METRIC_VALUE]])*0.5)+(_xlfn.XLOOKUP(1,(_bbt3[[#All],[ID]]=A543)*(_bbt3[[#All],[METRIC_NAME]]="YLD_YTM_BID"),_bbt3[[#All],[METRIC_VALUE]])*0.5))/100,"")</f>
        <v>4.1004671950000002E-2</v>
      </c>
      <c r="I543">
        <f>IF(ISNA(VLOOKUP(A543,QW_CloseDL!A:E,5,0)),0,VLOOKUP(A543,QW_CloseDL!A:E,5,0))</f>
        <v>4.1004671627679401E-2</v>
      </c>
      <c r="J543" s="8">
        <f t="shared" si="40"/>
        <v>0</v>
      </c>
      <c r="P543">
        <v>0</v>
      </c>
      <c r="Q543" t="e">
        <f t="shared" si="41"/>
        <v>#N/A</v>
      </c>
      <c r="R543" t="e">
        <f t="shared" si="42"/>
        <v>#N/A</v>
      </c>
      <c r="S543" s="9" t="e">
        <f t="shared" si="43"/>
        <v>#N/A</v>
      </c>
      <c r="T543" s="3" t="e">
        <f t="shared" si="44"/>
        <v>#N/A</v>
      </c>
    </row>
    <row r="544" spans="1:20" x14ac:dyDescent="0.35">
      <c r="A544" t="str">
        <v>91282CQS3</v>
      </c>
      <c r="B544" t="str">
        <f>IF(NOT(ISBLANK(A544)),VLOOKUP(A544,'BBT3'!A:F,2,0),"")</f>
        <v>Bond</v>
      </c>
      <c r="C544" t="str">
        <f>IF(NOT(ISBLANK(A544)),VLOOKUP(A544,'BBT3'!A:F,3,0),"")</f>
        <v>US91282CQS34</v>
      </c>
      <c r="D544" s="6">
        <f>IF(NOT(ISBLANK(A544)),VLOOKUP(A544,'BBT3'!A:F,4,1),"")</f>
        <v>4</v>
      </c>
      <c r="E544">
        <f>IF(NOT(ISBLANK(A544)),VLOOKUP(A544,'BBT3'!A:F,5,0),"")</f>
        <v>46904</v>
      </c>
      <c r="F544" t="str">
        <f>IF(NOT(ISBLANK(A544)),VLOOKUP(A544,'BBT3'!A:F,6,0),"")</f>
        <v>N</v>
      </c>
      <c r="G544">
        <f>IF(NOT(ISBLANK(A544)),VLOOKUP(A544,QW_Close!A:J,5,0),"")</f>
        <v>4.0482821646692903E-2</v>
      </c>
      <c r="H544" s="5" cm="1">
        <f t="array" ref="H544">IF(NOT(ISBLANK(A544)),((_xlfn.XLOOKUP(1,(_bbt3[[#All],[ID]]=A544)*(_bbt3[[#All],[METRIC_NAME]]="YLD_YTM_ASK"),_bbt3[[#All],[METRIC_VALUE]])*0.5)+(_xlfn.XLOOKUP(1,(_bbt3[[#All],[ID]]=A544)*(_bbt3[[#All],[METRIC_NAME]]="YLD_YTM_BID"),_bbt3[[#All],[METRIC_VALUE]])*0.5))/100,"")</f>
        <v>4.0482822000000002E-2</v>
      </c>
      <c r="I544">
        <f>IF(ISNA(VLOOKUP(A544,QW_CloseDL!A:E,5,0)),0,VLOOKUP(A544,QW_CloseDL!A:E,5,0))</f>
        <v>4.0482821646692903E-2</v>
      </c>
      <c r="J544" s="8">
        <f t="shared" si="40"/>
        <v>0</v>
      </c>
      <c r="P544">
        <v>0</v>
      </c>
      <c r="Q544" t="e">
        <f t="shared" si="41"/>
        <v>#N/A</v>
      </c>
      <c r="R544" t="e">
        <f t="shared" si="42"/>
        <v>#N/A</v>
      </c>
      <c r="S544" s="9" t="e">
        <f t="shared" si="43"/>
        <v>#N/A</v>
      </c>
      <c r="T544" s="3" t="e">
        <f t="shared" si="44"/>
        <v>#N/A</v>
      </c>
    </row>
    <row r="545" spans="1:20" x14ac:dyDescent="0.35">
      <c r="A545" t="str">
        <v>91282CQT1</v>
      </c>
      <c r="B545" t="str">
        <f>IF(NOT(ISBLANK(A545)),VLOOKUP(A545,'BBT3'!A:F,2,0),"")</f>
        <v>Bond</v>
      </c>
      <c r="C545" t="str">
        <f>IF(NOT(ISBLANK(A545)),VLOOKUP(A545,'BBT3'!A:F,3,0),"")</f>
        <v>US91282CQT17</v>
      </c>
      <c r="D545" s="6">
        <f>IF(NOT(ISBLANK(A545)),VLOOKUP(A545,'BBT3'!A:F,4,1),"")</f>
        <v>4.25</v>
      </c>
      <c r="E545">
        <f>IF(NOT(ISBLANK(A545)),VLOOKUP(A545,'BBT3'!A:F,5,0),"")</f>
        <v>48730</v>
      </c>
      <c r="F545" t="str">
        <f>IF(NOT(ISBLANK(A545)),VLOOKUP(A545,'BBT3'!A:F,6,0),"")</f>
        <v>N</v>
      </c>
      <c r="G545">
        <f>IF(NOT(ISBLANK(A545)),VLOOKUP(A545,QW_Close!A:J,5,0),"")</f>
        <v>4.3277118203363302E-2</v>
      </c>
      <c r="H545" s="5" cm="1">
        <f t="array" ref="H545">IF(NOT(ISBLANK(A545)),((_xlfn.XLOOKUP(1,(_bbt3[[#All],[ID]]=A545)*(_bbt3[[#All],[METRIC_NAME]]="YLD_YTM_ASK"),_bbt3[[#All],[METRIC_VALUE]])*0.5)+(_xlfn.XLOOKUP(1,(_bbt3[[#All],[ID]]=A545)*(_bbt3[[#All],[METRIC_NAME]]="YLD_YTM_BID"),_bbt3[[#All],[METRIC_VALUE]])*0.5))/100,"")</f>
        <v>4.3277118500000003E-2</v>
      </c>
      <c r="I545">
        <f>IF(ISNA(VLOOKUP(A545,QW_CloseDL!A:E,5,0)),0,VLOOKUP(A545,QW_CloseDL!A:E,5,0))</f>
        <v>4.3277118203363302E-2</v>
      </c>
      <c r="J545" s="8">
        <f t="shared" si="40"/>
        <v>0</v>
      </c>
      <c r="P545">
        <v>0</v>
      </c>
      <c r="Q545" t="e">
        <f t="shared" si="41"/>
        <v>#N/A</v>
      </c>
      <c r="R545" t="e">
        <f t="shared" si="42"/>
        <v>#N/A</v>
      </c>
      <c r="S545" s="9" t="e">
        <f t="shared" si="43"/>
        <v>#N/A</v>
      </c>
      <c r="T545" s="3" t="e">
        <f t="shared" si="44"/>
        <v>#N/A</v>
      </c>
    </row>
    <row r="546" spans="1:20" x14ac:dyDescent="0.35">
      <c r="A546" t="str">
        <v>91282CQU8</v>
      </c>
      <c r="B546" t="str">
        <f>IF(NOT(ISBLANK(A546)),VLOOKUP(A546,'BBT3'!A:F,2,0),"")</f>
        <v>Bond</v>
      </c>
      <c r="C546" t="str">
        <f>IF(NOT(ISBLANK(A546)),VLOOKUP(A546,'BBT3'!A:F,3,0),"")</f>
        <v>US91282CQU89</v>
      </c>
      <c r="D546" s="6">
        <f>IF(NOT(ISBLANK(A546)),VLOOKUP(A546,'BBT3'!A:F,4,1),"")</f>
        <v>4.125</v>
      </c>
      <c r="E546">
        <f>IF(NOT(ISBLANK(A546)),VLOOKUP(A546,'BBT3'!A:F,5,0),"")</f>
        <v>47999</v>
      </c>
      <c r="F546" t="str">
        <f>IF(NOT(ISBLANK(A546)),VLOOKUP(A546,'BBT3'!A:F,6,0),"")</f>
        <v>N</v>
      </c>
      <c r="G546">
        <f>IF(NOT(ISBLANK(A546)),VLOOKUP(A546,QW_Close!A:J,5,0),"")</f>
        <v>4.1870800977739299E-2</v>
      </c>
      <c r="H546" s="5" cm="1">
        <f t="array" ref="H546">IF(NOT(ISBLANK(A546)),((_xlfn.XLOOKUP(1,(_bbt3[[#All],[ID]]=A546)*(_bbt3[[#All],[METRIC_NAME]]="YLD_YTM_ASK"),_bbt3[[#All],[METRIC_VALUE]])*0.5)+(_xlfn.XLOOKUP(1,(_bbt3[[#All],[ID]]=A546)*(_bbt3[[#All],[METRIC_NAME]]="YLD_YTM_BID"),_bbt3[[#All],[METRIC_VALUE]])*0.5))/100,"")</f>
        <v>4.1870801499999999E-2</v>
      </c>
      <c r="I546">
        <f>IF(ISNA(VLOOKUP(A546,QW_CloseDL!A:E,5,0)),0,VLOOKUP(A546,QW_CloseDL!A:E,5,0))</f>
        <v>4.1870800977739299E-2</v>
      </c>
      <c r="J546" s="8">
        <f t="shared" si="40"/>
        <v>0</v>
      </c>
      <c r="P546">
        <v>0</v>
      </c>
      <c r="Q546" t="e">
        <f t="shared" si="41"/>
        <v>#N/A</v>
      </c>
      <c r="R546" t="e">
        <f t="shared" si="42"/>
        <v>#N/A</v>
      </c>
      <c r="S546" s="9" t="e">
        <f t="shared" si="43"/>
        <v>#N/A</v>
      </c>
      <c r="T546" s="3" t="e">
        <f t="shared" si="44"/>
        <v>#N/A</v>
      </c>
    </row>
    <row r="547" spans="1:20" x14ac:dyDescent="0.35">
      <c r="A547" t="str">
        <v>9128334S6</v>
      </c>
      <c r="B547" t="str">
        <f>IF(NOT(ISBLANK(A547)),VLOOKUP(A547,'BBT3'!A:F,2,0),"")</f>
        <v>Bond</v>
      </c>
      <c r="C547" t="str">
        <f>IF(NOT(ISBLANK(A547)),VLOOKUP(A547,'BBT3'!A:F,3,0),"")</f>
        <v>US9128334S60</v>
      </c>
      <c r="D547" s="6">
        <f>IF(NOT(ISBLANK(A547)),VLOOKUP(A547,'BBT3'!A:F,4,1),"")</f>
        <v>0</v>
      </c>
      <c r="E547">
        <f>IF(NOT(ISBLANK(A547)),VLOOKUP(A547,'BBT3'!A:F,5,0),"")</f>
        <v>48075</v>
      </c>
      <c r="F547" t="str">
        <f>IF(NOT(ISBLANK(A547)),VLOOKUP(A547,'BBT3'!A:F,6,0),"")</f>
        <v>N</v>
      </c>
      <c r="G547">
        <f>IF(NOT(ISBLANK(A547)),VLOOKUP(A547,QW_Close!A:J,5,0),"")</f>
        <v>4.2479414810025803E-2</v>
      </c>
      <c r="H547" s="5" t="e" cm="1">
        <f t="array" ref="H547">IF(NOT(ISBLANK(A547)),((_xlfn.XLOOKUP(1,(_bbt3[[#All],[ID]]=A547)*(_bbt3[[#All],[METRIC_NAME]]="YLD_YTM_ASK"),_bbt3[[#All],[METRIC_VALUE]])*0.5)+(_xlfn.XLOOKUP(1,(_bbt3[[#All],[ID]]=A547)*(_bbt3[[#All],[METRIC_NAME]]="YLD_YTM_BID"),_bbt3[[#All],[METRIC_VALUE]])*0.5))/100,"")</f>
        <v>#N/A</v>
      </c>
      <c r="I547">
        <f>IF(ISNA(VLOOKUP(A547,QW_CloseDL!A:E,5,0)),0,VLOOKUP(A547,QW_CloseDL!A:E,5,0))</f>
        <v>4.2479825692899299E-2</v>
      </c>
      <c r="J547" s="8">
        <f t="shared" si="40"/>
        <v>4.1088287349583252E-3</v>
      </c>
      <c r="P547">
        <v>0</v>
      </c>
      <c r="Q547" t="e">
        <f t="shared" si="41"/>
        <v>#N/A</v>
      </c>
      <c r="R547" t="e">
        <f t="shared" si="42"/>
        <v>#N/A</v>
      </c>
      <c r="S547" s="9" t="e">
        <f t="shared" si="43"/>
        <v>#N/A</v>
      </c>
      <c r="T547" s="3" t="e">
        <f t="shared" si="44"/>
        <v>#N/A</v>
      </c>
    </row>
    <row r="548" spans="1:20" x14ac:dyDescent="0.35">
      <c r="A548" t="str">
        <v>9128334T4</v>
      </c>
      <c r="B548" t="str">
        <f>IF(NOT(ISBLANK(A548)),VLOOKUP(A548,'BBT3'!A:F,2,0),"")</f>
        <v>Bond</v>
      </c>
      <c r="C548" t="str">
        <f>IF(NOT(ISBLANK(A548)),VLOOKUP(A548,'BBT3'!A:F,3,0),"")</f>
        <v>US9128334T44</v>
      </c>
      <c r="D548" s="6">
        <f>IF(NOT(ISBLANK(A548)),VLOOKUP(A548,'BBT3'!A:F,4,1),"")</f>
        <v>0</v>
      </c>
      <c r="E548">
        <f>IF(NOT(ISBLANK(A548)),VLOOKUP(A548,'BBT3'!A:F,5,0),"")</f>
        <v>48259</v>
      </c>
      <c r="F548" t="str">
        <f>IF(NOT(ISBLANK(A548)),VLOOKUP(A548,'BBT3'!A:F,6,0),"")</f>
        <v>N</v>
      </c>
      <c r="G548">
        <f>IF(NOT(ISBLANK(A548)),VLOOKUP(A548,QW_Close!A:J,5,0),"")</f>
        <v>4.2824375588839801E-2</v>
      </c>
      <c r="H548" s="5" t="e" cm="1">
        <f t="array" ref="H548">IF(NOT(ISBLANK(A548)),((_xlfn.XLOOKUP(1,(_bbt3[[#All],[ID]]=A548)*(_bbt3[[#All],[METRIC_NAME]]="YLD_YTM_ASK"),_bbt3[[#All],[METRIC_VALUE]])*0.5)+(_xlfn.XLOOKUP(1,(_bbt3[[#All],[ID]]=A548)*(_bbt3[[#All],[METRIC_NAME]]="YLD_YTM_BID"),_bbt3[[#All],[METRIC_VALUE]])*0.5))/100,"")</f>
        <v>#N/A</v>
      </c>
      <c r="I548">
        <f>IF(ISNA(VLOOKUP(A548,QW_CloseDL!A:E,5,0)),0,VLOOKUP(A548,QW_CloseDL!A:E,5,0))</f>
        <v>4.2824832487072202E-2</v>
      </c>
      <c r="J548" s="8">
        <f t="shared" si="40"/>
        <v>4.5689823240102623E-3</v>
      </c>
      <c r="P548">
        <v>0</v>
      </c>
      <c r="Q548" t="e">
        <f t="shared" si="41"/>
        <v>#N/A</v>
      </c>
      <c r="R548" t="e">
        <f t="shared" si="42"/>
        <v>#N/A</v>
      </c>
      <c r="S548" s="9" t="e">
        <f t="shared" si="43"/>
        <v>#N/A</v>
      </c>
      <c r="T548" s="3" t="e">
        <f t="shared" si="44"/>
        <v>#N/A</v>
      </c>
    </row>
    <row r="549" spans="1:20" x14ac:dyDescent="0.35">
      <c r="A549" t="str">
        <v>9128334U1</v>
      </c>
      <c r="B549" t="str">
        <f>IF(NOT(ISBLANK(A549)),VLOOKUP(A549,'BBT3'!A:F,2,0),"")</f>
        <v>Bond</v>
      </c>
      <c r="C549" t="str">
        <f>IF(NOT(ISBLANK(A549)),VLOOKUP(A549,'BBT3'!A:F,3,0),"")</f>
        <v>US9128334U17</v>
      </c>
      <c r="D549" s="6">
        <f>IF(NOT(ISBLANK(A549)),VLOOKUP(A549,'BBT3'!A:F,4,1),"")</f>
        <v>0</v>
      </c>
      <c r="E549">
        <f>IF(NOT(ISBLANK(A549)),VLOOKUP(A549,'BBT3'!A:F,5,0),"")</f>
        <v>48441</v>
      </c>
      <c r="F549" t="str">
        <f>IF(NOT(ISBLANK(A549)),VLOOKUP(A549,'BBT3'!A:F,6,0),"")</f>
        <v>N</v>
      </c>
      <c r="G549">
        <f>IF(NOT(ISBLANK(A549)),VLOOKUP(A549,QW_Close!A:J,5,0),"")</f>
        <v>4.3039307113585501E-2</v>
      </c>
      <c r="H549" s="5" t="e" cm="1">
        <f t="array" ref="H549">IF(NOT(ISBLANK(A549)),((_xlfn.XLOOKUP(1,(_bbt3[[#All],[ID]]=A549)*(_bbt3[[#All],[METRIC_NAME]]="YLD_YTM_ASK"),_bbt3[[#All],[METRIC_VALUE]])*0.5)+(_xlfn.XLOOKUP(1,(_bbt3[[#All],[ID]]=A549)*(_bbt3[[#All],[METRIC_NAME]]="YLD_YTM_BID"),_bbt3[[#All],[METRIC_VALUE]])*0.5))/100,"")</f>
        <v>#N/A</v>
      </c>
      <c r="I549">
        <f>IF(ISNA(VLOOKUP(A549,QW_CloseDL!A:E,5,0)),0,VLOOKUP(A549,QW_CloseDL!A:E,5,0))</f>
        <v>4.3039826622285199E-2</v>
      </c>
      <c r="J549" s="8">
        <f t="shared" si="40"/>
        <v>5.1950869969785707E-3</v>
      </c>
      <c r="P549">
        <v>0</v>
      </c>
      <c r="Q549" t="e">
        <f t="shared" si="41"/>
        <v>#N/A</v>
      </c>
      <c r="R549" t="e">
        <f t="shared" si="42"/>
        <v>#N/A</v>
      </c>
      <c r="S549" s="9" t="e">
        <f t="shared" si="43"/>
        <v>#N/A</v>
      </c>
      <c r="T549" s="3" t="e">
        <f t="shared" si="44"/>
        <v>#N/A</v>
      </c>
    </row>
    <row r="550" spans="1:20" x14ac:dyDescent="0.35">
      <c r="A550" t="str">
        <v>9128334V9</v>
      </c>
      <c r="B550" t="str">
        <f>IF(NOT(ISBLANK(A550)),VLOOKUP(A550,'BBT3'!A:F,2,0),"")</f>
        <v>Bond</v>
      </c>
      <c r="C550" t="str">
        <f>IF(NOT(ISBLANK(A550)),VLOOKUP(A550,'BBT3'!A:F,3,0),"")</f>
        <v>US9128334V99</v>
      </c>
      <c r="D550" s="6">
        <f>IF(NOT(ISBLANK(A550)),VLOOKUP(A550,'BBT3'!A:F,4,1),"")</f>
        <v>0</v>
      </c>
      <c r="E550">
        <f>IF(NOT(ISBLANK(A550)),VLOOKUP(A550,'BBT3'!A:F,5,0),"")</f>
        <v>48625</v>
      </c>
      <c r="F550" t="str">
        <f>IF(NOT(ISBLANK(A550)),VLOOKUP(A550,'BBT3'!A:F,6,0),"")</f>
        <v>N</v>
      </c>
      <c r="G550">
        <f>IF(NOT(ISBLANK(A550)),VLOOKUP(A550,QW_Close!A:J,5,0),"")</f>
        <v>4.3454653597463297E-2</v>
      </c>
      <c r="H550" s="5" t="e" cm="1">
        <f t="array" ref="H550">IF(NOT(ISBLANK(A550)),((_xlfn.XLOOKUP(1,(_bbt3[[#All],[ID]]=A550)*(_bbt3[[#All],[METRIC_NAME]]="YLD_YTM_ASK"),_bbt3[[#All],[METRIC_VALUE]])*0.5)+(_xlfn.XLOOKUP(1,(_bbt3[[#All],[ID]]=A550)*(_bbt3[[#All],[METRIC_NAME]]="YLD_YTM_BID"),_bbt3[[#All],[METRIC_VALUE]])*0.5))/100,"")</f>
        <v>#N/A</v>
      </c>
      <c r="I550">
        <f>IF(ISNA(VLOOKUP(A550,QW_CloseDL!A:E,5,0)),0,VLOOKUP(A550,QW_CloseDL!A:E,5,0))</f>
        <v>4.3454805528038799E-2</v>
      </c>
      <c r="J550" s="8">
        <f t="shared" si="40"/>
        <v>1.5193057550239031E-3</v>
      </c>
      <c r="P550">
        <v>0</v>
      </c>
      <c r="Q550" t="e">
        <f t="shared" si="41"/>
        <v>#N/A</v>
      </c>
      <c r="R550" t="e">
        <f t="shared" si="42"/>
        <v>#N/A</v>
      </c>
      <c r="S550" s="9" t="e">
        <f t="shared" si="43"/>
        <v>#N/A</v>
      </c>
      <c r="T550" s="3" t="e">
        <f t="shared" si="44"/>
        <v>#N/A</v>
      </c>
    </row>
    <row r="551" spans="1:20" x14ac:dyDescent="0.35">
      <c r="A551" t="str">
        <v>9128334W7</v>
      </c>
      <c r="B551" t="str">
        <f>IF(NOT(ISBLANK(A551)),VLOOKUP(A551,'BBT3'!A:F,2,0),"")</f>
        <v>Bond</v>
      </c>
      <c r="C551" t="str">
        <f>IF(NOT(ISBLANK(A551)),VLOOKUP(A551,'BBT3'!A:F,3,0),"")</f>
        <v>US9128334W72</v>
      </c>
      <c r="D551" s="6">
        <f>IF(NOT(ISBLANK(A551)),VLOOKUP(A551,'BBT3'!A:F,4,1),"")</f>
        <v>0</v>
      </c>
      <c r="E551">
        <f>IF(NOT(ISBLANK(A551)),VLOOKUP(A551,'BBT3'!A:F,5,0),"")</f>
        <v>48806</v>
      </c>
      <c r="F551" t="str">
        <f>IF(NOT(ISBLANK(A551)),VLOOKUP(A551,'BBT3'!A:F,6,0),"")</f>
        <v>N</v>
      </c>
      <c r="G551">
        <f>IF(NOT(ISBLANK(A551)),VLOOKUP(A551,QW_Close!A:J,5,0),"")</f>
        <v>4.3864237410897802E-2</v>
      </c>
      <c r="H551" s="5" t="e" cm="1">
        <f t="array" ref="H551">IF(NOT(ISBLANK(A551)),((_xlfn.XLOOKUP(1,(_bbt3[[#All],[ID]]=A551)*(_bbt3[[#All],[METRIC_NAME]]="YLD_YTM_ASK"),_bbt3[[#All],[METRIC_VALUE]])*0.5)+(_xlfn.XLOOKUP(1,(_bbt3[[#All],[ID]]=A551)*(_bbt3[[#All],[METRIC_NAME]]="YLD_YTM_BID"),_bbt3[[#All],[METRIC_VALUE]])*0.5))/100,"")</f>
        <v>#N/A</v>
      </c>
      <c r="I551">
        <f>IF(ISNA(VLOOKUP(A551,QW_CloseDL!A:E,5,0)),0,VLOOKUP(A551,QW_CloseDL!A:E,5,0))</f>
        <v>4.38648417614921E-2</v>
      </c>
      <c r="J551" s="8">
        <f t="shared" si="40"/>
        <v>6.0435059429791993E-3</v>
      </c>
      <c r="P551">
        <v>0</v>
      </c>
      <c r="Q551" t="e">
        <f t="shared" si="41"/>
        <v>#N/A</v>
      </c>
      <c r="R551" t="e">
        <f t="shared" si="42"/>
        <v>#N/A</v>
      </c>
      <c r="S551" s="9" t="e">
        <f t="shared" si="43"/>
        <v>#N/A</v>
      </c>
      <c r="T551" s="3" t="e">
        <f t="shared" si="44"/>
        <v>#N/A</v>
      </c>
    </row>
    <row r="552" spans="1:20" x14ac:dyDescent="0.35">
      <c r="A552" t="str">
        <v>9128334X5</v>
      </c>
      <c r="B552" t="str">
        <f>IF(NOT(ISBLANK(A552)),VLOOKUP(A552,'BBT3'!A:F,2,0),"")</f>
        <v>Bond</v>
      </c>
      <c r="C552" t="str">
        <f>IF(NOT(ISBLANK(A552)),VLOOKUP(A552,'BBT3'!A:F,3,0),"")</f>
        <v>US9128334X55</v>
      </c>
      <c r="D552" s="6">
        <f>IF(NOT(ISBLANK(A552)),VLOOKUP(A552,'BBT3'!A:F,4,1),"")</f>
        <v>0</v>
      </c>
      <c r="E552">
        <f>IF(NOT(ISBLANK(A552)),VLOOKUP(A552,'BBT3'!A:F,5,0),"")</f>
        <v>48990</v>
      </c>
      <c r="F552" t="str">
        <f>IF(NOT(ISBLANK(A552)),VLOOKUP(A552,'BBT3'!A:F,6,0),"")</f>
        <v>N</v>
      </c>
      <c r="G552">
        <f>IF(NOT(ISBLANK(A552)),VLOOKUP(A552,QW_Close!A:J,5,0),"")</f>
        <v>4.4279252609471603E-2</v>
      </c>
      <c r="H552" s="5" t="e" cm="1">
        <f t="array" ref="H552">IF(NOT(ISBLANK(A552)),((_xlfn.XLOOKUP(1,(_bbt3[[#All],[ID]]=A552)*(_bbt3[[#All],[METRIC_NAME]]="YLD_YTM_ASK"),_bbt3[[#All],[METRIC_VALUE]])*0.5)+(_xlfn.XLOOKUP(1,(_bbt3[[#All],[ID]]=A552)*(_bbt3[[#All],[METRIC_NAME]]="YLD_YTM_BID"),_bbt3[[#All],[METRIC_VALUE]])*0.5))/100,"")</f>
        <v>#N/A</v>
      </c>
      <c r="I552">
        <f>IF(ISNA(VLOOKUP(A552,QW_CloseDL!A:E,5,0)),0,VLOOKUP(A552,QW_CloseDL!A:E,5,0))</f>
        <v>4.4279839624891702E-2</v>
      </c>
      <c r="J552" s="8">
        <f t="shared" si="40"/>
        <v>5.8701542009903518E-3</v>
      </c>
      <c r="P552">
        <v>0</v>
      </c>
      <c r="Q552" t="e">
        <f t="shared" si="41"/>
        <v>#N/A</v>
      </c>
      <c r="R552" t="e">
        <f t="shared" si="42"/>
        <v>#N/A</v>
      </c>
      <c r="S552" s="9" t="e">
        <f t="shared" si="43"/>
        <v>#N/A</v>
      </c>
      <c r="T552" s="3" t="e">
        <f t="shared" si="44"/>
        <v>#N/A</v>
      </c>
    </row>
    <row r="553" spans="1:20" x14ac:dyDescent="0.35">
      <c r="A553" t="str">
        <v>9128334Y3</v>
      </c>
      <c r="B553" t="str">
        <f>IF(NOT(ISBLANK(A553)),VLOOKUP(A553,'BBT3'!A:F,2,0),"")</f>
        <v>Bond</v>
      </c>
      <c r="C553" t="str">
        <f>IF(NOT(ISBLANK(A553)),VLOOKUP(A553,'BBT3'!A:F,3,0),"")</f>
        <v>US9128334Y39</v>
      </c>
      <c r="D553" s="6">
        <f>IF(NOT(ISBLANK(A553)),VLOOKUP(A553,'BBT3'!A:F,4,1),"")</f>
        <v>0</v>
      </c>
      <c r="E553">
        <f>IF(NOT(ISBLANK(A553)),VLOOKUP(A553,'BBT3'!A:F,5,0),"")</f>
        <v>49171</v>
      </c>
      <c r="F553" t="str">
        <f>IF(NOT(ISBLANK(A553)),VLOOKUP(A553,'BBT3'!A:F,6,0),"")</f>
        <v>N</v>
      </c>
      <c r="G553">
        <f>IF(NOT(ISBLANK(A553)),VLOOKUP(A553,QW_Close!A:J,5,0),"")</f>
        <v>4.4589941499123799E-2</v>
      </c>
      <c r="H553" s="5" t="e" cm="1">
        <f t="array" ref="H553">IF(NOT(ISBLANK(A553)),((_xlfn.XLOOKUP(1,(_bbt3[[#All],[ID]]=A553)*(_bbt3[[#All],[METRIC_NAME]]="YLD_YTM_ASK"),_bbt3[[#All],[METRIC_VALUE]])*0.5)+(_xlfn.XLOOKUP(1,(_bbt3[[#All],[ID]]=A553)*(_bbt3[[#All],[METRIC_NAME]]="YLD_YTM_BID"),_bbt3[[#All],[METRIC_VALUE]])*0.5))/100,"")</f>
        <v>#N/A</v>
      </c>
      <c r="I553">
        <f>IF(ISNA(VLOOKUP(A553,QW_CloseDL!A:E,5,0)),0,VLOOKUP(A553,QW_CloseDL!A:E,5,0))</f>
        <v>4.4589812431283599E-2</v>
      </c>
      <c r="J553" s="8">
        <f t="shared" si="40"/>
        <v>1.2906784020022544E-3</v>
      </c>
      <c r="P553">
        <v>0</v>
      </c>
      <c r="Q553" t="e">
        <f t="shared" si="41"/>
        <v>#N/A</v>
      </c>
      <c r="R553" t="e">
        <f t="shared" si="42"/>
        <v>#N/A</v>
      </c>
      <c r="S553" s="9" t="e">
        <f t="shared" si="43"/>
        <v>#N/A</v>
      </c>
      <c r="T553" s="3" t="e">
        <f t="shared" si="44"/>
        <v>#N/A</v>
      </c>
    </row>
    <row r="554" spans="1:20" x14ac:dyDescent="0.35">
      <c r="A554" t="str">
        <v>9128334Z0</v>
      </c>
      <c r="B554" t="str">
        <f>IF(NOT(ISBLANK(A554)),VLOOKUP(A554,'BBT3'!A:F,2,0),"")</f>
        <v>Bond</v>
      </c>
      <c r="C554" t="str">
        <f>IF(NOT(ISBLANK(A554)),VLOOKUP(A554,'BBT3'!A:F,3,0),"")</f>
        <v>US9128334Z04</v>
      </c>
      <c r="D554" s="6">
        <f>IF(NOT(ISBLANK(A554)),VLOOKUP(A554,'BBT3'!A:F,4,1),"")</f>
        <v>0</v>
      </c>
      <c r="E554">
        <f>IF(NOT(ISBLANK(A554)),VLOOKUP(A554,'BBT3'!A:F,5,0),"")</f>
        <v>49355</v>
      </c>
      <c r="F554" t="str">
        <f>IF(NOT(ISBLANK(A554)),VLOOKUP(A554,'BBT3'!A:F,6,0),"")</f>
        <v>N</v>
      </c>
      <c r="G554">
        <f>IF(NOT(ISBLANK(A554)),VLOOKUP(A554,QW_Close!A:J,5,0),"")</f>
        <v>4.4985095218913897E-2</v>
      </c>
      <c r="H554" s="5" t="e" cm="1">
        <f t="array" ref="H554">IF(NOT(ISBLANK(A554)),((_xlfn.XLOOKUP(1,(_bbt3[[#All],[ID]]=A554)*(_bbt3[[#All],[METRIC_NAME]]="YLD_YTM_ASK"),_bbt3[[#All],[METRIC_VALUE]])*0.5)+(_xlfn.XLOOKUP(1,(_bbt3[[#All],[ID]]=A554)*(_bbt3[[#All],[METRIC_NAME]]="YLD_YTM_BID"),_bbt3[[#All],[METRIC_VALUE]])*0.5))/100,"")</f>
        <v>#N/A</v>
      </c>
      <c r="I554">
        <f>IF(ISNA(VLOOKUP(A554,QW_CloseDL!A:E,5,0)),0,VLOOKUP(A554,QW_CloseDL!A:E,5,0))</f>
        <v>4.4984792130415403E-2</v>
      </c>
      <c r="J554" s="8">
        <f t="shared" si="40"/>
        <v>3.0308849849336461E-3</v>
      </c>
      <c r="P554">
        <v>0</v>
      </c>
      <c r="Q554" t="e">
        <f t="shared" si="41"/>
        <v>#N/A</v>
      </c>
      <c r="R554" t="e">
        <f t="shared" si="42"/>
        <v>#N/A</v>
      </c>
      <c r="S554" s="9" t="e">
        <f t="shared" si="43"/>
        <v>#N/A</v>
      </c>
      <c r="T554" s="3" t="e">
        <f t="shared" si="44"/>
        <v>#N/A</v>
      </c>
    </row>
    <row r="555" spans="1:20" x14ac:dyDescent="0.35">
      <c r="A555" t="str">
        <v>9128335A4</v>
      </c>
      <c r="B555" t="str">
        <f>IF(NOT(ISBLANK(A555)),VLOOKUP(A555,'BBT3'!A:F,2,0),"")</f>
        <v>Bond</v>
      </c>
      <c r="C555" t="str">
        <f>IF(NOT(ISBLANK(A555)),VLOOKUP(A555,'BBT3'!A:F,3,0),"")</f>
        <v>US9128335A44</v>
      </c>
      <c r="D555" s="6">
        <f>IF(NOT(ISBLANK(A555)),VLOOKUP(A555,'BBT3'!A:F,4,1),"")</f>
        <v>0</v>
      </c>
      <c r="E555">
        <f>IF(NOT(ISBLANK(A555)),VLOOKUP(A555,'BBT3'!A:F,5,0),"")</f>
        <v>49536</v>
      </c>
      <c r="F555" t="str">
        <f>IF(NOT(ISBLANK(A555)),VLOOKUP(A555,'BBT3'!A:F,6,0),"")</f>
        <v>N</v>
      </c>
      <c r="G555">
        <f>IF(NOT(ISBLANK(A555)),VLOOKUP(A555,QW_Close!A:J,5,0),"")</f>
        <v>4.53144363306138E-2</v>
      </c>
      <c r="H555" s="5" t="e" cm="1">
        <f t="array" ref="H555">IF(NOT(ISBLANK(A555)),((_xlfn.XLOOKUP(1,(_bbt3[[#All],[ID]]=A555)*(_bbt3[[#All],[METRIC_NAME]]="YLD_YTM_ASK"),_bbt3[[#All],[METRIC_VALUE]])*0.5)+(_xlfn.XLOOKUP(1,(_bbt3[[#All],[ID]]=A555)*(_bbt3[[#All],[METRIC_NAME]]="YLD_YTM_BID"),_bbt3[[#All],[METRIC_VALUE]])*0.5))/100,"")</f>
        <v>#N/A</v>
      </c>
      <c r="I555">
        <f>IF(ISNA(VLOOKUP(A555,QW_CloseDL!A:E,5,0)),0,VLOOKUP(A555,QW_CloseDL!A:E,5,0))</f>
        <v>4.5314780862595098E-2</v>
      </c>
      <c r="J555" s="8">
        <f t="shared" si="40"/>
        <v>3.4453198129863472E-3</v>
      </c>
      <c r="P555">
        <v>0</v>
      </c>
      <c r="Q555" t="e">
        <f t="shared" si="41"/>
        <v>#N/A</v>
      </c>
      <c r="R555" t="e">
        <f t="shared" si="42"/>
        <v>#N/A</v>
      </c>
      <c r="S555" s="9" t="e">
        <f t="shared" si="43"/>
        <v>#N/A</v>
      </c>
      <c r="T555" s="3" t="e">
        <f t="shared" si="44"/>
        <v>#N/A</v>
      </c>
    </row>
    <row r="556" spans="1:20" x14ac:dyDescent="0.35">
      <c r="A556" t="str">
        <v>9128335B2</v>
      </c>
      <c r="B556" t="str">
        <f>IF(NOT(ISBLANK(A556)),VLOOKUP(A556,'BBT3'!A:F,2,0),"")</f>
        <v>Bond</v>
      </c>
      <c r="C556" t="str">
        <f>IF(NOT(ISBLANK(A556)),VLOOKUP(A556,'BBT3'!A:F,3,0),"")</f>
        <v>US9128335B27</v>
      </c>
      <c r="D556" s="6">
        <f>IF(NOT(ISBLANK(A556)),VLOOKUP(A556,'BBT3'!A:F,4,1),"")</f>
        <v>0</v>
      </c>
      <c r="E556">
        <f>IF(NOT(ISBLANK(A556)),VLOOKUP(A556,'BBT3'!A:F,5,0),"")</f>
        <v>49720</v>
      </c>
      <c r="F556" t="str">
        <f>IF(NOT(ISBLANK(A556)),VLOOKUP(A556,'BBT3'!A:F,6,0),"")</f>
        <v>N</v>
      </c>
      <c r="G556">
        <f>IF(NOT(ISBLANK(A556)),VLOOKUP(A556,QW_Close!A:J,5,0),"")</f>
        <v>4.5690051550512298E-2</v>
      </c>
      <c r="H556" s="5" t="e" cm="1">
        <f t="array" ref="H556">IF(NOT(ISBLANK(A556)),((_xlfn.XLOOKUP(1,(_bbt3[[#All],[ID]]=A556)*(_bbt3[[#All],[METRIC_NAME]]="YLD_YTM_ASK"),_bbt3[[#All],[METRIC_VALUE]])*0.5)+(_xlfn.XLOOKUP(1,(_bbt3[[#All],[ID]]=A556)*(_bbt3[[#All],[METRIC_NAME]]="YLD_YTM_BID"),_bbt3[[#All],[METRIC_VALUE]])*0.5))/100,"")</f>
        <v>#N/A</v>
      </c>
      <c r="I556">
        <f>IF(ISNA(VLOOKUP(A556,QW_CloseDL!A:E,5,0)),0,VLOOKUP(A556,QW_CloseDL!A:E,5,0))</f>
        <v>4.56897587706422E-2</v>
      </c>
      <c r="J556" s="8">
        <f t="shared" si="40"/>
        <v>2.9277987009801443E-3</v>
      </c>
      <c r="P556">
        <v>0</v>
      </c>
      <c r="Q556" t="e">
        <f t="shared" si="41"/>
        <v>#N/A</v>
      </c>
      <c r="R556" t="e">
        <f t="shared" si="42"/>
        <v>#N/A</v>
      </c>
      <c r="S556" s="9" t="e">
        <f t="shared" si="43"/>
        <v>#N/A</v>
      </c>
      <c r="T556" s="3" t="e">
        <f t="shared" si="44"/>
        <v>#N/A</v>
      </c>
    </row>
    <row r="557" spans="1:20" x14ac:dyDescent="0.35">
      <c r="A557" t="str">
        <v>9128337F1</v>
      </c>
      <c r="B557" t="str">
        <f>IF(NOT(ISBLANK(A557)),VLOOKUP(A557,'BBT3'!A:F,2,0),"")</f>
        <v>Bond</v>
      </c>
      <c r="C557" t="str">
        <f>IF(NOT(ISBLANK(A557)),VLOOKUP(A557,'BBT3'!A:F,3,0),"")</f>
        <v>US9128337F13</v>
      </c>
      <c r="D557" s="6">
        <f>IF(NOT(ISBLANK(A557)),VLOOKUP(A557,'BBT3'!A:F,4,1),"")</f>
        <v>0</v>
      </c>
      <c r="E557">
        <f>IF(NOT(ISBLANK(A557)),VLOOKUP(A557,'BBT3'!A:F,5,0),"")</f>
        <v>50086</v>
      </c>
      <c r="F557" t="str">
        <f>IF(NOT(ISBLANK(A557)),VLOOKUP(A557,'BBT3'!A:F,6,0),"")</f>
        <v>N</v>
      </c>
      <c r="G557">
        <f>IF(NOT(ISBLANK(A557)),VLOOKUP(A557,QW_Close!A:J,5,0),"")</f>
        <v>4.6629965552879599E-2</v>
      </c>
      <c r="H557" s="5" t="e" cm="1">
        <f t="array" ref="H557">IF(NOT(ISBLANK(A557)),((_xlfn.XLOOKUP(1,(_bbt3[[#All],[ID]]=A557)*(_bbt3[[#All],[METRIC_NAME]]="YLD_YTM_ASK"),_bbt3[[#All],[METRIC_VALUE]])*0.5)+(_xlfn.XLOOKUP(1,(_bbt3[[#All],[ID]]=A557)*(_bbt3[[#All],[METRIC_NAME]]="YLD_YTM_BID"),_bbt3[[#All],[METRIC_VALUE]])*0.5))/100,"")</f>
        <v>#N/A</v>
      </c>
      <c r="I557">
        <f>IF(ISNA(VLOOKUP(A557,QW_CloseDL!A:E,5,0)),0,VLOOKUP(A557,QW_CloseDL!A:E,5,0))</f>
        <v>4.6629710612521802E-2</v>
      </c>
      <c r="J557" s="8">
        <f t="shared" si="40"/>
        <v>2.5494035779671798E-3</v>
      </c>
      <c r="P557">
        <v>0</v>
      </c>
      <c r="Q557" t="e">
        <f t="shared" si="41"/>
        <v>#N/A</v>
      </c>
      <c r="R557" t="e">
        <f t="shared" si="42"/>
        <v>#N/A</v>
      </c>
      <c r="S557" s="9" t="e">
        <f t="shared" si="43"/>
        <v>#N/A</v>
      </c>
      <c r="T557" s="3" t="e">
        <f t="shared" si="44"/>
        <v>#N/A</v>
      </c>
    </row>
    <row r="558" spans="1:20" x14ac:dyDescent="0.35">
      <c r="A558" t="str">
        <v>9128337Q7</v>
      </c>
      <c r="B558" t="str">
        <f>IF(NOT(ISBLANK(A558)),VLOOKUP(A558,'BBT3'!A:F,2,0),"")</f>
        <v>Bond</v>
      </c>
      <c r="C558" t="str">
        <f>IF(NOT(ISBLANK(A558)),VLOOKUP(A558,'BBT3'!A:F,3,0),"")</f>
        <v>US9128337Q77</v>
      </c>
      <c r="D558" s="6">
        <f>IF(NOT(ISBLANK(A558)),VLOOKUP(A558,'BBT3'!A:F,4,1),"")</f>
        <v>0</v>
      </c>
      <c r="E558">
        <f>IF(NOT(ISBLANK(A558)),VLOOKUP(A558,'BBT3'!A:F,5,0),"")</f>
        <v>48167</v>
      </c>
      <c r="F558" t="str">
        <f>IF(NOT(ISBLANK(A558)),VLOOKUP(A558,'BBT3'!A:F,6,0),"")</f>
        <v>N</v>
      </c>
      <c r="G558">
        <f>IF(NOT(ISBLANK(A558)),VLOOKUP(A558,QW_Close!A:J,5,0),"")</f>
        <v>4.2654548218360303E-2</v>
      </c>
      <c r="H558" s="5" t="e" cm="1">
        <f t="array" ref="H558">IF(NOT(ISBLANK(A558)),((_xlfn.XLOOKUP(1,(_bbt3[[#All],[ID]]=A558)*(_bbt3[[#All],[METRIC_NAME]]="YLD_YTM_ASK"),_bbt3[[#All],[METRIC_VALUE]])*0.5)+(_xlfn.XLOOKUP(1,(_bbt3[[#All],[ID]]=A558)*(_bbt3[[#All],[METRIC_NAME]]="YLD_YTM_BID"),_bbt3[[#All],[METRIC_VALUE]])*0.5))/100,"")</f>
        <v>#N/A</v>
      </c>
      <c r="I558">
        <f>IF(ISNA(VLOOKUP(A558,QW_CloseDL!A:E,5,0)),0,VLOOKUP(A558,QW_CloseDL!A:E,5,0))</f>
        <v>4.2654492429053101E-2</v>
      </c>
      <c r="J558" s="8">
        <f t="shared" si="40"/>
        <v>5.5789307201736804E-4</v>
      </c>
      <c r="P558">
        <v>0</v>
      </c>
      <c r="Q558" t="e">
        <f t="shared" si="41"/>
        <v>#N/A</v>
      </c>
      <c r="R558" t="e">
        <f t="shared" si="42"/>
        <v>#N/A</v>
      </c>
      <c r="S558" s="9" t="e">
        <f t="shared" si="43"/>
        <v>#N/A</v>
      </c>
      <c r="T558" s="3" t="e">
        <f t="shared" si="44"/>
        <v>#N/A</v>
      </c>
    </row>
    <row r="559" spans="1:20" x14ac:dyDescent="0.35">
      <c r="A559" t="str">
        <v>9128337R5</v>
      </c>
      <c r="B559" t="str">
        <f>IF(NOT(ISBLANK(A559)),VLOOKUP(A559,'BBT3'!A:F,2,0),"")</f>
        <v>Bond</v>
      </c>
      <c r="C559" t="str">
        <f>IF(NOT(ISBLANK(A559)),VLOOKUP(A559,'BBT3'!A:F,3,0),"")</f>
        <v>US9128337R50</v>
      </c>
      <c r="D559" s="6">
        <f>IF(NOT(ISBLANK(A559)),VLOOKUP(A559,'BBT3'!A:F,4,1),"")</f>
        <v>0</v>
      </c>
      <c r="E559">
        <f>IF(NOT(ISBLANK(A559)),VLOOKUP(A559,'BBT3'!A:F,5,0),"")</f>
        <v>48349</v>
      </c>
      <c r="F559" t="str">
        <f>IF(NOT(ISBLANK(A559)),VLOOKUP(A559,'BBT3'!A:F,6,0),"")</f>
        <v>N</v>
      </c>
      <c r="G559">
        <f>IF(NOT(ISBLANK(A559)),VLOOKUP(A559,QW_Close!A:J,5,0),"")</f>
        <v>4.2867027357481199E-2</v>
      </c>
      <c r="H559" s="5" t="e" cm="1">
        <f t="array" ref="H559">IF(NOT(ISBLANK(A559)),((_xlfn.XLOOKUP(1,(_bbt3[[#All],[ID]]=A559)*(_bbt3[[#All],[METRIC_NAME]]="YLD_YTM_ASK"),_bbt3[[#All],[METRIC_VALUE]])*0.5)+(_xlfn.XLOOKUP(1,(_bbt3[[#All],[ID]]=A559)*(_bbt3[[#All],[METRIC_NAME]]="YLD_YTM_BID"),_bbt3[[#All],[METRIC_VALUE]])*0.5))/100,"")</f>
        <v>#N/A</v>
      </c>
      <c r="I559">
        <f>IF(ISNA(VLOOKUP(A559,QW_CloseDL!A:E,5,0)),0,VLOOKUP(A559,QW_CloseDL!A:E,5,0))</f>
        <v>4.28665486593953E-2</v>
      </c>
      <c r="J559" s="8">
        <f t="shared" si="40"/>
        <v>4.7869808589978691E-3</v>
      </c>
      <c r="P559">
        <v>0</v>
      </c>
      <c r="Q559" t="e">
        <f t="shared" si="41"/>
        <v>#N/A</v>
      </c>
      <c r="R559" t="e">
        <f t="shared" si="42"/>
        <v>#N/A</v>
      </c>
      <c r="S559" s="9" t="e">
        <f t="shared" si="43"/>
        <v>#N/A</v>
      </c>
      <c r="T559" s="3" t="e">
        <f t="shared" si="44"/>
        <v>#N/A</v>
      </c>
    </row>
    <row r="560" spans="1:20" x14ac:dyDescent="0.35">
      <c r="A560" t="str">
        <v>9128337S3</v>
      </c>
      <c r="B560" t="str">
        <f>IF(NOT(ISBLANK(A560)),VLOOKUP(A560,'BBT3'!A:F,2,0),"")</f>
        <v>Bond</v>
      </c>
      <c r="C560" t="str">
        <f>IF(NOT(ISBLANK(A560)),VLOOKUP(A560,'BBT3'!A:F,3,0),"")</f>
        <v>US9128337S34</v>
      </c>
      <c r="D560" s="6">
        <f>IF(NOT(ISBLANK(A560)),VLOOKUP(A560,'BBT3'!A:F,4,1),"")</f>
        <v>0</v>
      </c>
      <c r="E560">
        <f>IF(NOT(ISBLANK(A560)),VLOOKUP(A560,'BBT3'!A:F,5,0),"")</f>
        <v>48533</v>
      </c>
      <c r="F560" t="str">
        <f>IF(NOT(ISBLANK(A560)),VLOOKUP(A560,'BBT3'!A:F,6,0),"")</f>
        <v>N</v>
      </c>
      <c r="G560">
        <f>IF(NOT(ISBLANK(A560)),VLOOKUP(A560,QW_Close!A:J,5,0),"")</f>
        <v>4.3178359929692801E-2</v>
      </c>
      <c r="H560" s="5" t="e" cm="1">
        <f t="array" ref="H560">IF(NOT(ISBLANK(A560)),((_xlfn.XLOOKUP(1,(_bbt3[[#All],[ID]]=A560)*(_bbt3[[#All],[METRIC_NAME]]="YLD_YTM_ASK"),_bbt3[[#All],[METRIC_VALUE]])*0.5)+(_xlfn.XLOOKUP(1,(_bbt3[[#All],[ID]]=A560)*(_bbt3[[#All],[METRIC_NAME]]="YLD_YTM_BID"),_bbt3[[#All],[METRIC_VALUE]])*0.5))/100,"")</f>
        <v>#N/A</v>
      </c>
      <c r="I560">
        <f>IF(ISNA(VLOOKUP(A560,QW_CloseDL!A:E,5,0)),0,VLOOKUP(A560,QW_CloseDL!A:E,5,0))</f>
        <v>4.3178203690512E-2</v>
      </c>
      <c r="J560" s="8">
        <f t="shared" si="40"/>
        <v>1.5623918080132082E-3</v>
      </c>
      <c r="P560">
        <v>0</v>
      </c>
      <c r="Q560" t="e">
        <f t="shared" si="41"/>
        <v>#N/A</v>
      </c>
      <c r="R560" t="e">
        <f t="shared" si="42"/>
        <v>#N/A</v>
      </c>
      <c r="S560" s="9" t="e">
        <f t="shared" si="43"/>
        <v>#N/A</v>
      </c>
      <c r="T560" s="3" t="e">
        <f t="shared" si="44"/>
        <v>#N/A</v>
      </c>
    </row>
    <row r="561" spans="1:20" x14ac:dyDescent="0.35">
      <c r="A561" t="str">
        <v>9128337T1</v>
      </c>
      <c r="B561" t="str">
        <f>IF(NOT(ISBLANK(A561)),VLOOKUP(A561,'BBT3'!A:F,2,0),"")</f>
        <v>Bond</v>
      </c>
      <c r="C561" t="str">
        <f>IF(NOT(ISBLANK(A561)),VLOOKUP(A561,'BBT3'!A:F,3,0),"")</f>
        <v>US9128337T17</v>
      </c>
      <c r="D561" s="6">
        <f>IF(NOT(ISBLANK(A561)),VLOOKUP(A561,'BBT3'!A:F,4,1),"")</f>
        <v>0</v>
      </c>
      <c r="E561">
        <f>IF(NOT(ISBLANK(A561)),VLOOKUP(A561,'BBT3'!A:F,5,0),"")</f>
        <v>48714</v>
      </c>
      <c r="F561" t="str">
        <f>IF(NOT(ISBLANK(A561)),VLOOKUP(A561,'BBT3'!A:F,6,0),"")</f>
        <v>N</v>
      </c>
      <c r="G561">
        <f>IF(NOT(ISBLANK(A561)),VLOOKUP(A561,QW_Close!A:J,5,0),"")</f>
        <v>4.3701094695585099E-2</v>
      </c>
      <c r="H561" s="5" t="e" cm="1">
        <f t="array" ref="H561">IF(NOT(ISBLANK(A561)),((_xlfn.XLOOKUP(1,(_bbt3[[#All],[ID]]=A561)*(_bbt3[[#All],[METRIC_NAME]]="YLD_YTM_ASK"),_bbt3[[#All],[METRIC_VALUE]])*0.5)+(_xlfn.XLOOKUP(1,(_bbt3[[#All],[ID]]=A561)*(_bbt3[[#All],[METRIC_NAME]]="YLD_YTM_BID"),_bbt3[[#All],[METRIC_VALUE]])*0.5))/100,"")</f>
        <v>#N/A</v>
      </c>
      <c r="I561">
        <f>IF(ISNA(VLOOKUP(A561,QW_CloseDL!A:E,5,0)),0,VLOOKUP(A561,QW_CloseDL!A:E,5,0))</f>
        <v>4.3700849566956003E-2</v>
      </c>
      <c r="J561" s="8">
        <f t="shared" si="40"/>
        <v>2.4512862909636945E-3</v>
      </c>
      <c r="P561">
        <v>0</v>
      </c>
      <c r="Q561" t="e">
        <f t="shared" si="41"/>
        <v>#N/A</v>
      </c>
      <c r="R561" t="e">
        <f t="shared" si="42"/>
        <v>#N/A</v>
      </c>
      <c r="S561" s="9" t="e">
        <f t="shared" si="43"/>
        <v>#N/A</v>
      </c>
      <c r="T561" s="3" t="e">
        <f t="shared" si="44"/>
        <v>#N/A</v>
      </c>
    </row>
    <row r="562" spans="1:20" x14ac:dyDescent="0.35">
      <c r="A562" t="str">
        <v>9128337U8</v>
      </c>
      <c r="B562" t="str">
        <f>IF(NOT(ISBLANK(A562)),VLOOKUP(A562,'BBT3'!A:F,2,0),"")</f>
        <v>Bond</v>
      </c>
      <c r="C562" t="str">
        <f>IF(NOT(ISBLANK(A562)),VLOOKUP(A562,'BBT3'!A:F,3,0),"")</f>
        <v>US9128337U89</v>
      </c>
      <c r="D562" s="6">
        <f>IF(NOT(ISBLANK(A562)),VLOOKUP(A562,'BBT3'!A:F,4,1),"")</f>
        <v>0</v>
      </c>
      <c r="E562">
        <f>IF(NOT(ISBLANK(A562)),VLOOKUP(A562,'BBT3'!A:F,5,0),"")</f>
        <v>48898</v>
      </c>
      <c r="F562" t="str">
        <f>IF(NOT(ISBLANK(A562)),VLOOKUP(A562,'BBT3'!A:F,6,0),"")</f>
        <v>N</v>
      </c>
      <c r="G562">
        <f>IF(NOT(ISBLANK(A562)),VLOOKUP(A562,QW_Close!A:J,5,0),"")</f>
        <v>4.4080475413548599E-2</v>
      </c>
      <c r="H562" s="5" t="e" cm="1">
        <f t="array" ref="H562">IF(NOT(ISBLANK(A562)),((_xlfn.XLOOKUP(1,(_bbt3[[#All],[ID]]=A562)*(_bbt3[[#All],[METRIC_NAME]]="YLD_YTM_ASK"),_bbt3[[#All],[METRIC_VALUE]])*0.5)+(_xlfn.XLOOKUP(1,(_bbt3[[#All],[ID]]=A562)*(_bbt3[[#All],[METRIC_NAME]]="YLD_YTM_BID"),_bbt3[[#All],[METRIC_VALUE]])*0.5))/100,"")</f>
        <v>#N/A</v>
      </c>
      <c r="I562">
        <f>IF(ISNA(VLOOKUP(A562,QW_CloseDL!A:E,5,0)),0,VLOOKUP(A562,QW_CloseDL!A:E,5,0))</f>
        <v>4.40806481610308E-2</v>
      </c>
      <c r="J562" s="8">
        <f t="shared" si="40"/>
        <v>1.7274748220080793E-3</v>
      </c>
      <c r="P562">
        <v>0</v>
      </c>
      <c r="Q562" t="e">
        <f t="shared" si="41"/>
        <v>#N/A</v>
      </c>
      <c r="R562" t="e">
        <f t="shared" si="42"/>
        <v>#N/A</v>
      </c>
      <c r="S562" s="9" t="e">
        <f t="shared" si="43"/>
        <v>#N/A</v>
      </c>
      <c r="T562" s="3" t="e">
        <f t="shared" si="44"/>
        <v>#N/A</v>
      </c>
    </row>
    <row r="563" spans="1:20" x14ac:dyDescent="0.35">
      <c r="A563" t="str">
        <v>9128337V6</v>
      </c>
      <c r="B563" t="str">
        <f>IF(NOT(ISBLANK(A563)),VLOOKUP(A563,'BBT3'!A:F,2,0),"")</f>
        <v>Bond</v>
      </c>
      <c r="C563" t="str">
        <f>IF(NOT(ISBLANK(A563)),VLOOKUP(A563,'BBT3'!A:F,3,0),"")</f>
        <v>US9128337V62</v>
      </c>
      <c r="D563" s="6">
        <f>IF(NOT(ISBLANK(A563)),VLOOKUP(A563,'BBT3'!A:F,4,1),"")</f>
        <v>0</v>
      </c>
      <c r="E563">
        <f>IF(NOT(ISBLANK(A563)),VLOOKUP(A563,'BBT3'!A:F,5,0),"")</f>
        <v>49079</v>
      </c>
      <c r="F563" t="str">
        <f>IF(NOT(ISBLANK(A563)),VLOOKUP(A563,'BBT3'!A:F,6,0),"")</f>
        <v>N</v>
      </c>
      <c r="G563">
        <f>IF(NOT(ISBLANK(A563)),VLOOKUP(A563,QW_Close!A:J,5,0),"")</f>
        <v>4.4440575794527502E-2</v>
      </c>
      <c r="H563" s="5" t="e" cm="1">
        <f t="array" ref="H563">IF(NOT(ISBLANK(A563)),((_xlfn.XLOOKUP(1,(_bbt3[[#All],[ID]]=A563)*(_bbt3[[#All],[METRIC_NAME]]="YLD_YTM_ASK"),_bbt3[[#All],[METRIC_VALUE]])*0.5)+(_xlfn.XLOOKUP(1,(_bbt3[[#All],[ID]]=A563)*(_bbt3[[#All],[METRIC_NAME]]="YLD_YTM_BID"),_bbt3[[#All],[METRIC_VALUE]])*0.5))/100,"")</f>
        <v>#N/A</v>
      </c>
      <c r="I563">
        <f>IF(ISNA(VLOOKUP(A563,QW_CloseDL!A:E,5,0)),0,VLOOKUP(A563,QW_CloseDL!A:E,5,0))</f>
        <v>4.44401766707841E-2</v>
      </c>
      <c r="J563" s="8">
        <f t="shared" si="40"/>
        <v>3.9912374340256296E-3</v>
      </c>
      <c r="P563">
        <v>0</v>
      </c>
      <c r="Q563" t="e">
        <f t="shared" si="41"/>
        <v>#N/A</v>
      </c>
      <c r="R563" t="e">
        <f t="shared" si="42"/>
        <v>#N/A</v>
      </c>
      <c r="S563" s="9" t="e">
        <f t="shared" si="43"/>
        <v>#N/A</v>
      </c>
      <c r="T563" s="3" t="e">
        <f t="shared" si="44"/>
        <v>#N/A</v>
      </c>
    </row>
    <row r="564" spans="1:20" x14ac:dyDescent="0.35">
      <c r="A564" t="str">
        <v>9128337W4</v>
      </c>
      <c r="B564" t="str">
        <f>IF(NOT(ISBLANK(A564)),VLOOKUP(A564,'BBT3'!A:F,2,0),"")</f>
        <v>Bond</v>
      </c>
      <c r="C564" t="str">
        <f>IF(NOT(ISBLANK(A564)),VLOOKUP(A564,'BBT3'!A:F,3,0),"")</f>
        <v>US9128337W46</v>
      </c>
      <c r="D564" s="6">
        <f>IF(NOT(ISBLANK(A564)),VLOOKUP(A564,'BBT3'!A:F,4,1),"")</f>
        <v>0</v>
      </c>
      <c r="E564">
        <f>IF(NOT(ISBLANK(A564)),VLOOKUP(A564,'BBT3'!A:F,5,0),"")</f>
        <v>49263</v>
      </c>
      <c r="F564" t="str">
        <f>IF(NOT(ISBLANK(A564)),VLOOKUP(A564,'BBT3'!A:F,6,0),"")</f>
        <v>N</v>
      </c>
      <c r="G564">
        <f>IF(NOT(ISBLANK(A564)),VLOOKUP(A564,QW_Close!A:J,5,0),"")</f>
        <v>4.4797664515337503E-2</v>
      </c>
      <c r="H564" s="5" t="e" cm="1">
        <f t="array" ref="H564">IF(NOT(ISBLANK(A564)),((_xlfn.XLOOKUP(1,(_bbt3[[#All],[ID]]=A564)*(_bbt3[[#All],[METRIC_NAME]]="YLD_YTM_ASK"),_bbt3[[#All],[METRIC_VALUE]])*0.5)+(_xlfn.XLOOKUP(1,(_bbt3[[#All],[ID]]=A564)*(_bbt3[[#All],[METRIC_NAME]]="YLD_YTM_BID"),_bbt3[[#All],[METRIC_VALUE]])*0.5))/100,"")</f>
        <v>#N/A</v>
      </c>
      <c r="I564">
        <f>IF(ISNA(VLOOKUP(A564,QW_CloseDL!A:E,5,0)),0,VLOOKUP(A564,QW_CloseDL!A:E,5,0))</f>
        <v>4.4797622525690001E-2</v>
      </c>
      <c r="J564" s="8">
        <f t="shared" si="40"/>
        <v>4.1989647502072014E-4</v>
      </c>
      <c r="P564">
        <v>0</v>
      </c>
      <c r="Q564" t="e">
        <f t="shared" si="41"/>
        <v>#N/A</v>
      </c>
      <c r="R564" t="e">
        <f t="shared" si="42"/>
        <v>#N/A</v>
      </c>
      <c r="S564" s="9" t="e">
        <f t="shared" si="43"/>
        <v>#N/A</v>
      </c>
      <c r="T564" s="3" t="e">
        <f t="shared" si="44"/>
        <v>#N/A</v>
      </c>
    </row>
    <row r="565" spans="1:20" x14ac:dyDescent="0.35">
      <c r="A565" t="str">
        <v>912833X88</v>
      </c>
      <c r="B565" t="str">
        <f>IF(NOT(ISBLANK(A565)),VLOOKUP(A565,'BBT3'!A:F,2,0),"")</f>
        <v>Bond</v>
      </c>
      <c r="C565" t="str">
        <f>IF(NOT(ISBLANK(A565)),VLOOKUP(A565,'BBT3'!A:F,3,0),"")</f>
        <v>US912833X885</v>
      </c>
      <c r="D565" s="6">
        <f>IF(NOT(ISBLANK(A565)),VLOOKUP(A565,'BBT3'!A:F,4,1),"")</f>
        <v>0</v>
      </c>
      <c r="E565">
        <f>IF(NOT(ISBLANK(A565)),VLOOKUP(A565,'BBT3'!A:F,5,0),"")</f>
        <v>49444</v>
      </c>
      <c r="F565" t="str">
        <f>IF(NOT(ISBLANK(A565)),VLOOKUP(A565,'BBT3'!A:F,6,0),"")</f>
        <v>N</v>
      </c>
      <c r="G565">
        <f>IF(NOT(ISBLANK(A565)),VLOOKUP(A565,QW_Close!A:J,5,0),"")</f>
        <v>4.5174537316687302E-2</v>
      </c>
      <c r="H565" s="5" t="e" cm="1">
        <f t="array" ref="H565">IF(NOT(ISBLANK(A565)),((_xlfn.XLOOKUP(1,(_bbt3[[#All],[ID]]=A565)*(_bbt3[[#All],[METRIC_NAME]]="YLD_YTM_ASK"),_bbt3[[#All],[METRIC_VALUE]])*0.5)+(_xlfn.XLOOKUP(1,(_bbt3[[#All],[ID]]=A565)*(_bbt3[[#All],[METRIC_NAME]]="YLD_YTM_BID"),_bbt3[[#All],[METRIC_VALUE]])*0.5))/100,"")</f>
        <v>#N/A</v>
      </c>
      <c r="I565">
        <f>IF(ISNA(VLOOKUP(A565,QW_CloseDL!A:E,5,0)),0,VLOOKUP(A565,QW_CloseDL!A:E,5,0))</f>
        <v>4.5174627737721101E-2</v>
      </c>
      <c r="J565" s="8">
        <f t="shared" si="40"/>
        <v>9.0421033799303885E-4</v>
      </c>
      <c r="P565">
        <v>0</v>
      </c>
      <c r="Q565" t="e">
        <f t="shared" si="41"/>
        <v>#N/A</v>
      </c>
      <c r="R565" t="e">
        <f t="shared" si="42"/>
        <v>#N/A</v>
      </c>
      <c r="S565" s="9" t="e">
        <f t="shared" si="43"/>
        <v>#N/A</v>
      </c>
      <c r="T565" s="3" t="e">
        <f t="shared" si="44"/>
        <v>#N/A</v>
      </c>
    </row>
    <row r="566" spans="1:20" x14ac:dyDescent="0.35">
      <c r="A566" t="str">
        <v>912833X96</v>
      </c>
      <c r="B566" t="str">
        <f>IF(NOT(ISBLANK(A566)),VLOOKUP(A566,'BBT3'!A:F,2,0),"")</f>
        <v>Bond</v>
      </c>
      <c r="C566" t="str">
        <f>IF(NOT(ISBLANK(A566)),VLOOKUP(A566,'BBT3'!A:F,3,0),"")</f>
        <v>US912833X968</v>
      </c>
      <c r="D566" s="6">
        <f>IF(NOT(ISBLANK(A566)),VLOOKUP(A566,'BBT3'!A:F,4,1),"")</f>
        <v>0</v>
      </c>
      <c r="E566">
        <f>IF(NOT(ISBLANK(A566)),VLOOKUP(A566,'BBT3'!A:F,5,0),"")</f>
        <v>49628</v>
      </c>
      <c r="F566" t="str">
        <f>IF(NOT(ISBLANK(A566)),VLOOKUP(A566,'BBT3'!A:F,6,0),"")</f>
        <v>N</v>
      </c>
      <c r="G566">
        <f>IF(NOT(ISBLANK(A566)),VLOOKUP(A566,QW_Close!A:J,5,0),"")</f>
        <v>4.55490178023083E-2</v>
      </c>
      <c r="H566" s="5" t="e" cm="1">
        <f t="array" ref="H566">IF(NOT(ISBLANK(A566)),((_xlfn.XLOOKUP(1,(_bbt3[[#All],[ID]]=A566)*(_bbt3[[#All],[METRIC_NAME]]="YLD_YTM_ASK"),_bbt3[[#All],[METRIC_VALUE]])*0.5)+(_xlfn.XLOOKUP(1,(_bbt3[[#All],[ID]]=A566)*(_bbt3[[#All],[METRIC_NAME]]="YLD_YTM_BID"),_bbt3[[#All],[METRIC_VALUE]])*0.5))/100,"")</f>
        <v>#N/A</v>
      </c>
      <c r="I566">
        <f>IF(ISNA(VLOOKUP(A566,QW_CloseDL!A:E,5,0)),0,VLOOKUP(A566,QW_CloseDL!A:E,5,0))</f>
        <v>4.5549175868482901E-2</v>
      </c>
      <c r="J566" s="8">
        <f t="shared" si="40"/>
        <v>1.58066174600624E-3</v>
      </c>
      <c r="P566">
        <v>0</v>
      </c>
      <c r="Q566" t="e">
        <f t="shared" si="41"/>
        <v>#N/A</v>
      </c>
      <c r="R566" t="e">
        <f t="shared" si="42"/>
        <v>#N/A</v>
      </c>
      <c r="S566" s="9" t="e">
        <f t="shared" si="43"/>
        <v>#N/A</v>
      </c>
      <c r="T566" s="3" t="e">
        <f t="shared" si="44"/>
        <v>#N/A</v>
      </c>
    </row>
    <row r="567" spans="1:20" x14ac:dyDescent="0.35">
      <c r="A567" t="str">
        <v>912833Y20</v>
      </c>
      <c r="B567" t="str">
        <f>IF(NOT(ISBLANK(A567)),VLOOKUP(A567,'BBT3'!A:F,2,0),"")</f>
        <v>Bond</v>
      </c>
      <c r="C567" t="str">
        <f>IF(NOT(ISBLANK(A567)),VLOOKUP(A567,'BBT3'!A:F,3,0),"")</f>
        <v>US912833Y206</v>
      </c>
      <c r="D567" s="6">
        <f>IF(NOT(ISBLANK(A567)),VLOOKUP(A567,'BBT3'!A:F,4,1),"")</f>
        <v>0</v>
      </c>
      <c r="E567">
        <f>IF(NOT(ISBLANK(A567)),VLOOKUP(A567,'BBT3'!A:F,5,0),"")</f>
        <v>49810</v>
      </c>
      <c r="F567" t="str">
        <f>IF(NOT(ISBLANK(A567)),VLOOKUP(A567,'BBT3'!A:F,6,0),"")</f>
        <v>N</v>
      </c>
      <c r="G567">
        <f>IF(NOT(ISBLANK(A567)),VLOOKUP(A567,QW_Close!A:J,5,0),"")</f>
        <v>4.5947845053256199E-2</v>
      </c>
      <c r="H567" s="5" t="e" cm="1">
        <f t="array" ref="H567">IF(NOT(ISBLANK(A567)),((_xlfn.XLOOKUP(1,(_bbt3[[#All],[ID]]=A567)*(_bbt3[[#All],[METRIC_NAME]]="YLD_YTM_ASK"),_bbt3[[#All],[METRIC_VALUE]])*0.5)+(_xlfn.XLOOKUP(1,(_bbt3[[#All],[ID]]=A567)*(_bbt3[[#All],[METRIC_NAME]]="YLD_YTM_BID"),_bbt3[[#All],[METRIC_VALUE]])*0.5))/100,"")</f>
        <v>#N/A</v>
      </c>
      <c r="I567">
        <f>IF(ISNA(VLOOKUP(A567,QW_CloseDL!A:E,5,0)),0,VLOOKUP(A567,QW_CloseDL!A:E,5,0))</f>
        <v>4.59476241464618E-2</v>
      </c>
      <c r="J567" s="8">
        <f t="shared" si="40"/>
        <v>2.2090679439867866E-3</v>
      </c>
      <c r="P567">
        <v>0</v>
      </c>
      <c r="Q567" t="e">
        <f t="shared" si="41"/>
        <v>#N/A</v>
      </c>
      <c r="R567" t="e">
        <f t="shared" si="42"/>
        <v>#N/A</v>
      </c>
      <c r="S567" s="9" t="e">
        <f t="shared" si="43"/>
        <v>#N/A</v>
      </c>
      <c r="T567" s="3" t="e">
        <f t="shared" si="44"/>
        <v>#N/A</v>
      </c>
    </row>
    <row r="568" spans="1:20" x14ac:dyDescent="0.35">
      <c r="A568" t="str">
        <v>912833Y38</v>
      </c>
      <c r="B568" t="str">
        <f>IF(NOT(ISBLANK(A568)),VLOOKUP(A568,'BBT3'!A:F,2,0),"")</f>
        <v>Bond</v>
      </c>
      <c r="C568" t="str">
        <f>IF(NOT(ISBLANK(A568)),VLOOKUP(A568,'BBT3'!A:F,3,0),"")</f>
        <v>US912833Y388</v>
      </c>
      <c r="D568" s="6">
        <f>IF(NOT(ISBLANK(A568)),VLOOKUP(A568,'BBT3'!A:F,4,1),"")</f>
        <v>0</v>
      </c>
      <c r="E568">
        <f>IF(NOT(ISBLANK(A568)),VLOOKUP(A568,'BBT3'!A:F,5,0),"")</f>
        <v>49994</v>
      </c>
      <c r="F568" t="str">
        <f>IF(NOT(ISBLANK(A568)),VLOOKUP(A568,'BBT3'!A:F,6,0),"")</f>
        <v>N</v>
      </c>
      <c r="G568">
        <f>IF(NOT(ISBLANK(A568)),VLOOKUP(A568,QW_Close!A:J,5,0),"")</f>
        <v>4.6400192844394603E-2</v>
      </c>
      <c r="H568" s="5" t="e" cm="1">
        <f t="array" ref="H568">IF(NOT(ISBLANK(A568)),((_xlfn.XLOOKUP(1,(_bbt3[[#All],[ID]]=A568)*(_bbt3[[#All],[METRIC_NAME]]="YLD_YTM_ASK"),_bbt3[[#All],[METRIC_VALUE]])*0.5)+(_xlfn.XLOOKUP(1,(_bbt3[[#All],[ID]]=A568)*(_bbt3[[#All],[METRIC_NAME]]="YLD_YTM_BID"),_bbt3[[#All],[METRIC_VALUE]])*0.5))/100,"")</f>
        <v>#N/A</v>
      </c>
      <c r="I568">
        <f>IF(ISNA(VLOOKUP(A568,QW_CloseDL!A:E,5,0)),0,VLOOKUP(A568,QW_CloseDL!A:E,5,0))</f>
        <v>4.6400380583659799E-2</v>
      </c>
      <c r="J568" s="8">
        <f t="shared" si="40"/>
        <v>1.8773926519638495E-3</v>
      </c>
      <c r="P568">
        <v>0</v>
      </c>
      <c r="Q568" t="e">
        <f t="shared" si="41"/>
        <v>#N/A</v>
      </c>
      <c r="R568" t="e">
        <f t="shared" si="42"/>
        <v>#N/A</v>
      </c>
      <c r="S568" s="9" t="e">
        <f t="shared" si="43"/>
        <v>#N/A</v>
      </c>
      <c r="T568" s="3" t="e">
        <f t="shared" si="44"/>
        <v>#N/A</v>
      </c>
    </row>
    <row r="569" spans="1:20" x14ac:dyDescent="0.35">
      <c r="A569" t="str">
        <v>912833Y46</v>
      </c>
      <c r="B569" t="str">
        <f>IF(NOT(ISBLANK(A569)),VLOOKUP(A569,'BBT3'!A:F,2,0),"")</f>
        <v>Bond</v>
      </c>
      <c r="C569" t="str">
        <f>IF(NOT(ISBLANK(A569)),VLOOKUP(A569,'BBT3'!A:F,3,0),"")</f>
        <v>US912833Y461</v>
      </c>
      <c r="D569" s="6">
        <f>IF(NOT(ISBLANK(A569)),VLOOKUP(A569,'BBT3'!A:F,4,1),"")</f>
        <v>0</v>
      </c>
      <c r="E569">
        <f>IF(NOT(ISBLANK(A569)),VLOOKUP(A569,'BBT3'!A:F,5,0),"")</f>
        <v>50175</v>
      </c>
      <c r="F569" t="str">
        <f>IF(NOT(ISBLANK(A569)),VLOOKUP(A569,'BBT3'!A:F,6,0),"")</f>
        <v>N</v>
      </c>
      <c r="G569">
        <f>IF(NOT(ISBLANK(A569)),VLOOKUP(A569,QW_Close!A:J,5,0),"")</f>
        <v>4.68489694447402E-2</v>
      </c>
      <c r="H569" s="5" t="e" cm="1">
        <f t="array" ref="H569">IF(NOT(ISBLANK(A569)),((_xlfn.XLOOKUP(1,(_bbt3[[#All],[ID]]=A569)*(_bbt3[[#All],[METRIC_NAME]]="YLD_YTM_ASK"),_bbt3[[#All],[METRIC_VALUE]])*0.5)+(_xlfn.XLOOKUP(1,(_bbt3[[#All],[ID]]=A569)*(_bbt3[[#All],[METRIC_NAME]]="YLD_YTM_BID"),_bbt3[[#All],[METRIC_VALUE]])*0.5))/100,"")</f>
        <v>#N/A</v>
      </c>
      <c r="I569">
        <f>IF(ISNA(VLOOKUP(A569,QW_CloseDL!A:E,5,0)),0,VLOOKUP(A569,QW_CloseDL!A:E,5,0))</f>
        <v>4.6848837928163301E-2</v>
      </c>
      <c r="J569" s="8">
        <f t="shared" si="40"/>
        <v>1.3151657689974838E-3</v>
      </c>
      <c r="P569">
        <v>0</v>
      </c>
      <c r="Q569" t="e">
        <f t="shared" si="41"/>
        <v>#N/A</v>
      </c>
      <c r="R569" t="e">
        <f t="shared" si="42"/>
        <v>#N/A</v>
      </c>
      <c r="S569" s="9" t="e">
        <f t="shared" si="43"/>
        <v>#N/A</v>
      </c>
      <c r="T569" s="3" t="e">
        <f t="shared" si="44"/>
        <v>#N/A</v>
      </c>
    </row>
    <row r="570" spans="1:20" x14ac:dyDescent="0.35">
      <c r="A570" t="str">
        <v>912833Z52</v>
      </c>
      <c r="B570" t="str">
        <f>IF(NOT(ISBLANK(A570)),VLOOKUP(A570,'BBT3'!A:F,2,0),"")</f>
        <v>Bond</v>
      </c>
      <c r="C570" t="str">
        <f>IF(NOT(ISBLANK(A570)),VLOOKUP(A570,'BBT3'!A:F,3,0),"")</f>
        <v>US912833Z526</v>
      </c>
      <c r="D570" s="6">
        <f>IF(NOT(ISBLANK(A570)),VLOOKUP(A570,'BBT3'!A:F,4,1),"")</f>
        <v>0</v>
      </c>
      <c r="E570">
        <f>IF(NOT(ISBLANK(A570)),VLOOKUP(A570,'BBT3'!A:F,5,0),"")</f>
        <v>50267</v>
      </c>
      <c r="F570" t="str">
        <f>IF(NOT(ISBLANK(A570)),VLOOKUP(A570,'BBT3'!A:F,6,0),"")</f>
        <v>N</v>
      </c>
      <c r="G570">
        <f>IF(NOT(ISBLANK(A570)),VLOOKUP(A570,QW_Close!A:J,5,0),"")</f>
        <v>4.7089709602131297E-2</v>
      </c>
      <c r="H570" s="5" t="e" cm="1">
        <f t="array" ref="H570">IF(NOT(ISBLANK(A570)),((_xlfn.XLOOKUP(1,(_bbt3[[#All],[ID]]=A570)*(_bbt3[[#All],[METRIC_NAME]]="YLD_YTM_ASK"),_bbt3[[#All],[METRIC_VALUE]])*0.5)+(_xlfn.XLOOKUP(1,(_bbt3[[#All],[ID]]=A570)*(_bbt3[[#All],[METRIC_NAME]]="YLD_YTM_BID"),_bbt3[[#All],[METRIC_VALUE]])*0.5))/100,"")</f>
        <v>#N/A</v>
      </c>
      <c r="I570">
        <f>IF(ISNA(VLOOKUP(A570,QW_CloseDL!A:E,5,0)),0,VLOOKUP(A570,QW_CloseDL!A:E,5,0))</f>
        <v>4.7089723464534501E-2</v>
      </c>
      <c r="J570" s="8">
        <f t="shared" si="40"/>
        <v>1.3862403204500939E-4</v>
      </c>
      <c r="P570">
        <v>0</v>
      </c>
      <c r="Q570" t="e">
        <f t="shared" si="41"/>
        <v>#N/A</v>
      </c>
      <c r="R570" t="e">
        <f t="shared" si="42"/>
        <v>#N/A</v>
      </c>
      <c r="S570" s="9" t="e">
        <f t="shared" si="43"/>
        <v>#N/A</v>
      </c>
      <c r="T570" s="3" t="e">
        <f t="shared" si="44"/>
        <v>#N/A</v>
      </c>
    </row>
    <row r="571" spans="1:20" x14ac:dyDescent="0.35">
      <c r="A571" t="str">
        <v>912833Z60</v>
      </c>
      <c r="B571" t="str">
        <f>IF(NOT(ISBLANK(A571)),VLOOKUP(A571,'BBT3'!A:F,2,0),"")</f>
        <v>Bond</v>
      </c>
      <c r="C571" t="str">
        <f>IF(NOT(ISBLANK(A571)),VLOOKUP(A571,'BBT3'!A:F,3,0),"")</f>
        <v>US912833Z609</v>
      </c>
      <c r="D571" s="6">
        <f>IF(NOT(ISBLANK(A571)),VLOOKUP(A571,'BBT3'!A:F,4,1),"")</f>
        <v>0</v>
      </c>
      <c r="E571">
        <f>IF(NOT(ISBLANK(A571)),VLOOKUP(A571,'BBT3'!A:F,5,0),"")</f>
        <v>50451</v>
      </c>
      <c r="F571" t="str">
        <f>IF(NOT(ISBLANK(A571)),VLOOKUP(A571,'BBT3'!A:F,6,0),"")</f>
        <v>N</v>
      </c>
      <c r="G571">
        <f>IF(NOT(ISBLANK(A571)),VLOOKUP(A571,QW_Close!A:J,5,0),"")</f>
        <v>4.7579719259834903E-2</v>
      </c>
      <c r="H571" s="5" t="e" cm="1">
        <f t="array" ref="H571">IF(NOT(ISBLANK(A571)),((_xlfn.XLOOKUP(1,(_bbt3[[#All],[ID]]=A571)*(_bbt3[[#All],[METRIC_NAME]]="YLD_YTM_ASK"),_bbt3[[#All],[METRIC_VALUE]])*0.5)+(_xlfn.XLOOKUP(1,(_bbt3[[#All],[ID]]=A571)*(_bbt3[[#All],[METRIC_NAME]]="YLD_YTM_BID"),_bbt3[[#All],[METRIC_VALUE]])*0.5))/100,"")</f>
        <v>#N/A</v>
      </c>
      <c r="I571">
        <f>IF(ISNA(VLOOKUP(A571,QW_CloseDL!A:E,5,0)),0,VLOOKUP(A571,QW_CloseDL!A:E,5,0))</f>
        <v>4.757968490443E-2</v>
      </c>
      <c r="J571" s="8">
        <f t="shared" si="40"/>
        <v>3.435540490287492E-4</v>
      </c>
      <c r="P571">
        <v>0</v>
      </c>
      <c r="Q571" t="e">
        <f t="shared" si="41"/>
        <v>#N/A</v>
      </c>
      <c r="R571" t="e">
        <f t="shared" si="42"/>
        <v>#N/A</v>
      </c>
      <c r="S571" s="9" t="e">
        <f t="shared" si="43"/>
        <v>#N/A</v>
      </c>
      <c r="T571" s="3" t="e">
        <f t="shared" si="44"/>
        <v>#N/A</v>
      </c>
    </row>
    <row r="572" spans="1:20" x14ac:dyDescent="0.35">
      <c r="A572" t="str">
        <v>912834AD0</v>
      </c>
      <c r="B572" t="str">
        <f>IF(NOT(ISBLANK(A572)),VLOOKUP(A572,'BBT3'!A:F,2,0),"")</f>
        <v>Bond</v>
      </c>
      <c r="C572" t="str">
        <f>IF(NOT(ISBLANK(A572)),VLOOKUP(A572,'BBT3'!A:F,3,0),"")</f>
        <v>US912834AD03</v>
      </c>
      <c r="D572" s="6">
        <f>IF(NOT(ISBLANK(A572)),VLOOKUP(A572,'BBT3'!A:F,4,1),"")</f>
        <v>0</v>
      </c>
      <c r="E572">
        <f>IF(NOT(ISBLANK(A572)),VLOOKUP(A572,'BBT3'!A:F,5,0),"")</f>
        <v>50359</v>
      </c>
      <c r="F572" t="str">
        <f>IF(NOT(ISBLANK(A572)),VLOOKUP(A572,'BBT3'!A:F,6,0),"")</f>
        <v>N</v>
      </c>
      <c r="G572">
        <f>IF(NOT(ISBLANK(A572)),VLOOKUP(A572,QW_Close!A:J,5,0),"")</f>
        <v>4.7376576706621501E-2</v>
      </c>
      <c r="H572" s="5" t="e" cm="1">
        <f t="array" ref="H572">IF(NOT(ISBLANK(A572)),((_xlfn.XLOOKUP(1,(_bbt3[[#All],[ID]]=A572)*(_bbt3[[#All],[METRIC_NAME]]="YLD_YTM_ASK"),_bbt3[[#All],[METRIC_VALUE]])*0.5)+(_xlfn.XLOOKUP(1,(_bbt3[[#All],[ID]]=A572)*(_bbt3[[#All],[METRIC_NAME]]="YLD_YTM_BID"),_bbt3[[#All],[METRIC_VALUE]])*0.5))/100,"")</f>
        <v>#N/A</v>
      </c>
      <c r="I572">
        <f>IF(ISNA(VLOOKUP(A572,QW_CloseDL!A:E,5,0)),0,VLOOKUP(A572,QW_CloseDL!A:E,5,0))</f>
        <v>4.7376322368728498E-2</v>
      </c>
      <c r="J572" s="8">
        <f t="shared" si="40"/>
        <v>2.5433789300338683E-3</v>
      </c>
      <c r="P572">
        <v>0</v>
      </c>
      <c r="Q572" t="e">
        <f t="shared" si="41"/>
        <v>#N/A</v>
      </c>
      <c r="R572" t="e">
        <f t="shared" si="42"/>
        <v>#N/A</v>
      </c>
      <c r="S572" s="9" t="e">
        <f t="shared" si="43"/>
        <v>#N/A</v>
      </c>
      <c r="T572" s="3" t="e">
        <f t="shared" si="44"/>
        <v>#N/A</v>
      </c>
    </row>
    <row r="573" spans="1:20" x14ac:dyDescent="0.35">
      <c r="A573" t="str">
        <v>912834AE8</v>
      </c>
      <c r="B573" t="str">
        <f>IF(NOT(ISBLANK(A573)),VLOOKUP(A573,'BBT3'!A:F,2,0),"")</f>
        <v>Bond</v>
      </c>
      <c r="C573" t="str">
        <f>IF(NOT(ISBLANK(A573)),VLOOKUP(A573,'BBT3'!A:F,3,0),"")</f>
        <v>US912834AE85</v>
      </c>
      <c r="D573" s="6">
        <f>IF(NOT(ISBLANK(A573)),VLOOKUP(A573,'BBT3'!A:F,4,1),"")</f>
        <v>0</v>
      </c>
      <c r="E573">
        <f>IF(NOT(ISBLANK(A573)),VLOOKUP(A573,'BBT3'!A:F,5,0),"")</f>
        <v>50540</v>
      </c>
      <c r="F573" t="str">
        <f>IF(NOT(ISBLANK(A573)),VLOOKUP(A573,'BBT3'!A:F,6,0),"")</f>
        <v>N</v>
      </c>
      <c r="G573">
        <f>IF(NOT(ISBLANK(A573)),VLOOKUP(A573,QW_Close!A:J,5,0),"")</f>
        <v>4.7853494576282601E-2</v>
      </c>
      <c r="H573" s="5" t="e" cm="1">
        <f t="array" ref="H573">IF(NOT(ISBLANK(A573)),((_xlfn.XLOOKUP(1,(_bbt3[[#All],[ID]]=A573)*(_bbt3[[#All],[METRIC_NAME]]="YLD_YTM_ASK"),_bbt3[[#All],[METRIC_VALUE]])*0.5)+(_xlfn.XLOOKUP(1,(_bbt3[[#All],[ID]]=A573)*(_bbt3[[#All],[METRIC_NAME]]="YLD_YTM_BID"),_bbt3[[#All],[METRIC_VALUE]])*0.5))/100,"")</f>
        <v>#N/A</v>
      </c>
      <c r="I573">
        <f>IF(ISNA(VLOOKUP(A573,QW_CloseDL!A:E,5,0)),0,VLOOKUP(A573,QW_CloseDL!A:E,5,0))</f>
        <v>4.7853540704080398E-2</v>
      </c>
      <c r="J573" s="8">
        <f t="shared" si="40"/>
        <v>4.612779779672449E-4</v>
      </c>
      <c r="P573">
        <v>0</v>
      </c>
      <c r="Q573" t="e">
        <f t="shared" si="41"/>
        <v>#N/A</v>
      </c>
      <c r="R573" t="e">
        <f t="shared" si="42"/>
        <v>#N/A</v>
      </c>
      <c r="S573" s="9" t="e">
        <f t="shared" si="43"/>
        <v>#N/A</v>
      </c>
      <c r="T573" s="3" t="e">
        <f t="shared" si="44"/>
        <v>#N/A</v>
      </c>
    </row>
    <row r="574" spans="1:20" x14ac:dyDescent="0.35">
      <c r="A574" t="str">
        <v>912834AT5</v>
      </c>
      <c r="B574" t="str">
        <f>IF(NOT(ISBLANK(A574)),VLOOKUP(A574,'BBT3'!A:F,2,0),"")</f>
        <v>Bond</v>
      </c>
      <c r="C574" t="str">
        <f>IF(NOT(ISBLANK(A574)),VLOOKUP(A574,'BBT3'!A:F,3,0),"")</f>
        <v>US912834AT54</v>
      </c>
      <c r="D574" s="6">
        <f>IF(NOT(ISBLANK(A574)),VLOOKUP(A574,'BBT3'!A:F,4,1),"")</f>
        <v>0</v>
      </c>
      <c r="E574">
        <f>IF(NOT(ISBLANK(A574)),VLOOKUP(A574,'BBT3'!A:F,5,0),"")</f>
        <v>50632</v>
      </c>
      <c r="F574" t="str">
        <f>IF(NOT(ISBLANK(A574)),VLOOKUP(A574,'BBT3'!A:F,6,0),"")</f>
        <v>N</v>
      </c>
      <c r="G574">
        <f>IF(NOT(ISBLANK(A574)),VLOOKUP(A574,QW_Close!A:J,5,0),"")</f>
        <v>4.8029046320033297E-2</v>
      </c>
      <c r="H574" s="5" t="e" cm="1">
        <f t="array" ref="H574">IF(NOT(ISBLANK(A574)),((_xlfn.XLOOKUP(1,(_bbt3[[#All],[ID]]=A574)*(_bbt3[[#All],[METRIC_NAME]]="YLD_YTM_ASK"),_bbt3[[#All],[METRIC_VALUE]])*0.5)+(_xlfn.XLOOKUP(1,(_bbt3[[#All],[ID]]=A574)*(_bbt3[[#All],[METRIC_NAME]]="YLD_YTM_BID"),_bbt3[[#All],[METRIC_VALUE]])*0.5))/100,"")</f>
        <v>#N/A</v>
      </c>
      <c r="I574">
        <f>IF(ISNA(VLOOKUP(A574,QW_CloseDL!A:E,5,0)),0,VLOOKUP(A574,QW_CloseDL!A:E,5,0))</f>
        <v>4.8029672064239297E-2</v>
      </c>
      <c r="J574" s="8">
        <f t="shared" si="40"/>
        <v>6.257442059995344E-3</v>
      </c>
      <c r="P574">
        <v>0</v>
      </c>
      <c r="Q574" t="e">
        <f t="shared" si="41"/>
        <v>#N/A</v>
      </c>
      <c r="R574" t="e">
        <f t="shared" si="42"/>
        <v>#N/A</v>
      </c>
      <c r="S574" s="9" t="e">
        <f t="shared" si="43"/>
        <v>#N/A</v>
      </c>
      <c r="T574" s="3" t="e">
        <f t="shared" si="44"/>
        <v>#N/A</v>
      </c>
    </row>
    <row r="575" spans="1:20" x14ac:dyDescent="0.35">
      <c r="A575" t="str">
        <v>912834AU2</v>
      </c>
      <c r="B575" t="str">
        <f>IF(NOT(ISBLANK(A575)),VLOOKUP(A575,'BBT3'!A:F,2,0),"")</f>
        <v>Bond</v>
      </c>
      <c r="C575" t="str">
        <f>IF(NOT(ISBLANK(A575)),VLOOKUP(A575,'BBT3'!A:F,3,0),"")</f>
        <v>US912834AU28</v>
      </c>
      <c r="D575" s="6">
        <f>IF(NOT(ISBLANK(A575)),VLOOKUP(A575,'BBT3'!A:F,4,1),"")</f>
        <v>0</v>
      </c>
      <c r="E575">
        <f>IF(NOT(ISBLANK(A575)),VLOOKUP(A575,'BBT3'!A:F,5,0),"")</f>
        <v>50816</v>
      </c>
      <c r="F575" t="str">
        <f>IF(NOT(ISBLANK(A575)),VLOOKUP(A575,'BBT3'!A:F,6,0),"")</f>
        <v>N</v>
      </c>
      <c r="G575">
        <f>IF(NOT(ISBLANK(A575)),VLOOKUP(A575,QW_Close!A:J,5,0),"")</f>
        <v>4.8449687441282002E-2</v>
      </c>
      <c r="H575" s="5" t="e" cm="1">
        <f t="array" ref="H575">IF(NOT(ISBLANK(A575)),((_xlfn.XLOOKUP(1,(_bbt3[[#All],[ID]]=A575)*(_bbt3[[#All],[METRIC_NAME]]="YLD_YTM_ASK"),_bbt3[[#All],[METRIC_VALUE]])*0.5)+(_xlfn.XLOOKUP(1,(_bbt3[[#All],[ID]]=A575)*(_bbt3[[#All],[METRIC_NAME]]="YLD_YTM_BID"),_bbt3[[#All],[METRIC_VALUE]])*0.5))/100,"")</f>
        <v>#N/A</v>
      </c>
      <c r="I575">
        <f>IF(ISNA(VLOOKUP(A575,QW_CloseDL!A:E,5,0)),0,VLOOKUP(A575,QW_CloseDL!A:E,5,0))</f>
        <v>4.8449368029435697E-2</v>
      </c>
      <c r="J575" s="8">
        <f t="shared" si="40"/>
        <v>3.1941184630568387E-3</v>
      </c>
      <c r="P575">
        <v>0</v>
      </c>
      <c r="Q575" t="e">
        <f t="shared" si="41"/>
        <v>#N/A</v>
      </c>
      <c r="R575" t="e">
        <f t="shared" si="42"/>
        <v>#N/A</v>
      </c>
      <c r="S575" s="9" t="e">
        <f t="shared" si="43"/>
        <v>#N/A</v>
      </c>
      <c r="T575" s="3" t="e">
        <f t="shared" si="44"/>
        <v>#N/A</v>
      </c>
    </row>
    <row r="576" spans="1:20" x14ac:dyDescent="0.35">
      <c r="A576" t="str">
        <v>912834DU9</v>
      </c>
      <c r="B576" t="str">
        <f>IF(NOT(ISBLANK(A576)),VLOOKUP(A576,'BBT3'!A:F,2,0),"")</f>
        <v>Bond</v>
      </c>
      <c r="C576" t="str">
        <f>IF(NOT(ISBLANK(A576)),VLOOKUP(A576,'BBT3'!A:F,3,0),"")</f>
        <v>US912834DU90</v>
      </c>
      <c r="D576" s="6">
        <f>IF(NOT(ISBLANK(A576)),VLOOKUP(A576,'BBT3'!A:F,4,1),"")</f>
        <v>0</v>
      </c>
      <c r="E576">
        <f>IF(NOT(ISBLANK(A576)),VLOOKUP(A576,'BBT3'!A:F,5,0),"")</f>
        <v>50724</v>
      </c>
      <c r="F576" t="str">
        <f>IF(NOT(ISBLANK(A576)),VLOOKUP(A576,'BBT3'!A:F,6,0),"")</f>
        <v>N</v>
      </c>
      <c r="G576">
        <f>IF(NOT(ISBLANK(A576)),VLOOKUP(A576,QW_Close!A:J,5,0),"")</f>
        <v>4.82294378400282E-2</v>
      </c>
      <c r="H576" s="5" t="e" cm="1">
        <f t="array" ref="H576">IF(NOT(ISBLANK(A576)),((_xlfn.XLOOKUP(1,(_bbt3[[#All],[ID]]=A576)*(_bbt3[[#All],[METRIC_NAME]]="YLD_YTM_ASK"),_bbt3[[#All],[METRIC_VALUE]])*0.5)+(_xlfn.XLOOKUP(1,(_bbt3[[#All],[ID]]=A576)*(_bbt3[[#All],[METRIC_NAME]]="YLD_YTM_BID"),_bbt3[[#All],[METRIC_VALUE]])*0.5))/100,"")</f>
        <v>#N/A</v>
      </c>
      <c r="I576">
        <f>IF(ISNA(VLOOKUP(A576,QW_CloseDL!A:E,5,0)),0,VLOOKUP(A576,QW_CloseDL!A:E,5,0))</f>
        <v>4.82296941581528E-2</v>
      </c>
      <c r="J576" s="8">
        <f t="shared" si="40"/>
        <v>2.5631812460014114E-3</v>
      </c>
      <c r="P576">
        <v>0</v>
      </c>
      <c r="Q576" t="e">
        <f t="shared" si="41"/>
        <v>#N/A</v>
      </c>
      <c r="R576" t="e">
        <f t="shared" si="42"/>
        <v>#N/A</v>
      </c>
      <c r="S576" s="9" t="e">
        <f t="shared" si="43"/>
        <v>#N/A</v>
      </c>
      <c r="T576" s="3" t="e">
        <f t="shared" si="44"/>
        <v>#N/A</v>
      </c>
    </row>
    <row r="577" spans="1:20" x14ac:dyDescent="0.35">
      <c r="A577" t="str">
        <v>912834DV7</v>
      </c>
      <c r="B577" t="str">
        <f>IF(NOT(ISBLANK(A577)),VLOOKUP(A577,'BBT3'!A:F,2,0),"")</f>
        <v>Bond</v>
      </c>
      <c r="C577" t="str">
        <f>IF(NOT(ISBLANK(A577)),VLOOKUP(A577,'BBT3'!A:F,3,0),"")</f>
        <v>US912834DV73</v>
      </c>
      <c r="D577" s="6">
        <f>IF(NOT(ISBLANK(A577)),VLOOKUP(A577,'BBT3'!A:F,4,1),"")</f>
        <v>0</v>
      </c>
      <c r="E577">
        <f>IF(NOT(ISBLANK(A577)),VLOOKUP(A577,'BBT3'!A:F,5,0),"")</f>
        <v>50905</v>
      </c>
      <c r="F577" t="str">
        <f>IF(NOT(ISBLANK(A577)),VLOOKUP(A577,'BBT3'!A:F,6,0),"")</f>
        <v>N</v>
      </c>
      <c r="G577">
        <f>IF(NOT(ISBLANK(A577)),VLOOKUP(A577,QW_Close!A:J,5,0),"")</f>
        <v>4.8719457238280403E-2</v>
      </c>
      <c r="H577" s="5" t="e" cm="1">
        <f t="array" ref="H577">IF(NOT(ISBLANK(A577)),((_xlfn.XLOOKUP(1,(_bbt3[[#All],[ID]]=A577)*(_bbt3[[#All],[METRIC_NAME]]="YLD_YTM_ASK"),_bbt3[[#All],[METRIC_VALUE]])*0.5)+(_xlfn.XLOOKUP(1,(_bbt3[[#All],[ID]]=A577)*(_bbt3[[#All],[METRIC_NAME]]="YLD_YTM_BID"),_bbt3[[#All],[METRIC_VALUE]])*0.5))/100,"")</f>
        <v>#N/A</v>
      </c>
      <c r="I577">
        <f>IF(ISNA(VLOOKUP(A577,QW_CloseDL!A:E,5,0)),0,VLOOKUP(A577,QW_CloseDL!A:E,5,0))</f>
        <v>4.8719710634801697E-2</v>
      </c>
      <c r="J577" s="8">
        <f t="shared" si="40"/>
        <v>2.5339652129363621E-3</v>
      </c>
      <c r="P577">
        <v>0</v>
      </c>
      <c r="Q577" t="e">
        <f t="shared" si="41"/>
        <v>#N/A</v>
      </c>
      <c r="R577" t="e">
        <f t="shared" si="42"/>
        <v>#N/A</v>
      </c>
      <c r="S577" s="9" t="e">
        <f t="shared" si="43"/>
        <v>#N/A</v>
      </c>
      <c r="T577" s="3" t="e">
        <f t="shared" si="44"/>
        <v>#N/A</v>
      </c>
    </row>
    <row r="578" spans="1:20" x14ac:dyDescent="0.35">
      <c r="A578" t="str">
        <v>912834EP9</v>
      </c>
      <c r="B578" t="str">
        <f>IF(NOT(ISBLANK(A578)),VLOOKUP(A578,'BBT3'!A:F,2,0),"")</f>
        <v>Bond</v>
      </c>
      <c r="C578" t="str">
        <f>IF(NOT(ISBLANK(A578)),VLOOKUP(A578,'BBT3'!A:F,3,0),"")</f>
        <v>US912834EP96</v>
      </c>
      <c r="D578" s="6">
        <f>IF(NOT(ISBLANK(A578)),VLOOKUP(A578,'BBT3'!A:F,4,1),"")</f>
        <v>0</v>
      </c>
      <c r="E578">
        <f>IF(NOT(ISBLANK(A578)),VLOOKUP(A578,'BBT3'!A:F,5,0),"")</f>
        <v>50997</v>
      </c>
      <c r="F578" t="str">
        <f>IF(NOT(ISBLANK(A578)),VLOOKUP(A578,'BBT3'!A:F,6,0),"")</f>
        <v>N</v>
      </c>
      <c r="G578">
        <f>IF(NOT(ISBLANK(A578)),VLOOKUP(A578,QW_Close!A:J,5,0),"")</f>
        <v>4.8924567531865998E-2</v>
      </c>
      <c r="H578" s="5" t="e" cm="1">
        <f t="array" ref="H578">IF(NOT(ISBLANK(A578)),((_xlfn.XLOOKUP(1,(_bbt3[[#All],[ID]]=A578)*(_bbt3[[#All],[METRIC_NAME]]="YLD_YTM_ASK"),_bbt3[[#All],[METRIC_VALUE]])*0.5)+(_xlfn.XLOOKUP(1,(_bbt3[[#All],[ID]]=A578)*(_bbt3[[#All],[METRIC_NAME]]="YLD_YTM_BID"),_bbt3[[#All],[METRIC_VALUE]])*0.5))/100,"")</f>
        <v>#N/A</v>
      </c>
      <c r="I578">
        <f>IF(ISNA(VLOOKUP(A578,QW_CloseDL!A:E,5,0)),0,VLOOKUP(A578,QW_CloseDL!A:E,5,0))</f>
        <v>4.8924661600668301E-2</v>
      </c>
      <c r="J578" s="8">
        <f t="shared" si="40"/>
        <v>9.4068802303226562E-4</v>
      </c>
      <c r="P578">
        <v>0</v>
      </c>
      <c r="Q578" t="e">
        <f t="shared" si="41"/>
        <v>#N/A</v>
      </c>
      <c r="R578" t="e">
        <f t="shared" si="42"/>
        <v>#N/A</v>
      </c>
      <c r="S578" s="9" t="e">
        <f t="shared" si="43"/>
        <v>#N/A</v>
      </c>
      <c r="T578" s="3" t="e">
        <f t="shared" si="44"/>
        <v>#N/A</v>
      </c>
    </row>
    <row r="579" spans="1:20" x14ac:dyDescent="0.35">
      <c r="A579" t="str">
        <v>912834EV6</v>
      </c>
      <c r="B579" t="str">
        <f>IF(NOT(ISBLANK(A579)),VLOOKUP(A579,'BBT3'!A:F,2,0),"")</f>
        <v>Bond</v>
      </c>
      <c r="C579" t="str">
        <f>IF(NOT(ISBLANK(A579)),VLOOKUP(A579,'BBT3'!A:F,3,0),"")</f>
        <v>US912834EV64</v>
      </c>
      <c r="D579" s="6">
        <f>IF(NOT(ISBLANK(A579)),VLOOKUP(A579,'BBT3'!A:F,4,1),"")</f>
        <v>0</v>
      </c>
      <c r="E579">
        <f>IF(NOT(ISBLANK(A579)),VLOOKUP(A579,'BBT3'!A:F,5,0),"")</f>
        <v>51089</v>
      </c>
      <c r="F579" t="str">
        <f>IF(NOT(ISBLANK(A579)),VLOOKUP(A579,'BBT3'!A:F,6,0),"")</f>
        <v>N</v>
      </c>
      <c r="G579">
        <f>IF(NOT(ISBLANK(A579)),VLOOKUP(A579,QW_Close!A:J,5,0),"")</f>
        <v>4.9149467709007598E-2</v>
      </c>
      <c r="H579" s="5" t="e" cm="1">
        <f t="array" ref="H579">IF(NOT(ISBLANK(A579)),((_xlfn.XLOOKUP(1,(_bbt3[[#All],[ID]]=A579)*(_bbt3[[#All],[METRIC_NAME]]="YLD_YTM_ASK"),_bbt3[[#All],[METRIC_VALUE]])*0.5)+(_xlfn.XLOOKUP(1,(_bbt3[[#All],[ID]]=A579)*(_bbt3[[#All],[METRIC_NAME]]="YLD_YTM_BID"),_bbt3[[#All],[METRIC_VALUE]])*0.5))/100,"")</f>
        <v>#N/A</v>
      </c>
      <c r="I579">
        <f>IF(ISNA(VLOOKUP(A579,QW_CloseDL!A:E,5,0)),0,VLOOKUP(A579,QW_CloseDL!A:E,5,0))</f>
        <v>4.9149699934847198E-2</v>
      </c>
      <c r="J579" s="8">
        <f t="shared" ref="J579:J642" si="45">IF(ISNA(IF(NOT(ISBLANK(A579)),ABS(G579-I579),"")),0,(IF(NOT(ISBLANK(A579)),ABS(G579-I579)*10000,"")))</f>
        <v>2.3222583959980891E-3</v>
      </c>
      <c r="P579">
        <v>0</v>
      </c>
      <c r="Q579" t="e">
        <f t="shared" si="41"/>
        <v>#N/A</v>
      </c>
      <c r="R579" t="e">
        <f t="shared" si="42"/>
        <v>#N/A</v>
      </c>
      <c r="S579" s="9" t="e">
        <f t="shared" si="43"/>
        <v>#N/A</v>
      </c>
      <c r="T579" s="3" t="e">
        <f t="shared" si="44"/>
        <v>#N/A</v>
      </c>
    </row>
    <row r="580" spans="1:20" x14ac:dyDescent="0.35">
      <c r="A580" t="str">
        <v>912834FB9</v>
      </c>
      <c r="B580" t="str">
        <f>IF(NOT(ISBLANK(A580)),VLOOKUP(A580,'BBT3'!A:F,2,0),"")</f>
        <v>Bond</v>
      </c>
      <c r="C580" t="str">
        <f>IF(NOT(ISBLANK(A580)),VLOOKUP(A580,'BBT3'!A:F,3,0),"")</f>
        <v>US912834FB91</v>
      </c>
      <c r="D580" s="6">
        <f>IF(NOT(ISBLANK(A580)),VLOOKUP(A580,'BBT3'!A:F,4,1),"")</f>
        <v>0</v>
      </c>
      <c r="E580">
        <f>IF(NOT(ISBLANK(A580)),VLOOKUP(A580,'BBT3'!A:F,5,0),"")</f>
        <v>51181</v>
      </c>
      <c r="F580" t="str">
        <f>IF(NOT(ISBLANK(A580)),VLOOKUP(A580,'BBT3'!A:F,6,0),"")</f>
        <v>N</v>
      </c>
      <c r="G580">
        <f>IF(NOT(ISBLANK(A580)),VLOOKUP(A580,QW_Close!A:J,5,0),"")</f>
        <v>4.9394621756612703E-2</v>
      </c>
      <c r="H580" s="5" t="e" cm="1">
        <f t="array" ref="H580">IF(NOT(ISBLANK(A580)),((_xlfn.XLOOKUP(1,(_bbt3[[#All],[ID]]=A580)*(_bbt3[[#All],[METRIC_NAME]]="YLD_YTM_ASK"),_bbt3[[#All],[METRIC_VALUE]])*0.5)+(_xlfn.XLOOKUP(1,(_bbt3[[#All],[ID]]=A580)*(_bbt3[[#All],[METRIC_NAME]]="YLD_YTM_BID"),_bbt3[[#All],[METRIC_VALUE]])*0.5))/100,"")</f>
        <v>#N/A</v>
      </c>
      <c r="I580">
        <f>IF(ISNA(VLOOKUP(A580,QW_CloseDL!A:E,5,0)),0,VLOOKUP(A580,QW_CloseDL!A:E,5,0))</f>
        <v>4.9394515373572603E-2</v>
      </c>
      <c r="J580" s="8">
        <f t="shared" si="45"/>
        <v>1.0638304009935595E-3</v>
      </c>
      <c r="P580">
        <v>0</v>
      </c>
      <c r="Q580" t="e">
        <f t="shared" si="41"/>
        <v>#N/A</v>
      </c>
      <c r="R580" t="e">
        <f t="shared" si="42"/>
        <v>#N/A</v>
      </c>
      <c r="S580" s="9" t="e">
        <f t="shared" si="43"/>
        <v>#N/A</v>
      </c>
      <c r="T580" s="3" t="e">
        <f t="shared" si="44"/>
        <v>#N/A</v>
      </c>
    </row>
    <row r="581" spans="1:20" x14ac:dyDescent="0.35">
      <c r="A581" t="str">
        <v>912834HV3</v>
      </c>
      <c r="B581" t="str">
        <f>IF(NOT(ISBLANK(A581)),VLOOKUP(A581,'BBT3'!A:F,2,0),"")</f>
        <v>Bond</v>
      </c>
      <c r="C581" t="str">
        <f>IF(NOT(ISBLANK(A581)),VLOOKUP(A581,'BBT3'!A:F,3,0),"")</f>
        <v>US912834HV38</v>
      </c>
      <c r="D581" s="6">
        <f>IF(NOT(ISBLANK(A581)),VLOOKUP(A581,'BBT3'!A:F,4,1),"")</f>
        <v>0</v>
      </c>
      <c r="E581">
        <f>IF(NOT(ISBLANK(A581)),VLOOKUP(A581,'BBT3'!A:F,5,0),"")</f>
        <v>51271</v>
      </c>
      <c r="F581" t="str">
        <f>IF(NOT(ISBLANK(A581)),VLOOKUP(A581,'BBT3'!A:F,6,0),"")</f>
        <v>N</v>
      </c>
      <c r="G581">
        <f>IF(NOT(ISBLANK(A581)),VLOOKUP(A581,QW_Close!A:J,5,0),"")</f>
        <v>4.9580147851414902E-2</v>
      </c>
      <c r="H581" s="5" t="e" cm="1">
        <f t="array" ref="H581">IF(NOT(ISBLANK(A581)),((_xlfn.XLOOKUP(1,(_bbt3[[#All],[ID]]=A581)*(_bbt3[[#All],[METRIC_NAME]]="YLD_YTM_ASK"),_bbt3[[#All],[METRIC_VALUE]])*0.5)+(_xlfn.XLOOKUP(1,(_bbt3[[#All],[ID]]=A581)*(_bbt3[[#All],[METRIC_NAME]]="YLD_YTM_BID"),_bbt3[[#All],[METRIC_VALUE]])*0.5))/100,"")</f>
        <v>#N/A</v>
      </c>
      <c r="I581">
        <f>IF(ISNA(VLOOKUP(A581,QW_CloseDL!A:E,5,0)),0,VLOOKUP(A581,QW_CloseDL!A:E,5,0))</f>
        <v>4.9579873915879202E-2</v>
      </c>
      <c r="J581" s="8">
        <f t="shared" si="45"/>
        <v>2.7393553569954321E-3</v>
      </c>
      <c r="P581">
        <v>0</v>
      </c>
      <c r="Q581" t="e">
        <f t="shared" si="41"/>
        <v>#N/A</v>
      </c>
      <c r="R581" t="e">
        <f t="shared" si="42"/>
        <v>#N/A</v>
      </c>
      <c r="S581" s="9" t="e">
        <f t="shared" si="43"/>
        <v>#N/A</v>
      </c>
      <c r="T581" s="3" t="e">
        <f t="shared" si="44"/>
        <v>#N/A</v>
      </c>
    </row>
    <row r="582" spans="1:20" x14ac:dyDescent="0.35">
      <c r="A582" t="str">
        <v>912834JB5</v>
      </c>
      <c r="B582" t="str">
        <f>IF(NOT(ISBLANK(A582)),VLOOKUP(A582,'BBT3'!A:F,2,0),"")</f>
        <v>Bond</v>
      </c>
      <c r="C582" t="str">
        <f>IF(NOT(ISBLANK(A582)),VLOOKUP(A582,'BBT3'!A:F,3,0),"")</f>
        <v>US912834JB55</v>
      </c>
      <c r="D582" s="6">
        <f>IF(NOT(ISBLANK(A582)),VLOOKUP(A582,'BBT3'!A:F,4,1),"")</f>
        <v>0</v>
      </c>
      <c r="E582">
        <f>IF(NOT(ISBLANK(A582)),VLOOKUP(A582,'BBT3'!A:F,5,0),"")</f>
        <v>51363</v>
      </c>
      <c r="F582" t="str">
        <f>IF(NOT(ISBLANK(A582)),VLOOKUP(A582,'BBT3'!A:F,6,0),"")</f>
        <v>N</v>
      </c>
      <c r="G582">
        <f>IF(NOT(ISBLANK(A582)),VLOOKUP(A582,QW_Close!A:J,5,0),"")</f>
        <v>4.9834888795248299E-2</v>
      </c>
      <c r="H582" s="5" t="e" cm="1">
        <f t="array" ref="H582">IF(NOT(ISBLANK(A582)),((_xlfn.XLOOKUP(1,(_bbt3[[#All],[ID]]=A582)*(_bbt3[[#All],[METRIC_NAME]]="YLD_YTM_ASK"),_bbt3[[#All],[METRIC_VALUE]])*0.5)+(_xlfn.XLOOKUP(1,(_bbt3[[#All],[ID]]=A582)*(_bbt3[[#All],[METRIC_NAME]]="YLD_YTM_BID"),_bbt3[[#All],[METRIC_VALUE]])*0.5))/100,"")</f>
        <v>#N/A</v>
      </c>
      <c r="I582">
        <f>IF(ISNA(VLOOKUP(A582,QW_CloseDL!A:E,5,0)),0,VLOOKUP(A582,QW_CloseDL!A:E,5,0))</f>
        <v>4.9834644760857402E-2</v>
      </c>
      <c r="J582" s="8">
        <f t="shared" si="45"/>
        <v>2.440343908963194E-3</v>
      </c>
      <c r="P582">
        <v>0</v>
      </c>
      <c r="Q582" t="e">
        <f t="shared" si="41"/>
        <v>#N/A</v>
      </c>
      <c r="R582" t="e">
        <f t="shared" si="42"/>
        <v>#N/A</v>
      </c>
      <c r="S582" s="9" t="e">
        <f t="shared" si="43"/>
        <v>#N/A</v>
      </c>
      <c r="T582" s="3" t="e">
        <f t="shared" si="44"/>
        <v>#N/A</v>
      </c>
    </row>
    <row r="583" spans="1:20" x14ac:dyDescent="0.35">
      <c r="A583" t="str">
        <v>912834JH2</v>
      </c>
      <c r="B583" t="str">
        <f>IF(NOT(ISBLANK(A583)),VLOOKUP(A583,'BBT3'!A:F,2,0),"")</f>
        <v>Bond</v>
      </c>
      <c r="C583" t="str">
        <f>IF(NOT(ISBLANK(A583)),VLOOKUP(A583,'BBT3'!A:F,3,0),"")</f>
        <v>US912834JH26</v>
      </c>
      <c r="D583" s="6">
        <f>IF(NOT(ISBLANK(A583)),VLOOKUP(A583,'BBT3'!A:F,4,1),"")</f>
        <v>0</v>
      </c>
      <c r="E583">
        <f>IF(NOT(ISBLANK(A583)),VLOOKUP(A583,'BBT3'!A:F,5,0),"")</f>
        <v>51455</v>
      </c>
      <c r="F583" t="str">
        <f>IF(NOT(ISBLANK(A583)),VLOOKUP(A583,'BBT3'!A:F,6,0),"")</f>
        <v>N</v>
      </c>
      <c r="G583">
        <f>IF(NOT(ISBLANK(A583)),VLOOKUP(A583,QW_Close!A:J,5,0),"")</f>
        <v>5.0010186038546699E-2</v>
      </c>
      <c r="H583" s="5" t="e" cm="1">
        <f t="array" ref="H583">IF(NOT(ISBLANK(A583)),((_xlfn.XLOOKUP(1,(_bbt3[[#All],[ID]]=A583)*(_bbt3[[#All],[METRIC_NAME]]="YLD_YTM_ASK"),_bbt3[[#All],[METRIC_VALUE]])*0.5)+(_xlfn.XLOOKUP(1,(_bbt3[[#All],[ID]]=A583)*(_bbt3[[#All],[METRIC_NAME]]="YLD_YTM_BID"),_bbt3[[#All],[METRIC_VALUE]])*0.5))/100,"")</f>
        <v>#N/A</v>
      </c>
      <c r="I583">
        <f>IF(ISNA(VLOOKUP(A583,QW_CloseDL!A:E,5,0)),0,VLOOKUP(A583,QW_CloseDL!A:E,5,0))</f>
        <v>5.0009678542589003E-2</v>
      </c>
      <c r="J583" s="8">
        <f t="shared" si="45"/>
        <v>5.074959576953364E-3</v>
      </c>
      <c r="P583">
        <v>0</v>
      </c>
      <c r="Q583" t="e">
        <f t="shared" si="41"/>
        <v>#N/A</v>
      </c>
      <c r="R583" t="e">
        <f t="shared" si="42"/>
        <v>#N/A</v>
      </c>
      <c r="S583" s="9" t="e">
        <f t="shared" si="43"/>
        <v>#N/A</v>
      </c>
      <c r="T583" s="3" t="e">
        <f t="shared" si="44"/>
        <v>#N/A</v>
      </c>
    </row>
    <row r="584" spans="1:20" x14ac:dyDescent="0.35">
      <c r="A584" t="str">
        <v>912834JP4</v>
      </c>
      <c r="B584" t="str">
        <f>IF(NOT(ISBLANK(A584)),VLOOKUP(A584,'BBT3'!A:F,2,0),"")</f>
        <v>Bond</v>
      </c>
      <c r="C584" t="str">
        <f>IF(NOT(ISBLANK(A584)),VLOOKUP(A584,'BBT3'!A:F,3,0),"")</f>
        <v>US912834JP42</v>
      </c>
      <c r="D584" s="6">
        <f>IF(NOT(ISBLANK(A584)),VLOOKUP(A584,'BBT3'!A:F,4,1),"")</f>
        <v>0</v>
      </c>
      <c r="E584">
        <f>IF(NOT(ISBLANK(A584)),VLOOKUP(A584,'BBT3'!A:F,5,0),"")</f>
        <v>51547</v>
      </c>
      <c r="F584" t="str">
        <f>IF(NOT(ISBLANK(A584)),VLOOKUP(A584,'BBT3'!A:F,6,0),"")</f>
        <v>N</v>
      </c>
      <c r="G584">
        <f>IF(NOT(ISBLANK(A584)),VLOOKUP(A584,QW_Close!A:J,5,0),"")</f>
        <v>5.0249917404531899E-2</v>
      </c>
      <c r="H584" s="5" t="e" cm="1">
        <f t="array" ref="H584">IF(NOT(ISBLANK(A584)),((_xlfn.XLOOKUP(1,(_bbt3[[#All],[ID]]=A584)*(_bbt3[[#All],[METRIC_NAME]]="YLD_YTM_ASK"),_bbt3[[#All],[METRIC_VALUE]])*0.5)+(_xlfn.XLOOKUP(1,(_bbt3[[#All],[ID]]=A584)*(_bbt3[[#All],[METRIC_NAME]]="YLD_YTM_BID"),_bbt3[[#All],[METRIC_VALUE]])*0.5))/100,"")</f>
        <v>#N/A</v>
      </c>
      <c r="I584">
        <f>IF(ISNA(VLOOKUP(A584,QW_CloseDL!A:E,5,0)),0,VLOOKUP(A584,QW_CloseDL!A:E,5,0))</f>
        <v>5.02497035276449E-2</v>
      </c>
      <c r="J584" s="8">
        <f t="shared" si="45"/>
        <v>2.1387688699942009E-3</v>
      </c>
      <c r="P584">
        <v>0</v>
      </c>
      <c r="Q584" t="e">
        <f t="shared" si="41"/>
        <v>#N/A</v>
      </c>
      <c r="R584" t="e">
        <f t="shared" si="42"/>
        <v>#N/A</v>
      </c>
      <c r="S584" s="9" t="e">
        <f t="shared" si="43"/>
        <v>#N/A</v>
      </c>
      <c r="T584" s="3" t="e">
        <f t="shared" si="44"/>
        <v>#N/A</v>
      </c>
    </row>
    <row r="585" spans="1:20" x14ac:dyDescent="0.35">
      <c r="A585" t="str">
        <v>912834KB3</v>
      </c>
      <c r="B585" t="str">
        <f>IF(NOT(ISBLANK(A585)),VLOOKUP(A585,'BBT3'!A:F,2,0),"")</f>
        <v>Bond</v>
      </c>
      <c r="C585" t="str">
        <f>IF(NOT(ISBLANK(A585)),VLOOKUP(A585,'BBT3'!A:F,3,0),"")</f>
        <v>US912834KB37</v>
      </c>
      <c r="D585" s="6">
        <f>IF(NOT(ISBLANK(A585)),VLOOKUP(A585,'BBT3'!A:F,4,1),"")</f>
        <v>0</v>
      </c>
      <c r="E585">
        <f>IF(NOT(ISBLANK(A585)),VLOOKUP(A585,'BBT3'!A:F,5,0),"")</f>
        <v>53097</v>
      </c>
      <c r="F585" t="str">
        <f>IF(NOT(ISBLANK(A585)),VLOOKUP(A585,'BBT3'!A:F,6,0),"")</f>
        <v>N</v>
      </c>
      <c r="G585">
        <f>IF(NOT(ISBLANK(A585)),VLOOKUP(A585,QW_Close!A:J,5,0),"")</f>
        <v>5.2374772517819503E-2</v>
      </c>
      <c r="H585" s="5" t="e" cm="1">
        <f t="array" ref="H585">IF(NOT(ISBLANK(A585)),((_xlfn.XLOOKUP(1,(_bbt3[[#All],[ID]]=A585)*(_bbt3[[#All],[METRIC_NAME]]="YLD_YTM_ASK"),_bbt3[[#All],[METRIC_VALUE]])*0.5)+(_xlfn.XLOOKUP(1,(_bbt3[[#All],[ID]]=A585)*(_bbt3[[#All],[METRIC_NAME]]="YLD_YTM_BID"),_bbt3[[#All],[METRIC_VALUE]])*0.5))/100,"")</f>
        <v>#N/A</v>
      </c>
      <c r="I585">
        <f>IF(ISNA(VLOOKUP(A585,QW_CloseDL!A:E,5,0)),0,VLOOKUP(A585,QW_CloseDL!A:E,5,0))</f>
        <v>5.2374476837843999E-2</v>
      </c>
      <c r="J585" s="8">
        <f t="shared" si="45"/>
        <v>2.9567997550383751E-3</v>
      </c>
      <c r="P585">
        <v>0</v>
      </c>
      <c r="Q585" t="e">
        <f t="shared" si="41"/>
        <v>#N/A</v>
      </c>
      <c r="R585" t="e">
        <f t="shared" si="42"/>
        <v>#N/A</v>
      </c>
      <c r="S585" s="9" t="e">
        <f t="shared" si="43"/>
        <v>#N/A</v>
      </c>
      <c r="T585" s="3" t="e">
        <f t="shared" si="44"/>
        <v>#N/A</v>
      </c>
    </row>
    <row r="586" spans="1:20" x14ac:dyDescent="0.35">
      <c r="A586" t="str">
        <v>912834KH0</v>
      </c>
      <c r="B586" t="str">
        <f>IF(NOT(ISBLANK(A586)),VLOOKUP(A586,'BBT3'!A:F,2,0),"")</f>
        <v>Bond</v>
      </c>
      <c r="C586" t="str">
        <f>IF(NOT(ISBLANK(A586)),VLOOKUP(A586,'BBT3'!A:F,3,0),"")</f>
        <v>US912834KH07</v>
      </c>
      <c r="D586" s="6">
        <f>IF(NOT(ISBLANK(A586)),VLOOKUP(A586,'BBT3'!A:F,4,1),"")</f>
        <v>0</v>
      </c>
      <c r="E586">
        <f>IF(NOT(ISBLANK(A586)),VLOOKUP(A586,'BBT3'!A:F,5,0),"")</f>
        <v>51636</v>
      </c>
      <c r="F586" t="str">
        <f>IF(NOT(ISBLANK(A586)),VLOOKUP(A586,'BBT3'!A:F,6,0),"")</f>
        <v>N</v>
      </c>
      <c r="G586">
        <f>IF(NOT(ISBLANK(A586)),VLOOKUP(A586,QW_Close!A:J,5,0),"")</f>
        <v>5.0429547512023401E-2</v>
      </c>
      <c r="H586" s="5" t="e" cm="1">
        <f t="array" ref="H586">IF(NOT(ISBLANK(A586)),((_xlfn.XLOOKUP(1,(_bbt3[[#All],[ID]]=A586)*(_bbt3[[#All],[METRIC_NAME]]="YLD_YTM_ASK"),_bbt3[[#All],[METRIC_VALUE]])*0.5)+(_xlfn.XLOOKUP(1,(_bbt3[[#All],[ID]]=A586)*(_bbt3[[#All],[METRIC_NAME]]="YLD_YTM_BID"),_bbt3[[#All],[METRIC_VALUE]])*0.5))/100,"")</f>
        <v>#N/A</v>
      </c>
      <c r="I586">
        <f>IF(ISNA(VLOOKUP(A586,QW_CloseDL!A:E,5,0)),0,VLOOKUP(A586,QW_CloseDL!A:E,5,0))</f>
        <v>5.04297893738739E-2</v>
      </c>
      <c r="J586" s="8">
        <f t="shared" si="45"/>
        <v>2.4186185049873687E-3</v>
      </c>
      <c r="P586">
        <v>0</v>
      </c>
      <c r="Q586" t="e">
        <f t="shared" si="41"/>
        <v>#N/A</v>
      </c>
      <c r="R586" t="e">
        <f t="shared" si="42"/>
        <v>#N/A</v>
      </c>
      <c r="S586" s="9" t="e">
        <f t="shared" si="43"/>
        <v>#N/A</v>
      </c>
      <c r="T586" s="3" t="e">
        <f t="shared" si="44"/>
        <v>#N/A</v>
      </c>
    </row>
    <row r="587" spans="1:20" x14ac:dyDescent="0.35">
      <c r="A587" t="str">
        <v>912834KP2</v>
      </c>
      <c r="B587" t="str">
        <f>IF(NOT(ISBLANK(A587)),VLOOKUP(A587,'BBT3'!A:F,2,0),"")</f>
        <v>Bond</v>
      </c>
      <c r="C587" t="str">
        <f>IF(NOT(ISBLANK(A587)),VLOOKUP(A587,'BBT3'!A:F,3,0),"")</f>
        <v>US912834KP23</v>
      </c>
      <c r="D587" s="6">
        <f>IF(NOT(ISBLANK(A587)),VLOOKUP(A587,'BBT3'!A:F,4,1),"")</f>
        <v>0</v>
      </c>
      <c r="E587">
        <f>IF(NOT(ISBLANK(A587)),VLOOKUP(A587,'BBT3'!A:F,5,0),"")</f>
        <v>51728</v>
      </c>
      <c r="F587" t="str">
        <f>IF(NOT(ISBLANK(A587)),VLOOKUP(A587,'BBT3'!A:F,6,0),"")</f>
        <v>N</v>
      </c>
      <c r="G587">
        <f>IF(NOT(ISBLANK(A587)),VLOOKUP(A587,QW_Close!A:J,5,0),"")</f>
        <v>5.0554824914381701E-2</v>
      </c>
      <c r="H587" s="5" t="e" cm="1">
        <f t="array" ref="H587">IF(NOT(ISBLANK(A587)),((_xlfn.XLOOKUP(1,(_bbt3[[#All],[ID]]=A587)*(_bbt3[[#All],[METRIC_NAME]]="YLD_YTM_ASK"),_bbt3[[#All],[METRIC_VALUE]])*0.5)+(_xlfn.XLOOKUP(1,(_bbt3[[#All],[ID]]=A587)*(_bbt3[[#All],[METRIC_NAME]]="YLD_YTM_BID"),_bbt3[[#All],[METRIC_VALUE]])*0.5))/100,"")</f>
        <v>#N/A</v>
      </c>
      <c r="I587">
        <f>IF(ISNA(VLOOKUP(A587,QW_CloseDL!A:E,5,0)),0,VLOOKUP(A587,QW_CloseDL!A:E,5,0))</f>
        <v>5.0554612483661401E-2</v>
      </c>
      <c r="J587" s="8">
        <f t="shared" si="45"/>
        <v>2.1243072029913934E-3</v>
      </c>
      <c r="P587">
        <v>0</v>
      </c>
      <c r="Q587" t="e">
        <f t="shared" si="41"/>
        <v>#N/A</v>
      </c>
      <c r="R587" t="e">
        <f t="shared" si="42"/>
        <v>#N/A</v>
      </c>
      <c r="S587" s="9" t="e">
        <f t="shared" si="43"/>
        <v>#N/A</v>
      </c>
      <c r="T587" s="3" t="e">
        <f t="shared" si="44"/>
        <v>#N/A</v>
      </c>
    </row>
    <row r="588" spans="1:20" x14ac:dyDescent="0.35">
      <c r="A588" t="str">
        <v>912834KV9</v>
      </c>
      <c r="B588" t="str">
        <f>IF(NOT(ISBLANK(A588)),VLOOKUP(A588,'BBT3'!A:F,2,0),"")</f>
        <v>Bond</v>
      </c>
      <c r="C588" t="str">
        <f>IF(NOT(ISBLANK(A588)),VLOOKUP(A588,'BBT3'!A:F,3,0),"")</f>
        <v>US912834KV90</v>
      </c>
      <c r="D588" s="6">
        <f>IF(NOT(ISBLANK(A588)),VLOOKUP(A588,'BBT3'!A:F,4,1),"")</f>
        <v>0</v>
      </c>
      <c r="E588">
        <f>IF(NOT(ISBLANK(A588)),VLOOKUP(A588,'BBT3'!A:F,5,0),"")</f>
        <v>51820</v>
      </c>
      <c r="F588" t="str">
        <f>IF(NOT(ISBLANK(A588)),VLOOKUP(A588,'BBT3'!A:F,6,0),"")</f>
        <v>N</v>
      </c>
      <c r="G588">
        <f>IF(NOT(ISBLANK(A588)),VLOOKUP(A588,QW_Close!A:J,5,0),"")</f>
        <v>5.0754688567635702E-2</v>
      </c>
      <c r="H588" s="5" t="e" cm="1">
        <f t="array" ref="H588">IF(NOT(ISBLANK(A588)),((_xlfn.XLOOKUP(1,(_bbt3[[#All],[ID]]=A588)*(_bbt3[[#All],[METRIC_NAME]]="YLD_YTM_ASK"),_bbt3[[#All],[METRIC_VALUE]])*0.5)+(_xlfn.XLOOKUP(1,(_bbt3[[#All],[ID]]=A588)*(_bbt3[[#All],[METRIC_NAME]]="YLD_YTM_BID"),_bbt3[[#All],[METRIC_VALUE]])*0.5))/100,"")</f>
        <v>#N/A</v>
      </c>
      <c r="I588">
        <f>IF(ISNA(VLOOKUP(A588,QW_CloseDL!A:E,5,0)),0,VLOOKUP(A588,QW_CloseDL!A:E,5,0))</f>
        <v>5.0754673291191099E-2</v>
      </c>
      <c r="J588" s="8">
        <f t="shared" si="45"/>
        <v>1.5276444602363437E-4</v>
      </c>
      <c r="P588">
        <v>0</v>
      </c>
      <c r="Q588" t="e">
        <f t="shared" si="41"/>
        <v>#N/A</v>
      </c>
      <c r="R588" t="e">
        <f t="shared" si="42"/>
        <v>#N/A</v>
      </c>
      <c r="S588" s="9" t="e">
        <f t="shared" si="43"/>
        <v>#N/A</v>
      </c>
      <c r="T588" s="3" t="e">
        <f t="shared" si="44"/>
        <v>#N/A</v>
      </c>
    </row>
    <row r="589" spans="1:20" x14ac:dyDescent="0.35">
      <c r="A589" t="str">
        <v>912834LB2</v>
      </c>
      <c r="B589" t="str">
        <f>IF(NOT(ISBLANK(A589)),VLOOKUP(A589,'BBT3'!A:F,2,0),"")</f>
        <v>Bond</v>
      </c>
      <c r="C589" t="str">
        <f>IF(NOT(ISBLANK(A589)),VLOOKUP(A589,'BBT3'!A:F,3,0),"")</f>
        <v>US912834LB28</v>
      </c>
      <c r="D589" s="6">
        <f>IF(NOT(ISBLANK(A589)),VLOOKUP(A589,'BBT3'!A:F,4,1),"")</f>
        <v>0</v>
      </c>
      <c r="E589">
        <f>IF(NOT(ISBLANK(A589)),VLOOKUP(A589,'BBT3'!A:F,5,0),"")</f>
        <v>51912</v>
      </c>
      <c r="F589" t="str">
        <f>IF(NOT(ISBLANK(A589)),VLOOKUP(A589,'BBT3'!A:F,6,0),"")</f>
        <v>N</v>
      </c>
      <c r="G589">
        <f>IF(NOT(ISBLANK(A589)),VLOOKUP(A589,QW_Close!A:J,5,0),"")</f>
        <v>5.0939981001130799E-2</v>
      </c>
      <c r="H589" s="5" t="e" cm="1">
        <f t="array" ref="H589">IF(NOT(ISBLANK(A589)),((_xlfn.XLOOKUP(1,(_bbt3[[#All],[ID]]=A589)*(_bbt3[[#All],[METRIC_NAME]]="YLD_YTM_ASK"),_bbt3[[#All],[METRIC_VALUE]])*0.5)+(_xlfn.XLOOKUP(1,(_bbt3[[#All],[ID]]=A589)*(_bbt3[[#All],[METRIC_NAME]]="YLD_YTM_BID"),_bbt3[[#All],[METRIC_VALUE]])*0.5))/100,"")</f>
        <v>#N/A</v>
      </c>
      <c r="I589">
        <f>IF(ISNA(VLOOKUP(A589,QW_CloseDL!A:E,5,0)),0,VLOOKUP(A589,QW_CloseDL!A:E,5,0))</f>
        <v>5.0939714922750401E-2</v>
      </c>
      <c r="J589" s="8">
        <f t="shared" si="45"/>
        <v>2.6607838039816034E-3</v>
      </c>
      <c r="P589">
        <v>0</v>
      </c>
      <c r="Q589" t="e">
        <f t="shared" ref="Q589:Q652" si="46">VLOOKUP(P589,A:B,2,0)</f>
        <v>#N/A</v>
      </c>
      <c r="R589" t="e">
        <f t="shared" ref="R589:R652" si="47">VLOOKUP(P589,A:E,4,0)</f>
        <v>#N/A</v>
      </c>
      <c r="S589" s="9" t="e">
        <f t="shared" ref="S589:S652" si="48">VLOOKUP(P589,A:J,10,0)</f>
        <v>#N/A</v>
      </c>
      <c r="T589" s="3" t="e">
        <f t="shared" ref="T589:T652" si="49">VLOOKUP(P589,A:J,5,0)</f>
        <v>#N/A</v>
      </c>
    </row>
    <row r="590" spans="1:20" x14ac:dyDescent="0.35">
      <c r="A590" t="str">
        <v>912834LK2</v>
      </c>
      <c r="B590" t="str">
        <f>IF(NOT(ISBLANK(A590)),VLOOKUP(A590,'BBT3'!A:F,2,0),"")</f>
        <v>Bond</v>
      </c>
      <c r="C590" t="str">
        <f>IF(NOT(ISBLANK(A590)),VLOOKUP(A590,'BBT3'!A:F,3,0),"")</f>
        <v>US912834LK27</v>
      </c>
      <c r="D590" s="6">
        <f>IF(NOT(ISBLANK(A590)),VLOOKUP(A590,'BBT3'!A:F,4,1),"")</f>
        <v>0</v>
      </c>
      <c r="E590">
        <f>IF(NOT(ISBLANK(A590)),VLOOKUP(A590,'BBT3'!A:F,5,0),"")</f>
        <v>52001</v>
      </c>
      <c r="F590" t="str">
        <f>IF(NOT(ISBLANK(A590)),VLOOKUP(A590,'BBT3'!A:F,6,0),"")</f>
        <v>N</v>
      </c>
      <c r="G590">
        <f>IF(NOT(ISBLANK(A590)),VLOOKUP(A590,QW_Close!A:J,5,0),"")</f>
        <v>5.1009292149663897E-2</v>
      </c>
      <c r="H590" s="5" t="e" cm="1">
        <f t="array" ref="H590">IF(NOT(ISBLANK(A590)),((_xlfn.XLOOKUP(1,(_bbt3[[#All],[ID]]=A590)*(_bbt3[[#All],[METRIC_NAME]]="YLD_YTM_ASK"),_bbt3[[#All],[METRIC_VALUE]])*0.5)+(_xlfn.XLOOKUP(1,(_bbt3[[#All],[ID]]=A590)*(_bbt3[[#All],[METRIC_NAME]]="YLD_YTM_BID"),_bbt3[[#All],[METRIC_VALUE]])*0.5))/100,"")</f>
        <v>#N/A</v>
      </c>
      <c r="I590">
        <f>IF(ISNA(VLOOKUP(A590,QW_CloseDL!A:E,5,0)),0,VLOOKUP(A590,QW_CloseDL!A:E,5,0))</f>
        <v>5.10096464526998E-2</v>
      </c>
      <c r="J590" s="8">
        <f t="shared" si="45"/>
        <v>3.5430303590294754E-3</v>
      </c>
      <c r="P590">
        <v>0</v>
      </c>
      <c r="Q590" t="e">
        <f t="shared" si="46"/>
        <v>#N/A</v>
      </c>
      <c r="R590" t="e">
        <f t="shared" si="47"/>
        <v>#N/A</v>
      </c>
      <c r="S590" s="9" t="e">
        <f t="shared" si="48"/>
        <v>#N/A</v>
      </c>
      <c r="T590" s="3" t="e">
        <f t="shared" si="49"/>
        <v>#N/A</v>
      </c>
    </row>
    <row r="591" spans="1:20" x14ac:dyDescent="0.35">
      <c r="A591" t="str">
        <v>912834LR7</v>
      </c>
      <c r="B591" t="str">
        <f>IF(NOT(ISBLANK(A591)),VLOOKUP(A591,'BBT3'!A:F,2,0),"")</f>
        <v>Bond</v>
      </c>
      <c r="C591" t="str">
        <f>IF(NOT(ISBLANK(A591)),VLOOKUP(A591,'BBT3'!A:F,3,0),"")</f>
        <v>US912834LR79</v>
      </c>
      <c r="D591" s="6">
        <f>IF(NOT(ISBLANK(A591)),VLOOKUP(A591,'BBT3'!A:F,4,1),"")</f>
        <v>0</v>
      </c>
      <c r="E591">
        <f>IF(NOT(ISBLANK(A591)),VLOOKUP(A591,'BBT3'!A:F,5,0),"")</f>
        <v>52093</v>
      </c>
      <c r="F591" t="str">
        <f>IF(NOT(ISBLANK(A591)),VLOOKUP(A591,'BBT3'!A:F,6,0),"")</f>
        <v>N</v>
      </c>
      <c r="G591">
        <f>IF(NOT(ISBLANK(A591)),VLOOKUP(A591,QW_Close!A:J,5,0),"")</f>
        <v>5.1179624925061999E-2</v>
      </c>
      <c r="H591" s="5" t="e" cm="1">
        <f t="array" ref="H591">IF(NOT(ISBLANK(A591)),((_xlfn.XLOOKUP(1,(_bbt3[[#All],[ID]]=A591)*(_bbt3[[#All],[METRIC_NAME]]="YLD_YTM_ASK"),_bbt3[[#All],[METRIC_VALUE]])*0.5)+(_xlfn.XLOOKUP(1,(_bbt3[[#All],[ID]]=A591)*(_bbt3[[#All],[METRIC_NAME]]="YLD_YTM_BID"),_bbt3[[#All],[METRIC_VALUE]])*0.5))/100,"")</f>
        <v>#N/A</v>
      </c>
      <c r="I591">
        <f>IF(ISNA(VLOOKUP(A591,QW_CloseDL!A:E,5,0)),0,VLOOKUP(A591,QW_CloseDL!A:E,5,0))</f>
        <v>5.1179674409287702E-2</v>
      </c>
      <c r="J591" s="8">
        <f t="shared" si="45"/>
        <v>4.9484225703166906E-4</v>
      </c>
      <c r="P591">
        <v>0</v>
      </c>
      <c r="Q591" t="e">
        <f t="shared" si="46"/>
        <v>#N/A</v>
      </c>
      <c r="R591" t="e">
        <f t="shared" si="47"/>
        <v>#N/A</v>
      </c>
      <c r="S591" s="9" t="e">
        <f t="shared" si="48"/>
        <v>#N/A</v>
      </c>
      <c r="T591" s="3" t="e">
        <f t="shared" si="49"/>
        <v>#N/A</v>
      </c>
    </row>
    <row r="592" spans="1:20" x14ac:dyDescent="0.35">
      <c r="A592" t="str">
        <v>912834LX4</v>
      </c>
      <c r="B592" t="str">
        <f>IF(NOT(ISBLANK(A592)),VLOOKUP(A592,'BBT3'!A:F,2,0),"")</f>
        <v>Bond</v>
      </c>
      <c r="C592" t="str">
        <f>IF(NOT(ISBLANK(A592)),VLOOKUP(A592,'BBT3'!A:F,3,0),"")</f>
        <v>US912834LX48</v>
      </c>
      <c r="D592" s="6">
        <f>IF(NOT(ISBLANK(A592)),VLOOKUP(A592,'BBT3'!A:F,4,1),"")</f>
        <v>0</v>
      </c>
      <c r="E592">
        <f>IF(NOT(ISBLANK(A592)),VLOOKUP(A592,'BBT3'!A:F,5,0),"")</f>
        <v>52185</v>
      </c>
      <c r="F592" t="str">
        <f>IF(NOT(ISBLANK(A592)),VLOOKUP(A592,'BBT3'!A:F,6,0),"")</f>
        <v>N</v>
      </c>
      <c r="G592">
        <f>IF(NOT(ISBLANK(A592)),VLOOKUP(A592,QW_Close!A:J,5,0),"")</f>
        <v>5.1354929910781298E-2</v>
      </c>
      <c r="H592" s="5" t="e" cm="1">
        <f t="array" ref="H592">IF(NOT(ISBLANK(A592)),((_xlfn.XLOOKUP(1,(_bbt3[[#All],[ID]]=A592)*(_bbt3[[#All],[METRIC_NAME]]="YLD_YTM_ASK"),_bbt3[[#All],[METRIC_VALUE]])*0.5)+(_xlfn.XLOOKUP(1,(_bbt3[[#All],[ID]]=A592)*(_bbt3[[#All],[METRIC_NAME]]="YLD_YTM_BID"),_bbt3[[#All],[METRIC_VALUE]])*0.5))/100,"")</f>
        <v>#N/A</v>
      </c>
      <c r="I592">
        <f>IF(ISNA(VLOOKUP(A592,QW_CloseDL!A:E,5,0)),0,VLOOKUP(A592,QW_CloseDL!A:E,5,0))</f>
        <v>5.1354618215409598E-2</v>
      </c>
      <c r="J592" s="8">
        <f t="shared" si="45"/>
        <v>3.1169537170055994E-3</v>
      </c>
      <c r="P592">
        <v>0</v>
      </c>
      <c r="Q592" t="e">
        <f t="shared" si="46"/>
        <v>#N/A</v>
      </c>
      <c r="R592" t="e">
        <f t="shared" si="47"/>
        <v>#N/A</v>
      </c>
      <c r="S592" s="9" t="e">
        <f t="shared" si="48"/>
        <v>#N/A</v>
      </c>
      <c r="T592" s="3" t="e">
        <f t="shared" si="49"/>
        <v>#N/A</v>
      </c>
    </row>
    <row r="593" spans="1:20" x14ac:dyDescent="0.35">
      <c r="A593" t="str">
        <v>912834MD7</v>
      </c>
      <c r="B593" t="str">
        <f>IF(NOT(ISBLANK(A593)),VLOOKUP(A593,'BBT3'!A:F,2,0),"")</f>
        <v>Bond</v>
      </c>
      <c r="C593" t="str">
        <f>IF(NOT(ISBLANK(A593)),VLOOKUP(A593,'BBT3'!A:F,3,0),"")</f>
        <v>US912834MD74</v>
      </c>
      <c r="D593" s="6">
        <f>IF(NOT(ISBLANK(A593)),VLOOKUP(A593,'BBT3'!A:F,4,1),"")</f>
        <v>0</v>
      </c>
      <c r="E593">
        <f>IF(NOT(ISBLANK(A593)),VLOOKUP(A593,'BBT3'!A:F,5,0),"")</f>
        <v>52277</v>
      </c>
      <c r="F593" t="str">
        <f>IF(NOT(ISBLANK(A593)),VLOOKUP(A593,'BBT3'!A:F,6,0),"")</f>
        <v>N</v>
      </c>
      <c r="G593">
        <f>IF(NOT(ISBLANK(A593)),VLOOKUP(A593,QW_Close!A:J,5,0),"")</f>
        <v>5.1484466754761801E-2</v>
      </c>
      <c r="H593" s="5" t="e" cm="1">
        <f t="array" ref="H593">IF(NOT(ISBLANK(A593)),((_xlfn.XLOOKUP(1,(_bbt3[[#All],[ID]]=A593)*(_bbt3[[#All],[METRIC_NAME]]="YLD_YTM_ASK"),_bbt3[[#All],[METRIC_VALUE]])*0.5)+(_xlfn.XLOOKUP(1,(_bbt3[[#All],[ID]]=A593)*(_bbt3[[#All],[METRIC_NAME]]="YLD_YTM_BID"),_bbt3[[#All],[METRIC_VALUE]])*0.5))/100,"")</f>
        <v>#N/A</v>
      </c>
      <c r="I593">
        <f>IF(ISNA(VLOOKUP(A593,QW_CloseDL!A:E,5,0)),0,VLOOKUP(A593,QW_CloseDL!A:E,5,0))</f>
        <v>5.1484575647447801E-2</v>
      </c>
      <c r="J593" s="8">
        <f t="shared" si="45"/>
        <v>1.0889268600017266E-3</v>
      </c>
      <c r="P593">
        <v>0</v>
      </c>
      <c r="Q593" t="e">
        <f t="shared" si="46"/>
        <v>#N/A</v>
      </c>
      <c r="R593" t="e">
        <f t="shared" si="47"/>
        <v>#N/A</v>
      </c>
      <c r="S593" s="9" t="e">
        <f t="shared" si="48"/>
        <v>#N/A</v>
      </c>
      <c r="T593" s="3" t="e">
        <f t="shared" si="49"/>
        <v>#N/A</v>
      </c>
    </row>
    <row r="594" spans="1:20" x14ac:dyDescent="0.35">
      <c r="A594" t="str">
        <v>912834MM7</v>
      </c>
      <c r="B594" t="str">
        <f>IF(NOT(ISBLANK(A594)),VLOOKUP(A594,'BBT3'!A:F,2,0),"")</f>
        <v>Bond</v>
      </c>
      <c r="C594" t="str">
        <f>IF(NOT(ISBLANK(A594)),VLOOKUP(A594,'BBT3'!A:F,3,0),"")</f>
        <v>US912834MM73</v>
      </c>
      <c r="D594" s="6">
        <f>IF(NOT(ISBLANK(A594)),VLOOKUP(A594,'BBT3'!A:F,4,1),"")</f>
        <v>0</v>
      </c>
      <c r="E594">
        <f>IF(NOT(ISBLANK(A594)),VLOOKUP(A594,'BBT3'!A:F,5,0),"")</f>
        <v>52366</v>
      </c>
      <c r="F594" t="str">
        <f>IF(NOT(ISBLANK(A594)),VLOOKUP(A594,'BBT3'!A:F,6,0),"")</f>
        <v>N</v>
      </c>
      <c r="G594">
        <f>IF(NOT(ISBLANK(A594)),VLOOKUP(A594,QW_Close!A:J,5,0),"")</f>
        <v>5.16292433250084E-2</v>
      </c>
      <c r="H594" s="5" t="e" cm="1">
        <f t="array" ref="H594">IF(NOT(ISBLANK(A594)),((_xlfn.XLOOKUP(1,(_bbt3[[#All],[ID]]=A594)*(_bbt3[[#All],[METRIC_NAME]]="YLD_YTM_ASK"),_bbt3[[#All],[METRIC_VALUE]])*0.5)+(_xlfn.XLOOKUP(1,(_bbt3[[#All],[ID]]=A594)*(_bbt3[[#All],[METRIC_NAME]]="YLD_YTM_BID"),_bbt3[[#All],[METRIC_VALUE]])*0.5))/100,"")</f>
        <v>#N/A</v>
      </c>
      <c r="I594">
        <f>IF(ISNA(VLOOKUP(A594,QW_CloseDL!A:E,5,0)),0,VLOOKUP(A594,QW_CloseDL!A:E,5,0))</f>
        <v>5.16295885081791E-2</v>
      </c>
      <c r="J594" s="8">
        <f t="shared" si="45"/>
        <v>3.4518317069964777E-3</v>
      </c>
      <c r="P594">
        <v>0</v>
      </c>
      <c r="Q594" t="e">
        <f t="shared" si="46"/>
        <v>#N/A</v>
      </c>
      <c r="R594" t="e">
        <f t="shared" si="47"/>
        <v>#N/A</v>
      </c>
      <c r="S594" s="9" t="e">
        <f t="shared" si="48"/>
        <v>#N/A</v>
      </c>
      <c r="T594" s="3" t="e">
        <f t="shared" si="49"/>
        <v>#N/A</v>
      </c>
    </row>
    <row r="595" spans="1:20" x14ac:dyDescent="0.35">
      <c r="A595" t="str">
        <v>912834MT2</v>
      </c>
      <c r="B595" t="str">
        <f>IF(NOT(ISBLANK(A595)),VLOOKUP(A595,'BBT3'!A:F,2,0),"")</f>
        <v>Bond</v>
      </c>
      <c r="C595" t="str">
        <f>IF(NOT(ISBLANK(A595)),VLOOKUP(A595,'BBT3'!A:F,3,0),"")</f>
        <v>US912834MT27</v>
      </c>
      <c r="D595" s="6">
        <f>IF(NOT(ISBLANK(A595)),VLOOKUP(A595,'BBT3'!A:F,4,1),"")</f>
        <v>0</v>
      </c>
      <c r="E595">
        <f>IF(NOT(ISBLANK(A595)),VLOOKUP(A595,'BBT3'!A:F,5,0),"")</f>
        <v>52458</v>
      </c>
      <c r="F595" t="str">
        <f>IF(NOT(ISBLANK(A595)),VLOOKUP(A595,'BBT3'!A:F,6,0),"")</f>
        <v>N</v>
      </c>
      <c r="G595">
        <f>IF(NOT(ISBLANK(A595)),VLOOKUP(A595,QW_Close!A:J,5,0),"")</f>
        <v>5.1724390943998201E-2</v>
      </c>
      <c r="H595" s="5" t="e" cm="1">
        <f t="array" ref="H595">IF(NOT(ISBLANK(A595)),((_xlfn.XLOOKUP(1,(_bbt3[[#All],[ID]]=A595)*(_bbt3[[#All],[METRIC_NAME]]="YLD_YTM_ASK"),_bbt3[[#All],[METRIC_VALUE]])*0.5)+(_xlfn.XLOOKUP(1,(_bbt3[[#All],[ID]]=A595)*(_bbt3[[#All],[METRIC_NAME]]="YLD_YTM_BID"),_bbt3[[#All],[METRIC_VALUE]])*0.5))/100,"")</f>
        <v>#N/A</v>
      </c>
      <c r="I595">
        <f>IF(ISNA(VLOOKUP(A595,QW_CloseDL!A:E,5,0)),0,VLOOKUP(A595,QW_CloseDL!A:E,5,0))</f>
        <v>5.1724601310754299E-2</v>
      </c>
      <c r="J595" s="8">
        <f t="shared" si="45"/>
        <v>2.1036675609820144E-3</v>
      </c>
      <c r="P595">
        <v>0</v>
      </c>
      <c r="Q595" t="e">
        <f t="shared" si="46"/>
        <v>#N/A</v>
      </c>
      <c r="R595" t="e">
        <f t="shared" si="47"/>
        <v>#N/A</v>
      </c>
      <c r="S595" s="9" t="e">
        <f t="shared" si="48"/>
        <v>#N/A</v>
      </c>
      <c r="T595" s="3" t="e">
        <f t="shared" si="49"/>
        <v>#N/A</v>
      </c>
    </row>
    <row r="596" spans="1:20" x14ac:dyDescent="0.35">
      <c r="A596" t="str">
        <v>912834MZ8</v>
      </c>
      <c r="B596" t="str">
        <f>IF(NOT(ISBLANK(A596)),VLOOKUP(A596,'BBT3'!A:F,2,0),"")</f>
        <v>Bond</v>
      </c>
      <c r="C596" t="str">
        <f>IF(NOT(ISBLANK(A596)),VLOOKUP(A596,'BBT3'!A:F,3,0),"")</f>
        <v>US912834MZ86</v>
      </c>
      <c r="D596" s="6">
        <f>IF(NOT(ISBLANK(A596)),VLOOKUP(A596,'BBT3'!A:F,4,1),"")</f>
        <v>0</v>
      </c>
      <c r="E596">
        <f>IF(NOT(ISBLANK(A596)),VLOOKUP(A596,'BBT3'!A:F,5,0),"")</f>
        <v>52550</v>
      </c>
      <c r="F596" t="str">
        <f>IF(NOT(ISBLANK(A596)),VLOOKUP(A596,'BBT3'!A:F,6,0),"")</f>
        <v>N</v>
      </c>
      <c r="G596">
        <f>IF(NOT(ISBLANK(A596)),VLOOKUP(A596,QW_Close!A:J,5,0),"")</f>
        <v>5.1844984789970801E-2</v>
      </c>
      <c r="H596" s="5" t="e" cm="1">
        <f t="array" ref="H596">IF(NOT(ISBLANK(A596)),((_xlfn.XLOOKUP(1,(_bbt3[[#All],[ID]]=A596)*(_bbt3[[#All],[METRIC_NAME]]="YLD_YTM_ASK"),_bbt3[[#All],[METRIC_VALUE]])*0.5)+(_xlfn.XLOOKUP(1,(_bbt3[[#All],[ID]]=A596)*(_bbt3[[#All],[METRIC_NAME]]="YLD_YTM_BID"),_bbt3[[#All],[METRIC_VALUE]])*0.5))/100,"")</f>
        <v>#N/A</v>
      </c>
      <c r="I596">
        <f>IF(ISNA(VLOOKUP(A596,QW_CloseDL!A:E,5,0)),0,VLOOKUP(A596,QW_CloseDL!A:E,5,0))</f>
        <v>5.1844595777836698E-2</v>
      </c>
      <c r="J596" s="8">
        <f t="shared" si="45"/>
        <v>3.8901213410269531E-3</v>
      </c>
      <c r="P596">
        <v>0</v>
      </c>
      <c r="Q596" t="e">
        <f t="shared" si="46"/>
        <v>#N/A</v>
      </c>
      <c r="R596" t="e">
        <f t="shared" si="47"/>
        <v>#N/A</v>
      </c>
      <c r="S596" s="9" t="e">
        <f t="shared" si="48"/>
        <v>#N/A</v>
      </c>
      <c r="T596" s="3" t="e">
        <f t="shared" si="49"/>
        <v>#N/A</v>
      </c>
    </row>
    <row r="597" spans="1:20" x14ac:dyDescent="0.35">
      <c r="A597" t="str">
        <v>912834NF1</v>
      </c>
      <c r="B597" t="str">
        <f>IF(NOT(ISBLANK(A597)),VLOOKUP(A597,'BBT3'!A:F,2,0),"")</f>
        <v>Bond</v>
      </c>
      <c r="C597" t="str">
        <f>IF(NOT(ISBLANK(A597)),VLOOKUP(A597,'BBT3'!A:F,3,0),"")</f>
        <v>US912834NF14</v>
      </c>
      <c r="D597" s="6">
        <f>IF(NOT(ISBLANK(A597)),VLOOKUP(A597,'BBT3'!A:F,4,1),"")</f>
        <v>0</v>
      </c>
      <c r="E597">
        <f>IF(NOT(ISBLANK(A597)),VLOOKUP(A597,'BBT3'!A:F,5,0),"")</f>
        <v>52642</v>
      </c>
      <c r="F597" t="str">
        <f>IF(NOT(ISBLANK(A597)),VLOOKUP(A597,'BBT3'!A:F,6,0),"")</f>
        <v>N</v>
      </c>
      <c r="G597">
        <f>IF(NOT(ISBLANK(A597)),VLOOKUP(A597,QW_Close!A:J,5,0),"")</f>
        <v>5.1964773363410599E-2</v>
      </c>
      <c r="H597" s="5" t="e" cm="1">
        <f t="array" ref="H597">IF(NOT(ISBLANK(A597)),((_xlfn.XLOOKUP(1,(_bbt3[[#All],[ID]]=A597)*(_bbt3[[#All],[METRIC_NAME]]="YLD_YTM_ASK"),_bbt3[[#All],[METRIC_VALUE]])*0.5)+(_xlfn.XLOOKUP(1,(_bbt3[[#All],[ID]]=A597)*(_bbt3[[#All],[METRIC_NAME]]="YLD_YTM_BID"),_bbt3[[#All],[METRIC_VALUE]])*0.5))/100,"")</f>
        <v>#N/A</v>
      </c>
      <c r="I597">
        <f>IF(ISNA(VLOOKUP(A597,QW_CloseDL!A:E,5,0)),0,VLOOKUP(A597,QW_CloseDL!A:E,5,0))</f>
        <v>5.1964149190178603E-2</v>
      </c>
      <c r="J597" s="8">
        <f t="shared" si="45"/>
        <v>6.241732319958726E-3</v>
      </c>
      <c r="P597">
        <v>0</v>
      </c>
      <c r="Q597" t="e">
        <f t="shared" si="46"/>
        <v>#N/A</v>
      </c>
      <c r="R597" t="e">
        <f t="shared" si="47"/>
        <v>#N/A</v>
      </c>
      <c r="S597" s="9" t="e">
        <f t="shared" si="48"/>
        <v>#N/A</v>
      </c>
      <c r="T597" s="3" t="e">
        <f t="shared" si="49"/>
        <v>#N/A</v>
      </c>
    </row>
    <row r="598" spans="1:20" x14ac:dyDescent="0.35">
      <c r="A598" t="str">
        <v>912834NP9</v>
      </c>
      <c r="B598" t="str">
        <f>IF(NOT(ISBLANK(A598)),VLOOKUP(A598,'BBT3'!A:F,2,0),"")</f>
        <v>Bond</v>
      </c>
      <c r="C598" t="str">
        <f>IF(NOT(ISBLANK(A598)),VLOOKUP(A598,'BBT3'!A:F,3,0),"")</f>
        <v>US912834NP95</v>
      </c>
      <c r="D598" s="6">
        <f>IF(NOT(ISBLANK(A598)),VLOOKUP(A598,'BBT3'!A:F,4,1),"")</f>
        <v>0</v>
      </c>
      <c r="E598">
        <f>IF(NOT(ISBLANK(A598)),VLOOKUP(A598,'BBT3'!A:F,5,0),"")</f>
        <v>52732</v>
      </c>
      <c r="F598" t="str">
        <f>IF(NOT(ISBLANK(A598)),VLOOKUP(A598,'BBT3'!A:F,6,0),"")</f>
        <v>N</v>
      </c>
      <c r="G598">
        <f>IF(NOT(ISBLANK(A598)),VLOOKUP(A598,QW_Close!A:J,5,0),"")</f>
        <v>5.2064988530751997E-2</v>
      </c>
      <c r="H598" s="5" t="e" cm="1">
        <f t="array" ref="H598">IF(NOT(ISBLANK(A598)),((_xlfn.XLOOKUP(1,(_bbt3[[#All],[ID]]=A598)*(_bbt3[[#All],[METRIC_NAME]]="YLD_YTM_ASK"),_bbt3[[#All],[METRIC_VALUE]])*0.5)+(_xlfn.XLOOKUP(1,(_bbt3[[#All],[ID]]=A598)*(_bbt3[[#All],[METRIC_NAME]]="YLD_YTM_BID"),_bbt3[[#All],[METRIC_VALUE]])*0.5))/100,"")</f>
        <v>#N/A</v>
      </c>
      <c r="I598">
        <f>IF(ISNA(VLOOKUP(A598,QW_CloseDL!A:E,5,0)),0,VLOOKUP(A598,QW_CloseDL!A:E,5,0))</f>
        <v>5.2064545010318201E-2</v>
      </c>
      <c r="J598" s="8">
        <f t="shared" si="45"/>
        <v>4.4352043379602968E-3</v>
      </c>
      <c r="P598">
        <v>0</v>
      </c>
      <c r="Q598" t="e">
        <f t="shared" si="46"/>
        <v>#N/A</v>
      </c>
      <c r="R598" t="e">
        <f t="shared" si="47"/>
        <v>#N/A</v>
      </c>
      <c r="S598" s="9" t="e">
        <f t="shared" si="48"/>
        <v>#N/A</v>
      </c>
      <c r="T598" s="3" t="e">
        <f t="shared" si="49"/>
        <v>#N/A</v>
      </c>
    </row>
    <row r="599" spans="1:20" x14ac:dyDescent="0.35">
      <c r="A599" t="str">
        <v>912834NV6</v>
      </c>
      <c r="B599" t="str">
        <f>IF(NOT(ISBLANK(A599)),VLOOKUP(A599,'BBT3'!A:F,2,0),"")</f>
        <v>Bond</v>
      </c>
      <c r="C599" t="str">
        <f>IF(NOT(ISBLANK(A599)),VLOOKUP(A599,'BBT3'!A:F,3,0),"")</f>
        <v>US912834NV63</v>
      </c>
      <c r="D599" s="6">
        <f>IF(NOT(ISBLANK(A599)),VLOOKUP(A599,'BBT3'!A:F,4,1),"")</f>
        <v>0</v>
      </c>
      <c r="E599">
        <f>IF(NOT(ISBLANK(A599)),VLOOKUP(A599,'BBT3'!A:F,5,0),"")</f>
        <v>52824</v>
      </c>
      <c r="F599" t="str">
        <f>IF(NOT(ISBLANK(A599)),VLOOKUP(A599,'BBT3'!A:F,6,0),"")</f>
        <v>N</v>
      </c>
      <c r="G599">
        <f>IF(NOT(ISBLANK(A599)),VLOOKUP(A599,QW_Close!A:J,5,0),"")</f>
        <v>5.2164756927081703E-2</v>
      </c>
      <c r="H599" s="5" t="e" cm="1">
        <f t="array" ref="H599">IF(NOT(ISBLANK(A599)),((_xlfn.XLOOKUP(1,(_bbt3[[#All],[ID]]=A599)*(_bbt3[[#All],[METRIC_NAME]]="YLD_YTM_ASK"),_bbt3[[#All],[METRIC_VALUE]])*0.5)+(_xlfn.XLOOKUP(1,(_bbt3[[#All],[ID]]=A599)*(_bbt3[[#All],[METRIC_NAME]]="YLD_YTM_BID"),_bbt3[[#All],[METRIC_VALUE]])*0.5))/100,"")</f>
        <v>#N/A</v>
      </c>
      <c r="I599">
        <f>IF(ISNA(VLOOKUP(A599,QW_CloseDL!A:E,5,0)),0,VLOOKUP(A599,QW_CloseDL!A:E,5,0))</f>
        <v>5.2164538787978498E-2</v>
      </c>
      <c r="J599" s="8">
        <f t="shared" si="45"/>
        <v>2.1813910320439556E-3</v>
      </c>
      <c r="P599">
        <v>0</v>
      </c>
      <c r="Q599" t="e">
        <f t="shared" si="46"/>
        <v>#N/A</v>
      </c>
      <c r="R599" t="e">
        <f t="shared" si="47"/>
        <v>#N/A</v>
      </c>
      <c r="S599" s="9" t="e">
        <f t="shared" si="48"/>
        <v>#N/A</v>
      </c>
      <c r="T599" s="3" t="e">
        <f t="shared" si="49"/>
        <v>#N/A</v>
      </c>
    </row>
    <row r="600" spans="1:20" x14ac:dyDescent="0.35">
      <c r="A600" t="str">
        <v>912834PB8</v>
      </c>
      <c r="B600" t="str">
        <f>IF(NOT(ISBLANK(A600)),VLOOKUP(A600,'BBT3'!A:F,2,0),"")</f>
        <v>Bond</v>
      </c>
      <c r="C600" t="str">
        <f>IF(NOT(ISBLANK(A600)),VLOOKUP(A600,'BBT3'!A:F,3,0),"")</f>
        <v>US912834PB81</v>
      </c>
      <c r="D600" s="6">
        <f>IF(NOT(ISBLANK(A600)),VLOOKUP(A600,'BBT3'!A:F,4,1),"")</f>
        <v>0</v>
      </c>
      <c r="E600">
        <f>IF(NOT(ISBLANK(A600)),VLOOKUP(A600,'BBT3'!A:F,5,0),"")</f>
        <v>52916</v>
      </c>
      <c r="F600" t="str">
        <f>IF(NOT(ISBLANK(A600)),VLOOKUP(A600,'BBT3'!A:F,6,0),"")</f>
        <v>N</v>
      </c>
      <c r="G600">
        <f>IF(NOT(ISBLANK(A600)),VLOOKUP(A600,QW_Close!A:J,5,0),"")</f>
        <v>5.2244220288316601E-2</v>
      </c>
      <c r="H600" s="5" t="e" cm="1">
        <f t="array" ref="H600">IF(NOT(ISBLANK(A600)),((_xlfn.XLOOKUP(1,(_bbt3[[#All],[ID]]=A600)*(_bbt3[[#All],[METRIC_NAME]]="YLD_YTM_ASK"),_bbt3[[#All],[METRIC_VALUE]])*0.5)+(_xlfn.XLOOKUP(1,(_bbt3[[#All],[ID]]=A600)*(_bbt3[[#All],[METRIC_NAME]]="YLD_YTM_BID"),_bbt3[[#All],[METRIC_VALUE]])*0.5))/100,"")</f>
        <v>#N/A</v>
      </c>
      <c r="I600">
        <f>IF(ISNA(VLOOKUP(A600,QW_CloseDL!A:E,5,0)),0,VLOOKUP(A600,QW_CloseDL!A:E,5,0))</f>
        <v>5.2244532713754399E-2</v>
      </c>
      <c r="J600" s="8">
        <f t="shared" si="45"/>
        <v>3.124254377984137E-3</v>
      </c>
      <c r="P600">
        <v>0</v>
      </c>
      <c r="Q600" t="e">
        <f t="shared" si="46"/>
        <v>#N/A</v>
      </c>
      <c r="R600" t="e">
        <f t="shared" si="47"/>
        <v>#N/A</v>
      </c>
      <c r="S600" s="9" t="e">
        <f t="shared" si="48"/>
        <v>#N/A</v>
      </c>
      <c r="T600" s="3" t="e">
        <f t="shared" si="49"/>
        <v>#N/A</v>
      </c>
    </row>
    <row r="601" spans="1:20" x14ac:dyDescent="0.35">
      <c r="A601" t="str">
        <v>912834PH5</v>
      </c>
      <c r="B601" t="str">
        <f>IF(NOT(ISBLANK(A601)),VLOOKUP(A601,'BBT3'!A:F,2,0),"")</f>
        <v>Bond</v>
      </c>
      <c r="C601" t="str">
        <f>IF(NOT(ISBLANK(A601)),VLOOKUP(A601,'BBT3'!A:F,3,0),"")</f>
        <v>US912834PH51</v>
      </c>
      <c r="D601" s="6">
        <f>IF(NOT(ISBLANK(A601)),VLOOKUP(A601,'BBT3'!A:F,4,1),"")</f>
        <v>0</v>
      </c>
      <c r="E601">
        <f>IF(NOT(ISBLANK(A601)),VLOOKUP(A601,'BBT3'!A:F,5,0),"")</f>
        <v>53008</v>
      </c>
      <c r="F601" t="str">
        <f>IF(NOT(ISBLANK(A601)),VLOOKUP(A601,'BBT3'!A:F,6,0),"")</f>
        <v>N</v>
      </c>
      <c r="G601">
        <f>IF(NOT(ISBLANK(A601)),VLOOKUP(A601,QW_Close!A:J,5,0),"")</f>
        <v>5.2319374946661001E-2</v>
      </c>
      <c r="H601" s="5" t="e" cm="1">
        <f t="array" ref="H601">IF(NOT(ISBLANK(A601)),((_xlfn.XLOOKUP(1,(_bbt3[[#All],[ID]]=A601)*(_bbt3[[#All],[METRIC_NAME]]="YLD_YTM_ASK"),_bbt3[[#All],[METRIC_VALUE]])*0.5)+(_xlfn.XLOOKUP(1,(_bbt3[[#All],[ID]]=A601)*(_bbt3[[#All],[METRIC_NAME]]="YLD_YTM_BID"),_bbt3[[#All],[METRIC_VALUE]])*0.5))/100,"")</f>
        <v>#N/A</v>
      </c>
      <c r="I601">
        <f>IF(ISNA(VLOOKUP(A601,QW_CloseDL!A:E,5,0)),0,VLOOKUP(A601,QW_CloseDL!A:E,5,0))</f>
        <v>5.2319370521247799E-2</v>
      </c>
      <c r="J601" s="8">
        <f t="shared" si="45"/>
        <v>4.4254132025578485E-5</v>
      </c>
      <c r="P601">
        <v>0</v>
      </c>
      <c r="Q601" t="e">
        <f t="shared" si="46"/>
        <v>#N/A</v>
      </c>
      <c r="R601" t="e">
        <f t="shared" si="47"/>
        <v>#N/A</v>
      </c>
      <c r="S601" s="9" t="e">
        <f t="shared" si="48"/>
        <v>#N/A</v>
      </c>
      <c r="T601" s="3" t="e">
        <f t="shared" si="49"/>
        <v>#N/A</v>
      </c>
    </row>
    <row r="602" spans="1:20" x14ac:dyDescent="0.35">
      <c r="A602" t="str">
        <v>912834PM4</v>
      </c>
      <c r="B602" t="str">
        <f>IF(NOT(ISBLANK(A602)),VLOOKUP(A602,'BBT3'!A:F,2,0),"")</f>
        <v>Bond</v>
      </c>
      <c r="C602" t="str">
        <f>IF(NOT(ISBLANK(A602)),VLOOKUP(A602,'BBT3'!A:F,3,0),"")</f>
        <v>US912834PM47</v>
      </c>
      <c r="D602" s="6">
        <f>IF(NOT(ISBLANK(A602)),VLOOKUP(A602,'BBT3'!A:F,4,1),"")</f>
        <v>0</v>
      </c>
      <c r="E602">
        <f>IF(NOT(ISBLANK(A602)),VLOOKUP(A602,'BBT3'!A:F,5,0),"")</f>
        <v>53189</v>
      </c>
      <c r="F602" t="str">
        <f>IF(NOT(ISBLANK(A602)),VLOOKUP(A602,'BBT3'!A:F,6,0),"")</f>
        <v>N</v>
      </c>
      <c r="G602">
        <f>IF(NOT(ISBLANK(A602)),VLOOKUP(A602,QW_Close!A:J,5,0),"")</f>
        <v>5.2429734815859198E-2</v>
      </c>
      <c r="H602" s="5" t="e" cm="1">
        <f t="array" ref="H602">IF(NOT(ISBLANK(A602)),((_xlfn.XLOOKUP(1,(_bbt3[[#All],[ID]]=A602)*(_bbt3[[#All],[METRIC_NAME]]="YLD_YTM_ASK"),_bbt3[[#All],[METRIC_VALUE]])*0.5)+(_xlfn.XLOOKUP(1,(_bbt3[[#All],[ID]]=A602)*(_bbt3[[#All],[METRIC_NAME]]="YLD_YTM_BID"),_bbt3[[#All],[METRIC_VALUE]])*0.5))/100,"")</f>
        <v>#N/A</v>
      </c>
      <c r="I602">
        <f>IF(ISNA(VLOOKUP(A602,QW_CloseDL!A:E,5,0)),0,VLOOKUP(A602,QW_CloseDL!A:E,5,0))</f>
        <v>5.24295355298404E-2</v>
      </c>
      <c r="J602" s="8">
        <f t="shared" si="45"/>
        <v>1.9928601879826147E-3</v>
      </c>
      <c r="P602">
        <v>0</v>
      </c>
      <c r="Q602" t="e">
        <f t="shared" si="46"/>
        <v>#N/A</v>
      </c>
      <c r="R602" t="e">
        <f t="shared" si="47"/>
        <v>#N/A</v>
      </c>
      <c r="S602" s="9" t="e">
        <f t="shared" si="48"/>
        <v>#N/A</v>
      </c>
      <c r="T602" s="3" t="e">
        <f t="shared" si="49"/>
        <v>#N/A</v>
      </c>
    </row>
    <row r="603" spans="1:20" x14ac:dyDescent="0.35">
      <c r="A603" t="str">
        <v>912834PT9</v>
      </c>
      <c r="B603" t="str">
        <f>IF(NOT(ISBLANK(A603)),VLOOKUP(A603,'BBT3'!A:F,2,0),"")</f>
        <v>Bond</v>
      </c>
      <c r="C603" t="str">
        <f>IF(NOT(ISBLANK(A603)),VLOOKUP(A603,'BBT3'!A:F,3,0),"")</f>
        <v>US912834PT99</v>
      </c>
      <c r="D603" s="6">
        <f>IF(NOT(ISBLANK(A603)),VLOOKUP(A603,'BBT3'!A:F,4,1),"")</f>
        <v>0</v>
      </c>
      <c r="E603">
        <f>IF(NOT(ISBLANK(A603)),VLOOKUP(A603,'BBT3'!A:F,5,0),"")</f>
        <v>53281</v>
      </c>
      <c r="F603" t="str">
        <f>IF(NOT(ISBLANK(A603)),VLOOKUP(A603,'BBT3'!A:F,6,0),"")</f>
        <v>N</v>
      </c>
      <c r="G603">
        <f>IF(NOT(ISBLANK(A603)),VLOOKUP(A603,QW_Close!A:J,5,0),"")</f>
        <v>5.2434124062567103E-2</v>
      </c>
      <c r="H603" s="5" t="e" cm="1">
        <f t="array" ref="H603">IF(NOT(ISBLANK(A603)),((_xlfn.XLOOKUP(1,(_bbt3[[#All],[ID]]=A603)*(_bbt3[[#All],[METRIC_NAME]]="YLD_YTM_ASK"),_bbt3[[#All],[METRIC_VALUE]])*0.5)+(_xlfn.XLOOKUP(1,(_bbt3[[#All],[ID]]=A603)*(_bbt3[[#All],[METRIC_NAME]]="YLD_YTM_BID"),_bbt3[[#All],[METRIC_VALUE]])*0.5))/100,"")</f>
        <v>#N/A</v>
      </c>
      <c r="I603">
        <f>IF(ISNA(VLOOKUP(A603,QW_CloseDL!A:E,5,0)),0,VLOOKUP(A603,QW_CloseDL!A:E,5,0))</f>
        <v>5.2434463399349103E-2</v>
      </c>
      <c r="J603" s="8">
        <f t="shared" si="45"/>
        <v>3.393367820000992E-3</v>
      </c>
      <c r="P603">
        <v>0</v>
      </c>
      <c r="Q603" t="e">
        <f t="shared" si="46"/>
        <v>#N/A</v>
      </c>
      <c r="R603" t="e">
        <f t="shared" si="47"/>
        <v>#N/A</v>
      </c>
      <c r="S603" s="9" t="e">
        <f t="shared" si="48"/>
        <v>#N/A</v>
      </c>
      <c r="T603" s="3" t="e">
        <f t="shared" si="49"/>
        <v>#N/A</v>
      </c>
    </row>
    <row r="604" spans="1:20" x14ac:dyDescent="0.35">
      <c r="A604" t="str">
        <v>912834PZ5</v>
      </c>
      <c r="B604" t="str">
        <f>IF(NOT(ISBLANK(A604)),VLOOKUP(A604,'BBT3'!A:F,2,0),"")</f>
        <v>Bond</v>
      </c>
      <c r="C604" t="str">
        <f>IF(NOT(ISBLANK(A604)),VLOOKUP(A604,'BBT3'!A:F,3,0),"")</f>
        <v>US912834PZ59</v>
      </c>
      <c r="D604" s="6">
        <f>IF(NOT(ISBLANK(A604)),VLOOKUP(A604,'BBT3'!A:F,4,1),"")</f>
        <v>0</v>
      </c>
      <c r="E604">
        <f>IF(NOT(ISBLANK(A604)),VLOOKUP(A604,'BBT3'!A:F,5,0),"")</f>
        <v>53373</v>
      </c>
      <c r="F604" t="str">
        <f>IF(NOT(ISBLANK(A604)),VLOOKUP(A604,'BBT3'!A:F,6,0),"")</f>
        <v>N</v>
      </c>
      <c r="G604">
        <f>IF(NOT(ISBLANK(A604)),VLOOKUP(A604,QW_Close!A:J,5,0),"")</f>
        <v>5.2455032805929398E-2</v>
      </c>
      <c r="H604" s="5" t="e" cm="1">
        <f t="array" ref="H604">IF(NOT(ISBLANK(A604)),((_xlfn.XLOOKUP(1,(_bbt3[[#All],[ID]]=A604)*(_bbt3[[#All],[METRIC_NAME]]="YLD_YTM_ASK"),_bbt3[[#All],[METRIC_VALUE]])*0.5)+(_xlfn.XLOOKUP(1,(_bbt3[[#All],[ID]]=A604)*(_bbt3[[#All],[METRIC_NAME]]="YLD_YTM_BID"),_bbt3[[#All],[METRIC_VALUE]])*0.5))/100,"")</f>
        <v>#N/A</v>
      </c>
      <c r="I604">
        <f>IF(ISNA(VLOOKUP(A604,QW_CloseDL!A:E,5,0)),0,VLOOKUP(A604,QW_CloseDL!A:E,5,0))</f>
        <v>5.24544649650368E-2</v>
      </c>
      <c r="J604" s="8">
        <f t="shared" si="45"/>
        <v>5.6784089259853676E-3</v>
      </c>
      <c r="P604">
        <v>0</v>
      </c>
      <c r="Q604" t="e">
        <f t="shared" si="46"/>
        <v>#N/A</v>
      </c>
      <c r="R604" t="e">
        <f t="shared" si="47"/>
        <v>#N/A</v>
      </c>
      <c r="S604" s="9" t="e">
        <f t="shared" si="48"/>
        <v>#N/A</v>
      </c>
      <c r="T604" s="3" t="e">
        <f t="shared" si="49"/>
        <v>#N/A</v>
      </c>
    </row>
    <row r="605" spans="1:20" x14ac:dyDescent="0.35">
      <c r="A605" t="str">
        <v>912834QH4</v>
      </c>
      <c r="B605" t="str">
        <f>IF(NOT(ISBLANK(A605)),VLOOKUP(A605,'BBT3'!A:F,2,0),"")</f>
        <v>Bond</v>
      </c>
      <c r="C605" t="str">
        <f>IF(NOT(ISBLANK(A605)),VLOOKUP(A605,'BBT3'!A:F,3,0),"")</f>
        <v>US912834QH43</v>
      </c>
      <c r="D605" s="6">
        <f>IF(NOT(ISBLANK(A605)),VLOOKUP(A605,'BBT3'!A:F,4,1),"")</f>
        <v>0</v>
      </c>
      <c r="E605">
        <f>IF(NOT(ISBLANK(A605)),VLOOKUP(A605,'BBT3'!A:F,5,0),"")</f>
        <v>53462</v>
      </c>
      <c r="F605" t="str">
        <f>IF(NOT(ISBLANK(A605)),VLOOKUP(A605,'BBT3'!A:F,6,0),"")</f>
        <v>N</v>
      </c>
      <c r="G605">
        <f>IF(NOT(ISBLANK(A605)),VLOOKUP(A605,QW_Close!A:J,5,0),"")</f>
        <v>5.2494382886183001E-2</v>
      </c>
      <c r="H605" s="5" t="e" cm="1">
        <f t="array" ref="H605">IF(NOT(ISBLANK(A605)),((_xlfn.XLOOKUP(1,(_bbt3[[#All],[ID]]=A605)*(_bbt3[[#All],[METRIC_NAME]]="YLD_YTM_ASK"),_bbt3[[#All],[METRIC_VALUE]])*0.5)+(_xlfn.XLOOKUP(1,(_bbt3[[#All],[ID]]=A605)*(_bbt3[[#All],[METRIC_NAME]]="YLD_YTM_BID"),_bbt3[[#All],[METRIC_VALUE]])*0.5))/100,"")</f>
        <v>#N/A</v>
      </c>
      <c r="I605">
        <f>IF(ISNA(VLOOKUP(A605,QW_CloseDL!A:E,5,0)),0,VLOOKUP(A605,QW_CloseDL!A:E,5,0))</f>
        <v>5.2494741374251801E-2</v>
      </c>
      <c r="J605" s="8">
        <f t="shared" si="45"/>
        <v>3.5848806879956729E-3</v>
      </c>
      <c r="P605">
        <v>0</v>
      </c>
      <c r="Q605" t="e">
        <f t="shared" si="46"/>
        <v>#N/A</v>
      </c>
      <c r="R605" t="e">
        <f t="shared" si="47"/>
        <v>#N/A</v>
      </c>
      <c r="S605" s="9" t="e">
        <f t="shared" si="48"/>
        <v>#N/A</v>
      </c>
      <c r="T605" s="3" t="e">
        <f t="shared" si="49"/>
        <v>#N/A</v>
      </c>
    </row>
    <row r="606" spans="1:20" x14ac:dyDescent="0.35">
      <c r="A606" t="str">
        <v>912834QP6</v>
      </c>
      <c r="B606" t="str">
        <f>IF(NOT(ISBLANK(A606)),VLOOKUP(A606,'BBT3'!A:F,2,0),"")</f>
        <v>Bond</v>
      </c>
      <c r="C606" t="str">
        <f>IF(NOT(ISBLANK(A606)),VLOOKUP(A606,'BBT3'!A:F,3,0),"")</f>
        <v>US912834QP68</v>
      </c>
      <c r="D606" s="6">
        <f>IF(NOT(ISBLANK(A606)),VLOOKUP(A606,'BBT3'!A:F,4,1),"")</f>
        <v>0</v>
      </c>
      <c r="E606">
        <f>IF(NOT(ISBLANK(A606)),VLOOKUP(A606,'BBT3'!A:F,5,0),"")</f>
        <v>53554</v>
      </c>
      <c r="F606" t="str">
        <f>IF(NOT(ISBLANK(A606)),VLOOKUP(A606,'BBT3'!A:F,6,0),"")</f>
        <v>N</v>
      </c>
      <c r="G606">
        <f>IF(NOT(ISBLANK(A606)),VLOOKUP(A606,QW_Close!A:J,5,0),"")</f>
        <v>5.2509081804848097E-2</v>
      </c>
      <c r="H606" s="5" t="e" cm="1">
        <f t="array" ref="H606">IF(NOT(ISBLANK(A606)),((_xlfn.XLOOKUP(1,(_bbt3[[#All],[ID]]=A606)*(_bbt3[[#All],[METRIC_NAME]]="YLD_YTM_ASK"),_bbt3[[#All],[METRIC_VALUE]])*0.5)+(_xlfn.XLOOKUP(1,(_bbt3[[#All],[ID]]=A606)*(_bbt3[[#All],[METRIC_NAME]]="YLD_YTM_BID"),_bbt3[[#All],[METRIC_VALUE]])*0.5))/100,"")</f>
        <v>#N/A</v>
      </c>
      <c r="I606">
        <f>IF(ISNA(VLOOKUP(A606,QW_CloseDL!A:E,5,0)),0,VLOOKUP(A606,QW_CloseDL!A:E,5,0))</f>
        <v>5.2509511969082802E-2</v>
      </c>
      <c r="J606" s="8">
        <f t="shared" si="45"/>
        <v>4.301642347048773E-3</v>
      </c>
      <c r="P606">
        <v>0</v>
      </c>
      <c r="Q606" t="e">
        <f t="shared" si="46"/>
        <v>#N/A</v>
      </c>
      <c r="R606" t="e">
        <f t="shared" si="47"/>
        <v>#N/A</v>
      </c>
      <c r="S606" s="9" t="e">
        <f t="shared" si="48"/>
        <v>#N/A</v>
      </c>
      <c r="T606" s="3" t="e">
        <f t="shared" si="49"/>
        <v>#N/A</v>
      </c>
    </row>
    <row r="607" spans="1:20" x14ac:dyDescent="0.35">
      <c r="A607" t="str">
        <v>912834QV3</v>
      </c>
      <c r="B607" t="str">
        <f>IF(NOT(ISBLANK(A607)),VLOOKUP(A607,'BBT3'!A:F,2,0),"")</f>
        <v>Bond</v>
      </c>
      <c r="C607" t="str">
        <f>IF(NOT(ISBLANK(A607)),VLOOKUP(A607,'BBT3'!A:F,3,0),"")</f>
        <v>US912834QV37</v>
      </c>
      <c r="D607" s="6">
        <f>IF(NOT(ISBLANK(A607)),VLOOKUP(A607,'BBT3'!A:F,4,1),"")</f>
        <v>0</v>
      </c>
      <c r="E607">
        <f>IF(NOT(ISBLANK(A607)),VLOOKUP(A607,'BBT3'!A:F,5,0),"")</f>
        <v>53646</v>
      </c>
      <c r="F607" t="str">
        <f>IF(NOT(ISBLANK(A607)),VLOOKUP(A607,'BBT3'!A:F,6,0),"")</f>
        <v>N</v>
      </c>
      <c r="G607">
        <f>IF(NOT(ISBLANK(A607)),VLOOKUP(A607,QW_Close!A:J,5,0),"")</f>
        <v>5.2504416384983203E-2</v>
      </c>
      <c r="H607" s="5" t="e" cm="1">
        <f t="array" ref="H607">IF(NOT(ISBLANK(A607)),((_xlfn.XLOOKUP(1,(_bbt3[[#All],[ID]]=A607)*(_bbt3[[#All],[METRIC_NAME]]="YLD_YTM_ASK"),_bbt3[[#All],[METRIC_VALUE]])*0.5)+(_xlfn.XLOOKUP(1,(_bbt3[[#All],[ID]]=A607)*(_bbt3[[#All],[METRIC_NAME]]="YLD_YTM_BID"),_bbt3[[#All],[METRIC_VALUE]])*0.5))/100,"")</f>
        <v>#N/A</v>
      </c>
      <c r="I607">
        <f>IF(ISNA(VLOOKUP(A607,QW_CloseDL!A:E,5,0)),0,VLOOKUP(A607,QW_CloseDL!A:E,5,0))</f>
        <v>5.2504436508475902E-2</v>
      </c>
      <c r="J607" s="8">
        <f t="shared" si="45"/>
        <v>2.0123492698587153E-4</v>
      </c>
      <c r="P607">
        <v>0</v>
      </c>
      <c r="Q607" t="e">
        <f t="shared" si="46"/>
        <v>#N/A</v>
      </c>
      <c r="R607" t="e">
        <f t="shared" si="47"/>
        <v>#N/A</v>
      </c>
      <c r="S607" s="9" t="e">
        <f t="shared" si="48"/>
        <v>#N/A</v>
      </c>
      <c r="T607" s="3" t="e">
        <f t="shared" si="49"/>
        <v>#N/A</v>
      </c>
    </row>
    <row r="608" spans="1:20" x14ac:dyDescent="0.35">
      <c r="B608" t="str">
        <f>IF(NOT(ISBLANK(A608)),VLOOKUP(A608,'BBT3'!A:F,2,0),"")</f>
        <v/>
      </c>
      <c r="C608" t="str">
        <f>IF(NOT(ISBLANK(A608)),VLOOKUP(A608,'BBT3'!A:F,3,0),"")</f>
        <v/>
      </c>
      <c r="D608" s="6" t="str">
        <f>IF(NOT(ISBLANK(A608)),VLOOKUP(A608,'BBT3'!A:F,4,1),"")</f>
        <v/>
      </c>
      <c r="E608" t="str">
        <f>IF(NOT(ISBLANK(A608)),VLOOKUP(A608,'BBT3'!A:F,5,0),"")</f>
        <v/>
      </c>
      <c r="F608" t="str">
        <f>IF(NOT(ISBLANK(A608)),VLOOKUP(A608,'BBT3'!A:F,6,0),"")</f>
        <v/>
      </c>
      <c r="G608" t="str">
        <f>IF(NOT(ISBLANK(A608)),VLOOKUP(A608,QW_Close!A:J,5,0),"")</f>
        <v/>
      </c>
      <c r="H608" s="5" t="str" cm="1">
        <f t="array" ref="H608">IF(NOT(ISBLANK(A608)),((_xlfn.XLOOKUP(1,(_bbt3[[#All],[ID]]=A608)*(_bbt3[[#All],[METRIC_NAME]]="YLD_YTM_ASK"),_bbt3[[#All],[METRIC_VALUE]])*0.5)+(_xlfn.XLOOKUP(1,(_bbt3[[#All],[ID]]=A608)*(_bbt3[[#All],[METRIC_NAME]]="YLD_YTM_BID"),_bbt3[[#All],[METRIC_VALUE]])*0.5))/100,"")</f>
        <v/>
      </c>
      <c r="I608">
        <f>IF(ISNA(VLOOKUP(A608,QW_CloseDL!A:E,5,0)),0,VLOOKUP(A608,QW_CloseDL!A:E,5,0))</f>
        <v>0</v>
      </c>
      <c r="J608" s="8" t="str">
        <f t="shared" si="45"/>
        <v/>
      </c>
      <c r="P608">
        <v>0</v>
      </c>
      <c r="Q608" t="e">
        <f t="shared" si="46"/>
        <v>#N/A</v>
      </c>
      <c r="R608" t="e">
        <f t="shared" si="47"/>
        <v>#N/A</v>
      </c>
      <c r="S608" s="9" t="e">
        <f t="shared" si="48"/>
        <v>#N/A</v>
      </c>
      <c r="T608" s="3" t="e">
        <f t="shared" si="49"/>
        <v>#N/A</v>
      </c>
    </row>
    <row r="609" spans="2:20" x14ac:dyDescent="0.35">
      <c r="B609" t="str">
        <f>IF(NOT(ISBLANK(A609)),VLOOKUP(A609,'BBT3'!A:F,2,0),"")</f>
        <v/>
      </c>
      <c r="C609" t="str">
        <f>IF(NOT(ISBLANK(A609)),VLOOKUP(A609,'BBT3'!A:F,3,0),"")</f>
        <v/>
      </c>
      <c r="D609" s="6" t="str">
        <f>IF(NOT(ISBLANK(A609)),VLOOKUP(A609,'BBT3'!A:F,4,1),"")</f>
        <v/>
      </c>
      <c r="E609" t="str">
        <f>IF(NOT(ISBLANK(A609)),VLOOKUP(A609,'BBT3'!A:F,5,0),"")</f>
        <v/>
      </c>
      <c r="F609" t="str">
        <f>IF(NOT(ISBLANK(A609)),VLOOKUP(A609,'BBT3'!A:F,6,0),"")</f>
        <v/>
      </c>
      <c r="G609" t="str">
        <f>IF(NOT(ISBLANK(A609)),VLOOKUP(A609,QW_Close!A:J,5,0),"")</f>
        <v/>
      </c>
      <c r="H609" s="5" t="str" cm="1">
        <f t="array" ref="H609">IF(NOT(ISBLANK(A609)),((_xlfn.XLOOKUP(1,(_bbt3[[#All],[ID]]=A609)*(_bbt3[[#All],[METRIC_NAME]]="YLD_YTM_ASK"),_bbt3[[#All],[METRIC_VALUE]])*0.5)+(_xlfn.XLOOKUP(1,(_bbt3[[#All],[ID]]=A609)*(_bbt3[[#All],[METRIC_NAME]]="YLD_YTM_BID"),_bbt3[[#All],[METRIC_VALUE]])*0.5))/100,"")</f>
        <v/>
      </c>
      <c r="I609">
        <f>IF(ISNA(VLOOKUP(A609,QW_CloseDL!A:E,5,0)),0,VLOOKUP(A609,QW_CloseDL!A:E,5,0))</f>
        <v>0</v>
      </c>
      <c r="J609" s="8" t="str">
        <f t="shared" si="45"/>
        <v/>
      </c>
      <c r="P609">
        <v>0</v>
      </c>
      <c r="Q609" t="e">
        <f t="shared" si="46"/>
        <v>#N/A</v>
      </c>
      <c r="R609" t="e">
        <f t="shared" si="47"/>
        <v>#N/A</v>
      </c>
      <c r="S609" s="9" t="e">
        <f t="shared" si="48"/>
        <v>#N/A</v>
      </c>
      <c r="T609" s="3" t="e">
        <f t="shared" si="49"/>
        <v>#N/A</v>
      </c>
    </row>
    <row r="610" spans="2:20" x14ac:dyDescent="0.35">
      <c r="B610" t="str">
        <f>IF(NOT(ISBLANK(A610)),VLOOKUP(A610,'BBT3'!A:F,2,0),"")</f>
        <v/>
      </c>
      <c r="C610" t="str">
        <f>IF(NOT(ISBLANK(A610)),VLOOKUP(A610,'BBT3'!A:F,3,0),"")</f>
        <v/>
      </c>
      <c r="D610" s="6" t="str">
        <f>IF(NOT(ISBLANK(A610)),VLOOKUP(A610,'BBT3'!A:F,4,1),"")</f>
        <v/>
      </c>
      <c r="E610" t="str">
        <f>IF(NOT(ISBLANK(A610)),VLOOKUP(A610,'BBT3'!A:F,5,0),"")</f>
        <v/>
      </c>
      <c r="F610" t="str">
        <f>IF(NOT(ISBLANK(A610)),VLOOKUP(A610,'BBT3'!A:F,6,0),"")</f>
        <v/>
      </c>
      <c r="G610" t="str">
        <f>IF(NOT(ISBLANK(A610)),VLOOKUP(A610,QW_Close!A:J,5,0),"")</f>
        <v/>
      </c>
      <c r="H610" s="5" t="str" cm="1">
        <f t="array" ref="H610">IF(NOT(ISBLANK(A610)),((_xlfn.XLOOKUP(1,(_bbt3[[#All],[ID]]=A610)*(_bbt3[[#All],[METRIC_NAME]]="YLD_YTM_ASK"),_bbt3[[#All],[METRIC_VALUE]])*0.5)+(_xlfn.XLOOKUP(1,(_bbt3[[#All],[ID]]=A610)*(_bbt3[[#All],[METRIC_NAME]]="YLD_YTM_BID"),_bbt3[[#All],[METRIC_VALUE]])*0.5))/100,"")</f>
        <v/>
      </c>
      <c r="I610">
        <f>IF(ISNA(VLOOKUP(A610,QW_CloseDL!A:E,5,0)),0,VLOOKUP(A610,QW_CloseDL!A:E,5,0))</f>
        <v>0</v>
      </c>
      <c r="J610" s="8" t="str">
        <f t="shared" si="45"/>
        <v/>
      </c>
      <c r="P610">
        <v>0</v>
      </c>
      <c r="Q610" t="e">
        <f t="shared" si="46"/>
        <v>#N/A</v>
      </c>
      <c r="R610" t="e">
        <f t="shared" si="47"/>
        <v>#N/A</v>
      </c>
      <c r="S610" s="9" t="e">
        <f t="shared" si="48"/>
        <v>#N/A</v>
      </c>
      <c r="T610" s="3" t="e">
        <f t="shared" si="49"/>
        <v>#N/A</v>
      </c>
    </row>
    <row r="611" spans="2:20" x14ac:dyDescent="0.35">
      <c r="B611" t="str">
        <f>IF(NOT(ISBLANK(A611)),VLOOKUP(A611,'BBT3'!A:F,2,0),"")</f>
        <v/>
      </c>
      <c r="C611" t="str">
        <f>IF(NOT(ISBLANK(A611)),VLOOKUP(A611,'BBT3'!A:F,3,0),"")</f>
        <v/>
      </c>
      <c r="D611" s="6" t="str">
        <f>IF(NOT(ISBLANK(A611)),VLOOKUP(A611,'BBT3'!A:F,4,1),"")</f>
        <v/>
      </c>
      <c r="E611" t="str">
        <f>IF(NOT(ISBLANK(A611)),VLOOKUP(A611,'BBT3'!A:F,5,0),"")</f>
        <v/>
      </c>
      <c r="F611" t="str">
        <f>IF(NOT(ISBLANK(A611)),VLOOKUP(A611,'BBT3'!A:F,6,0),"")</f>
        <v/>
      </c>
      <c r="G611" t="str">
        <f>IF(NOT(ISBLANK(A611)),VLOOKUP(A611,QW_Close!A:J,5,0),"")</f>
        <v/>
      </c>
      <c r="H611" s="5" t="str" cm="1">
        <f t="array" ref="H611">IF(NOT(ISBLANK(A611)),((_xlfn.XLOOKUP(1,(_bbt3[[#All],[ID]]=A611)*(_bbt3[[#All],[METRIC_NAME]]="YLD_YTM_ASK"),_bbt3[[#All],[METRIC_VALUE]])*0.5)+(_xlfn.XLOOKUP(1,(_bbt3[[#All],[ID]]=A611)*(_bbt3[[#All],[METRIC_NAME]]="YLD_YTM_BID"),_bbt3[[#All],[METRIC_VALUE]])*0.5))/100,"")</f>
        <v/>
      </c>
      <c r="I611">
        <f>IF(ISNA(VLOOKUP(A611,QW_CloseDL!A:E,5,0)),0,VLOOKUP(A611,QW_CloseDL!A:E,5,0))</f>
        <v>0</v>
      </c>
      <c r="J611" s="8" t="str">
        <f t="shared" si="45"/>
        <v/>
      </c>
      <c r="P611">
        <v>0</v>
      </c>
      <c r="Q611" t="e">
        <f t="shared" si="46"/>
        <v>#N/A</v>
      </c>
      <c r="R611" t="e">
        <f t="shared" si="47"/>
        <v>#N/A</v>
      </c>
      <c r="S611" s="9" t="e">
        <f t="shared" si="48"/>
        <v>#N/A</v>
      </c>
      <c r="T611" s="3" t="e">
        <f t="shared" si="49"/>
        <v>#N/A</v>
      </c>
    </row>
    <row r="612" spans="2:20" x14ac:dyDescent="0.35">
      <c r="B612" t="str">
        <f>IF(NOT(ISBLANK(A612)),VLOOKUP(A612,'BBT3'!A:F,2,0),"")</f>
        <v/>
      </c>
      <c r="C612" t="str">
        <f>IF(NOT(ISBLANK(A612)),VLOOKUP(A612,'BBT3'!A:F,3,0),"")</f>
        <v/>
      </c>
      <c r="D612" s="6" t="str">
        <f>IF(NOT(ISBLANK(A612)),VLOOKUP(A612,'BBT3'!A:F,4,1),"")</f>
        <v/>
      </c>
      <c r="E612" t="str">
        <f>IF(NOT(ISBLANK(A612)),VLOOKUP(A612,'BBT3'!A:F,5,0),"")</f>
        <v/>
      </c>
      <c r="F612" t="str">
        <f>IF(NOT(ISBLANK(A612)),VLOOKUP(A612,'BBT3'!A:F,6,0),"")</f>
        <v/>
      </c>
      <c r="G612" t="str">
        <f>IF(NOT(ISBLANK(A612)),VLOOKUP(A612,QW_Close!A:J,5,0),"")</f>
        <v/>
      </c>
      <c r="H612" s="5" t="str" cm="1">
        <f t="array" ref="H612">IF(NOT(ISBLANK(A612)),((_xlfn.XLOOKUP(1,(_bbt3[[#All],[ID]]=A612)*(_bbt3[[#All],[METRIC_NAME]]="YLD_YTM_ASK"),_bbt3[[#All],[METRIC_VALUE]])*0.5)+(_xlfn.XLOOKUP(1,(_bbt3[[#All],[ID]]=A612)*(_bbt3[[#All],[METRIC_NAME]]="YLD_YTM_BID"),_bbt3[[#All],[METRIC_VALUE]])*0.5))/100,"")</f>
        <v/>
      </c>
      <c r="I612">
        <f>IF(ISNA(VLOOKUP(A612,QW_CloseDL!A:E,5,0)),0,VLOOKUP(A612,QW_CloseDL!A:E,5,0))</f>
        <v>0</v>
      </c>
      <c r="J612" s="8" t="str">
        <f t="shared" si="45"/>
        <v/>
      </c>
      <c r="P612">
        <v>0</v>
      </c>
      <c r="Q612" t="e">
        <f t="shared" si="46"/>
        <v>#N/A</v>
      </c>
      <c r="R612" t="e">
        <f t="shared" si="47"/>
        <v>#N/A</v>
      </c>
      <c r="S612" s="9" t="e">
        <f t="shared" si="48"/>
        <v>#N/A</v>
      </c>
      <c r="T612" s="3" t="e">
        <f t="shared" si="49"/>
        <v>#N/A</v>
      </c>
    </row>
    <row r="613" spans="2:20" x14ac:dyDescent="0.35">
      <c r="B613" t="str">
        <f>IF(NOT(ISBLANK(A613)),VLOOKUP(A613,'BBT3'!A:F,2,0),"")</f>
        <v/>
      </c>
      <c r="C613" t="str">
        <f>IF(NOT(ISBLANK(A613)),VLOOKUP(A613,'BBT3'!A:F,3,0),"")</f>
        <v/>
      </c>
      <c r="D613" s="6" t="str">
        <f>IF(NOT(ISBLANK(A613)),VLOOKUP(A613,'BBT3'!A:F,4,1),"")</f>
        <v/>
      </c>
      <c r="E613" t="str">
        <f>IF(NOT(ISBLANK(A613)),VLOOKUP(A613,'BBT3'!A:F,5,0),"")</f>
        <v/>
      </c>
      <c r="F613" t="str">
        <f>IF(NOT(ISBLANK(A613)),VLOOKUP(A613,'BBT3'!A:F,6,0),"")</f>
        <v/>
      </c>
      <c r="G613" t="str">
        <f>IF(NOT(ISBLANK(A613)),VLOOKUP(A613,QW_Close!A:J,5,0),"")</f>
        <v/>
      </c>
      <c r="H613" s="5" t="str" cm="1">
        <f t="array" ref="H613">IF(NOT(ISBLANK(A613)),((_xlfn.XLOOKUP(1,(_bbt3[[#All],[ID]]=A613)*(_bbt3[[#All],[METRIC_NAME]]="YLD_YTM_ASK"),_bbt3[[#All],[METRIC_VALUE]])*0.5)+(_xlfn.XLOOKUP(1,(_bbt3[[#All],[ID]]=A613)*(_bbt3[[#All],[METRIC_NAME]]="YLD_YTM_BID"),_bbt3[[#All],[METRIC_VALUE]])*0.5))/100,"")</f>
        <v/>
      </c>
      <c r="I613">
        <f>IF(ISNA(VLOOKUP(A613,QW_CloseDL!A:E,5,0)),0,VLOOKUP(A613,QW_CloseDL!A:E,5,0))</f>
        <v>0</v>
      </c>
      <c r="J613" s="8" t="str">
        <f t="shared" si="45"/>
        <v/>
      </c>
      <c r="P613">
        <v>0</v>
      </c>
      <c r="Q613" t="e">
        <f t="shared" si="46"/>
        <v>#N/A</v>
      </c>
      <c r="R613" t="e">
        <f t="shared" si="47"/>
        <v>#N/A</v>
      </c>
      <c r="S613" s="9" t="e">
        <f t="shared" si="48"/>
        <v>#N/A</v>
      </c>
      <c r="T613" s="3" t="e">
        <f t="shared" si="49"/>
        <v>#N/A</v>
      </c>
    </row>
    <row r="614" spans="2:20" x14ac:dyDescent="0.35">
      <c r="B614" t="str">
        <f>IF(NOT(ISBLANK(A614)),VLOOKUP(A614,'BBT3'!A:F,2,0),"")</f>
        <v/>
      </c>
      <c r="C614" t="str">
        <f>IF(NOT(ISBLANK(A614)),VLOOKUP(A614,'BBT3'!A:F,3,0),"")</f>
        <v/>
      </c>
      <c r="D614" s="6" t="str">
        <f>IF(NOT(ISBLANK(A614)),VLOOKUP(A614,'BBT3'!A:F,4,1),"")</f>
        <v/>
      </c>
      <c r="E614" t="str">
        <f>IF(NOT(ISBLANK(A614)),VLOOKUP(A614,'BBT3'!A:F,5,0),"")</f>
        <v/>
      </c>
      <c r="F614" t="str">
        <f>IF(NOT(ISBLANK(A614)),VLOOKUP(A614,'BBT3'!A:F,6,0),"")</f>
        <v/>
      </c>
      <c r="G614" t="str">
        <f>IF(NOT(ISBLANK(A614)),VLOOKUP(A614,QW_Close!A:J,5,0),"")</f>
        <v/>
      </c>
      <c r="H614" s="5" t="str" cm="1">
        <f t="array" ref="H614">IF(NOT(ISBLANK(A614)),((_xlfn.XLOOKUP(1,(_bbt3[[#All],[ID]]=A614)*(_bbt3[[#All],[METRIC_NAME]]="YLD_YTM_ASK"),_bbt3[[#All],[METRIC_VALUE]])*0.5)+(_xlfn.XLOOKUP(1,(_bbt3[[#All],[ID]]=A614)*(_bbt3[[#All],[METRIC_NAME]]="YLD_YTM_BID"),_bbt3[[#All],[METRIC_VALUE]])*0.5))/100,"")</f>
        <v/>
      </c>
      <c r="I614">
        <f>IF(ISNA(VLOOKUP(A614,QW_CloseDL!A:E,5,0)),0,VLOOKUP(A614,QW_CloseDL!A:E,5,0))</f>
        <v>0</v>
      </c>
      <c r="J614" s="8" t="str">
        <f t="shared" si="45"/>
        <v/>
      </c>
      <c r="P614">
        <v>0</v>
      </c>
      <c r="Q614" t="e">
        <f t="shared" si="46"/>
        <v>#N/A</v>
      </c>
      <c r="R614" t="e">
        <f t="shared" si="47"/>
        <v>#N/A</v>
      </c>
      <c r="S614" s="9" t="e">
        <f t="shared" si="48"/>
        <v>#N/A</v>
      </c>
      <c r="T614" s="3" t="e">
        <f t="shared" si="49"/>
        <v>#N/A</v>
      </c>
    </row>
    <row r="615" spans="2:20" x14ac:dyDescent="0.35">
      <c r="B615" t="str">
        <f>IF(NOT(ISBLANK(A615)),VLOOKUP(A615,'BBT3'!A:F,2,0),"")</f>
        <v/>
      </c>
      <c r="C615" t="str">
        <f>IF(NOT(ISBLANK(A615)),VLOOKUP(A615,'BBT3'!A:F,3,0),"")</f>
        <v/>
      </c>
      <c r="D615" s="6" t="str">
        <f>IF(NOT(ISBLANK(A615)),VLOOKUP(A615,'BBT3'!A:F,4,1),"")</f>
        <v/>
      </c>
      <c r="E615" t="str">
        <f>IF(NOT(ISBLANK(A615)),VLOOKUP(A615,'BBT3'!A:F,5,0),"")</f>
        <v/>
      </c>
      <c r="F615" t="str">
        <f>IF(NOT(ISBLANK(A615)),VLOOKUP(A615,'BBT3'!A:F,6,0),"")</f>
        <v/>
      </c>
      <c r="G615" t="str">
        <f>IF(NOT(ISBLANK(A615)),VLOOKUP(A615,QW_Close!A:J,5,0),"")</f>
        <v/>
      </c>
      <c r="H615" s="5" t="str" cm="1">
        <f t="array" ref="H615">IF(NOT(ISBLANK(A615)),((_xlfn.XLOOKUP(1,(_bbt3[[#All],[ID]]=A615)*(_bbt3[[#All],[METRIC_NAME]]="YLD_YTM_ASK"),_bbt3[[#All],[METRIC_VALUE]])*0.5)+(_xlfn.XLOOKUP(1,(_bbt3[[#All],[ID]]=A615)*(_bbt3[[#All],[METRIC_NAME]]="YLD_YTM_BID"),_bbt3[[#All],[METRIC_VALUE]])*0.5))/100,"")</f>
        <v/>
      </c>
      <c r="I615">
        <f>IF(ISNA(VLOOKUP(A615,QW_CloseDL!A:E,5,0)),0,VLOOKUP(A615,QW_CloseDL!A:E,5,0))</f>
        <v>0</v>
      </c>
      <c r="J615" s="8" t="str">
        <f t="shared" si="45"/>
        <v/>
      </c>
      <c r="P615">
        <v>0</v>
      </c>
      <c r="Q615" t="e">
        <f t="shared" si="46"/>
        <v>#N/A</v>
      </c>
      <c r="R615" t="e">
        <f t="shared" si="47"/>
        <v>#N/A</v>
      </c>
      <c r="S615" s="9" t="e">
        <f t="shared" si="48"/>
        <v>#N/A</v>
      </c>
      <c r="T615" s="3" t="e">
        <f t="shared" si="49"/>
        <v>#N/A</v>
      </c>
    </row>
    <row r="616" spans="2:20" x14ac:dyDescent="0.35">
      <c r="B616" t="str">
        <f>IF(NOT(ISBLANK(A616)),VLOOKUP(A616,'BBT3'!A:F,2,0),"")</f>
        <v/>
      </c>
      <c r="C616" t="str">
        <f>IF(NOT(ISBLANK(A616)),VLOOKUP(A616,'BBT3'!A:F,3,0),"")</f>
        <v/>
      </c>
      <c r="D616" s="6" t="str">
        <f>IF(NOT(ISBLANK(A616)),VLOOKUP(A616,'BBT3'!A:F,4,1),"")</f>
        <v/>
      </c>
      <c r="E616" t="str">
        <f>IF(NOT(ISBLANK(A616)),VLOOKUP(A616,'BBT3'!A:F,5,0),"")</f>
        <v/>
      </c>
      <c r="F616" t="str">
        <f>IF(NOT(ISBLANK(A616)),VLOOKUP(A616,'BBT3'!A:F,6,0),"")</f>
        <v/>
      </c>
      <c r="G616" t="str">
        <f>IF(NOT(ISBLANK(A616)),VLOOKUP(A616,QW_Close!A:J,5,0),"")</f>
        <v/>
      </c>
      <c r="H616" s="5" t="str" cm="1">
        <f t="array" ref="H616">IF(NOT(ISBLANK(A616)),((_xlfn.XLOOKUP(1,(_bbt3[[#All],[ID]]=A616)*(_bbt3[[#All],[METRIC_NAME]]="YLD_YTM_ASK"),_bbt3[[#All],[METRIC_VALUE]])*0.5)+(_xlfn.XLOOKUP(1,(_bbt3[[#All],[ID]]=A616)*(_bbt3[[#All],[METRIC_NAME]]="YLD_YTM_BID"),_bbt3[[#All],[METRIC_VALUE]])*0.5))/100,"")</f>
        <v/>
      </c>
      <c r="I616">
        <f>IF(ISNA(VLOOKUP(A616,QW_CloseDL!A:E,5,0)),0,VLOOKUP(A616,QW_CloseDL!A:E,5,0))</f>
        <v>0</v>
      </c>
      <c r="J616" s="8" t="str">
        <f t="shared" si="45"/>
        <v/>
      </c>
      <c r="P616">
        <v>0</v>
      </c>
      <c r="Q616" t="e">
        <f t="shared" si="46"/>
        <v>#N/A</v>
      </c>
      <c r="R616" t="e">
        <f t="shared" si="47"/>
        <v>#N/A</v>
      </c>
      <c r="S616" s="9" t="e">
        <f t="shared" si="48"/>
        <v>#N/A</v>
      </c>
      <c r="T616" s="3" t="e">
        <f t="shared" si="49"/>
        <v>#N/A</v>
      </c>
    </row>
    <row r="617" spans="2:20" x14ac:dyDescent="0.35">
      <c r="B617" t="str">
        <f>IF(NOT(ISBLANK(A617)),VLOOKUP(A617,'BBT3'!A:F,2,0),"")</f>
        <v/>
      </c>
      <c r="C617" t="str">
        <f>IF(NOT(ISBLANK(A617)),VLOOKUP(A617,'BBT3'!A:F,3,0),"")</f>
        <v/>
      </c>
      <c r="D617" s="6" t="str">
        <f>IF(NOT(ISBLANK(A617)),VLOOKUP(A617,'BBT3'!A:F,4,1),"")</f>
        <v/>
      </c>
      <c r="E617" t="str">
        <f>IF(NOT(ISBLANK(A617)),VLOOKUP(A617,'BBT3'!A:F,5,0),"")</f>
        <v/>
      </c>
      <c r="F617" t="str">
        <f>IF(NOT(ISBLANK(A617)),VLOOKUP(A617,'BBT3'!A:F,6,0),"")</f>
        <v/>
      </c>
      <c r="G617" t="str">
        <f>IF(NOT(ISBLANK(A617)),VLOOKUP(A617,QW_Close!A:J,5,0),"")</f>
        <v/>
      </c>
      <c r="H617" s="5" t="str" cm="1">
        <f t="array" ref="H617">IF(NOT(ISBLANK(A617)),((_xlfn.XLOOKUP(1,(_bbt3[[#All],[ID]]=A617)*(_bbt3[[#All],[METRIC_NAME]]="YLD_YTM_ASK"),_bbt3[[#All],[METRIC_VALUE]])*0.5)+(_xlfn.XLOOKUP(1,(_bbt3[[#All],[ID]]=A617)*(_bbt3[[#All],[METRIC_NAME]]="YLD_YTM_BID"),_bbt3[[#All],[METRIC_VALUE]])*0.5))/100,"")</f>
        <v/>
      </c>
      <c r="I617">
        <f>IF(ISNA(VLOOKUP(A617,QW_CloseDL!A:E,5,0)),0,VLOOKUP(A617,QW_CloseDL!A:E,5,0))</f>
        <v>0</v>
      </c>
      <c r="J617" s="8" t="str">
        <f t="shared" si="45"/>
        <v/>
      </c>
      <c r="P617">
        <v>0</v>
      </c>
      <c r="Q617" t="e">
        <f t="shared" si="46"/>
        <v>#N/A</v>
      </c>
      <c r="R617" t="e">
        <f t="shared" si="47"/>
        <v>#N/A</v>
      </c>
      <c r="S617" s="9" t="e">
        <f t="shared" si="48"/>
        <v>#N/A</v>
      </c>
      <c r="T617" s="3" t="e">
        <f t="shared" si="49"/>
        <v>#N/A</v>
      </c>
    </row>
    <row r="618" spans="2:20" x14ac:dyDescent="0.35">
      <c r="B618" t="str">
        <f>IF(NOT(ISBLANK(A618)),VLOOKUP(A618,'BBT3'!A:F,2,0),"")</f>
        <v/>
      </c>
      <c r="C618" t="str">
        <f>IF(NOT(ISBLANK(A618)),VLOOKUP(A618,'BBT3'!A:F,3,0),"")</f>
        <v/>
      </c>
      <c r="D618" s="6" t="str">
        <f>IF(NOT(ISBLANK(A618)),VLOOKUP(A618,'BBT3'!A:F,4,1),"")</f>
        <v/>
      </c>
      <c r="E618" t="str">
        <f>IF(NOT(ISBLANK(A618)),VLOOKUP(A618,'BBT3'!A:F,5,0),"")</f>
        <v/>
      </c>
      <c r="F618" t="str">
        <f>IF(NOT(ISBLANK(A618)),VLOOKUP(A618,'BBT3'!A:F,6,0),"")</f>
        <v/>
      </c>
      <c r="G618" t="str">
        <f>IF(NOT(ISBLANK(A618)),VLOOKUP(A618,QW_Close!A:J,5,0),"")</f>
        <v/>
      </c>
      <c r="H618" s="5" t="str" cm="1">
        <f t="array" ref="H618">IF(NOT(ISBLANK(A618)),((_xlfn.XLOOKUP(1,(_bbt3[[#All],[ID]]=A618)*(_bbt3[[#All],[METRIC_NAME]]="YLD_YTM_ASK"),_bbt3[[#All],[METRIC_VALUE]])*0.5)+(_xlfn.XLOOKUP(1,(_bbt3[[#All],[ID]]=A618)*(_bbt3[[#All],[METRIC_NAME]]="YLD_YTM_BID"),_bbt3[[#All],[METRIC_VALUE]])*0.5))/100,"")</f>
        <v/>
      </c>
      <c r="I618">
        <f>IF(ISNA(VLOOKUP(A618,QW_CloseDL!A:E,5,0)),0,VLOOKUP(A618,QW_CloseDL!A:E,5,0))</f>
        <v>0</v>
      </c>
      <c r="J618" s="8" t="str">
        <f t="shared" si="45"/>
        <v/>
      </c>
      <c r="P618">
        <v>0</v>
      </c>
      <c r="Q618" t="e">
        <f t="shared" si="46"/>
        <v>#N/A</v>
      </c>
      <c r="R618" t="e">
        <f t="shared" si="47"/>
        <v>#N/A</v>
      </c>
      <c r="S618" s="9" t="e">
        <f t="shared" si="48"/>
        <v>#N/A</v>
      </c>
      <c r="T618" s="3" t="e">
        <f t="shared" si="49"/>
        <v>#N/A</v>
      </c>
    </row>
    <row r="619" spans="2:20" x14ac:dyDescent="0.35">
      <c r="B619" t="str">
        <f>IF(NOT(ISBLANK(A619)),VLOOKUP(A619,'BBT3'!A:F,2,0),"")</f>
        <v/>
      </c>
      <c r="C619" t="str">
        <f>IF(NOT(ISBLANK(A619)),VLOOKUP(A619,'BBT3'!A:F,3,0),"")</f>
        <v/>
      </c>
      <c r="D619" s="6" t="str">
        <f>IF(NOT(ISBLANK(A619)),VLOOKUP(A619,'BBT3'!A:F,4,1),"")</f>
        <v/>
      </c>
      <c r="E619" t="str">
        <f>IF(NOT(ISBLANK(A619)),VLOOKUP(A619,'BBT3'!A:F,5,0),"")</f>
        <v/>
      </c>
      <c r="F619" t="str">
        <f>IF(NOT(ISBLANK(A619)),VLOOKUP(A619,'BBT3'!A:F,6,0),"")</f>
        <v/>
      </c>
      <c r="G619" t="str">
        <f>IF(NOT(ISBLANK(A619)),VLOOKUP(A619,QW_Close!A:J,5,0),"")</f>
        <v/>
      </c>
      <c r="H619" s="5" t="str" cm="1">
        <f t="array" ref="H619">IF(NOT(ISBLANK(A619)),((_xlfn.XLOOKUP(1,(_bbt3[[#All],[ID]]=A619)*(_bbt3[[#All],[METRIC_NAME]]="YLD_YTM_ASK"),_bbt3[[#All],[METRIC_VALUE]])*0.5)+(_xlfn.XLOOKUP(1,(_bbt3[[#All],[ID]]=A619)*(_bbt3[[#All],[METRIC_NAME]]="YLD_YTM_BID"),_bbt3[[#All],[METRIC_VALUE]])*0.5))/100,"")</f>
        <v/>
      </c>
      <c r="I619">
        <f>IF(ISNA(VLOOKUP(A619,QW_CloseDL!A:E,5,0)),0,VLOOKUP(A619,QW_CloseDL!A:E,5,0))</f>
        <v>0</v>
      </c>
      <c r="J619" s="8" t="str">
        <f t="shared" si="45"/>
        <v/>
      </c>
      <c r="P619">
        <v>0</v>
      </c>
      <c r="Q619" t="e">
        <f t="shared" si="46"/>
        <v>#N/A</v>
      </c>
      <c r="R619" t="e">
        <f t="shared" si="47"/>
        <v>#N/A</v>
      </c>
      <c r="S619" s="9" t="e">
        <f t="shared" si="48"/>
        <v>#N/A</v>
      </c>
      <c r="T619" s="3" t="e">
        <f t="shared" si="49"/>
        <v>#N/A</v>
      </c>
    </row>
    <row r="620" spans="2:20" x14ac:dyDescent="0.35">
      <c r="B620" t="str">
        <f>IF(NOT(ISBLANK(A620)),VLOOKUP(A620,'BBT3'!A:F,2,0),"")</f>
        <v/>
      </c>
      <c r="C620" t="str">
        <f>IF(NOT(ISBLANK(A620)),VLOOKUP(A620,'BBT3'!A:F,3,0),"")</f>
        <v/>
      </c>
      <c r="D620" s="6" t="str">
        <f>IF(NOT(ISBLANK(A620)),VLOOKUP(A620,'BBT3'!A:F,4,1),"")</f>
        <v/>
      </c>
      <c r="E620" t="str">
        <f>IF(NOT(ISBLANK(A620)),VLOOKUP(A620,'BBT3'!A:F,5,0),"")</f>
        <v/>
      </c>
      <c r="F620" t="str">
        <f>IF(NOT(ISBLANK(A620)),VLOOKUP(A620,'BBT3'!A:F,6,0),"")</f>
        <v/>
      </c>
      <c r="G620" t="str">
        <f>IF(NOT(ISBLANK(A620)),VLOOKUP(A620,QW_Close!A:J,5,0),"")</f>
        <v/>
      </c>
      <c r="H620" s="5" t="str" cm="1">
        <f t="array" ref="H620">IF(NOT(ISBLANK(A620)),((_xlfn.XLOOKUP(1,(_bbt3[[#All],[ID]]=A620)*(_bbt3[[#All],[METRIC_NAME]]="YLD_YTM_ASK"),_bbt3[[#All],[METRIC_VALUE]])*0.5)+(_xlfn.XLOOKUP(1,(_bbt3[[#All],[ID]]=A620)*(_bbt3[[#All],[METRIC_NAME]]="YLD_YTM_BID"),_bbt3[[#All],[METRIC_VALUE]])*0.5))/100,"")</f>
        <v/>
      </c>
      <c r="I620">
        <f>IF(ISNA(VLOOKUP(A620,QW_CloseDL!A:E,5,0)),0,VLOOKUP(A620,QW_CloseDL!A:E,5,0))</f>
        <v>0</v>
      </c>
      <c r="J620" s="8" t="str">
        <f t="shared" si="45"/>
        <v/>
      </c>
      <c r="P620">
        <v>0</v>
      </c>
      <c r="Q620" t="e">
        <f t="shared" si="46"/>
        <v>#N/A</v>
      </c>
      <c r="R620" t="e">
        <f t="shared" si="47"/>
        <v>#N/A</v>
      </c>
      <c r="S620" s="9" t="e">
        <f t="shared" si="48"/>
        <v>#N/A</v>
      </c>
      <c r="T620" s="3" t="e">
        <f t="shared" si="49"/>
        <v>#N/A</v>
      </c>
    </row>
    <row r="621" spans="2:20" x14ac:dyDescent="0.35">
      <c r="B621" t="str">
        <f>IF(NOT(ISBLANK(A621)),VLOOKUP(A621,'BBT3'!A:F,2,0),"")</f>
        <v/>
      </c>
      <c r="C621" t="str">
        <f>IF(NOT(ISBLANK(A621)),VLOOKUP(A621,'BBT3'!A:F,3,0),"")</f>
        <v/>
      </c>
      <c r="D621" s="6" t="str">
        <f>IF(NOT(ISBLANK(A621)),VLOOKUP(A621,'BBT3'!A:F,4,1),"")</f>
        <v/>
      </c>
      <c r="E621" t="str">
        <f>IF(NOT(ISBLANK(A621)),VLOOKUP(A621,'BBT3'!A:F,5,0),"")</f>
        <v/>
      </c>
      <c r="F621" t="str">
        <f>IF(NOT(ISBLANK(A621)),VLOOKUP(A621,'BBT3'!A:F,6,0),"")</f>
        <v/>
      </c>
      <c r="G621" t="str">
        <f>IF(NOT(ISBLANK(A621)),VLOOKUP(A621,QW_Close!A:J,5,0),"")</f>
        <v/>
      </c>
      <c r="H621" s="5" t="str" cm="1">
        <f t="array" ref="H621">IF(NOT(ISBLANK(A621)),((_xlfn.XLOOKUP(1,(_bbt3[[#All],[ID]]=A621)*(_bbt3[[#All],[METRIC_NAME]]="YLD_YTM_ASK"),_bbt3[[#All],[METRIC_VALUE]])*0.5)+(_xlfn.XLOOKUP(1,(_bbt3[[#All],[ID]]=A621)*(_bbt3[[#All],[METRIC_NAME]]="YLD_YTM_BID"),_bbt3[[#All],[METRIC_VALUE]])*0.5))/100,"")</f>
        <v/>
      </c>
      <c r="I621">
        <f>IF(ISNA(VLOOKUP(A621,QW_CloseDL!A:E,5,0)),0,VLOOKUP(A621,QW_CloseDL!A:E,5,0))</f>
        <v>0</v>
      </c>
      <c r="J621" s="8" t="str">
        <f t="shared" si="45"/>
        <v/>
      </c>
      <c r="P621">
        <v>0</v>
      </c>
      <c r="Q621" t="e">
        <f t="shared" si="46"/>
        <v>#N/A</v>
      </c>
      <c r="R621" t="e">
        <f t="shared" si="47"/>
        <v>#N/A</v>
      </c>
      <c r="S621" s="9" t="e">
        <f t="shared" si="48"/>
        <v>#N/A</v>
      </c>
      <c r="T621" s="3" t="e">
        <f t="shared" si="49"/>
        <v>#N/A</v>
      </c>
    </row>
    <row r="622" spans="2:20" x14ac:dyDescent="0.35">
      <c r="B622" t="str">
        <f>IF(NOT(ISBLANK(A622)),VLOOKUP(A622,'BBT3'!A:F,2,0),"")</f>
        <v/>
      </c>
      <c r="C622" t="str">
        <f>IF(NOT(ISBLANK(A622)),VLOOKUP(A622,'BBT3'!A:F,3,0),"")</f>
        <v/>
      </c>
      <c r="D622" s="6" t="str">
        <f>IF(NOT(ISBLANK(A622)),VLOOKUP(A622,'BBT3'!A:F,4,1),"")</f>
        <v/>
      </c>
      <c r="E622" t="str">
        <f>IF(NOT(ISBLANK(A622)),VLOOKUP(A622,'BBT3'!A:F,5,0),"")</f>
        <v/>
      </c>
      <c r="F622" t="str">
        <f>IF(NOT(ISBLANK(A622)),VLOOKUP(A622,'BBT3'!A:F,6,0),"")</f>
        <v/>
      </c>
      <c r="G622" t="str">
        <f>IF(NOT(ISBLANK(A622)),VLOOKUP(A622,QW_Close!A:J,5,0),"")</f>
        <v/>
      </c>
      <c r="H622" s="5" t="str" cm="1">
        <f t="array" ref="H622">IF(NOT(ISBLANK(A622)),((_xlfn.XLOOKUP(1,(_bbt3[[#All],[ID]]=A622)*(_bbt3[[#All],[METRIC_NAME]]="YLD_YTM_ASK"),_bbt3[[#All],[METRIC_VALUE]])*0.5)+(_xlfn.XLOOKUP(1,(_bbt3[[#All],[ID]]=A622)*(_bbt3[[#All],[METRIC_NAME]]="YLD_YTM_BID"),_bbt3[[#All],[METRIC_VALUE]])*0.5))/100,"")</f>
        <v/>
      </c>
      <c r="I622">
        <f>IF(ISNA(VLOOKUP(A622,QW_CloseDL!A:E,5,0)),0,VLOOKUP(A622,QW_CloseDL!A:E,5,0))</f>
        <v>0</v>
      </c>
      <c r="J622" s="8" t="str">
        <f t="shared" si="45"/>
        <v/>
      </c>
      <c r="P622">
        <v>0</v>
      </c>
      <c r="Q622" t="e">
        <f t="shared" si="46"/>
        <v>#N/A</v>
      </c>
      <c r="R622" t="e">
        <f t="shared" si="47"/>
        <v>#N/A</v>
      </c>
      <c r="S622" s="9" t="e">
        <f t="shared" si="48"/>
        <v>#N/A</v>
      </c>
      <c r="T622" s="3" t="e">
        <f t="shared" si="49"/>
        <v>#N/A</v>
      </c>
    </row>
    <row r="623" spans="2:20" x14ac:dyDescent="0.35">
      <c r="B623" t="str">
        <f>IF(NOT(ISBLANK(A623)),VLOOKUP(A623,'BBT3'!A:F,2,0),"")</f>
        <v/>
      </c>
      <c r="C623" t="str">
        <f>IF(NOT(ISBLANK(A623)),VLOOKUP(A623,'BBT3'!A:F,3,0),"")</f>
        <v/>
      </c>
      <c r="D623" s="6" t="str">
        <f>IF(NOT(ISBLANK(A623)),VLOOKUP(A623,'BBT3'!A:F,4,1),"")</f>
        <v/>
      </c>
      <c r="E623" t="str">
        <f>IF(NOT(ISBLANK(A623)),VLOOKUP(A623,'BBT3'!A:F,5,0),"")</f>
        <v/>
      </c>
      <c r="F623" t="str">
        <f>IF(NOT(ISBLANK(A623)),VLOOKUP(A623,'BBT3'!A:F,6,0),"")</f>
        <v/>
      </c>
      <c r="G623" t="str">
        <f>IF(NOT(ISBLANK(A623)),VLOOKUP(A623,QW_Close!A:J,5,0),"")</f>
        <v/>
      </c>
      <c r="H623" s="5" t="str" cm="1">
        <f t="array" ref="H623">IF(NOT(ISBLANK(A623)),((_xlfn.XLOOKUP(1,(_bbt3[[#All],[ID]]=A623)*(_bbt3[[#All],[METRIC_NAME]]="YLD_YTM_ASK"),_bbt3[[#All],[METRIC_VALUE]])*0.5)+(_xlfn.XLOOKUP(1,(_bbt3[[#All],[ID]]=A623)*(_bbt3[[#All],[METRIC_NAME]]="YLD_YTM_BID"),_bbt3[[#All],[METRIC_VALUE]])*0.5))/100,"")</f>
        <v/>
      </c>
      <c r="I623">
        <f>IF(ISNA(VLOOKUP(A623,QW_CloseDL!A:E,5,0)),0,VLOOKUP(A623,QW_CloseDL!A:E,5,0))</f>
        <v>0</v>
      </c>
      <c r="J623" s="8" t="str">
        <f t="shared" si="45"/>
        <v/>
      </c>
      <c r="P623">
        <v>0</v>
      </c>
      <c r="Q623" t="e">
        <f t="shared" si="46"/>
        <v>#N/A</v>
      </c>
      <c r="R623" t="e">
        <f t="shared" si="47"/>
        <v>#N/A</v>
      </c>
      <c r="S623" s="9" t="e">
        <f t="shared" si="48"/>
        <v>#N/A</v>
      </c>
      <c r="T623" s="3" t="e">
        <f t="shared" si="49"/>
        <v>#N/A</v>
      </c>
    </row>
    <row r="624" spans="2:20" x14ac:dyDescent="0.35">
      <c r="B624" t="str">
        <f>IF(NOT(ISBLANK(A624)),VLOOKUP(A624,'BBT3'!A:F,2,0),"")</f>
        <v/>
      </c>
      <c r="C624" t="str">
        <f>IF(NOT(ISBLANK(A624)),VLOOKUP(A624,'BBT3'!A:F,3,0),"")</f>
        <v/>
      </c>
      <c r="D624" s="6" t="str">
        <f>IF(NOT(ISBLANK(A624)),VLOOKUP(A624,'BBT3'!A:F,4,1),"")</f>
        <v/>
      </c>
      <c r="E624" t="str">
        <f>IF(NOT(ISBLANK(A624)),VLOOKUP(A624,'BBT3'!A:F,5,0),"")</f>
        <v/>
      </c>
      <c r="F624" t="str">
        <f>IF(NOT(ISBLANK(A624)),VLOOKUP(A624,'BBT3'!A:F,6,0),"")</f>
        <v/>
      </c>
      <c r="G624" t="str">
        <f>IF(NOT(ISBLANK(A624)),VLOOKUP(A624,QW_Close!A:J,5,0),"")</f>
        <v/>
      </c>
      <c r="H624" s="5" t="str" cm="1">
        <f t="array" ref="H624">IF(NOT(ISBLANK(A624)),((_xlfn.XLOOKUP(1,(_bbt3[[#All],[ID]]=A624)*(_bbt3[[#All],[METRIC_NAME]]="YLD_YTM_ASK"),_bbt3[[#All],[METRIC_VALUE]])*0.5)+(_xlfn.XLOOKUP(1,(_bbt3[[#All],[ID]]=A624)*(_bbt3[[#All],[METRIC_NAME]]="YLD_YTM_BID"),_bbt3[[#All],[METRIC_VALUE]])*0.5))/100,"")</f>
        <v/>
      </c>
      <c r="I624">
        <f>IF(ISNA(VLOOKUP(A624,QW_CloseDL!A:E,5,0)),0,VLOOKUP(A624,QW_CloseDL!A:E,5,0))</f>
        <v>0</v>
      </c>
      <c r="J624" s="8" t="str">
        <f t="shared" si="45"/>
        <v/>
      </c>
      <c r="P624">
        <v>0</v>
      </c>
      <c r="Q624" t="e">
        <f t="shared" si="46"/>
        <v>#N/A</v>
      </c>
      <c r="R624" t="e">
        <f t="shared" si="47"/>
        <v>#N/A</v>
      </c>
      <c r="S624" s="9" t="e">
        <f t="shared" si="48"/>
        <v>#N/A</v>
      </c>
      <c r="T624" s="3" t="e">
        <f t="shared" si="49"/>
        <v>#N/A</v>
      </c>
    </row>
    <row r="625" spans="2:20" x14ac:dyDescent="0.35">
      <c r="B625" t="str">
        <f>IF(NOT(ISBLANK(A625)),VLOOKUP(A625,'BBT3'!A:F,2,0),"")</f>
        <v/>
      </c>
      <c r="C625" t="str">
        <f>IF(NOT(ISBLANK(A625)),VLOOKUP(A625,'BBT3'!A:F,3,0),"")</f>
        <v/>
      </c>
      <c r="D625" s="6" t="str">
        <f>IF(NOT(ISBLANK(A625)),VLOOKUP(A625,'BBT3'!A:F,4,1),"")</f>
        <v/>
      </c>
      <c r="E625" t="str">
        <f>IF(NOT(ISBLANK(A625)),VLOOKUP(A625,'BBT3'!A:F,5,0),"")</f>
        <v/>
      </c>
      <c r="F625" t="str">
        <f>IF(NOT(ISBLANK(A625)),VLOOKUP(A625,'BBT3'!A:F,6,0),"")</f>
        <v/>
      </c>
      <c r="G625" t="str">
        <f>IF(NOT(ISBLANK(A625)),VLOOKUP(A625,QW_Close!A:J,5,0),"")</f>
        <v/>
      </c>
      <c r="H625" s="5" t="str" cm="1">
        <f t="array" ref="H625">IF(NOT(ISBLANK(A625)),((_xlfn.XLOOKUP(1,(_bbt3[[#All],[ID]]=A625)*(_bbt3[[#All],[METRIC_NAME]]="YLD_YTM_ASK"),_bbt3[[#All],[METRIC_VALUE]])*0.5)+(_xlfn.XLOOKUP(1,(_bbt3[[#All],[ID]]=A625)*(_bbt3[[#All],[METRIC_NAME]]="YLD_YTM_BID"),_bbt3[[#All],[METRIC_VALUE]])*0.5))/100,"")</f>
        <v/>
      </c>
      <c r="I625">
        <f>IF(ISNA(VLOOKUP(A625,QW_CloseDL!A:E,5,0)),0,VLOOKUP(A625,QW_CloseDL!A:E,5,0))</f>
        <v>0</v>
      </c>
      <c r="J625" s="8" t="str">
        <f t="shared" si="45"/>
        <v/>
      </c>
      <c r="P625">
        <v>0</v>
      </c>
      <c r="Q625" t="e">
        <f t="shared" si="46"/>
        <v>#N/A</v>
      </c>
      <c r="R625" t="e">
        <f t="shared" si="47"/>
        <v>#N/A</v>
      </c>
      <c r="S625" s="9" t="e">
        <f t="shared" si="48"/>
        <v>#N/A</v>
      </c>
      <c r="T625" s="3" t="e">
        <f t="shared" si="49"/>
        <v>#N/A</v>
      </c>
    </row>
    <row r="626" spans="2:20" x14ac:dyDescent="0.35">
      <c r="B626" t="str">
        <f>IF(NOT(ISBLANK(A626)),VLOOKUP(A626,'BBT3'!A:F,2,0),"")</f>
        <v/>
      </c>
      <c r="C626" t="str">
        <f>IF(NOT(ISBLANK(A626)),VLOOKUP(A626,'BBT3'!A:F,3,0),"")</f>
        <v/>
      </c>
      <c r="D626" s="6" t="str">
        <f>IF(NOT(ISBLANK(A626)),VLOOKUP(A626,'BBT3'!A:F,4,1),"")</f>
        <v/>
      </c>
      <c r="E626" t="str">
        <f>IF(NOT(ISBLANK(A626)),VLOOKUP(A626,'BBT3'!A:F,5,0),"")</f>
        <v/>
      </c>
      <c r="F626" t="str">
        <f>IF(NOT(ISBLANK(A626)),VLOOKUP(A626,'BBT3'!A:F,6,0),"")</f>
        <v/>
      </c>
      <c r="G626" t="str">
        <f>IF(NOT(ISBLANK(A626)),VLOOKUP(A626,QW_Close!A:J,5,0),"")</f>
        <v/>
      </c>
      <c r="H626" s="5" t="str" cm="1">
        <f t="array" ref="H626">IF(NOT(ISBLANK(A626)),((_xlfn.XLOOKUP(1,(_bbt3[[#All],[ID]]=A626)*(_bbt3[[#All],[METRIC_NAME]]="YLD_YTM_ASK"),_bbt3[[#All],[METRIC_VALUE]])*0.5)+(_xlfn.XLOOKUP(1,(_bbt3[[#All],[ID]]=A626)*(_bbt3[[#All],[METRIC_NAME]]="YLD_YTM_BID"),_bbt3[[#All],[METRIC_VALUE]])*0.5))/100,"")</f>
        <v/>
      </c>
      <c r="I626">
        <f>IF(ISNA(VLOOKUP(A626,QW_CloseDL!A:E,5,0)),0,VLOOKUP(A626,QW_CloseDL!A:E,5,0))</f>
        <v>0</v>
      </c>
      <c r="J626" s="8" t="str">
        <f t="shared" si="45"/>
        <v/>
      </c>
      <c r="P626">
        <v>0</v>
      </c>
      <c r="Q626" t="e">
        <f t="shared" si="46"/>
        <v>#N/A</v>
      </c>
      <c r="R626" t="e">
        <f t="shared" si="47"/>
        <v>#N/A</v>
      </c>
      <c r="S626" s="9" t="e">
        <f t="shared" si="48"/>
        <v>#N/A</v>
      </c>
      <c r="T626" s="3" t="e">
        <f t="shared" si="49"/>
        <v>#N/A</v>
      </c>
    </row>
    <row r="627" spans="2:20" x14ac:dyDescent="0.35">
      <c r="B627" t="str">
        <f>IF(NOT(ISBLANK(A627)),VLOOKUP(A627,'BBT3'!A:F,2,0),"")</f>
        <v/>
      </c>
      <c r="C627" t="str">
        <f>IF(NOT(ISBLANK(A627)),VLOOKUP(A627,'BBT3'!A:F,3,0),"")</f>
        <v/>
      </c>
      <c r="D627" s="6" t="str">
        <f>IF(NOT(ISBLANK(A627)),VLOOKUP(A627,'BBT3'!A:F,4,1),"")</f>
        <v/>
      </c>
      <c r="E627" t="str">
        <f>IF(NOT(ISBLANK(A627)),VLOOKUP(A627,'BBT3'!A:F,5,0),"")</f>
        <v/>
      </c>
      <c r="F627" t="str">
        <f>IF(NOT(ISBLANK(A627)),VLOOKUP(A627,'BBT3'!A:F,6,0),"")</f>
        <v/>
      </c>
      <c r="G627" t="str">
        <f>IF(NOT(ISBLANK(A627)),VLOOKUP(A627,QW_Close!A:J,5,0),"")</f>
        <v/>
      </c>
      <c r="H627" s="5" t="str" cm="1">
        <f t="array" ref="H627">IF(NOT(ISBLANK(A627)),((_xlfn.XLOOKUP(1,(_bbt3[[#All],[ID]]=A627)*(_bbt3[[#All],[METRIC_NAME]]="YLD_YTM_ASK"),_bbt3[[#All],[METRIC_VALUE]])*0.5)+(_xlfn.XLOOKUP(1,(_bbt3[[#All],[ID]]=A627)*(_bbt3[[#All],[METRIC_NAME]]="YLD_YTM_BID"),_bbt3[[#All],[METRIC_VALUE]])*0.5))/100,"")</f>
        <v/>
      </c>
      <c r="I627">
        <f>IF(ISNA(VLOOKUP(A627,QW_CloseDL!A:E,5,0)),0,VLOOKUP(A627,QW_CloseDL!A:E,5,0))</f>
        <v>0</v>
      </c>
      <c r="J627" s="8" t="str">
        <f t="shared" si="45"/>
        <v/>
      </c>
      <c r="P627">
        <v>0</v>
      </c>
      <c r="Q627" t="e">
        <f t="shared" si="46"/>
        <v>#N/A</v>
      </c>
      <c r="R627" t="e">
        <f t="shared" si="47"/>
        <v>#N/A</v>
      </c>
      <c r="S627" s="9" t="e">
        <f t="shared" si="48"/>
        <v>#N/A</v>
      </c>
      <c r="T627" s="3" t="e">
        <f t="shared" si="49"/>
        <v>#N/A</v>
      </c>
    </row>
    <row r="628" spans="2:20" x14ac:dyDescent="0.35">
      <c r="B628" t="str">
        <f>IF(NOT(ISBLANK(A628)),VLOOKUP(A628,'BBT3'!A:F,2,0),"")</f>
        <v/>
      </c>
      <c r="C628" t="str">
        <f>IF(NOT(ISBLANK(A628)),VLOOKUP(A628,'BBT3'!A:F,3,0),"")</f>
        <v/>
      </c>
      <c r="D628" s="6" t="str">
        <f>IF(NOT(ISBLANK(A628)),VLOOKUP(A628,'BBT3'!A:F,4,1),"")</f>
        <v/>
      </c>
      <c r="E628" t="str">
        <f>IF(NOT(ISBLANK(A628)),VLOOKUP(A628,'BBT3'!A:F,5,0),"")</f>
        <v/>
      </c>
      <c r="F628" t="str">
        <f>IF(NOT(ISBLANK(A628)),VLOOKUP(A628,'BBT3'!A:F,6,0),"")</f>
        <v/>
      </c>
      <c r="G628" t="str">
        <f>IF(NOT(ISBLANK(A628)),VLOOKUP(A628,QW_Close!A:J,5,0),"")</f>
        <v/>
      </c>
      <c r="H628" s="5" t="str" cm="1">
        <f t="array" ref="H628">IF(NOT(ISBLANK(A628)),((_xlfn.XLOOKUP(1,(_bbt3[[#All],[ID]]=A628)*(_bbt3[[#All],[METRIC_NAME]]="YLD_YTM_ASK"),_bbt3[[#All],[METRIC_VALUE]])*0.5)+(_xlfn.XLOOKUP(1,(_bbt3[[#All],[ID]]=A628)*(_bbt3[[#All],[METRIC_NAME]]="YLD_YTM_BID"),_bbt3[[#All],[METRIC_VALUE]])*0.5))/100,"")</f>
        <v/>
      </c>
      <c r="I628">
        <f>IF(ISNA(VLOOKUP(A628,QW_CloseDL!A:E,5,0)),0,VLOOKUP(A628,QW_CloseDL!A:E,5,0))</f>
        <v>0</v>
      </c>
      <c r="J628" s="8" t="str">
        <f t="shared" si="45"/>
        <v/>
      </c>
      <c r="P628">
        <v>0</v>
      </c>
      <c r="Q628" t="e">
        <f t="shared" si="46"/>
        <v>#N/A</v>
      </c>
      <c r="R628" t="e">
        <f t="shared" si="47"/>
        <v>#N/A</v>
      </c>
      <c r="S628" s="9" t="e">
        <f t="shared" si="48"/>
        <v>#N/A</v>
      </c>
      <c r="T628" s="3" t="e">
        <f t="shared" si="49"/>
        <v>#N/A</v>
      </c>
    </row>
    <row r="629" spans="2:20" x14ac:dyDescent="0.35">
      <c r="B629" t="str">
        <f>IF(NOT(ISBLANK(A629)),VLOOKUP(A629,'BBT3'!A:F,2,0),"")</f>
        <v/>
      </c>
      <c r="C629" t="str">
        <f>IF(NOT(ISBLANK(A629)),VLOOKUP(A629,'BBT3'!A:F,3,0),"")</f>
        <v/>
      </c>
      <c r="D629" s="6" t="str">
        <f>IF(NOT(ISBLANK(A629)),VLOOKUP(A629,'BBT3'!A:F,4,1),"")</f>
        <v/>
      </c>
      <c r="E629" t="str">
        <f>IF(NOT(ISBLANK(A629)),VLOOKUP(A629,'BBT3'!A:F,5,0),"")</f>
        <v/>
      </c>
      <c r="F629" t="str">
        <f>IF(NOT(ISBLANK(A629)),VLOOKUP(A629,'BBT3'!A:F,6,0),"")</f>
        <v/>
      </c>
      <c r="G629" t="str">
        <f>IF(NOT(ISBLANK(A629)),VLOOKUP(A629,QW_Close!A:J,5,0),"")</f>
        <v/>
      </c>
      <c r="H629" s="5" t="str" cm="1">
        <f t="array" ref="H629">IF(NOT(ISBLANK(A629)),((_xlfn.XLOOKUP(1,(_bbt3[[#All],[ID]]=A629)*(_bbt3[[#All],[METRIC_NAME]]="YLD_YTM_ASK"),_bbt3[[#All],[METRIC_VALUE]])*0.5)+(_xlfn.XLOOKUP(1,(_bbt3[[#All],[ID]]=A629)*(_bbt3[[#All],[METRIC_NAME]]="YLD_YTM_BID"),_bbt3[[#All],[METRIC_VALUE]])*0.5))/100,"")</f>
        <v/>
      </c>
      <c r="I629">
        <f>IF(ISNA(VLOOKUP(A629,QW_CloseDL!A:E,5,0)),0,VLOOKUP(A629,QW_CloseDL!A:E,5,0))</f>
        <v>0</v>
      </c>
      <c r="J629" s="8" t="str">
        <f t="shared" si="45"/>
        <v/>
      </c>
      <c r="P629">
        <v>0</v>
      </c>
      <c r="Q629" t="e">
        <f t="shared" si="46"/>
        <v>#N/A</v>
      </c>
      <c r="R629" t="e">
        <f t="shared" si="47"/>
        <v>#N/A</v>
      </c>
      <c r="S629" s="9" t="e">
        <f t="shared" si="48"/>
        <v>#N/A</v>
      </c>
      <c r="T629" s="3" t="e">
        <f t="shared" si="49"/>
        <v>#N/A</v>
      </c>
    </row>
    <row r="630" spans="2:20" x14ac:dyDescent="0.35">
      <c r="B630" t="str">
        <f>IF(NOT(ISBLANK(A630)),VLOOKUP(A630,'BBT3'!A:F,2,0),"")</f>
        <v/>
      </c>
      <c r="C630" t="str">
        <f>IF(NOT(ISBLANK(A630)),VLOOKUP(A630,'BBT3'!A:F,3,0),"")</f>
        <v/>
      </c>
      <c r="D630" s="6" t="str">
        <f>IF(NOT(ISBLANK(A630)),VLOOKUP(A630,'BBT3'!A:F,4,1),"")</f>
        <v/>
      </c>
      <c r="E630" t="str">
        <f>IF(NOT(ISBLANK(A630)),VLOOKUP(A630,'BBT3'!A:F,5,0),"")</f>
        <v/>
      </c>
      <c r="F630" t="str">
        <f>IF(NOT(ISBLANK(A630)),VLOOKUP(A630,'BBT3'!A:F,6,0),"")</f>
        <v/>
      </c>
      <c r="G630" t="str">
        <f>IF(NOT(ISBLANK(A630)),VLOOKUP(A630,QW_Close!A:J,5,0),"")</f>
        <v/>
      </c>
      <c r="H630" s="5" t="str" cm="1">
        <f t="array" ref="H630">IF(NOT(ISBLANK(A630)),((_xlfn.XLOOKUP(1,(_bbt3[[#All],[ID]]=A630)*(_bbt3[[#All],[METRIC_NAME]]="YLD_YTM_ASK"),_bbt3[[#All],[METRIC_VALUE]])*0.5)+(_xlfn.XLOOKUP(1,(_bbt3[[#All],[ID]]=A630)*(_bbt3[[#All],[METRIC_NAME]]="YLD_YTM_BID"),_bbt3[[#All],[METRIC_VALUE]])*0.5))/100,"")</f>
        <v/>
      </c>
      <c r="I630">
        <f>IF(ISNA(VLOOKUP(A630,QW_CloseDL!A:E,5,0)),0,VLOOKUP(A630,QW_CloseDL!A:E,5,0))</f>
        <v>0</v>
      </c>
      <c r="J630" s="8" t="str">
        <f t="shared" si="45"/>
        <v/>
      </c>
      <c r="P630">
        <v>0</v>
      </c>
      <c r="Q630" t="e">
        <f t="shared" si="46"/>
        <v>#N/A</v>
      </c>
      <c r="R630" t="e">
        <f t="shared" si="47"/>
        <v>#N/A</v>
      </c>
      <c r="S630" s="9" t="e">
        <f t="shared" si="48"/>
        <v>#N/A</v>
      </c>
      <c r="T630" s="3" t="e">
        <f t="shared" si="49"/>
        <v>#N/A</v>
      </c>
    </row>
    <row r="631" spans="2:20" x14ac:dyDescent="0.35">
      <c r="B631" t="str">
        <f>IF(NOT(ISBLANK(A631)),VLOOKUP(A631,'BBT3'!A:F,2,0),"")</f>
        <v/>
      </c>
      <c r="C631" t="str">
        <f>IF(NOT(ISBLANK(A631)),VLOOKUP(A631,'BBT3'!A:F,3,0),"")</f>
        <v/>
      </c>
      <c r="D631" s="6" t="str">
        <f>IF(NOT(ISBLANK(A631)),VLOOKUP(A631,'BBT3'!A:F,4,1),"")</f>
        <v/>
      </c>
      <c r="E631" t="str">
        <f>IF(NOT(ISBLANK(A631)),VLOOKUP(A631,'BBT3'!A:F,5,0),"")</f>
        <v/>
      </c>
      <c r="F631" t="str">
        <f>IF(NOT(ISBLANK(A631)),VLOOKUP(A631,'BBT3'!A:F,6,0),"")</f>
        <v/>
      </c>
      <c r="G631" t="str">
        <f>IF(NOT(ISBLANK(A631)),VLOOKUP(A631,QW_Close!A:J,5,0),"")</f>
        <v/>
      </c>
      <c r="H631" s="5" t="str" cm="1">
        <f t="array" ref="H631">IF(NOT(ISBLANK(A631)),((_xlfn.XLOOKUP(1,(_bbt3[[#All],[ID]]=A631)*(_bbt3[[#All],[METRIC_NAME]]="YLD_YTM_ASK"),_bbt3[[#All],[METRIC_VALUE]])*0.5)+(_xlfn.XLOOKUP(1,(_bbt3[[#All],[ID]]=A631)*(_bbt3[[#All],[METRIC_NAME]]="YLD_YTM_BID"),_bbt3[[#All],[METRIC_VALUE]])*0.5))/100,"")</f>
        <v/>
      </c>
      <c r="I631">
        <f>IF(ISNA(VLOOKUP(A631,QW_CloseDL!A:E,5,0)),0,VLOOKUP(A631,QW_CloseDL!A:E,5,0))</f>
        <v>0</v>
      </c>
      <c r="J631" s="8" t="str">
        <f t="shared" si="45"/>
        <v/>
      </c>
      <c r="P631">
        <v>0</v>
      </c>
      <c r="Q631" t="e">
        <f t="shared" si="46"/>
        <v>#N/A</v>
      </c>
      <c r="R631" t="e">
        <f t="shared" si="47"/>
        <v>#N/A</v>
      </c>
      <c r="S631" s="9" t="e">
        <f t="shared" si="48"/>
        <v>#N/A</v>
      </c>
      <c r="T631" s="3" t="e">
        <f t="shared" si="49"/>
        <v>#N/A</v>
      </c>
    </row>
    <row r="632" spans="2:20" x14ac:dyDescent="0.35">
      <c r="B632" t="str">
        <f>IF(NOT(ISBLANK(A632)),VLOOKUP(A632,'BBT3'!A:F,2,0),"")</f>
        <v/>
      </c>
      <c r="C632" t="str">
        <f>IF(NOT(ISBLANK(A632)),VLOOKUP(A632,'BBT3'!A:F,3,0),"")</f>
        <v/>
      </c>
      <c r="D632" s="6" t="str">
        <f>IF(NOT(ISBLANK(A632)),VLOOKUP(A632,'BBT3'!A:F,4,1),"")</f>
        <v/>
      </c>
      <c r="E632" t="str">
        <f>IF(NOT(ISBLANK(A632)),VLOOKUP(A632,'BBT3'!A:F,5,0),"")</f>
        <v/>
      </c>
      <c r="F632" t="str">
        <f>IF(NOT(ISBLANK(A632)),VLOOKUP(A632,'BBT3'!A:F,6,0),"")</f>
        <v/>
      </c>
      <c r="G632" t="str">
        <f>IF(NOT(ISBLANK(A632)),VLOOKUP(A632,QW_Close!A:J,5,0),"")</f>
        <v/>
      </c>
      <c r="H632" s="5" t="str" cm="1">
        <f t="array" ref="H632">IF(NOT(ISBLANK(A632)),((_xlfn.XLOOKUP(1,(_bbt3[[#All],[ID]]=A632)*(_bbt3[[#All],[METRIC_NAME]]="YLD_YTM_ASK"),_bbt3[[#All],[METRIC_VALUE]])*0.5)+(_xlfn.XLOOKUP(1,(_bbt3[[#All],[ID]]=A632)*(_bbt3[[#All],[METRIC_NAME]]="YLD_YTM_BID"),_bbt3[[#All],[METRIC_VALUE]])*0.5))/100,"")</f>
        <v/>
      </c>
      <c r="I632">
        <f>IF(ISNA(VLOOKUP(A632,QW_CloseDL!A:E,5,0)),0,VLOOKUP(A632,QW_CloseDL!A:E,5,0))</f>
        <v>0</v>
      </c>
      <c r="J632" s="8" t="str">
        <f t="shared" si="45"/>
        <v/>
      </c>
      <c r="P632">
        <v>0</v>
      </c>
      <c r="Q632" t="e">
        <f t="shared" si="46"/>
        <v>#N/A</v>
      </c>
      <c r="R632" t="e">
        <f t="shared" si="47"/>
        <v>#N/A</v>
      </c>
      <c r="S632" s="9" t="e">
        <f t="shared" si="48"/>
        <v>#N/A</v>
      </c>
      <c r="T632" s="3" t="e">
        <f t="shared" si="49"/>
        <v>#N/A</v>
      </c>
    </row>
    <row r="633" spans="2:20" x14ac:dyDescent="0.35">
      <c r="B633" t="str">
        <f>IF(NOT(ISBLANK(A633)),VLOOKUP(A633,'BBT3'!A:F,2,0),"")</f>
        <v/>
      </c>
      <c r="C633" t="str">
        <f>IF(NOT(ISBLANK(A633)),VLOOKUP(A633,'BBT3'!A:F,3,0),"")</f>
        <v/>
      </c>
      <c r="D633" s="6" t="str">
        <f>IF(NOT(ISBLANK(A633)),VLOOKUP(A633,'BBT3'!A:F,4,1),"")</f>
        <v/>
      </c>
      <c r="E633" t="str">
        <f>IF(NOT(ISBLANK(A633)),VLOOKUP(A633,'BBT3'!A:F,5,0),"")</f>
        <v/>
      </c>
      <c r="F633" t="str">
        <f>IF(NOT(ISBLANK(A633)),VLOOKUP(A633,'BBT3'!A:F,6,0),"")</f>
        <v/>
      </c>
      <c r="G633" t="str">
        <f>IF(NOT(ISBLANK(A633)),VLOOKUP(A633,QW_Close!A:J,5,0),"")</f>
        <v/>
      </c>
      <c r="H633" s="5" t="str" cm="1">
        <f t="array" ref="H633">IF(NOT(ISBLANK(A633)),((_xlfn.XLOOKUP(1,(_bbt3[[#All],[ID]]=A633)*(_bbt3[[#All],[METRIC_NAME]]="YLD_YTM_ASK"),_bbt3[[#All],[METRIC_VALUE]])*0.5)+(_xlfn.XLOOKUP(1,(_bbt3[[#All],[ID]]=A633)*(_bbt3[[#All],[METRIC_NAME]]="YLD_YTM_BID"),_bbt3[[#All],[METRIC_VALUE]])*0.5))/100,"")</f>
        <v/>
      </c>
      <c r="I633">
        <f>IF(ISNA(VLOOKUP(A633,QW_CloseDL!A:E,5,0)),0,VLOOKUP(A633,QW_CloseDL!A:E,5,0))</f>
        <v>0</v>
      </c>
      <c r="J633" s="8" t="str">
        <f t="shared" si="45"/>
        <v/>
      </c>
      <c r="P633">
        <v>0</v>
      </c>
      <c r="Q633" t="e">
        <f t="shared" si="46"/>
        <v>#N/A</v>
      </c>
      <c r="R633" t="e">
        <f t="shared" si="47"/>
        <v>#N/A</v>
      </c>
      <c r="S633" s="9" t="e">
        <f t="shared" si="48"/>
        <v>#N/A</v>
      </c>
      <c r="T633" s="3" t="e">
        <f t="shared" si="49"/>
        <v>#N/A</v>
      </c>
    </row>
    <row r="634" spans="2:20" x14ac:dyDescent="0.35">
      <c r="B634" t="str">
        <f>IF(NOT(ISBLANK(A634)),VLOOKUP(A634,'BBT3'!A:F,2,0),"")</f>
        <v/>
      </c>
      <c r="C634" t="str">
        <f>IF(NOT(ISBLANK(A634)),VLOOKUP(A634,'BBT3'!A:F,3,0),"")</f>
        <v/>
      </c>
      <c r="D634" s="6" t="str">
        <f>IF(NOT(ISBLANK(A634)),VLOOKUP(A634,'BBT3'!A:F,4,1),"")</f>
        <v/>
      </c>
      <c r="E634" t="str">
        <f>IF(NOT(ISBLANK(A634)),VLOOKUP(A634,'BBT3'!A:F,5,0),"")</f>
        <v/>
      </c>
      <c r="F634" t="str">
        <f>IF(NOT(ISBLANK(A634)),VLOOKUP(A634,'BBT3'!A:F,6,0),"")</f>
        <v/>
      </c>
      <c r="G634" t="str">
        <f>IF(NOT(ISBLANK(A634)),VLOOKUP(A634,QW_Close!A:J,5,0),"")</f>
        <v/>
      </c>
      <c r="H634" s="5" t="str" cm="1">
        <f t="array" ref="H634">IF(NOT(ISBLANK(A634)),((_xlfn.XLOOKUP(1,(_bbt3[[#All],[ID]]=A634)*(_bbt3[[#All],[METRIC_NAME]]="YLD_YTM_ASK"),_bbt3[[#All],[METRIC_VALUE]])*0.5)+(_xlfn.XLOOKUP(1,(_bbt3[[#All],[ID]]=A634)*(_bbt3[[#All],[METRIC_NAME]]="YLD_YTM_BID"),_bbt3[[#All],[METRIC_VALUE]])*0.5))/100,"")</f>
        <v/>
      </c>
      <c r="I634">
        <f>IF(ISNA(VLOOKUP(A634,QW_CloseDL!A:E,5,0)),0,VLOOKUP(A634,QW_CloseDL!A:E,5,0))</f>
        <v>0</v>
      </c>
      <c r="J634" s="8" t="str">
        <f t="shared" si="45"/>
        <v/>
      </c>
      <c r="P634">
        <v>0</v>
      </c>
      <c r="Q634" t="e">
        <f t="shared" si="46"/>
        <v>#N/A</v>
      </c>
      <c r="R634" t="e">
        <f t="shared" si="47"/>
        <v>#N/A</v>
      </c>
      <c r="S634" s="9" t="e">
        <f t="shared" si="48"/>
        <v>#N/A</v>
      </c>
      <c r="T634" s="3" t="e">
        <f t="shared" si="49"/>
        <v>#N/A</v>
      </c>
    </row>
    <row r="635" spans="2:20" x14ac:dyDescent="0.35">
      <c r="B635" t="str">
        <f>IF(NOT(ISBLANK(A635)),VLOOKUP(A635,'BBT3'!A:F,2,0),"")</f>
        <v/>
      </c>
      <c r="C635" t="str">
        <f>IF(NOT(ISBLANK(A635)),VLOOKUP(A635,'BBT3'!A:F,3,0),"")</f>
        <v/>
      </c>
      <c r="D635" s="6" t="str">
        <f>IF(NOT(ISBLANK(A635)),VLOOKUP(A635,'BBT3'!A:F,4,1),"")</f>
        <v/>
      </c>
      <c r="E635" t="str">
        <f>IF(NOT(ISBLANK(A635)),VLOOKUP(A635,'BBT3'!A:F,5,0),"")</f>
        <v/>
      </c>
      <c r="F635" t="str">
        <f>IF(NOT(ISBLANK(A635)),VLOOKUP(A635,'BBT3'!A:F,6,0),"")</f>
        <v/>
      </c>
      <c r="G635" t="str">
        <f>IF(NOT(ISBLANK(A635)),VLOOKUP(A635,QW_Close!A:J,5,0),"")</f>
        <v/>
      </c>
      <c r="H635" s="5" t="str" cm="1">
        <f t="array" ref="H635">IF(NOT(ISBLANK(A635)),((_xlfn.XLOOKUP(1,(_bbt3[[#All],[ID]]=A635)*(_bbt3[[#All],[METRIC_NAME]]="YLD_YTM_ASK"),_bbt3[[#All],[METRIC_VALUE]])*0.5)+(_xlfn.XLOOKUP(1,(_bbt3[[#All],[ID]]=A635)*(_bbt3[[#All],[METRIC_NAME]]="YLD_YTM_BID"),_bbt3[[#All],[METRIC_VALUE]])*0.5))/100,"")</f>
        <v/>
      </c>
      <c r="I635">
        <f>IF(ISNA(VLOOKUP(A635,QW_CloseDL!A:E,5,0)),0,VLOOKUP(A635,QW_CloseDL!A:E,5,0))</f>
        <v>0</v>
      </c>
      <c r="J635" s="8" t="str">
        <f t="shared" si="45"/>
        <v/>
      </c>
      <c r="P635">
        <v>0</v>
      </c>
      <c r="Q635" t="e">
        <f t="shared" si="46"/>
        <v>#N/A</v>
      </c>
      <c r="R635" t="e">
        <f t="shared" si="47"/>
        <v>#N/A</v>
      </c>
      <c r="S635" s="9" t="e">
        <f t="shared" si="48"/>
        <v>#N/A</v>
      </c>
      <c r="T635" s="3" t="e">
        <f t="shared" si="49"/>
        <v>#N/A</v>
      </c>
    </row>
    <row r="636" spans="2:20" x14ac:dyDescent="0.35">
      <c r="B636" t="str">
        <f>IF(NOT(ISBLANK(A636)),VLOOKUP(A636,'BBT3'!A:F,2,0),"")</f>
        <v/>
      </c>
      <c r="C636" t="str">
        <f>IF(NOT(ISBLANK(A636)),VLOOKUP(A636,'BBT3'!A:F,3,0),"")</f>
        <v/>
      </c>
      <c r="D636" s="6" t="str">
        <f>IF(NOT(ISBLANK(A636)),VLOOKUP(A636,'BBT3'!A:F,4,1),"")</f>
        <v/>
      </c>
      <c r="E636" t="str">
        <f>IF(NOT(ISBLANK(A636)),VLOOKUP(A636,'BBT3'!A:F,5,0),"")</f>
        <v/>
      </c>
      <c r="F636" t="str">
        <f>IF(NOT(ISBLANK(A636)),VLOOKUP(A636,'BBT3'!A:F,6,0),"")</f>
        <v/>
      </c>
      <c r="G636" t="str">
        <f>IF(NOT(ISBLANK(A636)),VLOOKUP(A636,QW_Close!A:J,5,0),"")</f>
        <v/>
      </c>
      <c r="H636" s="5" t="str" cm="1">
        <f t="array" ref="H636">IF(NOT(ISBLANK(A636)),((_xlfn.XLOOKUP(1,(_bbt3[[#All],[ID]]=A636)*(_bbt3[[#All],[METRIC_NAME]]="YLD_YTM_ASK"),_bbt3[[#All],[METRIC_VALUE]])*0.5)+(_xlfn.XLOOKUP(1,(_bbt3[[#All],[ID]]=A636)*(_bbt3[[#All],[METRIC_NAME]]="YLD_YTM_BID"),_bbt3[[#All],[METRIC_VALUE]])*0.5))/100,"")</f>
        <v/>
      </c>
      <c r="I636">
        <f>IF(ISNA(VLOOKUP(A636,QW_CloseDL!A:E,5,0)),0,VLOOKUP(A636,QW_CloseDL!A:E,5,0))</f>
        <v>0</v>
      </c>
      <c r="J636" s="8" t="str">
        <f t="shared" si="45"/>
        <v/>
      </c>
      <c r="P636">
        <v>0</v>
      </c>
      <c r="Q636" t="e">
        <f t="shared" si="46"/>
        <v>#N/A</v>
      </c>
      <c r="R636" t="e">
        <f t="shared" si="47"/>
        <v>#N/A</v>
      </c>
      <c r="S636" s="9" t="e">
        <f t="shared" si="48"/>
        <v>#N/A</v>
      </c>
      <c r="T636" s="3" t="e">
        <f t="shared" si="49"/>
        <v>#N/A</v>
      </c>
    </row>
    <row r="637" spans="2:20" x14ac:dyDescent="0.35">
      <c r="B637" t="str">
        <f>IF(NOT(ISBLANK(A637)),VLOOKUP(A637,'BBT3'!A:F,2,0),"")</f>
        <v/>
      </c>
      <c r="C637" t="str">
        <f>IF(NOT(ISBLANK(A637)),VLOOKUP(A637,'BBT3'!A:F,3,0),"")</f>
        <v/>
      </c>
      <c r="D637" s="6" t="str">
        <f>IF(NOT(ISBLANK(A637)),VLOOKUP(A637,'BBT3'!A:F,4,1),"")</f>
        <v/>
      </c>
      <c r="E637" t="str">
        <f>IF(NOT(ISBLANK(A637)),VLOOKUP(A637,'BBT3'!A:F,5,0),"")</f>
        <v/>
      </c>
      <c r="F637" t="str">
        <f>IF(NOT(ISBLANK(A637)),VLOOKUP(A637,'BBT3'!A:F,6,0),"")</f>
        <v/>
      </c>
      <c r="G637" t="str">
        <f>IF(NOT(ISBLANK(A637)),VLOOKUP(A637,QW_Close!A:J,5,0),"")</f>
        <v/>
      </c>
      <c r="H637" s="5" t="str" cm="1">
        <f t="array" ref="H637">IF(NOT(ISBLANK(A637)),((_xlfn.XLOOKUP(1,(_bbt3[[#All],[ID]]=A637)*(_bbt3[[#All],[METRIC_NAME]]="YLD_YTM_ASK"),_bbt3[[#All],[METRIC_VALUE]])*0.5)+(_xlfn.XLOOKUP(1,(_bbt3[[#All],[ID]]=A637)*(_bbt3[[#All],[METRIC_NAME]]="YLD_YTM_BID"),_bbt3[[#All],[METRIC_VALUE]])*0.5))/100,"")</f>
        <v/>
      </c>
      <c r="I637">
        <f>IF(ISNA(VLOOKUP(A637,QW_CloseDL!A:E,5,0)),0,VLOOKUP(A637,QW_CloseDL!A:E,5,0))</f>
        <v>0</v>
      </c>
      <c r="J637" s="8" t="str">
        <f t="shared" si="45"/>
        <v/>
      </c>
      <c r="P637">
        <v>0</v>
      </c>
      <c r="Q637" t="e">
        <f t="shared" si="46"/>
        <v>#N/A</v>
      </c>
      <c r="R637" t="e">
        <f t="shared" si="47"/>
        <v>#N/A</v>
      </c>
      <c r="S637" s="9" t="e">
        <f t="shared" si="48"/>
        <v>#N/A</v>
      </c>
      <c r="T637" s="3" t="e">
        <f t="shared" si="49"/>
        <v>#N/A</v>
      </c>
    </row>
    <row r="638" spans="2:20" x14ac:dyDescent="0.35">
      <c r="B638" t="str">
        <f>IF(NOT(ISBLANK(A638)),VLOOKUP(A638,'BBT3'!A:F,2,0),"")</f>
        <v/>
      </c>
      <c r="C638" t="str">
        <f>IF(NOT(ISBLANK(A638)),VLOOKUP(A638,'BBT3'!A:F,3,0),"")</f>
        <v/>
      </c>
      <c r="D638" s="6" t="str">
        <f>IF(NOT(ISBLANK(A638)),VLOOKUP(A638,'BBT3'!A:F,4,1),"")</f>
        <v/>
      </c>
      <c r="E638" t="str">
        <f>IF(NOT(ISBLANK(A638)),VLOOKUP(A638,'BBT3'!A:F,5,0),"")</f>
        <v/>
      </c>
      <c r="F638" t="str">
        <f>IF(NOT(ISBLANK(A638)),VLOOKUP(A638,'BBT3'!A:F,6,0),"")</f>
        <v/>
      </c>
      <c r="G638" t="str">
        <f>IF(NOT(ISBLANK(A638)),VLOOKUP(A638,QW_Close!A:J,5,0),"")</f>
        <v/>
      </c>
      <c r="H638" s="5" t="str" cm="1">
        <f t="array" ref="H638">IF(NOT(ISBLANK(A638)),((_xlfn.XLOOKUP(1,(_bbt3[[#All],[ID]]=A638)*(_bbt3[[#All],[METRIC_NAME]]="YLD_YTM_ASK"),_bbt3[[#All],[METRIC_VALUE]])*0.5)+(_xlfn.XLOOKUP(1,(_bbt3[[#All],[ID]]=A638)*(_bbt3[[#All],[METRIC_NAME]]="YLD_YTM_BID"),_bbt3[[#All],[METRIC_VALUE]])*0.5))/100,"")</f>
        <v/>
      </c>
      <c r="I638">
        <f>IF(ISNA(VLOOKUP(A638,QW_CloseDL!A:E,5,0)),0,VLOOKUP(A638,QW_CloseDL!A:E,5,0))</f>
        <v>0</v>
      </c>
      <c r="J638" s="8" t="str">
        <f t="shared" si="45"/>
        <v/>
      </c>
      <c r="P638">
        <v>0</v>
      </c>
      <c r="Q638" t="e">
        <f t="shared" si="46"/>
        <v>#N/A</v>
      </c>
      <c r="R638" t="e">
        <f t="shared" si="47"/>
        <v>#N/A</v>
      </c>
      <c r="S638" s="9" t="e">
        <f t="shared" si="48"/>
        <v>#N/A</v>
      </c>
      <c r="T638" s="3" t="e">
        <f t="shared" si="49"/>
        <v>#N/A</v>
      </c>
    </row>
    <row r="639" spans="2:20" x14ac:dyDescent="0.35">
      <c r="B639" t="str">
        <f>IF(NOT(ISBLANK(A639)),VLOOKUP(A639,'BBT3'!A:F,2,0),"")</f>
        <v/>
      </c>
      <c r="C639" t="str">
        <f>IF(NOT(ISBLANK(A639)),VLOOKUP(A639,'BBT3'!A:F,3,0),"")</f>
        <v/>
      </c>
      <c r="D639" s="6" t="str">
        <f>IF(NOT(ISBLANK(A639)),VLOOKUP(A639,'BBT3'!A:F,4,1),"")</f>
        <v/>
      </c>
      <c r="E639" t="str">
        <f>IF(NOT(ISBLANK(A639)),VLOOKUP(A639,'BBT3'!A:F,5,0),"")</f>
        <v/>
      </c>
      <c r="F639" t="str">
        <f>IF(NOT(ISBLANK(A639)),VLOOKUP(A639,'BBT3'!A:F,6,0),"")</f>
        <v/>
      </c>
      <c r="G639" t="str">
        <f>IF(NOT(ISBLANK(A639)),VLOOKUP(A639,QW_Close!A:J,5,0),"")</f>
        <v/>
      </c>
      <c r="H639" s="5" t="str" cm="1">
        <f t="array" ref="H639">IF(NOT(ISBLANK(A639)),((_xlfn.XLOOKUP(1,(_bbt3[[#All],[ID]]=A639)*(_bbt3[[#All],[METRIC_NAME]]="YLD_YTM_ASK"),_bbt3[[#All],[METRIC_VALUE]])*0.5)+(_xlfn.XLOOKUP(1,(_bbt3[[#All],[ID]]=A639)*(_bbt3[[#All],[METRIC_NAME]]="YLD_YTM_BID"),_bbt3[[#All],[METRIC_VALUE]])*0.5))/100,"")</f>
        <v/>
      </c>
      <c r="I639">
        <f>IF(ISNA(VLOOKUP(A639,QW_CloseDL!A:E,5,0)),0,VLOOKUP(A639,QW_CloseDL!A:E,5,0))</f>
        <v>0</v>
      </c>
      <c r="J639" s="8" t="str">
        <f t="shared" si="45"/>
        <v/>
      </c>
      <c r="P639">
        <v>0</v>
      </c>
      <c r="Q639" t="e">
        <f t="shared" si="46"/>
        <v>#N/A</v>
      </c>
      <c r="R639" t="e">
        <f t="shared" si="47"/>
        <v>#N/A</v>
      </c>
      <c r="S639" s="9" t="e">
        <f t="shared" si="48"/>
        <v>#N/A</v>
      </c>
      <c r="T639" s="3" t="e">
        <f t="shared" si="49"/>
        <v>#N/A</v>
      </c>
    </row>
    <row r="640" spans="2:20" x14ac:dyDescent="0.35">
      <c r="B640" t="str">
        <f>IF(NOT(ISBLANK(A640)),VLOOKUP(A640,'BBT3'!A:F,2,0),"")</f>
        <v/>
      </c>
      <c r="C640" t="str">
        <f>IF(NOT(ISBLANK(A640)),VLOOKUP(A640,'BBT3'!A:F,3,0),"")</f>
        <v/>
      </c>
      <c r="D640" s="6" t="str">
        <f>IF(NOT(ISBLANK(A640)),VLOOKUP(A640,'BBT3'!A:F,4,1),"")</f>
        <v/>
      </c>
      <c r="E640" t="str">
        <f>IF(NOT(ISBLANK(A640)),VLOOKUP(A640,'BBT3'!A:F,5,0),"")</f>
        <v/>
      </c>
      <c r="F640" t="str">
        <f>IF(NOT(ISBLANK(A640)),VLOOKUP(A640,'BBT3'!A:F,6,0),"")</f>
        <v/>
      </c>
      <c r="G640" t="str">
        <f>IF(NOT(ISBLANK(A640)),VLOOKUP(A640,QW_Close!A:J,5,0),"")</f>
        <v/>
      </c>
      <c r="H640" s="5" t="str" cm="1">
        <f t="array" ref="H640">IF(NOT(ISBLANK(A640)),((_xlfn.XLOOKUP(1,(_bbt3[[#All],[ID]]=A640)*(_bbt3[[#All],[METRIC_NAME]]="YLD_YTM_ASK"),_bbt3[[#All],[METRIC_VALUE]])*0.5)+(_xlfn.XLOOKUP(1,(_bbt3[[#All],[ID]]=A640)*(_bbt3[[#All],[METRIC_NAME]]="YLD_YTM_BID"),_bbt3[[#All],[METRIC_VALUE]])*0.5))/100,"")</f>
        <v/>
      </c>
      <c r="I640">
        <f>IF(ISNA(VLOOKUP(A640,QW_CloseDL!A:E,5,0)),0,VLOOKUP(A640,QW_CloseDL!A:E,5,0))</f>
        <v>0</v>
      </c>
      <c r="J640" s="8" t="str">
        <f t="shared" si="45"/>
        <v/>
      </c>
      <c r="P640">
        <v>0</v>
      </c>
      <c r="Q640" t="e">
        <f t="shared" si="46"/>
        <v>#N/A</v>
      </c>
      <c r="R640" t="e">
        <f t="shared" si="47"/>
        <v>#N/A</v>
      </c>
      <c r="S640" s="9" t="e">
        <f t="shared" si="48"/>
        <v>#N/A</v>
      </c>
      <c r="T640" s="3" t="e">
        <f t="shared" si="49"/>
        <v>#N/A</v>
      </c>
    </row>
    <row r="641" spans="2:20" x14ac:dyDescent="0.35">
      <c r="B641" t="str">
        <f>IF(NOT(ISBLANK(A641)),VLOOKUP(A641,'BBT3'!A:F,2,0),"")</f>
        <v/>
      </c>
      <c r="C641" t="str">
        <f>IF(NOT(ISBLANK(A641)),VLOOKUP(A641,'BBT3'!A:F,3,0),"")</f>
        <v/>
      </c>
      <c r="D641" s="6" t="str">
        <f>IF(NOT(ISBLANK(A641)),VLOOKUP(A641,'BBT3'!A:F,4,1),"")</f>
        <v/>
      </c>
      <c r="E641" t="str">
        <f>IF(NOT(ISBLANK(A641)),VLOOKUP(A641,'BBT3'!A:F,5,0),"")</f>
        <v/>
      </c>
      <c r="F641" t="str">
        <f>IF(NOT(ISBLANK(A641)),VLOOKUP(A641,'BBT3'!A:F,6,0),"")</f>
        <v/>
      </c>
      <c r="G641" t="str">
        <f>IF(NOT(ISBLANK(A641)),VLOOKUP(A641,QW_Close!A:J,5,0),"")</f>
        <v/>
      </c>
      <c r="H641" s="5" t="str" cm="1">
        <f t="array" ref="H641">IF(NOT(ISBLANK(A641)),((_xlfn.XLOOKUP(1,(_bbt3[[#All],[ID]]=A641)*(_bbt3[[#All],[METRIC_NAME]]="YLD_YTM_ASK"),_bbt3[[#All],[METRIC_VALUE]])*0.5)+(_xlfn.XLOOKUP(1,(_bbt3[[#All],[ID]]=A641)*(_bbt3[[#All],[METRIC_NAME]]="YLD_YTM_BID"),_bbt3[[#All],[METRIC_VALUE]])*0.5))/100,"")</f>
        <v/>
      </c>
      <c r="I641">
        <f>IF(ISNA(VLOOKUP(A641,QW_CloseDL!A:E,5,0)),0,VLOOKUP(A641,QW_CloseDL!A:E,5,0))</f>
        <v>0</v>
      </c>
      <c r="J641" s="8" t="str">
        <f t="shared" si="45"/>
        <v/>
      </c>
      <c r="P641">
        <v>0</v>
      </c>
      <c r="Q641" t="e">
        <f t="shared" si="46"/>
        <v>#N/A</v>
      </c>
      <c r="R641" t="e">
        <f t="shared" si="47"/>
        <v>#N/A</v>
      </c>
      <c r="S641" s="9" t="e">
        <f t="shared" si="48"/>
        <v>#N/A</v>
      </c>
      <c r="T641" s="3" t="e">
        <f t="shared" si="49"/>
        <v>#N/A</v>
      </c>
    </row>
    <row r="642" spans="2:20" x14ac:dyDescent="0.35">
      <c r="B642" t="str">
        <f>IF(NOT(ISBLANK(A642)),VLOOKUP(A642,'BBT3'!A:F,2,0),"")</f>
        <v/>
      </c>
      <c r="C642" t="str">
        <f>IF(NOT(ISBLANK(A642)),VLOOKUP(A642,'BBT3'!A:F,3,0),"")</f>
        <v/>
      </c>
      <c r="D642" s="6" t="str">
        <f>IF(NOT(ISBLANK(A642)),VLOOKUP(A642,'BBT3'!A:F,4,1),"")</f>
        <v/>
      </c>
      <c r="E642" t="str">
        <f>IF(NOT(ISBLANK(A642)),VLOOKUP(A642,'BBT3'!A:F,5,0),"")</f>
        <v/>
      </c>
      <c r="F642" t="str">
        <f>IF(NOT(ISBLANK(A642)),VLOOKUP(A642,'BBT3'!A:F,6,0),"")</f>
        <v/>
      </c>
      <c r="G642" t="str">
        <f>IF(NOT(ISBLANK(A642)),VLOOKUP(A642,QW_Close!A:J,5,0),"")</f>
        <v/>
      </c>
      <c r="H642" s="5" t="str" cm="1">
        <f t="array" ref="H642">IF(NOT(ISBLANK(A642)),((_xlfn.XLOOKUP(1,(_bbt3[[#All],[ID]]=A642)*(_bbt3[[#All],[METRIC_NAME]]="YLD_YTM_ASK"),_bbt3[[#All],[METRIC_VALUE]])*0.5)+(_xlfn.XLOOKUP(1,(_bbt3[[#All],[ID]]=A642)*(_bbt3[[#All],[METRIC_NAME]]="YLD_YTM_BID"),_bbt3[[#All],[METRIC_VALUE]])*0.5))/100,"")</f>
        <v/>
      </c>
      <c r="I642">
        <f>IF(ISNA(VLOOKUP(A642,QW_CloseDL!A:E,5,0)),0,VLOOKUP(A642,QW_CloseDL!A:E,5,0))</f>
        <v>0</v>
      </c>
      <c r="J642" s="8" t="str">
        <f t="shared" si="45"/>
        <v/>
      </c>
      <c r="P642">
        <v>0</v>
      </c>
      <c r="Q642" t="e">
        <f t="shared" si="46"/>
        <v>#N/A</v>
      </c>
      <c r="R642" t="e">
        <f t="shared" si="47"/>
        <v>#N/A</v>
      </c>
      <c r="S642" s="9" t="e">
        <f t="shared" si="48"/>
        <v>#N/A</v>
      </c>
      <c r="T642" s="3" t="e">
        <f t="shared" si="49"/>
        <v>#N/A</v>
      </c>
    </row>
    <row r="643" spans="2:20" x14ac:dyDescent="0.35">
      <c r="B643" t="str">
        <f>IF(NOT(ISBLANK(A643)),VLOOKUP(A643,'BBT3'!A:F,2,0),"")</f>
        <v/>
      </c>
      <c r="C643" t="str">
        <f>IF(NOT(ISBLANK(A643)),VLOOKUP(A643,'BBT3'!A:F,3,0),"")</f>
        <v/>
      </c>
      <c r="D643" s="6" t="str">
        <f>IF(NOT(ISBLANK(A643)),VLOOKUP(A643,'BBT3'!A:F,4,1),"")</f>
        <v/>
      </c>
      <c r="E643" t="str">
        <f>IF(NOT(ISBLANK(A643)),VLOOKUP(A643,'BBT3'!A:F,5,0),"")</f>
        <v/>
      </c>
      <c r="F643" t="str">
        <f>IF(NOT(ISBLANK(A643)),VLOOKUP(A643,'BBT3'!A:F,6,0),"")</f>
        <v/>
      </c>
      <c r="G643" t="str">
        <f>IF(NOT(ISBLANK(A643)),VLOOKUP(A643,QW_Close!A:J,5,0),"")</f>
        <v/>
      </c>
      <c r="H643" s="5" t="str" cm="1">
        <f t="array" ref="H643">IF(NOT(ISBLANK(A643)),((_xlfn.XLOOKUP(1,(_bbt3[[#All],[ID]]=A643)*(_bbt3[[#All],[METRIC_NAME]]="YLD_YTM_ASK"),_bbt3[[#All],[METRIC_VALUE]])*0.5)+(_xlfn.XLOOKUP(1,(_bbt3[[#All],[ID]]=A643)*(_bbt3[[#All],[METRIC_NAME]]="YLD_YTM_BID"),_bbt3[[#All],[METRIC_VALUE]])*0.5))/100,"")</f>
        <v/>
      </c>
      <c r="I643">
        <f>IF(ISNA(VLOOKUP(A643,QW_CloseDL!A:E,5,0)),0,VLOOKUP(A643,QW_CloseDL!A:E,5,0))</f>
        <v>0</v>
      </c>
      <c r="J643" s="8" t="str">
        <f t="shared" ref="J643:J706" si="50">IF(ISNA(IF(NOT(ISBLANK(A643)),ABS(G643-I643),"")),0,(IF(NOT(ISBLANK(A643)),ABS(G643-I643)*10000,"")))</f>
        <v/>
      </c>
      <c r="P643">
        <v>0</v>
      </c>
      <c r="Q643" t="e">
        <f t="shared" si="46"/>
        <v>#N/A</v>
      </c>
      <c r="R643" t="e">
        <f t="shared" si="47"/>
        <v>#N/A</v>
      </c>
      <c r="S643" s="9" t="e">
        <f t="shared" si="48"/>
        <v>#N/A</v>
      </c>
      <c r="T643" s="3" t="e">
        <f t="shared" si="49"/>
        <v>#N/A</v>
      </c>
    </row>
    <row r="644" spans="2:20" x14ac:dyDescent="0.35">
      <c r="B644" t="str">
        <f>IF(NOT(ISBLANK(A644)),VLOOKUP(A644,'BBT3'!A:F,2,0),"")</f>
        <v/>
      </c>
      <c r="C644" t="str">
        <f>IF(NOT(ISBLANK(A644)),VLOOKUP(A644,'BBT3'!A:F,3,0),"")</f>
        <v/>
      </c>
      <c r="D644" s="6" t="str">
        <f>IF(NOT(ISBLANK(A644)),VLOOKUP(A644,'BBT3'!A:F,4,1),"")</f>
        <v/>
      </c>
      <c r="E644" t="str">
        <f>IF(NOT(ISBLANK(A644)),VLOOKUP(A644,'BBT3'!A:F,5,0),"")</f>
        <v/>
      </c>
      <c r="F644" t="str">
        <f>IF(NOT(ISBLANK(A644)),VLOOKUP(A644,'BBT3'!A:F,6,0),"")</f>
        <v/>
      </c>
      <c r="G644" t="str">
        <f>IF(NOT(ISBLANK(A644)),VLOOKUP(A644,QW_Close!A:J,5,0),"")</f>
        <v/>
      </c>
      <c r="H644" s="5" t="str" cm="1">
        <f t="array" ref="H644">IF(NOT(ISBLANK(A644)),((_xlfn.XLOOKUP(1,(_bbt3[[#All],[ID]]=A644)*(_bbt3[[#All],[METRIC_NAME]]="YLD_YTM_ASK"),_bbt3[[#All],[METRIC_VALUE]])*0.5)+(_xlfn.XLOOKUP(1,(_bbt3[[#All],[ID]]=A644)*(_bbt3[[#All],[METRIC_NAME]]="YLD_YTM_BID"),_bbt3[[#All],[METRIC_VALUE]])*0.5))/100,"")</f>
        <v/>
      </c>
      <c r="I644">
        <f>IF(ISNA(VLOOKUP(A644,QW_CloseDL!A:E,5,0)),0,VLOOKUP(A644,QW_CloseDL!A:E,5,0))</f>
        <v>0</v>
      </c>
      <c r="J644" s="8" t="str">
        <f t="shared" si="50"/>
        <v/>
      </c>
      <c r="P644">
        <v>0</v>
      </c>
      <c r="Q644" t="e">
        <f t="shared" si="46"/>
        <v>#N/A</v>
      </c>
      <c r="R644" t="e">
        <f t="shared" si="47"/>
        <v>#N/A</v>
      </c>
      <c r="S644" s="9" t="e">
        <f t="shared" si="48"/>
        <v>#N/A</v>
      </c>
      <c r="T644" s="3" t="e">
        <f t="shared" si="49"/>
        <v>#N/A</v>
      </c>
    </row>
    <row r="645" spans="2:20" x14ac:dyDescent="0.35">
      <c r="B645" t="str">
        <f>IF(NOT(ISBLANK(A645)),VLOOKUP(A645,'BBT3'!A:F,2,0),"")</f>
        <v/>
      </c>
      <c r="C645" t="str">
        <f>IF(NOT(ISBLANK(A645)),VLOOKUP(A645,'BBT3'!A:F,3,0),"")</f>
        <v/>
      </c>
      <c r="D645" s="6" t="str">
        <f>IF(NOT(ISBLANK(A645)),VLOOKUP(A645,'BBT3'!A:F,4,1),"")</f>
        <v/>
      </c>
      <c r="E645" t="str">
        <f>IF(NOT(ISBLANK(A645)),VLOOKUP(A645,'BBT3'!A:F,5,0),"")</f>
        <v/>
      </c>
      <c r="F645" t="str">
        <f>IF(NOT(ISBLANK(A645)),VLOOKUP(A645,'BBT3'!A:F,6,0),"")</f>
        <v/>
      </c>
      <c r="G645" t="str">
        <f>IF(NOT(ISBLANK(A645)),VLOOKUP(A645,QW_Close!A:J,5,0),"")</f>
        <v/>
      </c>
      <c r="H645" s="5" t="str" cm="1">
        <f t="array" ref="H645">IF(NOT(ISBLANK(A645)),((_xlfn.XLOOKUP(1,(_bbt3[[#All],[ID]]=A645)*(_bbt3[[#All],[METRIC_NAME]]="YLD_YTM_ASK"),_bbt3[[#All],[METRIC_VALUE]])*0.5)+(_xlfn.XLOOKUP(1,(_bbt3[[#All],[ID]]=A645)*(_bbt3[[#All],[METRIC_NAME]]="YLD_YTM_BID"),_bbt3[[#All],[METRIC_VALUE]])*0.5))/100,"")</f>
        <v/>
      </c>
      <c r="I645">
        <f>IF(ISNA(VLOOKUP(A645,QW_CloseDL!A:E,5,0)),0,VLOOKUP(A645,QW_CloseDL!A:E,5,0))</f>
        <v>0</v>
      </c>
      <c r="J645" s="8" t="str">
        <f t="shared" si="50"/>
        <v/>
      </c>
      <c r="P645">
        <v>0</v>
      </c>
      <c r="Q645" t="e">
        <f t="shared" si="46"/>
        <v>#N/A</v>
      </c>
      <c r="R645" t="e">
        <f t="shared" si="47"/>
        <v>#N/A</v>
      </c>
      <c r="S645" s="9" t="e">
        <f t="shared" si="48"/>
        <v>#N/A</v>
      </c>
      <c r="T645" s="3" t="e">
        <f t="shared" si="49"/>
        <v>#N/A</v>
      </c>
    </row>
    <row r="646" spans="2:20" x14ac:dyDescent="0.35">
      <c r="B646" t="str">
        <f>IF(NOT(ISBLANK(A646)),VLOOKUP(A646,'BBT3'!A:F,2,0),"")</f>
        <v/>
      </c>
      <c r="C646" t="str">
        <f>IF(NOT(ISBLANK(A646)),VLOOKUP(A646,'BBT3'!A:F,3,0),"")</f>
        <v/>
      </c>
      <c r="D646" s="6" t="str">
        <f>IF(NOT(ISBLANK(A646)),VLOOKUP(A646,'BBT3'!A:F,4,1),"")</f>
        <v/>
      </c>
      <c r="E646" t="str">
        <f>IF(NOT(ISBLANK(A646)),VLOOKUP(A646,'BBT3'!A:F,5,0),"")</f>
        <v/>
      </c>
      <c r="F646" t="str">
        <f>IF(NOT(ISBLANK(A646)),VLOOKUP(A646,'BBT3'!A:F,6,0),"")</f>
        <v/>
      </c>
      <c r="G646" t="str">
        <f>IF(NOT(ISBLANK(A646)),VLOOKUP(A646,QW_Close!A:J,5,0),"")</f>
        <v/>
      </c>
      <c r="H646" s="5" t="str" cm="1">
        <f t="array" ref="H646">IF(NOT(ISBLANK(A646)),((_xlfn.XLOOKUP(1,(_bbt3[[#All],[ID]]=A646)*(_bbt3[[#All],[METRIC_NAME]]="YLD_YTM_ASK"),_bbt3[[#All],[METRIC_VALUE]])*0.5)+(_xlfn.XLOOKUP(1,(_bbt3[[#All],[ID]]=A646)*(_bbt3[[#All],[METRIC_NAME]]="YLD_YTM_BID"),_bbt3[[#All],[METRIC_VALUE]])*0.5))/100,"")</f>
        <v/>
      </c>
      <c r="I646">
        <f>IF(ISNA(VLOOKUP(A646,QW_CloseDL!A:E,5,0)),0,VLOOKUP(A646,QW_CloseDL!A:E,5,0))</f>
        <v>0</v>
      </c>
      <c r="J646" s="8" t="str">
        <f t="shared" si="50"/>
        <v/>
      </c>
      <c r="P646">
        <v>0</v>
      </c>
      <c r="Q646" t="e">
        <f t="shared" si="46"/>
        <v>#N/A</v>
      </c>
      <c r="R646" t="e">
        <f t="shared" si="47"/>
        <v>#N/A</v>
      </c>
      <c r="S646" s="9" t="e">
        <f t="shared" si="48"/>
        <v>#N/A</v>
      </c>
      <c r="T646" s="3" t="e">
        <f t="shared" si="49"/>
        <v>#N/A</v>
      </c>
    </row>
    <row r="647" spans="2:20" x14ac:dyDescent="0.35">
      <c r="B647" t="str">
        <f>IF(NOT(ISBLANK(A647)),VLOOKUP(A647,'BBT3'!A:F,2,0),"")</f>
        <v/>
      </c>
      <c r="C647" t="str">
        <f>IF(NOT(ISBLANK(A647)),VLOOKUP(A647,'BBT3'!A:F,3,0),"")</f>
        <v/>
      </c>
      <c r="D647" s="6" t="str">
        <f>IF(NOT(ISBLANK(A647)),VLOOKUP(A647,'BBT3'!A:F,4,1),"")</f>
        <v/>
      </c>
      <c r="E647" t="str">
        <f>IF(NOT(ISBLANK(A647)),VLOOKUP(A647,'BBT3'!A:F,5,0),"")</f>
        <v/>
      </c>
      <c r="F647" t="str">
        <f>IF(NOT(ISBLANK(A647)),VLOOKUP(A647,'BBT3'!A:F,6,0),"")</f>
        <v/>
      </c>
      <c r="G647" t="str">
        <f>IF(NOT(ISBLANK(A647)),VLOOKUP(A647,QW_Close!A:J,5,0),"")</f>
        <v/>
      </c>
      <c r="H647" s="5" t="str" cm="1">
        <f t="array" ref="H647">IF(NOT(ISBLANK(A647)),((_xlfn.XLOOKUP(1,(_bbt3[[#All],[ID]]=A647)*(_bbt3[[#All],[METRIC_NAME]]="YLD_YTM_ASK"),_bbt3[[#All],[METRIC_VALUE]])*0.5)+(_xlfn.XLOOKUP(1,(_bbt3[[#All],[ID]]=A647)*(_bbt3[[#All],[METRIC_NAME]]="YLD_YTM_BID"),_bbt3[[#All],[METRIC_VALUE]])*0.5))/100,"")</f>
        <v/>
      </c>
      <c r="I647">
        <f>IF(ISNA(VLOOKUP(A647,QW_CloseDL!A:E,5,0)),0,VLOOKUP(A647,QW_CloseDL!A:E,5,0))</f>
        <v>0</v>
      </c>
      <c r="J647" s="8" t="str">
        <f t="shared" si="50"/>
        <v/>
      </c>
      <c r="P647">
        <v>0</v>
      </c>
      <c r="Q647" t="e">
        <f t="shared" si="46"/>
        <v>#N/A</v>
      </c>
      <c r="R647" t="e">
        <f t="shared" si="47"/>
        <v>#N/A</v>
      </c>
      <c r="S647" s="9" t="e">
        <f t="shared" si="48"/>
        <v>#N/A</v>
      </c>
      <c r="T647" s="3" t="e">
        <f t="shared" si="49"/>
        <v>#N/A</v>
      </c>
    </row>
    <row r="648" spans="2:20" x14ac:dyDescent="0.35">
      <c r="B648" t="str">
        <f>IF(NOT(ISBLANK(A648)),VLOOKUP(A648,'BBT3'!A:F,2,0),"")</f>
        <v/>
      </c>
      <c r="C648" t="str">
        <f>IF(NOT(ISBLANK(A648)),VLOOKUP(A648,'BBT3'!A:F,3,0),"")</f>
        <v/>
      </c>
      <c r="D648" s="6" t="str">
        <f>IF(NOT(ISBLANK(A648)),VLOOKUP(A648,'BBT3'!A:F,4,1),"")</f>
        <v/>
      </c>
      <c r="E648" t="str">
        <f>IF(NOT(ISBLANK(A648)),VLOOKUP(A648,'BBT3'!A:F,5,0),"")</f>
        <v/>
      </c>
      <c r="F648" t="str">
        <f>IF(NOT(ISBLANK(A648)),VLOOKUP(A648,'BBT3'!A:F,6,0),"")</f>
        <v/>
      </c>
      <c r="G648" t="str">
        <f>IF(NOT(ISBLANK(A648)),VLOOKUP(A648,QW_Close!A:J,5,0),"")</f>
        <v/>
      </c>
      <c r="H648" s="5" t="str" cm="1">
        <f t="array" ref="H648">IF(NOT(ISBLANK(A648)),((_xlfn.XLOOKUP(1,(_bbt3[[#All],[ID]]=A648)*(_bbt3[[#All],[METRIC_NAME]]="YLD_YTM_ASK"),_bbt3[[#All],[METRIC_VALUE]])*0.5)+(_xlfn.XLOOKUP(1,(_bbt3[[#All],[ID]]=A648)*(_bbt3[[#All],[METRIC_NAME]]="YLD_YTM_BID"),_bbt3[[#All],[METRIC_VALUE]])*0.5))/100,"")</f>
        <v/>
      </c>
      <c r="I648">
        <f>IF(ISNA(VLOOKUP(A648,QW_CloseDL!A:E,5,0)),0,VLOOKUP(A648,QW_CloseDL!A:E,5,0))</f>
        <v>0</v>
      </c>
      <c r="J648" s="8" t="str">
        <f t="shared" si="50"/>
        <v/>
      </c>
      <c r="P648">
        <v>0</v>
      </c>
      <c r="Q648" t="e">
        <f t="shared" si="46"/>
        <v>#N/A</v>
      </c>
      <c r="R648" t="e">
        <f t="shared" si="47"/>
        <v>#N/A</v>
      </c>
      <c r="S648" s="9" t="e">
        <f t="shared" si="48"/>
        <v>#N/A</v>
      </c>
      <c r="T648" s="3" t="e">
        <f t="shared" si="49"/>
        <v>#N/A</v>
      </c>
    </row>
    <row r="649" spans="2:20" x14ac:dyDescent="0.35">
      <c r="B649" t="str">
        <f>IF(NOT(ISBLANK(A649)),VLOOKUP(A649,'BBT3'!A:F,2,0),"")</f>
        <v/>
      </c>
      <c r="C649" t="str">
        <f>IF(NOT(ISBLANK(A649)),VLOOKUP(A649,'BBT3'!A:F,3,0),"")</f>
        <v/>
      </c>
      <c r="D649" s="6" t="str">
        <f>IF(NOT(ISBLANK(A649)),VLOOKUP(A649,'BBT3'!A:F,4,1),"")</f>
        <v/>
      </c>
      <c r="E649" t="str">
        <f>IF(NOT(ISBLANK(A649)),VLOOKUP(A649,'BBT3'!A:F,5,0),"")</f>
        <v/>
      </c>
      <c r="F649" t="str">
        <f>IF(NOT(ISBLANK(A649)),VLOOKUP(A649,'BBT3'!A:F,6,0),"")</f>
        <v/>
      </c>
      <c r="G649" t="str">
        <f>IF(NOT(ISBLANK(A649)),VLOOKUP(A649,QW_Close!A:J,5,0),"")</f>
        <v/>
      </c>
      <c r="H649" s="5" t="str" cm="1">
        <f t="array" ref="H649">IF(NOT(ISBLANK(A649)),((_xlfn.XLOOKUP(1,(_bbt3[[#All],[ID]]=A649)*(_bbt3[[#All],[METRIC_NAME]]="YLD_YTM_ASK"),_bbt3[[#All],[METRIC_VALUE]])*0.5)+(_xlfn.XLOOKUP(1,(_bbt3[[#All],[ID]]=A649)*(_bbt3[[#All],[METRIC_NAME]]="YLD_YTM_BID"),_bbt3[[#All],[METRIC_VALUE]])*0.5))/100,"")</f>
        <v/>
      </c>
      <c r="I649">
        <f>IF(ISNA(VLOOKUP(A649,QW_CloseDL!A:E,5,0)),0,VLOOKUP(A649,QW_CloseDL!A:E,5,0))</f>
        <v>0</v>
      </c>
      <c r="J649" s="8" t="str">
        <f t="shared" si="50"/>
        <v/>
      </c>
      <c r="P649">
        <v>0</v>
      </c>
      <c r="Q649" t="e">
        <f t="shared" si="46"/>
        <v>#N/A</v>
      </c>
      <c r="R649" t="e">
        <f t="shared" si="47"/>
        <v>#N/A</v>
      </c>
      <c r="S649" s="9" t="e">
        <f t="shared" si="48"/>
        <v>#N/A</v>
      </c>
      <c r="T649" s="3" t="e">
        <f t="shared" si="49"/>
        <v>#N/A</v>
      </c>
    </row>
    <row r="650" spans="2:20" x14ac:dyDescent="0.35">
      <c r="B650" t="str">
        <f>IF(NOT(ISBLANK(A650)),VLOOKUP(A650,'BBT3'!A:F,2,0),"")</f>
        <v/>
      </c>
      <c r="C650" t="str">
        <f>IF(NOT(ISBLANK(A650)),VLOOKUP(A650,'BBT3'!A:F,3,0),"")</f>
        <v/>
      </c>
      <c r="D650" s="6" t="str">
        <f>IF(NOT(ISBLANK(A650)),VLOOKUP(A650,'BBT3'!A:F,4,1),"")</f>
        <v/>
      </c>
      <c r="E650" t="str">
        <f>IF(NOT(ISBLANK(A650)),VLOOKUP(A650,'BBT3'!A:F,5,0),"")</f>
        <v/>
      </c>
      <c r="F650" t="str">
        <f>IF(NOT(ISBLANK(A650)),VLOOKUP(A650,'BBT3'!A:F,6,0),"")</f>
        <v/>
      </c>
      <c r="G650" t="str">
        <f>IF(NOT(ISBLANK(A650)),VLOOKUP(A650,QW_Close!A:J,5,0),"")</f>
        <v/>
      </c>
      <c r="H650" s="5" t="str" cm="1">
        <f t="array" ref="H650">IF(NOT(ISBLANK(A650)),((_xlfn.XLOOKUP(1,(_bbt3[[#All],[ID]]=A650)*(_bbt3[[#All],[METRIC_NAME]]="YLD_YTM_ASK"),_bbt3[[#All],[METRIC_VALUE]])*0.5)+(_xlfn.XLOOKUP(1,(_bbt3[[#All],[ID]]=A650)*(_bbt3[[#All],[METRIC_NAME]]="YLD_YTM_BID"),_bbt3[[#All],[METRIC_VALUE]])*0.5))/100,"")</f>
        <v/>
      </c>
      <c r="I650">
        <f>IF(ISNA(VLOOKUP(A650,QW_CloseDL!A:E,5,0)),0,VLOOKUP(A650,QW_CloseDL!A:E,5,0))</f>
        <v>0</v>
      </c>
      <c r="J650" s="8" t="str">
        <f t="shared" si="50"/>
        <v/>
      </c>
      <c r="P650">
        <v>0</v>
      </c>
      <c r="Q650" t="e">
        <f t="shared" si="46"/>
        <v>#N/A</v>
      </c>
      <c r="R650" t="e">
        <f t="shared" si="47"/>
        <v>#N/A</v>
      </c>
      <c r="S650" s="9" t="e">
        <f t="shared" si="48"/>
        <v>#N/A</v>
      </c>
      <c r="T650" s="3" t="e">
        <f t="shared" si="49"/>
        <v>#N/A</v>
      </c>
    </row>
    <row r="651" spans="2:20" x14ac:dyDescent="0.35">
      <c r="B651" t="str">
        <f>IF(NOT(ISBLANK(A651)),VLOOKUP(A651,'BBT3'!A:F,2,0),"")</f>
        <v/>
      </c>
      <c r="C651" t="str">
        <f>IF(NOT(ISBLANK(A651)),VLOOKUP(A651,'BBT3'!A:F,3,0),"")</f>
        <v/>
      </c>
      <c r="D651" s="6" t="str">
        <f>IF(NOT(ISBLANK(A651)),VLOOKUP(A651,'BBT3'!A:F,4,1),"")</f>
        <v/>
      </c>
      <c r="E651" t="str">
        <f>IF(NOT(ISBLANK(A651)),VLOOKUP(A651,'BBT3'!A:F,5,0),"")</f>
        <v/>
      </c>
      <c r="F651" t="str">
        <f>IF(NOT(ISBLANK(A651)),VLOOKUP(A651,'BBT3'!A:F,6,0),"")</f>
        <v/>
      </c>
      <c r="G651" t="str">
        <f>IF(NOT(ISBLANK(A651)),VLOOKUP(A651,QW_Close!A:J,5,0),"")</f>
        <v/>
      </c>
      <c r="H651" s="5" t="str" cm="1">
        <f t="array" ref="H651">IF(NOT(ISBLANK(A651)),((_xlfn.XLOOKUP(1,(_bbt3[[#All],[ID]]=A651)*(_bbt3[[#All],[METRIC_NAME]]="YLD_YTM_ASK"),_bbt3[[#All],[METRIC_VALUE]])*0.5)+(_xlfn.XLOOKUP(1,(_bbt3[[#All],[ID]]=A651)*(_bbt3[[#All],[METRIC_NAME]]="YLD_YTM_BID"),_bbt3[[#All],[METRIC_VALUE]])*0.5))/100,"")</f>
        <v/>
      </c>
      <c r="I651">
        <f>IF(ISNA(VLOOKUP(A651,QW_CloseDL!A:E,5,0)),0,VLOOKUP(A651,QW_CloseDL!A:E,5,0))</f>
        <v>0</v>
      </c>
      <c r="J651" s="8" t="str">
        <f t="shared" si="50"/>
        <v/>
      </c>
      <c r="P651">
        <v>0</v>
      </c>
      <c r="Q651" t="e">
        <f t="shared" si="46"/>
        <v>#N/A</v>
      </c>
      <c r="R651" t="e">
        <f t="shared" si="47"/>
        <v>#N/A</v>
      </c>
      <c r="S651" s="9" t="e">
        <f t="shared" si="48"/>
        <v>#N/A</v>
      </c>
      <c r="T651" s="3" t="e">
        <f t="shared" si="49"/>
        <v>#N/A</v>
      </c>
    </row>
    <row r="652" spans="2:20" x14ac:dyDescent="0.35">
      <c r="B652" t="str">
        <f>IF(NOT(ISBLANK(A652)),VLOOKUP(A652,'BBT3'!A:F,2,0),"")</f>
        <v/>
      </c>
      <c r="C652" t="str">
        <f>IF(NOT(ISBLANK(A652)),VLOOKUP(A652,'BBT3'!A:F,3,0),"")</f>
        <v/>
      </c>
      <c r="D652" s="6" t="str">
        <f>IF(NOT(ISBLANK(A652)),VLOOKUP(A652,'BBT3'!A:F,4,1),"")</f>
        <v/>
      </c>
      <c r="E652" t="str">
        <f>IF(NOT(ISBLANK(A652)),VLOOKUP(A652,'BBT3'!A:F,5,0),"")</f>
        <v/>
      </c>
      <c r="F652" t="str">
        <f>IF(NOT(ISBLANK(A652)),VLOOKUP(A652,'BBT3'!A:F,6,0),"")</f>
        <v/>
      </c>
      <c r="G652" t="str">
        <f>IF(NOT(ISBLANK(A652)),VLOOKUP(A652,QW_Close!A:J,5,0),"")</f>
        <v/>
      </c>
      <c r="H652" s="5" t="str" cm="1">
        <f t="array" ref="H652">IF(NOT(ISBLANK(A652)),((_xlfn.XLOOKUP(1,(_bbt3[[#All],[ID]]=A652)*(_bbt3[[#All],[METRIC_NAME]]="YLD_YTM_ASK"),_bbt3[[#All],[METRIC_VALUE]])*0.5)+(_xlfn.XLOOKUP(1,(_bbt3[[#All],[ID]]=A652)*(_bbt3[[#All],[METRIC_NAME]]="YLD_YTM_BID"),_bbt3[[#All],[METRIC_VALUE]])*0.5))/100,"")</f>
        <v/>
      </c>
      <c r="I652">
        <f>IF(ISNA(VLOOKUP(A652,QW_CloseDL!A:E,5,0)),0,VLOOKUP(A652,QW_CloseDL!A:E,5,0))</f>
        <v>0</v>
      </c>
      <c r="J652" s="8" t="str">
        <f t="shared" si="50"/>
        <v/>
      </c>
      <c r="P652">
        <v>0</v>
      </c>
      <c r="Q652" t="e">
        <f t="shared" si="46"/>
        <v>#N/A</v>
      </c>
      <c r="R652" t="e">
        <f t="shared" si="47"/>
        <v>#N/A</v>
      </c>
      <c r="S652" s="9" t="e">
        <f t="shared" si="48"/>
        <v>#N/A</v>
      </c>
      <c r="T652" s="3" t="e">
        <f t="shared" si="49"/>
        <v>#N/A</v>
      </c>
    </row>
    <row r="653" spans="2:20" x14ac:dyDescent="0.35">
      <c r="B653" t="str">
        <f>IF(NOT(ISBLANK(A653)),VLOOKUP(A653,'BBT3'!A:F,2,0),"")</f>
        <v/>
      </c>
      <c r="C653" t="str">
        <f>IF(NOT(ISBLANK(A653)),VLOOKUP(A653,'BBT3'!A:F,3,0),"")</f>
        <v/>
      </c>
      <c r="D653" s="6" t="str">
        <f>IF(NOT(ISBLANK(A653)),VLOOKUP(A653,'BBT3'!A:F,4,1),"")</f>
        <v/>
      </c>
      <c r="E653" t="str">
        <f>IF(NOT(ISBLANK(A653)),VLOOKUP(A653,'BBT3'!A:F,5,0),"")</f>
        <v/>
      </c>
      <c r="F653" t="str">
        <f>IF(NOT(ISBLANK(A653)),VLOOKUP(A653,'BBT3'!A:F,6,0),"")</f>
        <v/>
      </c>
      <c r="G653" t="str">
        <f>IF(NOT(ISBLANK(A653)),VLOOKUP(A653,QW_Close!A:J,5,0),"")</f>
        <v/>
      </c>
      <c r="H653" s="5" t="str" cm="1">
        <f t="array" ref="H653">IF(NOT(ISBLANK(A653)),((_xlfn.XLOOKUP(1,(_bbt3[[#All],[ID]]=A653)*(_bbt3[[#All],[METRIC_NAME]]="YLD_YTM_ASK"),_bbt3[[#All],[METRIC_VALUE]])*0.5)+(_xlfn.XLOOKUP(1,(_bbt3[[#All],[ID]]=A653)*(_bbt3[[#All],[METRIC_NAME]]="YLD_YTM_BID"),_bbt3[[#All],[METRIC_VALUE]])*0.5))/100,"")</f>
        <v/>
      </c>
      <c r="I653">
        <f>IF(ISNA(VLOOKUP(A653,QW_CloseDL!A:E,5,0)),0,VLOOKUP(A653,QW_CloseDL!A:E,5,0))</f>
        <v>0</v>
      </c>
      <c r="J653" s="8" t="str">
        <f t="shared" si="50"/>
        <v/>
      </c>
      <c r="P653">
        <v>0</v>
      </c>
      <c r="Q653" t="e">
        <f t="shared" ref="Q653:Q716" si="51">VLOOKUP(P653,A:B,2,0)</f>
        <v>#N/A</v>
      </c>
      <c r="R653" t="e">
        <f t="shared" ref="R653:R716" si="52">VLOOKUP(P653,A:E,4,0)</f>
        <v>#N/A</v>
      </c>
      <c r="S653" s="9" t="e">
        <f t="shared" ref="S653:S716" si="53">VLOOKUP(P653,A:J,10,0)</f>
        <v>#N/A</v>
      </c>
      <c r="T653" s="3" t="e">
        <f t="shared" ref="T653:T716" si="54">VLOOKUP(P653,A:J,5,0)</f>
        <v>#N/A</v>
      </c>
    </row>
    <row r="654" spans="2:20" x14ac:dyDescent="0.35">
      <c r="B654" t="str">
        <f>IF(NOT(ISBLANK(A654)),VLOOKUP(A654,'BBT3'!A:F,2,0),"")</f>
        <v/>
      </c>
      <c r="C654" t="str">
        <f>IF(NOT(ISBLANK(A654)),VLOOKUP(A654,'BBT3'!A:F,3,0),"")</f>
        <v/>
      </c>
      <c r="D654" s="6" t="str">
        <f>IF(NOT(ISBLANK(A654)),VLOOKUP(A654,'BBT3'!A:F,4,1),"")</f>
        <v/>
      </c>
      <c r="E654" t="str">
        <f>IF(NOT(ISBLANK(A654)),VLOOKUP(A654,'BBT3'!A:F,5,0),"")</f>
        <v/>
      </c>
      <c r="F654" t="str">
        <f>IF(NOT(ISBLANK(A654)),VLOOKUP(A654,'BBT3'!A:F,6,0),"")</f>
        <v/>
      </c>
      <c r="G654" t="str">
        <f>IF(NOT(ISBLANK(A654)),VLOOKUP(A654,QW_Close!A:J,5,0),"")</f>
        <v/>
      </c>
      <c r="H654" s="5" t="str" cm="1">
        <f t="array" ref="H654">IF(NOT(ISBLANK(A654)),((_xlfn.XLOOKUP(1,(_bbt3[[#All],[ID]]=A654)*(_bbt3[[#All],[METRIC_NAME]]="YLD_YTM_ASK"),_bbt3[[#All],[METRIC_VALUE]])*0.5)+(_xlfn.XLOOKUP(1,(_bbt3[[#All],[ID]]=A654)*(_bbt3[[#All],[METRIC_NAME]]="YLD_YTM_BID"),_bbt3[[#All],[METRIC_VALUE]])*0.5))/100,"")</f>
        <v/>
      </c>
      <c r="I654">
        <f>IF(ISNA(VLOOKUP(A654,QW_CloseDL!A:E,5,0)),0,VLOOKUP(A654,QW_CloseDL!A:E,5,0))</f>
        <v>0</v>
      </c>
      <c r="J654" s="8" t="str">
        <f t="shared" si="50"/>
        <v/>
      </c>
      <c r="P654">
        <v>0</v>
      </c>
      <c r="Q654" t="e">
        <f t="shared" si="51"/>
        <v>#N/A</v>
      </c>
      <c r="R654" t="e">
        <f t="shared" si="52"/>
        <v>#N/A</v>
      </c>
      <c r="S654" s="9" t="e">
        <f t="shared" si="53"/>
        <v>#N/A</v>
      </c>
      <c r="T654" s="3" t="e">
        <f t="shared" si="54"/>
        <v>#N/A</v>
      </c>
    </row>
    <row r="655" spans="2:20" x14ac:dyDescent="0.35">
      <c r="B655" t="str">
        <f>IF(NOT(ISBLANK(A655)),VLOOKUP(A655,'BBT3'!A:F,2,0),"")</f>
        <v/>
      </c>
      <c r="C655" t="str">
        <f>IF(NOT(ISBLANK(A655)),VLOOKUP(A655,'BBT3'!A:F,3,0),"")</f>
        <v/>
      </c>
      <c r="D655" s="6" t="str">
        <f>IF(NOT(ISBLANK(A655)),VLOOKUP(A655,'BBT3'!A:F,4,1),"")</f>
        <v/>
      </c>
      <c r="E655" t="str">
        <f>IF(NOT(ISBLANK(A655)),VLOOKUP(A655,'BBT3'!A:F,5,0),"")</f>
        <v/>
      </c>
      <c r="F655" t="str">
        <f>IF(NOT(ISBLANK(A655)),VLOOKUP(A655,'BBT3'!A:F,6,0),"")</f>
        <v/>
      </c>
      <c r="G655" t="str">
        <f>IF(NOT(ISBLANK(A655)),VLOOKUP(A655,QW_Close!A:J,5,0),"")</f>
        <v/>
      </c>
      <c r="H655" s="5" t="str" cm="1">
        <f t="array" ref="H655">IF(NOT(ISBLANK(A655)),((_xlfn.XLOOKUP(1,(_bbt3[[#All],[ID]]=A655)*(_bbt3[[#All],[METRIC_NAME]]="YLD_YTM_ASK"),_bbt3[[#All],[METRIC_VALUE]])*0.5)+(_xlfn.XLOOKUP(1,(_bbt3[[#All],[ID]]=A655)*(_bbt3[[#All],[METRIC_NAME]]="YLD_YTM_BID"),_bbt3[[#All],[METRIC_VALUE]])*0.5))/100,"")</f>
        <v/>
      </c>
      <c r="I655">
        <f>IF(ISNA(VLOOKUP(A655,QW_CloseDL!A:E,5,0)),0,VLOOKUP(A655,QW_CloseDL!A:E,5,0))</f>
        <v>0</v>
      </c>
      <c r="J655" s="8" t="str">
        <f t="shared" si="50"/>
        <v/>
      </c>
      <c r="P655">
        <v>0</v>
      </c>
      <c r="Q655" t="e">
        <f t="shared" si="51"/>
        <v>#N/A</v>
      </c>
      <c r="R655" t="e">
        <f t="shared" si="52"/>
        <v>#N/A</v>
      </c>
      <c r="S655" s="9" t="e">
        <f t="shared" si="53"/>
        <v>#N/A</v>
      </c>
      <c r="T655" s="3" t="e">
        <f t="shared" si="54"/>
        <v>#N/A</v>
      </c>
    </row>
    <row r="656" spans="2:20" x14ac:dyDescent="0.35">
      <c r="B656" t="str">
        <f>IF(NOT(ISBLANK(A656)),VLOOKUP(A656,'BBT3'!A:F,2,0),"")</f>
        <v/>
      </c>
      <c r="C656" t="str">
        <f>IF(NOT(ISBLANK(A656)),VLOOKUP(A656,'BBT3'!A:F,3,0),"")</f>
        <v/>
      </c>
      <c r="D656" s="6" t="str">
        <f>IF(NOT(ISBLANK(A656)),VLOOKUP(A656,'BBT3'!A:F,4,1),"")</f>
        <v/>
      </c>
      <c r="E656" t="str">
        <f>IF(NOT(ISBLANK(A656)),VLOOKUP(A656,'BBT3'!A:F,5,0),"")</f>
        <v/>
      </c>
      <c r="F656" t="str">
        <f>IF(NOT(ISBLANK(A656)),VLOOKUP(A656,'BBT3'!A:F,6,0),"")</f>
        <v/>
      </c>
      <c r="G656" t="str">
        <f>IF(NOT(ISBLANK(A656)),VLOOKUP(A656,QW_Close!A:J,5,0),"")</f>
        <v/>
      </c>
      <c r="H656" s="5" t="str" cm="1">
        <f t="array" ref="H656">IF(NOT(ISBLANK(A656)),((_xlfn.XLOOKUP(1,(_bbt3[[#All],[ID]]=A656)*(_bbt3[[#All],[METRIC_NAME]]="YLD_YTM_ASK"),_bbt3[[#All],[METRIC_VALUE]])*0.5)+(_xlfn.XLOOKUP(1,(_bbt3[[#All],[ID]]=A656)*(_bbt3[[#All],[METRIC_NAME]]="YLD_YTM_BID"),_bbt3[[#All],[METRIC_VALUE]])*0.5))/100,"")</f>
        <v/>
      </c>
      <c r="I656">
        <f>IF(ISNA(VLOOKUP(A656,QW_CloseDL!A:E,5,0)),0,VLOOKUP(A656,QW_CloseDL!A:E,5,0))</f>
        <v>0</v>
      </c>
      <c r="J656" s="8" t="str">
        <f t="shared" si="50"/>
        <v/>
      </c>
      <c r="P656">
        <v>0</v>
      </c>
      <c r="Q656" t="e">
        <f t="shared" si="51"/>
        <v>#N/A</v>
      </c>
      <c r="R656" t="e">
        <f t="shared" si="52"/>
        <v>#N/A</v>
      </c>
      <c r="S656" s="9" t="e">
        <f t="shared" si="53"/>
        <v>#N/A</v>
      </c>
      <c r="T656" s="3" t="e">
        <f t="shared" si="54"/>
        <v>#N/A</v>
      </c>
    </row>
    <row r="657" spans="2:20" x14ac:dyDescent="0.35">
      <c r="B657" t="str">
        <f>IF(NOT(ISBLANK(A657)),VLOOKUP(A657,'BBT3'!A:F,2,0),"")</f>
        <v/>
      </c>
      <c r="C657" t="str">
        <f>IF(NOT(ISBLANK(A657)),VLOOKUP(A657,'BBT3'!A:F,3,0),"")</f>
        <v/>
      </c>
      <c r="D657" s="6" t="str">
        <f>IF(NOT(ISBLANK(A657)),VLOOKUP(A657,'BBT3'!A:F,4,1),"")</f>
        <v/>
      </c>
      <c r="E657" t="str">
        <f>IF(NOT(ISBLANK(A657)),VLOOKUP(A657,'BBT3'!A:F,5,0),"")</f>
        <v/>
      </c>
      <c r="F657" t="str">
        <f>IF(NOT(ISBLANK(A657)),VLOOKUP(A657,'BBT3'!A:F,6,0),"")</f>
        <v/>
      </c>
      <c r="G657" t="str">
        <f>IF(NOT(ISBLANK(A657)),VLOOKUP(A657,QW_Close!A:J,5,0),"")</f>
        <v/>
      </c>
      <c r="H657" s="5" t="str" cm="1">
        <f t="array" ref="H657">IF(NOT(ISBLANK(A657)),((_xlfn.XLOOKUP(1,(_bbt3[[#All],[ID]]=A657)*(_bbt3[[#All],[METRIC_NAME]]="YLD_YTM_ASK"),_bbt3[[#All],[METRIC_VALUE]])*0.5)+(_xlfn.XLOOKUP(1,(_bbt3[[#All],[ID]]=A657)*(_bbt3[[#All],[METRIC_NAME]]="YLD_YTM_BID"),_bbt3[[#All],[METRIC_VALUE]])*0.5))/100,"")</f>
        <v/>
      </c>
      <c r="I657">
        <f>IF(ISNA(VLOOKUP(A657,QW_CloseDL!A:E,5,0)),0,VLOOKUP(A657,QW_CloseDL!A:E,5,0))</f>
        <v>0</v>
      </c>
      <c r="J657" s="8" t="str">
        <f t="shared" si="50"/>
        <v/>
      </c>
      <c r="P657">
        <v>0</v>
      </c>
      <c r="Q657" t="e">
        <f t="shared" si="51"/>
        <v>#N/A</v>
      </c>
      <c r="R657" t="e">
        <f t="shared" si="52"/>
        <v>#N/A</v>
      </c>
      <c r="S657" s="9" t="e">
        <f t="shared" si="53"/>
        <v>#N/A</v>
      </c>
      <c r="T657" s="3" t="e">
        <f t="shared" si="54"/>
        <v>#N/A</v>
      </c>
    </row>
    <row r="658" spans="2:20" x14ac:dyDescent="0.35">
      <c r="B658" t="str">
        <f>IF(NOT(ISBLANK(A658)),VLOOKUP(A658,'BBT3'!A:F,2,0),"")</f>
        <v/>
      </c>
      <c r="C658" t="str">
        <f>IF(NOT(ISBLANK(A658)),VLOOKUP(A658,'BBT3'!A:F,3,0),"")</f>
        <v/>
      </c>
      <c r="D658" s="6" t="str">
        <f>IF(NOT(ISBLANK(A658)),VLOOKUP(A658,'BBT3'!A:F,4,1),"")</f>
        <v/>
      </c>
      <c r="E658" t="str">
        <f>IF(NOT(ISBLANK(A658)),VLOOKUP(A658,'BBT3'!A:F,5,0),"")</f>
        <v/>
      </c>
      <c r="F658" t="str">
        <f>IF(NOT(ISBLANK(A658)),VLOOKUP(A658,'BBT3'!A:F,6,0),"")</f>
        <v/>
      </c>
      <c r="G658" t="str">
        <f>IF(NOT(ISBLANK(A658)),VLOOKUP(A658,QW_Close!A:J,5,0),"")</f>
        <v/>
      </c>
      <c r="H658" s="5" t="str" cm="1">
        <f t="array" ref="H658">IF(NOT(ISBLANK(A658)),((_xlfn.XLOOKUP(1,(_bbt3[[#All],[ID]]=A658)*(_bbt3[[#All],[METRIC_NAME]]="YLD_YTM_ASK"),_bbt3[[#All],[METRIC_VALUE]])*0.5)+(_xlfn.XLOOKUP(1,(_bbt3[[#All],[ID]]=A658)*(_bbt3[[#All],[METRIC_NAME]]="YLD_YTM_BID"),_bbt3[[#All],[METRIC_VALUE]])*0.5))/100,"")</f>
        <v/>
      </c>
      <c r="I658">
        <f>IF(ISNA(VLOOKUP(A658,QW_CloseDL!A:E,5,0)),0,VLOOKUP(A658,QW_CloseDL!A:E,5,0))</f>
        <v>0</v>
      </c>
      <c r="J658" s="8" t="str">
        <f t="shared" si="50"/>
        <v/>
      </c>
      <c r="P658">
        <v>0</v>
      </c>
      <c r="Q658" t="e">
        <f t="shared" si="51"/>
        <v>#N/A</v>
      </c>
      <c r="R658" t="e">
        <f t="shared" si="52"/>
        <v>#N/A</v>
      </c>
      <c r="S658" s="9" t="e">
        <f t="shared" si="53"/>
        <v>#N/A</v>
      </c>
      <c r="T658" s="3" t="e">
        <f t="shared" si="54"/>
        <v>#N/A</v>
      </c>
    </row>
    <row r="659" spans="2:20" x14ac:dyDescent="0.35">
      <c r="B659" t="str">
        <f>IF(NOT(ISBLANK(A659)),VLOOKUP(A659,'BBT3'!A:F,2,0),"")</f>
        <v/>
      </c>
      <c r="C659" t="str">
        <f>IF(NOT(ISBLANK(A659)),VLOOKUP(A659,'BBT3'!A:F,3,0),"")</f>
        <v/>
      </c>
      <c r="D659" s="6" t="str">
        <f>IF(NOT(ISBLANK(A659)),VLOOKUP(A659,'BBT3'!A:F,4,1),"")</f>
        <v/>
      </c>
      <c r="E659" t="str">
        <f>IF(NOT(ISBLANK(A659)),VLOOKUP(A659,'BBT3'!A:F,5,0),"")</f>
        <v/>
      </c>
      <c r="F659" t="str">
        <f>IF(NOT(ISBLANK(A659)),VLOOKUP(A659,'BBT3'!A:F,6,0),"")</f>
        <v/>
      </c>
      <c r="G659" t="str">
        <f>IF(NOT(ISBLANK(A659)),VLOOKUP(A659,QW_Close!A:J,5,0),"")</f>
        <v/>
      </c>
      <c r="H659" s="5" t="str" cm="1">
        <f t="array" ref="H659">IF(NOT(ISBLANK(A659)),((_xlfn.XLOOKUP(1,(_bbt3[[#All],[ID]]=A659)*(_bbt3[[#All],[METRIC_NAME]]="YLD_YTM_ASK"),_bbt3[[#All],[METRIC_VALUE]])*0.5)+(_xlfn.XLOOKUP(1,(_bbt3[[#All],[ID]]=A659)*(_bbt3[[#All],[METRIC_NAME]]="YLD_YTM_BID"),_bbt3[[#All],[METRIC_VALUE]])*0.5))/100,"")</f>
        <v/>
      </c>
      <c r="I659">
        <f>IF(ISNA(VLOOKUP(A659,QW_CloseDL!A:E,5,0)),0,VLOOKUP(A659,QW_CloseDL!A:E,5,0))</f>
        <v>0</v>
      </c>
      <c r="J659" s="8" t="str">
        <f t="shared" si="50"/>
        <v/>
      </c>
      <c r="P659">
        <v>0</v>
      </c>
      <c r="Q659" t="e">
        <f t="shared" si="51"/>
        <v>#N/A</v>
      </c>
      <c r="R659" t="e">
        <f t="shared" si="52"/>
        <v>#N/A</v>
      </c>
      <c r="S659" s="9" t="e">
        <f t="shared" si="53"/>
        <v>#N/A</v>
      </c>
      <c r="T659" s="3" t="e">
        <f t="shared" si="54"/>
        <v>#N/A</v>
      </c>
    </row>
    <row r="660" spans="2:20" x14ac:dyDescent="0.35">
      <c r="B660" t="str">
        <f>IF(NOT(ISBLANK(A660)),VLOOKUP(A660,'BBT3'!A:F,2,0),"")</f>
        <v/>
      </c>
      <c r="C660" t="str">
        <f>IF(NOT(ISBLANK(A660)),VLOOKUP(A660,'BBT3'!A:F,3,0),"")</f>
        <v/>
      </c>
      <c r="D660" s="6" t="str">
        <f>IF(NOT(ISBLANK(A660)),VLOOKUP(A660,'BBT3'!A:F,4,1),"")</f>
        <v/>
      </c>
      <c r="E660" t="str">
        <f>IF(NOT(ISBLANK(A660)),VLOOKUP(A660,'BBT3'!A:F,5,0),"")</f>
        <v/>
      </c>
      <c r="F660" t="str">
        <f>IF(NOT(ISBLANK(A660)),VLOOKUP(A660,'BBT3'!A:F,6,0),"")</f>
        <v/>
      </c>
      <c r="G660" t="str">
        <f>IF(NOT(ISBLANK(A660)),VLOOKUP(A660,QW_Close!A:J,5,0),"")</f>
        <v/>
      </c>
      <c r="H660" s="5" t="str" cm="1">
        <f t="array" ref="H660">IF(NOT(ISBLANK(A660)),((_xlfn.XLOOKUP(1,(_bbt3[[#All],[ID]]=A660)*(_bbt3[[#All],[METRIC_NAME]]="YLD_YTM_ASK"),_bbt3[[#All],[METRIC_VALUE]])*0.5)+(_xlfn.XLOOKUP(1,(_bbt3[[#All],[ID]]=A660)*(_bbt3[[#All],[METRIC_NAME]]="YLD_YTM_BID"),_bbt3[[#All],[METRIC_VALUE]])*0.5))/100,"")</f>
        <v/>
      </c>
      <c r="I660">
        <f>IF(ISNA(VLOOKUP(A660,QW_CloseDL!A:E,5,0)),0,VLOOKUP(A660,QW_CloseDL!A:E,5,0))</f>
        <v>0</v>
      </c>
      <c r="J660" s="8" t="str">
        <f t="shared" si="50"/>
        <v/>
      </c>
      <c r="P660">
        <v>0</v>
      </c>
      <c r="Q660" t="e">
        <f t="shared" si="51"/>
        <v>#N/A</v>
      </c>
      <c r="R660" t="e">
        <f t="shared" si="52"/>
        <v>#N/A</v>
      </c>
      <c r="S660" s="9" t="e">
        <f t="shared" si="53"/>
        <v>#N/A</v>
      </c>
      <c r="T660" s="3" t="e">
        <f t="shared" si="54"/>
        <v>#N/A</v>
      </c>
    </row>
    <row r="661" spans="2:20" x14ac:dyDescent="0.35">
      <c r="B661" t="str">
        <f>IF(NOT(ISBLANK(A661)),VLOOKUP(A661,'BBT3'!A:F,2,0),"")</f>
        <v/>
      </c>
      <c r="C661" t="str">
        <f>IF(NOT(ISBLANK(A661)),VLOOKUP(A661,'BBT3'!A:F,3,0),"")</f>
        <v/>
      </c>
      <c r="D661" s="6" t="str">
        <f>IF(NOT(ISBLANK(A661)),VLOOKUP(A661,'BBT3'!A:F,4,1),"")</f>
        <v/>
      </c>
      <c r="E661" t="str">
        <f>IF(NOT(ISBLANK(A661)),VLOOKUP(A661,'BBT3'!A:F,5,0),"")</f>
        <v/>
      </c>
      <c r="F661" t="str">
        <f>IF(NOT(ISBLANK(A661)),VLOOKUP(A661,'BBT3'!A:F,6,0),"")</f>
        <v/>
      </c>
      <c r="G661" t="str">
        <f>IF(NOT(ISBLANK(A661)),VLOOKUP(A661,QW_Close!A:J,5,0),"")</f>
        <v/>
      </c>
      <c r="H661" s="5" t="str" cm="1">
        <f t="array" ref="H661">IF(NOT(ISBLANK(A661)),((_xlfn.XLOOKUP(1,(_bbt3[[#All],[ID]]=A661)*(_bbt3[[#All],[METRIC_NAME]]="YLD_YTM_ASK"),_bbt3[[#All],[METRIC_VALUE]])*0.5)+(_xlfn.XLOOKUP(1,(_bbt3[[#All],[ID]]=A661)*(_bbt3[[#All],[METRIC_NAME]]="YLD_YTM_BID"),_bbt3[[#All],[METRIC_VALUE]])*0.5))/100,"")</f>
        <v/>
      </c>
      <c r="I661">
        <f>IF(ISNA(VLOOKUP(A661,QW_CloseDL!A:E,5,0)),0,VLOOKUP(A661,QW_CloseDL!A:E,5,0))</f>
        <v>0</v>
      </c>
      <c r="J661" s="8" t="str">
        <f t="shared" si="50"/>
        <v/>
      </c>
      <c r="P661">
        <v>0</v>
      </c>
      <c r="Q661" t="e">
        <f t="shared" si="51"/>
        <v>#N/A</v>
      </c>
      <c r="R661" t="e">
        <f t="shared" si="52"/>
        <v>#N/A</v>
      </c>
      <c r="S661" s="9" t="e">
        <f t="shared" si="53"/>
        <v>#N/A</v>
      </c>
      <c r="T661" s="3" t="e">
        <f t="shared" si="54"/>
        <v>#N/A</v>
      </c>
    </row>
    <row r="662" spans="2:20" x14ac:dyDescent="0.35">
      <c r="B662" t="str">
        <f>IF(NOT(ISBLANK(A662)),VLOOKUP(A662,'BBT3'!A:F,2,0),"")</f>
        <v/>
      </c>
      <c r="C662" t="str">
        <f>IF(NOT(ISBLANK(A662)),VLOOKUP(A662,'BBT3'!A:F,3,0),"")</f>
        <v/>
      </c>
      <c r="D662" s="6" t="str">
        <f>IF(NOT(ISBLANK(A662)),VLOOKUP(A662,'BBT3'!A:F,4,1),"")</f>
        <v/>
      </c>
      <c r="E662" t="str">
        <f>IF(NOT(ISBLANK(A662)),VLOOKUP(A662,'BBT3'!A:F,5,0),"")</f>
        <v/>
      </c>
      <c r="F662" t="str">
        <f>IF(NOT(ISBLANK(A662)),VLOOKUP(A662,'BBT3'!A:F,6,0),"")</f>
        <v/>
      </c>
      <c r="G662" t="str">
        <f>IF(NOT(ISBLANK(A662)),VLOOKUP(A662,QW_Close!A:J,5,0),"")</f>
        <v/>
      </c>
      <c r="H662" s="5" t="str" cm="1">
        <f t="array" ref="H662">IF(NOT(ISBLANK(A662)),((_xlfn.XLOOKUP(1,(_bbt3[[#All],[ID]]=A662)*(_bbt3[[#All],[METRIC_NAME]]="YLD_YTM_ASK"),_bbt3[[#All],[METRIC_VALUE]])*0.5)+(_xlfn.XLOOKUP(1,(_bbt3[[#All],[ID]]=A662)*(_bbt3[[#All],[METRIC_NAME]]="YLD_YTM_BID"),_bbt3[[#All],[METRIC_VALUE]])*0.5))/100,"")</f>
        <v/>
      </c>
      <c r="I662">
        <f>IF(ISNA(VLOOKUP(A662,QW_CloseDL!A:E,5,0)),0,VLOOKUP(A662,QW_CloseDL!A:E,5,0))</f>
        <v>0</v>
      </c>
      <c r="J662" s="8" t="str">
        <f t="shared" si="50"/>
        <v/>
      </c>
      <c r="P662">
        <v>0</v>
      </c>
      <c r="Q662" t="e">
        <f t="shared" si="51"/>
        <v>#N/A</v>
      </c>
      <c r="R662" t="e">
        <f t="shared" si="52"/>
        <v>#N/A</v>
      </c>
      <c r="S662" s="9" t="e">
        <f t="shared" si="53"/>
        <v>#N/A</v>
      </c>
      <c r="T662" s="3" t="e">
        <f t="shared" si="54"/>
        <v>#N/A</v>
      </c>
    </row>
    <row r="663" spans="2:20" x14ac:dyDescent="0.35">
      <c r="B663" t="str">
        <f>IF(NOT(ISBLANK(A663)),VLOOKUP(A663,'BBT3'!A:F,2,0),"")</f>
        <v/>
      </c>
      <c r="C663" t="str">
        <f>IF(NOT(ISBLANK(A663)),VLOOKUP(A663,'BBT3'!A:F,3,0),"")</f>
        <v/>
      </c>
      <c r="D663" s="6" t="str">
        <f>IF(NOT(ISBLANK(A663)),VLOOKUP(A663,'BBT3'!A:F,4,1),"")</f>
        <v/>
      </c>
      <c r="E663" t="str">
        <f>IF(NOT(ISBLANK(A663)),VLOOKUP(A663,'BBT3'!A:F,5,0),"")</f>
        <v/>
      </c>
      <c r="F663" t="str">
        <f>IF(NOT(ISBLANK(A663)),VLOOKUP(A663,'BBT3'!A:F,6,0),"")</f>
        <v/>
      </c>
      <c r="G663" t="str">
        <f>IF(NOT(ISBLANK(A663)),VLOOKUP(A663,QW_Close!A:J,5,0),"")</f>
        <v/>
      </c>
      <c r="H663" s="5" t="str" cm="1">
        <f t="array" ref="H663">IF(NOT(ISBLANK(A663)),((_xlfn.XLOOKUP(1,(_bbt3[[#All],[ID]]=A663)*(_bbt3[[#All],[METRIC_NAME]]="YLD_YTM_ASK"),_bbt3[[#All],[METRIC_VALUE]])*0.5)+(_xlfn.XLOOKUP(1,(_bbt3[[#All],[ID]]=A663)*(_bbt3[[#All],[METRIC_NAME]]="YLD_YTM_BID"),_bbt3[[#All],[METRIC_VALUE]])*0.5))/100,"")</f>
        <v/>
      </c>
      <c r="I663">
        <f>IF(ISNA(VLOOKUP(A663,QW_CloseDL!A:E,5,0)),0,VLOOKUP(A663,QW_CloseDL!A:E,5,0))</f>
        <v>0</v>
      </c>
      <c r="J663" s="8" t="str">
        <f t="shared" si="50"/>
        <v/>
      </c>
      <c r="P663">
        <v>0</v>
      </c>
      <c r="Q663" t="e">
        <f t="shared" si="51"/>
        <v>#N/A</v>
      </c>
      <c r="R663" t="e">
        <f t="shared" si="52"/>
        <v>#N/A</v>
      </c>
      <c r="S663" s="9" t="e">
        <f t="shared" si="53"/>
        <v>#N/A</v>
      </c>
      <c r="T663" s="3" t="e">
        <f t="shared" si="54"/>
        <v>#N/A</v>
      </c>
    </row>
    <row r="664" spans="2:20" x14ac:dyDescent="0.35">
      <c r="B664" t="str">
        <f>IF(NOT(ISBLANK(A664)),VLOOKUP(A664,'BBT3'!A:F,2,0),"")</f>
        <v/>
      </c>
      <c r="C664" t="str">
        <f>IF(NOT(ISBLANK(A664)),VLOOKUP(A664,'BBT3'!A:F,3,0),"")</f>
        <v/>
      </c>
      <c r="D664" s="6" t="str">
        <f>IF(NOT(ISBLANK(A664)),VLOOKUP(A664,'BBT3'!A:F,4,1),"")</f>
        <v/>
      </c>
      <c r="E664" t="str">
        <f>IF(NOT(ISBLANK(A664)),VLOOKUP(A664,'BBT3'!A:F,5,0),"")</f>
        <v/>
      </c>
      <c r="F664" t="str">
        <f>IF(NOT(ISBLANK(A664)),VLOOKUP(A664,'BBT3'!A:F,6,0),"")</f>
        <v/>
      </c>
      <c r="G664" t="str">
        <f>IF(NOT(ISBLANK(A664)),VLOOKUP(A664,QW_Close!A:J,5,0),"")</f>
        <v/>
      </c>
      <c r="H664" s="5" t="str" cm="1">
        <f t="array" ref="H664">IF(NOT(ISBLANK(A664)),((_xlfn.XLOOKUP(1,(_bbt3[[#All],[ID]]=A664)*(_bbt3[[#All],[METRIC_NAME]]="YLD_YTM_ASK"),_bbt3[[#All],[METRIC_VALUE]])*0.5)+(_xlfn.XLOOKUP(1,(_bbt3[[#All],[ID]]=A664)*(_bbt3[[#All],[METRIC_NAME]]="YLD_YTM_BID"),_bbt3[[#All],[METRIC_VALUE]])*0.5))/100,"")</f>
        <v/>
      </c>
      <c r="I664">
        <f>IF(ISNA(VLOOKUP(A664,QW_CloseDL!A:E,5,0)),0,VLOOKUP(A664,QW_CloseDL!A:E,5,0))</f>
        <v>0</v>
      </c>
      <c r="J664" s="8" t="str">
        <f t="shared" si="50"/>
        <v/>
      </c>
      <c r="P664">
        <v>0</v>
      </c>
      <c r="Q664" t="e">
        <f t="shared" si="51"/>
        <v>#N/A</v>
      </c>
      <c r="R664" t="e">
        <f t="shared" si="52"/>
        <v>#N/A</v>
      </c>
      <c r="S664" s="9" t="e">
        <f t="shared" si="53"/>
        <v>#N/A</v>
      </c>
      <c r="T664" s="3" t="e">
        <f t="shared" si="54"/>
        <v>#N/A</v>
      </c>
    </row>
    <row r="665" spans="2:20" x14ac:dyDescent="0.35">
      <c r="B665" t="str">
        <f>IF(NOT(ISBLANK(A665)),VLOOKUP(A665,'BBT3'!A:F,2,0),"")</f>
        <v/>
      </c>
      <c r="C665" t="str">
        <f>IF(NOT(ISBLANK(A665)),VLOOKUP(A665,'BBT3'!A:F,3,0),"")</f>
        <v/>
      </c>
      <c r="D665" s="6" t="str">
        <f>IF(NOT(ISBLANK(A665)),VLOOKUP(A665,'BBT3'!A:F,4,1),"")</f>
        <v/>
      </c>
      <c r="E665" t="str">
        <f>IF(NOT(ISBLANK(A665)),VLOOKUP(A665,'BBT3'!A:F,5,0),"")</f>
        <v/>
      </c>
      <c r="F665" t="str">
        <f>IF(NOT(ISBLANK(A665)),VLOOKUP(A665,'BBT3'!A:F,6,0),"")</f>
        <v/>
      </c>
      <c r="G665" t="str">
        <f>IF(NOT(ISBLANK(A665)),VLOOKUP(A665,QW_Close!A:J,5,0),"")</f>
        <v/>
      </c>
      <c r="H665" s="5" t="str" cm="1">
        <f t="array" ref="H665">IF(NOT(ISBLANK(A665)),((_xlfn.XLOOKUP(1,(_bbt3[[#All],[ID]]=A665)*(_bbt3[[#All],[METRIC_NAME]]="YLD_YTM_ASK"),_bbt3[[#All],[METRIC_VALUE]])*0.5)+(_xlfn.XLOOKUP(1,(_bbt3[[#All],[ID]]=A665)*(_bbt3[[#All],[METRIC_NAME]]="YLD_YTM_BID"),_bbt3[[#All],[METRIC_VALUE]])*0.5))/100,"")</f>
        <v/>
      </c>
      <c r="I665">
        <f>IF(ISNA(VLOOKUP(A665,QW_CloseDL!A:E,5,0)),0,VLOOKUP(A665,QW_CloseDL!A:E,5,0))</f>
        <v>0</v>
      </c>
      <c r="J665" s="8" t="str">
        <f t="shared" si="50"/>
        <v/>
      </c>
      <c r="P665">
        <v>0</v>
      </c>
      <c r="Q665" t="e">
        <f t="shared" si="51"/>
        <v>#N/A</v>
      </c>
      <c r="R665" t="e">
        <f t="shared" si="52"/>
        <v>#N/A</v>
      </c>
      <c r="S665" s="9" t="e">
        <f t="shared" si="53"/>
        <v>#N/A</v>
      </c>
      <c r="T665" s="3" t="e">
        <f t="shared" si="54"/>
        <v>#N/A</v>
      </c>
    </row>
    <row r="666" spans="2:20" x14ac:dyDescent="0.35">
      <c r="B666" t="str">
        <f>IF(NOT(ISBLANK(A666)),VLOOKUP(A666,'BBT3'!A:F,2,0),"")</f>
        <v/>
      </c>
      <c r="C666" t="str">
        <f>IF(NOT(ISBLANK(A666)),VLOOKUP(A666,'BBT3'!A:F,3,0),"")</f>
        <v/>
      </c>
      <c r="D666" s="6" t="str">
        <f>IF(NOT(ISBLANK(A666)),VLOOKUP(A666,'BBT3'!A:F,4,1),"")</f>
        <v/>
      </c>
      <c r="E666" t="str">
        <f>IF(NOT(ISBLANK(A666)),VLOOKUP(A666,'BBT3'!A:F,5,0),"")</f>
        <v/>
      </c>
      <c r="F666" t="str">
        <f>IF(NOT(ISBLANK(A666)),VLOOKUP(A666,'BBT3'!A:F,6,0),"")</f>
        <v/>
      </c>
      <c r="G666" t="str">
        <f>IF(NOT(ISBLANK(A666)),VLOOKUP(A666,QW_Close!A:J,5,0),"")</f>
        <v/>
      </c>
      <c r="H666" s="5" t="str" cm="1">
        <f t="array" ref="H666">IF(NOT(ISBLANK(A666)),((_xlfn.XLOOKUP(1,(_bbt3[[#All],[ID]]=A666)*(_bbt3[[#All],[METRIC_NAME]]="YLD_YTM_ASK"),_bbt3[[#All],[METRIC_VALUE]])*0.5)+(_xlfn.XLOOKUP(1,(_bbt3[[#All],[ID]]=A666)*(_bbt3[[#All],[METRIC_NAME]]="YLD_YTM_BID"),_bbt3[[#All],[METRIC_VALUE]])*0.5))/100,"")</f>
        <v/>
      </c>
      <c r="I666">
        <f>IF(ISNA(VLOOKUP(A666,QW_CloseDL!A:E,5,0)),0,VLOOKUP(A666,QW_CloseDL!A:E,5,0))</f>
        <v>0</v>
      </c>
      <c r="J666" s="8" t="str">
        <f t="shared" si="50"/>
        <v/>
      </c>
      <c r="P666">
        <v>0</v>
      </c>
      <c r="Q666" t="e">
        <f t="shared" si="51"/>
        <v>#N/A</v>
      </c>
      <c r="R666" t="e">
        <f t="shared" si="52"/>
        <v>#N/A</v>
      </c>
      <c r="S666" s="9" t="e">
        <f t="shared" si="53"/>
        <v>#N/A</v>
      </c>
      <c r="T666" s="3" t="e">
        <f t="shared" si="54"/>
        <v>#N/A</v>
      </c>
    </row>
    <row r="667" spans="2:20" x14ac:dyDescent="0.35">
      <c r="B667" t="str">
        <f>IF(NOT(ISBLANK(A667)),VLOOKUP(A667,'BBT3'!A:F,2,0),"")</f>
        <v/>
      </c>
      <c r="C667" t="str">
        <f>IF(NOT(ISBLANK(A667)),VLOOKUP(A667,'BBT3'!A:F,3,0),"")</f>
        <v/>
      </c>
      <c r="D667" s="6" t="str">
        <f>IF(NOT(ISBLANK(A667)),VLOOKUP(A667,'BBT3'!A:F,4,1),"")</f>
        <v/>
      </c>
      <c r="E667" t="str">
        <f>IF(NOT(ISBLANK(A667)),VLOOKUP(A667,'BBT3'!A:F,5,0),"")</f>
        <v/>
      </c>
      <c r="F667" t="str">
        <f>IF(NOT(ISBLANK(A667)),VLOOKUP(A667,'BBT3'!A:F,6,0),"")</f>
        <v/>
      </c>
      <c r="G667" t="str">
        <f>IF(NOT(ISBLANK(A667)),VLOOKUP(A667,QW_Close!A:J,5,0),"")</f>
        <v/>
      </c>
      <c r="H667" s="5" t="str" cm="1">
        <f t="array" ref="H667">IF(NOT(ISBLANK(A667)),((_xlfn.XLOOKUP(1,(_bbt3[[#All],[ID]]=A667)*(_bbt3[[#All],[METRIC_NAME]]="YLD_YTM_ASK"),_bbt3[[#All],[METRIC_VALUE]])*0.5)+(_xlfn.XLOOKUP(1,(_bbt3[[#All],[ID]]=A667)*(_bbt3[[#All],[METRIC_NAME]]="YLD_YTM_BID"),_bbt3[[#All],[METRIC_VALUE]])*0.5))/100,"")</f>
        <v/>
      </c>
      <c r="I667">
        <f>IF(ISNA(VLOOKUP(A667,QW_CloseDL!A:E,5,0)),0,VLOOKUP(A667,QW_CloseDL!A:E,5,0))</f>
        <v>0</v>
      </c>
      <c r="J667" s="8" t="str">
        <f t="shared" si="50"/>
        <v/>
      </c>
      <c r="P667">
        <v>0</v>
      </c>
      <c r="Q667" t="e">
        <f t="shared" si="51"/>
        <v>#N/A</v>
      </c>
      <c r="R667" t="e">
        <f t="shared" si="52"/>
        <v>#N/A</v>
      </c>
      <c r="S667" s="9" t="e">
        <f t="shared" si="53"/>
        <v>#N/A</v>
      </c>
      <c r="T667" s="3" t="e">
        <f t="shared" si="54"/>
        <v>#N/A</v>
      </c>
    </row>
    <row r="668" spans="2:20" x14ac:dyDescent="0.35">
      <c r="B668" t="str">
        <f>IF(NOT(ISBLANK(A668)),VLOOKUP(A668,'BBT3'!A:F,2,0),"")</f>
        <v/>
      </c>
      <c r="C668" t="str">
        <f>IF(NOT(ISBLANK(A668)),VLOOKUP(A668,'BBT3'!A:F,3,0),"")</f>
        <v/>
      </c>
      <c r="D668" s="6" t="str">
        <f>IF(NOT(ISBLANK(A668)),VLOOKUP(A668,'BBT3'!A:F,4,1),"")</f>
        <v/>
      </c>
      <c r="E668" t="str">
        <f>IF(NOT(ISBLANK(A668)),VLOOKUP(A668,'BBT3'!A:F,5,0),"")</f>
        <v/>
      </c>
      <c r="F668" t="str">
        <f>IF(NOT(ISBLANK(A668)),VLOOKUP(A668,'BBT3'!A:F,6,0),"")</f>
        <v/>
      </c>
      <c r="G668" t="str">
        <f>IF(NOT(ISBLANK(A668)),VLOOKUP(A668,QW_Close!A:J,5,0),"")</f>
        <v/>
      </c>
      <c r="H668" s="5" t="str" cm="1">
        <f t="array" ref="H668">IF(NOT(ISBLANK(A668)),((_xlfn.XLOOKUP(1,(_bbt3[[#All],[ID]]=A668)*(_bbt3[[#All],[METRIC_NAME]]="YLD_YTM_ASK"),_bbt3[[#All],[METRIC_VALUE]])*0.5)+(_xlfn.XLOOKUP(1,(_bbt3[[#All],[ID]]=A668)*(_bbt3[[#All],[METRIC_NAME]]="YLD_YTM_BID"),_bbt3[[#All],[METRIC_VALUE]])*0.5))/100,"")</f>
        <v/>
      </c>
      <c r="I668">
        <f>IF(ISNA(VLOOKUP(A668,QW_CloseDL!A:E,5,0)),0,VLOOKUP(A668,QW_CloseDL!A:E,5,0))</f>
        <v>0</v>
      </c>
      <c r="J668" s="8" t="str">
        <f t="shared" si="50"/>
        <v/>
      </c>
      <c r="P668">
        <v>0</v>
      </c>
      <c r="Q668" t="e">
        <f t="shared" si="51"/>
        <v>#N/A</v>
      </c>
      <c r="R668" t="e">
        <f t="shared" si="52"/>
        <v>#N/A</v>
      </c>
      <c r="S668" s="9" t="e">
        <f t="shared" si="53"/>
        <v>#N/A</v>
      </c>
      <c r="T668" s="3" t="e">
        <f t="shared" si="54"/>
        <v>#N/A</v>
      </c>
    </row>
    <row r="669" spans="2:20" x14ac:dyDescent="0.35">
      <c r="B669" t="str">
        <f>IF(NOT(ISBLANK(A669)),VLOOKUP(A669,'BBT3'!A:F,2,0),"")</f>
        <v/>
      </c>
      <c r="C669" t="str">
        <f>IF(NOT(ISBLANK(A669)),VLOOKUP(A669,'BBT3'!A:F,3,0),"")</f>
        <v/>
      </c>
      <c r="D669" s="6" t="str">
        <f>IF(NOT(ISBLANK(A669)),VLOOKUP(A669,'BBT3'!A:F,4,1),"")</f>
        <v/>
      </c>
      <c r="E669" t="str">
        <f>IF(NOT(ISBLANK(A669)),VLOOKUP(A669,'BBT3'!A:F,5,0),"")</f>
        <v/>
      </c>
      <c r="F669" t="str">
        <f>IF(NOT(ISBLANK(A669)),VLOOKUP(A669,'BBT3'!A:F,6,0),"")</f>
        <v/>
      </c>
      <c r="G669" t="str">
        <f>IF(NOT(ISBLANK(A669)),VLOOKUP(A669,QW_Close!A:J,5,0),"")</f>
        <v/>
      </c>
      <c r="H669" s="5" t="str" cm="1">
        <f t="array" ref="H669">IF(NOT(ISBLANK(A669)),((_xlfn.XLOOKUP(1,(_bbt3[[#All],[ID]]=A669)*(_bbt3[[#All],[METRIC_NAME]]="YLD_YTM_ASK"),_bbt3[[#All],[METRIC_VALUE]])*0.5)+(_xlfn.XLOOKUP(1,(_bbt3[[#All],[ID]]=A669)*(_bbt3[[#All],[METRIC_NAME]]="YLD_YTM_BID"),_bbt3[[#All],[METRIC_VALUE]])*0.5))/100,"")</f>
        <v/>
      </c>
      <c r="I669">
        <f>IF(ISNA(VLOOKUP(A669,QW_CloseDL!A:E,5,0)),0,VLOOKUP(A669,QW_CloseDL!A:E,5,0))</f>
        <v>0</v>
      </c>
      <c r="J669" s="8" t="str">
        <f t="shared" si="50"/>
        <v/>
      </c>
      <c r="P669">
        <v>0</v>
      </c>
      <c r="Q669" t="e">
        <f t="shared" si="51"/>
        <v>#N/A</v>
      </c>
      <c r="R669" t="e">
        <f t="shared" si="52"/>
        <v>#N/A</v>
      </c>
      <c r="S669" s="9" t="e">
        <f t="shared" si="53"/>
        <v>#N/A</v>
      </c>
      <c r="T669" s="3" t="e">
        <f t="shared" si="54"/>
        <v>#N/A</v>
      </c>
    </row>
    <row r="670" spans="2:20" x14ac:dyDescent="0.35">
      <c r="B670" t="str">
        <f>IF(NOT(ISBLANK(A670)),VLOOKUP(A670,'BBT3'!A:F,2,0),"")</f>
        <v/>
      </c>
      <c r="C670" t="str">
        <f>IF(NOT(ISBLANK(A670)),VLOOKUP(A670,'BBT3'!A:F,3,0),"")</f>
        <v/>
      </c>
      <c r="D670" s="6" t="str">
        <f>IF(NOT(ISBLANK(A670)),VLOOKUP(A670,'BBT3'!A:F,4,1),"")</f>
        <v/>
      </c>
      <c r="E670" t="str">
        <f>IF(NOT(ISBLANK(A670)),VLOOKUP(A670,'BBT3'!A:F,5,0),"")</f>
        <v/>
      </c>
      <c r="F670" t="str">
        <f>IF(NOT(ISBLANK(A670)),VLOOKUP(A670,'BBT3'!A:F,6,0),"")</f>
        <v/>
      </c>
      <c r="G670" t="str">
        <f>IF(NOT(ISBLANK(A670)),VLOOKUP(A670,QW_Close!A:J,5,0),"")</f>
        <v/>
      </c>
      <c r="H670" s="5" t="str" cm="1">
        <f t="array" ref="H670">IF(NOT(ISBLANK(A670)),((_xlfn.XLOOKUP(1,(_bbt3[[#All],[ID]]=A670)*(_bbt3[[#All],[METRIC_NAME]]="YLD_YTM_ASK"),_bbt3[[#All],[METRIC_VALUE]])*0.5)+(_xlfn.XLOOKUP(1,(_bbt3[[#All],[ID]]=A670)*(_bbt3[[#All],[METRIC_NAME]]="YLD_YTM_BID"),_bbt3[[#All],[METRIC_VALUE]])*0.5))/100,"")</f>
        <v/>
      </c>
      <c r="I670">
        <f>IF(ISNA(VLOOKUP(A670,QW_CloseDL!A:E,5,0)),0,VLOOKUP(A670,QW_CloseDL!A:E,5,0))</f>
        <v>0</v>
      </c>
      <c r="J670" s="8" t="str">
        <f t="shared" si="50"/>
        <v/>
      </c>
      <c r="P670">
        <v>0</v>
      </c>
      <c r="Q670" t="e">
        <f t="shared" si="51"/>
        <v>#N/A</v>
      </c>
      <c r="R670" t="e">
        <f t="shared" si="52"/>
        <v>#N/A</v>
      </c>
      <c r="S670" s="9" t="e">
        <f t="shared" si="53"/>
        <v>#N/A</v>
      </c>
      <c r="T670" s="3" t="e">
        <f t="shared" si="54"/>
        <v>#N/A</v>
      </c>
    </row>
    <row r="671" spans="2:20" x14ac:dyDescent="0.35">
      <c r="B671" t="str">
        <f>IF(NOT(ISBLANK(A671)),VLOOKUP(A671,'BBT3'!A:F,2,0),"")</f>
        <v/>
      </c>
      <c r="C671" t="str">
        <f>IF(NOT(ISBLANK(A671)),VLOOKUP(A671,'BBT3'!A:F,3,0),"")</f>
        <v/>
      </c>
      <c r="D671" s="6" t="str">
        <f>IF(NOT(ISBLANK(A671)),VLOOKUP(A671,'BBT3'!A:F,4,1),"")</f>
        <v/>
      </c>
      <c r="E671" t="str">
        <f>IF(NOT(ISBLANK(A671)),VLOOKUP(A671,'BBT3'!A:F,5,0),"")</f>
        <v/>
      </c>
      <c r="F671" t="str">
        <f>IF(NOT(ISBLANK(A671)),VLOOKUP(A671,'BBT3'!A:F,6,0),"")</f>
        <v/>
      </c>
      <c r="G671" t="str">
        <f>IF(NOT(ISBLANK(A671)),VLOOKUP(A671,QW_Close!A:J,5,0),"")</f>
        <v/>
      </c>
      <c r="H671" s="5" t="str" cm="1">
        <f t="array" ref="H671">IF(NOT(ISBLANK(A671)),((_xlfn.XLOOKUP(1,(_bbt3[[#All],[ID]]=A671)*(_bbt3[[#All],[METRIC_NAME]]="YLD_YTM_ASK"),_bbt3[[#All],[METRIC_VALUE]])*0.5)+(_xlfn.XLOOKUP(1,(_bbt3[[#All],[ID]]=A671)*(_bbt3[[#All],[METRIC_NAME]]="YLD_YTM_BID"),_bbt3[[#All],[METRIC_VALUE]])*0.5))/100,"")</f>
        <v/>
      </c>
      <c r="I671">
        <f>IF(ISNA(VLOOKUP(A671,QW_CloseDL!A:E,5,0)),0,VLOOKUP(A671,QW_CloseDL!A:E,5,0))</f>
        <v>0</v>
      </c>
      <c r="J671" s="8" t="str">
        <f t="shared" si="50"/>
        <v/>
      </c>
      <c r="P671">
        <v>0</v>
      </c>
      <c r="Q671" t="e">
        <f t="shared" si="51"/>
        <v>#N/A</v>
      </c>
      <c r="R671" t="e">
        <f t="shared" si="52"/>
        <v>#N/A</v>
      </c>
      <c r="S671" s="9" t="e">
        <f t="shared" si="53"/>
        <v>#N/A</v>
      </c>
      <c r="T671" s="3" t="e">
        <f t="shared" si="54"/>
        <v>#N/A</v>
      </c>
    </row>
    <row r="672" spans="2:20" x14ac:dyDescent="0.35">
      <c r="B672" t="str">
        <f>IF(NOT(ISBLANK(A672)),VLOOKUP(A672,'BBT3'!A:F,2,0),"")</f>
        <v/>
      </c>
      <c r="C672" t="str">
        <f>IF(NOT(ISBLANK(A672)),VLOOKUP(A672,'BBT3'!A:F,3,0),"")</f>
        <v/>
      </c>
      <c r="D672" s="6" t="str">
        <f>IF(NOT(ISBLANK(A672)),VLOOKUP(A672,'BBT3'!A:F,4,1),"")</f>
        <v/>
      </c>
      <c r="E672" t="str">
        <f>IF(NOT(ISBLANK(A672)),VLOOKUP(A672,'BBT3'!A:F,5,0),"")</f>
        <v/>
      </c>
      <c r="F672" t="str">
        <f>IF(NOT(ISBLANK(A672)),VLOOKUP(A672,'BBT3'!A:F,6,0),"")</f>
        <v/>
      </c>
      <c r="G672" t="str">
        <f>IF(NOT(ISBLANK(A672)),VLOOKUP(A672,QW_Close!A:J,5,0),"")</f>
        <v/>
      </c>
      <c r="H672" s="5" t="str" cm="1">
        <f t="array" ref="H672">IF(NOT(ISBLANK(A672)),((_xlfn.XLOOKUP(1,(_bbt3[[#All],[ID]]=A672)*(_bbt3[[#All],[METRIC_NAME]]="YLD_YTM_ASK"),_bbt3[[#All],[METRIC_VALUE]])*0.5)+(_xlfn.XLOOKUP(1,(_bbt3[[#All],[ID]]=A672)*(_bbt3[[#All],[METRIC_NAME]]="YLD_YTM_BID"),_bbt3[[#All],[METRIC_VALUE]])*0.5))/100,"")</f>
        <v/>
      </c>
      <c r="I672">
        <f>IF(ISNA(VLOOKUP(A672,QW_CloseDL!A:E,5,0)),0,VLOOKUP(A672,QW_CloseDL!A:E,5,0))</f>
        <v>0</v>
      </c>
      <c r="J672" s="8" t="str">
        <f t="shared" si="50"/>
        <v/>
      </c>
      <c r="P672">
        <v>0</v>
      </c>
      <c r="Q672" t="e">
        <f t="shared" si="51"/>
        <v>#N/A</v>
      </c>
      <c r="R672" t="e">
        <f t="shared" si="52"/>
        <v>#N/A</v>
      </c>
      <c r="S672" s="9" t="e">
        <f t="shared" si="53"/>
        <v>#N/A</v>
      </c>
      <c r="T672" s="3" t="e">
        <f t="shared" si="54"/>
        <v>#N/A</v>
      </c>
    </row>
    <row r="673" spans="2:20" x14ac:dyDescent="0.35">
      <c r="B673" t="str">
        <f>IF(NOT(ISBLANK(A673)),VLOOKUP(A673,'BBT3'!A:F,2,0),"")</f>
        <v/>
      </c>
      <c r="C673" t="str">
        <f>IF(NOT(ISBLANK(A673)),VLOOKUP(A673,'BBT3'!A:F,3,0),"")</f>
        <v/>
      </c>
      <c r="D673" s="6" t="str">
        <f>IF(NOT(ISBLANK(A673)),VLOOKUP(A673,'BBT3'!A:F,4,1),"")</f>
        <v/>
      </c>
      <c r="E673" t="str">
        <f>IF(NOT(ISBLANK(A673)),VLOOKUP(A673,'BBT3'!A:F,5,0),"")</f>
        <v/>
      </c>
      <c r="F673" t="str">
        <f>IF(NOT(ISBLANK(A673)),VLOOKUP(A673,'BBT3'!A:F,6,0),"")</f>
        <v/>
      </c>
      <c r="G673" t="str">
        <f>IF(NOT(ISBLANK(A673)),VLOOKUP(A673,QW_Close!A:J,5,0),"")</f>
        <v/>
      </c>
      <c r="H673" s="5" t="str" cm="1">
        <f t="array" ref="H673">IF(NOT(ISBLANK(A673)),((_xlfn.XLOOKUP(1,(_bbt3[[#All],[ID]]=A673)*(_bbt3[[#All],[METRIC_NAME]]="YLD_YTM_ASK"),_bbt3[[#All],[METRIC_VALUE]])*0.5)+(_xlfn.XLOOKUP(1,(_bbt3[[#All],[ID]]=A673)*(_bbt3[[#All],[METRIC_NAME]]="YLD_YTM_BID"),_bbt3[[#All],[METRIC_VALUE]])*0.5))/100,"")</f>
        <v/>
      </c>
      <c r="I673">
        <f>IF(ISNA(VLOOKUP(A673,QW_CloseDL!A:E,5,0)),0,VLOOKUP(A673,QW_CloseDL!A:E,5,0))</f>
        <v>0</v>
      </c>
      <c r="J673" s="8" t="str">
        <f t="shared" si="50"/>
        <v/>
      </c>
      <c r="P673">
        <v>0</v>
      </c>
      <c r="Q673" t="e">
        <f t="shared" si="51"/>
        <v>#N/A</v>
      </c>
      <c r="R673" t="e">
        <f t="shared" si="52"/>
        <v>#N/A</v>
      </c>
      <c r="S673" s="9" t="e">
        <f t="shared" si="53"/>
        <v>#N/A</v>
      </c>
      <c r="T673" s="3" t="e">
        <f t="shared" si="54"/>
        <v>#N/A</v>
      </c>
    </row>
    <row r="674" spans="2:20" x14ac:dyDescent="0.35">
      <c r="B674" t="str">
        <f>IF(NOT(ISBLANK(A674)),VLOOKUP(A674,'BBT3'!A:F,2,0),"")</f>
        <v/>
      </c>
      <c r="C674" t="str">
        <f>IF(NOT(ISBLANK(A674)),VLOOKUP(A674,'BBT3'!A:F,3,0),"")</f>
        <v/>
      </c>
      <c r="D674" s="6" t="str">
        <f>IF(NOT(ISBLANK(A674)),VLOOKUP(A674,'BBT3'!A:F,4,1),"")</f>
        <v/>
      </c>
      <c r="E674" t="str">
        <f>IF(NOT(ISBLANK(A674)),VLOOKUP(A674,'BBT3'!A:F,5,0),"")</f>
        <v/>
      </c>
      <c r="F674" t="str">
        <f>IF(NOT(ISBLANK(A674)),VLOOKUP(A674,'BBT3'!A:F,6,0),"")</f>
        <v/>
      </c>
      <c r="G674" t="str">
        <f>IF(NOT(ISBLANK(A674)),VLOOKUP(A674,QW_Close!A:J,5,0),"")</f>
        <v/>
      </c>
      <c r="H674" s="5" t="str" cm="1">
        <f t="array" ref="H674">IF(NOT(ISBLANK(A674)),((_xlfn.XLOOKUP(1,(_bbt3[[#All],[ID]]=A674)*(_bbt3[[#All],[METRIC_NAME]]="YLD_YTM_ASK"),_bbt3[[#All],[METRIC_VALUE]])*0.5)+(_xlfn.XLOOKUP(1,(_bbt3[[#All],[ID]]=A674)*(_bbt3[[#All],[METRIC_NAME]]="YLD_YTM_BID"),_bbt3[[#All],[METRIC_VALUE]])*0.5))/100,"")</f>
        <v/>
      </c>
      <c r="I674">
        <f>IF(ISNA(VLOOKUP(A674,QW_CloseDL!A:E,5,0)),0,VLOOKUP(A674,QW_CloseDL!A:E,5,0))</f>
        <v>0</v>
      </c>
      <c r="J674" s="8" t="str">
        <f t="shared" si="50"/>
        <v/>
      </c>
      <c r="P674">
        <v>0</v>
      </c>
      <c r="Q674" t="e">
        <f t="shared" si="51"/>
        <v>#N/A</v>
      </c>
      <c r="R674" t="e">
        <f t="shared" si="52"/>
        <v>#N/A</v>
      </c>
      <c r="S674" s="9" t="e">
        <f t="shared" si="53"/>
        <v>#N/A</v>
      </c>
      <c r="T674" s="3" t="e">
        <f t="shared" si="54"/>
        <v>#N/A</v>
      </c>
    </row>
    <row r="675" spans="2:20" x14ac:dyDescent="0.35">
      <c r="B675" t="str">
        <f>IF(NOT(ISBLANK(A675)),VLOOKUP(A675,'BBT3'!A:F,2,0),"")</f>
        <v/>
      </c>
      <c r="C675" t="str">
        <f>IF(NOT(ISBLANK(A675)),VLOOKUP(A675,'BBT3'!A:F,3,0),"")</f>
        <v/>
      </c>
      <c r="D675" s="6" t="str">
        <f>IF(NOT(ISBLANK(A675)),VLOOKUP(A675,'BBT3'!A:F,4,1),"")</f>
        <v/>
      </c>
      <c r="E675" t="str">
        <f>IF(NOT(ISBLANK(A675)),VLOOKUP(A675,'BBT3'!A:F,5,0),"")</f>
        <v/>
      </c>
      <c r="F675" t="str">
        <f>IF(NOT(ISBLANK(A675)),VLOOKUP(A675,'BBT3'!A:F,6,0),"")</f>
        <v/>
      </c>
      <c r="G675" t="str">
        <f>IF(NOT(ISBLANK(A675)),VLOOKUP(A675,QW_Close!A:J,5,0),"")</f>
        <v/>
      </c>
      <c r="H675" s="5" t="str" cm="1">
        <f t="array" ref="H675">IF(NOT(ISBLANK(A675)),((_xlfn.XLOOKUP(1,(_bbt3[[#All],[ID]]=A675)*(_bbt3[[#All],[METRIC_NAME]]="YLD_YTM_ASK"),_bbt3[[#All],[METRIC_VALUE]])*0.5)+(_xlfn.XLOOKUP(1,(_bbt3[[#All],[ID]]=A675)*(_bbt3[[#All],[METRIC_NAME]]="YLD_YTM_BID"),_bbt3[[#All],[METRIC_VALUE]])*0.5))/100,"")</f>
        <v/>
      </c>
      <c r="I675">
        <f>IF(ISNA(VLOOKUP(A675,QW_CloseDL!A:E,5,0)),0,VLOOKUP(A675,QW_CloseDL!A:E,5,0))</f>
        <v>0</v>
      </c>
      <c r="J675" s="8" t="str">
        <f t="shared" si="50"/>
        <v/>
      </c>
      <c r="P675">
        <v>0</v>
      </c>
      <c r="Q675" t="e">
        <f t="shared" si="51"/>
        <v>#N/A</v>
      </c>
      <c r="R675" t="e">
        <f t="shared" si="52"/>
        <v>#N/A</v>
      </c>
      <c r="S675" s="9" t="e">
        <f t="shared" si="53"/>
        <v>#N/A</v>
      </c>
      <c r="T675" s="3" t="e">
        <f t="shared" si="54"/>
        <v>#N/A</v>
      </c>
    </row>
    <row r="676" spans="2:20" x14ac:dyDescent="0.35">
      <c r="B676" t="str">
        <f>IF(NOT(ISBLANK(A676)),VLOOKUP(A676,'BBT3'!A:F,2,0),"")</f>
        <v/>
      </c>
      <c r="C676" t="str">
        <f>IF(NOT(ISBLANK(A676)),VLOOKUP(A676,'BBT3'!A:F,3,0),"")</f>
        <v/>
      </c>
      <c r="D676" s="6" t="str">
        <f>IF(NOT(ISBLANK(A676)),VLOOKUP(A676,'BBT3'!A:F,4,1),"")</f>
        <v/>
      </c>
      <c r="E676" t="str">
        <f>IF(NOT(ISBLANK(A676)),VLOOKUP(A676,'BBT3'!A:F,5,0),"")</f>
        <v/>
      </c>
      <c r="F676" t="str">
        <f>IF(NOT(ISBLANK(A676)),VLOOKUP(A676,'BBT3'!A:F,6,0),"")</f>
        <v/>
      </c>
      <c r="G676" t="str">
        <f>IF(NOT(ISBLANK(A676)),VLOOKUP(A676,QW_Close!A:J,5,0),"")</f>
        <v/>
      </c>
      <c r="H676" s="5" t="str" cm="1">
        <f t="array" ref="H676">IF(NOT(ISBLANK(A676)),((_xlfn.XLOOKUP(1,(_bbt3[[#All],[ID]]=A676)*(_bbt3[[#All],[METRIC_NAME]]="YLD_YTM_ASK"),_bbt3[[#All],[METRIC_VALUE]])*0.5)+(_xlfn.XLOOKUP(1,(_bbt3[[#All],[ID]]=A676)*(_bbt3[[#All],[METRIC_NAME]]="YLD_YTM_BID"),_bbt3[[#All],[METRIC_VALUE]])*0.5))/100,"")</f>
        <v/>
      </c>
      <c r="I676">
        <f>IF(ISNA(VLOOKUP(A676,QW_CloseDL!A:E,5,0)),0,VLOOKUP(A676,QW_CloseDL!A:E,5,0))</f>
        <v>0</v>
      </c>
      <c r="J676" s="8" t="str">
        <f t="shared" si="50"/>
        <v/>
      </c>
      <c r="P676">
        <v>0</v>
      </c>
      <c r="Q676" t="e">
        <f t="shared" si="51"/>
        <v>#N/A</v>
      </c>
      <c r="R676" t="e">
        <f t="shared" si="52"/>
        <v>#N/A</v>
      </c>
      <c r="S676" s="9" t="e">
        <f t="shared" si="53"/>
        <v>#N/A</v>
      </c>
      <c r="T676" s="3" t="e">
        <f t="shared" si="54"/>
        <v>#N/A</v>
      </c>
    </row>
    <row r="677" spans="2:20" x14ac:dyDescent="0.35">
      <c r="B677" t="str">
        <f>IF(NOT(ISBLANK(A677)),VLOOKUP(A677,'BBT3'!A:F,2,0),"")</f>
        <v/>
      </c>
      <c r="C677" t="str">
        <f>IF(NOT(ISBLANK(A677)),VLOOKUP(A677,'BBT3'!A:F,3,0),"")</f>
        <v/>
      </c>
      <c r="D677" s="6" t="str">
        <f>IF(NOT(ISBLANK(A677)),VLOOKUP(A677,'BBT3'!A:F,4,1),"")</f>
        <v/>
      </c>
      <c r="E677" t="str">
        <f>IF(NOT(ISBLANK(A677)),VLOOKUP(A677,'BBT3'!A:F,5,0),"")</f>
        <v/>
      </c>
      <c r="F677" t="str">
        <f>IF(NOT(ISBLANK(A677)),VLOOKUP(A677,'BBT3'!A:F,6,0),"")</f>
        <v/>
      </c>
      <c r="G677" t="str">
        <f>IF(NOT(ISBLANK(A677)),VLOOKUP(A677,QW_Close!A:J,5,0),"")</f>
        <v/>
      </c>
      <c r="H677" s="5" t="str" cm="1">
        <f t="array" ref="H677">IF(NOT(ISBLANK(A677)),((_xlfn.XLOOKUP(1,(_bbt3[[#All],[ID]]=A677)*(_bbt3[[#All],[METRIC_NAME]]="YLD_YTM_ASK"),_bbt3[[#All],[METRIC_VALUE]])*0.5)+(_xlfn.XLOOKUP(1,(_bbt3[[#All],[ID]]=A677)*(_bbt3[[#All],[METRIC_NAME]]="YLD_YTM_BID"),_bbt3[[#All],[METRIC_VALUE]])*0.5))/100,"")</f>
        <v/>
      </c>
      <c r="I677">
        <f>IF(ISNA(VLOOKUP(A677,QW_CloseDL!A:E,5,0)),0,VLOOKUP(A677,QW_CloseDL!A:E,5,0))</f>
        <v>0</v>
      </c>
      <c r="J677" s="8" t="str">
        <f t="shared" si="50"/>
        <v/>
      </c>
      <c r="P677">
        <v>0</v>
      </c>
      <c r="Q677" t="e">
        <f t="shared" si="51"/>
        <v>#N/A</v>
      </c>
      <c r="R677" t="e">
        <f t="shared" si="52"/>
        <v>#N/A</v>
      </c>
      <c r="S677" s="9" t="e">
        <f t="shared" si="53"/>
        <v>#N/A</v>
      </c>
      <c r="T677" s="3" t="e">
        <f t="shared" si="54"/>
        <v>#N/A</v>
      </c>
    </row>
    <row r="678" spans="2:20" x14ac:dyDescent="0.35">
      <c r="B678" t="str">
        <f>IF(NOT(ISBLANK(A678)),VLOOKUP(A678,'BBT3'!A:F,2,0),"")</f>
        <v/>
      </c>
      <c r="C678" t="str">
        <f>IF(NOT(ISBLANK(A678)),VLOOKUP(A678,'BBT3'!A:F,3,0),"")</f>
        <v/>
      </c>
      <c r="D678" s="6" t="str">
        <f>IF(NOT(ISBLANK(A678)),VLOOKUP(A678,'BBT3'!A:F,4,1),"")</f>
        <v/>
      </c>
      <c r="E678" t="str">
        <f>IF(NOT(ISBLANK(A678)),VLOOKUP(A678,'BBT3'!A:F,5,0),"")</f>
        <v/>
      </c>
      <c r="F678" t="str">
        <f>IF(NOT(ISBLANK(A678)),VLOOKUP(A678,'BBT3'!A:F,6,0),"")</f>
        <v/>
      </c>
      <c r="G678" t="str">
        <f>IF(NOT(ISBLANK(A678)),VLOOKUP(A678,QW_Close!A:J,5,0),"")</f>
        <v/>
      </c>
      <c r="H678" s="5" t="str" cm="1">
        <f t="array" ref="H678">IF(NOT(ISBLANK(A678)),((_xlfn.XLOOKUP(1,(_bbt3[[#All],[ID]]=A678)*(_bbt3[[#All],[METRIC_NAME]]="YLD_YTM_ASK"),_bbt3[[#All],[METRIC_VALUE]])*0.5)+(_xlfn.XLOOKUP(1,(_bbt3[[#All],[ID]]=A678)*(_bbt3[[#All],[METRIC_NAME]]="YLD_YTM_BID"),_bbt3[[#All],[METRIC_VALUE]])*0.5))/100,"")</f>
        <v/>
      </c>
      <c r="I678">
        <f>IF(ISNA(VLOOKUP(A678,QW_CloseDL!A:E,5,0)),0,VLOOKUP(A678,QW_CloseDL!A:E,5,0))</f>
        <v>0</v>
      </c>
      <c r="J678" s="8" t="str">
        <f t="shared" si="50"/>
        <v/>
      </c>
      <c r="P678">
        <v>0</v>
      </c>
      <c r="Q678" t="e">
        <f t="shared" si="51"/>
        <v>#N/A</v>
      </c>
      <c r="R678" t="e">
        <f t="shared" si="52"/>
        <v>#N/A</v>
      </c>
      <c r="S678" s="9" t="e">
        <f t="shared" si="53"/>
        <v>#N/A</v>
      </c>
      <c r="T678" s="3" t="e">
        <f t="shared" si="54"/>
        <v>#N/A</v>
      </c>
    </row>
    <row r="679" spans="2:20" x14ac:dyDescent="0.35">
      <c r="B679" t="str">
        <f>IF(NOT(ISBLANK(A679)),VLOOKUP(A679,'BBT3'!A:F,2,0),"")</f>
        <v/>
      </c>
      <c r="C679" t="str">
        <f>IF(NOT(ISBLANK(A679)),VLOOKUP(A679,'BBT3'!A:F,3,0),"")</f>
        <v/>
      </c>
      <c r="D679" s="6" t="str">
        <f>IF(NOT(ISBLANK(A679)),VLOOKUP(A679,'BBT3'!A:F,4,1),"")</f>
        <v/>
      </c>
      <c r="E679" t="str">
        <f>IF(NOT(ISBLANK(A679)),VLOOKUP(A679,'BBT3'!A:F,5,0),"")</f>
        <v/>
      </c>
      <c r="F679" t="str">
        <f>IF(NOT(ISBLANK(A679)),VLOOKUP(A679,'BBT3'!A:F,6,0),"")</f>
        <v/>
      </c>
      <c r="G679" t="str">
        <f>IF(NOT(ISBLANK(A679)),VLOOKUP(A679,QW_Close!A:J,5,0),"")</f>
        <v/>
      </c>
      <c r="H679" s="5" t="str" cm="1">
        <f t="array" ref="H679">IF(NOT(ISBLANK(A679)),((_xlfn.XLOOKUP(1,(_bbt3[[#All],[ID]]=A679)*(_bbt3[[#All],[METRIC_NAME]]="YLD_YTM_ASK"),_bbt3[[#All],[METRIC_VALUE]])*0.5)+(_xlfn.XLOOKUP(1,(_bbt3[[#All],[ID]]=A679)*(_bbt3[[#All],[METRIC_NAME]]="YLD_YTM_BID"),_bbt3[[#All],[METRIC_VALUE]])*0.5))/100,"")</f>
        <v/>
      </c>
      <c r="I679">
        <f>IF(ISNA(VLOOKUP(A679,QW_CloseDL!A:E,5,0)),0,VLOOKUP(A679,QW_CloseDL!A:E,5,0))</f>
        <v>0</v>
      </c>
      <c r="J679" s="8" t="str">
        <f t="shared" si="50"/>
        <v/>
      </c>
      <c r="P679">
        <v>0</v>
      </c>
      <c r="Q679" t="e">
        <f t="shared" si="51"/>
        <v>#N/A</v>
      </c>
      <c r="R679" t="e">
        <f t="shared" si="52"/>
        <v>#N/A</v>
      </c>
      <c r="S679" s="9" t="e">
        <f t="shared" si="53"/>
        <v>#N/A</v>
      </c>
      <c r="T679" s="3" t="e">
        <f t="shared" si="54"/>
        <v>#N/A</v>
      </c>
    </row>
    <row r="680" spans="2:20" x14ac:dyDescent="0.35">
      <c r="B680" t="str">
        <f>IF(NOT(ISBLANK(A680)),VLOOKUP(A680,'BBT3'!A:F,2,0),"")</f>
        <v/>
      </c>
      <c r="C680" t="str">
        <f>IF(NOT(ISBLANK(A680)),VLOOKUP(A680,'BBT3'!A:F,3,0),"")</f>
        <v/>
      </c>
      <c r="D680" s="6" t="str">
        <f>IF(NOT(ISBLANK(A680)),VLOOKUP(A680,'BBT3'!A:F,4,1),"")</f>
        <v/>
      </c>
      <c r="E680" t="str">
        <f>IF(NOT(ISBLANK(A680)),VLOOKUP(A680,'BBT3'!A:F,5,0),"")</f>
        <v/>
      </c>
      <c r="F680" t="str">
        <f>IF(NOT(ISBLANK(A680)),VLOOKUP(A680,'BBT3'!A:F,6,0),"")</f>
        <v/>
      </c>
      <c r="G680" t="str">
        <f>IF(NOT(ISBLANK(A680)),VLOOKUP(A680,QW_Close!A:J,5,0),"")</f>
        <v/>
      </c>
      <c r="H680" s="5" t="str" cm="1">
        <f t="array" ref="H680">IF(NOT(ISBLANK(A680)),((_xlfn.XLOOKUP(1,(_bbt3[[#All],[ID]]=A680)*(_bbt3[[#All],[METRIC_NAME]]="YLD_YTM_ASK"),_bbt3[[#All],[METRIC_VALUE]])*0.5)+(_xlfn.XLOOKUP(1,(_bbt3[[#All],[ID]]=A680)*(_bbt3[[#All],[METRIC_NAME]]="YLD_YTM_BID"),_bbt3[[#All],[METRIC_VALUE]])*0.5))/100,"")</f>
        <v/>
      </c>
      <c r="I680">
        <f>IF(ISNA(VLOOKUP(A680,QW_CloseDL!A:E,5,0)),0,VLOOKUP(A680,QW_CloseDL!A:E,5,0))</f>
        <v>0</v>
      </c>
      <c r="J680" s="8" t="str">
        <f t="shared" si="50"/>
        <v/>
      </c>
      <c r="P680">
        <v>0</v>
      </c>
      <c r="Q680" t="e">
        <f t="shared" si="51"/>
        <v>#N/A</v>
      </c>
      <c r="R680" t="e">
        <f t="shared" si="52"/>
        <v>#N/A</v>
      </c>
      <c r="S680" s="9" t="e">
        <f t="shared" si="53"/>
        <v>#N/A</v>
      </c>
      <c r="T680" s="3" t="e">
        <f t="shared" si="54"/>
        <v>#N/A</v>
      </c>
    </row>
    <row r="681" spans="2:20" x14ac:dyDescent="0.35">
      <c r="B681" t="str">
        <f>IF(NOT(ISBLANK(A681)),VLOOKUP(A681,'BBT3'!A:F,2,0),"")</f>
        <v/>
      </c>
      <c r="C681" t="str">
        <f>IF(NOT(ISBLANK(A681)),VLOOKUP(A681,'BBT3'!A:F,3,0),"")</f>
        <v/>
      </c>
      <c r="D681" s="6" t="str">
        <f>IF(NOT(ISBLANK(A681)),VLOOKUP(A681,'BBT3'!A:F,4,1),"")</f>
        <v/>
      </c>
      <c r="E681" t="str">
        <f>IF(NOT(ISBLANK(A681)),VLOOKUP(A681,'BBT3'!A:F,5,0),"")</f>
        <v/>
      </c>
      <c r="F681" t="str">
        <f>IF(NOT(ISBLANK(A681)),VLOOKUP(A681,'BBT3'!A:F,6,0),"")</f>
        <v/>
      </c>
      <c r="G681" t="str">
        <f>IF(NOT(ISBLANK(A681)),VLOOKUP(A681,QW_Close!A:J,5,0),"")</f>
        <v/>
      </c>
      <c r="H681" s="5" t="str" cm="1">
        <f t="array" ref="H681">IF(NOT(ISBLANK(A681)),((_xlfn.XLOOKUP(1,(_bbt3[[#All],[ID]]=A681)*(_bbt3[[#All],[METRIC_NAME]]="YLD_YTM_ASK"),_bbt3[[#All],[METRIC_VALUE]])*0.5)+(_xlfn.XLOOKUP(1,(_bbt3[[#All],[ID]]=A681)*(_bbt3[[#All],[METRIC_NAME]]="YLD_YTM_BID"),_bbt3[[#All],[METRIC_VALUE]])*0.5))/100,"")</f>
        <v/>
      </c>
      <c r="I681">
        <f>IF(ISNA(VLOOKUP(A681,QW_CloseDL!A:E,5,0)),0,VLOOKUP(A681,QW_CloseDL!A:E,5,0))</f>
        <v>0</v>
      </c>
      <c r="J681" s="8" t="str">
        <f t="shared" si="50"/>
        <v/>
      </c>
      <c r="P681">
        <v>0</v>
      </c>
      <c r="Q681" t="e">
        <f t="shared" si="51"/>
        <v>#N/A</v>
      </c>
      <c r="R681" t="e">
        <f t="shared" si="52"/>
        <v>#N/A</v>
      </c>
      <c r="S681" s="9" t="e">
        <f t="shared" si="53"/>
        <v>#N/A</v>
      </c>
      <c r="T681" s="3" t="e">
        <f t="shared" si="54"/>
        <v>#N/A</v>
      </c>
    </row>
    <row r="682" spans="2:20" x14ac:dyDescent="0.35">
      <c r="B682" t="str">
        <f>IF(NOT(ISBLANK(A682)),VLOOKUP(A682,'BBT3'!A:F,2,0),"")</f>
        <v/>
      </c>
      <c r="C682" t="str">
        <f>IF(NOT(ISBLANK(A682)),VLOOKUP(A682,'BBT3'!A:F,3,0),"")</f>
        <v/>
      </c>
      <c r="D682" s="6" t="str">
        <f>IF(NOT(ISBLANK(A682)),VLOOKUP(A682,'BBT3'!A:F,4,1),"")</f>
        <v/>
      </c>
      <c r="E682" t="str">
        <f>IF(NOT(ISBLANK(A682)),VLOOKUP(A682,'BBT3'!A:F,5,0),"")</f>
        <v/>
      </c>
      <c r="F682" t="str">
        <f>IF(NOT(ISBLANK(A682)),VLOOKUP(A682,'BBT3'!A:F,6,0),"")</f>
        <v/>
      </c>
      <c r="G682" t="str">
        <f>IF(NOT(ISBLANK(A682)),VLOOKUP(A682,QW_Close!A:J,5,0),"")</f>
        <v/>
      </c>
      <c r="H682" s="5" t="str" cm="1">
        <f t="array" ref="H682">IF(NOT(ISBLANK(A682)),((_xlfn.XLOOKUP(1,(_bbt3[[#All],[ID]]=A682)*(_bbt3[[#All],[METRIC_NAME]]="YLD_YTM_ASK"),_bbt3[[#All],[METRIC_VALUE]])*0.5)+(_xlfn.XLOOKUP(1,(_bbt3[[#All],[ID]]=A682)*(_bbt3[[#All],[METRIC_NAME]]="YLD_YTM_BID"),_bbt3[[#All],[METRIC_VALUE]])*0.5))/100,"")</f>
        <v/>
      </c>
      <c r="I682">
        <f>IF(ISNA(VLOOKUP(A682,QW_CloseDL!A:E,5,0)),0,VLOOKUP(A682,QW_CloseDL!A:E,5,0))</f>
        <v>0</v>
      </c>
      <c r="J682" s="8" t="str">
        <f t="shared" si="50"/>
        <v/>
      </c>
      <c r="P682">
        <v>0</v>
      </c>
      <c r="Q682" t="e">
        <f t="shared" si="51"/>
        <v>#N/A</v>
      </c>
      <c r="R682" t="e">
        <f t="shared" si="52"/>
        <v>#N/A</v>
      </c>
      <c r="S682" s="9" t="e">
        <f t="shared" si="53"/>
        <v>#N/A</v>
      </c>
      <c r="T682" s="3" t="e">
        <f t="shared" si="54"/>
        <v>#N/A</v>
      </c>
    </row>
    <row r="683" spans="2:20" x14ac:dyDescent="0.35">
      <c r="B683" t="str">
        <f>IF(NOT(ISBLANK(A683)),VLOOKUP(A683,'BBT3'!A:F,2,0),"")</f>
        <v/>
      </c>
      <c r="C683" t="str">
        <f>IF(NOT(ISBLANK(A683)),VLOOKUP(A683,'BBT3'!A:F,3,0),"")</f>
        <v/>
      </c>
      <c r="D683" s="6" t="str">
        <f>IF(NOT(ISBLANK(A683)),VLOOKUP(A683,'BBT3'!A:F,4,1),"")</f>
        <v/>
      </c>
      <c r="E683" t="str">
        <f>IF(NOT(ISBLANK(A683)),VLOOKUP(A683,'BBT3'!A:F,5,0),"")</f>
        <v/>
      </c>
      <c r="F683" t="str">
        <f>IF(NOT(ISBLANK(A683)),VLOOKUP(A683,'BBT3'!A:F,6,0),"")</f>
        <v/>
      </c>
      <c r="G683" t="str">
        <f>IF(NOT(ISBLANK(A683)),VLOOKUP(A683,QW_Close!A:J,5,0),"")</f>
        <v/>
      </c>
      <c r="H683" s="5" t="str" cm="1">
        <f t="array" ref="H683">IF(NOT(ISBLANK(A683)),((_xlfn.XLOOKUP(1,(_bbt3[[#All],[ID]]=A683)*(_bbt3[[#All],[METRIC_NAME]]="YLD_YTM_ASK"),_bbt3[[#All],[METRIC_VALUE]])*0.5)+(_xlfn.XLOOKUP(1,(_bbt3[[#All],[ID]]=A683)*(_bbt3[[#All],[METRIC_NAME]]="YLD_YTM_BID"),_bbt3[[#All],[METRIC_VALUE]])*0.5))/100,"")</f>
        <v/>
      </c>
      <c r="I683">
        <f>IF(ISNA(VLOOKUP(A683,QW_CloseDL!A:E,5,0)),0,VLOOKUP(A683,QW_CloseDL!A:E,5,0))</f>
        <v>0</v>
      </c>
      <c r="J683" s="8" t="str">
        <f t="shared" si="50"/>
        <v/>
      </c>
      <c r="P683">
        <v>0</v>
      </c>
      <c r="Q683" t="e">
        <f t="shared" si="51"/>
        <v>#N/A</v>
      </c>
      <c r="R683" t="e">
        <f t="shared" si="52"/>
        <v>#N/A</v>
      </c>
      <c r="S683" s="9" t="e">
        <f t="shared" si="53"/>
        <v>#N/A</v>
      </c>
      <c r="T683" s="3" t="e">
        <f t="shared" si="54"/>
        <v>#N/A</v>
      </c>
    </row>
    <row r="684" spans="2:20" x14ac:dyDescent="0.35">
      <c r="B684" t="str">
        <f>IF(NOT(ISBLANK(A684)),VLOOKUP(A684,'BBT3'!A:F,2,0),"")</f>
        <v/>
      </c>
      <c r="C684" t="str">
        <f>IF(NOT(ISBLANK(A684)),VLOOKUP(A684,'BBT3'!A:F,3,0),"")</f>
        <v/>
      </c>
      <c r="D684" s="6" t="str">
        <f>IF(NOT(ISBLANK(A684)),VLOOKUP(A684,'BBT3'!A:F,4,1),"")</f>
        <v/>
      </c>
      <c r="E684" t="str">
        <f>IF(NOT(ISBLANK(A684)),VLOOKUP(A684,'BBT3'!A:F,5,0),"")</f>
        <v/>
      </c>
      <c r="F684" t="str">
        <f>IF(NOT(ISBLANK(A684)),VLOOKUP(A684,'BBT3'!A:F,6,0),"")</f>
        <v/>
      </c>
      <c r="G684" t="str">
        <f>IF(NOT(ISBLANK(A684)),VLOOKUP(A684,QW_Close!A:J,5,0),"")</f>
        <v/>
      </c>
      <c r="H684" s="5" t="str" cm="1">
        <f t="array" ref="H684">IF(NOT(ISBLANK(A684)),((_xlfn.XLOOKUP(1,(_bbt3[[#All],[ID]]=A684)*(_bbt3[[#All],[METRIC_NAME]]="YLD_YTM_ASK"),_bbt3[[#All],[METRIC_VALUE]])*0.5)+(_xlfn.XLOOKUP(1,(_bbt3[[#All],[ID]]=A684)*(_bbt3[[#All],[METRIC_NAME]]="YLD_YTM_BID"),_bbt3[[#All],[METRIC_VALUE]])*0.5))/100,"")</f>
        <v/>
      </c>
      <c r="I684">
        <f>IF(ISNA(VLOOKUP(A684,QW_CloseDL!A:E,5,0)),0,VLOOKUP(A684,QW_CloseDL!A:E,5,0))</f>
        <v>0</v>
      </c>
      <c r="J684" s="8" t="str">
        <f t="shared" si="50"/>
        <v/>
      </c>
      <c r="P684">
        <v>0</v>
      </c>
      <c r="Q684" t="e">
        <f t="shared" si="51"/>
        <v>#N/A</v>
      </c>
      <c r="R684" t="e">
        <f t="shared" si="52"/>
        <v>#N/A</v>
      </c>
      <c r="S684" s="9" t="e">
        <f t="shared" si="53"/>
        <v>#N/A</v>
      </c>
      <c r="T684" s="3" t="e">
        <f t="shared" si="54"/>
        <v>#N/A</v>
      </c>
    </row>
    <row r="685" spans="2:20" x14ac:dyDescent="0.35">
      <c r="B685" t="str">
        <f>IF(NOT(ISBLANK(A685)),VLOOKUP(A685,'BBT3'!A:F,2,0),"")</f>
        <v/>
      </c>
      <c r="C685" t="str">
        <f>IF(NOT(ISBLANK(A685)),VLOOKUP(A685,'BBT3'!A:F,3,0),"")</f>
        <v/>
      </c>
      <c r="D685" s="6" t="str">
        <f>IF(NOT(ISBLANK(A685)),VLOOKUP(A685,'BBT3'!A:F,4,1),"")</f>
        <v/>
      </c>
      <c r="E685" t="str">
        <f>IF(NOT(ISBLANK(A685)),VLOOKUP(A685,'BBT3'!A:F,5,0),"")</f>
        <v/>
      </c>
      <c r="F685" t="str">
        <f>IF(NOT(ISBLANK(A685)),VLOOKUP(A685,'BBT3'!A:F,6,0),"")</f>
        <v/>
      </c>
      <c r="G685" t="str">
        <f>IF(NOT(ISBLANK(A685)),VLOOKUP(A685,QW_Close!A:J,5,0),"")</f>
        <v/>
      </c>
      <c r="H685" s="5" t="str" cm="1">
        <f t="array" ref="H685">IF(NOT(ISBLANK(A685)),((_xlfn.XLOOKUP(1,(_bbt3[[#All],[ID]]=A685)*(_bbt3[[#All],[METRIC_NAME]]="YLD_YTM_ASK"),_bbt3[[#All],[METRIC_VALUE]])*0.5)+(_xlfn.XLOOKUP(1,(_bbt3[[#All],[ID]]=A685)*(_bbt3[[#All],[METRIC_NAME]]="YLD_YTM_BID"),_bbt3[[#All],[METRIC_VALUE]])*0.5))/100,"")</f>
        <v/>
      </c>
      <c r="I685">
        <f>IF(ISNA(VLOOKUP(A685,QW_CloseDL!A:E,5,0)),0,VLOOKUP(A685,QW_CloseDL!A:E,5,0))</f>
        <v>0</v>
      </c>
      <c r="J685" s="8" t="str">
        <f t="shared" si="50"/>
        <v/>
      </c>
      <c r="P685">
        <v>0</v>
      </c>
      <c r="Q685" t="e">
        <f t="shared" si="51"/>
        <v>#N/A</v>
      </c>
      <c r="R685" t="e">
        <f t="shared" si="52"/>
        <v>#N/A</v>
      </c>
      <c r="S685" s="9" t="e">
        <f t="shared" si="53"/>
        <v>#N/A</v>
      </c>
      <c r="T685" s="3" t="e">
        <f t="shared" si="54"/>
        <v>#N/A</v>
      </c>
    </row>
    <row r="686" spans="2:20" x14ac:dyDescent="0.35">
      <c r="B686" t="str">
        <f>IF(NOT(ISBLANK(A686)),VLOOKUP(A686,'BBT3'!A:F,2,0),"")</f>
        <v/>
      </c>
      <c r="C686" t="str">
        <f>IF(NOT(ISBLANK(A686)),VLOOKUP(A686,'BBT3'!A:F,3,0),"")</f>
        <v/>
      </c>
      <c r="D686" s="6" t="str">
        <f>IF(NOT(ISBLANK(A686)),VLOOKUP(A686,'BBT3'!A:F,4,1),"")</f>
        <v/>
      </c>
      <c r="E686" t="str">
        <f>IF(NOT(ISBLANK(A686)),VLOOKUP(A686,'BBT3'!A:F,5,0),"")</f>
        <v/>
      </c>
      <c r="F686" t="str">
        <f>IF(NOT(ISBLANK(A686)),VLOOKUP(A686,'BBT3'!A:F,6,0),"")</f>
        <v/>
      </c>
      <c r="G686" t="str">
        <f>IF(NOT(ISBLANK(A686)),VLOOKUP(A686,QW_Close!A:J,5,0),"")</f>
        <v/>
      </c>
      <c r="H686" s="5" t="str" cm="1">
        <f t="array" ref="H686">IF(NOT(ISBLANK(A686)),((_xlfn.XLOOKUP(1,(_bbt3[[#All],[ID]]=A686)*(_bbt3[[#All],[METRIC_NAME]]="YLD_YTM_ASK"),_bbt3[[#All],[METRIC_VALUE]])*0.5)+(_xlfn.XLOOKUP(1,(_bbt3[[#All],[ID]]=A686)*(_bbt3[[#All],[METRIC_NAME]]="YLD_YTM_BID"),_bbt3[[#All],[METRIC_VALUE]])*0.5))/100,"")</f>
        <v/>
      </c>
      <c r="I686">
        <f>IF(ISNA(VLOOKUP(A686,QW_CloseDL!A:E,5,0)),0,VLOOKUP(A686,QW_CloseDL!A:E,5,0))</f>
        <v>0</v>
      </c>
      <c r="J686" s="8" t="str">
        <f t="shared" si="50"/>
        <v/>
      </c>
      <c r="P686">
        <v>0</v>
      </c>
      <c r="Q686" t="e">
        <f t="shared" si="51"/>
        <v>#N/A</v>
      </c>
      <c r="R686" t="e">
        <f t="shared" si="52"/>
        <v>#N/A</v>
      </c>
      <c r="S686" s="9" t="e">
        <f t="shared" si="53"/>
        <v>#N/A</v>
      </c>
      <c r="T686" s="3" t="e">
        <f t="shared" si="54"/>
        <v>#N/A</v>
      </c>
    </row>
    <row r="687" spans="2:20" x14ac:dyDescent="0.35">
      <c r="B687" t="str">
        <f>IF(NOT(ISBLANK(A687)),VLOOKUP(A687,'BBT3'!A:F,2,0),"")</f>
        <v/>
      </c>
      <c r="C687" t="str">
        <f>IF(NOT(ISBLANK(A687)),VLOOKUP(A687,'BBT3'!A:F,3,0),"")</f>
        <v/>
      </c>
      <c r="D687" s="6" t="str">
        <f>IF(NOT(ISBLANK(A687)),VLOOKUP(A687,'BBT3'!A:F,4,1),"")</f>
        <v/>
      </c>
      <c r="E687" t="str">
        <f>IF(NOT(ISBLANK(A687)),VLOOKUP(A687,'BBT3'!A:F,5,0),"")</f>
        <v/>
      </c>
      <c r="F687" t="str">
        <f>IF(NOT(ISBLANK(A687)),VLOOKUP(A687,'BBT3'!A:F,6,0),"")</f>
        <v/>
      </c>
      <c r="G687" t="str">
        <f>IF(NOT(ISBLANK(A687)),VLOOKUP(A687,QW_Close!A:J,5,0),"")</f>
        <v/>
      </c>
      <c r="H687" s="5" t="str" cm="1">
        <f t="array" ref="H687">IF(NOT(ISBLANK(A687)),((_xlfn.XLOOKUP(1,(_bbt3[[#All],[ID]]=A687)*(_bbt3[[#All],[METRIC_NAME]]="YLD_YTM_ASK"),_bbt3[[#All],[METRIC_VALUE]])*0.5)+(_xlfn.XLOOKUP(1,(_bbt3[[#All],[ID]]=A687)*(_bbt3[[#All],[METRIC_NAME]]="YLD_YTM_BID"),_bbt3[[#All],[METRIC_VALUE]])*0.5))/100,"")</f>
        <v/>
      </c>
      <c r="I687">
        <f>IF(ISNA(VLOOKUP(A687,QW_CloseDL!A:E,5,0)),0,VLOOKUP(A687,QW_CloseDL!A:E,5,0))</f>
        <v>0</v>
      </c>
      <c r="J687" s="8" t="str">
        <f t="shared" si="50"/>
        <v/>
      </c>
      <c r="P687">
        <v>0</v>
      </c>
      <c r="Q687" t="e">
        <f t="shared" si="51"/>
        <v>#N/A</v>
      </c>
      <c r="R687" t="e">
        <f t="shared" si="52"/>
        <v>#N/A</v>
      </c>
      <c r="S687" s="9" t="e">
        <f t="shared" si="53"/>
        <v>#N/A</v>
      </c>
      <c r="T687" s="3" t="e">
        <f t="shared" si="54"/>
        <v>#N/A</v>
      </c>
    </row>
    <row r="688" spans="2:20" x14ac:dyDescent="0.35">
      <c r="B688" t="str">
        <f>IF(NOT(ISBLANK(A688)),VLOOKUP(A688,'BBT3'!A:F,2,0),"")</f>
        <v/>
      </c>
      <c r="C688" t="str">
        <f>IF(NOT(ISBLANK(A688)),VLOOKUP(A688,'BBT3'!A:F,3,0),"")</f>
        <v/>
      </c>
      <c r="D688" s="6" t="str">
        <f>IF(NOT(ISBLANK(A688)),VLOOKUP(A688,'BBT3'!A:F,4,1),"")</f>
        <v/>
      </c>
      <c r="E688" t="str">
        <f>IF(NOT(ISBLANK(A688)),VLOOKUP(A688,'BBT3'!A:F,5,0),"")</f>
        <v/>
      </c>
      <c r="F688" t="str">
        <f>IF(NOT(ISBLANK(A688)),VLOOKUP(A688,'BBT3'!A:F,6,0),"")</f>
        <v/>
      </c>
      <c r="G688" t="str">
        <f>IF(NOT(ISBLANK(A688)),VLOOKUP(A688,QW_Close!A:J,5,0),"")</f>
        <v/>
      </c>
      <c r="H688" s="5" t="str" cm="1">
        <f t="array" ref="H688">IF(NOT(ISBLANK(A688)),((_xlfn.XLOOKUP(1,(_bbt3[[#All],[ID]]=A688)*(_bbt3[[#All],[METRIC_NAME]]="YLD_YTM_ASK"),_bbt3[[#All],[METRIC_VALUE]])*0.5)+(_xlfn.XLOOKUP(1,(_bbt3[[#All],[ID]]=A688)*(_bbt3[[#All],[METRIC_NAME]]="YLD_YTM_BID"),_bbt3[[#All],[METRIC_VALUE]])*0.5))/100,"")</f>
        <v/>
      </c>
      <c r="I688">
        <f>IF(ISNA(VLOOKUP(A688,QW_CloseDL!A:E,5,0)),0,VLOOKUP(A688,QW_CloseDL!A:E,5,0))</f>
        <v>0</v>
      </c>
      <c r="J688" s="8" t="str">
        <f t="shared" si="50"/>
        <v/>
      </c>
      <c r="P688">
        <v>0</v>
      </c>
      <c r="Q688" t="e">
        <f t="shared" si="51"/>
        <v>#N/A</v>
      </c>
      <c r="R688" t="e">
        <f t="shared" si="52"/>
        <v>#N/A</v>
      </c>
      <c r="S688" s="9" t="e">
        <f t="shared" si="53"/>
        <v>#N/A</v>
      </c>
      <c r="T688" s="3" t="e">
        <f t="shared" si="54"/>
        <v>#N/A</v>
      </c>
    </row>
    <row r="689" spans="2:20" x14ac:dyDescent="0.35">
      <c r="B689" t="str">
        <f>IF(NOT(ISBLANK(A689)),VLOOKUP(A689,'BBT3'!A:F,2,0),"")</f>
        <v/>
      </c>
      <c r="C689" t="str">
        <f>IF(NOT(ISBLANK(A689)),VLOOKUP(A689,'BBT3'!A:F,3,0),"")</f>
        <v/>
      </c>
      <c r="D689" s="6" t="str">
        <f>IF(NOT(ISBLANK(A689)),VLOOKUP(A689,'BBT3'!A:F,4,1),"")</f>
        <v/>
      </c>
      <c r="E689" t="str">
        <f>IF(NOT(ISBLANK(A689)),VLOOKUP(A689,'BBT3'!A:F,5,0),"")</f>
        <v/>
      </c>
      <c r="F689" t="str">
        <f>IF(NOT(ISBLANK(A689)),VLOOKUP(A689,'BBT3'!A:F,6,0),"")</f>
        <v/>
      </c>
      <c r="G689" t="str">
        <f>IF(NOT(ISBLANK(A689)),VLOOKUP(A689,QW_Close!A:J,5,0),"")</f>
        <v/>
      </c>
      <c r="H689" s="5" t="str" cm="1">
        <f t="array" ref="H689">IF(NOT(ISBLANK(A689)),((_xlfn.XLOOKUP(1,(_bbt3[[#All],[ID]]=A689)*(_bbt3[[#All],[METRIC_NAME]]="YLD_YTM_ASK"),_bbt3[[#All],[METRIC_VALUE]])*0.5)+(_xlfn.XLOOKUP(1,(_bbt3[[#All],[ID]]=A689)*(_bbt3[[#All],[METRIC_NAME]]="YLD_YTM_BID"),_bbt3[[#All],[METRIC_VALUE]])*0.5))/100,"")</f>
        <v/>
      </c>
      <c r="I689">
        <f>IF(ISNA(VLOOKUP(A689,QW_CloseDL!A:E,5,0)),0,VLOOKUP(A689,QW_CloseDL!A:E,5,0))</f>
        <v>0</v>
      </c>
      <c r="J689" s="8" t="str">
        <f t="shared" si="50"/>
        <v/>
      </c>
      <c r="P689">
        <v>0</v>
      </c>
      <c r="Q689" t="e">
        <f t="shared" si="51"/>
        <v>#N/A</v>
      </c>
      <c r="R689" t="e">
        <f t="shared" si="52"/>
        <v>#N/A</v>
      </c>
      <c r="S689" s="9" t="e">
        <f t="shared" si="53"/>
        <v>#N/A</v>
      </c>
      <c r="T689" s="3" t="e">
        <f t="shared" si="54"/>
        <v>#N/A</v>
      </c>
    </row>
    <row r="690" spans="2:20" x14ac:dyDescent="0.35">
      <c r="B690" t="str">
        <f>IF(NOT(ISBLANK(A690)),VLOOKUP(A690,'BBT3'!A:F,2,0),"")</f>
        <v/>
      </c>
      <c r="C690" t="str">
        <f>IF(NOT(ISBLANK(A690)),VLOOKUP(A690,'BBT3'!A:F,3,0),"")</f>
        <v/>
      </c>
      <c r="D690" s="6" t="str">
        <f>IF(NOT(ISBLANK(A690)),VLOOKUP(A690,'BBT3'!A:F,4,1),"")</f>
        <v/>
      </c>
      <c r="E690" t="str">
        <f>IF(NOT(ISBLANK(A690)),VLOOKUP(A690,'BBT3'!A:F,5,0),"")</f>
        <v/>
      </c>
      <c r="F690" t="str">
        <f>IF(NOT(ISBLANK(A690)),VLOOKUP(A690,'BBT3'!A:F,6,0),"")</f>
        <v/>
      </c>
      <c r="G690" t="str">
        <f>IF(NOT(ISBLANK(A690)),VLOOKUP(A690,QW_Close!A:J,5,0),"")</f>
        <v/>
      </c>
      <c r="H690" s="5" t="str" cm="1">
        <f t="array" ref="H690">IF(NOT(ISBLANK(A690)),((_xlfn.XLOOKUP(1,(_bbt3[[#All],[ID]]=A690)*(_bbt3[[#All],[METRIC_NAME]]="YLD_YTM_ASK"),_bbt3[[#All],[METRIC_VALUE]])*0.5)+(_xlfn.XLOOKUP(1,(_bbt3[[#All],[ID]]=A690)*(_bbt3[[#All],[METRIC_NAME]]="YLD_YTM_BID"),_bbt3[[#All],[METRIC_VALUE]])*0.5))/100,"")</f>
        <v/>
      </c>
      <c r="I690">
        <f>IF(ISNA(VLOOKUP(A690,QW_CloseDL!A:E,5,0)),0,VLOOKUP(A690,QW_CloseDL!A:E,5,0))</f>
        <v>0</v>
      </c>
      <c r="J690" s="8" t="str">
        <f t="shared" si="50"/>
        <v/>
      </c>
      <c r="P690">
        <v>0</v>
      </c>
      <c r="Q690" t="e">
        <f t="shared" si="51"/>
        <v>#N/A</v>
      </c>
      <c r="R690" t="e">
        <f t="shared" si="52"/>
        <v>#N/A</v>
      </c>
      <c r="S690" s="9" t="e">
        <f t="shared" si="53"/>
        <v>#N/A</v>
      </c>
      <c r="T690" s="3" t="e">
        <f t="shared" si="54"/>
        <v>#N/A</v>
      </c>
    </row>
    <row r="691" spans="2:20" x14ac:dyDescent="0.35">
      <c r="B691" t="str">
        <f>IF(NOT(ISBLANK(A691)),VLOOKUP(A691,'BBT3'!A:F,2,0),"")</f>
        <v/>
      </c>
      <c r="C691" t="str">
        <f>IF(NOT(ISBLANK(A691)),VLOOKUP(A691,'BBT3'!A:F,3,0),"")</f>
        <v/>
      </c>
      <c r="D691" s="6" t="str">
        <f>IF(NOT(ISBLANK(A691)),VLOOKUP(A691,'BBT3'!A:F,4,1),"")</f>
        <v/>
      </c>
      <c r="E691" t="str">
        <f>IF(NOT(ISBLANK(A691)),VLOOKUP(A691,'BBT3'!A:F,5,0),"")</f>
        <v/>
      </c>
      <c r="F691" t="str">
        <f>IF(NOT(ISBLANK(A691)),VLOOKUP(A691,'BBT3'!A:F,6,0),"")</f>
        <v/>
      </c>
      <c r="G691" t="str">
        <f>IF(NOT(ISBLANK(A691)),VLOOKUP(A691,QW_Close!A:J,5,0),"")</f>
        <v/>
      </c>
      <c r="H691" s="5" t="str" cm="1">
        <f t="array" ref="H691">IF(NOT(ISBLANK(A691)),((_xlfn.XLOOKUP(1,(_bbt3[[#All],[ID]]=A691)*(_bbt3[[#All],[METRIC_NAME]]="YLD_YTM_ASK"),_bbt3[[#All],[METRIC_VALUE]])*0.5)+(_xlfn.XLOOKUP(1,(_bbt3[[#All],[ID]]=A691)*(_bbt3[[#All],[METRIC_NAME]]="YLD_YTM_BID"),_bbt3[[#All],[METRIC_VALUE]])*0.5))/100,"")</f>
        <v/>
      </c>
      <c r="I691">
        <f>IF(ISNA(VLOOKUP(A691,QW_CloseDL!A:E,5,0)),0,VLOOKUP(A691,QW_CloseDL!A:E,5,0))</f>
        <v>0</v>
      </c>
      <c r="J691" s="8" t="str">
        <f t="shared" si="50"/>
        <v/>
      </c>
      <c r="P691">
        <v>0</v>
      </c>
      <c r="Q691" t="e">
        <f t="shared" si="51"/>
        <v>#N/A</v>
      </c>
      <c r="R691" t="e">
        <f t="shared" si="52"/>
        <v>#N/A</v>
      </c>
      <c r="S691" s="9" t="e">
        <f t="shared" si="53"/>
        <v>#N/A</v>
      </c>
      <c r="T691" s="3" t="e">
        <f t="shared" si="54"/>
        <v>#N/A</v>
      </c>
    </row>
    <row r="692" spans="2:20" x14ac:dyDescent="0.35">
      <c r="B692" t="str">
        <f>IF(NOT(ISBLANK(A692)),VLOOKUP(A692,'BBT3'!A:F,2,0),"")</f>
        <v/>
      </c>
      <c r="C692" t="str">
        <f>IF(NOT(ISBLANK(A692)),VLOOKUP(A692,'BBT3'!A:F,3,0),"")</f>
        <v/>
      </c>
      <c r="D692" s="6" t="str">
        <f>IF(NOT(ISBLANK(A692)),VLOOKUP(A692,'BBT3'!A:F,4,1),"")</f>
        <v/>
      </c>
      <c r="E692" t="str">
        <f>IF(NOT(ISBLANK(A692)),VLOOKUP(A692,'BBT3'!A:F,5,0),"")</f>
        <v/>
      </c>
      <c r="F692" t="str">
        <f>IF(NOT(ISBLANK(A692)),VLOOKUP(A692,'BBT3'!A:F,6,0),"")</f>
        <v/>
      </c>
      <c r="G692" t="str">
        <f>IF(NOT(ISBLANK(A692)),VLOOKUP(A692,QW_Close!A:J,5,0),"")</f>
        <v/>
      </c>
      <c r="H692" s="5" t="str" cm="1">
        <f t="array" ref="H692">IF(NOT(ISBLANK(A692)),((_xlfn.XLOOKUP(1,(_bbt3[[#All],[ID]]=A692)*(_bbt3[[#All],[METRIC_NAME]]="YLD_YTM_ASK"),_bbt3[[#All],[METRIC_VALUE]])*0.5)+(_xlfn.XLOOKUP(1,(_bbt3[[#All],[ID]]=A692)*(_bbt3[[#All],[METRIC_NAME]]="YLD_YTM_BID"),_bbt3[[#All],[METRIC_VALUE]])*0.5))/100,"")</f>
        <v/>
      </c>
      <c r="I692">
        <f>IF(ISNA(VLOOKUP(A692,QW_CloseDL!A:E,5,0)),0,VLOOKUP(A692,QW_CloseDL!A:E,5,0))</f>
        <v>0</v>
      </c>
      <c r="J692" s="8" t="str">
        <f t="shared" si="50"/>
        <v/>
      </c>
      <c r="P692">
        <v>0</v>
      </c>
      <c r="Q692" t="e">
        <f t="shared" si="51"/>
        <v>#N/A</v>
      </c>
      <c r="R692" t="e">
        <f t="shared" si="52"/>
        <v>#N/A</v>
      </c>
      <c r="S692" s="9" t="e">
        <f t="shared" si="53"/>
        <v>#N/A</v>
      </c>
      <c r="T692" s="3" t="e">
        <f t="shared" si="54"/>
        <v>#N/A</v>
      </c>
    </row>
    <row r="693" spans="2:20" x14ac:dyDescent="0.35">
      <c r="B693" t="str">
        <f>IF(NOT(ISBLANK(A693)),VLOOKUP(A693,'BBT3'!A:F,2,0),"")</f>
        <v/>
      </c>
      <c r="C693" t="str">
        <f>IF(NOT(ISBLANK(A693)),VLOOKUP(A693,'BBT3'!A:F,3,0),"")</f>
        <v/>
      </c>
      <c r="D693" s="6" t="str">
        <f>IF(NOT(ISBLANK(A693)),VLOOKUP(A693,'BBT3'!A:F,4,1),"")</f>
        <v/>
      </c>
      <c r="E693" t="str">
        <f>IF(NOT(ISBLANK(A693)),VLOOKUP(A693,'BBT3'!A:F,5,0),"")</f>
        <v/>
      </c>
      <c r="F693" t="str">
        <f>IF(NOT(ISBLANK(A693)),VLOOKUP(A693,'BBT3'!A:F,6,0),"")</f>
        <v/>
      </c>
      <c r="G693" t="str">
        <f>IF(NOT(ISBLANK(A693)),VLOOKUP(A693,QW_Close!A:J,5,0),"")</f>
        <v/>
      </c>
      <c r="H693" s="5" t="str" cm="1">
        <f t="array" ref="H693">IF(NOT(ISBLANK(A693)),((_xlfn.XLOOKUP(1,(_bbt3[[#All],[ID]]=A693)*(_bbt3[[#All],[METRIC_NAME]]="YLD_YTM_ASK"),_bbt3[[#All],[METRIC_VALUE]])*0.5)+(_xlfn.XLOOKUP(1,(_bbt3[[#All],[ID]]=A693)*(_bbt3[[#All],[METRIC_NAME]]="YLD_YTM_BID"),_bbt3[[#All],[METRIC_VALUE]])*0.5))/100,"")</f>
        <v/>
      </c>
      <c r="I693">
        <f>IF(ISNA(VLOOKUP(A693,QW_CloseDL!A:E,5,0)),0,VLOOKUP(A693,QW_CloseDL!A:E,5,0))</f>
        <v>0</v>
      </c>
      <c r="J693" s="8" t="str">
        <f t="shared" si="50"/>
        <v/>
      </c>
      <c r="P693">
        <v>0</v>
      </c>
      <c r="Q693" t="e">
        <f t="shared" si="51"/>
        <v>#N/A</v>
      </c>
      <c r="R693" t="e">
        <f t="shared" si="52"/>
        <v>#N/A</v>
      </c>
      <c r="S693" s="9" t="e">
        <f t="shared" si="53"/>
        <v>#N/A</v>
      </c>
      <c r="T693" s="3" t="e">
        <f t="shared" si="54"/>
        <v>#N/A</v>
      </c>
    </row>
    <row r="694" spans="2:20" x14ac:dyDescent="0.35">
      <c r="B694" t="str">
        <f>IF(NOT(ISBLANK(A694)),VLOOKUP(A694,'BBT3'!A:F,2,0),"")</f>
        <v/>
      </c>
      <c r="C694" t="str">
        <f>IF(NOT(ISBLANK(A694)),VLOOKUP(A694,'BBT3'!A:F,3,0),"")</f>
        <v/>
      </c>
      <c r="D694" s="6" t="str">
        <f>IF(NOT(ISBLANK(A694)),VLOOKUP(A694,'BBT3'!A:F,4,1),"")</f>
        <v/>
      </c>
      <c r="E694" t="str">
        <f>IF(NOT(ISBLANK(A694)),VLOOKUP(A694,'BBT3'!A:F,5,0),"")</f>
        <v/>
      </c>
      <c r="F694" t="str">
        <f>IF(NOT(ISBLANK(A694)),VLOOKUP(A694,'BBT3'!A:F,6,0),"")</f>
        <v/>
      </c>
      <c r="G694" t="str">
        <f>IF(NOT(ISBLANK(A694)),VLOOKUP(A694,QW_Close!A:J,5,0),"")</f>
        <v/>
      </c>
      <c r="H694" s="5" t="str" cm="1">
        <f t="array" ref="H694">IF(NOT(ISBLANK(A694)),((_xlfn.XLOOKUP(1,(_bbt3[[#All],[ID]]=A694)*(_bbt3[[#All],[METRIC_NAME]]="YLD_YTM_ASK"),_bbt3[[#All],[METRIC_VALUE]])*0.5)+(_xlfn.XLOOKUP(1,(_bbt3[[#All],[ID]]=A694)*(_bbt3[[#All],[METRIC_NAME]]="YLD_YTM_BID"),_bbt3[[#All],[METRIC_VALUE]])*0.5))/100,"")</f>
        <v/>
      </c>
      <c r="I694">
        <f>IF(ISNA(VLOOKUP(A694,QW_CloseDL!A:E,5,0)),0,VLOOKUP(A694,QW_CloseDL!A:E,5,0))</f>
        <v>0</v>
      </c>
      <c r="J694" s="8" t="str">
        <f t="shared" si="50"/>
        <v/>
      </c>
      <c r="P694">
        <v>0</v>
      </c>
      <c r="Q694" t="e">
        <f t="shared" si="51"/>
        <v>#N/A</v>
      </c>
      <c r="R694" t="e">
        <f t="shared" si="52"/>
        <v>#N/A</v>
      </c>
      <c r="S694" s="9" t="e">
        <f t="shared" si="53"/>
        <v>#N/A</v>
      </c>
      <c r="T694" s="3" t="e">
        <f t="shared" si="54"/>
        <v>#N/A</v>
      </c>
    </row>
    <row r="695" spans="2:20" x14ac:dyDescent="0.35">
      <c r="B695" t="str">
        <f>IF(NOT(ISBLANK(A695)),VLOOKUP(A695,'BBT3'!A:F,2,0),"")</f>
        <v/>
      </c>
      <c r="C695" t="str">
        <f>IF(NOT(ISBLANK(A695)),VLOOKUP(A695,'BBT3'!A:F,3,0),"")</f>
        <v/>
      </c>
      <c r="D695" s="6" t="str">
        <f>IF(NOT(ISBLANK(A695)),VLOOKUP(A695,'BBT3'!A:F,4,1),"")</f>
        <v/>
      </c>
      <c r="E695" t="str">
        <f>IF(NOT(ISBLANK(A695)),VLOOKUP(A695,'BBT3'!A:F,5,0),"")</f>
        <v/>
      </c>
      <c r="F695" t="str">
        <f>IF(NOT(ISBLANK(A695)),VLOOKUP(A695,'BBT3'!A:F,6,0),"")</f>
        <v/>
      </c>
      <c r="G695" t="str">
        <f>IF(NOT(ISBLANK(A695)),VLOOKUP(A695,QW_Close!A:J,5,0),"")</f>
        <v/>
      </c>
      <c r="H695" s="5" t="str" cm="1">
        <f t="array" ref="H695">IF(NOT(ISBLANK(A695)),((_xlfn.XLOOKUP(1,(_bbt3[[#All],[ID]]=A695)*(_bbt3[[#All],[METRIC_NAME]]="YLD_YTM_ASK"),_bbt3[[#All],[METRIC_VALUE]])*0.5)+(_xlfn.XLOOKUP(1,(_bbt3[[#All],[ID]]=A695)*(_bbt3[[#All],[METRIC_NAME]]="YLD_YTM_BID"),_bbt3[[#All],[METRIC_VALUE]])*0.5))/100,"")</f>
        <v/>
      </c>
      <c r="I695">
        <f>IF(ISNA(VLOOKUP(A695,QW_CloseDL!A:E,5,0)),0,VLOOKUP(A695,QW_CloseDL!A:E,5,0))</f>
        <v>0</v>
      </c>
      <c r="J695" s="8" t="str">
        <f t="shared" si="50"/>
        <v/>
      </c>
      <c r="P695">
        <v>0</v>
      </c>
      <c r="Q695" t="e">
        <f t="shared" si="51"/>
        <v>#N/A</v>
      </c>
      <c r="R695" t="e">
        <f t="shared" si="52"/>
        <v>#N/A</v>
      </c>
      <c r="S695" s="9" t="e">
        <f t="shared" si="53"/>
        <v>#N/A</v>
      </c>
      <c r="T695" s="3" t="e">
        <f t="shared" si="54"/>
        <v>#N/A</v>
      </c>
    </row>
    <row r="696" spans="2:20" x14ac:dyDescent="0.35">
      <c r="B696" t="str">
        <f>IF(NOT(ISBLANK(A696)),VLOOKUP(A696,'BBT3'!A:F,2,0),"")</f>
        <v/>
      </c>
      <c r="C696" t="str">
        <f>IF(NOT(ISBLANK(A696)),VLOOKUP(A696,'BBT3'!A:F,3,0),"")</f>
        <v/>
      </c>
      <c r="D696" s="6" t="str">
        <f>IF(NOT(ISBLANK(A696)),VLOOKUP(A696,'BBT3'!A:F,4,1),"")</f>
        <v/>
      </c>
      <c r="E696" t="str">
        <f>IF(NOT(ISBLANK(A696)),VLOOKUP(A696,'BBT3'!A:F,5,0),"")</f>
        <v/>
      </c>
      <c r="F696" t="str">
        <f>IF(NOT(ISBLANK(A696)),VLOOKUP(A696,'BBT3'!A:F,6,0),"")</f>
        <v/>
      </c>
      <c r="G696" t="str">
        <f>IF(NOT(ISBLANK(A696)),VLOOKUP(A696,QW_Close!A:J,5,0),"")</f>
        <v/>
      </c>
      <c r="H696" s="5" t="str" cm="1">
        <f t="array" ref="H696">IF(NOT(ISBLANK(A696)),((_xlfn.XLOOKUP(1,(_bbt3[[#All],[ID]]=A696)*(_bbt3[[#All],[METRIC_NAME]]="YLD_YTM_ASK"),_bbt3[[#All],[METRIC_VALUE]])*0.5)+(_xlfn.XLOOKUP(1,(_bbt3[[#All],[ID]]=A696)*(_bbt3[[#All],[METRIC_NAME]]="YLD_YTM_BID"),_bbt3[[#All],[METRIC_VALUE]])*0.5))/100,"")</f>
        <v/>
      </c>
      <c r="I696">
        <f>IF(ISNA(VLOOKUP(A696,QW_CloseDL!A:E,5,0)),0,VLOOKUP(A696,QW_CloseDL!A:E,5,0))</f>
        <v>0</v>
      </c>
      <c r="J696" s="8" t="str">
        <f t="shared" si="50"/>
        <v/>
      </c>
      <c r="P696">
        <v>0</v>
      </c>
      <c r="Q696" t="e">
        <f t="shared" si="51"/>
        <v>#N/A</v>
      </c>
      <c r="R696" t="e">
        <f t="shared" si="52"/>
        <v>#N/A</v>
      </c>
      <c r="S696" s="9" t="e">
        <f t="shared" si="53"/>
        <v>#N/A</v>
      </c>
      <c r="T696" s="3" t="e">
        <f t="shared" si="54"/>
        <v>#N/A</v>
      </c>
    </row>
    <row r="697" spans="2:20" x14ac:dyDescent="0.35">
      <c r="B697" t="str">
        <f>IF(NOT(ISBLANK(A697)),VLOOKUP(A697,'BBT3'!A:F,2,0),"")</f>
        <v/>
      </c>
      <c r="C697" t="str">
        <f>IF(NOT(ISBLANK(A697)),VLOOKUP(A697,'BBT3'!A:F,3,0),"")</f>
        <v/>
      </c>
      <c r="D697" s="6" t="str">
        <f>IF(NOT(ISBLANK(A697)),VLOOKUP(A697,'BBT3'!A:F,4,1),"")</f>
        <v/>
      </c>
      <c r="E697" t="str">
        <f>IF(NOT(ISBLANK(A697)),VLOOKUP(A697,'BBT3'!A:F,5,0),"")</f>
        <v/>
      </c>
      <c r="F697" t="str">
        <f>IF(NOT(ISBLANK(A697)),VLOOKUP(A697,'BBT3'!A:F,6,0),"")</f>
        <v/>
      </c>
      <c r="G697" t="str">
        <f>IF(NOT(ISBLANK(A697)),VLOOKUP(A697,QW_Close!A:J,5,0),"")</f>
        <v/>
      </c>
      <c r="H697" s="5" t="str" cm="1">
        <f t="array" ref="H697">IF(NOT(ISBLANK(A697)),((_xlfn.XLOOKUP(1,(_bbt3[[#All],[ID]]=A697)*(_bbt3[[#All],[METRIC_NAME]]="YLD_YTM_ASK"),_bbt3[[#All],[METRIC_VALUE]])*0.5)+(_xlfn.XLOOKUP(1,(_bbt3[[#All],[ID]]=A697)*(_bbt3[[#All],[METRIC_NAME]]="YLD_YTM_BID"),_bbt3[[#All],[METRIC_VALUE]])*0.5))/100,"")</f>
        <v/>
      </c>
      <c r="I697">
        <f>IF(ISNA(VLOOKUP(A697,QW_CloseDL!A:E,5,0)),0,VLOOKUP(A697,QW_CloseDL!A:E,5,0))</f>
        <v>0</v>
      </c>
      <c r="J697" s="8" t="str">
        <f t="shared" si="50"/>
        <v/>
      </c>
      <c r="P697">
        <v>0</v>
      </c>
      <c r="Q697" t="e">
        <f t="shared" si="51"/>
        <v>#N/A</v>
      </c>
      <c r="R697" t="e">
        <f t="shared" si="52"/>
        <v>#N/A</v>
      </c>
      <c r="S697" s="9" t="e">
        <f t="shared" si="53"/>
        <v>#N/A</v>
      </c>
      <c r="T697" s="3" t="e">
        <f t="shared" si="54"/>
        <v>#N/A</v>
      </c>
    </row>
    <row r="698" spans="2:20" x14ac:dyDescent="0.35">
      <c r="B698" t="str">
        <f>IF(NOT(ISBLANK(A698)),VLOOKUP(A698,'BBT3'!A:F,2,0),"")</f>
        <v/>
      </c>
      <c r="C698" t="str">
        <f>IF(NOT(ISBLANK(A698)),VLOOKUP(A698,'BBT3'!A:F,3,0),"")</f>
        <v/>
      </c>
      <c r="D698" s="6" t="str">
        <f>IF(NOT(ISBLANK(A698)),VLOOKUP(A698,'BBT3'!A:F,4,1),"")</f>
        <v/>
      </c>
      <c r="E698" t="str">
        <f>IF(NOT(ISBLANK(A698)),VLOOKUP(A698,'BBT3'!A:F,5,0),"")</f>
        <v/>
      </c>
      <c r="F698" t="str">
        <f>IF(NOT(ISBLANK(A698)),VLOOKUP(A698,'BBT3'!A:F,6,0),"")</f>
        <v/>
      </c>
      <c r="G698" t="str">
        <f>IF(NOT(ISBLANK(A698)),VLOOKUP(A698,QW_Close!A:J,5,0),"")</f>
        <v/>
      </c>
      <c r="H698" s="5" t="str" cm="1">
        <f t="array" ref="H698">IF(NOT(ISBLANK(A698)),((_xlfn.XLOOKUP(1,(_bbt3[[#All],[ID]]=A698)*(_bbt3[[#All],[METRIC_NAME]]="YLD_YTM_ASK"),_bbt3[[#All],[METRIC_VALUE]])*0.5)+(_xlfn.XLOOKUP(1,(_bbt3[[#All],[ID]]=A698)*(_bbt3[[#All],[METRIC_NAME]]="YLD_YTM_BID"),_bbt3[[#All],[METRIC_VALUE]])*0.5))/100,"")</f>
        <v/>
      </c>
      <c r="I698">
        <f>IF(ISNA(VLOOKUP(A698,QW_CloseDL!A:E,5,0)),0,VLOOKUP(A698,QW_CloseDL!A:E,5,0))</f>
        <v>0</v>
      </c>
      <c r="J698" s="8" t="str">
        <f t="shared" si="50"/>
        <v/>
      </c>
      <c r="P698">
        <v>0</v>
      </c>
      <c r="Q698" t="e">
        <f t="shared" si="51"/>
        <v>#N/A</v>
      </c>
      <c r="R698" t="e">
        <f t="shared" si="52"/>
        <v>#N/A</v>
      </c>
      <c r="S698" s="9" t="e">
        <f t="shared" si="53"/>
        <v>#N/A</v>
      </c>
      <c r="T698" s="3" t="e">
        <f t="shared" si="54"/>
        <v>#N/A</v>
      </c>
    </row>
    <row r="699" spans="2:20" x14ac:dyDescent="0.35">
      <c r="B699" t="str">
        <f>IF(NOT(ISBLANK(A699)),VLOOKUP(A699,'BBT3'!A:F,2,0),"")</f>
        <v/>
      </c>
      <c r="C699" t="str">
        <f>IF(NOT(ISBLANK(A699)),VLOOKUP(A699,'BBT3'!A:F,3,0),"")</f>
        <v/>
      </c>
      <c r="D699" s="6" t="str">
        <f>IF(NOT(ISBLANK(A699)),VLOOKUP(A699,'BBT3'!A:F,4,1),"")</f>
        <v/>
      </c>
      <c r="E699" t="str">
        <f>IF(NOT(ISBLANK(A699)),VLOOKUP(A699,'BBT3'!A:F,5,0),"")</f>
        <v/>
      </c>
      <c r="F699" t="str">
        <f>IF(NOT(ISBLANK(A699)),VLOOKUP(A699,'BBT3'!A:F,6,0),"")</f>
        <v/>
      </c>
      <c r="G699" t="str">
        <f>IF(NOT(ISBLANK(A699)),VLOOKUP(A699,QW_Close!A:J,5,0),"")</f>
        <v/>
      </c>
      <c r="H699" s="5" t="str" cm="1">
        <f t="array" ref="H699">IF(NOT(ISBLANK(A699)),((_xlfn.XLOOKUP(1,(_bbt3[[#All],[ID]]=A699)*(_bbt3[[#All],[METRIC_NAME]]="YLD_YTM_ASK"),_bbt3[[#All],[METRIC_VALUE]])*0.5)+(_xlfn.XLOOKUP(1,(_bbt3[[#All],[ID]]=A699)*(_bbt3[[#All],[METRIC_NAME]]="YLD_YTM_BID"),_bbt3[[#All],[METRIC_VALUE]])*0.5))/100,"")</f>
        <v/>
      </c>
      <c r="I699">
        <f>IF(ISNA(VLOOKUP(A699,QW_CloseDL!A:E,5,0)),0,VLOOKUP(A699,QW_CloseDL!A:E,5,0))</f>
        <v>0</v>
      </c>
      <c r="J699" s="8" t="str">
        <f t="shared" si="50"/>
        <v/>
      </c>
      <c r="P699">
        <v>0</v>
      </c>
      <c r="Q699" t="e">
        <f t="shared" si="51"/>
        <v>#N/A</v>
      </c>
      <c r="R699" t="e">
        <f t="shared" si="52"/>
        <v>#N/A</v>
      </c>
      <c r="S699" s="9" t="e">
        <f t="shared" si="53"/>
        <v>#N/A</v>
      </c>
      <c r="T699" s="3" t="e">
        <f t="shared" si="54"/>
        <v>#N/A</v>
      </c>
    </row>
    <row r="700" spans="2:20" x14ac:dyDescent="0.35">
      <c r="B700" t="str">
        <f>IF(NOT(ISBLANK(A700)),VLOOKUP(A700,'BBT3'!A:F,2,0),"")</f>
        <v/>
      </c>
      <c r="C700" t="str">
        <f>IF(NOT(ISBLANK(A700)),VLOOKUP(A700,'BBT3'!A:F,3,0),"")</f>
        <v/>
      </c>
      <c r="D700" s="6" t="str">
        <f>IF(NOT(ISBLANK(A700)),VLOOKUP(A700,'BBT3'!A:F,4,1),"")</f>
        <v/>
      </c>
      <c r="E700" t="str">
        <f>IF(NOT(ISBLANK(A700)),VLOOKUP(A700,'BBT3'!A:F,5,0),"")</f>
        <v/>
      </c>
      <c r="F700" t="str">
        <f>IF(NOT(ISBLANK(A700)),VLOOKUP(A700,'BBT3'!A:F,6,0),"")</f>
        <v/>
      </c>
      <c r="G700" t="str">
        <f>IF(NOT(ISBLANK(A700)),VLOOKUP(A700,QW_Close!A:J,5,0),"")</f>
        <v/>
      </c>
      <c r="H700" s="5" t="str" cm="1">
        <f t="array" ref="H700">IF(NOT(ISBLANK(A700)),((_xlfn.XLOOKUP(1,(_bbt3[[#All],[ID]]=A700)*(_bbt3[[#All],[METRIC_NAME]]="YLD_YTM_ASK"),_bbt3[[#All],[METRIC_VALUE]])*0.5)+(_xlfn.XLOOKUP(1,(_bbt3[[#All],[ID]]=A700)*(_bbt3[[#All],[METRIC_NAME]]="YLD_YTM_BID"),_bbt3[[#All],[METRIC_VALUE]])*0.5))/100,"")</f>
        <v/>
      </c>
      <c r="I700">
        <f>IF(ISNA(VLOOKUP(A700,QW_CloseDL!A:E,5,0)),0,VLOOKUP(A700,QW_CloseDL!A:E,5,0))</f>
        <v>0</v>
      </c>
      <c r="J700" s="8" t="str">
        <f t="shared" si="50"/>
        <v/>
      </c>
      <c r="P700">
        <v>0</v>
      </c>
      <c r="Q700" t="e">
        <f t="shared" si="51"/>
        <v>#N/A</v>
      </c>
      <c r="R700" t="e">
        <f t="shared" si="52"/>
        <v>#N/A</v>
      </c>
      <c r="S700" s="9" t="e">
        <f t="shared" si="53"/>
        <v>#N/A</v>
      </c>
      <c r="T700" s="3" t="e">
        <f t="shared" si="54"/>
        <v>#N/A</v>
      </c>
    </row>
    <row r="701" spans="2:20" x14ac:dyDescent="0.35">
      <c r="B701" t="str">
        <f>IF(NOT(ISBLANK(A701)),VLOOKUP(A701,'BBT3'!A:F,2,0),"")</f>
        <v/>
      </c>
      <c r="C701" t="str">
        <f>IF(NOT(ISBLANK(A701)),VLOOKUP(A701,'BBT3'!A:F,3,0),"")</f>
        <v/>
      </c>
      <c r="D701" s="6" t="str">
        <f>IF(NOT(ISBLANK(A701)),VLOOKUP(A701,'BBT3'!A:F,4,1),"")</f>
        <v/>
      </c>
      <c r="E701" t="str">
        <f>IF(NOT(ISBLANK(A701)),VLOOKUP(A701,'BBT3'!A:F,5,0),"")</f>
        <v/>
      </c>
      <c r="F701" t="str">
        <f>IF(NOT(ISBLANK(A701)),VLOOKUP(A701,'BBT3'!A:F,6,0),"")</f>
        <v/>
      </c>
      <c r="G701" t="str">
        <f>IF(NOT(ISBLANK(A701)),VLOOKUP(A701,QW_Close!A:J,5,0),"")</f>
        <v/>
      </c>
      <c r="H701" s="5" t="str" cm="1">
        <f t="array" ref="H701">IF(NOT(ISBLANK(A701)),((_xlfn.XLOOKUP(1,(_bbt3[[#All],[ID]]=A701)*(_bbt3[[#All],[METRIC_NAME]]="YLD_YTM_ASK"),_bbt3[[#All],[METRIC_VALUE]])*0.5)+(_xlfn.XLOOKUP(1,(_bbt3[[#All],[ID]]=A701)*(_bbt3[[#All],[METRIC_NAME]]="YLD_YTM_BID"),_bbt3[[#All],[METRIC_VALUE]])*0.5))/100,"")</f>
        <v/>
      </c>
      <c r="I701">
        <f>IF(ISNA(VLOOKUP(A701,QW_CloseDL!A:E,5,0)),0,VLOOKUP(A701,QW_CloseDL!A:E,5,0))</f>
        <v>0</v>
      </c>
      <c r="J701" s="8" t="str">
        <f t="shared" si="50"/>
        <v/>
      </c>
      <c r="P701">
        <v>0</v>
      </c>
      <c r="Q701" t="e">
        <f t="shared" si="51"/>
        <v>#N/A</v>
      </c>
      <c r="R701" t="e">
        <f t="shared" si="52"/>
        <v>#N/A</v>
      </c>
      <c r="S701" s="9" t="e">
        <f t="shared" si="53"/>
        <v>#N/A</v>
      </c>
      <c r="T701" s="3" t="e">
        <f t="shared" si="54"/>
        <v>#N/A</v>
      </c>
    </row>
    <row r="702" spans="2:20" x14ac:dyDescent="0.35">
      <c r="B702" t="str">
        <f>IF(NOT(ISBLANK(A702)),VLOOKUP(A702,'BBT3'!A:F,2,0),"")</f>
        <v/>
      </c>
      <c r="C702" t="str">
        <f>IF(NOT(ISBLANK(A702)),VLOOKUP(A702,'BBT3'!A:F,3,0),"")</f>
        <v/>
      </c>
      <c r="D702" s="6" t="str">
        <f>IF(NOT(ISBLANK(A702)),VLOOKUP(A702,'BBT3'!A:F,4,1),"")</f>
        <v/>
      </c>
      <c r="E702" t="str">
        <f>IF(NOT(ISBLANK(A702)),VLOOKUP(A702,'BBT3'!A:F,5,0),"")</f>
        <v/>
      </c>
      <c r="F702" t="str">
        <f>IF(NOT(ISBLANK(A702)),VLOOKUP(A702,'BBT3'!A:F,6,0),"")</f>
        <v/>
      </c>
      <c r="G702" t="str">
        <f>IF(NOT(ISBLANK(A702)),VLOOKUP(A702,QW_Close!A:J,5,0),"")</f>
        <v/>
      </c>
      <c r="H702" s="5" t="str" cm="1">
        <f t="array" ref="H702">IF(NOT(ISBLANK(A702)),((_xlfn.XLOOKUP(1,(_bbt3[[#All],[ID]]=A702)*(_bbt3[[#All],[METRIC_NAME]]="YLD_YTM_ASK"),_bbt3[[#All],[METRIC_VALUE]])*0.5)+(_xlfn.XLOOKUP(1,(_bbt3[[#All],[ID]]=A702)*(_bbt3[[#All],[METRIC_NAME]]="YLD_YTM_BID"),_bbt3[[#All],[METRIC_VALUE]])*0.5))/100,"")</f>
        <v/>
      </c>
      <c r="I702">
        <f>IF(ISNA(VLOOKUP(A702,QW_CloseDL!A:E,5,0)),0,VLOOKUP(A702,QW_CloseDL!A:E,5,0))</f>
        <v>0</v>
      </c>
      <c r="J702" s="8" t="str">
        <f t="shared" si="50"/>
        <v/>
      </c>
      <c r="P702">
        <v>0</v>
      </c>
      <c r="Q702" t="e">
        <f t="shared" si="51"/>
        <v>#N/A</v>
      </c>
      <c r="R702" t="e">
        <f t="shared" si="52"/>
        <v>#N/A</v>
      </c>
      <c r="S702" s="9" t="e">
        <f t="shared" si="53"/>
        <v>#N/A</v>
      </c>
      <c r="T702" s="3" t="e">
        <f t="shared" si="54"/>
        <v>#N/A</v>
      </c>
    </row>
    <row r="703" spans="2:20" x14ac:dyDescent="0.35">
      <c r="B703" t="str">
        <f>IF(NOT(ISBLANK(A703)),VLOOKUP(A703,'BBT3'!A:F,2,0),"")</f>
        <v/>
      </c>
      <c r="C703" t="str">
        <f>IF(NOT(ISBLANK(A703)),VLOOKUP(A703,'BBT3'!A:F,3,0),"")</f>
        <v/>
      </c>
      <c r="D703" s="6" t="str">
        <f>IF(NOT(ISBLANK(A703)),VLOOKUP(A703,'BBT3'!A:F,4,1),"")</f>
        <v/>
      </c>
      <c r="E703" t="str">
        <f>IF(NOT(ISBLANK(A703)),VLOOKUP(A703,'BBT3'!A:F,5,0),"")</f>
        <v/>
      </c>
      <c r="F703" t="str">
        <f>IF(NOT(ISBLANK(A703)),VLOOKUP(A703,'BBT3'!A:F,6,0),"")</f>
        <v/>
      </c>
      <c r="G703" t="str">
        <f>IF(NOT(ISBLANK(A703)),VLOOKUP(A703,QW_Close!A:J,5,0),"")</f>
        <v/>
      </c>
      <c r="H703" s="5" t="str" cm="1">
        <f t="array" ref="H703">IF(NOT(ISBLANK(A703)),((_xlfn.XLOOKUP(1,(_bbt3[[#All],[ID]]=A703)*(_bbt3[[#All],[METRIC_NAME]]="YLD_YTM_ASK"),_bbt3[[#All],[METRIC_VALUE]])*0.5)+(_xlfn.XLOOKUP(1,(_bbt3[[#All],[ID]]=A703)*(_bbt3[[#All],[METRIC_NAME]]="YLD_YTM_BID"),_bbt3[[#All],[METRIC_VALUE]])*0.5))/100,"")</f>
        <v/>
      </c>
      <c r="I703">
        <f>IF(ISNA(VLOOKUP(A703,QW_CloseDL!A:E,5,0)),0,VLOOKUP(A703,QW_CloseDL!A:E,5,0))</f>
        <v>0</v>
      </c>
      <c r="J703" s="8" t="str">
        <f t="shared" si="50"/>
        <v/>
      </c>
      <c r="P703">
        <v>0</v>
      </c>
      <c r="Q703" t="e">
        <f t="shared" si="51"/>
        <v>#N/A</v>
      </c>
      <c r="R703" t="e">
        <f t="shared" si="52"/>
        <v>#N/A</v>
      </c>
      <c r="S703" s="9" t="e">
        <f t="shared" si="53"/>
        <v>#N/A</v>
      </c>
      <c r="T703" s="3" t="e">
        <f t="shared" si="54"/>
        <v>#N/A</v>
      </c>
    </row>
    <row r="704" spans="2:20" x14ac:dyDescent="0.35">
      <c r="B704" t="str">
        <f>IF(NOT(ISBLANK(A704)),VLOOKUP(A704,'BBT3'!A:F,2,0),"")</f>
        <v/>
      </c>
      <c r="C704" t="str">
        <f>IF(NOT(ISBLANK(A704)),VLOOKUP(A704,'BBT3'!A:F,3,0),"")</f>
        <v/>
      </c>
      <c r="D704" s="6" t="str">
        <f>IF(NOT(ISBLANK(A704)),VLOOKUP(A704,'BBT3'!A:F,4,1),"")</f>
        <v/>
      </c>
      <c r="E704" t="str">
        <f>IF(NOT(ISBLANK(A704)),VLOOKUP(A704,'BBT3'!A:F,5,0),"")</f>
        <v/>
      </c>
      <c r="F704" t="str">
        <f>IF(NOT(ISBLANK(A704)),VLOOKUP(A704,'BBT3'!A:F,6,0),"")</f>
        <v/>
      </c>
      <c r="G704" t="str">
        <f>IF(NOT(ISBLANK(A704)),VLOOKUP(A704,QW_Close!A:J,5,0),"")</f>
        <v/>
      </c>
      <c r="H704" s="5" t="str" cm="1">
        <f t="array" ref="H704">IF(NOT(ISBLANK(A704)),((_xlfn.XLOOKUP(1,(_bbt3[[#All],[ID]]=A704)*(_bbt3[[#All],[METRIC_NAME]]="YLD_YTM_ASK"),_bbt3[[#All],[METRIC_VALUE]])*0.5)+(_xlfn.XLOOKUP(1,(_bbt3[[#All],[ID]]=A704)*(_bbt3[[#All],[METRIC_NAME]]="YLD_YTM_BID"),_bbt3[[#All],[METRIC_VALUE]])*0.5))/100,"")</f>
        <v/>
      </c>
      <c r="I704">
        <f>IF(ISNA(VLOOKUP(A704,QW_CloseDL!A:E,5,0)),0,VLOOKUP(A704,QW_CloseDL!A:E,5,0))</f>
        <v>0</v>
      </c>
      <c r="J704" s="8" t="str">
        <f t="shared" si="50"/>
        <v/>
      </c>
      <c r="P704">
        <v>0</v>
      </c>
      <c r="Q704" t="e">
        <f t="shared" si="51"/>
        <v>#N/A</v>
      </c>
      <c r="R704" t="e">
        <f t="shared" si="52"/>
        <v>#N/A</v>
      </c>
      <c r="S704" s="9" t="e">
        <f t="shared" si="53"/>
        <v>#N/A</v>
      </c>
      <c r="T704" s="3" t="e">
        <f t="shared" si="54"/>
        <v>#N/A</v>
      </c>
    </row>
    <row r="705" spans="2:20" x14ac:dyDescent="0.35">
      <c r="B705" t="str">
        <f>IF(NOT(ISBLANK(A705)),VLOOKUP(A705,'BBT3'!A:F,2,0),"")</f>
        <v/>
      </c>
      <c r="C705" t="str">
        <f>IF(NOT(ISBLANK(A705)),VLOOKUP(A705,'BBT3'!A:F,3,0),"")</f>
        <v/>
      </c>
      <c r="D705" s="6" t="str">
        <f>IF(NOT(ISBLANK(A705)),VLOOKUP(A705,'BBT3'!A:F,4,1),"")</f>
        <v/>
      </c>
      <c r="E705" t="str">
        <f>IF(NOT(ISBLANK(A705)),VLOOKUP(A705,'BBT3'!A:F,5,0),"")</f>
        <v/>
      </c>
      <c r="F705" t="str">
        <f>IF(NOT(ISBLANK(A705)),VLOOKUP(A705,'BBT3'!A:F,6,0),"")</f>
        <v/>
      </c>
      <c r="G705" t="str">
        <f>IF(NOT(ISBLANK(A705)),VLOOKUP(A705,QW_Close!A:J,5,0),"")</f>
        <v/>
      </c>
      <c r="H705" s="5" t="str" cm="1">
        <f t="array" ref="H705">IF(NOT(ISBLANK(A705)),((_xlfn.XLOOKUP(1,(_bbt3[[#All],[ID]]=A705)*(_bbt3[[#All],[METRIC_NAME]]="YLD_YTM_ASK"),_bbt3[[#All],[METRIC_VALUE]])*0.5)+(_xlfn.XLOOKUP(1,(_bbt3[[#All],[ID]]=A705)*(_bbt3[[#All],[METRIC_NAME]]="YLD_YTM_BID"),_bbt3[[#All],[METRIC_VALUE]])*0.5))/100,"")</f>
        <v/>
      </c>
      <c r="I705">
        <f>IF(ISNA(VLOOKUP(A705,QW_CloseDL!A:E,5,0)),0,VLOOKUP(A705,QW_CloseDL!A:E,5,0))</f>
        <v>0</v>
      </c>
      <c r="J705" s="8" t="str">
        <f t="shared" si="50"/>
        <v/>
      </c>
      <c r="P705">
        <v>0</v>
      </c>
      <c r="Q705" t="e">
        <f t="shared" si="51"/>
        <v>#N/A</v>
      </c>
      <c r="R705" t="e">
        <f t="shared" si="52"/>
        <v>#N/A</v>
      </c>
      <c r="S705" s="9" t="e">
        <f t="shared" si="53"/>
        <v>#N/A</v>
      </c>
      <c r="T705" s="3" t="e">
        <f t="shared" si="54"/>
        <v>#N/A</v>
      </c>
    </row>
    <row r="706" spans="2:20" x14ac:dyDescent="0.35">
      <c r="B706" t="str">
        <f>IF(NOT(ISBLANK(A706)),VLOOKUP(A706,'BBT3'!A:F,2,0),"")</f>
        <v/>
      </c>
      <c r="C706" t="str">
        <f>IF(NOT(ISBLANK(A706)),VLOOKUP(A706,'BBT3'!A:F,3,0),"")</f>
        <v/>
      </c>
      <c r="D706" s="6" t="str">
        <f>IF(NOT(ISBLANK(A706)),VLOOKUP(A706,'BBT3'!A:F,4,1),"")</f>
        <v/>
      </c>
      <c r="E706" t="str">
        <f>IF(NOT(ISBLANK(A706)),VLOOKUP(A706,'BBT3'!A:F,5,0),"")</f>
        <v/>
      </c>
      <c r="F706" t="str">
        <f>IF(NOT(ISBLANK(A706)),VLOOKUP(A706,'BBT3'!A:F,6,0),"")</f>
        <v/>
      </c>
      <c r="G706" t="str">
        <f>IF(NOT(ISBLANK(A706)),VLOOKUP(A706,QW_Close!A:J,5,0),"")</f>
        <v/>
      </c>
      <c r="H706" s="5" t="str" cm="1">
        <f t="array" ref="H706">IF(NOT(ISBLANK(A706)),((_xlfn.XLOOKUP(1,(_bbt3[[#All],[ID]]=A706)*(_bbt3[[#All],[METRIC_NAME]]="YLD_YTM_ASK"),_bbt3[[#All],[METRIC_VALUE]])*0.5)+(_xlfn.XLOOKUP(1,(_bbt3[[#All],[ID]]=A706)*(_bbt3[[#All],[METRIC_NAME]]="YLD_YTM_BID"),_bbt3[[#All],[METRIC_VALUE]])*0.5))/100,"")</f>
        <v/>
      </c>
      <c r="I706">
        <f>IF(ISNA(VLOOKUP(A706,QW_CloseDL!A:E,5,0)),0,VLOOKUP(A706,QW_CloseDL!A:E,5,0))</f>
        <v>0</v>
      </c>
      <c r="J706" s="8" t="str">
        <f t="shared" si="50"/>
        <v/>
      </c>
      <c r="P706">
        <v>0</v>
      </c>
      <c r="Q706" t="e">
        <f t="shared" si="51"/>
        <v>#N/A</v>
      </c>
      <c r="R706" t="e">
        <f t="shared" si="52"/>
        <v>#N/A</v>
      </c>
      <c r="S706" s="9" t="e">
        <f t="shared" si="53"/>
        <v>#N/A</v>
      </c>
      <c r="T706" s="3" t="e">
        <f t="shared" si="54"/>
        <v>#N/A</v>
      </c>
    </row>
    <row r="707" spans="2:20" x14ac:dyDescent="0.35">
      <c r="B707" t="str">
        <f>IF(NOT(ISBLANK(A707)),VLOOKUP(A707,'BBT3'!A:F,2,0),"")</f>
        <v/>
      </c>
      <c r="C707" t="str">
        <f>IF(NOT(ISBLANK(A707)),VLOOKUP(A707,'BBT3'!A:F,3,0),"")</f>
        <v/>
      </c>
      <c r="D707" s="6" t="str">
        <f>IF(NOT(ISBLANK(A707)),VLOOKUP(A707,'BBT3'!A:F,4,1),"")</f>
        <v/>
      </c>
      <c r="E707" t="str">
        <f>IF(NOT(ISBLANK(A707)),VLOOKUP(A707,'BBT3'!A:F,5,0),"")</f>
        <v/>
      </c>
      <c r="F707" t="str">
        <f>IF(NOT(ISBLANK(A707)),VLOOKUP(A707,'BBT3'!A:F,6,0),"")</f>
        <v/>
      </c>
      <c r="G707" t="str">
        <f>IF(NOT(ISBLANK(A707)),VLOOKUP(A707,QW_Close!A:J,5,0),"")</f>
        <v/>
      </c>
      <c r="H707" s="5" t="str" cm="1">
        <f t="array" ref="H707">IF(NOT(ISBLANK(A707)),((_xlfn.XLOOKUP(1,(_bbt3[[#All],[ID]]=A707)*(_bbt3[[#All],[METRIC_NAME]]="YLD_YTM_ASK"),_bbt3[[#All],[METRIC_VALUE]])*0.5)+(_xlfn.XLOOKUP(1,(_bbt3[[#All],[ID]]=A707)*(_bbt3[[#All],[METRIC_NAME]]="YLD_YTM_BID"),_bbt3[[#All],[METRIC_VALUE]])*0.5))/100,"")</f>
        <v/>
      </c>
      <c r="I707">
        <f>IF(ISNA(VLOOKUP(A707,QW_CloseDL!A:E,5,0)),0,VLOOKUP(A707,QW_CloseDL!A:E,5,0))</f>
        <v>0</v>
      </c>
      <c r="J707" s="8" t="str">
        <f t="shared" ref="J707:J770" si="55">IF(ISNA(IF(NOT(ISBLANK(A707)),ABS(G707-I707),"")),0,(IF(NOT(ISBLANK(A707)),ABS(G707-I707)*10000,"")))</f>
        <v/>
      </c>
      <c r="P707">
        <v>0</v>
      </c>
      <c r="Q707" t="e">
        <f t="shared" si="51"/>
        <v>#N/A</v>
      </c>
      <c r="R707" t="e">
        <f t="shared" si="52"/>
        <v>#N/A</v>
      </c>
      <c r="S707" s="9" t="e">
        <f t="shared" si="53"/>
        <v>#N/A</v>
      </c>
      <c r="T707" s="3" t="e">
        <f t="shared" si="54"/>
        <v>#N/A</v>
      </c>
    </row>
    <row r="708" spans="2:20" x14ac:dyDescent="0.35">
      <c r="B708" t="str">
        <f>IF(NOT(ISBLANK(A708)),VLOOKUP(A708,'BBT3'!A:F,2,0),"")</f>
        <v/>
      </c>
      <c r="C708" t="str">
        <f>IF(NOT(ISBLANK(A708)),VLOOKUP(A708,'BBT3'!A:F,3,0),"")</f>
        <v/>
      </c>
      <c r="D708" s="6" t="str">
        <f>IF(NOT(ISBLANK(A708)),VLOOKUP(A708,'BBT3'!A:F,4,1),"")</f>
        <v/>
      </c>
      <c r="E708" t="str">
        <f>IF(NOT(ISBLANK(A708)),VLOOKUP(A708,'BBT3'!A:F,5,0),"")</f>
        <v/>
      </c>
      <c r="F708" t="str">
        <f>IF(NOT(ISBLANK(A708)),VLOOKUP(A708,'BBT3'!A:F,6,0),"")</f>
        <v/>
      </c>
      <c r="G708" t="str">
        <f>IF(NOT(ISBLANK(A708)),VLOOKUP(A708,QW_Close!A:J,5,0),"")</f>
        <v/>
      </c>
      <c r="H708" s="5" t="str" cm="1">
        <f t="array" ref="H708">IF(NOT(ISBLANK(A708)),((_xlfn.XLOOKUP(1,(_bbt3[[#All],[ID]]=A708)*(_bbt3[[#All],[METRIC_NAME]]="YLD_YTM_ASK"),_bbt3[[#All],[METRIC_VALUE]])*0.5)+(_xlfn.XLOOKUP(1,(_bbt3[[#All],[ID]]=A708)*(_bbt3[[#All],[METRIC_NAME]]="YLD_YTM_BID"),_bbt3[[#All],[METRIC_VALUE]])*0.5))/100,"")</f>
        <v/>
      </c>
      <c r="I708">
        <f>IF(ISNA(VLOOKUP(A708,QW_CloseDL!A:E,5,0)),0,VLOOKUP(A708,QW_CloseDL!A:E,5,0))</f>
        <v>0</v>
      </c>
      <c r="J708" s="8" t="str">
        <f t="shared" si="55"/>
        <v/>
      </c>
      <c r="P708">
        <v>0</v>
      </c>
      <c r="Q708" t="e">
        <f t="shared" si="51"/>
        <v>#N/A</v>
      </c>
      <c r="R708" t="e">
        <f t="shared" si="52"/>
        <v>#N/A</v>
      </c>
      <c r="S708" s="9" t="e">
        <f t="shared" si="53"/>
        <v>#N/A</v>
      </c>
      <c r="T708" s="3" t="e">
        <f t="shared" si="54"/>
        <v>#N/A</v>
      </c>
    </row>
    <row r="709" spans="2:20" x14ac:dyDescent="0.35">
      <c r="B709" t="str">
        <f>IF(NOT(ISBLANK(A709)),VLOOKUP(A709,'BBT3'!A:F,2,0),"")</f>
        <v/>
      </c>
      <c r="C709" t="str">
        <f>IF(NOT(ISBLANK(A709)),VLOOKUP(A709,'BBT3'!A:F,3,0),"")</f>
        <v/>
      </c>
      <c r="D709" s="6" t="str">
        <f>IF(NOT(ISBLANK(A709)),VLOOKUP(A709,'BBT3'!A:F,4,1),"")</f>
        <v/>
      </c>
      <c r="E709" t="str">
        <f>IF(NOT(ISBLANK(A709)),VLOOKUP(A709,'BBT3'!A:F,5,0),"")</f>
        <v/>
      </c>
      <c r="F709" t="str">
        <f>IF(NOT(ISBLANK(A709)),VLOOKUP(A709,'BBT3'!A:F,6,0),"")</f>
        <v/>
      </c>
      <c r="G709" t="str">
        <f>IF(NOT(ISBLANK(A709)),VLOOKUP(A709,QW_Close!A:J,5,0),"")</f>
        <v/>
      </c>
      <c r="H709" s="5" t="str" cm="1">
        <f t="array" ref="H709">IF(NOT(ISBLANK(A709)),((_xlfn.XLOOKUP(1,(_bbt3[[#All],[ID]]=A709)*(_bbt3[[#All],[METRIC_NAME]]="YLD_YTM_ASK"),_bbt3[[#All],[METRIC_VALUE]])*0.5)+(_xlfn.XLOOKUP(1,(_bbt3[[#All],[ID]]=A709)*(_bbt3[[#All],[METRIC_NAME]]="YLD_YTM_BID"),_bbt3[[#All],[METRIC_VALUE]])*0.5))/100,"")</f>
        <v/>
      </c>
      <c r="I709">
        <f>IF(ISNA(VLOOKUP(A709,QW_CloseDL!A:E,5,0)),0,VLOOKUP(A709,QW_CloseDL!A:E,5,0))</f>
        <v>0</v>
      </c>
      <c r="J709" s="8" t="str">
        <f t="shared" si="55"/>
        <v/>
      </c>
      <c r="P709">
        <v>0</v>
      </c>
      <c r="Q709" t="e">
        <f t="shared" si="51"/>
        <v>#N/A</v>
      </c>
      <c r="R709" t="e">
        <f t="shared" si="52"/>
        <v>#N/A</v>
      </c>
      <c r="S709" s="9" t="e">
        <f t="shared" si="53"/>
        <v>#N/A</v>
      </c>
      <c r="T709" s="3" t="e">
        <f t="shared" si="54"/>
        <v>#N/A</v>
      </c>
    </row>
    <row r="710" spans="2:20" x14ac:dyDescent="0.35">
      <c r="B710" t="str">
        <f>IF(NOT(ISBLANK(A710)),VLOOKUP(A710,'BBT3'!A:F,2,0),"")</f>
        <v/>
      </c>
      <c r="C710" t="str">
        <f>IF(NOT(ISBLANK(A710)),VLOOKUP(A710,'BBT3'!A:F,3,0),"")</f>
        <v/>
      </c>
      <c r="D710" s="6" t="str">
        <f>IF(NOT(ISBLANK(A710)),VLOOKUP(A710,'BBT3'!A:F,4,1),"")</f>
        <v/>
      </c>
      <c r="E710" t="str">
        <f>IF(NOT(ISBLANK(A710)),VLOOKUP(A710,'BBT3'!A:F,5,0),"")</f>
        <v/>
      </c>
      <c r="F710" t="str">
        <f>IF(NOT(ISBLANK(A710)),VLOOKUP(A710,'BBT3'!A:F,6,0),"")</f>
        <v/>
      </c>
      <c r="G710" t="str">
        <f>IF(NOT(ISBLANK(A710)),VLOOKUP(A710,QW_Close!A:J,5,0),"")</f>
        <v/>
      </c>
      <c r="H710" s="5" t="str" cm="1">
        <f t="array" ref="H710">IF(NOT(ISBLANK(A710)),((_xlfn.XLOOKUP(1,(_bbt3[[#All],[ID]]=A710)*(_bbt3[[#All],[METRIC_NAME]]="YLD_YTM_ASK"),_bbt3[[#All],[METRIC_VALUE]])*0.5)+(_xlfn.XLOOKUP(1,(_bbt3[[#All],[ID]]=A710)*(_bbt3[[#All],[METRIC_NAME]]="YLD_YTM_BID"),_bbt3[[#All],[METRIC_VALUE]])*0.5))/100,"")</f>
        <v/>
      </c>
      <c r="I710">
        <f>IF(ISNA(VLOOKUP(A710,QW_CloseDL!A:E,5,0)),0,VLOOKUP(A710,QW_CloseDL!A:E,5,0))</f>
        <v>0</v>
      </c>
      <c r="J710" s="8" t="str">
        <f t="shared" si="55"/>
        <v/>
      </c>
      <c r="P710">
        <v>0</v>
      </c>
      <c r="Q710" t="e">
        <f t="shared" si="51"/>
        <v>#N/A</v>
      </c>
      <c r="R710" t="e">
        <f t="shared" si="52"/>
        <v>#N/A</v>
      </c>
      <c r="S710" s="9" t="e">
        <f t="shared" si="53"/>
        <v>#N/A</v>
      </c>
      <c r="T710" s="3" t="e">
        <f t="shared" si="54"/>
        <v>#N/A</v>
      </c>
    </row>
    <row r="711" spans="2:20" x14ac:dyDescent="0.35">
      <c r="B711" t="str">
        <f>IF(NOT(ISBLANK(A711)),VLOOKUP(A711,'BBT3'!A:F,2,0),"")</f>
        <v/>
      </c>
      <c r="C711" t="str">
        <f>IF(NOT(ISBLANK(A711)),VLOOKUP(A711,'BBT3'!A:F,3,0),"")</f>
        <v/>
      </c>
      <c r="D711" s="6" t="str">
        <f>IF(NOT(ISBLANK(A711)),VLOOKUP(A711,'BBT3'!A:F,4,1),"")</f>
        <v/>
      </c>
      <c r="E711" t="str">
        <f>IF(NOT(ISBLANK(A711)),VLOOKUP(A711,'BBT3'!A:F,5,0),"")</f>
        <v/>
      </c>
      <c r="F711" t="str">
        <f>IF(NOT(ISBLANK(A711)),VLOOKUP(A711,'BBT3'!A:F,6,0),"")</f>
        <v/>
      </c>
      <c r="G711" t="str">
        <f>IF(NOT(ISBLANK(A711)),VLOOKUP(A711,QW_Close!A:J,5,0),"")</f>
        <v/>
      </c>
      <c r="H711" s="5" t="str" cm="1">
        <f t="array" ref="H711">IF(NOT(ISBLANK(A711)),((_xlfn.XLOOKUP(1,(_bbt3[[#All],[ID]]=A711)*(_bbt3[[#All],[METRIC_NAME]]="YLD_YTM_ASK"),_bbt3[[#All],[METRIC_VALUE]])*0.5)+(_xlfn.XLOOKUP(1,(_bbt3[[#All],[ID]]=A711)*(_bbt3[[#All],[METRIC_NAME]]="YLD_YTM_BID"),_bbt3[[#All],[METRIC_VALUE]])*0.5))/100,"")</f>
        <v/>
      </c>
      <c r="I711">
        <f>IF(ISNA(VLOOKUP(A711,QW_CloseDL!A:E,5,0)),0,VLOOKUP(A711,QW_CloseDL!A:E,5,0))</f>
        <v>0</v>
      </c>
      <c r="J711" s="8" t="str">
        <f t="shared" si="55"/>
        <v/>
      </c>
      <c r="P711">
        <v>0</v>
      </c>
      <c r="Q711" t="e">
        <f t="shared" si="51"/>
        <v>#N/A</v>
      </c>
      <c r="R711" t="e">
        <f t="shared" si="52"/>
        <v>#N/A</v>
      </c>
      <c r="S711" s="9" t="e">
        <f t="shared" si="53"/>
        <v>#N/A</v>
      </c>
      <c r="T711" s="3" t="e">
        <f t="shared" si="54"/>
        <v>#N/A</v>
      </c>
    </row>
    <row r="712" spans="2:20" x14ac:dyDescent="0.35">
      <c r="B712" t="str">
        <f>IF(NOT(ISBLANK(A712)),VLOOKUP(A712,'BBT3'!A:F,2,0),"")</f>
        <v/>
      </c>
      <c r="C712" t="str">
        <f>IF(NOT(ISBLANK(A712)),VLOOKUP(A712,'BBT3'!A:F,3,0),"")</f>
        <v/>
      </c>
      <c r="D712" s="6" t="str">
        <f>IF(NOT(ISBLANK(A712)),VLOOKUP(A712,'BBT3'!A:F,4,1),"")</f>
        <v/>
      </c>
      <c r="E712" t="str">
        <f>IF(NOT(ISBLANK(A712)),VLOOKUP(A712,'BBT3'!A:F,5,0),"")</f>
        <v/>
      </c>
      <c r="F712" t="str">
        <f>IF(NOT(ISBLANK(A712)),VLOOKUP(A712,'BBT3'!A:F,6,0),"")</f>
        <v/>
      </c>
      <c r="G712" t="str">
        <f>IF(NOT(ISBLANK(A712)),VLOOKUP(A712,QW_Close!A:J,5,0),"")</f>
        <v/>
      </c>
      <c r="H712" s="5" t="str" cm="1">
        <f t="array" ref="H712">IF(NOT(ISBLANK(A712)),((_xlfn.XLOOKUP(1,(_bbt3[[#All],[ID]]=A712)*(_bbt3[[#All],[METRIC_NAME]]="YLD_YTM_ASK"),_bbt3[[#All],[METRIC_VALUE]])*0.5)+(_xlfn.XLOOKUP(1,(_bbt3[[#All],[ID]]=A712)*(_bbt3[[#All],[METRIC_NAME]]="YLD_YTM_BID"),_bbt3[[#All],[METRIC_VALUE]])*0.5))/100,"")</f>
        <v/>
      </c>
      <c r="I712">
        <f>IF(ISNA(VLOOKUP(A712,QW_CloseDL!A:E,5,0)),0,VLOOKUP(A712,QW_CloseDL!A:E,5,0))</f>
        <v>0</v>
      </c>
      <c r="J712" s="8" t="str">
        <f t="shared" si="55"/>
        <v/>
      </c>
      <c r="P712">
        <v>0</v>
      </c>
      <c r="Q712" t="e">
        <f t="shared" si="51"/>
        <v>#N/A</v>
      </c>
      <c r="R712" t="e">
        <f t="shared" si="52"/>
        <v>#N/A</v>
      </c>
      <c r="S712" s="9" t="e">
        <f t="shared" si="53"/>
        <v>#N/A</v>
      </c>
      <c r="T712" s="3" t="e">
        <f t="shared" si="54"/>
        <v>#N/A</v>
      </c>
    </row>
    <row r="713" spans="2:20" x14ac:dyDescent="0.35">
      <c r="B713" t="str">
        <f>IF(NOT(ISBLANK(A713)),VLOOKUP(A713,'BBT3'!A:F,2,0),"")</f>
        <v/>
      </c>
      <c r="C713" t="str">
        <f>IF(NOT(ISBLANK(A713)),VLOOKUP(A713,'BBT3'!A:F,3,0),"")</f>
        <v/>
      </c>
      <c r="D713" s="6" t="str">
        <f>IF(NOT(ISBLANK(A713)),VLOOKUP(A713,'BBT3'!A:F,4,1),"")</f>
        <v/>
      </c>
      <c r="E713" t="str">
        <f>IF(NOT(ISBLANK(A713)),VLOOKUP(A713,'BBT3'!A:F,5,0),"")</f>
        <v/>
      </c>
      <c r="F713" t="str">
        <f>IF(NOT(ISBLANK(A713)),VLOOKUP(A713,'BBT3'!A:F,6,0),"")</f>
        <v/>
      </c>
      <c r="G713" t="str">
        <f>IF(NOT(ISBLANK(A713)),VLOOKUP(A713,QW_Close!A:J,5,0),"")</f>
        <v/>
      </c>
      <c r="H713" s="5" t="str" cm="1">
        <f t="array" ref="H713">IF(NOT(ISBLANK(A713)),((_xlfn.XLOOKUP(1,(_bbt3[[#All],[ID]]=A713)*(_bbt3[[#All],[METRIC_NAME]]="YLD_YTM_ASK"),_bbt3[[#All],[METRIC_VALUE]])*0.5)+(_xlfn.XLOOKUP(1,(_bbt3[[#All],[ID]]=A713)*(_bbt3[[#All],[METRIC_NAME]]="YLD_YTM_BID"),_bbt3[[#All],[METRIC_VALUE]])*0.5))/100,"")</f>
        <v/>
      </c>
      <c r="I713">
        <f>IF(ISNA(VLOOKUP(A713,QW_CloseDL!A:E,5,0)),0,VLOOKUP(A713,QW_CloseDL!A:E,5,0))</f>
        <v>0</v>
      </c>
      <c r="J713" s="8" t="str">
        <f t="shared" si="55"/>
        <v/>
      </c>
      <c r="P713">
        <v>0</v>
      </c>
      <c r="Q713" t="e">
        <f t="shared" si="51"/>
        <v>#N/A</v>
      </c>
      <c r="R713" t="e">
        <f t="shared" si="52"/>
        <v>#N/A</v>
      </c>
      <c r="S713" s="9" t="e">
        <f t="shared" si="53"/>
        <v>#N/A</v>
      </c>
      <c r="T713" s="3" t="e">
        <f t="shared" si="54"/>
        <v>#N/A</v>
      </c>
    </row>
    <row r="714" spans="2:20" x14ac:dyDescent="0.35">
      <c r="B714" t="str">
        <f>IF(NOT(ISBLANK(A714)),VLOOKUP(A714,'BBT3'!A:F,2,0),"")</f>
        <v/>
      </c>
      <c r="C714" t="str">
        <f>IF(NOT(ISBLANK(A714)),VLOOKUP(A714,'BBT3'!A:F,3,0),"")</f>
        <v/>
      </c>
      <c r="D714" s="6" t="str">
        <f>IF(NOT(ISBLANK(A714)),VLOOKUP(A714,'BBT3'!A:F,4,1),"")</f>
        <v/>
      </c>
      <c r="E714" t="str">
        <f>IF(NOT(ISBLANK(A714)),VLOOKUP(A714,'BBT3'!A:F,5,0),"")</f>
        <v/>
      </c>
      <c r="F714" t="str">
        <f>IF(NOT(ISBLANK(A714)),VLOOKUP(A714,'BBT3'!A:F,6,0),"")</f>
        <v/>
      </c>
      <c r="G714" t="str">
        <f>IF(NOT(ISBLANK(A714)),VLOOKUP(A714,QW_Close!A:J,5,0),"")</f>
        <v/>
      </c>
      <c r="H714" s="5" t="str" cm="1">
        <f t="array" ref="H714">IF(NOT(ISBLANK(A714)),((_xlfn.XLOOKUP(1,(_bbt3[[#All],[ID]]=A714)*(_bbt3[[#All],[METRIC_NAME]]="YLD_YTM_ASK"),_bbt3[[#All],[METRIC_VALUE]])*0.5)+(_xlfn.XLOOKUP(1,(_bbt3[[#All],[ID]]=A714)*(_bbt3[[#All],[METRIC_NAME]]="YLD_YTM_BID"),_bbt3[[#All],[METRIC_VALUE]])*0.5))/100,"")</f>
        <v/>
      </c>
      <c r="I714">
        <f>IF(ISNA(VLOOKUP(A714,QW_CloseDL!A:E,5,0)),0,VLOOKUP(A714,QW_CloseDL!A:E,5,0))</f>
        <v>0</v>
      </c>
      <c r="J714" s="8" t="str">
        <f t="shared" si="55"/>
        <v/>
      </c>
      <c r="P714">
        <v>0</v>
      </c>
      <c r="Q714" t="e">
        <f t="shared" si="51"/>
        <v>#N/A</v>
      </c>
      <c r="R714" t="e">
        <f t="shared" si="52"/>
        <v>#N/A</v>
      </c>
      <c r="S714" s="9" t="e">
        <f t="shared" si="53"/>
        <v>#N/A</v>
      </c>
      <c r="T714" s="3" t="e">
        <f t="shared" si="54"/>
        <v>#N/A</v>
      </c>
    </row>
    <row r="715" spans="2:20" x14ac:dyDescent="0.35">
      <c r="B715" t="str">
        <f>IF(NOT(ISBLANK(A715)),VLOOKUP(A715,'BBT3'!A:F,2,0),"")</f>
        <v/>
      </c>
      <c r="C715" t="str">
        <f>IF(NOT(ISBLANK(A715)),VLOOKUP(A715,'BBT3'!A:F,3,0),"")</f>
        <v/>
      </c>
      <c r="D715" s="6" t="str">
        <f>IF(NOT(ISBLANK(A715)),VLOOKUP(A715,'BBT3'!A:F,4,1),"")</f>
        <v/>
      </c>
      <c r="E715" t="str">
        <f>IF(NOT(ISBLANK(A715)),VLOOKUP(A715,'BBT3'!A:F,5,0),"")</f>
        <v/>
      </c>
      <c r="F715" t="str">
        <f>IF(NOT(ISBLANK(A715)),VLOOKUP(A715,'BBT3'!A:F,6,0),"")</f>
        <v/>
      </c>
      <c r="G715" t="str">
        <f>IF(NOT(ISBLANK(A715)),VLOOKUP(A715,QW_Close!A:J,5,0),"")</f>
        <v/>
      </c>
      <c r="H715" s="5" t="str" cm="1">
        <f t="array" ref="H715">IF(NOT(ISBLANK(A715)),((_xlfn.XLOOKUP(1,(_bbt3[[#All],[ID]]=A715)*(_bbt3[[#All],[METRIC_NAME]]="YLD_YTM_ASK"),_bbt3[[#All],[METRIC_VALUE]])*0.5)+(_xlfn.XLOOKUP(1,(_bbt3[[#All],[ID]]=A715)*(_bbt3[[#All],[METRIC_NAME]]="YLD_YTM_BID"),_bbt3[[#All],[METRIC_VALUE]])*0.5))/100,"")</f>
        <v/>
      </c>
      <c r="I715">
        <f>IF(ISNA(VLOOKUP(A715,QW_CloseDL!A:E,5,0)),0,VLOOKUP(A715,QW_CloseDL!A:E,5,0))</f>
        <v>0</v>
      </c>
      <c r="J715" s="8" t="str">
        <f t="shared" si="55"/>
        <v/>
      </c>
      <c r="P715">
        <v>0</v>
      </c>
      <c r="Q715" t="e">
        <f t="shared" si="51"/>
        <v>#N/A</v>
      </c>
      <c r="R715" t="e">
        <f t="shared" si="52"/>
        <v>#N/A</v>
      </c>
      <c r="S715" s="9" t="e">
        <f t="shared" si="53"/>
        <v>#N/A</v>
      </c>
      <c r="T715" s="3" t="e">
        <f t="shared" si="54"/>
        <v>#N/A</v>
      </c>
    </row>
    <row r="716" spans="2:20" x14ac:dyDescent="0.35">
      <c r="B716" t="str">
        <f>IF(NOT(ISBLANK(A716)),VLOOKUP(A716,'BBT3'!A:F,2,0),"")</f>
        <v/>
      </c>
      <c r="C716" t="str">
        <f>IF(NOT(ISBLANK(A716)),VLOOKUP(A716,'BBT3'!A:F,3,0),"")</f>
        <v/>
      </c>
      <c r="D716" s="6" t="str">
        <f>IF(NOT(ISBLANK(A716)),VLOOKUP(A716,'BBT3'!A:F,4,1),"")</f>
        <v/>
      </c>
      <c r="E716" t="str">
        <f>IF(NOT(ISBLANK(A716)),VLOOKUP(A716,'BBT3'!A:F,5,0),"")</f>
        <v/>
      </c>
      <c r="F716" t="str">
        <f>IF(NOT(ISBLANK(A716)),VLOOKUP(A716,'BBT3'!A:F,6,0),"")</f>
        <v/>
      </c>
      <c r="G716" t="str">
        <f>IF(NOT(ISBLANK(A716)),VLOOKUP(A716,QW_Close!A:J,5,0),"")</f>
        <v/>
      </c>
      <c r="H716" s="5" t="str" cm="1">
        <f t="array" ref="H716">IF(NOT(ISBLANK(A716)),((_xlfn.XLOOKUP(1,(_bbt3[[#All],[ID]]=A716)*(_bbt3[[#All],[METRIC_NAME]]="YLD_YTM_ASK"),_bbt3[[#All],[METRIC_VALUE]])*0.5)+(_xlfn.XLOOKUP(1,(_bbt3[[#All],[ID]]=A716)*(_bbt3[[#All],[METRIC_NAME]]="YLD_YTM_BID"),_bbt3[[#All],[METRIC_VALUE]])*0.5))/100,"")</f>
        <v/>
      </c>
      <c r="I716">
        <f>IF(ISNA(VLOOKUP(A716,QW_CloseDL!A:E,5,0)),0,VLOOKUP(A716,QW_CloseDL!A:E,5,0))</f>
        <v>0</v>
      </c>
      <c r="J716" s="8" t="str">
        <f t="shared" si="55"/>
        <v/>
      </c>
      <c r="P716">
        <v>0</v>
      </c>
      <c r="Q716" t="e">
        <f t="shared" si="51"/>
        <v>#N/A</v>
      </c>
      <c r="R716" t="e">
        <f t="shared" si="52"/>
        <v>#N/A</v>
      </c>
      <c r="S716" s="9" t="e">
        <f t="shared" si="53"/>
        <v>#N/A</v>
      </c>
      <c r="T716" s="3" t="e">
        <f t="shared" si="54"/>
        <v>#N/A</v>
      </c>
    </row>
    <row r="717" spans="2:20" x14ac:dyDescent="0.35">
      <c r="B717" t="str">
        <f>IF(NOT(ISBLANK(A717)),VLOOKUP(A717,'BBT3'!A:F,2,0),"")</f>
        <v/>
      </c>
      <c r="C717" t="str">
        <f>IF(NOT(ISBLANK(A717)),VLOOKUP(A717,'BBT3'!A:F,3,0),"")</f>
        <v/>
      </c>
      <c r="D717" s="6" t="str">
        <f>IF(NOT(ISBLANK(A717)),VLOOKUP(A717,'BBT3'!A:F,4,1),"")</f>
        <v/>
      </c>
      <c r="E717" t="str">
        <f>IF(NOT(ISBLANK(A717)),VLOOKUP(A717,'BBT3'!A:F,5,0),"")</f>
        <v/>
      </c>
      <c r="F717" t="str">
        <f>IF(NOT(ISBLANK(A717)),VLOOKUP(A717,'BBT3'!A:F,6,0),"")</f>
        <v/>
      </c>
      <c r="G717" t="str">
        <f>IF(NOT(ISBLANK(A717)),VLOOKUP(A717,QW_Close!A:J,5,0),"")</f>
        <v/>
      </c>
      <c r="H717" s="5" t="str" cm="1">
        <f t="array" ref="H717">IF(NOT(ISBLANK(A717)),((_xlfn.XLOOKUP(1,(_bbt3[[#All],[ID]]=A717)*(_bbt3[[#All],[METRIC_NAME]]="YLD_YTM_ASK"),_bbt3[[#All],[METRIC_VALUE]])*0.5)+(_xlfn.XLOOKUP(1,(_bbt3[[#All],[ID]]=A717)*(_bbt3[[#All],[METRIC_NAME]]="YLD_YTM_BID"),_bbt3[[#All],[METRIC_VALUE]])*0.5))/100,"")</f>
        <v/>
      </c>
      <c r="I717">
        <f>IF(ISNA(VLOOKUP(A717,QW_CloseDL!A:E,5,0)),0,VLOOKUP(A717,QW_CloseDL!A:E,5,0))</f>
        <v>0</v>
      </c>
      <c r="J717" s="8" t="str">
        <f t="shared" si="55"/>
        <v/>
      </c>
      <c r="P717">
        <v>0</v>
      </c>
      <c r="Q717" t="e">
        <f t="shared" ref="Q717:Q780" si="56">VLOOKUP(P717,A:B,2,0)</f>
        <v>#N/A</v>
      </c>
      <c r="R717" t="e">
        <f t="shared" ref="R717:R780" si="57">VLOOKUP(P717,A:E,4,0)</f>
        <v>#N/A</v>
      </c>
      <c r="S717" s="9" t="e">
        <f t="shared" ref="S717:S780" si="58">VLOOKUP(P717,A:J,10,0)</f>
        <v>#N/A</v>
      </c>
      <c r="T717" s="3" t="e">
        <f t="shared" ref="T717:T780" si="59">VLOOKUP(P717,A:J,5,0)</f>
        <v>#N/A</v>
      </c>
    </row>
    <row r="718" spans="2:20" x14ac:dyDescent="0.35">
      <c r="B718" t="str">
        <f>IF(NOT(ISBLANK(A718)),VLOOKUP(A718,'BBT3'!A:F,2,0),"")</f>
        <v/>
      </c>
      <c r="C718" t="str">
        <f>IF(NOT(ISBLANK(A718)),VLOOKUP(A718,'BBT3'!A:F,3,0),"")</f>
        <v/>
      </c>
      <c r="D718" s="6" t="str">
        <f>IF(NOT(ISBLANK(A718)),VLOOKUP(A718,'BBT3'!A:F,4,1),"")</f>
        <v/>
      </c>
      <c r="E718" t="str">
        <f>IF(NOT(ISBLANK(A718)),VLOOKUP(A718,'BBT3'!A:F,5,0),"")</f>
        <v/>
      </c>
      <c r="F718" t="str">
        <f>IF(NOT(ISBLANK(A718)),VLOOKUP(A718,'BBT3'!A:F,6,0),"")</f>
        <v/>
      </c>
      <c r="G718" t="str">
        <f>IF(NOT(ISBLANK(A718)),VLOOKUP(A718,QW_Close!A:J,5,0),"")</f>
        <v/>
      </c>
      <c r="H718" s="5" t="str" cm="1">
        <f t="array" ref="H718">IF(NOT(ISBLANK(A718)),((_xlfn.XLOOKUP(1,(_bbt3[[#All],[ID]]=A718)*(_bbt3[[#All],[METRIC_NAME]]="YLD_YTM_ASK"),_bbt3[[#All],[METRIC_VALUE]])*0.5)+(_xlfn.XLOOKUP(1,(_bbt3[[#All],[ID]]=A718)*(_bbt3[[#All],[METRIC_NAME]]="YLD_YTM_BID"),_bbt3[[#All],[METRIC_VALUE]])*0.5))/100,"")</f>
        <v/>
      </c>
      <c r="I718">
        <f>IF(ISNA(VLOOKUP(A718,QW_CloseDL!A:E,5,0)),0,VLOOKUP(A718,QW_CloseDL!A:E,5,0))</f>
        <v>0</v>
      </c>
      <c r="J718" s="8" t="str">
        <f t="shared" si="55"/>
        <v/>
      </c>
      <c r="P718">
        <v>0</v>
      </c>
      <c r="Q718" t="e">
        <f t="shared" si="56"/>
        <v>#N/A</v>
      </c>
      <c r="R718" t="e">
        <f t="shared" si="57"/>
        <v>#N/A</v>
      </c>
      <c r="S718" s="9" t="e">
        <f t="shared" si="58"/>
        <v>#N/A</v>
      </c>
      <c r="T718" s="3" t="e">
        <f t="shared" si="59"/>
        <v>#N/A</v>
      </c>
    </row>
    <row r="719" spans="2:20" x14ac:dyDescent="0.35">
      <c r="B719" t="str">
        <f>IF(NOT(ISBLANK(A719)),VLOOKUP(A719,'BBT3'!A:F,2,0),"")</f>
        <v/>
      </c>
      <c r="C719" t="str">
        <f>IF(NOT(ISBLANK(A719)),VLOOKUP(A719,'BBT3'!A:F,3,0),"")</f>
        <v/>
      </c>
      <c r="D719" s="6" t="str">
        <f>IF(NOT(ISBLANK(A719)),VLOOKUP(A719,'BBT3'!A:F,4,1),"")</f>
        <v/>
      </c>
      <c r="E719" t="str">
        <f>IF(NOT(ISBLANK(A719)),VLOOKUP(A719,'BBT3'!A:F,5,0),"")</f>
        <v/>
      </c>
      <c r="F719" t="str">
        <f>IF(NOT(ISBLANK(A719)),VLOOKUP(A719,'BBT3'!A:F,6,0),"")</f>
        <v/>
      </c>
      <c r="G719" t="str">
        <f>IF(NOT(ISBLANK(A719)),VLOOKUP(A719,QW_Close!A:J,5,0),"")</f>
        <v/>
      </c>
      <c r="H719" s="5" t="str" cm="1">
        <f t="array" ref="H719">IF(NOT(ISBLANK(A719)),((_xlfn.XLOOKUP(1,(_bbt3[[#All],[ID]]=A719)*(_bbt3[[#All],[METRIC_NAME]]="YLD_YTM_ASK"),_bbt3[[#All],[METRIC_VALUE]])*0.5)+(_xlfn.XLOOKUP(1,(_bbt3[[#All],[ID]]=A719)*(_bbt3[[#All],[METRIC_NAME]]="YLD_YTM_BID"),_bbt3[[#All],[METRIC_VALUE]])*0.5))/100,"")</f>
        <v/>
      </c>
      <c r="I719">
        <f>IF(ISNA(VLOOKUP(A719,QW_CloseDL!A:E,5,0)),0,VLOOKUP(A719,QW_CloseDL!A:E,5,0))</f>
        <v>0</v>
      </c>
      <c r="J719" s="8" t="str">
        <f t="shared" si="55"/>
        <v/>
      </c>
      <c r="P719">
        <v>0</v>
      </c>
      <c r="Q719" t="e">
        <f t="shared" si="56"/>
        <v>#N/A</v>
      </c>
      <c r="R719" t="e">
        <f t="shared" si="57"/>
        <v>#N/A</v>
      </c>
      <c r="S719" s="9" t="e">
        <f t="shared" si="58"/>
        <v>#N/A</v>
      </c>
      <c r="T719" s="3" t="e">
        <f t="shared" si="59"/>
        <v>#N/A</v>
      </c>
    </row>
    <row r="720" spans="2:20" x14ac:dyDescent="0.35">
      <c r="B720" t="str">
        <f>IF(NOT(ISBLANK(A720)),VLOOKUP(A720,'BBT3'!A:F,2,0),"")</f>
        <v/>
      </c>
      <c r="C720" t="str">
        <f>IF(NOT(ISBLANK(A720)),VLOOKUP(A720,'BBT3'!A:F,3,0),"")</f>
        <v/>
      </c>
      <c r="D720" s="6" t="str">
        <f>IF(NOT(ISBLANK(A720)),VLOOKUP(A720,'BBT3'!A:F,4,1),"")</f>
        <v/>
      </c>
      <c r="E720" t="str">
        <f>IF(NOT(ISBLANK(A720)),VLOOKUP(A720,'BBT3'!A:F,5,0),"")</f>
        <v/>
      </c>
      <c r="F720" t="str">
        <f>IF(NOT(ISBLANK(A720)),VLOOKUP(A720,'BBT3'!A:F,6,0),"")</f>
        <v/>
      </c>
      <c r="G720" t="str">
        <f>IF(NOT(ISBLANK(A720)),VLOOKUP(A720,QW_Close!A:J,5,0),"")</f>
        <v/>
      </c>
      <c r="H720" s="5" t="str" cm="1">
        <f t="array" ref="H720">IF(NOT(ISBLANK(A720)),((_xlfn.XLOOKUP(1,(_bbt3[[#All],[ID]]=A720)*(_bbt3[[#All],[METRIC_NAME]]="YLD_YTM_ASK"),_bbt3[[#All],[METRIC_VALUE]])*0.5)+(_xlfn.XLOOKUP(1,(_bbt3[[#All],[ID]]=A720)*(_bbt3[[#All],[METRIC_NAME]]="YLD_YTM_BID"),_bbt3[[#All],[METRIC_VALUE]])*0.5))/100,"")</f>
        <v/>
      </c>
      <c r="I720">
        <f>IF(ISNA(VLOOKUP(A720,QW_CloseDL!A:E,5,0)),0,VLOOKUP(A720,QW_CloseDL!A:E,5,0))</f>
        <v>0</v>
      </c>
      <c r="J720" s="8" t="str">
        <f t="shared" si="55"/>
        <v/>
      </c>
      <c r="P720">
        <v>0</v>
      </c>
      <c r="Q720" t="e">
        <f t="shared" si="56"/>
        <v>#N/A</v>
      </c>
      <c r="R720" t="e">
        <f t="shared" si="57"/>
        <v>#N/A</v>
      </c>
      <c r="S720" s="9" t="e">
        <f t="shared" si="58"/>
        <v>#N/A</v>
      </c>
      <c r="T720" s="3" t="e">
        <f t="shared" si="59"/>
        <v>#N/A</v>
      </c>
    </row>
    <row r="721" spans="2:20" x14ac:dyDescent="0.35">
      <c r="B721" t="str">
        <f>IF(NOT(ISBLANK(A721)),VLOOKUP(A721,'BBT3'!A:F,2,0),"")</f>
        <v/>
      </c>
      <c r="C721" t="str">
        <f>IF(NOT(ISBLANK(A721)),VLOOKUP(A721,'BBT3'!A:F,3,0),"")</f>
        <v/>
      </c>
      <c r="D721" s="6" t="str">
        <f>IF(NOT(ISBLANK(A721)),VLOOKUP(A721,'BBT3'!A:F,4,1),"")</f>
        <v/>
      </c>
      <c r="E721" t="str">
        <f>IF(NOT(ISBLANK(A721)),VLOOKUP(A721,'BBT3'!A:F,5,0),"")</f>
        <v/>
      </c>
      <c r="F721" t="str">
        <f>IF(NOT(ISBLANK(A721)),VLOOKUP(A721,'BBT3'!A:F,6,0),"")</f>
        <v/>
      </c>
      <c r="G721" t="str">
        <f>IF(NOT(ISBLANK(A721)),VLOOKUP(A721,QW_Close!A:J,5,0),"")</f>
        <v/>
      </c>
      <c r="H721" s="5" t="str" cm="1">
        <f t="array" ref="H721">IF(NOT(ISBLANK(A721)),((_xlfn.XLOOKUP(1,(_bbt3[[#All],[ID]]=A721)*(_bbt3[[#All],[METRIC_NAME]]="YLD_YTM_ASK"),_bbt3[[#All],[METRIC_VALUE]])*0.5)+(_xlfn.XLOOKUP(1,(_bbt3[[#All],[ID]]=A721)*(_bbt3[[#All],[METRIC_NAME]]="YLD_YTM_BID"),_bbt3[[#All],[METRIC_VALUE]])*0.5))/100,"")</f>
        <v/>
      </c>
      <c r="I721">
        <f>IF(ISNA(VLOOKUP(A721,QW_CloseDL!A:E,5,0)),0,VLOOKUP(A721,QW_CloseDL!A:E,5,0))</f>
        <v>0</v>
      </c>
      <c r="J721" s="8" t="str">
        <f t="shared" si="55"/>
        <v/>
      </c>
      <c r="P721">
        <v>0</v>
      </c>
      <c r="Q721" t="e">
        <f t="shared" si="56"/>
        <v>#N/A</v>
      </c>
      <c r="R721" t="e">
        <f t="shared" si="57"/>
        <v>#N/A</v>
      </c>
      <c r="S721" s="9" t="e">
        <f t="shared" si="58"/>
        <v>#N/A</v>
      </c>
      <c r="T721" s="3" t="e">
        <f t="shared" si="59"/>
        <v>#N/A</v>
      </c>
    </row>
    <row r="722" spans="2:20" x14ac:dyDescent="0.35">
      <c r="B722" t="str">
        <f>IF(NOT(ISBLANK(A722)),VLOOKUP(A722,'BBT3'!A:F,2,0),"")</f>
        <v/>
      </c>
      <c r="C722" t="str">
        <f>IF(NOT(ISBLANK(A722)),VLOOKUP(A722,'BBT3'!A:F,3,0),"")</f>
        <v/>
      </c>
      <c r="D722" s="6" t="str">
        <f>IF(NOT(ISBLANK(A722)),VLOOKUP(A722,'BBT3'!A:F,4,1),"")</f>
        <v/>
      </c>
      <c r="E722" t="str">
        <f>IF(NOT(ISBLANK(A722)),VLOOKUP(A722,'BBT3'!A:F,5,0),"")</f>
        <v/>
      </c>
      <c r="F722" t="str">
        <f>IF(NOT(ISBLANK(A722)),VLOOKUP(A722,'BBT3'!A:F,6,0),"")</f>
        <v/>
      </c>
      <c r="G722" t="str">
        <f>IF(NOT(ISBLANK(A722)),VLOOKUP(A722,QW_Close!A:J,5,0),"")</f>
        <v/>
      </c>
      <c r="H722" s="5" t="str" cm="1">
        <f t="array" ref="H722">IF(NOT(ISBLANK(A722)),((_xlfn.XLOOKUP(1,(_bbt3[[#All],[ID]]=A722)*(_bbt3[[#All],[METRIC_NAME]]="YLD_YTM_ASK"),_bbt3[[#All],[METRIC_VALUE]])*0.5)+(_xlfn.XLOOKUP(1,(_bbt3[[#All],[ID]]=A722)*(_bbt3[[#All],[METRIC_NAME]]="YLD_YTM_BID"),_bbt3[[#All],[METRIC_VALUE]])*0.5))/100,"")</f>
        <v/>
      </c>
      <c r="I722">
        <f>IF(ISNA(VLOOKUP(A722,QW_CloseDL!A:E,5,0)),0,VLOOKUP(A722,QW_CloseDL!A:E,5,0))</f>
        <v>0</v>
      </c>
      <c r="J722" s="8" t="str">
        <f t="shared" si="55"/>
        <v/>
      </c>
      <c r="P722">
        <v>0</v>
      </c>
      <c r="Q722" t="e">
        <f t="shared" si="56"/>
        <v>#N/A</v>
      </c>
      <c r="R722" t="e">
        <f t="shared" si="57"/>
        <v>#N/A</v>
      </c>
      <c r="S722" s="9" t="e">
        <f t="shared" si="58"/>
        <v>#N/A</v>
      </c>
      <c r="T722" s="3" t="e">
        <f t="shared" si="59"/>
        <v>#N/A</v>
      </c>
    </row>
    <row r="723" spans="2:20" x14ac:dyDescent="0.35">
      <c r="B723" t="str">
        <f>IF(NOT(ISBLANK(A723)),VLOOKUP(A723,'BBT3'!A:F,2,0),"")</f>
        <v/>
      </c>
      <c r="C723" t="str">
        <f>IF(NOT(ISBLANK(A723)),VLOOKUP(A723,'BBT3'!A:F,3,0),"")</f>
        <v/>
      </c>
      <c r="D723" s="6" t="str">
        <f>IF(NOT(ISBLANK(A723)),VLOOKUP(A723,'BBT3'!A:F,4,1),"")</f>
        <v/>
      </c>
      <c r="E723" t="str">
        <f>IF(NOT(ISBLANK(A723)),VLOOKUP(A723,'BBT3'!A:F,5,0),"")</f>
        <v/>
      </c>
      <c r="F723" t="str">
        <f>IF(NOT(ISBLANK(A723)),VLOOKUP(A723,'BBT3'!A:F,6,0),"")</f>
        <v/>
      </c>
      <c r="G723" t="str">
        <f>IF(NOT(ISBLANK(A723)),VLOOKUP(A723,QW_Close!A:J,5,0),"")</f>
        <v/>
      </c>
      <c r="H723" s="5" t="str" cm="1">
        <f t="array" ref="H723">IF(NOT(ISBLANK(A723)),((_xlfn.XLOOKUP(1,(_bbt3[[#All],[ID]]=A723)*(_bbt3[[#All],[METRIC_NAME]]="YLD_YTM_ASK"),_bbt3[[#All],[METRIC_VALUE]])*0.5)+(_xlfn.XLOOKUP(1,(_bbt3[[#All],[ID]]=A723)*(_bbt3[[#All],[METRIC_NAME]]="YLD_YTM_BID"),_bbt3[[#All],[METRIC_VALUE]])*0.5))/100,"")</f>
        <v/>
      </c>
      <c r="I723">
        <f>IF(ISNA(VLOOKUP(A723,QW_CloseDL!A:E,5,0)),0,VLOOKUP(A723,QW_CloseDL!A:E,5,0))</f>
        <v>0</v>
      </c>
      <c r="J723" s="8" t="str">
        <f t="shared" si="55"/>
        <v/>
      </c>
      <c r="P723">
        <v>0</v>
      </c>
      <c r="Q723" t="e">
        <f t="shared" si="56"/>
        <v>#N/A</v>
      </c>
      <c r="R723" t="e">
        <f t="shared" si="57"/>
        <v>#N/A</v>
      </c>
      <c r="S723" s="9" t="e">
        <f t="shared" si="58"/>
        <v>#N/A</v>
      </c>
      <c r="T723" s="3" t="e">
        <f t="shared" si="59"/>
        <v>#N/A</v>
      </c>
    </row>
    <row r="724" spans="2:20" x14ac:dyDescent="0.35">
      <c r="B724" t="str">
        <f>IF(NOT(ISBLANK(A724)),VLOOKUP(A724,'BBT3'!A:F,2,0),"")</f>
        <v/>
      </c>
      <c r="C724" t="str">
        <f>IF(NOT(ISBLANK(A724)),VLOOKUP(A724,'BBT3'!A:F,3,0),"")</f>
        <v/>
      </c>
      <c r="D724" s="6" t="str">
        <f>IF(NOT(ISBLANK(A724)),VLOOKUP(A724,'BBT3'!A:F,4,1),"")</f>
        <v/>
      </c>
      <c r="E724" t="str">
        <f>IF(NOT(ISBLANK(A724)),VLOOKUP(A724,'BBT3'!A:F,5,0),"")</f>
        <v/>
      </c>
      <c r="F724" t="str">
        <f>IF(NOT(ISBLANK(A724)),VLOOKUP(A724,'BBT3'!A:F,6,0),"")</f>
        <v/>
      </c>
      <c r="G724" t="str">
        <f>IF(NOT(ISBLANK(A724)),VLOOKUP(A724,QW_Close!A:J,5,0),"")</f>
        <v/>
      </c>
      <c r="H724" s="5" t="str" cm="1">
        <f t="array" ref="H724">IF(NOT(ISBLANK(A724)),((_xlfn.XLOOKUP(1,(_bbt3[[#All],[ID]]=A724)*(_bbt3[[#All],[METRIC_NAME]]="YLD_YTM_ASK"),_bbt3[[#All],[METRIC_VALUE]])*0.5)+(_xlfn.XLOOKUP(1,(_bbt3[[#All],[ID]]=A724)*(_bbt3[[#All],[METRIC_NAME]]="YLD_YTM_BID"),_bbt3[[#All],[METRIC_VALUE]])*0.5))/100,"")</f>
        <v/>
      </c>
      <c r="I724">
        <f>IF(ISNA(VLOOKUP(A724,QW_CloseDL!A:E,5,0)),0,VLOOKUP(A724,QW_CloseDL!A:E,5,0))</f>
        <v>0</v>
      </c>
      <c r="J724" s="8" t="str">
        <f t="shared" si="55"/>
        <v/>
      </c>
      <c r="P724">
        <v>0</v>
      </c>
      <c r="Q724" t="e">
        <f t="shared" si="56"/>
        <v>#N/A</v>
      </c>
      <c r="R724" t="e">
        <f t="shared" si="57"/>
        <v>#N/A</v>
      </c>
      <c r="S724" s="9" t="e">
        <f t="shared" si="58"/>
        <v>#N/A</v>
      </c>
      <c r="T724" s="3" t="e">
        <f t="shared" si="59"/>
        <v>#N/A</v>
      </c>
    </row>
    <row r="725" spans="2:20" x14ac:dyDescent="0.35">
      <c r="B725" t="str">
        <f>IF(NOT(ISBLANK(A725)),VLOOKUP(A725,'BBT3'!A:F,2,0),"")</f>
        <v/>
      </c>
      <c r="C725" t="str">
        <f>IF(NOT(ISBLANK(A725)),VLOOKUP(A725,'BBT3'!A:F,3,0),"")</f>
        <v/>
      </c>
      <c r="D725" s="6" t="str">
        <f>IF(NOT(ISBLANK(A725)),VLOOKUP(A725,'BBT3'!A:F,4,1),"")</f>
        <v/>
      </c>
      <c r="E725" t="str">
        <f>IF(NOT(ISBLANK(A725)),VLOOKUP(A725,'BBT3'!A:F,5,0),"")</f>
        <v/>
      </c>
      <c r="F725" t="str">
        <f>IF(NOT(ISBLANK(A725)),VLOOKUP(A725,'BBT3'!A:F,6,0),"")</f>
        <v/>
      </c>
      <c r="G725" t="str">
        <f>IF(NOT(ISBLANK(A725)),VLOOKUP(A725,QW_Close!A:J,5,0),"")</f>
        <v/>
      </c>
      <c r="H725" s="5" t="str" cm="1">
        <f t="array" ref="H725">IF(NOT(ISBLANK(A725)),((_xlfn.XLOOKUP(1,(_bbt3[[#All],[ID]]=A725)*(_bbt3[[#All],[METRIC_NAME]]="YLD_YTM_ASK"),_bbt3[[#All],[METRIC_VALUE]])*0.5)+(_xlfn.XLOOKUP(1,(_bbt3[[#All],[ID]]=A725)*(_bbt3[[#All],[METRIC_NAME]]="YLD_YTM_BID"),_bbt3[[#All],[METRIC_VALUE]])*0.5))/100,"")</f>
        <v/>
      </c>
      <c r="I725">
        <f>IF(ISNA(VLOOKUP(A725,QW_CloseDL!A:E,5,0)),0,VLOOKUP(A725,QW_CloseDL!A:E,5,0))</f>
        <v>0</v>
      </c>
      <c r="J725" s="8" t="str">
        <f t="shared" si="55"/>
        <v/>
      </c>
      <c r="P725">
        <v>0</v>
      </c>
      <c r="Q725" t="e">
        <f t="shared" si="56"/>
        <v>#N/A</v>
      </c>
      <c r="R725" t="e">
        <f t="shared" si="57"/>
        <v>#N/A</v>
      </c>
      <c r="S725" s="9" t="e">
        <f t="shared" si="58"/>
        <v>#N/A</v>
      </c>
      <c r="T725" s="3" t="e">
        <f t="shared" si="59"/>
        <v>#N/A</v>
      </c>
    </row>
    <row r="726" spans="2:20" x14ac:dyDescent="0.35">
      <c r="B726" t="str">
        <f>IF(NOT(ISBLANK(A726)),VLOOKUP(A726,'BBT3'!A:F,2,0),"")</f>
        <v/>
      </c>
      <c r="C726" t="str">
        <f>IF(NOT(ISBLANK(A726)),VLOOKUP(A726,'BBT3'!A:F,3,0),"")</f>
        <v/>
      </c>
      <c r="D726" s="6" t="str">
        <f>IF(NOT(ISBLANK(A726)),VLOOKUP(A726,'BBT3'!A:F,4,1),"")</f>
        <v/>
      </c>
      <c r="E726" t="str">
        <f>IF(NOT(ISBLANK(A726)),VLOOKUP(A726,'BBT3'!A:F,5,0),"")</f>
        <v/>
      </c>
      <c r="F726" t="str">
        <f>IF(NOT(ISBLANK(A726)),VLOOKUP(A726,'BBT3'!A:F,6,0),"")</f>
        <v/>
      </c>
      <c r="G726" t="str">
        <f>IF(NOT(ISBLANK(A726)),VLOOKUP(A726,QW_Close!A:J,5,0),"")</f>
        <v/>
      </c>
      <c r="H726" s="5" t="str" cm="1">
        <f t="array" ref="H726">IF(NOT(ISBLANK(A726)),((_xlfn.XLOOKUP(1,(_bbt3[[#All],[ID]]=A726)*(_bbt3[[#All],[METRIC_NAME]]="YLD_YTM_ASK"),_bbt3[[#All],[METRIC_VALUE]])*0.5)+(_xlfn.XLOOKUP(1,(_bbt3[[#All],[ID]]=A726)*(_bbt3[[#All],[METRIC_NAME]]="YLD_YTM_BID"),_bbt3[[#All],[METRIC_VALUE]])*0.5))/100,"")</f>
        <v/>
      </c>
      <c r="I726">
        <f>IF(ISNA(VLOOKUP(A726,QW_CloseDL!A:E,5,0)),0,VLOOKUP(A726,QW_CloseDL!A:E,5,0))</f>
        <v>0</v>
      </c>
      <c r="J726" s="8" t="str">
        <f t="shared" si="55"/>
        <v/>
      </c>
      <c r="P726">
        <v>0</v>
      </c>
      <c r="Q726" t="e">
        <f t="shared" si="56"/>
        <v>#N/A</v>
      </c>
      <c r="R726" t="e">
        <f t="shared" si="57"/>
        <v>#N/A</v>
      </c>
      <c r="S726" s="9" t="e">
        <f t="shared" si="58"/>
        <v>#N/A</v>
      </c>
      <c r="T726" s="3" t="e">
        <f t="shared" si="59"/>
        <v>#N/A</v>
      </c>
    </row>
    <row r="727" spans="2:20" x14ac:dyDescent="0.35">
      <c r="B727" t="str">
        <f>IF(NOT(ISBLANK(A727)),VLOOKUP(A727,'BBT3'!A:F,2,0),"")</f>
        <v/>
      </c>
      <c r="C727" t="str">
        <f>IF(NOT(ISBLANK(A727)),VLOOKUP(A727,'BBT3'!A:F,3,0),"")</f>
        <v/>
      </c>
      <c r="D727" s="6" t="str">
        <f>IF(NOT(ISBLANK(A727)),VLOOKUP(A727,'BBT3'!A:F,4,1),"")</f>
        <v/>
      </c>
      <c r="E727" t="str">
        <f>IF(NOT(ISBLANK(A727)),VLOOKUP(A727,'BBT3'!A:F,5,0),"")</f>
        <v/>
      </c>
      <c r="F727" t="str">
        <f>IF(NOT(ISBLANK(A727)),VLOOKUP(A727,'BBT3'!A:F,6,0),"")</f>
        <v/>
      </c>
      <c r="G727" t="str">
        <f>IF(NOT(ISBLANK(A727)),VLOOKUP(A727,QW_Close!A:J,5,0),"")</f>
        <v/>
      </c>
      <c r="H727" s="5" t="str" cm="1">
        <f t="array" ref="H727">IF(NOT(ISBLANK(A727)),((_xlfn.XLOOKUP(1,(_bbt3[[#All],[ID]]=A727)*(_bbt3[[#All],[METRIC_NAME]]="YLD_YTM_ASK"),_bbt3[[#All],[METRIC_VALUE]])*0.5)+(_xlfn.XLOOKUP(1,(_bbt3[[#All],[ID]]=A727)*(_bbt3[[#All],[METRIC_NAME]]="YLD_YTM_BID"),_bbt3[[#All],[METRIC_VALUE]])*0.5))/100,"")</f>
        <v/>
      </c>
      <c r="I727">
        <f>IF(ISNA(VLOOKUP(A727,QW_CloseDL!A:E,5,0)),0,VLOOKUP(A727,QW_CloseDL!A:E,5,0))</f>
        <v>0</v>
      </c>
      <c r="J727" s="8" t="str">
        <f t="shared" si="55"/>
        <v/>
      </c>
      <c r="P727">
        <v>0</v>
      </c>
      <c r="Q727" t="e">
        <f t="shared" si="56"/>
        <v>#N/A</v>
      </c>
      <c r="R727" t="e">
        <f t="shared" si="57"/>
        <v>#N/A</v>
      </c>
      <c r="S727" s="9" t="e">
        <f t="shared" si="58"/>
        <v>#N/A</v>
      </c>
      <c r="T727" s="3" t="e">
        <f t="shared" si="59"/>
        <v>#N/A</v>
      </c>
    </row>
    <row r="728" spans="2:20" x14ac:dyDescent="0.35">
      <c r="B728" t="str">
        <f>IF(NOT(ISBLANK(A728)),VLOOKUP(A728,'BBT3'!A:F,2,0),"")</f>
        <v/>
      </c>
      <c r="C728" t="str">
        <f>IF(NOT(ISBLANK(A728)),VLOOKUP(A728,'BBT3'!A:F,3,0),"")</f>
        <v/>
      </c>
      <c r="D728" s="6" t="str">
        <f>IF(NOT(ISBLANK(A728)),VLOOKUP(A728,'BBT3'!A:F,4,1),"")</f>
        <v/>
      </c>
      <c r="E728" t="str">
        <f>IF(NOT(ISBLANK(A728)),VLOOKUP(A728,'BBT3'!A:F,5,0),"")</f>
        <v/>
      </c>
      <c r="F728" t="str">
        <f>IF(NOT(ISBLANK(A728)),VLOOKUP(A728,'BBT3'!A:F,6,0),"")</f>
        <v/>
      </c>
      <c r="G728" t="str">
        <f>IF(NOT(ISBLANK(A728)),VLOOKUP(A728,QW_Close!A:J,5,0),"")</f>
        <v/>
      </c>
      <c r="H728" s="5" t="str" cm="1">
        <f t="array" ref="H728">IF(NOT(ISBLANK(A728)),((_xlfn.XLOOKUP(1,(_bbt3[[#All],[ID]]=A728)*(_bbt3[[#All],[METRIC_NAME]]="YLD_YTM_ASK"),_bbt3[[#All],[METRIC_VALUE]])*0.5)+(_xlfn.XLOOKUP(1,(_bbt3[[#All],[ID]]=A728)*(_bbt3[[#All],[METRIC_NAME]]="YLD_YTM_BID"),_bbt3[[#All],[METRIC_VALUE]])*0.5))/100,"")</f>
        <v/>
      </c>
      <c r="I728">
        <f>IF(ISNA(VLOOKUP(A728,QW_CloseDL!A:E,5,0)),0,VLOOKUP(A728,QW_CloseDL!A:E,5,0))</f>
        <v>0</v>
      </c>
      <c r="J728" s="8" t="str">
        <f t="shared" si="55"/>
        <v/>
      </c>
      <c r="P728">
        <v>0</v>
      </c>
      <c r="Q728" t="e">
        <f t="shared" si="56"/>
        <v>#N/A</v>
      </c>
      <c r="R728" t="e">
        <f t="shared" si="57"/>
        <v>#N/A</v>
      </c>
      <c r="S728" s="9" t="e">
        <f t="shared" si="58"/>
        <v>#N/A</v>
      </c>
      <c r="T728" s="3" t="e">
        <f t="shared" si="59"/>
        <v>#N/A</v>
      </c>
    </row>
    <row r="729" spans="2:20" x14ac:dyDescent="0.35">
      <c r="B729" t="str">
        <f>IF(NOT(ISBLANK(A729)),VLOOKUP(A729,'BBT3'!A:F,2,0),"")</f>
        <v/>
      </c>
      <c r="C729" t="str">
        <f>IF(NOT(ISBLANK(A729)),VLOOKUP(A729,'BBT3'!A:F,3,0),"")</f>
        <v/>
      </c>
      <c r="D729" s="6" t="str">
        <f>IF(NOT(ISBLANK(A729)),VLOOKUP(A729,'BBT3'!A:F,4,1),"")</f>
        <v/>
      </c>
      <c r="E729" t="str">
        <f>IF(NOT(ISBLANK(A729)),VLOOKUP(A729,'BBT3'!A:F,5,0),"")</f>
        <v/>
      </c>
      <c r="F729" t="str">
        <f>IF(NOT(ISBLANK(A729)),VLOOKUP(A729,'BBT3'!A:F,6,0),"")</f>
        <v/>
      </c>
      <c r="G729" t="str">
        <f>IF(NOT(ISBLANK(A729)),VLOOKUP(A729,QW_Close!A:J,5,0),"")</f>
        <v/>
      </c>
      <c r="H729" s="5" t="str" cm="1">
        <f t="array" ref="H729">IF(NOT(ISBLANK(A729)),((_xlfn.XLOOKUP(1,(_bbt3[[#All],[ID]]=A729)*(_bbt3[[#All],[METRIC_NAME]]="YLD_YTM_ASK"),_bbt3[[#All],[METRIC_VALUE]])*0.5)+(_xlfn.XLOOKUP(1,(_bbt3[[#All],[ID]]=A729)*(_bbt3[[#All],[METRIC_NAME]]="YLD_YTM_BID"),_bbt3[[#All],[METRIC_VALUE]])*0.5))/100,"")</f>
        <v/>
      </c>
      <c r="I729">
        <f>IF(ISNA(VLOOKUP(A729,QW_CloseDL!A:E,5,0)),0,VLOOKUP(A729,QW_CloseDL!A:E,5,0))</f>
        <v>0</v>
      </c>
      <c r="J729" s="8" t="str">
        <f t="shared" si="55"/>
        <v/>
      </c>
      <c r="P729">
        <v>0</v>
      </c>
      <c r="Q729" t="e">
        <f t="shared" si="56"/>
        <v>#N/A</v>
      </c>
      <c r="R729" t="e">
        <f t="shared" si="57"/>
        <v>#N/A</v>
      </c>
      <c r="S729" s="9" t="e">
        <f t="shared" si="58"/>
        <v>#N/A</v>
      </c>
      <c r="T729" s="3" t="e">
        <f t="shared" si="59"/>
        <v>#N/A</v>
      </c>
    </row>
    <row r="730" spans="2:20" x14ac:dyDescent="0.35">
      <c r="B730" t="str">
        <f>IF(NOT(ISBLANK(A730)),VLOOKUP(A730,'BBT3'!A:F,2,0),"")</f>
        <v/>
      </c>
      <c r="C730" t="str">
        <f>IF(NOT(ISBLANK(A730)),VLOOKUP(A730,'BBT3'!A:F,3,0),"")</f>
        <v/>
      </c>
      <c r="D730" s="6" t="str">
        <f>IF(NOT(ISBLANK(A730)),VLOOKUP(A730,'BBT3'!A:F,4,1),"")</f>
        <v/>
      </c>
      <c r="E730" t="str">
        <f>IF(NOT(ISBLANK(A730)),VLOOKUP(A730,'BBT3'!A:F,5,0),"")</f>
        <v/>
      </c>
      <c r="F730" t="str">
        <f>IF(NOT(ISBLANK(A730)),VLOOKUP(A730,'BBT3'!A:F,6,0),"")</f>
        <v/>
      </c>
      <c r="G730" t="str">
        <f>IF(NOT(ISBLANK(A730)),VLOOKUP(A730,QW_Close!A:J,5,0),"")</f>
        <v/>
      </c>
      <c r="H730" s="5" t="str" cm="1">
        <f t="array" ref="H730">IF(NOT(ISBLANK(A730)),((_xlfn.XLOOKUP(1,(_bbt3[[#All],[ID]]=A730)*(_bbt3[[#All],[METRIC_NAME]]="YLD_YTM_ASK"),_bbt3[[#All],[METRIC_VALUE]])*0.5)+(_xlfn.XLOOKUP(1,(_bbt3[[#All],[ID]]=A730)*(_bbt3[[#All],[METRIC_NAME]]="YLD_YTM_BID"),_bbt3[[#All],[METRIC_VALUE]])*0.5))/100,"")</f>
        <v/>
      </c>
      <c r="I730">
        <f>IF(ISNA(VLOOKUP(A730,QW_CloseDL!A:E,5,0)),0,VLOOKUP(A730,QW_CloseDL!A:E,5,0))</f>
        <v>0</v>
      </c>
      <c r="J730" s="8" t="str">
        <f t="shared" si="55"/>
        <v/>
      </c>
      <c r="P730">
        <v>0</v>
      </c>
      <c r="Q730" t="e">
        <f t="shared" si="56"/>
        <v>#N/A</v>
      </c>
      <c r="R730" t="e">
        <f t="shared" si="57"/>
        <v>#N/A</v>
      </c>
      <c r="S730" s="9" t="e">
        <f t="shared" si="58"/>
        <v>#N/A</v>
      </c>
      <c r="T730" s="3" t="e">
        <f t="shared" si="59"/>
        <v>#N/A</v>
      </c>
    </row>
    <row r="731" spans="2:20" x14ac:dyDescent="0.35">
      <c r="B731" t="str">
        <f>IF(NOT(ISBLANK(A731)),VLOOKUP(A731,'BBT3'!A:F,2,0),"")</f>
        <v/>
      </c>
      <c r="C731" t="str">
        <f>IF(NOT(ISBLANK(A731)),VLOOKUP(A731,'BBT3'!A:F,3,0),"")</f>
        <v/>
      </c>
      <c r="D731" s="6" t="str">
        <f>IF(NOT(ISBLANK(A731)),VLOOKUP(A731,'BBT3'!A:F,4,1),"")</f>
        <v/>
      </c>
      <c r="E731" t="str">
        <f>IF(NOT(ISBLANK(A731)),VLOOKUP(A731,'BBT3'!A:F,5,0),"")</f>
        <v/>
      </c>
      <c r="F731" t="str">
        <f>IF(NOT(ISBLANK(A731)),VLOOKUP(A731,'BBT3'!A:F,6,0),"")</f>
        <v/>
      </c>
      <c r="G731" t="str">
        <f>IF(NOT(ISBLANK(A731)),VLOOKUP(A731,QW_Close!A:J,5,0),"")</f>
        <v/>
      </c>
      <c r="H731" s="5" t="str" cm="1">
        <f t="array" ref="H731">IF(NOT(ISBLANK(A731)),((_xlfn.XLOOKUP(1,(_bbt3[[#All],[ID]]=A731)*(_bbt3[[#All],[METRIC_NAME]]="YLD_YTM_ASK"),_bbt3[[#All],[METRIC_VALUE]])*0.5)+(_xlfn.XLOOKUP(1,(_bbt3[[#All],[ID]]=A731)*(_bbt3[[#All],[METRIC_NAME]]="YLD_YTM_BID"),_bbt3[[#All],[METRIC_VALUE]])*0.5))/100,"")</f>
        <v/>
      </c>
      <c r="I731">
        <f>IF(ISNA(VLOOKUP(A731,QW_CloseDL!A:E,5,0)),0,VLOOKUP(A731,QW_CloseDL!A:E,5,0))</f>
        <v>0</v>
      </c>
      <c r="J731" s="8" t="str">
        <f t="shared" si="55"/>
        <v/>
      </c>
      <c r="P731">
        <v>0</v>
      </c>
      <c r="Q731" t="e">
        <f t="shared" si="56"/>
        <v>#N/A</v>
      </c>
      <c r="R731" t="e">
        <f t="shared" si="57"/>
        <v>#N/A</v>
      </c>
      <c r="S731" s="9" t="e">
        <f t="shared" si="58"/>
        <v>#N/A</v>
      </c>
      <c r="T731" s="3" t="e">
        <f t="shared" si="59"/>
        <v>#N/A</v>
      </c>
    </row>
    <row r="732" spans="2:20" x14ac:dyDescent="0.35">
      <c r="B732" t="str">
        <f>IF(NOT(ISBLANK(A732)),VLOOKUP(A732,'BBT3'!A:F,2,0),"")</f>
        <v/>
      </c>
      <c r="C732" t="str">
        <f>IF(NOT(ISBLANK(A732)),VLOOKUP(A732,'BBT3'!A:F,3,0),"")</f>
        <v/>
      </c>
      <c r="D732" s="6" t="str">
        <f>IF(NOT(ISBLANK(A732)),VLOOKUP(A732,'BBT3'!A:F,4,1),"")</f>
        <v/>
      </c>
      <c r="E732" t="str">
        <f>IF(NOT(ISBLANK(A732)),VLOOKUP(A732,'BBT3'!A:F,5,0),"")</f>
        <v/>
      </c>
      <c r="F732" t="str">
        <f>IF(NOT(ISBLANK(A732)),VLOOKUP(A732,'BBT3'!A:F,6,0),"")</f>
        <v/>
      </c>
      <c r="G732" t="str">
        <f>IF(NOT(ISBLANK(A732)),VLOOKUP(A732,QW_Close!A:J,5,0),"")</f>
        <v/>
      </c>
      <c r="H732" s="5" t="str" cm="1">
        <f t="array" ref="H732">IF(NOT(ISBLANK(A732)),((_xlfn.XLOOKUP(1,(_bbt3[[#All],[ID]]=A732)*(_bbt3[[#All],[METRIC_NAME]]="YLD_YTM_ASK"),_bbt3[[#All],[METRIC_VALUE]])*0.5)+(_xlfn.XLOOKUP(1,(_bbt3[[#All],[ID]]=A732)*(_bbt3[[#All],[METRIC_NAME]]="YLD_YTM_BID"),_bbt3[[#All],[METRIC_VALUE]])*0.5))/100,"")</f>
        <v/>
      </c>
      <c r="I732">
        <f>IF(ISNA(VLOOKUP(A732,QW_CloseDL!A:E,5,0)),0,VLOOKUP(A732,QW_CloseDL!A:E,5,0))</f>
        <v>0</v>
      </c>
      <c r="J732" s="8" t="str">
        <f t="shared" si="55"/>
        <v/>
      </c>
      <c r="P732">
        <v>0</v>
      </c>
      <c r="Q732" t="e">
        <f t="shared" si="56"/>
        <v>#N/A</v>
      </c>
      <c r="R732" t="e">
        <f t="shared" si="57"/>
        <v>#N/A</v>
      </c>
      <c r="S732" s="9" t="e">
        <f t="shared" si="58"/>
        <v>#N/A</v>
      </c>
      <c r="T732" s="3" t="e">
        <f t="shared" si="59"/>
        <v>#N/A</v>
      </c>
    </row>
    <row r="733" spans="2:20" x14ac:dyDescent="0.35">
      <c r="B733" t="str">
        <f>IF(NOT(ISBLANK(A733)),VLOOKUP(A733,'BBT3'!A:F,2,0),"")</f>
        <v/>
      </c>
      <c r="C733" t="str">
        <f>IF(NOT(ISBLANK(A733)),VLOOKUP(A733,'BBT3'!A:F,3,0),"")</f>
        <v/>
      </c>
      <c r="D733" s="6" t="str">
        <f>IF(NOT(ISBLANK(A733)),VLOOKUP(A733,'BBT3'!A:F,4,1),"")</f>
        <v/>
      </c>
      <c r="E733" t="str">
        <f>IF(NOT(ISBLANK(A733)),VLOOKUP(A733,'BBT3'!A:F,5,0),"")</f>
        <v/>
      </c>
      <c r="F733" t="str">
        <f>IF(NOT(ISBLANK(A733)),VLOOKUP(A733,'BBT3'!A:F,6,0),"")</f>
        <v/>
      </c>
      <c r="G733" t="str">
        <f>IF(NOT(ISBLANK(A733)),VLOOKUP(A733,QW_Close!A:J,5,0),"")</f>
        <v/>
      </c>
      <c r="H733" s="5" t="str" cm="1">
        <f t="array" ref="H733">IF(NOT(ISBLANK(A733)),((_xlfn.XLOOKUP(1,(_bbt3[[#All],[ID]]=A733)*(_bbt3[[#All],[METRIC_NAME]]="YLD_YTM_ASK"),_bbt3[[#All],[METRIC_VALUE]])*0.5)+(_xlfn.XLOOKUP(1,(_bbt3[[#All],[ID]]=A733)*(_bbt3[[#All],[METRIC_NAME]]="YLD_YTM_BID"),_bbt3[[#All],[METRIC_VALUE]])*0.5))/100,"")</f>
        <v/>
      </c>
      <c r="I733">
        <f>IF(ISNA(VLOOKUP(A733,QW_CloseDL!A:E,5,0)),0,VLOOKUP(A733,QW_CloseDL!A:E,5,0))</f>
        <v>0</v>
      </c>
      <c r="J733" s="8" t="str">
        <f t="shared" si="55"/>
        <v/>
      </c>
      <c r="P733">
        <v>0</v>
      </c>
      <c r="Q733" t="e">
        <f t="shared" si="56"/>
        <v>#N/A</v>
      </c>
      <c r="R733" t="e">
        <f t="shared" si="57"/>
        <v>#N/A</v>
      </c>
      <c r="S733" s="9" t="e">
        <f t="shared" si="58"/>
        <v>#N/A</v>
      </c>
      <c r="T733" s="3" t="e">
        <f t="shared" si="59"/>
        <v>#N/A</v>
      </c>
    </row>
    <row r="734" spans="2:20" x14ac:dyDescent="0.35">
      <c r="B734" t="str">
        <f>IF(NOT(ISBLANK(A734)),VLOOKUP(A734,'BBT3'!A:F,2,0),"")</f>
        <v/>
      </c>
      <c r="C734" t="str">
        <f>IF(NOT(ISBLANK(A734)),VLOOKUP(A734,'BBT3'!A:F,3,0),"")</f>
        <v/>
      </c>
      <c r="D734" s="6" t="str">
        <f>IF(NOT(ISBLANK(A734)),VLOOKUP(A734,'BBT3'!A:F,4,1),"")</f>
        <v/>
      </c>
      <c r="E734" t="str">
        <f>IF(NOT(ISBLANK(A734)),VLOOKUP(A734,'BBT3'!A:F,5,0),"")</f>
        <v/>
      </c>
      <c r="F734" t="str">
        <f>IF(NOT(ISBLANK(A734)),VLOOKUP(A734,'BBT3'!A:F,6,0),"")</f>
        <v/>
      </c>
      <c r="G734" t="str">
        <f>IF(NOT(ISBLANK(A734)),VLOOKUP(A734,QW_Close!A:J,5,0),"")</f>
        <v/>
      </c>
      <c r="H734" s="5" t="str" cm="1">
        <f t="array" ref="H734">IF(NOT(ISBLANK(A734)),((_xlfn.XLOOKUP(1,(_bbt3[[#All],[ID]]=A734)*(_bbt3[[#All],[METRIC_NAME]]="YLD_YTM_ASK"),_bbt3[[#All],[METRIC_VALUE]])*0.5)+(_xlfn.XLOOKUP(1,(_bbt3[[#All],[ID]]=A734)*(_bbt3[[#All],[METRIC_NAME]]="YLD_YTM_BID"),_bbt3[[#All],[METRIC_VALUE]])*0.5))/100,"")</f>
        <v/>
      </c>
      <c r="I734">
        <f>IF(ISNA(VLOOKUP(A734,QW_CloseDL!A:E,5,0)),0,VLOOKUP(A734,QW_CloseDL!A:E,5,0))</f>
        <v>0</v>
      </c>
      <c r="J734" s="8" t="str">
        <f t="shared" si="55"/>
        <v/>
      </c>
      <c r="P734">
        <v>0</v>
      </c>
      <c r="Q734" t="e">
        <f t="shared" si="56"/>
        <v>#N/A</v>
      </c>
      <c r="R734" t="e">
        <f t="shared" si="57"/>
        <v>#N/A</v>
      </c>
      <c r="S734" s="9" t="e">
        <f t="shared" si="58"/>
        <v>#N/A</v>
      </c>
      <c r="T734" s="3" t="e">
        <f t="shared" si="59"/>
        <v>#N/A</v>
      </c>
    </row>
    <row r="735" spans="2:20" x14ac:dyDescent="0.35">
      <c r="B735" t="str">
        <f>IF(NOT(ISBLANK(A735)),VLOOKUP(A735,'BBT3'!A:F,2,0),"")</f>
        <v/>
      </c>
      <c r="C735" t="str">
        <f>IF(NOT(ISBLANK(A735)),VLOOKUP(A735,'BBT3'!A:F,3,0),"")</f>
        <v/>
      </c>
      <c r="D735" s="6" t="str">
        <f>IF(NOT(ISBLANK(A735)),VLOOKUP(A735,'BBT3'!A:F,4,1),"")</f>
        <v/>
      </c>
      <c r="E735" t="str">
        <f>IF(NOT(ISBLANK(A735)),VLOOKUP(A735,'BBT3'!A:F,5,0),"")</f>
        <v/>
      </c>
      <c r="F735" t="str">
        <f>IF(NOT(ISBLANK(A735)),VLOOKUP(A735,'BBT3'!A:F,6,0),"")</f>
        <v/>
      </c>
      <c r="G735" t="str">
        <f>IF(NOT(ISBLANK(A735)),VLOOKUP(A735,QW_Close!A:J,5,0),"")</f>
        <v/>
      </c>
      <c r="H735" s="5" t="str" cm="1">
        <f t="array" ref="H735">IF(NOT(ISBLANK(A735)),((_xlfn.XLOOKUP(1,(_bbt3[[#All],[ID]]=A735)*(_bbt3[[#All],[METRIC_NAME]]="YLD_YTM_ASK"),_bbt3[[#All],[METRIC_VALUE]])*0.5)+(_xlfn.XLOOKUP(1,(_bbt3[[#All],[ID]]=A735)*(_bbt3[[#All],[METRIC_NAME]]="YLD_YTM_BID"),_bbt3[[#All],[METRIC_VALUE]])*0.5))/100,"")</f>
        <v/>
      </c>
      <c r="I735">
        <f>IF(ISNA(VLOOKUP(A735,QW_CloseDL!A:E,5,0)),0,VLOOKUP(A735,QW_CloseDL!A:E,5,0))</f>
        <v>0</v>
      </c>
      <c r="J735" s="8" t="str">
        <f t="shared" si="55"/>
        <v/>
      </c>
      <c r="P735">
        <v>0</v>
      </c>
      <c r="Q735" t="e">
        <f t="shared" si="56"/>
        <v>#N/A</v>
      </c>
      <c r="R735" t="e">
        <f t="shared" si="57"/>
        <v>#N/A</v>
      </c>
      <c r="S735" s="9" t="e">
        <f t="shared" si="58"/>
        <v>#N/A</v>
      </c>
      <c r="T735" s="3" t="e">
        <f t="shared" si="59"/>
        <v>#N/A</v>
      </c>
    </row>
    <row r="736" spans="2:20" x14ac:dyDescent="0.35">
      <c r="B736" t="str">
        <f>IF(NOT(ISBLANK(A736)),VLOOKUP(A736,'BBT3'!A:F,2,0),"")</f>
        <v/>
      </c>
      <c r="C736" t="str">
        <f>IF(NOT(ISBLANK(A736)),VLOOKUP(A736,'BBT3'!A:F,3,0),"")</f>
        <v/>
      </c>
      <c r="D736" s="6" t="str">
        <f>IF(NOT(ISBLANK(A736)),VLOOKUP(A736,'BBT3'!A:F,4,1),"")</f>
        <v/>
      </c>
      <c r="E736" t="str">
        <f>IF(NOT(ISBLANK(A736)),VLOOKUP(A736,'BBT3'!A:F,5,0),"")</f>
        <v/>
      </c>
      <c r="F736" t="str">
        <f>IF(NOT(ISBLANK(A736)),VLOOKUP(A736,'BBT3'!A:F,6,0),"")</f>
        <v/>
      </c>
      <c r="G736" t="str">
        <f>IF(NOT(ISBLANK(A736)),VLOOKUP(A736,QW_Close!A:J,5,0),"")</f>
        <v/>
      </c>
      <c r="H736" s="5" t="str" cm="1">
        <f t="array" ref="H736">IF(NOT(ISBLANK(A736)),((_xlfn.XLOOKUP(1,(_bbt3[[#All],[ID]]=A736)*(_bbt3[[#All],[METRIC_NAME]]="YLD_YTM_ASK"),_bbt3[[#All],[METRIC_VALUE]])*0.5)+(_xlfn.XLOOKUP(1,(_bbt3[[#All],[ID]]=A736)*(_bbt3[[#All],[METRIC_NAME]]="YLD_YTM_BID"),_bbt3[[#All],[METRIC_VALUE]])*0.5))/100,"")</f>
        <v/>
      </c>
      <c r="I736">
        <f>IF(ISNA(VLOOKUP(A736,QW_CloseDL!A:E,5,0)),0,VLOOKUP(A736,QW_CloseDL!A:E,5,0))</f>
        <v>0</v>
      </c>
      <c r="J736" s="8" t="str">
        <f t="shared" si="55"/>
        <v/>
      </c>
      <c r="P736">
        <v>0</v>
      </c>
      <c r="Q736" t="e">
        <f t="shared" si="56"/>
        <v>#N/A</v>
      </c>
      <c r="R736" t="e">
        <f t="shared" si="57"/>
        <v>#N/A</v>
      </c>
      <c r="S736" s="9" t="e">
        <f t="shared" si="58"/>
        <v>#N/A</v>
      </c>
      <c r="T736" s="3" t="e">
        <f t="shared" si="59"/>
        <v>#N/A</v>
      </c>
    </row>
    <row r="737" spans="2:20" x14ac:dyDescent="0.35">
      <c r="B737" t="str">
        <f>IF(NOT(ISBLANK(A737)),VLOOKUP(A737,'BBT3'!A:F,2,0),"")</f>
        <v/>
      </c>
      <c r="C737" t="str">
        <f>IF(NOT(ISBLANK(A737)),VLOOKUP(A737,'BBT3'!A:F,3,0),"")</f>
        <v/>
      </c>
      <c r="D737" s="6" t="str">
        <f>IF(NOT(ISBLANK(A737)),VLOOKUP(A737,'BBT3'!A:F,4,1),"")</f>
        <v/>
      </c>
      <c r="E737" t="str">
        <f>IF(NOT(ISBLANK(A737)),VLOOKUP(A737,'BBT3'!A:F,5,0),"")</f>
        <v/>
      </c>
      <c r="F737" t="str">
        <f>IF(NOT(ISBLANK(A737)),VLOOKUP(A737,'BBT3'!A:F,6,0),"")</f>
        <v/>
      </c>
      <c r="G737" t="str">
        <f>IF(NOT(ISBLANK(A737)),VLOOKUP(A737,QW_Close!A:J,5,0),"")</f>
        <v/>
      </c>
      <c r="H737" s="5" t="str" cm="1">
        <f t="array" ref="H737">IF(NOT(ISBLANK(A737)),((_xlfn.XLOOKUP(1,(_bbt3[[#All],[ID]]=A737)*(_bbt3[[#All],[METRIC_NAME]]="YLD_YTM_ASK"),_bbt3[[#All],[METRIC_VALUE]])*0.5)+(_xlfn.XLOOKUP(1,(_bbt3[[#All],[ID]]=A737)*(_bbt3[[#All],[METRIC_NAME]]="YLD_YTM_BID"),_bbt3[[#All],[METRIC_VALUE]])*0.5))/100,"")</f>
        <v/>
      </c>
      <c r="I737">
        <f>IF(ISNA(VLOOKUP(A737,QW_CloseDL!A:E,5,0)),0,VLOOKUP(A737,QW_CloseDL!A:E,5,0))</f>
        <v>0</v>
      </c>
      <c r="J737" s="8" t="str">
        <f t="shared" si="55"/>
        <v/>
      </c>
      <c r="P737">
        <v>0</v>
      </c>
      <c r="Q737" t="e">
        <f t="shared" si="56"/>
        <v>#N/A</v>
      </c>
      <c r="R737" t="e">
        <f t="shared" si="57"/>
        <v>#N/A</v>
      </c>
      <c r="S737" s="9" t="e">
        <f t="shared" si="58"/>
        <v>#N/A</v>
      </c>
      <c r="T737" s="3" t="e">
        <f t="shared" si="59"/>
        <v>#N/A</v>
      </c>
    </row>
    <row r="738" spans="2:20" x14ac:dyDescent="0.35">
      <c r="B738" t="str">
        <f>IF(NOT(ISBLANK(A738)),VLOOKUP(A738,'BBT3'!A:F,2,0),"")</f>
        <v/>
      </c>
      <c r="C738" t="str">
        <f>IF(NOT(ISBLANK(A738)),VLOOKUP(A738,'BBT3'!A:F,3,0),"")</f>
        <v/>
      </c>
      <c r="D738" s="6" t="str">
        <f>IF(NOT(ISBLANK(A738)),VLOOKUP(A738,'BBT3'!A:F,4,1),"")</f>
        <v/>
      </c>
      <c r="E738" t="str">
        <f>IF(NOT(ISBLANK(A738)),VLOOKUP(A738,'BBT3'!A:F,5,0),"")</f>
        <v/>
      </c>
      <c r="F738" t="str">
        <f>IF(NOT(ISBLANK(A738)),VLOOKUP(A738,'BBT3'!A:F,6,0),"")</f>
        <v/>
      </c>
      <c r="G738" t="str">
        <f>IF(NOT(ISBLANK(A738)),VLOOKUP(A738,QW_Close!A:J,5,0),"")</f>
        <v/>
      </c>
      <c r="H738" s="5" t="str" cm="1">
        <f t="array" ref="H738">IF(NOT(ISBLANK(A738)),((_xlfn.XLOOKUP(1,(_bbt3[[#All],[ID]]=A738)*(_bbt3[[#All],[METRIC_NAME]]="YLD_YTM_ASK"),_bbt3[[#All],[METRIC_VALUE]])*0.5)+(_xlfn.XLOOKUP(1,(_bbt3[[#All],[ID]]=A738)*(_bbt3[[#All],[METRIC_NAME]]="YLD_YTM_BID"),_bbt3[[#All],[METRIC_VALUE]])*0.5))/100,"")</f>
        <v/>
      </c>
      <c r="I738">
        <f>IF(ISNA(VLOOKUP(A738,QW_CloseDL!A:E,5,0)),0,VLOOKUP(A738,QW_CloseDL!A:E,5,0))</f>
        <v>0</v>
      </c>
      <c r="J738" s="8" t="str">
        <f t="shared" si="55"/>
        <v/>
      </c>
      <c r="P738">
        <v>0</v>
      </c>
      <c r="Q738" t="e">
        <f t="shared" si="56"/>
        <v>#N/A</v>
      </c>
      <c r="R738" t="e">
        <f t="shared" si="57"/>
        <v>#N/A</v>
      </c>
      <c r="S738" s="9" t="e">
        <f t="shared" si="58"/>
        <v>#N/A</v>
      </c>
      <c r="T738" s="3" t="e">
        <f t="shared" si="59"/>
        <v>#N/A</v>
      </c>
    </row>
    <row r="739" spans="2:20" x14ac:dyDescent="0.35">
      <c r="B739" t="str">
        <f>IF(NOT(ISBLANK(A739)),VLOOKUP(A739,'BBT3'!A:F,2,0),"")</f>
        <v/>
      </c>
      <c r="C739" t="str">
        <f>IF(NOT(ISBLANK(A739)),VLOOKUP(A739,'BBT3'!A:F,3,0),"")</f>
        <v/>
      </c>
      <c r="D739" s="6" t="str">
        <f>IF(NOT(ISBLANK(A739)),VLOOKUP(A739,'BBT3'!A:F,4,1),"")</f>
        <v/>
      </c>
      <c r="E739" t="str">
        <f>IF(NOT(ISBLANK(A739)),VLOOKUP(A739,'BBT3'!A:F,5,0),"")</f>
        <v/>
      </c>
      <c r="F739" t="str">
        <f>IF(NOT(ISBLANK(A739)),VLOOKUP(A739,'BBT3'!A:F,6,0),"")</f>
        <v/>
      </c>
      <c r="G739" t="str">
        <f>IF(NOT(ISBLANK(A739)),VLOOKUP(A739,QW_Close!A:J,5,0),"")</f>
        <v/>
      </c>
      <c r="H739" s="5" t="str" cm="1">
        <f t="array" ref="H739">IF(NOT(ISBLANK(A739)),((_xlfn.XLOOKUP(1,(_bbt3[[#All],[ID]]=A739)*(_bbt3[[#All],[METRIC_NAME]]="YLD_YTM_ASK"),_bbt3[[#All],[METRIC_VALUE]])*0.5)+(_xlfn.XLOOKUP(1,(_bbt3[[#All],[ID]]=A739)*(_bbt3[[#All],[METRIC_NAME]]="YLD_YTM_BID"),_bbt3[[#All],[METRIC_VALUE]])*0.5))/100,"")</f>
        <v/>
      </c>
      <c r="I739">
        <f>IF(ISNA(VLOOKUP(A739,QW_CloseDL!A:E,5,0)),0,VLOOKUP(A739,QW_CloseDL!A:E,5,0))</f>
        <v>0</v>
      </c>
      <c r="J739" s="8" t="str">
        <f t="shared" si="55"/>
        <v/>
      </c>
      <c r="P739">
        <v>0</v>
      </c>
      <c r="Q739" t="e">
        <f t="shared" si="56"/>
        <v>#N/A</v>
      </c>
      <c r="R739" t="e">
        <f t="shared" si="57"/>
        <v>#N/A</v>
      </c>
      <c r="S739" s="9" t="e">
        <f t="shared" si="58"/>
        <v>#N/A</v>
      </c>
      <c r="T739" s="3" t="e">
        <f t="shared" si="59"/>
        <v>#N/A</v>
      </c>
    </row>
    <row r="740" spans="2:20" x14ac:dyDescent="0.35">
      <c r="B740" t="str">
        <f>IF(NOT(ISBLANK(A740)),VLOOKUP(A740,'BBT3'!A:F,2,0),"")</f>
        <v/>
      </c>
      <c r="C740" t="str">
        <f>IF(NOT(ISBLANK(A740)),VLOOKUP(A740,'BBT3'!A:F,3,0),"")</f>
        <v/>
      </c>
      <c r="D740" s="6" t="str">
        <f>IF(NOT(ISBLANK(A740)),VLOOKUP(A740,'BBT3'!A:F,4,1),"")</f>
        <v/>
      </c>
      <c r="E740" t="str">
        <f>IF(NOT(ISBLANK(A740)),VLOOKUP(A740,'BBT3'!A:F,5,0),"")</f>
        <v/>
      </c>
      <c r="F740" t="str">
        <f>IF(NOT(ISBLANK(A740)),VLOOKUP(A740,'BBT3'!A:F,6,0),"")</f>
        <v/>
      </c>
      <c r="G740" t="str">
        <f>IF(NOT(ISBLANK(A740)),VLOOKUP(A740,QW_Close!A:J,5,0),"")</f>
        <v/>
      </c>
      <c r="H740" s="5" t="str" cm="1">
        <f t="array" ref="H740">IF(NOT(ISBLANK(A740)),((_xlfn.XLOOKUP(1,(_bbt3[[#All],[ID]]=A740)*(_bbt3[[#All],[METRIC_NAME]]="YLD_YTM_ASK"),_bbt3[[#All],[METRIC_VALUE]])*0.5)+(_xlfn.XLOOKUP(1,(_bbt3[[#All],[ID]]=A740)*(_bbt3[[#All],[METRIC_NAME]]="YLD_YTM_BID"),_bbt3[[#All],[METRIC_VALUE]])*0.5))/100,"")</f>
        <v/>
      </c>
      <c r="I740">
        <f>IF(ISNA(VLOOKUP(A740,QW_CloseDL!A:E,5,0)),0,VLOOKUP(A740,QW_CloseDL!A:E,5,0))</f>
        <v>0</v>
      </c>
      <c r="J740" s="8" t="str">
        <f t="shared" si="55"/>
        <v/>
      </c>
      <c r="P740">
        <v>0</v>
      </c>
      <c r="Q740" t="e">
        <f t="shared" si="56"/>
        <v>#N/A</v>
      </c>
      <c r="R740" t="e">
        <f t="shared" si="57"/>
        <v>#N/A</v>
      </c>
      <c r="S740" s="9" t="e">
        <f t="shared" si="58"/>
        <v>#N/A</v>
      </c>
      <c r="T740" s="3" t="e">
        <f t="shared" si="59"/>
        <v>#N/A</v>
      </c>
    </row>
    <row r="741" spans="2:20" x14ac:dyDescent="0.35">
      <c r="B741" t="str">
        <f>IF(NOT(ISBLANK(A741)),VLOOKUP(A741,'BBT3'!A:F,2,0),"")</f>
        <v/>
      </c>
      <c r="C741" t="str">
        <f>IF(NOT(ISBLANK(A741)),VLOOKUP(A741,'BBT3'!A:F,3,0),"")</f>
        <v/>
      </c>
      <c r="D741" s="6" t="str">
        <f>IF(NOT(ISBLANK(A741)),VLOOKUP(A741,'BBT3'!A:F,4,1),"")</f>
        <v/>
      </c>
      <c r="E741" t="str">
        <f>IF(NOT(ISBLANK(A741)),VLOOKUP(A741,'BBT3'!A:F,5,0),"")</f>
        <v/>
      </c>
      <c r="F741" t="str">
        <f>IF(NOT(ISBLANK(A741)),VLOOKUP(A741,'BBT3'!A:F,6,0),"")</f>
        <v/>
      </c>
      <c r="G741" t="str">
        <f>IF(NOT(ISBLANK(A741)),VLOOKUP(A741,QW_Close!A:J,5,0),"")</f>
        <v/>
      </c>
      <c r="H741" s="5" t="str" cm="1">
        <f t="array" ref="H741">IF(NOT(ISBLANK(A741)),((_xlfn.XLOOKUP(1,(_bbt3[[#All],[ID]]=A741)*(_bbt3[[#All],[METRIC_NAME]]="YLD_YTM_ASK"),_bbt3[[#All],[METRIC_VALUE]])*0.5)+(_xlfn.XLOOKUP(1,(_bbt3[[#All],[ID]]=A741)*(_bbt3[[#All],[METRIC_NAME]]="YLD_YTM_BID"),_bbt3[[#All],[METRIC_VALUE]])*0.5))/100,"")</f>
        <v/>
      </c>
      <c r="I741">
        <f>IF(ISNA(VLOOKUP(A741,QW_CloseDL!A:E,5,0)),0,VLOOKUP(A741,QW_CloseDL!A:E,5,0))</f>
        <v>0</v>
      </c>
      <c r="J741" s="8" t="str">
        <f t="shared" si="55"/>
        <v/>
      </c>
      <c r="P741">
        <v>0</v>
      </c>
      <c r="Q741" t="e">
        <f t="shared" si="56"/>
        <v>#N/A</v>
      </c>
      <c r="R741" t="e">
        <f t="shared" si="57"/>
        <v>#N/A</v>
      </c>
      <c r="S741" s="9" t="e">
        <f t="shared" si="58"/>
        <v>#N/A</v>
      </c>
      <c r="T741" s="3" t="e">
        <f t="shared" si="59"/>
        <v>#N/A</v>
      </c>
    </row>
    <row r="742" spans="2:20" x14ac:dyDescent="0.35">
      <c r="B742" t="str">
        <f>IF(NOT(ISBLANK(A742)),VLOOKUP(A742,'BBT3'!A:F,2,0),"")</f>
        <v/>
      </c>
      <c r="C742" t="str">
        <f>IF(NOT(ISBLANK(A742)),VLOOKUP(A742,'BBT3'!A:F,3,0),"")</f>
        <v/>
      </c>
      <c r="D742" s="6" t="str">
        <f>IF(NOT(ISBLANK(A742)),VLOOKUP(A742,'BBT3'!A:F,4,1),"")</f>
        <v/>
      </c>
      <c r="E742" t="str">
        <f>IF(NOT(ISBLANK(A742)),VLOOKUP(A742,'BBT3'!A:F,5,0),"")</f>
        <v/>
      </c>
      <c r="F742" t="str">
        <f>IF(NOT(ISBLANK(A742)),VLOOKUP(A742,'BBT3'!A:F,6,0),"")</f>
        <v/>
      </c>
      <c r="G742" t="str">
        <f>IF(NOT(ISBLANK(A742)),VLOOKUP(A742,QW_Close!A:J,5,0),"")</f>
        <v/>
      </c>
      <c r="H742" s="5" t="str" cm="1">
        <f t="array" ref="H742">IF(NOT(ISBLANK(A742)),((_xlfn.XLOOKUP(1,(_bbt3[[#All],[ID]]=A742)*(_bbt3[[#All],[METRIC_NAME]]="YLD_YTM_ASK"),_bbt3[[#All],[METRIC_VALUE]])*0.5)+(_xlfn.XLOOKUP(1,(_bbt3[[#All],[ID]]=A742)*(_bbt3[[#All],[METRIC_NAME]]="YLD_YTM_BID"),_bbt3[[#All],[METRIC_VALUE]])*0.5))/100,"")</f>
        <v/>
      </c>
      <c r="I742">
        <f>IF(ISNA(VLOOKUP(A742,QW_CloseDL!A:E,5,0)),0,VLOOKUP(A742,QW_CloseDL!A:E,5,0))</f>
        <v>0</v>
      </c>
      <c r="J742" s="8" t="str">
        <f t="shared" si="55"/>
        <v/>
      </c>
      <c r="P742">
        <v>0</v>
      </c>
      <c r="Q742" t="e">
        <f t="shared" si="56"/>
        <v>#N/A</v>
      </c>
      <c r="R742" t="e">
        <f t="shared" si="57"/>
        <v>#N/A</v>
      </c>
      <c r="S742" s="9" t="e">
        <f t="shared" si="58"/>
        <v>#N/A</v>
      </c>
      <c r="T742" s="3" t="e">
        <f t="shared" si="59"/>
        <v>#N/A</v>
      </c>
    </row>
    <row r="743" spans="2:20" x14ac:dyDescent="0.35">
      <c r="B743" t="str">
        <f>IF(NOT(ISBLANK(A743)),VLOOKUP(A743,'BBT3'!A:F,2,0),"")</f>
        <v/>
      </c>
      <c r="C743" t="str">
        <f>IF(NOT(ISBLANK(A743)),VLOOKUP(A743,'BBT3'!A:F,3,0),"")</f>
        <v/>
      </c>
      <c r="D743" s="6" t="str">
        <f>IF(NOT(ISBLANK(A743)),VLOOKUP(A743,'BBT3'!A:F,4,1),"")</f>
        <v/>
      </c>
      <c r="E743" t="str">
        <f>IF(NOT(ISBLANK(A743)),VLOOKUP(A743,'BBT3'!A:F,5,0),"")</f>
        <v/>
      </c>
      <c r="F743" t="str">
        <f>IF(NOT(ISBLANK(A743)),VLOOKUP(A743,'BBT3'!A:F,6,0),"")</f>
        <v/>
      </c>
      <c r="G743" t="str">
        <f>IF(NOT(ISBLANK(A743)),VLOOKUP(A743,QW_Close!A:J,5,0),"")</f>
        <v/>
      </c>
      <c r="H743" s="5" t="str" cm="1">
        <f t="array" ref="H743">IF(NOT(ISBLANK(A743)),((_xlfn.XLOOKUP(1,(_bbt3[[#All],[ID]]=A743)*(_bbt3[[#All],[METRIC_NAME]]="YLD_YTM_ASK"),_bbt3[[#All],[METRIC_VALUE]])*0.5)+(_xlfn.XLOOKUP(1,(_bbt3[[#All],[ID]]=A743)*(_bbt3[[#All],[METRIC_NAME]]="YLD_YTM_BID"),_bbt3[[#All],[METRIC_VALUE]])*0.5))/100,"")</f>
        <v/>
      </c>
      <c r="I743">
        <f>IF(ISNA(VLOOKUP(A743,QW_CloseDL!A:E,5,0)),0,VLOOKUP(A743,QW_CloseDL!A:E,5,0))</f>
        <v>0</v>
      </c>
      <c r="J743" s="8" t="str">
        <f t="shared" si="55"/>
        <v/>
      </c>
      <c r="P743">
        <v>0</v>
      </c>
      <c r="Q743" t="e">
        <f t="shared" si="56"/>
        <v>#N/A</v>
      </c>
      <c r="R743" t="e">
        <f t="shared" si="57"/>
        <v>#N/A</v>
      </c>
      <c r="S743" s="9" t="e">
        <f t="shared" si="58"/>
        <v>#N/A</v>
      </c>
      <c r="T743" s="3" t="e">
        <f t="shared" si="59"/>
        <v>#N/A</v>
      </c>
    </row>
    <row r="744" spans="2:20" x14ac:dyDescent="0.35">
      <c r="B744" t="str">
        <f>IF(NOT(ISBLANK(A744)),VLOOKUP(A744,'BBT3'!A:F,2,0),"")</f>
        <v/>
      </c>
      <c r="C744" t="str">
        <f>IF(NOT(ISBLANK(A744)),VLOOKUP(A744,'BBT3'!A:F,3,0),"")</f>
        <v/>
      </c>
      <c r="D744" s="6" t="str">
        <f>IF(NOT(ISBLANK(A744)),VLOOKUP(A744,'BBT3'!A:F,4,1),"")</f>
        <v/>
      </c>
      <c r="E744" t="str">
        <f>IF(NOT(ISBLANK(A744)),VLOOKUP(A744,'BBT3'!A:F,5,0),"")</f>
        <v/>
      </c>
      <c r="F744" t="str">
        <f>IF(NOT(ISBLANK(A744)),VLOOKUP(A744,'BBT3'!A:F,6,0),"")</f>
        <v/>
      </c>
      <c r="G744" t="str">
        <f>IF(NOT(ISBLANK(A744)),VLOOKUP(A744,QW_Close!A:J,5,0),"")</f>
        <v/>
      </c>
      <c r="H744" s="5" t="str" cm="1">
        <f t="array" ref="H744">IF(NOT(ISBLANK(A744)),((_xlfn.XLOOKUP(1,(_bbt3[[#All],[ID]]=A744)*(_bbt3[[#All],[METRIC_NAME]]="YLD_YTM_ASK"),_bbt3[[#All],[METRIC_VALUE]])*0.5)+(_xlfn.XLOOKUP(1,(_bbt3[[#All],[ID]]=A744)*(_bbt3[[#All],[METRIC_NAME]]="YLD_YTM_BID"),_bbt3[[#All],[METRIC_VALUE]])*0.5))/100,"")</f>
        <v/>
      </c>
      <c r="I744">
        <f>IF(ISNA(VLOOKUP(A744,QW_CloseDL!A:E,5,0)),0,VLOOKUP(A744,QW_CloseDL!A:E,5,0))</f>
        <v>0</v>
      </c>
      <c r="J744" s="8" t="str">
        <f t="shared" si="55"/>
        <v/>
      </c>
      <c r="P744">
        <v>0</v>
      </c>
      <c r="Q744" t="e">
        <f t="shared" si="56"/>
        <v>#N/A</v>
      </c>
      <c r="R744" t="e">
        <f t="shared" si="57"/>
        <v>#N/A</v>
      </c>
      <c r="S744" s="9" t="e">
        <f t="shared" si="58"/>
        <v>#N/A</v>
      </c>
      <c r="T744" s="3" t="e">
        <f t="shared" si="59"/>
        <v>#N/A</v>
      </c>
    </row>
    <row r="745" spans="2:20" x14ac:dyDescent="0.35">
      <c r="B745" t="str">
        <f>IF(NOT(ISBLANK(A745)),VLOOKUP(A745,'BBT3'!A:F,2,0),"")</f>
        <v/>
      </c>
      <c r="C745" t="str">
        <f>IF(NOT(ISBLANK(A745)),VLOOKUP(A745,'BBT3'!A:F,3,0),"")</f>
        <v/>
      </c>
      <c r="D745" s="6" t="str">
        <f>IF(NOT(ISBLANK(A745)),VLOOKUP(A745,'BBT3'!A:F,4,1),"")</f>
        <v/>
      </c>
      <c r="E745" t="str">
        <f>IF(NOT(ISBLANK(A745)),VLOOKUP(A745,'BBT3'!A:F,5,0),"")</f>
        <v/>
      </c>
      <c r="F745" t="str">
        <f>IF(NOT(ISBLANK(A745)),VLOOKUP(A745,'BBT3'!A:F,6,0),"")</f>
        <v/>
      </c>
      <c r="G745" t="str">
        <f>IF(NOT(ISBLANK(A745)),VLOOKUP(A745,QW_Close!A:J,5,0),"")</f>
        <v/>
      </c>
      <c r="H745" s="5" t="str" cm="1">
        <f t="array" ref="H745">IF(NOT(ISBLANK(A745)),((_xlfn.XLOOKUP(1,(_bbt3[[#All],[ID]]=A745)*(_bbt3[[#All],[METRIC_NAME]]="YLD_YTM_ASK"),_bbt3[[#All],[METRIC_VALUE]])*0.5)+(_xlfn.XLOOKUP(1,(_bbt3[[#All],[ID]]=A745)*(_bbt3[[#All],[METRIC_NAME]]="YLD_YTM_BID"),_bbt3[[#All],[METRIC_VALUE]])*0.5))/100,"")</f>
        <v/>
      </c>
      <c r="I745">
        <f>IF(ISNA(VLOOKUP(A745,QW_CloseDL!A:E,5,0)),0,VLOOKUP(A745,QW_CloseDL!A:E,5,0))</f>
        <v>0</v>
      </c>
      <c r="J745" s="8" t="str">
        <f t="shared" si="55"/>
        <v/>
      </c>
      <c r="P745">
        <v>0</v>
      </c>
      <c r="Q745" t="e">
        <f t="shared" si="56"/>
        <v>#N/A</v>
      </c>
      <c r="R745" t="e">
        <f t="shared" si="57"/>
        <v>#N/A</v>
      </c>
      <c r="S745" s="9" t="e">
        <f t="shared" si="58"/>
        <v>#N/A</v>
      </c>
      <c r="T745" s="3" t="e">
        <f t="shared" si="59"/>
        <v>#N/A</v>
      </c>
    </row>
    <row r="746" spans="2:20" x14ac:dyDescent="0.35">
      <c r="B746" t="str">
        <f>IF(NOT(ISBLANK(A746)),VLOOKUP(A746,'BBT3'!A:F,2,0),"")</f>
        <v/>
      </c>
      <c r="C746" t="str">
        <f>IF(NOT(ISBLANK(A746)),VLOOKUP(A746,'BBT3'!A:F,3,0),"")</f>
        <v/>
      </c>
      <c r="D746" s="6" t="str">
        <f>IF(NOT(ISBLANK(A746)),VLOOKUP(A746,'BBT3'!A:F,4,1),"")</f>
        <v/>
      </c>
      <c r="E746" t="str">
        <f>IF(NOT(ISBLANK(A746)),VLOOKUP(A746,'BBT3'!A:F,5,0),"")</f>
        <v/>
      </c>
      <c r="F746" t="str">
        <f>IF(NOT(ISBLANK(A746)),VLOOKUP(A746,'BBT3'!A:F,6,0),"")</f>
        <v/>
      </c>
      <c r="G746" t="str">
        <f>IF(NOT(ISBLANK(A746)),VLOOKUP(A746,QW_Close!A:J,5,0),"")</f>
        <v/>
      </c>
      <c r="H746" s="5" t="str" cm="1">
        <f t="array" ref="H746">IF(NOT(ISBLANK(A746)),((_xlfn.XLOOKUP(1,(_bbt3[[#All],[ID]]=A746)*(_bbt3[[#All],[METRIC_NAME]]="YLD_YTM_ASK"),_bbt3[[#All],[METRIC_VALUE]])*0.5)+(_xlfn.XLOOKUP(1,(_bbt3[[#All],[ID]]=A746)*(_bbt3[[#All],[METRIC_NAME]]="YLD_YTM_BID"),_bbt3[[#All],[METRIC_VALUE]])*0.5))/100,"")</f>
        <v/>
      </c>
      <c r="I746">
        <f>IF(ISNA(VLOOKUP(A746,QW_CloseDL!A:E,5,0)),0,VLOOKUP(A746,QW_CloseDL!A:E,5,0))</f>
        <v>0</v>
      </c>
      <c r="J746" s="8" t="str">
        <f t="shared" si="55"/>
        <v/>
      </c>
      <c r="P746">
        <v>0</v>
      </c>
      <c r="Q746" t="e">
        <f t="shared" si="56"/>
        <v>#N/A</v>
      </c>
      <c r="R746" t="e">
        <f t="shared" si="57"/>
        <v>#N/A</v>
      </c>
      <c r="S746" s="9" t="e">
        <f t="shared" si="58"/>
        <v>#N/A</v>
      </c>
      <c r="T746" s="3" t="e">
        <f t="shared" si="59"/>
        <v>#N/A</v>
      </c>
    </row>
    <row r="747" spans="2:20" x14ac:dyDescent="0.35">
      <c r="B747" t="str">
        <f>IF(NOT(ISBLANK(A747)),VLOOKUP(A747,'BBT3'!A:F,2,0),"")</f>
        <v/>
      </c>
      <c r="C747" t="str">
        <f>IF(NOT(ISBLANK(A747)),VLOOKUP(A747,'BBT3'!A:F,3,0),"")</f>
        <v/>
      </c>
      <c r="D747" s="6" t="str">
        <f>IF(NOT(ISBLANK(A747)),VLOOKUP(A747,'BBT3'!A:F,4,1),"")</f>
        <v/>
      </c>
      <c r="E747" t="str">
        <f>IF(NOT(ISBLANK(A747)),VLOOKUP(A747,'BBT3'!A:F,5,0),"")</f>
        <v/>
      </c>
      <c r="F747" t="str">
        <f>IF(NOT(ISBLANK(A747)),VLOOKUP(A747,'BBT3'!A:F,6,0),"")</f>
        <v/>
      </c>
      <c r="G747" t="str">
        <f>IF(NOT(ISBLANK(A747)),VLOOKUP(A747,QW_Close!A:J,5,0),"")</f>
        <v/>
      </c>
      <c r="H747" s="5" t="str" cm="1">
        <f t="array" ref="H747">IF(NOT(ISBLANK(A747)),((_xlfn.XLOOKUP(1,(_bbt3[[#All],[ID]]=A747)*(_bbt3[[#All],[METRIC_NAME]]="YLD_YTM_ASK"),_bbt3[[#All],[METRIC_VALUE]])*0.5)+(_xlfn.XLOOKUP(1,(_bbt3[[#All],[ID]]=A747)*(_bbt3[[#All],[METRIC_NAME]]="YLD_YTM_BID"),_bbt3[[#All],[METRIC_VALUE]])*0.5))/100,"")</f>
        <v/>
      </c>
      <c r="I747">
        <f>IF(ISNA(VLOOKUP(A747,QW_CloseDL!A:E,5,0)),0,VLOOKUP(A747,QW_CloseDL!A:E,5,0))</f>
        <v>0</v>
      </c>
      <c r="J747" s="8" t="str">
        <f t="shared" si="55"/>
        <v/>
      </c>
      <c r="P747">
        <v>0</v>
      </c>
      <c r="Q747" t="e">
        <f t="shared" si="56"/>
        <v>#N/A</v>
      </c>
      <c r="R747" t="e">
        <f t="shared" si="57"/>
        <v>#N/A</v>
      </c>
      <c r="S747" s="9" t="e">
        <f t="shared" si="58"/>
        <v>#N/A</v>
      </c>
      <c r="T747" s="3" t="e">
        <f t="shared" si="59"/>
        <v>#N/A</v>
      </c>
    </row>
    <row r="748" spans="2:20" x14ac:dyDescent="0.35">
      <c r="B748" t="str">
        <f>IF(NOT(ISBLANK(A748)),VLOOKUP(A748,'BBT3'!A:F,2,0),"")</f>
        <v/>
      </c>
      <c r="C748" t="str">
        <f>IF(NOT(ISBLANK(A748)),VLOOKUP(A748,'BBT3'!A:F,3,0),"")</f>
        <v/>
      </c>
      <c r="D748" s="6" t="str">
        <f>IF(NOT(ISBLANK(A748)),VLOOKUP(A748,'BBT3'!A:F,4,1),"")</f>
        <v/>
      </c>
      <c r="E748" t="str">
        <f>IF(NOT(ISBLANK(A748)),VLOOKUP(A748,'BBT3'!A:F,5,0),"")</f>
        <v/>
      </c>
      <c r="F748" t="str">
        <f>IF(NOT(ISBLANK(A748)),VLOOKUP(A748,'BBT3'!A:F,6,0),"")</f>
        <v/>
      </c>
      <c r="G748" t="str">
        <f>IF(NOT(ISBLANK(A748)),VLOOKUP(A748,QW_Close!A:J,5,0),"")</f>
        <v/>
      </c>
      <c r="H748" s="5" t="str" cm="1">
        <f t="array" ref="H748">IF(NOT(ISBLANK(A748)),((_xlfn.XLOOKUP(1,(_bbt3[[#All],[ID]]=A748)*(_bbt3[[#All],[METRIC_NAME]]="YLD_YTM_ASK"),_bbt3[[#All],[METRIC_VALUE]])*0.5)+(_xlfn.XLOOKUP(1,(_bbt3[[#All],[ID]]=A748)*(_bbt3[[#All],[METRIC_NAME]]="YLD_YTM_BID"),_bbt3[[#All],[METRIC_VALUE]])*0.5))/100,"")</f>
        <v/>
      </c>
      <c r="I748">
        <f>IF(ISNA(VLOOKUP(A748,QW_CloseDL!A:E,5,0)),0,VLOOKUP(A748,QW_CloseDL!A:E,5,0))</f>
        <v>0</v>
      </c>
      <c r="J748" s="8" t="str">
        <f t="shared" si="55"/>
        <v/>
      </c>
      <c r="P748">
        <v>0</v>
      </c>
      <c r="Q748" t="e">
        <f t="shared" si="56"/>
        <v>#N/A</v>
      </c>
      <c r="R748" t="e">
        <f t="shared" si="57"/>
        <v>#N/A</v>
      </c>
      <c r="S748" s="9" t="e">
        <f t="shared" si="58"/>
        <v>#N/A</v>
      </c>
      <c r="T748" s="3" t="e">
        <f t="shared" si="59"/>
        <v>#N/A</v>
      </c>
    </row>
    <row r="749" spans="2:20" x14ac:dyDescent="0.35">
      <c r="B749" t="str">
        <f>IF(NOT(ISBLANK(A749)),VLOOKUP(A749,'BBT3'!A:F,2,0),"")</f>
        <v/>
      </c>
      <c r="C749" t="str">
        <f>IF(NOT(ISBLANK(A749)),VLOOKUP(A749,'BBT3'!A:F,3,0),"")</f>
        <v/>
      </c>
      <c r="D749" s="6" t="str">
        <f>IF(NOT(ISBLANK(A749)),VLOOKUP(A749,'BBT3'!A:F,4,1),"")</f>
        <v/>
      </c>
      <c r="E749" t="str">
        <f>IF(NOT(ISBLANK(A749)),VLOOKUP(A749,'BBT3'!A:F,5,0),"")</f>
        <v/>
      </c>
      <c r="F749" t="str">
        <f>IF(NOT(ISBLANK(A749)),VLOOKUP(A749,'BBT3'!A:F,6,0),"")</f>
        <v/>
      </c>
      <c r="G749" t="str">
        <f>IF(NOT(ISBLANK(A749)),VLOOKUP(A749,QW_Close!A:J,5,0),"")</f>
        <v/>
      </c>
      <c r="H749" s="5" t="str" cm="1">
        <f t="array" ref="H749">IF(NOT(ISBLANK(A749)),((_xlfn.XLOOKUP(1,(_bbt3[[#All],[ID]]=A749)*(_bbt3[[#All],[METRIC_NAME]]="YLD_YTM_ASK"),_bbt3[[#All],[METRIC_VALUE]])*0.5)+(_xlfn.XLOOKUP(1,(_bbt3[[#All],[ID]]=A749)*(_bbt3[[#All],[METRIC_NAME]]="YLD_YTM_BID"),_bbt3[[#All],[METRIC_VALUE]])*0.5))/100,"")</f>
        <v/>
      </c>
      <c r="I749">
        <f>IF(ISNA(VLOOKUP(A749,QW_CloseDL!A:E,5,0)),0,VLOOKUP(A749,QW_CloseDL!A:E,5,0))</f>
        <v>0</v>
      </c>
      <c r="J749" s="8" t="str">
        <f t="shared" si="55"/>
        <v/>
      </c>
      <c r="P749">
        <v>0</v>
      </c>
      <c r="Q749" t="e">
        <f t="shared" si="56"/>
        <v>#N/A</v>
      </c>
      <c r="R749" t="e">
        <f t="shared" si="57"/>
        <v>#N/A</v>
      </c>
      <c r="S749" s="9" t="e">
        <f t="shared" si="58"/>
        <v>#N/A</v>
      </c>
      <c r="T749" s="3" t="e">
        <f t="shared" si="59"/>
        <v>#N/A</v>
      </c>
    </row>
    <row r="750" spans="2:20" x14ac:dyDescent="0.35">
      <c r="B750" t="str">
        <f>IF(NOT(ISBLANK(A750)),VLOOKUP(A750,'BBT3'!A:F,2,0),"")</f>
        <v/>
      </c>
      <c r="C750" t="str">
        <f>IF(NOT(ISBLANK(A750)),VLOOKUP(A750,'BBT3'!A:F,3,0),"")</f>
        <v/>
      </c>
      <c r="D750" s="6" t="str">
        <f>IF(NOT(ISBLANK(A750)),VLOOKUP(A750,'BBT3'!A:F,4,1),"")</f>
        <v/>
      </c>
      <c r="E750" t="str">
        <f>IF(NOT(ISBLANK(A750)),VLOOKUP(A750,'BBT3'!A:F,5,0),"")</f>
        <v/>
      </c>
      <c r="F750" t="str">
        <f>IF(NOT(ISBLANK(A750)),VLOOKUP(A750,'BBT3'!A:F,6,0),"")</f>
        <v/>
      </c>
      <c r="G750" t="str">
        <f>IF(NOT(ISBLANK(A750)),VLOOKUP(A750,QW_Close!A:J,5,0),"")</f>
        <v/>
      </c>
      <c r="H750" s="5" t="str" cm="1">
        <f t="array" ref="H750">IF(NOT(ISBLANK(A750)),((_xlfn.XLOOKUP(1,(_bbt3[[#All],[ID]]=A750)*(_bbt3[[#All],[METRIC_NAME]]="YLD_YTM_ASK"),_bbt3[[#All],[METRIC_VALUE]])*0.5)+(_xlfn.XLOOKUP(1,(_bbt3[[#All],[ID]]=A750)*(_bbt3[[#All],[METRIC_NAME]]="YLD_YTM_BID"),_bbt3[[#All],[METRIC_VALUE]])*0.5))/100,"")</f>
        <v/>
      </c>
      <c r="I750">
        <f>IF(ISNA(VLOOKUP(A750,QW_CloseDL!A:E,5,0)),0,VLOOKUP(A750,QW_CloseDL!A:E,5,0))</f>
        <v>0</v>
      </c>
      <c r="J750" s="8" t="str">
        <f t="shared" si="55"/>
        <v/>
      </c>
      <c r="P750">
        <v>0</v>
      </c>
      <c r="Q750" t="e">
        <f t="shared" si="56"/>
        <v>#N/A</v>
      </c>
      <c r="R750" t="e">
        <f t="shared" si="57"/>
        <v>#N/A</v>
      </c>
      <c r="S750" s="9" t="e">
        <f t="shared" si="58"/>
        <v>#N/A</v>
      </c>
      <c r="T750" s="3" t="e">
        <f t="shared" si="59"/>
        <v>#N/A</v>
      </c>
    </row>
    <row r="751" spans="2:20" x14ac:dyDescent="0.35">
      <c r="B751" t="str">
        <f>IF(NOT(ISBLANK(A751)),VLOOKUP(A751,'BBT3'!A:F,2,0),"")</f>
        <v/>
      </c>
      <c r="C751" t="str">
        <f>IF(NOT(ISBLANK(A751)),VLOOKUP(A751,'BBT3'!A:F,3,0),"")</f>
        <v/>
      </c>
      <c r="D751" s="6" t="str">
        <f>IF(NOT(ISBLANK(A751)),VLOOKUP(A751,'BBT3'!A:F,4,1),"")</f>
        <v/>
      </c>
      <c r="E751" t="str">
        <f>IF(NOT(ISBLANK(A751)),VLOOKUP(A751,'BBT3'!A:F,5,0),"")</f>
        <v/>
      </c>
      <c r="F751" t="str">
        <f>IF(NOT(ISBLANK(A751)),VLOOKUP(A751,'BBT3'!A:F,6,0),"")</f>
        <v/>
      </c>
      <c r="G751" t="str">
        <f>IF(NOT(ISBLANK(A751)),VLOOKUP(A751,QW_Close!A:J,5,0),"")</f>
        <v/>
      </c>
      <c r="H751" s="5" t="str" cm="1">
        <f t="array" ref="H751">IF(NOT(ISBLANK(A751)),((_xlfn.XLOOKUP(1,(_bbt3[[#All],[ID]]=A751)*(_bbt3[[#All],[METRIC_NAME]]="YLD_YTM_ASK"),_bbt3[[#All],[METRIC_VALUE]])*0.5)+(_xlfn.XLOOKUP(1,(_bbt3[[#All],[ID]]=A751)*(_bbt3[[#All],[METRIC_NAME]]="YLD_YTM_BID"),_bbt3[[#All],[METRIC_VALUE]])*0.5))/100,"")</f>
        <v/>
      </c>
      <c r="I751">
        <f>IF(ISNA(VLOOKUP(A751,QW_CloseDL!A:E,5,0)),0,VLOOKUP(A751,QW_CloseDL!A:E,5,0))</f>
        <v>0</v>
      </c>
      <c r="J751" s="8" t="str">
        <f t="shared" si="55"/>
        <v/>
      </c>
      <c r="P751">
        <v>0</v>
      </c>
      <c r="Q751" t="e">
        <f t="shared" si="56"/>
        <v>#N/A</v>
      </c>
      <c r="R751" t="e">
        <f t="shared" si="57"/>
        <v>#N/A</v>
      </c>
      <c r="S751" s="9" t="e">
        <f t="shared" si="58"/>
        <v>#N/A</v>
      </c>
      <c r="T751" s="3" t="e">
        <f t="shared" si="59"/>
        <v>#N/A</v>
      </c>
    </row>
    <row r="752" spans="2:20" x14ac:dyDescent="0.35">
      <c r="B752" t="str">
        <f>IF(NOT(ISBLANK(A752)),VLOOKUP(A752,'BBT3'!A:F,2,0),"")</f>
        <v/>
      </c>
      <c r="C752" t="str">
        <f>IF(NOT(ISBLANK(A752)),VLOOKUP(A752,'BBT3'!A:F,3,0),"")</f>
        <v/>
      </c>
      <c r="D752" s="6" t="str">
        <f>IF(NOT(ISBLANK(A752)),VLOOKUP(A752,'BBT3'!A:F,4,1),"")</f>
        <v/>
      </c>
      <c r="E752" t="str">
        <f>IF(NOT(ISBLANK(A752)),VLOOKUP(A752,'BBT3'!A:F,5,0),"")</f>
        <v/>
      </c>
      <c r="F752" t="str">
        <f>IF(NOT(ISBLANK(A752)),VLOOKUP(A752,'BBT3'!A:F,6,0),"")</f>
        <v/>
      </c>
      <c r="G752" t="str">
        <f>IF(NOT(ISBLANK(A752)),VLOOKUP(A752,QW_Close!A:J,5,0),"")</f>
        <v/>
      </c>
      <c r="H752" s="5" t="str" cm="1">
        <f t="array" ref="H752">IF(NOT(ISBLANK(A752)),((_xlfn.XLOOKUP(1,(_bbt3[[#All],[ID]]=A752)*(_bbt3[[#All],[METRIC_NAME]]="YLD_YTM_ASK"),_bbt3[[#All],[METRIC_VALUE]])*0.5)+(_xlfn.XLOOKUP(1,(_bbt3[[#All],[ID]]=A752)*(_bbt3[[#All],[METRIC_NAME]]="YLD_YTM_BID"),_bbt3[[#All],[METRIC_VALUE]])*0.5))/100,"")</f>
        <v/>
      </c>
      <c r="I752">
        <f>IF(ISNA(VLOOKUP(A752,QW_CloseDL!A:E,5,0)),0,VLOOKUP(A752,QW_CloseDL!A:E,5,0))</f>
        <v>0</v>
      </c>
      <c r="J752" s="8" t="str">
        <f t="shared" si="55"/>
        <v/>
      </c>
      <c r="P752">
        <v>0</v>
      </c>
      <c r="Q752" t="e">
        <f t="shared" si="56"/>
        <v>#N/A</v>
      </c>
      <c r="R752" t="e">
        <f t="shared" si="57"/>
        <v>#N/A</v>
      </c>
      <c r="S752" s="9" t="e">
        <f t="shared" si="58"/>
        <v>#N/A</v>
      </c>
      <c r="T752" s="3" t="e">
        <f t="shared" si="59"/>
        <v>#N/A</v>
      </c>
    </row>
    <row r="753" spans="2:20" x14ac:dyDescent="0.35">
      <c r="B753" t="str">
        <f>IF(NOT(ISBLANK(A753)),VLOOKUP(A753,'BBT3'!A:F,2,0),"")</f>
        <v/>
      </c>
      <c r="C753" t="str">
        <f>IF(NOT(ISBLANK(A753)),VLOOKUP(A753,'BBT3'!A:F,3,0),"")</f>
        <v/>
      </c>
      <c r="D753" s="6" t="str">
        <f>IF(NOT(ISBLANK(A753)),VLOOKUP(A753,'BBT3'!A:F,4,1),"")</f>
        <v/>
      </c>
      <c r="E753" t="str">
        <f>IF(NOT(ISBLANK(A753)),VLOOKUP(A753,'BBT3'!A:F,5,0),"")</f>
        <v/>
      </c>
      <c r="F753" t="str">
        <f>IF(NOT(ISBLANK(A753)),VLOOKUP(A753,'BBT3'!A:F,6,0),"")</f>
        <v/>
      </c>
      <c r="G753" t="str">
        <f>IF(NOT(ISBLANK(A753)),VLOOKUP(A753,QW_Close!A:J,5,0),"")</f>
        <v/>
      </c>
      <c r="H753" s="5" t="str" cm="1">
        <f t="array" ref="H753">IF(NOT(ISBLANK(A753)),((_xlfn.XLOOKUP(1,(_bbt3[[#All],[ID]]=A753)*(_bbt3[[#All],[METRIC_NAME]]="YLD_YTM_ASK"),_bbt3[[#All],[METRIC_VALUE]])*0.5)+(_xlfn.XLOOKUP(1,(_bbt3[[#All],[ID]]=A753)*(_bbt3[[#All],[METRIC_NAME]]="YLD_YTM_BID"),_bbt3[[#All],[METRIC_VALUE]])*0.5))/100,"")</f>
        <v/>
      </c>
      <c r="I753">
        <f>IF(ISNA(VLOOKUP(A753,QW_CloseDL!A:E,5,0)),0,VLOOKUP(A753,QW_CloseDL!A:E,5,0))</f>
        <v>0</v>
      </c>
      <c r="J753" s="8" t="str">
        <f t="shared" si="55"/>
        <v/>
      </c>
      <c r="P753">
        <v>0</v>
      </c>
      <c r="Q753" t="e">
        <f t="shared" si="56"/>
        <v>#N/A</v>
      </c>
      <c r="R753" t="e">
        <f t="shared" si="57"/>
        <v>#N/A</v>
      </c>
      <c r="S753" s="9" t="e">
        <f t="shared" si="58"/>
        <v>#N/A</v>
      </c>
      <c r="T753" s="3" t="e">
        <f t="shared" si="59"/>
        <v>#N/A</v>
      </c>
    </row>
    <row r="754" spans="2:20" x14ac:dyDescent="0.35">
      <c r="B754" t="str">
        <f>IF(NOT(ISBLANK(A754)),VLOOKUP(A754,'BBT3'!A:F,2,0),"")</f>
        <v/>
      </c>
      <c r="C754" t="str">
        <f>IF(NOT(ISBLANK(A754)),VLOOKUP(A754,'BBT3'!A:F,3,0),"")</f>
        <v/>
      </c>
      <c r="D754" s="6" t="str">
        <f>IF(NOT(ISBLANK(A754)),VLOOKUP(A754,'BBT3'!A:F,4,1),"")</f>
        <v/>
      </c>
      <c r="E754" t="str">
        <f>IF(NOT(ISBLANK(A754)),VLOOKUP(A754,'BBT3'!A:F,5,0),"")</f>
        <v/>
      </c>
      <c r="F754" t="str">
        <f>IF(NOT(ISBLANK(A754)),VLOOKUP(A754,'BBT3'!A:F,6,0),"")</f>
        <v/>
      </c>
      <c r="G754" t="str">
        <f>IF(NOT(ISBLANK(A754)),VLOOKUP(A754,QW_Close!A:J,5,0),"")</f>
        <v/>
      </c>
      <c r="H754" s="5" t="str" cm="1">
        <f t="array" ref="H754">IF(NOT(ISBLANK(A754)),((_xlfn.XLOOKUP(1,(_bbt3[[#All],[ID]]=A754)*(_bbt3[[#All],[METRIC_NAME]]="YLD_YTM_ASK"),_bbt3[[#All],[METRIC_VALUE]])*0.5)+(_xlfn.XLOOKUP(1,(_bbt3[[#All],[ID]]=A754)*(_bbt3[[#All],[METRIC_NAME]]="YLD_YTM_BID"),_bbt3[[#All],[METRIC_VALUE]])*0.5))/100,"")</f>
        <v/>
      </c>
      <c r="I754">
        <f>IF(ISNA(VLOOKUP(A754,QW_CloseDL!A:E,5,0)),0,VLOOKUP(A754,QW_CloseDL!A:E,5,0))</f>
        <v>0</v>
      </c>
      <c r="J754" s="8" t="str">
        <f t="shared" si="55"/>
        <v/>
      </c>
      <c r="P754">
        <v>0</v>
      </c>
      <c r="Q754" t="e">
        <f t="shared" si="56"/>
        <v>#N/A</v>
      </c>
      <c r="R754" t="e">
        <f t="shared" si="57"/>
        <v>#N/A</v>
      </c>
      <c r="S754" s="9" t="e">
        <f t="shared" si="58"/>
        <v>#N/A</v>
      </c>
      <c r="T754" s="3" t="e">
        <f t="shared" si="59"/>
        <v>#N/A</v>
      </c>
    </row>
    <row r="755" spans="2:20" x14ac:dyDescent="0.35">
      <c r="B755" t="str">
        <f>IF(NOT(ISBLANK(A755)),VLOOKUP(A755,'BBT3'!A:F,2,0),"")</f>
        <v/>
      </c>
      <c r="C755" t="str">
        <f>IF(NOT(ISBLANK(A755)),VLOOKUP(A755,'BBT3'!A:F,3,0),"")</f>
        <v/>
      </c>
      <c r="D755" s="6" t="str">
        <f>IF(NOT(ISBLANK(A755)),VLOOKUP(A755,'BBT3'!A:F,4,1),"")</f>
        <v/>
      </c>
      <c r="E755" t="str">
        <f>IF(NOT(ISBLANK(A755)),VLOOKUP(A755,'BBT3'!A:F,5,0),"")</f>
        <v/>
      </c>
      <c r="F755" t="str">
        <f>IF(NOT(ISBLANK(A755)),VLOOKUP(A755,'BBT3'!A:F,6,0),"")</f>
        <v/>
      </c>
      <c r="G755" t="str">
        <f>IF(NOT(ISBLANK(A755)),VLOOKUP(A755,QW_Close!A:J,5,0),"")</f>
        <v/>
      </c>
      <c r="H755" s="5" t="str" cm="1">
        <f t="array" ref="H755">IF(NOT(ISBLANK(A755)),((_xlfn.XLOOKUP(1,(_bbt3[[#All],[ID]]=A755)*(_bbt3[[#All],[METRIC_NAME]]="YLD_YTM_ASK"),_bbt3[[#All],[METRIC_VALUE]])*0.5)+(_xlfn.XLOOKUP(1,(_bbt3[[#All],[ID]]=A755)*(_bbt3[[#All],[METRIC_NAME]]="YLD_YTM_BID"),_bbt3[[#All],[METRIC_VALUE]])*0.5))/100,"")</f>
        <v/>
      </c>
      <c r="I755">
        <f>IF(ISNA(VLOOKUP(A755,QW_CloseDL!A:E,5,0)),0,VLOOKUP(A755,QW_CloseDL!A:E,5,0))</f>
        <v>0</v>
      </c>
      <c r="J755" s="8" t="str">
        <f t="shared" si="55"/>
        <v/>
      </c>
      <c r="P755">
        <v>0</v>
      </c>
      <c r="Q755" t="e">
        <f t="shared" si="56"/>
        <v>#N/A</v>
      </c>
      <c r="R755" t="e">
        <f t="shared" si="57"/>
        <v>#N/A</v>
      </c>
      <c r="S755" s="9" t="e">
        <f t="shared" si="58"/>
        <v>#N/A</v>
      </c>
      <c r="T755" s="3" t="e">
        <f t="shared" si="59"/>
        <v>#N/A</v>
      </c>
    </row>
    <row r="756" spans="2:20" x14ac:dyDescent="0.35">
      <c r="B756" t="str">
        <f>IF(NOT(ISBLANK(A756)),VLOOKUP(A756,'BBT3'!A:F,2,0),"")</f>
        <v/>
      </c>
      <c r="C756" t="str">
        <f>IF(NOT(ISBLANK(A756)),VLOOKUP(A756,'BBT3'!A:F,3,0),"")</f>
        <v/>
      </c>
      <c r="D756" s="6" t="str">
        <f>IF(NOT(ISBLANK(A756)),VLOOKUP(A756,'BBT3'!A:F,4,1),"")</f>
        <v/>
      </c>
      <c r="E756" t="str">
        <f>IF(NOT(ISBLANK(A756)),VLOOKUP(A756,'BBT3'!A:F,5,0),"")</f>
        <v/>
      </c>
      <c r="F756" t="str">
        <f>IF(NOT(ISBLANK(A756)),VLOOKUP(A756,'BBT3'!A:F,6,0),"")</f>
        <v/>
      </c>
      <c r="G756" t="str">
        <f>IF(NOT(ISBLANK(A756)),VLOOKUP(A756,QW_Close!A:J,5,0),"")</f>
        <v/>
      </c>
      <c r="H756" s="5" t="str" cm="1">
        <f t="array" ref="H756">IF(NOT(ISBLANK(A756)),((_xlfn.XLOOKUP(1,(_bbt3[[#All],[ID]]=A756)*(_bbt3[[#All],[METRIC_NAME]]="YLD_YTM_ASK"),_bbt3[[#All],[METRIC_VALUE]])*0.5)+(_xlfn.XLOOKUP(1,(_bbt3[[#All],[ID]]=A756)*(_bbt3[[#All],[METRIC_NAME]]="YLD_YTM_BID"),_bbt3[[#All],[METRIC_VALUE]])*0.5))/100,"")</f>
        <v/>
      </c>
      <c r="I756">
        <f>IF(ISNA(VLOOKUP(A756,QW_CloseDL!A:E,5,0)),0,VLOOKUP(A756,QW_CloseDL!A:E,5,0))</f>
        <v>0</v>
      </c>
      <c r="J756" s="8" t="str">
        <f t="shared" si="55"/>
        <v/>
      </c>
      <c r="P756">
        <v>0</v>
      </c>
      <c r="Q756" t="e">
        <f t="shared" si="56"/>
        <v>#N/A</v>
      </c>
      <c r="R756" t="e">
        <f t="shared" si="57"/>
        <v>#N/A</v>
      </c>
      <c r="S756" s="9" t="e">
        <f t="shared" si="58"/>
        <v>#N/A</v>
      </c>
      <c r="T756" s="3" t="e">
        <f t="shared" si="59"/>
        <v>#N/A</v>
      </c>
    </row>
    <row r="757" spans="2:20" x14ac:dyDescent="0.35">
      <c r="B757" t="str">
        <f>IF(NOT(ISBLANK(A757)),VLOOKUP(A757,'BBT3'!A:F,2,0),"")</f>
        <v/>
      </c>
      <c r="C757" t="str">
        <f>IF(NOT(ISBLANK(A757)),VLOOKUP(A757,'BBT3'!A:F,3,0),"")</f>
        <v/>
      </c>
      <c r="D757" s="6" t="str">
        <f>IF(NOT(ISBLANK(A757)),VLOOKUP(A757,'BBT3'!A:F,4,1),"")</f>
        <v/>
      </c>
      <c r="E757" t="str">
        <f>IF(NOT(ISBLANK(A757)),VLOOKUP(A757,'BBT3'!A:F,5,0),"")</f>
        <v/>
      </c>
      <c r="F757" t="str">
        <f>IF(NOT(ISBLANK(A757)),VLOOKUP(A757,'BBT3'!A:F,6,0),"")</f>
        <v/>
      </c>
      <c r="G757" t="str">
        <f>IF(NOT(ISBLANK(A757)),VLOOKUP(A757,QW_Close!A:J,5,0),"")</f>
        <v/>
      </c>
      <c r="H757" s="5" t="str" cm="1">
        <f t="array" ref="H757">IF(NOT(ISBLANK(A757)),((_xlfn.XLOOKUP(1,(_bbt3[[#All],[ID]]=A757)*(_bbt3[[#All],[METRIC_NAME]]="YLD_YTM_ASK"),_bbt3[[#All],[METRIC_VALUE]])*0.5)+(_xlfn.XLOOKUP(1,(_bbt3[[#All],[ID]]=A757)*(_bbt3[[#All],[METRIC_NAME]]="YLD_YTM_BID"),_bbt3[[#All],[METRIC_VALUE]])*0.5))/100,"")</f>
        <v/>
      </c>
      <c r="I757">
        <f>IF(ISNA(VLOOKUP(A757,QW_CloseDL!A:E,5,0)),0,VLOOKUP(A757,QW_CloseDL!A:E,5,0))</f>
        <v>0</v>
      </c>
      <c r="J757" s="8" t="str">
        <f t="shared" si="55"/>
        <v/>
      </c>
      <c r="P757">
        <v>0</v>
      </c>
      <c r="Q757" t="e">
        <f t="shared" si="56"/>
        <v>#N/A</v>
      </c>
      <c r="R757" t="e">
        <f t="shared" si="57"/>
        <v>#N/A</v>
      </c>
      <c r="S757" s="9" t="e">
        <f t="shared" si="58"/>
        <v>#N/A</v>
      </c>
      <c r="T757" s="3" t="e">
        <f t="shared" si="59"/>
        <v>#N/A</v>
      </c>
    </row>
    <row r="758" spans="2:20" x14ac:dyDescent="0.35">
      <c r="B758" t="str">
        <f>IF(NOT(ISBLANK(A758)),VLOOKUP(A758,'BBT3'!A:F,2,0),"")</f>
        <v/>
      </c>
      <c r="C758" t="str">
        <f>IF(NOT(ISBLANK(A758)),VLOOKUP(A758,'BBT3'!A:F,3,0),"")</f>
        <v/>
      </c>
      <c r="D758" s="6" t="str">
        <f>IF(NOT(ISBLANK(A758)),VLOOKUP(A758,'BBT3'!A:F,4,1),"")</f>
        <v/>
      </c>
      <c r="E758" t="str">
        <f>IF(NOT(ISBLANK(A758)),VLOOKUP(A758,'BBT3'!A:F,5,0),"")</f>
        <v/>
      </c>
      <c r="F758" t="str">
        <f>IF(NOT(ISBLANK(A758)),VLOOKUP(A758,'BBT3'!A:F,6,0),"")</f>
        <v/>
      </c>
      <c r="G758" t="str">
        <f>IF(NOT(ISBLANK(A758)),VLOOKUP(A758,QW_Close!A:J,5,0),"")</f>
        <v/>
      </c>
      <c r="H758" s="5" t="str" cm="1">
        <f t="array" ref="H758">IF(NOT(ISBLANK(A758)),((_xlfn.XLOOKUP(1,(_bbt3[[#All],[ID]]=A758)*(_bbt3[[#All],[METRIC_NAME]]="YLD_YTM_ASK"),_bbt3[[#All],[METRIC_VALUE]])*0.5)+(_xlfn.XLOOKUP(1,(_bbt3[[#All],[ID]]=A758)*(_bbt3[[#All],[METRIC_NAME]]="YLD_YTM_BID"),_bbt3[[#All],[METRIC_VALUE]])*0.5))/100,"")</f>
        <v/>
      </c>
      <c r="I758">
        <f>IF(ISNA(VLOOKUP(A758,QW_CloseDL!A:E,5,0)),0,VLOOKUP(A758,QW_CloseDL!A:E,5,0))</f>
        <v>0</v>
      </c>
      <c r="J758" s="8" t="str">
        <f t="shared" si="55"/>
        <v/>
      </c>
      <c r="P758">
        <v>0</v>
      </c>
      <c r="Q758" t="e">
        <f t="shared" si="56"/>
        <v>#N/A</v>
      </c>
      <c r="R758" t="e">
        <f t="shared" si="57"/>
        <v>#N/A</v>
      </c>
      <c r="S758" s="9" t="e">
        <f t="shared" si="58"/>
        <v>#N/A</v>
      </c>
      <c r="T758" s="3" t="e">
        <f t="shared" si="59"/>
        <v>#N/A</v>
      </c>
    </row>
    <row r="759" spans="2:20" x14ac:dyDescent="0.35">
      <c r="B759" t="str">
        <f>IF(NOT(ISBLANK(A759)),VLOOKUP(A759,'BBT3'!A:F,2,0),"")</f>
        <v/>
      </c>
      <c r="C759" t="str">
        <f>IF(NOT(ISBLANK(A759)),VLOOKUP(A759,'BBT3'!A:F,3,0),"")</f>
        <v/>
      </c>
      <c r="D759" s="6" t="str">
        <f>IF(NOT(ISBLANK(A759)),VLOOKUP(A759,'BBT3'!A:F,4,1),"")</f>
        <v/>
      </c>
      <c r="E759" t="str">
        <f>IF(NOT(ISBLANK(A759)),VLOOKUP(A759,'BBT3'!A:F,5,0),"")</f>
        <v/>
      </c>
      <c r="F759" t="str">
        <f>IF(NOT(ISBLANK(A759)),VLOOKUP(A759,'BBT3'!A:F,6,0),"")</f>
        <v/>
      </c>
      <c r="G759" t="str">
        <f>IF(NOT(ISBLANK(A759)),VLOOKUP(A759,QW_Close!A:J,5,0),"")</f>
        <v/>
      </c>
      <c r="H759" s="5" t="str" cm="1">
        <f t="array" ref="H759">IF(NOT(ISBLANK(A759)),((_xlfn.XLOOKUP(1,(_bbt3[[#All],[ID]]=A759)*(_bbt3[[#All],[METRIC_NAME]]="YLD_YTM_ASK"),_bbt3[[#All],[METRIC_VALUE]])*0.5)+(_xlfn.XLOOKUP(1,(_bbt3[[#All],[ID]]=A759)*(_bbt3[[#All],[METRIC_NAME]]="YLD_YTM_BID"),_bbt3[[#All],[METRIC_VALUE]])*0.5))/100,"")</f>
        <v/>
      </c>
      <c r="I759">
        <f>IF(ISNA(VLOOKUP(A759,QW_CloseDL!A:E,5,0)),0,VLOOKUP(A759,QW_CloseDL!A:E,5,0))</f>
        <v>0</v>
      </c>
      <c r="J759" s="8" t="str">
        <f t="shared" si="55"/>
        <v/>
      </c>
      <c r="P759">
        <v>0</v>
      </c>
      <c r="Q759" t="e">
        <f t="shared" si="56"/>
        <v>#N/A</v>
      </c>
      <c r="R759" t="e">
        <f t="shared" si="57"/>
        <v>#N/A</v>
      </c>
      <c r="S759" s="9" t="e">
        <f t="shared" si="58"/>
        <v>#N/A</v>
      </c>
      <c r="T759" s="3" t="e">
        <f t="shared" si="59"/>
        <v>#N/A</v>
      </c>
    </row>
    <row r="760" spans="2:20" x14ac:dyDescent="0.35">
      <c r="B760" t="str">
        <f>IF(NOT(ISBLANK(A760)),VLOOKUP(A760,'BBT3'!A:F,2,0),"")</f>
        <v/>
      </c>
      <c r="C760" t="str">
        <f>IF(NOT(ISBLANK(A760)),VLOOKUP(A760,'BBT3'!A:F,3,0),"")</f>
        <v/>
      </c>
      <c r="D760" s="6" t="str">
        <f>IF(NOT(ISBLANK(A760)),VLOOKUP(A760,'BBT3'!A:F,4,1),"")</f>
        <v/>
      </c>
      <c r="E760" t="str">
        <f>IF(NOT(ISBLANK(A760)),VLOOKUP(A760,'BBT3'!A:F,5,0),"")</f>
        <v/>
      </c>
      <c r="F760" t="str">
        <f>IF(NOT(ISBLANK(A760)),VLOOKUP(A760,'BBT3'!A:F,6,0),"")</f>
        <v/>
      </c>
      <c r="G760" t="str">
        <f>IF(NOT(ISBLANK(A760)),VLOOKUP(A760,QW_Close!A:J,5,0),"")</f>
        <v/>
      </c>
      <c r="H760" s="5" t="str" cm="1">
        <f t="array" ref="H760">IF(NOT(ISBLANK(A760)),((_xlfn.XLOOKUP(1,(_bbt3[[#All],[ID]]=A760)*(_bbt3[[#All],[METRIC_NAME]]="YLD_YTM_ASK"),_bbt3[[#All],[METRIC_VALUE]])*0.5)+(_xlfn.XLOOKUP(1,(_bbt3[[#All],[ID]]=A760)*(_bbt3[[#All],[METRIC_NAME]]="YLD_YTM_BID"),_bbt3[[#All],[METRIC_VALUE]])*0.5))/100,"")</f>
        <v/>
      </c>
      <c r="I760">
        <f>IF(ISNA(VLOOKUP(A760,QW_CloseDL!A:E,5,0)),0,VLOOKUP(A760,QW_CloseDL!A:E,5,0))</f>
        <v>0</v>
      </c>
      <c r="J760" s="8" t="str">
        <f t="shared" si="55"/>
        <v/>
      </c>
      <c r="P760">
        <v>0</v>
      </c>
      <c r="Q760" t="e">
        <f t="shared" si="56"/>
        <v>#N/A</v>
      </c>
      <c r="R760" t="e">
        <f t="shared" si="57"/>
        <v>#N/A</v>
      </c>
      <c r="S760" s="9" t="e">
        <f t="shared" si="58"/>
        <v>#N/A</v>
      </c>
      <c r="T760" s="3" t="e">
        <f t="shared" si="59"/>
        <v>#N/A</v>
      </c>
    </row>
    <row r="761" spans="2:20" x14ac:dyDescent="0.35">
      <c r="B761" t="str">
        <f>IF(NOT(ISBLANK(A761)),VLOOKUP(A761,'BBT3'!A:F,2,0),"")</f>
        <v/>
      </c>
      <c r="C761" t="str">
        <f>IF(NOT(ISBLANK(A761)),VLOOKUP(A761,'BBT3'!A:F,3,0),"")</f>
        <v/>
      </c>
      <c r="D761" s="6" t="str">
        <f>IF(NOT(ISBLANK(A761)),VLOOKUP(A761,'BBT3'!A:F,4,1),"")</f>
        <v/>
      </c>
      <c r="E761" t="str">
        <f>IF(NOT(ISBLANK(A761)),VLOOKUP(A761,'BBT3'!A:F,5,0),"")</f>
        <v/>
      </c>
      <c r="F761" t="str">
        <f>IF(NOT(ISBLANK(A761)),VLOOKUP(A761,'BBT3'!A:F,6,0),"")</f>
        <v/>
      </c>
      <c r="G761" t="str">
        <f>IF(NOT(ISBLANK(A761)),VLOOKUP(A761,QW_Close!A:J,5,0),"")</f>
        <v/>
      </c>
      <c r="H761" s="5" t="str" cm="1">
        <f t="array" ref="H761">IF(NOT(ISBLANK(A761)),((_xlfn.XLOOKUP(1,(_bbt3[[#All],[ID]]=A761)*(_bbt3[[#All],[METRIC_NAME]]="YLD_YTM_ASK"),_bbt3[[#All],[METRIC_VALUE]])*0.5)+(_xlfn.XLOOKUP(1,(_bbt3[[#All],[ID]]=A761)*(_bbt3[[#All],[METRIC_NAME]]="YLD_YTM_BID"),_bbt3[[#All],[METRIC_VALUE]])*0.5))/100,"")</f>
        <v/>
      </c>
      <c r="I761">
        <f>IF(ISNA(VLOOKUP(A761,QW_CloseDL!A:E,5,0)),0,VLOOKUP(A761,QW_CloseDL!A:E,5,0))</f>
        <v>0</v>
      </c>
      <c r="J761" s="8" t="str">
        <f t="shared" si="55"/>
        <v/>
      </c>
      <c r="P761">
        <v>0</v>
      </c>
      <c r="Q761" t="e">
        <f t="shared" si="56"/>
        <v>#N/A</v>
      </c>
      <c r="R761" t="e">
        <f t="shared" si="57"/>
        <v>#N/A</v>
      </c>
      <c r="S761" s="9" t="e">
        <f t="shared" si="58"/>
        <v>#N/A</v>
      </c>
      <c r="T761" s="3" t="e">
        <f t="shared" si="59"/>
        <v>#N/A</v>
      </c>
    </row>
    <row r="762" spans="2:20" x14ac:dyDescent="0.35">
      <c r="B762" t="str">
        <f>IF(NOT(ISBLANK(A762)),VLOOKUP(A762,'BBT3'!A:F,2,0),"")</f>
        <v/>
      </c>
      <c r="C762" t="str">
        <f>IF(NOT(ISBLANK(A762)),VLOOKUP(A762,'BBT3'!A:F,3,0),"")</f>
        <v/>
      </c>
      <c r="D762" s="6" t="str">
        <f>IF(NOT(ISBLANK(A762)),VLOOKUP(A762,'BBT3'!A:F,4,1),"")</f>
        <v/>
      </c>
      <c r="E762" t="str">
        <f>IF(NOT(ISBLANK(A762)),VLOOKUP(A762,'BBT3'!A:F,5,0),"")</f>
        <v/>
      </c>
      <c r="F762" t="str">
        <f>IF(NOT(ISBLANK(A762)),VLOOKUP(A762,'BBT3'!A:F,6,0),"")</f>
        <v/>
      </c>
      <c r="G762" t="str">
        <f>IF(NOT(ISBLANK(A762)),VLOOKUP(A762,QW_Close!A:J,5,0),"")</f>
        <v/>
      </c>
      <c r="H762" s="5" t="str" cm="1">
        <f t="array" ref="H762">IF(NOT(ISBLANK(A762)),((_xlfn.XLOOKUP(1,(_bbt3[[#All],[ID]]=A762)*(_bbt3[[#All],[METRIC_NAME]]="YLD_YTM_ASK"),_bbt3[[#All],[METRIC_VALUE]])*0.5)+(_xlfn.XLOOKUP(1,(_bbt3[[#All],[ID]]=A762)*(_bbt3[[#All],[METRIC_NAME]]="YLD_YTM_BID"),_bbt3[[#All],[METRIC_VALUE]])*0.5))/100,"")</f>
        <v/>
      </c>
      <c r="I762">
        <f>IF(ISNA(VLOOKUP(A762,QW_CloseDL!A:E,5,0)),0,VLOOKUP(A762,QW_CloseDL!A:E,5,0))</f>
        <v>0</v>
      </c>
      <c r="J762" s="8" t="str">
        <f t="shared" si="55"/>
        <v/>
      </c>
      <c r="P762">
        <v>0</v>
      </c>
      <c r="Q762" t="e">
        <f t="shared" si="56"/>
        <v>#N/A</v>
      </c>
      <c r="R762" t="e">
        <f t="shared" si="57"/>
        <v>#N/A</v>
      </c>
      <c r="S762" s="9" t="e">
        <f t="shared" si="58"/>
        <v>#N/A</v>
      </c>
      <c r="T762" s="3" t="e">
        <f t="shared" si="59"/>
        <v>#N/A</v>
      </c>
    </row>
    <row r="763" spans="2:20" x14ac:dyDescent="0.35">
      <c r="B763" t="str">
        <f>IF(NOT(ISBLANK(A763)),VLOOKUP(A763,'BBT3'!A:F,2,0),"")</f>
        <v/>
      </c>
      <c r="C763" t="str">
        <f>IF(NOT(ISBLANK(A763)),VLOOKUP(A763,'BBT3'!A:F,3,0),"")</f>
        <v/>
      </c>
      <c r="D763" s="6" t="str">
        <f>IF(NOT(ISBLANK(A763)),VLOOKUP(A763,'BBT3'!A:F,4,1),"")</f>
        <v/>
      </c>
      <c r="E763" t="str">
        <f>IF(NOT(ISBLANK(A763)),VLOOKUP(A763,'BBT3'!A:F,5,0),"")</f>
        <v/>
      </c>
      <c r="F763" t="str">
        <f>IF(NOT(ISBLANK(A763)),VLOOKUP(A763,'BBT3'!A:F,6,0),"")</f>
        <v/>
      </c>
      <c r="G763" t="str">
        <f>IF(NOT(ISBLANK(A763)),VLOOKUP(A763,QW_Close!A:J,5,0),"")</f>
        <v/>
      </c>
      <c r="H763" s="5" t="str" cm="1">
        <f t="array" ref="H763">IF(NOT(ISBLANK(A763)),((_xlfn.XLOOKUP(1,(_bbt3[[#All],[ID]]=A763)*(_bbt3[[#All],[METRIC_NAME]]="YLD_YTM_ASK"),_bbt3[[#All],[METRIC_VALUE]])*0.5)+(_xlfn.XLOOKUP(1,(_bbt3[[#All],[ID]]=A763)*(_bbt3[[#All],[METRIC_NAME]]="YLD_YTM_BID"),_bbt3[[#All],[METRIC_VALUE]])*0.5))/100,"")</f>
        <v/>
      </c>
      <c r="I763">
        <f>IF(ISNA(VLOOKUP(A763,QW_CloseDL!A:E,5,0)),0,VLOOKUP(A763,QW_CloseDL!A:E,5,0))</f>
        <v>0</v>
      </c>
      <c r="J763" s="8" t="str">
        <f t="shared" si="55"/>
        <v/>
      </c>
      <c r="P763">
        <v>0</v>
      </c>
      <c r="Q763" t="e">
        <f t="shared" si="56"/>
        <v>#N/A</v>
      </c>
      <c r="R763" t="e">
        <f t="shared" si="57"/>
        <v>#N/A</v>
      </c>
      <c r="S763" s="9" t="e">
        <f t="shared" si="58"/>
        <v>#N/A</v>
      </c>
      <c r="T763" s="3" t="e">
        <f t="shared" si="59"/>
        <v>#N/A</v>
      </c>
    </row>
    <row r="764" spans="2:20" x14ac:dyDescent="0.35">
      <c r="B764" t="str">
        <f>IF(NOT(ISBLANK(A764)),VLOOKUP(A764,'BBT3'!A:F,2,0),"")</f>
        <v/>
      </c>
      <c r="C764" t="str">
        <f>IF(NOT(ISBLANK(A764)),VLOOKUP(A764,'BBT3'!A:F,3,0),"")</f>
        <v/>
      </c>
      <c r="D764" s="6" t="str">
        <f>IF(NOT(ISBLANK(A764)),VLOOKUP(A764,'BBT3'!A:F,4,1),"")</f>
        <v/>
      </c>
      <c r="E764" t="str">
        <f>IF(NOT(ISBLANK(A764)),VLOOKUP(A764,'BBT3'!A:F,5,0),"")</f>
        <v/>
      </c>
      <c r="F764" t="str">
        <f>IF(NOT(ISBLANK(A764)),VLOOKUP(A764,'BBT3'!A:F,6,0),"")</f>
        <v/>
      </c>
      <c r="G764" t="str">
        <f>IF(NOT(ISBLANK(A764)),VLOOKUP(A764,QW_Close!A:J,5,0),"")</f>
        <v/>
      </c>
      <c r="H764" s="5" t="str" cm="1">
        <f t="array" ref="H764">IF(NOT(ISBLANK(A764)),((_xlfn.XLOOKUP(1,(_bbt3[[#All],[ID]]=A764)*(_bbt3[[#All],[METRIC_NAME]]="YLD_YTM_ASK"),_bbt3[[#All],[METRIC_VALUE]])*0.5)+(_xlfn.XLOOKUP(1,(_bbt3[[#All],[ID]]=A764)*(_bbt3[[#All],[METRIC_NAME]]="YLD_YTM_BID"),_bbt3[[#All],[METRIC_VALUE]])*0.5))/100,"")</f>
        <v/>
      </c>
      <c r="I764">
        <f>IF(ISNA(VLOOKUP(A764,QW_CloseDL!A:E,5,0)),0,VLOOKUP(A764,QW_CloseDL!A:E,5,0))</f>
        <v>0</v>
      </c>
      <c r="J764" s="8" t="str">
        <f t="shared" si="55"/>
        <v/>
      </c>
      <c r="P764">
        <v>0</v>
      </c>
      <c r="Q764" t="e">
        <f t="shared" si="56"/>
        <v>#N/A</v>
      </c>
      <c r="R764" t="e">
        <f t="shared" si="57"/>
        <v>#N/A</v>
      </c>
      <c r="S764" s="9" t="e">
        <f t="shared" si="58"/>
        <v>#N/A</v>
      </c>
      <c r="T764" s="3" t="e">
        <f t="shared" si="59"/>
        <v>#N/A</v>
      </c>
    </row>
    <row r="765" spans="2:20" x14ac:dyDescent="0.35">
      <c r="B765" t="str">
        <f>IF(NOT(ISBLANK(A765)),VLOOKUP(A765,'BBT3'!A:F,2,0),"")</f>
        <v/>
      </c>
      <c r="C765" t="str">
        <f>IF(NOT(ISBLANK(A765)),VLOOKUP(A765,'BBT3'!A:F,3,0),"")</f>
        <v/>
      </c>
      <c r="D765" s="6" t="str">
        <f>IF(NOT(ISBLANK(A765)),VLOOKUP(A765,'BBT3'!A:F,4,1),"")</f>
        <v/>
      </c>
      <c r="E765" t="str">
        <f>IF(NOT(ISBLANK(A765)),VLOOKUP(A765,'BBT3'!A:F,5,0),"")</f>
        <v/>
      </c>
      <c r="F765" t="str">
        <f>IF(NOT(ISBLANK(A765)),VLOOKUP(A765,'BBT3'!A:F,6,0),"")</f>
        <v/>
      </c>
      <c r="G765" t="str">
        <f>IF(NOT(ISBLANK(A765)),VLOOKUP(A765,QW_Close!A:J,5,0),"")</f>
        <v/>
      </c>
      <c r="H765" s="5" t="str" cm="1">
        <f t="array" ref="H765">IF(NOT(ISBLANK(A765)),((_xlfn.XLOOKUP(1,(_bbt3[[#All],[ID]]=A765)*(_bbt3[[#All],[METRIC_NAME]]="YLD_YTM_ASK"),_bbt3[[#All],[METRIC_VALUE]])*0.5)+(_xlfn.XLOOKUP(1,(_bbt3[[#All],[ID]]=A765)*(_bbt3[[#All],[METRIC_NAME]]="YLD_YTM_BID"),_bbt3[[#All],[METRIC_VALUE]])*0.5))/100,"")</f>
        <v/>
      </c>
      <c r="I765">
        <f>IF(ISNA(VLOOKUP(A765,QW_CloseDL!A:E,5,0)),0,VLOOKUP(A765,QW_CloseDL!A:E,5,0))</f>
        <v>0</v>
      </c>
      <c r="J765" s="8" t="str">
        <f t="shared" si="55"/>
        <v/>
      </c>
      <c r="P765">
        <v>0</v>
      </c>
      <c r="Q765" t="e">
        <f t="shared" si="56"/>
        <v>#N/A</v>
      </c>
      <c r="R765" t="e">
        <f t="shared" si="57"/>
        <v>#N/A</v>
      </c>
      <c r="S765" s="9" t="e">
        <f t="shared" si="58"/>
        <v>#N/A</v>
      </c>
      <c r="T765" s="3" t="e">
        <f t="shared" si="59"/>
        <v>#N/A</v>
      </c>
    </row>
    <row r="766" spans="2:20" x14ac:dyDescent="0.35">
      <c r="B766" t="str">
        <f>IF(NOT(ISBLANK(A766)),VLOOKUP(A766,'BBT3'!A:F,2,0),"")</f>
        <v/>
      </c>
      <c r="C766" t="str">
        <f>IF(NOT(ISBLANK(A766)),VLOOKUP(A766,'BBT3'!A:F,3,0),"")</f>
        <v/>
      </c>
      <c r="D766" s="6" t="str">
        <f>IF(NOT(ISBLANK(A766)),VLOOKUP(A766,'BBT3'!A:F,4,1),"")</f>
        <v/>
      </c>
      <c r="E766" t="str">
        <f>IF(NOT(ISBLANK(A766)),VLOOKUP(A766,'BBT3'!A:F,5,0),"")</f>
        <v/>
      </c>
      <c r="F766" t="str">
        <f>IF(NOT(ISBLANK(A766)),VLOOKUP(A766,'BBT3'!A:F,6,0),"")</f>
        <v/>
      </c>
      <c r="G766" t="str">
        <f>IF(NOT(ISBLANK(A766)),VLOOKUP(A766,QW_Close!A:J,5,0),"")</f>
        <v/>
      </c>
      <c r="H766" s="5" t="str" cm="1">
        <f t="array" ref="H766">IF(NOT(ISBLANK(A766)),((_xlfn.XLOOKUP(1,(_bbt3[[#All],[ID]]=A766)*(_bbt3[[#All],[METRIC_NAME]]="YLD_YTM_ASK"),_bbt3[[#All],[METRIC_VALUE]])*0.5)+(_xlfn.XLOOKUP(1,(_bbt3[[#All],[ID]]=A766)*(_bbt3[[#All],[METRIC_NAME]]="YLD_YTM_BID"),_bbt3[[#All],[METRIC_VALUE]])*0.5))/100,"")</f>
        <v/>
      </c>
      <c r="I766">
        <f>IF(ISNA(VLOOKUP(A766,QW_CloseDL!A:E,5,0)),0,VLOOKUP(A766,QW_CloseDL!A:E,5,0))</f>
        <v>0</v>
      </c>
      <c r="J766" s="8" t="str">
        <f t="shared" si="55"/>
        <v/>
      </c>
      <c r="P766">
        <v>0</v>
      </c>
      <c r="Q766" t="e">
        <f t="shared" si="56"/>
        <v>#N/A</v>
      </c>
      <c r="R766" t="e">
        <f t="shared" si="57"/>
        <v>#N/A</v>
      </c>
      <c r="S766" s="9" t="e">
        <f t="shared" si="58"/>
        <v>#N/A</v>
      </c>
      <c r="T766" s="3" t="e">
        <f t="shared" si="59"/>
        <v>#N/A</v>
      </c>
    </row>
    <row r="767" spans="2:20" x14ac:dyDescent="0.35">
      <c r="B767" t="str">
        <f>IF(NOT(ISBLANK(A767)),VLOOKUP(A767,'BBT3'!A:F,2,0),"")</f>
        <v/>
      </c>
      <c r="C767" t="str">
        <f>IF(NOT(ISBLANK(A767)),VLOOKUP(A767,'BBT3'!A:F,3,0),"")</f>
        <v/>
      </c>
      <c r="D767" s="6" t="str">
        <f>IF(NOT(ISBLANK(A767)),VLOOKUP(A767,'BBT3'!A:F,4,1),"")</f>
        <v/>
      </c>
      <c r="E767" t="str">
        <f>IF(NOT(ISBLANK(A767)),VLOOKUP(A767,'BBT3'!A:F,5,0),"")</f>
        <v/>
      </c>
      <c r="F767" t="str">
        <f>IF(NOT(ISBLANK(A767)),VLOOKUP(A767,'BBT3'!A:F,6,0),"")</f>
        <v/>
      </c>
      <c r="G767" t="str">
        <f>IF(NOT(ISBLANK(A767)),VLOOKUP(A767,QW_Close!A:J,5,0),"")</f>
        <v/>
      </c>
      <c r="H767" s="5" t="str" cm="1">
        <f t="array" ref="H767">IF(NOT(ISBLANK(A767)),((_xlfn.XLOOKUP(1,(_bbt3[[#All],[ID]]=A767)*(_bbt3[[#All],[METRIC_NAME]]="YLD_YTM_ASK"),_bbt3[[#All],[METRIC_VALUE]])*0.5)+(_xlfn.XLOOKUP(1,(_bbt3[[#All],[ID]]=A767)*(_bbt3[[#All],[METRIC_NAME]]="YLD_YTM_BID"),_bbt3[[#All],[METRIC_VALUE]])*0.5))/100,"")</f>
        <v/>
      </c>
      <c r="I767">
        <f>IF(ISNA(VLOOKUP(A767,QW_CloseDL!A:E,5,0)),0,VLOOKUP(A767,QW_CloseDL!A:E,5,0))</f>
        <v>0</v>
      </c>
      <c r="J767" s="8" t="str">
        <f t="shared" si="55"/>
        <v/>
      </c>
      <c r="P767">
        <v>0</v>
      </c>
      <c r="Q767" t="e">
        <f t="shared" si="56"/>
        <v>#N/A</v>
      </c>
      <c r="R767" t="e">
        <f t="shared" si="57"/>
        <v>#N/A</v>
      </c>
      <c r="S767" s="9" t="e">
        <f t="shared" si="58"/>
        <v>#N/A</v>
      </c>
      <c r="T767" s="3" t="e">
        <f t="shared" si="59"/>
        <v>#N/A</v>
      </c>
    </row>
    <row r="768" spans="2:20" x14ac:dyDescent="0.35">
      <c r="B768" t="str">
        <f>IF(NOT(ISBLANK(A768)),VLOOKUP(A768,'BBT3'!A:F,2,0),"")</f>
        <v/>
      </c>
      <c r="C768" t="str">
        <f>IF(NOT(ISBLANK(A768)),VLOOKUP(A768,'BBT3'!A:F,3,0),"")</f>
        <v/>
      </c>
      <c r="D768" s="6" t="str">
        <f>IF(NOT(ISBLANK(A768)),VLOOKUP(A768,'BBT3'!A:F,4,1),"")</f>
        <v/>
      </c>
      <c r="E768" t="str">
        <f>IF(NOT(ISBLANK(A768)),VLOOKUP(A768,'BBT3'!A:F,5,0),"")</f>
        <v/>
      </c>
      <c r="F768" t="str">
        <f>IF(NOT(ISBLANK(A768)),VLOOKUP(A768,'BBT3'!A:F,6,0),"")</f>
        <v/>
      </c>
      <c r="G768" t="str">
        <f>IF(NOT(ISBLANK(A768)),VLOOKUP(A768,QW_Close!A:J,5,0),"")</f>
        <v/>
      </c>
      <c r="H768" s="5" t="str" cm="1">
        <f t="array" ref="H768">IF(NOT(ISBLANK(A768)),((_xlfn.XLOOKUP(1,(_bbt3[[#All],[ID]]=A768)*(_bbt3[[#All],[METRIC_NAME]]="YLD_YTM_ASK"),_bbt3[[#All],[METRIC_VALUE]])*0.5)+(_xlfn.XLOOKUP(1,(_bbt3[[#All],[ID]]=A768)*(_bbt3[[#All],[METRIC_NAME]]="YLD_YTM_BID"),_bbt3[[#All],[METRIC_VALUE]])*0.5))/100,"")</f>
        <v/>
      </c>
      <c r="I768">
        <f>IF(ISNA(VLOOKUP(A768,QW_CloseDL!A:E,5,0)),0,VLOOKUP(A768,QW_CloseDL!A:E,5,0))</f>
        <v>0</v>
      </c>
      <c r="J768" s="8" t="str">
        <f t="shared" si="55"/>
        <v/>
      </c>
      <c r="P768">
        <v>0</v>
      </c>
      <c r="Q768" t="e">
        <f t="shared" si="56"/>
        <v>#N/A</v>
      </c>
      <c r="R768" t="e">
        <f t="shared" si="57"/>
        <v>#N/A</v>
      </c>
      <c r="S768" s="9" t="e">
        <f t="shared" si="58"/>
        <v>#N/A</v>
      </c>
      <c r="T768" s="3" t="e">
        <f t="shared" si="59"/>
        <v>#N/A</v>
      </c>
    </row>
    <row r="769" spans="2:20" x14ac:dyDescent="0.35">
      <c r="B769" t="str">
        <f>IF(NOT(ISBLANK(A769)),VLOOKUP(A769,'BBT3'!A:F,2,0),"")</f>
        <v/>
      </c>
      <c r="C769" t="str">
        <f>IF(NOT(ISBLANK(A769)),VLOOKUP(A769,'BBT3'!A:F,3,0),"")</f>
        <v/>
      </c>
      <c r="D769" s="6" t="str">
        <f>IF(NOT(ISBLANK(A769)),VLOOKUP(A769,'BBT3'!A:F,4,1),"")</f>
        <v/>
      </c>
      <c r="E769" t="str">
        <f>IF(NOT(ISBLANK(A769)),VLOOKUP(A769,'BBT3'!A:F,5,0),"")</f>
        <v/>
      </c>
      <c r="F769" t="str">
        <f>IF(NOT(ISBLANK(A769)),VLOOKUP(A769,'BBT3'!A:F,6,0),"")</f>
        <v/>
      </c>
      <c r="G769" t="str">
        <f>IF(NOT(ISBLANK(A769)),VLOOKUP(A769,QW_Close!A:J,5,0),"")</f>
        <v/>
      </c>
      <c r="H769" s="5" t="str" cm="1">
        <f t="array" ref="H769">IF(NOT(ISBLANK(A769)),((_xlfn.XLOOKUP(1,(_bbt3[[#All],[ID]]=A769)*(_bbt3[[#All],[METRIC_NAME]]="YLD_YTM_ASK"),_bbt3[[#All],[METRIC_VALUE]])*0.5)+(_xlfn.XLOOKUP(1,(_bbt3[[#All],[ID]]=A769)*(_bbt3[[#All],[METRIC_NAME]]="YLD_YTM_BID"),_bbt3[[#All],[METRIC_VALUE]])*0.5))/100,"")</f>
        <v/>
      </c>
      <c r="I769">
        <f>IF(ISNA(VLOOKUP(A769,QW_CloseDL!A:E,5,0)),0,VLOOKUP(A769,QW_CloseDL!A:E,5,0))</f>
        <v>0</v>
      </c>
      <c r="J769" s="8" t="str">
        <f t="shared" si="55"/>
        <v/>
      </c>
      <c r="P769">
        <v>0</v>
      </c>
      <c r="Q769" t="e">
        <f t="shared" si="56"/>
        <v>#N/A</v>
      </c>
      <c r="R769" t="e">
        <f t="shared" si="57"/>
        <v>#N/A</v>
      </c>
      <c r="S769" s="9" t="e">
        <f t="shared" si="58"/>
        <v>#N/A</v>
      </c>
      <c r="T769" s="3" t="e">
        <f t="shared" si="59"/>
        <v>#N/A</v>
      </c>
    </row>
    <row r="770" spans="2:20" x14ac:dyDescent="0.35">
      <c r="B770" t="str">
        <f>IF(NOT(ISBLANK(A770)),VLOOKUP(A770,'BBT3'!A:F,2,0),"")</f>
        <v/>
      </c>
      <c r="C770" t="str">
        <f>IF(NOT(ISBLANK(A770)),VLOOKUP(A770,'BBT3'!A:F,3,0),"")</f>
        <v/>
      </c>
      <c r="D770" s="6" t="str">
        <f>IF(NOT(ISBLANK(A770)),VLOOKUP(A770,'BBT3'!A:F,4,1),"")</f>
        <v/>
      </c>
      <c r="E770" t="str">
        <f>IF(NOT(ISBLANK(A770)),VLOOKUP(A770,'BBT3'!A:F,5,0),"")</f>
        <v/>
      </c>
      <c r="F770" t="str">
        <f>IF(NOT(ISBLANK(A770)),VLOOKUP(A770,'BBT3'!A:F,6,0),"")</f>
        <v/>
      </c>
      <c r="G770" t="str">
        <f>IF(NOT(ISBLANK(A770)),VLOOKUP(A770,QW_Close!A:J,5,0),"")</f>
        <v/>
      </c>
      <c r="H770" s="5" t="str" cm="1">
        <f t="array" ref="H770">IF(NOT(ISBLANK(A770)),((_xlfn.XLOOKUP(1,(_bbt3[[#All],[ID]]=A770)*(_bbt3[[#All],[METRIC_NAME]]="YLD_YTM_ASK"),_bbt3[[#All],[METRIC_VALUE]])*0.5)+(_xlfn.XLOOKUP(1,(_bbt3[[#All],[ID]]=A770)*(_bbt3[[#All],[METRIC_NAME]]="YLD_YTM_BID"),_bbt3[[#All],[METRIC_VALUE]])*0.5))/100,"")</f>
        <v/>
      </c>
      <c r="I770">
        <f>IF(ISNA(VLOOKUP(A770,QW_CloseDL!A:E,5,0)),0,VLOOKUP(A770,QW_CloseDL!A:E,5,0))</f>
        <v>0</v>
      </c>
      <c r="J770" s="8" t="str">
        <f t="shared" si="55"/>
        <v/>
      </c>
      <c r="P770">
        <v>0</v>
      </c>
      <c r="Q770" t="e">
        <f t="shared" si="56"/>
        <v>#N/A</v>
      </c>
      <c r="R770" t="e">
        <f t="shared" si="57"/>
        <v>#N/A</v>
      </c>
      <c r="S770" s="9" t="e">
        <f t="shared" si="58"/>
        <v>#N/A</v>
      </c>
      <c r="T770" s="3" t="e">
        <f t="shared" si="59"/>
        <v>#N/A</v>
      </c>
    </row>
    <row r="771" spans="2:20" x14ac:dyDescent="0.35">
      <c r="B771" t="str">
        <f>IF(NOT(ISBLANK(A771)),VLOOKUP(A771,'BBT3'!A:F,2,0),"")</f>
        <v/>
      </c>
      <c r="C771" t="str">
        <f>IF(NOT(ISBLANK(A771)),VLOOKUP(A771,'BBT3'!A:F,3,0),"")</f>
        <v/>
      </c>
      <c r="D771" s="6" t="str">
        <f>IF(NOT(ISBLANK(A771)),VLOOKUP(A771,'BBT3'!A:F,4,1),"")</f>
        <v/>
      </c>
      <c r="E771" t="str">
        <f>IF(NOT(ISBLANK(A771)),VLOOKUP(A771,'BBT3'!A:F,5,0),"")</f>
        <v/>
      </c>
      <c r="F771" t="str">
        <f>IF(NOT(ISBLANK(A771)),VLOOKUP(A771,'BBT3'!A:F,6,0),"")</f>
        <v/>
      </c>
      <c r="G771" t="str">
        <f>IF(NOT(ISBLANK(A771)),VLOOKUP(A771,QW_Close!A:J,5,0),"")</f>
        <v/>
      </c>
      <c r="H771" s="5" t="str" cm="1">
        <f t="array" ref="H771">IF(NOT(ISBLANK(A771)),((_xlfn.XLOOKUP(1,(_bbt3[[#All],[ID]]=A771)*(_bbt3[[#All],[METRIC_NAME]]="YLD_YTM_ASK"),_bbt3[[#All],[METRIC_VALUE]])*0.5)+(_xlfn.XLOOKUP(1,(_bbt3[[#All],[ID]]=A771)*(_bbt3[[#All],[METRIC_NAME]]="YLD_YTM_BID"),_bbt3[[#All],[METRIC_VALUE]])*0.5))/100,"")</f>
        <v/>
      </c>
      <c r="I771">
        <f>IF(ISNA(VLOOKUP(A771,QW_CloseDL!A:E,5,0)),0,VLOOKUP(A771,QW_CloseDL!A:E,5,0))</f>
        <v>0</v>
      </c>
      <c r="J771" s="8" t="str">
        <f t="shared" ref="J771:J834" si="60">IF(ISNA(IF(NOT(ISBLANK(A771)),ABS(G771-I771),"")),0,(IF(NOT(ISBLANK(A771)),ABS(G771-I771)*10000,"")))</f>
        <v/>
      </c>
      <c r="P771">
        <v>0</v>
      </c>
      <c r="Q771" t="e">
        <f t="shared" si="56"/>
        <v>#N/A</v>
      </c>
      <c r="R771" t="e">
        <f t="shared" si="57"/>
        <v>#N/A</v>
      </c>
      <c r="S771" s="9" t="e">
        <f t="shared" si="58"/>
        <v>#N/A</v>
      </c>
      <c r="T771" s="3" t="e">
        <f t="shared" si="59"/>
        <v>#N/A</v>
      </c>
    </row>
    <row r="772" spans="2:20" x14ac:dyDescent="0.35">
      <c r="B772" t="str">
        <f>IF(NOT(ISBLANK(A772)),VLOOKUP(A772,'BBT3'!A:F,2,0),"")</f>
        <v/>
      </c>
      <c r="C772" t="str">
        <f>IF(NOT(ISBLANK(A772)),VLOOKUP(A772,'BBT3'!A:F,3,0),"")</f>
        <v/>
      </c>
      <c r="D772" s="6" t="str">
        <f>IF(NOT(ISBLANK(A772)),VLOOKUP(A772,'BBT3'!A:F,4,1),"")</f>
        <v/>
      </c>
      <c r="E772" t="str">
        <f>IF(NOT(ISBLANK(A772)),VLOOKUP(A772,'BBT3'!A:F,5,0),"")</f>
        <v/>
      </c>
      <c r="F772" t="str">
        <f>IF(NOT(ISBLANK(A772)),VLOOKUP(A772,'BBT3'!A:F,6,0),"")</f>
        <v/>
      </c>
      <c r="G772" t="str">
        <f>IF(NOT(ISBLANK(A772)),VLOOKUP(A772,QW_Close!A:J,5,0),"")</f>
        <v/>
      </c>
      <c r="H772" s="5" t="str" cm="1">
        <f t="array" ref="H772">IF(NOT(ISBLANK(A772)),((_xlfn.XLOOKUP(1,(_bbt3[[#All],[ID]]=A772)*(_bbt3[[#All],[METRIC_NAME]]="YLD_YTM_ASK"),_bbt3[[#All],[METRIC_VALUE]])*0.5)+(_xlfn.XLOOKUP(1,(_bbt3[[#All],[ID]]=A772)*(_bbt3[[#All],[METRIC_NAME]]="YLD_YTM_BID"),_bbt3[[#All],[METRIC_VALUE]])*0.5))/100,"")</f>
        <v/>
      </c>
      <c r="I772">
        <f>IF(ISNA(VLOOKUP(A772,QW_CloseDL!A:E,5,0)),0,VLOOKUP(A772,QW_CloseDL!A:E,5,0))</f>
        <v>0</v>
      </c>
      <c r="J772" s="8" t="str">
        <f t="shared" si="60"/>
        <v/>
      </c>
      <c r="P772">
        <v>0</v>
      </c>
      <c r="Q772" t="e">
        <f t="shared" si="56"/>
        <v>#N/A</v>
      </c>
      <c r="R772" t="e">
        <f t="shared" si="57"/>
        <v>#N/A</v>
      </c>
      <c r="S772" s="9" t="e">
        <f t="shared" si="58"/>
        <v>#N/A</v>
      </c>
      <c r="T772" s="3" t="e">
        <f t="shared" si="59"/>
        <v>#N/A</v>
      </c>
    </row>
    <row r="773" spans="2:20" x14ac:dyDescent="0.35">
      <c r="B773" t="str">
        <f>IF(NOT(ISBLANK(A773)),VLOOKUP(A773,'BBT3'!A:F,2,0),"")</f>
        <v/>
      </c>
      <c r="C773" t="str">
        <f>IF(NOT(ISBLANK(A773)),VLOOKUP(A773,'BBT3'!A:F,3,0),"")</f>
        <v/>
      </c>
      <c r="D773" s="6" t="str">
        <f>IF(NOT(ISBLANK(A773)),VLOOKUP(A773,'BBT3'!A:F,4,1),"")</f>
        <v/>
      </c>
      <c r="E773" t="str">
        <f>IF(NOT(ISBLANK(A773)),VLOOKUP(A773,'BBT3'!A:F,5,0),"")</f>
        <v/>
      </c>
      <c r="F773" t="str">
        <f>IF(NOT(ISBLANK(A773)),VLOOKUP(A773,'BBT3'!A:F,6,0),"")</f>
        <v/>
      </c>
      <c r="G773" t="str">
        <f>IF(NOT(ISBLANK(A773)),VLOOKUP(A773,QW_Close!A:J,5,0),"")</f>
        <v/>
      </c>
      <c r="H773" s="5" t="str" cm="1">
        <f t="array" ref="H773">IF(NOT(ISBLANK(A773)),((_xlfn.XLOOKUP(1,(_bbt3[[#All],[ID]]=A773)*(_bbt3[[#All],[METRIC_NAME]]="YLD_YTM_ASK"),_bbt3[[#All],[METRIC_VALUE]])*0.5)+(_xlfn.XLOOKUP(1,(_bbt3[[#All],[ID]]=A773)*(_bbt3[[#All],[METRIC_NAME]]="YLD_YTM_BID"),_bbt3[[#All],[METRIC_VALUE]])*0.5))/100,"")</f>
        <v/>
      </c>
      <c r="I773">
        <f>IF(ISNA(VLOOKUP(A773,QW_CloseDL!A:E,5,0)),0,VLOOKUP(A773,QW_CloseDL!A:E,5,0))</f>
        <v>0</v>
      </c>
      <c r="J773" s="8" t="str">
        <f t="shared" si="60"/>
        <v/>
      </c>
      <c r="P773">
        <v>0</v>
      </c>
      <c r="Q773" t="e">
        <f t="shared" si="56"/>
        <v>#N/A</v>
      </c>
      <c r="R773" t="e">
        <f t="shared" si="57"/>
        <v>#N/A</v>
      </c>
      <c r="S773" s="9" t="e">
        <f t="shared" si="58"/>
        <v>#N/A</v>
      </c>
      <c r="T773" s="3" t="e">
        <f t="shared" si="59"/>
        <v>#N/A</v>
      </c>
    </row>
    <row r="774" spans="2:20" x14ac:dyDescent="0.35">
      <c r="B774" t="str">
        <f>IF(NOT(ISBLANK(A774)),VLOOKUP(A774,'BBT3'!A:F,2,0),"")</f>
        <v/>
      </c>
      <c r="C774" t="str">
        <f>IF(NOT(ISBLANK(A774)),VLOOKUP(A774,'BBT3'!A:F,3,0),"")</f>
        <v/>
      </c>
      <c r="D774" s="6" t="str">
        <f>IF(NOT(ISBLANK(A774)),VLOOKUP(A774,'BBT3'!A:F,4,1),"")</f>
        <v/>
      </c>
      <c r="E774" t="str">
        <f>IF(NOT(ISBLANK(A774)),VLOOKUP(A774,'BBT3'!A:F,5,0),"")</f>
        <v/>
      </c>
      <c r="F774" t="str">
        <f>IF(NOT(ISBLANK(A774)),VLOOKUP(A774,'BBT3'!A:F,6,0),"")</f>
        <v/>
      </c>
      <c r="G774" t="str">
        <f>IF(NOT(ISBLANK(A774)),VLOOKUP(A774,QW_Close!A:J,5,0),"")</f>
        <v/>
      </c>
      <c r="H774" s="5" t="str" cm="1">
        <f t="array" ref="H774">IF(NOT(ISBLANK(A774)),((_xlfn.XLOOKUP(1,(_bbt3[[#All],[ID]]=A774)*(_bbt3[[#All],[METRIC_NAME]]="YLD_YTM_ASK"),_bbt3[[#All],[METRIC_VALUE]])*0.5)+(_xlfn.XLOOKUP(1,(_bbt3[[#All],[ID]]=A774)*(_bbt3[[#All],[METRIC_NAME]]="YLD_YTM_BID"),_bbt3[[#All],[METRIC_VALUE]])*0.5))/100,"")</f>
        <v/>
      </c>
      <c r="I774">
        <f>IF(ISNA(VLOOKUP(A774,QW_CloseDL!A:E,5,0)),0,VLOOKUP(A774,QW_CloseDL!A:E,5,0))</f>
        <v>0</v>
      </c>
      <c r="J774" s="8" t="str">
        <f t="shared" si="60"/>
        <v/>
      </c>
      <c r="P774">
        <v>0</v>
      </c>
      <c r="Q774" t="e">
        <f t="shared" si="56"/>
        <v>#N/A</v>
      </c>
      <c r="R774" t="e">
        <f t="shared" si="57"/>
        <v>#N/A</v>
      </c>
      <c r="S774" s="9" t="e">
        <f t="shared" si="58"/>
        <v>#N/A</v>
      </c>
      <c r="T774" s="3" t="e">
        <f t="shared" si="59"/>
        <v>#N/A</v>
      </c>
    </row>
    <row r="775" spans="2:20" x14ac:dyDescent="0.35">
      <c r="B775" t="str">
        <f>IF(NOT(ISBLANK(A775)),VLOOKUP(A775,'BBT3'!A:F,2,0),"")</f>
        <v/>
      </c>
      <c r="C775" t="str">
        <f>IF(NOT(ISBLANK(A775)),VLOOKUP(A775,'BBT3'!A:F,3,0),"")</f>
        <v/>
      </c>
      <c r="D775" s="6" t="str">
        <f>IF(NOT(ISBLANK(A775)),VLOOKUP(A775,'BBT3'!A:F,4,1),"")</f>
        <v/>
      </c>
      <c r="E775" t="str">
        <f>IF(NOT(ISBLANK(A775)),VLOOKUP(A775,'BBT3'!A:F,5,0),"")</f>
        <v/>
      </c>
      <c r="F775" t="str">
        <f>IF(NOT(ISBLANK(A775)),VLOOKUP(A775,'BBT3'!A:F,6,0),"")</f>
        <v/>
      </c>
      <c r="G775" t="str">
        <f>IF(NOT(ISBLANK(A775)),VLOOKUP(A775,QW_Close!A:J,5,0),"")</f>
        <v/>
      </c>
      <c r="H775" s="5" t="str" cm="1">
        <f t="array" ref="H775">IF(NOT(ISBLANK(A775)),((_xlfn.XLOOKUP(1,(_bbt3[[#All],[ID]]=A775)*(_bbt3[[#All],[METRIC_NAME]]="YLD_YTM_ASK"),_bbt3[[#All],[METRIC_VALUE]])*0.5)+(_xlfn.XLOOKUP(1,(_bbt3[[#All],[ID]]=A775)*(_bbt3[[#All],[METRIC_NAME]]="YLD_YTM_BID"),_bbt3[[#All],[METRIC_VALUE]])*0.5))/100,"")</f>
        <v/>
      </c>
      <c r="I775">
        <f>IF(ISNA(VLOOKUP(A775,QW_CloseDL!A:E,5,0)),0,VLOOKUP(A775,QW_CloseDL!A:E,5,0))</f>
        <v>0</v>
      </c>
      <c r="J775" s="8" t="str">
        <f t="shared" si="60"/>
        <v/>
      </c>
      <c r="P775">
        <v>0</v>
      </c>
      <c r="Q775" t="e">
        <f t="shared" si="56"/>
        <v>#N/A</v>
      </c>
      <c r="R775" t="e">
        <f t="shared" si="57"/>
        <v>#N/A</v>
      </c>
      <c r="S775" s="9" t="e">
        <f t="shared" si="58"/>
        <v>#N/A</v>
      </c>
      <c r="T775" s="3" t="e">
        <f t="shared" si="59"/>
        <v>#N/A</v>
      </c>
    </row>
    <row r="776" spans="2:20" x14ac:dyDescent="0.35">
      <c r="B776" t="str">
        <f>IF(NOT(ISBLANK(A776)),VLOOKUP(A776,'BBT3'!A:F,2,0),"")</f>
        <v/>
      </c>
      <c r="C776" t="str">
        <f>IF(NOT(ISBLANK(A776)),VLOOKUP(A776,'BBT3'!A:F,3,0),"")</f>
        <v/>
      </c>
      <c r="D776" s="6" t="str">
        <f>IF(NOT(ISBLANK(A776)),VLOOKUP(A776,'BBT3'!A:F,4,1),"")</f>
        <v/>
      </c>
      <c r="E776" t="str">
        <f>IF(NOT(ISBLANK(A776)),VLOOKUP(A776,'BBT3'!A:F,5,0),"")</f>
        <v/>
      </c>
      <c r="F776" t="str">
        <f>IF(NOT(ISBLANK(A776)),VLOOKUP(A776,'BBT3'!A:F,6,0),"")</f>
        <v/>
      </c>
      <c r="G776" t="str">
        <f>IF(NOT(ISBLANK(A776)),VLOOKUP(A776,QW_Close!A:J,5,0),"")</f>
        <v/>
      </c>
      <c r="H776" s="5" t="str" cm="1">
        <f t="array" ref="H776">IF(NOT(ISBLANK(A776)),((_xlfn.XLOOKUP(1,(_bbt3[[#All],[ID]]=A776)*(_bbt3[[#All],[METRIC_NAME]]="YLD_YTM_ASK"),_bbt3[[#All],[METRIC_VALUE]])*0.5)+(_xlfn.XLOOKUP(1,(_bbt3[[#All],[ID]]=A776)*(_bbt3[[#All],[METRIC_NAME]]="YLD_YTM_BID"),_bbt3[[#All],[METRIC_VALUE]])*0.5))/100,"")</f>
        <v/>
      </c>
      <c r="I776">
        <f>IF(ISNA(VLOOKUP(A776,QW_CloseDL!A:E,5,0)),0,VLOOKUP(A776,QW_CloseDL!A:E,5,0))</f>
        <v>0</v>
      </c>
      <c r="J776" s="8" t="str">
        <f t="shared" si="60"/>
        <v/>
      </c>
      <c r="P776">
        <v>0</v>
      </c>
      <c r="Q776" t="e">
        <f t="shared" si="56"/>
        <v>#N/A</v>
      </c>
      <c r="R776" t="e">
        <f t="shared" si="57"/>
        <v>#N/A</v>
      </c>
      <c r="S776" s="9" t="e">
        <f t="shared" si="58"/>
        <v>#N/A</v>
      </c>
      <c r="T776" s="3" t="e">
        <f t="shared" si="59"/>
        <v>#N/A</v>
      </c>
    </row>
    <row r="777" spans="2:20" x14ac:dyDescent="0.35">
      <c r="B777" t="str">
        <f>IF(NOT(ISBLANK(A777)),VLOOKUP(A777,'BBT3'!A:F,2,0),"")</f>
        <v/>
      </c>
      <c r="C777" t="str">
        <f>IF(NOT(ISBLANK(A777)),VLOOKUP(A777,'BBT3'!A:F,3,0),"")</f>
        <v/>
      </c>
      <c r="D777" s="6" t="str">
        <f>IF(NOT(ISBLANK(A777)),VLOOKUP(A777,'BBT3'!A:F,4,1),"")</f>
        <v/>
      </c>
      <c r="E777" t="str">
        <f>IF(NOT(ISBLANK(A777)),VLOOKUP(A777,'BBT3'!A:F,5,0),"")</f>
        <v/>
      </c>
      <c r="F777" t="str">
        <f>IF(NOT(ISBLANK(A777)),VLOOKUP(A777,'BBT3'!A:F,6,0),"")</f>
        <v/>
      </c>
      <c r="G777" t="str">
        <f>IF(NOT(ISBLANK(A777)),VLOOKUP(A777,QW_Close!A:J,5,0),"")</f>
        <v/>
      </c>
      <c r="H777" s="5" t="str" cm="1">
        <f t="array" ref="H777">IF(NOT(ISBLANK(A777)),((_xlfn.XLOOKUP(1,(_bbt3[[#All],[ID]]=A777)*(_bbt3[[#All],[METRIC_NAME]]="YLD_YTM_ASK"),_bbt3[[#All],[METRIC_VALUE]])*0.5)+(_xlfn.XLOOKUP(1,(_bbt3[[#All],[ID]]=A777)*(_bbt3[[#All],[METRIC_NAME]]="YLD_YTM_BID"),_bbt3[[#All],[METRIC_VALUE]])*0.5))/100,"")</f>
        <v/>
      </c>
      <c r="I777">
        <f>IF(ISNA(VLOOKUP(A777,QW_CloseDL!A:E,5,0)),0,VLOOKUP(A777,QW_CloseDL!A:E,5,0))</f>
        <v>0</v>
      </c>
      <c r="J777" s="8" t="str">
        <f t="shared" si="60"/>
        <v/>
      </c>
      <c r="P777">
        <v>0</v>
      </c>
      <c r="Q777" t="e">
        <f t="shared" si="56"/>
        <v>#N/A</v>
      </c>
      <c r="R777" t="e">
        <f t="shared" si="57"/>
        <v>#N/A</v>
      </c>
      <c r="S777" s="9" t="e">
        <f t="shared" si="58"/>
        <v>#N/A</v>
      </c>
      <c r="T777" s="3" t="e">
        <f t="shared" si="59"/>
        <v>#N/A</v>
      </c>
    </row>
    <row r="778" spans="2:20" x14ac:dyDescent="0.35">
      <c r="B778" t="str">
        <f>IF(NOT(ISBLANK(A778)),VLOOKUP(A778,'BBT3'!A:F,2,0),"")</f>
        <v/>
      </c>
      <c r="C778" t="str">
        <f>IF(NOT(ISBLANK(A778)),VLOOKUP(A778,'BBT3'!A:F,3,0),"")</f>
        <v/>
      </c>
      <c r="D778" s="6" t="str">
        <f>IF(NOT(ISBLANK(A778)),VLOOKUP(A778,'BBT3'!A:F,4,1),"")</f>
        <v/>
      </c>
      <c r="E778" t="str">
        <f>IF(NOT(ISBLANK(A778)),VLOOKUP(A778,'BBT3'!A:F,5,0),"")</f>
        <v/>
      </c>
      <c r="F778" t="str">
        <f>IF(NOT(ISBLANK(A778)),VLOOKUP(A778,'BBT3'!A:F,6,0),"")</f>
        <v/>
      </c>
      <c r="G778" t="str">
        <f>IF(NOT(ISBLANK(A778)),VLOOKUP(A778,QW_Close!A:J,5,0),"")</f>
        <v/>
      </c>
      <c r="H778" s="5" t="str" cm="1">
        <f t="array" ref="H778">IF(NOT(ISBLANK(A778)),((_xlfn.XLOOKUP(1,(_bbt3[[#All],[ID]]=A778)*(_bbt3[[#All],[METRIC_NAME]]="YLD_YTM_ASK"),_bbt3[[#All],[METRIC_VALUE]])*0.5)+(_xlfn.XLOOKUP(1,(_bbt3[[#All],[ID]]=A778)*(_bbt3[[#All],[METRIC_NAME]]="YLD_YTM_BID"),_bbt3[[#All],[METRIC_VALUE]])*0.5))/100,"")</f>
        <v/>
      </c>
      <c r="I778">
        <f>IF(ISNA(VLOOKUP(A778,QW_CloseDL!A:E,5,0)),0,VLOOKUP(A778,QW_CloseDL!A:E,5,0))</f>
        <v>0</v>
      </c>
      <c r="J778" s="8" t="str">
        <f t="shared" si="60"/>
        <v/>
      </c>
      <c r="P778">
        <v>0</v>
      </c>
      <c r="Q778" t="e">
        <f t="shared" si="56"/>
        <v>#N/A</v>
      </c>
      <c r="R778" t="e">
        <f t="shared" si="57"/>
        <v>#N/A</v>
      </c>
      <c r="S778" s="9" t="e">
        <f t="shared" si="58"/>
        <v>#N/A</v>
      </c>
      <c r="T778" s="3" t="e">
        <f t="shared" si="59"/>
        <v>#N/A</v>
      </c>
    </row>
    <row r="779" spans="2:20" x14ac:dyDescent="0.35">
      <c r="B779" t="str">
        <f>IF(NOT(ISBLANK(A779)),VLOOKUP(A779,'BBT3'!A:F,2,0),"")</f>
        <v/>
      </c>
      <c r="C779" t="str">
        <f>IF(NOT(ISBLANK(A779)),VLOOKUP(A779,'BBT3'!A:F,3,0),"")</f>
        <v/>
      </c>
      <c r="D779" s="6" t="str">
        <f>IF(NOT(ISBLANK(A779)),VLOOKUP(A779,'BBT3'!A:F,4,1),"")</f>
        <v/>
      </c>
      <c r="E779" t="str">
        <f>IF(NOT(ISBLANK(A779)),VLOOKUP(A779,'BBT3'!A:F,5,0),"")</f>
        <v/>
      </c>
      <c r="F779" t="str">
        <f>IF(NOT(ISBLANK(A779)),VLOOKUP(A779,'BBT3'!A:F,6,0),"")</f>
        <v/>
      </c>
      <c r="G779" t="str">
        <f>IF(NOT(ISBLANK(A779)),VLOOKUP(A779,QW_Close!A:J,5,0),"")</f>
        <v/>
      </c>
      <c r="H779" s="5" t="str" cm="1">
        <f t="array" ref="H779">IF(NOT(ISBLANK(A779)),((_xlfn.XLOOKUP(1,(_bbt3[[#All],[ID]]=A779)*(_bbt3[[#All],[METRIC_NAME]]="YLD_YTM_ASK"),_bbt3[[#All],[METRIC_VALUE]])*0.5)+(_xlfn.XLOOKUP(1,(_bbt3[[#All],[ID]]=A779)*(_bbt3[[#All],[METRIC_NAME]]="YLD_YTM_BID"),_bbt3[[#All],[METRIC_VALUE]])*0.5))/100,"")</f>
        <v/>
      </c>
      <c r="I779">
        <f>IF(ISNA(VLOOKUP(A779,QW_CloseDL!A:E,5,0)),0,VLOOKUP(A779,QW_CloseDL!A:E,5,0))</f>
        <v>0</v>
      </c>
      <c r="J779" s="8" t="str">
        <f t="shared" si="60"/>
        <v/>
      </c>
      <c r="P779">
        <v>0</v>
      </c>
      <c r="Q779" t="e">
        <f t="shared" si="56"/>
        <v>#N/A</v>
      </c>
      <c r="R779" t="e">
        <f t="shared" si="57"/>
        <v>#N/A</v>
      </c>
      <c r="S779" s="9" t="e">
        <f t="shared" si="58"/>
        <v>#N/A</v>
      </c>
      <c r="T779" s="3" t="e">
        <f t="shared" si="59"/>
        <v>#N/A</v>
      </c>
    </row>
    <row r="780" spans="2:20" x14ac:dyDescent="0.35">
      <c r="B780" t="str">
        <f>IF(NOT(ISBLANK(A780)),VLOOKUP(A780,'BBT3'!A:F,2,0),"")</f>
        <v/>
      </c>
      <c r="C780" t="str">
        <f>IF(NOT(ISBLANK(A780)),VLOOKUP(A780,'BBT3'!A:F,3,0),"")</f>
        <v/>
      </c>
      <c r="D780" s="6" t="str">
        <f>IF(NOT(ISBLANK(A780)),VLOOKUP(A780,'BBT3'!A:F,4,1),"")</f>
        <v/>
      </c>
      <c r="E780" t="str">
        <f>IF(NOT(ISBLANK(A780)),VLOOKUP(A780,'BBT3'!A:F,5,0),"")</f>
        <v/>
      </c>
      <c r="F780" t="str">
        <f>IF(NOT(ISBLANK(A780)),VLOOKUP(A780,'BBT3'!A:F,6,0),"")</f>
        <v/>
      </c>
      <c r="G780" t="str">
        <f>IF(NOT(ISBLANK(A780)),VLOOKUP(A780,QW_Close!A:J,5,0),"")</f>
        <v/>
      </c>
      <c r="H780" s="5" t="str" cm="1">
        <f t="array" ref="H780">IF(NOT(ISBLANK(A780)),((_xlfn.XLOOKUP(1,(_bbt3[[#All],[ID]]=A780)*(_bbt3[[#All],[METRIC_NAME]]="YLD_YTM_ASK"),_bbt3[[#All],[METRIC_VALUE]])*0.5)+(_xlfn.XLOOKUP(1,(_bbt3[[#All],[ID]]=A780)*(_bbt3[[#All],[METRIC_NAME]]="YLD_YTM_BID"),_bbt3[[#All],[METRIC_VALUE]])*0.5))/100,"")</f>
        <v/>
      </c>
      <c r="I780">
        <f>IF(ISNA(VLOOKUP(A780,QW_CloseDL!A:E,5,0)),0,VLOOKUP(A780,QW_CloseDL!A:E,5,0))</f>
        <v>0</v>
      </c>
      <c r="J780" s="8" t="str">
        <f t="shared" si="60"/>
        <v/>
      </c>
      <c r="P780">
        <v>0</v>
      </c>
      <c r="Q780" t="e">
        <f t="shared" si="56"/>
        <v>#N/A</v>
      </c>
      <c r="R780" t="e">
        <f t="shared" si="57"/>
        <v>#N/A</v>
      </c>
      <c r="S780" s="9" t="e">
        <f t="shared" si="58"/>
        <v>#N/A</v>
      </c>
      <c r="T780" s="3" t="e">
        <f t="shared" si="59"/>
        <v>#N/A</v>
      </c>
    </row>
    <row r="781" spans="2:20" x14ac:dyDescent="0.35">
      <c r="B781" t="str">
        <f>IF(NOT(ISBLANK(A781)),VLOOKUP(A781,'BBT3'!A:F,2,0),"")</f>
        <v/>
      </c>
      <c r="C781" t="str">
        <f>IF(NOT(ISBLANK(A781)),VLOOKUP(A781,'BBT3'!A:F,3,0),"")</f>
        <v/>
      </c>
      <c r="D781" s="6" t="str">
        <f>IF(NOT(ISBLANK(A781)),VLOOKUP(A781,'BBT3'!A:F,4,1),"")</f>
        <v/>
      </c>
      <c r="E781" t="str">
        <f>IF(NOT(ISBLANK(A781)),VLOOKUP(A781,'BBT3'!A:F,5,0),"")</f>
        <v/>
      </c>
      <c r="F781" t="str">
        <f>IF(NOT(ISBLANK(A781)),VLOOKUP(A781,'BBT3'!A:F,6,0),"")</f>
        <v/>
      </c>
      <c r="G781" t="str">
        <f>IF(NOT(ISBLANK(A781)),VLOOKUP(A781,QW_Close!A:J,5,0),"")</f>
        <v/>
      </c>
      <c r="H781" s="5" t="str" cm="1">
        <f t="array" ref="H781">IF(NOT(ISBLANK(A781)),((_xlfn.XLOOKUP(1,(_bbt3[[#All],[ID]]=A781)*(_bbt3[[#All],[METRIC_NAME]]="YLD_YTM_ASK"),_bbt3[[#All],[METRIC_VALUE]])*0.5)+(_xlfn.XLOOKUP(1,(_bbt3[[#All],[ID]]=A781)*(_bbt3[[#All],[METRIC_NAME]]="YLD_YTM_BID"),_bbt3[[#All],[METRIC_VALUE]])*0.5))/100,"")</f>
        <v/>
      </c>
      <c r="I781">
        <f>IF(ISNA(VLOOKUP(A781,QW_CloseDL!A:E,5,0)),0,VLOOKUP(A781,QW_CloseDL!A:E,5,0))</f>
        <v>0</v>
      </c>
      <c r="J781" s="8" t="str">
        <f t="shared" si="60"/>
        <v/>
      </c>
      <c r="P781">
        <v>0</v>
      </c>
      <c r="Q781" t="e">
        <f t="shared" ref="Q781:Q844" si="61">VLOOKUP(P781,A:B,2,0)</f>
        <v>#N/A</v>
      </c>
      <c r="R781" t="e">
        <f t="shared" ref="R781:R844" si="62">VLOOKUP(P781,A:E,4,0)</f>
        <v>#N/A</v>
      </c>
      <c r="S781" s="9" t="e">
        <f t="shared" ref="S781:S844" si="63">VLOOKUP(P781,A:J,10,0)</f>
        <v>#N/A</v>
      </c>
      <c r="T781" s="3" t="e">
        <f t="shared" ref="T781:T844" si="64">VLOOKUP(P781,A:J,5,0)</f>
        <v>#N/A</v>
      </c>
    </row>
    <row r="782" spans="2:20" x14ac:dyDescent="0.35">
      <c r="B782" t="str">
        <f>IF(NOT(ISBLANK(A782)),VLOOKUP(A782,'BBT3'!A:F,2,0),"")</f>
        <v/>
      </c>
      <c r="C782" t="str">
        <f>IF(NOT(ISBLANK(A782)),VLOOKUP(A782,'BBT3'!A:F,3,0),"")</f>
        <v/>
      </c>
      <c r="D782" s="6" t="str">
        <f>IF(NOT(ISBLANK(A782)),VLOOKUP(A782,'BBT3'!A:F,4,1),"")</f>
        <v/>
      </c>
      <c r="E782" t="str">
        <f>IF(NOT(ISBLANK(A782)),VLOOKUP(A782,'BBT3'!A:F,5,0),"")</f>
        <v/>
      </c>
      <c r="F782" t="str">
        <f>IF(NOT(ISBLANK(A782)),VLOOKUP(A782,'BBT3'!A:F,6,0),"")</f>
        <v/>
      </c>
      <c r="G782" t="str">
        <f>IF(NOT(ISBLANK(A782)),VLOOKUP(A782,QW_Close!A:J,5,0),"")</f>
        <v/>
      </c>
      <c r="H782" s="5" t="str" cm="1">
        <f t="array" ref="H782">IF(NOT(ISBLANK(A782)),((_xlfn.XLOOKUP(1,(_bbt3[[#All],[ID]]=A782)*(_bbt3[[#All],[METRIC_NAME]]="YLD_YTM_ASK"),_bbt3[[#All],[METRIC_VALUE]])*0.5)+(_xlfn.XLOOKUP(1,(_bbt3[[#All],[ID]]=A782)*(_bbt3[[#All],[METRIC_NAME]]="YLD_YTM_BID"),_bbt3[[#All],[METRIC_VALUE]])*0.5))/100,"")</f>
        <v/>
      </c>
      <c r="I782">
        <f>IF(ISNA(VLOOKUP(A782,QW_CloseDL!A:E,5,0)),0,VLOOKUP(A782,QW_CloseDL!A:E,5,0))</f>
        <v>0</v>
      </c>
      <c r="J782" s="8" t="str">
        <f t="shared" si="60"/>
        <v/>
      </c>
      <c r="P782">
        <v>0</v>
      </c>
      <c r="Q782" t="e">
        <f t="shared" si="61"/>
        <v>#N/A</v>
      </c>
      <c r="R782" t="e">
        <f t="shared" si="62"/>
        <v>#N/A</v>
      </c>
      <c r="S782" s="9" t="e">
        <f t="shared" si="63"/>
        <v>#N/A</v>
      </c>
      <c r="T782" s="3" t="e">
        <f t="shared" si="64"/>
        <v>#N/A</v>
      </c>
    </row>
    <row r="783" spans="2:20" x14ac:dyDescent="0.35">
      <c r="B783" t="str">
        <f>IF(NOT(ISBLANK(A783)),VLOOKUP(A783,'BBT3'!A:F,2,0),"")</f>
        <v/>
      </c>
      <c r="C783" t="str">
        <f>IF(NOT(ISBLANK(A783)),VLOOKUP(A783,'BBT3'!A:F,3,0),"")</f>
        <v/>
      </c>
      <c r="D783" s="6" t="str">
        <f>IF(NOT(ISBLANK(A783)),VLOOKUP(A783,'BBT3'!A:F,4,1),"")</f>
        <v/>
      </c>
      <c r="E783" t="str">
        <f>IF(NOT(ISBLANK(A783)),VLOOKUP(A783,'BBT3'!A:F,5,0),"")</f>
        <v/>
      </c>
      <c r="F783" t="str">
        <f>IF(NOT(ISBLANK(A783)),VLOOKUP(A783,'BBT3'!A:F,6,0),"")</f>
        <v/>
      </c>
      <c r="G783" t="str">
        <f>IF(NOT(ISBLANK(A783)),VLOOKUP(A783,QW_Close!A:J,5,0),"")</f>
        <v/>
      </c>
      <c r="H783" s="5" t="str" cm="1">
        <f t="array" ref="H783">IF(NOT(ISBLANK(A783)),((_xlfn.XLOOKUP(1,(_bbt3[[#All],[ID]]=A783)*(_bbt3[[#All],[METRIC_NAME]]="YLD_YTM_ASK"),_bbt3[[#All],[METRIC_VALUE]])*0.5)+(_xlfn.XLOOKUP(1,(_bbt3[[#All],[ID]]=A783)*(_bbt3[[#All],[METRIC_NAME]]="YLD_YTM_BID"),_bbt3[[#All],[METRIC_VALUE]])*0.5))/100,"")</f>
        <v/>
      </c>
      <c r="I783">
        <f>IF(ISNA(VLOOKUP(A783,QW_CloseDL!A:E,5,0)),0,VLOOKUP(A783,QW_CloseDL!A:E,5,0))</f>
        <v>0</v>
      </c>
      <c r="J783" s="8" t="str">
        <f t="shared" si="60"/>
        <v/>
      </c>
      <c r="P783">
        <v>0</v>
      </c>
      <c r="Q783" t="e">
        <f t="shared" si="61"/>
        <v>#N/A</v>
      </c>
      <c r="R783" t="e">
        <f t="shared" si="62"/>
        <v>#N/A</v>
      </c>
      <c r="S783" s="9" t="e">
        <f t="shared" si="63"/>
        <v>#N/A</v>
      </c>
      <c r="T783" s="3" t="e">
        <f t="shared" si="64"/>
        <v>#N/A</v>
      </c>
    </row>
    <row r="784" spans="2:20" x14ac:dyDescent="0.35">
      <c r="B784" t="str">
        <f>IF(NOT(ISBLANK(A784)),VLOOKUP(A784,'BBT3'!A:F,2,0),"")</f>
        <v/>
      </c>
      <c r="C784" t="str">
        <f>IF(NOT(ISBLANK(A784)),VLOOKUP(A784,'BBT3'!A:F,3,0),"")</f>
        <v/>
      </c>
      <c r="D784" s="6" t="str">
        <f>IF(NOT(ISBLANK(A784)),VLOOKUP(A784,'BBT3'!A:F,4,1),"")</f>
        <v/>
      </c>
      <c r="E784" t="str">
        <f>IF(NOT(ISBLANK(A784)),VLOOKUP(A784,'BBT3'!A:F,5,0),"")</f>
        <v/>
      </c>
      <c r="F784" t="str">
        <f>IF(NOT(ISBLANK(A784)),VLOOKUP(A784,'BBT3'!A:F,6,0),"")</f>
        <v/>
      </c>
      <c r="G784" t="str">
        <f>IF(NOT(ISBLANK(A784)),VLOOKUP(A784,QW_Close!A:J,5,0),"")</f>
        <v/>
      </c>
      <c r="H784" s="5" t="str" cm="1">
        <f t="array" ref="H784">IF(NOT(ISBLANK(A784)),((_xlfn.XLOOKUP(1,(_bbt3[[#All],[ID]]=A784)*(_bbt3[[#All],[METRIC_NAME]]="YLD_YTM_ASK"),_bbt3[[#All],[METRIC_VALUE]])*0.5)+(_xlfn.XLOOKUP(1,(_bbt3[[#All],[ID]]=A784)*(_bbt3[[#All],[METRIC_NAME]]="YLD_YTM_BID"),_bbt3[[#All],[METRIC_VALUE]])*0.5))/100,"")</f>
        <v/>
      </c>
      <c r="I784">
        <f>IF(ISNA(VLOOKUP(A784,QW_CloseDL!A:E,5,0)),0,VLOOKUP(A784,QW_CloseDL!A:E,5,0))</f>
        <v>0</v>
      </c>
      <c r="J784" s="8" t="str">
        <f t="shared" si="60"/>
        <v/>
      </c>
      <c r="P784">
        <v>0</v>
      </c>
      <c r="Q784" t="e">
        <f t="shared" si="61"/>
        <v>#N/A</v>
      </c>
      <c r="R784" t="e">
        <f t="shared" si="62"/>
        <v>#N/A</v>
      </c>
      <c r="S784" s="9" t="e">
        <f t="shared" si="63"/>
        <v>#N/A</v>
      </c>
      <c r="T784" s="3" t="e">
        <f t="shared" si="64"/>
        <v>#N/A</v>
      </c>
    </row>
    <row r="785" spans="2:20" x14ac:dyDescent="0.35">
      <c r="B785" t="str">
        <f>IF(NOT(ISBLANK(A785)),VLOOKUP(A785,'BBT3'!A:F,2,0),"")</f>
        <v/>
      </c>
      <c r="C785" t="str">
        <f>IF(NOT(ISBLANK(A785)),VLOOKUP(A785,'BBT3'!A:F,3,0),"")</f>
        <v/>
      </c>
      <c r="D785" s="6" t="str">
        <f>IF(NOT(ISBLANK(A785)),VLOOKUP(A785,'BBT3'!A:F,4,1),"")</f>
        <v/>
      </c>
      <c r="E785" t="str">
        <f>IF(NOT(ISBLANK(A785)),VLOOKUP(A785,'BBT3'!A:F,5,0),"")</f>
        <v/>
      </c>
      <c r="F785" t="str">
        <f>IF(NOT(ISBLANK(A785)),VLOOKUP(A785,'BBT3'!A:F,6,0),"")</f>
        <v/>
      </c>
      <c r="G785" t="str">
        <f>IF(NOT(ISBLANK(A785)),VLOOKUP(A785,QW_Close!A:J,5,0),"")</f>
        <v/>
      </c>
      <c r="H785" s="5" t="str" cm="1">
        <f t="array" ref="H785">IF(NOT(ISBLANK(A785)),((_xlfn.XLOOKUP(1,(_bbt3[[#All],[ID]]=A785)*(_bbt3[[#All],[METRIC_NAME]]="YLD_YTM_ASK"),_bbt3[[#All],[METRIC_VALUE]])*0.5)+(_xlfn.XLOOKUP(1,(_bbt3[[#All],[ID]]=A785)*(_bbt3[[#All],[METRIC_NAME]]="YLD_YTM_BID"),_bbt3[[#All],[METRIC_VALUE]])*0.5))/100,"")</f>
        <v/>
      </c>
      <c r="I785">
        <f>IF(ISNA(VLOOKUP(A785,QW_CloseDL!A:E,5,0)),0,VLOOKUP(A785,QW_CloseDL!A:E,5,0))</f>
        <v>0</v>
      </c>
      <c r="J785" s="8" t="str">
        <f t="shared" si="60"/>
        <v/>
      </c>
      <c r="P785">
        <v>0</v>
      </c>
      <c r="Q785" t="e">
        <f t="shared" si="61"/>
        <v>#N/A</v>
      </c>
      <c r="R785" t="e">
        <f t="shared" si="62"/>
        <v>#N/A</v>
      </c>
      <c r="S785" s="9" t="e">
        <f t="shared" si="63"/>
        <v>#N/A</v>
      </c>
      <c r="T785" s="3" t="e">
        <f t="shared" si="64"/>
        <v>#N/A</v>
      </c>
    </row>
    <row r="786" spans="2:20" x14ac:dyDescent="0.35">
      <c r="B786" t="str">
        <f>IF(NOT(ISBLANK(A786)),VLOOKUP(A786,'BBT3'!A:F,2,0),"")</f>
        <v/>
      </c>
      <c r="C786" t="str">
        <f>IF(NOT(ISBLANK(A786)),VLOOKUP(A786,'BBT3'!A:F,3,0),"")</f>
        <v/>
      </c>
      <c r="D786" s="6" t="str">
        <f>IF(NOT(ISBLANK(A786)),VLOOKUP(A786,'BBT3'!A:F,4,1),"")</f>
        <v/>
      </c>
      <c r="E786" t="str">
        <f>IF(NOT(ISBLANK(A786)),VLOOKUP(A786,'BBT3'!A:F,5,0),"")</f>
        <v/>
      </c>
      <c r="F786" t="str">
        <f>IF(NOT(ISBLANK(A786)),VLOOKUP(A786,'BBT3'!A:F,6,0),"")</f>
        <v/>
      </c>
      <c r="G786" t="str">
        <f>IF(NOT(ISBLANK(A786)),VLOOKUP(A786,QW_Close!A:J,5,0),"")</f>
        <v/>
      </c>
      <c r="H786" s="5" t="str" cm="1">
        <f t="array" ref="H786">IF(NOT(ISBLANK(A786)),((_xlfn.XLOOKUP(1,(_bbt3[[#All],[ID]]=A786)*(_bbt3[[#All],[METRIC_NAME]]="YLD_YTM_ASK"),_bbt3[[#All],[METRIC_VALUE]])*0.5)+(_xlfn.XLOOKUP(1,(_bbt3[[#All],[ID]]=A786)*(_bbt3[[#All],[METRIC_NAME]]="YLD_YTM_BID"),_bbt3[[#All],[METRIC_VALUE]])*0.5))/100,"")</f>
        <v/>
      </c>
      <c r="I786">
        <f>IF(ISNA(VLOOKUP(A786,QW_CloseDL!A:E,5,0)),0,VLOOKUP(A786,QW_CloseDL!A:E,5,0))</f>
        <v>0</v>
      </c>
      <c r="J786" s="8" t="str">
        <f t="shared" si="60"/>
        <v/>
      </c>
      <c r="P786">
        <v>0</v>
      </c>
      <c r="Q786" t="e">
        <f t="shared" si="61"/>
        <v>#N/A</v>
      </c>
      <c r="R786" t="e">
        <f t="shared" si="62"/>
        <v>#N/A</v>
      </c>
      <c r="S786" s="9" t="e">
        <f t="shared" si="63"/>
        <v>#N/A</v>
      </c>
      <c r="T786" s="3" t="e">
        <f t="shared" si="64"/>
        <v>#N/A</v>
      </c>
    </row>
    <row r="787" spans="2:20" x14ac:dyDescent="0.35">
      <c r="B787" t="str">
        <f>IF(NOT(ISBLANK(A787)),VLOOKUP(A787,'BBT3'!A:F,2,0),"")</f>
        <v/>
      </c>
      <c r="C787" t="str">
        <f>IF(NOT(ISBLANK(A787)),VLOOKUP(A787,'BBT3'!A:F,3,0),"")</f>
        <v/>
      </c>
      <c r="D787" s="6" t="str">
        <f>IF(NOT(ISBLANK(A787)),VLOOKUP(A787,'BBT3'!A:F,4,1),"")</f>
        <v/>
      </c>
      <c r="E787" t="str">
        <f>IF(NOT(ISBLANK(A787)),VLOOKUP(A787,'BBT3'!A:F,5,0),"")</f>
        <v/>
      </c>
      <c r="F787" t="str">
        <f>IF(NOT(ISBLANK(A787)),VLOOKUP(A787,'BBT3'!A:F,6,0),"")</f>
        <v/>
      </c>
      <c r="G787" t="str">
        <f>IF(NOT(ISBLANK(A787)),VLOOKUP(A787,QW_Close!A:J,5,0),"")</f>
        <v/>
      </c>
      <c r="H787" s="5" t="str" cm="1">
        <f t="array" ref="H787">IF(NOT(ISBLANK(A787)),((_xlfn.XLOOKUP(1,(_bbt3[[#All],[ID]]=A787)*(_bbt3[[#All],[METRIC_NAME]]="YLD_YTM_ASK"),_bbt3[[#All],[METRIC_VALUE]])*0.5)+(_xlfn.XLOOKUP(1,(_bbt3[[#All],[ID]]=A787)*(_bbt3[[#All],[METRIC_NAME]]="YLD_YTM_BID"),_bbt3[[#All],[METRIC_VALUE]])*0.5))/100,"")</f>
        <v/>
      </c>
      <c r="I787">
        <f>IF(ISNA(VLOOKUP(A787,QW_CloseDL!A:E,5,0)),0,VLOOKUP(A787,QW_CloseDL!A:E,5,0))</f>
        <v>0</v>
      </c>
      <c r="J787" s="8" t="str">
        <f t="shared" si="60"/>
        <v/>
      </c>
      <c r="P787">
        <v>0</v>
      </c>
      <c r="Q787" t="e">
        <f t="shared" si="61"/>
        <v>#N/A</v>
      </c>
      <c r="R787" t="e">
        <f t="shared" si="62"/>
        <v>#N/A</v>
      </c>
      <c r="S787" s="9" t="e">
        <f t="shared" si="63"/>
        <v>#N/A</v>
      </c>
      <c r="T787" s="3" t="e">
        <f t="shared" si="64"/>
        <v>#N/A</v>
      </c>
    </row>
    <row r="788" spans="2:20" x14ac:dyDescent="0.35">
      <c r="B788" t="str">
        <f>IF(NOT(ISBLANK(A788)),VLOOKUP(A788,'BBT3'!A:F,2,0),"")</f>
        <v/>
      </c>
      <c r="C788" t="str">
        <f>IF(NOT(ISBLANK(A788)),VLOOKUP(A788,'BBT3'!A:F,3,0),"")</f>
        <v/>
      </c>
      <c r="D788" s="6" t="str">
        <f>IF(NOT(ISBLANK(A788)),VLOOKUP(A788,'BBT3'!A:F,4,1),"")</f>
        <v/>
      </c>
      <c r="E788" t="str">
        <f>IF(NOT(ISBLANK(A788)),VLOOKUP(A788,'BBT3'!A:F,5,0),"")</f>
        <v/>
      </c>
      <c r="F788" t="str">
        <f>IF(NOT(ISBLANK(A788)),VLOOKUP(A788,'BBT3'!A:F,6,0),"")</f>
        <v/>
      </c>
      <c r="G788" t="str">
        <f>IF(NOT(ISBLANK(A788)),VLOOKUP(A788,QW_Close!A:J,5,0),"")</f>
        <v/>
      </c>
      <c r="H788" s="5" t="str" cm="1">
        <f t="array" ref="H788">IF(NOT(ISBLANK(A788)),((_xlfn.XLOOKUP(1,(_bbt3[[#All],[ID]]=A788)*(_bbt3[[#All],[METRIC_NAME]]="YLD_YTM_ASK"),_bbt3[[#All],[METRIC_VALUE]])*0.5)+(_xlfn.XLOOKUP(1,(_bbt3[[#All],[ID]]=A788)*(_bbt3[[#All],[METRIC_NAME]]="YLD_YTM_BID"),_bbt3[[#All],[METRIC_VALUE]])*0.5))/100,"")</f>
        <v/>
      </c>
      <c r="I788">
        <f>IF(ISNA(VLOOKUP(A788,QW_CloseDL!A:E,5,0)),0,VLOOKUP(A788,QW_CloseDL!A:E,5,0))</f>
        <v>0</v>
      </c>
      <c r="J788" s="8" t="str">
        <f t="shared" si="60"/>
        <v/>
      </c>
      <c r="P788">
        <v>0</v>
      </c>
      <c r="Q788" t="e">
        <f t="shared" si="61"/>
        <v>#N/A</v>
      </c>
      <c r="R788" t="e">
        <f t="shared" si="62"/>
        <v>#N/A</v>
      </c>
      <c r="S788" s="9" t="e">
        <f t="shared" si="63"/>
        <v>#N/A</v>
      </c>
      <c r="T788" s="3" t="e">
        <f t="shared" si="64"/>
        <v>#N/A</v>
      </c>
    </row>
    <row r="789" spans="2:20" x14ac:dyDescent="0.35">
      <c r="B789" t="str">
        <f>IF(NOT(ISBLANK(A789)),VLOOKUP(A789,'BBT3'!A:F,2,0),"")</f>
        <v/>
      </c>
      <c r="C789" t="str">
        <f>IF(NOT(ISBLANK(A789)),VLOOKUP(A789,'BBT3'!A:F,3,0),"")</f>
        <v/>
      </c>
      <c r="D789" s="6" t="str">
        <f>IF(NOT(ISBLANK(A789)),VLOOKUP(A789,'BBT3'!A:F,4,1),"")</f>
        <v/>
      </c>
      <c r="E789" t="str">
        <f>IF(NOT(ISBLANK(A789)),VLOOKUP(A789,'BBT3'!A:F,5,0),"")</f>
        <v/>
      </c>
      <c r="F789" t="str">
        <f>IF(NOT(ISBLANK(A789)),VLOOKUP(A789,'BBT3'!A:F,6,0),"")</f>
        <v/>
      </c>
      <c r="G789" t="str">
        <f>IF(NOT(ISBLANK(A789)),VLOOKUP(A789,QW_Close!A:J,5,0),"")</f>
        <v/>
      </c>
      <c r="H789" s="5" t="str" cm="1">
        <f t="array" ref="H789">IF(NOT(ISBLANK(A789)),((_xlfn.XLOOKUP(1,(_bbt3[[#All],[ID]]=A789)*(_bbt3[[#All],[METRIC_NAME]]="YLD_YTM_ASK"),_bbt3[[#All],[METRIC_VALUE]])*0.5)+(_xlfn.XLOOKUP(1,(_bbt3[[#All],[ID]]=A789)*(_bbt3[[#All],[METRIC_NAME]]="YLD_YTM_BID"),_bbt3[[#All],[METRIC_VALUE]])*0.5))/100,"")</f>
        <v/>
      </c>
      <c r="I789">
        <f>IF(ISNA(VLOOKUP(A789,QW_CloseDL!A:E,5,0)),0,VLOOKUP(A789,QW_CloseDL!A:E,5,0))</f>
        <v>0</v>
      </c>
      <c r="J789" s="8" t="str">
        <f t="shared" si="60"/>
        <v/>
      </c>
      <c r="P789">
        <v>0</v>
      </c>
      <c r="Q789" t="e">
        <f t="shared" si="61"/>
        <v>#N/A</v>
      </c>
      <c r="R789" t="e">
        <f t="shared" si="62"/>
        <v>#N/A</v>
      </c>
      <c r="S789" s="9" t="e">
        <f t="shared" si="63"/>
        <v>#N/A</v>
      </c>
      <c r="T789" s="3" t="e">
        <f t="shared" si="64"/>
        <v>#N/A</v>
      </c>
    </row>
    <row r="790" spans="2:20" x14ac:dyDescent="0.35">
      <c r="B790" t="str">
        <f>IF(NOT(ISBLANK(A790)),VLOOKUP(A790,'BBT3'!A:F,2,0),"")</f>
        <v/>
      </c>
      <c r="C790" t="str">
        <f>IF(NOT(ISBLANK(A790)),VLOOKUP(A790,'BBT3'!A:F,3,0),"")</f>
        <v/>
      </c>
      <c r="D790" s="6" t="str">
        <f>IF(NOT(ISBLANK(A790)),VLOOKUP(A790,'BBT3'!A:F,4,1),"")</f>
        <v/>
      </c>
      <c r="E790" t="str">
        <f>IF(NOT(ISBLANK(A790)),VLOOKUP(A790,'BBT3'!A:F,5,0),"")</f>
        <v/>
      </c>
      <c r="F790" t="str">
        <f>IF(NOT(ISBLANK(A790)),VLOOKUP(A790,'BBT3'!A:F,6,0),"")</f>
        <v/>
      </c>
      <c r="G790" t="str">
        <f>IF(NOT(ISBLANK(A790)),VLOOKUP(A790,QW_Close!A:J,5,0),"")</f>
        <v/>
      </c>
      <c r="H790" s="5" t="str" cm="1">
        <f t="array" ref="H790">IF(NOT(ISBLANK(A790)),((_xlfn.XLOOKUP(1,(_bbt3[[#All],[ID]]=A790)*(_bbt3[[#All],[METRIC_NAME]]="YLD_YTM_ASK"),_bbt3[[#All],[METRIC_VALUE]])*0.5)+(_xlfn.XLOOKUP(1,(_bbt3[[#All],[ID]]=A790)*(_bbt3[[#All],[METRIC_NAME]]="YLD_YTM_BID"),_bbt3[[#All],[METRIC_VALUE]])*0.5))/100,"")</f>
        <v/>
      </c>
      <c r="I790">
        <f>IF(ISNA(VLOOKUP(A790,QW_CloseDL!A:E,5,0)),0,VLOOKUP(A790,QW_CloseDL!A:E,5,0))</f>
        <v>0</v>
      </c>
      <c r="J790" s="8" t="str">
        <f t="shared" si="60"/>
        <v/>
      </c>
      <c r="P790">
        <v>0</v>
      </c>
      <c r="Q790" t="e">
        <f t="shared" si="61"/>
        <v>#N/A</v>
      </c>
      <c r="R790" t="e">
        <f t="shared" si="62"/>
        <v>#N/A</v>
      </c>
      <c r="S790" s="9" t="e">
        <f t="shared" si="63"/>
        <v>#N/A</v>
      </c>
      <c r="T790" s="3" t="e">
        <f t="shared" si="64"/>
        <v>#N/A</v>
      </c>
    </row>
    <row r="791" spans="2:20" x14ac:dyDescent="0.35">
      <c r="B791" t="str">
        <f>IF(NOT(ISBLANK(A791)),VLOOKUP(A791,'BBT3'!A:F,2,0),"")</f>
        <v/>
      </c>
      <c r="C791" t="str">
        <f>IF(NOT(ISBLANK(A791)),VLOOKUP(A791,'BBT3'!A:F,3,0),"")</f>
        <v/>
      </c>
      <c r="D791" s="6" t="str">
        <f>IF(NOT(ISBLANK(A791)),VLOOKUP(A791,'BBT3'!A:F,4,1),"")</f>
        <v/>
      </c>
      <c r="E791" t="str">
        <f>IF(NOT(ISBLANK(A791)),VLOOKUP(A791,'BBT3'!A:F,5,0),"")</f>
        <v/>
      </c>
      <c r="F791" t="str">
        <f>IF(NOT(ISBLANK(A791)),VLOOKUP(A791,'BBT3'!A:F,6,0),"")</f>
        <v/>
      </c>
      <c r="G791" t="str">
        <f>IF(NOT(ISBLANK(A791)),VLOOKUP(A791,QW_Close!A:J,5,0),"")</f>
        <v/>
      </c>
      <c r="H791" s="5" t="str" cm="1">
        <f t="array" ref="H791">IF(NOT(ISBLANK(A791)),((_xlfn.XLOOKUP(1,(_bbt3[[#All],[ID]]=A791)*(_bbt3[[#All],[METRIC_NAME]]="YLD_YTM_ASK"),_bbt3[[#All],[METRIC_VALUE]])*0.5)+(_xlfn.XLOOKUP(1,(_bbt3[[#All],[ID]]=A791)*(_bbt3[[#All],[METRIC_NAME]]="YLD_YTM_BID"),_bbt3[[#All],[METRIC_VALUE]])*0.5))/100,"")</f>
        <v/>
      </c>
      <c r="I791">
        <f>IF(ISNA(VLOOKUP(A791,QW_CloseDL!A:E,5,0)),0,VLOOKUP(A791,QW_CloseDL!A:E,5,0))</f>
        <v>0</v>
      </c>
      <c r="J791" s="8" t="str">
        <f t="shared" si="60"/>
        <v/>
      </c>
      <c r="P791">
        <v>0</v>
      </c>
      <c r="Q791" t="e">
        <f t="shared" si="61"/>
        <v>#N/A</v>
      </c>
      <c r="R791" t="e">
        <f t="shared" si="62"/>
        <v>#N/A</v>
      </c>
      <c r="S791" s="9" t="e">
        <f t="shared" si="63"/>
        <v>#N/A</v>
      </c>
      <c r="T791" s="3" t="e">
        <f t="shared" si="64"/>
        <v>#N/A</v>
      </c>
    </row>
    <row r="792" spans="2:20" x14ac:dyDescent="0.35">
      <c r="B792" t="str">
        <f>IF(NOT(ISBLANK(A792)),VLOOKUP(A792,'BBT3'!A:F,2,0),"")</f>
        <v/>
      </c>
      <c r="C792" t="str">
        <f>IF(NOT(ISBLANK(A792)),VLOOKUP(A792,'BBT3'!A:F,3,0),"")</f>
        <v/>
      </c>
      <c r="D792" s="6" t="str">
        <f>IF(NOT(ISBLANK(A792)),VLOOKUP(A792,'BBT3'!A:F,4,1),"")</f>
        <v/>
      </c>
      <c r="E792" t="str">
        <f>IF(NOT(ISBLANK(A792)),VLOOKUP(A792,'BBT3'!A:F,5,0),"")</f>
        <v/>
      </c>
      <c r="F792" t="str">
        <f>IF(NOT(ISBLANK(A792)),VLOOKUP(A792,'BBT3'!A:F,6,0),"")</f>
        <v/>
      </c>
      <c r="G792" t="str">
        <f>IF(NOT(ISBLANK(A792)),VLOOKUP(A792,QW_Close!A:J,5,0),"")</f>
        <v/>
      </c>
      <c r="H792" s="5" t="str" cm="1">
        <f t="array" ref="H792">IF(NOT(ISBLANK(A792)),((_xlfn.XLOOKUP(1,(_bbt3[[#All],[ID]]=A792)*(_bbt3[[#All],[METRIC_NAME]]="YLD_YTM_ASK"),_bbt3[[#All],[METRIC_VALUE]])*0.5)+(_xlfn.XLOOKUP(1,(_bbt3[[#All],[ID]]=A792)*(_bbt3[[#All],[METRIC_NAME]]="YLD_YTM_BID"),_bbt3[[#All],[METRIC_VALUE]])*0.5))/100,"")</f>
        <v/>
      </c>
      <c r="I792">
        <f>IF(ISNA(VLOOKUP(A792,QW_CloseDL!A:E,5,0)),0,VLOOKUP(A792,QW_CloseDL!A:E,5,0))</f>
        <v>0</v>
      </c>
      <c r="J792" s="8" t="str">
        <f t="shared" si="60"/>
        <v/>
      </c>
      <c r="P792">
        <v>0</v>
      </c>
      <c r="Q792" t="e">
        <f t="shared" si="61"/>
        <v>#N/A</v>
      </c>
      <c r="R792" t="e">
        <f t="shared" si="62"/>
        <v>#N/A</v>
      </c>
      <c r="S792" s="9" t="e">
        <f t="shared" si="63"/>
        <v>#N/A</v>
      </c>
      <c r="T792" s="3" t="e">
        <f t="shared" si="64"/>
        <v>#N/A</v>
      </c>
    </row>
    <row r="793" spans="2:20" x14ac:dyDescent="0.35">
      <c r="B793" t="str">
        <f>IF(NOT(ISBLANK(A793)),VLOOKUP(A793,'BBT3'!A:F,2,0),"")</f>
        <v/>
      </c>
      <c r="C793" t="str">
        <f>IF(NOT(ISBLANK(A793)),VLOOKUP(A793,'BBT3'!A:F,3,0),"")</f>
        <v/>
      </c>
      <c r="D793" s="6" t="str">
        <f>IF(NOT(ISBLANK(A793)),VLOOKUP(A793,'BBT3'!A:F,4,1),"")</f>
        <v/>
      </c>
      <c r="E793" t="str">
        <f>IF(NOT(ISBLANK(A793)),VLOOKUP(A793,'BBT3'!A:F,5,0),"")</f>
        <v/>
      </c>
      <c r="F793" t="str">
        <f>IF(NOT(ISBLANK(A793)),VLOOKUP(A793,'BBT3'!A:F,6,0),"")</f>
        <v/>
      </c>
      <c r="G793" t="str">
        <f>IF(NOT(ISBLANK(A793)),VLOOKUP(A793,QW_Close!A:J,5,0),"")</f>
        <v/>
      </c>
      <c r="H793" s="5" t="str" cm="1">
        <f t="array" ref="H793">IF(NOT(ISBLANK(A793)),((_xlfn.XLOOKUP(1,(_bbt3[[#All],[ID]]=A793)*(_bbt3[[#All],[METRIC_NAME]]="YLD_YTM_ASK"),_bbt3[[#All],[METRIC_VALUE]])*0.5)+(_xlfn.XLOOKUP(1,(_bbt3[[#All],[ID]]=A793)*(_bbt3[[#All],[METRIC_NAME]]="YLD_YTM_BID"),_bbt3[[#All],[METRIC_VALUE]])*0.5))/100,"")</f>
        <v/>
      </c>
      <c r="I793">
        <f>IF(ISNA(VLOOKUP(A793,QW_CloseDL!A:E,5,0)),0,VLOOKUP(A793,QW_CloseDL!A:E,5,0))</f>
        <v>0</v>
      </c>
      <c r="J793" s="8" t="str">
        <f t="shared" si="60"/>
        <v/>
      </c>
      <c r="P793">
        <v>0</v>
      </c>
      <c r="Q793" t="e">
        <f t="shared" si="61"/>
        <v>#N/A</v>
      </c>
      <c r="R793" t="e">
        <f t="shared" si="62"/>
        <v>#N/A</v>
      </c>
      <c r="S793" s="9" t="e">
        <f t="shared" si="63"/>
        <v>#N/A</v>
      </c>
      <c r="T793" s="3" t="e">
        <f t="shared" si="64"/>
        <v>#N/A</v>
      </c>
    </row>
    <row r="794" spans="2:20" x14ac:dyDescent="0.35">
      <c r="B794" t="str">
        <f>IF(NOT(ISBLANK(A794)),VLOOKUP(A794,'BBT3'!A:F,2,0),"")</f>
        <v/>
      </c>
      <c r="C794" t="str">
        <f>IF(NOT(ISBLANK(A794)),VLOOKUP(A794,'BBT3'!A:F,3,0),"")</f>
        <v/>
      </c>
      <c r="D794" s="6" t="str">
        <f>IF(NOT(ISBLANK(A794)),VLOOKUP(A794,'BBT3'!A:F,4,1),"")</f>
        <v/>
      </c>
      <c r="E794" t="str">
        <f>IF(NOT(ISBLANK(A794)),VLOOKUP(A794,'BBT3'!A:F,5,0),"")</f>
        <v/>
      </c>
      <c r="F794" t="str">
        <f>IF(NOT(ISBLANK(A794)),VLOOKUP(A794,'BBT3'!A:F,6,0),"")</f>
        <v/>
      </c>
      <c r="G794" t="str">
        <f>IF(NOT(ISBLANK(A794)),VLOOKUP(A794,QW_Close!A:J,5,0),"")</f>
        <v/>
      </c>
      <c r="H794" s="5" t="str" cm="1">
        <f t="array" ref="H794">IF(NOT(ISBLANK(A794)),((_xlfn.XLOOKUP(1,(_bbt3[[#All],[ID]]=A794)*(_bbt3[[#All],[METRIC_NAME]]="YLD_YTM_ASK"),_bbt3[[#All],[METRIC_VALUE]])*0.5)+(_xlfn.XLOOKUP(1,(_bbt3[[#All],[ID]]=A794)*(_bbt3[[#All],[METRIC_NAME]]="YLD_YTM_BID"),_bbt3[[#All],[METRIC_VALUE]])*0.5))/100,"")</f>
        <v/>
      </c>
      <c r="I794">
        <f>IF(ISNA(VLOOKUP(A794,QW_CloseDL!A:E,5,0)),0,VLOOKUP(A794,QW_CloseDL!A:E,5,0))</f>
        <v>0</v>
      </c>
      <c r="J794" s="8" t="str">
        <f t="shared" si="60"/>
        <v/>
      </c>
      <c r="P794">
        <v>0</v>
      </c>
      <c r="Q794" t="e">
        <f t="shared" si="61"/>
        <v>#N/A</v>
      </c>
      <c r="R794" t="e">
        <f t="shared" si="62"/>
        <v>#N/A</v>
      </c>
      <c r="S794" s="9" t="e">
        <f t="shared" si="63"/>
        <v>#N/A</v>
      </c>
      <c r="T794" s="3" t="e">
        <f t="shared" si="64"/>
        <v>#N/A</v>
      </c>
    </row>
    <row r="795" spans="2:20" x14ac:dyDescent="0.35">
      <c r="B795" t="str">
        <f>IF(NOT(ISBLANK(A795)),VLOOKUP(A795,'BBT3'!A:F,2,0),"")</f>
        <v/>
      </c>
      <c r="C795" t="str">
        <f>IF(NOT(ISBLANK(A795)),VLOOKUP(A795,'BBT3'!A:F,3,0),"")</f>
        <v/>
      </c>
      <c r="D795" s="6" t="str">
        <f>IF(NOT(ISBLANK(A795)),VLOOKUP(A795,'BBT3'!A:F,4,1),"")</f>
        <v/>
      </c>
      <c r="E795" t="str">
        <f>IF(NOT(ISBLANK(A795)),VLOOKUP(A795,'BBT3'!A:F,5,0),"")</f>
        <v/>
      </c>
      <c r="F795" t="str">
        <f>IF(NOT(ISBLANK(A795)),VLOOKUP(A795,'BBT3'!A:F,6,0),"")</f>
        <v/>
      </c>
      <c r="G795" t="str">
        <f>IF(NOT(ISBLANK(A795)),VLOOKUP(A795,QW_Close!A:J,5,0),"")</f>
        <v/>
      </c>
      <c r="H795" s="5" t="str" cm="1">
        <f t="array" ref="H795">IF(NOT(ISBLANK(A795)),((_xlfn.XLOOKUP(1,(_bbt3[[#All],[ID]]=A795)*(_bbt3[[#All],[METRIC_NAME]]="YLD_YTM_ASK"),_bbt3[[#All],[METRIC_VALUE]])*0.5)+(_xlfn.XLOOKUP(1,(_bbt3[[#All],[ID]]=A795)*(_bbt3[[#All],[METRIC_NAME]]="YLD_YTM_BID"),_bbt3[[#All],[METRIC_VALUE]])*0.5))/100,"")</f>
        <v/>
      </c>
      <c r="I795">
        <f>IF(ISNA(VLOOKUP(A795,QW_CloseDL!A:E,5,0)),0,VLOOKUP(A795,QW_CloseDL!A:E,5,0))</f>
        <v>0</v>
      </c>
      <c r="J795" s="8" t="str">
        <f t="shared" si="60"/>
        <v/>
      </c>
      <c r="P795">
        <v>0</v>
      </c>
      <c r="Q795" t="e">
        <f t="shared" si="61"/>
        <v>#N/A</v>
      </c>
      <c r="R795" t="e">
        <f t="shared" si="62"/>
        <v>#N/A</v>
      </c>
      <c r="S795" s="9" t="e">
        <f t="shared" si="63"/>
        <v>#N/A</v>
      </c>
      <c r="T795" s="3" t="e">
        <f t="shared" si="64"/>
        <v>#N/A</v>
      </c>
    </row>
    <row r="796" spans="2:20" x14ac:dyDescent="0.35">
      <c r="B796" t="str">
        <f>IF(NOT(ISBLANK(A796)),VLOOKUP(A796,'BBT3'!A:F,2,0),"")</f>
        <v/>
      </c>
      <c r="C796" t="str">
        <f>IF(NOT(ISBLANK(A796)),VLOOKUP(A796,'BBT3'!A:F,3,0),"")</f>
        <v/>
      </c>
      <c r="D796" s="6" t="str">
        <f>IF(NOT(ISBLANK(A796)),VLOOKUP(A796,'BBT3'!A:F,4,1),"")</f>
        <v/>
      </c>
      <c r="E796" t="str">
        <f>IF(NOT(ISBLANK(A796)),VLOOKUP(A796,'BBT3'!A:F,5,0),"")</f>
        <v/>
      </c>
      <c r="F796" t="str">
        <f>IF(NOT(ISBLANK(A796)),VLOOKUP(A796,'BBT3'!A:F,6,0),"")</f>
        <v/>
      </c>
      <c r="G796" t="str">
        <f>IF(NOT(ISBLANK(A796)),VLOOKUP(A796,QW_Close!A:J,5,0),"")</f>
        <v/>
      </c>
      <c r="H796" s="5" t="str" cm="1">
        <f t="array" ref="H796">IF(NOT(ISBLANK(A796)),((_xlfn.XLOOKUP(1,(_bbt3[[#All],[ID]]=A796)*(_bbt3[[#All],[METRIC_NAME]]="YLD_YTM_ASK"),_bbt3[[#All],[METRIC_VALUE]])*0.5)+(_xlfn.XLOOKUP(1,(_bbt3[[#All],[ID]]=A796)*(_bbt3[[#All],[METRIC_NAME]]="YLD_YTM_BID"),_bbt3[[#All],[METRIC_VALUE]])*0.5))/100,"")</f>
        <v/>
      </c>
      <c r="I796">
        <f>IF(ISNA(VLOOKUP(A796,QW_CloseDL!A:E,5,0)),0,VLOOKUP(A796,QW_CloseDL!A:E,5,0))</f>
        <v>0</v>
      </c>
      <c r="J796" s="8" t="str">
        <f t="shared" si="60"/>
        <v/>
      </c>
      <c r="P796">
        <v>0</v>
      </c>
      <c r="Q796" t="e">
        <f t="shared" si="61"/>
        <v>#N/A</v>
      </c>
      <c r="R796" t="e">
        <f t="shared" si="62"/>
        <v>#N/A</v>
      </c>
      <c r="S796" s="9" t="e">
        <f t="shared" si="63"/>
        <v>#N/A</v>
      </c>
      <c r="T796" s="3" t="e">
        <f t="shared" si="64"/>
        <v>#N/A</v>
      </c>
    </row>
    <row r="797" spans="2:20" x14ac:dyDescent="0.35">
      <c r="B797" t="str">
        <f>IF(NOT(ISBLANK(A797)),VLOOKUP(A797,'BBT3'!A:F,2,0),"")</f>
        <v/>
      </c>
      <c r="C797" t="str">
        <f>IF(NOT(ISBLANK(A797)),VLOOKUP(A797,'BBT3'!A:F,3,0),"")</f>
        <v/>
      </c>
      <c r="D797" s="6" t="str">
        <f>IF(NOT(ISBLANK(A797)),VLOOKUP(A797,'BBT3'!A:F,4,1),"")</f>
        <v/>
      </c>
      <c r="E797" t="str">
        <f>IF(NOT(ISBLANK(A797)),VLOOKUP(A797,'BBT3'!A:F,5,0),"")</f>
        <v/>
      </c>
      <c r="F797" t="str">
        <f>IF(NOT(ISBLANK(A797)),VLOOKUP(A797,'BBT3'!A:F,6,0),"")</f>
        <v/>
      </c>
      <c r="G797" t="str">
        <f>IF(NOT(ISBLANK(A797)),VLOOKUP(A797,QW_Close!A:J,5,0),"")</f>
        <v/>
      </c>
      <c r="H797" s="5" t="str" cm="1">
        <f t="array" ref="H797">IF(NOT(ISBLANK(A797)),((_xlfn.XLOOKUP(1,(_bbt3[[#All],[ID]]=A797)*(_bbt3[[#All],[METRIC_NAME]]="YLD_YTM_ASK"),_bbt3[[#All],[METRIC_VALUE]])*0.5)+(_xlfn.XLOOKUP(1,(_bbt3[[#All],[ID]]=A797)*(_bbt3[[#All],[METRIC_NAME]]="YLD_YTM_BID"),_bbt3[[#All],[METRIC_VALUE]])*0.5))/100,"")</f>
        <v/>
      </c>
      <c r="I797">
        <f>IF(ISNA(VLOOKUP(A797,QW_CloseDL!A:E,5,0)),0,VLOOKUP(A797,QW_CloseDL!A:E,5,0))</f>
        <v>0</v>
      </c>
      <c r="J797" s="8" t="str">
        <f t="shared" si="60"/>
        <v/>
      </c>
      <c r="P797">
        <v>0</v>
      </c>
      <c r="Q797" t="e">
        <f t="shared" si="61"/>
        <v>#N/A</v>
      </c>
      <c r="R797" t="e">
        <f t="shared" si="62"/>
        <v>#N/A</v>
      </c>
      <c r="S797" s="9" t="e">
        <f t="shared" si="63"/>
        <v>#N/A</v>
      </c>
      <c r="T797" s="3" t="e">
        <f t="shared" si="64"/>
        <v>#N/A</v>
      </c>
    </row>
    <row r="798" spans="2:20" x14ac:dyDescent="0.35">
      <c r="B798" t="str">
        <f>IF(NOT(ISBLANK(A798)),VLOOKUP(A798,'BBT3'!A:F,2,0),"")</f>
        <v/>
      </c>
      <c r="C798" t="str">
        <f>IF(NOT(ISBLANK(A798)),VLOOKUP(A798,'BBT3'!A:F,3,0),"")</f>
        <v/>
      </c>
      <c r="D798" s="6" t="str">
        <f>IF(NOT(ISBLANK(A798)),VLOOKUP(A798,'BBT3'!A:F,4,1),"")</f>
        <v/>
      </c>
      <c r="E798" t="str">
        <f>IF(NOT(ISBLANK(A798)),VLOOKUP(A798,'BBT3'!A:F,5,0),"")</f>
        <v/>
      </c>
      <c r="F798" t="str">
        <f>IF(NOT(ISBLANK(A798)),VLOOKUP(A798,'BBT3'!A:F,6,0),"")</f>
        <v/>
      </c>
      <c r="G798" t="str">
        <f>IF(NOT(ISBLANK(A798)),VLOOKUP(A798,QW_Close!A:J,5,0),"")</f>
        <v/>
      </c>
      <c r="H798" s="5" t="str" cm="1">
        <f t="array" ref="H798">IF(NOT(ISBLANK(A798)),((_xlfn.XLOOKUP(1,(_bbt3[[#All],[ID]]=A798)*(_bbt3[[#All],[METRIC_NAME]]="YLD_YTM_ASK"),_bbt3[[#All],[METRIC_VALUE]])*0.5)+(_xlfn.XLOOKUP(1,(_bbt3[[#All],[ID]]=A798)*(_bbt3[[#All],[METRIC_NAME]]="YLD_YTM_BID"),_bbt3[[#All],[METRIC_VALUE]])*0.5))/100,"")</f>
        <v/>
      </c>
      <c r="I798">
        <f>IF(ISNA(VLOOKUP(A798,QW_CloseDL!A:E,5,0)),0,VLOOKUP(A798,QW_CloseDL!A:E,5,0))</f>
        <v>0</v>
      </c>
      <c r="J798" s="8" t="str">
        <f t="shared" si="60"/>
        <v/>
      </c>
      <c r="P798">
        <v>0</v>
      </c>
      <c r="Q798" t="e">
        <f t="shared" si="61"/>
        <v>#N/A</v>
      </c>
      <c r="R798" t="e">
        <f t="shared" si="62"/>
        <v>#N/A</v>
      </c>
      <c r="S798" s="9" t="e">
        <f t="shared" si="63"/>
        <v>#N/A</v>
      </c>
      <c r="T798" s="3" t="e">
        <f t="shared" si="64"/>
        <v>#N/A</v>
      </c>
    </row>
    <row r="799" spans="2:20" x14ac:dyDescent="0.35">
      <c r="B799" t="str">
        <f>IF(NOT(ISBLANK(A799)),VLOOKUP(A799,'BBT3'!A:F,2,0),"")</f>
        <v/>
      </c>
      <c r="C799" t="str">
        <f>IF(NOT(ISBLANK(A799)),VLOOKUP(A799,'BBT3'!A:F,3,0),"")</f>
        <v/>
      </c>
      <c r="D799" s="6" t="str">
        <f>IF(NOT(ISBLANK(A799)),VLOOKUP(A799,'BBT3'!A:F,4,1),"")</f>
        <v/>
      </c>
      <c r="E799" t="str">
        <f>IF(NOT(ISBLANK(A799)),VLOOKUP(A799,'BBT3'!A:F,5,0),"")</f>
        <v/>
      </c>
      <c r="F799" t="str">
        <f>IF(NOT(ISBLANK(A799)),VLOOKUP(A799,'BBT3'!A:F,6,0),"")</f>
        <v/>
      </c>
      <c r="G799" t="str">
        <f>IF(NOT(ISBLANK(A799)),VLOOKUP(A799,QW_Close!A:J,5,0),"")</f>
        <v/>
      </c>
      <c r="H799" s="5" t="str" cm="1">
        <f t="array" ref="H799">IF(NOT(ISBLANK(A799)),((_xlfn.XLOOKUP(1,(_bbt3[[#All],[ID]]=A799)*(_bbt3[[#All],[METRIC_NAME]]="YLD_YTM_ASK"),_bbt3[[#All],[METRIC_VALUE]])*0.5)+(_xlfn.XLOOKUP(1,(_bbt3[[#All],[ID]]=A799)*(_bbt3[[#All],[METRIC_NAME]]="YLD_YTM_BID"),_bbt3[[#All],[METRIC_VALUE]])*0.5))/100,"")</f>
        <v/>
      </c>
      <c r="I799">
        <f>IF(ISNA(VLOOKUP(A799,QW_CloseDL!A:E,5,0)),0,VLOOKUP(A799,QW_CloseDL!A:E,5,0))</f>
        <v>0</v>
      </c>
      <c r="J799" s="8" t="str">
        <f t="shared" si="60"/>
        <v/>
      </c>
      <c r="P799">
        <v>0</v>
      </c>
      <c r="Q799" t="e">
        <f t="shared" si="61"/>
        <v>#N/A</v>
      </c>
      <c r="R799" t="e">
        <f t="shared" si="62"/>
        <v>#N/A</v>
      </c>
      <c r="S799" s="9" t="e">
        <f t="shared" si="63"/>
        <v>#N/A</v>
      </c>
      <c r="T799" s="3" t="e">
        <f t="shared" si="64"/>
        <v>#N/A</v>
      </c>
    </row>
    <row r="800" spans="2:20" x14ac:dyDescent="0.35">
      <c r="B800" t="str">
        <f>IF(NOT(ISBLANK(A800)),VLOOKUP(A800,'BBT3'!A:F,2,0),"")</f>
        <v/>
      </c>
      <c r="C800" t="str">
        <f>IF(NOT(ISBLANK(A800)),VLOOKUP(A800,'BBT3'!A:F,3,0),"")</f>
        <v/>
      </c>
      <c r="D800" s="6" t="str">
        <f>IF(NOT(ISBLANK(A800)),VLOOKUP(A800,'BBT3'!A:F,4,1),"")</f>
        <v/>
      </c>
      <c r="E800" t="str">
        <f>IF(NOT(ISBLANK(A800)),VLOOKUP(A800,'BBT3'!A:F,5,0),"")</f>
        <v/>
      </c>
      <c r="F800" t="str">
        <f>IF(NOT(ISBLANK(A800)),VLOOKUP(A800,'BBT3'!A:F,6,0),"")</f>
        <v/>
      </c>
      <c r="G800" t="str">
        <f>IF(NOT(ISBLANK(A800)),VLOOKUP(A800,QW_Close!A:J,5,0),"")</f>
        <v/>
      </c>
      <c r="H800" s="5" t="str" cm="1">
        <f t="array" ref="H800">IF(NOT(ISBLANK(A800)),((_xlfn.XLOOKUP(1,(_bbt3[[#All],[ID]]=A800)*(_bbt3[[#All],[METRIC_NAME]]="YLD_YTM_ASK"),_bbt3[[#All],[METRIC_VALUE]])*0.5)+(_xlfn.XLOOKUP(1,(_bbt3[[#All],[ID]]=A800)*(_bbt3[[#All],[METRIC_NAME]]="YLD_YTM_BID"),_bbt3[[#All],[METRIC_VALUE]])*0.5))/100,"")</f>
        <v/>
      </c>
      <c r="I800">
        <f>IF(ISNA(VLOOKUP(A800,QW_CloseDL!A:E,5,0)),0,VLOOKUP(A800,QW_CloseDL!A:E,5,0))</f>
        <v>0</v>
      </c>
      <c r="J800" s="8" t="str">
        <f t="shared" si="60"/>
        <v/>
      </c>
      <c r="P800">
        <v>0</v>
      </c>
      <c r="Q800" t="e">
        <f t="shared" si="61"/>
        <v>#N/A</v>
      </c>
      <c r="R800" t="e">
        <f t="shared" si="62"/>
        <v>#N/A</v>
      </c>
      <c r="S800" s="9" t="e">
        <f t="shared" si="63"/>
        <v>#N/A</v>
      </c>
      <c r="T800" s="3" t="e">
        <f t="shared" si="64"/>
        <v>#N/A</v>
      </c>
    </row>
    <row r="801" spans="2:20" x14ac:dyDescent="0.35">
      <c r="B801" t="str">
        <f>IF(NOT(ISBLANK(A801)),VLOOKUP(A801,'BBT3'!A:F,2,0),"")</f>
        <v/>
      </c>
      <c r="C801" t="str">
        <f>IF(NOT(ISBLANK(A801)),VLOOKUP(A801,'BBT3'!A:F,3,0),"")</f>
        <v/>
      </c>
      <c r="D801" s="6" t="str">
        <f>IF(NOT(ISBLANK(A801)),VLOOKUP(A801,'BBT3'!A:F,4,1),"")</f>
        <v/>
      </c>
      <c r="E801" t="str">
        <f>IF(NOT(ISBLANK(A801)),VLOOKUP(A801,'BBT3'!A:F,5,0),"")</f>
        <v/>
      </c>
      <c r="F801" t="str">
        <f>IF(NOT(ISBLANK(A801)),VLOOKUP(A801,'BBT3'!A:F,6,0),"")</f>
        <v/>
      </c>
      <c r="G801" t="str">
        <f>IF(NOT(ISBLANK(A801)),VLOOKUP(A801,QW_Close!A:J,5,0),"")</f>
        <v/>
      </c>
      <c r="H801" s="5" t="str" cm="1">
        <f t="array" ref="H801">IF(NOT(ISBLANK(A801)),((_xlfn.XLOOKUP(1,(_bbt3[[#All],[ID]]=A801)*(_bbt3[[#All],[METRIC_NAME]]="YLD_YTM_ASK"),_bbt3[[#All],[METRIC_VALUE]])*0.5)+(_xlfn.XLOOKUP(1,(_bbt3[[#All],[ID]]=A801)*(_bbt3[[#All],[METRIC_NAME]]="YLD_YTM_BID"),_bbt3[[#All],[METRIC_VALUE]])*0.5))/100,"")</f>
        <v/>
      </c>
      <c r="I801">
        <f>IF(ISNA(VLOOKUP(A801,QW_CloseDL!A:E,5,0)),0,VLOOKUP(A801,QW_CloseDL!A:E,5,0))</f>
        <v>0</v>
      </c>
      <c r="J801" s="8" t="str">
        <f t="shared" si="60"/>
        <v/>
      </c>
      <c r="P801">
        <v>0</v>
      </c>
      <c r="Q801" t="e">
        <f t="shared" si="61"/>
        <v>#N/A</v>
      </c>
      <c r="R801" t="e">
        <f t="shared" si="62"/>
        <v>#N/A</v>
      </c>
      <c r="S801" s="9" t="e">
        <f t="shared" si="63"/>
        <v>#N/A</v>
      </c>
      <c r="T801" s="3" t="e">
        <f t="shared" si="64"/>
        <v>#N/A</v>
      </c>
    </row>
    <row r="802" spans="2:20" x14ac:dyDescent="0.35">
      <c r="B802" t="str">
        <f>IF(NOT(ISBLANK(A802)),VLOOKUP(A802,'BBT3'!A:F,2,0),"")</f>
        <v/>
      </c>
      <c r="C802" t="str">
        <f>IF(NOT(ISBLANK(A802)),VLOOKUP(A802,'BBT3'!A:F,3,0),"")</f>
        <v/>
      </c>
      <c r="D802" s="6" t="str">
        <f>IF(NOT(ISBLANK(A802)),VLOOKUP(A802,'BBT3'!A:F,4,1),"")</f>
        <v/>
      </c>
      <c r="E802" t="str">
        <f>IF(NOT(ISBLANK(A802)),VLOOKUP(A802,'BBT3'!A:F,5,0),"")</f>
        <v/>
      </c>
      <c r="F802" t="str">
        <f>IF(NOT(ISBLANK(A802)),VLOOKUP(A802,'BBT3'!A:F,6,0),"")</f>
        <v/>
      </c>
      <c r="G802" t="str">
        <f>IF(NOT(ISBLANK(A802)),VLOOKUP(A802,QW_Close!A:J,5,0),"")</f>
        <v/>
      </c>
      <c r="H802" s="5" t="str" cm="1">
        <f t="array" ref="H802">IF(NOT(ISBLANK(A802)),((_xlfn.XLOOKUP(1,(_bbt3[[#All],[ID]]=A802)*(_bbt3[[#All],[METRIC_NAME]]="YLD_YTM_ASK"),_bbt3[[#All],[METRIC_VALUE]])*0.5)+(_xlfn.XLOOKUP(1,(_bbt3[[#All],[ID]]=A802)*(_bbt3[[#All],[METRIC_NAME]]="YLD_YTM_BID"),_bbt3[[#All],[METRIC_VALUE]])*0.5))/100,"")</f>
        <v/>
      </c>
      <c r="I802">
        <f>IF(ISNA(VLOOKUP(A802,QW_CloseDL!A:E,5,0)),0,VLOOKUP(A802,QW_CloseDL!A:E,5,0))</f>
        <v>0</v>
      </c>
      <c r="J802" s="8" t="str">
        <f t="shared" si="60"/>
        <v/>
      </c>
      <c r="P802">
        <v>0</v>
      </c>
      <c r="Q802" t="e">
        <f t="shared" si="61"/>
        <v>#N/A</v>
      </c>
      <c r="R802" t="e">
        <f t="shared" si="62"/>
        <v>#N/A</v>
      </c>
      <c r="S802" s="9" t="e">
        <f t="shared" si="63"/>
        <v>#N/A</v>
      </c>
      <c r="T802" s="3" t="e">
        <f t="shared" si="64"/>
        <v>#N/A</v>
      </c>
    </row>
    <row r="803" spans="2:20" x14ac:dyDescent="0.35">
      <c r="B803" t="str">
        <f>IF(NOT(ISBLANK(A803)),VLOOKUP(A803,'BBT3'!A:F,2,0),"")</f>
        <v/>
      </c>
      <c r="C803" t="str">
        <f>IF(NOT(ISBLANK(A803)),VLOOKUP(A803,'BBT3'!A:F,3,0),"")</f>
        <v/>
      </c>
      <c r="D803" s="6" t="str">
        <f>IF(NOT(ISBLANK(A803)),VLOOKUP(A803,'BBT3'!A:F,4,1),"")</f>
        <v/>
      </c>
      <c r="E803" t="str">
        <f>IF(NOT(ISBLANK(A803)),VLOOKUP(A803,'BBT3'!A:F,5,0),"")</f>
        <v/>
      </c>
      <c r="F803" t="str">
        <f>IF(NOT(ISBLANK(A803)),VLOOKUP(A803,'BBT3'!A:F,6,0),"")</f>
        <v/>
      </c>
      <c r="G803" t="str">
        <f>IF(NOT(ISBLANK(A803)),VLOOKUP(A803,QW_Close!A:J,5,0),"")</f>
        <v/>
      </c>
      <c r="H803" s="5" t="str" cm="1">
        <f t="array" ref="H803">IF(NOT(ISBLANK(A803)),((_xlfn.XLOOKUP(1,(_bbt3[[#All],[ID]]=A803)*(_bbt3[[#All],[METRIC_NAME]]="YLD_YTM_ASK"),_bbt3[[#All],[METRIC_VALUE]])*0.5)+(_xlfn.XLOOKUP(1,(_bbt3[[#All],[ID]]=A803)*(_bbt3[[#All],[METRIC_NAME]]="YLD_YTM_BID"),_bbt3[[#All],[METRIC_VALUE]])*0.5))/100,"")</f>
        <v/>
      </c>
      <c r="I803">
        <f>IF(ISNA(VLOOKUP(A803,QW_CloseDL!A:E,5,0)),0,VLOOKUP(A803,QW_CloseDL!A:E,5,0))</f>
        <v>0</v>
      </c>
      <c r="J803" s="8" t="str">
        <f t="shared" si="60"/>
        <v/>
      </c>
      <c r="P803">
        <v>0</v>
      </c>
      <c r="Q803" t="e">
        <f t="shared" si="61"/>
        <v>#N/A</v>
      </c>
      <c r="R803" t="e">
        <f t="shared" si="62"/>
        <v>#N/A</v>
      </c>
      <c r="S803" s="9" t="e">
        <f t="shared" si="63"/>
        <v>#N/A</v>
      </c>
      <c r="T803" s="3" t="e">
        <f t="shared" si="64"/>
        <v>#N/A</v>
      </c>
    </row>
    <row r="804" spans="2:20" x14ac:dyDescent="0.35">
      <c r="B804" t="str">
        <f>IF(NOT(ISBLANK(A804)),VLOOKUP(A804,'BBT3'!A:F,2,0),"")</f>
        <v/>
      </c>
      <c r="C804" t="str">
        <f>IF(NOT(ISBLANK(A804)),VLOOKUP(A804,'BBT3'!A:F,3,0),"")</f>
        <v/>
      </c>
      <c r="D804" s="6" t="str">
        <f>IF(NOT(ISBLANK(A804)),VLOOKUP(A804,'BBT3'!A:F,4,1),"")</f>
        <v/>
      </c>
      <c r="E804" t="str">
        <f>IF(NOT(ISBLANK(A804)),VLOOKUP(A804,'BBT3'!A:F,5,0),"")</f>
        <v/>
      </c>
      <c r="F804" t="str">
        <f>IF(NOT(ISBLANK(A804)),VLOOKUP(A804,'BBT3'!A:F,6,0),"")</f>
        <v/>
      </c>
      <c r="G804" t="str">
        <f>IF(NOT(ISBLANK(A804)),VLOOKUP(A804,QW_Close!A:J,5,0),"")</f>
        <v/>
      </c>
      <c r="H804" s="5" t="str" cm="1">
        <f t="array" ref="H804">IF(NOT(ISBLANK(A804)),((_xlfn.XLOOKUP(1,(_bbt3[[#All],[ID]]=A804)*(_bbt3[[#All],[METRIC_NAME]]="YLD_YTM_ASK"),_bbt3[[#All],[METRIC_VALUE]])*0.5)+(_xlfn.XLOOKUP(1,(_bbt3[[#All],[ID]]=A804)*(_bbt3[[#All],[METRIC_NAME]]="YLD_YTM_BID"),_bbt3[[#All],[METRIC_VALUE]])*0.5))/100,"")</f>
        <v/>
      </c>
      <c r="I804">
        <f>IF(ISNA(VLOOKUP(A804,QW_CloseDL!A:E,5,0)),0,VLOOKUP(A804,QW_CloseDL!A:E,5,0))</f>
        <v>0</v>
      </c>
      <c r="J804" s="8" t="str">
        <f t="shared" si="60"/>
        <v/>
      </c>
      <c r="P804">
        <v>0</v>
      </c>
      <c r="Q804" t="e">
        <f t="shared" si="61"/>
        <v>#N/A</v>
      </c>
      <c r="R804" t="e">
        <f t="shared" si="62"/>
        <v>#N/A</v>
      </c>
      <c r="S804" s="9" t="e">
        <f t="shared" si="63"/>
        <v>#N/A</v>
      </c>
      <c r="T804" s="3" t="e">
        <f t="shared" si="64"/>
        <v>#N/A</v>
      </c>
    </row>
    <row r="805" spans="2:20" x14ac:dyDescent="0.35">
      <c r="B805" t="str">
        <f>IF(NOT(ISBLANK(A805)),VLOOKUP(A805,'BBT3'!A:F,2,0),"")</f>
        <v/>
      </c>
      <c r="C805" t="str">
        <f>IF(NOT(ISBLANK(A805)),VLOOKUP(A805,'BBT3'!A:F,3,0),"")</f>
        <v/>
      </c>
      <c r="D805" s="6" t="str">
        <f>IF(NOT(ISBLANK(A805)),VLOOKUP(A805,'BBT3'!A:F,4,1),"")</f>
        <v/>
      </c>
      <c r="E805" t="str">
        <f>IF(NOT(ISBLANK(A805)),VLOOKUP(A805,'BBT3'!A:F,5,0),"")</f>
        <v/>
      </c>
      <c r="F805" t="str">
        <f>IF(NOT(ISBLANK(A805)),VLOOKUP(A805,'BBT3'!A:F,6,0),"")</f>
        <v/>
      </c>
      <c r="G805" t="str">
        <f>IF(NOT(ISBLANK(A805)),VLOOKUP(A805,QW_Close!A:J,5,0),"")</f>
        <v/>
      </c>
      <c r="H805" s="5" t="str" cm="1">
        <f t="array" ref="H805">IF(NOT(ISBLANK(A805)),((_xlfn.XLOOKUP(1,(_bbt3[[#All],[ID]]=A805)*(_bbt3[[#All],[METRIC_NAME]]="YLD_YTM_ASK"),_bbt3[[#All],[METRIC_VALUE]])*0.5)+(_xlfn.XLOOKUP(1,(_bbt3[[#All],[ID]]=A805)*(_bbt3[[#All],[METRIC_NAME]]="YLD_YTM_BID"),_bbt3[[#All],[METRIC_VALUE]])*0.5))/100,"")</f>
        <v/>
      </c>
      <c r="I805">
        <f>IF(ISNA(VLOOKUP(A805,QW_CloseDL!A:E,5,0)),0,VLOOKUP(A805,QW_CloseDL!A:E,5,0))</f>
        <v>0</v>
      </c>
      <c r="J805" s="8" t="str">
        <f t="shared" si="60"/>
        <v/>
      </c>
      <c r="P805">
        <v>0</v>
      </c>
      <c r="Q805" t="e">
        <f t="shared" si="61"/>
        <v>#N/A</v>
      </c>
      <c r="R805" t="e">
        <f t="shared" si="62"/>
        <v>#N/A</v>
      </c>
      <c r="S805" s="9" t="e">
        <f t="shared" si="63"/>
        <v>#N/A</v>
      </c>
      <c r="T805" s="3" t="e">
        <f t="shared" si="64"/>
        <v>#N/A</v>
      </c>
    </row>
    <row r="806" spans="2:20" x14ac:dyDescent="0.35">
      <c r="B806" t="str">
        <f>IF(NOT(ISBLANK(A806)),VLOOKUP(A806,'BBT3'!A:F,2,0),"")</f>
        <v/>
      </c>
      <c r="C806" t="str">
        <f>IF(NOT(ISBLANK(A806)),VLOOKUP(A806,'BBT3'!A:F,3,0),"")</f>
        <v/>
      </c>
      <c r="D806" s="6" t="str">
        <f>IF(NOT(ISBLANK(A806)),VLOOKUP(A806,'BBT3'!A:F,4,1),"")</f>
        <v/>
      </c>
      <c r="E806" t="str">
        <f>IF(NOT(ISBLANK(A806)),VLOOKUP(A806,'BBT3'!A:F,5,0),"")</f>
        <v/>
      </c>
      <c r="F806" t="str">
        <f>IF(NOT(ISBLANK(A806)),VLOOKUP(A806,'BBT3'!A:F,6,0),"")</f>
        <v/>
      </c>
      <c r="G806" t="str">
        <f>IF(NOT(ISBLANK(A806)),VLOOKUP(A806,QW_Close!A:J,5,0),"")</f>
        <v/>
      </c>
      <c r="H806" s="5" t="str" cm="1">
        <f t="array" ref="H806">IF(NOT(ISBLANK(A806)),((_xlfn.XLOOKUP(1,(_bbt3[[#All],[ID]]=A806)*(_bbt3[[#All],[METRIC_NAME]]="YLD_YTM_ASK"),_bbt3[[#All],[METRIC_VALUE]])*0.5)+(_xlfn.XLOOKUP(1,(_bbt3[[#All],[ID]]=A806)*(_bbt3[[#All],[METRIC_NAME]]="YLD_YTM_BID"),_bbt3[[#All],[METRIC_VALUE]])*0.5))/100,"")</f>
        <v/>
      </c>
      <c r="I806">
        <f>IF(ISNA(VLOOKUP(A806,QW_CloseDL!A:E,5,0)),0,VLOOKUP(A806,QW_CloseDL!A:E,5,0))</f>
        <v>0</v>
      </c>
      <c r="J806" s="8" t="str">
        <f t="shared" si="60"/>
        <v/>
      </c>
      <c r="P806">
        <v>0</v>
      </c>
      <c r="Q806" t="e">
        <f t="shared" si="61"/>
        <v>#N/A</v>
      </c>
      <c r="R806" t="e">
        <f t="shared" si="62"/>
        <v>#N/A</v>
      </c>
      <c r="S806" s="9" t="e">
        <f t="shared" si="63"/>
        <v>#N/A</v>
      </c>
      <c r="T806" s="3" t="e">
        <f t="shared" si="64"/>
        <v>#N/A</v>
      </c>
    </row>
    <row r="807" spans="2:20" x14ac:dyDescent="0.35">
      <c r="B807" t="str">
        <f>IF(NOT(ISBLANK(A807)),VLOOKUP(A807,'BBT3'!A:F,2,0),"")</f>
        <v/>
      </c>
      <c r="C807" t="str">
        <f>IF(NOT(ISBLANK(A807)),VLOOKUP(A807,'BBT3'!A:F,3,0),"")</f>
        <v/>
      </c>
      <c r="D807" s="6" t="str">
        <f>IF(NOT(ISBLANK(A807)),VLOOKUP(A807,'BBT3'!A:F,4,1),"")</f>
        <v/>
      </c>
      <c r="E807" t="str">
        <f>IF(NOT(ISBLANK(A807)),VLOOKUP(A807,'BBT3'!A:F,5,0),"")</f>
        <v/>
      </c>
      <c r="F807" t="str">
        <f>IF(NOT(ISBLANK(A807)),VLOOKUP(A807,'BBT3'!A:F,6,0),"")</f>
        <v/>
      </c>
      <c r="G807" t="str">
        <f>IF(NOT(ISBLANK(A807)),VLOOKUP(A807,QW_Close!A:J,5,0),"")</f>
        <v/>
      </c>
      <c r="H807" s="5" t="str" cm="1">
        <f t="array" ref="H807">IF(NOT(ISBLANK(A807)),((_xlfn.XLOOKUP(1,(_bbt3[[#All],[ID]]=A807)*(_bbt3[[#All],[METRIC_NAME]]="YLD_YTM_ASK"),_bbt3[[#All],[METRIC_VALUE]])*0.5)+(_xlfn.XLOOKUP(1,(_bbt3[[#All],[ID]]=A807)*(_bbt3[[#All],[METRIC_NAME]]="YLD_YTM_BID"),_bbt3[[#All],[METRIC_VALUE]])*0.5))/100,"")</f>
        <v/>
      </c>
      <c r="I807">
        <f>IF(ISNA(VLOOKUP(A807,QW_CloseDL!A:E,5,0)),0,VLOOKUP(A807,QW_CloseDL!A:E,5,0))</f>
        <v>0</v>
      </c>
      <c r="J807" s="8" t="str">
        <f t="shared" si="60"/>
        <v/>
      </c>
      <c r="P807">
        <v>0</v>
      </c>
      <c r="Q807" t="e">
        <f t="shared" si="61"/>
        <v>#N/A</v>
      </c>
      <c r="R807" t="e">
        <f t="shared" si="62"/>
        <v>#N/A</v>
      </c>
      <c r="S807" s="9" t="e">
        <f t="shared" si="63"/>
        <v>#N/A</v>
      </c>
      <c r="T807" s="3" t="e">
        <f t="shared" si="64"/>
        <v>#N/A</v>
      </c>
    </row>
    <row r="808" spans="2:20" x14ac:dyDescent="0.35">
      <c r="B808" t="str">
        <f>IF(NOT(ISBLANK(A808)),VLOOKUP(A808,'BBT3'!A:F,2,0),"")</f>
        <v/>
      </c>
      <c r="C808" t="str">
        <f>IF(NOT(ISBLANK(A808)),VLOOKUP(A808,'BBT3'!A:F,3,0),"")</f>
        <v/>
      </c>
      <c r="D808" s="6" t="str">
        <f>IF(NOT(ISBLANK(A808)),VLOOKUP(A808,'BBT3'!A:F,4,1),"")</f>
        <v/>
      </c>
      <c r="E808" t="str">
        <f>IF(NOT(ISBLANK(A808)),VLOOKUP(A808,'BBT3'!A:F,5,0),"")</f>
        <v/>
      </c>
      <c r="F808" t="str">
        <f>IF(NOT(ISBLANK(A808)),VLOOKUP(A808,'BBT3'!A:F,6,0),"")</f>
        <v/>
      </c>
      <c r="G808" t="str">
        <f>IF(NOT(ISBLANK(A808)),VLOOKUP(A808,QW_Close!A:J,5,0),"")</f>
        <v/>
      </c>
      <c r="H808" s="5" t="str" cm="1">
        <f t="array" ref="H808">IF(NOT(ISBLANK(A808)),((_xlfn.XLOOKUP(1,(_bbt3[[#All],[ID]]=A808)*(_bbt3[[#All],[METRIC_NAME]]="YLD_YTM_ASK"),_bbt3[[#All],[METRIC_VALUE]])*0.5)+(_xlfn.XLOOKUP(1,(_bbt3[[#All],[ID]]=A808)*(_bbt3[[#All],[METRIC_NAME]]="YLD_YTM_BID"),_bbt3[[#All],[METRIC_VALUE]])*0.5))/100,"")</f>
        <v/>
      </c>
      <c r="I808">
        <f>IF(ISNA(VLOOKUP(A808,QW_CloseDL!A:E,5,0)),0,VLOOKUP(A808,QW_CloseDL!A:E,5,0))</f>
        <v>0</v>
      </c>
      <c r="J808" s="8" t="str">
        <f t="shared" si="60"/>
        <v/>
      </c>
      <c r="P808">
        <v>0</v>
      </c>
      <c r="Q808" t="e">
        <f t="shared" si="61"/>
        <v>#N/A</v>
      </c>
      <c r="R808" t="e">
        <f t="shared" si="62"/>
        <v>#N/A</v>
      </c>
      <c r="S808" s="9" t="e">
        <f t="shared" si="63"/>
        <v>#N/A</v>
      </c>
      <c r="T808" s="3" t="e">
        <f t="shared" si="64"/>
        <v>#N/A</v>
      </c>
    </row>
    <row r="809" spans="2:20" x14ac:dyDescent="0.35">
      <c r="B809" t="str">
        <f>IF(NOT(ISBLANK(A809)),VLOOKUP(A809,'BBT3'!A:F,2,0),"")</f>
        <v/>
      </c>
      <c r="C809" t="str">
        <f>IF(NOT(ISBLANK(A809)),VLOOKUP(A809,'BBT3'!A:F,3,0),"")</f>
        <v/>
      </c>
      <c r="D809" s="6" t="str">
        <f>IF(NOT(ISBLANK(A809)),VLOOKUP(A809,'BBT3'!A:F,4,1),"")</f>
        <v/>
      </c>
      <c r="E809" t="str">
        <f>IF(NOT(ISBLANK(A809)),VLOOKUP(A809,'BBT3'!A:F,5,0),"")</f>
        <v/>
      </c>
      <c r="F809" t="str">
        <f>IF(NOT(ISBLANK(A809)),VLOOKUP(A809,'BBT3'!A:F,6,0),"")</f>
        <v/>
      </c>
      <c r="G809" t="str">
        <f>IF(NOT(ISBLANK(A809)),VLOOKUP(A809,QW_Close!A:J,5,0),"")</f>
        <v/>
      </c>
      <c r="H809" s="5" t="str" cm="1">
        <f t="array" ref="H809">IF(NOT(ISBLANK(A809)),((_xlfn.XLOOKUP(1,(_bbt3[[#All],[ID]]=A809)*(_bbt3[[#All],[METRIC_NAME]]="YLD_YTM_ASK"),_bbt3[[#All],[METRIC_VALUE]])*0.5)+(_xlfn.XLOOKUP(1,(_bbt3[[#All],[ID]]=A809)*(_bbt3[[#All],[METRIC_NAME]]="YLD_YTM_BID"),_bbt3[[#All],[METRIC_VALUE]])*0.5))/100,"")</f>
        <v/>
      </c>
      <c r="I809">
        <f>IF(ISNA(VLOOKUP(A809,QW_CloseDL!A:E,5,0)),0,VLOOKUP(A809,QW_CloseDL!A:E,5,0))</f>
        <v>0</v>
      </c>
      <c r="J809" s="8" t="str">
        <f t="shared" si="60"/>
        <v/>
      </c>
      <c r="P809">
        <v>0</v>
      </c>
      <c r="Q809" t="e">
        <f t="shared" si="61"/>
        <v>#N/A</v>
      </c>
      <c r="R809" t="e">
        <f t="shared" si="62"/>
        <v>#N/A</v>
      </c>
      <c r="S809" s="9" t="e">
        <f t="shared" si="63"/>
        <v>#N/A</v>
      </c>
      <c r="T809" s="3" t="e">
        <f t="shared" si="64"/>
        <v>#N/A</v>
      </c>
    </row>
    <row r="810" spans="2:20" x14ac:dyDescent="0.35">
      <c r="B810" t="str">
        <f>IF(NOT(ISBLANK(A810)),VLOOKUP(A810,'BBT3'!A:F,2,0),"")</f>
        <v/>
      </c>
      <c r="C810" t="str">
        <f>IF(NOT(ISBLANK(A810)),VLOOKUP(A810,'BBT3'!A:F,3,0),"")</f>
        <v/>
      </c>
      <c r="D810" s="6" t="str">
        <f>IF(NOT(ISBLANK(A810)),VLOOKUP(A810,'BBT3'!A:F,4,1),"")</f>
        <v/>
      </c>
      <c r="E810" t="str">
        <f>IF(NOT(ISBLANK(A810)),VLOOKUP(A810,'BBT3'!A:F,5,0),"")</f>
        <v/>
      </c>
      <c r="F810" t="str">
        <f>IF(NOT(ISBLANK(A810)),VLOOKUP(A810,'BBT3'!A:F,6,0),"")</f>
        <v/>
      </c>
      <c r="G810" t="str">
        <f>IF(NOT(ISBLANK(A810)),VLOOKUP(A810,QW_Close!A:J,5,0),"")</f>
        <v/>
      </c>
      <c r="H810" s="5" t="str" cm="1">
        <f t="array" ref="H810">IF(NOT(ISBLANK(A810)),((_xlfn.XLOOKUP(1,(_bbt3[[#All],[ID]]=A810)*(_bbt3[[#All],[METRIC_NAME]]="YLD_YTM_ASK"),_bbt3[[#All],[METRIC_VALUE]])*0.5)+(_xlfn.XLOOKUP(1,(_bbt3[[#All],[ID]]=A810)*(_bbt3[[#All],[METRIC_NAME]]="YLD_YTM_BID"),_bbt3[[#All],[METRIC_VALUE]])*0.5))/100,"")</f>
        <v/>
      </c>
      <c r="I810">
        <f>IF(ISNA(VLOOKUP(A810,QW_CloseDL!A:E,5,0)),0,VLOOKUP(A810,QW_CloseDL!A:E,5,0))</f>
        <v>0</v>
      </c>
      <c r="J810" s="8" t="str">
        <f t="shared" si="60"/>
        <v/>
      </c>
      <c r="P810">
        <v>0</v>
      </c>
      <c r="Q810" t="e">
        <f t="shared" si="61"/>
        <v>#N/A</v>
      </c>
      <c r="R810" t="e">
        <f t="shared" si="62"/>
        <v>#N/A</v>
      </c>
      <c r="S810" s="9" t="e">
        <f t="shared" si="63"/>
        <v>#N/A</v>
      </c>
      <c r="T810" s="3" t="e">
        <f t="shared" si="64"/>
        <v>#N/A</v>
      </c>
    </row>
    <row r="811" spans="2:20" x14ac:dyDescent="0.35">
      <c r="B811" t="str">
        <f>IF(NOT(ISBLANK(A811)),VLOOKUP(A811,'BBT3'!A:F,2,0),"")</f>
        <v/>
      </c>
      <c r="C811" t="str">
        <f>IF(NOT(ISBLANK(A811)),VLOOKUP(A811,'BBT3'!A:F,3,0),"")</f>
        <v/>
      </c>
      <c r="D811" s="6" t="str">
        <f>IF(NOT(ISBLANK(A811)),VLOOKUP(A811,'BBT3'!A:F,4,1),"")</f>
        <v/>
      </c>
      <c r="E811" t="str">
        <f>IF(NOT(ISBLANK(A811)),VLOOKUP(A811,'BBT3'!A:F,5,0),"")</f>
        <v/>
      </c>
      <c r="F811" t="str">
        <f>IF(NOT(ISBLANK(A811)),VLOOKUP(A811,'BBT3'!A:F,6,0),"")</f>
        <v/>
      </c>
      <c r="G811" t="str">
        <f>IF(NOT(ISBLANK(A811)),VLOOKUP(A811,QW_Close!A:J,5,0),"")</f>
        <v/>
      </c>
      <c r="H811" s="5" t="str" cm="1">
        <f t="array" ref="H811">IF(NOT(ISBLANK(A811)),((_xlfn.XLOOKUP(1,(_bbt3[[#All],[ID]]=A811)*(_bbt3[[#All],[METRIC_NAME]]="YLD_YTM_ASK"),_bbt3[[#All],[METRIC_VALUE]])*0.5)+(_xlfn.XLOOKUP(1,(_bbt3[[#All],[ID]]=A811)*(_bbt3[[#All],[METRIC_NAME]]="YLD_YTM_BID"),_bbt3[[#All],[METRIC_VALUE]])*0.5))/100,"")</f>
        <v/>
      </c>
      <c r="I811">
        <f>IF(ISNA(VLOOKUP(A811,QW_CloseDL!A:E,5,0)),0,VLOOKUP(A811,QW_CloseDL!A:E,5,0))</f>
        <v>0</v>
      </c>
      <c r="J811" s="8" t="str">
        <f t="shared" si="60"/>
        <v/>
      </c>
      <c r="P811">
        <v>0</v>
      </c>
      <c r="Q811" t="e">
        <f t="shared" si="61"/>
        <v>#N/A</v>
      </c>
      <c r="R811" t="e">
        <f t="shared" si="62"/>
        <v>#N/A</v>
      </c>
      <c r="S811" s="9" t="e">
        <f t="shared" si="63"/>
        <v>#N/A</v>
      </c>
      <c r="T811" s="3" t="e">
        <f t="shared" si="64"/>
        <v>#N/A</v>
      </c>
    </row>
    <row r="812" spans="2:20" x14ac:dyDescent="0.35">
      <c r="B812" t="str">
        <f>IF(NOT(ISBLANK(A812)),VLOOKUP(A812,'BBT3'!A:F,2,0),"")</f>
        <v/>
      </c>
      <c r="C812" t="str">
        <f>IF(NOT(ISBLANK(A812)),VLOOKUP(A812,'BBT3'!A:F,3,0),"")</f>
        <v/>
      </c>
      <c r="D812" s="6" t="str">
        <f>IF(NOT(ISBLANK(A812)),VLOOKUP(A812,'BBT3'!A:F,4,1),"")</f>
        <v/>
      </c>
      <c r="E812" t="str">
        <f>IF(NOT(ISBLANK(A812)),VLOOKUP(A812,'BBT3'!A:F,5,0),"")</f>
        <v/>
      </c>
      <c r="F812" t="str">
        <f>IF(NOT(ISBLANK(A812)),VLOOKUP(A812,'BBT3'!A:F,6,0),"")</f>
        <v/>
      </c>
      <c r="G812" t="str">
        <f>IF(NOT(ISBLANK(A812)),VLOOKUP(A812,QW_Close!A:J,5,0),"")</f>
        <v/>
      </c>
      <c r="H812" s="5" t="str" cm="1">
        <f t="array" ref="H812">IF(NOT(ISBLANK(A812)),((_xlfn.XLOOKUP(1,(_bbt3[[#All],[ID]]=A812)*(_bbt3[[#All],[METRIC_NAME]]="YLD_YTM_ASK"),_bbt3[[#All],[METRIC_VALUE]])*0.5)+(_xlfn.XLOOKUP(1,(_bbt3[[#All],[ID]]=A812)*(_bbt3[[#All],[METRIC_NAME]]="YLD_YTM_BID"),_bbt3[[#All],[METRIC_VALUE]])*0.5))/100,"")</f>
        <v/>
      </c>
      <c r="I812">
        <f>IF(ISNA(VLOOKUP(A812,QW_CloseDL!A:E,5,0)),0,VLOOKUP(A812,QW_CloseDL!A:E,5,0))</f>
        <v>0</v>
      </c>
      <c r="J812" s="8" t="str">
        <f t="shared" si="60"/>
        <v/>
      </c>
      <c r="P812">
        <v>0</v>
      </c>
      <c r="Q812" t="e">
        <f t="shared" si="61"/>
        <v>#N/A</v>
      </c>
      <c r="R812" t="e">
        <f t="shared" si="62"/>
        <v>#N/A</v>
      </c>
      <c r="S812" s="9" t="e">
        <f t="shared" si="63"/>
        <v>#N/A</v>
      </c>
      <c r="T812" s="3" t="e">
        <f t="shared" si="64"/>
        <v>#N/A</v>
      </c>
    </row>
    <row r="813" spans="2:20" x14ac:dyDescent="0.35">
      <c r="B813" t="str">
        <f>IF(NOT(ISBLANK(A813)),VLOOKUP(A813,'BBT3'!A:F,2,0),"")</f>
        <v/>
      </c>
      <c r="C813" t="str">
        <f>IF(NOT(ISBLANK(A813)),VLOOKUP(A813,'BBT3'!A:F,3,0),"")</f>
        <v/>
      </c>
      <c r="D813" s="6" t="str">
        <f>IF(NOT(ISBLANK(A813)),VLOOKUP(A813,'BBT3'!A:F,4,1),"")</f>
        <v/>
      </c>
      <c r="E813" t="str">
        <f>IF(NOT(ISBLANK(A813)),VLOOKUP(A813,'BBT3'!A:F,5,0),"")</f>
        <v/>
      </c>
      <c r="F813" t="str">
        <f>IF(NOT(ISBLANK(A813)),VLOOKUP(A813,'BBT3'!A:F,6,0),"")</f>
        <v/>
      </c>
      <c r="G813" t="str">
        <f>IF(NOT(ISBLANK(A813)),VLOOKUP(A813,QW_Close!A:J,5,0),"")</f>
        <v/>
      </c>
      <c r="H813" s="5" t="str" cm="1">
        <f t="array" ref="H813">IF(NOT(ISBLANK(A813)),((_xlfn.XLOOKUP(1,(_bbt3[[#All],[ID]]=A813)*(_bbt3[[#All],[METRIC_NAME]]="YLD_YTM_ASK"),_bbt3[[#All],[METRIC_VALUE]])*0.5)+(_xlfn.XLOOKUP(1,(_bbt3[[#All],[ID]]=A813)*(_bbt3[[#All],[METRIC_NAME]]="YLD_YTM_BID"),_bbt3[[#All],[METRIC_VALUE]])*0.5))/100,"")</f>
        <v/>
      </c>
      <c r="I813">
        <f>IF(ISNA(VLOOKUP(A813,QW_CloseDL!A:E,5,0)),0,VLOOKUP(A813,QW_CloseDL!A:E,5,0))</f>
        <v>0</v>
      </c>
      <c r="J813" s="8" t="str">
        <f t="shared" si="60"/>
        <v/>
      </c>
      <c r="P813">
        <v>0</v>
      </c>
      <c r="Q813" t="e">
        <f t="shared" si="61"/>
        <v>#N/A</v>
      </c>
      <c r="R813" t="e">
        <f t="shared" si="62"/>
        <v>#N/A</v>
      </c>
      <c r="S813" s="9" t="e">
        <f t="shared" si="63"/>
        <v>#N/A</v>
      </c>
      <c r="T813" s="3" t="e">
        <f t="shared" si="64"/>
        <v>#N/A</v>
      </c>
    </row>
    <row r="814" spans="2:20" x14ac:dyDescent="0.35">
      <c r="B814" t="str">
        <f>IF(NOT(ISBLANK(A814)),VLOOKUP(A814,'BBT3'!A:F,2,0),"")</f>
        <v/>
      </c>
      <c r="C814" t="str">
        <f>IF(NOT(ISBLANK(A814)),VLOOKUP(A814,'BBT3'!A:F,3,0),"")</f>
        <v/>
      </c>
      <c r="D814" s="6" t="str">
        <f>IF(NOT(ISBLANK(A814)),VLOOKUP(A814,'BBT3'!A:F,4,1),"")</f>
        <v/>
      </c>
      <c r="E814" t="str">
        <f>IF(NOT(ISBLANK(A814)),VLOOKUP(A814,'BBT3'!A:F,5,0),"")</f>
        <v/>
      </c>
      <c r="F814" t="str">
        <f>IF(NOT(ISBLANK(A814)),VLOOKUP(A814,'BBT3'!A:F,6,0),"")</f>
        <v/>
      </c>
      <c r="G814" t="str">
        <f>IF(NOT(ISBLANK(A814)),VLOOKUP(A814,QW_Close!A:J,5,0),"")</f>
        <v/>
      </c>
      <c r="H814" s="5" t="str" cm="1">
        <f t="array" ref="H814">IF(NOT(ISBLANK(A814)),((_xlfn.XLOOKUP(1,(_bbt3[[#All],[ID]]=A814)*(_bbt3[[#All],[METRIC_NAME]]="YLD_YTM_ASK"),_bbt3[[#All],[METRIC_VALUE]])*0.5)+(_xlfn.XLOOKUP(1,(_bbt3[[#All],[ID]]=A814)*(_bbt3[[#All],[METRIC_NAME]]="YLD_YTM_BID"),_bbt3[[#All],[METRIC_VALUE]])*0.5))/100,"")</f>
        <v/>
      </c>
      <c r="I814">
        <f>IF(ISNA(VLOOKUP(A814,QW_CloseDL!A:E,5,0)),0,VLOOKUP(A814,QW_CloseDL!A:E,5,0))</f>
        <v>0</v>
      </c>
      <c r="J814" s="8" t="str">
        <f t="shared" si="60"/>
        <v/>
      </c>
      <c r="P814">
        <v>0</v>
      </c>
      <c r="Q814" t="e">
        <f t="shared" si="61"/>
        <v>#N/A</v>
      </c>
      <c r="R814" t="e">
        <f t="shared" si="62"/>
        <v>#N/A</v>
      </c>
      <c r="S814" s="9" t="e">
        <f t="shared" si="63"/>
        <v>#N/A</v>
      </c>
      <c r="T814" s="3" t="e">
        <f t="shared" si="64"/>
        <v>#N/A</v>
      </c>
    </row>
    <row r="815" spans="2:20" x14ac:dyDescent="0.35">
      <c r="B815" t="str">
        <f>IF(NOT(ISBLANK(A815)),VLOOKUP(A815,'BBT3'!A:F,2,0),"")</f>
        <v/>
      </c>
      <c r="C815" t="str">
        <f>IF(NOT(ISBLANK(A815)),VLOOKUP(A815,'BBT3'!A:F,3,0),"")</f>
        <v/>
      </c>
      <c r="D815" s="6" t="str">
        <f>IF(NOT(ISBLANK(A815)),VLOOKUP(A815,'BBT3'!A:F,4,1),"")</f>
        <v/>
      </c>
      <c r="E815" t="str">
        <f>IF(NOT(ISBLANK(A815)),VLOOKUP(A815,'BBT3'!A:F,5,0),"")</f>
        <v/>
      </c>
      <c r="F815" t="str">
        <f>IF(NOT(ISBLANK(A815)),VLOOKUP(A815,'BBT3'!A:F,6,0),"")</f>
        <v/>
      </c>
      <c r="G815" t="str">
        <f>IF(NOT(ISBLANK(A815)),VLOOKUP(A815,QW_Close!A:J,5,0),"")</f>
        <v/>
      </c>
      <c r="H815" s="5" t="str" cm="1">
        <f t="array" ref="H815">IF(NOT(ISBLANK(A815)),((_xlfn.XLOOKUP(1,(_bbt3[[#All],[ID]]=A815)*(_bbt3[[#All],[METRIC_NAME]]="YLD_YTM_ASK"),_bbt3[[#All],[METRIC_VALUE]])*0.5)+(_xlfn.XLOOKUP(1,(_bbt3[[#All],[ID]]=A815)*(_bbt3[[#All],[METRIC_NAME]]="YLD_YTM_BID"),_bbt3[[#All],[METRIC_VALUE]])*0.5))/100,"")</f>
        <v/>
      </c>
      <c r="I815">
        <f>IF(ISNA(VLOOKUP(A815,QW_CloseDL!A:E,5,0)),0,VLOOKUP(A815,QW_CloseDL!A:E,5,0))</f>
        <v>0</v>
      </c>
      <c r="J815" s="8" t="str">
        <f t="shared" si="60"/>
        <v/>
      </c>
      <c r="P815">
        <v>0</v>
      </c>
      <c r="Q815" t="e">
        <f t="shared" si="61"/>
        <v>#N/A</v>
      </c>
      <c r="R815" t="e">
        <f t="shared" si="62"/>
        <v>#N/A</v>
      </c>
      <c r="S815" s="9" t="e">
        <f t="shared" si="63"/>
        <v>#N/A</v>
      </c>
      <c r="T815" s="3" t="e">
        <f t="shared" si="64"/>
        <v>#N/A</v>
      </c>
    </row>
    <row r="816" spans="2:20" x14ac:dyDescent="0.35">
      <c r="B816" t="str">
        <f>IF(NOT(ISBLANK(A816)),VLOOKUP(A816,'BBT3'!A:F,2,0),"")</f>
        <v/>
      </c>
      <c r="C816" t="str">
        <f>IF(NOT(ISBLANK(A816)),VLOOKUP(A816,'BBT3'!A:F,3,0),"")</f>
        <v/>
      </c>
      <c r="D816" s="6" t="str">
        <f>IF(NOT(ISBLANK(A816)),VLOOKUP(A816,'BBT3'!A:F,4,1),"")</f>
        <v/>
      </c>
      <c r="E816" t="str">
        <f>IF(NOT(ISBLANK(A816)),VLOOKUP(A816,'BBT3'!A:F,5,0),"")</f>
        <v/>
      </c>
      <c r="F816" t="str">
        <f>IF(NOT(ISBLANK(A816)),VLOOKUP(A816,'BBT3'!A:F,6,0),"")</f>
        <v/>
      </c>
      <c r="G816" t="str">
        <f>IF(NOT(ISBLANK(A816)),VLOOKUP(A816,QW_Close!A:J,5,0),"")</f>
        <v/>
      </c>
      <c r="H816" s="5" t="str" cm="1">
        <f t="array" ref="H816">IF(NOT(ISBLANK(A816)),((_xlfn.XLOOKUP(1,(_bbt3[[#All],[ID]]=A816)*(_bbt3[[#All],[METRIC_NAME]]="YLD_YTM_ASK"),_bbt3[[#All],[METRIC_VALUE]])*0.5)+(_xlfn.XLOOKUP(1,(_bbt3[[#All],[ID]]=A816)*(_bbt3[[#All],[METRIC_NAME]]="YLD_YTM_BID"),_bbt3[[#All],[METRIC_VALUE]])*0.5))/100,"")</f>
        <v/>
      </c>
      <c r="I816">
        <f>IF(ISNA(VLOOKUP(A816,QW_CloseDL!A:E,5,0)),0,VLOOKUP(A816,QW_CloseDL!A:E,5,0))</f>
        <v>0</v>
      </c>
      <c r="J816" s="8" t="str">
        <f t="shared" si="60"/>
        <v/>
      </c>
      <c r="P816">
        <v>0</v>
      </c>
      <c r="Q816" t="e">
        <f t="shared" si="61"/>
        <v>#N/A</v>
      </c>
      <c r="R816" t="e">
        <f t="shared" si="62"/>
        <v>#N/A</v>
      </c>
      <c r="S816" s="9" t="e">
        <f t="shared" si="63"/>
        <v>#N/A</v>
      </c>
      <c r="T816" s="3" t="e">
        <f t="shared" si="64"/>
        <v>#N/A</v>
      </c>
    </row>
    <row r="817" spans="2:20" x14ac:dyDescent="0.35">
      <c r="B817" t="str">
        <f>IF(NOT(ISBLANK(A817)),VLOOKUP(A817,'BBT3'!A:F,2,0),"")</f>
        <v/>
      </c>
      <c r="C817" t="str">
        <f>IF(NOT(ISBLANK(A817)),VLOOKUP(A817,'BBT3'!A:F,3,0),"")</f>
        <v/>
      </c>
      <c r="D817" s="6" t="str">
        <f>IF(NOT(ISBLANK(A817)),VLOOKUP(A817,'BBT3'!A:F,4,1),"")</f>
        <v/>
      </c>
      <c r="E817" t="str">
        <f>IF(NOT(ISBLANK(A817)),VLOOKUP(A817,'BBT3'!A:F,5,0),"")</f>
        <v/>
      </c>
      <c r="F817" t="str">
        <f>IF(NOT(ISBLANK(A817)),VLOOKUP(A817,'BBT3'!A:F,6,0),"")</f>
        <v/>
      </c>
      <c r="G817" t="str">
        <f>IF(NOT(ISBLANK(A817)),VLOOKUP(A817,QW_Close!A:J,5,0),"")</f>
        <v/>
      </c>
      <c r="H817" s="5" t="str" cm="1">
        <f t="array" ref="H817">IF(NOT(ISBLANK(A817)),((_xlfn.XLOOKUP(1,(_bbt3[[#All],[ID]]=A817)*(_bbt3[[#All],[METRIC_NAME]]="YLD_YTM_ASK"),_bbt3[[#All],[METRIC_VALUE]])*0.5)+(_xlfn.XLOOKUP(1,(_bbt3[[#All],[ID]]=A817)*(_bbt3[[#All],[METRIC_NAME]]="YLD_YTM_BID"),_bbt3[[#All],[METRIC_VALUE]])*0.5))/100,"")</f>
        <v/>
      </c>
      <c r="I817">
        <f>IF(ISNA(VLOOKUP(A817,QW_CloseDL!A:E,5,0)),0,VLOOKUP(A817,QW_CloseDL!A:E,5,0))</f>
        <v>0</v>
      </c>
      <c r="J817" s="8" t="str">
        <f t="shared" si="60"/>
        <v/>
      </c>
      <c r="P817">
        <v>0</v>
      </c>
      <c r="Q817" t="e">
        <f t="shared" si="61"/>
        <v>#N/A</v>
      </c>
      <c r="R817" t="e">
        <f t="shared" si="62"/>
        <v>#N/A</v>
      </c>
      <c r="S817" s="9" t="e">
        <f t="shared" si="63"/>
        <v>#N/A</v>
      </c>
      <c r="T817" s="3" t="e">
        <f t="shared" si="64"/>
        <v>#N/A</v>
      </c>
    </row>
    <row r="818" spans="2:20" x14ac:dyDescent="0.35">
      <c r="B818" t="str">
        <f>IF(NOT(ISBLANK(A818)),VLOOKUP(A818,'BBT3'!A:F,2,0),"")</f>
        <v/>
      </c>
      <c r="C818" t="str">
        <f>IF(NOT(ISBLANK(A818)),VLOOKUP(A818,'BBT3'!A:F,3,0),"")</f>
        <v/>
      </c>
      <c r="D818" s="6" t="str">
        <f>IF(NOT(ISBLANK(A818)),VLOOKUP(A818,'BBT3'!A:F,4,1),"")</f>
        <v/>
      </c>
      <c r="E818" t="str">
        <f>IF(NOT(ISBLANK(A818)),VLOOKUP(A818,'BBT3'!A:F,5,0),"")</f>
        <v/>
      </c>
      <c r="F818" t="str">
        <f>IF(NOT(ISBLANK(A818)),VLOOKUP(A818,'BBT3'!A:F,6,0),"")</f>
        <v/>
      </c>
      <c r="G818" t="str">
        <f>IF(NOT(ISBLANK(A818)),VLOOKUP(A818,QW_Close!A:J,5,0),"")</f>
        <v/>
      </c>
      <c r="H818" s="5" t="str" cm="1">
        <f t="array" ref="H818">IF(NOT(ISBLANK(A818)),((_xlfn.XLOOKUP(1,(_bbt3[[#All],[ID]]=A818)*(_bbt3[[#All],[METRIC_NAME]]="YLD_YTM_ASK"),_bbt3[[#All],[METRIC_VALUE]])*0.5)+(_xlfn.XLOOKUP(1,(_bbt3[[#All],[ID]]=A818)*(_bbt3[[#All],[METRIC_NAME]]="YLD_YTM_BID"),_bbt3[[#All],[METRIC_VALUE]])*0.5))/100,"")</f>
        <v/>
      </c>
      <c r="I818">
        <f>IF(ISNA(VLOOKUP(A818,QW_CloseDL!A:E,5,0)),0,VLOOKUP(A818,QW_CloseDL!A:E,5,0))</f>
        <v>0</v>
      </c>
      <c r="J818" s="8" t="str">
        <f t="shared" si="60"/>
        <v/>
      </c>
      <c r="P818">
        <v>0</v>
      </c>
      <c r="Q818" t="e">
        <f t="shared" si="61"/>
        <v>#N/A</v>
      </c>
      <c r="R818" t="e">
        <f t="shared" si="62"/>
        <v>#N/A</v>
      </c>
      <c r="S818" s="9" t="e">
        <f t="shared" si="63"/>
        <v>#N/A</v>
      </c>
      <c r="T818" s="3" t="e">
        <f t="shared" si="64"/>
        <v>#N/A</v>
      </c>
    </row>
    <row r="819" spans="2:20" x14ac:dyDescent="0.35">
      <c r="B819" t="str">
        <f>IF(NOT(ISBLANK(A819)),VLOOKUP(A819,'BBT3'!A:F,2,0),"")</f>
        <v/>
      </c>
      <c r="C819" t="str">
        <f>IF(NOT(ISBLANK(A819)),VLOOKUP(A819,'BBT3'!A:F,3,0),"")</f>
        <v/>
      </c>
      <c r="D819" s="6" t="str">
        <f>IF(NOT(ISBLANK(A819)),VLOOKUP(A819,'BBT3'!A:F,4,1),"")</f>
        <v/>
      </c>
      <c r="E819" t="str">
        <f>IF(NOT(ISBLANK(A819)),VLOOKUP(A819,'BBT3'!A:F,5,0),"")</f>
        <v/>
      </c>
      <c r="F819" t="str">
        <f>IF(NOT(ISBLANK(A819)),VLOOKUP(A819,'BBT3'!A:F,6,0),"")</f>
        <v/>
      </c>
      <c r="G819" t="str">
        <f>IF(NOT(ISBLANK(A819)),VLOOKUP(A819,QW_Close!A:J,5,0),"")</f>
        <v/>
      </c>
      <c r="H819" s="5" t="str" cm="1">
        <f t="array" ref="H819">IF(NOT(ISBLANK(A819)),((_xlfn.XLOOKUP(1,(_bbt3[[#All],[ID]]=A819)*(_bbt3[[#All],[METRIC_NAME]]="YLD_YTM_ASK"),_bbt3[[#All],[METRIC_VALUE]])*0.5)+(_xlfn.XLOOKUP(1,(_bbt3[[#All],[ID]]=A819)*(_bbt3[[#All],[METRIC_NAME]]="YLD_YTM_BID"),_bbt3[[#All],[METRIC_VALUE]])*0.5))/100,"")</f>
        <v/>
      </c>
      <c r="I819">
        <f>IF(ISNA(VLOOKUP(A819,QW_CloseDL!A:E,5,0)),0,VLOOKUP(A819,QW_CloseDL!A:E,5,0))</f>
        <v>0</v>
      </c>
      <c r="J819" s="8" t="str">
        <f t="shared" si="60"/>
        <v/>
      </c>
      <c r="P819">
        <v>0</v>
      </c>
      <c r="Q819" t="e">
        <f t="shared" si="61"/>
        <v>#N/A</v>
      </c>
      <c r="R819" t="e">
        <f t="shared" si="62"/>
        <v>#N/A</v>
      </c>
      <c r="S819" s="9" t="e">
        <f t="shared" si="63"/>
        <v>#N/A</v>
      </c>
      <c r="T819" s="3" t="e">
        <f t="shared" si="64"/>
        <v>#N/A</v>
      </c>
    </row>
    <row r="820" spans="2:20" x14ac:dyDescent="0.35">
      <c r="B820" t="str">
        <f>IF(NOT(ISBLANK(A820)),VLOOKUP(A820,'BBT3'!A:F,2,0),"")</f>
        <v/>
      </c>
      <c r="C820" t="str">
        <f>IF(NOT(ISBLANK(A820)),VLOOKUP(A820,'BBT3'!A:F,3,0),"")</f>
        <v/>
      </c>
      <c r="D820" s="6" t="str">
        <f>IF(NOT(ISBLANK(A820)),VLOOKUP(A820,'BBT3'!A:F,4,1),"")</f>
        <v/>
      </c>
      <c r="E820" t="str">
        <f>IF(NOT(ISBLANK(A820)),VLOOKUP(A820,'BBT3'!A:F,5,0),"")</f>
        <v/>
      </c>
      <c r="F820" t="str">
        <f>IF(NOT(ISBLANK(A820)),VLOOKUP(A820,'BBT3'!A:F,6,0),"")</f>
        <v/>
      </c>
      <c r="G820" t="str">
        <f>IF(NOT(ISBLANK(A820)),VLOOKUP(A820,QW_Close!A:J,5,0),"")</f>
        <v/>
      </c>
      <c r="H820" s="5" t="str" cm="1">
        <f t="array" ref="H820">IF(NOT(ISBLANK(A820)),((_xlfn.XLOOKUP(1,(_bbt3[[#All],[ID]]=A820)*(_bbt3[[#All],[METRIC_NAME]]="YLD_YTM_ASK"),_bbt3[[#All],[METRIC_VALUE]])*0.5)+(_xlfn.XLOOKUP(1,(_bbt3[[#All],[ID]]=A820)*(_bbt3[[#All],[METRIC_NAME]]="YLD_YTM_BID"),_bbt3[[#All],[METRIC_VALUE]])*0.5))/100,"")</f>
        <v/>
      </c>
      <c r="I820">
        <f>IF(ISNA(VLOOKUP(A820,QW_CloseDL!A:E,5,0)),0,VLOOKUP(A820,QW_CloseDL!A:E,5,0))</f>
        <v>0</v>
      </c>
      <c r="J820" s="8" t="str">
        <f t="shared" si="60"/>
        <v/>
      </c>
      <c r="P820">
        <v>0</v>
      </c>
      <c r="Q820" t="e">
        <f t="shared" si="61"/>
        <v>#N/A</v>
      </c>
      <c r="R820" t="e">
        <f t="shared" si="62"/>
        <v>#N/A</v>
      </c>
      <c r="S820" s="9" t="e">
        <f t="shared" si="63"/>
        <v>#N/A</v>
      </c>
      <c r="T820" s="3" t="e">
        <f t="shared" si="64"/>
        <v>#N/A</v>
      </c>
    </row>
    <row r="821" spans="2:20" x14ac:dyDescent="0.35">
      <c r="B821" t="str">
        <f>IF(NOT(ISBLANK(A821)),VLOOKUP(A821,'BBT3'!A:F,2,0),"")</f>
        <v/>
      </c>
      <c r="C821" t="str">
        <f>IF(NOT(ISBLANK(A821)),VLOOKUP(A821,'BBT3'!A:F,3,0),"")</f>
        <v/>
      </c>
      <c r="D821" s="6" t="str">
        <f>IF(NOT(ISBLANK(A821)),VLOOKUP(A821,'BBT3'!A:F,4,1),"")</f>
        <v/>
      </c>
      <c r="E821" t="str">
        <f>IF(NOT(ISBLANK(A821)),VLOOKUP(A821,'BBT3'!A:F,5,0),"")</f>
        <v/>
      </c>
      <c r="F821" t="str">
        <f>IF(NOT(ISBLANK(A821)),VLOOKUP(A821,'BBT3'!A:F,6,0),"")</f>
        <v/>
      </c>
      <c r="G821" t="str">
        <f>IF(NOT(ISBLANK(A821)),VLOOKUP(A821,QW_Close!A:J,5,0),"")</f>
        <v/>
      </c>
      <c r="H821" s="5" t="str" cm="1">
        <f t="array" ref="H821">IF(NOT(ISBLANK(A821)),((_xlfn.XLOOKUP(1,(_bbt3[[#All],[ID]]=A821)*(_bbt3[[#All],[METRIC_NAME]]="YLD_YTM_ASK"),_bbt3[[#All],[METRIC_VALUE]])*0.5)+(_xlfn.XLOOKUP(1,(_bbt3[[#All],[ID]]=A821)*(_bbt3[[#All],[METRIC_NAME]]="YLD_YTM_BID"),_bbt3[[#All],[METRIC_VALUE]])*0.5))/100,"")</f>
        <v/>
      </c>
      <c r="I821">
        <f>IF(ISNA(VLOOKUP(A821,QW_CloseDL!A:E,5,0)),0,VLOOKUP(A821,QW_CloseDL!A:E,5,0))</f>
        <v>0</v>
      </c>
      <c r="J821" s="8" t="str">
        <f t="shared" si="60"/>
        <v/>
      </c>
      <c r="P821">
        <v>0</v>
      </c>
      <c r="Q821" t="e">
        <f t="shared" si="61"/>
        <v>#N/A</v>
      </c>
      <c r="R821" t="e">
        <f t="shared" si="62"/>
        <v>#N/A</v>
      </c>
      <c r="S821" s="9" t="e">
        <f t="shared" si="63"/>
        <v>#N/A</v>
      </c>
      <c r="T821" s="3" t="e">
        <f t="shared" si="64"/>
        <v>#N/A</v>
      </c>
    </row>
    <row r="822" spans="2:20" x14ac:dyDescent="0.35">
      <c r="B822" t="str">
        <f>IF(NOT(ISBLANK(A822)),VLOOKUP(A822,'BBT3'!A:F,2,0),"")</f>
        <v/>
      </c>
      <c r="C822" t="str">
        <f>IF(NOT(ISBLANK(A822)),VLOOKUP(A822,'BBT3'!A:F,3,0),"")</f>
        <v/>
      </c>
      <c r="D822" s="6" t="str">
        <f>IF(NOT(ISBLANK(A822)),VLOOKUP(A822,'BBT3'!A:F,4,1),"")</f>
        <v/>
      </c>
      <c r="E822" t="str">
        <f>IF(NOT(ISBLANK(A822)),VLOOKUP(A822,'BBT3'!A:F,5,0),"")</f>
        <v/>
      </c>
      <c r="F822" t="str">
        <f>IF(NOT(ISBLANK(A822)),VLOOKUP(A822,'BBT3'!A:F,6,0),"")</f>
        <v/>
      </c>
      <c r="G822" t="str">
        <f>IF(NOT(ISBLANK(A822)),VLOOKUP(A822,QW_Close!A:J,5,0),"")</f>
        <v/>
      </c>
      <c r="H822" s="5" t="str" cm="1">
        <f t="array" ref="H822">IF(NOT(ISBLANK(A822)),((_xlfn.XLOOKUP(1,(_bbt3[[#All],[ID]]=A822)*(_bbt3[[#All],[METRIC_NAME]]="YLD_YTM_ASK"),_bbt3[[#All],[METRIC_VALUE]])*0.5)+(_xlfn.XLOOKUP(1,(_bbt3[[#All],[ID]]=A822)*(_bbt3[[#All],[METRIC_NAME]]="YLD_YTM_BID"),_bbt3[[#All],[METRIC_VALUE]])*0.5))/100,"")</f>
        <v/>
      </c>
      <c r="I822">
        <f>IF(ISNA(VLOOKUP(A822,QW_CloseDL!A:E,5,0)),0,VLOOKUP(A822,QW_CloseDL!A:E,5,0))</f>
        <v>0</v>
      </c>
      <c r="J822" s="8" t="str">
        <f t="shared" si="60"/>
        <v/>
      </c>
      <c r="P822">
        <v>0</v>
      </c>
      <c r="Q822" t="e">
        <f t="shared" si="61"/>
        <v>#N/A</v>
      </c>
      <c r="R822" t="e">
        <f t="shared" si="62"/>
        <v>#N/A</v>
      </c>
      <c r="S822" s="9" t="e">
        <f t="shared" si="63"/>
        <v>#N/A</v>
      </c>
      <c r="T822" s="3" t="e">
        <f t="shared" si="64"/>
        <v>#N/A</v>
      </c>
    </row>
    <row r="823" spans="2:20" x14ac:dyDescent="0.35">
      <c r="B823" t="str">
        <f>IF(NOT(ISBLANK(A823)),VLOOKUP(A823,'BBT3'!A:F,2,0),"")</f>
        <v/>
      </c>
      <c r="C823" t="str">
        <f>IF(NOT(ISBLANK(A823)),VLOOKUP(A823,'BBT3'!A:F,3,0),"")</f>
        <v/>
      </c>
      <c r="D823" s="6" t="str">
        <f>IF(NOT(ISBLANK(A823)),VLOOKUP(A823,'BBT3'!A:F,4,1),"")</f>
        <v/>
      </c>
      <c r="E823" t="str">
        <f>IF(NOT(ISBLANK(A823)),VLOOKUP(A823,'BBT3'!A:F,5,0),"")</f>
        <v/>
      </c>
      <c r="F823" t="str">
        <f>IF(NOT(ISBLANK(A823)),VLOOKUP(A823,'BBT3'!A:F,6,0),"")</f>
        <v/>
      </c>
      <c r="G823" t="str">
        <f>IF(NOT(ISBLANK(A823)),VLOOKUP(A823,QW_Close!A:J,5,0),"")</f>
        <v/>
      </c>
      <c r="H823" s="5" t="str" cm="1">
        <f t="array" ref="H823">IF(NOT(ISBLANK(A823)),((_xlfn.XLOOKUP(1,(_bbt3[[#All],[ID]]=A823)*(_bbt3[[#All],[METRIC_NAME]]="YLD_YTM_ASK"),_bbt3[[#All],[METRIC_VALUE]])*0.5)+(_xlfn.XLOOKUP(1,(_bbt3[[#All],[ID]]=A823)*(_bbt3[[#All],[METRIC_NAME]]="YLD_YTM_BID"),_bbt3[[#All],[METRIC_VALUE]])*0.5))/100,"")</f>
        <v/>
      </c>
      <c r="I823">
        <f>IF(ISNA(VLOOKUP(A823,QW_CloseDL!A:E,5,0)),0,VLOOKUP(A823,QW_CloseDL!A:E,5,0))</f>
        <v>0</v>
      </c>
      <c r="J823" s="8" t="str">
        <f t="shared" si="60"/>
        <v/>
      </c>
      <c r="P823">
        <v>0</v>
      </c>
      <c r="Q823" t="e">
        <f t="shared" si="61"/>
        <v>#N/A</v>
      </c>
      <c r="R823" t="e">
        <f t="shared" si="62"/>
        <v>#N/A</v>
      </c>
      <c r="S823" s="9" t="e">
        <f t="shared" si="63"/>
        <v>#N/A</v>
      </c>
      <c r="T823" s="3" t="e">
        <f t="shared" si="64"/>
        <v>#N/A</v>
      </c>
    </row>
    <row r="824" spans="2:20" x14ac:dyDescent="0.35">
      <c r="B824" t="str">
        <f>IF(NOT(ISBLANK(A824)),VLOOKUP(A824,'BBT3'!A:F,2,0),"")</f>
        <v/>
      </c>
      <c r="C824" t="str">
        <f>IF(NOT(ISBLANK(A824)),VLOOKUP(A824,'BBT3'!A:F,3,0),"")</f>
        <v/>
      </c>
      <c r="D824" s="6" t="str">
        <f>IF(NOT(ISBLANK(A824)),VLOOKUP(A824,'BBT3'!A:F,4,1),"")</f>
        <v/>
      </c>
      <c r="E824" t="str">
        <f>IF(NOT(ISBLANK(A824)),VLOOKUP(A824,'BBT3'!A:F,5,0),"")</f>
        <v/>
      </c>
      <c r="F824" t="str">
        <f>IF(NOT(ISBLANK(A824)),VLOOKUP(A824,'BBT3'!A:F,6,0),"")</f>
        <v/>
      </c>
      <c r="G824" t="str">
        <f>IF(NOT(ISBLANK(A824)),VLOOKUP(A824,QW_Close!A:J,5,0),"")</f>
        <v/>
      </c>
      <c r="H824" s="5" t="str" cm="1">
        <f t="array" ref="H824">IF(NOT(ISBLANK(A824)),((_xlfn.XLOOKUP(1,(_bbt3[[#All],[ID]]=A824)*(_bbt3[[#All],[METRIC_NAME]]="YLD_YTM_ASK"),_bbt3[[#All],[METRIC_VALUE]])*0.5)+(_xlfn.XLOOKUP(1,(_bbt3[[#All],[ID]]=A824)*(_bbt3[[#All],[METRIC_NAME]]="YLD_YTM_BID"),_bbt3[[#All],[METRIC_VALUE]])*0.5))/100,"")</f>
        <v/>
      </c>
      <c r="I824">
        <f>IF(ISNA(VLOOKUP(A824,QW_CloseDL!A:E,5,0)),0,VLOOKUP(A824,QW_CloseDL!A:E,5,0))</f>
        <v>0</v>
      </c>
      <c r="J824" s="8" t="str">
        <f t="shared" si="60"/>
        <v/>
      </c>
      <c r="P824">
        <v>0</v>
      </c>
      <c r="Q824" t="e">
        <f t="shared" si="61"/>
        <v>#N/A</v>
      </c>
      <c r="R824" t="e">
        <f t="shared" si="62"/>
        <v>#N/A</v>
      </c>
      <c r="S824" s="9" t="e">
        <f t="shared" si="63"/>
        <v>#N/A</v>
      </c>
      <c r="T824" s="3" t="e">
        <f t="shared" si="64"/>
        <v>#N/A</v>
      </c>
    </row>
    <row r="825" spans="2:20" x14ac:dyDescent="0.35">
      <c r="B825" t="str">
        <f>IF(NOT(ISBLANK(A825)),VLOOKUP(A825,'BBT3'!A:F,2,0),"")</f>
        <v/>
      </c>
      <c r="C825" t="str">
        <f>IF(NOT(ISBLANK(A825)),VLOOKUP(A825,'BBT3'!A:F,3,0),"")</f>
        <v/>
      </c>
      <c r="D825" s="6" t="str">
        <f>IF(NOT(ISBLANK(A825)),VLOOKUP(A825,'BBT3'!A:F,4,1),"")</f>
        <v/>
      </c>
      <c r="E825" t="str">
        <f>IF(NOT(ISBLANK(A825)),VLOOKUP(A825,'BBT3'!A:F,5,0),"")</f>
        <v/>
      </c>
      <c r="F825" t="str">
        <f>IF(NOT(ISBLANK(A825)),VLOOKUP(A825,'BBT3'!A:F,6,0),"")</f>
        <v/>
      </c>
      <c r="G825" t="str">
        <f>IF(NOT(ISBLANK(A825)),VLOOKUP(A825,QW_Close!A:J,5,0),"")</f>
        <v/>
      </c>
      <c r="H825" s="5" t="str" cm="1">
        <f t="array" ref="H825">IF(NOT(ISBLANK(A825)),((_xlfn.XLOOKUP(1,(_bbt3[[#All],[ID]]=A825)*(_bbt3[[#All],[METRIC_NAME]]="YLD_YTM_ASK"),_bbt3[[#All],[METRIC_VALUE]])*0.5)+(_xlfn.XLOOKUP(1,(_bbt3[[#All],[ID]]=A825)*(_bbt3[[#All],[METRIC_NAME]]="YLD_YTM_BID"),_bbt3[[#All],[METRIC_VALUE]])*0.5))/100,"")</f>
        <v/>
      </c>
      <c r="I825">
        <f>IF(ISNA(VLOOKUP(A825,QW_CloseDL!A:E,5,0)),0,VLOOKUP(A825,QW_CloseDL!A:E,5,0))</f>
        <v>0</v>
      </c>
      <c r="J825" s="8" t="str">
        <f t="shared" si="60"/>
        <v/>
      </c>
      <c r="P825">
        <v>0</v>
      </c>
      <c r="Q825" t="e">
        <f t="shared" si="61"/>
        <v>#N/A</v>
      </c>
      <c r="R825" t="e">
        <f t="shared" si="62"/>
        <v>#N/A</v>
      </c>
      <c r="S825" s="9" t="e">
        <f t="shared" si="63"/>
        <v>#N/A</v>
      </c>
      <c r="T825" s="3" t="e">
        <f t="shared" si="64"/>
        <v>#N/A</v>
      </c>
    </row>
    <row r="826" spans="2:20" x14ac:dyDescent="0.35">
      <c r="B826" t="str">
        <f>IF(NOT(ISBLANK(A826)),VLOOKUP(A826,'BBT3'!A:F,2,0),"")</f>
        <v/>
      </c>
      <c r="C826" t="str">
        <f>IF(NOT(ISBLANK(A826)),VLOOKUP(A826,'BBT3'!A:F,3,0),"")</f>
        <v/>
      </c>
      <c r="D826" s="6" t="str">
        <f>IF(NOT(ISBLANK(A826)),VLOOKUP(A826,'BBT3'!A:F,4,1),"")</f>
        <v/>
      </c>
      <c r="E826" t="str">
        <f>IF(NOT(ISBLANK(A826)),VLOOKUP(A826,'BBT3'!A:F,5,0),"")</f>
        <v/>
      </c>
      <c r="F826" t="str">
        <f>IF(NOT(ISBLANK(A826)),VLOOKUP(A826,'BBT3'!A:F,6,0),"")</f>
        <v/>
      </c>
      <c r="G826" t="str">
        <f>IF(NOT(ISBLANK(A826)),VLOOKUP(A826,QW_Close!A:J,5,0),"")</f>
        <v/>
      </c>
      <c r="H826" s="5" t="str" cm="1">
        <f t="array" ref="H826">IF(NOT(ISBLANK(A826)),((_xlfn.XLOOKUP(1,(_bbt3[[#All],[ID]]=A826)*(_bbt3[[#All],[METRIC_NAME]]="YLD_YTM_ASK"),_bbt3[[#All],[METRIC_VALUE]])*0.5)+(_xlfn.XLOOKUP(1,(_bbt3[[#All],[ID]]=A826)*(_bbt3[[#All],[METRIC_NAME]]="YLD_YTM_BID"),_bbt3[[#All],[METRIC_VALUE]])*0.5))/100,"")</f>
        <v/>
      </c>
      <c r="I826">
        <f>IF(ISNA(VLOOKUP(A826,QW_CloseDL!A:E,5,0)),0,VLOOKUP(A826,QW_CloseDL!A:E,5,0))</f>
        <v>0</v>
      </c>
      <c r="J826" s="8" t="str">
        <f t="shared" si="60"/>
        <v/>
      </c>
      <c r="P826">
        <v>0</v>
      </c>
      <c r="Q826" t="e">
        <f t="shared" si="61"/>
        <v>#N/A</v>
      </c>
      <c r="R826" t="e">
        <f t="shared" si="62"/>
        <v>#N/A</v>
      </c>
      <c r="S826" s="9" t="e">
        <f t="shared" si="63"/>
        <v>#N/A</v>
      </c>
      <c r="T826" s="3" t="e">
        <f t="shared" si="64"/>
        <v>#N/A</v>
      </c>
    </row>
    <row r="827" spans="2:20" x14ac:dyDescent="0.35">
      <c r="B827" t="str">
        <f>IF(NOT(ISBLANK(A827)),VLOOKUP(A827,'BBT3'!A:F,2,0),"")</f>
        <v/>
      </c>
      <c r="C827" t="str">
        <f>IF(NOT(ISBLANK(A827)),VLOOKUP(A827,'BBT3'!A:F,3,0),"")</f>
        <v/>
      </c>
      <c r="D827" s="6" t="str">
        <f>IF(NOT(ISBLANK(A827)),VLOOKUP(A827,'BBT3'!A:F,4,1),"")</f>
        <v/>
      </c>
      <c r="E827" t="str">
        <f>IF(NOT(ISBLANK(A827)),VLOOKUP(A827,'BBT3'!A:F,5,0),"")</f>
        <v/>
      </c>
      <c r="F827" t="str">
        <f>IF(NOT(ISBLANK(A827)),VLOOKUP(A827,'BBT3'!A:F,6,0),"")</f>
        <v/>
      </c>
      <c r="G827" t="str">
        <f>IF(NOT(ISBLANK(A827)),VLOOKUP(A827,QW_Close!A:J,5,0),"")</f>
        <v/>
      </c>
      <c r="H827" s="5" t="str" cm="1">
        <f t="array" ref="H827">IF(NOT(ISBLANK(A827)),((_xlfn.XLOOKUP(1,(_bbt3[[#All],[ID]]=A827)*(_bbt3[[#All],[METRIC_NAME]]="YLD_YTM_ASK"),_bbt3[[#All],[METRIC_VALUE]])*0.5)+(_xlfn.XLOOKUP(1,(_bbt3[[#All],[ID]]=A827)*(_bbt3[[#All],[METRIC_NAME]]="YLD_YTM_BID"),_bbt3[[#All],[METRIC_VALUE]])*0.5))/100,"")</f>
        <v/>
      </c>
      <c r="I827">
        <f>IF(ISNA(VLOOKUP(A827,QW_CloseDL!A:E,5,0)),0,VLOOKUP(A827,QW_CloseDL!A:E,5,0))</f>
        <v>0</v>
      </c>
      <c r="J827" s="8" t="str">
        <f t="shared" si="60"/>
        <v/>
      </c>
      <c r="P827">
        <v>0</v>
      </c>
      <c r="Q827" t="e">
        <f t="shared" si="61"/>
        <v>#N/A</v>
      </c>
      <c r="R827" t="e">
        <f t="shared" si="62"/>
        <v>#N/A</v>
      </c>
      <c r="S827" s="9" t="e">
        <f t="shared" si="63"/>
        <v>#N/A</v>
      </c>
      <c r="T827" s="3" t="e">
        <f t="shared" si="64"/>
        <v>#N/A</v>
      </c>
    </row>
    <row r="828" spans="2:20" x14ac:dyDescent="0.35">
      <c r="B828" t="str">
        <f>IF(NOT(ISBLANK(A828)),VLOOKUP(A828,'BBT3'!A:F,2,0),"")</f>
        <v/>
      </c>
      <c r="C828" t="str">
        <f>IF(NOT(ISBLANK(A828)),VLOOKUP(A828,'BBT3'!A:F,3,0),"")</f>
        <v/>
      </c>
      <c r="D828" s="6" t="str">
        <f>IF(NOT(ISBLANK(A828)),VLOOKUP(A828,'BBT3'!A:F,4,1),"")</f>
        <v/>
      </c>
      <c r="E828" t="str">
        <f>IF(NOT(ISBLANK(A828)),VLOOKUP(A828,'BBT3'!A:F,5,0),"")</f>
        <v/>
      </c>
      <c r="F828" t="str">
        <f>IF(NOT(ISBLANK(A828)),VLOOKUP(A828,'BBT3'!A:F,6,0),"")</f>
        <v/>
      </c>
      <c r="G828" t="str">
        <f>IF(NOT(ISBLANK(A828)),VLOOKUP(A828,QW_Close!A:J,5,0),"")</f>
        <v/>
      </c>
      <c r="H828" s="5" t="str" cm="1">
        <f t="array" ref="H828">IF(NOT(ISBLANK(A828)),((_xlfn.XLOOKUP(1,(_bbt3[[#All],[ID]]=A828)*(_bbt3[[#All],[METRIC_NAME]]="YLD_YTM_ASK"),_bbt3[[#All],[METRIC_VALUE]])*0.5)+(_xlfn.XLOOKUP(1,(_bbt3[[#All],[ID]]=A828)*(_bbt3[[#All],[METRIC_NAME]]="YLD_YTM_BID"),_bbt3[[#All],[METRIC_VALUE]])*0.5))/100,"")</f>
        <v/>
      </c>
      <c r="I828">
        <f>IF(ISNA(VLOOKUP(A828,QW_CloseDL!A:E,5,0)),0,VLOOKUP(A828,QW_CloseDL!A:E,5,0))</f>
        <v>0</v>
      </c>
      <c r="J828" s="8" t="str">
        <f t="shared" si="60"/>
        <v/>
      </c>
      <c r="P828">
        <v>0</v>
      </c>
      <c r="Q828" t="e">
        <f t="shared" si="61"/>
        <v>#N/A</v>
      </c>
      <c r="R828" t="e">
        <f t="shared" si="62"/>
        <v>#N/A</v>
      </c>
      <c r="S828" s="9" t="e">
        <f t="shared" si="63"/>
        <v>#N/A</v>
      </c>
      <c r="T828" s="3" t="e">
        <f t="shared" si="64"/>
        <v>#N/A</v>
      </c>
    </row>
    <row r="829" spans="2:20" x14ac:dyDescent="0.35">
      <c r="B829" t="str">
        <f>IF(NOT(ISBLANK(A829)),VLOOKUP(A829,'BBT3'!A:F,2,0),"")</f>
        <v/>
      </c>
      <c r="C829" t="str">
        <f>IF(NOT(ISBLANK(A829)),VLOOKUP(A829,'BBT3'!A:F,3,0),"")</f>
        <v/>
      </c>
      <c r="D829" s="6" t="str">
        <f>IF(NOT(ISBLANK(A829)),VLOOKUP(A829,'BBT3'!A:F,4,1),"")</f>
        <v/>
      </c>
      <c r="E829" t="str">
        <f>IF(NOT(ISBLANK(A829)),VLOOKUP(A829,'BBT3'!A:F,5,0),"")</f>
        <v/>
      </c>
      <c r="F829" t="str">
        <f>IF(NOT(ISBLANK(A829)),VLOOKUP(A829,'BBT3'!A:F,6,0),"")</f>
        <v/>
      </c>
      <c r="G829" t="str">
        <f>IF(NOT(ISBLANK(A829)),VLOOKUP(A829,QW_Close!A:J,5,0),"")</f>
        <v/>
      </c>
      <c r="H829" s="5" t="str" cm="1">
        <f t="array" ref="H829">IF(NOT(ISBLANK(A829)),((_xlfn.XLOOKUP(1,(_bbt3[[#All],[ID]]=A829)*(_bbt3[[#All],[METRIC_NAME]]="YLD_YTM_ASK"),_bbt3[[#All],[METRIC_VALUE]])*0.5)+(_xlfn.XLOOKUP(1,(_bbt3[[#All],[ID]]=A829)*(_bbt3[[#All],[METRIC_NAME]]="YLD_YTM_BID"),_bbt3[[#All],[METRIC_VALUE]])*0.5))/100,"")</f>
        <v/>
      </c>
      <c r="I829">
        <f>IF(ISNA(VLOOKUP(A829,QW_CloseDL!A:E,5,0)),0,VLOOKUP(A829,QW_CloseDL!A:E,5,0))</f>
        <v>0</v>
      </c>
      <c r="J829" s="8" t="str">
        <f t="shared" si="60"/>
        <v/>
      </c>
      <c r="P829">
        <v>0</v>
      </c>
      <c r="Q829" t="e">
        <f t="shared" si="61"/>
        <v>#N/A</v>
      </c>
      <c r="R829" t="e">
        <f t="shared" si="62"/>
        <v>#N/A</v>
      </c>
      <c r="S829" s="9" t="e">
        <f t="shared" si="63"/>
        <v>#N/A</v>
      </c>
      <c r="T829" s="3" t="e">
        <f t="shared" si="64"/>
        <v>#N/A</v>
      </c>
    </row>
    <row r="830" spans="2:20" x14ac:dyDescent="0.35">
      <c r="B830" t="str">
        <f>IF(NOT(ISBLANK(A830)),VLOOKUP(A830,'BBT3'!A:F,2,0),"")</f>
        <v/>
      </c>
      <c r="C830" t="str">
        <f>IF(NOT(ISBLANK(A830)),VLOOKUP(A830,'BBT3'!A:F,3,0),"")</f>
        <v/>
      </c>
      <c r="D830" s="6" t="str">
        <f>IF(NOT(ISBLANK(A830)),VLOOKUP(A830,'BBT3'!A:F,4,1),"")</f>
        <v/>
      </c>
      <c r="E830" t="str">
        <f>IF(NOT(ISBLANK(A830)),VLOOKUP(A830,'BBT3'!A:F,5,0),"")</f>
        <v/>
      </c>
      <c r="F830" t="str">
        <f>IF(NOT(ISBLANK(A830)),VLOOKUP(A830,'BBT3'!A:F,6,0),"")</f>
        <v/>
      </c>
      <c r="G830" t="str">
        <f>IF(NOT(ISBLANK(A830)),VLOOKUP(A830,QW_Close!A:J,5,0),"")</f>
        <v/>
      </c>
      <c r="H830" s="5" t="str" cm="1">
        <f t="array" ref="H830">IF(NOT(ISBLANK(A830)),((_xlfn.XLOOKUP(1,(_bbt3[[#All],[ID]]=A830)*(_bbt3[[#All],[METRIC_NAME]]="YLD_YTM_ASK"),_bbt3[[#All],[METRIC_VALUE]])*0.5)+(_xlfn.XLOOKUP(1,(_bbt3[[#All],[ID]]=A830)*(_bbt3[[#All],[METRIC_NAME]]="YLD_YTM_BID"),_bbt3[[#All],[METRIC_VALUE]])*0.5))/100,"")</f>
        <v/>
      </c>
      <c r="I830">
        <f>IF(ISNA(VLOOKUP(A830,QW_CloseDL!A:E,5,0)),0,VLOOKUP(A830,QW_CloseDL!A:E,5,0))</f>
        <v>0</v>
      </c>
      <c r="J830" s="8" t="str">
        <f t="shared" si="60"/>
        <v/>
      </c>
      <c r="P830">
        <v>0</v>
      </c>
      <c r="Q830" t="e">
        <f t="shared" si="61"/>
        <v>#N/A</v>
      </c>
      <c r="R830" t="e">
        <f t="shared" si="62"/>
        <v>#N/A</v>
      </c>
      <c r="S830" s="9" t="e">
        <f t="shared" si="63"/>
        <v>#N/A</v>
      </c>
      <c r="T830" s="3" t="e">
        <f t="shared" si="64"/>
        <v>#N/A</v>
      </c>
    </row>
    <row r="831" spans="2:20" x14ac:dyDescent="0.35">
      <c r="B831" t="str">
        <f>IF(NOT(ISBLANK(A831)),VLOOKUP(A831,'BBT3'!A:F,2,0),"")</f>
        <v/>
      </c>
      <c r="C831" t="str">
        <f>IF(NOT(ISBLANK(A831)),VLOOKUP(A831,'BBT3'!A:F,3,0),"")</f>
        <v/>
      </c>
      <c r="D831" s="6" t="str">
        <f>IF(NOT(ISBLANK(A831)),VLOOKUP(A831,'BBT3'!A:F,4,1),"")</f>
        <v/>
      </c>
      <c r="E831" t="str">
        <f>IF(NOT(ISBLANK(A831)),VLOOKUP(A831,'BBT3'!A:F,5,0),"")</f>
        <v/>
      </c>
      <c r="F831" t="str">
        <f>IF(NOT(ISBLANK(A831)),VLOOKUP(A831,'BBT3'!A:F,6,0),"")</f>
        <v/>
      </c>
      <c r="G831" t="str">
        <f>IF(NOT(ISBLANK(A831)),VLOOKUP(A831,QW_Close!A:J,5,0),"")</f>
        <v/>
      </c>
      <c r="H831" s="5" t="str" cm="1">
        <f t="array" ref="H831">IF(NOT(ISBLANK(A831)),((_xlfn.XLOOKUP(1,(_bbt3[[#All],[ID]]=A831)*(_bbt3[[#All],[METRIC_NAME]]="YLD_YTM_ASK"),_bbt3[[#All],[METRIC_VALUE]])*0.5)+(_xlfn.XLOOKUP(1,(_bbt3[[#All],[ID]]=A831)*(_bbt3[[#All],[METRIC_NAME]]="YLD_YTM_BID"),_bbt3[[#All],[METRIC_VALUE]])*0.5))/100,"")</f>
        <v/>
      </c>
      <c r="I831">
        <f>IF(ISNA(VLOOKUP(A831,QW_CloseDL!A:E,5,0)),0,VLOOKUP(A831,QW_CloseDL!A:E,5,0))</f>
        <v>0</v>
      </c>
      <c r="J831" s="8" t="str">
        <f t="shared" si="60"/>
        <v/>
      </c>
      <c r="P831">
        <v>0</v>
      </c>
      <c r="Q831" t="e">
        <f t="shared" si="61"/>
        <v>#N/A</v>
      </c>
      <c r="R831" t="e">
        <f t="shared" si="62"/>
        <v>#N/A</v>
      </c>
      <c r="S831" s="9" t="e">
        <f t="shared" si="63"/>
        <v>#N/A</v>
      </c>
      <c r="T831" s="3" t="e">
        <f t="shared" si="64"/>
        <v>#N/A</v>
      </c>
    </row>
    <row r="832" spans="2:20" x14ac:dyDescent="0.35">
      <c r="B832" t="str">
        <f>IF(NOT(ISBLANK(A832)),VLOOKUP(A832,'BBT3'!A:F,2,0),"")</f>
        <v/>
      </c>
      <c r="C832" t="str">
        <f>IF(NOT(ISBLANK(A832)),VLOOKUP(A832,'BBT3'!A:F,3,0),"")</f>
        <v/>
      </c>
      <c r="D832" s="6" t="str">
        <f>IF(NOT(ISBLANK(A832)),VLOOKUP(A832,'BBT3'!A:F,4,1),"")</f>
        <v/>
      </c>
      <c r="E832" t="str">
        <f>IF(NOT(ISBLANK(A832)),VLOOKUP(A832,'BBT3'!A:F,5,0),"")</f>
        <v/>
      </c>
      <c r="F832" t="str">
        <f>IF(NOT(ISBLANK(A832)),VLOOKUP(A832,'BBT3'!A:F,6,0),"")</f>
        <v/>
      </c>
      <c r="G832" t="str">
        <f>IF(NOT(ISBLANK(A832)),VLOOKUP(A832,QW_Close!A:J,5,0),"")</f>
        <v/>
      </c>
      <c r="H832" s="5" t="str" cm="1">
        <f t="array" ref="H832">IF(NOT(ISBLANK(A832)),((_xlfn.XLOOKUP(1,(_bbt3[[#All],[ID]]=A832)*(_bbt3[[#All],[METRIC_NAME]]="YLD_YTM_ASK"),_bbt3[[#All],[METRIC_VALUE]])*0.5)+(_xlfn.XLOOKUP(1,(_bbt3[[#All],[ID]]=A832)*(_bbt3[[#All],[METRIC_NAME]]="YLD_YTM_BID"),_bbt3[[#All],[METRIC_VALUE]])*0.5))/100,"")</f>
        <v/>
      </c>
      <c r="I832">
        <f>IF(ISNA(VLOOKUP(A832,QW_CloseDL!A:E,5,0)),0,VLOOKUP(A832,QW_CloseDL!A:E,5,0))</f>
        <v>0</v>
      </c>
      <c r="J832" s="8" t="str">
        <f t="shared" si="60"/>
        <v/>
      </c>
      <c r="P832">
        <v>0</v>
      </c>
      <c r="Q832" t="e">
        <f t="shared" si="61"/>
        <v>#N/A</v>
      </c>
      <c r="R832" t="e">
        <f t="shared" si="62"/>
        <v>#N/A</v>
      </c>
      <c r="S832" s="9" t="e">
        <f t="shared" si="63"/>
        <v>#N/A</v>
      </c>
      <c r="T832" s="3" t="e">
        <f t="shared" si="64"/>
        <v>#N/A</v>
      </c>
    </row>
    <row r="833" spans="2:20" x14ac:dyDescent="0.35">
      <c r="B833" t="str">
        <f>IF(NOT(ISBLANK(A833)),VLOOKUP(A833,'BBT3'!A:F,2,0),"")</f>
        <v/>
      </c>
      <c r="C833" t="str">
        <f>IF(NOT(ISBLANK(A833)),VLOOKUP(A833,'BBT3'!A:F,3,0),"")</f>
        <v/>
      </c>
      <c r="D833" s="6" t="str">
        <f>IF(NOT(ISBLANK(A833)),VLOOKUP(A833,'BBT3'!A:F,4,1),"")</f>
        <v/>
      </c>
      <c r="E833" t="str">
        <f>IF(NOT(ISBLANK(A833)),VLOOKUP(A833,'BBT3'!A:F,5,0),"")</f>
        <v/>
      </c>
      <c r="F833" t="str">
        <f>IF(NOT(ISBLANK(A833)),VLOOKUP(A833,'BBT3'!A:F,6,0),"")</f>
        <v/>
      </c>
      <c r="G833" t="str">
        <f>IF(NOT(ISBLANK(A833)),VLOOKUP(A833,QW_Close!A:J,5,0),"")</f>
        <v/>
      </c>
      <c r="H833" s="5" t="str" cm="1">
        <f t="array" ref="H833">IF(NOT(ISBLANK(A833)),((_xlfn.XLOOKUP(1,(_bbt3[[#All],[ID]]=A833)*(_bbt3[[#All],[METRIC_NAME]]="YLD_YTM_ASK"),_bbt3[[#All],[METRIC_VALUE]])*0.5)+(_xlfn.XLOOKUP(1,(_bbt3[[#All],[ID]]=A833)*(_bbt3[[#All],[METRIC_NAME]]="YLD_YTM_BID"),_bbt3[[#All],[METRIC_VALUE]])*0.5))/100,"")</f>
        <v/>
      </c>
      <c r="I833">
        <f>IF(ISNA(VLOOKUP(A833,QW_CloseDL!A:E,5,0)),0,VLOOKUP(A833,QW_CloseDL!A:E,5,0))</f>
        <v>0</v>
      </c>
      <c r="J833" s="8" t="str">
        <f t="shared" si="60"/>
        <v/>
      </c>
      <c r="P833">
        <v>0</v>
      </c>
      <c r="Q833" t="e">
        <f t="shared" si="61"/>
        <v>#N/A</v>
      </c>
      <c r="R833" t="e">
        <f t="shared" si="62"/>
        <v>#N/A</v>
      </c>
      <c r="S833" s="9" t="e">
        <f t="shared" si="63"/>
        <v>#N/A</v>
      </c>
      <c r="T833" s="3" t="e">
        <f t="shared" si="64"/>
        <v>#N/A</v>
      </c>
    </row>
    <row r="834" spans="2:20" x14ac:dyDescent="0.35">
      <c r="B834" t="str">
        <f>IF(NOT(ISBLANK(A834)),VLOOKUP(A834,'BBT3'!A:F,2,0),"")</f>
        <v/>
      </c>
      <c r="C834" t="str">
        <f>IF(NOT(ISBLANK(A834)),VLOOKUP(A834,'BBT3'!A:F,3,0),"")</f>
        <v/>
      </c>
      <c r="D834" s="6" t="str">
        <f>IF(NOT(ISBLANK(A834)),VLOOKUP(A834,'BBT3'!A:F,4,1),"")</f>
        <v/>
      </c>
      <c r="E834" t="str">
        <f>IF(NOT(ISBLANK(A834)),VLOOKUP(A834,'BBT3'!A:F,5,0),"")</f>
        <v/>
      </c>
      <c r="F834" t="str">
        <f>IF(NOT(ISBLANK(A834)),VLOOKUP(A834,'BBT3'!A:F,6,0),"")</f>
        <v/>
      </c>
      <c r="G834" t="str">
        <f>IF(NOT(ISBLANK(A834)),VLOOKUP(A834,QW_Close!A:J,5,0),"")</f>
        <v/>
      </c>
      <c r="H834" s="5" t="str" cm="1">
        <f t="array" ref="H834">IF(NOT(ISBLANK(A834)),((_xlfn.XLOOKUP(1,(_bbt3[[#All],[ID]]=A834)*(_bbt3[[#All],[METRIC_NAME]]="YLD_YTM_ASK"),_bbt3[[#All],[METRIC_VALUE]])*0.5)+(_xlfn.XLOOKUP(1,(_bbt3[[#All],[ID]]=A834)*(_bbt3[[#All],[METRIC_NAME]]="YLD_YTM_BID"),_bbt3[[#All],[METRIC_VALUE]])*0.5))/100,"")</f>
        <v/>
      </c>
      <c r="I834">
        <f>IF(ISNA(VLOOKUP(A834,QW_CloseDL!A:E,5,0)),0,VLOOKUP(A834,QW_CloseDL!A:E,5,0))</f>
        <v>0</v>
      </c>
      <c r="J834" s="8" t="str">
        <f t="shared" si="60"/>
        <v/>
      </c>
      <c r="P834">
        <v>0</v>
      </c>
      <c r="Q834" t="e">
        <f t="shared" si="61"/>
        <v>#N/A</v>
      </c>
      <c r="R834" t="e">
        <f t="shared" si="62"/>
        <v>#N/A</v>
      </c>
      <c r="S834" s="9" t="e">
        <f t="shared" si="63"/>
        <v>#N/A</v>
      </c>
      <c r="T834" s="3" t="e">
        <f t="shared" si="64"/>
        <v>#N/A</v>
      </c>
    </row>
    <row r="835" spans="2:20" x14ac:dyDescent="0.35">
      <c r="B835" t="str">
        <f>IF(NOT(ISBLANK(A835)),VLOOKUP(A835,'BBT3'!A:F,2,0),"")</f>
        <v/>
      </c>
      <c r="C835" t="str">
        <f>IF(NOT(ISBLANK(A835)),VLOOKUP(A835,'BBT3'!A:F,3,0),"")</f>
        <v/>
      </c>
      <c r="D835" s="6" t="str">
        <f>IF(NOT(ISBLANK(A835)),VLOOKUP(A835,'BBT3'!A:F,4,1),"")</f>
        <v/>
      </c>
      <c r="E835" t="str">
        <f>IF(NOT(ISBLANK(A835)),VLOOKUP(A835,'BBT3'!A:F,5,0),"")</f>
        <v/>
      </c>
      <c r="F835" t="str">
        <f>IF(NOT(ISBLANK(A835)),VLOOKUP(A835,'BBT3'!A:F,6,0),"")</f>
        <v/>
      </c>
      <c r="G835" t="str">
        <f>IF(NOT(ISBLANK(A835)),VLOOKUP(A835,QW_Close!A:J,5,0),"")</f>
        <v/>
      </c>
      <c r="H835" s="5" t="str" cm="1">
        <f t="array" ref="H835">IF(NOT(ISBLANK(A835)),((_xlfn.XLOOKUP(1,(_bbt3[[#All],[ID]]=A835)*(_bbt3[[#All],[METRIC_NAME]]="YLD_YTM_ASK"),_bbt3[[#All],[METRIC_VALUE]])*0.5)+(_xlfn.XLOOKUP(1,(_bbt3[[#All],[ID]]=A835)*(_bbt3[[#All],[METRIC_NAME]]="YLD_YTM_BID"),_bbt3[[#All],[METRIC_VALUE]])*0.5))/100,"")</f>
        <v/>
      </c>
      <c r="I835">
        <f>IF(ISNA(VLOOKUP(A835,QW_CloseDL!A:E,5,0)),0,VLOOKUP(A835,QW_CloseDL!A:E,5,0))</f>
        <v>0</v>
      </c>
      <c r="J835" s="8" t="str">
        <f t="shared" ref="J835:J898" si="65">IF(ISNA(IF(NOT(ISBLANK(A835)),ABS(G835-I835),"")),0,(IF(NOT(ISBLANK(A835)),ABS(G835-I835)*10000,"")))</f>
        <v/>
      </c>
      <c r="P835">
        <v>0</v>
      </c>
      <c r="Q835" t="e">
        <f t="shared" si="61"/>
        <v>#N/A</v>
      </c>
      <c r="R835" t="e">
        <f t="shared" si="62"/>
        <v>#N/A</v>
      </c>
      <c r="S835" s="9" t="e">
        <f t="shared" si="63"/>
        <v>#N/A</v>
      </c>
      <c r="T835" s="3" t="e">
        <f t="shared" si="64"/>
        <v>#N/A</v>
      </c>
    </row>
    <row r="836" spans="2:20" x14ac:dyDescent="0.35">
      <c r="B836" t="str">
        <f>IF(NOT(ISBLANK(A836)),VLOOKUP(A836,'BBT3'!A:F,2,0),"")</f>
        <v/>
      </c>
      <c r="C836" t="str">
        <f>IF(NOT(ISBLANK(A836)),VLOOKUP(A836,'BBT3'!A:F,3,0),"")</f>
        <v/>
      </c>
      <c r="D836" s="6" t="str">
        <f>IF(NOT(ISBLANK(A836)),VLOOKUP(A836,'BBT3'!A:F,4,1),"")</f>
        <v/>
      </c>
      <c r="E836" t="str">
        <f>IF(NOT(ISBLANK(A836)),VLOOKUP(A836,'BBT3'!A:F,5,0),"")</f>
        <v/>
      </c>
      <c r="F836" t="str">
        <f>IF(NOT(ISBLANK(A836)),VLOOKUP(A836,'BBT3'!A:F,6,0),"")</f>
        <v/>
      </c>
      <c r="G836" t="str">
        <f>IF(NOT(ISBLANK(A836)),VLOOKUP(A836,QW_Close!A:J,5,0),"")</f>
        <v/>
      </c>
      <c r="H836" s="5" t="str" cm="1">
        <f t="array" ref="H836">IF(NOT(ISBLANK(A836)),((_xlfn.XLOOKUP(1,(_bbt3[[#All],[ID]]=A836)*(_bbt3[[#All],[METRIC_NAME]]="YLD_YTM_ASK"),_bbt3[[#All],[METRIC_VALUE]])*0.5)+(_xlfn.XLOOKUP(1,(_bbt3[[#All],[ID]]=A836)*(_bbt3[[#All],[METRIC_NAME]]="YLD_YTM_BID"),_bbt3[[#All],[METRIC_VALUE]])*0.5))/100,"")</f>
        <v/>
      </c>
      <c r="I836">
        <f>IF(ISNA(VLOOKUP(A836,QW_CloseDL!A:E,5,0)),0,VLOOKUP(A836,QW_CloseDL!A:E,5,0))</f>
        <v>0</v>
      </c>
      <c r="J836" s="8" t="str">
        <f t="shared" si="65"/>
        <v/>
      </c>
      <c r="P836">
        <v>0</v>
      </c>
      <c r="Q836" t="e">
        <f t="shared" si="61"/>
        <v>#N/A</v>
      </c>
      <c r="R836" t="e">
        <f t="shared" si="62"/>
        <v>#N/A</v>
      </c>
      <c r="S836" s="9" t="e">
        <f t="shared" si="63"/>
        <v>#N/A</v>
      </c>
      <c r="T836" s="3" t="e">
        <f t="shared" si="64"/>
        <v>#N/A</v>
      </c>
    </row>
    <row r="837" spans="2:20" x14ac:dyDescent="0.35">
      <c r="B837" t="str">
        <f>IF(NOT(ISBLANK(A837)),VLOOKUP(A837,'BBT3'!A:F,2,0),"")</f>
        <v/>
      </c>
      <c r="C837" t="str">
        <f>IF(NOT(ISBLANK(A837)),VLOOKUP(A837,'BBT3'!A:F,3,0),"")</f>
        <v/>
      </c>
      <c r="D837" s="6" t="str">
        <f>IF(NOT(ISBLANK(A837)),VLOOKUP(A837,'BBT3'!A:F,4,1),"")</f>
        <v/>
      </c>
      <c r="E837" t="str">
        <f>IF(NOT(ISBLANK(A837)),VLOOKUP(A837,'BBT3'!A:F,5,0),"")</f>
        <v/>
      </c>
      <c r="F837" t="str">
        <f>IF(NOT(ISBLANK(A837)),VLOOKUP(A837,'BBT3'!A:F,6,0),"")</f>
        <v/>
      </c>
      <c r="G837" t="str">
        <f>IF(NOT(ISBLANK(A837)),VLOOKUP(A837,QW_Close!A:J,5,0),"")</f>
        <v/>
      </c>
      <c r="H837" s="5" t="str" cm="1">
        <f t="array" ref="H837">IF(NOT(ISBLANK(A837)),((_xlfn.XLOOKUP(1,(_bbt3[[#All],[ID]]=A837)*(_bbt3[[#All],[METRIC_NAME]]="YLD_YTM_ASK"),_bbt3[[#All],[METRIC_VALUE]])*0.5)+(_xlfn.XLOOKUP(1,(_bbt3[[#All],[ID]]=A837)*(_bbt3[[#All],[METRIC_NAME]]="YLD_YTM_BID"),_bbt3[[#All],[METRIC_VALUE]])*0.5))/100,"")</f>
        <v/>
      </c>
      <c r="I837">
        <f>IF(ISNA(VLOOKUP(A837,QW_CloseDL!A:E,5,0)),0,VLOOKUP(A837,QW_CloseDL!A:E,5,0))</f>
        <v>0</v>
      </c>
      <c r="J837" s="8" t="str">
        <f t="shared" si="65"/>
        <v/>
      </c>
      <c r="P837">
        <v>0</v>
      </c>
      <c r="Q837" t="e">
        <f t="shared" si="61"/>
        <v>#N/A</v>
      </c>
      <c r="R837" t="e">
        <f t="shared" si="62"/>
        <v>#N/A</v>
      </c>
      <c r="S837" s="9" t="e">
        <f t="shared" si="63"/>
        <v>#N/A</v>
      </c>
      <c r="T837" s="3" t="e">
        <f t="shared" si="64"/>
        <v>#N/A</v>
      </c>
    </row>
    <row r="838" spans="2:20" x14ac:dyDescent="0.35">
      <c r="B838" t="str">
        <f>IF(NOT(ISBLANK(A838)),VLOOKUP(A838,'BBT3'!A:F,2,0),"")</f>
        <v/>
      </c>
      <c r="C838" t="str">
        <f>IF(NOT(ISBLANK(A838)),VLOOKUP(A838,'BBT3'!A:F,3,0),"")</f>
        <v/>
      </c>
      <c r="D838" s="6" t="str">
        <f>IF(NOT(ISBLANK(A838)),VLOOKUP(A838,'BBT3'!A:F,4,1),"")</f>
        <v/>
      </c>
      <c r="E838" t="str">
        <f>IF(NOT(ISBLANK(A838)),VLOOKUP(A838,'BBT3'!A:F,5,0),"")</f>
        <v/>
      </c>
      <c r="F838" t="str">
        <f>IF(NOT(ISBLANK(A838)),VLOOKUP(A838,'BBT3'!A:F,6,0),"")</f>
        <v/>
      </c>
      <c r="G838" t="str">
        <f>IF(NOT(ISBLANK(A838)),VLOOKUP(A838,QW_Close!A:J,5,0),"")</f>
        <v/>
      </c>
      <c r="H838" s="5" t="str" cm="1">
        <f t="array" ref="H838">IF(NOT(ISBLANK(A838)),((_xlfn.XLOOKUP(1,(_bbt3[[#All],[ID]]=A838)*(_bbt3[[#All],[METRIC_NAME]]="YLD_YTM_ASK"),_bbt3[[#All],[METRIC_VALUE]])*0.5)+(_xlfn.XLOOKUP(1,(_bbt3[[#All],[ID]]=A838)*(_bbt3[[#All],[METRIC_NAME]]="YLD_YTM_BID"),_bbt3[[#All],[METRIC_VALUE]])*0.5))/100,"")</f>
        <v/>
      </c>
      <c r="I838">
        <f>IF(ISNA(VLOOKUP(A838,QW_CloseDL!A:E,5,0)),0,VLOOKUP(A838,QW_CloseDL!A:E,5,0))</f>
        <v>0</v>
      </c>
      <c r="J838" s="8" t="str">
        <f t="shared" si="65"/>
        <v/>
      </c>
      <c r="P838">
        <v>0</v>
      </c>
      <c r="Q838" t="e">
        <f t="shared" si="61"/>
        <v>#N/A</v>
      </c>
      <c r="R838" t="e">
        <f t="shared" si="62"/>
        <v>#N/A</v>
      </c>
      <c r="S838" s="9" t="e">
        <f t="shared" si="63"/>
        <v>#N/A</v>
      </c>
      <c r="T838" s="3" t="e">
        <f t="shared" si="64"/>
        <v>#N/A</v>
      </c>
    </row>
    <row r="839" spans="2:20" x14ac:dyDescent="0.35">
      <c r="B839" t="str">
        <f>IF(NOT(ISBLANK(A839)),VLOOKUP(A839,'BBT3'!A:F,2,0),"")</f>
        <v/>
      </c>
      <c r="C839" t="str">
        <f>IF(NOT(ISBLANK(A839)),VLOOKUP(A839,'BBT3'!A:F,3,0),"")</f>
        <v/>
      </c>
      <c r="D839" s="6" t="str">
        <f>IF(NOT(ISBLANK(A839)),VLOOKUP(A839,'BBT3'!A:F,4,1),"")</f>
        <v/>
      </c>
      <c r="E839" t="str">
        <f>IF(NOT(ISBLANK(A839)),VLOOKUP(A839,'BBT3'!A:F,5,0),"")</f>
        <v/>
      </c>
      <c r="F839" t="str">
        <f>IF(NOT(ISBLANK(A839)),VLOOKUP(A839,'BBT3'!A:F,6,0),"")</f>
        <v/>
      </c>
      <c r="G839" t="str">
        <f>IF(NOT(ISBLANK(A839)),VLOOKUP(A839,QW_Close!A:J,5,0),"")</f>
        <v/>
      </c>
      <c r="H839" s="5" t="str" cm="1">
        <f t="array" ref="H839">IF(NOT(ISBLANK(A839)),((_xlfn.XLOOKUP(1,(_bbt3[[#All],[ID]]=A839)*(_bbt3[[#All],[METRIC_NAME]]="YLD_YTM_ASK"),_bbt3[[#All],[METRIC_VALUE]])*0.5)+(_xlfn.XLOOKUP(1,(_bbt3[[#All],[ID]]=A839)*(_bbt3[[#All],[METRIC_NAME]]="YLD_YTM_BID"),_bbt3[[#All],[METRIC_VALUE]])*0.5))/100,"")</f>
        <v/>
      </c>
      <c r="I839">
        <f>IF(ISNA(VLOOKUP(A839,QW_CloseDL!A:E,5,0)),0,VLOOKUP(A839,QW_CloseDL!A:E,5,0))</f>
        <v>0</v>
      </c>
      <c r="J839" s="8" t="str">
        <f t="shared" si="65"/>
        <v/>
      </c>
      <c r="P839">
        <v>0</v>
      </c>
      <c r="Q839" t="e">
        <f t="shared" si="61"/>
        <v>#N/A</v>
      </c>
      <c r="R839" t="e">
        <f t="shared" si="62"/>
        <v>#N/A</v>
      </c>
      <c r="S839" s="9" t="e">
        <f t="shared" si="63"/>
        <v>#N/A</v>
      </c>
      <c r="T839" s="3" t="e">
        <f t="shared" si="64"/>
        <v>#N/A</v>
      </c>
    </row>
    <row r="840" spans="2:20" x14ac:dyDescent="0.35">
      <c r="B840" t="str">
        <f>IF(NOT(ISBLANK(A840)),VLOOKUP(A840,'BBT3'!A:F,2,0),"")</f>
        <v/>
      </c>
      <c r="C840" t="str">
        <f>IF(NOT(ISBLANK(A840)),VLOOKUP(A840,'BBT3'!A:F,3,0),"")</f>
        <v/>
      </c>
      <c r="D840" s="6" t="str">
        <f>IF(NOT(ISBLANK(A840)),VLOOKUP(A840,'BBT3'!A:F,4,1),"")</f>
        <v/>
      </c>
      <c r="E840" t="str">
        <f>IF(NOT(ISBLANK(A840)),VLOOKUP(A840,'BBT3'!A:F,5,0),"")</f>
        <v/>
      </c>
      <c r="F840" t="str">
        <f>IF(NOT(ISBLANK(A840)),VLOOKUP(A840,'BBT3'!A:F,6,0),"")</f>
        <v/>
      </c>
      <c r="G840" t="str">
        <f>IF(NOT(ISBLANK(A840)),VLOOKUP(A840,QW_Close!A:J,5,0),"")</f>
        <v/>
      </c>
      <c r="H840" s="5" t="str" cm="1">
        <f t="array" ref="H840">IF(NOT(ISBLANK(A840)),((_xlfn.XLOOKUP(1,(_bbt3[[#All],[ID]]=A840)*(_bbt3[[#All],[METRIC_NAME]]="YLD_YTM_ASK"),_bbt3[[#All],[METRIC_VALUE]])*0.5)+(_xlfn.XLOOKUP(1,(_bbt3[[#All],[ID]]=A840)*(_bbt3[[#All],[METRIC_NAME]]="YLD_YTM_BID"),_bbt3[[#All],[METRIC_VALUE]])*0.5))/100,"")</f>
        <v/>
      </c>
      <c r="I840">
        <f>IF(ISNA(VLOOKUP(A840,QW_CloseDL!A:E,5,0)),0,VLOOKUP(A840,QW_CloseDL!A:E,5,0))</f>
        <v>0</v>
      </c>
      <c r="J840" s="8" t="str">
        <f t="shared" si="65"/>
        <v/>
      </c>
      <c r="P840">
        <v>0</v>
      </c>
      <c r="Q840" t="e">
        <f t="shared" si="61"/>
        <v>#N/A</v>
      </c>
      <c r="R840" t="e">
        <f t="shared" si="62"/>
        <v>#N/A</v>
      </c>
      <c r="S840" s="9" t="e">
        <f t="shared" si="63"/>
        <v>#N/A</v>
      </c>
      <c r="T840" s="3" t="e">
        <f t="shared" si="64"/>
        <v>#N/A</v>
      </c>
    </row>
    <row r="841" spans="2:20" x14ac:dyDescent="0.35">
      <c r="B841" t="str">
        <f>IF(NOT(ISBLANK(A841)),VLOOKUP(A841,'BBT3'!A:F,2,0),"")</f>
        <v/>
      </c>
      <c r="C841" t="str">
        <f>IF(NOT(ISBLANK(A841)),VLOOKUP(A841,'BBT3'!A:F,3,0),"")</f>
        <v/>
      </c>
      <c r="D841" s="6" t="str">
        <f>IF(NOT(ISBLANK(A841)),VLOOKUP(A841,'BBT3'!A:F,4,1),"")</f>
        <v/>
      </c>
      <c r="E841" t="str">
        <f>IF(NOT(ISBLANK(A841)),VLOOKUP(A841,'BBT3'!A:F,5,0),"")</f>
        <v/>
      </c>
      <c r="F841" t="str">
        <f>IF(NOT(ISBLANK(A841)),VLOOKUP(A841,'BBT3'!A:F,6,0),"")</f>
        <v/>
      </c>
      <c r="G841" t="str">
        <f>IF(NOT(ISBLANK(A841)),VLOOKUP(A841,QW_Close!A:J,5,0),"")</f>
        <v/>
      </c>
      <c r="H841" s="5" t="str" cm="1">
        <f t="array" ref="H841">IF(NOT(ISBLANK(A841)),((_xlfn.XLOOKUP(1,(_bbt3[[#All],[ID]]=A841)*(_bbt3[[#All],[METRIC_NAME]]="YLD_YTM_ASK"),_bbt3[[#All],[METRIC_VALUE]])*0.5)+(_xlfn.XLOOKUP(1,(_bbt3[[#All],[ID]]=A841)*(_bbt3[[#All],[METRIC_NAME]]="YLD_YTM_BID"),_bbt3[[#All],[METRIC_VALUE]])*0.5))/100,"")</f>
        <v/>
      </c>
      <c r="I841">
        <f>IF(ISNA(VLOOKUP(A841,QW_CloseDL!A:E,5,0)),0,VLOOKUP(A841,QW_CloseDL!A:E,5,0))</f>
        <v>0</v>
      </c>
      <c r="J841" s="8" t="str">
        <f t="shared" si="65"/>
        <v/>
      </c>
      <c r="P841">
        <v>0</v>
      </c>
      <c r="Q841" t="e">
        <f t="shared" si="61"/>
        <v>#N/A</v>
      </c>
      <c r="R841" t="e">
        <f t="shared" si="62"/>
        <v>#N/A</v>
      </c>
      <c r="S841" s="9" t="e">
        <f t="shared" si="63"/>
        <v>#N/A</v>
      </c>
      <c r="T841" s="3" t="e">
        <f t="shared" si="64"/>
        <v>#N/A</v>
      </c>
    </row>
    <row r="842" spans="2:20" x14ac:dyDescent="0.35">
      <c r="B842" t="str">
        <f>IF(NOT(ISBLANK(A842)),VLOOKUP(A842,'BBT3'!A:F,2,0),"")</f>
        <v/>
      </c>
      <c r="C842" t="str">
        <f>IF(NOT(ISBLANK(A842)),VLOOKUP(A842,'BBT3'!A:F,3,0),"")</f>
        <v/>
      </c>
      <c r="D842" s="6" t="str">
        <f>IF(NOT(ISBLANK(A842)),VLOOKUP(A842,'BBT3'!A:F,4,1),"")</f>
        <v/>
      </c>
      <c r="E842" t="str">
        <f>IF(NOT(ISBLANK(A842)),VLOOKUP(A842,'BBT3'!A:F,5,0),"")</f>
        <v/>
      </c>
      <c r="F842" t="str">
        <f>IF(NOT(ISBLANK(A842)),VLOOKUP(A842,'BBT3'!A:F,6,0),"")</f>
        <v/>
      </c>
      <c r="G842" t="str">
        <f>IF(NOT(ISBLANK(A842)),VLOOKUP(A842,QW_Close!A:J,5,0),"")</f>
        <v/>
      </c>
      <c r="H842" s="5" t="str" cm="1">
        <f t="array" ref="H842">IF(NOT(ISBLANK(A842)),((_xlfn.XLOOKUP(1,(_bbt3[[#All],[ID]]=A842)*(_bbt3[[#All],[METRIC_NAME]]="YLD_YTM_ASK"),_bbt3[[#All],[METRIC_VALUE]])*0.5)+(_xlfn.XLOOKUP(1,(_bbt3[[#All],[ID]]=A842)*(_bbt3[[#All],[METRIC_NAME]]="YLD_YTM_BID"),_bbt3[[#All],[METRIC_VALUE]])*0.5))/100,"")</f>
        <v/>
      </c>
      <c r="I842">
        <f>IF(ISNA(VLOOKUP(A842,QW_CloseDL!A:E,5,0)),0,VLOOKUP(A842,QW_CloseDL!A:E,5,0))</f>
        <v>0</v>
      </c>
      <c r="J842" s="8" t="str">
        <f t="shared" si="65"/>
        <v/>
      </c>
      <c r="P842">
        <v>0</v>
      </c>
      <c r="Q842" t="e">
        <f t="shared" si="61"/>
        <v>#N/A</v>
      </c>
      <c r="R842" t="e">
        <f t="shared" si="62"/>
        <v>#N/A</v>
      </c>
      <c r="S842" s="9" t="e">
        <f t="shared" si="63"/>
        <v>#N/A</v>
      </c>
      <c r="T842" s="3" t="e">
        <f t="shared" si="64"/>
        <v>#N/A</v>
      </c>
    </row>
    <row r="843" spans="2:20" x14ac:dyDescent="0.35">
      <c r="B843" t="str">
        <f>IF(NOT(ISBLANK(A843)),VLOOKUP(A843,'BBT3'!A:F,2,0),"")</f>
        <v/>
      </c>
      <c r="C843" t="str">
        <f>IF(NOT(ISBLANK(A843)),VLOOKUP(A843,'BBT3'!A:F,3,0),"")</f>
        <v/>
      </c>
      <c r="D843" s="6" t="str">
        <f>IF(NOT(ISBLANK(A843)),VLOOKUP(A843,'BBT3'!A:F,4,1),"")</f>
        <v/>
      </c>
      <c r="E843" t="str">
        <f>IF(NOT(ISBLANK(A843)),VLOOKUP(A843,'BBT3'!A:F,5,0),"")</f>
        <v/>
      </c>
      <c r="F843" t="str">
        <f>IF(NOT(ISBLANK(A843)),VLOOKUP(A843,'BBT3'!A:F,6,0),"")</f>
        <v/>
      </c>
      <c r="G843" t="str">
        <f>IF(NOT(ISBLANK(A843)),VLOOKUP(A843,QW_Close!A:J,5,0),"")</f>
        <v/>
      </c>
      <c r="H843" s="5" t="str" cm="1">
        <f t="array" ref="H843">IF(NOT(ISBLANK(A843)),((_xlfn.XLOOKUP(1,(_bbt3[[#All],[ID]]=A843)*(_bbt3[[#All],[METRIC_NAME]]="YLD_YTM_ASK"),_bbt3[[#All],[METRIC_VALUE]])*0.5)+(_xlfn.XLOOKUP(1,(_bbt3[[#All],[ID]]=A843)*(_bbt3[[#All],[METRIC_NAME]]="YLD_YTM_BID"),_bbt3[[#All],[METRIC_VALUE]])*0.5))/100,"")</f>
        <v/>
      </c>
      <c r="I843">
        <f>IF(ISNA(VLOOKUP(A843,QW_CloseDL!A:E,5,0)),0,VLOOKUP(A843,QW_CloseDL!A:E,5,0))</f>
        <v>0</v>
      </c>
      <c r="J843" s="8" t="str">
        <f t="shared" si="65"/>
        <v/>
      </c>
      <c r="P843">
        <v>0</v>
      </c>
      <c r="Q843" t="e">
        <f t="shared" si="61"/>
        <v>#N/A</v>
      </c>
      <c r="R843" t="e">
        <f t="shared" si="62"/>
        <v>#N/A</v>
      </c>
      <c r="S843" s="9" t="e">
        <f t="shared" si="63"/>
        <v>#N/A</v>
      </c>
      <c r="T843" s="3" t="e">
        <f t="shared" si="64"/>
        <v>#N/A</v>
      </c>
    </row>
    <row r="844" spans="2:20" x14ac:dyDescent="0.35">
      <c r="B844" t="str">
        <f>IF(NOT(ISBLANK(A844)),VLOOKUP(A844,'BBT3'!A:F,2,0),"")</f>
        <v/>
      </c>
      <c r="C844" t="str">
        <f>IF(NOT(ISBLANK(A844)),VLOOKUP(A844,'BBT3'!A:F,3,0),"")</f>
        <v/>
      </c>
      <c r="D844" s="6" t="str">
        <f>IF(NOT(ISBLANK(A844)),VLOOKUP(A844,'BBT3'!A:F,4,1),"")</f>
        <v/>
      </c>
      <c r="E844" t="str">
        <f>IF(NOT(ISBLANK(A844)),VLOOKUP(A844,'BBT3'!A:F,5,0),"")</f>
        <v/>
      </c>
      <c r="F844" t="str">
        <f>IF(NOT(ISBLANK(A844)),VLOOKUP(A844,'BBT3'!A:F,6,0),"")</f>
        <v/>
      </c>
      <c r="G844" t="str">
        <f>IF(NOT(ISBLANK(A844)),VLOOKUP(A844,QW_Close!A:J,5,0),"")</f>
        <v/>
      </c>
      <c r="H844" s="5" t="str" cm="1">
        <f t="array" ref="H844">IF(NOT(ISBLANK(A844)),((_xlfn.XLOOKUP(1,(_bbt3[[#All],[ID]]=A844)*(_bbt3[[#All],[METRIC_NAME]]="YLD_YTM_ASK"),_bbt3[[#All],[METRIC_VALUE]])*0.5)+(_xlfn.XLOOKUP(1,(_bbt3[[#All],[ID]]=A844)*(_bbt3[[#All],[METRIC_NAME]]="YLD_YTM_BID"),_bbt3[[#All],[METRIC_VALUE]])*0.5))/100,"")</f>
        <v/>
      </c>
      <c r="I844">
        <f>IF(ISNA(VLOOKUP(A844,QW_CloseDL!A:E,5,0)),0,VLOOKUP(A844,QW_CloseDL!A:E,5,0))</f>
        <v>0</v>
      </c>
      <c r="J844" s="8" t="str">
        <f t="shared" si="65"/>
        <v/>
      </c>
      <c r="P844">
        <v>0</v>
      </c>
      <c r="Q844" t="e">
        <f t="shared" si="61"/>
        <v>#N/A</v>
      </c>
      <c r="R844" t="e">
        <f t="shared" si="62"/>
        <v>#N/A</v>
      </c>
      <c r="S844" s="9" t="e">
        <f t="shared" si="63"/>
        <v>#N/A</v>
      </c>
      <c r="T844" s="3" t="e">
        <f t="shared" si="64"/>
        <v>#N/A</v>
      </c>
    </row>
    <row r="845" spans="2:20" x14ac:dyDescent="0.35">
      <c r="B845" t="str">
        <f>IF(NOT(ISBLANK(A845)),VLOOKUP(A845,'BBT3'!A:F,2,0),"")</f>
        <v/>
      </c>
      <c r="C845" t="str">
        <f>IF(NOT(ISBLANK(A845)),VLOOKUP(A845,'BBT3'!A:F,3,0),"")</f>
        <v/>
      </c>
      <c r="D845" s="6" t="str">
        <f>IF(NOT(ISBLANK(A845)),VLOOKUP(A845,'BBT3'!A:F,4,1),"")</f>
        <v/>
      </c>
      <c r="E845" t="str">
        <f>IF(NOT(ISBLANK(A845)),VLOOKUP(A845,'BBT3'!A:F,5,0),"")</f>
        <v/>
      </c>
      <c r="F845" t="str">
        <f>IF(NOT(ISBLANK(A845)),VLOOKUP(A845,'BBT3'!A:F,6,0),"")</f>
        <v/>
      </c>
      <c r="G845" t="str">
        <f>IF(NOT(ISBLANK(A845)),VLOOKUP(A845,QW_Close!A:J,5,0),"")</f>
        <v/>
      </c>
      <c r="H845" s="5" t="str" cm="1">
        <f t="array" ref="H845">IF(NOT(ISBLANK(A845)),((_xlfn.XLOOKUP(1,(_bbt3[[#All],[ID]]=A845)*(_bbt3[[#All],[METRIC_NAME]]="YLD_YTM_ASK"),_bbt3[[#All],[METRIC_VALUE]])*0.5)+(_xlfn.XLOOKUP(1,(_bbt3[[#All],[ID]]=A845)*(_bbt3[[#All],[METRIC_NAME]]="YLD_YTM_BID"),_bbt3[[#All],[METRIC_VALUE]])*0.5))/100,"")</f>
        <v/>
      </c>
      <c r="I845">
        <f>IF(ISNA(VLOOKUP(A845,QW_CloseDL!A:E,5,0)),0,VLOOKUP(A845,QW_CloseDL!A:E,5,0))</f>
        <v>0</v>
      </c>
      <c r="J845" s="8" t="str">
        <f t="shared" si="65"/>
        <v/>
      </c>
      <c r="P845">
        <v>0</v>
      </c>
      <c r="Q845" t="e">
        <f t="shared" ref="Q845:Q908" si="66">VLOOKUP(P845,A:B,2,0)</f>
        <v>#N/A</v>
      </c>
      <c r="R845" t="e">
        <f t="shared" ref="R845:R908" si="67">VLOOKUP(P845,A:E,4,0)</f>
        <v>#N/A</v>
      </c>
      <c r="S845" s="9" t="e">
        <f t="shared" ref="S845:S908" si="68">VLOOKUP(P845,A:J,10,0)</f>
        <v>#N/A</v>
      </c>
      <c r="T845" s="3" t="e">
        <f t="shared" ref="T845:T908" si="69">VLOOKUP(P845,A:J,5,0)</f>
        <v>#N/A</v>
      </c>
    </row>
    <row r="846" spans="2:20" x14ac:dyDescent="0.35">
      <c r="B846" t="str">
        <f>IF(NOT(ISBLANK(A846)),VLOOKUP(A846,'BBT3'!A:F,2,0),"")</f>
        <v/>
      </c>
      <c r="C846" t="str">
        <f>IF(NOT(ISBLANK(A846)),VLOOKUP(A846,'BBT3'!A:F,3,0),"")</f>
        <v/>
      </c>
      <c r="D846" s="6" t="str">
        <f>IF(NOT(ISBLANK(A846)),VLOOKUP(A846,'BBT3'!A:F,4,1),"")</f>
        <v/>
      </c>
      <c r="E846" t="str">
        <f>IF(NOT(ISBLANK(A846)),VLOOKUP(A846,'BBT3'!A:F,5,0),"")</f>
        <v/>
      </c>
      <c r="F846" t="str">
        <f>IF(NOT(ISBLANK(A846)),VLOOKUP(A846,'BBT3'!A:F,6,0),"")</f>
        <v/>
      </c>
      <c r="G846" t="str">
        <f>IF(NOT(ISBLANK(A846)),VLOOKUP(A846,QW_Close!A:J,5,0),"")</f>
        <v/>
      </c>
      <c r="H846" s="5" t="str" cm="1">
        <f t="array" ref="H846">IF(NOT(ISBLANK(A846)),((_xlfn.XLOOKUP(1,(_bbt3[[#All],[ID]]=A846)*(_bbt3[[#All],[METRIC_NAME]]="YLD_YTM_ASK"),_bbt3[[#All],[METRIC_VALUE]])*0.5)+(_xlfn.XLOOKUP(1,(_bbt3[[#All],[ID]]=A846)*(_bbt3[[#All],[METRIC_NAME]]="YLD_YTM_BID"),_bbt3[[#All],[METRIC_VALUE]])*0.5))/100,"")</f>
        <v/>
      </c>
      <c r="I846">
        <f>IF(ISNA(VLOOKUP(A846,QW_CloseDL!A:E,5,0)),0,VLOOKUP(A846,QW_CloseDL!A:E,5,0))</f>
        <v>0</v>
      </c>
      <c r="J846" s="8" t="str">
        <f t="shared" si="65"/>
        <v/>
      </c>
      <c r="P846">
        <v>0</v>
      </c>
      <c r="Q846" t="e">
        <f t="shared" si="66"/>
        <v>#N/A</v>
      </c>
      <c r="R846" t="e">
        <f t="shared" si="67"/>
        <v>#N/A</v>
      </c>
      <c r="S846" s="9" t="e">
        <f t="shared" si="68"/>
        <v>#N/A</v>
      </c>
      <c r="T846" s="3" t="e">
        <f t="shared" si="69"/>
        <v>#N/A</v>
      </c>
    </row>
    <row r="847" spans="2:20" x14ac:dyDescent="0.35">
      <c r="B847" t="str">
        <f>IF(NOT(ISBLANK(A847)),VLOOKUP(A847,'BBT3'!A:F,2,0),"")</f>
        <v/>
      </c>
      <c r="C847" t="str">
        <f>IF(NOT(ISBLANK(A847)),VLOOKUP(A847,'BBT3'!A:F,3,0),"")</f>
        <v/>
      </c>
      <c r="D847" s="6" t="str">
        <f>IF(NOT(ISBLANK(A847)),VLOOKUP(A847,'BBT3'!A:F,4,1),"")</f>
        <v/>
      </c>
      <c r="E847" t="str">
        <f>IF(NOT(ISBLANK(A847)),VLOOKUP(A847,'BBT3'!A:F,5,0),"")</f>
        <v/>
      </c>
      <c r="F847" t="str">
        <f>IF(NOT(ISBLANK(A847)),VLOOKUP(A847,'BBT3'!A:F,6,0),"")</f>
        <v/>
      </c>
      <c r="G847" t="str">
        <f>IF(NOT(ISBLANK(A847)),VLOOKUP(A847,QW_Close!A:J,5,0),"")</f>
        <v/>
      </c>
      <c r="H847" s="5" t="str" cm="1">
        <f t="array" ref="H847">IF(NOT(ISBLANK(A847)),((_xlfn.XLOOKUP(1,(_bbt3[[#All],[ID]]=A847)*(_bbt3[[#All],[METRIC_NAME]]="YLD_YTM_ASK"),_bbt3[[#All],[METRIC_VALUE]])*0.5)+(_xlfn.XLOOKUP(1,(_bbt3[[#All],[ID]]=A847)*(_bbt3[[#All],[METRIC_NAME]]="YLD_YTM_BID"),_bbt3[[#All],[METRIC_VALUE]])*0.5))/100,"")</f>
        <v/>
      </c>
      <c r="I847">
        <f>IF(ISNA(VLOOKUP(A847,QW_CloseDL!A:E,5,0)),0,VLOOKUP(A847,QW_CloseDL!A:E,5,0))</f>
        <v>0</v>
      </c>
      <c r="J847" s="8" t="str">
        <f t="shared" si="65"/>
        <v/>
      </c>
      <c r="P847">
        <v>0</v>
      </c>
      <c r="Q847" t="e">
        <f t="shared" si="66"/>
        <v>#N/A</v>
      </c>
      <c r="R847" t="e">
        <f t="shared" si="67"/>
        <v>#N/A</v>
      </c>
      <c r="S847" s="9" t="e">
        <f t="shared" si="68"/>
        <v>#N/A</v>
      </c>
      <c r="T847" s="3" t="e">
        <f t="shared" si="69"/>
        <v>#N/A</v>
      </c>
    </row>
    <row r="848" spans="2:20" x14ac:dyDescent="0.35">
      <c r="B848" t="str">
        <f>IF(NOT(ISBLANK(A848)),VLOOKUP(A848,'BBT3'!A:F,2,0),"")</f>
        <v/>
      </c>
      <c r="C848" t="str">
        <f>IF(NOT(ISBLANK(A848)),VLOOKUP(A848,'BBT3'!A:F,3,0),"")</f>
        <v/>
      </c>
      <c r="D848" s="6" t="str">
        <f>IF(NOT(ISBLANK(A848)),VLOOKUP(A848,'BBT3'!A:F,4,1),"")</f>
        <v/>
      </c>
      <c r="E848" t="str">
        <f>IF(NOT(ISBLANK(A848)),VLOOKUP(A848,'BBT3'!A:F,5,0),"")</f>
        <v/>
      </c>
      <c r="F848" t="str">
        <f>IF(NOT(ISBLANK(A848)),VLOOKUP(A848,'BBT3'!A:F,6,0),"")</f>
        <v/>
      </c>
      <c r="G848" t="str">
        <f>IF(NOT(ISBLANK(A848)),VLOOKUP(A848,QW_Close!A:J,5,0),"")</f>
        <v/>
      </c>
      <c r="H848" s="5" t="str" cm="1">
        <f t="array" ref="H848">IF(NOT(ISBLANK(A848)),((_xlfn.XLOOKUP(1,(_bbt3[[#All],[ID]]=A848)*(_bbt3[[#All],[METRIC_NAME]]="YLD_YTM_ASK"),_bbt3[[#All],[METRIC_VALUE]])*0.5)+(_xlfn.XLOOKUP(1,(_bbt3[[#All],[ID]]=A848)*(_bbt3[[#All],[METRIC_NAME]]="YLD_YTM_BID"),_bbt3[[#All],[METRIC_VALUE]])*0.5))/100,"")</f>
        <v/>
      </c>
      <c r="I848">
        <f>IF(ISNA(VLOOKUP(A848,QW_CloseDL!A:E,5,0)),0,VLOOKUP(A848,QW_CloseDL!A:E,5,0))</f>
        <v>0</v>
      </c>
      <c r="J848" s="8" t="str">
        <f t="shared" si="65"/>
        <v/>
      </c>
      <c r="P848">
        <v>0</v>
      </c>
      <c r="Q848" t="e">
        <f t="shared" si="66"/>
        <v>#N/A</v>
      </c>
      <c r="R848" t="e">
        <f t="shared" si="67"/>
        <v>#N/A</v>
      </c>
      <c r="S848" s="9" t="e">
        <f t="shared" si="68"/>
        <v>#N/A</v>
      </c>
      <c r="T848" s="3" t="e">
        <f t="shared" si="69"/>
        <v>#N/A</v>
      </c>
    </row>
    <row r="849" spans="2:20" x14ac:dyDescent="0.35">
      <c r="B849" t="str">
        <f>IF(NOT(ISBLANK(A849)),VLOOKUP(A849,'BBT3'!A:F,2,0),"")</f>
        <v/>
      </c>
      <c r="C849" t="str">
        <f>IF(NOT(ISBLANK(A849)),VLOOKUP(A849,'BBT3'!A:F,3,0),"")</f>
        <v/>
      </c>
      <c r="D849" s="6" t="str">
        <f>IF(NOT(ISBLANK(A849)),VLOOKUP(A849,'BBT3'!A:F,4,1),"")</f>
        <v/>
      </c>
      <c r="E849" t="str">
        <f>IF(NOT(ISBLANK(A849)),VLOOKUP(A849,'BBT3'!A:F,5,0),"")</f>
        <v/>
      </c>
      <c r="F849" t="str">
        <f>IF(NOT(ISBLANK(A849)),VLOOKUP(A849,'BBT3'!A:F,6,0),"")</f>
        <v/>
      </c>
      <c r="G849" t="str">
        <f>IF(NOT(ISBLANK(A849)),VLOOKUP(A849,QW_Close!A:J,5,0),"")</f>
        <v/>
      </c>
      <c r="H849" s="5" t="str" cm="1">
        <f t="array" ref="H849">IF(NOT(ISBLANK(A849)),((_xlfn.XLOOKUP(1,(_bbt3[[#All],[ID]]=A849)*(_bbt3[[#All],[METRIC_NAME]]="YLD_YTM_ASK"),_bbt3[[#All],[METRIC_VALUE]])*0.5)+(_xlfn.XLOOKUP(1,(_bbt3[[#All],[ID]]=A849)*(_bbt3[[#All],[METRIC_NAME]]="YLD_YTM_BID"),_bbt3[[#All],[METRIC_VALUE]])*0.5))/100,"")</f>
        <v/>
      </c>
      <c r="I849">
        <f>IF(ISNA(VLOOKUP(A849,QW_CloseDL!A:E,5,0)),0,VLOOKUP(A849,QW_CloseDL!A:E,5,0))</f>
        <v>0</v>
      </c>
      <c r="J849" s="8" t="str">
        <f t="shared" si="65"/>
        <v/>
      </c>
      <c r="P849">
        <v>0</v>
      </c>
      <c r="Q849" t="e">
        <f t="shared" si="66"/>
        <v>#N/A</v>
      </c>
      <c r="R849" t="e">
        <f t="shared" si="67"/>
        <v>#N/A</v>
      </c>
      <c r="S849" s="9" t="e">
        <f t="shared" si="68"/>
        <v>#N/A</v>
      </c>
      <c r="T849" s="3" t="e">
        <f t="shared" si="69"/>
        <v>#N/A</v>
      </c>
    </row>
    <row r="850" spans="2:20" x14ac:dyDescent="0.35">
      <c r="B850" t="str">
        <f>IF(NOT(ISBLANK(A850)),VLOOKUP(A850,'BBT3'!A:F,2,0),"")</f>
        <v/>
      </c>
      <c r="C850" t="str">
        <f>IF(NOT(ISBLANK(A850)),VLOOKUP(A850,'BBT3'!A:F,3,0),"")</f>
        <v/>
      </c>
      <c r="D850" s="6" t="str">
        <f>IF(NOT(ISBLANK(A850)),VLOOKUP(A850,'BBT3'!A:F,4,1),"")</f>
        <v/>
      </c>
      <c r="E850" t="str">
        <f>IF(NOT(ISBLANK(A850)),VLOOKUP(A850,'BBT3'!A:F,5,0),"")</f>
        <v/>
      </c>
      <c r="F850" t="str">
        <f>IF(NOT(ISBLANK(A850)),VLOOKUP(A850,'BBT3'!A:F,6,0),"")</f>
        <v/>
      </c>
      <c r="G850" t="str">
        <f>IF(NOT(ISBLANK(A850)),VLOOKUP(A850,QW_Close!A:J,5,0),"")</f>
        <v/>
      </c>
      <c r="H850" s="5" t="str" cm="1">
        <f t="array" ref="H850">IF(NOT(ISBLANK(A850)),((_xlfn.XLOOKUP(1,(_bbt3[[#All],[ID]]=A850)*(_bbt3[[#All],[METRIC_NAME]]="YLD_YTM_ASK"),_bbt3[[#All],[METRIC_VALUE]])*0.5)+(_xlfn.XLOOKUP(1,(_bbt3[[#All],[ID]]=A850)*(_bbt3[[#All],[METRIC_NAME]]="YLD_YTM_BID"),_bbt3[[#All],[METRIC_VALUE]])*0.5))/100,"")</f>
        <v/>
      </c>
      <c r="I850">
        <f>IF(ISNA(VLOOKUP(A850,QW_CloseDL!A:E,5,0)),0,VLOOKUP(A850,QW_CloseDL!A:E,5,0))</f>
        <v>0</v>
      </c>
      <c r="J850" s="8" t="str">
        <f t="shared" si="65"/>
        <v/>
      </c>
      <c r="P850">
        <v>0</v>
      </c>
      <c r="Q850" t="e">
        <f t="shared" si="66"/>
        <v>#N/A</v>
      </c>
      <c r="R850" t="e">
        <f t="shared" si="67"/>
        <v>#N/A</v>
      </c>
      <c r="S850" s="9" t="e">
        <f t="shared" si="68"/>
        <v>#N/A</v>
      </c>
      <c r="T850" s="3" t="e">
        <f t="shared" si="69"/>
        <v>#N/A</v>
      </c>
    </row>
    <row r="851" spans="2:20" x14ac:dyDescent="0.35">
      <c r="B851" t="str">
        <f>IF(NOT(ISBLANK(A851)),VLOOKUP(A851,'BBT3'!A:F,2,0),"")</f>
        <v/>
      </c>
      <c r="C851" t="str">
        <f>IF(NOT(ISBLANK(A851)),VLOOKUP(A851,'BBT3'!A:F,3,0),"")</f>
        <v/>
      </c>
      <c r="D851" s="6" t="str">
        <f>IF(NOT(ISBLANK(A851)),VLOOKUP(A851,'BBT3'!A:F,4,1),"")</f>
        <v/>
      </c>
      <c r="E851" t="str">
        <f>IF(NOT(ISBLANK(A851)),VLOOKUP(A851,'BBT3'!A:F,5,0),"")</f>
        <v/>
      </c>
      <c r="F851" t="str">
        <f>IF(NOT(ISBLANK(A851)),VLOOKUP(A851,'BBT3'!A:F,6,0),"")</f>
        <v/>
      </c>
      <c r="G851" t="str">
        <f>IF(NOT(ISBLANK(A851)),VLOOKUP(A851,QW_Close!A:J,5,0),"")</f>
        <v/>
      </c>
      <c r="H851" s="5" t="str" cm="1">
        <f t="array" ref="H851">IF(NOT(ISBLANK(A851)),((_xlfn.XLOOKUP(1,(_bbt3[[#All],[ID]]=A851)*(_bbt3[[#All],[METRIC_NAME]]="YLD_YTM_ASK"),_bbt3[[#All],[METRIC_VALUE]])*0.5)+(_xlfn.XLOOKUP(1,(_bbt3[[#All],[ID]]=A851)*(_bbt3[[#All],[METRIC_NAME]]="YLD_YTM_BID"),_bbt3[[#All],[METRIC_VALUE]])*0.5))/100,"")</f>
        <v/>
      </c>
      <c r="I851">
        <f>IF(ISNA(VLOOKUP(A851,QW_CloseDL!A:E,5,0)),0,VLOOKUP(A851,QW_CloseDL!A:E,5,0))</f>
        <v>0</v>
      </c>
      <c r="J851" s="8" t="str">
        <f t="shared" si="65"/>
        <v/>
      </c>
      <c r="P851">
        <v>0</v>
      </c>
      <c r="Q851" t="e">
        <f t="shared" si="66"/>
        <v>#N/A</v>
      </c>
      <c r="R851" t="e">
        <f t="shared" si="67"/>
        <v>#N/A</v>
      </c>
      <c r="S851" s="9" t="e">
        <f t="shared" si="68"/>
        <v>#N/A</v>
      </c>
      <c r="T851" s="3" t="e">
        <f t="shared" si="69"/>
        <v>#N/A</v>
      </c>
    </row>
    <row r="852" spans="2:20" x14ac:dyDescent="0.35">
      <c r="B852" t="str">
        <f>IF(NOT(ISBLANK(A852)),VLOOKUP(A852,'BBT3'!A:F,2,0),"")</f>
        <v/>
      </c>
      <c r="C852" t="str">
        <f>IF(NOT(ISBLANK(A852)),VLOOKUP(A852,'BBT3'!A:F,3,0),"")</f>
        <v/>
      </c>
      <c r="D852" s="6" t="str">
        <f>IF(NOT(ISBLANK(A852)),VLOOKUP(A852,'BBT3'!A:F,4,1),"")</f>
        <v/>
      </c>
      <c r="E852" t="str">
        <f>IF(NOT(ISBLANK(A852)),VLOOKUP(A852,'BBT3'!A:F,5,0),"")</f>
        <v/>
      </c>
      <c r="F852" t="str">
        <f>IF(NOT(ISBLANK(A852)),VLOOKUP(A852,'BBT3'!A:F,6,0),"")</f>
        <v/>
      </c>
      <c r="G852" t="str">
        <f>IF(NOT(ISBLANK(A852)),VLOOKUP(A852,QW_Close!A:J,5,0),"")</f>
        <v/>
      </c>
      <c r="H852" s="5" t="str" cm="1">
        <f t="array" ref="H852">IF(NOT(ISBLANK(A852)),((_xlfn.XLOOKUP(1,(_bbt3[[#All],[ID]]=A852)*(_bbt3[[#All],[METRIC_NAME]]="YLD_YTM_ASK"),_bbt3[[#All],[METRIC_VALUE]])*0.5)+(_xlfn.XLOOKUP(1,(_bbt3[[#All],[ID]]=A852)*(_bbt3[[#All],[METRIC_NAME]]="YLD_YTM_BID"),_bbt3[[#All],[METRIC_VALUE]])*0.5))/100,"")</f>
        <v/>
      </c>
      <c r="I852">
        <f>IF(ISNA(VLOOKUP(A852,QW_CloseDL!A:E,5,0)),0,VLOOKUP(A852,QW_CloseDL!A:E,5,0))</f>
        <v>0</v>
      </c>
      <c r="J852" s="8" t="str">
        <f t="shared" si="65"/>
        <v/>
      </c>
      <c r="P852">
        <v>0</v>
      </c>
      <c r="Q852" t="e">
        <f t="shared" si="66"/>
        <v>#N/A</v>
      </c>
      <c r="R852" t="e">
        <f t="shared" si="67"/>
        <v>#N/A</v>
      </c>
      <c r="S852" s="9" t="e">
        <f t="shared" si="68"/>
        <v>#N/A</v>
      </c>
      <c r="T852" s="3" t="e">
        <f t="shared" si="69"/>
        <v>#N/A</v>
      </c>
    </row>
    <row r="853" spans="2:20" x14ac:dyDescent="0.35">
      <c r="B853" t="str">
        <f>IF(NOT(ISBLANK(A853)),VLOOKUP(A853,'BBT3'!A:F,2,0),"")</f>
        <v/>
      </c>
      <c r="C853" t="str">
        <f>IF(NOT(ISBLANK(A853)),VLOOKUP(A853,'BBT3'!A:F,3,0),"")</f>
        <v/>
      </c>
      <c r="D853" s="6" t="str">
        <f>IF(NOT(ISBLANK(A853)),VLOOKUP(A853,'BBT3'!A:F,4,1),"")</f>
        <v/>
      </c>
      <c r="E853" t="str">
        <f>IF(NOT(ISBLANK(A853)),VLOOKUP(A853,'BBT3'!A:F,5,0),"")</f>
        <v/>
      </c>
      <c r="F853" t="str">
        <f>IF(NOT(ISBLANK(A853)),VLOOKUP(A853,'BBT3'!A:F,6,0),"")</f>
        <v/>
      </c>
      <c r="G853" t="str">
        <f>IF(NOT(ISBLANK(A853)),VLOOKUP(A853,QW_Close!A:J,5,0),"")</f>
        <v/>
      </c>
      <c r="H853" s="5" t="str" cm="1">
        <f t="array" ref="H853">IF(NOT(ISBLANK(A853)),((_xlfn.XLOOKUP(1,(_bbt3[[#All],[ID]]=A853)*(_bbt3[[#All],[METRIC_NAME]]="YLD_YTM_ASK"),_bbt3[[#All],[METRIC_VALUE]])*0.5)+(_xlfn.XLOOKUP(1,(_bbt3[[#All],[ID]]=A853)*(_bbt3[[#All],[METRIC_NAME]]="YLD_YTM_BID"),_bbt3[[#All],[METRIC_VALUE]])*0.5))/100,"")</f>
        <v/>
      </c>
      <c r="I853">
        <f>IF(ISNA(VLOOKUP(A853,QW_CloseDL!A:E,5,0)),0,VLOOKUP(A853,QW_CloseDL!A:E,5,0))</f>
        <v>0</v>
      </c>
      <c r="J853" s="8" t="str">
        <f t="shared" si="65"/>
        <v/>
      </c>
      <c r="P853">
        <v>0</v>
      </c>
      <c r="Q853" t="e">
        <f t="shared" si="66"/>
        <v>#N/A</v>
      </c>
      <c r="R853" t="e">
        <f t="shared" si="67"/>
        <v>#N/A</v>
      </c>
      <c r="S853" s="9" t="e">
        <f t="shared" si="68"/>
        <v>#N/A</v>
      </c>
      <c r="T853" s="3" t="e">
        <f t="shared" si="69"/>
        <v>#N/A</v>
      </c>
    </row>
    <row r="854" spans="2:20" x14ac:dyDescent="0.35">
      <c r="B854" t="str">
        <f>IF(NOT(ISBLANK(A854)),VLOOKUP(A854,'BBT3'!A:F,2,0),"")</f>
        <v/>
      </c>
      <c r="C854" t="str">
        <f>IF(NOT(ISBLANK(A854)),VLOOKUP(A854,'BBT3'!A:F,3,0),"")</f>
        <v/>
      </c>
      <c r="D854" s="6" t="str">
        <f>IF(NOT(ISBLANK(A854)),VLOOKUP(A854,'BBT3'!A:F,4,1),"")</f>
        <v/>
      </c>
      <c r="E854" t="str">
        <f>IF(NOT(ISBLANK(A854)),VLOOKUP(A854,'BBT3'!A:F,5,0),"")</f>
        <v/>
      </c>
      <c r="F854" t="str">
        <f>IF(NOT(ISBLANK(A854)),VLOOKUP(A854,'BBT3'!A:F,6,0),"")</f>
        <v/>
      </c>
      <c r="G854" t="str">
        <f>IF(NOT(ISBLANK(A854)),VLOOKUP(A854,QW_Close!A:J,5,0),"")</f>
        <v/>
      </c>
      <c r="H854" s="5" t="str" cm="1">
        <f t="array" ref="H854">IF(NOT(ISBLANK(A854)),((_xlfn.XLOOKUP(1,(_bbt3[[#All],[ID]]=A854)*(_bbt3[[#All],[METRIC_NAME]]="YLD_YTM_ASK"),_bbt3[[#All],[METRIC_VALUE]])*0.5)+(_xlfn.XLOOKUP(1,(_bbt3[[#All],[ID]]=A854)*(_bbt3[[#All],[METRIC_NAME]]="YLD_YTM_BID"),_bbt3[[#All],[METRIC_VALUE]])*0.5))/100,"")</f>
        <v/>
      </c>
      <c r="I854">
        <f>IF(ISNA(VLOOKUP(A854,QW_CloseDL!A:E,5,0)),0,VLOOKUP(A854,QW_CloseDL!A:E,5,0))</f>
        <v>0</v>
      </c>
      <c r="J854" s="8" t="str">
        <f t="shared" si="65"/>
        <v/>
      </c>
      <c r="P854">
        <v>0</v>
      </c>
      <c r="Q854" t="e">
        <f t="shared" si="66"/>
        <v>#N/A</v>
      </c>
      <c r="R854" t="e">
        <f t="shared" si="67"/>
        <v>#N/A</v>
      </c>
      <c r="S854" s="9" t="e">
        <f t="shared" si="68"/>
        <v>#N/A</v>
      </c>
      <c r="T854" s="3" t="e">
        <f t="shared" si="69"/>
        <v>#N/A</v>
      </c>
    </row>
    <row r="855" spans="2:20" x14ac:dyDescent="0.35">
      <c r="B855" t="str">
        <f>IF(NOT(ISBLANK(A855)),VLOOKUP(A855,'BBT3'!A:F,2,0),"")</f>
        <v/>
      </c>
      <c r="C855" t="str">
        <f>IF(NOT(ISBLANK(A855)),VLOOKUP(A855,'BBT3'!A:F,3,0),"")</f>
        <v/>
      </c>
      <c r="D855" s="6" t="str">
        <f>IF(NOT(ISBLANK(A855)),VLOOKUP(A855,'BBT3'!A:F,4,1),"")</f>
        <v/>
      </c>
      <c r="E855" t="str">
        <f>IF(NOT(ISBLANK(A855)),VLOOKUP(A855,'BBT3'!A:F,5,0),"")</f>
        <v/>
      </c>
      <c r="F855" t="str">
        <f>IF(NOT(ISBLANK(A855)),VLOOKUP(A855,'BBT3'!A:F,6,0),"")</f>
        <v/>
      </c>
      <c r="G855" t="str">
        <f>IF(NOT(ISBLANK(A855)),VLOOKUP(A855,QW_Close!A:J,5,0),"")</f>
        <v/>
      </c>
      <c r="H855" s="5" t="str" cm="1">
        <f t="array" ref="H855">IF(NOT(ISBLANK(A855)),((_xlfn.XLOOKUP(1,(_bbt3[[#All],[ID]]=A855)*(_bbt3[[#All],[METRIC_NAME]]="YLD_YTM_ASK"),_bbt3[[#All],[METRIC_VALUE]])*0.5)+(_xlfn.XLOOKUP(1,(_bbt3[[#All],[ID]]=A855)*(_bbt3[[#All],[METRIC_NAME]]="YLD_YTM_BID"),_bbt3[[#All],[METRIC_VALUE]])*0.5))/100,"")</f>
        <v/>
      </c>
      <c r="I855">
        <f>IF(ISNA(VLOOKUP(A855,QW_CloseDL!A:E,5,0)),0,VLOOKUP(A855,QW_CloseDL!A:E,5,0))</f>
        <v>0</v>
      </c>
      <c r="J855" s="8" t="str">
        <f t="shared" si="65"/>
        <v/>
      </c>
      <c r="P855">
        <v>0</v>
      </c>
      <c r="Q855" t="e">
        <f t="shared" si="66"/>
        <v>#N/A</v>
      </c>
      <c r="R855" t="e">
        <f t="shared" si="67"/>
        <v>#N/A</v>
      </c>
      <c r="S855" s="9" t="e">
        <f t="shared" si="68"/>
        <v>#N/A</v>
      </c>
      <c r="T855" s="3" t="e">
        <f t="shared" si="69"/>
        <v>#N/A</v>
      </c>
    </row>
    <row r="856" spans="2:20" x14ac:dyDescent="0.35">
      <c r="B856" t="str">
        <f>IF(NOT(ISBLANK(A856)),VLOOKUP(A856,'BBT3'!A:F,2,0),"")</f>
        <v/>
      </c>
      <c r="C856" t="str">
        <f>IF(NOT(ISBLANK(A856)),VLOOKUP(A856,'BBT3'!A:F,3,0),"")</f>
        <v/>
      </c>
      <c r="D856" s="6" t="str">
        <f>IF(NOT(ISBLANK(A856)),VLOOKUP(A856,'BBT3'!A:F,4,1),"")</f>
        <v/>
      </c>
      <c r="E856" t="str">
        <f>IF(NOT(ISBLANK(A856)),VLOOKUP(A856,'BBT3'!A:F,5,0),"")</f>
        <v/>
      </c>
      <c r="F856" t="str">
        <f>IF(NOT(ISBLANK(A856)),VLOOKUP(A856,'BBT3'!A:F,6,0),"")</f>
        <v/>
      </c>
      <c r="G856" t="str">
        <f>IF(NOT(ISBLANK(A856)),VLOOKUP(A856,QW_Close!A:J,5,0),"")</f>
        <v/>
      </c>
      <c r="H856" s="5" t="str" cm="1">
        <f t="array" ref="H856">IF(NOT(ISBLANK(A856)),((_xlfn.XLOOKUP(1,(_bbt3[[#All],[ID]]=A856)*(_bbt3[[#All],[METRIC_NAME]]="YLD_YTM_ASK"),_bbt3[[#All],[METRIC_VALUE]])*0.5)+(_xlfn.XLOOKUP(1,(_bbt3[[#All],[ID]]=A856)*(_bbt3[[#All],[METRIC_NAME]]="YLD_YTM_BID"),_bbt3[[#All],[METRIC_VALUE]])*0.5))/100,"")</f>
        <v/>
      </c>
      <c r="I856">
        <f>IF(ISNA(VLOOKUP(A856,QW_CloseDL!A:E,5,0)),0,VLOOKUP(A856,QW_CloseDL!A:E,5,0))</f>
        <v>0</v>
      </c>
      <c r="J856" s="8" t="str">
        <f t="shared" si="65"/>
        <v/>
      </c>
      <c r="P856">
        <v>0</v>
      </c>
      <c r="Q856" t="e">
        <f t="shared" si="66"/>
        <v>#N/A</v>
      </c>
      <c r="R856" t="e">
        <f t="shared" si="67"/>
        <v>#N/A</v>
      </c>
      <c r="S856" s="9" t="e">
        <f t="shared" si="68"/>
        <v>#N/A</v>
      </c>
      <c r="T856" s="3" t="e">
        <f t="shared" si="69"/>
        <v>#N/A</v>
      </c>
    </row>
    <row r="857" spans="2:20" x14ac:dyDescent="0.35">
      <c r="B857" t="str">
        <f>IF(NOT(ISBLANK(A857)),VLOOKUP(A857,'BBT3'!A:F,2,0),"")</f>
        <v/>
      </c>
      <c r="C857" t="str">
        <f>IF(NOT(ISBLANK(A857)),VLOOKUP(A857,'BBT3'!A:F,3,0),"")</f>
        <v/>
      </c>
      <c r="D857" s="6" t="str">
        <f>IF(NOT(ISBLANK(A857)),VLOOKUP(A857,'BBT3'!A:F,4,1),"")</f>
        <v/>
      </c>
      <c r="E857" t="str">
        <f>IF(NOT(ISBLANK(A857)),VLOOKUP(A857,'BBT3'!A:F,5,0),"")</f>
        <v/>
      </c>
      <c r="F857" t="str">
        <f>IF(NOT(ISBLANK(A857)),VLOOKUP(A857,'BBT3'!A:F,6,0),"")</f>
        <v/>
      </c>
      <c r="G857" t="str">
        <f>IF(NOT(ISBLANK(A857)),VLOOKUP(A857,QW_Close!A:J,5,0),"")</f>
        <v/>
      </c>
      <c r="H857" s="5" t="str" cm="1">
        <f t="array" ref="H857">IF(NOT(ISBLANK(A857)),((_xlfn.XLOOKUP(1,(_bbt3[[#All],[ID]]=A857)*(_bbt3[[#All],[METRIC_NAME]]="YLD_YTM_ASK"),_bbt3[[#All],[METRIC_VALUE]])*0.5)+(_xlfn.XLOOKUP(1,(_bbt3[[#All],[ID]]=A857)*(_bbt3[[#All],[METRIC_NAME]]="YLD_YTM_BID"),_bbt3[[#All],[METRIC_VALUE]])*0.5))/100,"")</f>
        <v/>
      </c>
      <c r="I857">
        <f>IF(ISNA(VLOOKUP(A857,QW_CloseDL!A:E,5,0)),0,VLOOKUP(A857,QW_CloseDL!A:E,5,0))</f>
        <v>0</v>
      </c>
      <c r="J857" s="8" t="str">
        <f t="shared" si="65"/>
        <v/>
      </c>
      <c r="P857">
        <v>0</v>
      </c>
      <c r="Q857" t="e">
        <f t="shared" si="66"/>
        <v>#N/A</v>
      </c>
      <c r="R857" t="e">
        <f t="shared" si="67"/>
        <v>#N/A</v>
      </c>
      <c r="S857" s="9" t="e">
        <f t="shared" si="68"/>
        <v>#N/A</v>
      </c>
      <c r="T857" s="3" t="e">
        <f t="shared" si="69"/>
        <v>#N/A</v>
      </c>
    </row>
    <row r="858" spans="2:20" x14ac:dyDescent="0.35">
      <c r="B858" t="str">
        <f>IF(NOT(ISBLANK(A858)),VLOOKUP(A858,'BBT3'!A:F,2,0),"")</f>
        <v/>
      </c>
      <c r="C858" t="str">
        <f>IF(NOT(ISBLANK(A858)),VLOOKUP(A858,'BBT3'!A:F,3,0),"")</f>
        <v/>
      </c>
      <c r="D858" s="6" t="str">
        <f>IF(NOT(ISBLANK(A858)),VLOOKUP(A858,'BBT3'!A:F,4,1),"")</f>
        <v/>
      </c>
      <c r="E858" t="str">
        <f>IF(NOT(ISBLANK(A858)),VLOOKUP(A858,'BBT3'!A:F,5,0),"")</f>
        <v/>
      </c>
      <c r="F858" t="str">
        <f>IF(NOT(ISBLANK(A858)),VLOOKUP(A858,'BBT3'!A:F,6,0),"")</f>
        <v/>
      </c>
      <c r="G858" t="str">
        <f>IF(NOT(ISBLANK(A858)),VLOOKUP(A858,QW_Close!A:J,5,0),"")</f>
        <v/>
      </c>
      <c r="H858" s="5" t="str" cm="1">
        <f t="array" ref="H858">IF(NOT(ISBLANK(A858)),((_xlfn.XLOOKUP(1,(_bbt3[[#All],[ID]]=A858)*(_bbt3[[#All],[METRIC_NAME]]="YLD_YTM_ASK"),_bbt3[[#All],[METRIC_VALUE]])*0.5)+(_xlfn.XLOOKUP(1,(_bbt3[[#All],[ID]]=A858)*(_bbt3[[#All],[METRIC_NAME]]="YLD_YTM_BID"),_bbt3[[#All],[METRIC_VALUE]])*0.5))/100,"")</f>
        <v/>
      </c>
      <c r="I858">
        <f>IF(ISNA(VLOOKUP(A858,QW_CloseDL!A:E,5,0)),0,VLOOKUP(A858,QW_CloseDL!A:E,5,0))</f>
        <v>0</v>
      </c>
      <c r="J858" s="8" t="str">
        <f t="shared" si="65"/>
        <v/>
      </c>
      <c r="P858">
        <v>0</v>
      </c>
      <c r="Q858" t="e">
        <f t="shared" si="66"/>
        <v>#N/A</v>
      </c>
      <c r="R858" t="e">
        <f t="shared" si="67"/>
        <v>#N/A</v>
      </c>
      <c r="S858" s="9" t="e">
        <f t="shared" si="68"/>
        <v>#N/A</v>
      </c>
      <c r="T858" s="3" t="e">
        <f t="shared" si="69"/>
        <v>#N/A</v>
      </c>
    </row>
    <row r="859" spans="2:20" x14ac:dyDescent="0.35">
      <c r="B859" t="str">
        <f>IF(NOT(ISBLANK(A859)),VLOOKUP(A859,'BBT3'!A:F,2,0),"")</f>
        <v/>
      </c>
      <c r="C859" t="str">
        <f>IF(NOT(ISBLANK(A859)),VLOOKUP(A859,'BBT3'!A:F,3,0),"")</f>
        <v/>
      </c>
      <c r="D859" s="6" t="str">
        <f>IF(NOT(ISBLANK(A859)),VLOOKUP(A859,'BBT3'!A:F,4,1),"")</f>
        <v/>
      </c>
      <c r="E859" t="str">
        <f>IF(NOT(ISBLANK(A859)),VLOOKUP(A859,'BBT3'!A:F,5,0),"")</f>
        <v/>
      </c>
      <c r="F859" t="str">
        <f>IF(NOT(ISBLANK(A859)),VLOOKUP(A859,'BBT3'!A:F,6,0),"")</f>
        <v/>
      </c>
      <c r="G859" t="str">
        <f>IF(NOT(ISBLANK(A859)),VLOOKUP(A859,QW_Close!A:J,5,0),"")</f>
        <v/>
      </c>
      <c r="H859" s="5" t="str" cm="1">
        <f t="array" ref="H859">IF(NOT(ISBLANK(A859)),((_xlfn.XLOOKUP(1,(_bbt3[[#All],[ID]]=A859)*(_bbt3[[#All],[METRIC_NAME]]="YLD_YTM_ASK"),_bbt3[[#All],[METRIC_VALUE]])*0.5)+(_xlfn.XLOOKUP(1,(_bbt3[[#All],[ID]]=A859)*(_bbt3[[#All],[METRIC_NAME]]="YLD_YTM_BID"),_bbt3[[#All],[METRIC_VALUE]])*0.5))/100,"")</f>
        <v/>
      </c>
      <c r="I859">
        <f>IF(ISNA(VLOOKUP(A859,QW_CloseDL!A:E,5,0)),0,VLOOKUP(A859,QW_CloseDL!A:E,5,0))</f>
        <v>0</v>
      </c>
      <c r="J859" s="8" t="str">
        <f t="shared" si="65"/>
        <v/>
      </c>
      <c r="P859">
        <v>0</v>
      </c>
      <c r="Q859" t="e">
        <f t="shared" si="66"/>
        <v>#N/A</v>
      </c>
      <c r="R859" t="e">
        <f t="shared" si="67"/>
        <v>#N/A</v>
      </c>
      <c r="S859" s="9" t="e">
        <f t="shared" si="68"/>
        <v>#N/A</v>
      </c>
      <c r="T859" s="3" t="e">
        <f t="shared" si="69"/>
        <v>#N/A</v>
      </c>
    </row>
    <row r="860" spans="2:20" x14ac:dyDescent="0.35">
      <c r="B860" t="str">
        <f>IF(NOT(ISBLANK(A860)),VLOOKUP(A860,'BBT3'!A:F,2,0),"")</f>
        <v/>
      </c>
      <c r="C860" t="str">
        <f>IF(NOT(ISBLANK(A860)),VLOOKUP(A860,'BBT3'!A:F,3,0),"")</f>
        <v/>
      </c>
      <c r="D860" s="6" t="str">
        <f>IF(NOT(ISBLANK(A860)),VLOOKUP(A860,'BBT3'!A:F,4,1),"")</f>
        <v/>
      </c>
      <c r="E860" t="str">
        <f>IF(NOT(ISBLANK(A860)),VLOOKUP(A860,'BBT3'!A:F,5,0),"")</f>
        <v/>
      </c>
      <c r="F860" t="str">
        <f>IF(NOT(ISBLANK(A860)),VLOOKUP(A860,'BBT3'!A:F,6,0),"")</f>
        <v/>
      </c>
      <c r="G860" t="str">
        <f>IF(NOT(ISBLANK(A860)),VLOOKUP(A860,QW_Close!A:J,5,0),"")</f>
        <v/>
      </c>
      <c r="H860" s="5" t="str" cm="1">
        <f t="array" ref="H860">IF(NOT(ISBLANK(A860)),((_xlfn.XLOOKUP(1,(_bbt3[[#All],[ID]]=A860)*(_bbt3[[#All],[METRIC_NAME]]="YLD_YTM_ASK"),_bbt3[[#All],[METRIC_VALUE]])*0.5)+(_xlfn.XLOOKUP(1,(_bbt3[[#All],[ID]]=A860)*(_bbt3[[#All],[METRIC_NAME]]="YLD_YTM_BID"),_bbt3[[#All],[METRIC_VALUE]])*0.5))/100,"")</f>
        <v/>
      </c>
      <c r="I860">
        <f>IF(ISNA(VLOOKUP(A860,QW_CloseDL!A:E,5,0)),0,VLOOKUP(A860,QW_CloseDL!A:E,5,0))</f>
        <v>0</v>
      </c>
      <c r="J860" s="8" t="str">
        <f t="shared" si="65"/>
        <v/>
      </c>
      <c r="P860">
        <v>0</v>
      </c>
      <c r="Q860" t="e">
        <f t="shared" si="66"/>
        <v>#N/A</v>
      </c>
      <c r="R860" t="e">
        <f t="shared" si="67"/>
        <v>#N/A</v>
      </c>
      <c r="S860" s="9" t="e">
        <f t="shared" si="68"/>
        <v>#N/A</v>
      </c>
      <c r="T860" s="3" t="e">
        <f t="shared" si="69"/>
        <v>#N/A</v>
      </c>
    </row>
    <row r="861" spans="2:20" x14ac:dyDescent="0.35">
      <c r="B861" t="str">
        <f>IF(NOT(ISBLANK(A861)),VLOOKUP(A861,'BBT3'!A:F,2,0),"")</f>
        <v/>
      </c>
      <c r="C861" t="str">
        <f>IF(NOT(ISBLANK(A861)),VLOOKUP(A861,'BBT3'!A:F,3,0),"")</f>
        <v/>
      </c>
      <c r="D861" s="6" t="str">
        <f>IF(NOT(ISBLANK(A861)),VLOOKUP(A861,'BBT3'!A:F,4,1),"")</f>
        <v/>
      </c>
      <c r="E861" t="str">
        <f>IF(NOT(ISBLANK(A861)),VLOOKUP(A861,'BBT3'!A:F,5,0),"")</f>
        <v/>
      </c>
      <c r="F861" t="str">
        <f>IF(NOT(ISBLANK(A861)),VLOOKUP(A861,'BBT3'!A:F,6,0),"")</f>
        <v/>
      </c>
      <c r="G861" t="str">
        <f>IF(NOT(ISBLANK(A861)),VLOOKUP(A861,QW_Close!A:J,5,0),"")</f>
        <v/>
      </c>
      <c r="H861" s="5" t="str" cm="1">
        <f t="array" ref="H861">IF(NOT(ISBLANK(A861)),((_xlfn.XLOOKUP(1,(_bbt3[[#All],[ID]]=A861)*(_bbt3[[#All],[METRIC_NAME]]="YLD_YTM_ASK"),_bbt3[[#All],[METRIC_VALUE]])*0.5)+(_xlfn.XLOOKUP(1,(_bbt3[[#All],[ID]]=A861)*(_bbt3[[#All],[METRIC_NAME]]="YLD_YTM_BID"),_bbt3[[#All],[METRIC_VALUE]])*0.5))/100,"")</f>
        <v/>
      </c>
      <c r="I861">
        <f>IF(ISNA(VLOOKUP(A861,QW_CloseDL!A:E,5,0)),0,VLOOKUP(A861,QW_CloseDL!A:E,5,0))</f>
        <v>0</v>
      </c>
      <c r="J861" s="8" t="str">
        <f t="shared" si="65"/>
        <v/>
      </c>
      <c r="P861">
        <v>0</v>
      </c>
      <c r="Q861" t="e">
        <f t="shared" si="66"/>
        <v>#N/A</v>
      </c>
      <c r="R861" t="e">
        <f t="shared" si="67"/>
        <v>#N/A</v>
      </c>
      <c r="S861" s="9" t="e">
        <f t="shared" si="68"/>
        <v>#N/A</v>
      </c>
      <c r="T861" s="3" t="e">
        <f t="shared" si="69"/>
        <v>#N/A</v>
      </c>
    </row>
    <row r="862" spans="2:20" x14ac:dyDescent="0.35">
      <c r="B862" t="str">
        <f>IF(NOT(ISBLANK(A862)),VLOOKUP(A862,'BBT3'!A:F,2,0),"")</f>
        <v/>
      </c>
      <c r="C862" t="str">
        <f>IF(NOT(ISBLANK(A862)),VLOOKUP(A862,'BBT3'!A:F,3,0),"")</f>
        <v/>
      </c>
      <c r="D862" s="6" t="str">
        <f>IF(NOT(ISBLANK(A862)),VLOOKUP(A862,'BBT3'!A:F,4,1),"")</f>
        <v/>
      </c>
      <c r="E862" t="str">
        <f>IF(NOT(ISBLANK(A862)),VLOOKUP(A862,'BBT3'!A:F,5,0),"")</f>
        <v/>
      </c>
      <c r="F862" t="str">
        <f>IF(NOT(ISBLANK(A862)),VLOOKUP(A862,'BBT3'!A:F,6,0),"")</f>
        <v/>
      </c>
      <c r="G862" t="str">
        <f>IF(NOT(ISBLANK(A862)),VLOOKUP(A862,QW_Close!A:J,5,0),"")</f>
        <v/>
      </c>
      <c r="H862" s="5" t="str" cm="1">
        <f t="array" ref="H862">IF(NOT(ISBLANK(A862)),((_xlfn.XLOOKUP(1,(_bbt3[[#All],[ID]]=A862)*(_bbt3[[#All],[METRIC_NAME]]="YLD_YTM_ASK"),_bbt3[[#All],[METRIC_VALUE]])*0.5)+(_xlfn.XLOOKUP(1,(_bbt3[[#All],[ID]]=A862)*(_bbt3[[#All],[METRIC_NAME]]="YLD_YTM_BID"),_bbt3[[#All],[METRIC_VALUE]])*0.5))/100,"")</f>
        <v/>
      </c>
      <c r="I862">
        <f>IF(ISNA(VLOOKUP(A862,QW_CloseDL!A:E,5,0)),0,VLOOKUP(A862,QW_CloseDL!A:E,5,0))</f>
        <v>0</v>
      </c>
      <c r="J862" s="8" t="str">
        <f t="shared" si="65"/>
        <v/>
      </c>
      <c r="P862">
        <v>0</v>
      </c>
      <c r="Q862" t="e">
        <f t="shared" si="66"/>
        <v>#N/A</v>
      </c>
      <c r="R862" t="e">
        <f t="shared" si="67"/>
        <v>#N/A</v>
      </c>
      <c r="S862" s="9" t="e">
        <f t="shared" si="68"/>
        <v>#N/A</v>
      </c>
      <c r="T862" s="3" t="e">
        <f t="shared" si="69"/>
        <v>#N/A</v>
      </c>
    </row>
    <row r="863" spans="2:20" x14ac:dyDescent="0.35">
      <c r="B863" t="str">
        <f>IF(NOT(ISBLANK(A863)),VLOOKUP(A863,'BBT3'!A:F,2,0),"")</f>
        <v/>
      </c>
      <c r="C863" t="str">
        <f>IF(NOT(ISBLANK(A863)),VLOOKUP(A863,'BBT3'!A:F,3,0),"")</f>
        <v/>
      </c>
      <c r="D863" s="6" t="str">
        <f>IF(NOT(ISBLANK(A863)),VLOOKUP(A863,'BBT3'!A:F,4,1),"")</f>
        <v/>
      </c>
      <c r="E863" t="str">
        <f>IF(NOT(ISBLANK(A863)),VLOOKUP(A863,'BBT3'!A:F,5,0),"")</f>
        <v/>
      </c>
      <c r="F863" t="str">
        <f>IF(NOT(ISBLANK(A863)),VLOOKUP(A863,'BBT3'!A:F,6,0),"")</f>
        <v/>
      </c>
      <c r="G863" t="str">
        <f>IF(NOT(ISBLANK(A863)),VLOOKUP(A863,QW_Close!A:J,5,0),"")</f>
        <v/>
      </c>
      <c r="H863" s="5" t="str" cm="1">
        <f t="array" ref="H863">IF(NOT(ISBLANK(A863)),((_xlfn.XLOOKUP(1,(_bbt3[[#All],[ID]]=A863)*(_bbt3[[#All],[METRIC_NAME]]="YLD_YTM_ASK"),_bbt3[[#All],[METRIC_VALUE]])*0.5)+(_xlfn.XLOOKUP(1,(_bbt3[[#All],[ID]]=A863)*(_bbt3[[#All],[METRIC_NAME]]="YLD_YTM_BID"),_bbt3[[#All],[METRIC_VALUE]])*0.5))/100,"")</f>
        <v/>
      </c>
      <c r="I863">
        <f>IF(ISNA(VLOOKUP(A863,QW_CloseDL!A:E,5,0)),0,VLOOKUP(A863,QW_CloseDL!A:E,5,0))</f>
        <v>0</v>
      </c>
      <c r="J863" s="8" t="str">
        <f t="shared" si="65"/>
        <v/>
      </c>
      <c r="P863">
        <v>0</v>
      </c>
      <c r="Q863" t="e">
        <f t="shared" si="66"/>
        <v>#N/A</v>
      </c>
      <c r="R863" t="e">
        <f t="shared" si="67"/>
        <v>#N/A</v>
      </c>
      <c r="S863" s="9" t="e">
        <f t="shared" si="68"/>
        <v>#N/A</v>
      </c>
      <c r="T863" s="3" t="e">
        <f t="shared" si="69"/>
        <v>#N/A</v>
      </c>
    </row>
    <row r="864" spans="2:20" x14ac:dyDescent="0.35">
      <c r="B864" t="str">
        <f>IF(NOT(ISBLANK(A864)),VLOOKUP(A864,'BBT3'!A:F,2,0),"")</f>
        <v/>
      </c>
      <c r="C864" t="str">
        <f>IF(NOT(ISBLANK(A864)),VLOOKUP(A864,'BBT3'!A:F,3,0),"")</f>
        <v/>
      </c>
      <c r="D864" s="6" t="str">
        <f>IF(NOT(ISBLANK(A864)),VLOOKUP(A864,'BBT3'!A:F,4,1),"")</f>
        <v/>
      </c>
      <c r="E864" t="str">
        <f>IF(NOT(ISBLANK(A864)),VLOOKUP(A864,'BBT3'!A:F,5,0),"")</f>
        <v/>
      </c>
      <c r="F864" t="str">
        <f>IF(NOT(ISBLANK(A864)),VLOOKUP(A864,'BBT3'!A:F,6,0),"")</f>
        <v/>
      </c>
      <c r="G864" t="str">
        <f>IF(NOT(ISBLANK(A864)),VLOOKUP(A864,QW_Close!A:J,5,0),"")</f>
        <v/>
      </c>
      <c r="H864" s="5" t="str" cm="1">
        <f t="array" ref="H864">IF(NOT(ISBLANK(A864)),((_xlfn.XLOOKUP(1,(_bbt3[[#All],[ID]]=A864)*(_bbt3[[#All],[METRIC_NAME]]="YLD_YTM_ASK"),_bbt3[[#All],[METRIC_VALUE]])*0.5)+(_xlfn.XLOOKUP(1,(_bbt3[[#All],[ID]]=A864)*(_bbt3[[#All],[METRIC_NAME]]="YLD_YTM_BID"),_bbt3[[#All],[METRIC_VALUE]])*0.5))/100,"")</f>
        <v/>
      </c>
      <c r="I864">
        <f>IF(ISNA(VLOOKUP(A864,QW_CloseDL!A:E,5,0)),0,VLOOKUP(A864,QW_CloseDL!A:E,5,0))</f>
        <v>0</v>
      </c>
      <c r="J864" s="8" t="str">
        <f t="shared" si="65"/>
        <v/>
      </c>
      <c r="P864">
        <v>0</v>
      </c>
      <c r="Q864" t="e">
        <f t="shared" si="66"/>
        <v>#N/A</v>
      </c>
      <c r="R864" t="e">
        <f t="shared" si="67"/>
        <v>#N/A</v>
      </c>
      <c r="S864" s="9" t="e">
        <f t="shared" si="68"/>
        <v>#N/A</v>
      </c>
      <c r="T864" s="3" t="e">
        <f t="shared" si="69"/>
        <v>#N/A</v>
      </c>
    </row>
    <row r="865" spans="2:20" x14ac:dyDescent="0.35">
      <c r="B865" t="str">
        <f>IF(NOT(ISBLANK(A865)),VLOOKUP(A865,'BBT3'!A:F,2,0),"")</f>
        <v/>
      </c>
      <c r="C865" t="str">
        <f>IF(NOT(ISBLANK(A865)),VLOOKUP(A865,'BBT3'!A:F,3,0),"")</f>
        <v/>
      </c>
      <c r="D865" s="6" t="str">
        <f>IF(NOT(ISBLANK(A865)),VLOOKUP(A865,'BBT3'!A:F,4,1),"")</f>
        <v/>
      </c>
      <c r="E865" t="str">
        <f>IF(NOT(ISBLANK(A865)),VLOOKUP(A865,'BBT3'!A:F,5,0),"")</f>
        <v/>
      </c>
      <c r="F865" t="str">
        <f>IF(NOT(ISBLANK(A865)),VLOOKUP(A865,'BBT3'!A:F,6,0),"")</f>
        <v/>
      </c>
      <c r="G865" t="str">
        <f>IF(NOT(ISBLANK(A865)),VLOOKUP(A865,QW_Close!A:J,5,0),"")</f>
        <v/>
      </c>
      <c r="H865" s="5" t="str" cm="1">
        <f t="array" ref="H865">IF(NOT(ISBLANK(A865)),((_xlfn.XLOOKUP(1,(_bbt3[[#All],[ID]]=A865)*(_bbt3[[#All],[METRIC_NAME]]="YLD_YTM_ASK"),_bbt3[[#All],[METRIC_VALUE]])*0.5)+(_xlfn.XLOOKUP(1,(_bbt3[[#All],[ID]]=A865)*(_bbt3[[#All],[METRIC_NAME]]="YLD_YTM_BID"),_bbt3[[#All],[METRIC_VALUE]])*0.5))/100,"")</f>
        <v/>
      </c>
      <c r="I865">
        <f>IF(ISNA(VLOOKUP(A865,QW_CloseDL!A:E,5,0)),0,VLOOKUP(A865,QW_CloseDL!A:E,5,0))</f>
        <v>0</v>
      </c>
      <c r="J865" s="8" t="str">
        <f t="shared" si="65"/>
        <v/>
      </c>
      <c r="P865">
        <v>0</v>
      </c>
      <c r="Q865" t="e">
        <f t="shared" si="66"/>
        <v>#N/A</v>
      </c>
      <c r="R865" t="e">
        <f t="shared" si="67"/>
        <v>#N/A</v>
      </c>
      <c r="S865" s="9" t="e">
        <f t="shared" si="68"/>
        <v>#N/A</v>
      </c>
      <c r="T865" s="3" t="e">
        <f t="shared" si="69"/>
        <v>#N/A</v>
      </c>
    </row>
    <row r="866" spans="2:20" x14ac:dyDescent="0.35">
      <c r="B866" t="str">
        <f>IF(NOT(ISBLANK(A866)),VLOOKUP(A866,'BBT3'!A:F,2,0),"")</f>
        <v/>
      </c>
      <c r="C866" t="str">
        <f>IF(NOT(ISBLANK(A866)),VLOOKUP(A866,'BBT3'!A:F,3,0),"")</f>
        <v/>
      </c>
      <c r="D866" s="6" t="str">
        <f>IF(NOT(ISBLANK(A866)),VLOOKUP(A866,'BBT3'!A:F,4,1),"")</f>
        <v/>
      </c>
      <c r="E866" t="str">
        <f>IF(NOT(ISBLANK(A866)),VLOOKUP(A866,'BBT3'!A:F,5,0),"")</f>
        <v/>
      </c>
      <c r="F866" t="str">
        <f>IF(NOT(ISBLANK(A866)),VLOOKUP(A866,'BBT3'!A:F,6,0),"")</f>
        <v/>
      </c>
      <c r="G866" t="str">
        <f>IF(NOT(ISBLANK(A866)),VLOOKUP(A866,QW_Close!A:J,5,0),"")</f>
        <v/>
      </c>
      <c r="H866" s="5" t="str" cm="1">
        <f t="array" ref="H866">IF(NOT(ISBLANK(A866)),((_xlfn.XLOOKUP(1,(_bbt3[[#All],[ID]]=A866)*(_bbt3[[#All],[METRIC_NAME]]="YLD_YTM_ASK"),_bbt3[[#All],[METRIC_VALUE]])*0.5)+(_xlfn.XLOOKUP(1,(_bbt3[[#All],[ID]]=A866)*(_bbt3[[#All],[METRIC_NAME]]="YLD_YTM_BID"),_bbt3[[#All],[METRIC_VALUE]])*0.5))/100,"")</f>
        <v/>
      </c>
      <c r="I866">
        <f>IF(ISNA(VLOOKUP(A866,QW_CloseDL!A:E,5,0)),0,VLOOKUP(A866,QW_CloseDL!A:E,5,0))</f>
        <v>0</v>
      </c>
      <c r="J866" s="8" t="str">
        <f t="shared" si="65"/>
        <v/>
      </c>
      <c r="P866">
        <v>0</v>
      </c>
      <c r="Q866" t="e">
        <f t="shared" si="66"/>
        <v>#N/A</v>
      </c>
      <c r="R866" t="e">
        <f t="shared" si="67"/>
        <v>#N/A</v>
      </c>
      <c r="S866" s="9" t="e">
        <f t="shared" si="68"/>
        <v>#N/A</v>
      </c>
      <c r="T866" s="3" t="e">
        <f t="shared" si="69"/>
        <v>#N/A</v>
      </c>
    </row>
    <row r="867" spans="2:20" x14ac:dyDescent="0.35">
      <c r="B867" t="str">
        <f>IF(NOT(ISBLANK(A867)),VLOOKUP(A867,'BBT3'!A:F,2,0),"")</f>
        <v/>
      </c>
      <c r="C867" t="str">
        <f>IF(NOT(ISBLANK(A867)),VLOOKUP(A867,'BBT3'!A:F,3,0),"")</f>
        <v/>
      </c>
      <c r="D867" s="6" t="str">
        <f>IF(NOT(ISBLANK(A867)),VLOOKUP(A867,'BBT3'!A:F,4,1),"")</f>
        <v/>
      </c>
      <c r="E867" t="str">
        <f>IF(NOT(ISBLANK(A867)),VLOOKUP(A867,'BBT3'!A:F,5,0),"")</f>
        <v/>
      </c>
      <c r="F867" t="str">
        <f>IF(NOT(ISBLANK(A867)),VLOOKUP(A867,'BBT3'!A:F,6,0),"")</f>
        <v/>
      </c>
      <c r="G867" t="str">
        <f>IF(NOT(ISBLANK(A867)),VLOOKUP(A867,QW_Close!A:J,5,0),"")</f>
        <v/>
      </c>
      <c r="H867" s="5" t="str" cm="1">
        <f t="array" ref="H867">IF(NOT(ISBLANK(A867)),((_xlfn.XLOOKUP(1,(_bbt3[[#All],[ID]]=A867)*(_bbt3[[#All],[METRIC_NAME]]="YLD_YTM_ASK"),_bbt3[[#All],[METRIC_VALUE]])*0.5)+(_xlfn.XLOOKUP(1,(_bbt3[[#All],[ID]]=A867)*(_bbt3[[#All],[METRIC_NAME]]="YLD_YTM_BID"),_bbt3[[#All],[METRIC_VALUE]])*0.5))/100,"")</f>
        <v/>
      </c>
      <c r="I867">
        <f>IF(ISNA(VLOOKUP(A867,QW_CloseDL!A:E,5,0)),0,VLOOKUP(A867,QW_CloseDL!A:E,5,0))</f>
        <v>0</v>
      </c>
      <c r="J867" s="8" t="str">
        <f t="shared" si="65"/>
        <v/>
      </c>
      <c r="P867">
        <v>0</v>
      </c>
      <c r="Q867" t="e">
        <f t="shared" si="66"/>
        <v>#N/A</v>
      </c>
      <c r="R867" t="e">
        <f t="shared" si="67"/>
        <v>#N/A</v>
      </c>
      <c r="S867" s="9" t="e">
        <f t="shared" si="68"/>
        <v>#N/A</v>
      </c>
      <c r="T867" s="3" t="e">
        <f t="shared" si="69"/>
        <v>#N/A</v>
      </c>
    </row>
    <row r="868" spans="2:20" x14ac:dyDescent="0.35">
      <c r="B868" t="str">
        <f>IF(NOT(ISBLANK(A868)),VLOOKUP(A868,'BBT3'!A:F,2,0),"")</f>
        <v/>
      </c>
      <c r="C868" t="str">
        <f>IF(NOT(ISBLANK(A868)),VLOOKUP(A868,'BBT3'!A:F,3,0),"")</f>
        <v/>
      </c>
      <c r="D868" s="6" t="str">
        <f>IF(NOT(ISBLANK(A868)),VLOOKUP(A868,'BBT3'!A:F,4,1),"")</f>
        <v/>
      </c>
      <c r="E868" t="str">
        <f>IF(NOT(ISBLANK(A868)),VLOOKUP(A868,'BBT3'!A:F,5,0),"")</f>
        <v/>
      </c>
      <c r="F868" t="str">
        <f>IF(NOT(ISBLANK(A868)),VLOOKUP(A868,'BBT3'!A:F,6,0),"")</f>
        <v/>
      </c>
      <c r="G868" t="str">
        <f>IF(NOT(ISBLANK(A868)),VLOOKUP(A868,QW_Close!A:J,5,0),"")</f>
        <v/>
      </c>
      <c r="H868" s="5" t="str" cm="1">
        <f t="array" ref="H868">IF(NOT(ISBLANK(A868)),((_xlfn.XLOOKUP(1,(_bbt3[[#All],[ID]]=A868)*(_bbt3[[#All],[METRIC_NAME]]="YLD_YTM_ASK"),_bbt3[[#All],[METRIC_VALUE]])*0.5)+(_xlfn.XLOOKUP(1,(_bbt3[[#All],[ID]]=A868)*(_bbt3[[#All],[METRIC_NAME]]="YLD_YTM_BID"),_bbt3[[#All],[METRIC_VALUE]])*0.5))/100,"")</f>
        <v/>
      </c>
      <c r="I868">
        <f>IF(ISNA(VLOOKUP(A868,QW_CloseDL!A:E,5,0)),0,VLOOKUP(A868,QW_CloseDL!A:E,5,0))</f>
        <v>0</v>
      </c>
      <c r="J868" s="8" t="str">
        <f t="shared" si="65"/>
        <v/>
      </c>
      <c r="P868">
        <v>0</v>
      </c>
      <c r="Q868" t="e">
        <f t="shared" si="66"/>
        <v>#N/A</v>
      </c>
      <c r="R868" t="e">
        <f t="shared" si="67"/>
        <v>#N/A</v>
      </c>
      <c r="S868" s="9" t="e">
        <f t="shared" si="68"/>
        <v>#N/A</v>
      </c>
      <c r="T868" s="3" t="e">
        <f t="shared" si="69"/>
        <v>#N/A</v>
      </c>
    </row>
    <row r="869" spans="2:20" x14ac:dyDescent="0.35">
      <c r="B869" t="str">
        <f>IF(NOT(ISBLANK(A869)),VLOOKUP(A869,'BBT3'!A:F,2,0),"")</f>
        <v/>
      </c>
      <c r="C869" t="str">
        <f>IF(NOT(ISBLANK(A869)),VLOOKUP(A869,'BBT3'!A:F,3,0),"")</f>
        <v/>
      </c>
      <c r="D869" s="6" t="str">
        <f>IF(NOT(ISBLANK(A869)),VLOOKUP(A869,'BBT3'!A:F,4,1),"")</f>
        <v/>
      </c>
      <c r="E869" t="str">
        <f>IF(NOT(ISBLANK(A869)),VLOOKUP(A869,'BBT3'!A:F,5,0),"")</f>
        <v/>
      </c>
      <c r="F869" t="str">
        <f>IF(NOT(ISBLANK(A869)),VLOOKUP(A869,'BBT3'!A:F,6,0),"")</f>
        <v/>
      </c>
      <c r="G869" t="str">
        <f>IF(NOT(ISBLANK(A869)),VLOOKUP(A869,QW_Close!A:J,5,0),"")</f>
        <v/>
      </c>
      <c r="H869" s="5" t="str" cm="1">
        <f t="array" ref="H869">IF(NOT(ISBLANK(A869)),((_xlfn.XLOOKUP(1,(_bbt3[[#All],[ID]]=A869)*(_bbt3[[#All],[METRIC_NAME]]="YLD_YTM_ASK"),_bbt3[[#All],[METRIC_VALUE]])*0.5)+(_xlfn.XLOOKUP(1,(_bbt3[[#All],[ID]]=A869)*(_bbt3[[#All],[METRIC_NAME]]="YLD_YTM_BID"),_bbt3[[#All],[METRIC_VALUE]])*0.5))/100,"")</f>
        <v/>
      </c>
      <c r="I869">
        <f>IF(ISNA(VLOOKUP(A869,QW_CloseDL!A:E,5,0)),0,VLOOKUP(A869,QW_CloseDL!A:E,5,0))</f>
        <v>0</v>
      </c>
      <c r="J869" s="8" t="str">
        <f t="shared" si="65"/>
        <v/>
      </c>
      <c r="P869">
        <v>0</v>
      </c>
      <c r="Q869" t="e">
        <f t="shared" si="66"/>
        <v>#N/A</v>
      </c>
      <c r="R869" t="e">
        <f t="shared" si="67"/>
        <v>#N/A</v>
      </c>
      <c r="S869" s="9" t="e">
        <f t="shared" si="68"/>
        <v>#N/A</v>
      </c>
      <c r="T869" s="3" t="e">
        <f t="shared" si="69"/>
        <v>#N/A</v>
      </c>
    </row>
    <row r="870" spans="2:20" x14ac:dyDescent="0.35">
      <c r="B870" t="str">
        <f>IF(NOT(ISBLANK(A870)),VLOOKUP(A870,'BBT3'!A:F,2,0),"")</f>
        <v/>
      </c>
      <c r="C870" t="str">
        <f>IF(NOT(ISBLANK(A870)),VLOOKUP(A870,'BBT3'!A:F,3,0),"")</f>
        <v/>
      </c>
      <c r="D870" s="6" t="str">
        <f>IF(NOT(ISBLANK(A870)),VLOOKUP(A870,'BBT3'!A:F,4,1),"")</f>
        <v/>
      </c>
      <c r="E870" t="str">
        <f>IF(NOT(ISBLANK(A870)),VLOOKUP(A870,'BBT3'!A:F,5,0),"")</f>
        <v/>
      </c>
      <c r="F870" t="str">
        <f>IF(NOT(ISBLANK(A870)),VLOOKUP(A870,'BBT3'!A:F,6,0),"")</f>
        <v/>
      </c>
      <c r="G870" t="str">
        <f>IF(NOT(ISBLANK(A870)),VLOOKUP(A870,QW_Close!A:J,5,0),"")</f>
        <v/>
      </c>
      <c r="H870" s="5" t="str" cm="1">
        <f t="array" ref="H870">IF(NOT(ISBLANK(A870)),((_xlfn.XLOOKUP(1,(_bbt3[[#All],[ID]]=A870)*(_bbt3[[#All],[METRIC_NAME]]="YLD_YTM_ASK"),_bbt3[[#All],[METRIC_VALUE]])*0.5)+(_xlfn.XLOOKUP(1,(_bbt3[[#All],[ID]]=A870)*(_bbt3[[#All],[METRIC_NAME]]="YLD_YTM_BID"),_bbt3[[#All],[METRIC_VALUE]])*0.5))/100,"")</f>
        <v/>
      </c>
      <c r="I870">
        <f>IF(ISNA(VLOOKUP(A870,QW_CloseDL!A:E,5,0)),0,VLOOKUP(A870,QW_CloseDL!A:E,5,0))</f>
        <v>0</v>
      </c>
      <c r="J870" s="8" t="str">
        <f t="shared" si="65"/>
        <v/>
      </c>
      <c r="P870">
        <v>0</v>
      </c>
      <c r="Q870" t="e">
        <f t="shared" si="66"/>
        <v>#N/A</v>
      </c>
      <c r="R870" t="e">
        <f t="shared" si="67"/>
        <v>#N/A</v>
      </c>
      <c r="S870" s="9" t="e">
        <f t="shared" si="68"/>
        <v>#N/A</v>
      </c>
      <c r="T870" s="3" t="e">
        <f t="shared" si="69"/>
        <v>#N/A</v>
      </c>
    </row>
    <row r="871" spans="2:20" x14ac:dyDescent="0.35">
      <c r="B871" t="str">
        <f>IF(NOT(ISBLANK(A871)),VLOOKUP(A871,'BBT3'!A:F,2,0),"")</f>
        <v/>
      </c>
      <c r="C871" t="str">
        <f>IF(NOT(ISBLANK(A871)),VLOOKUP(A871,'BBT3'!A:F,3,0),"")</f>
        <v/>
      </c>
      <c r="D871" s="6" t="str">
        <f>IF(NOT(ISBLANK(A871)),VLOOKUP(A871,'BBT3'!A:F,4,1),"")</f>
        <v/>
      </c>
      <c r="E871" t="str">
        <f>IF(NOT(ISBLANK(A871)),VLOOKUP(A871,'BBT3'!A:F,5,0),"")</f>
        <v/>
      </c>
      <c r="F871" t="str">
        <f>IF(NOT(ISBLANK(A871)),VLOOKUP(A871,'BBT3'!A:F,6,0),"")</f>
        <v/>
      </c>
      <c r="G871" t="str">
        <f>IF(NOT(ISBLANK(A871)),VLOOKUP(A871,QW_Close!A:J,5,0),"")</f>
        <v/>
      </c>
      <c r="H871" s="5" t="str" cm="1">
        <f t="array" ref="H871">IF(NOT(ISBLANK(A871)),((_xlfn.XLOOKUP(1,(_bbt3[[#All],[ID]]=A871)*(_bbt3[[#All],[METRIC_NAME]]="YLD_YTM_ASK"),_bbt3[[#All],[METRIC_VALUE]])*0.5)+(_xlfn.XLOOKUP(1,(_bbt3[[#All],[ID]]=A871)*(_bbt3[[#All],[METRIC_NAME]]="YLD_YTM_BID"),_bbt3[[#All],[METRIC_VALUE]])*0.5))/100,"")</f>
        <v/>
      </c>
      <c r="I871">
        <f>IF(ISNA(VLOOKUP(A871,QW_CloseDL!A:E,5,0)),0,VLOOKUP(A871,QW_CloseDL!A:E,5,0))</f>
        <v>0</v>
      </c>
      <c r="J871" s="8" t="str">
        <f t="shared" si="65"/>
        <v/>
      </c>
      <c r="P871">
        <v>0</v>
      </c>
      <c r="Q871" t="e">
        <f t="shared" si="66"/>
        <v>#N/A</v>
      </c>
      <c r="R871" t="e">
        <f t="shared" si="67"/>
        <v>#N/A</v>
      </c>
      <c r="S871" s="9" t="e">
        <f t="shared" si="68"/>
        <v>#N/A</v>
      </c>
      <c r="T871" s="3" t="e">
        <f t="shared" si="69"/>
        <v>#N/A</v>
      </c>
    </row>
    <row r="872" spans="2:20" x14ac:dyDescent="0.35">
      <c r="B872" t="str">
        <f>IF(NOT(ISBLANK(A872)),VLOOKUP(A872,'BBT3'!A:F,2,0),"")</f>
        <v/>
      </c>
      <c r="C872" t="str">
        <f>IF(NOT(ISBLANK(A872)),VLOOKUP(A872,'BBT3'!A:F,3,0),"")</f>
        <v/>
      </c>
      <c r="D872" s="6" t="str">
        <f>IF(NOT(ISBLANK(A872)),VLOOKUP(A872,'BBT3'!A:F,4,1),"")</f>
        <v/>
      </c>
      <c r="E872" t="str">
        <f>IF(NOT(ISBLANK(A872)),VLOOKUP(A872,'BBT3'!A:F,5,0),"")</f>
        <v/>
      </c>
      <c r="F872" t="str">
        <f>IF(NOT(ISBLANK(A872)),VLOOKUP(A872,'BBT3'!A:F,6,0),"")</f>
        <v/>
      </c>
      <c r="G872" t="str">
        <f>IF(NOT(ISBLANK(A872)),VLOOKUP(A872,QW_Close!A:J,5,0),"")</f>
        <v/>
      </c>
      <c r="H872" s="5" t="str" cm="1">
        <f t="array" ref="H872">IF(NOT(ISBLANK(A872)),((_xlfn.XLOOKUP(1,(_bbt3[[#All],[ID]]=A872)*(_bbt3[[#All],[METRIC_NAME]]="YLD_YTM_ASK"),_bbt3[[#All],[METRIC_VALUE]])*0.5)+(_xlfn.XLOOKUP(1,(_bbt3[[#All],[ID]]=A872)*(_bbt3[[#All],[METRIC_NAME]]="YLD_YTM_BID"),_bbt3[[#All],[METRIC_VALUE]])*0.5))/100,"")</f>
        <v/>
      </c>
      <c r="I872">
        <f>IF(ISNA(VLOOKUP(A872,QW_CloseDL!A:E,5,0)),0,VLOOKUP(A872,QW_CloseDL!A:E,5,0))</f>
        <v>0</v>
      </c>
      <c r="J872" s="8" t="str">
        <f t="shared" si="65"/>
        <v/>
      </c>
      <c r="P872">
        <v>0</v>
      </c>
      <c r="Q872" t="e">
        <f t="shared" si="66"/>
        <v>#N/A</v>
      </c>
      <c r="R872" t="e">
        <f t="shared" si="67"/>
        <v>#N/A</v>
      </c>
      <c r="S872" s="9" t="e">
        <f t="shared" si="68"/>
        <v>#N/A</v>
      </c>
      <c r="T872" s="3" t="e">
        <f t="shared" si="69"/>
        <v>#N/A</v>
      </c>
    </row>
    <row r="873" spans="2:20" x14ac:dyDescent="0.35">
      <c r="B873" t="str">
        <f>IF(NOT(ISBLANK(A873)),VLOOKUP(A873,'BBT3'!A:F,2,0),"")</f>
        <v/>
      </c>
      <c r="C873" t="str">
        <f>IF(NOT(ISBLANK(A873)),VLOOKUP(A873,'BBT3'!A:F,3,0),"")</f>
        <v/>
      </c>
      <c r="D873" s="6" t="str">
        <f>IF(NOT(ISBLANK(A873)),VLOOKUP(A873,'BBT3'!A:F,4,1),"")</f>
        <v/>
      </c>
      <c r="E873" t="str">
        <f>IF(NOT(ISBLANK(A873)),VLOOKUP(A873,'BBT3'!A:F,5,0),"")</f>
        <v/>
      </c>
      <c r="F873" t="str">
        <f>IF(NOT(ISBLANK(A873)),VLOOKUP(A873,'BBT3'!A:F,6,0),"")</f>
        <v/>
      </c>
      <c r="G873" t="str">
        <f>IF(NOT(ISBLANK(A873)),VLOOKUP(A873,QW_Close!A:J,5,0),"")</f>
        <v/>
      </c>
      <c r="H873" s="5" t="str" cm="1">
        <f t="array" ref="H873">IF(NOT(ISBLANK(A873)),((_xlfn.XLOOKUP(1,(_bbt3[[#All],[ID]]=A873)*(_bbt3[[#All],[METRIC_NAME]]="YLD_YTM_ASK"),_bbt3[[#All],[METRIC_VALUE]])*0.5)+(_xlfn.XLOOKUP(1,(_bbt3[[#All],[ID]]=A873)*(_bbt3[[#All],[METRIC_NAME]]="YLD_YTM_BID"),_bbt3[[#All],[METRIC_VALUE]])*0.5))/100,"")</f>
        <v/>
      </c>
      <c r="I873">
        <f>IF(ISNA(VLOOKUP(A873,QW_CloseDL!A:E,5,0)),0,VLOOKUP(A873,QW_CloseDL!A:E,5,0))</f>
        <v>0</v>
      </c>
      <c r="J873" s="8" t="str">
        <f t="shared" si="65"/>
        <v/>
      </c>
      <c r="P873">
        <v>0</v>
      </c>
      <c r="Q873" t="e">
        <f t="shared" si="66"/>
        <v>#N/A</v>
      </c>
      <c r="R873" t="e">
        <f t="shared" si="67"/>
        <v>#N/A</v>
      </c>
      <c r="S873" s="9" t="e">
        <f t="shared" si="68"/>
        <v>#N/A</v>
      </c>
      <c r="T873" s="3" t="e">
        <f t="shared" si="69"/>
        <v>#N/A</v>
      </c>
    </row>
    <row r="874" spans="2:20" x14ac:dyDescent="0.35">
      <c r="B874" t="str">
        <f>IF(NOT(ISBLANK(A874)),VLOOKUP(A874,'BBT3'!A:F,2,0),"")</f>
        <v/>
      </c>
      <c r="C874" t="str">
        <f>IF(NOT(ISBLANK(A874)),VLOOKUP(A874,'BBT3'!A:F,3,0),"")</f>
        <v/>
      </c>
      <c r="D874" s="6" t="str">
        <f>IF(NOT(ISBLANK(A874)),VLOOKUP(A874,'BBT3'!A:F,4,1),"")</f>
        <v/>
      </c>
      <c r="E874" t="str">
        <f>IF(NOT(ISBLANK(A874)),VLOOKUP(A874,'BBT3'!A:F,5,0),"")</f>
        <v/>
      </c>
      <c r="F874" t="str">
        <f>IF(NOT(ISBLANK(A874)),VLOOKUP(A874,'BBT3'!A:F,6,0),"")</f>
        <v/>
      </c>
      <c r="G874" t="str">
        <f>IF(NOT(ISBLANK(A874)),VLOOKUP(A874,QW_Close!A:J,5,0),"")</f>
        <v/>
      </c>
      <c r="H874" s="5" t="str" cm="1">
        <f t="array" ref="H874">IF(NOT(ISBLANK(A874)),((_xlfn.XLOOKUP(1,(_bbt3[[#All],[ID]]=A874)*(_bbt3[[#All],[METRIC_NAME]]="YLD_YTM_ASK"),_bbt3[[#All],[METRIC_VALUE]])*0.5)+(_xlfn.XLOOKUP(1,(_bbt3[[#All],[ID]]=A874)*(_bbt3[[#All],[METRIC_NAME]]="YLD_YTM_BID"),_bbt3[[#All],[METRIC_VALUE]])*0.5))/100,"")</f>
        <v/>
      </c>
      <c r="I874">
        <f>IF(ISNA(VLOOKUP(A874,QW_CloseDL!A:E,5,0)),0,VLOOKUP(A874,QW_CloseDL!A:E,5,0))</f>
        <v>0</v>
      </c>
      <c r="J874" s="8" t="str">
        <f t="shared" si="65"/>
        <v/>
      </c>
      <c r="P874">
        <v>0</v>
      </c>
      <c r="Q874" t="e">
        <f t="shared" si="66"/>
        <v>#N/A</v>
      </c>
      <c r="R874" t="e">
        <f t="shared" si="67"/>
        <v>#N/A</v>
      </c>
      <c r="S874" s="9" t="e">
        <f t="shared" si="68"/>
        <v>#N/A</v>
      </c>
      <c r="T874" s="3" t="e">
        <f t="shared" si="69"/>
        <v>#N/A</v>
      </c>
    </row>
    <row r="875" spans="2:20" x14ac:dyDescent="0.35">
      <c r="B875" t="str">
        <f>IF(NOT(ISBLANK(A875)),VLOOKUP(A875,'BBT3'!A:F,2,0),"")</f>
        <v/>
      </c>
      <c r="C875" t="str">
        <f>IF(NOT(ISBLANK(A875)),VLOOKUP(A875,'BBT3'!A:F,3,0),"")</f>
        <v/>
      </c>
      <c r="D875" s="6" t="str">
        <f>IF(NOT(ISBLANK(A875)),VLOOKUP(A875,'BBT3'!A:F,4,1),"")</f>
        <v/>
      </c>
      <c r="E875" t="str">
        <f>IF(NOT(ISBLANK(A875)),VLOOKUP(A875,'BBT3'!A:F,5,0),"")</f>
        <v/>
      </c>
      <c r="F875" t="str">
        <f>IF(NOT(ISBLANK(A875)),VLOOKUP(A875,'BBT3'!A:F,6,0),"")</f>
        <v/>
      </c>
      <c r="G875" t="str">
        <f>IF(NOT(ISBLANK(A875)),VLOOKUP(A875,QW_Close!A:J,5,0),"")</f>
        <v/>
      </c>
      <c r="H875" s="5" t="str" cm="1">
        <f t="array" ref="H875">IF(NOT(ISBLANK(A875)),((_xlfn.XLOOKUP(1,(_bbt3[[#All],[ID]]=A875)*(_bbt3[[#All],[METRIC_NAME]]="YLD_YTM_ASK"),_bbt3[[#All],[METRIC_VALUE]])*0.5)+(_xlfn.XLOOKUP(1,(_bbt3[[#All],[ID]]=A875)*(_bbt3[[#All],[METRIC_NAME]]="YLD_YTM_BID"),_bbt3[[#All],[METRIC_VALUE]])*0.5))/100,"")</f>
        <v/>
      </c>
      <c r="I875">
        <f>IF(ISNA(VLOOKUP(A875,QW_CloseDL!A:E,5,0)),0,VLOOKUP(A875,QW_CloseDL!A:E,5,0))</f>
        <v>0</v>
      </c>
      <c r="J875" s="8" t="str">
        <f t="shared" si="65"/>
        <v/>
      </c>
      <c r="P875">
        <v>0</v>
      </c>
      <c r="Q875" t="e">
        <f t="shared" si="66"/>
        <v>#N/A</v>
      </c>
      <c r="R875" t="e">
        <f t="shared" si="67"/>
        <v>#N/A</v>
      </c>
      <c r="S875" s="9" t="e">
        <f t="shared" si="68"/>
        <v>#N/A</v>
      </c>
      <c r="T875" s="3" t="e">
        <f t="shared" si="69"/>
        <v>#N/A</v>
      </c>
    </row>
    <row r="876" spans="2:20" x14ac:dyDescent="0.35">
      <c r="B876" t="str">
        <f>IF(NOT(ISBLANK(A876)),VLOOKUP(A876,'BBT3'!A:F,2,0),"")</f>
        <v/>
      </c>
      <c r="C876" t="str">
        <f>IF(NOT(ISBLANK(A876)),VLOOKUP(A876,'BBT3'!A:F,3,0),"")</f>
        <v/>
      </c>
      <c r="D876" s="6" t="str">
        <f>IF(NOT(ISBLANK(A876)),VLOOKUP(A876,'BBT3'!A:F,4,1),"")</f>
        <v/>
      </c>
      <c r="E876" t="str">
        <f>IF(NOT(ISBLANK(A876)),VLOOKUP(A876,'BBT3'!A:F,5,0),"")</f>
        <v/>
      </c>
      <c r="F876" t="str">
        <f>IF(NOT(ISBLANK(A876)),VLOOKUP(A876,'BBT3'!A:F,6,0),"")</f>
        <v/>
      </c>
      <c r="G876" t="str">
        <f>IF(NOT(ISBLANK(A876)),VLOOKUP(A876,QW_Close!A:J,5,0),"")</f>
        <v/>
      </c>
      <c r="H876" s="5" t="str" cm="1">
        <f t="array" ref="H876">IF(NOT(ISBLANK(A876)),((_xlfn.XLOOKUP(1,(_bbt3[[#All],[ID]]=A876)*(_bbt3[[#All],[METRIC_NAME]]="YLD_YTM_ASK"),_bbt3[[#All],[METRIC_VALUE]])*0.5)+(_xlfn.XLOOKUP(1,(_bbt3[[#All],[ID]]=A876)*(_bbt3[[#All],[METRIC_NAME]]="YLD_YTM_BID"),_bbt3[[#All],[METRIC_VALUE]])*0.5))/100,"")</f>
        <v/>
      </c>
      <c r="I876">
        <f>IF(ISNA(VLOOKUP(A876,QW_CloseDL!A:E,5,0)),0,VLOOKUP(A876,QW_CloseDL!A:E,5,0))</f>
        <v>0</v>
      </c>
      <c r="J876" s="8" t="str">
        <f t="shared" si="65"/>
        <v/>
      </c>
      <c r="P876">
        <v>0</v>
      </c>
      <c r="Q876" t="e">
        <f t="shared" si="66"/>
        <v>#N/A</v>
      </c>
      <c r="R876" t="e">
        <f t="shared" si="67"/>
        <v>#N/A</v>
      </c>
      <c r="S876" s="9" t="e">
        <f t="shared" si="68"/>
        <v>#N/A</v>
      </c>
      <c r="T876" s="3" t="e">
        <f t="shared" si="69"/>
        <v>#N/A</v>
      </c>
    </row>
    <row r="877" spans="2:20" x14ac:dyDescent="0.35">
      <c r="B877" t="str">
        <f>IF(NOT(ISBLANK(A877)),VLOOKUP(A877,'BBT3'!A:F,2,0),"")</f>
        <v/>
      </c>
      <c r="C877" t="str">
        <f>IF(NOT(ISBLANK(A877)),VLOOKUP(A877,'BBT3'!A:F,3,0),"")</f>
        <v/>
      </c>
      <c r="D877" s="6" t="str">
        <f>IF(NOT(ISBLANK(A877)),VLOOKUP(A877,'BBT3'!A:F,4,1),"")</f>
        <v/>
      </c>
      <c r="E877" t="str">
        <f>IF(NOT(ISBLANK(A877)),VLOOKUP(A877,'BBT3'!A:F,5,0),"")</f>
        <v/>
      </c>
      <c r="F877" t="str">
        <f>IF(NOT(ISBLANK(A877)),VLOOKUP(A877,'BBT3'!A:F,6,0),"")</f>
        <v/>
      </c>
      <c r="G877" t="str">
        <f>IF(NOT(ISBLANK(A877)),VLOOKUP(A877,QW_Close!A:J,5,0),"")</f>
        <v/>
      </c>
      <c r="H877" s="5" t="str" cm="1">
        <f t="array" ref="H877">IF(NOT(ISBLANK(A877)),((_xlfn.XLOOKUP(1,(_bbt3[[#All],[ID]]=A877)*(_bbt3[[#All],[METRIC_NAME]]="YLD_YTM_ASK"),_bbt3[[#All],[METRIC_VALUE]])*0.5)+(_xlfn.XLOOKUP(1,(_bbt3[[#All],[ID]]=A877)*(_bbt3[[#All],[METRIC_NAME]]="YLD_YTM_BID"),_bbt3[[#All],[METRIC_VALUE]])*0.5))/100,"")</f>
        <v/>
      </c>
      <c r="I877">
        <f>IF(ISNA(VLOOKUP(A877,QW_CloseDL!A:E,5,0)),0,VLOOKUP(A877,QW_CloseDL!A:E,5,0))</f>
        <v>0</v>
      </c>
      <c r="J877" s="8" t="str">
        <f t="shared" si="65"/>
        <v/>
      </c>
      <c r="P877">
        <v>0</v>
      </c>
      <c r="Q877" t="e">
        <f t="shared" si="66"/>
        <v>#N/A</v>
      </c>
      <c r="R877" t="e">
        <f t="shared" si="67"/>
        <v>#N/A</v>
      </c>
      <c r="S877" s="9" t="e">
        <f t="shared" si="68"/>
        <v>#N/A</v>
      </c>
      <c r="T877" s="3" t="e">
        <f t="shared" si="69"/>
        <v>#N/A</v>
      </c>
    </row>
    <row r="878" spans="2:20" x14ac:dyDescent="0.35">
      <c r="B878" t="str">
        <f>IF(NOT(ISBLANK(A878)),VLOOKUP(A878,'BBT3'!A:F,2,0),"")</f>
        <v/>
      </c>
      <c r="C878" t="str">
        <f>IF(NOT(ISBLANK(A878)),VLOOKUP(A878,'BBT3'!A:F,3,0),"")</f>
        <v/>
      </c>
      <c r="D878" s="6" t="str">
        <f>IF(NOT(ISBLANK(A878)),VLOOKUP(A878,'BBT3'!A:F,4,1),"")</f>
        <v/>
      </c>
      <c r="E878" t="str">
        <f>IF(NOT(ISBLANK(A878)),VLOOKUP(A878,'BBT3'!A:F,5,0),"")</f>
        <v/>
      </c>
      <c r="F878" t="str">
        <f>IF(NOT(ISBLANK(A878)),VLOOKUP(A878,'BBT3'!A:F,6,0),"")</f>
        <v/>
      </c>
      <c r="G878" t="str">
        <f>IF(NOT(ISBLANK(A878)),VLOOKUP(A878,QW_Close!A:J,5,0),"")</f>
        <v/>
      </c>
      <c r="H878" s="5" t="str" cm="1">
        <f t="array" ref="H878">IF(NOT(ISBLANK(A878)),((_xlfn.XLOOKUP(1,(_bbt3[[#All],[ID]]=A878)*(_bbt3[[#All],[METRIC_NAME]]="YLD_YTM_ASK"),_bbt3[[#All],[METRIC_VALUE]])*0.5)+(_xlfn.XLOOKUP(1,(_bbt3[[#All],[ID]]=A878)*(_bbt3[[#All],[METRIC_NAME]]="YLD_YTM_BID"),_bbt3[[#All],[METRIC_VALUE]])*0.5))/100,"")</f>
        <v/>
      </c>
      <c r="I878">
        <f>IF(ISNA(VLOOKUP(A878,QW_CloseDL!A:E,5,0)),0,VLOOKUP(A878,QW_CloseDL!A:E,5,0))</f>
        <v>0</v>
      </c>
      <c r="J878" s="8" t="str">
        <f t="shared" si="65"/>
        <v/>
      </c>
      <c r="P878">
        <v>0</v>
      </c>
      <c r="Q878" t="e">
        <f t="shared" si="66"/>
        <v>#N/A</v>
      </c>
      <c r="R878" t="e">
        <f t="shared" si="67"/>
        <v>#N/A</v>
      </c>
      <c r="S878" s="9" t="e">
        <f t="shared" si="68"/>
        <v>#N/A</v>
      </c>
      <c r="T878" s="3" t="e">
        <f t="shared" si="69"/>
        <v>#N/A</v>
      </c>
    </row>
    <row r="879" spans="2:20" x14ac:dyDescent="0.35">
      <c r="B879" t="str">
        <f>IF(NOT(ISBLANK(A879)),VLOOKUP(A879,'BBT3'!A:F,2,0),"")</f>
        <v/>
      </c>
      <c r="C879" t="str">
        <f>IF(NOT(ISBLANK(A879)),VLOOKUP(A879,'BBT3'!A:F,3,0),"")</f>
        <v/>
      </c>
      <c r="D879" s="6" t="str">
        <f>IF(NOT(ISBLANK(A879)),VLOOKUP(A879,'BBT3'!A:F,4,1),"")</f>
        <v/>
      </c>
      <c r="E879" t="str">
        <f>IF(NOT(ISBLANK(A879)),VLOOKUP(A879,'BBT3'!A:F,5,0),"")</f>
        <v/>
      </c>
      <c r="F879" t="str">
        <f>IF(NOT(ISBLANK(A879)),VLOOKUP(A879,'BBT3'!A:F,6,0),"")</f>
        <v/>
      </c>
      <c r="G879" t="str">
        <f>IF(NOT(ISBLANK(A879)),VLOOKUP(A879,QW_Close!A:J,5,0),"")</f>
        <v/>
      </c>
      <c r="H879" s="5" t="str" cm="1">
        <f t="array" ref="H879">IF(NOT(ISBLANK(A879)),((_xlfn.XLOOKUP(1,(_bbt3[[#All],[ID]]=A879)*(_bbt3[[#All],[METRIC_NAME]]="YLD_YTM_ASK"),_bbt3[[#All],[METRIC_VALUE]])*0.5)+(_xlfn.XLOOKUP(1,(_bbt3[[#All],[ID]]=A879)*(_bbt3[[#All],[METRIC_NAME]]="YLD_YTM_BID"),_bbt3[[#All],[METRIC_VALUE]])*0.5))/100,"")</f>
        <v/>
      </c>
      <c r="I879">
        <f>IF(ISNA(VLOOKUP(A879,QW_CloseDL!A:E,5,0)),0,VLOOKUP(A879,QW_CloseDL!A:E,5,0))</f>
        <v>0</v>
      </c>
      <c r="J879" s="8" t="str">
        <f t="shared" si="65"/>
        <v/>
      </c>
      <c r="P879">
        <v>0</v>
      </c>
      <c r="Q879" t="e">
        <f t="shared" si="66"/>
        <v>#N/A</v>
      </c>
      <c r="R879" t="e">
        <f t="shared" si="67"/>
        <v>#N/A</v>
      </c>
      <c r="S879" s="9" t="e">
        <f t="shared" si="68"/>
        <v>#N/A</v>
      </c>
      <c r="T879" s="3" t="e">
        <f t="shared" si="69"/>
        <v>#N/A</v>
      </c>
    </row>
    <row r="880" spans="2:20" x14ac:dyDescent="0.35">
      <c r="B880" t="str">
        <f>IF(NOT(ISBLANK(A880)),VLOOKUP(A880,'BBT3'!A:F,2,0),"")</f>
        <v/>
      </c>
      <c r="C880" t="str">
        <f>IF(NOT(ISBLANK(A880)),VLOOKUP(A880,'BBT3'!A:F,3,0),"")</f>
        <v/>
      </c>
      <c r="D880" s="6" t="str">
        <f>IF(NOT(ISBLANK(A880)),VLOOKUP(A880,'BBT3'!A:F,4,1),"")</f>
        <v/>
      </c>
      <c r="E880" t="str">
        <f>IF(NOT(ISBLANK(A880)),VLOOKUP(A880,'BBT3'!A:F,5,0),"")</f>
        <v/>
      </c>
      <c r="F880" t="str">
        <f>IF(NOT(ISBLANK(A880)),VLOOKUP(A880,'BBT3'!A:F,6,0),"")</f>
        <v/>
      </c>
      <c r="G880" t="str">
        <f>IF(NOT(ISBLANK(A880)),VLOOKUP(A880,QW_Close!A:J,5,0),"")</f>
        <v/>
      </c>
      <c r="H880" s="5" t="str" cm="1">
        <f t="array" ref="H880">IF(NOT(ISBLANK(A880)),((_xlfn.XLOOKUP(1,(_bbt3[[#All],[ID]]=A880)*(_bbt3[[#All],[METRIC_NAME]]="YLD_YTM_ASK"),_bbt3[[#All],[METRIC_VALUE]])*0.5)+(_xlfn.XLOOKUP(1,(_bbt3[[#All],[ID]]=A880)*(_bbt3[[#All],[METRIC_NAME]]="YLD_YTM_BID"),_bbt3[[#All],[METRIC_VALUE]])*0.5))/100,"")</f>
        <v/>
      </c>
      <c r="I880">
        <f>IF(ISNA(VLOOKUP(A880,QW_CloseDL!A:E,5,0)),0,VLOOKUP(A880,QW_CloseDL!A:E,5,0))</f>
        <v>0</v>
      </c>
      <c r="J880" s="8" t="str">
        <f t="shared" si="65"/>
        <v/>
      </c>
      <c r="P880">
        <v>0</v>
      </c>
      <c r="Q880" t="e">
        <f t="shared" si="66"/>
        <v>#N/A</v>
      </c>
      <c r="R880" t="e">
        <f t="shared" si="67"/>
        <v>#N/A</v>
      </c>
      <c r="S880" s="9" t="e">
        <f t="shared" si="68"/>
        <v>#N/A</v>
      </c>
      <c r="T880" s="3" t="e">
        <f t="shared" si="69"/>
        <v>#N/A</v>
      </c>
    </row>
    <row r="881" spans="2:20" x14ac:dyDescent="0.35">
      <c r="B881" t="str">
        <f>IF(NOT(ISBLANK(A881)),VLOOKUP(A881,'BBT3'!A:F,2,0),"")</f>
        <v/>
      </c>
      <c r="C881" t="str">
        <f>IF(NOT(ISBLANK(A881)),VLOOKUP(A881,'BBT3'!A:F,3,0),"")</f>
        <v/>
      </c>
      <c r="D881" s="6" t="str">
        <f>IF(NOT(ISBLANK(A881)),VLOOKUP(A881,'BBT3'!A:F,4,1),"")</f>
        <v/>
      </c>
      <c r="E881" t="str">
        <f>IF(NOT(ISBLANK(A881)),VLOOKUP(A881,'BBT3'!A:F,5,0),"")</f>
        <v/>
      </c>
      <c r="F881" t="str">
        <f>IF(NOT(ISBLANK(A881)),VLOOKUP(A881,'BBT3'!A:F,6,0),"")</f>
        <v/>
      </c>
      <c r="G881" t="str">
        <f>IF(NOT(ISBLANK(A881)),VLOOKUP(A881,QW_Close!A:J,5,0),"")</f>
        <v/>
      </c>
      <c r="H881" s="5" t="str" cm="1">
        <f t="array" ref="H881">IF(NOT(ISBLANK(A881)),((_xlfn.XLOOKUP(1,(_bbt3[[#All],[ID]]=A881)*(_bbt3[[#All],[METRIC_NAME]]="YLD_YTM_ASK"),_bbt3[[#All],[METRIC_VALUE]])*0.5)+(_xlfn.XLOOKUP(1,(_bbt3[[#All],[ID]]=A881)*(_bbt3[[#All],[METRIC_NAME]]="YLD_YTM_BID"),_bbt3[[#All],[METRIC_VALUE]])*0.5))/100,"")</f>
        <v/>
      </c>
      <c r="I881">
        <f>IF(ISNA(VLOOKUP(A881,QW_CloseDL!A:E,5,0)),0,VLOOKUP(A881,QW_CloseDL!A:E,5,0))</f>
        <v>0</v>
      </c>
      <c r="J881" s="8" t="str">
        <f t="shared" si="65"/>
        <v/>
      </c>
      <c r="P881">
        <v>0</v>
      </c>
      <c r="Q881" t="e">
        <f t="shared" si="66"/>
        <v>#N/A</v>
      </c>
      <c r="R881" t="e">
        <f t="shared" si="67"/>
        <v>#N/A</v>
      </c>
      <c r="S881" s="9" t="e">
        <f t="shared" si="68"/>
        <v>#N/A</v>
      </c>
      <c r="T881" s="3" t="e">
        <f t="shared" si="69"/>
        <v>#N/A</v>
      </c>
    </row>
    <row r="882" spans="2:20" x14ac:dyDescent="0.35">
      <c r="B882" t="str">
        <f>IF(NOT(ISBLANK(A882)),VLOOKUP(A882,'BBT3'!A:F,2,0),"")</f>
        <v/>
      </c>
      <c r="C882" t="str">
        <f>IF(NOT(ISBLANK(A882)),VLOOKUP(A882,'BBT3'!A:F,3,0),"")</f>
        <v/>
      </c>
      <c r="D882" s="6" t="str">
        <f>IF(NOT(ISBLANK(A882)),VLOOKUP(A882,'BBT3'!A:F,4,1),"")</f>
        <v/>
      </c>
      <c r="E882" t="str">
        <f>IF(NOT(ISBLANK(A882)),VLOOKUP(A882,'BBT3'!A:F,5,0),"")</f>
        <v/>
      </c>
      <c r="F882" t="str">
        <f>IF(NOT(ISBLANK(A882)),VLOOKUP(A882,'BBT3'!A:F,6,0),"")</f>
        <v/>
      </c>
      <c r="G882" t="str">
        <f>IF(NOT(ISBLANK(A882)),VLOOKUP(A882,QW_Close!A:J,5,0),"")</f>
        <v/>
      </c>
      <c r="H882" s="5" t="str" cm="1">
        <f t="array" ref="H882">IF(NOT(ISBLANK(A882)),((_xlfn.XLOOKUP(1,(_bbt3[[#All],[ID]]=A882)*(_bbt3[[#All],[METRIC_NAME]]="YLD_YTM_ASK"),_bbt3[[#All],[METRIC_VALUE]])*0.5)+(_xlfn.XLOOKUP(1,(_bbt3[[#All],[ID]]=A882)*(_bbt3[[#All],[METRIC_NAME]]="YLD_YTM_BID"),_bbt3[[#All],[METRIC_VALUE]])*0.5))/100,"")</f>
        <v/>
      </c>
      <c r="I882">
        <f>IF(ISNA(VLOOKUP(A882,QW_CloseDL!A:E,5,0)),0,VLOOKUP(A882,QW_CloseDL!A:E,5,0))</f>
        <v>0</v>
      </c>
      <c r="J882" s="8" t="str">
        <f t="shared" si="65"/>
        <v/>
      </c>
      <c r="P882">
        <v>0</v>
      </c>
      <c r="Q882" t="e">
        <f t="shared" si="66"/>
        <v>#N/A</v>
      </c>
      <c r="R882" t="e">
        <f t="shared" si="67"/>
        <v>#N/A</v>
      </c>
      <c r="S882" s="9" t="e">
        <f t="shared" si="68"/>
        <v>#N/A</v>
      </c>
      <c r="T882" s="3" t="e">
        <f t="shared" si="69"/>
        <v>#N/A</v>
      </c>
    </row>
    <row r="883" spans="2:20" x14ac:dyDescent="0.35">
      <c r="B883" t="str">
        <f>IF(NOT(ISBLANK(A883)),VLOOKUP(A883,'BBT3'!A:F,2,0),"")</f>
        <v/>
      </c>
      <c r="C883" t="str">
        <f>IF(NOT(ISBLANK(A883)),VLOOKUP(A883,'BBT3'!A:F,3,0),"")</f>
        <v/>
      </c>
      <c r="D883" s="6" t="str">
        <f>IF(NOT(ISBLANK(A883)),VLOOKUP(A883,'BBT3'!A:F,4,1),"")</f>
        <v/>
      </c>
      <c r="E883" t="str">
        <f>IF(NOT(ISBLANK(A883)),VLOOKUP(A883,'BBT3'!A:F,5,0),"")</f>
        <v/>
      </c>
      <c r="F883" t="str">
        <f>IF(NOT(ISBLANK(A883)),VLOOKUP(A883,'BBT3'!A:F,6,0),"")</f>
        <v/>
      </c>
      <c r="G883" t="str">
        <f>IF(NOT(ISBLANK(A883)),VLOOKUP(A883,QW_Close!A:J,5,0),"")</f>
        <v/>
      </c>
      <c r="H883" s="5" t="str" cm="1">
        <f t="array" ref="H883">IF(NOT(ISBLANK(A883)),((_xlfn.XLOOKUP(1,(_bbt3[[#All],[ID]]=A883)*(_bbt3[[#All],[METRIC_NAME]]="YLD_YTM_ASK"),_bbt3[[#All],[METRIC_VALUE]])*0.5)+(_xlfn.XLOOKUP(1,(_bbt3[[#All],[ID]]=A883)*(_bbt3[[#All],[METRIC_NAME]]="YLD_YTM_BID"),_bbt3[[#All],[METRIC_VALUE]])*0.5))/100,"")</f>
        <v/>
      </c>
      <c r="I883">
        <f>IF(ISNA(VLOOKUP(A883,QW_CloseDL!A:E,5,0)),0,VLOOKUP(A883,QW_CloseDL!A:E,5,0))</f>
        <v>0</v>
      </c>
      <c r="J883" s="8" t="str">
        <f t="shared" si="65"/>
        <v/>
      </c>
      <c r="P883">
        <v>0</v>
      </c>
      <c r="Q883" t="e">
        <f t="shared" si="66"/>
        <v>#N/A</v>
      </c>
      <c r="R883" t="e">
        <f t="shared" si="67"/>
        <v>#N/A</v>
      </c>
      <c r="S883" s="9" t="e">
        <f t="shared" si="68"/>
        <v>#N/A</v>
      </c>
      <c r="T883" s="3" t="e">
        <f t="shared" si="69"/>
        <v>#N/A</v>
      </c>
    </row>
    <row r="884" spans="2:20" x14ac:dyDescent="0.35">
      <c r="B884" t="str">
        <f>IF(NOT(ISBLANK(A884)),VLOOKUP(A884,'BBT3'!A:F,2,0),"")</f>
        <v/>
      </c>
      <c r="C884" t="str">
        <f>IF(NOT(ISBLANK(A884)),VLOOKUP(A884,'BBT3'!A:F,3,0),"")</f>
        <v/>
      </c>
      <c r="D884" s="6" t="str">
        <f>IF(NOT(ISBLANK(A884)),VLOOKUP(A884,'BBT3'!A:F,4,1),"")</f>
        <v/>
      </c>
      <c r="E884" t="str">
        <f>IF(NOT(ISBLANK(A884)),VLOOKUP(A884,'BBT3'!A:F,5,0),"")</f>
        <v/>
      </c>
      <c r="F884" t="str">
        <f>IF(NOT(ISBLANK(A884)),VLOOKUP(A884,'BBT3'!A:F,6,0),"")</f>
        <v/>
      </c>
      <c r="G884" t="str">
        <f>IF(NOT(ISBLANK(A884)),VLOOKUP(A884,QW_Close!A:J,5,0),"")</f>
        <v/>
      </c>
      <c r="H884" s="5" t="str" cm="1">
        <f t="array" ref="H884">IF(NOT(ISBLANK(A884)),((_xlfn.XLOOKUP(1,(_bbt3[[#All],[ID]]=A884)*(_bbt3[[#All],[METRIC_NAME]]="YLD_YTM_ASK"),_bbt3[[#All],[METRIC_VALUE]])*0.5)+(_xlfn.XLOOKUP(1,(_bbt3[[#All],[ID]]=A884)*(_bbt3[[#All],[METRIC_NAME]]="YLD_YTM_BID"),_bbt3[[#All],[METRIC_VALUE]])*0.5))/100,"")</f>
        <v/>
      </c>
      <c r="I884">
        <f>IF(ISNA(VLOOKUP(A884,QW_CloseDL!A:E,5,0)),0,VLOOKUP(A884,QW_CloseDL!A:E,5,0))</f>
        <v>0</v>
      </c>
      <c r="J884" s="8" t="str">
        <f t="shared" si="65"/>
        <v/>
      </c>
      <c r="P884">
        <v>0</v>
      </c>
      <c r="Q884" t="e">
        <f t="shared" si="66"/>
        <v>#N/A</v>
      </c>
      <c r="R884" t="e">
        <f t="shared" si="67"/>
        <v>#N/A</v>
      </c>
      <c r="S884" s="9" t="e">
        <f t="shared" si="68"/>
        <v>#N/A</v>
      </c>
      <c r="T884" s="3" t="e">
        <f t="shared" si="69"/>
        <v>#N/A</v>
      </c>
    </row>
    <row r="885" spans="2:20" x14ac:dyDescent="0.35">
      <c r="B885" t="str">
        <f>IF(NOT(ISBLANK(A885)),VLOOKUP(A885,'BBT3'!A:F,2,0),"")</f>
        <v/>
      </c>
      <c r="C885" t="str">
        <f>IF(NOT(ISBLANK(A885)),VLOOKUP(A885,'BBT3'!A:F,3,0),"")</f>
        <v/>
      </c>
      <c r="D885" s="6" t="str">
        <f>IF(NOT(ISBLANK(A885)),VLOOKUP(A885,'BBT3'!A:F,4,1),"")</f>
        <v/>
      </c>
      <c r="E885" t="str">
        <f>IF(NOT(ISBLANK(A885)),VLOOKUP(A885,'BBT3'!A:F,5,0),"")</f>
        <v/>
      </c>
      <c r="F885" t="str">
        <f>IF(NOT(ISBLANK(A885)),VLOOKUP(A885,'BBT3'!A:F,6,0),"")</f>
        <v/>
      </c>
      <c r="G885" t="str">
        <f>IF(NOT(ISBLANK(A885)),VLOOKUP(A885,QW_Close!A:J,5,0),"")</f>
        <v/>
      </c>
      <c r="H885" s="5" t="str" cm="1">
        <f t="array" ref="H885">IF(NOT(ISBLANK(A885)),((_xlfn.XLOOKUP(1,(_bbt3[[#All],[ID]]=A885)*(_bbt3[[#All],[METRIC_NAME]]="YLD_YTM_ASK"),_bbt3[[#All],[METRIC_VALUE]])*0.5)+(_xlfn.XLOOKUP(1,(_bbt3[[#All],[ID]]=A885)*(_bbt3[[#All],[METRIC_NAME]]="YLD_YTM_BID"),_bbt3[[#All],[METRIC_VALUE]])*0.5))/100,"")</f>
        <v/>
      </c>
      <c r="I885">
        <f>IF(ISNA(VLOOKUP(A885,QW_CloseDL!A:E,5,0)),0,VLOOKUP(A885,QW_CloseDL!A:E,5,0))</f>
        <v>0</v>
      </c>
      <c r="J885" s="8" t="str">
        <f t="shared" si="65"/>
        <v/>
      </c>
      <c r="P885">
        <v>0</v>
      </c>
      <c r="Q885" t="e">
        <f t="shared" si="66"/>
        <v>#N/A</v>
      </c>
      <c r="R885" t="e">
        <f t="shared" si="67"/>
        <v>#N/A</v>
      </c>
      <c r="S885" s="9" t="e">
        <f t="shared" si="68"/>
        <v>#N/A</v>
      </c>
      <c r="T885" s="3" t="e">
        <f t="shared" si="69"/>
        <v>#N/A</v>
      </c>
    </row>
    <row r="886" spans="2:20" x14ac:dyDescent="0.35">
      <c r="B886" t="str">
        <f>IF(NOT(ISBLANK(A886)),VLOOKUP(A886,'BBT3'!A:F,2,0),"")</f>
        <v/>
      </c>
      <c r="C886" t="str">
        <f>IF(NOT(ISBLANK(A886)),VLOOKUP(A886,'BBT3'!A:F,3,0),"")</f>
        <v/>
      </c>
      <c r="D886" s="6" t="str">
        <f>IF(NOT(ISBLANK(A886)),VLOOKUP(A886,'BBT3'!A:F,4,1),"")</f>
        <v/>
      </c>
      <c r="E886" t="str">
        <f>IF(NOT(ISBLANK(A886)),VLOOKUP(A886,'BBT3'!A:F,5,0),"")</f>
        <v/>
      </c>
      <c r="F886" t="str">
        <f>IF(NOT(ISBLANK(A886)),VLOOKUP(A886,'BBT3'!A:F,6,0),"")</f>
        <v/>
      </c>
      <c r="G886" t="str">
        <f>IF(NOT(ISBLANK(A886)),VLOOKUP(A886,QW_Close!A:J,5,0),"")</f>
        <v/>
      </c>
      <c r="H886" s="5" t="str" cm="1">
        <f t="array" ref="H886">IF(NOT(ISBLANK(A886)),((_xlfn.XLOOKUP(1,(_bbt3[[#All],[ID]]=A886)*(_bbt3[[#All],[METRIC_NAME]]="YLD_YTM_ASK"),_bbt3[[#All],[METRIC_VALUE]])*0.5)+(_xlfn.XLOOKUP(1,(_bbt3[[#All],[ID]]=A886)*(_bbt3[[#All],[METRIC_NAME]]="YLD_YTM_BID"),_bbt3[[#All],[METRIC_VALUE]])*0.5))/100,"")</f>
        <v/>
      </c>
      <c r="I886">
        <f>IF(ISNA(VLOOKUP(A886,QW_CloseDL!A:E,5,0)),0,VLOOKUP(A886,QW_CloseDL!A:E,5,0))</f>
        <v>0</v>
      </c>
      <c r="J886" s="8" t="str">
        <f t="shared" si="65"/>
        <v/>
      </c>
      <c r="P886">
        <v>0</v>
      </c>
      <c r="Q886" t="e">
        <f t="shared" si="66"/>
        <v>#N/A</v>
      </c>
      <c r="R886" t="e">
        <f t="shared" si="67"/>
        <v>#N/A</v>
      </c>
      <c r="S886" s="9" t="e">
        <f t="shared" si="68"/>
        <v>#N/A</v>
      </c>
      <c r="T886" s="3" t="e">
        <f t="shared" si="69"/>
        <v>#N/A</v>
      </c>
    </row>
    <row r="887" spans="2:20" x14ac:dyDescent="0.35">
      <c r="B887" t="str">
        <f>IF(NOT(ISBLANK(A887)),VLOOKUP(A887,'BBT3'!A:F,2,0),"")</f>
        <v/>
      </c>
      <c r="C887" t="str">
        <f>IF(NOT(ISBLANK(A887)),VLOOKUP(A887,'BBT3'!A:F,3,0),"")</f>
        <v/>
      </c>
      <c r="D887" s="6" t="str">
        <f>IF(NOT(ISBLANK(A887)),VLOOKUP(A887,'BBT3'!A:F,4,1),"")</f>
        <v/>
      </c>
      <c r="E887" t="str">
        <f>IF(NOT(ISBLANK(A887)),VLOOKUP(A887,'BBT3'!A:F,5,0),"")</f>
        <v/>
      </c>
      <c r="F887" t="str">
        <f>IF(NOT(ISBLANK(A887)),VLOOKUP(A887,'BBT3'!A:F,6,0),"")</f>
        <v/>
      </c>
      <c r="G887" t="str">
        <f>IF(NOT(ISBLANK(A887)),VLOOKUP(A887,QW_Close!A:J,5,0),"")</f>
        <v/>
      </c>
      <c r="H887" s="5" t="str" cm="1">
        <f t="array" ref="H887">IF(NOT(ISBLANK(A887)),((_xlfn.XLOOKUP(1,(_bbt3[[#All],[ID]]=A887)*(_bbt3[[#All],[METRIC_NAME]]="YLD_YTM_ASK"),_bbt3[[#All],[METRIC_VALUE]])*0.5)+(_xlfn.XLOOKUP(1,(_bbt3[[#All],[ID]]=A887)*(_bbt3[[#All],[METRIC_NAME]]="YLD_YTM_BID"),_bbt3[[#All],[METRIC_VALUE]])*0.5))/100,"")</f>
        <v/>
      </c>
      <c r="I887">
        <f>IF(ISNA(VLOOKUP(A887,QW_CloseDL!A:E,5,0)),0,VLOOKUP(A887,QW_CloseDL!A:E,5,0))</f>
        <v>0</v>
      </c>
      <c r="J887" s="8" t="str">
        <f t="shared" si="65"/>
        <v/>
      </c>
      <c r="P887">
        <v>0</v>
      </c>
      <c r="Q887" t="e">
        <f t="shared" si="66"/>
        <v>#N/A</v>
      </c>
      <c r="R887" t="e">
        <f t="shared" si="67"/>
        <v>#N/A</v>
      </c>
      <c r="S887" s="9" t="e">
        <f t="shared" si="68"/>
        <v>#N/A</v>
      </c>
      <c r="T887" s="3" t="e">
        <f t="shared" si="69"/>
        <v>#N/A</v>
      </c>
    </row>
    <row r="888" spans="2:20" x14ac:dyDescent="0.35">
      <c r="B888" t="str">
        <f>IF(NOT(ISBLANK(A888)),VLOOKUP(A888,'BBT3'!A:F,2,0),"")</f>
        <v/>
      </c>
      <c r="C888" t="str">
        <f>IF(NOT(ISBLANK(A888)),VLOOKUP(A888,'BBT3'!A:F,3,0),"")</f>
        <v/>
      </c>
      <c r="D888" s="6" t="str">
        <f>IF(NOT(ISBLANK(A888)),VLOOKUP(A888,'BBT3'!A:F,4,1),"")</f>
        <v/>
      </c>
      <c r="E888" t="str">
        <f>IF(NOT(ISBLANK(A888)),VLOOKUP(A888,'BBT3'!A:F,5,0),"")</f>
        <v/>
      </c>
      <c r="F888" t="str">
        <f>IF(NOT(ISBLANK(A888)),VLOOKUP(A888,'BBT3'!A:F,6,0),"")</f>
        <v/>
      </c>
      <c r="G888" t="str">
        <f>IF(NOT(ISBLANK(A888)),VLOOKUP(A888,QW_Close!A:J,5,0),"")</f>
        <v/>
      </c>
      <c r="H888" s="5" t="str" cm="1">
        <f t="array" ref="H888">IF(NOT(ISBLANK(A888)),((_xlfn.XLOOKUP(1,(_bbt3[[#All],[ID]]=A888)*(_bbt3[[#All],[METRIC_NAME]]="YLD_YTM_ASK"),_bbt3[[#All],[METRIC_VALUE]])*0.5)+(_xlfn.XLOOKUP(1,(_bbt3[[#All],[ID]]=A888)*(_bbt3[[#All],[METRIC_NAME]]="YLD_YTM_BID"),_bbt3[[#All],[METRIC_VALUE]])*0.5))/100,"")</f>
        <v/>
      </c>
      <c r="I888">
        <f>IF(ISNA(VLOOKUP(A888,QW_CloseDL!A:E,5,0)),0,VLOOKUP(A888,QW_CloseDL!A:E,5,0))</f>
        <v>0</v>
      </c>
      <c r="J888" s="8" t="str">
        <f t="shared" si="65"/>
        <v/>
      </c>
      <c r="P888">
        <v>0</v>
      </c>
      <c r="Q888" t="e">
        <f t="shared" si="66"/>
        <v>#N/A</v>
      </c>
      <c r="R888" t="e">
        <f t="shared" si="67"/>
        <v>#N/A</v>
      </c>
      <c r="S888" s="9" t="e">
        <f t="shared" si="68"/>
        <v>#N/A</v>
      </c>
      <c r="T888" s="3" t="e">
        <f t="shared" si="69"/>
        <v>#N/A</v>
      </c>
    </row>
    <row r="889" spans="2:20" x14ac:dyDescent="0.35">
      <c r="B889" t="str">
        <f>IF(NOT(ISBLANK(A889)),VLOOKUP(A889,'BBT3'!A:F,2,0),"")</f>
        <v/>
      </c>
      <c r="C889" t="str">
        <f>IF(NOT(ISBLANK(A889)),VLOOKUP(A889,'BBT3'!A:F,3,0),"")</f>
        <v/>
      </c>
      <c r="D889" s="6" t="str">
        <f>IF(NOT(ISBLANK(A889)),VLOOKUP(A889,'BBT3'!A:F,4,1),"")</f>
        <v/>
      </c>
      <c r="E889" t="str">
        <f>IF(NOT(ISBLANK(A889)),VLOOKUP(A889,'BBT3'!A:F,5,0),"")</f>
        <v/>
      </c>
      <c r="F889" t="str">
        <f>IF(NOT(ISBLANK(A889)),VLOOKUP(A889,'BBT3'!A:F,6,0),"")</f>
        <v/>
      </c>
      <c r="G889" t="str">
        <f>IF(NOT(ISBLANK(A889)),VLOOKUP(A889,QW_Close!A:J,5,0),"")</f>
        <v/>
      </c>
      <c r="H889" s="5" t="str" cm="1">
        <f t="array" ref="H889">IF(NOT(ISBLANK(A889)),((_xlfn.XLOOKUP(1,(_bbt3[[#All],[ID]]=A889)*(_bbt3[[#All],[METRIC_NAME]]="YLD_YTM_ASK"),_bbt3[[#All],[METRIC_VALUE]])*0.5)+(_xlfn.XLOOKUP(1,(_bbt3[[#All],[ID]]=A889)*(_bbt3[[#All],[METRIC_NAME]]="YLD_YTM_BID"),_bbt3[[#All],[METRIC_VALUE]])*0.5))/100,"")</f>
        <v/>
      </c>
      <c r="I889">
        <f>IF(ISNA(VLOOKUP(A889,QW_CloseDL!A:E,5,0)),0,VLOOKUP(A889,QW_CloseDL!A:E,5,0))</f>
        <v>0</v>
      </c>
      <c r="J889" s="8" t="str">
        <f t="shared" si="65"/>
        <v/>
      </c>
      <c r="P889">
        <v>0</v>
      </c>
      <c r="Q889" t="e">
        <f t="shared" si="66"/>
        <v>#N/A</v>
      </c>
      <c r="R889" t="e">
        <f t="shared" si="67"/>
        <v>#N/A</v>
      </c>
      <c r="S889" s="9" t="e">
        <f t="shared" si="68"/>
        <v>#N/A</v>
      </c>
      <c r="T889" s="3" t="e">
        <f t="shared" si="69"/>
        <v>#N/A</v>
      </c>
    </row>
    <row r="890" spans="2:20" x14ac:dyDescent="0.35">
      <c r="B890" t="str">
        <f>IF(NOT(ISBLANK(A890)),VLOOKUP(A890,'BBT3'!A:F,2,0),"")</f>
        <v/>
      </c>
      <c r="C890" t="str">
        <f>IF(NOT(ISBLANK(A890)),VLOOKUP(A890,'BBT3'!A:F,3,0),"")</f>
        <v/>
      </c>
      <c r="D890" s="6" t="str">
        <f>IF(NOT(ISBLANK(A890)),VLOOKUP(A890,'BBT3'!A:F,4,1),"")</f>
        <v/>
      </c>
      <c r="E890" t="str">
        <f>IF(NOT(ISBLANK(A890)),VLOOKUP(A890,'BBT3'!A:F,5,0),"")</f>
        <v/>
      </c>
      <c r="F890" t="str">
        <f>IF(NOT(ISBLANK(A890)),VLOOKUP(A890,'BBT3'!A:F,6,0),"")</f>
        <v/>
      </c>
      <c r="G890" t="str">
        <f>IF(NOT(ISBLANK(A890)),VLOOKUP(A890,QW_Close!A:J,5,0),"")</f>
        <v/>
      </c>
      <c r="H890" s="5" t="str" cm="1">
        <f t="array" ref="H890">IF(NOT(ISBLANK(A890)),((_xlfn.XLOOKUP(1,(_bbt3[[#All],[ID]]=A890)*(_bbt3[[#All],[METRIC_NAME]]="YLD_YTM_ASK"),_bbt3[[#All],[METRIC_VALUE]])*0.5)+(_xlfn.XLOOKUP(1,(_bbt3[[#All],[ID]]=A890)*(_bbt3[[#All],[METRIC_NAME]]="YLD_YTM_BID"),_bbt3[[#All],[METRIC_VALUE]])*0.5))/100,"")</f>
        <v/>
      </c>
      <c r="I890">
        <f>IF(ISNA(VLOOKUP(A890,QW_CloseDL!A:E,5,0)),0,VLOOKUP(A890,QW_CloseDL!A:E,5,0))</f>
        <v>0</v>
      </c>
      <c r="J890" s="8" t="str">
        <f t="shared" si="65"/>
        <v/>
      </c>
      <c r="P890">
        <v>0</v>
      </c>
      <c r="Q890" t="e">
        <f t="shared" si="66"/>
        <v>#N/A</v>
      </c>
      <c r="R890" t="e">
        <f t="shared" si="67"/>
        <v>#N/A</v>
      </c>
      <c r="S890" s="9" t="e">
        <f t="shared" si="68"/>
        <v>#N/A</v>
      </c>
      <c r="T890" s="3" t="e">
        <f t="shared" si="69"/>
        <v>#N/A</v>
      </c>
    </row>
    <row r="891" spans="2:20" x14ac:dyDescent="0.35">
      <c r="B891" t="str">
        <f>IF(NOT(ISBLANK(A891)),VLOOKUP(A891,'BBT3'!A:F,2,0),"")</f>
        <v/>
      </c>
      <c r="C891" t="str">
        <f>IF(NOT(ISBLANK(A891)),VLOOKUP(A891,'BBT3'!A:F,3,0),"")</f>
        <v/>
      </c>
      <c r="D891" s="6" t="str">
        <f>IF(NOT(ISBLANK(A891)),VLOOKUP(A891,'BBT3'!A:F,4,1),"")</f>
        <v/>
      </c>
      <c r="E891" t="str">
        <f>IF(NOT(ISBLANK(A891)),VLOOKUP(A891,'BBT3'!A:F,5,0),"")</f>
        <v/>
      </c>
      <c r="F891" t="str">
        <f>IF(NOT(ISBLANK(A891)),VLOOKUP(A891,'BBT3'!A:F,6,0),"")</f>
        <v/>
      </c>
      <c r="G891" t="str">
        <f>IF(NOT(ISBLANK(A891)),VLOOKUP(A891,QW_Close!A:J,5,0),"")</f>
        <v/>
      </c>
      <c r="H891" s="5" t="str" cm="1">
        <f t="array" ref="H891">IF(NOT(ISBLANK(A891)),((_xlfn.XLOOKUP(1,(_bbt3[[#All],[ID]]=A891)*(_bbt3[[#All],[METRIC_NAME]]="YLD_YTM_ASK"),_bbt3[[#All],[METRIC_VALUE]])*0.5)+(_xlfn.XLOOKUP(1,(_bbt3[[#All],[ID]]=A891)*(_bbt3[[#All],[METRIC_NAME]]="YLD_YTM_BID"),_bbt3[[#All],[METRIC_VALUE]])*0.5))/100,"")</f>
        <v/>
      </c>
      <c r="I891">
        <f>IF(ISNA(VLOOKUP(A891,QW_CloseDL!A:E,5,0)),0,VLOOKUP(A891,QW_CloseDL!A:E,5,0))</f>
        <v>0</v>
      </c>
      <c r="J891" s="8" t="str">
        <f t="shared" si="65"/>
        <v/>
      </c>
      <c r="P891">
        <v>0</v>
      </c>
      <c r="Q891" t="e">
        <f t="shared" si="66"/>
        <v>#N/A</v>
      </c>
      <c r="R891" t="e">
        <f t="shared" si="67"/>
        <v>#N/A</v>
      </c>
      <c r="S891" s="9" t="e">
        <f t="shared" si="68"/>
        <v>#N/A</v>
      </c>
      <c r="T891" s="3" t="e">
        <f t="shared" si="69"/>
        <v>#N/A</v>
      </c>
    </row>
    <row r="892" spans="2:20" x14ac:dyDescent="0.35">
      <c r="B892" t="str">
        <f>IF(NOT(ISBLANK(A892)),VLOOKUP(A892,'BBT3'!A:F,2,0),"")</f>
        <v/>
      </c>
      <c r="C892" t="str">
        <f>IF(NOT(ISBLANK(A892)),VLOOKUP(A892,'BBT3'!A:F,3,0),"")</f>
        <v/>
      </c>
      <c r="D892" s="6" t="str">
        <f>IF(NOT(ISBLANK(A892)),VLOOKUP(A892,'BBT3'!A:F,4,1),"")</f>
        <v/>
      </c>
      <c r="E892" t="str">
        <f>IF(NOT(ISBLANK(A892)),VLOOKUP(A892,'BBT3'!A:F,5,0),"")</f>
        <v/>
      </c>
      <c r="F892" t="str">
        <f>IF(NOT(ISBLANK(A892)),VLOOKUP(A892,'BBT3'!A:F,6,0),"")</f>
        <v/>
      </c>
      <c r="G892" t="str">
        <f>IF(NOT(ISBLANK(A892)),VLOOKUP(A892,QW_Close!A:J,5,0),"")</f>
        <v/>
      </c>
      <c r="H892" s="5" t="str" cm="1">
        <f t="array" ref="H892">IF(NOT(ISBLANK(A892)),((_xlfn.XLOOKUP(1,(_bbt3[[#All],[ID]]=A892)*(_bbt3[[#All],[METRIC_NAME]]="YLD_YTM_ASK"),_bbt3[[#All],[METRIC_VALUE]])*0.5)+(_xlfn.XLOOKUP(1,(_bbt3[[#All],[ID]]=A892)*(_bbt3[[#All],[METRIC_NAME]]="YLD_YTM_BID"),_bbt3[[#All],[METRIC_VALUE]])*0.5))/100,"")</f>
        <v/>
      </c>
      <c r="I892">
        <f>IF(ISNA(VLOOKUP(A892,QW_CloseDL!A:E,5,0)),0,VLOOKUP(A892,QW_CloseDL!A:E,5,0))</f>
        <v>0</v>
      </c>
      <c r="J892" s="8" t="str">
        <f t="shared" si="65"/>
        <v/>
      </c>
      <c r="P892">
        <v>0</v>
      </c>
      <c r="Q892" t="e">
        <f t="shared" si="66"/>
        <v>#N/A</v>
      </c>
      <c r="R892" t="e">
        <f t="shared" si="67"/>
        <v>#N/A</v>
      </c>
      <c r="S892" s="9" t="e">
        <f t="shared" si="68"/>
        <v>#N/A</v>
      </c>
      <c r="T892" s="3" t="e">
        <f t="shared" si="69"/>
        <v>#N/A</v>
      </c>
    </row>
    <row r="893" spans="2:20" x14ac:dyDescent="0.35">
      <c r="B893" t="str">
        <f>IF(NOT(ISBLANK(A893)),VLOOKUP(A893,'BBT3'!A:F,2,0),"")</f>
        <v/>
      </c>
      <c r="C893" t="str">
        <f>IF(NOT(ISBLANK(A893)),VLOOKUP(A893,'BBT3'!A:F,3,0),"")</f>
        <v/>
      </c>
      <c r="D893" s="6" t="str">
        <f>IF(NOT(ISBLANK(A893)),VLOOKUP(A893,'BBT3'!A:F,4,1),"")</f>
        <v/>
      </c>
      <c r="E893" t="str">
        <f>IF(NOT(ISBLANK(A893)),VLOOKUP(A893,'BBT3'!A:F,5,0),"")</f>
        <v/>
      </c>
      <c r="F893" t="str">
        <f>IF(NOT(ISBLANK(A893)),VLOOKUP(A893,'BBT3'!A:F,6,0),"")</f>
        <v/>
      </c>
      <c r="G893" t="str">
        <f>IF(NOT(ISBLANK(A893)),VLOOKUP(A893,QW_Close!A:J,5,0),"")</f>
        <v/>
      </c>
      <c r="H893" s="5" t="str" cm="1">
        <f t="array" ref="H893">IF(NOT(ISBLANK(A893)),((_xlfn.XLOOKUP(1,(_bbt3[[#All],[ID]]=A893)*(_bbt3[[#All],[METRIC_NAME]]="YLD_YTM_ASK"),_bbt3[[#All],[METRIC_VALUE]])*0.5)+(_xlfn.XLOOKUP(1,(_bbt3[[#All],[ID]]=A893)*(_bbt3[[#All],[METRIC_NAME]]="YLD_YTM_BID"),_bbt3[[#All],[METRIC_VALUE]])*0.5))/100,"")</f>
        <v/>
      </c>
      <c r="I893">
        <f>IF(ISNA(VLOOKUP(A893,QW_CloseDL!A:E,5,0)),0,VLOOKUP(A893,QW_CloseDL!A:E,5,0))</f>
        <v>0</v>
      </c>
      <c r="J893" s="8" t="str">
        <f t="shared" si="65"/>
        <v/>
      </c>
      <c r="P893">
        <v>0</v>
      </c>
      <c r="Q893" t="e">
        <f t="shared" si="66"/>
        <v>#N/A</v>
      </c>
      <c r="R893" t="e">
        <f t="shared" si="67"/>
        <v>#N/A</v>
      </c>
      <c r="S893" s="9" t="e">
        <f t="shared" si="68"/>
        <v>#N/A</v>
      </c>
      <c r="T893" s="3" t="e">
        <f t="shared" si="69"/>
        <v>#N/A</v>
      </c>
    </row>
    <row r="894" spans="2:20" x14ac:dyDescent="0.35">
      <c r="B894" t="str">
        <f>IF(NOT(ISBLANK(A894)),VLOOKUP(A894,'BBT3'!A:F,2,0),"")</f>
        <v/>
      </c>
      <c r="C894" t="str">
        <f>IF(NOT(ISBLANK(A894)),VLOOKUP(A894,'BBT3'!A:F,3,0),"")</f>
        <v/>
      </c>
      <c r="D894" s="6" t="str">
        <f>IF(NOT(ISBLANK(A894)),VLOOKUP(A894,'BBT3'!A:F,4,1),"")</f>
        <v/>
      </c>
      <c r="E894" t="str">
        <f>IF(NOT(ISBLANK(A894)),VLOOKUP(A894,'BBT3'!A:F,5,0),"")</f>
        <v/>
      </c>
      <c r="F894" t="str">
        <f>IF(NOT(ISBLANK(A894)),VLOOKUP(A894,'BBT3'!A:F,6,0),"")</f>
        <v/>
      </c>
      <c r="G894" t="str">
        <f>IF(NOT(ISBLANK(A894)),VLOOKUP(A894,QW_Close!A:J,5,0),"")</f>
        <v/>
      </c>
      <c r="H894" s="5" t="str" cm="1">
        <f t="array" ref="H894">IF(NOT(ISBLANK(A894)),((_xlfn.XLOOKUP(1,(_bbt3[[#All],[ID]]=A894)*(_bbt3[[#All],[METRIC_NAME]]="YLD_YTM_ASK"),_bbt3[[#All],[METRIC_VALUE]])*0.5)+(_xlfn.XLOOKUP(1,(_bbt3[[#All],[ID]]=A894)*(_bbt3[[#All],[METRIC_NAME]]="YLD_YTM_BID"),_bbt3[[#All],[METRIC_VALUE]])*0.5))/100,"")</f>
        <v/>
      </c>
      <c r="I894">
        <f>IF(ISNA(VLOOKUP(A894,QW_CloseDL!A:E,5,0)),0,VLOOKUP(A894,QW_CloseDL!A:E,5,0))</f>
        <v>0</v>
      </c>
      <c r="J894" s="8" t="str">
        <f t="shared" si="65"/>
        <v/>
      </c>
      <c r="P894">
        <v>0</v>
      </c>
      <c r="Q894" t="e">
        <f t="shared" si="66"/>
        <v>#N/A</v>
      </c>
      <c r="R894" t="e">
        <f t="shared" si="67"/>
        <v>#N/A</v>
      </c>
      <c r="S894" s="9" t="e">
        <f t="shared" si="68"/>
        <v>#N/A</v>
      </c>
      <c r="T894" s="3" t="e">
        <f t="shared" si="69"/>
        <v>#N/A</v>
      </c>
    </row>
    <row r="895" spans="2:20" x14ac:dyDescent="0.35">
      <c r="B895" t="str">
        <f>IF(NOT(ISBLANK(A895)),VLOOKUP(A895,'BBT3'!A:F,2,0),"")</f>
        <v/>
      </c>
      <c r="C895" t="str">
        <f>IF(NOT(ISBLANK(A895)),VLOOKUP(A895,'BBT3'!A:F,3,0),"")</f>
        <v/>
      </c>
      <c r="D895" s="6" t="str">
        <f>IF(NOT(ISBLANK(A895)),VLOOKUP(A895,'BBT3'!A:F,4,1),"")</f>
        <v/>
      </c>
      <c r="E895" t="str">
        <f>IF(NOT(ISBLANK(A895)),VLOOKUP(A895,'BBT3'!A:F,5,0),"")</f>
        <v/>
      </c>
      <c r="F895" t="str">
        <f>IF(NOT(ISBLANK(A895)),VLOOKUP(A895,'BBT3'!A:F,6,0),"")</f>
        <v/>
      </c>
      <c r="G895" t="str">
        <f>IF(NOT(ISBLANK(A895)),VLOOKUP(A895,QW_Close!A:J,5,0),"")</f>
        <v/>
      </c>
      <c r="H895" s="5" t="str" cm="1">
        <f t="array" ref="H895">IF(NOT(ISBLANK(A895)),((_xlfn.XLOOKUP(1,(_bbt3[[#All],[ID]]=A895)*(_bbt3[[#All],[METRIC_NAME]]="YLD_YTM_ASK"),_bbt3[[#All],[METRIC_VALUE]])*0.5)+(_xlfn.XLOOKUP(1,(_bbt3[[#All],[ID]]=A895)*(_bbt3[[#All],[METRIC_NAME]]="YLD_YTM_BID"),_bbt3[[#All],[METRIC_VALUE]])*0.5))/100,"")</f>
        <v/>
      </c>
      <c r="I895">
        <f>IF(ISNA(VLOOKUP(A895,QW_CloseDL!A:E,5,0)),0,VLOOKUP(A895,QW_CloseDL!A:E,5,0))</f>
        <v>0</v>
      </c>
      <c r="J895" s="8" t="str">
        <f t="shared" si="65"/>
        <v/>
      </c>
      <c r="P895">
        <v>0</v>
      </c>
      <c r="Q895" t="e">
        <f t="shared" si="66"/>
        <v>#N/A</v>
      </c>
      <c r="R895" t="e">
        <f t="shared" si="67"/>
        <v>#N/A</v>
      </c>
      <c r="S895" s="9" t="e">
        <f t="shared" si="68"/>
        <v>#N/A</v>
      </c>
      <c r="T895" s="3" t="e">
        <f t="shared" si="69"/>
        <v>#N/A</v>
      </c>
    </row>
    <row r="896" spans="2:20" x14ac:dyDescent="0.35">
      <c r="B896" t="str">
        <f>IF(NOT(ISBLANK(A896)),VLOOKUP(A896,'BBT3'!A:F,2,0),"")</f>
        <v/>
      </c>
      <c r="C896" t="str">
        <f>IF(NOT(ISBLANK(A896)),VLOOKUP(A896,'BBT3'!A:F,3,0),"")</f>
        <v/>
      </c>
      <c r="D896" s="6" t="str">
        <f>IF(NOT(ISBLANK(A896)),VLOOKUP(A896,'BBT3'!A:F,4,1),"")</f>
        <v/>
      </c>
      <c r="E896" t="str">
        <f>IF(NOT(ISBLANK(A896)),VLOOKUP(A896,'BBT3'!A:F,5,0),"")</f>
        <v/>
      </c>
      <c r="F896" t="str">
        <f>IF(NOT(ISBLANK(A896)),VLOOKUP(A896,'BBT3'!A:F,6,0),"")</f>
        <v/>
      </c>
      <c r="G896" t="str">
        <f>IF(NOT(ISBLANK(A896)),VLOOKUP(A896,QW_Close!A:J,5,0),"")</f>
        <v/>
      </c>
      <c r="H896" s="5" t="str" cm="1">
        <f t="array" ref="H896">IF(NOT(ISBLANK(A896)),((_xlfn.XLOOKUP(1,(_bbt3[[#All],[ID]]=A896)*(_bbt3[[#All],[METRIC_NAME]]="YLD_YTM_ASK"),_bbt3[[#All],[METRIC_VALUE]])*0.5)+(_xlfn.XLOOKUP(1,(_bbt3[[#All],[ID]]=A896)*(_bbt3[[#All],[METRIC_NAME]]="YLD_YTM_BID"),_bbt3[[#All],[METRIC_VALUE]])*0.5))/100,"")</f>
        <v/>
      </c>
      <c r="I896">
        <f>IF(ISNA(VLOOKUP(A896,QW_CloseDL!A:E,5,0)),0,VLOOKUP(A896,QW_CloseDL!A:E,5,0))</f>
        <v>0</v>
      </c>
      <c r="J896" s="8" t="str">
        <f t="shared" si="65"/>
        <v/>
      </c>
      <c r="P896">
        <v>0</v>
      </c>
      <c r="Q896" t="e">
        <f t="shared" si="66"/>
        <v>#N/A</v>
      </c>
      <c r="R896" t="e">
        <f t="shared" si="67"/>
        <v>#N/A</v>
      </c>
      <c r="S896" s="9" t="e">
        <f t="shared" si="68"/>
        <v>#N/A</v>
      </c>
      <c r="T896" s="3" t="e">
        <f t="shared" si="69"/>
        <v>#N/A</v>
      </c>
    </row>
    <row r="897" spans="2:20" x14ac:dyDescent="0.35">
      <c r="B897" t="str">
        <f>IF(NOT(ISBLANK(A897)),VLOOKUP(A897,'BBT3'!A:F,2,0),"")</f>
        <v/>
      </c>
      <c r="C897" t="str">
        <f>IF(NOT(ISBLANK(A897)),VLOOKUP(A897,'BBT3'!A:F,3,0),"")</f>
        <v/>
      </c>
      <c r="D897" s="6" t="str">
        <f>IF(NOT(ISBLANK(A897)),VLOOKUP(A897,'BBT3'!A:F,4,1),"")</f>
        <v/>
      </c>
      <c r="E897" t="str">
        <f>IF(NOT(ISBLANK(A897)),VLOOKUP(A897,'BBT3'!A:F,5,0),"")</f>
        <v/>
      </c>
      <c r="F897" t="str">
        <f>IF(NOT(ISBLANK(A897)),VLOOKUP(A897,'BBT3'!A:F,6,0),"")</f>
        <v/>
      </c>
      <c r="G897" t="str">
        <f>IF(NOT(ISBLANK(A897)),VLOOKUP(A897,QW_Close!A:J,5,0),"")</f>
        <v/>
      </c>
      <c r="H897" s="5" t="str" cm="1">
        <f t="array" ref="H897">IF(NOT(ISBLANK(A897)),((_xlfn.XLOOKUP(1,(_bbt3[[#All],[ID]]=A897)*(_bbt3[[#All],[METRIC_NAME]]="YLD_YTM_ASK"),_bbt3[[#All],[METRIC_VALUE]])*0.5)+(_xlfn.XLOOKUP(1,(_bbt3[[#All],[ID]]=A897)*(_bbt3[[#All],[METRIC_NAME]]="YLD_YTM_BID"),_bbt3[[#All],[METRIC_VALUE]])*0.5))/100,"")</f>
        <v/>
      </c>
      <c r="I897">
        <f>IF(ISNA(VLOOKUP(A897,QW_CloseDL!A:E,5,0)),0,VLOOKUP(A897,QW_CloseDL!A:E,5,0))</f>
        <v>0</v>
      </c>
      <c r="J897" s="8" t="str">
        <f t="shared" si="65"/>
        <v/>
      </c>
      <c r="P897">
        <v>0</v>
      </c>
      <c r="Q897" t="e">
        <f t="shared" si="66"/>
        <v>#N/A</v>
      </c>
      <c r="R897" t="e">
        <f t="shared" si="67"/>
        <v>#N/A</v>
      </c>
      <c r="S897" s="9" t="e">
        <f t="shared" si="68"/>
        <v>#N/A</v>
      </c>
      <c r="T897" s="3" t="e">
        <f t="shared" si="69"/>
        <v>#N/A</v>
      </c>
    </row>
    <row r="898" spans="2:20" x14ac:dyDescent="0.35">
      <c r="B898" t="str">
        <f>IF(NOT(ISBLANK(A898)),VLOOKUP(A898,'BBT3'!A:F,2,0),"")</f>
        <v/>
      </c>
      <c r="C898" t="str">
        <f>IF(NOT(ISBLANK(A898)),VLOOKUP(A898,'BBT3'!A:F,3,0),"")</f>
        <v/>
      </c>
      <c r="D898" s="6" t="str">
        <f>IF(NOT(ISBLANK(A898)),VLOOKUP(A898,'BBT3'!A:F,4,1),"")</f>
        <v/>
      </c>
      <c r="E898" t="str">
        <f>IF(NOT(ISBLANK(A898)),VLOOKUP(A898,'BBT3'!A:F,5,0),"")</f>
        <v/>
      </c>
      <c r="F898" t="str">
        <f>IF(NOT(ISBLANK(A898)),VLOOKUP(A898,'BBT3'!A:F,6,0),"")</f>
        <v/>
      </c>
      <c r="G898" t="str">
        <f>IF(NOT(ISBLANK(A898)),VLOOKUP(A898,QW_Close!A:J,5,0),"")</f>
        <v/>
      </c>
      <c r="H898" s="5" t="str" cm="1">
        <f t="array" ref="H898">IF(NOT(ISBLANK(A898)),((_xlfn.XLOOKUP(1,(_bbt3[[#All],[ID]]=A898)*(_bbt3[[#All],[METRIC_NAME]]="YLD_YTM_ASK"),_bbt3[[#All],[METRIC_VALUE]])*0.5)+(_xlfn.XLOOKUP(1,(_bbt3[[#All],[ID]]=A898)*(_bbt3[[#All],[METRIC_NAME]]="YLD_YTM_BID"),_bbt3[[#All],[METRIC_VALUE]])*0.5))/100,"")</f>
        <v/>
      </c>
      <c r="I898">
        <f>IF(ISNA(VLOOKUP(A898,QW_CloseDL!A:E,5,0)),0,VLOOKUP(A898,QW_CloseDL!A:E,5,0))</f>
        <v>0</v>
      </c>
      <c r="J898" s="8" t="str">
        <f t="shared" si="65"/>
        <v/>
      </c>
      <c r="P898">
        <v>0</v>
      </c>
      <c r="Q898" t="e">
        <f t="shared" si="66"/>
        <v>#N/A</v>
      </c>
      <c r="R898" t="e">
        <f t="shared" si="67"/>
        <v>#N/A</v>
      </c>
      <c r="S898" s="9" t="e">
        <f t="shared" si="68"/>
        <v>#N/A</v>
      </c>
      <c r="T898" s="3" t="e">
        <f t="shared" si="69"/>
        <v>#N/A</v>
      </c>
    </row>
    <row r="899" spans="2:20" x14ac:dyDescent="0.35">
      <c r="B899" t="str">
        <f>IF(NOT(ISBLANK(A899)),VLOOKUP(A899,'BBT3'!A:F,2,0),"")</f>
        <v/>
      </c>
      <c r="C899" t="str">
        <f>IF(NOT(ISBLANK(A899)),VLOOKUP(A899,'BBT3'!A:F,3,0),"")</f>
        <v/>
      </c>
      <c r="D899" s="6" t="str">
        <f>IF(NOT(ISBLANK(A899)),VLOOKUP(A899,'BBT3'!A:F,4,1),"")</f>
        <v/>
      </c>
      <c r="E899" t="str">
        <f>IF(NOT(ISBLANK(A899)),VLOOKUP(A899,'BBT3'!A:F,5,0),"")</f>
        <v/>
      </c>
      <c r="F899" t="str">
        <f>IF(NOT(ISBLANK(A899)),VLOOKUP(A899,'BBT3'!A:F,6,0),"")</f>
        <v/>
      </c>
      <c r="G899" t="str">
        <f>IF(NOT(ISBLANK(A899)),VLOOKUP(A899,QW_Close!A:J,5,0),"")</f>
        <v/>
      </c>
      <c r="H899" s="5" t="str" cm="1">
        <f t="array" ref="H899">IF(NOT(ISBLANK(A899)),((_xlfn.XLOOKUP(1,(_bbt3[[#All],[ID]]=A899)*(_bbt3[[#All],[METRIC_NAME]]="YLD_YTM_ASK"),_bbt3[[#All],[METRIC_VALUE]])*0.5)+(_xlfn.XLOOKUP(1,(_bbt3[[#All],[ID]]=A899)*(_bbt3[[#All],[METRIC_NAME]]="YLD_YTM_BID"),_bbt3[[#All],[METRIC_VALUE]])*0.5))/100,"")</f>
        <v/>
      </c>
      <c r="I899">
        <f>IF(ISNA(VLOOKUP(A899,QW_CloseDL!A:E,5,0)),0,VLOOKUP(A899,QW_CloseDL!A:E,5,0))</f>
        <v>0</v>
      </c>
      <c r="J899" s="8" t="str">
        <f t="shared" ref="J899:J962" si="70">IF(ISNA(IF(NOT(ISBLANK(A899)),ABS(G899-I899),"")),0,(IF(NOT(ISBLANK(A899)),ABS(G899-I899)*10000,"")))</f>
        <v/>
      </c>
      <c r="P899">
        <v>0</v>
      </c>
      <c r="Q899" t="e">
        <f t="shared" si="66"/>
        <v>#N/A</v>
      </c>
      <c r="R899" t="e">
        <f t="shared" si="67"/>
        <v>#N/A</v>
      </c>
      <c r="S899" s="9" t="e">
        <f t="shared" si="68"/>
        <v>#N/A</v>
      </c>
      <c r="T899" s="3" t="e">
        <f t="shared" si="69"/>
        <v>#N/A</v>
      </c>
    </row>
    <row r="900" spans="2:20" x14ac:dyDescent="0.35">
      <c r="B900" t="str">
        <f>IF(NOT(ISBLANK(A900)),VLOOKUP(A900,'BBT3'!A:F,2,0),"")</f>
        <v/>
      </c>
      <c r="C900" t="str">
        <f>IF(NOT(ISBLANK(A900)),VLOOKUP(A900,'BBT3'!A:F,3,0),"")</f>
        <v/>
      </c>
      <c r="D900" s="6" t="str">
        <f>IF(NOT(ISBLANK(A900)),VLOOKUP(A900,'BBT3'!A:F,4,1),"")</f>
        <v/>
      </c>
      <c r="E900" t="str">
        <f>IF(NOT(ISBLANK(A900)),VLOOKUP(A900,'BBT3'!A:F,5,0),"")</f>
        <v/>
      </c>
      <c r="F900" t="str">
        <f>IF(NOT(ISBLANK(A900)),VLOOKUP(A900,'BBT3'!A:F,6,0),"")</f>
        <v/>
      </c>
      <c r="G900" t="str">
        <f>IF(NOT(ISBLANK(A900)),VLOOKUP(A900,QW_Close!A:J,5,0),"")</f>
        <v/>
      </c>
      <c r="H900" s="5" t="str" cm="1">
        <f t="array" ref="H900">IF(NOT(ISBLANK(A900)),((_xlfn.XLOOKUP(1,(_bbt3[[#All],[ID]]=A900)*(_bbt3[[#All],[METRIC_NAME]]="YLD_YTM_ASK"),_bbt3[[#All],[METRIC_VALUE]])*0.5)+(_xlfn.XLOOKUP(1,(_bbt3[[#All],[ID]]=A900)*(_bbt3[[#All],[METRIC_NAME]]="YLD_YTM_BID"),_bbt3[[#All],[METRIC_VALUE]])*0.5))/100,"")</f>
        <v/>
      </c>
      <c r="I900">
        <f>IF(ISNA(VLOOKUP(A900,QW_CloseDL!A:E,5,0)),0,VLOOKUP(A900,QW_CloseDL!A:E,5,0))</f>
        <v>0</v>
      </c>
      <c r="J900" s="8" t="str">
        <f t="shared" si="70"/>
        <v/>
      </c>
      <c r="P900">
        <v>0</v>
      </c>
      <c r="Q900" t="e">
        <f t="shared" si="66"/>
        <v>#N/A</v>
      </c>
      <c r="R900" t="e">
        <f t="shared" si="67"/>
        <v>#N/A</v>
      </c>
      <c r="S900" s="9" t="e">
        <f t="shared" si="68"/>
        <v>#N/A</v>
      </c>
      <c r="T900" s="3" t="e">
        <f t="shared" si="69"/>
        <v>#N/A</v>
      </c>
    </row>
    <row r="901" spans="2:20" x14ac:dyDescent="0.35">
      <c r="B901" t="str">
        <f>IF(NOT(ISBLANK(A901)),VLOOKUP(A901,'BBT3'!A:F,2,0),"")</f>
        <v/>
      </c>
      <c r="C901" t="str">
        <f>IF(NOT(ISBLANK(A901)),VLOOKUP(A901,'BBT3'!A:F,3,0),"")</f>
        <v/>
      </c>
      <c r="D901" s="6" t="str">
        <f>IF(NOT(ISBLANK(A901)),VLOOKUP(A901,'BBT3'!A:F,4,1),"")</f>
        <v/>
      </c>
      <c r="E901" t="str">
        <f>IF(NOT(ISBLANK(A901)),VLOOKUP(A901,'BBT3'!A:F,5,0),"")</f>
        <v/>
      </c>
      <c r="F901" t="str">
        <f>IF(NOT(ISBLANK(A901)),VLOOKUP(A901,'BBT3'!A:F,6,0),"")</f>
        <v/>
      </c>
      <c r="G901" t="str">
        <f>IF(NOT(ISBLANK(A901)),VLOOKUP(A901,QW_Close!A:J,5,0),"")</f>
        <v/>
      </c>
      <c r="H901" s="5" t="str" cm="1">
        <f t="array" ref="H901">IF(NOT(ISBLANK(A901)),((_xlfn.XLOOKUP(1,(_bbt3[[#All],[ID]]=A901)*(_bbt3[[#All],[METRIC_NAME]]="YLD_YTM_ASK"),_bbt3[[#All],[METRIC_VALUE]])*0.5)+(_xlfn.XLOOKUP(1,(_bbt3[[#All],[ID]]=A901)*(_bbt3[[#All],[METRIC_NAME]]="YLD_YTM_BID"),_bbt3[[#All],[METRIC_VALUE]])*0.5))/100,"")</f>
        <v/>
      </c>
      <c r="I901">
        <f>IF(ISNA(VLOOKUP(A901,QW_CloseDL!A:E,5,0)),0,VLOOKUP(A901,QW_CloseDL!A:E,5,0))</f>
        <v>0</v>
      </c>
      <c r="J901" s="8" t="str">
        <f t="shared" si="70"/>
        <v/>
      </c>
      <c r="P901">
        <v>0</v>
      </c>
      <c r="Q901" t="e">
        <f t="shared" si="66"/>
        <v>#N/A</v>
      </c>
      <c r="R901" t="e">
        <f t="shared" si="67"/>
        <v>#N/A</v>
      </c>
      <c r="S901" s="9" t="e">
        <f t="shared" si="68"/>
        <v>#N/A</v>
      </c>
      <c r="T901" s="3" t="e">
        <f t="shared" si="69"/>
        <v>#N/A</v>
      </c>
    </row>
    <row r="902" spans="2:20" x14ac:dyDescent="0.35">
      <c r="B902" t="str">
        <f>IF(NOT(ISBLANK(A902)),VLOOKUP(A902,'BBT3'!A:F,2,0),"")</f>
        <v/>
      </c>
      <c r="C902" t="str">
        <f>IF(NOT(ISBLANK(A902)),VLOOKUP(A902,'BBT3'!A:F,3,0),"")</f>
        <v/>
      </c>
      <c r="D902" s="6" t="str">
        <f>IF(NOT(ISBLANK(A902)),VLOOKUP(A902,'BBT3'!A:F,4,1),"")</f>
        <v/>
      </c>
      <c r="E902" t="str">
        <f>IF(NOT(ISBLANK(A902)),VLOOKUP(A902,'BBT3'!A:F,5,0),"")</f>
        <v/>
      </c>
      <c r="F902" t="str">
        <f>IF(NOT(ISBLANK(A902)),VLOOKUP(A902,'BBT3'!A:F,6,0),"")</f>
        <v/>
      </c>
      <c r="G902" t="str">
        <f>IF(NOT(ISBLANK(A902)),VLOOKUP(A902,QW_Close!A:J,5,0),"")</f>
        <v/>
      </c>
      <c r="H902" s="5" t="str" cm="1">
        <f t="array" ref="H902">IF(NOT(ISBLANK(A902)),((_xlfn.XLOOKUP(1,(_bbt3[[#All],[ID]]=A902)*(_bbt3[[#All],[METRIC_NAME]]="YLD_YTM_ASK"),_bbt3[[#All],[METRIC_VALUE]])*0.5)+(_xlfn.XLOOKUP(1,(_bbt3[[#All],[ID]]=A902)*(_bbt3[[#All],[METRIC_NAME]]="YLD_YTM_BID"),_bbt3[[#All],[METRIC_VALUE]])*0.5))/100,"")</f>
        <v/>
      </c>
      <c r="I902">
        <f>IF(ISNA(VLOOKUP(A902,QW_CloseDL!A:E,5,0)),0,VLOOKUP(A902,QW_CloseDL!A:E,5,0))</f>
        <v>0</v>
      </c>
      <c r="J902" s="8" t="str">
        <f t="shared" si="70"/>
        <v/>
      </c>
      <c r="P902">
        <v>0</v>
      </c>
      <c r="Q902" t="e">
        <f t="shared" si="66"/>
        <v>#N/A</v>
      </c>
      <c r="R902" t="e">
        <f t="shared" si="67"/>
        <v>#N/A</v>
      </c>
      <c r="S902" s="9" t="e">
        <f t="shared" si="68"/>
        <v>#N/A</v>
      </c>
      <c r="T902" s="3" t="e">
        <f t="shared" si="69"/>
        <v>#N/A</v>
      </c>
    </row>
    <row r="903" spans="2:20" x14ac:dyDescent="0.35">
      <c r="B903" t="str">
        <f>IF(NOT(ISBLANK(A903)),VLOOKUP(A903,'BBT3'!A:F,2,0),"")</f>
        <v/>
      </c>
      <c r="C903" t="str">
        <f>IF(NOT(ISBLANK(A903)),VLOOKUP(A903,'BBT3'!A:F,3,0),"")</f>
        <v/>
      </c>
      <c r="D903" s="6" t="str">
        <f>IF(NOT(ISBLANK(A903)),VLOOKUP(A903,'BBT3'!A:F,4,1),"")</f>
        <v/>
      </c>
      <c r="E903" t="str">
        <f>IF(NOT(ISBLANK(A903)),VLOOKUP(A903,'BBT3'!A:F,5,0),"")</f>
        <v/>
      </c>
      <c r="F903" t="str">
        <f>IF(NOT(ISBLANK(A903)),VLOOKUP(A903,'BBT3'!A:F,6,0),"")</f>
        <v/>
      </c>
      <c r="G903" t="str">
        <f>IF(NOT(ISBLANK(A903)),VLOOKUP(A903,QW_Close!A:J,5,0),"")</f>
        <v/>
      </c>
      <c r="H903" s="5" t="str" cm="1">
        <f t="array" ref="H903">IF(NOT(ISBLANK(A903)),((_xlfn.XLOOKUP(1,(_bbt3[[#All],[ID]]=A903)*(_bbt3[[#All],[METRIC_NAME]]="YLD_YTM_ASK"),_bbt3[[#All],[METRIC_VALUE]])*0.5)+(_xlfn.XLOOKUP(1,(_bbt3[[#All],[ID]]=A903)*(_bbt3[[#All],[METRIC_NAME]]="YLD_YTM_BID"),_bbt3[[#All],[METRIC_VALUE]])*0.5))/100,"")</f>
        <v/>
      </c>
      <c r="I903">
        <f>IF(ISNA(VLOOKUP(A903,QW_CloseDL!A:E,5,0)),0,VLOOKUP(A903,QW_CloseDL!A:E,5,0))</f>
        <v>0</v>
      </c>
      <c r="J903" s="8" t="str">
        <f t="shared" si="70"/>
        <v/>
      </c>
      <c r="P903">
        <v>0</v>
      </c>
      <c r="Q903" t="e">
        <f t="shared" si="66"/>
        <v>#N/A</v>
      </c>
      <c r="R903" t="e">
        <f t="shared" si="67"/>
        <v>#N/A</v>
      </c>
      <c r="S903" s="9" t="e">
        <f t="shared" si="68"/>
        <v>#N/A</v>
      </c>
      <c r="T903" s="3" t="e">
        <f t="shared" si="69"/>
        <v>#N/A</v>
      </c>
    </row>
    <row r="904" spans="2:20" x14ac:dyDescent="0.35">
      <c r="B904" t="str">
        <f>IF(NOT(ISBLANK(A904)),VLOOKUP(A904,'BBT3'!A:F,2,0),"")</f>
        <v/>
      </c>
      <c r="C904" t="str">
        <f>IF(NOT(ISBLANK(A904)),VLOOKUP(A904,'BBT3'!A:F,3,0),"")</f>
        <v/>
      </c>
      <c r="D904" s="6" t="str">
        <f>IF(NOT(ISBLANK(A904)),VLOOKUP(A904,'BBT3'!A:F,4,1),"")</f>
        <v/>
      </c>
      <c r="E904" t="str">
        <f>IF(NOT(ISBLANK(A904)),VLOOKUP(A904,'BBT3'!A:F,5,0),"")</f>
        <v/>
      </c>
      <c r="F904" t="str">
        <f>IF(NOT(ISBLANK(A904)),VLOOKUP(A904,'BBT3'!A:F,6,0),"")</f>
        <v/>
      </c>
      <c r="G904" t="str">
        <f>IF(NOT(ISBLANK(A904)),VLOOKUP(A904,QW_Close!A:J,5,0),"")</f>
        <v/>
      </c>
      <c r="H904" s="5" t="str" cm="1">
        <f t="array" ref="H904">IF(NOT(ISBLANK(A904)),((_xlfn.XLOOKUP(1,(_bbt3[[#All],[ID]]=A904)*(_bbt3[[#All],[METRIC_NAME]]="YLD_YTM_ASK"),_bbt3[[#All],[METRIC_VALUE]])*0.5)+(_xlfn.XLOOKUP(1,(_bbt3[[#All],[ID]]=A904)*(_bbt3[[#All],[METRIC_NAME]]="YLD_YTM_BID"),_bbt3[[#All],[METRIC_VALUE]])*0.5))/100,"")</f>
        <v/>
      </c>
      <c r="I904">
        <f>IF(ISNA(VLOOKUP(A904,QW_CloseDL!A:E,5,0)),0,VLOOKUP(A904,QW_CloseDL!A:E,5,0))</f>
        <v>0</v>
      </c>
      <c r="J904" s="8" t="str">
        <f t="shared" si="70"/>
        <v/>
      </c>
      <c r="P904">
        <v>0</v>
      </c>
      <c r="Q904" t="e">
        <f t="shared" si="66"/>
        <v>#N/A</v>
      </c>
      <c r="R904" t="e">
        <f t="shared" si="67"/>
        <v>#N/A</v>
      </c>
      <c r="S904" s="9" t="e">
        <f t="shared" si="68"/>
        <v>#N/A</v>
      </c>
      <c r="T904" s="3" t="e">
        <f t="shared" si="69"/>
        <v>#N/A</v>
      </c>
    </row>
    <row r="905" spans="2:20" x14ac:dyDescent="0.35">
      <c r="B905" t="str">
        <f>IF(NOT(ISBLANK(A905)),VLOOKUP(A905,'BBT3'!A:F,2,0),"")</f>
        <v/>
      </c>
      <c r="C905" t="str">
        <f>IF(NOT(ISBLANK(A905)),VLOOKUP(A905,'BBT3'!A:F,3,0),"")</f>
        <v/>
      </c>
      <c r="D905" s="6" t="str">
        <f>IF(NOT(ISBLANK(A905)),VLOOKUP(A905,'BBT3'!A:F,4,1),"")</f>
        <v/>
      </c>
      <c r="E905" t="str">
        <f>IF(NOT(ISBLANK(A905)),VLOOKUP(A905,'BBT3'!A:F,5,0),"")</f>
        <v/>
      </c>
      <c r="F905" t="str">
        <f>IF(NOT(ISBLANK(A905)),VLOOKUP(A905,'BBT3'!A:F,6,0),"")</f>
        <v/>
      </c>
      <c r="G905" t="str">
        <f>IF(NOT(ISBLANK(A905)),VLOOKUP(A905,QW_Close!A:J,5,0),"")</f>
        <v/>
      </c>
      <c r="H905" s="5" t="str" cm="1">
        <f t="array" ref="H905">IF(NOT(ISBLANK(A905)),((_xlfn.XLOOKUP(1,(_bbt3[[#All],[ID]]=A905)*(_bbt3[[#All],[METRIC_NAME]]="YLD_YTM_ASK"),_bbt3[[#All],[METRIC_VALUE]])*0.5)+(_xlfn.XLOOKUP(1,(_bbt3[[#All],[ID]]=A905)*(_bbt3[[#All],[METRIC_NAME]]="YLD_YTM_BID"),_bbt3[[#All],[METRIC_VALUE]])*0.5))/100,"")</f>
        <v/>
      </c>
      <c r="I905">
        <f>IF(ISNA(VLOOKUP(A905,QW_CloseDL!A:E,5,0)),0,VLOOKUP(A905,QW_CloseDL!A:E,5,0))</f>
        <v>0</v>
      </c>
      <c r="J905" s="8" t="str">
        <f t="shared" si="70"/>
        <v/>
      </c>
      <c r="P905">
        <v>0</v>
      </c>
      <c r="Q905" t="e">
        <f t="shared" si="66"/>
        <v>#N/A</v>
      </c>
      <c r="R905" t="e">
        <f t="shared" si="67"/>
        <v>#N/A</v>
      </c>
      <c r="S905" s="9" t="e">
        <f t="shared" si="68"/>
        <v>#N/A</v>
      </c>
      <c r="T905" s="3" t="e">
        <f t="shared" si="69"/>
        <v>#N/A</v>
      </c>
    </row>
    <row r="906" spans="2:20" x14ac:dyDescent="0.35">
      <c r="B906" t="str">
        <f>IF(NOT(ISBLANK(A906)),VLOOKUP(A906,'BBT3'!A:F,2,0),"")</f>
        <v/>
      </c>
      <c r="C906" t="str">
        <f>IF(NOT(ISBLANK(A906)),VLOOKUP(A906,'BBT3'!A:F,3,0),"")</f>
        <v/>
      </c>
      <c r="D906" s="6" t="str">
        <f>IF(NOT(ISBLANK(A906)),VLOOKUP(A906,'BBT3'!A:F,4,1),"")</f>
        <v/>
      </c>
      <c r="E906" t="str">
        <f>IF(NOT(ISBLANK(A906)),VLOOKUP(A906,'BBT3'!A:F,5,0),"")</f>
        <v/>
      </c>
      <c r="F906" t="str">
        <f>IF(NOT(ISBLANK(A906)),VLOOKUP(A906,'BBT3'!A:F,6,0),"")</f>
        <v/>
      </c>
      <c r="G906" t="str">
        <f>IF(NOT(ISBLANK(A906)),VLOOKUP(A906,QW_Close!A:J,5,0),"")</f>
        <v/>
      </c>
      <c r="H906" s="5" t="str" cm="1">
        <f t="array" ref="H906">IF(NOT(ISBLANK(A906)),((_xlfn.XLOOKUP(1,(_bbt3[[#All],[ID]]=A906)*(_bbt3[[#All],[METRIC_NAME]]="YLD_YTM_ASK"),_bbt3[[#All],[METRIC_VALUE]])*0.5)+(_xlfn.XLOOKUP(1,(_bbt3[[#All],[ID]]=A906)*(_bbt3[[#All],[METRIC_NAME]]="YLD_YTM_BID"),_bbt3[[#All],[METRIC_VALUE]])*0.5))/100,"")</f>
        <v/>
      </c>
      <c r="I906">
        <f>IF(ISNA(VLOOKUP(A906,QW_CloseDL!A:E,5,0)),0,VLOOKUP(A906,QW_CloseDL!A:E,5,0))</f>
        <v>0</v>
      </c>
      <c r="J906" s="8" t="str">
        <f t="shared" si="70"/>
        <v/>
      </c>
      <c r="P906">
        <v>0</v>
      </c>
      <c r="Q906" t="e">
        <f t="shared" si="66"/>
        <v>#N/A</v>
      </c>
      <c r="R906" t="e">
        <f t="shared" si="67"/>
        <v>#N/A</v>
      </c>
      <c r="S906" s="9" t="e">
        <f t="shared" si="68"/>
        <v>#N/A</v>
      </c>
      <c r="T906" s="3" t="e">
        <f t="shared" si="69"/>
        <v>#N/A</v>
      </c>
    </row>
    <row r="907" spans="2:20" x14ac:dyDescent="0.35">
      <c r="B907" t="str">
        <f>IF(NOT(ISBLANK(A907)),VLOOKUP(A907,'BBT3'!A:F,2,0),"")</f>
        <v/>
      </c>
      <c r="C907" t="str">
        <f>IF(NOT(ISBLANK(A907)),VLOOKUP(A907,'BBT3'!A:F,3,0),"")</f>
        <v/>
      </c>
      <c r="D907" s="6" t="str">
        <f>IF(NOT(ISBLANK(A907)),VLOOKUP(A907,'BBT3'!A:F,4,1),"")</f>
        <v/>
      </c>
      <c r="E907" t="str">
        <f>IF(NOT(ISBLANK(A907)),VLOOKUP(A907,'BBT3'!A:F,5,0),"")</f>
        <v/>
      </c>
      <c r="F907" t="str">
        <f>IF(NOT(ISBLANK(A907)),VLOOKUP(A907,'BBT3'!A:F,6,0),"")</f>
        <v/>
      </c>
      <c r="G907" t="str">
        <f>IF(NOT(ISBLANK(A907)),VLOOKUP(A907,QW_Close!A:J,5,0),"")</f>
        <v/>
      </c>
      <c r="H907" s="5" t="str" cm="1">
        <f t="array" ref="H907">IF(NOT(ISBLANK(A907)),((_xlfn.XLOOKUP(1,(_bbt3[[#All],[ID]]=A907)*(_bbt3[[#All],[METRIC_NAME]]="YLD_YTM_ASK"),_bbt3[[#All],[METRIC_VALUE]])*0.5)+(_xlfn.XLOOKUP(1,(_bbt3[[#All],[ID]]=A907)*(_bbt3[[#All],[METRIC_NAME]]="YLD_YTM_BID"),_bbt3[[#All],[METRIC_VALUE]])*0.5))/100,"")</f>
        <v/>
      </c>
      <c r="I907">
        <f>IF(ISNA(VLOOKUP(A907,QW_CloseDL!A:E,5,0)),0,VLOOKUP(A907,QW_CloseDL!A:E,5,0))</f>
        <v>0</v>
      </c>
      <c r="J907" s="8" t="str">
        <f t="shared" si="70"/>
        <v/>
      </c>
      <c r="P907">
        <v>0</v>
      </c>
      <c r="Q907" t="e">
        <f t="shared" si="66"/>
        <v>#N/A</v>
      </c>
      <c r="R907" t="e">
        <f t="shared" si="67"/>
        <v>#N/A</v>
      </c>
      <c r="S907" s="9" t="e">
        <f t="shared" si="68"/>
        <v>#N/A</v>
      </c>
      <c r="T907" s="3" t="e">
        <f t="shared" si="69"/>
        <v>#N/A</v>
      </c>
    </row>
    <row r="908" spans="2:20" x14ac:dyDescent="0.35">
      <c r="B908" t="str">
        <f>IF(NOT(ISBLANK(A908)),VLOOKUP(A908,'BBT3'!A:F,2,0),"")</f>
        <v/>
      </c>
      <c r="C908" t="str">
        <f>IF(NOT(ISBLANK(A908)),VLOOKUP(A908,'BBT3'!A:F,3,0),"")</f>
        <v/>
      </c>
      <c r="D908" s="6" t="str">
        <f>IF(NOT(ISBLANK(A908)),VLOOKUP(A908,'BBT3'!A:F,4,1),"")</f>
        <v/>
      </c>
      <c r="E908" t="str">
        <f>IF(NOT(ISBLANK(A908)),VLOOKUP(A908,'BBT3'!A:F,5,0),"")</f>
        <v/>
      </c>
      <c r="F908" t="str">
        <f>IF(NOT(ISBLANK(A908)),VLOOKUP(A908,'BBT3'!A:F,6,0),"")</f>
        <v/>
      </c>
      <c r="G908" t="str">
        <f>IF(NOT(ISBLANK(A908)),VLOOKUP(A908,QW_Close!A:J,5,0),"")</f>
        <v/>
      </c>
      <c r="H908" s="5" t="str" cm="1">
        <f t="array" ref="H908">IF(NOT(ISBLANK(A908)),((_xlfn.XLOOKUP(1,(_bbt3[[#All],[ID]]=A908)*(_bbt3[[#All],[METRIC_NAME]]="YLD_YTM_ASK"),_bbt3[[#All],[METRIC_VALUE]])*0.5)+(_xlfn.XLOOKUP(1,(_bbt3[[#All],[ID]]=A908)*(_bbt3[[#All],[METRIC_NAME]]="YLD_YTM_BID"),_bbt3[[#All],[METRIC_VALUE]])*0.5))/100,"")</f>
        <v/>
      </c>
      <c r="I908">
        <f>IF(ISNA(VLOOKUP(A908,QW_CloseDL!A:E,5,0)),0,VLOOKUP(A908,QW_CloseDL!A:E,5,0))</f>
        <v>0</v>
      </c>
      <c r="J908" s="8" t="str">
        <f t="shared" si="70"/>
        <v/>
      </c>
      <c r="P908">
        <v>0</v>
      </c>
      <c r="Q908" t="e">
        <f t="shared" si="66"/>
        <v>#N/A</v>
      </c>
      <c r="R908" t="e">
        <f t="shared" si="67"/>
        <v>#N/A</v>
      </c>
      <c r="S908" s="9" t="e">
        <f t="shared" si="68"/>
        <v>#N/A</v>
      </c>
      <c r="T908" s="3" t="e">
        <f t="shared" si="69"/>
        <v>#N/A</v>
      </c>
    </row>
    <row r="909" spans="2:20" x14ac:dyDescent="0.35">
      <c r="B909" t="str">
        <f>IF(NOT(ISBLANK(A909)),VLOOKUP(A909,'BBT3'!A:F,2,0),"")</f>
        <v/>
      </c>
      <c r="C909" t="str">
        <f>IF(NOT(ISBLANK(A909)),VLOOKUP(A909,'BBT3'!A:F,3,0),"")</f>
        <v/>
      </c>
      <c r="D909" s="6" t="str">
        <f>IF(NOT(ISBLANK(A909)),VLOOKUP(A909,'BBT3'!A:F,4,1),"")</f>
        <v/>
      </c>
      <c r="E909" t="str">
        <f>IF(NOT(ISBLANK(A909)),VLOOKUP(A909,'BBT3'!A:F,5,0),"")</f>
        <v/>
      </c>
      <c r="F909" t="str">
        <f>IF(NOT(ISBLANK(A909)),VLOOKUP(A909,'BBT3'!A:F,6,0),"")</f>
        <v/>
      </c>
      <c r="G909" t="str">
        <f>IF(NOT(ISBLANK(A909)),VLOOKUP(A909,QW_Close!A:J,5,0),"")</f>
        <v/>
      </c>
      <c r="H909" s="5" t="str" cm="1">
        <f t="array" ref="H909">IF(NOT(ISBLANK(A909)),((_xlfn.XLOOKUP(1,(_bbt3[[#All],[ID]]=A909)*(_bbt3[[#All],[METRIC_NAME]]="YLD_YTM_ASK"),_bbt3[[#All],[METRIC_VALUE]])*0.5)+(_xlfn.XLOOKUP(1,(_bbt3[[#All],[ID]]=A909)*(_bbt3[[#All],[METRIC_NAME]]="YLD_YTM_BID"),_bbt3[[#All],[METRIC_VALUE]])*0.5))/100,"")</f>
        <v/>
      </c>
      <c r="I909">
        <f>IF(ISNA(VLOOKUP(A909,QW_CloseDL!A:E,5,0)),0,VLOOKUP(A909,QW_CloseDL!A:E,5,0))</f>
        <v>0</v>
      </c>
      <c r="J909" s="8" t="str">
        <f t="shared" si="70"/>
        <v/>
      </c>
      <c r="P909">
        <v>0</v>
      </c>
      <c r="Q909" t="e">
        <f t="shared" ref="Q909:Q972" si="71">VLOOKUP(P909,A:B,2,0)</f>
        <v>#N/A</v>
      </c>
      <c r="R909" t="e">
        <f t="shared" ref="R909:R972" si="72">VLOOKUP(P909,A:E,4,0)</f>
        <v>#N/A</v>
      </c>
      <c r="S909" s="9" t="e">
        <f t="shared" ref="S909:S972" si="73">VLOOKUP(P909,A:J,10,0)</f>
        <v>#N/A</v>
      </c>
      <c r="T909" s="3" t="e">
        <f t="shared" ref="T909:T972" si="74">VLOOKUP(P909,A:J,5,0)</f>
        <v>#N/A</v>
      </c>
    </row>
    <row r="910" spans="2:20" x14ac:dyDescent="0.35">
      <c r="B910" t="str">
        <f>IF(NOT(ISBLANK(A910)),VLOOKUP(A910,'BBT3'!A:F,2,0),"")</f>
        <v/>
      </c>
      <c r="C910" t="str">
        <f>IF(NOT(ISBLANK(A910)),VLOOKUP(A910,'BBT3'!A:F,3,0),"")</f>
        <v/>
      </c>
      <c r="D910" s="6" t="str">
        <f>IF(NOT(ISBLANK(A910)),VLOOKUP(A910,'BBT3'!A:F,4,1),"")</f>
        <v/>
      </c>
      <c r="E910" t="str">
        <f>IF(NOT(ISBLANK(A910)),VLOOKUP(A910,'BBT3'!A:F,5,0),"")</f>
        <v/>
      </c>
      <c r="F910" t="str">
        <f>IF(NOT(ISBLANK(A910)),VLOOKUP(A910,'BBT3'!A:F,6,0),"")</f>
        <v/>
      </c>
      <c r="G910" t="str">
        <f>IF(NOT(ISBLANK(A910)),VLOOKUP(A910,QW_Close!A:J,5,0),"")</f>
        <v/>
      </c>
      <c r="H910" s="5" t="str" cm="1">
        <f t="array" ref="H910">IF(NOT(ISBLANK(A910)),((_xlfn.XLOOKUP(1,(_bbt3[[#All],[ID]]=A910)*(_bbt3[[#All],[METRIC_NAME]]="YLD_YTM_ASK"),_bbt3[[#All],[METRIC_VALUE]])*0.5)+(_xlfn.XLOOKUP(1,(_bbt3[[#All],[ID]]=A910)*(_bbt3[[#All],[METRIC_NAME]]="YLD_YTM_BID"),_bbt3[[#All],[METRIC_VALUE]])*0.5))/100,"")</f>
        <v/>
      </c>
      <c r="I910">
        <f>IF(ISNA(VLOOKUP(A910,QW_CloseDL!A:E,5,0)),0,VLOOKUP(A910,QW_CloseDL!A:E,5,0))</f>
        <v>0</v>
      </c>
      <c r="J910" s="8" t="str">
        <f t="shared" si="70"/>
        <v/>
      </c>
      <c r="P910">
        <v>0</v>
      </c>
      <c r="Q910" t="e">
        <f t="shared" si="71"/>
        <v>#N/A</v>
      </c>
      <c r="R910" t="e">
        <f t="shared" si="72"/>
        <v>#N/A</v>
      </c>
      <c r="S910" s="9" t="e">
        <f t="shared" si="73"/>
        <v>#N/A</v>
      </c>
      <c r="T910" s="3" t="e">
        <f t="shared" si="74"/>
        <v>#N/A</v>
      </c>
    </row>
    <row r="911" spans="2:20" x14ac:dyDescent="0.35">
      <c r="B911" t="str">
        <f>IF(NOT(ISBLANK(A911)),VLOOKUP(A911,'BBT3'!A:F,2,0),"")</f>
        <v/>
      </c>
      <c r="C911" t="str">
        <f>IF(NOT(ISBLANK(A911)),VLOOKUP(A911,'BBT3'!A:F,3,0),"")</f>
        <v/>
      </c>
      <c r="D911" s="6" t="str">
        <f>IF(NOT(ISBLANK(A911)),VLOOKUP(A911,'BBT3'!A:F,4,1),"")</f>
        <v/>
      </c>
      <c r="E911" t="str">
        <f>IF(NOT(ISBLANK(A911)),VLOOKUP(A911,'BBT3'!A:F,5,0),"")</f>
        <v/>
      </c>
      <c r="F911" t="str">
        <f>IF(NOT(ISBLANK(A911)),VLOOKUP(A911,'BBT3'!A:F,6,0),"")</f>
        <v/>
      </c>
      <c r="G911" t="str">
        <f>IF(NOT(ISBLANK(A911)),VLOOKUP(A911,QW_Close!A:J,5,0),"")</f>
        <v/>
      </c>
      <c r="H911" s="5" t="str" cm="1">
        <f t="array" ref="H911">IF(NOT(ISBLANK(A911)),((_xlfn.XLOOKUP(1,(_bbt3[[#All],[ID]]=A911)*(_bbt3[[#All],[METRIC_NAME]]="YLD_YTM_ASK"),_bbt3[[#All],[METRIC_VALUE]])*0.5)+(_xlfn.XLOOKUP(1,(_bbt3[[#All],[ID]]=A911)*(_bbt3[[#All],[METRIC_NAME]]="YLD_YTM_BID"),_bbt3[[#All],[METRIC_VALUE]])*0.5))/100,"")</f>
        <v/>
      </c>
      <c r="I911">
        <f>IF(ISNA(VLOOKUP(A911,QW_CloseDL!A:E,5,0)),0,VLOOKUP(A911,QW_CloseDL!A:E,5,0))</f>
        <v>0</v>
      </c>
      <c r="J911" s="8" t="str">
        <f t="shared" si="70"/>
        <v/>
      </c>
      <c r="P911">
        <v>0</v>
      </c>
      <c r="Q911" t="e">
        <f t="shared" si="71"/>
        <v>#N/A</v>
      </c>
      <c r="R911" t="e">
        <f t="shared" si="72"/>
        <v>#N/A</v>
      </c>
      <c r="S911" s="9" t="e">
        <f t="shared" si="73"/>
        <v>#N/A</v>
      </c>
      <c r="T911" s="3" t="e">
        <f t="shared" si="74"/>
        <v>#N/A</v>
      </c>
    </row>
    <row r="912" spans="2:20" x14ac:dyDescent="0.35">
      <c r="B912" t="str">
        <f>IF(NOT(ISBLANK(A912)),VLOOKUP(A912,'BBT3'!A:F,2,0),"")</f>
        <v/>
      </c>
      <c r="C912" t="str">
        <f>IF(NOT(ISBLANK(A912)),VLOOKUP(A912,'BBT3'!A:F,3,0),"")</f>
        <v/>
      </c>
      <c r="D912" s="6" t="str">
        <f>IF(NOT(ISBLANK(A912)),VLOOKUP(A912,'BBT3'!A:F,4,1),"")</f>
        <v/>
      </c>
      <c r="E912" t="str">
        <f>IF(NOT(ISBLANK(A912)),VLOOKUP(A912,'BBT3'!A:F,5,0),"")</f>
        <v/>
      </c>
      <c r="F912" t="str">
        <f>IF(NOT(ISBLANK(A912)),VLOOKUP(A912,'BBT3'!A:F,6,0),"")</f>
        <v/>
      </c>
      <c r="G912" t="str">
        <f>IF(NOT(ISBLANK(A912)),VLOOKUP(A912,QW_Close!A:J,5,0),"")</f>
        <v/>
      </c>
      <c r="H912" s="5" t="str" cm="1">
        <f t="array" ref="H912">IF(NOT(ISBLANK(A912)),((_xlfn.XLOOKUP(1,(_bbt3[[#All],[ID]]=A912)*(_bbt3[[#All],[METRIC_NAME]]="YLD_YTM_ASK"),_bbt3[[#All],[METRIC_VALUE]])*0.5)+(_xlfn.XLOOKUP(1,(_bbt3[[#All],[ID]]=A912)*(_bbt3[[#All],[METRIC_NAME]]="YLD_YTM_BID"),_bbt3[[#All],[METRIC_VALUE]])*0.5))/100,"")</f>
        <v/>
      </c>
      <c r="I912">
        <f>IF(ISNA(VLOOKUP(A912,QW_CloseDL!A:E,5,0)),0,VLOOKUP(A912,QW_CloseDL!A:E,5,0))</f>
        <v>0</v>
      </c>
      <c r="J912" s="8" t="str">
        <f t="shared" si="70"/>
        <v/>
      </c>
      <c r="P912">
        <v>0</v>
      </c>
      <c r="Q912" t="e">
        <f t="shared" si="71"/>
        <v>#N/A</v>
      </c>
      <c r="R912" t="e">
        <f t="shared" si="72"/>
        <v>#N/A</v>
      </c>
      <c r="S912" s="9" t="e">
        <f t="shared" si="73"/>
        <v>#N/A</v>
      </c>
      <c r="T912" s="3" t="e">
        <f t="shared" si="74"/>
        <v>#N/A</v>
      </c>
    </row>
    <row r="913" spans="2:20" x14ac:dyDescent="0.35">
      <c r="B913" t="str">
        <f>IF(NOT(ISBLANK(A913)),VLOOKUP(A913,'BBT3'!A:F,2,0),"")</f>
        <v/>
      </c>
      <c r="C913" t="str">
        <f>IF(NOT(ISBLANK(A913)),VLOOKUP(A913,'BBT3'!A:F,3,0),"")</f>
        <v/>
      </c>
      <c r="D913" s="6" t="str">
        <f>IF(NOT(ISBLANK(A913)),VLOOKUP(A913,'BBT3'!A:F,4,1),"")</f>
        <v/>
      </c>
      <c r="E913" t="str">
        <f>IF(NOT(ISBLANK(A913)),VLOOKUP(A913,'BBT3'!A:F,5,0),"")</f>
        <v/>
      </c>
      <c r="F913" t="str">
        <f>IF(NOT(ISBLANK(A913)),VLOOKUP(A913,'BBT3'!A:F,6,0),"")</f>
        <v/>
      </c>
      <c r="G913" t="str">
        <f>IF(NOT(ISBLANK(A913)),VLOOKUP(A913,QW_Close!A:J,5,0),"")</f>
        <v/>
      </c>
      <c r="H913" s="5" t="str" cm="1">
        <f t="array" ref="H913">IF(NOT(ISBLANK(A913)),((_xlfn.XLOOKUP(1,(_bbt3[[#All],[ID]]=A913)*(_bbt3[[#All],[METRIC_NAME]]="YLD_YTM_ASK"),_bbt3[[#All],[METRIC_VALUE]])*0.5)+(_xlfn.XLOOKUP(1,(_bbt3[[#All],[ID]]=A913)*(_bbt3[[#All],[METRIC_NAME]]="YLD_YTM_BID"),_bbt3[[#All],[METRIC_VALUE]])*0.5))/100,"")</f>
        <v/>
      </c>
      <c r="I913">
        <f>IF(ISNA(VLOOKUP(A913,QW_CloseDL!A:E,5,0)),0,VLOOKUP(A913,QW_CloseDL!A:E,5,0))</f>
        <v>0</v>
      </c>
      <c r="J913" s="8" t="str">
        <f t="shared" si="70"/>
        <v/>
      </c>
      <c r="P913">
        <v>0</v>
      </c>
      <c r="Q913" t="e">
        <f t="shared" si="71"/>
        <v>#N/A</v>
      </c>
      <c r="R913" t="e">
        <f t="shared" si="72"/>
        <v>#N/A</v>
      </c>
      <c r="S913" s="9" t="e">
        <f t="shared" si="73"/>
        <v>#N/A</v>
      </c>
      <c r="T913" s="3" t="e">
        <f t="shared" si="74"/>
        <v>#N/A</v>
      </c>
    </row>
    <row r="914" spans="2:20" x14ac:dyDescent="0.35">
      <c r="B914" t="str">
        <f>IF(NOT(ISBLANK(A914)),VLOOKUP(A914,'BBT3'!A:F,2,0),"")</f>
        <v/>
      </c>
      <c r="C914" t="str">
        <f>IF(NOT(ISBLANK(A914)),VLOOKUP(A914,'BBT3'!A:F,3,0),"")</f>
        <v/>
      </c>
      <c r="D914" s="6" t="str">
        <f>IF(NOT(ISBLANK(A914)),VLOOKUP(A914,'BBT3'!A:F,4,1),"")</f>
        <v/>
      </c>
      <c r="E914" t="str">
        <f>IF(NOT(ISBLANK(A914)),VLOOKUP(A914,'BBT3'!A:F,5,0),"")</f>
        <v/>
      </c>
      <c r="F914" t="str">
        <f>IF(NOT(ISBLANK(A914)),VLOOKUP(A914,'BBT3'!A:F,6,0),"")</f>
        <v/>
      </c>
      <c r="G914" t="str">
        <f>IF(NOT(ISBLANK(A914)),VLOOKUP(A914,QW_Close!A:J,5,0),"")</f>
        <v/>
      </c>
      <c r="H914" s="5" t="str" cm="1">
        <f t="array" ref="H914">IF(NOT(ISBLANK(A914)),((_xlfn.XLOOKUP(1,(_bbt3[[#All],[ID]]=A914)*(_bbt3[[#All],[METRIC_NAME]]="YLD_YTM_ASK"),_bbt3[[#All],[METRIC_VALUE]])*0.5)+(_xlfn.XLOOKUP(1,(_bbt3[[#All],[ID]]=A914)*(_bbt3[[#All],[METRIC_NAME]]="YLD_YTM_BID"),_bbt3[[#All],[METRIC_VALUE]])*0.5))/100,"")</f>
        <v/>
      </c>
      <c r="I914">
        <f>IF(ISNA(VLOOKUP(A914,QW_CloseDL!A:E,5,0)),0,VLOOKUP(A914,QW_CloseDL!A:E,5,0))</f>
        <v>0</v>
      </c>
      <c r="J914" s="8" t="str">
        <f t="shared" si="70"/>
        <v/>
      </c>
      <c r="P914">
        <v>0</v>
      </c>
      <c r="Q914" t="e">
        <f t="shared" si="71"/>
        <v>#N/A</v>
      </c>
      <c r="R914" t="e">
        <f t="shared" si="72"/>
        <v>#N/A</v>
      </c>
      <c r="S914" s="9" t="e">
        <f t="shared" si="73"/>
        <v>#N/A</v>
      </c>
      <c r="T914" s="3" t="e">
        <f t="shared" si="74"/>
        <v>#N/A</v>
      </c>
    </row>
    <row r="915" spans="2:20" x14ac:dyDescent="0.35">
      <c r="B915" t="str">
        <f>IF(NOT(ISBLANK(A915)),VLOOKUP(A915,'BBT3'!A:F,2,0),"")</f>
        <v/>
      </c>
      <c r="C915" t="str">
        <f>IF(NOT(ISBLANK(A915)),VLOOKUP(A915,'BBT3'!A:F,3,0),"")</f>
        <v/>
      </c>
      <c r="D915" s="6" t="str">
        <f>IF(NOT(ISBLANK(A915)),VLOOKUP(A915,'BBT3'!A:F,4,1),"")</f>
        <v/>
      </c>
      <c r="E915" t="str">
        <f>IF(NOT(ISBLANK(A915)),VLOOKUP(A915,'BBT3'!A:F,5,0),"")</f>
        <v/>
      </c>
      <c r="F915" t="str">
        <f>IF(NOT(ISBLANK(A915)),VLOOKUP(A915,'BBT3'!A:F,6,0),"")</f>
        <v/>
      </c>
      <c r="G915" t="str">
        <f>IF(NOT(ISBLANK(A915)),VLOOKUP(A915,QW_Close!A:J,5,0),"")</f>
        <v/>
      </c>
      <c r="H915" s="5" t="str" cm="1">
        <f t="array" ref="H915">IF(NOT(ISBLANK(A915)),((_xlfn.XLOOKUP(1,(_bbt3[[#All],[ID]]=A915)*(_bbt3[[#All],[METRIC_NAME]]="YLD_YTM_ASK"),_bbt3[[#All],[METRIC_VALUE]])*0.5)+(_xlfn.XLOOKUP(1,(_bbt3[[#All],[ID]]=A915)*(_bbt3[[#All],[METRIC_NAME]]="YLD_YTM_BID"),_bbt3[[#All],[METRIC_VALUE]])*0.5))/100,"")</f>
        <v/>
      </c>
      <c r="I915">
        <f>IF(ISNA(VLOOKUP(A915,QW_CloseDL!A:E,5,0)),0,VLOOKUP(A915,QW_CloseDL!A:E,5,0))</f>
        <v>0</v>
      </c>
      <c r="J915" s="8" t="str">
        <f t="shared" si="70"/>
        <v/>
      </c>
      <c r="P915">
        <v>0</v>
      </c>
      <c r="Q915" t="e">
        <f t="shared" si="71"/>
        <v>#N/A</v>
      </c>
      <c r="R915" t="e">
        <f t="shared" si="72"/>
        <v>#N/A</v>
      </c>
      <c r="S915" s="9" t="e">
        <f t="shared" si="73"/>
        <v>#N/A</v>
      </c>
      <c r="T915" s="3" t="e">
        <f t="shared" si="74"/>
        <v>#N/A</v>
      </c>
    </row>
    <row r="916" spans="2:20" x14ac:dyDescent="0.35">
      <c r="B916" t="str">
        <f>IF(NOT(ISBLANK(A916)),VLOOKUP(A916,'BBT3'!A:F,2,0),"")</f>
        <v/>
      </c>
      <c r="C916" t="str">
        <f>IF(NOT(ISBLANK(A916)),VLOOKUP(A916,'BBT3'!A:F,3,0),"")</f>
        <v/>
      </c>
      <c r="D916" s="6" t="str">
        <f>IF(NOT(ISBLANK(A916)),VLOOKUP(A916,'BBT3'!A:F,4,1),"")</f>
        <v/>
      </c>
      <c r="E916" t="str">
        <f>IF(NOT(ISBLANK(A916)),VLOOKUP(A916,'BBT3'!A:F,5,0),"")</f>
        <v/>
      </c>
      <c r="F916" t="str">
        <f>IF(NOT(ISBLANK(A916)),VLOOKUP(A916,'BBT3'!A:F,6,0),"")</f>
        <v/>
      </c>
      <c r="G916" t="str">
        <f>IF(NOT(ISBLANK(A916)),VLOOKUP(A916,QW_Close!A:J,5,0),"")</f>
        <v/>
      </c>
      <c r="H916" s="5" t="str" cm="1">
        <f t="array" ref="H916">IF(NOT(ISBLANK(A916)),((_xlfn.XLOOKUP(1,(_bbt3[[#All],[ID]]=A916)*(_bbt3[[#All],[METRIC_NAME]]="YLD_YTM_ASK"),_bbt3[[#All],[METRIC_VALUE]])*0.5)+(_xlfn.XLOOKUP(1,(_bbt3[[#All],[ID]]=A916)*(_bbt3[[#All],[METRIC_NAME]]="YLD_YTM_BID"),_bbt3[[#All],[METRIC_VALUE]])*0.5))/100,"")</f>
        <v/>
      </c>
      <c r="I916">
        <f>IF(ISNA(VLOOKUP(A916,QW_CloseDL!A:E,5,0)),0,VLOOKUP(A916,QW_CloseDL!A:E,5,0))</f>
        <v>0</v>
      </c>
      <c r="J916" s="8" t="str">
        <f t="shared" si="70"/>
        <v/>
      </c>
      <c r="P916">
        <v>0</v>
      </c>
      <c r="Q916" t="e">
        <f t="shared" si="71"/>
        <v>#N/A</v>
      </c>
      <c r="R916" t="e">
        <f t="shared" si="72"/>
        <v>#N/A</v>
      </c>
      <c r="S916" s="9" t="e">
        <f t="shared" si="73"/>
        <v>#N/A</v>
      </c>
      <c r="T916" s="3" t="e">
        <f t="shared" si="74"/>
        <v>#N/A</v>
      </c>
    </row>
    <row r="917" spans="2:20" x14ac:dyDescent="0.35">
      <c r="B917" t="str">
        <f>IF(NOT(ISBLANK(A917)),VLOOKUP(A917,'BBT3'!A:F,2,0),"")</f>
        <v/>
      </c>
      <c r="C917" t="str">
        <f>IF(NOT(ISBLANK(A917)),VLOOKUP(A917,'BBT3'!A:F,3,0),"")</f>
        <v/>
      </c>
      <c r="D917" s="6" t="str">
        <f>IF(NOT(ISBLANK(A917)),VLOOKUP(A917,'BBT3'!A:F,4,1),"")</f>
        <v/>
      </c>
      <c r="E917" t="str">
        <f>IF(NOT(ISBLANK(A917)),VLOOKUP(A917,'BBT3'!A:F,5,0),"")</f>
        <v/>
      </c>
      <c r="F917" t="str">
        <f>IF(NOT(ISBLANK(A917)),VLOOKUP(A917,'BBT3'!A:F,6,0),"")</f>
        <v/>
      </c>
      <c r="G917" t="str">
        <f>IF(NOT(ISBLANK(A917)),VLOOKUP(A917,QW_Close!A:J,5,0),"")</f>
        <v/>
      </c>
      <c r="H917" s="5" t="str" cm="1">
        <f t="array" ref="H917">IF(NOT(ISBLANK(A917)),((_xlfn.XLOOKUP(1,(_bbt3[[#All],[ID]]=A917)*(_bbt3[[#All],[METRIC_NAME]]="YLD_YTM_ASK"),_bbt3[[#All],[METRIC_VALUE]])*0.5)+(_xlfn.XLOOKUP(1,(_bbt3[[#All],[ID]]=A917)*(_bbt3[[#All],[METRIC_NAME]]="YLD_YTM_BID"),_bbt3[[#All],[METRIC_VALUE]])*0.5))/100,"")</f>
        <v/>
      </c>
      <c r="I917">
        <f>IF(ISNA(VLOOKUP(A917,QW_CloseDL!A:E,5,0)),0,VLOOKUP(A917,QW_CloseDL!A:E,5,0))</f>
        <v>0</v>
      </c>
      <c r="J917" s="8" t="str">
        <f t="shared" si="70"/>
        <v/>
      </c>
      <c r="P917">
        <v>0</v>
      </c>
      <c r="Q917" t="e">
        <f t="shared" si="71"/>
        <v>#N/A</v>
      </c>
      <c r="R917" t="e">
        <f t="shared" si="72"/>
        <v>#N/A</v>
      </c>
      <c r="S917" s="9" t="e">
        <f t="shared" si="73"/>
        <v>#N/A</v>
      </c>
      <c r="T917" s="3" t="e">
        <f t="shared" si="74"/>
        <v>#N/A</v>
      </c>
    </row>
    <row r="918" spans="2:20" x14ac:dyDescent="0.35">
      <c r="B918" t="str">
        <f>IF(NOT(ISBLANK(A918)),VLOOKUP(A918,'BBT3'!A:F,2,0),"")</f>
        <v/>
      </c>
      <c r="C918" t="str">
        <f>IF(NOT(ISBLANK(A918)),VLOOKUP(A918,'BBT3'!A:F,3,0),"")</f>
        <v/>
      </c>
      <c r="D918" s="6" t="str">
        <f>IF(NOT(ISBLANK(A918)),VLOOKUP(A918,'BBT3'!A:F,4,1),"")</f>
        <v/>
      </c>
      <c r="E918" t="str">
        <f>IF(NOT(ISBLANK(A918)),VLOOKUP(A918,'BBT3'!A:F,5,0),"")</f>
        <v/>
      </c>
      <c r="F918" t="str">
        <f>IF(NOT(ISBLANK(A918)),VLOOKUP(A918,'BBT3'!A:F,6,0),"")</f>
        <v/>
      </c>
      <c r="G918" t="str">
        <f>IF(NOT(ISBLANK(A918)),VLOOKUP(A918,QW_Close!A:J,5,0),"")</f>
        <v/>
      </c>
      <c r="H918" s="5" t="str" cm="1">
        <f t="array" ref="H918">IF(NOT(ISBLANK(A918)),((_xlfn.XLOOKUP(1,(_bbt3[[#All],[ID]]=A918)*(_bbt3[[#All],[METRIC_NAME]]="YLD_YTM_ASK"),_bbt3[[#All],[METRIC_VALUE]])*0.5)+(_xlfn.XLOOKUP(1,(_bbt3[[#All],[ID]]=A918)*(_bbt3[[#All],[METRIC_NAME]]="YLD_YTM_BID"),_bbt3[[#All],[METRIC_VALUE]])*0.5))/100,"")</f>
        <v/>
      </c>
      <c r="I918">
        <f>IF(ISNA(VLOOKUP(A918,QW_CloseDL!A:E,5,0)),0,VLOOKUP(A918,QW_CloseDL!A:E,5,0))</f>
        <v>0</v>
      </c>
      <c r="J918" s="8" t="str">
        <f t="shared" si="70"/>
        <v/>
      </c>
      <c r="P918">
        <v>0</v>
      </c>
      <c r="Q918" t="e">
        <f t="shared" si="71"/>
        <v>#N/A</v>
      </c>
      <c r="R918" t="e">
        <f t="shared" si="72"/>
        <v>#N/A</v>
      </c>
      <c r="S918" s="9" t="e">
        <f t="shared" si="73"/>
        <v>#N/A</v>
      </c>
      <c r="T918" s="3" t="e">
        <f t="shared" si="74"/>
        <v>#N/A</v>
      </c>
    </row>
    <row r="919" spans="2:20" x14ac:dyDescent="0.35">
      <c r="B919" t="str">
        <f>IF(NOT(ISBLANK(A919)),VLOOKUP(A919,'BBT3'!A:F,2,0),"")</f>
        <v/>
      </c>
      <c r="C919" t="str">
        <f>IF(NOT(ISBLANK(A919)),VLOOKUP(A919,'BBT3'!A:F,3,0),"")</f>
        <v/>
      </c>
      <c r="D919" s="6" t="str">
        <f>IF(NOT(ISBLANK(A919)),VLOOKUP(A919,'BBT3'!A:F,4,1),"")</f>
        <v/>
      </c>
      <c r="E919" t="str">
        <f>IF(NOT(ISBLANK(A919)),VLOOKUP(A919,'BBT3'!A:F,5,0),"")</f>
        <v/>
      </c>
      <c r="F919" t="str">
        <f>IF(NOT(ISBLANK(A919)),VLOOKUP(A919,'BBT3'!A:F,6,0),"")</f>
        <v/>
      </c>
      <c r="G919" t="str">
        <f>IF(NOT(ISBLANK(A919)),VLOOKUP(A919,QW_Close!A:J,5,0),"")</f>
        <v/>
      </c>
      <c r="H919" s="5" t="str" cm="1">
        <f t="array" ref="H919">IF(NOT(ISBLANK(A919)),((_xlfn.XLOOKUP(1,(_bbt3[[#All],[ID]]=A919)*(_bbt3[[#All],[METRIC_NAME]]="YLD_YTM_ASK"),_bbt3[[#All],[METRIC_VALUE]])*0.5)+(_xlfn.XLOOKUP(1,(_bbt3[[#All],[ID]]=A919)*(_bbt3[[#All],[METRIC_NAME]]="YLD_YTM_BID"),_bbt3[[#All],[METRIC_VALUE]])*0.5))/100,"")</f>
        <v/>
      </c>
      <c r="I919">
        <f>IF(ISNA(VLOOKUP(A919,QW_CloseDL!A:E,5,0)),0,VLOOKUP(A919,QW_CloseDL!A:E,5,0))</f>
        <v>0</v>
      </c>
      <c r="J919" s="8" t="str">
        <f t="shared" si="70"/>
        <v/>
      </c>
      <c r="P919">
        <v>0</v>
      </c>
      <c r="Q919" t="e">
        <f t="shared" si="71"/>
        <v>#N/A</v>
      </c>
      <c r="R919" t="e">
        <f t="shared" si="72"/>
        <v>#N/A</v>
      </c>
      <c r="S919" s="9" t="e">
        <f t="shared" si="73"/>
        <v>#N/A</v>
      </c>
      <c r="T919" s="3" t="e">
        <f t="shared" si="74"/>
        <v>#N/A</v>
      </c>
    </row>
    <row r="920" spans="2:20" x14ac:dyDescent="0.35">
      <c r="B920" t="str">
        <f>IF(NOT(ISBLANK(A920)),VLOOKUP(A920,'BBT3'!A:F,2,0),"")</f>
        <v/>
      </c>
      <c r="C920" t="str">
        <f>IF(NOT(ISBLANK(A920)),VLOOKUP(A920,'BBT3'!A:F,3,0),"")</f>
        <v/>
      </c>
      <c r="D920" s="6" t="str">
        <f>IF(NOT(ISBLANK(A920)),VLOOKUP(A920,'BBT3'!A:F,4,1),"")</f>
        <v/>
      </c>
      <c r="E920" t="str">
        <f>IF(NOT(ISBLANK(A920)),VLOOKUP(A920,'BBT3'!A:F,5,0),"")</f>
        <v/>
      </c>
      <c r="F920" t="str">
        <f>IF(NOT(ISBLANK(A920)),VLOOKUP(A920,'BBT3'!A:F,6,0),"")</f>
        <v/>
      </c>
      <c r="G920" t="str">
        <f>IF(NOT(ISBLANK(A920)),VLOOKUP(A920,QW_Close!A:J,5,0),"")</f>
        <v/>
      </c>
      <c r="H920" s="5" t="str" cm="1">
        <f t="array" ref="H920">IF(NOT(ISBLANK(A920)),((_xlfn.XLOOKUP(1,(_bbt3[[#All],[ID]]=A920)*(_bbt3[[#All],[METRIC_NAME]]="YLD_YTM_ASK"),_bbt3[[#All],[METRIC_VALUE]])*0.5)+(_xlfn.XLOOKUP(1,(_bbt3[[#All],[ID]]=A920)*(_bbt3[[#All],[METRIC_NAME]]="YLD_YTM_BID"),_bbt3[[#All],[METRIC_VALUE]])*0.5))/100,"")</f>
        <v/>
      </c>
      <c r="I920">
        <f>IF(ISNA(VLOOKUP(A920,QW_CloseDL!A:E,5,0)),0,VLOOKUP(A920,QW_CloseDL!A:E,5,0))</f>
        <v>0</v>
      </c>
      <c r="J920" s="8" t="str">
        <f t="shared" si="70"/>
        <v/>
      </c>
      <c r="P920">
        <v>0</v>
      </c>
      <c r="Q920" t="e">
        <f t="shared" si="71"/>
        <v>#N/A</v>
      </c>
      <c r="R920" t="e">
        <f t="shared" si="72"/>
        <v>#N/A</v>
      </c>
      <c r="S920" s="9" t="e">
        <f t="shared" si="73"/>
        <v>#N/A</v>
      </c>
      <c r="T920" s="3" t="e">
        <f t="shared" si="74"/>
        <v>#N/A</v>
      </c>
    </row>
    <row r="921" spans="2:20" x14ac:dyDescent="0.35">
      <c r="B921" t="str">
        <f>IF(NOT(ISBLANK(A921)),VLOOKUP(A921,'BBT3'!A:F,2,0),"")</f>
        <v/>
      </c>
      <c r="C921" t="str">
        <f>IF(NOT(ISBLANK(A921)),VLOOKUP(A921,'BBT3'!A:F,3,0),"")</f>
        <v/>
      </c>
      <c r="D921" s="6" t="str">
        <f>IF(NOT(ISBLANK(A921)),VLOOKUP(A921,'BBT3'!A:F,4,1),"")</f>
        <v/>
      </c>
      <c r="E921" t="str">
        <f>IF(NOT(ISBLANK(A921)),VLOOKUP(A921,'BBT3'!A:F,5,0),"")</f>
        <v/>
      </c>
      <c r="F921" t="str">
        <f>IF(NOT(ISBLANK(A921)),VLOOKUP(A921,'BBT3'!A:F,6,0),"")</f>
        <v/>
      </c>
      <c r="G921" t="str">
        <f>IF(NOT(ISBLANK(A921)),VLOOKUP(A921,QW_Close!A:J,5,0),"")</f>
        <v/>
      </c>
      <c r="H921" s="5" t="str" cm="1">
        <f t="array" ref="H921">IF(NOT(ISBLANK(A921)),((_xlfn.XLOOKUP(1,(_bbt3[[#All],[ID]]=A921)*(_bbt3[[#All],[METRIC_NAME]]="YLD_YTM_ASK"),_bbt3[[#All],[METRIC_VALUE]])*0.5)+(_xlfn.XLOOKUP(1,(_bbt3[[#All],[ID]]=A921)*(_bbt3[[#All],[METRIC_NAME]]="YLD_YTM_BID"),_bbt3[[#All],[METRIC_VALUE]])*0.5))/100,"")</f>
        <v/>
      </c>
      <c r="I921">
        <f>IF(ISNA(VLOOKUP(A921,QW_CloseDL!A:E,5,0)),0,VLOOKUP(A921,QW_CloseDL!A:E,5,0))</f>
        <v>0</v>
      </c>
      <c r="J921" s="8" t="str">
        <f t="shared" si="70"/>
        <v/>
      </c>
      <c r="P921">
        <v>0</v>
      </c>
      <c r="Q921" t="e">
        <f t="shared" si="71"/>
        <v>#N/A</v>
      </c>
      <c r="R921" t="e">
        <f t="shared" si="72"/>
        <v>#N/A</v>
      </c>
      <c r="S921" s="9" t="e">
        <f t="shared" si="73"/>
        <v>#N/A</v>
      </c>
      <c r="T921" s="3" t="e">
        <f t="shared" si="74"/>
        <v>#N/A</v>
      </c>
    </row>
    <row r="922" spans="2:20" x14ac:dyDescent="0.35">
      <c r="B922" t="str">
        <f>IF(NOT(ISBLANK(A922)),VLOOKUP(A922,'BBT3'!A:F,2,0),"")</f>
        <v/>
      </c>
      <c r="C922" t="str">
        <f>IF(NOT(ISBLANK(A922)),VLOOKUP(A922,'BBT3'!A:F,3,0),"")</f>
        <v/>
      </c>
      <c r="D922" s="6" t="str">
        <f>IF(NOT(ISBLANK(A922)),VLOOKUP(A922,'BBT3'!A:F,4,1),"")</f>
        <v/>
      </c>
      <c r="E922" t="str">
        <f>IF(NOT(ISBLANK(A922)),VLOOKUP(A922,'BBT3'!A:F,5,0),"")</f>
        <v/>
      </c>
      <c r="F922" t="str">
        <f>IF(NOT(ISBLANK(A922)),VLOOKUP(A922,'BBT3'!A:F,6,0),"")</f>
        <v/>
      </c>
      <c r="G922" t="str">
        <f>IF(NOT(ISBLANK(A922)),VLOOKUP(A922,QW_Close!A:J,5,0),"")</f>
        <v/>
      </c>
      <c r="H922" s="5" t="str" cm="1">
        <f t="array" ref="H922">IF(NOT(ISBLANK(A922)),((_xlfn.XLOOKUP(1,(_bbt3[[#All],[ID]]=A922)*(_bbt3[[#All],[METRIC_NAME]]="YLD_YTM_ASK"),_bbt3[[#All],[METRIC_VALUE]])*0.5)+(_xlfn.XLOOKUP(1,(_bbt3[[#All],[ID]]=A922)*(_bbt3[[#All],[METRIC_NAME]]="YLD_YTM_BID"),_bbt3[[#All],[METRIC_VALUE]])*0.5))/100,"")</f>
        <v/>
      </c>
      <c r="I922">
        <f>IF(ISNA(VLOOKUP(A922,QW_CloseDL!A:E,5,0)),0,VLOOKUP(A922,QW_CloseDL!A:E,5,0))</f>
        <v>0</v>
      </c>
      <c r="J922" s="8" t="str">
        <f t="shared" si="70"/>
        <v/>
      </c>
      <c r="P922">
        <v>0</v>
      </c>
      <c r="Q922" t="e">
        <f t="shared" si="71"/>
        <v>#N/A</v>
      </c>
      <c r="R922" t="e">
        <f t="shared" si="72"/>
        <v>#N/A</v>
      </c>
      <c r="S922" s="9" t="e">
        <f t="shared" si="73"/>
        <v>#N/A</v>
      </c>
      <c r="T922" s="3" t="e">
        <f t="shared" si="74"/>
        <v>#N/A</v>
      </c>
    </row>
    <row r="923" spans="2:20" x14ac:dyDescent="0.35">
      <c r="B923" t="str">
        <f>IF(NOT(ISBLANK(A923)),VLOOKUP(A923,'BBT3'!A:F,2,0),"")</f>
        <v/>
      </c>
      <c r="C923" t="str">
        <f>IF(NOT(ISBLANK(A923)),VLOOKUP(A923,'BBT3'!A:F,3,0),"")</f>
        <v/>
      </c>
      <c r="D923" s="6" t="str">
        <f>IF(NOT(ISBLANK(A923)),VLOOKUP(A923,'BBT3'!A:F,4,1),"")</f>
        <v/>
      </c>
      <c r="E923" t="str">
        <f>IF(NOT(ISBLANK(A923)),VLOOKUP(A923,'BBT3'!A:F,5,0),"")</f>
        <v/>
      </c>
      <c r="F923" t="str">
        <f>IF(NOT(ISBLANK(A923)),VLOOKUP(A923,'BBT3'!A:F,6,0),"")</f>
        <v/>
      </c>
      <c r="G923" t="str">
        <f>IF(NOT(ISBLANK(A923)),VLOOKUP(A923,QW_Close!A:J,5,0),"")</f>
        <v/>
      </c>
      <c r="H923" s="5" t="str" cm="1">
        <f t="array" ref="H923">IF(NOT(ISBLANK(A923)),((_xlfn.XLOOKUP(1,(_bbt3[[#All],[ID]]=A923)*(_bbt3[[#All],[METRIC_NAME]]="YLD_YTM_ASK"),_bbt3[[#All],[METRIC_VALUE]])*0.5)+(_xlfn.XLOOKUP(1,(_bbt3[[#All],[ID]]=A923)*(_bbt3[[#All],[METRIC_NAME]]="YLD_YTM_BID"),_bbt3[[#All],[METRIC_VALUE]])*0.5))/100,"")</f>
        <v/>
      </c>
      <c r="I923">
        <f>IF(ISNA(VLOOKUP(A923,QW_CloseDL!A:E,5,0)),0,VLOOKUP(A923,QW_CloseDL!A:E,5,0))</f>
        <v>0</v>
      </c>
      <c r="J923" s="8" t="str">
        <f t="shared" si="70"/>
        <v/>
      </c>
      <c r="P923">
        <v>0</v>
      </c>
      <c r="Q923" t="e">
        <f t="shared" si="71"/>
        <v>#N/A</v>
      </c>
      <c r="R923" t="e">
        <f t="shared" si="72"/>
        <v>#N/A</v>
      </c>
      <c r="S923" s="9" t="e">
        <f t="shared" si="73"/>
        <v>#N/A</v>
      </c>
      <c r="T923" s="3" t="e">
        <f t="shared" si="74"/>
        <v>#N/A</v>
      </c>
    </row>
    <row r="924" spans="2:20" x14ac:dyDescent="0.35">
      <c r="B924" t="str">
        <f>IF(NOT(ISBLANK(A924)),VLOOKUP(A924,'BBT3'!A:F,2,0),"")</f>
        <v/>
      </c>
      <c r="C924" t="str">
        <f>IF(NOT(ISBLANK(A924)),VLOOKUP(A924,'BBT3'!A:F,3,0),"")</f>
        <v/>
      </c>
      <c r="D924" s="6" t="str">
        <f>IF(NOT(ISBLANK(A924)),VLOOKUP(A924,'BBT3'!A:F,4,1),"")</f>
        <v/>
      </c>
      <c r="E924" t="str">
        <f>IF(NOT(ISBLANK(A924)),VLOOKUP(A924,'BBT3'!A:F,5,0),"")</f>
        <v/>
      </c>
      <c r="F924" t="str">
        <f>IF(NOT(ISBLANK(A924)),VLOOKUP(A924,'BBT3'!A:F,6,0),"")</f>
        <v/>
      </c>
      <c r="G924" t="str">
        <f>IF(NOT(ISBLANK(A924)),VLOOKUP(A924,QW_Close!A:J,5,0),"")</f>
        <v/>
      </c>
      <c r="H924" s="5" t="str" cm="1">
        <f t="array" ref="H924">IF(NOT(ISBLANK(A924)),((_xlfn.XLOOKUP(1,(_bbt3[[#All],[ID]]=A924)*(_bbt3[[#All],[METRIC_NAME]]="YLD_YTM_ASK"),_bbt3[[#All],[METRIC_VALUE]])*0.5)+(_xlfn.XLOOKUP(1,(_bbt3[[#All],[ID]]=A924)*(_bbt3[[#All],[METRIC_NAME]]="YLD_YTM_BID"),_bbt3[[#All],[METRIC_VALUE]])*0.5))/100,"")</f>
        <v/>
      </c>
      <c r="I924">
        <f>IF(ISNA(VLOOKUP(A924,QW_CloseDL!A:E,5,0)),0,VLOOKUP(A924,QW_CloseDL!A:E,5,0))</f>
        <v>0</v>
      </c>
      <c r="J924" s="8" t="str">
        <f t="shared" si="70"/>
        <v/>
      </c>
      <c r="P924">
        <v>0</v>
      </c>
      <c r="Q924" t="e">
        <f t="shared" si="71"/>
        <v>#N/A</v>
      </c>
      <c r="R924" t="e">
        <f t="shared" si="72"/>
        <v>#N/A</v>
      </c>
      <c r="S924" s="9" t="e">
        <f t="shared" si="73"/>
        <v>#N/A</v>
      </c>
      <c r="T924" s="3" t="e">
        <f t="shared" si="74"/>
        <v>#N/A</v>
      </c>
    </row>
    <row r="925" spans="2:20" x14ac:dyDescent="0.35">
      <c r="B925" t="str">
        <f>IF(NOT(ISBLANK(A925)),VLOOKUP(A925,'BBT3'!A:F,2,0),"")</f>
        <v/>
      </c>
      <c r="C925" t="str">
        <f>IF(NOT(ISBLANK(A925)),VLOOKUP(A925,'BBT3'!A:F,3,0),"")</f>
        <v/>
      </c>
      <c r="D925" s="6" t="str">
        <f>IF(NOT(ISBLANK(A925)),VLOOKUP(A925,'BBT3'!A:F,4,1),"")</f>
        <v/>
      </c>
      <c r="E925" t="str">
        <f>IF(NOT(ISBLANK(A925)),VLOOKUP(A925,'BBT3'!A:F,5,0),"")</f>
        <v/>
      </c>
      <c r="F925" t="str">
        <f>IF(NOT(ISBLANK(A925)),VLOOKUP(A925,'BBT3'!A:F,6,0),"")</f>
        <v/>
      </c>
      <c r="G925" t="str">
        <f>IF(NOT(ISBLANK(A925)),VLOOKUP(A925,QW_Close!A:J,5,0),"")</f>
        <v/>
      </c>
      <c r="H925" s="5" t="str" cm="1">
        <f t="array" ref="H925">IF(NOT(ISBLANK(A925)),((_xlfn.XLOOKUP(1,(_bbt3[[#All],[ID]]=A925)*(_bbt3[[#All],[METRIC_NAME]]="YLD_YTM_ASK"),_bbt3[[#All],[METRIC_VALUE]])*0.5)+(_xlfn.XLOOKUP(1,(_bbt3[[#All],[ID]]=A925)*(_bbt3[[#All],[METRIC_NAME]]="YLD_YTM_BID"),_bbt3[[#All],[METRIC_VALUE]])*0.5))/100,"")</f>
        <v/>
      </c>
      <c r="I925">
        <f>IF(ISNA(VLOOKUP(A925,QW_CloseDL!A:E,5,0)),0,VLOOKUP(A925,QW_CloseDL!A:E,5,0))</f>
        <v>0</v>
      </c>
      <c r="J925" s="8" t="str">
        <f t="shared" si="70"/>
        <v/>
      </c>
      <c r="P925">
        <v>0</v>
      </c>
      <c r="Q925" t="e">
        <f t="shared" si="71"/>
        <v>#N/A</v>
      </c>
      <c r="R925" t="e">
        <f t="shared" si="72"/>
        <v>#N/A</v>
      </c>
      <c r="S925" s="9" t="e">
        <f t="shared" si="73"/>
        <v>#N/A</v>
      </c>
      <c r="T925" s="3" t="e">
        <f t="shared" si="74"/>
        <v>#N/A</v>
      </c>
    </row>
    <row r="926" spans="2:20" x14ac:dyDescent="0.35">
      <c r="B926" t="str">
        <f>IF(NOT(ISBLANK(A926)),VLOOKUP(A926,'BBT3'!A:F,2,0),"")</f>
        <v/>
      </c>
      <c r="C926" t="str">
        <f>IF(NOT(ISBLANK(A926)),VLOOKUP(A926,'BBT3'!A:F,3,0),"")</f>
        <v/>
      </c>
      <c r="D926" s="6" t="str">
        <f>IF(NOT(ISBLANK(A926)),VLOOKUP(A926,'BBT3'!A:F,4,1),"")</f>
        <v/>
      </c>
      <c r="E926" t="str">
        <f>IF(NOT(ISBLANK(A926)),VLOOKUP(A926,'BBT3'!A:F,5,0),"")</f>
        <v/>
      </c>
      <c r="F926" t="str">
        <f>IF(NOT(ISBLANK(A926)),VLOOKUP(A926,'BBT3'!A:F,6,0),"")</f>
        <v/>
      </c>
      <c r="G926" t="str">
        <f>IF(NOT(ISBLANK(A926)),VLOOKUP(A926,QW_Close!A:J,5,0),"")</f>
        <v/>
      </c>
      <c r="H926" s="5" t="str" cm="1">
        <f t="array" ref="H926">IF(NOT(ISBLANK(A926)),((_xlfn.XLOOKUP(1,(_bbt3[[#All],[ID]]=A926)*(_bbt3[[#All],[METRIC_NAME]]="YLD_YTM_ASK"),_bbt3[[#All],[METRIC_VALUE]])*0.5)+(_xlfn.XLOOKUP(1,(_bbt3[[#All],[ID]]=A926)*(_bbt3[[#All],[METRIC_NAME]]="YLD_YTM_BID"),_bbt3[[#All],[METRIC_VALUE]])*0.5))/100,"")</f>
        <v/>
      </c>
      <c r="I926">
        <f>IF(ISNA(VLOOKUP(A926,QW_CloseDL!A:E,5,0)),0,VLOOKUP(A926,QW_CloseDL!A:E,5,0))</f>
        <v>0</v>
      </c>
      <c r="J926" s="8" t="str">
        <f t="shared" si="70"/>
        <v/>
      </c>
      <c r="P926">
        <v>0</v>
      </c>
      <c r="Q926" t="e">
        <f t="shared" si="71"/>
        <v>#N/A</v>
      </c>
      <c r="R926" t="e">
        <f t="shared" si="72"/>
        <v>#N/A</v>
      </c>
      <c r="S926" s="9" t="e">
        <f t="shared" si="73"/>
        <v>#N/A</v>
      </c>
      <c r="T926" s="3" t="e">
        <f t="shared" si="74"/>
        <v>#N/A</v>
      </c>
    </row>
    <row r="927" spans="2:20" x14ac:dyDescent="0.35">
      <c r="B927" t="str">
        <f>IF(NOT(ISBLANK(A927)),VLOOKUP(A927,'BBT3'!A:F,2,0),"")</f>
        <v/>
      </c>
      <c r="C927" t="str">
        <f>IF(NOT(ISBLANK(A927)),VLOOKUP(A927,'BBT3'!A:F,3,0),"")</f>
        <v/>
      </c>
      <c r="D927" s="6" t="str">
        <f>IF(NOT(ISBLANK(A927)),VLOOKUP(A927,'BBT3'!A:F,4,1),"")</f>
        <v/>
      </c>
      <c r="E927" t="str">
        <f>IF(NOT(ISBLANK(A927)),VLOOKUP(A927,'BBT3'!A:F,5,0),"")</f>
        <v/>
      </c>
      <c r="F927" t="str">
        <f>IF(NOT(ISBLANK(A927)),VLOOKUP(A927,'BBT3'!A:F,6,0),"")</f>
        <v/>
      </c>
      <c r="G927" t="str">
        <f>IF(NOT(ISBLANK(A927)),VLOOKUP(A927,QW_Close!A:J,5,0),"")</f>
        <v/>
      </c>
      <c r="H927" s="5" t="str" cm="1">
        <f t="array" ref="H927">IF(NOT(ISBLANK(A927)),((_xlfn.XLOOKUP(1,(_bbt3[[#All],[ID]]=A927)*(_bbt3[[#All],[METRIC_NAME]]="YLD_YTM_ASK"),_bbt3[[#All],[METRIC_VALUE]])*0.5)+(_xlfn.XLOOKUP(1,(_bbt3[[#All],[ID]]=A927)*(_bbt3[[#All],[METRIC_NAME]]="YLD_YTM_BID"),_bbt3[[#All],[METRIC_VALUE]])*0.5))/100,"")</f>
        <v/>
      </c>
      <c r="I927">
        <f>IF(ISNA(VLOOKUP(A927,QW_CloseDL!A:E,5,0)),0,VLOOKUP(A927,QW_CloseDL!A:E,5,0))</f>
        <v>0</v>
      </c>
      <c r="J927" s="8" t="str">
        <f t="shared" si="70"/>
        <v/>
      </c>
      <c r="P927">
        <v>0</v>
      </c>
      <c r="Q927" t="e">
        <f t="shared" si="71"/>
        <v>#N/A</v>
      </c>
      <c r="R927" t="e">
        <f t="shared" si="72"/>
        <v>#N/A</v>
      </c>
      <c r="S927" s="9" t="e">
        <f t="shared" si="73"/>
        <v>#N/A</v>
      </c>
      <c r="T927" s="3" t="e">
        <f t="shared" si="74"/>
        <v>#N/A</v>
      </c>
    </row>
    <row r="928" spans="2:20" x14ac:dyDescent="0.35">
      <c r="B928" t="str">
        <f>IF(NOT(ISBLANK(A928)),VLOOKUP(A928,'BBT3'!A:F,2,0),"")</f>
        <v/>
      </c>
      <c r="C928" t="str">
        <f>IF(NOT(ISBLANK(A928)),VLOOKUP(A928,'BBT3'!A:F,3,0),"")</f>
        <v/>
      </c>
      <c r="D928" s="6" t="str">
        <f>IF(NOT(ISBLANK(A928)),VLOOKUP(A928,'BBT3'!A:F,4,1),"")</f>
        <v/>
      </c>
      <c r="E928" t="str">
        <f>IF(NOT(ISBLANK(A928)),VLOOKUP(A928,'BBT3'!A:F,5,0),"")</f>
        <v/>
      </c>
      <c r="F928" t="str">
        <f>IF(NOT(ISBLANK(A928)),VLOOKUP(A928,'BBT3'!A:F,6,0),"")</f>
        <v/>
      </c>
      <c r="G928" t="str">
        <f>IF(NOT(ISBLANK(A928)),VLOOKUP(A928,QW_Close!A:J,5,0),"")</f>
        <v/>
      </c>
      <c r="H928" s="5" t="str" cm="1">
        <f t="array" ref="H928">IF(NOT(ISBLANK(A928)),((_xlfn.XLOOKUP(1,(_bbt3[[#All],[ID]]=A928)*(_bbt3[[#All],[METRIC_NAME]]="YLD_YTM_ASK"),_bbt3[[#All],[METRIC_VALUE]])*0.5)+(_xlfn.XLOOKUP(1,(_bbt3[[#All],[ID]]=A928)*(_bbt3[[#All],[METRIC_NAME]]="YLD_YTM_BID"),_bbt3[[#All],[METRIC_VALUE]])*0.5))/100,"")</f>
        <v/>
      </c>
      <c r="I928">
        <f>IF(ISNA(VLOOKUP(A928,QW_CloseDL!A:E,5,0)),0,VLOOKUP(A928,QW_CloseDL!A:E,5,0))</f>
        <v>0</v>
      </c>
      <c r="J928" s="8" t="str">
        <f t="shared" si="70"/>
        <v/>
      </c>
      <c r="P928">
        <v>0</v>
      </c>
      <c r="Q928" t="e">
        <f t="shared" si="71"/>
        <v>#N/A</v>
      </c>
      <c r="R928" t="e">
        <f t="shared" si="72"/>
        <v>#N/A</v>
      </c>
      <c r="S928" s="9" t="e">
        <f t="shared" si="73"/>
        <v>#N/A</v>
      </c>
      <c r="T928" s="3" t="e">
        <f t="shared" si="74"/>
        <v>#N/A</v>
      </c>
    </row>
    <row r="929" spans="2:20" x14ac:dyDescent="0.35">
      <c r="B929" t="str">
        <f>IF(NOT(ISBLANK(A929)),VLOOKUP(A929,'BBT3'!A:F,2,0),"")</f>
        <v/>
      </c>
      <c r="C929" t="str">
        <f>IF(NOT(ISBLANK(A929)),VLOOKUP(A929,'BBT3'!A:F,3,0),"")</f>
        <v/>
      </c>
      <c r="D929" s="6" t="str">
        <f>IF(NOT(ISBLANK(A929)),VLOOKUP(A929,'BBT3'!A:F,4,1),"")</f>
        <v/>
      </c>
      <c r="E929" t="str">
        <f>IF(NOT(ISBLANK(A929)),VLOOKUP(A929,'BBT3'!A:F,5,0),"")</f>
        <v/>
      </c>
      <c r="F929" t="str">
        <f>IF(NOT(ISBLANK(A929)),VLOOKUP(A929,'BBT3'!A:F,6,0),"")</f>
        <v/>
      </c>
      <c r="G929" t="str">
        <f>IF(NOT(ISBLANK(A929)),VLOOKUP(A929,QW_Close!A:J,5,0),"")</f>
        <v/>
      </c>
      <c r="H929" s="5" t="str" cm="1">
        <f t="array" ref="H929">IF(NOT(ISBLANK(A929)),((_xlfn.XLOOKUP(1,(_bbt3[[#All],[ID]]=A929)*(_bbt3[[#All],[METRIC_NAME]]="YLD_YTM_ASK"),_bbt3[[#All],[METRIC_VALUE]])*0.5)+(_xlfn.XLOOKUP(1,(_bbt3[[#All],[ID]]=A929)*(_bbt3[[#All],[METRIC_NAME]]="YLD_YTM_BID"),_bbt3[[#All],[METRIC_VALUE]])*0.5))/100,"")</f>
        <v/>
      </c>
      <c r="I929">
        <f>IF(ISNA(VLOOKUP(A929,QW_CloseDL!A:E,5,0)),0,VLOOKUP(A929,QW_CloseDL!A:E,5,0))</f>
        <v>0</v>
      </c>
      <c r="J929" s="8" t="str">
        <f t="shared" si="70"/>
        <v/>
      </c>
      <c r="P929">
        <v>0</v>
      </c>
      <c r="Q929" t="e">
        <f t="shared" si="71"/>
        <v>#N/A</v>
      </c>
      <c r="R929" t="e">
        <f t="shared" si="72"/>
        <v>#N/A</v>
      </c>
      <c r="S929" s="9" t="e">
        <f t="shared" si="73"/>
        <v>#N/A</v>
      </c>
      <c r="T929" s="3" t="e">
        <f t="shared" si="74"/>
        <v>#N/A</v>
      </c>
    </row>
    <row r="930" spans="2:20" x14ac:dyDescent="0.35">
      <c r="B930" t="str">
        <f>IF(NOT(ISBLANK(A930)),VLOOKUP(A930,'BBT3'!A:F,2,0),"")</f>
        <v/>
      </c>
      <c r="C930" t="str">
        <f>IF(NOT(ISBLANK(A930)),VLOOKUP(A930,'BBT3'!A:F,3,0),"")</f>
        <v/>
      </c>
      <c r="D930" s="6" t="str">
        <f>IF(NOT(ISBLANK(A930)),VLOOKUP(A930,'BBT3'!A:F,4,1),"")</f>
        <v/>
      </c>
      <c r="E930" t="str">
        <f>IF(NOT(ISBLANK(A930)),VLOOKUP(A930,'BBT3'!A:F,5,0),"")</f>
        <v/>
      </c>
      <c r="F930" t="str">
        <f>IF(NOT(ISBLANK(A930)),VLOOKUP(A930,'BBT3'!A:F,6,0),"")</f>
        <v/>
      </c>
      <c r="G930" t="str">
        <f>IF(NOT(ISBLANK(A930)),VLOOKUP(A930,QW_Close!A:J,5,0),"")</f>
        <v/>
      </c>
      <c r="H930" s="5" t="str" cm="1">
        <f t="array" ref="H930">IF(NOT(ISBLANK(A930)),((_xlfn.XLOOKUP(1,(_bbt3[[#All],[ID]]=A930)*(_bbt3[[#All],[METRIC_NAME]]="YLD_YTM_ASK"),_bbt3[[#All],[METRIC_VALUE]])*0.5)+(_xlfn.XLOOKUP(1,(_bbt3[[#All],[ID]]=A930)*(_bbt3[[#All],[METRIC_NAME]]="YLD_YTM_BID"),_bbt3[[#All],[METRIC_VALUE]])*0.5))/100,"")</f>
        <v/>
      </c>
      <c r="I930">
        <f>IF(ISNA(VLOOKUP(A930,QW_CloseDL!A:E,5,0)),0,VLOOKUP(A930,QW_CloseDL!A:E,5,0))</f>
        <v>0</v>
      </c>
      <c r="J930" s="8" t="str">
        <f t="shared" si="70"/>
        <v/>
      </c>
      <c r="P930">
        <v>0</v>
      </c>
      <c r="Q930" t="e">
        <f t="shared" si="71"/>
        <v>#N/A</v>
      </c>
      <c r="R930" t="e">
        <f t="shared" si="72"/>
        <v>#N/A</v>
      </c>
      <c r="S930" s="9" t="e">
        <f t="shared" si="73"/>
        <v>#N/A</v>
      </c>
      <c r="T930" s="3" t="e">
        <f t="shared" si="74"/>
        <v>#N/A</v>
      </c>
    </row>
    <row r="931" spans="2:20" x14ac:dyDescent="0.35">
      <c r="B931" t="str">
        <f>IF(NOT(ISBLANK(A931)),VLOOKUP(A931,'BBT3'!A:F,2,0),"")</f>
        <v/>
      </c>
      <c r="C931" t="str">
        <f>IF(NOT(ISBLANK(A931)),VLOOKUP(A931,'BBT3'!A:F,3,0),"")</f>
        <v/>
      </c>
      <c r="D931" s="6" t="str">
        <f>IF(NOT(ISBLANK(A931)),VLOOKUP(A931,'BBT3'!A:F,4,1),"")</f>
        <v/>
      </c>
      <c r="E931" t="str">
        <f>IF(NOT(ISBLANK(A931)),VLOOKUP(A931,'BBT3'!A:F,5,0),"")</f>
        <v/>
      </c>
      <c r="F931" t="str">
        <f>IF(NOT(ISBLANK(A931)),VLOOKUP(A931,'BBT3'!A:F,6,0),"")</f>
        <v/>
      </c>
      <c r="G931" t="str">
        <f>IF(NOT(ISBLANK(A931)),VLOOKUP(A931,QW_Close!A:J,5,0),"")</f>
        <v/>
      </c>
      <c r="H931" s="5" t="str" cm="1">
        <f t="array" ref="H931">IF(NOT(ISBLANK(A931)),((_xlfn.XLOOKUP(1,(_bbt3[[#All],[ID]]=A931)*(_bbt3[[#All],[METRIC_NAME]]="YLD_YTM_ASK"),_bbt3[[#All],[METRIC_VALUE]])*0.5)+(_xlfn.XLOOKUP(1,(_bbt3[[#All],[ID]]=A931)*(_bbt3[[#All],[METRIC_NAME]]="YLD_YTM_BID"),_bbt3[[#All],[METRIC_VALUE]])*0.5))/100,"")</f>
        <v/>
      </c>
      <c r="I931">
        <f>IF(ISNA(VLOOKUP(A931,QW_CloseDL!A:E,5,0)),0,VLOOKUP(A931,QW_CloseDL!A:E,5,0))</f>
        <v>0</v>
      </c>
      <c r="J931" s="8" t="str">
        <f t="shared" si="70"/>
        <v/>
      </c>
      <c r="P931">
        <v>0</v>
      </c>
      <c r="Q931" t="e">
        <f t="shared" si="71"/>
        <v>#N/A</v>
      </c>
      <c r="R931" t="e">
        <f t="shared" si="72"/>
        <v>#N/A</v>
      </c>
      <c r="S931" s="9" t="e">
        <f t="shared" si="73"/>
        <v>#N/A</v>
      </c>
      <c r="T931" s="3" t="e">
        <f t="shared" si="74"/>
        <v>#N/A</v>
      </c>
    </row>
    <row r="932" spans="2:20" x14ac:dyDescent="0.35">
      <c r="B932" t="str">
        <f>IF(NOT(ISBLANK(A932)),VLOOKUP(A932,'BBT3'!A:F,2,0),"")</f>
        <v/>
      </c>
      <c r="C932" t="str">
        <f>IF(NOT(ISBLANK(A932)),VLOOKUP(A932,'BBT3'!A:F,3,0),"")</f>
        <v/>
      </c>
      <c r="D932" s="6" t="str">
        <f>IF(NOT(ISBLANK(A932)),VLOOKUP(A932,'BBT3'!A:F,4,1),"")</f>
        <v/>
      </c>
      <c r="E932" t="str">
        <f>IF(NOT(ISBLANK(A932)),VLOOKUP(A932,'BBT3'!A:F,5,0),"")</f>
        <v/>
      </c>
      <c r="F932" t="str">
        <f>IF(NOT(ISBLANK(A932)),VLOOKUP(A932,'BBT3'!A:F,6,0),"")</f>
        <v/>
      </c>
      <c r="G932" t="str">
        <f>IF(NOT(ISBLANK(A932)),VLOOKUP(A932,QW_Close!A:J,5,0),"")</f>
        <v/>
      </c>
      <c r="H932" s="5" t="str" cm="1">
        <f t="array" ref="H932">IF(NOT(ISBLANK(A932)),((_xlfn.XLOOKUP(1,(_bbt3[[#All],[ID]]=A932)*(_bbt3[[#All],[METRIC_NAME]]="YLD_YTM_ASK"),_bbt3[[#All],[METRIC_VALUE]])*0.5)+(_xlfn.XLOOKUP(1,(_bbt3[[#All],[ID]]=A932)*(_bbt3[[#All],[METRIC_NAME]]="YLD_YTM_BID"),_bbt3[[#All],[METRIC_VALUE]])*0.5))/100,"")</f>
        <v/>
      </c>
      <c r="I932">
        <f>IF(ISNA(VLOOKUP(A932,QW_CloseDL!A:E,5,0)),0,VLOOKUP(A932,QW_CloseDL!A:E,5,0))</f>
        <v>0</v>
      </c>
      <c r="J932" s="8" t="str">
        <f t="shared" si="70"/>
        <v/>
      </c>
      <c r="P932">
        <v>0</v>
      </c>
      <c r="Q932" t="e">
        <f t="shared" si="71"/>
        <v>#N/A</v>
      </c>
      <c r="R932" t="e">
        <f t="shared" si="72"/>
        <v>#N/A</v>
      </c>
      <c r="S932" s="9" t="e">
        <f t="shared" si="73"/>
        <v>#N/A</v>
      </c>
      <c r="T932" s="3" t="e">
        <f t="shared" si="74"/>
        <v>#N/A</v>
      </c>
    </row>
    <row r="933" spans="2:20" x14ac:dyDescent="0.35">
      <c r="B933" t="str">
        <f>IF(NOT(ISBLANK(A933)),VLOOKUP(A933,'BBT3'!A:F,2,0),"")</f>
        <v/>
      </c>
      <c r="C933" t="str">
        <f>IF(NOT(ISBLANK(A933)),VLOOKUP(A933,'BBT3'!A:F,3,0),"")</f>
        <v/>
      </c>
      <c r="D933" s="6" t="str">
        <f>IF(NOT(ISBLANK(A933)),VLOOKUP(A933,'BBT3'!A:F,4,1),"")</f>
        <v/>
      </c>
      <c r="E933" t="str">
        <f>IF(NOT(ISBLANK(A933)),VLOOKUP(A933,'BBT3'!A:F,5,0),"")</f>
        <v/>
      </c>
      <c r="F933" t="str">
        <f>IF(NOT(ISBLANK(A933)),VLOOKUP(A933,'BBT3'!A:F,6,0),"")</f>
        <v/>
      </c>
      <c r="G933" t="str">
        <f>IF(NOT(ISBLANK(A933)),VLOOKUP(A933,QW_Close!A:J,5,0),"")</f>
        <v/>
      </c>
      <c r="H933" s="5" t="str" cm="1">
        <f t="array" ref="H933">IF(NOT(ISBLANK(A933)),((_xlfn.XLOOKUP(1,(_bbt3[[#All],[ID]]=A933)*(_bbt3[[#All],[METRIC_NAME]]="YLD_YTM_ASK"),_bbt3[[#All],[METRIC_VALUE]])*0.5)+(_xlfn.XLOOKUP(1,(_bbt3[[#All],[ID]]=A933)*(_bbt3[[#All],[METRIC_NAME]]="YLD_YTM_BID"),_bbt3[[#All],[METRIC_VALUE]])*0.5))/100,"")</f>
        <v/>
      </c>
      <c r="I933">
        <f>IF(ISNA(VLOOKUP(A933,QW_CloseDL!A:E,5,0)),0,VLOOKUP(A933,QW_CloseDL!A:E,5,0))</f>
        <v>0</v>
      </c>
      <c r="J933" s="8" t="str">
        <f t="shared" si="70"/>
        <v/>
      </c>
      <c r="P933">
        <v>0</v>
      </c>
      <c r="Q933" t="e">
        <f t="shared" si="71"/>
        <v>#N/A</v>
      </c>
      <c r="R933" t="e">
        <f t="shared" si="72"/>
        <v>#N/A</v>
      </c>
      <c r="S933" s="9" t="e">
        <f t="shared" si="73"/>
        <v>#N/A</v>
      </c>
      <c r="T933" s="3" t="e">
        <f t="shared" si="74"/>
        <v>#N/A</v>
      </c>
    </row>
    <row r="934" spans="2:20" x14ac:dyDescent="0.35">
      <c r="B934" t="str">
        <f>IF(NOT(ISBLANK(A934)),VLOOKUP(A934,'BBT3'!A:F,2,0),"")</f>
        <v/>
      </c>
      <c r="C934" t="str">
        <f>IF(NOT(ISBLANK(A934)),VLOOKUP(A934,'BBT3'!A:F,3,0),"")</f>
        <v/>
      </c>
      <c r="D934" s="6" t="str">
        <f>IF(NOT(ISBLANK(A934)),VLOOKUP(A934,'BBT3'!A:F,4,1),"")</f>
        <v/>
      </c>
      <c r="E934" t="str">
        <f>IF(NOT(ISBLANK(A934)),VLOOKUP(A934,'BBT3'!A:F,5,0),"")</f>
        <v/>
      </c>
      <c r="F934" t="str">
        <f>IF(NOT(ISBLANK(A934)),VLOOKUP(A934,'BBT3'!A:F,6,0),"")</f>
        <v/>
      </c>
      <c r="G934" t="str">
        <f>IF(NOT(ISBLANK(A934)),VLOOKUP(A934,QW_Close!A:J,5,0),"")</f>
        <v/>
      </c>
      <c r="H934" s="5" t="str" cm="1">
        <f t="array" ref="H934">IF(NOT(ISBLANK(A934)),((_xlfn.XLOOKUP(1,(_bbt3[[#All],[ID]]=A934)*(_bbt3[[#All],[METRIC_NAME]]="YLD_YTM_ASK"),_bbt3[[#All],[METRIC_VALUE]])*0.5)+(_xlfn.XLOOKUP(1,(_bbt3[[#All],[ID]]=A934)*(_bbt3[[#All],[METRIC_NAME]]="YLD_YTM_BID"),_bbt3[[#All],[METRIC_VALUE]])*0.5))/100,"")</f>
        <v/>
      </c>
      <c r="I934">
        <f>IF(ISNA(VLOOKUP(A934,QW_CloseDL!A:E,5,0)),0,VLOOKUP(A934,QW_CloseDL!A:E,5,0))</f>
        <v>0</v>
      </c>
      <c r="J934" s="8" t="str">
        <f t="shared" si="70"/>
        <v/>
      </c>
      <c r="P934">
        <v>0</v>
      </c>
      <c r="Q934" t="e">
        <f t="shared" si="71"/>
        <v>#N/A</v>
      </c>
      <c r="R934" t="e">
        <f t="shared" si="72"/>
        <v>#N/A</v>
      </c>
      <c r="S934" s="9" t="e">
        <f t="shared" si="73"/>
        <v>#N/A</v>
      </c>
      <c r="T934" s="3" t="e">
        <f t="shared" si="74"/>
        <v>#N/A</v>
      </c>
    </row>
    <row r="935" spans="2:20" x14ac:dyDescent="0.35">
      <c r="B935" t="str">
        <f>IF(NOT(ISBLANK(A935)),VLOOKUP(A935,'BBT3'!A:F,2,0),"")</f>
        <v/>
      </c>
      <c r="C935" t="str">
        <f>IF(NOT(ISBLANK(A935)),VLOOKUP(A935,'BBT3'!A:F,3,0),"")</f>
        <v/>
      </c>
      <c r="D935" s="6" t="str">
        <f>IF(NOT(ISBLANK(A935)),VLOOKUP(A935,'BBT3'!A:F,4,1),"")</f>
        <v/>
      </c>
      <c r="E935" t="str">
        <f>IF(NOT(ISBLANK(A935)),VLOOKUP(A935,'BBT3'!A:F,5,0),"")</f>
        <v/>
      </c>
      <c r="F935" t="str">
        <f>IF(NOT(ISBLANK(A935)),VLOOKUP(A935,'BBT3'!A:F,6,0),"")</f>
        <v/>
      </c>
      <c r="G935" t="str">
        <f>IF(NOT(ISBLANK(A935)),VLOOKUP(A935,QW_Close!A:J,5,0),"")</f>
        <v/>
      </c>
      <c r="H935" s="5" t="str" cm="1">
        <f t="array" ref="H935">IF(NOT(ISBLANK(A935)),((_xlfn.XLOOKUP(1,(_bbt3[[#All],[ID]]=A935)*(_bbt3[[#All],[METRIC_NAME]]="YLD_YTM_ASK"),_bbt3[[#All],[METRIC_VALUE]])*0.5)+(_xlfn.XLOOKUP(1,(_bbt3[[#All],[ID]]=A935)*(_bbt3[[#All],[METRIC_NAME]]="YLD_YTM_BID"),_bbt3[[#All],[METRIC_VALUE]])*0.5))/100,"")</f>
        <v/>
      </c>
      <c r="I935">
        <f>IF(ISNA(VLOOKUP(A935,QW_CloseDL!A:E,5,0)),0,VLOOKUP(A935,QW_CloseDL!A:E,5,0))</f>
        <v>0</v>
      </c>
      <c r="J935" s="8" t="str">
        <f t="shared" si="70"/>
        <v/>
      </c>
      <c r="P935">
        <v>0</v>
      </c>
      <c r="Q935" t="e">
        <f t="shared" si="71"/>
        <v>#N/A</v>
      </c>
      <c r="R935" t="e">
        <f t="shared" si="72"/>
        <v>#N/A</v>
      </c>
      <c r="S935" s="9" t="e">
        <f t="shared" si="73"/>
        <v>#N/A</v>
      </c>
      <c r="T935" s="3" t="e">
        <f t="shared" si="74"/>
        <v>#N/A</v>
      </c>
    </row>
    <row r="936" spans="2:20" x14ac:dyDescent="0.35">
      <c r="B936" t="str">
        <f>IF(NOT(ISBLANK(A936)),VLOOKUP(A936,'BBT3'!A:F,2,0),"")</f>
        <v/>
      </c>
      <c r="C936" t="str">
        <f>IF(NOT(ISBLANK(A936)),VLOOKUP(A936,'BBT3'!A:F,3,0),"")</f>
        <v/>
      </c>
      <c r="D936" s="6" t="str">
        <f>IF(NOT(ISBLANK(A936)),VLOOKUP(A936,'BBT3'!A:F,4,1),"")</f>
        <v/>
      </c>
      <c r="E936" t="str">
        <f>IF(NOT(ISBLANK(A936)),VLOOKUP(A936,'BBT3'!A:F,5,0),"")</f>
        <v/>
      </c>
      <c r="F936" t="str">
        <f>IF(NOT(ISBLANK(A936)),VLOOKUP(A936,'BBT3'!A:F,6,0),"")</f>
        <v/>
      </c>
      <c r="G936" t="str">
        <f>IF(NOT(ISBLANK(A936)),VLOOKUP(A936,QW_Close!A:J,5,0),"")</f>
        <v/>
      </c>
      <c r="H936" s="5" t="str" cm="1">
        <f t="array" ref="H936">IF(NOT(ISBLANK(A936)),((_xlfn.XLOOKUP(1,(_bbt3[[#All],[ID]]=A936)*(_bbt3[[#All],[METRIC_NAME]]="YLD_YTM_ASK"),_bbt3[[#All],[METRIC_VALUE]])*0.5)+(_xlfn.XLOOKUP(1,(_bbt3[[#All],[ID]]=A936)*(_bbt3[[#All],[METRIC_NAME]]="YLD_YTM_BID"),_bbt3[[#All],[METRIC_VALUE]])*0.5))/100,"")</f>
        <v/>
      </c>
      <c r="I936">
        <f>IF(ISNA(VLOOKUP(A936,QW_CloseDL!A:E,5,0)),0,VLOOKUP(A936,QW_CloseDL!A:E,5,0))</f>
        <v>0</v>
      </c>
      <c r="J936" s="8" t="str">
        <f t="shared" si="70"/>
        <v/>
      </c>
      <c r="P936">
        <v>0</v>
      </c>
      <c r="Q936" t="e">
        <f t="shared" si="71"/>
        <v>#N/A</v>
      </c>
      <c r="R936" t="e">
        <f t="shared" si="72"/>
        <v>#N/A</v>
      </c>
      <c r="S936" s="9" t="e">
        <f t="shared" si="73"/>
        <v>#N/A</v>
      </c>
      <c r="T936" s="3" t="e">
        <f t="shared" si="74"/>
        <v>#N/A</v>
      </c>
    </row>
    <row r="937" spans="2:20" x14ac:dyDescent="0.35">
      <c r="B937" t="str">
        <f>IF(NOT(ISBLANK(A937)),VLOOKUP(A937,'BBT3'!A:F,2,0),"")</f>
        <v/>
      </c>
      <c r="C937" t="str">
        <f>IF(NOT(ISBLANK(A937)),VLOOKUP(A937,'BBT3'!A:F,3,0),"")</f>
        <v/>
      </c>
      <c r="D937" s="6" t="str">
        <f>IF(NOT(ISBLANK(A937)),VLOOKUP(A937,'BBT3'!A:F,4,1),"")</f>
        <v/>
      </c>
      <c r="E937" t="str">
        <f>IF(NOT(ISBLANK(A937)),VLOOKUP(A937,'BBT3'!A:F,5,0),"")</f>
        <v/>
      </c>
      <c r="F937" t="str">
        <f>IF(NOT(ISBLANK(A937)),VLOOKUP(A937,'BBT3'!A:F,6,0),"")</f>
        <v/>
      </c>
      <c r="G937" t="str">
        <f>IF(NOT(ISBLANK(A937)),VLOOKUP(A937,QW_Close!A:J,5,0),"")</f>
        <v/>
      </c>
      <c r="H937" s="5" t="str" cm="1">
        <f t="array" ref="H937">IF(NOT(ISBLANK(A937)),((_xlfn.XLOOKUP(1,(_bbt3[[#All],[ID]]=A937)*(_bbt3[[#All],[METRIC_NAME]]="YLD_YTM_ASK"),_bbt3[[#All],[METRIC_VALUE]])*0.5)+(_xlfn.XLOOKUP(1,(_bbt3[[#All],[ID]]=A937)*(_bbt3[[#All],[METRIC_NAME]]="YLD_YTM_BID"),_bbt3[[#All],[METRIC_VALUE]])*0.5))/100,"")</f>
        <v/>
      </c>
      <c r="I937">
        <f>IF(ISNA(VLOOKUP(A937,QW_CloseDL!A:E,5,0)),0,VLOOKUP(A937,QW_CloseDL!A:E,5,0))</f>
        <v>0</v>
      </c>
      <c r="J937" s="8" t="str">
        <f t="shared" si="70"/>
        <v/>
      </c>
      <c r="P937">
        <v>0</v>
      </c>
      <c r="Q937" t="e">
        <f t="shared" si="71"/>
        <v>#N/A</v>
      </c>
      <c r="R937" t="e">
        <f t="shared" si="72"/>
        <v>#N/A</v>
      </c>
      <c r="S937" s="9" t="e">
        <f t="shared" si="73"/>
        <v>#N/A</v>
      </c>
      <c r="T937" s="3" t="e">
        <f t="shared" si="74"/>
        <v>#N/A</v>
      </c>
    </row>
    <row r="938" spans="2:20" x14ac:dyDescent="0.35">
      <c r="B938" t="str">
        <f>IF(NOT(ISBLANK(A938)),VLOOKUP(A938,'BBT3'!A:F,2,0),"")</f>
        <v/>
      </c>
      <c r="C938" t="str">
        <f>IF(NOT(ISBLANK(A938)),VLOOKUP(A938,'BBT3'!A:F,3,0),"")</f>
        <v/>
      </c>
      <c r="D938" s="6" t="str">
        <f>IF(NOT(ISBLANK(A938)),VLOOKUP(A938,'BBT3'!A:F,4,1),"")</f>
        <v/>
      </c>
      <c r="E938" t="str">
        <f>IF(NOT(ISBLANK(A938)),VLOOKUP(A938,'BBT3'!A:F,5,0),"")</f>
        <v/>
      </c>
      <c r="F938" t="str">
        <f>IF(NOT(ISBLANK(A938)),VLOOKUP(A938,'BBT3'!A:F,6,0),"")</f>
        <v/>
      </c>
      <c r="G938" t="str">
        <f>IF(NOT(ISBLANK(A938)),VLOOKUP(A938,QW_Close!A:J,5,0),"")</f>
        <v/>
      </c>
      <c r="H938" s="5" t="str" cm="1">
        <f t="array" ref="H938">IF(NOT(ISBLANK(A938)),((_xlfn.XLOOKUP(1,(_bbt3[[#All],[ID]]=A938)*(_bbt3[[#All],[METRIC_NAME]]="YLD_YTM_ASK"),_bbt3[[#All],[METRIC_VALUE]])*0.5)+(_xlfn.XLOOKUP(1,(_bbt3[[#All],[ID]]=A938)*(_bbt3[[#All],[METRIC_NAME]]="YLD_YTM_BID"),_bbt3[[#All],[METRIC_VALUE]])*0.5))/100,"")</f>
        <v/>
      </c>
      <c r="I938">
        <f>IF(ISNA(VLOOKUP(A938,QW_CloseDL!A:E,5,0)),0,VLOOKUP(A938,QW_CloseDL!A:E,5,0))</f>
        <v>0</v>
      </c>
      <c r="J938" s="8" t="str">
        <f t="shared" si="70"/>
        <v/>
      </c>
      <c r="P938">
        <v>0</v>
      </c>
      <c r="Q938" t="e">
        <f t="shared" si="71"/>
        <v>#N/A</v>
      </c>
      <c r="R938" t="e">
        <f t="shared" si="72"/>
        <v>#N/A</v>
      </c>
      <c r="S938" s="9" t="e">
        <f t="shared" si="73"/>
        <v>#N/A</v>
      </c>
      <c r="T938" s="3" t="e">
        <f t="shared" si="74"/>
        <v>#N/A</v>
      </c>
    </row>
    <row r="939" spans="2:20" x14ac:dyDescent="0.35">
      <c r="B939" t="str">
        <f>IF(NOT(ISBLANK(A939)),VLOOKUP(A939,'BBT3'!A:F,2,0),"")</f>
        <v/>
      </c>
      <c r="C939" t="str">
        <f>IF(NOT(ISBLANK(A939)),VLOOKUP(A939,'BBT3'!A:F,3,0),"")</f>
        <v/>
      </c>
      <c r="D939" s="6" t="str">
        <f>IF(NOT(ISBLANK(A939)),VLOOKUP(A939,'BBT3'!A:F,4,1),"")</f>
        <v/>
      </c>
      <c r="E939" t="str">
        <f>IF(NOT(ISBLANK(A939)),VLOOKUP(A939,'BBT3'!A:F,5,0),"")</f>
        <v/>
      </c>
      <c r="F939" t="str">
        <f>IF(NOT(ISBLANK(A939)),VLOOKUP(A939,'BBT3'!A:F,6,0),"")</f>
        <v/>
      </c>
      <c r="G939" t="str">
        <f>IF(NOT(ISBLANK(A939)),VLOOKUP(A939,QW_Close!A:J,5,0),"")</f>
        <v/>
      </c>
      <c r="H939" s="5" t="str" cm="1">
        <f t="array" ref="H939">IF(NOT(ISBLANK(A939)),((_xlfn.XLOOKUP(1,(_bbt3[[#All],[ID]]=A939)*(_bbt3[[#All],[METRIC_NAME]]="YLD_YTM_ASK"),_bbt3[[#All],[METRIC_VALUE]])*0.5)+(_xlfn.XLOOKUP(1,(_bbt3[[#All],[ID]]=A939)*(_bbt3[[#All],[METRIC_NAME]]="YLD_YTM_BID"),_bbt3[[#All],[METRIC_VALUE]])*0.5))/100,"")</f>
        <v/>
      </c>
      <c r="I939">
        <f>IF(ISNA(VLOOKUP(A939,QW_CloseDL!A:E,5,0)),0,VLOOKUP(A939,QW_CloseDL!A:E,5,0))</f>
        <v>0</v>
      </c>
      <c r="J939" s="8" t="str">
        <f t="shared" si="70"/>
        <v/>
      </c>
      <c r="P939">
        <v>0</v>
      </c>
      <c r="Q939" t="e">
        <f t="shared" si="71"/>
        <v>#N/A</v>
      </c>
      <c r="R939" t="e">
        <f t="shared" si="72"/>
        <v>#N/A</v>
      </c>
      <c r="S939" s="9" t="e">
        <f t="shared" si="73"/>
        <v>#N/A</v>
      </c>
      <c r="T939" s="3" t="e">
        <f t="shared" si="74"/>
        <v>#N/A</v>
      </c>
    </row>
    <row r="940" spans="2:20" x14ac:dyDescent="0.35">
      <c r="B940" t="str">
        <f>IF(NOT(ISBLANK(A940)),VLOOKUP(A940,'BBT3'!A:F,2,0),"")</f>
        <v/>
      </c>
      <c r="C940" t="str">
        <f>IF(NOT(ISBLANK(A940)),VLOOKUP(A940,'BBT3'!A:F,3,0),"")</f>
        <v/>
      </c>
      <c r="D940" s="6" t="str">
        <f>IF(NOT(ISBLANK(A940)),VLOOKUP(A940,'BBT3'!A:F,4,1),"")</f>
        <v/>
      </c>
      <c r="E940" t="str">
        <f>IF(NOT(ISBLANK(A940)),VLOOKUP(A940,'BBT3'!A:F,5,0),"")</f>
        <v/>
      </c>
      <c r="F940" t="str">
        <f>IF(NOT(ISBLANK(A940)),VLOOKUP(A940,'BBT3'!A:F,6,0),"")</f>
        <v/>
      </c>
      <c r="G940" t="str">
        <f>IF(NOT(ISBLANK(A940)),VLOOKUP(A940,QW_Close!A:J,5,0),"")</f>
        <v/>
      </c>
      <c r="H940" s="5" t="str" cm="1">
        <f t="array" ref="H940">IF(NOT(ISBLANK(A940)),((_xlfn.XLOOKUP(1,(_bbt3[[#All],[ID]]=A940)*(_bbt3[[#All],[METRIC_NAME]]="YLD_YTM_ASK"),_bbt3[[#All],[METRIC_VALUE]])*0.5)+(_xlfn.XLOOKUP(1,(_bbt3[[#All],[ID]]=A940)*(_bbt3[[#All],[METRIC_NAME]]="YLD_YTM_BID"),_bbt3[[#All],[METRIC_VALUE]])*0.5))/100,"")</f>
        <v/>
      </c>
      <c r="I940">
        <f>IF(ISNA(VLOOKUP(A940,QW_CloseDL!A:E,5,0)),0,VLOOKUP(A940,QW_CloseDL!A:E,5,0))</f>
        <v>0</v>
      </c>
      <c r="J940" s="8" t="str">
        <f t="shared" si="70"/>
        <v/>
      </c>
      <c r="P940">
        <v>0</v>
      </c>
      <c r="Q940" t="e">
        <f t="shared" si="71"/>
        <v>#N/A</v>
      </c>
      <c r="R940" t="e">
        <f t="shared" si="72"/>
        <v>#N/A</v>
      </c>
      <c r="S940" s="9" t="e">
        <f t="shared" si="73"/>
        <v>#N/A</v>
      </c>
      <c r="T940" s="3" t="e">
        <f t="shared" si="74"/>
        <v>#N/A</v>
      </c>
    </row>
    <row r="941" spans="2:20" x14ac:dyDescent="0.35">
      <c r="B941" t="str">
        <f>IF(NOT(ISBLANK(A941)),VLOOKUP(A941,'BBT3'!A:F,2,0),"")</f>
        <v/>
      </c>
      <c r="C941" t="str">
        <f>IF(NOT(ISBLANK(A941)),VLOOKUP(A941,'BBT3'!A:F,3,0),"")</f>
        <v/>
      </c>
      <c r="D941" s="6" t="str">
        <f>IF(NOT(ISBLANK(A941)),VLOOKUP(A941,'BBT3'!A:F,4,1),"")</f>
        <v/>
      </c>
      <c r="E941" t="str">
        <f>IF(NOT(ISBLANK(A941)),VLOOKUP(A941,'BBT3'!A:F,5,0),"")</f>
        <v/>
      </c>
      <c r="F941" t="str">
        <f>IF(NOT(ISBLANK(A941)),VLOOKUP(A941,'BBT3'!A:F,6,0),"")</f>
        <v/>
      </c>
      <c r="G941" t="str">
        <f>IF(NOT(ISBLANK(A941)),VLOOKUP(A941,QW_Close!A:J,5,0),"")</f>
        <v/>
      </c>
      <c r="H941" s="5" t="str" cm="1">
        <f t="array" ref="H941">IF(NOT(ISBLANK(A941)),((_xlfn.XLOOKUP(1,(_bbt3[[#All],[ID]]=A941)*(_bbt3[[#All],[METRIC_NAME]]="YLD_YTM_ASK"),_bbt3[[#All],[METRIC_VALUE]])*0.5)+(_xlfn.XLOOKUP(1,(_bbt3[[#All],[ID]]=A941)*(_bbt3[[#All],[METRIC_NAME]]="YLD_YTM_BID"),_bbt3[[#All],[METRIC_VALUE]])*0.5))/100,"")</f>
        <v/>
      </c>
      <c r="I941">
        <f>IF(ISNA(VLOOKUP(A941,QW_CloseDL!A:E,5,0)),0,VLOOKUP(A941,QW_CloseDL!A:E,5,0))</f>
        <v>0</v>
      </c>
      <c r="J941" s="8" t="str">
        <f t="shared" si="70"/>
        <v/>
      </c>
      <c r="P941">
        <v>0</v>
      </c>
      <c r="Q941" t="e">
        <f t="shared" si="71"/>
        <v>#N/A</v>
      </c>
      <c r="R941" t="e">
        <f t="shared" si="72"/>
        <v>#N/A</v>
      </c>
      <c r="S941" s="9" t="e">
        <f t="shared" si="73"/>
        <v>#N/A</v>
      </c>
      <c r="T941" s="3" t="e">
        <f t="shared" si="74"/>
        <v>#N/A</v>
      </c>
    </row>
    <row r="942" spans="2:20" x14ac:dyDescent="0.35">
      <c r="B942" t="str">
        <f>IF(NOT(ISBLANK(A942)),VLOOKUP(A942,'BBT3'!A:F,2,0),"")</f>
        <v/>
      </c>
      <c r="C942" t="str">
        <f>IF(NOT(ISBLANK(A942)),VLOOKUP(A942,'BBT3'!A:F,3,0),"")</f>
        <v/>
      </c>
      <c r="D942" s="6" t="str">
        <f>IF(NOT(ISBLANK(A942)),VLOOKUP(A942,'BBT3'!A:F,4,1),"")</f>
        <v/>
      </c>
      <c r="E942" t="str">
        <f>IF(NOT(ISBLANK(A942)),VLOOKUP(A942,'BBT3'!A:F,5,0),"")</f>
        <v/>
      </c>
      <c r="F942" t="str">
        <f>IF(NOT(ISBLANK(A942)),VLOOKUP(A942,'BBT3'!A:F,6,0),"")</f>
        <v/>
      </c>
      <c r="G942" t="str">
        <f>IF(NOT(ISBLANK(A942)),VLOOKUP(A942,QW_Close!A:J,5,0),"")</f>
        <v/>
      </c>
      <c r="H942" s="5" t="str" cm="1">
        <f t="array" ref="H942">IF(NOT(ISBLANK(A942)),((_xlfn.XLOOKUP(1,(_bbt3[[#All],[ID]]=A942)*(_bbt3[[#All],[METRIC_NAME]]="YLD_YTM_ASK"),_bbt3[[#All],[METRIC_VALUE]])*0.5)+(_xlfn.XLOOKUP(1,(_bbt3[[#All],[ID]]=A942)*(_bbt3[[#All],[METRIC_NAME]]="YLD_YTM_BID"),_bbt3[[#All],[METRIC_VALUE]])*0.5))/100,"")</f>
        <v/>
      </c>
      <c r="I942">
        <f>IF(ISNA(VLOOKUP(A942,QW_CloseDL!A:E,5,0)),0,VLOOKUP(A942,QW_CloseDL!A:E,5,0))</f>
        <v>0</v>
      </c>
      <c r="J942" s="8" t="str">
        <f t="shared" si="70"/>
        <v/>
      </c>
      <c r="P942">
        <v>0</v>
      </c>
      <c r="Q942" t="e">
        <f t="shared" si="71"/>
        <v>#N/A</v>
      </c>
      <c r="R942" t="e">
        <f t="shared" si="72"/>
        <v>#N/A</v>
      </c>
      <c r="S942" s="9" t="e">
        <f t="shared" si="73"/>
        <v>#N/A</v>
      </c>
      <c r="T942" s="3" t="e">
        <f t="shared" si="74"/>
        <v>#N/A</v>
      </c>
    </row>
    <row r="943" spans="2:20" x14ac:dyDescent="0.35">
      <c r="B943" t="str">
        <f>IF(NOT(ISBLANK(A943)),VLOOKUP(A943,'BBT3'!A:F,2,0),"")</f>
        <v/>
      </c>
      <c r="C943" t="str">
        <f>IF(NOT(ISBLANK(A943)),VLOOKUP(A943,'BBT3'!A:F,3,0),"")</f>
        <v/>
      </c>
      <c r="D943" s="6" t="str">
        <f>IF(NOT(ISBLANK(A943)),VLOOKUP(A943,'BBT3'!A:F,4,1),"")</f>
        <v/>
      </c>
      <c r="E943" t="str">
        <f>IF(NOT(ISBLANK(A943)),VLOOKUP(A943,'BBT3'!A:F,5,0),"")</f>
        <v/>
      </c>
      <c r="F943" t="str">
        <f>IF(NOT(ISBLANK(A943)),VLOOKUP(A943,'BBT3'!A:F,6,0),"")</f>
        <v/>
      </c>
      <c r="G943" t="str">
        <f>IF(NOT(ISBLANK(A943)),VLOOKUP(A943,QW_Close!A:J,5,0),"")</f>
        <v/>
      </c>
      <c r="H943" s="5" t="str" cm="1">
        <f t="array" ref="H943">IF(NOT(ISBLANK(A943)),((_xlfn.XLOOKUP(1,(_bbt3[[#All],[ID]]=A943)*(_bbt3[[#All],[METRIC_NAME]]="YLD_YTM_ASK"),_bbt3[[#All],[METRIC_VALUE]])*0.5)+(_xlfn.XLOOKUP(1,(_bbt3[[#All],[ID]]=A943)*(_bbt3[[#All],[METRIC_NAME]]="YLD_YTM_BID"),_bbt3[[#All],[METRIC_VALUE]])*0.5))/100,"")</f>
        <v/>
      </c>
      <c r="I943">
        <f>IF(ISNA(VLOOKUP(A943,QW_CloseDL!A:E,5,0)),0,VLOOKUP(A943,QW_CloseDL!A:E,5,0))</f>
        <v>0</v>
      </c>
      <c r="J943" s="8" t="str">
        <f t="shared" si="70"/>
        <v/>
      </c>
      <c r="P943">
        <v>0</v>
      </c>
      <c r="Q943" t="e">
        <f t="shared" si="71"/>
        <v>#N/A</v>
      </c>
      <c r="R943" t="e">
        <f t="shared" si="72"/>
        <v>#N/A</v>
      </c>
      <c r="S943" s="9" t="e">
        <f t="shared" si="73"/>
        <v>#N/A</v>
      </c>
      <c r="T943" s="3" t="e">
        <f t="shared" si="74"/>
        <v>#N/A</v>
      </c>
    </row>
    <row r="944" spans="2:20" x14ac:dyDescent="0.35">
      <c r="B944" t="str">
        <f>IF(NOT(ISBLANK(A944)),VLOOKUP(A944,'BBT3'!A:F,2,0),"")</f>
        <v/>
      </c>
      <c r="C944" t="str">
        <f>IF(NOT(ISBLANK(A944)),VLOOKUP(A944,'BBT3'!A:F,3,0),"")</f>
        <v/>
      </c>
      <c r="D944" s="6" t="str">
        <f>IF(NOT(ISBLANK(A944)),VLOOKUP(A944,'BBT3'!A:F,4,1),"")</f>
        <v/>
      </c>
      <c r="E944" t="str">
        <f>IF(NOT(ISBLANK(A944)),VLOOKUP(A944,'BBT3'!A:F,5,0),"")</f>
        <v/>
      </c>
      <c r="F944" t="str">
        <f>IF(NOT(ISBLANK(A944)),VLOOKUP(A944,'BBT3'!A:F,6,0),"")</f>
        <v/>
      </c>
      <c r="G944" t="str">
        <f>IF(NOT(ISBLANK(A944)),VLOOKUP(A944,QW_Close!A:J,5,0),"")</f>
        <v/>
      </c>
      <c r="H944" s="5" t="str" cm="1">
        <f t="array" ref="H944">IF(NOT(ISBLANK(A944)),((_xlfn.XLOOKUP(1,(_bbt3[[#All],[ID]]=A944)*(_bbt3[[#All],[METRIC_NAME]]="YLD_YTM_ASK"),_bbt3[[#All],[METRIC_VALUE]])*0.5)+(_xlfn.XLOOKUP(1,(_bbt3[[#All],[ID]]=A944)*(_bbt3[[#All],[METRIC_NAME]]="YLD_YTM_BID"),_bbt3[[#All],[METRIC_VALUE]])*0.5))/100,"")</f>
        <v/>
      </c>
      <c r="I944">
        <f>IF(ISNA(VLOOKUP(A944,QW_CloseDL!A:E,5,0)),0,VLOOKUP(A944,QW_CloseDL!A:E,5,0))</f>
        <v>0</v>
      </c>
      <c r="J944" s="8" t="str">
        <f t="shared" si="70"/>
        <v/>
      </c>
      <c r="P944">
        <v>0</v>
      </c>
      <c r="Q944" t="e">
        <f t="shared" si="71"/>
        <v>#N/A</v>
      </c>
      <c r="R944" t="e">
        <f t="shared" si="72"/>
        <v>#N/A</v>
      </c>
      <c r="S944" s="9" t="e">
        <f t="shared" si="73"/>
        <v>#N/A</v>
      </c>
      <c r="T944" s="3" t="e">
        <f t="shared" si="74"/>
        <v>#N/A</v>
      </c>
    </row>
    <row r="945" spans="2:20" x14ac:dyDescent="0.35">
      <c r="B945" t="str">
        <f>IF(NOT(ISBLANK(A945)),VLOOKUP(A945,'BBT3'!A:F,2,0),"")</f>
        <v/>
      </c>
      <c r="C945" t="str">
        <f>IF(NOT(ISBLANK(A945)),VLOOKUP(A945,'BBT3'!A:F,3,0),"")</f>
        <v/>
      </c>
      <c r="D945" s="6" t="str">
        <f>IF(NOT(ISBLANK(A945)),VLOOKUP(A945,'BBT3'!A:F,4,1),"")</f>
        <v/>
      </c>
      <c r="E945" t="str">
        <f>IF(NOT(ISBLANK(A945)),VLOOKUP(A945,'BBT3'!A:F,5,0),"")</f>
        <v/>
      </c>
      <c r="F945" t="str">
        <f>IF(NOT(ISBLANK(A945)),VLOOKUP(A945,'BBT3'!A:F,6,0),"")</f>
        <v/>
      </c>
      <c r="G945" t="str">
        <f>IF(NOT(ISBLANK(A945)),VLOOKUP(A945,QW_Close!A:J,5,0),"")</f>
        <v/>
      </c>
      <c r="H945" s="5" t="str" cm="1">
        <f t="array" ref="H945">IF(NOT(ISBLANK(A945)),((_xlfn.XLOOKUP(1,(_bbt3[[#All],[ID]]=A945)*(_bbt3[[#All],[METRIC_NAME]]="YLD_YTM_ASK"),_bbt3[[#All],[METRIC_VALUE]])*0.5)+(_xlfn.XLOOKUP(1,(_bbt3[[#All],[ID]]=A945)*(_bbt3[[#All],[METRIC_NAME]]="YLD_YTM_BID"),_bbt3[[#All],[METRIC_VALUE]])*0.5))/100,"")</f>
        <v/>
      </c>
      <c r="I945">
        <f>IF(ISNA(VLOOKUP(A945,QW_CloseDL!A:E,5,0)),0,VLOOKUP(A945,QW_CloseDL!A:E,5,0))</f>
        <v>0</v>
      </c>
      <c r="J945" s="8" t="str">
        <f t="shared" si="70"/>
        <v/>
      </c>
      <c r="P945">
        <v>0</v>
      </c>
      <c r="Q945" t="e">
        <f t="shared" si="71"/>
        <v>#N/A</v>
      </c>
      <c r="R945" t="e">
        <f t="shared" si="72"/>
        <v>#N/A</v>
      </c>
      <c r="S945" s="9" t="e">
        <f t="shared" si="73"/>
        <v>#N/A</v>
      </c>
      <c r="T945" s="3" t="e">
        <f t="shared" si="74"/>
        <v>#N/A</v>
      </c>
    </row>
    <row r="946" spans="2:20" x14ac:dyDescent="0.35">
      <c r="B946" t="str">
        <f>IF(NOT(ISBLANK(A946)),VLOOKUP(A946,'BBT3'!A:F,2,0),"")</f>
        <v/>
      </c>
      <c r="C946" t="str">
        <f>IF(NOT(ISBLANK(A946)),VLOOKUP(A946,'BBT3'!A:F,3,0),"")</f>
        <v/>
      </c>
      <c r="D946" s="6" t="str">
        <f>IF(NOT(ISBLANK(A946)),VLOOKUP(A946,'BBT3'!A:F,4,1),"")</f>
        <v/>
      </c>
      <c r="E946" t="str">
        <f>IF(NOT(ISBLANK(A946)),VLOOKUP(A946,'BBT3'!A:F,5,0),"")</f>
        <v/>
      </c>
      <c r="F946" t="str">
        <f>IF(NOT(ISBLANK(A946)),VLOOKUP(A946,'BBT3'!A:F,6,0),"")</f>
        <v/>
      </c>
      <c r="G946" t="str">
        <f>IF(NOT(ISBLANK(A946)),VLOOKUP(A946,QW_Close!A:J,5,0),"")</f>
        <v/>
      </c>
      <c r="H946" s="5" t="str" cm="1">
        <f t="array" ref="H946">IF(NOT(ISBLANK(A946)),((_xlfn.XLOOKUP(1,(_bbt3[[#All],[ID]]=A946)*(_bbt3[[#All],[METRIC_NAME]]="YLD_YTM_ASK"),_bbt3[[#All],[METRIC_VALUE]])*0.5)+(_xlfn.XLOOKUP(1,(_bbt3[[#All],[ID]]=A946)*(_bbt3[[#All],[METRIC_NAME]]="YLD_YTM_BID"),_bbt3[[#All],[METRIC_VALUE]])*0.5))/100,"")</f>
        <v/>
      </c>
      <c r="I946">
        <f>IF(ISNA(VLOOKUP(A946,QW_CloseDL!A:E,5,0)),0,VLOOKUP(A946,QW_CloseDL!A:E,5,0))</f>
        <v>0</v>
      </c>
      <c r="J946" s="8" t="str">
        <f t="shared" si="70"/>
        <v/>
      </c>
      <c r="P946">
        <v>0</v>
      </c>
      <c r="Q946" t="e">
        <f t="shared" si="71"/>
        <v>#N/A</v>
      </c>
      <c r="R946" t="e">
        <f t="shared" si="72"/>
        <v>#N/A</v>
      </c>
      <c r="S946" s="9" t="e">
        <f t="shared" si="73"/>
        <v>#N/A</v>
      </c>
      <c r="T946" s="3" t="e">
        <f t="shared" si="74"/>
        <v>#N/A</v>
      </c>
    </row>
    <row r="947" spans="2:20" x14ac:dyDescent="0.35">
      <c r="B947" t="str">
        <f>IF(NOT(ISBLANK(A947)),VLOOKUP(A947,'BBT3'!A:F,2,0),"")</f>
        <v/>
      </c>
      <c r="C947" t="str">
        <f>IF(NOT(ISBLANK(A947)),VLOOKUP(A947,'BBT3'!A:F,3,0),"")</f>
        <v/>
      </c>
      <c r="D947" s="6" t="str">
        <f>IF(NOT(ISBLANK(A947)),VLOOKUP(A947,'BBT3'!A:F,4,1),"")</f>
        <v/>
      </c>
      <c r="E947" t="str">
        <f>IF(NOT(ISBLANK(A947)),VLOOKUP(A947,'BBT3'!A:F,5,0),"")</f>
        <v/>
      </c>
      <c r="F947" t="str">
        <f>IF(NOT(ISBLANK(A947)),VLOOKUP(A947,'BBT3'!A:F,6,0),"")</f>
        <v/>
      </c>
      <c r="G947" t="str">
        <f>IF(NOT(ISBLANK(A947)),VLOOKUP(A947,QW_Close!A:J,5,0),"")</f>
        <v/>
      </c>
      <c r="H947" s="5" t="str" cm="1">
        <f t="array" ref="H947">IF(NOT(ISBLANK(A947)),((_xlfn.XLOOKUP(1,(_bbt3[[#All],[ID]]=A947)*(_bbt3[[#All],[METRIC_NAME]]="YLD_YTM_ASK"),_bbt3[[#All],[METRIC_VALUE]])*0.5)+(_xlfn.XLOOKUP(1,(_bbt3[[#All],[ID]]=A947)*(_bbt3[[#All],[METRIC_NAME]]="YLD_YTM_BID"),_bbt3[[#All],[METRIC_VALUE]])*0.5))/100,"")</f>
        <v/>
      </c>
      <c r="I947">
        <f>IF(ISNA(VLOOKUP(A947,QW_CloseDL!A:E,5,0)),0,VLOOKUP(A947,QW_CloseDL!A:E,5,0))</f>
        <v>0</v>
      </c>
      <c r="J947" s="8" t="str">
        <f t="shared" si="70"/>
        <v/>
      </c>
      <c r="P947">
        <v>0</v>
      </c>
      <c r="Q947" t="e">
        <f t="shared" si="71"/>
        <v>#N/A</v>
      </c>
      <c r="R947" t="e">
        <f t="shared" si="72"/>
        <v>#N/A</v>
      </c>
      <c r="S947" s="9" t="e">
        <f t="shared" si="73"/>
        <v>#N/A</v>
      </c>
      <c r="T947" s="3" t="e">
        <f t="shared" si="74"/>
        <v>#N/A</v>
      </c>
    </row>
    <row r="948" spans="2:20" x14ac:dyDescent="0.35">
      <c r="B948" t="str">
        <f>IF(NOT(ISBLANK(A948)),VLOOKUP(A948,'BBT3'!A:F,2,0),"")</f>
        <v/>
      </c>
      <c r="C948" t="str">
        <f>IF(NOT(ISBLANK(A948)),VLOOKUP(A948,'BBT3'!A:F,3,0),"")</f>
        <v/>
      </c>
      <c r="D948" s="6" t="str">
        <f>IF(NOT(ISBLANK(A948)),VLOOKUP(A948,'BBT3'!A:F,4,1),"")</f>
        <v/>
      </c>
      <c r="E948" t="str">
        <f>IF(NOT(ISBLANK(A948)),VLOOKUP(A948,'BBT3'!A:F,5,0),"")</f>
        <v/>
      </c>
      <c r="F948" t="str">
        <f>IF(NOT(ISBLANK(A948)),VLOOKUP(A948,'BBT3'!A:F,6,0),"")</f>
        <v/>
      </c>
      <c r="G948" t="str">
        <f>IF(NOT(ISBLANK(A948)),VLOOKUP(A948,QW_Close!A:J,5,0),"")</f>
        <v/>
      </c>
      <c r="H948" s="5" t="str" cm="1">
        <f t="array" ref="H948">IF(NOT(ISBLANK(A948)),((_xlfn.XLOOKUP(1,(_bbt3[[#All],[ID]]=A948)*(_bbt3[[#All],[METRIC_NAME]]="YLD_YTM_ASK"),_bbt3[[#All],[METRIC_VALUE]])*0.5)+(_xlfn.XLOOKUP(1,(_bbt3[[#All],[ID]]=A948)*(_bbt3[[#All],[METRIC_NAME]]="YLD_YTM_BID"),_bbt3[[#All],[METRIC_VALUE]])*0.5))/100,"")</f>
        <v/>
      </c>
      <c r="I948">
        <f>IF(ISNA(VLOOKUP(A948,QW_CloseDL!A:E,5,0)),0,VLOOKUP(A948,QW_CloseDL!A:E,5,0))</f>
        <v>0</v>
      </c>
      <c r="J948" s="8" t="str">
        <f t="shared" si="70"/>
        <v/>
      </c>
      <c r="P948">
        <v>0</v>
      </c>
      <c r="Q948" t="e">
        <f t="shared" si="71"/>
        <v>#N/A</v>
      </c>
      <c r="R948" t="e">
        <f t="shared" si="72"/>
        <v>#N/A</v>
      </c>
      <c r="S948" s="9" t="e">
        <f t="shared" si="73"/>
        <v>#N/A</v>
      </c>
      <c r="T948" s="3" t="e">
        <f t="shared" si="74"/>
        <v>#N/A</v>
      </c>
    </row>
    <row r="949" spans="2:20" x14ac:dyDescent="0.35">
      <c r="B949" t="str">
        <f>IF(NOT(ISBLANK(A949)),VLOOKUP(A949,'BBT3'!A:F,2,0),"")</f>
        <v/>
      </c>
      <c r="C949" t="str">
        <f>IF(NOT(ISBLANK(A949)),VLOOKUP(A949,'BBT3'!A:F,3,0),"")</f>
        <v/>
      </c>
      <c r="D949" s="6" t="str">
        <f>IF(NOT(ISBLANK(A949)),VLOOKUP(A949,'BBT3'!A:F,4,1),"")</f>
        <v/>
      </c>
      <c r="E949" t="str">
        <f>IF(NOT(ISBLANK(A949)),VLOOKUP(A949,'BBT3'!A:F,5,0),"")</f>
        <v/>
      </c>
      <c r="F949" t="str">
        <f>IF(NOT(ISBLANK(A949)),VLOOKUP(A949,'BBT3'!A:F,6,0),"")</f>
        <v/>
      </c>
      <c r="G949" t="str">
        <f>IF(NOT(ISBLANK(A949)),VLOOKUP(A949,QW_Close!A:J,5,0),"")</f>
        <v/>
      </c>
      <c r="H949" s="5" t="str" cm="1">
        <f t="array" ref="H949">IF(NOT(ISBLANK(A949)),((_xlfn.XLOOKUP(1,(_bbt3[[#All],[ID]]=A949)*(_bbt3[[#All],[METRIC_NAME]]="YLD_YTM_ASK"),_bbt3[[#All],[METRIC_VALUE]])*0.5)+(_xlfn.XLOOKUP(1,(_bbt3[[#All],[ID]]=A949)*(_bbt3[[#All],[METRIC_NAME]]="YLD_YTM_BID"),_bbt3[[#All],[METRIC_VALUE]])*0.5))/100,"")</f>
        <v/>
      </c>
      <c r="I949">
        <f>IF(ISNA(VLOOKUP(A949,QW_CloseDL!A:E,5,0)),0,VLOOKUP(A949,QW_CloseDL!A:E,5,0))</f>
        <v>0</v>
      </c>
      <c r="J949" s="8" t="str">
        <f t="shared" si="70"/>
        <v/>
      </c>
      <c r="P949">
        <v>0</v>
      </c>
      <c r="Q949" t="e">
        <f t="shared" si="71"/>
        <v>#N/A</v>
      </c>
      <c r="R949" t="e">
        <f t="shared" si="72"/>
        <v>#N/A</v>
      </c>
      <c r="S949" s="9" t="e">
        <f t="shared" si="73"/>
        <v>#N/A</v>
      </c>
      <c r="T949" s="3" t="e">
        <f t="shared" si="74"/>
        <v>#N/A</v>
      </c>
    </row>
    <row r="950" spans="2:20" x14ac:dyDescent="0.35">
      <c r="B950" t="str">
        <f>IF(NOT(ISBLANK(A950)),VLOOKUP(A950,'BBT3'!A:F,2,0),"")</f>
        <v/>
      </c>
      <c r="C950" t="str">
        <f>IF(NOT(ISBLANK(A950)),VLOOKUP(A950,'BBT3'!A:F,3,0),"")</f>
        <v/>
      </c>
      <c r="D950" s="6" t="str">
        <f>IF(NOT(ISBLANK(A950)),VLOOKUP(A950,'BBT3'!A:F,4,1),"")</f>
        <v/>
      </c>
      <c r="E950" t="str">
        <f>IF(NOT(ISBLANK(A950)),VLOOKUP(A950,'BBT3'!A:F,5,0),"")</f>
        <v/>
      </c>
      <c r="F950" t="str">
        <f>IF(NOT(ISBLANK(A950)),VLOOKUP(A950,'BBT3'!A:F,6,0),"")</f>
        <v/>
      </c>
      <c r="G950" t="str">
        <f>IF(NOT(ISBLANK(A950)),VLOOKUP(A950,QW_Close!A:J,5,0),"")</f>
        <v/>
      </c>
      <c r="H950" s="5" t="str" cm="1">
        <f t="array" ref="H950">IF(NOT(ISBLANK(A950)),((_xlfn.XLOOKUP(1,(_bbt3[[#All],[ID]]=A950)*(_bbt3[[#All],[METRIC_NAME]]="YLD_YTM_ASK"),_bbt3[[#All],[METRIC_VALUE]])*0.5)+(_xlfn.XLOOKUP(1,(_bbt3[[#All],[ID]]=A950)*(_bbt3[[#All],[METRIC_NAME]]="YLD_YTM_BID"),_bbt3[[#All],[METRIC_VALUE]])*0.5))/100,"")</f>
        <v/>
      </c>
      <c r="I950">
        <f>IF(ISNA(VLOOKUP(A950,QW_CloseDL!A:E,5,0)),0,VLOOKUP(A950,QW_CloseDL!A:E,5,0))</f>
        <v>0</v>
      </c>
      <c r="J950" s="8" t="str">
        <f t="shared" si="70"/>
        <v/>
      </c>
      <c r="P950">
        <v>0</v>
      </c>
      <c r="Q950" t="e">
        <f t="shared" si="71"/>
        <v>#N/A</v>
      </c>
      <c r="R950" t="e">
        <f t="shared" si="72"/>
        <v>#N/A</v>
      </c>
      <c r="S950" s="9" t="e">
        <f t="shared" si="73"/>
        <v>#N/A</v>
      </c>
      <c r="T950" s="3" t="e">
        <f t="shared" si="74"/>
        <v>#N/A</v>
      </c>
    </row>
    <row r="951" spans="2:20" x14ac:dyDescent="0.35">
      <c r="B951" t="str">
        <f>IF(NOT(ISBLANK(A951)),VLOOKUP(A951,'BBT3'!A:F,2,0),"")</f>
        <v/>
      </c>
      <c r="C951" t="str">
        <f>IF(NOT(ISBLANK(A951)),VLOOKUP(A951,'BBT3'!A:F,3,0),"")</f>
        <v/>
      </c>
      <c r="D951" s="6" t="str">
        <f>IF(NOT(ISBLANK(A951)),VLOOKUP(A951,'BBT3'!A:F,4,1),"")</f>
        <v/>
      </c>
      <c r="E951" t="str">
        <f>IF(NOT(ISBLANK(A951)),VLOOKUP(A951,'BBT3'!A:F,5,0),"")</f>
        <v/>
      </c>
      <c r="F951" t="str">
        <f>IF(NOT(ISBLANK(A951)),VLOOKUP(A951,'BBT3'!A:F,6,0),"")</f>
        <v/>
      </c>
      <c r="G951" t="str">
        <f>IF(NOT(ISBLANK(A951)),VLOOKUP(A951,QW_Close!A:J,5,0),"")</f>
        <v/>
      </c>
      <c r="H951" s="5" t="str" cm="1">
        <f t="array" ref="H951">IF(NOT(ISBLANK(A951)),((_xlfn.XLOOKUP(1,(_bbt3[[#All],[ID]]=A951)*(_bbt3[[#All],[METRIC_NAME]]="YLD_YTM_ASK"),_bbt3[[#All],[METRIC_VALUE]])*0.5)+(_xlfn.XLOOKUP(1,(_bbt3[[#All],[ID]]=A951)*(_bbt3[[#All],[METRIC_NAME]]="YLD_YTM_BID"),_bbt3[[#All],[METRIC_VALUE]])*0.5))/100,"")</f>
        <v/>
      </c>
      <c r="I951">
        <f>IF(ISNA(VLOOKUP(A951,QW_CloseDL!A:E,5,0)),0,VLOOKUP(A951,QW_CloseDL!A:E,5,0))</f>
        <v>0</v>
      </c>
      <c r="J951" s="8" t="str">
        <f t="shared" si="70"/>
        <v/>
      </c>
      <c r="P951">
        <v>0</v>
      </c>
      <c r="Q951" t="e">
        <f t="shared" si="71"/>
        <v>#N/A</v>
      </c>
      <c r="R951" t="e">
        <f t="shared" si="72"/>
        <v>#N/A</v>
      </c>
      <c r="S951" s="9" t="e">
        <f t="shared" si="73"/>
        <v>#N/A</v>
      </c>
      <c r="T951" s="3" t="e">
        <f t="shared" si="74"/>
        <v>#N/A</v>
      </c>
    </row>
    <row r="952" spans="2:20" x14ac:dyDescent="0.35">
      <c r="B952" t="str">
        <f>IF(NOT(ISBLANK(A952)),VLOOKUP(A952,'BBT3'!A:F,2,0),"")</f>
        <v/>
      </c>
      <c r="C952" t="str">
        <f>IF(NOT(ISBLANK(A952)),VLOOKUP(A952,'BBT3'!A:F,3,0),"")</f>
        <v/>
      </c>
      <c r="D952" s="6" t="str">
        <f>IF(NOT(ISBLANK(A952)),VLOOKUP(A952,'BBT3'!A:F,4,1),"")</f>
        <v/>
      </c>
      <c r="E952" t="str">
        <f>IF(NOT(ISBLANK(A952)),VLOOKUP(A952,'BBT3'!A:F,5,0),"")</f>
        <v/>
      </c>
      <c r="F952" t="str">
        <f>IF(NOT(ISBLANK(A952)),VLOOKUP(A952,'BBT3'!A:F,6,0),"")</f>
        <v/>
      </c>
      <c r="G952" t="str">
        <f>IF(NOT(ISBLANK(A952)),VLOOKUP(A952,QW_Close!A:J,5,0),"")</f>
        <v/>
      </c>
      <c r="H952" s="5" t="str" cm="1">
        <f t="array" ref="H952">IF(NOT(ISBLANK(A952)),((_xlfn.XLOOKUP(1,(_bbt3[[#All],[ID]]=A952)*(_bbt3[[#All],[METRIC_NAME]]="YLD_YTM_ASK"),_bbt3[[#All],[METRIC_VALUE]])*0.5)+(_xlfn.XLOOKUP(1,(_bbt3[[#All],[ID]]=A952)*(_bbt3[[#All],[METRIC_NAME]]="YLD_YTM_BID"),_bbt3[[#All],[METRIC_VALUE]])*0.5))/100,"")</f>
        <v/>
      </c>
      <c r="I952">
        <f>IF(ISNA(VLOOKUP(A952,QW_CloseDL!A:E,5,0)),0,VLOOKUP(A952,QW_CloseDL!A:E,5,0))</f>
        <v>0</v>
      </c>
      <c r="J952" s="8" t="str">
        <f t="shared" si="70"/>
        <v/>
      </c>
      <c r="P952">
        <v>0</v>
      </c>
      <c r="Q952" t="e">
        <f t="shared" si="71"/>
        <v>#N/A</v>
      </c>
      <c r="R952" t="e">
        <f t="shared" si="72"/>
        <v>#N/A</v>
      </c>
      <c r="S952" s="9" t="e">
        <f t="shared" si="73"/>
        <v>#N/A</v>
      </c>
      <c r="T952" s="3" t="e">
        <f t="shared" si="74"/>
        <v>#N/A</v>
      </c>
    </row>
    <row r="953" spans="2:20" x14ac:dyDescent="0.35">
      <c r="B953" t="str">
        <f>IF(NOT(ISBLANK(A953)),VLOOKUP(A953,'BBT3'!A:F,2,0),"")</f>
        <v/>
      </c>
      <c r="C953" t="str">
        <f>IF(NOT(ISBLANK(A953)),VLOOKUP(A953,'BBT3'!A:F,3,0),"")</f>
        <v/>
      </c>
      <c r="D953" s="6" t="str">
        <f>IF(NOT(ISBLANK(A953)),VLOOKUP(A953,'BBT3'!A:F,4,1),"")</f>
        <v/>
      </c>
      <c r="E953" t="str">
        <f>IF(NOT(ISBLANK(A953)),VLOOKUP(A953,'BBT3'!A:F,5,0),"")</f>
        <v/>
      </c>
      <c r="F953" t="str">
        <f>IF(NOT(ISBLANK(A953)),VLOOKUP(A953,'BBT3'!A:F,6,0),"")</f>
        <v/>
      </c>
      <c r="G953" t="str">
        <f>IF(NOT(ISBLANK(A953)),VLOOKUP(A953,QW_Close!A:J,5,0),"")</f>
        <v/>
      </c>
      <c r="H953" s="5" t="str" cm="1">
        <f t="array" ref="H953">IF(NOT(ISBLANK(A953)),((_xlfn.XLOOKUP(1,(_bbt3[[#All],[ID]]=A953)*(_bbt3[[#All],[METRIC_NAME]]="YLD_YTM_ASK"),_bbt3[[#All],[METRIC_VALUE]])*0.5)+(_xlfn.XLOOKUP(1,(_bbt3[[#All],[ID]]=A953)*(_bbt3[[#All],[METRIC_NAME]]="YLD_YTM_BID"),_bbt3[[#All],[METRIC_VALUE]])*0.5))/100,"")</f>
        <v/>
      </c>
      <c r="I953">
        <f>IF(ISNA(VLOOKUP(A953,QW_CloseDL!A:E,5,0)),0,VLOOKUP(A953,QW_CloseDL!A:E,5,0))</f>
        <v>0</v>
      </c>
      <c r="J953" s="8" t="str">
        <f t="shared" si="70"/>
        <v/>
      </c>
      <c r="P953">
        <v>0</v>
      </c>
      <c r="Q953" t="e">
        <f t="shared" si="71"/>
        <v>#N/A</v>
      </c>
      <c r="R953" t="e">
        <f t="shared" si="72"/>
        <v>#N/A</v>
      </c>
      <c r="S953" s="9" t="e">
        <f t="shared" si="73"/>
        <v>#N/A</v>
      </c>
      <c r="T953" s="3" t="e">
        <f t="shared" si="74"/>
        <v>#N/A</v>
      </c>
    </row>
    <row r="954" spans="2:20" x14ac:dyDescent="0.35">
      <c r="B954" t="str">
        <f>IF(NOT(ISBLANK(A954)),VLOOKUP(A954,'BBT3'!A:F,2,0),"")</f>
        <v/>
      </c>
      <c r="C954" t="str">
        <f>IF(NOT(ISBLANK(A954)),VLOOKUP(A954,'BBT3'!A:F,3,0),"")</f>
        <v/>
      </c>
      <c r="D954" s="6" t="str">
        <f>IF(NOT(ISBLANK(A954)),VLOOKUP(A954,'BBT3'!A:F,4,1),"")</f>
        <v/>
      </c>
      <c r="E954" t="str">
        <f>IF(NOT(ISBLANK(A954)),VLOOKUP(A954,'BBT3'!A:F,5,0),"")</f>
        <v/>
      </c>
      <c r="F954" t="str">
        <f>IF(NOT(ISBLANK(A954)),VLOOKUP(A954,'BBT3'!A:F,6,0),"")</f>
        <v/>
      </c>
      <c r="G954" t="str">
        <f>IF(NOT(ISBLANK(A954)),VLOOKUP(A954,QW_Close!A:J,5,0),"")</f>
        <v/>
      </c>
      <c r="H954" s="5" t="str" cm="1">
        <f t="array" ref="H954">IF(NOT(ISBLANK(A954)),((_xlfn.XLOOKUP(1,(_bbt3[[#All],[ID]]=A954)*(_bbt3[[#All],[METRIC_NAME]]="YLD_YTM_ASK"),_bbt3[[#All],[METRIC_VALUE]])*0.5)+(_xlfn.XLOOKUP(1,(_bbt3[[#All],[ID]]=A954)*(_bbt3[[#All],[METRIC_NAME]]="YLD_YTM_BID"),_bbt3[[#All],[METRIC_VALUE]])*0.5))/100,"")</f>
        <v/>
      </c>
      <c r="I954">
        <f>IF(ISNA(VLOOKUP(A954,QW_CloseDL!A:E,5,0)),0,VLOOKUP(A954,QW_CloseDL!A:E,5,0))</f>
        <v>0</v>
      </c>
      <c r="J954" s="8" t="str">
        <f t="shared" si="70"/>
        <v/>
      </c>
      <c r="P954">
        <v>0</v>
      </c>
      <c r="Q954" t="e">
        <f t="shared" si="71"/>
        <v>#N/A</v>
      </c>
      <c r="R954" t="e">
        <f t="shared" si="72"/>
        <v>#N/A</v>
      </c>
      <c r="S954" s="9" t="e">
        <f t="shared" si="73"/>
        <v>#N/A</v>
      </c>
      <c r="T954" s="3" t="e">
        <f t="shared" si="74"/>
        <v>#N/A</v>
      </c>
    </row>
    <row r="955" spans="2:20" x14ac:dyDescent="0.35">
      <c r="B955" t="str">
        <f>IF(NOT(ISBLANK(A955)),VLOOKUP(A955,'BBT3'!A:F,2,0),"")</f>
        <v/>
      </c>
      <c r="C955" t="str">
        <f>IF(NOT(ISBLANK(A955)),VLOOKUP(A955,'BBT3'!A:F,3,0),"")</f>
        <v/>
      </c>
      <c r="D955" s="6" t="str">
        <f>IF(NOT(ISBLANK(A955)),VLOOKUP(A955,'BBT3'!A:F,4,1),"")</f>
        <v/>
      </c>
      <c r="E955" t="str">
        <f>IF(NOT(ISBLANK(A955)),VLOOKUP(A955,'BBT3'!A:F,5,0),"")</f>
        <v/>
      </c>
      <c r="F955" t="str">
        <f>IF(NOT(ISBLANK(A955)),VLOOKUP(A955,'BBT3'!A:F,6,0),"")</f>
        <v/>
      </c>
      <c r="G955" t="str">
        <f>IF(NOT(ISBLANK(A955)),VLOOKUP(A955,QW_Close!A:J,5,0),"")</f>
        <v/>
      </c>
      <c r="H955" s="5" t="str" cm="1">
        <f t="array" ref="H955">IF(NOT(ISBLANK(A955)),((_xlfn.XLOOKUP(1,(_bbt3[[#All],[ID]]=A955)*(_bbt3[[#All],[METRIC_NAME]]="YLD_YTM_ASK"),_bbt3[[#All],[METRIC_VALUE]])*0.5)+(_xlfn.XLOOKUP(1,(_bbt3[[#All],[ID]]=A955)*(_bbt3[[#All],[METRIC_NAME]]="YLD_YTM_BID"),_bbt3[[#All],[METRIC_VALUE]])*0.5))/100,"")</f>
        <v/>
      </c>
      <c r="I955">
        <f>IF(ISNA(VLOOKUP(A955,QW_CloseDL!A:E,5,0)),0,VLOOKUP(A955,QW_CloseDL!A:E,5,0))</f>
        <v>0</v>
      </c>
      <c r="J955" s="8" t="str">
        <f t="shared" si="70"/>
        <v/>
      </c>
      <c r="P955">
        <v>0</v>
      </c>
      <c r="Q955" t="e">
        <f t="shared" si="71"/>
        <v>#N/A</v>
      </c>
      <c r="R955" t="e">
        <f t="shared" si="72"/>
        <v>#N/A</v>
      </c>
      <c r="S955" s="9" t="e">
        <f t="shared" si="73"/>
        <v>#N/A</v>
      </c>
      <c r="T955" s="3" t="e">
        <f t="shared" si="74"/>
        <v>#N/A</v>
      </c>
    </row>
    <row r="956" spans="2:20" x14ac:dyDescent="0.35">
      <c r="B956" t="str">
        <f>IF(NOT(ISBLANK(A956)),VLOOKUP(A956,'BBT3'!A:F,2,0),"")</f>
        <v/>
      </c>
      <c r="C956" t="str">
        <f>IF(NOT(ISBLANK(A956)),VLOOKUP(A956,'BBT3'!A:F,3,0),"")</f>
        <v/>
      </c>
      <c r="D956" s="6" t="str">
        <f>IF(NOT(ISBLANK(A956)),VLOOKUP(A956,'BBT3'!A:F,4,1),"")</f>
        <v/>
      </c>
      <c r="E956" t="str">
        <f>IF(NOT(ISBLANK(A956)),VLOOKUP(A956,'BBT3'!A:F,5,0),"")</f>
        <v/>
      </c>
      <c r="F956" t="str">
        <f>IF(NOT(ISBLANK(A956)),VLOOKUP(A956,'BBT3'!A:F,6,0),"")</f>
        <v/>
      </c>
      <c r="G956" t="str">
        <f>IF(NOT(ISBLANK(A956)),VLOOKUP(A956,QW_Close!A:J,5,0),"")</f>
        <v/>
      </c>
      <c r="H956" s="5" t="str" cm="1">
        <f t="array" ref="H956">IF(NOT(ISBLANK(A956)),((_xlfn.XLOOKUP(1,(_bbt3[[#All],[ID]]=A956)*(_bbt3[[#All],[METRIC_NAME]]="YLD_YTM_ASK"),_bbt3[[#All],[METRIC_VALUE]])*0.5)+(_xlfn.XLOOKUP(1,(_bbt3[[#All],[ID]]=A956)*(_bbt3[[#All],[METRIC_NAME]]="YLD_YTM_BID"),_bbt3[[#All],[METRIC_VALUE]])*0.5))/100,"")</f>
        <v/>
      </c>
      <c r="I956">
        <f>IF(ISNA(VLOOKUP(A956,QW_CloseDL!A:E,5,0)),0,VLOOKUP(A956,QW_CloseDL!A:E,5,0))</f>
        <v>0</v>
      </c>
      <c r="J956" s="8" t="str">
        <f t="shared" si="70"/>
        <v/>
      </c>
      <c r="P956">
        <v>0</v>
      </c>
      <c r="Q956" t="e">
        <f t="shared" si="71"/>
        <v>#N/A</v>
      </c>
      <c r="R956" t="e">
        <f t="shared" si="72"/>
        <v>#N/A</v>
      </c>
      <c r="S956" s="9" t="e">
        <f t="shared" si="73"/>
        <v>#N/A</v>
      </c>
      <c r="T956" s="3" t="e">
        <f t="shared" si="74"/>
        <v>#N/A</v>
      </c>
    </row>
    <row r="957" spans="2:20" x14ac:dyDescent="0.35">
      <c r="B957" t="str">
        <f>IF(NOT(ISBLANK(A957)),VLOOKUP(A957,'BBT3'!A:F,2,0),"")</f>
        <v/>
      </c>
      <c r="C957" t="str">
        <f>IF(NOT(ISBLANK(A957)),VLOOKUP(A957,'BBT3'!A:F,3,0),"")</f>
        <v/>
      </c>
      <c r="D957" s="6" t="str">
        <f>IF(NOT(ISBLANK(A957)),VLOOKUP(A957,'BBT3'!A:F,4,1),"")</f>
        <v/>
      </c>
      <c r="E957" t="str">
        <f>IF(NOT(ISBLANK(A957)),VLOOKUP(A957,'BBT3'!A:F,5,0),"")</f>
        <v/>
      </c>
      <c r="F957" t="str">
        <f>IF(NOT(ISBLANK(A957)),VLOOKUP(A957,'BBT3'!A:F,6,0),"")</f>
        <v/>
      </c>
      <c r="G957" t="str">
        <f>IF(NOT(ISBLANK(A957)),VLOOKUP(A957,QW_Close!A:J,5,0),"")</f>
        <v/>
      </c>
      <c r="H957" s="5" t="str" cm="1">
        <f t="array" ref="H957">IF(NOT(ISBLANK(A957)),((_xlfn.XLOOKUP(1,(_bbt3[[#All],[ID]]=A957)*(_bbt3[[#All],[METRIC_NAME]]="YLD_YTM_ASK"),_bbt3[[#All],[METRIC_VALUE]])*0.5)+(_xlfn.XLOOKUP(1,(_bbt3[[#All],[ID]]=A957)*(_bbt3[[#All],[METRIC_NAME]]="YLD_YTM_BID"),_bbt3[[#All],[METRIC_VALUE]])*0.5))/100,"")</f>
        <v/>
      </c>
      <c r="I957">
        <f>IF(ISNA(VLOOKUP(A957,QW_CloseDL!A:E,5,0)),0,VLOOKUP(A957,QW_CloseDL!A:E,5,0))</f>
        <v>0</v>
      </c>
      <c r="J957" s="8" t="str">
        <f t="shared" si="70"/>
        <v/>
      </c>
      <c r="P957">
        <v>0</v>
      </c>
      <c r="Q957" t="e">
        <f t="shared" si="71"/>
        <v>#N/A</v>
      </c>
      <c r="R957" t="e">
        <f t="shared" si="72"/>
        <v>#N/A</v>
      </c>
      <c r="S957" s="9" t="e">
        <f t="shared" si="73"/>
        <v>#N/A</v>
      </c>
      <c r="T957" s="3" t="e">
        <f t="shared" si="74"/>
        <v>#N/A</v>
      </c>
    </row>
    <row r="958" spans="2:20" x14ac:dyDescent="0.35">
      <c r="B958" t="str">
        <f>IF(NOT(ISBLANK(A958)),VLOOKUP(A958,'BBT3'!A:F,2,0),"")</f>
        <v/>
      </c>
      <c r="C958" t="str">
        <f>IF(NOT(ISBLANK(A958)),VLOOKUP(A958,'BBT3'!A:F,3,0),"")</f>
        <v/>
      </c>
      <c r="D958" s="6" t="str">
        <f>IF(NOT(ISBLANK(A958)),VLOOKUP(A958,'BBT3'!A:F,4,1),"")</f>
        <v/>
      </c>
      <c r="E958" t="str">
        <f>IF(NOT(ISBLANK(A958)),VLOOKUP(A958,'BBT3'!A:F,5,0),"")</f>
        <v/>
      </c>
      <c r="F958" t="str">
        <f>IF(NOT(ISBLANK(A958)),VLOOKUP(A958,'BBT3'!A:F,6,0),"")</f>
        <v/>
      </c>
      <c r="G958" t="str">
        <f>IF(NOT(ISBLANK(A958)),VLOOKUP(A958,QW_Close!A:J,5,0),"")</f>
        <v/>
      </c>
      <c r="H958" s="5" t="str" cm="1">
        <f t="array" ref="H958">IF(NOT(ISBLANK(A958)),((_xlfn.XLOOKUP(1,(_bbt3[[#All],[ID]]=A958)*(_bbt3[[#All],[METRIC_NAME]]="YLD_YTM_ASK"),_bbt3[[#All],[METRIC_VALUE]])*0.5)+(_xlfn.XLOOKUP(1,(_bbt3[[#All],[ID]]=A958)*(_bbt3[[#All],[METRIC_NAME]]="YLD_YTM_BID"),_bbt3[[#All],[METRIC_VALUE]])*0.5))/100,"")</f>
        <v/>
      </c>
      <c r="I958">
        <f>IF(ISNA(VLOOKUP(A958,QW_CloseDL!A:E,5,0)),0,VLOOKUP(A958,QW_CloseDL!A:E,5,0))</f>
        <v>0</v>
      </c>
      <c r="J958" s="8" t="str">
        <f t="shared" si="70"/>
        <v/>
      </c>
      <c r="P958">
        <v>0</v>
      </c>
      <c r="Q958" t="e">
        <f t="shared" si="71"/>
        <v>#N/A</v>
      </c>
      <c r="R958" t="e">
        <f t="shared" si="72"/>
        <v>#N/A</v>
      </c>
      <c r="S958" s="9" t="e">
        <f t="shared" si="73"/>
        <v>#N/A</v>
      </c>
      <c r="T958" s="3" t="e">
        <f t="shared" si="74"/>
        <v>#N/A</v>
      </c>
    </row>
    <row r="959" spans="2:20" x14ac:dyDescent="0.35">
      <c r="B959" t="str">
        <f>IF(NOT(ISBLANK(A959)),VLOOKUP(A959,'BBT3'!A:F,2,0),"")</f>
        <v/>
      </c>
      <c r="C959" t="str">
        <f>IF(NOT(ISBLANK(A959)),VLOOKUP(A959,'BBT3'!A:F,3,0),"")</f>
        <v/>
      </c>
      <c r="D959" s="6" t="str">
        <f>IF(NOT(ISBLANK(A959)),VLOOKUP(A959,'BBT3'!A:F,4,1),"")</f>
        <v/>
      </c>
      <c r="E959" t="str">
        <f>IF(NOT(ISBLANK(A959)),VLOOKUP(A959,'BBT3'!A:F,5,0),"")</f>
        <v/>
      </c>
      <c r="F959" t="str">
        <f>IF(NOT(ISBLANK(A959)),VLOOKUP(A959,'BBT3'!A:F,6,0),"")</f>
        <v/>
      </c>
      <c r="G959" t="str">
        <f>IF(NOT(ISBLANK(A959)),VLOOKUP(A959,QW_Close!A:J,5,0),"")</f>
        <v/>
      </c>
      <c r="H959" s="5" t="str" cm="1">
        <f t="array" ref="H959">IF(NOT(ISBLANK(A959)),((_xlfn.XLOOKUP(1,(_bbt3[[#All],[ID]]=A959)*(_bbt3[[#All],[METRIC_NAME]]="YLD_YTM_ASK"),_bbt3[[#All],[METRIC_VALUE]])*0.5)+(_xlfn.XLOOKUP(1,(_bbt3[[#All],[ID]]=A959)*(_bbt3[[#All],[METRIC_NAME]]="YLD_YTM_BID"),_bbt3[[#All],[METRIC_VALUE]])*0.5))/100,"")</f>
        <v/>
      </c>
      <c r="I959">
        <f>IF(ISNA(VLOOKUP(A959,QW_CloseDL!A:E,5,0)),0,VLOOKUP(A959,QW_CloseDL!A:E,5,0))</f>
        <v>0</v>
      </c>
      <c r="J959" s="8" t="str">
        <f t="shared" si="70"/>
        <v/>
      </c>
      <c r="P959">
        <v>0</v>
      </c>
      <c r="Q959" t="e">
        <f t="shared" si="71"/>
        <v>#N/A</v>
      </c>
      <c r="R959" t="e">
        <f t="shared" si="72"/>
        <v>#N/A</v>
      </c>
      <c r="S959" s="9" t="e">
        <f t="shared" si="73"/>
        <v>#N/A</v>
      </c>
      <c r="T959" s="3" t="e">
        <f t="shared" si="74"/>
        <v>#N/A</v>
      </c>
    </row>
    <row r="960" spans="2:20" x14ac:dyDescent="0.35">
      <c r="B960" t="str">
        <f>IF(NOT(ISBLANK(A960)),VLOOKUP(A960,'BBT3'!A:F,2,0),"")</f>
        <v/>
      </c>
      <c r="C960" t="str">
        <f>IF(NOT(ISBLANK(A960)),VLOOKUP(A960,'BBT3'!A:F,3,0),"")</f>
        <v/>
      </c>
      <c r="D960" s="6" t="str">
        <f>IF(NOT(ISBLANK(A960)),VLOOKUP(A960,'BBT3'!A:F,4,1),"")</f>
        <v/>
      </c>
      <c r="E960" t="str">
        <f>IF(NOT(ISBLANK(A960)),VLOOKUP(A960,'BBT3'!A:F,5,0),"")</f>
        <v/>
      </c>
      <c r="F960" t="str">
        <f>IF(NOT(ISBLANK(A960)),VLOOKUP(A960,'BBT3'!A:F,6,0),"")</f>
        <v/>
      </c>
      <c r="G960" t="str">
        <f>IF(NOT(ISBLANK(A960)),VLOOKUP(A960,QW_Close!A:J,5,0),"")</f>
        <v/>
      </c>
      <c r="H960" s="5" t="str" cm="1">
        <f t="array" ref="H960">IF(NOT(ISBLANK(A960)),((_xlfn.XLOOKUP(1,(_bbt3[[#All],[ID]]=A960)*(_bbt3[[#All],[METRIC_NAME]]="YLD_YTM_ASK"),_bbt3[[#All],[METRIC_VALUE]])*0.5)+(_xlfn.XLOOKUP(1,(_bbt3[[#All],[ID]]=A960)*(_bbt3[[#All],[METRIC_NAME]]="YLD_YTM_BID"),_bbt3[[#All],[METRIC_VALUE]])*0.5))/100,"")</f>
        <v/>
      </c>
      <c r="I960">
        <f>IF(ISNA(VLOOKUP(A960,QW_CloseDL!A:E,5,0)),0,VLOOKUP(A960,QW_CloseDL!A:E,5,0))</f>
        <v>0</v>
      </c>
      <c r="J960" s="8" t="str">
        <f t="shared" si="70"/>
        <v/>
      </c>
      <c r="P960">
        <v>0</v>
      </c>
      <c r="Q960" t="e">
        <f t="shared" si="71"/>
        <v>#N/A</v>
      </c>
      <c r="R960" t="e">
        <f t="shared" si="72"/>
        <v>#N/A</v>
      </c>
      <c r="S960" s="9" t="e">
        <f t="shared" si="73"/>
        <v>#N/A</v>
      </c>
      <c r="T960" s="3" t="e">
        <f t="shared" si="74"/>
        <v>#N/A</v>
      </c>
    </row>
    <row r="961" spans="2:20" x14ac:dyDescent="0.35">
      <c r="B961" t="str">
        <f>IF(NOT(ISBLANK(A961)),VLOOKUP(A961,'BBT3'!A:F,2,0),"")</f>
        <v/>
      </c>
      <c r="C961" t="str">
        <f>IF(NOT(ISBLANK(A961)),VLOOKUP(A961,'BBT3'!A:F,3,0),"")</f>
        <v/>
      </c>
      <c r="D961" s="6" t="str">
        <f>IF(NOT(ISBLANK(A961)),VLOOKUP(A961,'BBT3'!A:F,4,1),"")</f>
        <v/>
      </c>
      <c r="E961" t="str">
        <f>IF(NOT(ISBLANK(A961)),VLOOKUP(A961,'BBT3'!A:F,5,0),"")</f>
        <v/>
      </c>
      <c r="F961" t="str">
        <f>IF(NOT(ISBLANK(A961)),VLOOKUP(A961,'BBT3'!A:F,6,0),"")</f>
        <v/>
      </c>
      <c r="G961" t="str">
        <f>IF(NOT(ISBLANK(A961)),VLOOKUP(A961,QW_Close!A:J,5,0),"")</f>
        <v/>
      </c>
      <c r="H961" s="5" t="str" cm="1">
        <f t="array" ref="H961">IF(NOT(ISBLANK(A961)),((_xlfn.XLOOKUP(1,(_bbt3[[#All],[ID]]=A961)*(_bbt3[[#All],[METRIC_NAME]]="YLD_YTM_ASK"),_bbt3[[#All],[METRIC_VALUE]])*0.5)+(_xlfn.XLOOKUP(1,(_bbt3[[#All],[ID]]=A961)*(_bbt3[[#All],[METRIC_NAME]]="YLD_YTM_BID"),_bbt3[[#All],[METRIC_VALUE]])*0.5))/100,"")</f>
        <v/>
      </c>
      <c r="I961">
        <f>IF(ISNA(VLOOKUP(A961,QW_CloseDL!A:E,5,0)),0,VLOOKUP(A961,QW_CloseDL!A:E,5,0))</f>
        <v>0</v>
      </c>
      <c r="J961" s="8" t="str">
        <f t="shared" si="70"/>
        <v/>
      </c>
      <c r="P961">
        <v>0</v>
      </c>
      <c r="Q961" t="e">
        <f t="shared" si="71"/>
        <v>#N/A</v>
      </c>
      <c r="R961" t="e">
        <f t="shared" si="72"/>
        <v>#N/A</v>
      </c>
      <c r="S961" s="9" t="e">
        <f t="shared" si="73"/>
        <v>#N/A</v>
      </c>
      <c r="T961" s="3" t="e">
        <f t="shared" si="74"/>
        <v>#N/A</v>
      </c>
    </row>
    <row r="962" spans="2:20" x14ac:dyDescent="0.35">
      <c r="B962" t="str">
        <f>IF(NOT(ISBLANK(A962)),VLOOKUP(A962,'BBT3'!A:F,2,0),"")</f>
        <v/>
      </c>
      <c r="C962" t="str">
        <f>IF(NOT(ISBLANK(A962)),VLOOKUP(A962,'BBT3'!A:F,3,0),"")</f>
        <v/>
      </c>
      <c r="D962" s="6" t="str">
        <f>IF(NOT(ISBLANK(A962)),VLOOKUP(A962,'BBT3'!A:F,4,1),"")</f>
        <v/>
      </c>
      <c r="E962" t="str">
        <f>IF(NOT(ISBLANK(A962)),VLOOKUP(A962,'BBT3'!A:F,5,0),"")</f>
        <v/>
      </c>
      <c r="F962" t="str">
        <f>IF(NOT(ISBLANK(A962)),VLOOKUP(A962,'BBT3'!A:F,6,0),"")</f>
        <v/>
      </c>
      <c r="G962" t="str">
        <f>IF(NOT(ISBLANK(A962)),VLOOKUP(A962,QW_Close!A:J,5,0),"")</f>
        <v/>
      </c>
      <c r="H962" s="5" t="str" cm="1">
        <f t="array" ref="H962">IF(NOT(ISBLANK(A962)),((_xlfn.XLOOKUP(1,(_bbt3[[#All],[ID]]=A962)*(_bbt3[[#All],[METRIC_NAME]]="YLD_YTM_ASK"),_bbt3[[#All],[METRIC_VALUE]])*0.5)+(_xlfn.XLOOKUP(1,(_bbt3[[#All],[ID]]=A962)*(_bbt3[[#All],[METRIC_NAME]]="YLD_YTM_BID"),_bbt3[[#All],[METRIC_VALUE]])*0.5))/100,"")</f>
        <v/>
      </c>
      <c r="I962">
        <f>IF(ISNA(VLOOKUP(A962,QW_CloseDL!A:E,5,0)),0,VLOOKUP(A962,QW_CloseDL!A:E,5,0))</f>
        <v>0</v>
      </c>
      <c r="J962" s="8" t="str">
        <f t="shared" si="70"/>
        <v/>
      </c>
      <c r="P962">
        <v>0</v>
      </c>
      <c r="Q962" t="e">
        <f t="shared" si="71"/>
        <v>#N/A</v>
      </c>
      <c r="R962" t="e">
        <f t="shared" si="72"/>
        <v>#N/A</v>
      </c>
      <c r="S962" s="9" t="e">
        <f t="shared" si="73"/>
        <v>#N/A</v>
      </c>
      <c r="T962" s="3" t="e">
        <f t="shared" si="74"/>
        <v>#N/A</v>
      </c>
    </row>
    <row r="963" spans="2:20" x14ac:dyDescent="0.35">
      <c r="B963" t="str">
        <f>IF(NOT(ISBLANK(A963)),VLOOKUP(A963,'BBT3'!A:F,2,0),"")</f>
        <v/>
      </c>
      <c r="C963" t="str">
        <f>IF(NOT(ISBLANK(A963)),VLOOKUP(A963,'BBT3'!A:F,3,0),"")</f>
        <v/>
      </c>
      <c r="D963" s="6" t="str">
        <f>IF(NOT(ISBLANK(A963)),VLOOKUP(A963,'BBT3'!A:F,4,1),"")</f>
        <v/>
      </c>
      <c r="E963" t="str">
        <f>IF(NOT(ISBLANK(A963)),VLOOKUP(A963,'BBT3'!A:F,5,0),"")</f>
        <v/>
      </c>
      <c r="F963" t="str">
        <f>IF(NOT(ISBLANK(A963)),VLOOKUP(A963,'BBT3'!A:F,6,0),"")</f>
        <v/>
      </c>
      <c r="G963" t="str">
        <f>IF(NOT(ISBLANK(A963)),VLOOKUP(A963,QW_Close!A:J,5,0),"")</f>
        <v/>
      </c>
      <c r="H963" s="5" t="str" cm="1">
        <f t="array" ref="H963">IF(NOT(ISBLANK(A963)),((_xlfn.XLOOKUP(1,(_bbt3[[#All],[ID]]=A963)*(_bbt3[[#All],[METRIC_NAME]]="YLD_YTM_ASK"),_bbt3[[#All],[METRIC_VALUE]])*0.5)+(_xlfn.XLOOKUP(1,(_bbt3[[#All],[ID]]=A963)*(_bbt3[[#All],[METRIC_NAME]]="YLD_YTM_BID"),_bbt3[[#All],[METRIC_VALUE]])*0.5))/100,"")</f>
        <v/>
      </c>
      <c r="I963">
        <f>IF(ISNA(VLOOKUP(A963,QW_CloseDL!A:E,5,0)),0,VLOOKUP(A963,QW_CloseDL!A:E,5,0))</f>
        <v>0</v>
      </c>
      <c r="J963" s="8" t="str">
        <f t="shared" ref="J963:J1026" si="75">IF(ISNA(IF(NOT(ISBLANK(A963)),ABS(G963-I963),"")),0,(IF(NOT(ISBLANK(A963)),ABS(G963-I963)*10000,"")))</f>
        <v/>
      </c>
      <c r="P963">
        <v>0</v>
      </c>
      <c r="Q963" t="e">
        <f t="shared" si="71"/>
        <v>#N/A</v>
      </c>
      <c r="R963" t="e">
        <f t="shared" si="72"/>
        <v>#N/A</v>
      </c>
      <c r="S963" s="9" t="e">
        <f t="shared" si="73"/>
        <v>#N/A</v>
      </c>
      <c r="T963" s="3" t="e">
        <f t="shared" si="74"/>
        <v>#N/A</v>
      </c>
    </row>
    <row r="964" spans="2:20" x14ac:dyDescent="0.35">
      <c r="B964" t="str">
        <f>IF(NOT(ISBLANK(A964)),VLOOKUP(A964,'BBT3'!A:F,2,0),"")</f>
        <v/>
      </c>
      <c r="C964" t="str">
        <f>IF(NOT(ISBLANK(A964)),VLOOKUP(A964,'BBT3'!A:F,3,0),"")</f>
        <v/>
      </c>
      <c r="D964" s="6" t="str">
        <f>IF(NOT(ISBLANK(A964)),VLOOKUP(A964,'BBT3'!A:F,4,1),"")</f>
        <v/>
      </c>
      <c r="E964" t="str">
        <f>IF(NOT(ISBLANK(A964)),VLOOKUP(A964,'BBT3'!A:F,5,0),"")</f>
        <v/>
      </c>
      <c r="F964" t="str">
        <f>IF(NOT(ISBLANK(A964)),VLOOKUP(A964,'BBT3'!A:F,6,0),"")</f>
        <v/>
      </c>
      <c r="G964" t="str">
        <f>IF(NOT(ISBLANK(A964)),VLOOKUP(A964,QW_Close!A:J,5,0),"")</f>
        <v/>
      </c>
      <c r="H964" s="5" t="str" cm="1">
        <f t="array" ref="H964">IF(NOT(ISBLANK(A964)),((_xlfn.XLOOKUP(1,(_bbt3[[#All],[ID]]=A964)*(_bbt3[[#All],[METRIC_NAME]]="YLD_YTM_ASK"),_bbt3[[#All],[METRIC_VALUE]])*0.5)+(_xlfn.XLOOKUP(1,(_bbt3[[#All],[ID]]=A964)*(_bbt3[[#All],[METRIC_NAME]]="YLD_YTM_BID"),_bbt3[[#All],[METRIC_VALUE]])*0.5))/100,"")</f>
        <v/>
      </c>
      <c r="I964">
        <f>IF(ISNA(VLOOKUP(A964,QW_CloseDL!A:E,5,0)),0,VLOOKUP(A964,QW_CloseDL!A:E,5,0))</f>
        <v>0</v>
      </c>
      <c r="J964" s="8" t="str">
        <f t="shared" si="75"/>
        <v/>
      </c>
      <c r="P964">
        <v>0</v>
      </c>
      <c r="Q964" t="e">
        <f t="shared" si="71"/>
        <v>#N/A</v>
      </c>
      <c r="R964" t="e">
        <f t="shared" si="72"/>
        <v>#N/A</v>
      </c>
      <c r="S964" s="9" t="e">
        <f t="shared" si="73"/>
        <v>#N/A</v>
      </c>
      <c r="T964" s="3" t="e">
        <f t="shared" si="74"/>
        <v>#N/A</v>
      </c>
    </row>
    <row r="965" spans="2:20" x14ac:dyDescent="0.35">
      <c r="B965" t="str">
        <f>IF(NOT(ISBLANK(A965)),VLOOKUP(A965,'BBT3'!A:F,2,0),"")</f>
        <v/>
      </c>
      <c r="C965" t="str">
        <f>IF(NOT(ISBLANK(A965)),VLOOKUP(A965,'BBT3'!A:F,3,0),"")</f>
        <v/>
      </c>
      <c r="D965" s="6" t="str">
        <f>IF(NOT(ISBLANK(A965)),VLOOKUP(A965,'BBT3'!A:F,4,1),"")</f>
        <v/>
      </c>
      <c r="E965" t="str">
        <f>IF(NOT(ISBLANK(A965)),VLOOKUP(A965,'BBT3'!A:F,5,0),"")</f>
        <v/>
      </c>
      <c r="F965" t="str">
        <f>IF(NOT(ISBLANK(A965)),VLOOKUP(A965,'BBT3'!A:F,6,0),"")</f>
        <v/>
      </c>
      <c r="G965" t="str">
        <f>IF(NOT(ISBLANK(A965)),VLOOKUP(A965,QW_Close!A:J,5,0),"")</f>
        <v/>
      </c>
      <c r="H965" s="5" t="str" cm="1">
        <f t="array" ref="H965">IF(NOT(ISBLANK(A965)),((_xlfn.XLOOKUP(1,(_bbt3[[#All],[ID]]=A965)*(_bbt3[[#All],[METRIC_NAME]]="YLD_YTM_ASK"),_bbt3[[#All],[METRIC_VALUE]])*0.5)+(_xlfn.XLOOKUP(1,(_bbt3[[#All],[ID]]=A965)*(_bbt3[[#All],[METRIC_NAME]]="YLD_YTM_BID"),_bbt3[[#All],[METRIC_VALUE]])*0.5))/100,"")</f>
        <v/>
      </c>
      <c r="I965">
        <f>IF(ISNA(VLOOKUP(A965,QW_CloseDL!A:E,5,0)),0,VLOOKUP(A965,QW_CloseDL!A:E,5,0))</f>
        <v>0</v>
      </c>
      <c r="J965" s="8" t="str">
        <f t="shared" si="75"/>
        <v/>
      </c>
      <c r="P965">
        <v>0</v>
      </c>
      <c r="Q965" t="e">
        <f t="shared" si="71"/>
        <v>#N/A</v>
      </c>
      <c r="R965" t="e">
        <f t="shared" si="72"/>
        <v>#N/A</v>
      </c>
      <c r="S965" s="9" t="e">
        <f t="shared" si="73"/>
        <v>#N/A</v>
      </c>
      <c r="T965" s="3" t="e">
        <f t="shared" si="74"/>
        <v>#N/A</v>
      </c>
    </row>
    <row r="966" spans="2:20" x14ac:dyDescent="0.35">
      <c r="B966" t="str">
        <f>IF(NOT(ISBLANK(A966)),VLOOKUP(A966,'BBT3'!A:F,2,0),"")</f>
        <v/>
      </c>
      <c r="C966" t="str">
        <f>IF(NOT(ISBLANK(A966)),VLOOKUP(A966,'BBT3'!A:F,3,0),"")</f>
        <v/>
      </c>
      <c r="D966" s="6" t="str">
        <f>IF(NOT(ISBLANK(A966)),VLOOKUP(A966,'BBT3'!A:F,4,1),"")</f>
        <v/>
      </c>
      <c r="E966" t="str">
        <f>IF(NOT(ISBLANK(A966)),VLOOKUP(A966,'BBT3'!A:F,5,0),"")</f>
        <v/>
      </c>
      <c r="F966" t="str">
        <f>IF(NOT(ISBLANK(A966)),VLOOKUP(A966,'BBT3'!A:F,6,0),"")</f>
        <v/>
      </c>
      <c r="G966" t="str">
        <f>IF(NOT(ISBLANK(A966)),VLOOKUP(A966,QW_Close!A:J,5,0),"")</f>
        <v/>
      </c>
      <c r="H966" s="5" t="str" cm="1">
        <f t="array" ref="H966">IF(NOT(ISBLANK(A966)),((_xlfn.XLOOKUP(1,(_bbt3[[#All],[ID]]=A966)*(_bbt3[[#All],[METRIC_NAME]]="YLD_YTM_ASK"),_bbt3[[#All],[METRIC_VALUE]])*0.5)+(_xlfn.XLOOKUP(1,(_bbt3[[#All],[ID]]=A966)*(_bbt3[[#All],[METRIC_NAME]]="YLD_YTM_BID"),_bbt3[[#All],[METRIC_VALUE]])*0.5))/100,"")</f>
        <v/>
      </c>
      <c r="I966">
        <f>IF(ISNA(VLOOKUP(A966,QW_CloseDL!A:E,5,0)),0,VLOOKUP(A966,QW_CloseDL!A:E,5,0))</f>
        <v>0</v>
      </c>
      <c r="J966" s="8" t="str">
        <f t="shared" si="75"/>
        <v/>
      </c>
      <c r="P966">
        <v>0</v>
      </c>
      <c r="Q966" t="e">
        <f t="shared" si="71"/>
        <v>#N/A</v>
      </c>
      <c r="R966" t="e">
        <f t="shared" si="72"/>
        <v>#N/A</v>
      </c>
      <c r="S966" s="9" t="e">
        <f t="shared" si="73"/>
        <v>#N/A</v>
      </c>
      <c r="T966" s="3" t="e">
        <f t="shared" si="74"/>
        <v>#N/A</v>
      </c>
    </row>
    <row r="967" spans="2:20" x14ac:dyDescent="0.35">
      <c r="B967" t="str">
        <f>IF(NOT(ISBLANK(A967)),VLOOKUP(A967,'BBT3'!A:F,2,0),"")</f>
        <v/>
      </c>
      <c r="C967" t="str">
        <f>IF(NOT(ISBLANK(A967)),VLOOKUP(A967,'BBT3'!A:F,3,0),"")</f>
        <v/>
      </c>
      <c r="D967" s="6" t="str">
        <f>IF(NOT(ISBLANK(A967)),VLOOKUP(A967,'BBT3'!A:F,4,1),"")</f>
        <v/>
      </c>
      <c r="E967" t="str">
        <f>IF(NOT(ISBLANK(A967)),VLOOKUP(A967,'BBT3'!A:F,5,0),"")</f>
        <v/>
      </c>
      <c r="F967" t="str">
        <f>IF(NOT(ISBLANK(A967)),VLOOKUP(A967,'BBT3'!A:F,6,0),"")</f>
        <v/>
      </c>
      <c r="G967" t="str">
        <f>IF(NOT(ISBLANK(A967)),VLOOKUP(A967,QW_Close!A:J,5,0),"")</f>
        <v/>
      </c>
      <c r="H967" s="5" t="str" cm="1">
        <f t="array" ref="H967">IF(NOT(ISBLANK(A967)),((_xlfn.XLOOKUP(1,(_bbt3[[#All],[ID]]=A967)*(_bbt3[[#All],[METRIC_NAME]]="YLD_YTM_ASK"),_bbt3[[#All],[METRIC_VALUE]])*0.5)+(_xlfn.XLOOKUP(1,(_bbt3[[#All],[ID]]=A967)*(_bbt3[[#All],[METRIC_NAME]]="YLD_YTM_BID"),_bbt3[[#All],[METRIC_VALUE]])*0.5))/100,"")</f>
        <v/>
      </c>
      <c r="I967">
        <f>IF(ISNA(VLOOKUP(A967,QW_CloseDL!A:E,5,0)),0,VLOOKUP(A967,QW_CloseDL!A:E,5,0))</f>
        <v>0</v>
      </c>
      <c r="J967" s="8" t="str">
        <f t="shared" si="75"/>
        <v/>
      </c>
      <c r="P967">
        <v>0</v>
      </c>
      <c r="Q967" t="e">
        <f t="shared" si="71"/>
        <v>#N/A</v>
      </c>
      <c r="R967" t="e">
        <f t="shared" si="72"/>
        <v>#N/A</v>
      </c>
      <c r="S967" s="9" t="e">
        <f t="shared" si="73"/>
        <v>#N/A</v>
      </c>
      <c r="T967" s="3" t="e">
        <f t="shared" si="74"/>
        <v>#N/A</v>
      </c>
    </row>
    <row r="968" spans="2:20" x14ac:dyDescent="0.35">
      <c r="B968" t="str">
        <f>IF(NOT(ISBLANK(A968)),VLOOKUP(A968,'BBT3'!A:F,2,0),"")</f>
        <v/>
      </c>
      <c r="C968" t="str">
        <f>IF(NOT(ISBLANK(A968)),VLOOKUP(A968,'BBT3'!A:F,3,0),"")</f>
        <v/>
      </c>
      <c r="D968" s="6" t="str">
        <f>IF(NOT(ISBLANK(A968)),VLOOKUP(A968,'BBT3'!A:F,4,1),"")</f>
        <v/>
      </c>
      <c r="E968" t="str">
        <f>IF(NOT(ISBLANK(A968)),VLOOKUP(A968,'BBT3'!A:F,5,0),"")</f>
        <v/>
      </c>
      <c r="F968" t="str">
        <f>IF(NOT(ISBLANK(A968)),VLOOKUP(A968,'BBT3'!A:F,6,0),"")</f>
        <v/>
      </c>
      <c r="G968" t="str">
        <f>IF(NOT(ISBLANK(A968)),VLOOKUP(A968,QW_Close!A:J,5,0),"")</f>
        <v/>
      </c>
      <c r="H968" s="5" t="str" cm="1">
        <f t="array" ref="H968">IF(NOT(ISBLANK(A968)),((_xlfn.XLOOKUP(1,(_bbt3[[#All],[ID]]=A968)*(_bbt3[[#All],[METRIC_NAME]]="YLD_YTM_ASK"),_bbt3[[#All],[METRIC_VALUE]])*0.5)+(_xlfn.XLOOKUP(1,(_bbt3[[#All],[ID]]=A968)*(_bbt3[[#All],[METRIC_NAME]]="YLD_YTM_BID"),_bbt3[[#All],[METRIC_VALUE]])*0.5))/100,"")</f>
        <v/>
      </c>
      <c r="I968">
        <f>IF(ISNA(VLOOKUP(A968,QW_CloseDL!A:E,5,0)),0,VLOOKUP(A968,QW_CloseDL!A:E,5,0))</f>
        <v>0</v>
      </c>
      <c r="J968" s="8" t="str">
        <f t="shared" si="75"/>
        <v/>
      </c>
      <c r="P968">
        <v>0</v>
      </c>
      <c r="Q968" t="e">
        <f t="shared" si="71"/>
        <v>#N/A</v>
      </c>
      <c r="R968" t="e">
        <f t="shared" si="72"/>
        <v>#N/A</v>
      </c>
      <c r="S968" s="9" t="e">
        <f t="shared" si="73"/>
        <v>#N/A</v>
      </c>
      <c r="T968" s="3" t="e">
        <f t="shared" si="74"/>
        <v>#N/A</v>
      </c>
    </row>
    <row r="969" spans="2:20" x14ac:dyDescent="0.35">
      <c r="B969" t="str">
        <f>IF(NOT(ISBLANK(A969)),VLOOKUP(A969,'BBT3'!A:F,2,0),"")</f>
        <v/>
      </c>
      <c r="C969" t="str">
        <f>IF(NOT(ISBLANK(A969)),VLOOKUP(A969,'BBT3'!A:F,3,0),"")</f>
        <v/>
      </c>
      <c r="D969" s="6" t="str">
        <f>IF(NOT(ISBLANK(A969)),VLOOKUP(A969,'BBT3'!A:F,4,1),"")</f>
        <v/>
      </c>
      <c r="E969" t="str">
        <f>IF(NOT(ISBLANK(A969)),VLOOKUP(A969,'BBT3'!A:F,5,0),"")</f>
        <v/>
      </c>
      <c r="F969" t="str">
        <f>IF(NOT(ISBLANK(A969)),VLOOKUP(A969,'BBT3'!A:F,6,0),"")</f>
        <v/>
      </c>
      <c r="G969" t="str">
        <f>IF(NOT(ISBLANK(A969)),VLOOKUP(A969,QW_Close!A:J,5,0),"")</f>
        <v/>
      </c>
      <c r="H969" s="5" t="str" cm="1">
        <f t="array" ref="H969">IF(NOT(ISBLANK(A969)),((_xlfn.XLOOKUP(1,(_bbt3[[#All],[ID]]=A969)*(_bbt3[[#All],[METRIC_NAME]]="YLD_YTM_ASK"),_bbt3[[#All],[METRIC_VALUE]])*0.5)+(_xlfn.XLOOKUP(1,(_bbt3[[#All],[ID]]=A969)*(_bbt3[[#All],[METRIC_NAME]]="YLD_YTM_BID"),_bbt3[[#All],[METRIC_VALUE]])*0.5))/100,"")</f>
        <v/>
      </c>
      <c r="I969">
        <f>IF(ISNA(VLOOKUP(A969,QW_CloseDL!A:E,5,0)),0,VLOOKUP(A969,QW_CloseDL!A:E,5,0))</f>
        <v>0</v>
      </c>
      <c r="J969" s="8" t="str">
        <f t="shared" si="75"/>
        <v/>
      </c>
      <c r="P969">
        <v>0</v>
      </c>
      <c r="Q969" t="e">
        <f t="shared" si="71"/>
        <v>#N/A</v>
      </c>
      <c r="R969" t="e">
        <f t="shared" si="72"/>
        <v>#N/A</v>
      </c>
      <c r="S969" s="9" t="e">
        <f t="shared" si="73"/>
        <v>#N/A</v>
      </c>
      <c r="T969" s="3" t="e">
        <f t="shared" si="74"/>
        <v>#N/A</v>
      </c>
    </row>
    <row r="970" spans="2:20" x14ac:dyDescent="0.35">
      <c r="B970" t="str">
        <f>IF(NOT(ISBLANK(A970)),VLOOKUP(A970,'BBT3'!A:F,2,0),"")</f>
        <v/>
      </c>
      <c r="C970" t="str">
        <f>IF(NOT(ISBLANK(A970)),VLOOKUP(A970,'BBT3'!A:F,3,0),"")</f>
        <v/>
      </c>
      <c r="D970" s="6" t="str">
        <f>IF(NOT(ISBLANK(A970)),VLOOKUP(A970,'BBT3'!A:F,4,1),"")</f>
        <v/>
      </c>
      <c r="E970" t="str">
        <f>IF(NOT(ISBLANK(A970)),VLOOKUP(A970,'BBT3'!A:F,5,0),"")</f>
        <v/>
      </c>
      <c r="F970" t="str">
        <f>IF(NOT(ISBLANK(A970)),VLOOKUP(A970,'BBT3'!A:F,6,0),"")</f>
        <v/>
      </c>
      <c r="G970" t="str">
        <f>IF(NOT(ISBLANK(A970)),VLOOKUP(A970,QW_Close!A:J,5,0),"")</f>
        <v/>
      </c>
      <c r="H970" s="5" t="str" cm="1">
        <f t="array" ref="H970">IF(NOT(ISBLANK(A970)),((_xlfn.XLOOKUP(1,(_bbt3[[#All],[ID]]=A970)*(_bbt3[[#All],[METRIC_NAME]]="YLD_YTM_ASK"),_bbt3[[#All],[METRIC_VALUE]])*0.5)+(_xlfn.XLOOKUP(1,(_bbt3[[#All],[ID]]=A970)*(_bbt3[[#All],[METRIC_NAME]]="YLD_YTM_BID"),_bbt3[[#All],[METRIC_VALUE]])*0.5))/100,"")</f>
        <v/>
      </c>
      <c r="I970">
        <f>IF(ISNA(VLOOKUP(A970,QW_CloseDL!A:E,5,0)),0,VLOOKUP(A970,QW_CloseDL!A:E,5,0))</f>
        <v>0</v>
      </c>
      <c r="J970" s="8" t="str">
        <f t="shared" si="75"/>
        <v/>
      </c>
      <c r="P970">
        <v>0</v>
      </c>
      <c r="Q970" t="e">
        <f t="shared" si="71"/>
        <v>#N/A</v>
      </c>
      <c r="R970" t="e">
        <f t="shared" si="72"/>
        <v>#N/A</v>
      </c>
      <c r="S970" s="9" t="e">
        <f t="shared" si="73"/>
        <v>#N/A</v>
      </c>
      <c r="T970" s="3" t="e">
        <f t="shared" si="74"/>
        <v>#N/A</v>
      </c>
    </row>
    <row r="971" spans="2:20" x14ac:dyDescent="0.35">
      <c r="B971" t="str">
        <f>IF(NOT(ISBLANK(A971)),VLOOKUP(A971,'BBT3'!A:F,2,0),"")</f>
        <v/>
      </c>
      <c r="C971" t="str">
        <f>IF(NOT(ISBLANK(A971)),VLOOKUP(A971,'BBT3'!A:F,3,0),"")</f>
        <v/>
      </c>
      <c r="D971" s="6" t="str">
        <f>IF(NOT(ISBLANK(A971)),VLOOKUP(A971,'BBT3'!A:F,4,1),"")</f>
        <v/>
      </c>
      <c r="E971" t="str">
        <f>IF(NOT(ISBLANK(A971)),VLOOKUP(A971,'BBT3'!A:F,5,0),"")</f>
        <v/>
      </c>
      <c r="F971" t="str">
        <f>IF(NOT(ISBLANK(A971)),VLOOKUP(A971,'BBT3'!A:F,6,0),"")</f>
        <v/>
      </c>
      <c r="G971" t="str">
        <f>IF(NOT(ISBLANK(A971)),VLOOKUP(A971,QW_Close!A:J,5,0),"")</f>
        <v/>
      </c>
      <c r="H971" s="5" t="str" cm="1">
        <f t="array" ref="H971">IF(NOT(ISBLANK(A971)),((_xlfn.XLOOKUP(1,(_bbt3[[#All],[ID]]=A971)*(_bbt3[[#All],[METRIC_NAME]]="YLD_YTM_ASK"),_bbt3[[#All],[METRIC_VALUE]])*0.5)+(_xlfn.XLOOKUP(1,(_bbt3[[#All],[ID]]=A971)*(_bbt3[[#All],[METRIC_NAME]]="YLD_YTM_BID"),_bbt3[[#All],[METRIC_VALUE]])*0.5))/100,"")</f>
        <v/>
      </c>
      <c r="I971">
        <f>IF(ISNA(VLOOKUP(A971,QW_CloseDL!A:E,5,0)),0,VLOOKUP(A971,QW_CloseDL!A:E,5,0))</f>
        <v>0</v>
      </c>
      <c r="J971" s="8" t="str">
        <f t="shared" si="75"/>
        <v/>
      </c>
      <c r="P971">
        <v>0</v>
      </c>
      <c r="Q971" t="e">
        <f t="shared" si="71"/>
        <v>#N/A</v>
      </c>
      <c r="R971" t="e">
        <f t="shared" si="72"/>
        <v>#N/A</v>
      </c>
      <c r="S971" s="9" t="e">
        <f t="shared" si="73"/>
        <v>#N/A</v>
      </c>
      <c r="T971" s="3" t="e">
        <f t="shared" si="74"/>
        <v>#N/A</v>
      </c>
    </row>
    <row r="972" spans="2:20" x14ac:dyDescent="0.35">
      <c r="B972" t="str">
        <f>IF(NOT(ISBLANK(A972)),VLOOKUP(A972,'BBT3'!A:F,2,0),"")</f>
        <v/>
      </c>
      <c r="C972" t="str">
        <f>IF(NOT(ISBLANK(A972)),VLOOKUP(A972,'BBT3'!A:F,3,0),"")</f>
        <v/>
      </c>
      <c r="D972" s="6" t="str">
        <f>IF(NOT(ISBLANK(A972)),VLOOKUP(A972,'BBT3'!A:F,4,1),"")</f>
        <v/>
      </c>
      <c r="E972" t="str">
        <f>IF(NOT(ISBLANK(A972)),VLOOKUP(A972,'BBT3'!A:F,5,0),"")</f>
        <v/>
      </c>
      <c r="F972" t="str">
        <f>IF(NOT(ISBLANK(A972)),VLOOKUP(A972,'BBT3'!A:F,6,0),"")</f>
        <v/>
      </c>
      <c r="G972" t="str">
        <f>IF(NOT(ISBLANK(A972)),VLOOKUP(A972,QW_Close!A:J,5,0),"")</f>
        <v/>
      </c>
      <c r="H972" s="5" t="str" cm="1">
        <f t="array" ref="H972">IF(NOT(ISBLANK(A972)),((_xlfn.XLOOKUP(1,(_bbt3[[#All],[ID]]=A972)*(_bbt3[[#All],[METRIC_NAME]]="YLD_YTM_ASK"),_bbt3[[#All],[METRIC_VALUE]])*0.5)+(_xlfn.XLOOKUP(1,(_bbt3[[#All],[ID]]=A972)*(_bbt3[[#All],[METRIC_NAME]]="YLD_YTM_BID"),_bbt3[[#All],[METRIC_VALUE]])*0.5))/100,"")</f>
        <v/>
      </c>
      <c r="I972">
        <f>IF(ISNA(VLOOKUP(A972,QW_CloseDL!A:E,5,0)),0,VLOOKUP(A972,QW_CloseDL!A:E,5,0))</f>
        <v>0</v>
      </c>
      <c r="J972" s="8" t="str">
        <f t="shared" si="75"/>
        <v/>
      </c>
      <c r="P972">
        <v>0</v>
      </c>
      <c r="Q972" t="e">
        <f t="shared" si="71"/>
        <v>#N/A</v>
      </c>
      <c r="R972" t="e">
        <f t="shared" si="72"/>
        <v>#N/A</v>
      </c>
      <c r="S972" s="9" t="e">
        <f t="shared" si="73"/>
        <v>#N/A</v>
      </c>
      <c r="T972" s="3" t="e">
        <f t="shared" si="74"/>
        <v>#N/A</v>
      </c>
    </row>
    <row r="973" spans="2:20" x14ac:dyDescent="0.35">
      <c r="B973" t="str">
        <f>IF(NOT(ISBLANK(A973)),VLOOKUP(A973,'BBT3'!A:F,2,0),"")</f>
        <v/>
      </c>
      <c r="C973" t="str">
        <f>IF(NOT(ISBLANK(A973)),VLOOKUP(A973,'BBT3'!A:F,3,0),"")</f>
        <v/>
      </c>
      <c r="D973" s="6" t="str">
        <f>IF(NOT(ISBLANK(A973)),VLOOKUP(A973,'BBT3'!A:F,4,1),"")</f>
        <v/>
      </c>
      <c r="E973" t="str">
        <f>IF(NOT(ISBLANK(A973)),VLOOKUP(A973,'BBT3'!A:F,5,0),"")</f>
        <v/>
      </c>
      <c r="F973" t="str">
        <f>IF(NOT(ISBLANK(A973)),VLOOKUP(A973,'BBT3'!A:F,6,0),"")</f>
        <v/>
      </c>
      <c r="G973" t="str">
        <f>IF(NOT(ISBLANK(A973)),VLOOKUP(A973,QW_Close!A:J,5,0),"")</f>
        <v/>
      </c>
      <c r="H973" s="5" t="str" cm="1">
        <f t="array" ref="H973">IF(NOT(ISBLANK(A973)),((_xlfn.XLOOKUP(1,(_bbt3[[#All],[ID]]=A973)*(_bbt3[[#All],[METRIC_NAME]]="YLD_YTM_ASK"),_bbt3[[#All],[METRIC_VALUE]])*0.5)+(_xlfn.XLOOKUP(1,(_bbt3[[#All],[ID]]=A973)*(_bbt3[[#All],[METRIC_NAME]]="YLD_YTM_BID"),_bbt3[[#All],[METRIC_VALUE]])*0.5))/100,"")</f>
        <v/>
      </c>
      <c r="I973">
        <f>IF(ISNA(VLOOKUP(A973,QW_CloseDL!A:E,5,0)),0,VLOOKUP(A973,QW_CloseDL!A:E,5,0))</f>
        <v>0</v>
      </c>
      <c r="J973" s="8" t="str">
        <f t="shared" si="75"/>
        <v/>
      </c>
      <c r="P973">
        <v>0</v>
      </c>
      <c r="Q973" t="e">
        <f t="shared" ref="Q973:Q1036" si="76">VLOOKUP(P973,A:B,2,0)</f>
        <v>#N/A</v>
      </c>
      <c r="R973" t="e">
        <f t="shared" ref="R973:R1036" si="77">VLOOKUP(P973,A:E,4,0)</f>
        <v>#N/A</v>
      </c>
      <c r="S973" s="9" t="e">
        <f t="shared" ref="S973:S1036" si="78">VLOOKUP(P973,A:J,10,0)</f>
        <v>#N/A</v>
      </c>
      <c r="T973" s="3" t="e">
        <f t="shared" ref="T973:T1036" si="79">VLOOKUP(P973,A:J,5,0)</f>
        <v>#N/A</v>
      </c>
    </row>
    <row r="974" spans="2:20" x14ac:dyDescent="0.35">
      <c r="B974" t="str">
        <f>IF(NOT(ISBLANK(A974)),VLOOKUP(A974,'BBT3'!A:F,2,0),"")</f>
        <v/>
      </c>
      <c r="C974" t="str">
        <f>IF(NOT(ISBLANK(A974)),VLOOKUP(A974,'BBT3'!A:F,3,0),"")</f>
        <v/>
      </c>
      <c r="D974" s="6" t="str">
        <f>IF(NOT(ISBLANK(A974)),VLOOKUP(A974,'BBT3'!A:F,4,1),"")</f>
        <v/>
      </c>
      <c r="E974" t="str">
        <f>IF(NOT(ISBLANK(A974)),VLOOKUP(A974,'BBT3'!A:F,5,0),"")</f>
        <v/>
      </c>
      <c r="F974" t="str">
        <f>IF(NOT(ISBLANK(A974)),VLOOKUP(A974,'BBT3'!A:F,6,0),"")</f>
        <v/>
      </c>
      <c r="G974" t="str">
        <f>IF(NOT(ISBLANK(A974)),VLOOKUP(A974,QW_Close!A:J,5,0),"")</f>
        <v/>
      </c>
      <c r="H974" s="5" t="str" cm="1">
        <f t="array" ref="H974">IF(NOT(ISBLANK(A974)),((_xlfn.XLOOKUP(1,(_bbt3[[#All],[ID]]=A974)*(_bbt3[[#All],[METRIC_NAME]]="YLD_YTM_ASK"),_bbt3[[#All],[METRIC_VALUE]])*0.5)+(_xlfn.XLOOKUP(1,(_bbt3[[#All],[ID]]=A974)*(_bbt3[[#All],[METRIC_NAME]]="YLD_YTM_BID"),_bbt3[[#All],[METRIC_VALUE]])*0.5))/100,"")</f>
        <v/>
      </c>
      <c r="I974">
        <f>IF(ISNA(VLOOKUP(A974,QW_CloseDL!A:E,5,0)),0,VLOOKUP(A974,QW_CloseDL!A:E,5,0))</f>
        <v>0</v>
      </c>
      <c r="J974" s="8" t="str">
        <f t="shared" si="75"/>
        <v/>
      </c>
      <c r="P974">
        <v>0</v>
      </c>
      <c r="Q974" t="e">
        <f t="shared" si="76"/>
        <v>#N/A</v>
      </c>
      <c r="R974" t="e">
        <f t="shared" si="77"/>
        <v>#N/A</v>
      </c>
      <c r="S974" s="9" t="e">
        <f t="shared" si="78"/>
        <v>#N/A</v>
      </c>
      <c r="T974" s="3" t="e">
        <f t="shared" si="79"/>
        <v>#N/A</v>
      </c>
    </row>
    <row r="975" spans="2:20" x14ac:dyDescent="0.35">
      <c r="B975" t="str">
        <f>IF(NOT(ISBLANK(A975)),VLOOKUP(A975,'BBT3'!A:F,2,0),"")</f>
        <v/>
      </c>
      <c r="C975" t="str">
        <f>IF(NOT(ISBLANK(A975)),VLOOKUP(A975,'BBT3'!A:F,3,0),"")</f>
        <v/>
      </c>
      <c r="D975" s="6" t="str">
        <f>IF(NOT(ISBLANK(A975)),VLOOKUP(A975,'BBT3'!A:F,4,1),"")</f>
        <v/>
      </c>
      <c r="E975" t="str">
        <f>IF(NOT(ISBLANK(A975)),VLOOKUP(A975,'BBT3'!A:F,5,0),"")</f>
        <v/>
      </c>
      <c r="F975" t="str">
        <f>IF(NOT(ISBLANK(A975)),VLOOKUP(A975,'BBT3'!A:F,6,0),"")</f>
        <v/>
      </c>
      <c r="G975" t="str">
        <f>IF(NOT(ISBLANK(A975)),VLOOKUP(A975,QW_Close!A:J,5,0),"")</f>
        <v/>
      </c>
      <c r="H975" s="5" t="str" cm="1">
        <f t="array" ref="H975">IF(NOT(ISBLANK(A975)),((_xlfn.XLOOKUP(1,(_bbt3[[#All],[ID]]=A975)*(_bbt3[[#All],[METRIC_NAME]]="YLD_YTM_ASK"),_bbt3[[#All],[METRIC_VALUE]])*0.5)+(_xlfn.XLOOKUP(1,(_bbt3[[#All],[ID]]=A975)*(_bbt3[[#All],[METRIC_NAME]]="YLD_YTM_BID"),_bbt3[[#All],[METRIC_VALUE]])*0.5))/100,"")</f>
        <v/>
      </c>
      <c r="I975">
        <f>IF(ISNA(VLOOKUP(A975,QW_CloseDL!A:E,5,0)),0,VLOOKUP(A975,QW_CloseDL!A:E,5,0))</f>
        <v>0</v>
      </c>
      <c r="J975" s="8" t="str">
        <f t="shared" si="75"/>
        <v/>
      </c>
      <c r="P975">
        <v>0</v>
      </c>
      <c r="Q975" t="e">
        <f t="shared" si="76"/>
        <v>#N/A</v>
      </c>
      <c r="R975" t="e">
        <f t="shared" si="77"/>
        <v>#N/A</v>
      </c>
      <c r="S975" s="9" t="e">
        <f t="shared" si="78"/>
        <v>#N/A</v>
      </c>
      <c r="T975" s="3" t="e">
        <f t="shared" si="79"/>
        <v>#N/A</v>
      </c>
    </row>
    <row r="976" spans="2:20" x14ac:dyDescent="0.35">
      <c r="B976" t="str">
        <f>IF(NOT(ISBLANK(A976)),VLOOKUP(A976,'BBT3'!A:F,2,0),"")</f>
        <v/>
      </c>
      <c r="C976" t="str">
        <f>IF(NOT(ISBLANK(A976)),VLOOKUP(A976,'BBT3'!A:F,3,0),"")</f>
        <v/>
      </c>
      <c r="D976" s="6" t="str">
        <f>IF(NOT(ISBLANK(A976)),VLOOKUP(A976,'BBT3'!A:F,4,1),"")</f>
        <v/>
      </c>
      <c r="E976" t="str">
        <f>IF(NOT(ISBLANK(A976)),VLOOKUP(A976,'BBT3'!A:F,5,0),"")</f>
        <v/>
      </c>
      <c r="F976" t="str">
        <f>IF(NOT(ISBLANK(A976)),VLOOKUP(A976,'BBT3'!A:F,6,0),"")</f>
        <v/>
      </c>
      <c r="G976" t="str">
        <f>IF(NOT(ISBLANK(A976)),VLOOKUP(A976,QW_Close!A:J,5,0),"")</f>
        <v/>
      </c>
      <c r="H976" s="5" t="str" cm="1">
        <f t="array" ref="H976">IF(NOT(ISBLANK(A976)),((_xlfn.XLOOKUP(1,(_bbt3[[#All],[ID]]=A976)*(_bbt3[[#All],[METRIC_NAME]]="YLD_YTM_ASK"),_bbt3[[#All],[METRIC_VALUE]])*0.5)+(_xlfn.XLOOKUP(1,(_bbt3[[#All],[ID]]=A976)*(_bbt3[[#All],[METRIC_NAME]]="YLD_YTM_BID"),_bbt3[[#All],[METRIC_VALUE]])*0.5))/100,"")</f>
        <v/>
      </c>
      <c r="I976">
        <f>IF(ISNA(VLOOKUP(A976,QW_CloseDL!A:E,5,0)),0,VLOOKUP(A976,QW_CloseDL!A:E,5,0))</f>
        <v>0</v>
      </c>
      <c r="J976" s="8" t="str">
        <f t="shared" si="75"/>
        <v/>
      </c>
      <c r="P976">
        <v>0</v>
      </c>
      <c r="Q976" t="e">
        <f t="shared" si="76"/>
        <v>#N/A</v>
      </c>
      <c r="R976" t="e">
        <f t="shared" si="77"/>
        <v>#N/A</v>
      </c>
      <c r="S976" s="9" t="e">
        <f t="shared" si="78"/>
        <v>#N/A</v>
      </c>
      <c r="T976" s="3" t="e">
        <f t="shared" si="79"/>
        <v>#N/A</v>
      </c>
    </row>
    <row r="977" spans="2:20" x14ac:dyDescent="0.35">
      <c r="B977" t="str">
        <f>IF(NOT(ISBLANK(A977)),VLOOKUP(A977,'BBT3'!A:F,2,0),"")</f>
        <v/>
      </c>
      <c r="C977" t="str">
        <f>IF(NOT(ISBLANK(A977)),VLOOKUP(A977,'BBT3'!A:F,3,0),"")</f>
        <v/>
      </c>
      <c r="D977" s="6" t="str">
        <f>IF(NOT(ISBLANK(A977)),VLOOKUP(A977,'BBT3'!A:F,4,1),"")</f>
        <v/>
      </c>
      <c r="E977" t="str">
        <f>IF(NOT(ISBLANK(A977)),VLOOKUP(A977,'BBT3'!A:F,5,0),"")</f>
        <v/>
      </c>
      <c r="F977" t="str">
        <f>IF(NOT(ISBLANK(A977)),VLOOKUP(A977,'BBT3'!A:F,6,0),"")</f>
        <v/>
      </c>
      <c r="G977" t="str">
        <f>IF(NOT(ISBLANK(A977)),VLOOKUP(A977,QW_Close!A:J,5,0),"")</f>
        <v/>
      </c>
      <c r="H977" s="5" t="str" cm="1">
        <f t="array" ref="H977">IF(NOT(ISBLANK(A977)),((_xlfn.XLOOKUP(1,(_bbt3[[#All],[ID]]=A977)*(_bbt3[[#All],[METRIC_NAME]]="YLD_YTM_ASK"),_bbt3[[#All],[METRIC_VALUE]])*0.5)+(_xlfn.XLOOKUP(1,(_bbt3[[#All],[ID]]=A977)*(_bbt3[[#All],[METRIC_NAME]]="YLD_YTM_BID"),_bbt3[[#All],[METRIC_VALUE]])*0.5))/100,"")</f>
        <v/>
      </c>
      <c r="I977">
        <f>IF(ISNA(VLOOKUP(A977,QW_CloseDL!A:E,5,0)),0,VLOOKUP(A977,QW_CloseDL!A:E,5,0))</f>
        <v>0</v>
      </c>
      <c r="J977" s="8" t="str">
        <f t="shared" si="75"/>
        <v/>
      </c>
      <c r="P977">
        <v>0</v>
      </c>
      <c r="Q977" t="e">
        <f t="shared" si="76"/>
        <v>#N/A</v>
      </c>
      <c r="R977" t="e">
        <f t="shared" si="77"/>
        <v>#N/A</v>
      </c>
      <c r="S977" s="9" t="e">
        <f t="shared" si="78"/>
        <v>#N/A</v>
      </c>
      <c r="T977" s="3" t="e">
        <f t="shared" si="79"/>
        <v>#N/A</v>
      </c>
    </row>
    <row r="978" spans="2:20" x14ac:dyDescent="0.35">
      <c r="B978" t="str">
        <f>IF(NOT(ISBLANK(A978)),VLOOKUP(A978,'BBT3'!A:F,2,0),"")</f>
        <v/>
      </c>
      <c r="C978" t="str">
        <f>IF(NOT(ISBLANK(A978)),VLOOKUP(A978,'BBT3'!A:F,3,0),"")</f>
        <v/>
      </c>
      <c r="D978" s="6" t="str">
        <f>IF(NOT(ISBLANK(A978)),VLOOKUP(A978,'BBT3'!A:F,4,1),"")</f>
        <v/>
      </c>
      <c r="E978" t="str">
        <f>IF(NOT(ISBLANK(A978)),VLOOKUP(A978,'BBT3'!A:F,5,0),"")</f>
        <v/>
      </c>
      <c r="F978" t="str">
        <f>IF(NOT(ISBLANK(A978)),VLOOKUP(A978,'BBT3'!A:F,6,0),"")</f>
        <v/>
      </c>
      <c r="G978" t="str">
        <f>IF(NOT(ISBLANK(A978)),VLOOKUP(A978,QW_Close!A:J,5,0),"")</f>
        <v/>
      </c>
      <c r="H978" s="5" t="str" cm="1">
        <f t="array" ref="H978">IF(NOT(ISBLANK(A978)),((_xlfn.XLOOKUP(1,(_bbt3[[#All],[ID]]=A978)*(_bbt3[[#All],[METRIC_NAME]]="YLD_YTM_ASK"),_bbt3[[#All],[METRIC_VALUE]])*0.5)+(_xlfn.XLOOKUP(1,(_bbt3[[#All],[ID]]=A978)*(_bbt3[[#All],[METRIC_NAME]]="YLD_YTM_BID"),_bbt3[[#All],[METRIC_VALUE]])*0.5))/100,"")</f>
        <v/>
      </c>
      <c r="I978">
        <f>IF(ISNA(VLOOKUP(A978,QW_CloseDL!A:E,5,0)),0,VLOOKUP(A978,QW_CloseDL!A:E,5,0))</f>
        <v>0</v>
      </c>
      <c r="J978" s="8" t="str">
        <f t="shared" si="75"/>
        <v/>
      </c>
      <c r="P978">
        <v>0</v>
      </c>
      <c r="Q978" t="e">
        <f t="shared" si="76"/>
        <v>#N/A</v>
      </c>
      <c r="R978" t="e">
        <f t="shared" si="77"/>
        <v>#N/A</v>
      </c>
      <c r="S978" s="9" t="e">
        <f t="shared" si="78"/>
        <v>#N/A</v>
      </c>
      <c r="T978" s="3" t="e">
        <f t="shared" si="79"/>
        <v>#N/A</v>
      </c>
    </row>
    <row r="979" spans="2:20" x14ac:dyDescent="0.35">
      <c r="B979" t="str">
        <f>IF(NOT(ISBLANK(A979)),VLOOKUP(A979,'BBT3'!A:F,2,0),"")</f>
        <v/>
      </c>
      <c r="C979" t="str">
        <f>IF(NOT(ISBLANK(A979)),VLOOKUP(A979,'BBT3'!A:F,3,0),"")</f>
        <v/>
      </c>
      <c r="D979" s="6" t="str">
        <f>IF(NOT(ISBLANK(A979)),VLOOKUP(A979,'BBT3'!A:F,4,1),"")</f>
        <v/>
      </c>
      <c r="E979" t="str">
        <f>IF(NOT(ISBLANK(A979)),VLOOKUP(A979,'BBT3'!A:F,5,0),"")</f>
        <v/>
      </c>
      <c r="F979" t="str">
        <f>IF(NOT(ISBLANK(A979)),VLOOKUP(A979,'BBT3'!A:F,6,0),"")</f>
        <v/>
      </c>
      <c r="G979" t="str">
        <f>IF(NOT(ISBLANK(A979)),VLOOKUP(A979,QW_Close!A:J,5,0),"")</f>
        <v/>
      </c>
      <c r="H979" s="5" t="str" cm="1">
        <f t="array" ref="H979">IF(NOT(ISBLANK(A979)),((_xlfn.XLOOKUP(1,(_bbt3[[#All],[ID]]=A979)*(_bbt3[[#All],[METRIC_NAME]]="YLD_YTM_ASK"),_bbt3[[#All],[METRIC_VALUE]])*0.5)+(_xlfn.XLOOKUP(1,(_bbt3[[#All],[ID]]=A979)*(_bbt3[[#All],[METRIC_NAME]]="YLD_YTM_BID"),_bbt3[[#All],[METRIC_VALUE]])*0.5))/100,"")</f>
        <v/>
      </c>
      <c r="I979">
        <f>IF(ISNA(VLOOKUP(A979,QW_CloseDL!A:E,5,0)),0,VLOOKUP(A979,QW_CloseDL!A:E,5,0))</f>
        <v>0</v>
      </c>
      <c r="J979" s="8" t="str">
        <f t="shared" si="75"/>
        <v/>
      </c>
      <c r="P979">
        <v>0</v>
      </c>
      <c r="Q979" t="e">
        <f t="shared" si="76"/>
        <v>#N/A</v>
      </c>
      <c r="R979" t="e">
        <f t="shared" si="77"/>
        <v>#N/A</v>
      </c>
      <c r="S979" s="9" t="e">
        <f t="shared" si="78"/>
        <v>#N/A</v>
      </c>
      <c r="T979" s="3" t="e">
        <f t="shared" si="79"/>
        <v>#N/A</v>
      </c>
    </row>
    <row r="980" spans="2:20" x14ac:dyDescent="0.35">
      <c r="B980" t="str">
        <f>IF(NOT(ISBLANK(A980)),VLOOKUP(A980,'BBT3'!A:F,2,0),"")</f>
        <v/>
      </c>
      <c r="C980" t="str">
        <f>IF(NOT(ISBLANK(A980)),VLOOKUP(A980,'BBT3'!A:F,3,0),"")</f>
        <v/>
      </c>
      <c r="D980" s="6" t="str">
        <f>IF(NOT(ISBLANK(A980)),VLOOKUP(A980,'BBT3'!A:F,4,1),"")</f>
        <v/>
      </c>
      <c r="E980" t="str">
        <f>IF(NOT(ISBLANK(A980)),VLOOKUP(A980,'BBT3'!A:F,5,0),"")</f>
        <v/>
      </c>
      <c r="F980" t="str">
        <f>IF(NOT(ISBLANK(A980)),VLOOKUP(A980,'BBT3'!A:F,6,0),"")</f>
        <v/>
      </c>
      <c r="G980" t="str">
        <f>IF(NOT(ISBLANK(A980)),VLOOKUP(A980,QW_Close!A:J,5,0),"")</f>
        <v/>
      </c>
      <c r="H980" s="5" t="str" cm="1">
        <f t="array" ref="H980">IF(NOT(ISBLANK(A980)),((_xlfn.XLOOKUP(1,(_bbt3[[#All],[ID]]=A980)*(_bbt3[[#All],[METRIC_NAME]]="YLD_YTM_ASK"),_bbt3[[#All],[METRIC_VALUE]])*0.5)+(_xlfn.XLOOKUP(1,(_bbt3[[#All],[ID]]=A980)*(_bbt3[[#All],[METRIC_NAME]]="YLD_YTM_BID"),_bbt3[[#All],[METRIC_VALUE]])*0.5))/100,"")</f>
        <v/>
      </c>
      <c r="I980">
        <f>IF(ISNA(VLOOKUP(A980,QW_CloseDL!A:E,5,0)),0,VLOOKUP(A980,QW_CloseDL!A:E,5,0))</f>
        <v>0</v>
      </c>
      <c r="J980" s="8" t="str">
        <f t="shared" si="75"/>
        <v/>
      </c>
      <c r="P980">
        <v>0</v>
      </c>
      <c r="Q980" t="e">
        <f t="shared" si="76"/>
        <v>#N/A</v>
      </c>
      <c r="R980" t="e">
        <f t="shared" si="77"/>
        <v>#N/A</v>
      </c>
      <c r="S980" s="9" t="e">
        <f t="shared" si="78"/>
        <v>#N/A</v>
      </c>
      <c r="T980" s="3" t="e">
        <f t="shared" si="79"/>
        <v>#N/A</v>
      </c>
    </row>
    <row r="981" spans="2:20" x14ac:dyDescent="0.35">
      <c r="B981" t="str">
        <f>IF(NOT(ISBLANK(A981)),VLOOKUP(A981,'BBT3'!A:F,2,0),"")</f>
        <v/>
      </c>
      <c r="C981" t="str">
        <f>IF(NOT(ISBLANK(A981)),VLOOKUP(A981,'BBT3'!A:F,3,0),"")</f>
        <v/>
      </c>
      <c r="D981" s="6" t="str">
        <f>IF(NOT(ISBLANK(A981)),VLOOKUP(A981,'BBT3'!A:F,4,1),"")</f>
        <v/>
      </c>
      <c r="E981" t="str">
        <f>IF(NOT(ISBLANK(A981)),VLOOKUP(A981,'BBT3'!A:F,5,0),"")</f>
        <v/>
      </c>
      <c r="F981" t="str">
        <f>IF(NOT(ISBLANK(A981)),VLOOKUP(A981,'BBT3'!A:F,6,0),"")</f>
        <v/>
      </c>
      <c r="G981" t="str">
        <f>IF(NOT(ISBLANK(A981)),VLOOKUP(A981,QW_Close!A:J,5,0),"")</f>
        <v/>
      </c>
      <c r="H981" s="5" t="str" cm="1">
        <f t="array" ref="H981">IF(NOT(ISBLANK(A981)),((_xlfn.XLOOKUP(1,(_bbt3[[#All],[ID]]=A981)*(_bbt3[[#All],[METRIC_NAME]]="YLD_YTM_ASK"),_bbt3[[#All],[METRIC_VALUE]])*0.5)+(_xlfn.XLOOKUP(1,(_bbt3[[#All],[ID]]=A981)*(_bbt3[[#All],[METRIC_NAME]]="YLD_YTM_BID"),_bbt3[[#All],[METRIC_VALUE]])*0.5))/100,"")</f>
        <v/>
      </c>
      <c r="I981">
        <f>IF(ISNA(VLOOKUP(A981,QW_CloseDL!A:E,5,0)),0,VLOOKUP(A981,QW_CloseDL!A:E,5,0))</f>
        <v>0</v>
      </c>
      <c r="J981" s="8" t="str">
        <f t="shared" si="75"/>
        <v/>
      </c>
      <c r="P981">
        <v>0</v>
      </c>
      <c r="Q981" t="e">
        <f t="shared" si="76"/>
        <v>#N/A</v>
      </c>
      <c r="R981" t="e">
        <f t="shared" si="77"/>
        <v>#N/A</v>
      </c>
      <c r="S981" s="9" t="e">
        <f t="shared" si="78"/>
        <v>#N/A</v>
      </c>
      <c r="T981" s="3" t="e">
        <f t="shared" si="79"/>
        <v>#N/A</v>
      </c>
    </row>
    <row r="982" spans="2:20" x14ac:dyDescent="0.35">
      <c r="B982" t="str">
        <f>IF(NOT(ISBLANK(A982)),VLOOKUP(A982,'BBT3'!A:F,2,0),"")</f>
        <v/>
      </c>
      <c r="C982" t="str">
        <f>IF(NOT(ISBLANK(A982)),VLOOKUP(A982,'BBT3'!A:F,3,0),"")</f>
        <v/>
      </c>
      <c r="D982" s="6" t="str">
        <f>IF(NOT(ISBLANK(A982)),VLOOKUP(A982,'BBT3'!A:F,4,1),"")</f>
        <v/>
      </c>
      <c r="E982" t="str">
        <f>IF(NOT(ISBLANK(A982)),VLOOKUP(A982,'BBT3'!A:F,5,0),"")</f>
        <v/>
      </c>
      <c r="F982" t="str">
        <f>IF(NOT(ISBLANK(A982)),VLOOKUP(A982,'BBT3'!A:F,6,0),"")</f>
        <v/>
      </c>
      <c r="G982" t="str">
        <f>IF(NOT(ISBLANK(A982)),VLOOKUP(A982,QW_Close!A:J,5,0),"")</f>
        <v/>
      </c>
      <c r="H982" s="5" t="str" cm="1">
        <f t="array" ref="H982">IF(NOT(ISBLANK(A982)),((_xlfn.XLOOKUP(1,(_bbt3[[#All],[ID]]=A982)*(_bbt3[[#All],[METRIC_NAME]]="YLD_YTM_ASK"),_bbt3[[#All],[METRIC_VALUE]])*0.5)+(_xlfn.XLOOKUP(1,(_bbt3[[#All],[ID]]=A982)*(_bbt3[[#All],[METRIC_NAME]]="YLD_YTM_BID"),_bbt3[[#All],[METRIC_VALUE]])*0.5))/100,"")</f>
        <v/>
      </c>
      <c r="I982">
        <f>IF(ISNA(VLOOKUP(A982,QW_CloseDL!A:E,5,0)),0,VLOOKUP(A982,QW_CloseDL!A:E,5,0))</f>
        <v>0</v>
      </c>
      <c r="J982" s="8" t="str">
        <f t="shared" si="75"/>
        <v/>
      </c>
      <c r="P982">
        <v>0</v>
      </c>
      <c r="Q982" t="e">
        <f t="shared" si="76"/>
        <v>#N/A</v>
      </c>
      <c r="R982" t="e">
        <f t="shared" si="77"/>
        <v>#N/A</v>
      </c>
      <c r="S982" s="9" t="e">
        <f t="shared" si="78"/>
        <v>#N/A</v>
      </c>
      <c r="T982" s="3" t="e">
        <f t="shared" si="79"/>
        <v>#N/A</v>
      </c>
    </row>
    <row r="983" spans="2:20" x14ac:dyDescent="0.35">
      <c r="B983" t="str">
        <f>IF(NOT(ISBLANK(A983)),VLOOKUP(A983,'BBT3'!A:F,2,0),"")</f>
        <v/>
      </c>
      <c r="C983" t="str">
        <f>IF(NOT(ISBLANK(A983)),VLOOKUP(A983,'BBT3'!A:F,3,0),"")</f>
        <v/>
      </c>
      <c r="D983" s="6" t="str">
        <f>IF(NOT(ISBLANK(A983)),VLOOKUP(A983,'BBT3'!A:F,4,1),"")</f>
        <v/>
      </c>
      <c r="E983" t="str">
        <f>IF(NOT(ISBLANK(A983)),VLOOKUP(A983,'BBT3'!A:F,5,0),"")</f>
        <v/>
      </c>
      <c r="F983" t="str">
        <f>IF(NOT(ISBLANK(A983)),VLOOKUP(A983,'BBT3'!A:F,6,0),"")</f>
        <v/>
      </c>
      <c r="G983" t="str">
        <f>IF(NOT(ISBLANK(A983)),VLOOKUP(A983,QW_Close!A:J,5,0),"")</f>
        <v/>
      </c>
      <c r="H983" s="5" t="str" cm="1">
        <f t="array" ref="H983">IF(NOT(ISBLANK(A983)),((_xlfn.XLOOKUP(1,(_bbt3[[#All],[ID]]=A983)*(_bbt3[[#All],[METRIC_NAME]]="YLD_YTM_ASK"),_bbt3[[#All],[METRIC_VALUE]])*0.5)+(_xlfn.XLOOKUP(1,(_bbt3[[#All],[ID]]=A983)*(_bbt3[[#All],[METRIC_NAME]]="YLD_YTM_BID"),_bbt3[[#All],[METRIC_VALUE]])*0.5))/100,"")</f>
        <v/>
      </c>
      <c r="I983">
        <f>IF(ISNA(VLOOKUP(A983,QW_CloseDL!A:E,5,0)),0,VLOOKUP(A983,QW_CloseDL!A:E,5,0))</f>
        <v>0</v>
      </c>
      <c r="J983" s="8" t="str">
        <f t="shared" si="75"/>
        <v/>
      </c>
      <c r="P983">
        <v>0</v>
      </c>
      <c r="Q983" t="e">
        <f t="shared" si="76"/>
        <v>#N/A</v>
      </c>
      <c r="R983" t="e">
        <f t="shared" si="77"/>
        <v>#N/A</v>
      </c>
      <c r="S983" s="9" t="e">
        <f t="shared" si="78"/>
        <v>#N/A</v>
      </c>
      <c r="T983" s="3" t="e">
        <f t="shared" si="79"/>
        <v>#N/A</v>
      </c>
    </row>
    <row r="984" spans="2:20" x14ac:dyDescent="0.35">
      <c r="B984" t="str">
        <f>IF(NOT(ISBLANK(A984)),VLOOKUP(A984,'BBT3'!A:F,2,0),"")</f>
        <v/>
      </c>
      <c r="C984" t="str">
        <f>IF(NOT(ISBLANK(A984)),VLOOKUP(A984,'BBT3'!A:F,3,0),"")</f>
        <v/>
      </c>
      <c r="D984" s="6" t="str">
        <f>IF(NOT(ISBLANK(A984)),VLOOKUP(A984,'BBT3'!A:F,4,1),"")</f>
        <v/>
      </c>
      <c r="E984" t="str">
        <f>IF(NOT(ISBLANK(A984)),VLOOKUP(A984,'BBT3'!A:F,5,0),"")</f>
        <v/>
      </c>
      <c r="F984" t="str">
        <f>IF(NOT(ISBLANK(A984)),VLOOKUP(A984,'BBT3'!A:F,6,0),"")</f>
        <v/>
      </c>
      <c r="G984" t="str">
        <f>IF(NOT(ISBLANK(A984)),VLOOKUP(A984,QW_Close!A:J,5,0),"")</f>
        <v/>
      </c>
      <c r="H984" s="5" t="str" cm="1">
        <f t="array" ref="H984">IF(NOT(ISBLANK(A984)),((_xlfn.XLOOKUP(1,(_bbt3[[#All],[ID]]=A984)*(_bbt3[[#All],[METRIC_NAME]]="YLD_YTM_ASK"),_bbt3[[#All],[METRIC_VALUE]])*0.5)+(_xlfn.XLOOKUP(1,(_bbt3[[#All],[ID]]=A984)*(_bbt3[[#All],[METRIC_NAME]]="YLD_YTM_BID"),_bbt3[[#All],[METRIC_VALUE]])*0.5))/100,"")</f>
        <v/>
      </c>
      <c r="I984">
        <f>IF(ISNA(VLOOKUP(A984,QW_CloseDL!A:E,5,0)),0,VLOOKUP(A984,QW_CloseDL!A:E,5,0))</f>
        <v>0</v>
      </c>
      <c r="J984" s="8" t="str">
        <f t="shared" si="75"/>
        <v/>
      </c>
      <c r="P984">
        <v>0</v>
      </c>
      <c r="Q984" t="e">
        <f t="shared" si="76"/>
        <v>#N/A</v>
      </c>
      <c r="R984" t="e">
        <f t="shared" si="77"/>
        <v>#N/A</v>
      </c>
      <c r="S984" s="9" t="e">
        <f t="shared" si="78"/>
        <v>#N/A</v>
      </c>
      <c r="T984" s="3" t="e">
        <f t="shared" si="79"/>
        <v>#N/A</v>
      </c>
    </row>
    <row r="985" spans="2:20" x14ac:dyDescent="0.35">
      <c r="B985" t="str">
        <f>IF(NOT(ISBLANK(A985)),VLOOKUP(A985,'BBT3'!A:F,2,0),"")</f>
        <v/>
      </c>
      <c r="C985" t="str">
        <f>IF(NOT(ISBLANK(A985)),VLOOKUP(A985,'BBT3'!A:F,3,0),"")</f>
        <v/>
      </c>
      <c r="D985" s="6" t="str">
        <f>IF(NOT(ISBLANK(A985)),VLOOKUP(A985,'BBT3'!A:F,4,1),"")</f>
        <v/>
      </c>
      <c r="E985" t="str">
        <f>IF(NOT(ISBLANK(A985)),VLOOKUP(A985,'BBT3'!A:F,5,0),"")</f>
        <v/>
      </c>
      <c r="F985" t="str">
        <f>IF(NOT(ISBLANK(A985)),VLOOKUP(A985,'BBT3'!A:F,6,0),"")</f>
        <v/>
      </c>
      <c r="G985" t="str">
        <f>IF(NOT(ISBLANK(A985)),VLOOKUP(A985,QW_Close!A:J,5,0),"")</f>
        <v/>
      </c>
      <c r="H985" s="5" t="str" cm="1">
        <f t="array" ref="H985">IF(NOT(ISBLANK(A985)),((_xlfn.XLOOKUP(1,(_bbt3[[#All],[ID]]=A985)*(_bbt3[[#All],[METRIC_NAME]]="YLD_YTM_ASK"),_bbt3[[#All],[METRIC_VALUE]])*0.5)+(_xlfn.XLOOKUP(1,(_bbt3[[#All],[ID]]=A985)*(_bbt3[[#All],[METRIC_NAME]]="YLD_YTM_BID"),_bbt3[[#All],[METRIC_VALUE]])*0.5))/100,"")</f>
        <v/>
      </c>
      <c r="I985">
        <f>IF(ISNA(VLOOKUP(A985,QW_CloseDL!A:E,5,0)),0,VLOOKUP(A985,QW_CloseDL!A:E,5,0))</f>
        <v>0</v>
      </c>
      <c r="J985" s="8" t="str">
        <f t="shared" si="75"/>
        <v/>
      </c>
      <c r="P985">
        <v>0</v>
      </c>
      <c r="Q985" t="e">
        <f t="shared" si="76"/>
        <v>#N/A</v>
      </c>
      <c r="R985" t="e">
        <f t="shared" si="77"/>
        <v>#N/A</v>
      </c>
      <c r="S985" s="9" t="e">
        <f t="shared" si="78"/>
        <v>#N/A</v>
      </c>
      <c r="T985" s="3" t="e">
        <f t="shared" si="79"/>
        <v>#N/A</v>
      </c>
    </row>
    <row r="986" spans="2:20" x14ac:dyDescent="0.35">
      <c r="B986" t="str">
        <f>IF(NOT(ISBLANK(A986)),VLOOKUP(A986,'BBT3'!A:F,2,0),"")</f>
        <v/>
      </c>
      <c r="C986" t="str">
        <f>IF(NOT(ISBLANK(A986)),VLOOKUP(A986,'BBT3'!A:F,3,0),"")</f>
        <v/>
      </c>
      <c r="D986" s="6" t="str">
        <f>IF(NOT(ISBLANK(A986)),VLOOKUP(A986,'BBT3'!A:F,4,1),"")</f>
        <v/>
      </c>
      <c r="E986" t="str">
        <f>IF(NOT(ISBLANK(A986)),VLOOKUP(A986,'BBT3'!A:F,5,0),"")</f>
        <v/>
      </c>
      <c r="F986" t="str">
        <f>IF(NOT(ISBLANK(A986)),VLOOKUP(A986,'BBT3'!A:F,6,0),"")</f>
        <v/>
      </c>
      <c r="G986" t="str">
        <f>IF(NOT(ISBLANK(A986)),VLOOKUP(A986,QW_Close!A:J,5,0),"")</f>
        <v/>
      </c>
      <c r="H986" s="5" t="str" cm="1">
        <f t="array" ref="H986">IF(NOT(ISBLANK(A986)),((_xlfn.XLOOKUP(1,(_bbt3[[#All],[ID]]=A986)*(_bbt3[[#All],[METRIC_NAME]]="YLD_YTM_ASK"),_bbt3[[#All],[METRIC_VALUE]])*0.5)+(_xlfn.XLOOKUP(1,(_bbt3[[#All],[ID]]=A986)*(_bbt3[[#All],[METRIC_NAME]]="YLD_YTM_BID"),_bbt3[[#All],[METRIC_VALUE]])*0.5))/100,"")</f>
        <v/>
      </c>
      <c r="I986">
        <f>IF(ISNA(VLOOKUP(A986,QW_CloseDL!A:E,5,0)),0,VLOOKUP(A986,QW_CloseDL!A:E,5,0))</f>
        <v>0</v>
      </c>
      <c r="J986" s="8" t="str">
        <f t="shared" si="75"/>
        <v/>
      </c>
      <c r="P986">
        <v>0</v>
      </c>
      <c r="Q986" t="e">
        <f t="shared" si="76"/>
        <v>#N/A</v>
      </c>
      <c r="R986" t="e">
        <f t="shared" si="77"/>
        <v>#N/A</v>
      </c>
      <c r="S986" s="9" t="e">
        <f t="shared" si="78"/>
        <v>#N/A</v>
      </c>
      <c r="T986" s="3" t="e">
        <f t="shared" si="79"/>
        <v>#N/A</v>
      </c>
    </row>
    <row r="987" spans="2:20" x14ac:dyDescent="0.35">
      <c r="B987" t="str">
        <f>IF(NOT(ISBLANK(A987)),VLOOKUP(A987,'BBT3'!A:F,2,0),"")</f>
        <v/>
      </c>
      <c r="C987" t="str">
        <f>IF(NOT(ISBLANK(A987)),VLOOKUP(A987,'BBT3'!A:F,3,0),"")</f>
        <v/>
      </c>
      <c r="D987" s="6" t="str">
        <f>IF(NOT(ISBLANK(A987)),VLOOKUP(A987,'BBT3'!A:F,4,1),"")</f>
        <v/>
      </c>
      <c r="E987" t="str">
        <f>IF(NOT(ISBLANK(A987)),VLOOKUP(A987,'BBT3'!A:F,5,0),"")</f>
        <v/>
      </c>
      <c r="F987" t="str">
        <f>IF(NOT(ISBLANK(A987)),VLOOKUP(A987,'BBT3'!A:F,6,0),"")</f>
        <v/>
      </c>
      <c r="G987" t="str">
        <f>IF(NOT(ISBLANK(A987)),VLOOKUP(A987,QW_Close!A:J,5,0),"")</f>
        <v/>
      </c>
      <c r="H987" s="5" t="str" cm="1">
        <f t="array" ref="H987">IF(NOT(ISBLANK(A987)),((_xlfn.XLOOKUP(1,(_bbt3[[#All],[ID]]=A987)*(_bbt3[[#All],[METRIC_NAME]]="YLD_YTM_ASK"),_bbt3[[#All],[METRIC_VALUE]])*0.5)+(_xlfn.XLOOKUP(1,(_bbt3[[#All],[ID]]=A987)*(_bbt3[[#All],[METRIC_NAME]]="YLD_YTM_BID"),_bbt3[[#All],[METRIC_VALUE]])*0.5))/100,"")</f>
        <v/>
      </c>
      <c r="I987">
        <f>IF(ISNA(VLOOKUP(A987,QW_CloseDL!A:E,5,0)),0,VLOOKUP(A987,QW_CloseDL!A:E,5,0))</f>
        <v>0</v>
      </c>
      <c r="J987" s="8" t="str">
        <f t="shared" si="75"/>
        <v/>
      </c>
      <c r="P987">
        <v>0</v>
      </c>
      <c r="Q987" t="e">
        <f t="shared" si="76"/>
        <v>#N/A</v>
      </c>
      <c r="R987" t="e">
        <f t="shared" si="77"/>
        <v>#N/A</v>
      </c>
      <c r="S987" s="9" t="e">
        <f t="shared" si="78"/>
        <v>#N/A</v>
      </c>
      <c r="T987" s="3" t="e">
        <f t="shared" si="79"/>
        <v>#N/A</v>
      </c>
    </row>
    <row r="988" spans="2:20" x14ac:dyDescent="0.35">
      <c r="B988" t="str">
        <f>IF(NOT(ISBLANK(A988)),VLOOKUP(A988,'BBT3'!A:F,2,0),"")</f>
        <v/>
      </c>
      <c r="C988" t="str">
        <f>IF(NOT(ISBLANK(A988)),VLOOKUP(A988,'BBT3'!A:F,3,0),"")</f>
        <v/>
      </c>
      <c r="D988" s="6" t="str">
        <f>IF(NOT(ISBLANK(A988)),VLOOKUP(A988,'BBT3'!A:F,4,1),"")</f>
        <v/>
      </c>
      <c r="E988" t="str">
        <f>IF(NOT(ISBLANK(A988)),VLOOKUP(A988,'BBT3'!A:F,5,0),"")</f>
        <v/>
      </c>
      <c r="F988" t="str">
        <f>IF(NOT(ISBLANK(A988)),VLOOKUP(A988,'BBT3'!A:F,6,0),"")</f>
        <v/>
      </c>
      <c r="G988" t="str">
        <f>IF(NOT(ISBLANK(A988)),VLOOKUP(A988,QW_Close!A:J,5,0),"")</f>
        <v/>
      </c>
      <c r="H988" s="5" t="str" cm="1">
        <f t="array" ref="H988">IF(NOT(ISBLANK(A988)),((_xlfn.XLOOKUP(1,(_bbt3[[#All],[ID]]=A988)*(_bbt3[[#All],[METRIC_NAME]]="YLD_YTM_ASK"),_bbt3[[#All],[METRIC_VALUE]])*0.5)+(_xlfn.XLOOKUP(1,(_bbt3[[#All],[ID]]=A988)*(_bbt3[[#All],[METRIC_NAME]]="YLD_YTM_BID"),_bbt3[[#All],[METRIC_VALUE]])*0.5))/100,"")</f>
        <v/>
      </c>
      <c r="I988">
        <f>IF(ISNA(VLOOKUP(A988,QW_CloseDL!A:E,5,0)),0,VLOOKUP(A988,QW_CloseDL!A:E,5,0))</f>
        <v>0</v>
      </c>
      <c r="J988" s="8" t="str">
        <f t="shared" si="75"/>
        <v/>
      </c>
      <c r="P988">
        <v>0</v>
      </c>
      <c r="Q988" t="e">
        <f t="shared" si="76"/>
        <v>#N/A</v>
      </c>
      <c r="R988" t="e">
        <f t="shared" si="77"/>
        <v>#N/A</v>
      </c>
      <c r="S988" s="9" t="e">
        <f t="shared" si="78"/>
        <v>#N/A</v>
      </c>
      <c r="T988" s="3" t="e">
        <f t="shared" si="79"/>
        <v>#N/A</v>
      </c>
    </row>
    <row r="989" spans="2:20" x14ac:dyDescent="0.35">
      <c r="B989" t="str">
        <f>IF(NOT(ISBLANK(A989)),VLOOKUP(A989,'BBT3'!A:F,2,0),"")</f>
        <v/>
      </c>
      <c r="C989" t="str">
        <f>IF(NOT(ISBLANK(A989)),VLOOKUP(A989,'BBT3'!A:F,3,0),"")</f>
        <v/>
      </c>
      <c r="D989" s="6" t="str">
        <f>IF(NOT(ISBLANK(A989)),VLOOKUP(A989,'BBT3'!A:F,4,1),"")</f>
        <v/>
      </c>
      <c r="E989" t="str">
        <f>IF(NOT(ISBLANK(A989)),VLOOKUP(A989,'BBT3'!A:F,5,0),"")</f>
        <v/>
      </c>
      <c r="F989" t="str">
        <f>IF(NOT(ISBLANK(A989)),VLOOKUP(A989,'BBT3'!A:F,6,0),"")</f>
        <v/>
      </c>
      <c r="G989" t="str">
        <f>IF(NOT(ISBLANK(A989)),VLOOKUP(A989,QW_Close!A:J,5,0),"")</f>
        <v/>
      </c>
      <c r="H989" s="5" t="str" cm="1">
        <f t="array" ref="H989">IF(NOT(ISBLANK(A989)),((_xlfn.XLOOKUP(1,(_bbt3[[#All],[ID]]=A989)*(_bbt3[[#All],[METRIC_NAME]]="YLD_YTM_ASK"),_bbt3[[#All],[METRIC_VALUE]])*0.5)+(_xlfn.XLOOKUP(1,(_bbt3[[#All],[ID]]=A989)*(_bbt3[[#All],[METRIC_NAME]]="YLD_YTM_BID"),_bbt3[[#All],[METRIC_VALUE]])*0.5))/100,"")</f>
        <v/>
      </c>
      <c r="I989">
        <f>IF(ISNA(VLOOKUP(A989,QW_CloseDL!A:E,5,0)),0,VLOOKUP(A989,QW_CloseDL!A:E,5,0))</f>
        <v>0</v>
      </c>
      <c r="J989" s="8" t="str">
        <f t="shared" si="75"/>
        <v/>
      </c>
      <c r="P989">
        <v>0</v>
      </c>
      <c r="Q989" t="e">
        <f t="shared" si="76"/>
        <v>#N/A</v>
      </c>
      <c r="R989" t="e">
        <f t="shared" si="77"/>
        <v>#N/A</v>
      </c>
      <c r="S989" s="9" t="e">
        <f t="shared" si="78"/>
        <v>#N/A</v>
      </c>
      <c r="T989" s="3" t="e">
        <f t="shared" si="79"/>
        <v>#N/A</v>
      </c>
    </row>
    <row r="990" spans="2:20" x14ac:dyDescent="0.35">
      <c r="B990" t="str">
        <f>IF(NOT(ISBLANK(A990)),VLOOKUP(A990,'BBT3'!A:F,2,0),"")</f>
        <v/>
      </c>
      <c r="C990" t="str">
        <f>IF(NOT(ISBLANK(A990)),VLOOKUP(A990,'BBT3'!A:F,3,0),"")</f>
        <v/>
      </c>
      <c r="D990" s="6" t="str">
        <f>IF(NOT(ISBLANK(A990)),VLOOKUP(A990,'BBT3'!A:F,4,1),"")</f>
        <v/>
      </c>
      <c r="E990" t="str">
        <f>IF(NOT(ISBLANK(A990)),VLOOKUP(A990,'BBT3'!A:F,5,0),"")</f>
        <v/>
      </c>
      <c r="F990" t="str">
        <f>IF(NOT(ISBLANK(A990)),VLOOKUP(A990,'BBT3'!A:F,6,0),"")</f>
        <v/>
      </c>
      <c r="G990" t="str">
        <f>IF(NOT(ISBLANK(A990)),VLOOKUP(A990,QW_Close!A:J,5,0),"")</f>
        <v/>
      </c>
      <c r="H990" s="5" t="str" cm="1">
        <f t="array" ref="H990">IF(NOT(ISBLANK(A990)),((_xlfn.XLOOKUP(1,(_bbt3[[#All],[ID]]=A990)*(_bbt3[[#All],[METRIC_NAME]]="YLD_YTM_ASK"),_bbt3[[#All],[METRIC_VALUE]])*0.5)+(_xlfn.XLOOKUP(1,(_bbt3[[#All],[ID]]=A990)*(_bbt3[[#All],[METRIC_NAME]]="YLD_YTM_BID"),_bbt3[[#All],[METRIC_VALUE]])*0.5))/100,"")</f>
        <v/>
      </c>
      <c r="I990">
        <f>IF(ISNA(VLOOKUP(A990,QW_CloseDL!A:E,5,0)),0,VLOOKUP(A990,QW_CloseDL!A:E,5,0))</f>
        <v>0</v>
      </c>
      <c r="J990" s="8" t="str">
        <f t="shared" si="75"/>
        <v/>
      </c>
      <c r="P990">
        <v>0</v>
      </c>
      <c r="Q990" t="e">
        <f t="shared" si="76"/>
        <v>#N/A</v>
      </c>
      <c r="R990" t="e">
        <f t="shared" si="77"/>
        <v>#N/A</v>
      </c>
      <c r="S990" s="9" t="e">
        <f t="shared" si="78"/>
        <v>#N/A</v>
      </c>
      <c r="T990" s="3" t="e">
        <f t="shared" si="79"/>
        <v>#N/A</v>
      </c>
    </row>
    <row r="991" spans="2:20" x14ac:dyDescent="0.35">
      <c r="B991" t="str">
        <f>IF(NOT(ISBLANK(A991)),VLOOKUP(A991,'BBT3'!A:F,2,0),"")</f>
        <v/>
      </c>
      <c r="C991" t="str">
        <f>IF(NOT(ISBLANK(A991)),VLOOKUP(A991,'BBT3'!A:F,3,0),"")</f>
        <v/>
      </c>
      <c r="D991" s="6" t="str">
        <f>IF(NOT(ISBLANK(A991)),VLOOKUP(A991,'BBT3'!A:F,4,1),"")</f>
        <v/>
      </c>
      <c r="E991" t="str">
        <f>IF(NOT(ISBLANK(A991)),VLOOKUP(A991,'BBT3'!A:F,5,0),"")</f>
        <v/>
      </c>
      <c r="F991" t="str">
        <f>IF(NOT(ISBLANK(A991)),VLOOKUP(A991,'BBT3'!A:F,6,0),"")</f>
        <v/>
      </c>
      <c r="G991" t="str">
        <f>IF(NOT(ISBLANK(A991)),VLOOKUP(A991,QW_Close!A:J,5,0),"")</f>
        <v/>
      </c>
      <c r="H991" s="5" t="str" cm="1">
        <f t="array" ref="H991">IF(NOT(ISBLANK(A991)),((_xlfn.XLOOKUP(1,(_bbt3[[#All],[ID]]=A991)*(_bbt3[[#All],[METRIC_NAME]]="YLD_YTM_ASK"),_bbt3[[#All],[METRIC_VALUE]])*0.5)+(_xlfn.XLOOKUP(1,(_bbt3[[#All],[ID]]=A991)*(_bbt3[[#All],[METRIC_NAME]]="YLD_YTM_BID"),_bbt3[[#All],[METRIC_VALUE]])*0.5))/100,"")</f>
        <v/>
      </c>
      <c r="I991">
        <f>IF(ISNA(VLOOKUP(A991,QW_CloseDL!A:E,5,0)),0,VLOOKUP(A991,QW_CloseDL!A:E,5,0))</f>
        <v>0</v>
      </c>
      <c r="J991" s="8" t="str">
        <f t="shared" si="75"/>
        <v/>
      </c>
      <c r="P991">
        <v>0</v>
      </c>
      <c r="Q991" t="e">
        <f t="shared" si="76"/>
        <v>#N/A</v>
      </c>
      <c r="R991" t="e">
        <f t="shared" si="77"/>
        <v>#N/A</v>
      </c>
      <c r="S991" s="9" t="e">
        <f t="shared" si="78"/>
        <v>#N/A</v>
      </c>
      <c r="T991" s="3" t="e">
        <f t="shared" si="79"/>
        <v>#N/A</v>
      </c>
    </row>
    <row r="992" spans="2:20" x14ac:dyDescent="0.35">
      <c r="B992" t="str">
        <f>IF(NOT(ISBLANK(A992)),VLOOKUP(A992,'BBT3'!A:F,2,0),"")</f>
        <v/>
      </c>
      <c r="C992" t="str">
        <f>IF(NOT(ISBLANK(A992)),VLOOKUP(A992,'BBT3'!A:F,3,0),"")</f>
        <v/>
      </c>
      <c r="D992" s="6" t="str">
        <f>IF(NOT(ISBLANK(A992)),VLOOKUP(A992,'BBT3'!A:F,4,1),"")</f>
        <v/>
      </c>
      <c r="E992" t="str">
        <f>IF(NOT(ISBLANK(A992)),VLOOKUP(A992,'BBT3'!A:F,5,0),"")</f>
        <v/>
      </c>
      <c r="F992" t="str">
        <f>IF(NOT(ISBLANK(A992)),VLOOKUP(A992,'BBT3'!A:F,6,0),"")</f>
        <v/>
      </c>
      <c r="G992" t="str">
        <f>IF(NOT(ISBLANK(A992)),VLOOKUP(A992,QW_Close!A:J,5,0),"")</f>
        <v/>
      </c>
      <c r="H992" s="5" t="str" cm="1">
        <f t="array" ref="H992">IF(NOT(ISBLANK(A992)),((_xlfn.XLOOKUP(1,(_bbt3[[#All],[ID]]=A992)*(_bbt3[[#All],[METRIC_NAME]]="YLD_YTM_ASK"),_bbt3[[#All],[METRIC_VALUE]])*0.5)+(_xlfn.XLOOKUP(1,(_bbt3[[#All],[ID]]=A992)*(_bbt3[[#All],[METRIC_NAME]]="YLD_YTM_BID"),_bbt3[[#All],[METRIC_VALUE]])*0.5))/100,"")</f>
        <v/>
      </c>
      <c r="I992">
        <f>IF(ISNA(VLOOKUP(A992,QW_CloseDL!A:E,5,0)),0,VLOOKUP(A992,QW_CloseDL!A:E,5,0))</f>
        <v>0</v>
      </c>
      <c r="J992" s="8" t="str">
        <f t="shared" si="75"/>
        <v/>
      </c>
      <c r="P992">
        <v>0</v>
      </c>
      <c r="Q992" t="e">
        <f t="shared" si="76"/>
        <v>#N/A</v>
      </c>
      <c r="R992" t="e">
        <f t="shared" si="77"/>
        <v>#N/A</v>
      </c>
      <c r="S992" s="9" t="e">
        <f t="shared" si="78"/>
        <v>#N/A</v>
      </c>
      <c r="T992" s="3" t="e">
        <f t="shared" si="79"/>
        <v>#N/A</v>
      </c>
    </row>
    <row r="993" spans="2:20" x14ac:dyDescent="0.35">
      <c r="B993" t="str">
        <f>IF(NOT(ISBLANK(A993)),VLOOKUP(A993,'BBT3'!A:F,2,0),"")</f>
        <v/>
      </c>
      <c r="C993" t="str">
        <f>IF(NOT(ISBLANK(A993)),VLOOKUP(A993,'BBT3'!A:F,3,0),"")</f>
        <v/>
      </c>
      <c r="D993" s="6" t="str">
        <f>IF(NOT(ISBLANK(A993)),VLOOKUP(A993,'BBT3'!A:F,4,1),"")</f>
        <v/>
      </c>
      <c r="E993" t="str">
        <f>IF(NOT(ISBLANK(A993)),VLOOKUP(A993,'BBT3'!A:F,5,0),"")</f>
        <v/>
      </c>
      <c r="F993" t="str">
        <f>IF(NOT(ISBLANK(A993)),VLOOKUP(A993,'BBT3'!A:F,6,0),"")</f>
        <v/>
      </c>
      <c r="G993" t="str">
        <f>IF(NOT(ISBLANK(A993)),VLOOKUP(A993,QW_Close!A:J,5,0),"")</f>
        <v/>
      </c>
      <c r="H993" s="5" t="str" cm="1">
        <f t="array" ref="H993">IF(NOT(ISBLANK(A993)),((_xlfn.XLOOKUP(1,(_bbt3[[#All],[ID]]=A993)*(_bbt3[[#All],[METRIC_NAME]]="YLD_YTM_ASK"),_bbt3[[#All],[METRIC_VALUE]])*0.5)+(_xlfn.XLOOKUP(1,(_bbt3[[#All],[ID]]=A993)*(_bbt3[[#All],[METRIC_NAME]]="YLD_YTM_BID"),_bbt3[[#All],[METRIC_VALUE]])*0.5))/100,"")</f>
        <v/>
      </c>
      <c r="I993">
        <f>IF(ISNA(VLOOKUP(A993,QW_CloseDL!A:E,5,0)),0,VLOOKUP(A993,QW_CloseDL!A:E,5,0))</f>
        <v>0</v>
      </c>
      <c r="J993" s="8" t="str">
        <f t="shared" si="75"/>
        <v/>
      </c>
      <c r="P993">
        <v>0</v>
      </c>
      <c r="Q993" t="e">
        <f t="shared" si="76"/>
        <v>#N/A</v>
      </c>
      <c r="R993" t="e">
        <f t="shared" si="77"/>
        <v>#N/A</v>
      </c>
      <c r="S993" s="9" t="e">
        <f t="shared" si="78"/>
        <v>#N/A</v>
      </c>
      <c r="T993" s="3" t="e">
        <f t="shared" si="79"/>
        <v>#N/A</v>
      </c>
    </row>
    <row r="994" spans="2:20" x14ac:dyDescent="0.35">
      <c r="B994" t="str">
        <f>IF(NOT(ISBLANK(A994)),VLOOKUP(A994,'BBT3'!A:F,2,0),"")</f>
        <v/>
      </c>
      <c r="C994" t="str">
        <f>IF(NOT(ISBLANK(A994)),VLOOKUP(A994,'BBT3'!A:F,3,0),"")</f>
        <v/>
      </c>
      <c r="D994" s="6" t="str">
        <f>IF(NOT(ISBLANK(A994)),VLOOKUP(A994,'BBT3'!A:F,4,1),"")</f>
        <v/>
      </c>
      <c r="E994" t="str">
        <f>IF(NOT(ISBLANK(A994)),VLOOKUP(A994,'BBT3'!A:F,5,0),"")</f>
        <v/>
      </c>
      <c r="F994" t="str">
        <f>IF(NOT(ISBLANK(A994)),VLOOKUP(A994,'BBT3'!A:F,6,0),"")</f>
        <v/>
      </c>
      <c r="G994" t="str">
        <f>IF(NOT(ISBLANK(A994)),VLOOKUP(A994,QW_Close!A:J,5,0),"")</f>
        <v/>
      </c>
      <c r="H994" s="5" t="str" cm="1">
        <f t="array" ref="H994">IF(NOT(ISBLANK(A994)),((_xlfn.XLOOKUP(1,(_bbt3[[#All],[ID]]=A994)*(_bbt3[[#All],[METRIC_NAME]]="YLD_YTM_ASK"),_bbt3[[#All],[METRIC_VALUE]])*0.5)+(_xlfn.XLOOKUP(1,(_bbt3[[#All],[ID]]=A994)*(_bbt3[[#All],[METRIC_NAME]]="YLD_YTM_BID"),_bbt3[[#All],[METRIC_VALUE]])*0.5))/100,"")</f>
        <v/>
      </c>
      <c r="I994">
        <f>IF(ISNA(VLOOKUP(A994,QW_CloseDL!A:E,5,0)),0,VLOOKUP(A994,QW_CloseDL!A:E,5,0))</f>
        <v>0</v>
      </c>
      <c r="J994" s="8" t="str">
        <f t="shared" si="75"/>
        <v/>
      </c>
      <c r="P994">
        <v>0</v>
      </c>
      <c r="Q994" t="e">
        <f t="shared" si="76"/>
        <v>#N/A</v>
      </c>
      <c r="R994" t="e">
        <f t="shared" si="77"/>
        <v>#N/A</v>
      </c>
      <c r="S994" s="9" t="e">
        <f t="shared" si="78"/>
        <v>#N/A</v>
      </c>
      <c r="T994" s="3" t="e">
        <f t="shared" si="79"/>
        <v>#N/A</v>
      </c>
    </row>
    <row r="995" spans="2:20" x14ac:dyDescent="0.35">
      <c r="B995" t="str">
        <f>IF(NOT(ISBLANK(A995)),VLOOKUP(A995,'BBT3'!A:F,2,0),"")</f>
        <v/>
      </c>
      <c r="C995" t="str">
        <f>IF(NOT(ISBLANK(A995)),VLOOKUP(A995,'BBT3'!A:F,3,0),"")</f>
        <v/>
      </c>
      <c r="D995" s="6" t="str">
        <f>IF(NOT(ISBLANK(A995)),VLOOKUP(A995,'BBT3'!A:F,4,1),"")</f>
        <v/>
      </c>
      <c r="E995" t="str">
        <f>IF(NOT(ISBLANK(A995)),VLOOKUP(A995,'BBT3'!A:F,5,0),"")</f>
        <v/>
      </c>
      <c r="F995" t="str">
        <f>IF(NOT(ISBLANK(A995)),VLOOKUP(A995,'BBT3'!A:F,6,0),"")</f>
        <v/>
      </c>
      <c r="G995" t="str">
        <f>IF(NOT(ISBLANK(A995)),VLOOKUP(A995,QW_Close!A:J,5,0),"")</f>
        <v/>
      </c>
      <c r="H995" s="5" t="str" cm="1">
        <f t="array" ref="H995">IF(NOT(ISBLANK(A995)),((_xlfn.XLOOKUP(1,(_bbt3[[#All],[ID]]=A995)*(_bbt3[[#All],[METRIC_NAME]]="YLD_YTM_ASK"),_bbt3[[#All],[METRIC_VALUE]])*0.5)+(_xlfn.XLOOKUP(1,(_bbt3[[#All],[ID]]=A995)*(_bbt3[[#All],[METRIC_NAME]]="YLD_YTM_BID"),_bbt3[[#All],[METRIC_VALUE]])*0.5))/100,"")</f>
        <v/>
      </c>
      <c r="I995">
        <f>IF(ISNA(VLOOKUP(A995,QW_CloseDL!A:E,5,0)),0,VLOOKUP(A995,QW_CloseDL!A:E,5,0))</f>
        <v>0</v>
      </c>
      <c r="J995" s="8" t="str">
        <f t="shared" si="75"/>
        <v/>
      </c>
      <c r="P995">
        <v>0</v>
      </c>
      <c r="Q995" t="e">
        <f t="shared" si="76"/>
        <v>#N/A</v>
      </c>
      <c r="R995" t="e">
        <f t="shared" si="77"/>
        <v>#N/A</v>
      </c>
      <c r="S995" s="9" t="e">
        <f t="shared" si="78"/>
        <v>#N/A</v>
      </c>
      <c r="T995" s="3" t="e">
        <f t="shared" si="79"/>
        <v>#N/A</v>
      </c>
    </row>
    <row r="996" spans="2:20" x14ac:dyDescent="0.35">
      <c r="B996" t="str">
        <f>IF(NOT(ISBLANK(A996)),VLOOKUP(A996,'BBT3'!A:F,2,0),"")</f>
        <v/>
      </c>
      <c r="C996" t="str">
        <f>IF(NOT(ISBLANK(A996)),VLOOKUP(A996,'BBT3'!A:F,3,0),"")</f>
        <v/>
      </c>
      <c r="D996" s="6" t="str">
        <f>IF(NOT(ISBLANK(A996)),VLOOKUP(A996,'BBT3'!A:F,4,1),"")</f>
        <v/>
      </c>
      <c r="E996" t="str">
        <f>IF(NOT(ISBLANK(A996)),VLOOKUP(A996,'BBT3'!A:F,5,0),"")</f>
        <v/>
      </c>
      <c r="F996" t="str">
        <f>IF(NOT(ISBLANK(A996)),VLOOKUP(A996,'BBT3'!A:F,6,0),"")</f>
        <v/>
      </c>
      <c r="G996" t="str">
        <f>IF(NOT(ISBLANK(A996)),VLOOKUP(A996,QW_Close!A:J,5,0),"")</f>
        <v/>
      </c>
      <c r="H996" s="5" t="str" cm="1">
        <f t="array" ref="H996">IF(NOT(ISBLANK(A996)),((_xlfn.XLOOKUP(1,(_bbt3[[#All],[ID]]=A996)*(_bbt3[[#All],[METRIC_NAME]]="YLD_YTM_ASK"),_bbt3[[#All],[METRIC_VALUE]])*0.5)+(_xlfn.XLOOKUP(1,(_bbt3[[#All],[ID]]=A996)*(_bbt3[[#All],[METRIC_NAME]]="YLD_YTM_BID"),_bbt3[[#All],[METRIC_VALUE]])*0.5))/100,"")</f>
        <v/>
      </c>
      <c r="I996">
        <f>IF(ISNA(VLOOKUP(A996,QW_CloseDL!A:E,5,0)),0,VLOOKUP(A996,QW_CloseDL!A:E,5,0))</f>
        <v>0</v>
      </c>
      <c r="J996" s="8" t="str">
        <f t="shared" si="75"/>
        <v/>
      </c>
      <c r="P996">
        <v>0</v>
      </c>
      <c r="Q996" t="e">
        <f t="shared" si="76"/>
        <v>#N/A</v>
      </c>
      <c r="R996" t="e">
        <f t="shared" si="77"/>
        <v>#N/A</v>
      </c>
      <c r="S996" s="9" t="e">
        <f t="shared" si="78"/>
        <v>#N/A</v>
      </c>
      <c r="T996" s="3" t="e">
        <f t="shared" si="79"/>
        <v>#N/A</v>
      </c>
    </row>
    <row r="997" spans="2:20" x14ac:dyDescent="0.35">
      <c r="B997" t="str">
        <f>IF(NOT(ISBLANK(A997)),VLOOKUP(A997,'BBT3'!A:F,2,0),"")</f>
        <v/>
      </c>
      <c r="C997" t="str">
        <f>IF(NOT(ISBLANK(A997)),VLOOKUP(A997,'BBT3'!A:F,3,0),"")</f>
        <v/>
      </c>
      <c r="D997" s="6" t="str">
        <f>IF(NOT(ISBLANK(A997)),VLOOKUP(A997,'BBT3'!A:F,4,1),"")</f>
        <v/>
      </c>
      <c r="E997" t="str">
        <f>IF(NOT(ISBLANK(A997)),VLOOKUP(A997,'BBT3'!A:F,5,0),"")</f>
        <v/>
      </c>
      <c r="F997" t="str">
        <f>IF(NOT(ISBLANK(A997)),VLOOKUP(A997,'BBT3'!A:F,6,0),"")</f>
        <v/>
      </c>
      <c r="G997" t="str">
        <f>IF(NOT(ISBLANK(A997)),VLOOKUP(A997,QW_Close!A:J,5,0),"")</f>
        <v/>
      </c>
      <c r="H997" s="5" t="str" cm="1">
        <f t="array" ref="H997">IF(NOT(ISBLANK(A997)),((_xlfn.XLOOKUP(1,(_bbt3[[#All],[ID]]=A997)*(_bbt3[[#All],[METRIC_NAME]]="YLD_YTM_ASK"),_bbt3[[#All],[METRIC_VALUE]])*0.5)+(_xlfn.XLOOKUP(1,(_bbt3[[#All],[ID]]=A997)*(_bbt3[[#All],[METRIC_NAME]]="YLD_YTM_BID"),_bbt3[[#All],[METRIC_VALUE]])*0.5))/100,"")</f>
        <v/>
      </c>
      <c r="I997">
        <f>IF(ISNA(VLOOKUP(A997,QW_CloseDL!A:E,5,0)),0,VLOOKUP(A997,QW_CloseDL!A:E,5,0))</f>
        <v>0</v>
      </c>
      <c r="J997" s="8" t="str">
        <f t="shared" si="75"/>
        <v/>
      </c>
      <c r="P997">
        <v>0</v>
      </c>
      <c r="Q997" t="e">
        <f t="shared" si="76"/>
        <v>#N/A</v>
      </c>
      <c r="R997" t="e">
        <f t="shared" si="77"/>
        <v>#N/A</v>
      </c>
      <c r="S997" s="9" t="e">
        <f t="shared" si="78"/>
        <v>#N/A</v>
      </c>
      <c r="T997" s="3" t="e">
        <f t="shared" si="79"/>
        <v>#N/A</v>
      </c>
    </row>
    <row r="998" spans="2:20" x14ac:dyDescent="0.35">
      <c r="B998" t="str">
        <f>IF(NOT(ISBLANK(A998)),VLOOKUP(A998,'BBT3'!A:F,2,0),"")</f>
        <v/>
      </c>
      <c r="C998" t="str">
        <f>IF(NOT(ISBLANK(A998)),VLOOKUP(A998,'BBT3'!A:F,3,0),"")</f>
        <v/>
      </c>
      <c r="D998" s="6" t="str">
        <f>IF(NOT(ISBLANK(A998)),VLOOKUP(A998,'BBT3'!A:F,4,1),"")</f>
        <v/>
      </c>
      <c r="E998" t="str">
        <f>IF(NOT(ISBLANK(A998)),VLOOKUP(A998,'BBT3'!A:F,5,0),"")</f>
        <v/>
      </c>
      <c r="F998" t="str">
        <f>IF(NOT(ISBLANK(A998)),VLOOKUP(A998,'BBT3'!A:F,6,0),"")</f>
        <v/>
      </c>
      <c r="G998" t="str">
        <f>IF(NOT(ISBLANK(A998)),VLOOKUP(A998,QW_Close!A:J,5,0),"")</f>
        <v/>
      </c>
      <c r="H998" s="5" t="str" cm="1">
        <f t="array" ref="H998">IF(NOT(ISBLANK(A998)),((_xlfn.XLOOKUP(1,(_bbt3[[#All],[ID]]=A998)*(_bbt3[[#All],[METRIC_NAME]]="YLD_YTM_ASK"),_bbt3[[#All],[METRIC_VALUE]])*0.5)+(_xlfn.XLOOKUP(1,(_bbt3[[#All],[ID]]=A998)*(_bbt3[[#All],[METRIC_NAME]]="YLD_YTM_BID"),_bbt3[[#All],[METRIC_VALUE]])*0.5))/100,"")</f>
        <v/>
      </c>
      <c r="I998">
        <f>IF(ISNA(VLOOKUP(A998,QW_CloseDL!A:E,5,0)),0,VLOOKUP(A998,QW_CloseDL!A:E,5,0))</f>
        <v>0</v>
      </c>
      <c r="J998" s="8" t="str">
        <f t="shared" si="75"/>
        <v/>
      </c>
      <c r="P998">
        <v>0</v>
      </c>
      <c r="Q998" t="e">
        <f t="shared" si="76"/>
        <v>#N/A</v>
      </c>
      <c r="R998" t="e">
        <f t="shared" si="77"/>
        <v>#N/A</v>
      </c>
      <c r="S998" s="9" t="e">
        <f t="shared" si="78"/>
        <v>#N/A</v>
      </c>
      <c r="T998" s="3" t="e">
        <f t="shared" si="79"/>
        <v>#N/A</v>
      </c>
    </row>
    <row r="999" spans="2:20" x14ac:dyDescent="0.35">
      <c r="B999" t="str">
        <f>IF(NOT(ISBLANK(A999)),VLOOKUP(A999,'BBT3'!A:F,2,0),"")</f>
        <v/>
      </c>
      <c r="C999" t="str">
        <f>IF(NOT(ISBLANK(A999)),VLOOKUP(A999,'BBT3'!A:F,3,0),"")</f>
        <v/>
      </c>
      <c r="D999" s="6" t="str">
        <f>IF(NOT(ISBLANK(A999)),VLOOKUP(A999,'BBT3'!A:F,4,1),"")</f>
        <v/>
      </c>
      <c r="E999" t="str">
        <f>IF(NOT(ISBLANK(A999)),VLOOKUP(A999,'BBT3'!A:F,5,0),"")</f>
        <v/>
      </c>
      <c r="F999" t="str">
        <f>IF(NOT(ISBLANK(A999)),VLOOKUP(A999,'BBT3'!A:F,6,0),"")</f>
        <v/>
      </c>
      <c r="G999" t="str">
        <f>IF(NOT(ISBLANK(A999)),VLOOKUP(A999,QW_Close!A:J,5,0),"")</f>
        <v/>
      </c>
      <c r="H999" s="5" t="str" cm="1">
        <f t="array" ref="H999">IF(NOT(ISBLANK(A999)),((_xlfn.XLOOKUP(1,(_bbt3[[#All],[ID]]=A999)*(_bbt3[[#All],[METRIC_NAME]]="YLD_YTM_ASK"),_bbt3[[#All],[METRIC_VALUE]])*0.5)+(_xlfn.XLOOKUP(1,(_bbt3[[#All],[ID]]=A999)*(_bbt3[[#All],[METRIC_NAME]]="YLD_YTM_BID"),_bbt3[[#All],[METRIC_VALUE]])*0.5))/100,"")</f>
        <v/>
      </c>
      <c r="I999">
        <f>IF(ISNA(VLOOKUP(A999,QW_CloseDL!A:E,5,0)),0,VLOOKUP(A999,QW_CloseDL!A:E,5,0))</f>
        <v>0</v>
      </c>
      <c r="J999" s="8" t="str">
        <f t="shared" si="75"/>
        <v/>
      </c>
      <c r="P999">
        <v>0</v>
      </c>
      <c r="Q999" t="e">
        <f t="shared" si="76"/>
        <v>#N/A</v>
      </c>
      <c r="R999" t="e">
        <f t="shared" si="77"/>
        <v>#N/A</v>
      </c>
      <c r="S999" s="9" t="e">
        <f t="shared" si="78"/>
        <v>#N/A</v>
      </c>
      <c r="T999" s="3" t="e">
        <f t="shared" si="79"/>
        <v>#N/A</v>
      </c>
    </row>
    <row r="1000" spans="2:20" x14ac:dyDescent="0.35">
      <c r="B1000" t="str">
        <f>IF(NOT(ISBLANK(A1000)),VLOOKUP(A1000,'BBT3'!A:F,2,0),"")</f>
        <v/>
      </c>
      <c r="C1000" t="str">
        <f>IF(NOT(ISBLANK(A1000)),VLOOKUP(A1000,'BBT3'!A:F,3,0),"")</f>
        <v/>
      </c>
      <c r="D1000" s="6" t="str">
        <f>IF(NOT(ISBLANK(A1000)),VLOOKUP(A1000,'BBT3'!A:F,4,1),"")</f>
        <v/>
      </c>
      <c r="E1000" t="str">
        <f>IF(NOT(ISBLANK(A1000)),VLOOKUP(A1000,'BBT3'!A:F,5,0),"")</f>
        <v/>
      </c>
      <c r="F1000" t="str">
        <f>IF(NOT(ISBLANK(A1000)),VLOOKUP(A1000,'BBT3'!A:F,6,0),"")</f>
        <v/>
      </c>
      <c r="G1000" t="str">
        <f>IF(NOT(ISBLANK(A1000)),VLOOKUP(A1000,QW_Close!A:J,5,0),"")</f>
        <v/>
      </c>
      <c r="H1000" s="5" t="str" cm="1">
        <f t="array" ref="H1000">IF(NOT(ISBLANK(A1000)),((_xlfn.XLOOKUP(1,(_bbt3[[#All],[ID]]=A1000)*(_bbt3[[#All],[METRIC_NAME]]="YLD_YTM_ASK"),_bbt3[[#All],[METRIC_VALUE]])*0.5)+(_xlfn.XLOOKUP(1,(_bbt3[[#All],[ID]]=A1000)*(_bbt3[[#All],[METRIC_NAME]]="YLD_YTM_BID"),_bbt3[[#All],[METRIC_VALUE]])*0.5))/100,"")</f>
        <v/>
      </c>
      <c r="I1000">
        <f>IF(ISNA(VLOOKUP(A1000,QW_CloseDL!A:E,5,0)),0,VLOOKUP(A1000,QW_CloseDL!A:E,5,0))</f>
        <v>0</v>
      </c>
      <c r="J1000" s="8" t="str">
        <f t="shared" si="75"/>
        <v/>
      </c>
      <c r="P1000">
        <v>0</v>
      </c>
      <c r="Q1000" t="e">
        <f t="shared" si="76"/>
        <v>#N/A</v>
      </c>
      <c r="R1000" t="e">
        <f t="shared" si="77"/>
        <v>#N/A</v>
      </c>
      <c r="S1000" s="9" t="e">
        <f t="shared" si="78"/>
        <v>#N/A</v>
      </c>
      <c r="T1000" s="3" t="e">
        <f t="shared" si="79"/>
        <v>#N/A</v>
      </c>
    </row>
    <row r="1001" spans="2:20" x14ac:dyDescent="0.35">
      <c r="B1001" t="str">
        <f>IF(NOT(ISBLANK(A1001)),VLOOKUP(A1001,'BBT3'!A:F,2,0),"")</f>
        <v/>
      </c>
      <c r="C1001" t="str">
        <f>IF(NOT(ISBLANK(A1001)),VLOOKUP(A1001,'BBT3'!A:F,3,0),"")</f>
        <v/>
      </c>
      <c r="D1001" s="6" t="str">
        <f>IF(NOT(ISBLANK(A1001)),VLOOKUP(A1001,'BBT3'!A:F,4,1),"")</f>
        <v/>
      </c>
      <c r="E1001" t="str">
        <f>IF(NOT(ISBLANK(A1001)),VLOOKUP(A1001,'BBT3'!A:F,5,0),"")</f>
        <v/>
      </c>
      <c r="F1001" t="str">
        <f>IF(NOT(ISBLANK(A1001)),VLOOKUP(A1001,'BBT3'!A:F,6,0),"")</f>
        <v/>
      </c>
      <c r="G1001" t="str">
        <f>IF(NOT(ISBLANK(A1001)),VLOOKUP(A1001,QW_Close!A:J,5,0),"")</f>
        <v/>
      </c>
      <c r="H1001" s="5" t="str" cm="1">
        <f t="array" ref="H1001">IF(NOT(ISBLANK(A1001)),((_xlfn.XLOOKUP(1,(_bbt3[[#All],[ID]]=A1001)*(_bbt3[[#All],[METRIC_NAME]]="YLD_YTM_ASK"),_bbt3[[#All],[METRIC_VALUE]])*0.5)+(_xlfn.XLOOKUP(1,(_bbt3[[#All],[ID]]=A1001)*(_bbt3[[#All],[METRIC_NAME]]="YLD_YTM_BID"),_bbt3[[#All],[METRIC_VALUE]])*0.5))/100,"")</f>
        <v/>
      </c>
      <c r="I1001">
        <f>IF(ISNA(VLOOKUP(A1001,QW_CloseDL!A:E,5,0)),0,VLOOKUP(A1001,QW_CloseDL!A:E,5,0))</f>
        <v>0</v>
      </c>
      <c r="J1001" s="8" t="str">
        <f t="shared" si="75"/>
        <v/>
      </c>
      <c r="P1001">
        <v>0</v>
      </c>
      <c r="Q1001" t="e">
        <f t="shared" si="76"/>
        <v>#N/A</v>
      </c>
      <c r="R1001" t="e">
        <f t="shared" si="77"/>
        <v>#N/A</v>
      </c>
      <c r="S1001" s="9" t="e">
        <f t="shared" si="78"/>
        <v>#N/A</v>
      </c>
      <c r="T1001" s="3" t="e">
        <f t="shared" si="79"/>
        <v>#N/A</v>
      </c>
    </row>
    <row r="1002" spans="2:20" x14ac:dyDescent="0.35">
      <c r="B1002" t="str">
        <f>IF(NOT(ISBLANK(A1002)),VLOOKUP(A1002,'BBT3'!A:F,2,0),"")</f>
        <v/>
      </c>
      <c r="C1002" t="str">
        <f>IF(NOT(ISBLANK(A1002)),VLOOKUP(A1002,'BBT3'!A:F,3,0),"")</f>
        <v/>
      </c>
      <c r="D1002" s="6" t="str">
        <f>IF(NOT(ISBLANK(A1002)),VLOOKUP(A1002,'BBT3'!A:F,4,1),"")</f>
        <v/>
      </c>
      <c r="E1002" t="str">
        <f>IF(NOT(ISBLANK(A1002)),VLOOKUP(A1002,'BBT3'!A:F,5,0),"")</f>
        <v/>
      </c>
      <c r="F1002" t="str">
        <f>IF(NOT(ISBLANK(A1002)),VLOOKUP(A1002,'BBT3'!A:F,6,0),"")</f>
        <v/>
      </c>
      <c r="G1002" t="str">
        <f>IF(NOT(ISBLANK(A1002)),VLOOKUP(A1002,QW_Close!A:J,5,0),"")</f>
        <v/>
      </c>
      <c r="H1002" s="5" t="str" cm="1">
        <f t="array" ref="H1002">IF(NOT(ISBLANK(A1002)),((_xlfn.XLOOKUP(1,(_bbt3[[#All],[ID]]=A1002)*(_bbt3[[#All],[METRIC_NAME]]="YLD_YTM_ASK"),_bbt3[[#All],[METRIC_VALUE]])*0.5)+(_xlfn.XLOOKUP(1,(_bbt3[[#All],[ID]]=A1002)*(_bbt3[[#All],[METRIC_NAME]]="YLD_YTM_BID"),_bbt3[[#All],[METRIC_VALUE]])*0.5))/100,"")</f>
        <v/>
      </c>
      <c r="I1002">
        <f>IF(ISNA(VLOOKUP(A1002,QW_CloseDL!A:E,5,0)),0,VLOOKUP(A1002,QW_CloseDL!A:E,5,0))</f>
        <v>0</v>
      </c>
      <c r="J1002" s="8" t="str">
        <f t="shared" si="75"/>
        <v/>
      </c>
      <c r="P1002">
        <v>0</v>
      </c>
      <c r="Q1002" t="e">
        <f t="shared" si="76"/>
        <v>#N/A</v>
      </c>
      <c r="R1002" t="e">
        <f t="shared" si="77"/>
        <v>#N/A</v>
      </c>
      <c r="S1002" s="9" t="e">
        <f t="shared" si="78"/>
        <v>#N/A</v>
      </c>
      <c r="T1002" s="3" t="e">
        <f t="shared" si="79"/>
        <v>#N/A</v>
      </c>
    </row>
    <row r="1003" spans="2:20" x14ac:dyDescent="0.35">
      <c r="B1003" t="str">
        <f>IF(NOT(ISBLANK(A1003)),VLOOKUP(A1003,'BBT3'!A:F,2,0),"")</f>
        <v/>
      </c>
      <c r="C1003" t="str">
        <f>IF(NOT(ISBLANK(A1003)),VLOOKUP(A1003,'BBT3'!A:F,3,0),"")</f>
        <v/>
      </c>
      <c r="D1003" s="6" t="str">
        <f>IF(NOT(ISBLANK(A1003)),VLOOKUP(A1003,'BBT3'!A:F,4,1),"")</f>
        <v/>
      </c>
      <c r="E1003" t="str">
        <f>IF(NOT(ISBLANK(A1003)),VLOOKUP(A1003,'BBT3'!A:F,5,0),"")</f>
        <v/>
      </c>
      <c r="F1003" t="str">
        <f>IF(NOT(ISBLANK(A1003)),VLOOKUP(A1003,'BBT3'!A:F,6,0),"")</f>
        <v/>
      </c>
      <c r="G1003" t="str">
        <f>IF(NOT(ISBLANK(A1003)),VLOOKUP(A1003,QW_Close!A:J,5,0),"")</f>
        <v/>
      </c>
      <c r="H1003" s="5" t="str" cm="1">
        <f t="array" ref="H1003">IF(NOT(ISBLANK(A1003)),((_xlfn.XLOOKUP(1,(_bbt3[[#All],[ID]]=A1003)*(_bbt3[[#All],[METRIC_NAME]]="YLD_YTM_ASK"),_bbt3[[#All],[METRIC_VALUE]])*0.5)+(_xlfn.XLOOKUP(1,(_bbt3[[#All],[ID]]=A1003)*(_bbt3[[#All],[METRIC_NAME]]="YLD_YTM_BID"),_bbt3[[#All],[METRIC_VALUE]])*0.5))/100,"")</f>
        <v/>
      </c>
      <c r="I1003">
        <f>IF(ISNA(VLOOKUP(A1003,QW_CloseDL!A:E,5,0)),0,VLOOKUP(A1003,QW_CloseDL!A:E,5,0))</f>
        <v>0</v>
      </c>
      <c r="J1003" s="8" t="str">
        <f t="shared" si="75"/>
        <v/>
      </c>
      <c r="P1003">
        <v>0</v>
      </c>
      <c r="Q1003" t="e">
        <f t="shared" si="76"/>
        <v>#N/A</v>
      </c>
      <c r="R1003" t="e">
        <f t="shared" si="77"/>
        <v>#N/A</v>
      </c>
      <c r="S1003" s="9" t="e">
        <f t="shared" si="78"/>
        <v>#N/A</v>
      </c>
      <c r="T1003" s="3" t="e">
        <f t="shared" si="79"/>
        <v>#N/A</v>
      </c>
    </row>
    <row r="1004" spans="2:20" x14ac:dyDescent="0.35">
      <c r="B1004" t="str">
        <f>IF(NOT(ISBLANK(A1004)),VLOOKUP(A1004,'BBT3'!A:F,2,0),"")</f>
        <v/>
      </c>
      <c r="C1004" t="str">
        <f>IF(NOT(ISBLANK(A1004)),VLOOKUP(A1004,'BBT3'!A:F,3,0),"")</f>
        <v/>
      </c>
      <c r="D1004" s="6" t="str">
        <f>IF(NOT(ISBLANK(A1004)),VLOOKUP(A1004,'BBT3'!A:F,4,1),"")</f>
        <v/>
      </c>
      <c r="E1004" t="str">
        <f>IF(NOT(ISBLANK(A1004)),VLOOKUP(A1004,'BBT3'!A:F,5,0),"")</f>
        <v/>
      </c>
      <c r="F1004" t="str">
        <f>IF(NOT(ISBLANK(A1004)),VLOOKUP(A1004,'BBT3'!A:F,6,0),"")</f>
        <v/>
      </c>
      <c r="G1004" t="str">
        <f>IF(NOT(ISBLANK(A1004)),VLOOKUP(A1004,QW_Close!A:J,5,0),"")</f>
        <v/>
      </c>
      <c r="H1004" s="5" t="str" cm="1">
        <f t="array" ref="H1004">IF(NOT(ISBLANK(A1004)),((_xlfn.XLOOKUP(1,(_bbt3[[#All],[ID]]=A1004)*(_bbt3[[#All],[METRIC_NAME]]="YLD_YTM_ASK"),_bbt3[[#All],[METRIC_VALUE]])*0.5)+(_xlfn.XLOOKUP(1,(_bbt3[[#All],[ID]]=A1004)*(_bbt3[[#All],[METRIC_NAME]]="YLD_YTM_BID"),_bbt3[[#All],[METRIC_VALUE]])*0.5))/100,"")</f>
        <v/>
      </c>
      <c r="I1004">
        <f>IF(ISNA(VLOOKUP(A1004,QW_CloseDL!A:E,5,0)),0,VLOOKUP(A1004,QW_CloseDL!A:E,5,0))</f>
        <v>0</v>
      </c>
      <c r="J1004" s="8" t="str">
        <f t="shared" si="75"/>
        <v/>
      </c>
      <c r="P1004">
        <v>0</v>
      </c>
      <c r="Q1004" t="e">
        <f t="shared" si="76"/>
        <v>#N/A</v>
      </c>
      <c r="R1004" t="e">
        <f t="shared" si="77"/>
        <v>#N/A</v>
      </c>
      <c r="S1004" s="9" t="e">
        <f t="shared" si="78"/>
        <v>#N/A</v>
      </c>
      <c r="T1004" s="3" t="e">
        <f t="shared" si="79"/>
        <v>#N/A</v>
      </c>
    </row>
    <row r="1005" spans="2:20" x14ac:dyDescent="0.35">
      <c r="B1005" t="str">
        <f>IF(NOT(ISBLANK(A1005)),VLOOKUP(A1005,'BBT3'!A:F,2,0),"")</f>
        <v/>
      </c>
      <c r="C1005" t="str">
        <f>IF(NOT(ISBLANK(A1005)),VLOOKUP(A1005,'BBT3'!A:F,3,0),"")</f>
        <v/>
      </c>
      <c r="D1005" s="6" t="str">
        <f>IF(NOT(ISBLANK(A1005)),VLOOKUP(A1005,'BBT3'!A:F,4,1),"")</f>
        <v/>
      </c>
      <c r="E1005" t="str">
        <f>IF(NOT(ISBLANK(A1005)),VLOOKUP(A1005,'BBT3'!A:F,5,0),"")</f>
        <v/>
      </c>
      <c r="F1005" t="str">
        <f>IF(NOT(ISBLANK(A1005)),VLOOKUP(A1005,'BBT3'!A:F,6,0),"")</f>
        <v/>
      </c>
      <c r="G1005" t="str">
        <f>IF(NOT(ISBLANK(A1005)),VLOOKUP(A1005,QW_Close!A:J,5,0),"")</f>
        <v/>
      </c>
      <c r="H1005" s="5" t="str" cm="1">
        <f t="array" ref="H1005">IF(NOT(ISBLANK(A1005)),((_xlfn.XLOOKUP(1,(_bbt3[[#All],[ID]]=A1005)*(_bbt3[[#All],[METRIC_NAME]]="YLD_YTM_ASK"),_bbt3[[#All],[METRIC_VALUE]])*0.5)+(_xlfn.XLOOKUP(1,(_bbt3[[#All],[ID]]=A1005)*(_bbt3[[#All],[METRIC_NAME]]="YLD_YTM_BID"),_bbt3[[#All],[METRIC_VALUE]])*0.5))/100,"")</f>
        <v/>
      </c>
      <c r="I1005">
        <f>IF(ISNA(VLOOKUP(A1005,QW_CloseDL!A:E,5,0)),0,VLOOKUP(A1005,QW_CloseDL!A:E,5,0))</f>
        <v>0</v>
      </c>
      <c r="J1005" s="8" t="str">
        <f t="shared" si="75"/>
        <v/>
      </c>
      <c r="P1005">
        <v>0</v>
      </c>
      <c r="Q1005" t="e">
        <f t="shared" si="76"/>
        <v>#N/A</v>
      </c>
      <c r="R1005" t="e">
        <f t="shared" si="77"/>
        <v>#N/A</v>
      </c>
      <c r="S1005" s="9" t="e">
        <f t="shared" si="78"/>
        <v>#N/A</v>
      </c>
      <c r="T1005" s="3" t="e">
        <f t="shared" si="79"/>
        <v>#N/A</v>
      </c>
    </row>
    <row r="1006" spans="2:20" x14ac:dyDescent="0.35">
      <c r="B1006" t="str">
        <f>IF(NOT(ISBLANK(A1006)),VLOOKUP(A1006,'BBT3'!A:F,2,0),"")</f>
        <v/>
      </c>
      <c r="C1006" t="str">
        <f>IF(NOT(ISBLANK(A1006)),VLOOKUP(A1006,'BBT3'!A:F,3,0),"")</f>
        <v/>
      </c>
      <c r="D1006" s="6" t="str">
        <f>IF(NOT(ISBLANK(A1006)),VLOOKUP(A1006,'BBT3'!A:F,4,1),"")</f>
        <v/>
      </c>
      <c r="E1006" t="str">
        <f>IF(NOT(ISBLANK(A1006)),VLOOKUP(A1006,'BBT3'!A:F,5,0),"")</f>
        <v/>
      </c>
      <c r="F1006" t="str">
        <f>IF(NOT(ISBLANK(A1006)),VLOOKUP(A1006,'BBT3'!A:F,6,0),"")</f>
        <v/>
      </c>
      <c r="G1006" t="str">
        <f>IF(NOT(ISBLANK(A1006)),VLOOKUP(A1006,QW_Close!A:J,5,0),"")</f>
        <v/>
      </c>
      <c r="H1006" s="5" t="str" cm="1">
        <f t="array" ref="H1006">IF(NOT(ISBLANK(A1006)),((_xlfn.XLOOKUP(1,(_bbt3[[#All],[ID]]=A1006)*(_bbt3[[#All],[METRIC_NAME]]="YLD_YTM_ASK"),_bbt3[[#All],[METRIC_VALUE]])*0.5)+(_xlfn.XLOOKUP(1,(_bbt3[[#All],[ID]]=A1006)*(_bbt3[[#All],[METRIC_NAME]]="YLD_YTM_BID"),_bbt3[[#All],[METRIC_VALUE]])*0.5))/100,"")</f>
        <v/>
      </c>
      <c r="I1006">
        <f>IF(ISNA(VLOOKUP(A1006,QW_CloseDL!A:E,5,0)),0,VLOOKUP(A1006,QW_CloseDL!A:E,5,0))</f>
        <v>0</v>
      </c>
      <c r="J1006" s="8" t="str">
        <f t="shared" si="75"/>
        <v/>
      </c>
      <c r="P1006">
        <v>0</v>
      </c>
      <c r="Q1006" t="e">
        <f t="shared" si="76"/>
        <v>#N/A</v>
      </c>
      <c r="R1006" t="e">
        <f t="shared" si="77"/>
        <v>#N/A</v>
      </c>
      <c r="S1006" s="9" t="e">
        <f t="shared" si="78"/>
        <v>#N/A</v>
      </c>
      <c r="T1006" s="3" t="e">
        <f t="shared" si="79"/>
        <v>#N/A</v>
      </c>
    </row>
    <row r="1007" spans="2:20" x14ac:dyDescent="0.35">
      <c r="B1007" t="str">
        <f>IF(NOT(ISBLANK(A1007)),VLOOKUP(A1007,'BBT3'!A:F,2,0),"")</f>
        <v/>
      </c>
      <c r="C1007" t="str">
        <f>IF(NOT(ISBLANK(A1007)),VLOOKUP(A1007,'BBT3'!A:F,3,0),"")</f>
        <v/>
      </c>
      <c r="D1007" s="6" t="str">
        <f>IF(NOT(ISBLANK(A1007)),VLOOKUP(A1007,'BBT3'!A:F,4,1),"")</f>
        <v/>
      </c>
      <c r="E1007" t="str">
        <f>IF(NOT(ISBLANK(A1007)),VLOOKUP(A1007,'BBT3'!A:F,5,0),"")</f>
        <v/>
      </c>
      <c r="F1007" t="str">
        <f>IF(NOT(ISBLANK(A1007)),VLOOKUP(A1007,'BBT3'!A:F,6,0),"")</f>
        <v/>
      </c>
      <c r="G1007" t="str">
        <f>IF(NOT(ISBLANK(A1007)),VLOOKUP(A1007,QW_Close!A:J,5,0),"")</f>
        <v/>
      </c>
      <c r="H1007" s="5" t="str" cm="1">
        <f t="array" ref="H1007">IF(NOT(ISBLANK(A1007)),((_xlfn.XLOOKUP(1,(_bbt3[[#All],[ID]]=A1007)*(_bbt3[[#All],[METRIC_NAME]]="YLD_YTM_ASK"),_bbt3[[#All],[METRIC_VALUE]])*0.5)+(_xlfn.XLOOKUP(1,(_bbt3[[#All],[ID]]=A1007)*(_bbt3[[#All],[METRIC_NAME]]="YLD_YTM_BID"),_bbt3[[#All],[METRIC_VALUE]])*0.5))/100,"")</f>
        <v/>
      </c>
      <c r="I1007">
        <f>IF(ISNA(VLOOKUP(A1007,QW_CloseDL!A:E,5,0)),0,VLOOKUP(A1007,QW_CloseDL!A:E,5,0))</f>
        <v>0</v>
      </c>
      <c r="J1007" s="8" t="str">
        <f t="shared" si="75"/>
        <v/>
      </c>
      <c r="P1007">
        <v>0</v>
      </c>
      <c r="Q1007" t="e">
        <f t="shared" si="76"/>
        <v>#N/A</v>
      </c>
      <c r="R1007" t="e">
        <f t="shared" si="77"/>
        <v>#N/A</v>
      </c>
      <c r="S1007" s="9" t="e">
        <f t="shared" si="78"/>
        <v>#N/A</v>
      </c>
      <c r="T1007" s="3" t="e">
        <f t="shared" si="79"/>
        <v>#N/A</v>
      </c>
    </row>
    <row r="1008" spans="2:20" x14ac:dyDescent="0.35">
      <c r="B1008" t="str">
        <f>IF(NOT(ISBLANK(A1008)),VLOOKUP(A1008,'BBT3'!A:F,2,0),"")</f>
        <v/>
      </c>
      <c r="C1008" t="str">
        <f>IF(NOT(ISBLANK(A1008)),VLOOKUP(A1008,'BBT3'!A:F,3,0),"")</f>
        <v/>
      </c>
      <c r="D1008" s="6" t="str">
        <f>IF(NOT(ISBLANK(A1008)),VLOOKUP(A1008,'BBT3'!A:F,4,1),"")</f>
        <v/>
      </c>
      <c r="E1008" t="str">
        <f>IF(NOT(ISBLANK(A1008)),VLOOKUP(A1008,'BBT3'!A:F,5,0),"")</f>
        <v/>
      </c>
      <c r="F1008" t="str">
        <f>IF(NOT(ISBLANK(A1008)),VLOOKUP(A1008,'BBT3'!A:F,6,0),"")</f>
        <v/>
      </c>
      <c r="G1008" t="str">
        <f>IF(NOT(ISBLANK(A1008)),VLOOKUP(A1008,QW_Close!A:J,5,0),"")</f>
        <v/>
      </c>
      <c r="H1008" s="5" t="str" cm="1">
        <f t="array" ref="H1008">IF(NOT(ISBLANK(A1008)),((_xlfn.XLOOKUP(1,(_bbt3[[#All],[ID]]=A1008)*(_bbt3[[#All],[METRIC_NAME]]="YLD_YTM_ASK"),_bbt3[[#All],[METRIC_VALUE]])*0.5)+(_xlfn.XLOOKUP(1,(_bbt3[[#All],[ID]]=A1008)*(_bbt3[[#All],[METRIC_NAME]]="YLD_YTM_BID"),_bbt3[[#All],[METRIC_VALUE]])*0.5))/100,"")</f>
        <v/>
      </c>
      <c r="I1008">
        <f>IF(ISNA(VLOOKUP(A1008,QW_CloseDL!A:E,5,0)),0,VLOOKUP(A1008,QW_CloseDL!A:E,5,0))</f>
        <v>0</v>
      </c>
      <c r="J1008" s="8" t="str">
        <f t="shared" si="75"/>
        <v/>
      </c>
      <c r="P1008">
        <v>0</v>
      </c>
      <c r="Q1008" t="e">
        <f t="shared" si="76"/>
        <v>#N/A</v>
      </c>
      <c r="R1008" t="e">
        <f t="shared" si="77"/>
        <v>#N/A</v>
      </c>
      <c r="S1008" s="9" t="e">
        <f t="shared" si="78"/>
        <v>#N/A</v>
      </c>
      <c r="T1008" s="3" t="e">
        <f t="shared" si="79"/>
        <v>#N/A</v>
      </c>
    </row>
    <row r="1009" spans="2:20" x14ac:dyDescent="0.35">
      <c r="B1009" t="str">
        <f>IF(NOT(ISBLANK(A1009)),VLOOKUP(A1009,'BBT3'!A:F,2,0),"")</f>
        <v/>
      </c>
      <c r="C1009" t="str">
        <f>IF(NOT(ISBLANK(A1009)),VLOOKUP(A1009,'BBT3'!A:F,3,0),"")</f>
        <v/>
      </c>
      <c r="D1009" s="6" t="str">
        <f>IF(NOT(ISBLANK(A1009)),VLOOKUP(A1009,'BBT3'!A:F,4,1),"")</f>
        <v/>
      </c>
      <c r="E1009" t="str">
        <f>IF(NOT(ISBLANK(A1009)),VLOOKUP(A1009,'BBT3'!A:F,5,0),"")</f>
        <v/>
      </c>
      <c r="F1009" t="str">
        <f>IF(NOT(ISBLANK(A1009)),VLOOKUP(A1009,'BBT3'!A:F,6,0),"")</f>
        <v/>
      </c>
      <c r="G1009" t="str">
        <f>IF(NOT(ISBLANK(A1009)),VLOOKUP(A1009,QW_Close!A:J,5,0),"")</f>
        <v/>
      </c>
      <c r="H1009" s="5" t="str" cm="1">
        <f t="array" ref="H1009">IF(NOT(ISBLANK(A1009)),((_xlfn.XLOOKUP(1,(_bbt3[[#All],[ID]]=A1009)*(_bbt3[[#All],[METRIC_NAME]]="YLD_YTM_ASK"),_bbt3[[#All],[METRIC_VALUE]])*0.5)+(_xlfn.XLOOKUP(1,(_bbt3[[#All],[ID]]=A1009)*(_bbt3[[#All],[METRIC_NAME]]="YLD_YTM_BID"),_bbt3[[#All],[METRIC_VALUE]])*0.5))/100,"")</f>
        <v/>
      </c>
      <c r="I1009">
        <f>IF(ISNA(VLOOKUP(A1009,QW_CloseDL!A:E,5,0)),0,VLOOKUP(A1009,QW_CloseDL!A:E,5,0))</f>
        <v>0</v>
      </c>
      <c r="J1009" s="8" t="str">
        <f t="shared" si="75"/>
        <v/>
      </c>
      <c r="P1009">
        <v>0</v>
      </c>
      <c r="Q1009" t="e">
        <f t="shared" si="76"/>
        <v>#N/A</v>
      </c>
      <c r="R1009" t="e">
        <f t="shared" si="77"/>
        <v>#N/A</v>
      </c>
      <c r="S1009" s="9" t="e">
        <f t="shared" si="78"/>
        <v>#N/A</v>
      </c>
      <c r="T1009" s="3" t="e">
        <f t="shared" si="79"/>
        <v>#N/A</v>
      </c>
    </row>
    <row r="1010" spans="2:20" x14ac:dyDescent="0.35">
      <c r="B1010" t="str">
        <f>IF(NOT(ISBLANK(A1010)),VLOOKUP(A1010,'BBT3'!A:F,2,0),"")</f>
        <v/>
      </c>
      <c r="C1010" t="str">
        <f>IF(NOT(ISBLANK(A1010)),VLOOKUP(A1010,'BBT3'!A:F,3,0),"")</f>
        <v/>
      </c>
      <c r="D1010" s="6" t="str">
        <f>IF(NOT(ISBLANK(A1010)),VLOOKUP(A1010,'BBT3'!A:F,4,1),"")</f>
        <v/>
      </c>
      <c r="E1010" t="str">
        <f>IF(NOT(ISBLANK(A1010)),VLOOKUP(A1010,'BBT3'!A:F,5,0),"")</f>
        <v/>
      </c>
      <c r="F1010" t="str">
        <f>IF(NOT(ISBLANK(A1010)),VLOOKUP(A1010,'BBT3'!A:F,6,0),"")</f>
        <v/>
      </c>
      <c r="G1010" t="str">
        <f>IF(NOT(ISBLANK(A1010)),VLOOKUP(A1010,QW_Close!A:J,5,0),"")</f>
        <v/>
      </c>
      <c r="H1010" s="5" t="str" cm="1">
        <f t="array" ref="H1010">IF(NOT(ISBLANK(A1010)),((_xlfn.XLOOKUP(1,(_bbt3[[#All],[ID]]=A1010)*(_bbt3[[#All],[METRIC_NAME]]="YLD_YTM_ASK"),_bbt3[[#All],[METRIC_VALUE]])*0.5)+(_xlfn.XLOOKUP(1,(_bbt3[[#All],[ID]]=A1010)*(_bbt3[[#All],[METRIC_NAME]]="YLD_YTM_BID"),_bbt3[[#All],[METRIC_VALUE]])*0.5))/100,"")</f>
        <v/>
      </c>
      <c r="I1010">
        <f>IF(ISNA(VLOOKUP(A1010,QW_CloseDL!A:E,5,0)),0,VLOOKUP(A1010,QW_CloseDL!A:E,5,0))</f>
        <v>0</v>
      </c>
      <c r="J1010" s="8" t="str">
        <f t="shared" si="75"/>
        <v/>
      </c>
      <c r="P1010">
        <v>0</v>
      </c>
      <c r="Q1010" t="e">
        <f t="shared" si="76"/>
        <v>#N/A</v>
      </c>
      <c r="R1010" t="e">
        <f t="shared" si="77"/>
        <v>#N/A</v>
      </c>
      <c r="S1010" s="9" t="e">
        <f t="shared" si="78"/>
        <v>#N/A</v>
      </c>
      <c r="T1010" s="3" t="e">
        <f t="shared" si="79"/>
        <v>#N/A</v>
      </c>
    </row>
    <row r="1011" spans="2:20" x14ac:dyDescent="0.35">
      <c r="B1011" t="str">
        <f>IF(NOT(ISBLANK(A1011)),VLOOKUP(A1011,'BBT3'!A:F,2,0),"")</f>
        <v/>
      </c>
      <c r="C1011" t="str">
        <f>IF(NOT(ISBLANK(A1011)),VLOOKUP(A1011,'BBT3'!A:F,3,0),"")</f>
        <v/>
      </c>
      <c r="D1011" s="6" t="str">
        <f>IF(NOT(ISBLANK(A1011)),VLOOKUP(A1011,'BBT3'!A:F,4,1),"")</f>
        <v/>
      </c>
      <c r="E1011" t="str">
        <f>IF(NOT(ISBLANK(A1011)),VLOOKUP(A1011,'BBT3'!A:F,5,0),"")</f>
        <v/>
      </c>
      <c r="F1011" t="str">
        <f>IF(NOT(ISBLANK(A1011)),VLOOKUP(A1011,'BBT3'!A:F,6,0),"")</f>
        <v/>
      </c>
      <c r="G1011" t="str">
        <f>IF(NOT(ISBLANK(A1011)),VLOOKUP(A1011,QW_Close!A:J,5,0),"")</f>
        <v/>
      </c>
      <c r="H1011" s="5" t="str" cm="1">
        <f t="array" ref="H1011">IF(NOT(ISBLANK(A1011)),((_xlfn.XLOOKUP(1,(_bbt3[[#All],[ID]]=A1011)*(_bbt3[[#All],[METRIC_NAME]]="YLD_YTM_ASK"),_bbt3[[#All],[METRIC_VALUE]])*0.5)+(_xlfn.XLOOKUP(1,(_bbt3[[#All],[ID]]=A1011)*(_bbt3[[#All],[METRIC_NAME]]="YLD_YTM_BID"),_bbt3[[#All],[METRIC_VALUE]])*0.5))/100,"")</f>
        <v/>
      </c>
      <c r="I1011">
        <f>IF(ISNA(VLOOKUP(A1011,QW_CloseDL!A:E,5,0)),0,VLOOKUP(A1011,QW_CloseDL!A:E,5,0))</f>
        <v>0</v>
      </c>
      <c r="J1011" s="8" t="str">
        <f t="shared" si="75"/>
        <v/>
      </c>
      <c r="P1011">
        <v>0</v>
      </c>
      <c r="Q1011" t="e">
        <f t="shared" si="76"/>
        <v>#N/A</v>
      </c>
      <c r="R1011" t="e">
        <f t="shared" si="77"/>
        <v>#N/A</v>
      </c>
      <c r="S1011" s="9" t="e">
        <f t="shared" si="78"/>
        <v>#N/A</v>
      </c>
      <c r="T1011" s="3" t="e">
        <f t="shared" si="79"/>
        <v>#N/A</v>
      </c>
    </row>
    <row r="1012" spans="2:20" x14ac:dyDescent="0.35">
      <c r="B1012" t="str">
        <f>IF(NOT(ISBLANK(A1012)),VLOOKUP(A1012,'BBT3'!A:F,2,0),"")</f>
        <v/>
      </c>
      <c r="C1012" t="str">
        <f>IF(NOT(ISBLANK(A1012)),VLOOKUP(A1012,'BBT3'!A:F,3,0),"")</f>
        <v/>
      </c>
      <c r="D1012" s="6" t="str">
        <f>IF(NOT(ISBLANK(A1012)),VLOOKUP(A1012,'BBT3'!A:F,4,1),"")</f>
        <v/>
      </c>
      <c r="E1012" t="str">
        <f>IF(NOT(ISBLANK(A1012)),VLOOKUP(A1012,'BBT3'!A:F,5,0),"")</f>
        <v/>
      </c>
      <c r="F1012" t="str">
        <f>IF(NOT(ISBLANK(A1012)),VLOOKUP(A1012,'BBT3'!A:F,6,0),"")</f>
        <v/>
      </c>
      <c r="G1012" t="str">
        <f>IF(NOT(ISBLANK(A1012)),VLOOKUP(A1012,QW_Close!A:J,5,0),"")</f>
        <v/>
      </c>
      <c r="H1012" s="5" t="str" cm="1">
        <f t="array" ref="H1012">IF(NOT(ISBLANK(A1012)),((_xlfn.XLOOKUP(1,(_bbt3[[#All],[ID]]=A1012)*(_bbt3[[#All],[METRIC_NAME]]="YLD_YTM_ASK"),_bbt3[[#All],[METRIC_VALUE]])*0.5)+(_xlfn.XLOOKUP(1,(_bbt3[[#All],[ID]]=A1012)*(_bbt3[[#All],[METRIC_NAME]]="YLD_YTM_BID"),_bbt3[[#All],[METRIC_VALUE]])*0.5))/100,"")</f>
        <v/>
      </c>
      <c r="I1012">
        <f>IF(ISNA(VLOOKUP(A1012,QW_CloseDL!A:E,5,0)),0,VLOOKUP(A1012,QW_CloseDL!A:E,5,0))</f>
        <v>0</v>
      </c>
      <c r="J1012" s="8" t="str">
        <f t="shared" si="75"/>
        <v/>
      </c>
      <c r="P1012">
        <v>0</v>
      </c>
      <c r="Q1012" t="e">
        <f t="shared" si="76"/>
        <v>#N/A</v>
      </c>
      <c r="R1012" t="e">
        <f t="shared" si="77"/>
        <v>#N/A</v>
      </c>
      <c r="S1012" s="9" t="e">
        <f t="shared" si="78"/>
        <v>#N/A</v>
      </c>
      <c r="T1012" s="3" t="e">
        <f t="shared" si="79"/>
        <v>#N/A</v>
      </c>
    </row>
    <row r="1013" spans="2:20" x14ac:dyDescent="0.35">
      <c r="B1013" t="str">
        <f>IF(NOT(ISBLANK(A1013)),VLOOKUP(A1013,'BBT3'!A:F,2,0),"")</f>
        <v/>
      </c>
      <c r="C1013" t="str">
        <f>IF(NOT(ISBLANK(A1013)),VLOOKUP(A1013,'BBT3'!A:F,3,0),"")</f>
        <v/>
      </c>
      <c r="D1013" s="6" t="str">
        <f>IF(NOT(ISBLANK(A1013)),VLOOKUP(A1013,'BBT3'!A:F,4,1),"")</f>
        <v/>
      </c>
      <c r="E1013" t="str">
        <f>IF(NOT(ISBLANK(A1013)),VLOOKUP(A1013,'BBT3'!A:F,5,0),"")</f>
        <v/>
      </c>
      <c r="F1013" t="str">
        <f>IF(NOT(ISBLANK(A1013)),VLOOKUP(A1013,'BBT3'!A:F,6,0),"")</f>
        <v/>
      </c>
      <c r="G1013" t="str">
        <f>IF(NOT(ISBLANK(A1013)),VLOOKUP(A1013,QW_Close!A:J,5,0),"")</f>
        <v/>
      </c>
      <c r="H1013" s="5" t="str" cm="1">
        <f t="array" ref="H1013">IF(NOT(ISBLANK(A1013)),((_xlfn.XLOOKUP(1,(_bbt3[[#All],[ID]]=A1013)*(_bbt3[[#All],[METRIC_NAME]]="YLD_YTM_ASK"),_bbt3[[#All],[METRIC_VALUE]])*0.5)+(_xlfn.XLOOKUP(1,(_bbt3[[#All],[ID]]=A1013)*(_bbt3[[#All],[METRIC_NAME]]="YLD_YTM_BID"),_bbt3[[#All],[METRIC_VALUE]])*0.5))/100,"")</f>
        <v/>
      </c>
      <c r="I1013">
        <f>IF(ISNA(VLOOKUP(A1013,QW_CloseDL!A:E,5,0)),0,VLOOKUP(A1013,QW_CloseDL!A:E,5,0))</f>
        <v>0</v>
      </c>
      <c r="J1013" s="8" t="str">
        <f t="shared" si="75"/>
        <v/>
      </c>
      <c r="P1013">
        <v>0</v>
      </c>
      <c r="Q1013" t="e">
        <f t="shared" si="76"/>
        <v>#N/A</v>
      </c>
      <c r="R1013" t="e">
        <f t="shared" si="77"/>
        <v>#N/A</v>
      </c>
      <c r="S1013" s="9" t="e">
        <f t="shared" si="78"/>
        <v>#N/A</v>
      </c>
      <c r="T1013" s="3" t="e">
        <f t="shared" si="79"/>
        <v>#N/A</v>
      </c>
    </row>
    <row r="1014" spans="2:20" x14ac:dyDescent="0.35">
      <c r="B1014" t="str">
        <f>IF(NOT(ISBLANK(A1014)),VLOOKUP(A1014,'BBT3'!A:F,2,0),"")</f>
        <v/>
      </c>
      <c r="C1014" t="str">
        <f>IF(NOT(ISBLANK(A1014)),VLOOKUP(A1014,'BBT3'!A:F,3,0),"")</f>
        <v/>
      </c>
      <c r="D1014" s="6" t="str">
        <f>IF(NOT(ISBLANK(A1014)),VLOOKUP(A1014,'BBT3'!A:F,4,1),"")</f>
        <v/>
      </c>
      <c r="E1014" t="str">
        <f>IF(NOT(ISBLANK(A1014)),VLOOKUP(A1014,'BBT3'!A:F,5,0),"")</f>
        <v/>
      </c>
      <c r="F1014" t="str">
        <f>IF(NOT(ISBLANK(A1014)),VLOOKUP(A1014,'BBT3'!A:F,6,0),"")</f>
        <v/>
      </c>
      <c r="G1014" t="str">
        <f>IF(NOT(ISBLANK(A1014)),VLOOKUP(A1014,QW_Close!A:J,5,0),"")</f>
        <v/>
      </c>
      <c r="H1014" s="5" t="str" cm="1">
        <f t="array" ref="H1014">IF(NOT(ISBLANK(A1014)),((_xlfn.XLOOKUP(1,(_bbt3[[#All],[ID]]=A1014)*(_bbt3[[#All],[METRIC_NAME]]="YLD_YTM_ASK"),_bbt3[[#All],[METRIC_VALUE]])*0.5)+(_xlfn.XLOOKUP(1,(_bbt3[[#All],[ID]]=A1014)*(_bbt3[[#All],[METRIC_NAME]]="YLD_YTM_BID"),_bbt3[[#All],[METRIC_VALUE]])*0.5))/100,"")</f>
        <v/>
      </c>
      <c r="I1014">
        <f>IF(ISNA(VLOOKUP(A1014,QW_CloseDL!A:E,5,0)),0,VLOOKUP(A1014,QW_CloseDL!A:E,5,0))</f>
        <v>0</v>
      </c>
      <c r="J1014" s="8" t="str">
        <f t="shared" si="75"/>
        <v/>
      </c>
      <c r="P1014">
        <v>0</v>
      </c>
      <c r="Q1014" t="e">
        <f t="shared" si="76"/>
        <v>#N/A</v>
      </c>
      <c r="R1014" t="e">
        <f t="shared" si="77"/>
        <v>#N/A</v>
      </c>
      <c r="S1014" s="9" t="e">
        <f t="shared" si="78"/>
        <v>#N/A</v>
      </c>
      <c r="T1014" s="3" t="e">
        <f t="shared" si="79"/>
        <v>#N/A</v>
      </c>
    </row>
    <row r="1015" spans="2:20" x14ac:dyDescent="0.35">
      <c r="B1015" t="str">
        <f>IF(NOT(ISBLANK(A1015)),VLOOKUP(A1015,'BBT3'!A:F,2,0),"")</f>
        <v/>
      </c>
      <c r="C1015" t="str">
        <f>IF(NOT(ISBLANK(A1015)),VLOOKUP(A1015,'BBT3'!A:F,3,0),"")</f>
        <v/>
      </c>
      <c r="D1015" s="6" t="str">
        <f>IF(NOT(ISBLANK(A1015)),VLOOKUP(A1015,'BBT3'!A:F,4,1),"")</f>
        <v/>
      </c>
      <c r="E1015" t="str">
        <f>IF(NOT(ISBLANK(A1015)),VLOOKUP(A1015,'BBT3'!A:F,5,0),"")</f>
        <v/>
      </c>
      <c r="F1015" t="str">
        <f>IF(NOT(ISBLANK(A1015)),VLOOKUP(A1015,'BBT3'!A:F,6,0),"")</f>
        <v/>
      </c>
      <c r="G1015" t="str">
        <f>IF(NOT(ISBLANK(A1015)),VLOOKUP(A1015,QW_Close!A:J,5,0),"")</f>
        <v/>
      </c>
      <c r="H1015" s="5" t="str" cm="1">
        <f t="array" ref="H1015">IF(NOT(ISBLANK(A1015)),((_xlfn.XLOOKUP(1,(_bbt3[[#All],[ID]]=A1015)*(_bbt3[[#All],[METRIC_NAME]]="YLD_YTM_ASK"),_bbt3[[#All],[METRIC_VALUE]])*0.5)+(_xlfn.XLOOKUP(1,(_bbt3[[#All],[ID]]=A1015)*(_bbt3[[#All],[METRIC_NAME]]="YLD_YTM_BID"),_bbt3[[#All],[METRIC_VALUE]])*0.5))/100,"")</f>
        <v/>
      </c>
      <c r="I1015">
        <f>IF(ISNA(VLOOKUP(A1015,QW_CloseDL!A:E,5,0)),0,VLOOKUP(A1015,QW_CloseDL!A:E,5,0))</f>
        <v>0</v>
      </c>
      <c r="J1015" s="8" t="str">
        <f t="shared" si="75"/>
        <v/>
      </c>
      <c r="P1015">
        <v>0</v>
      </c>
      <c r="Q1015" t="e">
        <f t="shared" si="76"/>
        <v>#N/A</v>
      </c>
      <c r="R1015" t="e">
        <f t="shared" si="77"/>
        <v>#N/A</v>
      </c>
      <c r="S1015" s="9" t="e">
        <f t="shared" si="78"/>
        <v>#N/A</v>
      </c>
      <c r="T1015" s="3" t="e">
        <f t="shared" si="79"/>
        <v>#N/A</v>
      </c>
    </row>
    <row r="1016" spans="2:20" x14ac:dyDescent="0.35">
      <c r="B1016" t="str">
        <f>IF(NOT(ISBLANK(A1016)),VLOOKUP(A1016,'BBT3'!A:F,2,0),"")</f>
        <v/>
      </c>
      <c r="C1016" t="str">
        <f>IF(NOT(ISBLANK(A1016)),VLOOKUP(A1016,'BBT3'!A:F,3,0),"")</f>
        <v/>
      </c>
      <c r="D1016" s="6" t="str">
        <f>IF(NOT(ISBLANK(A1016)),VLOOKUP(A1016,'BBT3'!A:F,4,1),"")</f>
        <v/>
      </c>
      <c r="E1016" t="str">
        <f>IF(NOT(ISBLANK(A1016)),VLOOKUP(A1016,'BBT3'!A:F,5,0),"")</f>
        <v/>
      </c>
      <c r="F1016" t="str">
        <f>IF(NOT(ISBLANK(A1016)),VLOOKUP(A1016,'BBT3'!A:F,6,0),"")</f>
        <v/>
      </c>
      <c r="G1016" t="str">
        <f>IF(NOT(ISBLANK(A1016)),VLOOKUP(A1016,QW_Close!A:J,5,0),"")</f>
        <v/>
      </c>
      <c r="H1016" s="5" t="str" cm="1">
        <f t="array" ref="H1016">IF(NOT(ISBLANK(A1016)),((_xlfn.XLOOKUP(1,(_bbt3[[#All],[ID]]=A1016)*(_bbt3[[#All],[METRIC_NAME]]="YLD_YTM_ASK"),_bbt3[[#All],[METRIC_VALUE]])*0.5)+(_xlfn.XLOOKUP(1,(_bbt3[[#All],[ID]]=A1016)*(_bbt3[[#All],[METRIC_NAME]]="YLD_YTM_BID"),_bbt3[[#All],[METRIC_VALUE]])*0.5))/100,"")</f>
        <v/>
      </c>
      <c r="I1016">
        <f>IF(ISNA(VLOOKUP(A1016,QW_CloseDL!A:E,5,0)),0,VLOOKUP(A1016,QW_CloseDL!A:E,5,0))</f>
        <v>0</v>
      </c>
      <c r="J1016" s="8" t="str">
        <f t="shared" si="75"/>
        <v/>
      </c>
      <c r="P1016">
        <v>0</v>
      </c>
      <c r="Q1016" t="e">
        <f t="shared" si="76"/>
        <v>#N/A</v>
      </c>
      <c r="R1016" t="e">
        <f t="shared" si="77"/>
        <v>#N/A</v>
      </c>
      <c r="S1016" s="9" t="e">
        <f t="shared" si="78"/>
        <v>#N/A</v>
      </c>
      <c r="T1016" s="3" t="e">
        <f t="shared" si="79"/>
        <v>#N/A</v>
      </c>
    </row>
    <row r="1017" spans="2:20" x14ac:dyDescent="0.35">
      <c r="B1017" t="str">
        <f>IF(NOT(ISBLANK(A1017)),VLOOKUP(A1017,'BBT3'!A:F,2,0),"")</f>
        <v/>
      </c>
      <c r="C1017" t="str">
        <f>IF(NOT(ISBLANK(A1017)),VLOOKUP(A1017,'BBT3'!A:F,3,0),"")</f>
        <v/>
      </c>
      <c r="D1017" s="6" t="str">
        <f>IF(NOT(ISBLANK(A1017)),VLOOKUP(A1017,'BBT3'!A:F,4,1),"")</f>
        <v/>
      </c>
      <c r="E1017" t="str">
        <f>IF(NOT(ISBLANK(A1017)),VLOOKUP(A1017,'BBT3'!A:F,5,0),"")</f>
        <v/>
      </c>
      <c r="F1017" t="str">
        <f>IF(NOT(ISBLANK(A1017)),VLOOKUP(A1017,'BBT3'!A:F,6,0),"")</f>
        <v/>
      </c>
      <c r="G1017" t="str">
        <f>IF(NOT(ISBLANK(A1017)),VLOOKUP(A1017,QW_Close!A:J,5,0),"")</f>
        <v/>
      </c>
      <c r="H1017" s="5" t="str" cm="1">
        <f t="array" ref="H1017">IF(NOT(ISBLANK(A1017)),((_xlfn.XLOOKUP(1,(_bbt3[[#All],[ID]]=A1017)*(_bbt3[[#All],[METRIC_NAME]]="YLD_YTM_ASK"),_bbt3[[#All],[METRIC_VALUE]])*0.5)+(_xlfn.XLOOKUP(1,(_bbt3[[#All],[ID]]=A1017)*(_bbt3[[#All],[METRIC_NAME]]="YLD_YTM_BID"),_bbt3[[#All],[METRIC_VALUE]])*0.5))/100,"")</f>
        <v/>
      </c>
      <c r="I1017">
        <f>IF(ISNA(VLOOKUP(A1017,QW_CloseDL!A:E,5,0)),0,VLOOKUP(A1017,QW_CloseDL!A:E,5,0))</f>
        <v>0</v>
      </c>
      <c r="J1017" s="8" t="str">
        <f t="shared" si="75"/>
        <v/>
      </c>
      <c r="P1017">
        <v>0</v>
      </c>
      <c r="Q1017" t="e">
        <f t="shared" si="76"/>
        <v>#N/A</v>
      </c>
      <c r="R1017" t="e">
        <f t="shared" si="77"/>
        <v>#N/A</v>
      </c>
      <c r="S1017" s="9" t="e">
        <f t="shared" si="78"/>
        <v>#N/A</v>
      </c>
      <c r="T1017" s="3" t="e">
        <f t="shared" si="79"/>
        <v>#N/A</v>
      </c>
    </row>
    <row r="1018" spans="2:20" x14ac:dyDescent="0.35">
      <c r="B1018" t="str">
        <f>IF(NOT(ISBLANK(A1018)),VLOOKUP(A1018,'BBT3'!A:F,2,0),"")</f>
        <v/>
      </c>
      <c r="C1018" t="str">
        <f>IF(NOT(ISBLANK(A1018)),VLOOKUP(A1018,'BBT3'!A:F,3,0),"")</f>
        <v/>
      </c>
      <c r="D1018" s="6" t="str">
        <f>IF(NOT(ISBLANK(A1018)),VLOOKUP(A1018,'BBT3'!A:F,4,1),"")</f>
        <v/>
      </c>
      <c r="E1018" t="str">
        <f>IF(NOT(ISBLANK(A1018)),VLOOKUP(A1018,'BBT3'!A:F,5,0),"")</f>
        <v/>
      </c>
      <c r="F1018" t="str">
        <f>IF(NOT(ISBLANK(A1018)),VLOOKUP(A1018,'BBT3'!A:F,6,0),"")</f>
        <v/>
      </c>
      <c r="G1018" t="str">
        <f>IF(NOT(ISBLANK(A1018)),VLOOKUP(A1018,QW_Close!A:J,5,0),"")</f>
        <v/>
      </c>
      <c r="H1018" s="5" t="str" cm="1">
        <f t="array" ref="H1018">IF(NOT(ISBLANK(A1018)),((_xlfn.XLOOKUP(1,(_bbt3[[#All],[ID]]=A1018)*(_bbt3[[#All],[METRIC_NAME]]="YLD_YTM_ASK"),_bbt3[[#All],[METRIC_VALUE]])*0.5)+(_xlfn.XLOOKUP(1,(_bbt3[[#All],[ID]]=A1018)*(_bbt3[[#All],[METRIC_NAME]]="YLD_YTM_BID"),_bbt3[[#All],[METRIC_VALUE]])*0.5))/100,"")</f>
        <v/>
      </c>
      <c r="I1018">
        <f>IF(ISNA(VLOOKUP(A1018,QW_CloseDL!A:E,5,0)),0,VLOOKUP(A1018,QW_CloseDL!A:E,5,0))</f>
        <v>0</v>
      </c>
      <c r="J1018" s="8" t="str">
        <f t="shared" si="75"/>
        <v/>
      </c>
      <c r="P1018">
        <v>0</v>
      </c>
      <c r="Q1018" t="e">
        <f t="shared" si="76"/>
        <v>#N/A</v>
      </c>
      <c r="R1018" t="e">
        <f t="shared" si="77"/>
        <v>#N/A</v>
      </c>
      <c r="S1018" s="9" t="e">
        <f t="shared" si="78"/>
        <v>#N/A</v>
      </c>
      <c r="T1018" s="3" t="e">
        <f t="shared" si="79"/>
        <v>#N/A</v>
      </c>
    </row>
    <row r="1019" spans="2:20" x14ac:dyDescent="0.35">
      <c r="B1019" t="str">
        <f>IF(NOT(ISBLANK(A1019)),VLOOKUP(A1019,'BBT3'!A:F,2,0),"")</f>
        <v/>
      </c>
      <c r="C1019" t="str">
        <f>IF(NOT(ISBLANK(A1019)),VLOOKUP(A1019,'BBT3'!A:F,3,0),"")</f>
        <v/>
      </c>
      <c r="D1019" s="6" t="str">
        <f>IF(NOT(ISBLANK(A1019)),VLOOKUP(A1019,'BBT3'!A:F,4,1),"")</f>
        <v/>
      </c>
      <c r="E1019" t="str">
        <f>IF(NOT(ISBLANK(A1019)),VLOOKUP(A1019,'BBT3'!A:F,5,0),"")</f>
        <v/>
      </c>
      <c r="F1019" t="str">
        <f>IF(NOT(ISBLANK(A1019)),VLOOKUP(A1019,'BBT3'!A:F,6,0),"")</f>
        <v/>
      </c>
      <c r="G1019" t="str">
        <f>IF(NOT(ISBLANK(A1019)),VLOOKUP(A1019,QW_Close!A:J,5,0),"")</f>
        <v/>
      </c>
      <c r="H1019" s="5" t="str" cm="1">
        <f t="array" ref="H1019">IF(NOT(ISBLANK(A1019)),((_xlfn.XLOOKUP(1,(_bbt3[[#All],[ID]]=A1019)*(_bbt3[[#All],[METRIC_NAME]]="YLD_YTM_ASK"),_bbt3[[#All],[METRIC_VALUE]])*0.5)+(_xlfn.XLOOKUP(1,(_bbt3[[#All],[ID]]=A1019)*(_bbt3[[#All],[METRIC_NAME]]="YLD_YTM_BID"),_bbt3[[#All],[METRIC_VALUE]])*0.5))/100,"")</f>
        <v/>
      </c>
      <c r="I1019">
        <f>IF(ISNA(VLOOKUP(A1019,QW_CloseDL!A:E,5,0)),0,VLOOKUP(A1019,QW_CloseDL!A:E,5,0))</f>
        <v>0</v>
      </c>
      <c r="J1019" s="8" t="str">
        <f t="shared" si="75"/>
        <v/>
      </c>
      <c r="P1019">
        <v>0</v>
      </c>
      <c r="Q1019" t="e">
        <f t="shared" si="76"/>
        <v>#N/A</v>
      </c>
      <c r="R1019" t="e">
        <f t="shared" si="77"/>
        <v>#N/A</v>
      </c>
      <c r="S1019" s="9" t="e">
        <f t="shared" si="78"/>
        <v>#N/A</v>
      </c>
      <c r="T1019" s="3" t="e">
        <f t="shared" si="79"/>
        <v>#N/A</v>
      </c>
    </row>
    <row r="1020" spans="2:20" x14ac:dyDescent="0.35">
      <c r="B1020" t="str">
        <f>IF(NOT(ISBLANK(A1020)),VLOOKUP(A1020,'BBT3'!A:F,2,0),"")</f>
        <v/>
      </c>
      <c r="C1020" t="str">
        <f>IF(NOT(ISBLANK(A1020)),VLOOKUP(A1020,'BBT3'!A:F,3,0),"")</f>
        <v/>
      </c>
      <c r="D1020" s="6" t="str">
        <f>IF(NOT(ISBLANK(A1020)),VLOOKUP(A1020,'BBT3'!A:F,4,1),"")</f>
        <v/>
      </c>
      <c r="E1020" t="str">
        <f>IF(NOT(ISBLANK(A1020)),VLOOKUP(A1020,'BBT3'!A:F,5,0),"")</f>
        <v/>
      </c>
      <c r="F1020" t="str">
        <f>IF(NOT(ISBLANK(A1020)),VLOOKUP(A1020,'BBT3'!A:F,6,0),"")</f>
        <v/>
      </c>
      <c r="G1020" t="str">
        <f>IF(NOT(ISBLANK(A1020)),VLOOKUP(A1020,QW_Close!A:J,5,0),"")</f>
        <v/>
      </c>
      <c r="H1020" s="5" t="str" cm="1">
        <f t="array" ref="H1020">IF(NOT(ISBLANK(A1020)),((_xlfn.XLOOKUP(1,(_bbt3[[#All],[ID]]=A1020)*(_bbt3[[#All],[METRIC_NAME]]="YLD_YTM_ASK"),_bbt3[[#All],[METRIC_VALUE]])*0.5)+(_xlfn.XLOOKUP(1,(_bbt3[[#All],[ID]]=A1020)*(_bbt3[[#All],[METRIC_NAME]]="YLD_YTM_BID"),_bbt3[[#All],[METRIC_VALUE]])*0.5))/100,"")</f>
        <v/>
      </c>
      <c r="I1020">
        <f>IF(ISNA(VLOOKUP(A1020,QW_CloseDL!A:E,5,0)),0,VLOOKUP(A1020,QW_CloseDL!A:E,5,0))</f>
        <v>0</v>
      </c>
      <c r="J1020" s="8" t="str">
        <f t="shared" si="75"/>
        <v/>
      </c>
      <c r="P1020">
        <v>0</v>
      </c>
      <c r="Q1020" t="e">
        <f t="shared" si="76"/>
        <v>#N/A</v>
      </c>
      <c r="R1020" t="e">
        <f t="shared" si="77"/>
        <v>#N/A</v>
      </c>
      <c r="S1020" s="9" t="e">
        <f t="shared" si="78"/>
        <v>#N/A</v>
      </c>
      <c r="T1020" s="3" t="e">
        <f t="shared" si="79"/>
        <v>#N/A</v>
      </c>
    </row>
    <row r="1021" spans="2:20" x14ac:dyDescent="0.35">
      <c r="B1021" t="str">
        <f>IF(NOT(ISBLANK(A1021)),VLOOKUP(A1021,'BBT3'!A:F,2,0),"")</f>
        <v/>
      </c>
      <c r="C1021" t="str">
        <f>IF(NOT(ISBLANK(A1021)),VLOOKUP(A1021,'BBT3'!A:F,3,0),"")</f>
        <v/>
      </c>
      <c r="D1021" s="6" t="str">
        <f>IF(NOT(ISBLANK(A1021)),VLOOKUP(A1021,'BBT3'!A:F,4,1),"")</f>
        <v/>
      </c>
      <c r="E1021" t="str">
        <f>IF(NOT(ISBLANK(A1021)),VLOOKUP(A1021,'BBT3'!A:F,5,0),"")</f>
        <v/>
      </c>
      <c r="F1021" t="str">
        <f>IF(NOT(ISBLANK(A1021)),VLOOKUP(A1021,'BBT3'!A:F,6,0),"")</f>
        <v/>
      </c>
      <c r="G1021" t="str">
        <f>IF(NOT(ISBLANK(A1021)),VLOOKUP(A1021,QW_Close!A:J,5,0),"")</f>
        <v/>
      </c>
      <c r="H1021" s="5" t="str" cm="1">
        <f t="array" ref="H1021">IF(NOT(ISBLANK(A1021)),((_xlfn.XLOOKUP(1,(_bbt3[[#All],[ID]]=A1021)*(_bbt3[[#All],[METRIC_NAME]]="YLD_YTM_ASK"),_bbt3[[#All],[METRIC_VALUE]])*0.5)+(_xlfn.XLOOKUP(1,(_bbt3[[#All],[ID]]=A1021)*(_bbt3[[#All],[METRIC_NAME]]="YLD_YTM_BID"),_bbt3[[#All],[METRIC_VALUE]])*0.5))/100,"")</f>
        <v/>
      </c>
      <c r="I1021">
        <f>IF(ISNA(VLOOKUP(A1021,QW_CloseDL!A:E,5,0)),0,VLOOKUP(A1021,QW_CloseDL!A:E,5,0))</f>
        <v>0</v>
      </c>
      <c r="J1021" s="8" t="str">
        <f t="shared" si="75"/>
        <v/>
      </c>
      <c r="P1021">
        <v>0</v>
      </c>
      <c r="Q1021" t="e">
        <f t="shared" si="76"/>
        <v>#N/A</v>
      </c>
      <c r="R1021" t="e">
        <f t="shared" si="77"/>
        <v>#N/A</v>
      </c>
      <c r="S1021" s="9" t="e">
        <f t="shared" si="78"/>
        <v>#N/A</v>
      </c>
      <c r="T1021" s="3" t="e">
        <f t="shared" si="79"/>
        <v>#N/A</v>
      </c>
    </row>
    <row r="1022" spans="2:20" x14ac:dyDescent="0.35">
      <c r="B1022" t="str">
        <f>IF(NOT(ISBLANK(A1022)),VLOOKUP(A1022,'BBT3'!A:F,2,0),"")</f>
        <v/>
      </c>
      <c r="C1022" t="str">
        <f>IF(NOT(ISBLANK(A1022)),VLOOKUP(A1022,'BBT3'!A:F,3,0),"")</f>
        <v/>
      </c>
      <c r="D1022" s="6" t="str">
        <f>IF(NOT(ISBLANK(A1022)),VLOOKUP(A1022,'BBT3'!A:F,4,1),"")</f>
        <v/>
      </c>
      <c r="E1022" t="str">
        <f>IF(NOT(ISBLANK(A1022)),VLOOKUP(A1022,'BBT3'!A:F,5,0),"")</f>
        <v/>
      </c>
      <c r="F1022" t="str">
        <f>IF(NOT(ISBLANK(A1022)),VLOOKUP(A1022,'BBT3'!A:F,6,0),"")</f>
        <v/>
      </c>
      <c r="G1022" t="str">
        <f>IF(NOT(ISBLANK(A1022)),VLOOKUP(A1022,QW_Close!A:J,5,0),"")</f>
        <v/>
      </c>
      <c r="H1022" s="5" t="str" cm="1">
        <f t="array" ref="H1022">IF(NOT(ISBLANK(A1022)),((_xlfn.XLOOKUP(1,(_bbt3[[#All],[ID]]=A1022)*(_bbt3[[#All],[METRIC_NAME]]="YLD_YTM_ASK"),_bbt3[[#All],[METRIC_VALUE]])*0.5)+(_xlfn.XLOOKUP(1,(_bbt3[[#All],[ID]]=A1022)*(_bbt3[[#All],[METRIC_NAME]]="YLD_YTM_BID"),_bbt3[[#All],[METRIC_VALUE]])*0.5))/100,"")</f>
        <v/>
      </c>
      <c r="I1022">
        <f>IF(ISNA(VLOOKUP(A1022,QW_CloseDL!A:E,5,0)),0,VLOOKUP(A1022,QW_CloseDL!A:E,5,0))</f>
        <v>0</v>
      </c>
      <c r="J1022" s="8" t="str">
        <f t="shared" si="75"/>
        <v/>
      </c>
      <c r="P1022">
        <v>0</v>
      </c>
      <c r="Q1022" t="e">
        <f t="shared" si="76"/>
        <v>#N/A</v>
      </c>
      <c r="R1022" t="e">
        <f t="shared" si="77"/>
        <v>#N/A</v>
      </c>
      <c r="S1022" s="9" t="e">
        <f t="shared" si="78"/>
        <v>#N/A</v>
      </c>
      <c r="T1022" s="3" t="e">
        <f t="shared" si="79"/>
        <v>#N/A</v>
      </c>
    </row>
    <row r="1023" spans="2:20" x14ac:dyDescent="0.35">
      <c r="B1023" t="str">
        <f>IF(NOT(ISBLANK(A1023)),VLOOKUP(A1023,'BBT3'!A:F,2,0),"")</f>
        <v/>
      </c>
      <c r="C1023" t="str">
        <f>IF(NOT(ISBLANK(A1023)),VLOOKUP(A1023,'BBT3'!A:F,3,0),"")</f>
        <v/>
      </c>
      <c r="D1023" s="6" t="str">
        <f>IF(NOT(ISBLANK(A1023)),VLOOKUP(A1023,'BBT3'!A:F,4,1),"")</f>
        <v/>
      </c>
      <c r="E1023" t="str">
        <f>IF(NOT(ISBLANK(A1023)),VLOOKUP(A1023,'BBT3'!A:F,5,0),"")</f>
        <v/>
      </c>
      <c r="F1023" t="str">
        <f>IF(NOT(ISBLANK(A1023)),VLOOKUP(A1023,'BBT3'!A:F,6,0),"")</f>
        <v/>
      </c>
      <c r="G1023" t="str">
        <f>IF(NOT(ISBLANK(A1023)),VLOOKUP(A1023,QW_Close!A:J,5,0),"")</f>
        <v/>
      </c>
      <c r="H1023" s="5" t="str" cm="1">
        <f t="array" ref="H1023">IF(NOT(ISBLANK(A1023)),((_xlfn.XLOOKUP(1,(_bbt3[[#All],[ID]]=A1023)*(_bbt3[[#All],[METRIC_NAME]]="YLD_YTM_ASK"),_bbt3[[#All],[METRIC_VALUE]])*0.5)+(_xlfn.XLOOKUP(1,(_bbt3[[#All],[ID]]=A1023)*(_bbt3[[#All],[METRIC_NAME]]="YLD_YTM_BID"),_bbt3[[#All],[METRIC_VALUE]])*0.5))/100,"")</f>
        <v/>
      </c>
      <c r="I1023">
        <f>IF(ISNA(VLOOKUP(A1023,QW_CloseDL!A:E,5,0)),0,VLOOKUP(A1023,QW_CloseDL!A:E,5,0))</f>
        <v>0</v>
      </c>
      <c r="J1023" s="8" t="str">
        <f t="shared" si="75"/>
        <v/>
      </c>
      <c r="P1023">
        <v>0</v>
      </c>
      <c r="Q1023" t="e">
        <f t="shared" si="76"/>
        <v>#N/A</v>
      </c>
      <c r="R1023" t="e">
        <f t="shared" si="77"/>
        <v>#N/A</v>
      </c>
      <c r="S1023" s="9" t="e">
        <f t="shared" si="78"/>
        <v>#N/A</v>
      </c>
      <c r="T1023" s="3" t="e">
        <f t="shared" si="79"/>
        <v>#N/A</v>
      </c>
    </row>
    <row r="1024" spans="2:20" x14ac:dyDescent="0.35">
      <c r="B1024" t="str">
        <f>IF(NOT(ISBLANK(A1024)),VLOOKUP(A1024,'BBT3'!A:F,2,0),"")</f>
        <v/>
      </c>
      <c r="C1024" t="str">
        <f>IF(NOT(ISBLANK(A1024)),VLOOKUP(A1024,'BBT3'!A:F,3,0),"")</f>
        <v/>
      </c>
      <c r="D1024" s="6" t="str">
        <f>IF(NOT(ISBLANK(A1024)),VLOOKUP(A1024,'BBT3'!A:F,4,1),"")</f>
        <v/>
      </c>
      <c r="E1024" t="str">
        <f>IF(NOT(ISBLANK(A1024)),VLOOKUP(A1024,'BBT3'!A:F,5,0),"")</f>
        <v/>
      </c>
      <c r="F1024" t="str">
        <f>IF(NOT(ISBLANK(A1024)),VLOOKUP(A1024,'BBT3'!A:F,6,0),"")</f>
        <v/>
      </c>
      <c r="G1024" t="str">
        <f>IF(NOT(ISBLANK(A1024)),VLOOKUP(A1024,QW_Close!A:J,5,0),"")</f>
        <v/>
      </c>
      <c r="H1024" s="5" t="str" cm="1">
        <f t="array" ref="H1024">IF(NOT(ISBLANK(A1024)),((_xlfn.XLOOKUP(1,(_bbt3[[#All],[ID]]=A1024)*(_bbt3[[#All],[METRIC_NAME]]="YLD_YTM_ASK"),_bbt3[[#All],[METRIC_VALUE]])*0.5)+(_xlfn.XLOOKUP(1,(_bbt3[[#All],[ID]]=A1024)*(_bbt3[[#All],[METRIC_NAME]]="YLD_YTM_BID"),_bbt3[[#All],[METRIC_VALUE]])*0.5))/100,"")</f>
        <v/>
      </c>
      <c r="I1024">
        <f>IF(ISNA(VLOOKUP(A1024,QW_CloseDL!A:E,5,0)),0,VLOOKUP(A1024,QW_CloseDL!A:E,5,0))</f>
        <v>0</v>
      </c>
      <c r="J1024" s="8" t="str">
        <f t="shared" si="75"/>
        <v/>
      </c>
      <c r="P1024">
        <v>0</v>
      </c>
      <c r="Q1024" t="e">
        <f t="shared" si="76"/>
        <v>#N/A</v>
      </c>
      <c r="R1024" t="e">
        <f t="shared" si="77"/>
        <v>#N/A</v>
      </c>
      <c r="S1024" s="9" t="e">
        <f t="shared" si="78"/>
        <v>#N/A</v>
      </c>
      <c r="T1024" s="3" t="e">
        <f t="shared" si="79"/>
        <v>#N/A</v>
      </c>
    </row>
    <row r="1025" spans="2:20" x14ac:dyDescent="0.35">
      <c r="B1025" t="str">
        <f>IF(NOT(ISBLANK(A1025)),VLOOKUP(A1025,'BBT3'!A:F,2,0),"")</f>
        <v/>
      </c>
      <c r="C1025" t="str">
        <f>IF(NOT(ISBLANK(A1025)),VLOOKUP(A1025,'BBT3'!A:F,3,0),"")</f>
        <v/>
      </c>
      <c r="D1025" s="6" t="str">
        <f>IF(NOT(ISBLANK(A1025)),VLOOKUP(A1025,'BBT3'!A:F,4,1),"")</f>
        <v/>
      </c>
      <c r="E1025" t="str">
        <f>IF(NOT(ISBLANK(A1025)),VLOOKUP(A1025,'BBT3'!A:F,5,0),"")</f>
        <v/>
      </c>
      <c r="F1025" t="str">
        <f>IF(NOT(ISBLANK(A1025)),VLOOKUP(A1025,'BBT3'!A:F,6,0),"")</f>
        <v/>
      </c>
      <c r="G1025" t="str">
        <f>IF(NOT(ISBLANK(A1025)),VLOOKUP(A1025,QW_Close!A:J,5,0),"")</f>
        <v/>
      </c>
      <c r="H1025" s="5" t="str" cm="1">
        <f t="array" ref="H1025">IF(NOT(ISBLANK(A1025)),((_xlfn.XLOOKUP(1,(_bbt3[[#All],[ID]]=A1025)*(_bbt3[[#All],[METRIC_NAME]]="YLD_YTM_ASK"),_bbt3[[#All],[METRIC_VALUE]])*0.5)+(_xlfn.XLOOKUP(1,(_bbt3[[#All],[ID]]=A1025)*(_bbt3[[#All],[METRIC_NAME]]="YLD_YTM_BID"),_bbt3[[#All],[METRIC_VALUE]])*0.5))/100,"")</f>
        <v/>
      </c>
      <c r="I1025">
        <f>IF(ISNA(VLOOKUP(A1025,QW_CloseDL!A:E,5,0)),0,VLOOKUP(A1025,QW_CloseDL!A:E,5,0))</f>
        <v>0</v>
      </c>
      <c r="J1025" s="8" t="str">
        <f t="shared" si="75"/>
        <v/>
      </c>
      <c r="P1025">
        <v>0</v>
      </c>
      <c r="Q1025" t="e">
        <f t="shared" si="76"/>
        <v>#N/A</v>
      </c>
      <c r="R1025" t="e">
        <f t="shared" si="77"/>
        <v>#N/A</v>
      </c>
      <c r="S1025" s="9" t="e">
        <f t="shared" si="78"/>
        <v>#N/A</v>
      </c>
      <c r="T1025" s="3" t="e">
        <f t="shared" si="79"/>
        <v>#N/A</v>
      </c>
    </row>
    <row r="1026" spans="2:20" x14ac:dyDescent="0.35">
      <c r="B1026" t="str">
        <f>IF(NOT(ISBLANK(A1026)),VLOOKUP(A1026,'BBT3'!A:F,2,0),"")</f>
        <v/>
      </c>
      <c r="C1026" t="str">
        <f>IF(NOT(ISBLANK(A1026)),VLOOKUP(A1026,'BBT3'!A:F,3,0),"")</f>
        <v/>
      </c>
      <c r="D1026" s="6" t="str">
        <f>IF(NOT(ISBLANK(A1026)),VLOOKUP(A1026,'BBT3'!A:F,4,1),"")</f>
        <v/>
      </c>
      <c r="E1026" t="str">
        <f>IF(NOT(ISBLANK(A1026)),VLOOKUP(A1026,'BBT3'!A:F,5,0),"")</f>
        <v/>
      </c>
      <c r="F1026" t="str">
        <f>IF(NOT(ISBLANK(A1026)),VLOOKUP(A1026,'BBT3'!A:F,6,0),"")</f>
        <v/>
      </c>
      <c r="G1026" t="str">
        <f>IF(NOT(ISBLANK(A1026)),VLOOKUP(A1026,QW_Close!A:J,5,0),"")</f>
        <v/>
      </c>
      <c r="H1026" s="5" t="str" cm="1">
        <f t="array" ref="H1026">IF(NOT(ISBLANK(A1026)),((_xlfn.XLOOKUP(1,(_bbt3[[#All],[ID]]=A1026)*(_bbt3[[#All],[METRIC_NAME]]="YLD_YTM_ASK"),_bbt3[[#All],[METRIC_VALUE]])*0.5)+(_xlfn.XLOOKUP(1,(_bbt3[[#All],[ID]]=A1026)*(_bbt3[[#All],[METRIC_NAME]]="YLD_YTM_BID"),_bbt3[[#All],[METRIC_VALUE]])*0.5))/100,"")</f>
        <v/>
      </c>
      <c r="I1026">
        <f>IF(ISNA(VLOOKUP(A1026,QW_CloseDL!A:E,5,0)),0,VLOOKUP(A1026,QW_CloseDL!A:E,5,0))</f>
        <v>0</v>
      </c>
      <c r="J1026" s="8" t="str">
        <f t="shared" si="75"/>
        <v/>
      </c>
      <c r="P1026">
        <v>0</v>
      </c>
      <c r="Q1026" t="e">
        <f t="shared" si="76"/>
        <v>#N/A</v>
      </c>
      <c r="R1026" t="e">
        <f t="shared" si="77"/>
        <v>#N/A</v>
      </c>
      <c r="S1026" s="9" t="e">
        <f t="shared" si="78"/>
        <v>#N/A</v>
      </c>
      <c r="T1026" s="3" t="e">
        <f t="shared" si="79"/>
        <v>#N/A</v>
      </c>
    </row>
    <row r="1027" spans="2:20" x14ac:dyDescent="0.35">
      <c r="B1027" t="str">
        <f>IF(NOT(ISBLANK(A1027)),VLOOKUP(A1027,'BBT3'!A:F,2,0),"")</f>
        <v/>
      </c>
      <c r="C1027" t="str">
        <f>IF(NOT(ISBLANK(A1027)),VLOOKUP(A1027,'BBT3'!A:F,3,0),"")</f>
        <v/>
      </c>
      <c r="D1027" s="6" t="str">
        <f>IF(NOT(ISBLANK(A1027)),VLOOKUP(A1027,'BBT3'!A:F,4,1),"")</f>
        <v/>
      </c>
      <c r="E1027" t="str">
        <f>IF(NOT(ISBLANK(A1027)),VLOOKUP(A1027,'BBT3'!A:F,5,0),"")</f>
        <v/>
      </c>
      <c r="F1027" t="str">
        <f>IF(NOT(ISBLANK(A1027)),VLOOKUP(A1027,'BBT3'!A:F,6,0),"")</f>
        <v/>
      </c>
      <c r="G1027" t="str">
        <f>IF(NOT(ISBLANK(A1027)),VLOOKUP(A1027,QW_Close!A:J,5,0),"")</f>
        <v/>
      </c>
      <c r="H1027" s="5" t="str" cm="1">
        <f t="array" ref="H1027">IF(NOT(ISBLANK(A1027)),((_xlfn.XLOOKUP(1,(_bbt3[[#All],[ID]]=A1027)*(_bbt3[[#All],[METRIC_NAME]]="YLD_YTM_ASK"),_bbt3[[#All],[METRIC_VALUE]])*0.5)+(_xlfn.XLOOKUP(1,(_bbt3[[#All],[ID]]=A1027)*(_bbt3[[#All],[METRIC_NAME]]="YLD_YTM_BID"),_bbt3[[#All],[METRIC_VALUE]])*0.5))/100,"")</f>
        <v/>
      </c>
      <c r="I1027">
        <f>IF(ISNA(VLOOKUP(A1027,QW_CloseDL!A:E,5,0)),0,VLOOKUP(A1027,QW_CloseDL!A:E,5,0))</f>
        <v>0</v>
      </c>
      <c r="J1027" s="8" t="str">
        <f t="shared" ref="J1027:J1090" si="80">IF(ISNA(IF(NOT(ISBLANK(A1027)),ABS(G1027-I1027),"")),0,(IF(NOT(ISBLANK(A1027)),ABS(G1027-I1027)*10000,"")))</f>
        <v/>
      </c>
      <c r="P1027">
        <v>0</v>
      </c>
      <c r="Q1027" t="e">
        <f t="shared" si="76"/>
        <v>#N/A</v>
      </c>
      <c r="R1027" t="e">
        <f t="shared" si="77"/>
        <v>#N/A</v>
      </c>
      <c r="S1027" s="9" t="e">
        <f t="shared" si="78"/>
        <v>#N/A</v>
      </c>
      <c r="T1027" s="3" t="e">
        <f t="shared" si="79"/>
        <v>#N/A</v>
      </c>
    </row>
    <row r="1028" spans="2:20" x14ac:dyDescent="0.35">
      <c r="B1028" t="str">
        <f>IF(NOT(ISBLANK(A1028)),VLOOKUP(A1028,'BBT3'!A:F,2,0),"")</f>
        <v/>
      </c>
      <c r="C1028" t="str">
        <f>IF(NOT(ISBLANK(A1028)),VLOOKUP(A1028,'BBT3'!A:F,3,0),"")</f>
        <v/>
      </c>
      <c r="D1028" s="6" t="str">
        <f>IF(NOT(ISBLANK(A1028)),VLOOKUP(A1028,'BBT3'!A:F,4,1),"")</f>
        <v/>
      </c>
      <c r="E1028" t="str">
        <f>IF(NOT(ISBLANK(A1028)),VLOOKUP(A1028,'BBT3'!A:F,5,0),"")</f>
        <v/>
      </c>
      <c r="F1028" t="str">
        <f>IF(NOT(ISBLANK(A1028)),VLOOKUP(A1028,'BBT3'!A:F,6,0),"")</f>
        <v/>
      </c>
      <c r="G1028" t="str">
        <f>IF(NOT(ISBLANK(A1028)),VLOOKUP(A1028,QW_Close!A:J,5,0),"")</f>
        <v/>
      </c>
      <c r="H1028" s="5" t="str" cm="1">
        <f t="array" ref="H1028">IF(NOT(ISBLANK(A1028)),((_xlfn.XLOOKUP(1,(_bbt3[[#All],[ID]]=A1028)*(_bbt3[[#All],[METRIC_NAME]]="YLD_YTM_ASK"),_bbt3[[#All],[METRIC_VALUE]])*0.5)+(_xlfn.XLOOKUP(1,(_bbt3[[#All],[ID]]=A1028)*(_bbt3[[#All],[METRIC_NAME]]="YLD_YTM_BID"),_bbt3[[#All],[METRIC_VALUE]])*0.5))/100,"")</f>
        <v/>
      </c>
      <c r="I1028">
        <f>IF(ISNA(VLOOKUP(A1028,QW_CloseDL!A:E,5,0)),0,VLOOKUP(A1028,QW_CloseDL!A:E,5,0))</f>
        <v>0</v>
      </c>
      <c r="J1028" s="8" t="str">
        <f t="shared" si="80"/>
        <v/>
      </c>
      <c r="P1028">
        <v>0</v>
      </c>
      <c r="Q1028" t="e">
        <f t="shared" si="76"/>
        <v>#N/A</v>
      </c>
      <c r="R1028" t="e">
        <f t="shared" si="77"/>
        <v>#N/A</v>
      </c>
      <c r="S1028" s="9" t="e">
        <f t="shared" si="78"/>
        <v>#N/A</v>
      </c>
      <c r="T1028" s="3" t="e">
        <f t="shared" si="79"/>
        <v>#N/A</v>
      </c>
    </row>
    <row r="1029" spans="2:20" x14ac:dyDescent="0.35">
      <c r="B1029" t="str">
        <f>IF(NOT(ISBLANK(A1029)),VLOOKUP(A1029,'BBT3'!A:F,2,0),"")</f>
        <v/>
      </c>
      <c r="C1029" t="str">
        <f>IF(NOT(ISBLANK(A1029)),VLOOKUP(A1029,'BBT3'!A:F,3,0),"")</f>
        <v/>
      </c>
      <c r="D1029" s="6" t="str">
        <f>IF(NOT(ISBLANK(A1029)),VLOOKUP(A1029,'BBT3'!A:F,4,1),"")</f>
        <v/>
      </c>
      <c r="E1029" t="str">
        <f>IF(NOT(ISBLANK(A1029)),VLOOKUP(A1029,'BBT3'!A:F,5,0),"")</f>
        <v/>
      </c>
      <c r="F1029" t="str">
        <f>IF(NOT(ISBLANK(A1029)),VLOOKUP(A1029,'BBT3'!A:F,6,0),"")</f>
        <v/>
      </c>
      <c r="G1029" t="str">
        <f>IF(NOT(ISBLANK(A1029)),VLOOKUP(A1029,QW_Close!A:J,5,0),"")</f>
        <v/>
      </c>
      <c r="H1029" s="5" t="str" cm="1">
        <f t="array" ref="H1029">IF(NOT(ISBLANK(A1029)),((_xlfn.XLOOKUP(1,(_bbt3[[#All],[ID]]=A1029)*(_bbt3[[#All],[METRIC_NAME]]="YLD_YTM_ASK"),_bbt3[[#All],[METRIC_VALUE]])*0.5)+(_xlfn.XLOOKUP(1,(_bbt3[[#All],[ID]]=A1029)*(_bbt3[[#All],[METRIC_NAME]]="YLD_YTM_BID"),_bbt3[[#All],[METRIC_VALUE]])*0.5))/100,"")</f>
        <v/>
      </c>
      <c r="I1029">
        <f>IF(ISNA(VLOOKUP(A1029,QW_CloseDL!A:E,5,0)),0,VLOOKUP(A1029,QW_CloseDL!A:E,5,0))</f>
        <v>0</v>
      </c>
      <c r="J1029" s="8" t="str">
        <f t="shared" si="80"/>
        <v/>
      </c>
      <c r="P1029">
        <v>0</v>
      </c>
      <c r="Q1029" t="e">
        <f t="shared" si="76"/>
        <v>#N/A</v>
      </c>
      <c r="R1029" t="e">
        <f t="shared" si="77"/>
        <v>#N/A</v>
      </c>
      <c r="S1029" s="9" t="e">
        <f t="shared" si="78"/>
        <v>#N/A</v>
      </c>
      <c r="T1029" s="3" t="e">
        <f t="shared" si="79"/>
        <v>#N/A</v>
      </c>
    </row>
    <row r="1030" spans="2:20" x14ac:dyDescent="0.35">
      <c r="B1030" t="str">
        <f>IF(NOT(ISBLANK(A1030)),VLOOKUP(A1030,'BBT3'!A:F,2,0),"")</f>
        <v/>
      </c>
      <c r="C1030" t="str">
        <f>IF(NOT(ISBLANK(A1030)),VLOOKUP(A1030,'BBT3'!A:F,3,0),"")</f>
        <v/>
      </c>
      <c r="D1030" s="6" t="str">
        <f>IF(NOT(ISBLANK(A1030)),VLOOKUP(A1030,'BBT3'!A:F,4,1),"")</f>
        <v/>
      </c>
      <c r="E1030" t="str">
        <f>IF(NOT(ISBLANK(A1030)),VLOOKUP(A1030,'BBT3'!A:F,5,0),"")</f>
        <v/>
      </c>
      <c r="F1030" t="str">
        <f>IF(NOT(ISBLANK(A1030)),VLOOKUP(A1030,'BBT3'!A:F,6,0),"")</f>
        <v/>
      </c>
      <c r="G1030" t="str">
        <f>IF(NOT(ISBLANK(A1030)),VLOOKUP(A1030,QW_Close!A:J,5,0),"")</f>
        <v/>
      </c>
      <c r="H1030" s="5" t="str" cm="1">
        <f t="array" ref="H1030">IF(NOT(ISBLANK(A1030)),((_xlfn.XLOOKUP(1,(_bbt3[[#All],[ID]]=A1030)*(_bbt3[[#All],[METRIC_NAME]]="YLD_YTM_ASK"),_bbt3[[#All],[METRIC_VALUE]])*0.5)+(_xlfn.XLOOKUP(1,(_bbt3[[#All],[ID]]=A1030)*(_bbt3[[#All],[METRIC_NAME]]="YLD_YTM_BID"),_bbt3[[#All],[METRIC_VALUE]])*0.5))/100,"")</f>
        <v/>
      </c>
      <c r="I1030">
        <f>IF(ISNA(VLOOKUP(A1030,QW_CloseDL!A:E,5,0)),0,VLOOKUP(A1030,QW_CloseDL!A:E,5,0))</f>
        <v>0</v>
      </c>
      <c r="J1030" s="8" t="str">
        <f t="shared" si="80"/>
        <v/>
      </c>
      <c r="P1030">
        <v>0</v>
      </c>
      <c r="Q1030" t="e">
        <f t="shared" si="76"/>
        <v>#N/A</v>
      </c>
      <c r="R1030" t="e">
        <f t="shared" si="77"/>
        <v>#N/A</v>
      </c>
      <c r="S1030" s="9" t="e">
        <f t="shared" si="78"/>
        <v>#N/A</v>
      </c>
      <c r="T1030" s="3" t="e">
        <f t="shared" si="79"/>
        <v>#N/A</v>
      </c>
    </row>
    <row r="1031" spans="2:20" x14ac:dyDescent="0.35">
      <c r="B1031" t="str">
        <f>IF(NOT(ISBLANK(A1031)),VLOOKUP(A1031,'BBT3'!A:F,2,0),"")</f>
        <v/>
      </c>
      <c r="C1031" t="str">
        <f>IF(NOT(ISBLANK(A1031)),VLOOKUP(A1031,'BBT3'!A:F,3,0),"")</f>
        <v/>
      </c>
      <c r="D1031" s="6" t="str">
        <f>IF(NOT(ISBLANK(A1031)),VLOOKUP(A1031,'BBT3'!A:F,4,1),"")</f>
        <v/>
      </c>
      <c r="E1031" t="str">
        <f>IF(NOT(ISBLANK(A1031)),VLOOKUP(A1031,'BBT3'!A:F,5,0),"")</f>
        <v/>
      </c>
      <c r="F1031" t="str">
        <f>IF(NOT(ISBLANK(A1031)),VLOOKUP(A1031,'BBT3'!A:F,6,0),"")</f>
        <v/>
      </c>
      <c r="G1031" t="str">
        <f>IF(NOT(ISBLANK(A1031)),VLOOKUP(A1031,QW_Close!A:J,5,0),"")</f>
        <v/>
      </c>
      <c r="H1031" s="5" t="str" cm="1">
        <f t="array" ref="H1031">IF(NOT(ISBLANK(A1031)),((_xlfn.XLOOKUP(1,(_bbt3[[#All],[ID]]=A1031)*(_bbt3[[#All],[METRIC_NAME]]="YLD_YTM_ASK"),_bbt3[[#All],[METRIC_VALUE]])*0.5)+(_xlfn.XLOOKUP(1,(_bbt3[[#All],[ID]]=A1031)*(_bbt3[[#All],[METRIC_NAME]]="YLD_YTM_BID"),_bbt3[[#All],[METRIC_VALUE]])*0.5))/100,"")</f>
        <v/>
      </c>
      <c r="I1031">
        <f>IF(ISNA(VLOOKUP(A1031,QW_CloseDL!A:E,5,0)),0,VLOOKUP(A1031,QW_CloseDL!A:E,5,0))</f>
        <v>0</v>
      </c>
      <c r="J1031" s="8" t="str">
        <f t="shared" si="80"/>
        <v/>
      </c>
      <c r="P1031">
        <v>0</v>
      </c>
      <c r="Q1031" t="e">
        <f t="shared" si="76"/>
        <v>#N/A</v>
      </c>
      <c r="R1031" t="e">
        <f t="shared" si="77"/>
        <v>#N/A</v>
      </c>
      <c r="S1031" s="9" t="e">
        <f t="shared" si="78"/>
        <v>#N/A</v>
      </c>
      <c r="T1031" s="3" t="e">
        <f t="shared" si="79"/>
        <v>#N/A</v>
      </c>
    </row>
    <row r="1032" spans="2:20" x14ac:dyDescent="0.35">
      <c r="B1032" t="str">
        <f>IF(NOT(ISBLANK(A1032)),VLOOKUP(A1032,'BBT3'!A:F,2,0),"")</f>
        <v/>
      </c>
      <c r="C1032" t="str">
        <f>IF(NOT(ISBLANK(A1032)),VLOOKUP(A1032,'BBT3'!A:F,3,0),"")</f>
        <v/>
      </c>
      <c r="D1032" s="6" t="str">
        <f>IF(NOT(ISBLANK(A1032)),VLOOKUP(A1032,'BBT3'!A:F,4,1),"")</f>
        <v/>
      </c>
      <c r="E1032" t="str">
        <f>IF(NOT(ISBLANK(A1032)),VLOOKUP(A1032,'BBT3'!A:F,5,0),"")</f>
        <v/>
      </c>
      <c r="F1032" t="str">
        <f>IF(NOT(ISBLANK(A1032)),VLOOKUP(A1032,'BBT3'!A:F,6,0),"")</f>
        <v/>
      </c>
      <c r="G1032" t="str">
        <f>IF(NOT(ISBLANK(A1032)),VLOOKUP(A1032,QW_Close!A:J,5,0),"")</f>
        <v/>
      </c>
      <c r="H1032" s="5" t="str" cm="1">
        <f t="array" ref="H1032">IF(NOT(ISBLANK(A1032)),((_xlfn.XLOOKUP(1,(_bbt3[[#All],[ID]]=A1032)*(_bbt3[[#All],[METRIC_NAME]]="YLD_YTM_ASK"),_bbt3[[#All],[METRIC_VALUE]])*0.5)+(_xlfn.XLOOKUP(1,(_bbt3[[#All],[ID]]=A1032)*(_bbt3[[#All],[METRIC_NAME]]="YLD_YTM_BID"),_bbt3[[#All],[METRIC_VALUE]])*0.5))/100,"")</f>
        <v/>
      </c>
      <c r="I1032">
        <f>IF(ISNA(VLOOKUP(A1032,QW_CloseDL!A:E,5,0)),0,VLOOKUP(A1032,QW_CloseDL!A:E,5,0))</f>
        <v>0</v>
      </c>
      <c r="J1032" s="8" t="str">
        <f t="shared" si="80"/>
        <v/>
      </c>
      <c r="P1032">
        <v>0</v>
      </c>
      <c r="Q1032" t="e">
        <f t="shared" si="76"/>
        <v>#N/A</v>
      </c>
      <c r="R1032" t="e">
        <f t="shared" si="77"/>
        <v>#N/A</v>
      </c>
      <c r="S1032" s="9" t="e">
        <f t="shared" si="78"/>
        <v>#N/A</v>
      </c>
      <c r="T1032" s="3" t="e">
        <f t="shared" si="79"/>
        <v>#N/A</v>
      </c>
    </row>
    <row r="1033" spans="2:20" x14ac:dyDescent="0.35">
      <c r="B1033" t="str">
        <f>IF(NOT(ISBLANK(A1033)),VLOOKUP(A1033,'BBT3'!A:F,2,0),"")</f>
        <v/>
      </c>
      <c r="C1033" t="str">
        <f>IF(NOT(ISBLANK(A1033)),VLOOKUP(A1033,'BBT3'!A:F,3,0),"")</f>
        <v/>
      </c>
      <c r="D1033" s="6" t="str">
        <f>IF(NOT(ISBLANK(A1033)),VLOOKUP(A1033,'BBT3'!A:F,4,1),"")</f>
        <v/>
      </c>
      <c r="E1033" t="str">
        <f>IF(NOT(ISBLANK(A1033)),VLOOKUP(A1033,'BBT3'!A:F,5,0),"")</f>
        <v/>
      </c>
      <c r="F1033" t="str">
        <f>IF(NOT(ISBLANK(A1033)),VLOOKUP(A1033,'BBT3'!A:F,6,0),"")</f>
        <v/>
      </c>
      <c r="G1033" t="str">
        <f>IF(NOT(ISBLANK(A1033)),VLOOKUP(A1033,QW_Close!A:J,5,0),"")</f>
        <v/>
      </c>
      <c r="H1033" s="5" t="str" cm="1">
        <f t="array" ref="H1033">IF(NOT(ISBLANK(A1033)),((_xlfn.XLOOKUP(1,(_bbt3[[#All],[ID]]=A1033)*(_bbt3[[#All],[METRIC_NAME]]="YLD_YTM_ASK"),_bbt3[[#All],[METRIC_VALUE]])*0.5)+(_xlfn.XLOOKUP(1,(_bbt3[[#All],[ID]]=A1033)*(_bbt3[[#All],[METRIC_NAME]]="YLD_YTM_BID"),_bbt3[[#All],[METRIC_VALUE]])*0.5))/100,"")</f>
        <v/>
      </c>
      <c r="I1033">
        <f>IF(ISNA(VLOOKUP(A1033,QW_CloseDL!A:E,5,0)),0,VLOOKUP(A1033,QW_CloseDL!A:E,5,0))</f>
        <v>0</v>
      </c>
      <c r="J1033" s="8" t="str">
        <f t="shared" si="80"/>
        <v/>
      </c>
      <c r="P1033">
        <v>0</v>
      </c>
      <c r="Q1033" t="e">
        <f t="shared" si="76"/>
        <v>#N/A</v>
      </c>
      <c r="R1033" t="e">
        <f t="shared" si="77"/>
        <v>#N/A</v>
      </c>
      <c r="S1033" s="9" t="e">
        <f t="shared" si="78"/>
        <v>#N/A</v>
      </c>
      <c r="T1033" s="3" t="e">
        <f t="shared" si="79"/>
        <v>#N/A</v>
      </c>
    </row>
    <row r="1034" spans="2:20" x14ac:dyDescent="0.35">
      <c r="B1034" t="str">
        <f>IF(NOT(ISBLANK(A1034)),VLOOKUP(A1034,'BBT3'!A:F,2,0),"")</f>
        <v/>
      </c>
      <c r="C1034" t="str">
        <f>IF(NOT(ISBLANK(A1034)),VLOOKUP(A1034,'BBT3'!A:F,3,0),"")</f>
        <v/>
      </c>
      <c r="D1034" s="6" t="str">
        <f>IF(NOT(ISBLANK(A1034)),VLOOKUP(A1034,'BBT3'!A:F,4,1),"")</f>
        <v/>
      </c>
      <c r="E1034" t="str">
        <f>IF(NOT(ISBLANK(A1034)),VLOOKUP(A1034,'BBT3'!A:F,5,0),"")</f>
        <v/>
      </c>
      <c r="F1034" t="str">
        <f>IF(NOT(ISBLANK(A1034)),VLOOKUP(A1034,'BBT3'!A:F,6,0),"")</f>
        <v/>
      </c>
      <c r="G1034" t="str">
        <f>IF(NOT(ISBLANK(A1034)),VLOOKUP(A1034,QW_Close!A:J,5,0),"")</f>
        <v/>
      </c>
      <c r="H1034" s="5" t="str" cm="1">
        <f t="array" ref="H1034">IF(NOT(ISBLANK(A1034)),((_xlfn.XLOOKUP(1,(_bbt3[[#All],[ID]]=A1034)*(_bbt3[[#All],[METRIC_NAME]]="YLD_YTM_ASK"),_bbt3[[#All],[METRIC_VALUE]])*0.5)+(_xlfn.XLOOKUP(1,(_bbt3[[#All],[ID]]=A1034)*(_bbt3[[#All],[METRIC_NAME]]="YLD_YTM_BID"),_bbt3[[#All],[METRIC_VALUE]])*0.5))/100,"")</f>
        <v/>
      </c>
      <c r="I1034">
        <f>IF(ISNA(VLOOKUP(A1034,QW_CloseDL!A:E,5,0)),0,VLOOKUP(A1034,QW_CloseDL!A:E,5,0))</f>
        <v>0</v>
      </c>
      <c r="J1034" s="8" t="str">
        <f t="shared" si="80"/>
        <v/>
      </c>
      <c r="P1034">
        <v>0</v>
      </c>
      <c r="Q1034" t="e">
        <f t="shared" si="76"/>
        <v>#N/A</v>
      </c>
      <c r="R1034" t="e">
        <f t="shared" si="77"/>
        <v>#N/A</v>
      </c>
      <c r="S1034" s="9" t="e">
        <f t="shared" si="78"/>
        <v>#N/A</v>
      </c>
      <c r="T1034" s="3" t="e">
        <f t="shared" si="79"/>
        <v>#N/A</v>
      </c>
    </row>
    <row r="1035" spans="2:20" x14ac:dyDescent="0.35">
      <c r="B1035" t="str">
        <f>IF(NOT(ISBLANK(A1035)),VLOOKUP(A1035,'BBT3'!A:F,2,0),"")</f>
        <v/>
      </c>
      <c r="C1035" t="str">
        <f>IF(NOT(ISBLANK(A1035)),VLOOKUP(A1035,'BBT3'!A:F,3,0),"")</f>
        <v/>
      </c>
      <c r="D1035" s="6" t="str">
        <f>IF(NOT(ISBLANK(A1035)),VLOOKUP(A1035,'BBT3'!A:F,4,1),"")</f>
        <v/>
      </c>
      <c r="E1035" t="str">
        <f>IF(NOT(ISBLANK(A1035)),VLOOKUP(A1035,'BBT3'!A:F,5,0),"")</f>
        <v/>
      </c>
      <c r="F1035" t="str">
        <f>IF(NOT(ISBLANK(A1035)),VLOOKUP(A1035,'BBT3'!A:F,6,0),"")</f>
        <v/>
      </c>
      <c r="G1035" t="str">
        <f>IF(NOT(ISBLANK(A1035)),VLOOKUP(A1035,QW_Close!A:J,5,0),"")</f>
        <v/>
      </c>
      <c r="H1035" s="5" t="str" cm="1">
        <f t="array" ref="H1035">IF(NOT(ISBLANK(A1035)),((_xlfn.XLOOKUP(1,(_bbt3[[#All],[ID]]=A1035)*(_bbt3[[#All],[METRIC_NAME]]="YLD_YTM_ASK"),_bbt3[[#All],[METRIC_VALUE]])*0.5)+(_xlfn.XLOOKUP(1,(_bbt3[[#All],[ID]]=A1035)*(_bbt3[[#All],[METRIC_NAME]]="YLD_YTM_BID"),_bbt3[[#All],[METRIC_VALUE]])*0.5))/100,"")</f>
        <v/>
      </c>
      <c r="I1035">
        <f>IF(ISNA(VLOOKUP(A1035,QW_CloseDL!A:E,5,0)),0,VLOOKUP(A1035,QW_CloseDL!A:E,5,0))</f>
        <v>0</v>
      </c>
      <c r="J1035" s="8" t="str">
        <f t="shared" si="80"/>
        <v/>
      </c>
      <c r="P1035">
        <v>0</v>
      </c>
      <c r="Q1035" t="e">
        <f t="shared" si="76"/>
        <v>#N/A</v>
      </c>
      <c r="R1035" t="e">
        <f t="shared" si="77"/>
        <v>#N/A</v>
      </c>
      <c r="S1035" s="9" t="e">
        <f t="shared" si="78"/>
        <v>#N/A</v>
      </c>
      <c r="T1035" s="3" t="e">
        <f t="shared" si="79"/>
        <v>#N/A</v>
      </c>
    </row>
    <row r="1036" spans="2:20" x14ac:dyDescent="0.35">
      <c r="B1036" t="str">
        <f>IF(NOT(ISBLANK(A1036)),VLOOKUP(A1036,'BBT3'!A:F,2,0),"")</f>
        <v/>
      </c>
      <c r="C1036" t="str">
        <f>IF(NOT(ISBLANK(A1036)),VLOOKUP(A1036,'BBT3'!A:F,3,0),"")</f>
        <v/>
      </c>
      <c r="D1036" s="6" t="str">
        <f>IF(NOT(ISBLANK(A1036)),VLOOKUP(A1036,'BBT3'!A:F,4,1),"")</f>
        <v/>
      </c>
      <c r="E1036" t="str">
        <f>IF(NOT(ISBLANK(A1036)),VLOOKUP(A1036,'BBT3'!A:F,5,0),"")</f>
        <v/>
      </c>
      <c r="F1036" t="str">
        <f>IF(NOT(ISBLANK(A1036)),VLOOKUP(A1036,'BBT3'!A:F,6,0),"")</f>
        <v/>
      </c>
      <c r="G1036" t="str">
        <f>IF(NOT(ISBLANK(A1036)),VLOOKUP(A1036,QW_Close!A:J,5,0),"")</f>
        <v/>
      </c>
      <c r="H1036" s="5" t="str" cm="1">
        <f t="array" ref="H1036">IF(NOT(ISBLANK(A1036)),((_xlfn.XLOOKUP(1,(_bbt3[[#All],[ID]]=A1036)*(_bbt3[[#All],[METRIC_NAME]]="YLD_YTM_ASK"),_bbt3[[#All],[METRIC_VALUE]])*0.5)+(_xlfn.XLOOKUP(1,(_bbt3[[#All],[ID]]=A1036)*(_bbt3[[#All],[METRIC_NAME]]="YLD_YTM_BID"),_bbt3[[#All],[METRIC_VALUE]])*0.5))/100,"")</f>
        <v/>
      </c>
      <c r="I1036">
        <f>IF(ISNA(VLOOKUP(A1036,QW_CloseDL!A:E,5,0)),0,VLOOKUP(A1036,QW_CloseDL!A:E,5,0))</f>
        <v>0</v>
      </c>
      <c r="J1036" s="8" t="str">
        <f t="shared" si="80"/>
        <v/>
      </c>
      <c r="P1036">
        <v>0</v>
      </c>
      <c r="Q1036" t="e">
        <f t="shared" si="76"/>
        <v>#N/A</v>
      </c>
      <c r="R1036" t="e">
        <f t="shared" si="77"/>
        <v>#N/A</v>
      </c>
      <c r="S1036" s="9" t="e">
        <f t="shared" si="78"/>
        <v>#N/A</v>
      </c>
      <c r="T1036" s="3" t="e">
        <f t="shared" si="79"/>
        <v>#N/A</v>
      </c>
    </row>
    <row r="1037" spans="2:20" x14ac:dyDescent="0.35">
      <c r="B1037" t="str">
        <f>IF(NOT(ISBLANK(A1037)),VLOOKUP(A1037,'BBT3'!A:F,2,0),"")</f>
        <v/>
      </c>
      <c r="C1037" t="str">
        <f>IF(NOT(ISBLANK(A1037)),VLOOKUP(A1037,'BBT3'!A:F,3,0),"")</f>
        <v/>
      </c>
      <c r="D1037" s="6" t="str">
        <f>IF(NOT(ISBLANK(A1037)),VLOOKUP(A1037,'BBT3'!A:F,4,1),"")</f>
        <v/>
      </c>
      <c r="E1037" t="str">
        <f>IF(NOT(ISBLANK(A1037)),VLOOKUP(A1037,'BBT3'!A:F,5,0),"")</f>
        <v/>
      </c>
      <c r="F1037" t="str">
        <f>IF(NOT(ISBLANK(A1037)),VLOOKUP(A1037,'BBT3'!A:F,6,0),"")</f>
        <v/>
      </c>
      <c r="G1037" t="str">
        <f>IF(NOT(ISBLANK(A1037)),VLOOKUP(A1037,QW_Close!A:J,5,0),"")</f>
        <v/>
      </c>
      <c r="H1037" s="5" t="str" cm="1">
        <f t="array" ref="H1037">IF(NOT(ISBLANK(A1037)),((_xlfn.XLOOKUP(1,(_bbt3[[#All],[ID]]=A1037)*(_bbt3[[#All],[METRIC_NAME]]="YLD_YTM_ASK"),_bbt3[[#All],[METRIC_VALUE]])*0.5)+(_xlfn.XLOOKUP(1,(_bbt3[[#All],[ID]]=A1037)*(_bbt3[[#All],[METRIC_NAME]]="YLD_YTM_BID"),_bbt3[[#All],[METRIC_VALUE]])*0.5))/100,"")</f>
        <v/>
      </c>
      <c r="I1037">
        <f>IF(ISNA(VLOOKUP(A1037,QW_CloseDL!A:E,5,0)),0,VLOOKUP(A1037,QW_CloseDL!A:E,5,0))</f>
        <v>0</v>
      </c>
      <c r="J1037" s="8" t="str">
        <f t="shared" si="80"/>
        <v/>
      </c>
      <c r="P1037">
        <v>0</v>
      </c>
      <c r="Q1037" t="e">
        <f t="shared" ref="Q1037:Q1100" si="81">VLOOKUP(P1037,A:B,2,0)</f>
        <v>#N/A</v>
      </c>
      <c r="R1037" t="e">
        <f t="shared" ref="R1037:R1100" si="82">VLOOKUP(P1037,A:E,4,0)</f>
        <v>#N/A</v>
      </c>
      <c r="S1037" s="9" t="e">
        <f t="shared" ref="S1037:S1100" si="83">VLOOKUP(P1037,A:J,10,0)</f>
        <v>#N/A</v>
      </c>
      <c r="T1037" s="3" t="e">
        <f t="shared" ref="T1037:T1100" si="84">VLOOKUP(P1037,A:J,5,0)</f>
        <v>#N/A</v>
      </c>
    </row>
    <row r="1038" spans="2:20" x14ac:dyDescent="0.35">
      <c r="B1038" t="str">
        <f>IF(NOT(ISBLANK(A1038)),VLOOKUP(A1038,'BBT3'!A:F,2,0),"")</f>
        <v/>
      </c>
      <c r="C1038" t="str">
        <f>IF(NOT(ISBLANK(A1038)),VLOOKUP(A1038,'BBT3'!A:F,3,0),"")</f>
        <v/>
      </c>
      <c r="D1038" s="6" t="str">
        <f>IF(NOT(ISBLANK(A1038)),VLOOKUP(A1038,'BBT3'!A:F,4,1),"")</f>
        <v/>
      </c>
      <c r="E1038" t="str">
        <f>IF(NOT(ISBLANK(A1038)),VLOOKUP(A1038,'BBT3'!A:F,5,0),"")</f>
        <v/>
      </c>
      <c r="F1038" t="str">
        <f>IF(NOT(ISBLANK(A1038)),VLOOKUP(A1038,'BBT3'!A:F,6,0),"")</f>
        <v/>
      </c>
      <c r="G1038" t="str">
        <f>IF(NOT(ISBLANK(A1038)),VLOOKUP(A1038,QW_Close!A:J,5,0),"")</f>
        <v/>
      </c>
      <c r="H1038" s="5" t="str" cm="1">
        <f t="array" ref="H1038">IF(NOT(ISBLANK(A1038)),((_xlfn.XLOOKUP(1,(_bbt3[[#All],[ID]]=A1038)*(_bbt3[[#All],[METRIC_NAME]]="YLD_YTM_ASK"),_bbt3[[#All],[METRIC_VALUE]])*0.5)+(_xlfn.XLOOKUP(1,(_bbt3[[#All],[ID]]=A1038)*(_bbt3[[#All],[METRIC_NAME]]="YLD_YTM_BID"),_bbt3[[#All],[METRIC_VALUE]])*0.5))/100,"")</f>
        <v/>
      </c>
      <c r="I1038">
        <f>IF(ISNA(VLOOKUP(A1038,QW_CloseDL!A:E,5,0)),0,VLOOKUP(A1038,QW_CloseDL!A:E,5,0))</f>
        <v>0</v>
      </c>
      <c r="J1038" s="8" t="str">
        <f t="shared" si="80"/>
        <v/>
      </c>
      <c r="P1038">
        <v>0</v>
      </c>
      <c r="Q1038" t="e">
        <f t="shared" si="81"/>
        <v>#N/A</v>
      </c>
      <c r="R1038" t="e">
        <f t="shared" si="82"/>
        <v>#N/A</v>
      </c>
      <c r="S1038" s="9" t="e">
        <f t="shared" si="83"/>
        <v>#N/A</v>
      </c>
      <c r="T1038" s="3" t="e">
        <f t="shared" si="84"/>
        <v>#N/A</v>
      </c>
    </row>
    <row r="1039" spans="2:20" x14ac:dyDescent="0.35">
      <c r="B1039" t="str">
        <f>IF(NOT(ISBLANK(A1039)),VLOOKUP(A1039,'BBT3'!A:F,2,0),"")</f>
        <v/>
      </c>
      <c r="C1039" t="str">
        <f>IF(NOT(ISBLANK(A1039)),VLOOKUP(A1039,'BBT3'!A:F,3,0),"")</f>
        <v/>
      </c>
      <c r="D1039" s="6" t="str">
        <f>IF(NOT(ISBLANK(A1039)),VLOOKUP(A1039,'BBT3'!A:F,4,1),"")</f>
        <v/>
      </c>
      <c r="E1039" t="str">
        <f>IF(NOT(ISBLANK(A1039)),VLOOKUP(A1039,'BBT3'!A:F,5,0),"")</f>
        <v/>
      </c>
      <c r="F1039" t="str">
        <f>IF(NOT(ISBLANK(A1039)),VLOOKUP(A1039,'BBT3'!A:F,6,0),"")</f>
        <v/>
      </c>
      <c r="G1039" t="str">
        <f>IF(NOT(ISBLANK(A1039)),VLOOKUP(A1039,QW_Close!A:J,5,0),"")</f>
        <v/>
      </c>
      <c r="H1039" s="5" t="str" cm="1">
        <f t="array" ref="H1039">IF(NOT(ISBLANK(A1039)),((_xlfn.XLOOKUP(1,(_bbt3[[#All],[ID]]=A1039)*(_bbt3[[#All],[METRIC_NAME]]="YLD_YTM_ASK"),_bbt3[[#All],[METRIC_VALUE]])*0.5)+(_xlfn.XLOOKUP(1,(_bbt3[[#All],[ID]]=A1039)*(_bbt3[[#All],[METRIC_NAME]]="YLD_YTM_BID"),_bbt3[[#All],[METRIC_VALUE]])*0.5))/100,"")</f>
        <v/>
      </c>
      <c r="I1039">
        <f>IF(ISNA(VLOOKUP(A1039,QW_CloseDL!A:E,5,0)),0,VLOOKUP(A1039,QW_CloseDL!A:E,5,0))</f>
        <v>0</v>
      </c>
      <c r="J1039" s="8" t="str">
        <f t="shared" si="80"/>
        <v/>
      </c>
      <c r="P1039">
        <v>0</v>
      </c>
      <c r="Q1039" t="e">
        <f t="shared" si="81"/>
        <v>#N/A</v>
      </c>
      <c r="R1039" t="e">
        <f t="shared" si="82"/>
        <v>#N/A</v>
      </c>
      <c r="S1039" s="9" t="e">
        <f t="shared" si="83"/>
        <v>#N/A</v>
      </c>
      <c r="T1039" s="3" t="e">
        <f t="shared" si="84"/>
        <v>#N/A</v>
      </c>
    </row>
    <row r="1040" spans="2:20" x14ac:dyDescent="0.35">
      <c r="B1040" t="str">
        <f>IF(NOT(ISBLANK(A1040)),VLOOKUP(A1040,'BBT3'!A:F,2,0),"")</f>
        <v/>
      </c>
      <c r="C1040" t="str">
        <f>IF(NOT(ISBLANK(A1040)),VLOOKUP(A1040,'BBT3'!A:F,3,0),"")</f>
        <v/>
      </c>
      <c r="D1040" s="6" t="str">
        <f>IF(NOT(ISBLANK(A1040)),VLOOKUP(A1040,'BBT3'!A:F,4,1),"")</f>
        <v/>
      </c>
      <c r="E1040" t="str">
        <f>IF(NOT(ISBLANK(A1040)),VLOOKUP(A1040,'BBT3'!A:F,5,0),"")</f>
        <v/>
      </c>
      <c r="F1040" t="str">
        <f>IF(NOT(ISBLANK(A1040)),VLOOKUP(A1040,'BBT3'!A:F,6,0),"")</f>
        <v/>
      </c>
      <c r="G1040" t="str">
        <f>IF(NOT(ISBLANK(A1040)),VLOOKUP(A1040,QW_Close!A:J,5,0),"")</f>
        <v/>
      </c>
      <c r="H1040" s="5" t="str" cm="1">
        <f t="array" ref="H1040">IF(NOT(ISBLANK(A1040)),((_xlfn.XLOOKUP(1,(_bbt3[[#All],[ID]]=A1040)*(_bbt3[[#All],[METRIC_NAME]]="YLD_YTM_ASK"),_bbt3[[#All],[METRIC_VALUE]])*0.5)+(_xlfn.XLOOKUP(1,(_bbt3[[#All],[ID]]=A1040)*(_bbt3[[#All],[METRIC_NAME]]="YLD_YTM_BID"),_bbt3[[#All],[METRIC_VALUE]])*0.5))/100,"")</f>
        <v/>
      </c>
      <c r="I1040">
        <f>IF(ISNA(VLOOKUP(A1040,QW_CloseDL!A:E,5,0)),0,VLOOKUP(A1040,QW_CloseDL!A:E,5,0))</f>
        <v>0</v>
      </c>
      <c r="J1040" s="8" t="str">
        <f t="shared" si="80"/>
        <v/>
      </c>
      <c r="P1040">
        <v>0</v>
      </c>
      <c r="Q1040" t="e">
        <f t="shared" si="81"/>
        <v>#N/A</v>
      </c>
      <c r="R1040" t="e">
        <f t="shared" si="82"/>
        <v>#N/A</v>
      </c>
      <c r="S1040" s="9" t="e">
        <f t="shared" si="83"/>
        <v>#N/A</v>
      </c>
      <c r="T1040" s="3" t="e">
        <f t="shared" si="84"/>
        <v>#N/A</v>
      </c>
    </row>
    <row r="1041" spans="2:20" x14ac:dyDescent="0.35">
      <c r="B1041" t="str">
        <f>IF(NOT(ISBLANK(A1041)),VLOOKUP(A1041,'BBT3'!A:F,2,0),"")</f>
        <v/>
      </c>
      <c r="C1041" t="str">
        <f>IF(NOT(ISBLANK(A1041)),VLOOKUP(A1041,'BBT3'!A:F,3,0),"")</f>
        <v/>
      </c>
      <c r="D1041" s="6" t="str">
        <f>IF(NOT(ISBLANK(A1041)),VLOOKUP(A1041,'BBT3'!A:F,4,1),"")</f>
        <v/>
      </c>
      <c r="E1041" t="str">
        <f>IF(NOT(ISBLANK(A1041)),VLOOKUP(A1041,'BBT3'!A:F,5,0),"")</f>
        <v/>
      </c>
      <c r="F1041" t="str">
        <f>IF(NOT(ISBLANK(A1041)),VLOOKUP(A1041,'BBT3'!A:F,6,0),"")</f>
        <v/>
      </c>
      <c r="G1041" t="str">
        <f>IF(NOT(ISBLANK(A1041)),VLOOKUP(A1041,QW_Close!A:J,5,0),"")</f>
        <v/>
      </c>
      <c r="H1041" s="5" t="str" cm="1">
        <f t="array" ref="H1041">IF(NOT(ISBLANK(A1041)),((_xlfn.XLOOKUP(1,(_bbt3[[#All],[ID]]=A1041)*(_bbt3[[#All],[METRIC_NAME]]="YLD_YTM_ASK"),_bbt3[[#All],[METRIC_VALUE]])*0.5)+(_xlfn.XLOOKUP(1,(_bbt3[[#All],[ID]]=A1041)*(_bbt3[[#All],[METRIC_NAME]]="YLD_YTM_BID"),_bbt3[[#All],[METRIC_VALUE]])*0.5))/100,"")</f>
        <v/>
      </c>
      <c r="I1041">
        <f>IF(ISNA(VLOOKUP(A1041,QW_CloseDL!A:E,5,0)),0,VLOOKUP(A1041,QW_CloseDL!A:E,5,0))</f>
        <v>0</v>
      </c>
      <c r="J1041" s="8" t="str">
        <f t="shared" si="80"/>
        <v/>
      </c>
      <c r="P1041">
        <v>0</v>
      </c>
      <c r="Q1041" t="e">
        <f t="shared" si="81"/>
        <v>#N/A</v>
      </c>
      <c r="R1041" t="e">
        <f t="shared" si="82"/>
        <v>#N/A</v>
      </c>
      <c r="S1041" s="9" t="e">
        <f t="shared" si="83"/>
        <v>#N/A</v>
      </c>
      <c r="T1041" s="3" t="e">
        <f t="shared" si="84"/>
        <v>#N/A</v>
      </c>
    </row>
    <row r="1042" spans="2:20" x14ac:dyDescent="0.35">
      <c r="B1042" t="str">
        <f>IF(NOT(ISBLANK(A1042)),VLOOKUP(A1042,'BBT3'!A:F,2,0),"")</f>
        <v/>
      </c>
      <c r="C1042" t="str">
        <f>IF(NOT(ISBLANK(A1042)),VLOOKUP(A1042,'BBT3'!A:F,3,0),"")</f>
        <v/>
      </c>
      <c r="D1042" s="6" t="str">
        <f>IF(NOT(ISBLANK(A1042)),VLOOKUP(A1042,'BBT3'!A:F,4,1),"")</f>
        <v/>
      </c>
      <c r="E1042" t="str">
        <f>IF(NOT(ISBLANK(A1042)),VLOOKUP(A1042,'BBT3'!A:F,5,0),"")</f>
        <v/>
      </c>
      <c r="F1042" t="str">
        <f>IF(NOT(ISBLANK(A1042)),VLOOKUP(A1042,'BBT3'!A:F,6,0),"")</f>
        <v/>
      </c>
      <c r="G1042" t="str">
        <f>IF(NOT(ISBLANK(A1042)),VLOOKUP(A1042,QW_Close!A:J,5,0),"")</f>
        <v/>
      </c>
      <c r="H1042" s="5" t="str" cm="1">
        <f t="array" ref="H1042">IF(NOT(ISBLANK(A1042)),((_xlfn.XLOOKUP(1,(_bbt3[[#All],[ID]]=A1042)*(_bbt3[[#All],[METRIC_NAME]]="YLD_YTM_ASK"),_bbt3[[#All],[METRIC_VALUE]])*0.5)+(_xlfn.XLOOKUP(1,(_bbt3[[#All],[ID]]=A1042)*(_bbt3[[#All],[METRIC_NAME]]="YLD_YTM_BID"),_bbt3[[#All],[METRIC_VALUE]])*0.5))/100,"")</f>
        <v/>
      </c>
      <c r="I1042">
        <f>IF(ISNA(VLOOKUP(A1042,QW_CloseDL!A:E,5,0)),0,VLOOKUP(A1042,QW_CloseDL!A:E,5,0))</f>
        <v>0</v>
      </c>
      <c r="J1042" s="8" t="str">
        <f t="shared" si="80"/>
        <v/>
      </c>
      <c r="P1042">
        <v>0</v>
      </c>
      <c r="Q1042" t="e">
        <f t="shared" si="81"/>
        <v>#N/A</v>
      </c>
      <c r="R1042" t="e">
        <f t="shared" si="82"/>
        <v>#N/A</v>
      </c>
      <c r="S1042" s="9" t="e">
        <f t="shared" si="83"/>
        <v>#N/A</v>
      </c>
      <c r="T1042" s="3" t="e">
        <f t="shared" si="84"/>
        <v>#N/A</v>
      </c>
    </row>
    <row r="1043" spans="2:20" x14ac:dyDescent="0.35">
      <c r="B1043" t="str">
        <f>IF(NOT(ISBLANK(A1043)),VLOOKUP(A1043,'BBT3'!A:F,2,0),"")</f>
        <v/>
      </c>
      <c r="C1043" t="str">
        <f>IF(NOT(ISBLANK(A1043)),VLOOKUP(A1043,'BBT3'!A:F,3,0),"")</f>
        <v/>
      </c>
      <c r="D1043" s="6" t="str">
        <f>IF(NOT(ISBLANK(A1043)),VLOOKUP(A1043,'BBT3'!A:F,4,1),"")</f>
        <v/>
      </c>
      <c r="E1043" t="str">
        <f>IF(NOT(ISBLANK(A1043)),VLOOKUP(A1043,'BBT3'!A:F,5,0),"")</f>
        <v/>
      </c>
      <c r="F1043" t="str">
        <f>IF(NOT(ISBLANK(A1043)),VLOOKUP(A1043,'BBT3'!A:F,6,0),"")</f>
        <v/>
      </c>
      <c r="G1043" t="str">
        <f>IF(NOT(ISBLANK(A1043)),VLOOKUP(A1043,QW_Close!A:J,5,0),"")</f>
        <v/>
      </c>
      <c r="H1043" s="5" t="str" cm="1">
        <f t="array" ref="H1043">IF(NOT(ISBLANK(A1043)),((_xlfn.XLOOKUP(1,(_bbt3[[#All],[ID]]=A1043)*(_bbt3[[#All],[METRIC_NAME]]="YLD_YTM_ASK"),_bbt3[[#All],[METRIC_VALUE]])*0.5)+(_xlfn.XLOOKUP(1,(_bbt3[[#All],[ID]]=A1043)*(_bbt3[[#All],[METRIC_NAME]]="YLD_YTM_BID"),_bbt3[[#All],[METRIC_VALUE]])*0.5))/100,"")</f>
        <v/>
      </c>
      <c r="I1043">
        <f>IF(ISNA(VLOOKUP(A1043,QW_CloseDL!A:E,5,0)),0,VLOOKUP(A1043,QW_CloseDL!A:E,5,0))</f>
        <v>0</v>
      </c>
      <c r="J1043" s="8" t="str">
        <f t="shared" si="80"/>
        <v/>
      </c>
      <c r="P1043">
        <v>0</v>
      </c>
      <c r="Q1043" t="e">
        <f t="shared" si="81"/>
        <v>#N/A</v>
      </c>
      <c r="R1043" t="e">
        <f t="shared" si="82"/>
        <v>#N/A</v>
      </c>
      <c r="S1043" s="9" t="e">
        <f t="shared" si="83"/>
        <v>#N/A</v>
      </c>
      <c r="T1043" s="3" t="e">
        <f t="shared" si="84"/>
        <v>#N/A</v>
      </c>
    </row>
    <row r="1044" spans="2:20" x14ac:dyDescent="0.35">
      <c r="B1044" t="str">
        <f>IF(NOT(ISBLANK(A1044)),VLOOKUP(A1044,'BBT3'!A:F,2,0),"")</f>
        <v/>
      </c>
      <c r="C1044" t="str">
        <f>IF(NOT(ISBLANK(A1044)),VLOOKUP(A1044,'BBT3'!A:F,3,0),"")</f>
        <v/>
      </c>
      <c r="D1044" s="6" t="str">
        <f>IF(NOT(ISBLANK(A1044)),VLOOKUP(A1044,'BBT3'!A:F,4,1),"")</f>
        <v/>
      </c>
      <c r="E1044" t="str">
        <f>IF(NOT(ISBLANK(A1044)),VLOOKUP(A1044,'BBT3'!A:F,5,0),"")</f>
        <v/>
      </c>
      <c r="F1044" t="str">
        <f>IF(NOT(ISBLANK(A1044)),VLOOKUP(A1044,'BBT3'!A:F,6,0),"")</f>
        <v/>
      </c>
      <c r="G1044" t="str">
        <f>IF(NOT(ISBLANK(A1044)),VLOOKUP(A1044,QW_Close!A:J,5,0),"")</f>
        <v/>
      </c>
      <c r="H1044" s="5" t="str" cm="1">
        <f t="array" ref="H1044">IF(NOT(ISBLANK(A1044)),((_xlfn.XLOOKUP(1,(_bbt3[[#All],[ID]]=A1044)*(_bbt3[[#All],[METRIC_NAME]]="YLD_YTM_ASK"),_bbt3[[#All],[METRIC_VALUE]])*0.5)+(_xlfn.XLOOKUP(1,(_bbt3[[#All],[ID]]=A1044)*(_bbt3[[#All],[METRIC_NAME]]="YLD_YTM_BID"),_bbt3[[#All],[METRIC_VALUE]])*0.5))/100,"")</f>
        <v/>
      </c>
      <c r="I1044">
        <f>IF(ISNA(VLOOKUP(A1044,QW_CloseDL!A:E,5,0)),0,VLOOKUP(A1044,QW_CloseDL!A:E,5,0))</f>
        <v>0</v>
      </c>
      <c r="J1044" s="8" t="str">
        <f t="shared" si="80"/>
        <v/>
      </c>
      <c r="P1044">
        <v>0</v>
      </c>
      <c r="Q1044" t="e">
        <f t="shared" si="81"/>
        <v>#N/A</v>
      </c>
      <c r="R1044" t="e">
        <f t="shared" si="82"/>
        <v>#N/A</v>
      </c>
      <c r="S1044" s="9" t="e">
        <f t="shared" si="83"/>
        <v>#N/A</v>
      </c>
      <c r="T1044" s="3" t="e">
        <f t="shared" si="84"/>
        <v>#N/A</v>
      </c>
    </row>
    <row r="1045" spans="2:20" x14ac:dyDescent="0.35">
      <c r="B1045" t="str">
        <f>IF(NOT(ISBLANK(A1045)),VLOOKUP(A1045,'BBT3'!A:F,2,0),"")</f>
        <v/>
      </c>
      <c r="C1045" t="str">
        <f>IF(NOT(ISBLANK(A1045)),VLOOKUP(A1045,'BBT3'!A:F,3,0),"")</f>
        <v/>
      </c>
      <c r="D1045" s="6" t="str">
        <f>IF(NOT(ISBLANK(A1045)),VLOOKUP(A1045,'BBT3'!A:F,4,1),"")</f>
        <v/>
      </c>
      <c r="E1045" t="str">
        <f>IF(NOT(ISBLANK(A1045)),VLOOKUP(A1045,'BBT3'!A:F,5,0),"")</f>
        <v/>
      </c>
      <c r="F1045" t="str">
        <f>IF(NOT(ISBLANK(A1045)),VLOOKUP(A1045,'BBT3'!A:F,6,0),"")</f>
        <v/>
      </c>
      <c r="G1045" t="str">
        <f>IF(NOT(ISBLANK(A1045)),VLOOKUP(A1045,QW_Close!A:J,5,0),"")</f>
        <v/>
      </c>
      <c r="H1045" s="5" t="str" cm="1">
        <f t="array" ref="H1045">IF(NOT(ISBLANK(A1045)),((_xlfn.XLOOKUP(1,(_bbt3[[#All],[ID]]=A1045)*(_bbt3[[#All],[METRIC_NAME]]="YLD_YTM_ASK"),_bbt3[[#All],[METRIC_VALUE]])*0.5)+(_xlfn.XLOOKUP(1,(_bbt3[[#All],[ID]]=A1045)*(_bbt3[[#All],[METRIC_NAME]]="YLD_YTM_BID"),_bbt3[[#All],[METRIC_VALUE]])*0.5))/100,"")</f>
        <v/>
      </c>
      <c r="I1045">
        <f>IF(ISNA(VLOOKUP(A1045,QW_CloseDL!A:E,5,0)),0,VLOOKUP(A1045,QW_CloseDL!A:E,5,0))</f>
        <v>0</v>
      </c>
      <c r="J1045" s="8" t="str">
        <f t="shared" si="80"/>
        <v/>
      </c>
      <c r="P1045">
        <v>0</v>
      </c>
      <c r="Q1045" t="e">
        <f t="shared" si="81"/>
        <v>#N/A</v>
      </c>
      <c r="R1045" t="e">
        <f t="shared" si="82"/>
        <v>#N/A</v>
      </c>
      <c r="S1045" s="9" t="e">
        <f t="shared" si="83"/>
        <v>#N/A</v>
      </c>
      <c r="T1045" s="3" t="e">
        <f t="shared" si="84"/>
        <v>#N/A</v>
      </c>
    </row>
    <row r="1046" spans="2:20" x14ac:dyDescent="0.35">
      <c r="B1046" t="str">
        <f>IF(NOT(ISBLANK(A1046)),VLOOKUP(A1046,'BBT3'!A:F,2,0),"")</f>
        <v/>
      </c>
      <c r="C1046" t="str">
        <f>IF(NOT(ISBLANK(A1046)),VLOOKUP(A1046,'BBT3'!A:F,3,0),"")</f>
        <v/>
      </c>
      <c r="D1046" s="6" t="str">
        <f>IF(NOT(ISBLANK(A1046)),VLOOKUP(A1046,'BBT3'!A:F,4,1),"")</f>
        <v/>
      </c>
      <c r="E1046" t="str">
        <f>IF(NOT(ISBLANK(A1046)),VLOOKUP(A1046,'BBT3'!A:F,5,0),"")</f>
        <v/>
      </c>
      <c r="F1046" t="str">
        <f>IF(NOT(ISBLANK(A1046)),VLOOKUP(A1046,'BBT3'!A:F,6,0),"")</f>
        <v/>
      </c>
      <c r="G1046" t="str">
        <f>IF(NOT(ISBLANK(A1046)),VLOOKUP(A1046,QW_Close!A:J,5,0),"")</f>
        <v/>
      </c>
      <c r="H1046" s="5" t="str" cm="1">
        <f t="array" ref="H1046">IF(NOT(ISBLANK(A1046)),((_xlfn.XLOOKUP(1,(_bbt3[[#All],[ID]]=A1046)*(_bbt3[[#All],[METRIC_NAME]]="YLD_YTM_ASK"),_bbt3[[#All],[METRIC_VALUE]])*0.5)+(_xlfn.XLOOKUP(1,(_bbt3[[#All],[ID]]=A1046)*(_bbt3[[#All],[METRIC_NAME]]="YLD_YTM_BID"),_bbt3[[#All],[METRIC_VALUE]])*0.5))/100,"")</f>
        <v/>
      </c>
      <c r="I1046">
        <f>IF(ISNA(VLOOKUP(A1046,QW_CloseDL!A:E,5,0)),0,VLOOKUP(A1046,QW_CloseDL!A:E,5,0))</f>
        <v>0</v>
      </c>
      <c r="J1046" s="8" t="str">
        <f t="shared" si="80"/>
        <v/>
      </c>
      <c r="P1046">
        <v>0</v>
      </c>
      <c r="Q1046" t="e">
        <f t="shared" si="81"/>
        <v>#N/A</v>
      </c>
      <c r="R1046" t="e">
        <f t="shared" si="82"/>
        <v>#N/A</v>
      </c>
      <c r="S1046" s="9" t="e">
        <f t="shared" si="83"/>
        <v>#N/A</v>
      </c>
      <c r="T1046" s="3" t="e">
        <f t="shared" si="84"/>
        <v>#N/A</v>
      </c>
    </row>
    <row r="1047" spans="2:20" x14ac:dyDescent="0.35">
      <c r="B1047" t="str">
        <f>IF(NOT(ISBLANK(A1047)),VLOOKUP(A1047,'BBT3'!A:F,2,0),"")</f>
        <v/>
      </c>
      <c r="C1047" t="str">
        <f>IF(NOT(ISBLANK(A1047)),VLOOKUP(A1047,'BBT3'!A:F,3,0),"")</f>
        <v/>
      </c>
      <c r="D1047" s="6" t="str">
        <f>IF(NOT(ISBLANK(A1047)),VLOOKUP(A1047,'BBT3'!A:F,4,1),"")</f>
        <v/>
      </c>
      <c r="E1047" t="str">
        <f>IF(NOT(ISBLANK(A1047)),VLOOKUP(A1047,'BBT3'!A:F,5,0),"")</f>
        <v/>
      </c>
      <c r="F1047" t="str">
        <f>IF(NOT(ISBLANK(A1047)),VLOOKUP(A1047,'BBT3'!A:F,6,0),"")</f>
        <v/>
      </c>
      <c r="G1047" t="str">
        <f>IF(NOT(ISBLANK(A1047)),VLOOKUP(A1047,QW_Close!A:J,5,0),"")</f>
        <v/>
      </c>
      <c r="H1047" s="5" t="str" cm="1">
        <f t="array" ref="H1047">IF(NOT(ISBLANK(A1047)),((_xlfn.XLOOKUP(1,(_bbt3[[#All],[ID]]=A1047)*(_bbt3[[#All],[METRIC_NAME]]="YLD_YTM_ASK"),_bbt3[[#All],[METRIC_VALUE]])*0.5)+(_xlfn.XLOOKUP(1,(_bbt3[[#All],[ID]]=A1047)*(_bbt3[[#All],[METRIC_NAME]]="YLD_YTM_BID"),_bbt3[[#All],[METRIC_VALUE]])*0.5))/100,"")</f>
        <v/>
      </c>
      <c r="I1047">
        <f>IF(ISNA(VLOOKUP(A1047,QW_CloseDL!A:E,5,0)),0,VLOOKUP(A1047,QW_CloseDL!A:E,5,0))</f>
        <v>0</v>
      </c>
      <c r="J1047" s="8" t="str">
        <f t="shared" si="80"/>
        <v/>
      </c>
      <c r="P1047">
        <v>0</v>
      </c>
      <c r="Q1047" t="e">
        <f t="shared" si="81"/>
        <v>#N/A</v>
      </c>
      <c r="R1047" t="e">
        <f t="shared" si="82"/>
        <v>#N/A</v>
      </c>
      <c r="S1047" s="9" t="e">
        <f t="shared" si="83"/>
        <v>#N/A</v>
      </c>
      <c r="T1047" s="3" t="e">
        <f t="shared" si="84"/>
        <v>#N/A</v>
      </c>
    </row>
    <row r="1048" spans="2:20" x14ac:dyDescent="0.35">
      <c r="B1048" t="str">
        <f>IF(NOT(ISBLANK(A1048)),VLOOKUP(A1048,'BBT3'!A:F,2,0),"")</f>
        <v/>
      </c>
      <c r="C1048" t="str">
        <f>IF(NOT(ISBLANK(A1048)),VLOOKUP(A1048,'BBT3'!A:F,3,0),"")</f>
        <v/>
      </c>
      <c r="D1048" s="6" t="str">
        <f>IF(NOT(ISBLANK(A1048)),VLOOKUP(A1048,'BBT3'!A:F,4,1),"")</f>
        <v/>
      </c>
      <c r="E1048" t="str">
        <f>IF(NOT(ISBLANK(A1048)),VLOOKUP(A1048,'BBT3'!A:F,5,0),"")</f>
        <v/>
      </c>
      <c r="F1048" t="str">
        <f>IF(NOT(ISBLANK(A1048)),VLOOKUP(A1048,'BBT3'!A:F,6,0),"")</f>
        <v/>
      </c>
      <c r="G1048" t="str">
        <f>IF(NOT(ISBLANK(A1048)),VLOOKUP(A1048,QW_Close!A:J,5,0),"")</f>
        <v/>
      </c>
      <c r="H1048" s="5" t="str" cm="1">
        <f t="array" ref="H1048">IF(NOT(ISBLANK(A1048)),((_xlfn.XLOOKUP(1,(_bbt3[[#All],[ID]]=A1048)*(_bbt3[[#All],[METRIC_NAME]]="YLD_YTM_ASK"),_bbt3[[#All],[METRIC_VALUE]])*0.5)+(_xlfn.XLOOKUP(1,(_bbt3[[#All],[ID]]=A1048)*(_bbt3[[#All],[METRIC_NAME]]="YLD_YTM_BID"),_bbt3[[#All],[METRIC_VALUE]])*0.5))/100,"")</f>
        <v/>
      </c>
      <c r="I1048">
        <f>IF(ISNA(VLOOKUP(A1048,QW_CloseDL!A:E,5,0)),0,VLOOKUP(A1048,QW_CloseDL!A:E,5,0))</f>
        <v>0</v>
      </c>
      <c r="J1048" s="8" t="str">
        <f t="shared" si="80"/>
        <v/>
      </c>
      <c r="P1048">
        <v>0</v>
      </c>
      <c r="Q1048" t="e">
        <f t="shared" si="81"/>
        <v>#N/A</v>
      </c>
      <c r="R1048" t="e">
        <f t="shared" si="82"/>
        <v>#N/A</v>
      </c>
      <c r="S1048" s="9" t="e">
        <f t="shared" si="83"/>
        <v>#N/A</v>
      </c>
      <c r="T1048" s="3" t="e">
        <f t="shared" si="84"/>
        <v>#N/A</v>
      </c>
    </row>
    <row r="1049" spans="2:20" x14ac:dyDescent="0.35">
      <c r="B1049" t="str">
        <f>IF(NOT(ISBLANK(A1049)),VLOOKUP(A1049,'BBT3'!A:F,2,0),"")</f>
        <v/>
      </c>
      <c r="C1049" t="str">
        <f>IF(NOT(ISBLANK(A1049)),VLOOKUP(A1049,'BBT3'!A:F,3,0),"")</f>
        <v/>
      </c>
      <c r="D1049" s="6" t="str">
        <f>IF(NOT(ISBLANK(A1049)),VLOOKUP(A1049,'BBT3'!A:F,4,1),"")</f>
        <v/>
      </c>
      <c r="E1049" t="str">
        <f>IF(NOT(ISBLANK(A1049)),VLOOKUP(A1049,'BBT3'!A:F,5,0),"")</f>
        <v/>
      </c>
      <c r="F1049" t="str">
        <f>IF(NOT(ISBLANK(A1049)),VLOOKUP(A1049,'BBT3'!A:F,6,0),"")</f>
        <v/>
      </c>
      <c r="G1049" t="str">
        <f>IF(NOT(ISBLANK(A1049)),VLOOKUP(A1049,QW_Close!A:J,5,0),"")</f>
        <v/>
      </c>
      <c r="H1049" s="5" t="str" cm="1">
        <f t="array" ref="H1049">IF(NOT(ISBLANK(A1049)),((_xlfn.XLOOKUP(1,(_bbt3[[#All],[ID]]=A1049)*(_bbt3[[#All],[METRIC_NAME]]="YLD_YTM_ASK"),_bbt3[[#All],[METRIC_VALUE]])*0.5)+(_xlfn.XLOOKUP(1,(_bbt3[[#All],[ID]]=A1049)*(_bbt3[[#All],[METRIC_NAME]]="YLD_YTM_BID"),_bbt3[[#All],[METRIC_VALUE]])*0.5))/100,"")</f>
        <v/>
      </c>
      <c r="I1049">
        <f>IF(ISNA(VLOOKUP(A1049,QW_CloseDL!A:E,5,0)),0,VLOOKUP(A1049,QW_CloseDL!A:E,5,0))</f>
        <v>0</v>
      </c>
      <c r="J1049" s="8" t="str">
        <f t="shared" si="80"/>
        <v/>
      </c>
      <c r="P1049">
        <v>0</v>
      </c>
      <c r="Q1049" t="e">
        <f t="shared" si="81"/>
        <v>#N/A</v>
      </c>
      <c r="R1049" t="e">
        <f t="shared" si="82"/>
        <v>#N/A</v>
      </c>
      <c r="S1049" s="9" t="e">
        <f t="shared" si="83"/>
        <v>#N/A</v>
      </c>
      <c r="T1049" s="3" t="e">
        <f t="shared" si="84"/>
        <v>#N/A</v>
      </c>
    </row>
    <row r="1050" spans="2:20" x14ac:dyDescent="0.35">
      <c r="B1050" t="str">
        <f>IF(NOT(ISBLANK(A1050)),VLOOKUP(A1050,'BBT3'!A:F,2,0),"")</f>
        <v/>
      </c>
      <c r="C1050" t="str">
        <f>IF(NOT(ISBLANK(A1050)),VLOOKUP(A1050,'BBT3'!A:F,3,0),"")</f>
        <v/>
      </c>
      <c r="D1050" s="6" t="str">
        <f>IF(NOT(ISBLANK(A1050)),VLOOKUP(A1050,'BBT3'!A:F,4,1),"")</f>
        <v/>
      </c>
      <c r="E1050" t="str">
        <f>IF(NOT(ISBLANK(A1050)),VLOOKUP(A1050,'BBT3'!A:F,5,0),"")</f>
        <v/>
      </c>
      <c r="F1050" t="str">
        <f>IF(NOT(ISBLANK(A1050)),VLOOKUP(A1050,'BBT3'!A:F,6,0),"")</f>
        <v/>
      </c>
      <c r="G1050" t="str">
        <f>IF(NOT(ISBLANK(A1050)),VLOOKUP(A1050,QW_Close!A:J,5,0),"")</f>
        <v/>
      </c>
      <c r="H1050" s="5" t="str" cm="1">
        <f t="array" ref="H1050">IF(NOT(ISBLANK(A1050)),((_xlfn.XLOOKUP(1,(_bbt3[[#All],[ID]]=A1050)*(_bbt3[[#All],[METRIC_NAME]]="YLD_YTM_ASK"),_bbt3[[#All],[METRIC_VALUE]])*0.5)+(_xlfn.XLOOKUP(1,(_bbt3[[#All],[ID]]=A1050)*(_bbt3[[#All],[METRIC_NAME]]="YLD_YTM_BID"),_bbt3[[#All],[METRIC_VALUE]])*0.5))/100,"")</f>
        <v/>
      </c>
      <c r="I1050">
        <f>IF(ISNA(VLOOKUP(A1050,QW_CloseDL!A:E,5,0)),0,VLOOKUP(A1050,QW_CloseDL!A:E,5,0))</f>
        <v>0</v>
      </c>
      <c r="J1050" s="8" t="str">
        <f t="shared" si="80"/>
        <v/>
      </c>
      <c r="P1050">
        <v>0</v>
      </c>
      <c r="Q1050" t="e">
        <f t="shared" si="81"/>
        <v>#N/A</v>
      </c>
      <c r="R1050" t="e">
        <f t="shared" si="82"/>
        <v>#N/A</v>
      </c>
      <c r="S1050" s="9" t="e">
        <f t="shared" si="83"/>
        <v>#N/A</v>
      </c>
      <c r="T1050" s="3" t="e">
        <f t="shared" si="84"/>
        <v>#N/A</v>
      </c>
    </row>
    <row r="1051" spans="2:20" x14ac:dyDescent="0.35">
      <c r="B1051" t="str">
        <f>IF(NOT(ISBLANK(A1051)),VLOOKUP(A1051,'BBT3'!A:F,2,0),"")</f>
        <v/>
      </c>
      <c r="C1051" t="str">
        <f>IF(NOT(ISBLANK(A1051)),VLOOKUP(A1051,'BBT3'!A:F,3,0),"")</f>
        <v/>
      </c>
      <c r="D1051" s="6" t="str">
        <f>IF(NOT(ISBLANK(A1051)),VLOOKUP(A1051,'BBT3'!A:F,4,1),"")</f>
        <v/>
      </c>
      <c r="E1051" t="str">
        <f>IF(NOT(ISBLANK(A1051)),VLOOKUP(A1051,'BBT3'!A:F,5,0),"")</f>
        <v/>
      </c>
      <c r="F1051" t="str">
        <f>IF(NOT(ISBLANK(A1051)),VLOOKUP(A1051,'BBT3'!A:F,6,0),"")</f>
        <v/>
      </c>
      <c r="G1051" t="str">
        <f>IF(NOT(ISBLANK(A1051)),VLOOKUP(A1051,QW_Close!A:J,5,0),"")</f>
        <v/>
      </c>
      <c r="H1051" s="5" t="str" cm="1">
        <f t="array" ref="H1051">IF(NOT(ISBLANK(A1051)),((_xlfn.XLOOKUP(1,(_bbt3[[#All],[ID]]=A1051)*(_bbt3[[#All],[METRIC_NAME]]="YLD_YTM_ASK"),_bbt3[[#All],[METRIC_VALUE]])*0.5)+(_xlfn.XLOOKUP(1,(_bbt3[[#All],[ID]]=A1051)*(_bbt3[[#All],[METRIC_NAME]]="YLD_YTM_BID"),_bbt3[[#All],[METRIC_VALUE]])*0.5))/100,"")</f>
        <v/>
      </c>
      <c r="I1051">
        <f>IF(ISNA(VLOOKUP(A1051,QW_CloseDL!A:E,5,0)),0,VLOOKUP(A1051,QW_CloseDL!A:E,5,0))</f>
        <v>0</v>
      </c>
      <c r="J1051" s="8" t="str">
        <f t="shared" si="80"/>
        <v/>
      </c>
      <c r="P1051">
        <v>0</v>
      </c>
      <c r="Q1051" t="e">
        <f t="shared" si="81"/>
        <v>#N/A</v>
      </c>
      <c r="R1051" t="e">
        <f t="shared" si="82"/>
        <v>#N/A</v>
      </c>
      <c r="S1051" s="9" t="e">
        <f t="shared" si="83"/>
        <v>#N/A</v>
      </c>
      <c r="T1051" s="3" t="e">
        <f t="shared" si="84"/>
        <v>#N/A</v>
      </c>
    </row>
    <row r="1052" spans="2:20" x14ac:dyDescent="0.35">
      <c r="B1052" t="str">
        <f>IF(NOT(ISBLANK(A1052)),VLOOKUP(A1052,'BBT3'!A:F,2,0),"")</f>
        <v/>
      </c>
      <c r="C1052" t="str">
        <f>IF(NOT(ISBLANK(A1052)),VLOOKUP(A1052,'BBT3'!A:F,3,0),"")</f>
        <v/>
      </c>
      <c r="D1052" s="6" t="str">
        <f>IF(NOT(ISBLANK(A1052)),VLOOKUP(A1052,'BBT3'!A:F,4,1),"")</f>
        <v/>
      </c>
      <c r="E1052" t="str">
        <f>IF(NOT(ISBLANK(A1052)),VLOOKUP(A1052,'BBT3'!A:F,5,0),"")</f>
        <v/>
      </c>
      <c r="F1052" t="str">
        <f>IF(NOT(ISBLANK(A1052)),VLOOKUP(A1052,'BBT3'!A:F,6,0),"")</f>
        <v/>
      </c>
      <c r="G1052" t="str">
        <f>IF(NOT(ISBLANK(A1052)),VLOOKUP(A1052,QW_Close!A:J,5,0),"")</f>
        <v/>
      </c>
      <c r="H1052" s="5" t="str" cm="1">
        <f t="array" ref="H1052">IF(NOT(ISBLANK(A1052)),((_xlfn.XLOOKUP(1,(_bbt3[[#All],[ID]]=A1052)*(_bbt3[[#All],[METRIC_NAME]]="YLD_YTM_ASK"),_bbt3[[#All],[METRIC_VALUE]])*0.5)+(_xlfn.XLOOKUP(1,(_bbt3[[#All],[ID]]=A1052)*(_bbt3[[#All],[METRIC_NAME]]="YLD_YTM_BID"),_bbt3[[#All],[METRIC_VALUE]])*0.5))/100,"")</f>
        <v/>
      </c>
      <c r="I1052">
        <f>IF(ISNA(VLOOKUP(A1052,QW_CloseDL!A:E,5,0)),0,VLOOKUP(A1052,QW_CloseDL!A:E,5,0))</f>
        <v>0</v>
      </c>
      <c r="J1052" s="8" t="str">
        <f t="shared" si="80"/>
        <v/>
      </c>
      <c r="P1052">
        <v>0</v>
      </c>
      <c r="Q1052" t="e">
        <f t="shared" si="81"/>
        <v>#N/A</v>
      </c>
      <c r="R1052" t="e">
        <f t="shared" si="82"/>
        <v>#N/A</v>
      </c>
      <c r="S1052" s="9" t="e">
        <f t="shared" si="83"/>
        <v>#N/A</v>
      </c>
      <c r="T1052" s="3" t="e">
        <f t="shared" si="84"/>
        <v>#N/A</v>
      </c>
    </row>
    <row r="1053" spans="2:20" x14ac:dyDescent="0.35">
      <c r="B1053" t="str">
        <f>IF(NOT(ISBLANK(A1053)),VLOOKUP(A1053,'BBT3'!A:F,2,0),"")</f>
        <v/>
      </c>
      <c r="C1053" t="str">
        <f>IF(NOT(ISBLANK(A1053)),VLOOKUP(A1053,'BBT3'!A:F,3,0),"")</f>
        <v/>
      </c>
      <c r="D1053" s="6" t="str">
        <f>IF(NOT(ISBLANK(A1053)),VLOOKUP(A1053,'BBT3'!A:F,4,1),"")</f>
        <v/>
      </c>
      <c r="E1053" t="str">
        <f>IF(NOT(ISBLANK(A1053)),VLOOKUP(A1053,'BBT3'!A:F,5,0),"")</f>
        <v/>
      </c>
      <c r="F1053" t="str">
        <f>IF(NOT(ISBLANK(A1053)),VLOOKUP(A1053,'BBT3'!A:F,6,0),"")</f>
        <v/>
      </c>
      <c r="G1053" t="str">
        <f>IF(NOT(ISBLANK(A1053)),VLOOKUP(A1053,QW_Close!A:J,5,0),"")</f>
        <v/>
      </c>
      <c r="H1053" s="5" t="str" cm="1">
        <f t="array" ref="H1053">IF(NOT(ISBLANK(A1053)),((_xlfn.XLOOKUP(1,(_bbt3[[#All],[ID]]=A1053)*(_bbt3[[#All],[METRIC_NAME]]="YLD_YTM_ASK"),_bbt3[[#All],[METRIC_VALUE]])*0.5)+(_xlfn.XLOOKUP(1,(_bbt3[[#All],[ID]]=A1053)*(_bbt3[[#All],[METRIC_NAME]]="YLD_YTM_BID"),_bbt3[[#All],[METRIC_VALUE]])*0.5))/100,"")</f>
        <v/>
      </c>
      <c r="I1053">
        <f>IF(ISNA(VLOOKUP(A1053,QW_CloseDL!A:E,5,0)),0,VLOOKUP(A1053,QW_CloseDL!A:E,5,0))</f>
        <v>0</v>
      </c>
      <c r="J1053" s="8" t="str">
        <f t="shared" si="80"/>
        <v/>
      </c>
      <c r="P1053">
        <v>0</v>
      </c>
      <c r="Q1053" t="e">
        <f t="shared" si="81"/>
        <v>#N/A</v>
      </c>
      <c r="R1053" t="e">
        <f t="shared" si="82"/>
        <v>#N/A</v>
      </c>
      <c r="S1053" s="9" t="e">
        <f t="shared" si="83"/>
        <v>#N/A</v>
      </c>
      <c r="T1053" s="3" t="e">
        <f t="shared" si="84"/>
        <v>#N/A</v>
      </c>
    </row>
    <row r="1054" spans="2:20" x14ac:dyDescent="0.35">
      <c r="B1054" t="str">
        <f>IF(NOT(ISBLANK(A1054)),VLOOKUP(A1054,'BBT3'!A:F,2,0),"")</f>
        <v/>
      </c>
      <c r="C1054" t="str">
        <f>IF(NOT(ISBLANK(A1054)),VLOOKUP(A1054,'BBT3'!A:F,3,0),"")</f>
        <v/>
      </c>
      <c r="D1054" s="6" t="str">
        <f>IF(NOT(ISBLANK(A1054)),VLOOKUP(A1054,'BBT3'!A:F,4,1),"")</f>
        <v/>
      </c>
      <c r="E1054" t="str">
        <f>IF(NOT(ISBLANK(A1054)),VLOOKUP(A1054,'BBT3'!A:F,5,0),"")</f>
        <v/>
      </c>
      <c r="F1054" t="str">
        <f>IF(NOT(ISBLANK(A1054)),VLOOKUP(A1054,'BBT3'!A:F,6,0),"")</f>
        <v/>
      </c>
      <c r="G1054" t="str">
        <f>IF(NOT(ISBLANK(A1054)),VLOOKUP(A1054,QW_Close!A:J,5,0),"")</f>
        <v/>
      </c>
      <c r="H1054" s="5" t="str" cm="1">
        <f t="array" ref="H1054">IF(NOT(ISBLANK(A1054)),((_xlfn.XLOOKUP(1,(_bbt3[[#All],[ID]]=A1054)*(_bbt3[[#All],[METRIC_NAME]]="YLD_YTM_ASK"),_bbt3[[#All],[METRIC_VALUE]])*0.5)+(_xlfn.XLOOKUP(1,(_bbt3[[#All],[ID]]=A1054)*(_bbt3[[#All],[METRIC_NAME]]="YLD_YTM_BID"),_bbt3[[#All],[METRIC_VALUE]])*0.5))/100,"")</f>
        <v/>
      </c>
      <c r="I1054">
        <f>IF(ISNA(VLOOKUP(A1054,QW_CloseDL!A:E,5,0)),0,VLOOKUP(A1054,QW_CloseDL!A:E,5,0))</f>
        <v>0</v>
      </c>
      <c r="J1054" s="8" t="str">
        <f t="shared" si="80"/>
        <v/>
      </c>
      <c r="P1054">
        <v>0</v>
      </c>
      <c r="Q1054" t="e">
        <f t="shared" si="81"/>
        <v>#N/A</v>
      </c>
      <c r="R1054" t="e">
        <f t="shared" si="82"/>
        <v>#N/A</v>
      </c>
      <c r="S1054" s="9" t="e">
        <f t="shared" si="83"/>
        <v>#N/A</v>
      </c>
      <c r="T1054" s="3" t="e">
        <f t="shared" si="84"/>
        <v>#N/A</v>
      </c>
    </row>
    <row r="1055" spans="2:20" x14ac:dyDescent="0.35">
      <c r="B1055" t="str">
        <f>IF(NOT(ISBLANK(A1055)),VLOOKUP(A1055,'BBT3'!A:F,2,0),"")</f>
        <v/>
      </c>
      <c r="C1055" t="str">
        <f>IF(NOT(ISBLANK(A1055)),VLOOKUP(A1055,'BBT3'!A:F,3,0),"")</f>
        <v/>
      </c>
      <c r="D1055" s="6" t="str">
        <f>IF(NOT(ISBLANK(A1055)),VLOOKUP(A1055,'BBT3'!A:F,4,1),"")</f>
        <v/>
      </c>
      <c r="E1055" t="str">
        <f>IF(NOT(ISBLANK(A1055)),VLOOKUP(A1055,'BBT3'!A:F,5,0),"")</f>
        <v/>
      </c>
      <c r="F1055" t="str">
        <f>IF(NOT(ISBLANK(A1055)),VLOOKUP(A1055,'BBT3'!A:F,6,0),"")</f>
        <v/>
      </c>
      <c r="G1055" t="str">
        <f>IF(NOT(ISBLANK(A1055)),VLOOKUP(A1055,QW_Close!A:J,5,0),"")</f>
        <v/>
      </c>
      <c r="H1055" s="5" t="str" cm="1">
        <f t="array" ref="H1055">IF(NOT(ISBLANK(A1055)),((_xlfn.XLOOKUP(1,(_bbt3[[#All],[ID]]=A1055)*(_bbt3[[#All],[METRIC_NAME]]="YLD_YTM_ASK"),_bbt3[[#All],[METRIC_VALUE]])*0.5)+(_xlfn.XLOOKUP(1,(_bbt3[[#All],[ID]]=A1055)*(_bbt3[[#All],[METRIC_NAME]]="YLD_YTM_BID"),_bbt3[[#All],[METRIC_VALUE]])*0.5))/100,"")</f>
        <v/>
      </c>
      <c r="I1055">
        <f>IF(ISNA(VLOOKUP(A1055,QW_CloseDL!A:E,5,0)),0,VLOOKUP(A1055,QW_CloseDL!A:E,5,0))</f>
        <v>0</v>
      </c>
      <c r="J1055" s="8" t="str">
        <f t="shared" si="80"/>
        <v/>
      </c>
      <c r="P1055">
        <v>0</v>
      </c>
      <c r="Q1055" t="e">
        <f t="shared" si="81"/>
        <v>#N/A</v>
      </c>
      <c r="R1055" t="e">
        <f t="shared" si="82"/>
        <v>#N/A</v>
      </c>
      <c r="S1055" s="9" t="e">
        <f t="shared" si="83"/>
        <v>#N/A</v>
      </c>
      <c r="T1055" s="3" t="e">
        <f t="shared" si="84"/>
        <v>#N/A</v>
      </c>
    </row>
    <row r="1056" spans="2:20" x14ac:dyDescent="0.35">
      <c r="B1056" t="str">
        <f>IF(NOT(ISBLANK(A1056)),VLOOKUP(A1056,'BBT3'!A:F,2,0),"")</f>
        <v/>
      </c>
      <c r="C1056" t="str">
        <f>IF(NOT(ISBLANK(A1056)),VLOOKUP(A1056,'BBT3'!A:F,3,0),"")</f>
        <v/>
      </c>
      <c r="D1056" s="6" t="str">
        <f>IF(NOT(ISBLANK(A1056)),VLOOKUP(A1056,'BBT3'!A:F,4,1),"")</f>
        <v/>
      </c>
      <c r="E1056" t="str">
        <f>IF(NOT(ISBLANK(A1056)),VLOOKUP(A1056,'BBT3'!A:F,5,0),"")</f>
        <v/>
      </c>
      <c r="F1056" t="str">
        <f>IF(NOT(ISBLANK(A1056)),VLOOKUP(A1056,'BBT3'!A:F,6,0),"")</f>
        <v/>
      </c>
      <c r="G1056" t="str">
        <f>IF(NOT(ISBLANK(A1056)),VLOOKUP(A1056,QW_Close!A:J,5,0),"")</f>
        <v/>
      </c>
      <c r="H1056" s="5" t="str" cm="1">
        <f t="array" ref="H1056">IF(NOT(ISBLANK(A1056)),((_xlfn.XLOOKUP(1,(_bbt3[[#All],[ID]]=A1056)*(_bbt3[[#All],[METRIC_NAME]]="YLD_YTM_ASK"),_bbt3[[#All],[METRIC_VALUE]])*0.5)+(_xlfn.XLOOKUP(1,(_bbt3[[#All],[ID]]=A1056)*(_bbt3[[#All],[METRIC_NAME]]="YLD_YTM_BID"),_bbt3[[#All],[METRIC_VALUE]])*0.5))/100,"")</f>
        <v/>
      </c>
      <c r="I1056">
        <f>IF(ISNA(VLOOKUP(A1056,QW_CloseDL!A:E,5,0)),0,VLOOKUP(A1056,QW_CloseDL!A:E,5,0))</f>
        <v>0</v>
      </c>
      <c r="J1056" s="8" t="str">
        <f t="shared" si="80"/>
        <v/>
      </c>
      <c r="P1056">
        <v>0</v>
      </c>
      <c r="Q1056" t="e">
        <f t="shared" si="81"/>
        <v>#N/A</v>
      </c>
      <c r="R1056" t="e">
        <f t="shared" si="82"/>
        <v>#N/A</v>
      </c>
      <c r="S1056" s="9" t="e">
        <f t="shared" si="83"/>
        <v>#N/A</v>
      </c>
      <c r="T1056" s="3" t="e">
        <f t="shared" si="84"/>
        <v>#N/A</v>
      </c>
    </row>
    <row r="1057" spans="2:20" x14ac:dyDescent="0.35">
      <c r="B1057" t="str">
        <f>IF(NOT(ISBLANK(A1057)),VLOOKUP(A1057,'BBT3'!A:F,2,0),"")</f>
        <v/>
      </c>
      <c r="C1057" t="str">
        <f>IF(NOT(ISBLANK(A1057)),VLOOKUP(A1057,'BBT3'!A:F,3,0),"")</f>
        <v/>
      </c>
      <c r="D1057" s="6" t="str">
        <f>IF(NOT(ISBLANK(A1057)),VLOOKUP(A1057,'BBT3'!A:F,4,1),"")</f>
        <v/>
      </c>
      <c r="E1057" t="str">
        <f>IF(NOT(ISBLANK(A1057)),VLOOKUP(A1057,'BBT3'!A:F,5,0),"")</f>
        <v/>
      </c>
      <c r="F1057" t="str">
        <f>IF(NOT(ISBLANK(A1057)),VLOOKUP(A1057,'BBT3'!A:F,6,0),"")</f>
        <v/>
      </c>
      <c r="G1057" t="str">
        <f>IF(NOT(ISBLANK(A1057)),VLOOKUP(A1057,QW_Close!A:J,5,0),"")</f>
        <v/>
      </c>
      <c r="H1057" s="5" t="str" cm="1">
        <f t="array" ref="H1057">IF(NOT(ISBLANK(A1057)),((_xlfn.XLOOKUP(1,(_bbt3[[#All],[ID]]=A1057)*(_bbt3[[#All],[METRIC_NAME]]="YLD_YTM_ASK"),_bbt3[[#All],[METRIC_VALUE]])*0.5)+(_xlfn.XLOOKUP(1,(_bbt3[[#All],[ID]]=A1057)*(_bbt3[[#All],[METRIC_NAME]]="YLD_YTM_BID"),_bbt3[[#All],[METRIC_VALUE]])*0.5))/100,"")</f>
        <v/>
      </c>
      <c r="I1057">
        <f>IF(ISNA(VLOOKUP(A1057,QW_CloseDL!A:E,5,0)),0,VLOOKUP(A1057,QW_CloseDL!A:E,5,0))</f>
        <v>0</v>
      </c>
      <c r="J1057" s="8" t="str">
        <f t="shared" si="80"/>
        <v/>
      </c>
      <c r="P1057">
        <v>0</v>
      </c>
      <c r="Q1057" t="e">
        <f t="shared" si="81"/>
        <v>#N/A</v>
      </c>
      <c r="R1057" t="e">
        <f t="shared" si="82"/>
        <v>#N/A</v>
      </c>
      <c r="S1057" s="9" t="e">
        <f t="shared" si="83"/>
        <v>#N/A</v>
      </c>
      <c r="T1057" s="3" t="e">
        <f t="shared" si="84"/>
        <v>#N/A</v>
      </c>
    </row>
    <row r="1058" spans="2:20" x14ac:dyDescent="0.35">
      <c r="B1058" t="str">
        <f>IF(NOT(ISBLANK(A1058)),VLOOKUP(A1058,'BBT3'!A:F,2,0),"")</f>
        <v/>
      </c>
      <c r="C1058" t="str">
        <f>IF(NOT(ISBLANK(A1058)),VLOOKUP(A1058,'BBT3'!A:F,3,0),"")</f>
        <v/>
      </c>
      <c r="D1058" s="6" t="str">
        <f>IF(NOT(ISBLANK(A1058)),VLOOKUP(A1058,'BBT3'!A:F,4,1),"")</f>
        <v/>
      </c>
      <c r="E1058" t="str">
        <f>IF(NOT(ISBLANK(A1058)),VLOOKUP(A1058,'BBT3'!A:F,5,0),"")</f>
        <v/>
      </c>
      <c r="F1058" t="str">
        <f>IF(NOT(ISBLANK(A1058)),VLOOKUP(A1058,'BBT3'!A:F,6,0),"")</f>
        <v/>
      </c>
      <c r="G1058" t="str">
        <f>IF(NOT(ISBLANK(A1058)),VLOOKUP(A1058,QW_Close!A:J,5,0),"")</f>
        <v/>
      </c>
      <c r="H1058" s="5" t="str" cm="1">
        <f t="array" ref="H1058">IF(NOT(ISBLANK(A1058)),((_xlfn.XLOOKUP(1,(_bbt3[[#All],[ID]]=A1058)*(_bbt3[[#All],[METRIC_NAME]]="YLD_YTM_ASK"),_bbt3[[#All],[METRIC_VALUE]])*0.5)+(_xlfn.XLOOKUP(1,(_bbt3[[#All],[ID]]=A1058)*(_bbt3[[#All],[METRIC_NAME]]="YLD_YTM_BID"),_bbt3[[#All],[METRIC_VALUE]])*0.5))/100,"")</f>
        <v/>
      </c>
      <c r="I1058">
        <f>IF(ISNA(VLOOKUP(A1058,QW_CloseDL!A:E,5,0)),0,VLOOKUP(A1058,QW_CloseDL!A:E,5,0))</f>
        <v>0</v>
      </c>
      <c r="J1058" s="8" t="str">
        <f t="shared" si="80"/>
        <v/>
      </c>
      <c r="P1058">
        <v>0</v>
      </c>
      <c r="Q1058" t="e">
        <f t="shared" si="81"/>
        <v>#N/A</v>
      </c>
      <c r="R1058" t="e">
        <f t="shared" si="82"/>
        <v>#N/A</v>
      </c>
      <c r="S1058" s="9" t="e">
        <f t="shared" si="83"/>
        <v>#N/A</v>
      </c>
      <c r="T1058" s="3" t="e">
        <f t="shared" si="84"/>
        <v>#N/A</v>
      </c>
    </row>
    <row r="1059" spans="2:20" x14ac:dyDescent="0.35">
      <c r="B1059" t="str">
        <f>IF(NOT(ISBLANK(A1059)),VLOOKUP(A1059,'BBT3'!A:F,2,0),"")</f>
        <v/>
      </c>
      <c r="C1059" t="str">
        <f>IF(NOT(ISBLANK(A1059)),VLOOKUP(A1059,'BBT3'!A:F,3,0),"")</f>
        <v/>
      </c>
      <c r="D1059" s="6" t="str">
        <f>IF(NOT(ISBLANK(A1059)),VLOOKUP(A1059,'BBT3'!A:F,4,1),"")</f>
        <v/>
      </c>
      <c r="E1059" t="str">
        <f>IF(NOT(ISBLANK(A1059)),VLOOKUP(A1059,'BBT3'!A:F,5,0),"")</f>
        <v/>
      </c>
      <c r="F1059" t="str">
        <f>IF(NOT(ISBLANK(A1059)),VLOOKUP(A1059,'BBT3'!A:F,6,0),"")</f>
        <v/>
      </c>
      <c r="G1059" t="str">
        <f>IF(NOT(ISBLANK(A1059)),VLOOKUP(A1059,QW_Close!A:J,5,0),"")</f>
        <v/>
      </c>
      <c r="H1059" s="5" t="str" cm="1">
        <f t="array" ref="H1059">IF(NOT(ISBLANK(A1059)),((_xlfn.XLOOKUP(1,(_bbt3[[#All],[ID]]=A1059)*(_bbt3[[#All],[METRIC_NAME]]="YLD_YTM_ASK"),_bbt3[[#All],[METRIC_VALUE]])*0.5)+(_xlfn.XLOOKUP(1,(_bbt3[[#All],[ID]]=A1059)*(_bbt3[[#All],[METRIC_NAME]]="YLD_YTM_BID"),_bbt3[[#All],[METRIC_VALUE]])*0.5))/100,"")</f>
        <v/>
      </c>
      <c r="I1059">
        <f>IF(ISNA(VLOOKUP(A1059,QW_CloseDL!A:E,5,0)),0,VLOOKUP(A1059,QW_CloseDL!A:E,5,0))</f>
        <v>0</v>
      </c>
      <c r="J1059" s="8" t="str">
        <f t="shared" si="80"/>
        <v/>
      </c>
      <c r="P1059">
        <v>0</v>
      </c>
      <c r="Q1059" t="e">
        <f t="shared" si="81"/>
        <v>#N/A</v>
      </c>
      <c r="R1059" t="e">
        <f t="shared" si="82"/>
        <v>#N/A</v>
      </c>
      <c r="S1059" s="9" t="e">
        <f t="shared" si="83"/>
        <v>#N/A</v>
      </c>
      <c r="T1059" s="3" t="e">
        <f t="shared" si="84"/>
        <v>#N/A</v>
      </c>
    </row>
    <row r="1060" spans="2:20" x14ac:dyDescent="0.35">
      <c r="B1060" t="str">
        <f>IF(NOT(ISBLANK(A1060)),VLOOKUP(A1060,'BBT3'!A:F,2,0),"")</f>
        <v/>
      </c>
      <c r="C1060" t="str">
        <f>IF(NOT(ISBLANK(A1060)),VLOOKUP(A1060,'BBT3'!A:F,3,0),"")</f>
        <v/>
      </c>
      <c r="D1060" s="6" t="str">
        <f>IF(NOT(ISBLANK(A1060)),VLOOKUP(A1060,'BBT3'!A:F,4,1),"")</f>
        <v/>
      </c>
      <c r="E1060" t="str">
        <f>IF(NOT(ISBLANK(A1060)),VLOOKUP(A1060,'BBT3'!A:F,5,0),"")</f>
        <v/>
      </c>
      <c r="F1060" t="str">
        <f>IF(NOT(ISBLANK(A1060)),VLOOKUP(A1060,'BBT3'!A:F,6,0),"")</f>
        <v/>
      </c>
      <c r="G1060" t="str">
        <f>IF(NOT(ISBLANK(A1060)),VLOOKUP(A1060,QW_Close!A:J,5,0),"")</f>
        <v/>
      </c>
      <c r="H1060" s="5" t="str" cm="1">
        <f t="array" ref="H1060">IF(NOT(ISBLANK(A1060)),((_xlfn.XLOOKUP(1,(_bbt3[[#All],[ID]]=A1060)*(_bbt3[[#All],[METRIC_NAME]]="YLD_YTM_ASK"),_bbt3[[#All],[METRIC_VALUE]])*0.5)+(_xlfn.XLOOKUP(1,(_bbt3[[#All],[ID]]=A1060)*(_bbt3[[#All],[METRIC_NAME]]="YLD_YTM_BID"),_bbt3[[#All],[METRIC_VALUE]])*0.5))/100,"")</f>
        <v/>
      </c>
      <c r="I1060">
        <f>IF(ISNA(VLOOKUP(A1060,QW_CloseDL!A:E,5,0)),0,VLOOKUP(A1060,QW_CloseDL!A:E,5,0))</f>
        <v>0</v>
      </c>
      <c r="J1060" s="8" t="str">
        <f t="shared" si="80"/>
        <v/>
      </c>
      <c r="P1060">
        <v>0</v>
      </c>
      <c r="Q1060" t="e">
        <f t="shared" si="81"/>
        <v>#N/A</v>
      </c>
      <c r="R1060" t="e">
        <f t="shared" si="82"/>
        <v>#N/A</v>
      </c>
      <c r="S1060" s="9" t="e">
        <f t="shared" si="83"/>
        <v>#N/A</v>
      </c>
      <c r="T1060" s="3" t="e">
        <f t="shared" si="84"/>
        <v>#N/A</v>
      </c>
    </row>
    <row r="1061" spans="2:20" x14ac:dyDescent="0.35">
      <c r="B1061" t="str">
        <f>IF(NOT(ISBLANK(A1061)),VLOOKUP(A1061,'BBT3'!A:F,2,0),"")</f>
        <v/>
      </c>
      <c r="C1061" t="str">
        <f>IF(NOT(ISBLANK(A1061)),VLOOKUP(A1061,'BBT3'!A:F,3,0),"")</f>
        <v/>
      </c>
      <c r="D1061" s="6" t="str">
        <f>IF(NOT(ISBLANK(A1061)),VLOOKUP(A1061,'BBT3'!A:F,4,1),"")</f>
        <v/>
      </c>
      <c r="E1061" t="str">
        <f>IF(NOT(ISBLANK(A1061)),VLOOKUP(A1061,'BBT3'!A:F,5,0),"")</f>
        <v/>
      </c>
      <c r="F1061" t="str">
        <f>IF(NOT(ISBLANK(A1061)),VLOOKUP(A1061,'BBT3'!A:F,6,0),"")</f>
        <v/>
      </c>
      <c r="G1061" t="str">
        <f>IF(NOT(ISBLANK(A1061)),VLOOKUP(A1061,QW_Close!A:J,5,0),"")</f>
        <v/>
      </c>
      <c r="H1061" s="5" t="str" cm="1">
        <f t="array" ref="H1061">IF(NOT(ISBLANK(A1061)),((_xlfn.XLOOKUP(1,(_bbt3[[#All],[ID]]=A1061)*(_bbt3[[#All],[METRIC_NAME]]="YLD_YTM_ASK"),_bbt3[[#All],[METRIC_VALUE]])*0.5)+(_xlfn.XLOOKUP(1,(_bbt3[[#All],[ID]]=A1061)*(_bbt3[[#All],[METRIC_NAME]]="YLD_YTM_BID"),_bbt3[[#All],[METRIC_VALUE]])*0.5))/100,"")</f>
        <v/>
      </c>
      <c r="I1061">
        <f>IF(ISNA(VLOOKUP(A1061,QW_CloseDL!A:E,5,0)),0,VLOOKUP(A1061,QW_CloseDL!A:E,5,0))</f>
        <v>0</v>
      </c>
      <c r="J1061" s="8" t="str">
        <f t="shared" si="80"/>
        <v/>
      </c>
      <c r="P1061">
        <v>0</v>
      </c>
      <c r="Q1061" t="e">
        <f t="shared" si="81"/>
        <v>#N/A</v>
      </c>
      <c r="R1061" t="e">
        <f t="shared" si="82"/>
        <v>#N/A</v>
      </c>
      <c r="S1061" s="9" t="e">
        <f t="shared" si="83"/>
        <v>#N/A</v>
      </c>
      <c r="T1061" s="3" t="e">
        <f t="shared" si="84"/>
        <v>#N/A</v>
      </c>
    </row>
    <row r="1062" spans="2:20" x14ac:dyDescent="0.35">
      <c r="B1062" t="str">
        <f>IF(NOT(ISBLANK(A1062)),VLOOKUP(A1062,'BBT3'!A:F,2,0),"")</f>
        <v/>
      </c>
      <c r="C1062" t="str">
        <f>IF(NOT(ISBLANK(A1062)),VLOOKUP(A1062,'BBT3'!A:F,3,0),"")</f>
        <v/>
      </c>
      <c r="D1062" s="6" t="str">
        <f>IF(NOT(ISBLANK(A1062)),VLOOKUP(A1062,'BBT3'!A:F,4,1),"")</f>
        <v/>
      </c>
      <c r="E1062" t="str">
        <f>IF(NOT(ISBLANK(A1062)),VLOOKUP(A1062,'BBT3'!A:F,5,0),"")</f>
        <v/>
      </c>
      <c r="F1062" t="str">
        <f>IF(NOT(ISBLANK(A1062)),VLOOKUP(A1062,'BBT3'!A:F,6,0),"")</f>
        <v/>
      </c>
      <c r="G1062" t="str">
        <f>IF(NOT(ISBLANK(A1062)),VLOOKUP(A1062,QW_Close!A:J,5,0),"")</f>
        <v/>
      </c>
      <c r="H1062" s="5" t="str" cm="1">
        <f t="array" ref="H1062">IF(NOT(ISBLANK(A1062)),((_xlfn.XLOOKUP(1,(_bbt3[[#All],[ID]]=A1062)*(_bbt3[[#All],[METRIC_NAME]]="YLD_YTM_ASK"),_bbt3[[#All],[METRIC_VALUE]])*0.5)+(_xlfn.XLOOKUP(1,(_bbt3[[#All],[ID]]=A1062)*(_bbt3[[#All],[METRIC_NAME]]="YLD_YTM_BID"),_bbt3[[#All],[METRIC_VALUE]])*0.5))/100,"")</f>
        <v/>
      </c>
      <c r="I1062">
        <f>IF(ISNA(VLOOKUP(A1062,QW_CloseDL!A:E,5,0)),0,VLOOKUP(A1062,QW_CloseDL!A:E,5,0))</f>
        <v>0</v>
      </c>
      <c r="J1062" s="8" t="str">
        <f t="shared" si="80"/>
        <v/>
      </c>
      <c r="P1062">
        <v>0</v>
      </c>
      <c r="Q1062" t="e">
        <f t="shared" si="81"/>
        <v>#N/A</v>
      </c>
      <c r="R1062" t="e">
        <f t="shared" si="82"/>
        <v>#N/A</v>
      </c>
      <c r="S1062" s="9" t="e">
        <f t="shared" si="83"/>
        <v>#N/A</v>
      </c>
      <c r="T1062" s="3" t="e">
        <f t="shared" si="84"/>
        <v>#N/A</v>
      </c>
    </row>
    <row r="1063" spans="2:20" x14ac:dyDescent="0.35">
      <c r="B1063" t="str">
        <f>IF(NOT(ISBLANK(A1063)),VLOOKUP(A1063,'BBT3'!A:F,2,0),"")</f>
        <v/>
      </c>
      <c r="C1063" t="str">
        <f>IF(NOT(ISBLANK(A1063)),VLOOKUP(A1063,'BBT3'!A:F,3,0),"")</f>
        <v/>
      </c>
      <c r="D1063" s="6" t="str">
        <f>IF(NOT(ISBLANK(A1063)),VLOOKUP(A1063,'BBT3'!A:F,4,1),"")</f>
        <v/>
      </c>
      <c r="E1063" t="str">
        <f>IF(NOT(ISBLANK(A1063)),VLOOKUP(A1063,'BBT3'!A:F,5,0),"")</f>
        <v/>
      </c>
      <c r="F1063" t="str">
        <f>IF(NOT(ISBLANK(A1063)),VLOOKUP(A1063,'BBT3'!A:F,6,0),"")</f>
        <v/>
      </c>
      <c r="G1063" t="str">
        <f>IF(NOT(ISBLANK(A1063)),VLOOKUP(A1063,QW_Close!A:J,5,0),"")</f>
        <v/>
      </c>
      <c r="H1063" s="5" t="str" cm="1">
        <f t="array" ref="H1063">IF(NOT(ISBLANK(A1063)),((_xlfn.XLOOKUP(1,(_bbt3[[#All],[ID]]=A1063)*(_bbt3[[#All],[METRIC_NAME]]="YLD_YTM_ASK"),_bbt3[[#All],[METRIC_VALUE]])*0.5)+(_xlfn.XLOOKUP(1,(_bbt3[[#All],[ID]]=A1063)*(_bbt3[[#All],[METRIC_NAME]]="YLD_YTM_BID"),_bbt3[[#All],[METRIC_VALUE]])*0.5))/100,"")</f>
        <v/>
      </c>
      <c r="I1063">
        <f>IF(ISNA(VLOOKUP(A1063,QW_CloseDL!A:E,5,0)),0,VLOOKUP(A1063,QW_CloseDL!A:E,5,0))</f>
        <v>0</v>
      </c>
      <c r="J1063" s="8" t="str">
        <f t="shared" si="80"/>
        <v/>
      </c>
      <c r="P1063">
        <v>0</v>
      </c>
      <c r="Q1063" t="e">
        <f t="shared" si="81"/>
        <v>#N/A</v>
      </c>
      <c r="R1063" t="e">
        <f t="shared" si="82"/>
        <v>#N/A</v>
      </c>
      <c r="S1063" s="9" t="e">
        <f t="shared" si="83"/>
        <v>#N/A</v>
      </c>
      <c r="T1063" s="3" t="e">
        <f t="shared" si="84"/>
        <v>#N/A</v>
      </c>
    </row>
    <row r="1064" spans="2:20" x14ac:dyDescent="0.35">
      <c r="B1064" t="str">
        <f>IF(NOT(ISBLANK(A1064)),VLOOKUP(A1064,'BBT3'!A:F,2,0),"")</f>
        <v/>
      </c>
      <c r="C1064" t="str">
        <f>IF(NOT(ISBLANK(A1064)),VLOOKUP(A1064,'BBT3'!A:F,3,0),"")</f>
        <v/>
      </c>
      <c r="D1064" s="6" t="str">
        <f>IF(NOT(ISBLANK(A1064)),VLOOKUP(A1064,'BBT3'!A:F,4,1),"")</f>
        <v/>
      </c>
      <c r="E1064" t="str">
        <f>IF(NOT(ISBLANK(A1064)),VLOOKUP(A1064,'BBT3'!A:F,5,0),"")</f>
        <v/>
      </c>
      <c r="F1064" t="str">
        <f>IF(NOT(ISBLANK(A1064)),VLOOKUP(A1064,'BBT3'!A:F,6,0),"")</f>
        <v/>
      </c>
      <c r="G1064" t="str">
        <f>IF(NOT(ISBLANK(A1064)),VLOOKUP(A1064,QW_Close!A:J,5,0),"")</f>
        <v/>
      </c>
      <c r="H1064" s="5" t="str" cm="1">
        <f t="array" ref="H1064">IF(NOT(ISBLANK(A1064)),((_xlfn.XLOOKUP(1,(_bbt3[[#All],[ID]]=A1064)*(_bbt3[[#All],[METRIC_NAME]]="YLD_YTM_ASK"),_bbt3[[#All],[METRIC_VALUE]])*0.5)+(_xlfn.XLOOKUP(1,(_bbt3[[#All],[ID]]=A1064)*(_bbt3[[#All],[METRIC_NAME]]="YLD_YTM_BID"),_bbt3[[#All],[METRIC_VALUE]])*0.5))/100,"")</f>
        <v/>
      </c>
      <c r="I1064">
        <f>IF(ISNA(VLOOKUP(A1064,QW_CloseDL!A:E,5,0)),0,VLOOKUP(A1064,QW_CloseDL!A:E,5,0))</f>
        <v>0</v>
      </c>
      <c r="J1064" s="8" t="str">
        <f t="shared" si="80"/>
        <v/>
      </c>
      <c r="P1064">
        <v>0</v>
      </c>
      <c r="Q1064" t="e">
        <f t="shared" si="81"/>
        <v>#N/A</v>
      </c>
      <c r="R1064" t="e">
        <f t="shared" si="82"/>
        <v>#N/A</v>
      </c>
      <c r="S1064" s="9" t="e">
        <f t="shared" si="83"/>
        <v>#N/A</v>
      </c>
      <c r="T1064" s="3" t="e">
        <f t="shared" si="84"/>
        <v>#N/A</v>
      </c>
    </row>
    <row r="1065" spans="2:20" x14ac:dyDescent="0.35">
      <c r="B1065" t="str">
        <f>IF(NOT(ISBLANK(A1065)),VLOOKUP(A1065,'BBT3'!A:F,2,0),"")</f>
        <v/>
      </c>
      <c r="C1065" t="str">
        <f>IF(NOT(ISBLANK(A1065)),VLOOKUP(A1065,'BBT3'!A:F,3,0),"")</f>
        <v/>
      </c>
      <c r="D1065" s="6" t="str">
        <f>IF(NOT(ISBLANK(A1065)),VLOOKUP(A1065,'BBT3'!A:F,4,1),"")</f>
        <v/>
      </c>
      <c r="E1065" t="str">
        <f>IF(NOT(ISBLANK(A1065)),VLOOKUP(A1065,'BBT3'!A:F,5,0),"")</f>
        <v/>
      </c>
      <c r="F1065" t="str">
        <f>IF(NOT(ISBLANK(A1065)),VLOOKUP(A1065,'BBT3'!A:F,6,0),"")</f>
        <v/>
      </c>
      <c r="G1065" t="str">
        <f>IF(NOT(ISBLANK(A1065)),VLOOKUP(A1065,QW_Close!A:J,5,0),"")</f>
        <v/>
      </c>
      <c r="H1065" s="5" t="str" cm="1">
        <f t="array" ref="H1065">IF(NOT(ISBLANK(A1065)),((_xlfn.XLOOKUP(1,(_bbt3[[#All],[ID]]=A1065)*(_bbt3[[#All],[METRIC_NAME]]="YLD_YTM_ASK"),_bbt3[[#All],[METRIC_VALUE]])*0.5)+(_xlfn.XLOOKUP(1,(_bbt3[[#All],[ID]]=A1065)*(_bbt3[[#All],[METRIC_NAME]]="YLD_YTM_BID"),_bbt3[[#All],[METRIC_VALUE]])*0.5))/100,"")</f>
        <v/>
      </c>
      <c r="I1065">
        <f>IF(ISNA(VLOOKUP(A1065,QW_CloseDL!A:E,5,0)),0,VLOOKUP(A1065,QW_CloseDL!A:E,5,0))</f>
        <v>0</v>
      </c>
      <c r="J1065" s="8" t="str">
        <f t="shared" si="80"/>
        <v/>
      </c>
      <c r="P1065">
        <v>0</v>
      </c>
      <c r="Q1065" t="e">
        <f t="shared" si="81"/>
        <v>#N/A</v>
      </c>
      <c r="R1065" t="e">
        <f t="shared" si="82"/>
        <v>#N/A</v>
      </c>
      <c r="S1065" s="9" t="e">
        <f t="shared" si="83"/>
        <v>#N/A</v>
      </c>
      <c r="T1065" s="3" t="e">
        <f t="shared" si="84"/>
        <v>#N/A</v>
      </c>
    </row>
    <row r="1066" spans="2:20" x14ac:dyDescent="0.35">
      <c r="B1066" t="str">
        <f>IF(NOT(ISBLANK(A1066)),VLOOKUP(A1066,'BBT3'!A:F,2,0),"")</f>
        <v/>
      </c>
      <c r="C1066" t="str">
        <f>IF(NOT(ISBLANK(A1066)),VLOOKUP(A1066,'BBT3'!A:F,3,0),"")</f>
        <v/>
      </c>
      <c r="D1066" s="6" t="str">
        <f>IF(NOT(ISBLANK(A1066)),VLOOKUP(A1066,'BBT3'!A:F,4,1),"")</f>
        <v/>
      </c>
      <c r="E1066" t="str">
        <f>IF(NOT(ISBLANK(A1066)),VLOOKUP(A1066,'BBT3'!A:F,5,0),"")</f>
        <v/>
      </c>
      <c r="F1066" t="str">
        <f>IF(NOT(ISBLANK(A1066)),VLOOKUP(A1066,'BBT3'!A:F,6,0),"")</f>
        <v/>
      </c>
      <c r="G1066" t="str">
        <f>IF(NOT(ISBLANK(A1066)),VLOOKUP(A1066,QW_Close!A:J,5,0),"")</f>
        <v/>
      </c>
      <c r="H1066" s="5" t="str" cm="1">
        <f t="array" ref="H1066">IF(NOT(ISBLANK(A1066)),((_xlfn.XLOOKUP(1,(_bbt3[[#All],[ID]]=A1066)*(_bbt3[[#All],[METRIC_NAME]]="YLD_YTM_ASK"),_bbt3[[#All],[METRIC_VALUE]])*0.5)+(_xlfn.XLOOKUP(1,(_bbt3[[#All],[ID]]=A1066)*(_bbt3[[#All],[METRIC_NAME]]="YLD_YTM_BID"),_bbt3[[#All],[METRIC_VALUE]])*0.5))/100,"")</f>
        <v/>
      </c>
      <c r="I1066">
        <f>IF(ISNA(VLOOKUP(A1066,QW_CloseDL!A:E,5,0)),0,VLOOKUP(A1066,QW_CloseDL!A:E,5,0))</f>
        <v>0</v>
      </c>
      <c r="J1066" s="8" t="str">
        <f t="shared" si="80"/>
        <v/>
      </c>
      <c r="P1066">
        <v>0</v>
      </c>
      <c r="Q1066" t="e">
        <f t="shared" si="81"/>
        <v>#N/A</v>
      </c>
      <c r="R1066" t="e">
        <f t="shared" si="82"/>
        <v>#N/A</v>
      </c>
      <c r="S1066" s="9" t="e">
        <f t="shared" si="83"/>
        <v>#N/A</v>
      </c>
      <c r="T1066" s="3" t="e">
        <f t="shared" si="84"/>
        <v>#N/A</v>
      </c>
    </row>
    <row r="1067" spans="2:20" x14ac:dyDescent="0.35">
      <c r="B1067" t="str">
        <f>IF(NOT(ISBLANK(A1067)),VLOOKUP(A1067,'BBT3'!A:F,2,0),"")</f>
        <v/>
      </c>
      <c r="C1067" t="str">
        <f>IF(NOT(ISBLANK(A1067)),VLOOKUP(A1067,'BBT3'!A:F,3,0),"")</f>
        <v/>
      </c>
      <c r="D1067" s="6" t="str">
        <f>IF(NOT(ISBLANK(A1067)),VLOOKUP(A1067,'BBT3'!A:F,4,1),"")</f>
        <v/>
      </c>
      <c r="E1067" t="str">
        <f>IF(NOT(ISBLANK(A1067)),VLOOKUP(A1067,'BBT3'!A:F,5,0),"")</f>
        <v/>
      </c>
      <c r="F1067" t="str">
        <f>IF(NOT(ISBLANK(A1067)),VLOOKUP(A1067,'BBT3'!A:F,6,0),"")</f>
        <v/>
      </c>
      <c r="G1067" t="str">
        <f>IF(NOT(ISBLANK(A1067)),VLOOKUP(A1067,QW_Close!A:J,5,0),"")</f>
        <v/>
      </c>
      <c r="H1067" s="5" t="str" cm="1">
        <f t="array" ref="H1067">IF(NOT(ISBLANK(A1067)),((_xlfn.XLOOKUP(1,(_bbt3[[#All],[ID]]=A1067)*(_bbt3[[#All],[METRIC_NAME]]="YLD_YTM_ASK"),_bbt3[[#All],[METRIC_VALUE]])*0.5)+(_xlfn.XLOOKUP(1,(_bbt3[[#All],[ID]]=A1067)*(_bbt3[[#All],[METRIC_NAME]]="YLD_YTM_BID"),_bbt3[[#All],[METRIC_VALUE]])*0.5))/100,"")</f>
        <v/>
      </c>
      <c r="I1067">
        <f>IF(ISNA(VLOOKUP(A1067,QW_CloseDL!A:E,5,0)),0,VLOOKUP(A1067,QW_CloseDL!A:E,5,0))</f>
        <v>0</v>
      </c>
      <c r="J1067" s="8" t="str">
        <f t="shared" si="80"/>
        <v/>
      </c>
      <c r="P1067">
        <v>0</v>
      </c>
      <c r="Q1067" t="e">
        <f t="shared" si="81"/>
        <v>#N/A</v>
      </c>
      <c r="R1067" t="e">
        <f t="shared" si="82"/>
        <v>#N/A</v>
      </c>
      <c r="S1067" s="9" t="e">
        <f t="shared" si="83"/>
        <v>#N/A</v>
      </c>
      <c r="T1067" s="3" t="e">
        <f t="shared" si="84"/>
        <v>#N/A</v>
      </c>
    </row>
    <row r="1068" spans="2:20" x14ac:dyDescent="0.35">
      <c r="B1068" t="str">
        <f>IF(NOT(ISBLANK(A1068)),VLOOKUP(A1068,'BBT3'!A:F,2,0),"")</f>
        <v/>
      </c>
      <c r="C1068" t="str">
        <f>IF(NOT(ISBLANK(A1068)),VLOOKUP(A1068,'BBT3'!A:F,3,0),"")</f>
        <v/>
      </c>
      <c r="D1068" s="6" t="str">
        <f>IF(NOT(ISBLANK(A1068)),VLOOKUP(A1068,'BBT3'!A:F,4,1),"")</f>
        <v/>
      </c>
      <c r="E1068" t="str">
        <f>IF(NOT(ISBLANK(A1068)),VLOOKUP(A1068,'BBT3'!A:F,5,0),"")</f>
        <v/>
      </c>
      <c r="F1068" t="str">
        <f>IF(NOT(ISBLANK(A1068)),VLOOKUP(A1068,'BBT3'!A:F,6,0),"")</f>
        <v/>
      </c>
      <c r="G1068" t="str">
        <f>IF(NOT(ISBLANK(A1068)),VLOOKUP(A1068,QW_Close!A:J,5,0),"")</f>
        <v/>
      </c>
      <c r="H1068" s="5" t="str" cm="1">
        <f t="array" ref="H1068">IF(NOT(ISBLANK(A1068)),((_xlfn.XLOOKUP(1,(_bbt3[[#All],[ID]]=A1068)*(_bbt3[[#All],[METRIC_NAME]]="YLD_YTM_ASK"),_bbt3[[#All],[METRIC_VALUE]])*0.5)+(_xlfn.XLOOKUP(1,(_bbt3[[#All],[ID]]=A1068)*(_bbt3[[#All],[METRIC_NAME]]="YLD_YTM_BID"),_bbt3[[#All],[METRIC_VALUE]])*0.5))/100,"")</f>
        <v/>
      </c>
      <c r="I1068">
        <f>IF(ISNA(VLOOKUP(A1068,QW_CloseDL!A:E,5,0)),0,VLOOKUP(A1068,QW_CloseDL!A:E,5,0))</f>
        <v>0</v>
      </c>
      <c r="J1068" s="8" t="str">
        <f t="shared" si="80"/>
        <v/>
      </c>
      <c r="P1068">
        <v>0</v>
      </c>
      <c r="Q1068" t="e">
        <f t="shared" si="81"/>
        <v>#N/A</v>
      </c>
      <c r="R1068" t="e">
        <f t="shared" si="82"/>
        <v>#N/A</v>
      </c>
      <c r="S1068" s="9" t="e">
        <f t="shared" si="83"/>
        <v>#N/A</v>
      </c>
      <c r="T1068" s="3" t="e">
        <f t="shared" si="84"/>
        <v>#N/A</v>
      </c>
    </row>
    <row r="1069" spans="2:20" x14ac:dyDescent="0.35">
      <c r="B1069" t="str">
        <f>IF(NOT(ISBLANK(A1069)),VLOOKUP(A1069,'BBT3'!A:F,2,0),"")</f>
        <v/>
      </c>
      <c r="C1069" t="str">
        <f>IF(NOT(ISBLANK(A1069)),VLOOKUP(A1069,'BBT3'!A:F,3,0),"")</f>
        <v/>
      </c>
      <c r="D1069" s="6" t="str">
        <f>IF(NOT(ISBLANK(A1069)),VLOOKUP(A1069,'BBT3'!A:F,4,1),"")</f>
        <v/>
      </c>
      <c r="E1069" t="str">
        <f>IF(NOT(ISBLANK(A1069)),VLOOKUP(A1069,'BBT3'!A:F,5,0),"")</f>
        <v/>
      </c>
      <c r="F1069" t="str">
        <f>IF(NOT(ISBLANK(A1069)),VLOOKUP(A1069,'BBT3'!A:F,6,0),"")</f>
        <v/>
      </c>
      <c r="G1069" t="str">
        <f>IF(NOT(ISBLANK(A1069)),VLOOKUP(A1069,QW_Close!A:J,5,0),"")</f>
        <v/>
      </c>
      <c r="H1069" s="5" t="str" cm="1">
        <f t="array" ref="H1069">IF(NOT(ISBLANK(A1069)),((_xlfn.XLOOKUP(1,(_bbt3[[#All],[ID]]=A1069)*(_bbt3[[#All],[METRIC_NAME]]="YLD_YTM_ASK"),_bbt3[[#All],[METRIC_VALUE]])*0.5)+(_xlfn.XLOOKUP(1,(_bbt3[[#All],[ID]]=A1069)*(_bbt3[[#All],[METRIC_NAME]]="YLD_YTM_BID"),_bbt3[[#All],[METRIC_VALUE]])*0.5))/100,"")</f>
        <v/>
      </c>
      <c r="I1069">
        <f>IF(ISNA(VLOOKUP(A1069,QW_CloseDL!A:E,5,0)),0,VLOOKUP(A1069,QW_CloseDL!A:E,5,0))</f>
        <v>0</v>
      </c>
      <c r="J1069" s="8" t="str">
        <f t="shared" si="80"/>
        <v/>
      </c>
      <c r="P1069">
        <v>0</v>
      </c>
      <c r="Q1069" t="e">
        <f t="shared" si="81"/>
        <v>#N/A</v>
      </c>
      <c r="R1069" t="e">
        <f t="shared" si="82"/>
        <v>#N/A</v>
      </c>
      <c r="S1069" s="9" t="e">
        <f t="shared" si="83"/>
        <v>#N/A</v>
      </c>
      <c r="T1069" s="3" t="e">
        <f t="shared" si="84"/>
        <v>#N/A</v>
      </c>
    </row>
    <row r="1070" spans="2:20" x14ac:dyDescent="0.35">
      <c r="B1070" t="str">
        <f>IF(NOT(ISBLANK(A1070)),VLOOKUP(A1070,'BBT3'!A:F,2,0),"")</f>
        <v/>
      </c>
      <c r="C1070" t="str">
        <f>IF(NOT(ISBLANK(A1070)),VLOOKUP(A1070,'BBT3'!A:F,3,0),"")</f>
        <v/>
      </c>
      <c r="D1070" s="6" t="str">
        <f>IF(NOT(ISBLANK(A1070)),VLOOKUP(A1070,'BBT3'!A:F,4,1),"")</f>
        <v/>
      </c>
      <c r="E1070" t="str">
        <f>IF(NOT(ISBLANK(A1070)),VLOOKUP(A1070,'BBT3'!A:F,5,0),"")</f>
        <v/>
      </c>
      <c r="F1070" t="str">
        <f>IF(NOT(ISBLANK(A1070)),VLOOKUP(A1070,'BBT3'!A:F,6,0),"")</f>
        <v/>
      </c>
      <c r="G1070" t="str">
        <f>IF(NOT(ISBLANK(A1070)),VLOOKUP(A1070,QW_Close!A:J,5,0),"")</f>
        <v/>
      </c>
      <c r="H1070" s="5" t="str" cm="1">
        <f t="array" ref="H1070">IF(NOT(ISBLANK(A1070)),((_xlfn.XLOOKUP(1,(_bbt3[[#All],[ID]]=A1070)*(_bbt3[[#All],[METRIC_NAME]]="YLD_YTM_ASK"),_bbt3[[#All],[METRIC_VALUE]])*0.5)+(_xlfn.XLOOKUP(1,(_bbt3[[#All],[ID]]=A1070)*(_bbt3[[#All],[METRIC_NAME]]="YLD_YTM_BID"),_bbt3[[#All],[METRIC_VALUE]])*0.5))/100,"")</f>
        <v/>
      </c>
      <c r="I1070">
        <f>IF(ISNA(VLOOKUP(A1070,QW_CloseDL!A:E,5,0)),0,VLOOKUP(A1070,QW_CloseDL!A:E,5,0))</f>
        <v>0</v>
      </c>
      <c r="J1070" s="8" t="str">
        <f t="shared" si="80"/>
        <v/>
      </c>
      <c r="P1070">
        <v>0</v>
      </c>
      <c r="Q1070" t="e">
        <f t="shared" si="81"/>
        <v>#N/A</v>
      </c>
      <c r="R1070" t="e">
        <f t="shared" si="82"/>
        <v>#N/A</v>
      </c>
      <c r="S1070" s="9" t="e">
        <f t="shared" si="83"/>
        <v>#N/A</v>
      </c>
      <c r="T1070" s="3" t="e">
        <f t="shared" si="84"/>
        <v>#N/A</v>
      </c>
    </row>
    <row r="1071" spans="2:20" x14ac:dyDescent="0.35">
      <c r="B1071" t="str">
        <f>IF(NOT(ISBLANK(A1071)),VLOOKUP(A1071,'BBT3'!A:F,2,0),"")</f>
        <v/>
      </c>
      <c r="C1071" t="str">
        <f>IF(NOT(ISBLANK(A1071)),VLOOKUP(A1071,'BBT3'!A:F,3,0),"")</f>
        <v/>
      </c>
      <c r="D1071" s="6" t="str">
        <f>IF(NOT(ISBLANK(A1071)),VLOOKUP(A1071,'BBT3'!A:F,4,1),"")</f>
        <v/>
      </c>
      <c r="E1071" t="str">
        <f>IF(NOT(ISBLANK(A1071)),VLOOKUP(A1071,'BBT3'!A:F,5,0),"")</f>
        <v/>
      </c>
      <c r="F1071" t="str">
        <f>IF(NOT(ISBLANK(A1071)),VLOOKUP(A1071,'BBT3'!A:F,6,0),"")</f>
        <v/>
      </c>
      <c r="G1071" t="str">
        <f>IF(NOT(ISBLANK(A1071)),VLOOKUP(A1071,QW_Close!A:J,5,0),"")</f>
        <v/>
      </c>
      <c r="H1071" s="5" t="str" cm="1">
        <f t="array" ref="H1071">IF(NOT(ISBLANK(A1071)),((_xlfn.XLOOKUP(1,(_bbt3[[#All],[ID]]=A1071)*(_bbt3[[#All],[METRIC_NAME]]="YLD_YTM_ASK"),_bbt3[[#All],[METRIC_VALUE]])*0.5)+(_xlfn.XLOOKUP(1,(_bbt3[[#All],[ID]]=A1071)*(_bbt3[[#All],[METRIC_NAME]]="YLD_YTM_BID"),_bbt3[[#All],[METRIC_VALUE]])*0.5))/100,"")</f>
        <v/>
      </c>
      <c r="I1071">
        <f>IF(ISNA(VLOOKUP(A1071,QW_CloseDL!A:E,5,0)),0,VLOOKUP(A1071,QW_CloseDL!A:E,5,0))</f>
        <v>0</v>
      </c>
      <c r="J1071" s="8" t="str">
        <f t="shared" si="80"/>
        <v/>
      </c>
      <c r="P1071">
        <v>0</v>
      </c>
      <c r="Q1071" t="e">
        <f t="shared" si="81"/>
        <v>#N/A</v>
      </c>
      <c r="R1071" t="e">
        <f t="shared" si="82"/>
        <v>#N/A</v>
      </c>
      <c r="S1071" s="9" t="e">
        <f t="shared" si="83"/>
        <v>#N/A</v>
      </c>
      <c r="T1071" s="3" t="e">
        <f t="shared" si="84"/>
        <v>#N/A</v>
      </c>
    </row>
    <row r="1072" spans="2:20" x14ac:dyDescent="0.35">
      <c r="B1072" t="str">
        <f>IF(NOT(ISBLANK(A1072)),VLOOKUP(A1072,'BBT3'!A:F,2,0),"")</f>
        <v/>
      </c>
      <c r="C1072" t="str">
        <f>IF(NOT(ISBLANK(A1072)),VLOOKUP(A1072,'BBT3'!A:F,3,0),"")</f>
        <v/>
      </c>
      <c r="D1072" s="6" t="str">
        <f>IF(NOT(ISBLANK(A1072)),VLOOKUP(A1072,'BBT3'!A:F,4,1),"")</f>
        <v/>
      </c>
      <c r="E1072" t="str">
        <f>IF(NOT(ISBLANK(A1072)),VLOOKUP(A1072,'BBT3'!A:F,5,0),"")</f>
        <v/>
      </c>
      <c r="F1072" t="str">
        <f>IF(NOT(ISBLANK(A1072)),VLOOKUP(A1072,'BBT3'!A:F,6,0),"")</f>
        <v/>
      </c>
      <c r="G1072" t="str">
        <f>IF(NOT(ISBLANK(A1072)),VLOOKUP(A1072,QW_Close!A:J,5,0),"")</f>
        <v/>
      </c>
      <c r="H1072" s="5" t="str" cm="1">
        <f t="array" ref="H1072">IF(NOT(ISBLANK(A1072)),((_xlfn.XLOOKUP(1,(_bbt3[[#All],[ID]]=A1072)*(_bbt3[[#All],[METRIC_NAME]]="YLD_YTM_ASK"),_bbt3[[#All],[METRIC_VALUE]])*0.5)+(_xlfn.XLOOKUP(1,(_bbt3[[#All],[ID]]=A1072)*(_bbt3[[#All],[METRIC_NAME]]="YLD_YTM_BID"),_bbt3[[#All],[METRIC_VALUE]])*0.5))/100,"")</f>
        <v/>
      </c>
      <c r="I1072">
        <f>IF(ISNA(VLOOKUP(A1072,QW_CloseDL!A:E,5,0)),0,VLOOKUP(A1072,QW_CloseDL!A:E,5,0))</f>
        <v>0</v>
      </c>
      <c r="J1072" s="8" t="str">
        <f t="shared" si="80"/>
        <v/>
      </c>
      <c r="P1072">
        <v>0</v>
      </c>
      <c r="Q1072" t="e">
        <f t="shared" si="81"/>
        <v>#N/A</v>
      </c>
      <c r="R1072" t="e">
        <f t="shared" si="82"/>
        <v>#N/A</v>
      </c>
      <c r="S1072" s="9" t="e">
        <f t="shared" si="83"/>
        <v>#N/A</v>
      </c>
      <c r="T1072" s="3" t="e">
        <f t="shared" si="84"/>
        <v>#N/A</v>
      </c>
    </row>
    <row r="1073" spans="2:20" x14ac:dyDescent="0.35">
      <c r="B1073" t="str">
        <f>IF(NOT(ISBLANK(A1073)),VLOOKUP(A1073,'BBT3'!A:F,2,0),"")</f>
        <v/>
      </c>
      <c r="C1073" t="str">
        <f>IF(NOT(ISBLANK(A1073)),VLOOKUP(A1073,'BBT3'!A:F,3,0),"")</f>
        <v/>
      </c>
      <c r="D1073" s="6" t="str">
        <f>IF(NOT(ISBLANK(A1073)),VLOOKUP(A1073,'BBT3'!A:F,4,1),"")</f>
        <v/>
      </c>
      <c r="E1073" t="str">
        <f>IF(NOT(ISBLANK(A1073)),VLOOKUP(A1073,'BBT3'!A:F,5,0),"")</f>
        <v/>
      </c>
      <c r="F1073" t="str">
        <f>IF(NOT(ISBLANK(A1073)),VLOOKUP(A1073,'BBT3'!A:F,6,0),"")</f>
        <v/>
      </c>
      <c r="G1073" t="str">
        <f>IF(NOT(ISBLANK(A1073)),VLOOKUP(A1073,QW_Close!A:J,5,0),"")</f>
        <v/>
      </c>
      <c r="H1073" s="5" t="str" cm="1">
        <f t="array" ref="H1073">IF(NOT(ISBLANK(A1073)),((_xlfn.XLOOKUP(1,(_bbt3[[#All],[ID]]=A1073)*(_bbt3[[#All],[METRIC_NAME]]="YLD_YTM_ASK"),_bbt3[[#All],[METRIC_VALUE]])*0.5)+(_xlfn.XLOOKUP(1,(_bbt3[[#All],[ID]]=A1073)*(_bbt3[[#All],[METRIC_NAME]]="YLD_YTM_BID"),_bbt3[[#All],[METRIC_VALUE]])*0.5))/100,"")</f>
        <v/>
      </c>
      <c r="I1073">
        <f>IF(ISNA(VLOOKUP(A1073,QW_CloseDL!A:E,5,0)),0,VLOOKUP(A1073,QW_CloseDL!A:E,5,0))</f>
        <v>0</v>
      </c>
      <c r="J1073" s="8" t="str">
        <f t="shared" si="80"/>
        <v/>
      </c>
      <c r="P1073">
        <v>0</v>
      </c>
      <c r="Q1073" t="e">
        <f t="shared" si="81"/>
        <v>#N/A</v>
      </c>
      <c r="R1073" t="e">
        <f t="shared" si="82"/>
        <v>#N/A</v>
      </c>
      <c r="S1073" s="9" t="e">
        <f t="shared" si="83"/>
        <v>#N/A</v>
      </c>
      <c r="T1073" s="3" t="e">
        <f t="shared" si="84"/>
        <v>#N/A</v>
      </c>
    </row>
    <row r="1074" spans="2:20" x14ac:dyDescent="0.35">
      <c r="B1074" t="str">
        <f>IF(NOT(ISBLANK(A1074)),VLOOKUP(A1074,'BBT3'!A:F,2,0),"")</f>
        <v/>
      </c>
      <c r="C1074" t="str">
        <f>IF(NOT(ISBLANK(A1074)),VLOOKUP(A1074,'BBT3'!A:F,3,0),"")</f>
        <v/>
      </c>
      <c r="D1074" s="6" t="str">
        <f>IF(NOT(ISBLANK(A1074)),VLOOKUP(A1074,'BBT3'!A:F,4,1),"")</f>
        <v/>
      </c>
      <c r="E1074" t="str">
        <f>IF(NOT(ISBLANK(A1074)),VLOOKUP(A1074,'BBT3'!A:F,5,0),"")</f>
        <v/>
      </c>
      <c r="F1074" t="str">
        <f>IF(NOT(ISBLANK(A1074)),VLOOKUP(A1074,'BBT3'!A:F,6,0),"")</f>
        <v/>
      </c>
      <c r="G1074" t="str">
        <f>IF(NOT(ISBLANK(A1074)),VLOOKUP(A1074,QW_Close!A:J,5,0),"")</f>
        <v/>
      </c>
      <c r="H1074" s="5" t="str" cm="1">
        <f t="array" ref="H1074">IF(NOT(ISBLANK(A1074)),((_xlfn.XLOOKUP(1,(_bbt3[[#All],[ID]]=A1074)*(_bbt3[[#All],[METRIC_NAME]]="YLD_YTM_ASK"),_bbt3[[#All],[METRIC_VALUE]])*0.5)+(_xlfn.XLOOKUP(1,(_bbt3[[#All],[ID]]=A1074)*(_bbt3[[#All],[METRIC_NAME]]="YLD_YTM_BID"),_bbt3[[#All],[METRIC_VALUE]])*0.5))/100,"")</f>
        <v/>
      </c>
      <c r="I1074">
        <f>IF(ISNA(VLOOKUP(A1074,QW_CloseDL!A:E,5,0)),0,VLOOKUP(A1074,QW_CloseDL!A:E,5,0))</f>
        <v>0</v>
      </c>
      <c r="J1074" s="8" t="str">
        <f t="shared" si="80"/>
        <v/>
      </c>
      <c r="P1074">
        <v>0</v>
      </c>
      <c r="Q1074" t="e">
        <f t="shared" si="81"/>
        <v>#N/A</v>
      </c>
      <c r="R1074" t="e">
        <f t="shared" si="82"/>
        <v>#N/A</v>
      </c>
      <c r="S1074" s="9" t="e">
        <f t="shared" si="83"/>
        <v>#N/A</v>
      </c>
      <c r="T1074" s="3" t="e">
        <f t="shared" si="84"/>
        <v>#N/A</v>
      </c>
    </row>
    <row r="1075" spans="2:20" x14ac:dyDescent="0.35">
      <c r="B1075" t="str">
        <f>IF(NOT(ISBLANK(A1075)),VLOOKUP(A1075,'BBT3'!A:F,2,0),"")</f>
        <v/>
      </c>
      <c r="C1075" t="str">
        <f>IF(NOT(ISBLANK(A1075)),VLOOKUP(A1075,'BBT3'!A:F,3,0),"")</f>
        <v/>
      </c>
      <c r="D1075" s="6" t="str">
        <f>IF(NOT(ISBLANK(A1075)),VLOOKUP(A1075,'BBT3'!A:F,4,1),"")</f>
        <v/>
      </c>
      <c r="E1075" t="str">
        <f>IF(NOT(ISBLANK(A1075)),VLOOKUP(A1075,'BBT3'!A:F,5,0),"")</f>
        <v/>
      </c>
      <c r="F1075" t="str">
        <f>IF(NOT(ISBLANK(A1075)),VLOOKUP(A1075,'BBT3'!A:F,6,0),"")</f>
        <v/>
      </c>
      <c r="G1075" t="str">
        <f>IF(NOT(ISBLANK(A1075)),VLOOKUP(A1075,QW_Close!A:J,5,0),"")</f>
        <v/>
      </c>
      <c r="H1075" s="5" t="str" cm="1">
        <f t="array" ref="H1075">IF(NOT(ISBLANK(A1075)),((_xlfn.XLOOKUP(1,(_bbt3[[#All],[ID]]=A1075)*(_bbt3[[#All],[METRIC_NAME]]="YLD_YTM_ASK"),_bbt3[[#All],[METRIC_VALUE]])*0.5)+(_xlfn.XLOOKUP(1,(_bbt3[[#All],[ID]]=A1075)*(_bbt3[[#All],[METRIC_NAME]]="YLD_YTM_BID"),_bbt3[[#All],[METRIC_VALUE]])*0.5))/100,"")</f>
        <v/>
      </c>
      <c r="I1075">
        <f>IF(ISNA(VLOOKUP(A1075,QW_CloseDL!A:E,5,0)),0,VLOOKUP(A1075,QW_CloseDL!A:E,5,0))</f>
        <v>0</v>
      </c>
      <c r="J1075" s="8" t="str">
        <f t="shared" si="80"/>
        <v/>
      </c>
      <c r="P1075">
        <v>0</v>
      </c>
      <c r="Q1075" t="e">
        <f t="shared" si="81"/>
        <v>#N/A</v>
      </c>
      <c r="R1075" t="e">
        <f t="shared" si="82"/>
        <v>#N/A</v>
      </c>
      <c r="S1075" s="9" t="e">
        <f t="shared" si="83"/>
        <v>#N/A</v>
      </c>
      <c r="T1075" s="3" t="e">
        <f t="shared" si="84"/>
        <v>#N/A</v>
      </c>
    </row>
    <row r="1076" spans="2:20" x14ac:dyDescent="0.35">
      <c r="B1076" t="str">
        <f>IF(NOT(ISBLANK(A1076)),VLOOKUP(A1076,'BBT3'!A:F,2,0),"")</f>
        <v/>
      </c>
      <c r="C1076" t="str">
        <f>IF(NOT(ISBLANK(A1076)),VLOOKUP(A1076,'BBT3'!A:F,3,0),"")</f>
        <v/>
      </c>
      <c r="D1076" s="6" t="str">
        <f>IF(NOT(ISBLANK(A1076)),VLOOKUP(A1076,'BBT3'!A:F,4,1),"")</f>
        <v/>
      </c>
      <c r="E1076" t="str">
        <f>IF(NOT(ISBLANK(A1076)),VLOOKUP(A1076,'BBT3'!A:F,5,0),"")</f>
        <v/>
      </c>
      <c r="F1076" t="str">
        <f>IF(NOT(ISBLANK(A1076)),VLOOKUP(A1076,'BBT3'!A:F,6,0),"")</f>
        <v/>
      </c>
      <c r="G1076" t="str">
        <f>IF(NOT(ISBLANK(A1076)),VLOOKUP(A1076,QW_Close!A:J,5,0),"")</f>
        <v/>
      </c>
      <c r="H1076" s="5" t="str" cm="1">
        <f t="array" ref="H1076">IF(NOT(ISBLANK(A1076)),((_xlfn.XLOOKUP(1,(_bbt3[[#All],[ID]]=A1076)*(_bbt3[[#All],[METRIC_NAME]]="YLD_YTM_ASK"),_bbt3[[#All],[METRIC_VALUE]])*0.5)+(_xlfn.XLOOKUP(1,(_bbt3[[#All],[ID]]=A1076)*(_bbt3[[#All],[METRIC_NAME]]="YLD_YTM_BID"),_bbt3[[#All],[METRIC_VALUE]])*0.5))/100,"")</f>
        <v/>
      </c>
      <c r="I1076">
        <f>IF(ISNA(VLOOKUP(A1076,QW_CloseDL!A:E,5,0)),0,VLOOKUP(A1076,QW_CloseDL!A:E,5,0))</f>
        <v>0</v>
      </c>
      <c r="J1076" s="8" t="str">
        <f t="shared" si="80"/>
        <v/>
      </c>
      <c r="P1076">
        <v>0</v>
      </c>
      <c r="Q1076" t="e">
        <f t="shared" si="81"/>
        <v>#N/A</v>
      </c>
      <c r="R1076" t="e">
        <f t="shared" si="82"/>
        <v>#N/A</v>
      </c>
      <c r="S1076" s="9" t="e">
        <f t="shared" si="83"/>
        <v>#N/A</v>
      </c>
      <c r="T1076" s="3" t="e">
        <f t="shared" si="84"/>
        <v>#N/A</v>
      </c>
    </row>
    <row r="1077" spans="2:20" x14ac:dyDescent="0.35">
      <c r="B1077" t="str">
        <f>IF(NOT(ISBLANK(A1077)),VLOOKUP(A1077,'BBT3'!A:F,2,0),"")</f>
        <v/>
      </c>
      <c r="C1077" t="str">
        <f>IF(NOT(ISBLANK(A1077)),VLOOKUP(A1077,'BBT3'!A:F,3,0),"")</f>
        <v/>
      </c>
      <c r="D1077" s="6" t="str">
        <f>IF(NOT(ISBLANK(A1077)),VLOOKUP(A1077,'BBT3'!A:F,4,1),"")</f>
        <v/>
      </c>
      <c r="E1077" t="str">
        <f>IF(NOT(ISBLANK(A1077)),VLOOKUP(A1077,'BBT3'!A:F,5,0),"")</f>
        <v/>
      </c>
      <c r="F1077" t="str">
        <f>IF(NOT(ISBLANK(A1077)),VLOOKUP(A1077,'BBT3'!A:F,6,0),"")</f>
        <v/>
      </c>
      <c r="G1077" t="str">
        <f>IF(NOT(ISBLANK(A1077)),VLOOKUP(A1077,QW_Close!A:J,5,0),"")</f>
        <v/>
      </c>
      <c r="H1077" s="5" t="str" cm="1">
        <f t="array" ref="H1077">IF(NOT(ISBLANK(A1077)),((_xlfn.XLOOKUP(1,(_bbt3[[#All],[ID]]=A1077)*(_bbt3[[#All],[METRIC_NAME]]="YLD_YTM_ASK"),_bbt3[[#All],[METRIC_VALUE]])*0.5)+(_xlfn.XLOOKUP(1,(_bbt3[[#All],[ID]]=A1077)*(_bbt3[[#All],[METRIC_NAME]]="YLD_YTM_BID"),_bbt3[[#All],[METRIC_VALUE]])*0.5))/100,"")</f>
        <v/>
      </c>
      <c r="I1077">
        <f>IF(ISNA(VLOOKUP(A1077,QW_CloseDL!A:E,5,0)),0,VLOOKUP(A1077,QW_CloseDL!A:E,5,0))</f>
        <v>0</v>
      </c>
      <c r="J1077" s="8" t="str">
        <f t="shared" si="80"/>
        <v/>
      </c>
      <c r="P1077">
        <v>0</v>
      </c>
      <c r="Q1077" t="e">
        <f t="shared" si="81"/>
        <v>#N/A</v>
      </c>
      <c r="R1077" t="e">
        <f t="shared" si="82"/>
        <v>#N/A</v>
      </c>
      <c r="S1077" s="9" t="e">
        <f t="shared" si="83"/>
        <v>#N/A</v>
      </c>
      <c r="T1077" s="3" t="e">
        <f t="shared" si="84"/>
        <v>#N/A</v>
      </c>
    </row>
    <row r="1078" spans="2:20" x14ac:dyDescent="0.35">
      <c r="B1078" t="str">
        <f>IF(NOT(ISBLANK(A1078)),VLOOKUP(A1078,'BBT3'!A:F,2,0),"")</f>
        <v/>
      </c>
      <c r="C1078" t="str">
        <f>IF(NOT(ISBLANK(A1078)),VLOOKUP(A1078,'BBT3'!A:F,3,0),"")</f>
        <v/>
      </c>
      <c r="D1078" s="6" t="str">
        <f>IF(NOT(ISBLANK(A1078)),VLOOKUP(A1078,'BBT3'!A:F,4,1),"")</f>
        <v/>
      </c>
      <c r="E1078" t="str">
        <f>IF(NOT(ISBLANK(A1078)),VLOOKUP(A1078,'BBT3'!A:F,5,0),"")</f>
        <v/>
      </c>
      <c r="F1078" t="str">
        <f>IF(NOT(ISBLANK(A1078)),VLOOKUP(A1078,'BBT3'!A:F,6,0),"")</f>
        <v/>
      </c>
      <c r="G1078" t="str">
        <f>IF(NOT(ISBLANK(A1078)),VLOOKUP(A1078,QW_Close!A:J,5,0),"")</f>
        <v/>
      </c>
      <c r="H1078" s="5" t="str" cm="1">
        <f t="array" ref="H1078">IF(NOT(ISBLANK(A1078)),((_xlfn.XLOOKUP(1,(_bbt3[[#All],[ID]]=A1078)*(_bbt3[[#All],[METRIC_NAME]]="YLD_YTM_ASK"),_bbt3[[#All],[METRIC_VALUE]])*0.5)+(_xlfn.XLOOKUP(1,(_bbt3[[#All],[ID]]=A1078)*(_bbt3[[#All],[METRIC_NAME]]="YLD_YTM_BID"),_bbt3[[#All],[METRIC_VALUE]])*0.5))/100,"")</f>
        <v/>
      </c>
      <c r="I1078">
        <f>IF(ISNA(VLOOKUP(A1078,QW_CloseDL!A:E,5,0)),0,VLOOKUP(A1078,QW_CloseDL!A:E,5,0))</f>
        <v>0</v>
      </c>
      <c r="J1078" s="8" t="str">
        <f t="shared" si="80"/>
        <v/>
      </c>
      <c r="P1078">
        <v>0</v>
      </c>
      <c r="Q1078" t="e">
        <f t="shared" si="81"/>
        <v>#N/A</v>
      </c>
      <c r="R1078" t="e">
        <f t="shared" si="82"/>
        <v>#N/A</v>
      </c>
      <c r="S1078" s="9" t="e">
        <f t="shared" si="83"/>
        <v>#N/A</v>
      </c>
      <c r="T1078" s="3" t="e">
        <f t="shared" si="84"/>
        <v>#N/A</v>
      </c>
    </row>
    <row r="1079" spans="2:20" x14ac:dyDescent="0.35">
      <c r="B1079" t="str">
        <f>IF(NOT(ISBLANK(A1079)),VLOOKUP(A1079,'BBT3'!A:F,2,0),"")</f>
        <v/>
      </c>
      <c r="C1079" t="str">
        <f>IF(NOT(ISBLANK(A1079)),VLOOKUP(A1079,'BBT3'!A:F,3,0),"")</f>
        <v/>
      </c>
      <c r="D1079" s="6" t="str">
        <f>IF(NOT(ISBLANK(A1079)),VLOOKUP(A1079,'BBT3'!A:F,4,1),"")</f>
        <v/>
      </c>
      <c r="E1079" t="str">
        <f>IF(NOT(ISBLANK(A1079)),VLOOKUP(A1079,'BBT3'!A:F,5,0),"")</f>
        <v/>
      </c>
      <c r="F1079" t="str">
        <f>IF(NOT(ISBLANK(A1079)),VLOOKUP(A1079,'BBT3'!A:F,6,0),"")</f>
        <v/>
      </c>
      <c r="G1079" t="str">
        <f>IF(NOT(ISBLANK(A1079)),VLOOKUP(A1079,QW_Close!A:J,5,0),"")</f>
        <v/>
      </c>
      <c r="H1079" s="5" t="str" cm="1">
        <f t="array" ref="H1079">IF(NOT(ISBLANK(A1079)),((_xlfn.XLOOKUP(1,(_bbt3[[#All],[ID]]=A1079)*(_bbt3[[#All],[METRIC_NAME]]="YLD_YTM_ASK"),_bbt3[[#All],[METRIC_VALUE]])*0.5)+(_xlfn.XLOOKUP(1,(_bbt3[[#All],[ID]]=A1079)*(_bbt3[[#All],[METRIC_NAME]]="YLD_YTM_BID"),_bbt3[[#All],[METRIC_VALUE]])*0.5))/100,"")</f>
        <v/>
      </c>
      <c r="I1079">
        <f>IF(ISNA(VLOOKUP(A1079,QW_CloseDL!A:E,5,0)),0,VLOOKUP(A1079,QW_CloseDL!A:E,5,0))</f>
        <v>0</v>
      </c>
      <c r="J1079" s="8" t="str">
        <f t="shared" si="80"/>
        <v/>
      </c>
      <c r="P1079">
        <v>0</v>
      </c>
      <c r="Q1079" t="e">
        <f t="shared" si="81"/>
        <v>#N/A</v>
      </c>
      <c r="R1079" t="e">
        <f t="shared" si="82"/>
        <v>#N/A</v>
      </c>
      <c r="S1079" s="9" t="e">
        <f t="shared" si="83"/>
        <v>#N/A</v>
      </c>
      <c r="T1079" s="3" t="e">
        <f t="shared" si="84"/>
        <v>#N/A</v>
      </c>
    </row>
    <row r="1080" spans="2:20" x14ac:dyDescent="0.35">
      <c r="B1080" t="str">
        <f>IF(NOT(ISBLANK(A1080)),VLOOKUP(A1080,'BBT3'!A:F,2,0),"")</f>
        <v/>
      </c>
      <c r="C1080" t="str">
        <f>IF(NOT(ISBLANK(A1080)),VLOOKUP(A1080,'BBT3'!A:F,3,0),"")</f>
        <v/>
      </c>
      <c r="D1080" s="6" t="str">
        <f>IF(NOT(ISBLANK(A1080)),VLOOKUP(A1080,'BBT3'!A:F,4,1),"")</f>
        <v/>
      </c>
      <c r="E1080" t="str">
        <f>IF(NOT(ISBLANK(A1080)),VLOOKUP(A1080,'BBT3'!A:F,5,0),"")</f>
        <v/>
      </c>
      <c r="F1080" t="str">
        <f>IF(NOT(ISBLANK(A1080)),VLOOKUP(A1080,'BBT3'!A:F,6,0),"")</f>
        <v/>
      </c>
      <c r="G1080" t="str">
        <f>IF(NOT(ISBLANK(A1080)),VLOOKUP(A1080,QW_Close!A:J,5,0),"")</f>
        <v/>
      </c>
      <c r="H1080" s="5" t="str" cm="1">
        <f t="array" ref="H1080">IF(NOT(ISBLANK(A1080)),((_xlfn.XLOOKUP(1,(_bbt3[[#All],[ID]]=A1080)*(_bbt3[[#All],[METRIC_NAME]]="YLD_YTM_ASK"),_bbt3[[#All],[METRIC_VALUE]])*0.5)+(_xlfn.XLOOKUP(1,(_bbt3[[#All],[ID]]=A1080)*(_bbt3[[#All],[METRIC_NAME]]="YLD_YTM_BID"),_bbt3[[#All],[METRIC_VALUE]])*0.5))/100,"")</f>
        <v/>
      </c>
      <c r="I1080">
        <f>IF(ISNA(VLOOKUP(A1080,QW_CloseDL!A:E,5,0)),0,VLOOKUP(A1080,QW_CloseDL!A:E,5,0))</f>
        <v>0</v>
      </c>
      <c r="J1080" s="8" t="str">
        <f t="shared" si="80"/>
        <v/>
      </c>
      <c r="P1080">
        <v>0</v>
      </c>
      <c r="Q1080" t="e">
        <f t="shared" si="81"/>
        <v>#N/A</v>
      </c>
      <c r="R1080" t="e">
        <f t="shared" si="82"/>
        <v>#N/A</v>
      </c>
      <c r="S1080" s="9" t="e">
        <f t="shared" si="83"/>
        <v>#N/A</v>
      </c>
      <c r="T1080" s="3" t="e">
        <f t="shared" si="84"/>
        <v>#N/A</v>
      </c>
    </row>
    <row r="1081" spans="2:20" x14ac:dyDescent="0.35">
      <c r="B1081" t="str">
        <f>IF(NOT(ISBLANK(A1081)),VLOOKUP(A1081,'BBT3'!A:F,2,0),"")</f>
        <v/>
      </c>
      <c r="C1081" t="str">
        <f>IF(NOT(ISBLANK(A1081)),VLOOKUP(A1081,'BBT3'!A:F,3,0),"")</f>
        <v/>
      </c>
      <c r="D1081" s="6" t="str">
        <f>IF(NOT(ISBLANK(A1081)),VLOOKUP(A1081,'BBT3'!A:F,4,1),"")</f>
        <v/>
      </c>
      <c r="E1081" t="str">
        <f>IF(NOT(ISBLANK(A1081)),VLOOKUP(A1081,'BBT3'!A:F,5,0),"")</f>
        <v/>
      </c>
      <c r="F1081" t="str">
        <f>IF(NOT(ISBLANK(A1081)),VLOOKUP(A1081,'BBT3'!A:F,6,0),"")</f>
        <v/>
      </c>
      <c r="G1081" t="str">
        <f>IF(NOT(ISBLANK(A1081)),VLOOKUP(A1081,QW_Close!A:J,5,0),"")</f>
        <v/>
      </c>
      <c r="H1081" s="5" t="str" cm="1">
        <f t="array" ref="H1081">IF(NOT(ISBLANK(A1081)),((_xlfn.XLOOKUP(1,(_bbt3[[#All],[ID]]=A1081)*(_bbt3[[#All],[METRIC_NAME]]="YLD_YTM_ASK"),_bbt3[[#All],[METRIC_VALUE]])*0.5)+(_xlfn.XLOOKUP(1,(_bbt3[[#All],[ID]]=A1081)*(_bbt3[[#All],[METRIC_NAME]]="YLD_YTM_BID"),_bbt3[[#All],[METRIC_VALUE]])*0.5))/100,"")</f>
        <v/>
      </c>
      <c r="I1081">
        <f>IF(ISNA(VLOOKUP(A1081,QW_CloseDL!A:E,5,0)),0,VLOOKUP(A1081,QW_CloseDL!A:E,5,0))</f>
        <v>0</v>
      </c>
      <c r="J1081" s="8" t="str">
        <f t="shared" si="80"/>
        <v/>
      </c>
      <c r="P1081">
        <v>0</v>
      </c>
      <c r="Q1081" t="e">
        <f t="shared" si="81"/>
        <v>#N/A</v>
      </c>
      <c r="R1081" t="e">
        <f t="shared" si="82"/>
        <v>#N/A</v>
      </c>
      <c r="S1081" s="9" t="e">
        <f t="shared" si="83"/>
        <v>#N/A</v>
      </c>
      <c r="T1081" s="3" t="e">
        <f t="shared" si="84"/>
        <v>#N/A</v>
      </c>
    </row>
    <row r="1082" spans="2:20" x14ac:dyDescent="0.35">
      <c r="B1082" t="str">
        <f>IF(NOT(ISBLANK(A1082)),VLOOKUP(A1082,'BBT3'!A:F,2,0),"")</f>
        <v/>
      </c>
      <c r="C1082" t="str">
        <f>IF(NOT(ISBLANK(A1082)),VLOOKUP(A1082,'BBT3'!A:F,3,0),"")</f>
        <v/>
      </c>
      <c r="D1082" s="6" t="str">
        <f>IF(NOT(ISBLANK(A1082)),VLOOKUP(A1082,'BBT3'!A:F,4,1),"")</f>
        <v/>
      </c>
      <c r="E1082" t="str">
        <f>IF(NOT(ISBLANK(A1082)),VLOOKUP(A1082,'BBT3'!A:F,5,0),"")</f>
        <v/>
      </c>
      <c r="F1082" t="str">
        <f>IF(NOT(ISBLANK(A1082)),VLOOKUP(A1082,'BBT3'!A:F,6,0),"")</f>
        <v/>
      </c>
      <c r="G1082" t="str">
        <f>IF(NOT(ISBLANK(A1082)),VLOOKUP(A1082,QW_Close!A:J,5,0),"")</f>
        <v/>
      </c>
      <c r="H1082" s="5" t="str" cm="1">
        <f t="array" ref="H1082">IF(NOT(ISBLANK(A1082)),((_xlfn.XLOOKUP(1,(_bbt3[[#All],[ID]]=A1082)*(_bbt3[[#All],[METRIC_NAME]]="YLD_YTM_ASK"),_bbt3[[#All],[METRIC_VALUE]])*0.5)+(_xlfn.XLOOKUP(1,(_bbt3[[#All],[ID]]=A1082)*(_bbt3[[#All],[METRIC_NAME]]="YLD_YTM_BID"),_bbt3[[#All],[METRIC_VALUE]])*0.5))/100,"")</f>
        <v/>
      </c>
      <c r="I1082">
        <f>IF(ISNA(VLOOKUP(A1082,QW_CloseDL!A:E,5,0)),0,VLOOKUP(A1082,QW_CloseDL!A:E,5,0))</f>
        <v>0</v>
      </c>
      <c r="J1082" s="8" t="str">
        <f t="shared" si="80"/>
        <v/>
      </c>
      <c r="P1082">
        <v>0</v>
      </c>
      <c r="Q1082" t="e">
        <f t="shared" si="81"/>
        <v>#N/A</v>
      </c>
      <c r="R1082" t="e">
        <f t="shared" si="82"/>
        <v>#N/A</v>
      </c>
      <c r="S1082" s="9" t="e">
        <f t="shared" si="83"/>
        <v>#N/A</v>
      </c>
      <c r="T1082" s="3" t="e">
        <f t="shared" si="84"/>
        <v>#N/A</v>
      </c>
    </row>
    <row r="1083" spans="2:20" x14ac:dyDescent="0.35">
      <c r="B1083" t="str">
        <f>IF(NOT(ISBLANK(A1083)),VLOOKUP(A1083,'BBT3'!A:F,2,0),"")</f>
        <v/>
      </c>
      <c r="C1083" t="str">
        <f>IF(NOT(ISBLANK(A1083)),VLOOKUP(A1083,'BBT3'!A:F,3,0),"")</f>
        <v/>
      </c>
      <c r="D1083" s="6" t="str">
        <f>IF(NOT(ISBLANK(A1083)),VLOOKUP(A1083,'BBT3'!A:F,4,1),"")</f>
        <v/>
      </c>
      <c r="E1083" t="str">
        <f>IF(NOT(ISBLANK(A1083)),VLOOKUP(A1083,'BBT3'!A:F,5,0),"")</f>
        <v/>
      </c>
      <c r="F1083" t="str">
        <f>IF(NOT(ISBLANK(A1083)),VLOOKUP(A1083,'BBT3'!A:F,6,0),"")</f>
        <v/>
      </c>
      <c r="G1083" t="str">
        <f>IF(NOT(ISBLANK(A1083)),VLOOKUP(A1083,QW_Close!A:J,5,0),"")</f>
        <v/>
      </c>
      <c r="H1083" s="5" t="str" cm="1">
        <f t="array" ref="H1083">IF(NOT(ISBLANK(A1083)),((_xlfn.XLOOKUP(1,(_bbt3[[#All],[ID]]=A1083)*(_bbt3[[#All],[METRIC_NAME]]="YLD_YTM_ASK"),_bbt3[[#All],[METRIC_VALUE]])*0.5)+(_xlfn.XLOOKUP(1,(_bbt3[[#All],[ID]]=A1083)*(_bbt3[[#All],[METRIC_NAME]]="YLD_YTM_BID"),_bbt3[[#All],[METRIC_VALUE]])*0.5))/100,"")</f>
        <v/>
      </c>
      <c r="I1083">
        <f>IF(ISNA(VLOOKUP(A1083,QW_CloseDL!A:E,5,0)),0,VLOOKUP(A1083,QW_CloseDL!A:E,5,0))</f>
        <v>0</v>
      </c>
      <c r="J1083" s="8" t="str">
        <f t="shared" si="80"/>
        <v/>
      </c>
      <c r="P1083">
        <v>0</v>
      </c>
      <c r="Q1083" t="e">
        <f t="shared" si="81"/>
        <v>#N/A</v>
      </c>
      <c r="R1083" t="e">
        <f t="shared" si="82"/>
        <v>#N/A</v>
      </c>
      <c r="S1083" s="9" t="e">
        <f t="shared" si="83"/>
        <v>#N/A</v>
      </c>
      <c r="T1083" s="3" t="e">
        <f t="shared" si="84"/>
        <v>#N/A</v>
      </c>
    </row>
    <row r="1084" spans="2:20" x14ac:dyDescent="0.35">
      <c r="B1084" t="str">
        <f>IF(NOT(ISBLANK(A1084)),VLOOKUP(A1084,'BBT3'!A:F,2,0),"")</f>
        <v/>
      </c>
      <c r="C1084" t="str">
        <f>IF(NOT(ISBLANK(A1084)),VLOOKUP(A1084,'BBT3'!A:F,3,0),"")</f>
        <v/>
      </c>
      <c r="D1084" s="6" t="str">
        <f>IF(NOT(ISBLANK(A1084)),VLOOKUP(A1084,'BBT3'!A:F,4,1),"")</f>
        <v/>
      </c>
      <c r="E1084" t="str">
        <f>IF(NOT(ISBLANK(A1084)),VLOOKUP(A1084,'BBT3'!A:F,5,0),"")</f>
        <v/>
      </c>
      <c r="F1084" t="str">
        <f>IF(NOT(ISBLANK(A1084)),VLOOKUP(A1084,'BBT3'!A:F,6,0),"")</f>
        <v/>
      </c>
      <c r="G1084" t="str">
        <f>IF(NOT(ISBLANK(A1084)),VLOOKUP(A1084,QW_Close!A:J,5,0),"")</f>
        <v/>
      </c>
      <c r="H1084" s="5" t="str" cm="1">
        <f t="array" ref="H1084">IF(NOT(ISBLANK(A1084)),((_xlfn.XLOOKUP(1,(_bbt3[[#All],[ID]]=A1084)*(_bbt3[[#All],[METRIC_NAME]]="YLD_YTM_ASK"),_bbt3[[#All],[METRIC_VALUE]])*0.5)+(_xlfn.XLOOKUP(1,(_bbt3[[#All],[ID]]=A1084)*(_bbt3[[#All],[METRIC_NAME]]="YLD_YTM_BID"),_bbt3[[#All],[METRIC_VALUE]])*0.5))/100,"")</f>
        <v/>
      </c>
      <c r="I1084">
        <f>IF(ISNA(VLOOKUP(A1084,QW_CloseDL!A:E,5,0)),0,VLOOKUP(A1084,QW_CloseDL!A:E,5,0))</f>
        <v>0</v>
      </c>
      <c r="J1084" s="8" t="str">
        <f t="shared" si="80"/>
        <v/>
      </c>
      <c r="P1084">
        <v>0</v>
      </c>
      <c r="Q1084" t="e">
        <f t="shared" si="81"/>
        <v>#N/A</v>
      </c>
      <c r="R1084" t="e">
        <f t="shared" si="82"/>
        <v>#N/A</v>
      </c>
      <c r="S1084" s="9" t="e">
        <f t="shared" si="83"/>
        <v>#N/A</v>
      </c>
      <c r="T1084" s="3" t="e">
        <f t="shared" si="84"/>
        <v>#N/A</v>
      </c>
    </row>
    <row r="1085" spans="2:20" x14ac:dyDescent="0.35">
      <c r="B1085" t="str">
        <f>IF(NOT(ISBLANK(A1085)),VLOOKUP(A1085,'BBT3'!A:F,2,0),"")</f>
        <v/>
      </c>
      <c r="C1085" t="str">
        <f>IF(NOT(ISBLANK(A1085)),VLOOKUP(A1085,'BBT3'!A:F,3,0),"")</f>
        <v/>
      </c>
      <c r="D1085" s="6" t="str">
        <f>IF(NOT(ISBLANK(A1085)),VLOOKUP(A1085,'BBT3'!A:F,4,1),"")</f>
        <v/>
      </c>
      <c r="E1085" t="str">
        <f>IF(NOT(ISBLANK(A1085)),VLOOKUP(A1085,'BBT3'!A:F,5,0),"")</f>
        <v/>
      </c>
      <c r="F1085" t="str">
        <f>IF(NOT(ISBLANK(A1085)),VLOOKUP(A1085,'BBT3'!A:F,6,0),"")</f>
        <v/>
      </c>
      <c r="G1085" t="str">
        <f>IF(NOT(ISBLANK(A1085)),VLOOKUP(A1085,QW_Close!A:J,5,0),"")</f>
        <v/>
      </c>
      <c r="H1085" s="5" t="str" cm="1">
        <f t="array" ref="H1085">IF(NOT(ISBLANK(A1085)),((_xlfn.XLOOKUP(1,(_bbt3[[#All],[ID]]=A1085)*(_bbt3[[#All],[METRIC_NAME]]="YLD_YTM_ASK"),_bbt3[[#All],[METRIC_VALUE]])*0.5)+(_xlfn.XLOOKUP(1,(_bbt3[[#All],[ID]]=A1085)*(_bbt3[[#All],[METRIC_NAME]]="YLD_YTM_BID"),_bbt3[[#All],[METRIC_VALUE]])*0.5))/100,"")</f>
        <v/>
      </c>
      <c r="I1085">
        <f>IF(ISNA(VLOOKUP(A1085,QW_CloseDL!A:E,5,0)),0,VLOOKUP(A1085,QW_CloseDL!A:E,5,0))</f>
        <v>0</v>
      </c>
      <c r="J1085" s="8" t="str">
        <f t="shared" si="80"/>
        <v/>
      </c>
      <c r="P1085">
        <v>0</v>
      </c>
      <c r="Q1085" t="e">
        <f t="shared" si="81"/>
        <v>#N/A</v>
      </c>
      <c r="R1085" t="e">
        <f t="shared" si="82"/>
        <v>#N/A</v>
      </c>
      <c r="S1085" s="9" t="e">
        <f t="shared" si="83"/>
        <v>#N/A</v>
      </c>
      <c r="T1085" s="3" t="e">
        <f t="shared" si="84"/>
        <v>#N/A</v>
      </c>
    </row>
    <row r="1086" spans="2:20" x14ac:dyDescent="0.35">
      <c r="B1086" t="str">
        <f>IF(NOT(ISBLANK(A1086)),VLOOKUP(A1086,'BBT3'!A:F,2,0),"")</f>
        <v/>
      </c>
      <c r="C1086" t="str">
        <f>IF(NOT(ISBLANK(A1086)),VLOOKUP(A1086,'BBT3'!A:F,3,0),"")</f>
        <v/>
      </c>
      <c r="D1086" s="6" t="str">
        <f>IF(NOT(ISBLANK(A1086)),VLOOKUP(A1086,'BBT3'!A:F,4,1),"")</f>
        <v/>
      </c>
      <c r="E1086" t="str">
        <f>IF(NOT(ISBLANK(A1086)),VLOOKUP(A1086,'BBT3'!A:F,5,0),"")</f>
        <v/>
      </c>
      <c r="F1086" t="str">
        <f>IF(NOT(ISBLANK(A1086)),VLOOKUP(A1086,'BBT3'!A:F,6,0),"")</f>
        <v/>
      </c>
      <c r="G1086" t="str">
        <f>IF(NOT(ISBLANK(A1086)),VLOOKUP(A1086,QW_Close!A:J,5,0),"")</f>
        <v/>
      </c>
      <c r="H1086" s="5" t="str" cm="1">
        <f t="array" ref="H1086">IF(NOT(ISBLANK(A1086)),((_xlfn.XLOOKUP(1,(_bbt3[[#All],[ID]]=A1086)*(_bbt3[[#All],[METRIC_NAME]]="YLD_YTM_ASK"),_bbt3[[#All],[METRIC_VALUE]])*0.5)+(_xlfn.XLOOKUP(1,(_bbt3[[#All],[ID]]=A1086)*(_bbt3[[#All],[METRIC_NAME]]="YLD_YTM_BID"),_bbt3[[#All],[METRIC_VALUE]])*0.5))/100,"")</f>
        <v/>
      </c>
      <c r="I1086">
        <f>IF(ISNA(VLOOKUP(A1086,QW_CloseDL!A:E,5,0)),0,VLOOKUP(A1086,QW_CloseDL!A:E,5,0))</f>
        <v>0</v>
      </c>
      <c r="J1086" s="8" t="str">
        <f t="shared" si="80"/>
        <v/>
      </c>
      <c r="P1086">
        <v>0</v>
      </c>
      <c r="Q1086" t="e">
        <f t="shared" si="81"/>
        <v>#N/A</v>
      </c>
      <c r="R1086" t="e">
        <f t="shared" si="82"/>
        <v>#N/A</v>
      </c>
      <c r="S1086" s="9" t="e">
        <f t="shared" si="83"/>
        <v>#N/A</v>
      </c>
      <c r="T1086" s="3" t="e">
        <f t="shared" si="84"/>
        <v>#N/A</v>
      </c>
    </row>
    <row r="1087" spans="2:20" x14ac:dyDescent="0.35">
      <c r="B1087" t="str">
        <f>IF(NOT(ISBLANK(A1087)),VLOOKUP(A1087,'BBT3'!A:F,2,0),"")</f>
        <v/>
      </c>
      <c r="C1087" t="str">
        <f>IF(NOT(ISBLANK(A1087)),VLOOKUP(A1087,'BBT3'!A:F,3,0),"")</f>
        <v/>
      </c>
      <c r="D1087" s="6" t="str">
        <f>IF(NOT(ISBLANK(A1087)),VLOOKUP(A1087,'BBT3'!A:F,4,1),"")</f>
        <v/>
      </c>
      <c r="E1087" t="str">
        <f>IF(NOT(ISBLANK(A1087)),VLOOKUP(A1087,'BBT3'!A:F,5,0),"")</f>
        <v/>
      </c>
      <c r="F1087" t="str">
        <f>IF(NOT(ISBLANK(A1087)),VLOOKUP(A1087,'BBT3'!A:F,6,0),"")</f>
        <v/>
      </c>
      <c r="G1087" t="str">
        <f>IF(NOT(ISBLANK(A1087)),VLOOKUP(A1087,QW_Close!A:J,5,0),"")</f>
        <v/>
      </c>
      <c r="H1087" s="5" t="str" cm="1">
        <f t="array" ref="H1087">IF(NOT(ISBLANK(A1087)),((_xlfn.XLOOKUP(1,(_bbt3[[#All],[ID]]=A1087)*(_bbt3[[#All],[METRIC_NAME]]="YLD_YTM_ASK"),_bbt3[[#All],[METRIC_VALUE]])*0.5)+(_xlfn.XLOOKUP(1,(_bbt3[[#All],[ID]]=A1087)*(_bbt3[[#All],[METRIC_NAME]]="YLD_YTM_BID"),_bbt3[[#All],[METRIC_VALUE]])*0.5))/100,"")</f>
        <v/>
      </c>
      <c r="I1087">
        <f>IF(ISNA(VLOOKUP(A1087,QW_CloseDL!A:E,5,0)),0,VLOOKUP(A1087,QW_CloseDL!A:E,5,0))</f>
        <v>0</v>
      </c>
      <c r="J1087" s="8" t="str">
        <f t="shared" si="80"/>
        <v/>
      </c>
      <c r="P1087">
        <v>0</v>
      </c>
      <c r="Q1087" t="e">
        <f t="shared" si="81"/>
        <v>#N/A</v>
      </c>
      <c r="R1087" t="e">
        <f t="shared" si="82"/>
        <v>#N/A</v>
      </c>
      <c r="S1087" s="9" t="e">
        <f t="shared" si="83"/>
        <v>#N/A</v>
      </c>
      <c r="T1087" s="3" t="e">
        <f t="shared" si="84"/>
        <v>#N/A</v>
      </c>
    </row>
    <row r="1088" spans="2:20" x14ac:dyDescent="0.35">
      <c r="B1088" t="str">
        <f>IF(NOT(ISBLANK(A1088)),VLOOKUP(A1088,'BBT3'!A:F,2,0),"")</f>
        <v/>
      </c>
      <c r="C1088" t="str">
        <f>IF(NOT(ISBLANK(A1088)),VLOOKUP(A1088,'BBT3'!A:F,3,0),"")</f>
        <v/>
      </c>
      <c r="D1088" s="6" t="str">
        <f>IF(NOT(ISBLANK(A1088)),VLOOKUP(A1088,'BBT3'!A:F,4,1),"")</f>
        <v/>
      </c>
      <c r="E1088" t="str">
        <f>IF(NOT(ISBLANK(A1088)),VLOOKUP(A1088,'BBT3'!A:F,5,0),"")</f>
        <v/>
      </c>
      <c r="F1088" t="str">
        <f>IF(NOT(ISBLANK(A1088)),VLOOKUP(A1088,'BBT3'!A:F,6,0),"")</f>
        <v/>
      </c>
      <c r="G1088" t="str">
        <f>IF(NOT(ISBLANK(A1088)),VLOOKUP(A1088,QW_Close!A:J,5,0),"")</f>
        <v/>
      </c>
      <c r="H1088" s="5" t="str" cm="1">
        <f t="array" ref="H1088">IF(NOT(ISBLANK(A1088)),((_xlfn.XLOOKUP(1,(_bbt3[[#All],[ID]]=A1088)*(_bbt3[[#All],[METRIC_NAME]]="YLD_YTM_ASK"),_bbt3[[#All],[METRIC_VALUE]])*0.5)+(_xlfn.XLOOKUP(1,(_bbt3[[#All],[ID]]=A1088)*(_bbt3[[#All],[METRIC_NAME]]="YLD_YTM_BID"),_bbt3[[#All],[METRIC_VALUE]])*0.5))/100,"")</f>
        <v/>
      </c>
      <c r="I1088">
        <f>IF(ISNA(VLOOKUP(A1088,QW_CloseDL!A:E,5,0)),0,VLOOKUP(A1088,QW_CloseDL!A:E,5,0))</f>
        <v>0</v>
      </c>
      <c r="J1088" s="8" t="str">
        <f t="shared" si="80"/>
        <v/>
      </c>
      <c r="P1088">
        <v>0</v>
      </c>
      <c r="Q1088" t="e">
        <f t="shared" si="81"/>
        <v>#N/A</v>
      </c>
      <c r="R1088" t="e">
        <f t="shared" si="82"/>
        <v>#N/A</v>
      </c>
      <c r="S1088" s="9" t="e">
        <f t="shared" si="83"/>
        <v>#N/A</v>
      </c>
      <c r="T1088" s="3" t="e">
        <f t="shared" si="84"/>
        <v>#N/A</v>
      </c>
    </row>
    <row r="1089" spans="2:20" x14ac:dyDescent="0.35">
      <c r="B1089" t="str">
        <f>IF(NOT(ISBLANK(A1089)),VLOOKUP(A1089,'BBT3'!A:F,2,0),"")</f>
        <v/>
      </c>
      <c r="C1089" t="str">
        <f>IF(NOT(ISBLANK(A1089)),VLOOKUP(A1089,'BBT3'!A:F,3,0),"")</f>
        <v/>
      </c>
      <c r="D1089" s="6" t="str">
        <f>IF(NOT(ISBLANK(A1089)),VLOOKUP(A1089,'BBT3'!A:F,4,1),"")</f>
        <v/>
      </c>
      <c r="E1089" t="str">
        <f>IF(NOT(ISBLANK(A1089)),VLOOKUP(A1089,'BBT3'!A:F,5,0),"")</f>
        <v/>
      </c>
      <c r="F1089" t="str">
        <f>IF(NOT(ISBLANK(A1089)),VLOOKUP(A1089,'BBT3'!A:F,6,0),"")</f>
        <v/>
      </c>
      <c r="G1089" t="str">
        <f>IF(NOT(ISBLANK(A1089)),VLOOKUP(A1089,QW_Close!A:J,5,0),"")</f>
        <v/>
      </c>
      <c r="H1089" s="5" t="str" cm="1">
        <f t="array" ref="H1089">IF(NOT(ISBLANK(A1089)),((_xlfn.XLOOKUP(1,(_bbt3[[#All],[ID]]=A1089)*(_bbt3[[#All],[METRIC_NAME]]="YLD_YTM_ASK"),_bbt3[[#All],[METRIC_VALUE]])*0.5)+(_xlfn.XLOOKUP(1,(_bbt3[[#All],[ID]]=A1089)*(_bbt3[[#All],[METRIC_NAME]]="YLD_YTM_BID"),_bbt3[[#All],[METRIC_VALUE]])*0.5))/100,"")</f>
        <v/>
      </c>
      <c r="I1089">
        <f>IF(ISNA(VLOOKUP(A1089,QW_CloseDL!A:E,5,0)),0,VLOOKUP(A1089,QW_CloseDL!A:E,5,0))</f>
        <v>0</v>
      </c>
      <c r="J1089" s="8" t="str">
        <f t="shared" si="80"/>
        <v/>
      </c>
      <c r="P1089">
        <v>0</v>
      </c>
      <c r="Q1089" t="e">
        <f t="shared" si="81"/>
        <v>#N/A</v>
      </c>
      <c r="R1089" t="e">
        <f t="shared" si="82"/>
        <v>#N/A</v>
      </c>
      <c r="S1089" s="9" t="e">
        <f t="shared" si="83"/>
        <v>#N/A</v>
      </c>
      <c r="T1089" s="3" t="e">
        <f t="shared" si="84"/>
        <v>#N/A</v>
      </c>
    </row>
    <row r="1090" spans="2:20" x14ac:dyDescent="0.35">
      <c r="B1090" t="str">
        <f>IF(NOT(ISBLANK(A1090)),VLOOKUP(A1090,'BBT3'!A:F,2,0),"")</f>
        <v/>
      </c>
      <c r="C1090" t="str">
        <f>IF(NOT(ISBLANK(A1090)),VLOOKUP(A1090,'BBT3'!A:F,3,0),"")</f>
        <v/>
      </c>
      <c r="D1090" s="6" t="str">
        <f>IF(NOT(ISBLANK(A1090)),VLOOKUP(A1090,'BBT3'!A:F,4,1),"")</f>
        <v/>
      </c>
      <c r="E1090" t="str">
        <f>IF(NOT(ISBLANK(A1090)),VLOOKUP(A1090,'BBT3'!A:F,5,0),"")</f>
        <v/>
      </c>
      <c r="F1090" t="str">
        <f>IF(NOT(ISBLANK(A1090)),VLOOKUP(A1090,'BBT3'!A:F,6,0),"")</f>
        <v/>
      </c>
      <c r="G1090" t="str">
        <f>IF(NOT(ISBLANK(A1090)),VLOOKUP(A1090,QW_Close!A:J,5,0),"")</f>
        <v/>
      </c>
      <c r="H1090" s="5" t="str" cm="1">
        <f t="array" ref="H1090">IF(NOT(ISBLANK(A1090)),((_xlfn.XLOOKUP(1,(_bbt3[[#All],[ID]]=A1090)*(_bbt3[[#All],[METRIC_NAME]]="YLD_YTM_ASK"),_bbt3[[#All],[METRIC_VALUE]])*0.5)+(_xlfn.XLOOKUP(1,(_bbt3[[#All],[ID]]=A1090)*(_bbt3[[#All],[METRIC_NAME]]="YLD_YTM_BID"),_bbt3[[#All],[METRIC_VALUE]])*0.5))/100,"")</f>
        <v/>
      </c>
      <c r="I1090">
        <f>IF(ISNA(VLOOKUP(A1090,QW_CloseDL!A:E,5,0)),0,VLOOKUP(A1090,QW_CloseDL!A:E,5,0))</f>
        <v>0</v>
      </c>
      <c r="J1090" s="8" t="str">
        <f t="shared" si="80"/>
        <v/>
      </c>
      <c r="P1090">
        <v>0</v>
      </c>
      <c r="Q1090" t="e">
        <f t="shared" si="81"/>
        <v>#N/A</v>
      </c>
      <c r="R1090" t="e">
        <f t="shared" si="82"/>
        <v>#N/A</v>
      </c>
      <c r="S1090" s="9" t="e">
        <f t="shared" si="83"/>
        <v>#N/A</v>
      </c>
      <c r="T1090" s="3" t="e">
        <f t="shared" si="84"/>
        <v>#N/A</v>
      </c>
    </row>
    <row r="1091" spans="2:20" x14ac:dyDescent="0.35">
      <c r="B1091" t="str">
        <f>IF(NOT(ISBLANK(A1091)),VLOOKUP(A1091,'BBT3'!A:F,2,0),"")</f>
        <v/>
      </c>
      <c r="C1091" t="str">
        <f>IF(NOT(ISBLANK(A1091)),VLOOKUP(A1091,'BBT3'!A:F,3,0),"")</f>
        <v/>
      </c>
      <c r="D1091" s="6" t="str">
        <f>IF(NOT(ISBLANK(A1091)),VLOOKUP(A1091,'BBT3'!A:F,4,1),"")</f>
        <v/>
      </c>
      <c r="E1091" t="str">
        <f>IF(NOT(ISBLANK(A1091)),VLOOKUP(A1091,'BBT3'!A:F,5,0),"")</f>
        <v/>
      </c>
      <c r="F1091" t="str">
        <f>IF(NOT(ISBLANK(A1091)),VLOOKUP(A1091,'BBT3'!A:F,6,0),"")</f>
        <v/>
      </c>
      <c r="G1091" t="str">
        <f>IF(NOT(ISBLANK(A1091)),VLOOKUP(A1091,QW_Close!A:J,5,0),"")</f>
        <v/>
      </c>
      <c r="H1091" s="5" t="str" cm="1">
        <f t="array" ref="H1091">IF(NOT(ISBLANK(A1091)),((_xlfn.XLOOKUP(1,(_bbt3[[#All],[ID]]=A1091)*(_bbt3[[#All],[METRIC_NAME]]="YLD_YTM_ASK"),_bbt3[[#All],[METRIC_VALUE]])*0.5)+(_xlfn.XLOOKUP(1,(_bbt3[[#All],[ID]]=A1091)*(_bbt3[[#All],[METRIC_NAME]]="YLD_YTM_BID"),_bbt3[[#All],[METRIC_VALUE]])*0.5))/100,"")</f>
        <v/>
      </c>
      <c r="I1091">
        <f>IF(ISNA(VLOOKUP(A1091,QW_CloseDL!A:E,5,0)),0,VLOOKUP(A1091,QW_CloseDL!A:E,5,0))</f>
        <v>0</v>
      </c>
      <c r="J1091" s="8" t="str">
        <f t="shared" ref="J1091:J1154" si="85">IF(ISNA(IF(NOT(ISBLANK(A1091)),ABS(G1091-I1091),"")),0,(IF(NOT(ISBLANK(A1091)),ABS(G1091-I1091)*10000,"")))</f>
        <v/>
      </c>
      <c r="P1091">
        <v>0</v>
      </c>
      <c r="Q1091" t="e">
        <f t="shared" si="81"/>
        <v>#N/A</v>
      </c>
      <c r="R1091" t="e">
        <f t="shared" si="82"/>
        <v>#N/A</v>
      </c>
      <c r="S1091" s="9" t="e">
        <f t="shared" si="83"/>
        <v>#N/A</v>
      </c>
      <c r="T1091" s="3" t="e">
        <f t="shared" si="84"/>
        <v>#N/A</v>
      </c>
    </row>
    <row r="1092" spans="2:20" x14ac:dyDescent="0.35">
      <c r="B1092" t="str">
        <f>IF(NOT(ISBLANK(A1092)),VLOOKUP(A1092,'BBT3'!A:F,2,0),"")</f>
        <v/>
      </c>
      <c r="C1092" t="str">
        <f>IF(NOT(ISBLANK(A1092)),VLOOKUP(A1092,'BBT3'!A:F,3,0),"")</f>
        <v/>
      </c>
      <c r="D1092" s="6" t="str">
        <f>IF(NOT(ISBLANK(A1092)),VLOOKUP(A1092,'BBT3'!A:F,4,1),"")</f>
        <v/>
      </c>
      <c r="E1092" t="str">
        <f>IF(NOT(ISBLANK(A1092)),VLOOKUP(A1092,'BBT3'!A:F,5,0),"")</f>
        <v/>
      </c>
      <c r="F1092" t="str">
        <f>IF(NOT(ISBLANK(A1092)),VLOOKUP(A1092,'BBT3'!A:F,6,0),"")</f>
        <v/>
      </c>
      <c r="G1092" t="str">
        <f>IF(NOT(ISBLANK(A1092)),VLOOKUP(A1092,QW_Close!A:J,5,0),"")</f>
        <v/>
      </c>
      <c r="H1092" s="5" t="str" cm="1">
        <f t="array" ref="H1092">IF(NOT(ISBLANK(A1092)),((_xlfn.XLOOKUP(1,(_bbt3[[#All],[ID]]=A1092)*(_bbt3[[#All],[METRIC_NAME]]="YLD_YTM_ASK"),_bbt3[[#All],[METRIC_VALUE]])*0.5)+(_xlfn.XLOOKUP(1,(_bbt3[[#All],[ID]]=A1092)*(_bbt3[[#All],[METRIC_NAME]]="YLD_YTM_BID"),_bbt3[[#All],[METRIC_VALUE]])*0.5))/100,"")</f>
        <v/>
      </c>
      <c r="I1092">
        <f>IF(ISNA(VLOOKUP(A1092,QW_CloseDL!A:E,5,0)),0,VLOOKUP(A1092,QW_CloseDL!A:E,5,0))</f>
        <v>0</v>
      </c>
      <c r="J1092" s="8" t="str">
        <f t="shared" si="85"/>
        <v/>
      </c>
      <c r="P1092">
        <v>0</v>
      </c>
      <c r="Q1092" t="e">
        <f t="shared" si="81"/>
        <v>#N/A</v>
      </c>
      <c r="R1092" t="e">
        <f t="shared" si="82"/>
        <v>#N/A</v>
      </c>
      <c r="S1092" s="9" t="e">
        <f t="shared" si="83"/>
        <v>#N/A</v>
      </c>
      <c r="T1092" s="3" t="e">
        <f t="shared" si="84"/>
        <v>#N/A</v>
      </c>
    </row>
    <row r="1093" spans="2:20" x14ac:dyDescent="0.35">
      <c r="B1093" t="str">
        <f>IF(NOT(ISBLANK(A1093)),VLOOKUP(A1093,'BBT3'!A:F,2,0),"")</f>
        <v/>
      </c>
      <c r="C1093" t="str">
        <f>IF(NOT(ISBLANK(A1093)),VLOOKUP(A1093,'BBT3'!A:F,3,0),"")</f>
        <v/>
      </c>
      <c r="D1093" s="6" t="str">
        <f>IF(NOT(ISBLANK(A1093)),VLOOKUP(A1093,'BBT3'!A:F,4,1),"")</f>
        <v/>
      </c>
      <c r="E1093" t="str">
        <f>IF(NOT(ISBLANK(A1093)),VLOOKUP(A1093,'BBT3'!A:F,5,0),"")</f>
        <v/>
      </c>
      <c r="F1093" t="str">
        <f>IF(NOT(ISBLANK(A1093)),VLOOKUP(A1093,'BBT3'!A:F,6,0),"")</f>
        <v/>
      </c>
      <c r="G1093" t="str">
        <f>IF(NOT(ISBLANK(A1093)),VLOOKUP(A1093,QW_Close!A:J,5,0),"")</f>
        <v/>
      </c>
      <c r="H1093" s="5" t="str" cm="1">
        <f t="array" ref="H1093">IF(NOT(ISBLANK(A1093)),((_xlfn.XLOOKUP(1,(_bbt3[[#All],[ID]]=A1093)*(_bbt3[[#All],[METRIC_NAME]]="YLD_YTM_ASK"),_bbt3[[#All],[METRIC_VALUE]])*0.5)+(_xlfn.XLOOKUP(1,(_bbt3[[#All],[ID]]=A1093)*(_bbt3[[#All],[METRIC_NAME]]="YLD_YTM_BID"),_bbt3[[#All],[METRIC_VALUE]])*0.5))/100,"")</f>
        <v/>
      </c>
      <c r="I1093">
        <f>IF(ISNA(VLOOKUP(A1093,QW_CloseDL!A:E,5,0)),0,VLOOKUP(A1093,QW_CloseDL!A:E,5,0))</f>
        <v>0</v>
      </c>
      <c r="J1093" s="8" t="str">
        <f t="shared" si="85"/>
        <v/>
      </c>
      <c r="P1093">
        <v>0</v>
      </c>
      <c r="Q1093" t="e">
        <f t="shared" si="81"/>
        <v>#N/A</v>
      </c>
      <c r="R1093" t="e">
        <f t="shared" si="82"/>
        <v>#N/A</v>
      </c>
      <c r="S1093" s="9" t="e">
        <f t="shared" si="83"/>
        <v>#N/A</v>
      </c>
      <c r="T1093" s="3" t="e">
        <f t="shared" si="84"/>
        <v>#N/A</v>
      </c>
    </row>
    <row r="1094" spans="2:20" x14ac:dyDescent="0.35">
      <c r="B1094" t="str">
        <f>IF(NOT(ISBLANK(A1094)),VLOOKUP(A1094,'BBT3'!A:F,2,0),"")</f>
        <v/>
      </c>
      <c r="C1094" t="str">
        <f>IF(NOT(ISBLANK(A1094)),VLOOKUP(A1094,'BBT3'!A:F,3,0),"")</f>
        <v/>
      </c>
      <c r="D1094" s="6" t="str">
        <f>IF(NOT(ISBLANK(A1094)),VLOOKUP(A1094,'BBT3'!A:F,4,1),"")</f>
        <v/>
      </c>
      <c r="E1094" t="str">
        <f>IF(NOT(ISBLANK(A1094)),VLOOKUP(A1094,'BBT3'!A:F,5,0),"")</f>
        <v/>
      </c>
      <c r="F1094" t="str">
        <f>IF(NOT(ISBLANK(A1094)),VLOOKUP(A1094,'BBT3'!A:F,6,0),"")</f>
        <v/>
      </c>
      <c r="G1094" t="str">
        <f>IF(NOT(ISBLANK(A1094)),VLOOKUP(A1094,QW_Close!A:J,5,0),"")</f>
        <v/>
      </c>
      <c r="H1094" s="5" t="str" cm="1">
        <f t="array" ref="H1094">IF(NOT(ISBLANK(A1094)),((_xlfn.XLOOKUP(1,(_bbt3[[#All],[ID]]=A1094)*(_bbt3[[#All],[METRIC_NAME]]="YLD_YTM_ASK"),_bbt3[[#All],[METRIC_VALUE]])*0.5)+(_xlfn.XLOOKUP(1,(_bbt3[[#All],[ID]]=A1094)*(_bbt3[[#All],[METRIC_NAME]]="YLD_YTM_BID"),_bbt3[[#All],[METRIC_VALUE]])*0.5))/100,"")</f>
        <v/>
      </c>
      <c r="I1094">
        <f>IF(ISNA(VLOOKUP(A1094,QW_CloseDL!A:E,5,0)),0,VLOOKUP(A1094,QW_CloseDL!A:E,5,0))</f>
        <v>0</v>
      </c>
      <c r="J1094" s="8" t="str">
        <f t="shared" si="85"/>
        <v/>
      </c>
      <c r="P1094">
        <v>0</v>
      </c>
      <c r="Q1094" t="e">
        <f t="shared" si="81"/>
        <v>#N/A</v>
      </c>
      <c r="R1094" t="e">
        <f t="shared" si="82"/>
        <v>#N/A</v>
      </c>
      <c r="S1094" s="9" t="e">
        <f t="shared" si="83"/>
        <v>#N/A</v>
      </c>
      <c r="T1094" s="3" t="e">
        <f t="shared" si="84"/>
        <v>#N/A</v>
      </c>
    </row>
    <row r="1095" spans="2:20" x14ac:dyDescent="0.35">
      <c r="B1095" t="str">
        <f>IF(NOT(ISBLANK(A1095)),VLOOKUP(A1095,'BBT3'!A:F,2,0),"")</f>
        <v/>
      </c>
      <c r="C1095" t="str">
        <f>IF(NOT(ISBLANK(A1095)),VLOOKUP(A1095,'BBT3'!A:F,3,0),"")</f>
        <v/>
      </c>
      <c r="D1095" s="6" t="str">
        <f>IF(NOT(ISBLANK(A1095)),VLOOKUP(A1095,'BBT3'!A:F,4,1),"")</f>
        <v/>
      </c>
      <c r="E1095" t="str">
        <f>IF(NOT(ISBLANK(A1095)),VLOOKUP(A1095,'BBT3'!A:F,5,0),"")</f>
        <v/>
      </c>
      <c r="F1095" t="str">
        <f>IF(NOT(ISBLANK(A1095)),VLOOKUP(A1095,'BBT3'!A:F,6,0),"")</f>
        <v/>
      </c>
      <c r="G1095" t="str">
        <f>IF(NOT(ISBLANK(A1095)),VLOOKUP(A1095,QW_Close!A:J,5,0),"")</f>
        <v/>
      </c>
      <c r="H1095" s="5" t="str" cm="1">
        <f t="array" ref="H1095">IF(NOT(ISBLANK(A1095)),((_xlfn.XLOOKUP(1,(_bbt3[[#All],[ID]]=A1095)*(_bbt3[[#All],[METRIC_NAME]]="YLD_YTM_ASK"),_bbt3[[#All],[METRIC_VALUE]])*0.5)+(_xlfn.XLOOKUP(1,(_bbt3[[#All],[ID]]=A1095)*(_bbt3[[#All],[METRIC_NAME]]="YLD_YTM_BID"),_bbt3[[#All],[METRIC_VALUE]])*0.5))/100,"")</f>
        <v/>
      </c>
      <c r="I1095">
        <f>IF(ISNA(VLOOKUP(A1095,QW_CloseDL!A:E,5,0)),0,VLOOKUP(A1095,QW_CloseDL!A:E,5,0))</f>
        <v>0</v>
      </c>
      <c r="J1095" s="8" t="str">
        <f t="shared" si="85"/>
        <v/>
      </c>
      <c r="P1095">
        <v>0</v>
      </c>
      <c r="Q1095" t="e">
        <f t="shared" si="81"/>
        <v>#N/A</v>
      </c>
      <c r="R1095" t="e">
        <f t="shared" si="82"/>
        <v>#N/A</v>
      </c>
      <c r="S1095" s="9" t="e">
        <f t="shared" si="83"/>
        <v>#N/A</v>
      </c>
      <c r="T1095" s="3" t="e">
        <f t="shared" si="84"/>
        <v>#N/A</v>
      </c>
    </row>
    <row r="1096" spans="2:20" x14ac:dyDescent="0.35">
      <c r="B1096" t="str">
        <f>IF(NOT(ISBLANK(A1096)),VLOOKUP(A1096,'BBT3'!A:F,2,0),"")</f>
        <v/>
      </c>
      <c r="C1096" t="str">
        <f>IF(NOT(ISBLANK(A1096)),VLOOKUP(A1096,'BBT3'!A:F,3,0),"")</f>
        <v/>
      </c>
      <c r="D1096" s="6" t="str">
        <f>IF(NOT(ISBLANK(A1096)),VLOOKUP(A1096,'BBT3'!A:F,4,1),"")</f>
        <v/>
      </c>
      <c r="E1096" t="str">
        <f>IF(NOT(ISBLANK(A1096)),VLOOKUP(A1096,'BBT3'!A:F,5,0),"")</f>
        <v/>
      </c>
      <c r="F1096" t="str">
        <f>IF(NOT(ISBLANK(A1096)),VLOOKUP(A1096,'BBT3'!A:F,6,0),"")</f>
        <v/>
      </c>
      <c r="G1096" t="str">
        <f>IF(NOT(ISBLANK(A1096)),VLOOKUP(A1096,QW_Close!A:J,5,0),"")</f>
        <v/>
      </c>
      <c r="H1096" s="5" t="str" cm="1">
        <f t="array" ref="H1096">IF(NOT(ISBLANK(A1096)),((_xlfn.XLOOKUP(1,(_bbt3[[#All],[ID]]=A1096)*(_bbt3[[#All],[METRIC_NAME]]="YLD_YTM_ASK"),_bbt3[[#All],[METRIC_VALUE]])*0.5)+(_xlfn.XLOOKUP(1,(_bbt3[[#All],[ID]]=A1096)*(_bbt3[[#All],[METRIC_NAME]]="YLD_YTM_BID"),_bbt3[[#All],[METRIC_VALUE]])*0.5))/100,"")</f>
        <v/>
      </c>
      <c r="I1096">
        <f>IF(ISNA(VLOOKUP(A1096,QW_CloseDL!A:E,5,0)),0,VLOOKUP(A1096,QW_CloseDL!A:E,5,0))</f>
        <v>0</v>
      </c>
      <c r="J1096" s="8" t="str">
        <f t="shared" si="85"/>
        <v/>
      </c>
      <c r="P1096">
        <v>0</v>
      </c>
      <c r="Q1096" t="e">
        <f t="shared" si="81"/>
        <v>#N/A</v>
      </c>
      <c r="R1096" t="e">
        <f t="shared" si="82"/>
        <v>#N/A</v>
      </c>
      <c r="S1096" s="9" t="e">
        <f t="shared" si="83"/>
        <v>#N/A</v>
      </c>
      <c r="T1096" s="3" t="e">
        <f t="shared" si="84"/>
        <v>#N/A</v>
      </c>
    </row>
    <row r="1097" spans="2:20" x14ac:dyDescent="0.35">
      <c r="B1097" t="str">
        <f>IF(NOT(ISBLANK(A1097)),VLOOKUP(A1097,'BBT3'!A:F,2,0),"")</f>
        <v/>
      </c>
      <c r="C1097" t="str">
        <f>IF(NOT(ISBLANK(A1097)),VLOOKUP(A1097,'BBT3'!A:F,3,0),"")</f>
        <v/>
      </c>
      <c r="D1097" s="6" t="str">
        <f>IF(NOT(ISBLANK(A1097)),VLOOKUP(A1097,'BBT3'!A:F,4,1),"")</f>
        <v/>
      </c>
      <c r="E1097" t="str">
        <f>IF(NOT(ISBLANK(A1097)),VLOOKUP(A1097,'BBT3'!A:F,5,0),"")</f>
        <v/>
      </c>
      <c r="F1097" t="str">
        <f>IF(NOT(ISBLANK(A1097)),VLOOKUP(A1097,'BBT3'!A:F,6,0),"")</f>
        <v/>
      </c>
      <c r="G1097" t="str">
        <f>IF(NOT(ISBLANK(A1097)),VLOOKUP(A1097,QW_Close!A:J,5,0),"")</f>
        <v/>
      </c>
      <c r="H1097" s="5" t="str" cm="1">
        <f t="array" ref="H1097">IF(NOT(ISBLANK(A1097)),((_xlfn.XLOOKUP(1,(_bbt3[[#All],[ID]]=A1097)*(_bbt3[[#All],[METRIC_NAME]]="YLD_YTM_ASK"),_bbt3[[#All],[METRIC_VALUE]])*0.5)+(_xlfn.XLOOKUP(1,(_bbt3[[#All],[ID]]=A1097)*(_bbt3[[#All],[METRIC_NAME]]="YLD_YTM_BID"),_bbt3[[#All],[METRIC_VALUE]])*0.5))/100,"")</f>
        <v/>
      </c>
      <c r="I1097">
        <f>IF(ISNA(VLOOKUP(A1097,QW_CloseDL!A:E,5,0)),0,VLOOKUP(A1097,QW_CloseDL!A:E,5,0))</f>
        <v>0</v>
      </c>
      <c r="J1097" s="8" t="str">
        <f t="shared" si="85"/>
        <v/>
      </c>
      <c r="P1097">
        <v>0</v>
      </c>
      <c r="Q1097" t="e">
        <f t="shared" si="81"/>
        <v>#N/A</v>
      </c>
      <c r="R1097" t="e">
        <f t="shared" si="82"/>
        <v>#N/A</v>
      </c>
      <c r="S1097" s="9" t="e">
        <f t="shared" si="83"/>
        <v>#N/A</v>
      </c>
      <c r="T1097" s="3" t="e">
        <f t="shared" si="84"/>
        <v>#N/A</v>
      </c>
    </row>
    <row r="1098" spans="2:20" x14ac:dyDescent="0.35">
      <c r="B1098" t="str">
        <f>IF(NOT(ISBLANK(A1098)),VLOOKUP(A1098,'BBT3'!A:F,2,0),"")</f>
        <v/>
      </c>
      <c r="C1098" t="str">
        <f>IF(NOT(ISBLANK(A1098)),VLOOKUP(A1098,'BBT3'!A:F,3,0),"")</f>
        <v/>
      </c>
      <c r="D1098" s="6" t="str">
        <f>IF(NOT(ISBLANK(A1098)),VLOOKUP(A1098,'BBT3'!A:F,4,1),"")</f>
        <v/>
      </c>
      <c r="E1098" t="str">
        <f>IF(NOT(ISBLANK(A1098)),VLOOKUP(A1098,'BBT3'!A:F,5,0),"")</f>
        <v/>
      </c>
      <c r="F1098" t="str">
        <f>IF(NOT(ISBLANK(A1098)),VLOOKUP(A1098,'BBT3'!A:F,6,0),"")</f>
        <v/>
      </c>
      <c r="G1098" t="str">
        <f>IF(NOT(ISBLANK(A1098)),VLOOKUP(A1098,QW_Close!A:J,5,0),"")</f>
        <v/>
      </c>
      <c r="H1098" s="5" t="str" cm="1">
        <f t="array" ref="H1098">IF(NOT(ISBLANK(A1098)),((_xlfn.XLOOKUP(1,(_bbt3[[#All],[ID]]=A1098)*(_bbt3[[#All],[METRIC_NAME]]="YLD_YTM_ASK"),_bbt3[[#All],[METRIC_VALUE]])*0.5)+(_xlfn.XLOOKUP(1,(_bbt3[[#All],[ID]]=A1098)*(_bbt3[[#All],[METRIC_NAME]]="YLD_YTM_BID"),_bbt3[[#All],[METRIC_VALUE]])*0.5))/100,"")</f>
        <v/>
      </c>
      <c r="I1098">
        <f>IF(ISNA(VLOOKUP(A1098,QW_CloseDL!A:E,5,0)),0,VLOOKUP(A1098,QW_CloseDL!A:E,5,0))</f>
        <v>0</v>
      </c>
      <c r="J1098" s="8" t="str">
        <f t="shared" si="85"/>
        <v/>
      </c>
      <c r="P1098">
        <v>0</v>
      </c>
      <c r="Q1098" t="e">
        <f t="shared" si="81"/>
        <v>#N/A</v>
      </c>
      <c r="R1098" t="e">
        <f t="shared" si="82"/>
        <v>#N/A</v>
      </c>
      <c r="S1098" s="9" t="e">
        <f t="shared" si="83"/>
        <v>#N/A</v>
      </c>
      <c r="T1098" s="3" t="e">
        <f t="shared" si="84"/>
        <v>#N/A</v>
      </c>
    </row>
    <row r="1099" spans="2:20" x14ac:dyDescent="0.35">
      <c r="B1099" t="str">
        <f>IF(NOT(ISBLANK(A1099)),VLOOKUP(A1099,'BBT3'!A:F,2,0),"")</f>
        <v/>
      </c>
      <c r="C1099" t="str">
        <f>IF(NOT(ISBLANK(A1099)),VLOOKUP(A1099,'BBT3'!A:F,3,0),"")</f>
        <v/>
      </c>
      <c r="D1099" s="6" t="str">
        <f>IF(NOT(ISBLANK(A1099)),VLOOKUP(A1099,'BBT3'!A:F,4,1),"")</f>
        <v/>
      </c>
      <c r="E1099" t="str">
        <f>IF(NOT(ISBLANK(A1099)),VLOOKUP(A1099,'BBT3'!A:F,5,0),"")</f>
        <v/>
      </c>
      <c r="F1099" t="str">
        <f>IF(NOT(ISBLANK(A1099)),VLOOKUP(A1099,'BBT3'!A:F,6,0),"")</f>
        <v/>
      </c>
      <c r="G1099" t="str">
        <f>IF(NOT(ISBLANK(A1099)),VLOOKUP(A1099,QW_Close!A:J,5,0),"")</f>
        <v/>
      </c>
      <c r="H1099" s="5" t="str" cm="1">
        <f t="array" ref="H1099">IF(NOT(ISBLANK(A1099)),((_xlfn.XLOOKUP(1,(_bbt3[[#All],[ID]]=A1099)*(_bbt3[[#All],[METRIC_NAME]]="YLD_YTM_ASK"),_bbt3[[#All],[METRIC_VALUE]])*0.5)+(_xlfn.XLOOKUP(1,(_bbt3[[#All],[ID]]=A1099)*(_bbt3[[#All],[METRIC_NAME]]="YLD_YTM_BID"),_bbt3[[#All],[METRIC_VALUE]])*0.5))/100,"")</f>
        <v/>
      </c>
      <c r="I1099">
        <f>IF(ISNA(VLOOKUP(A1099,QW_CloseDL!A:E,5,0)),0,VLOOKUP(A1099,QW_CloseDL!A:E,5,0))</f>
        <v>0</v>
      </c>
      <c r="J1099" s="8" t="str">
        <f t="shared" si="85"/>
        <v/>
      </c>
      <c r="P1099">
        <v>0</v>
      </c>
      <c r="Q1099" t="e">
        <f t="shared" si="81"/>
        <v>#N/A</v>
      </c>
      <c r="R1099" t="e">
        <f t="shared" si="82"/>
        <v>#N/A</v>
      </c>
      <c r="S1099" s="9" t="e">
        <f t="shared" si="83"/>
        <v>#N/A</v>
      </c>
      <c r="T1099" s="3" t="e">
        <f t="shared" si="84"/>
        <v>#N/A</v>
      </c>
    </row>
    <row r="1100" spans="2:20" x14ac:dyDescent="0.35">
      <c r="B1100" t="str">
        <f>IF(NOT(ISBLANK(A1100)),VLOOKUP(A1100,'BBT3'!A:F,2,0),"")</f>
        <v/>
      </c>
      <c r="C1100" t="str">
        <f>IF(NOT(ISBLANK(A1100)),VLOOKUP(A1100,'BBT3'!A:F,3,0),"")</f>
        <v/>
      </c>
      <c r="D1100" s="6" t="str">
        <f>IF(NOT(ISBLANK(A1100)),VLOOKUP(A1100,'BBT3'!A:F,4,1),"")</f>
        <v/>
      </c>
      <c r="E1100" t="str">
        <f>IF(NOT(ISBLANK(A1100)),VLOOKUP(A1100,'BBT3'!A:F,5,0),"")</f>
        <v/>
      </c>
      <c r="F1100" t="str">
        <f>IF(NOT(ISBLANK(A1100)),VLOOKUP(A1100,'BBT3'!A:F,6,0),"")</f>
        <v/>
      </c>
      <c r="G1100" t="str">
        <f>IF(NOT(ISBLANK(A1100)),VLOOKUP(A1100,QW_Close!A:J,5,0),"")</f>
        <v/>
      </c>
      <c r="H1100" s="5" t="str" cm="1">
        <f t="array" ref="H1100">IF(NOT(ISBLANK(A1100)),((_xlfn.XLOOKUP(1,(_bbt3[[#All],[ID]]=A1100)*(_bbt3[[#All],[METRIC_NAME]]="YLD_YTM_ASK"),_bbt3[[#All],[METRIC_VALUE]])*0.5)+(_xlfn.XLOOKUP(1,(_bbt3[[#All],[ID]]=A1100)*(_bbt3[[#All],[METRIC_NAME]]="YLD_YTM_BID"),_bbt3[[#All],[METRIC_VALUE]])*0.5))/100,"")</f>
        <v/>
      </c>
      <c r="I1100">
        <f>IF(ISNA(VLOOKUP(A1100,QW_CloseDL!A:E,5,0)),0,VLOOKUP(A1100,QW_CloseDL!A:E,5,0))</f>
        <v>0</v>
      </c>
      <c r="J1100" s="8" t="str">
        <f t="shared" si="85"/>
        <v/>
      </c>
      <c r="P1100">
        <v>0</v>
      </c>
      <c r="Q1100" t="e">
        <f t="shared" si="81"/>
        <v>#N/A</v>
      </c>
      <c r="R1100" t="e">
        <f t="shared" si="82"/>
        <v>#N/A</v>
      </c>
      <c r="S1100" s="9" t="e">
        <f t="shared" si="83"/>
        <v>#N/A</v>
      </c>
      <c r="T1100" s="3" t="e">
        <f t="shared" si="84"/>
        <v>#N/A</v>
      </c>
    </row>
    <row r="1101" spans="2:20" x14ac:dyDescent="0.35">
      <c r="B1101" t="str">
        <f>IF(NOT(ISBLANK(A1101)),VLOOKUP(A1101,'BBT3'!A:F,2,0),"")</f>
        <v/>
      </c>
      <c r="C1101" t="str">
        <f>IF(NOT(ISBLANK(A1101)),VLOOKUP(A1101,'BBT3'!A:F,3,0),"")</f>
        <v/>
      </c>
      <c r="D1101" s="6" t="str">
        <f>IF(NOT(ISBLANK(A1101)),VLOOKUP(A1101,'BBT3'!A:F,4,1),"")</f>
        <v/>
      </c>
      <c r="E1101" t="str">
        <f>IF(NOT(ISBLANK(A1101)),VLOOKUP(A1101,'BBT3'!A:F,5,0),"")</f>
        <v/>
      </c>
      <c r="F1101" t="str">
        <f>IF(NOT(ISBLANK(A1101)),VLOOKUP(A1101,'BBT3'!A:F,6,0),"")</f>
        <v/>
      </c>
      <c r="G1101" t="str">
        <f>IF(NOT(ISBLANK(A1101)),VLOOKUP(A1101,QW_Close!A:J,5,0),"")</f>
        <v/>
      </c>
      <c r="H1101" s="5" t="str" cm="1">
        <f t="array" ref="H1101">IF(NOT(ISBLANK(A1101)),((_xlfn.XLOOKUP(1,(_bbt3[[#All],[ID]]=A1101)*(_bbt3[[#All],[METRIC_NAME]]="YLD_YTM_ASK"),_bbt3[[#All],[METRIC_VALUE]])*0.5)+(_xlfn.XLOOKUP(1,(_bbt3[[#All],[ID]]=A1101)*(_bbt3[[#All],[METRIC_NAME]]="YLD_YTM_BID"),_bbt3[[#All],[METRIC_VALUE]])*0.5))/100,"")</f>
        <v/>
      </c>
      <c r="I1101">
        <f>IF(ISNA(VLOOKUP(A1101,QW_CloseDL!A:E,5,0)),0,VLOOKUP(A1101,QW_CloseDL!A:E,5,0))</f>
        <v>0</v>
      </c>
      <c r="J1101" s="8" t="str">
        <f t="shared" si="85"/>
        <v/>
      </c>
      <c r="P1101">
        <v>0</v>
      </c>
      <c r="Q1101" t="e">
        <f t="shared" ref="Q1101:Q1164" si="86">VLOOKUP(P1101,A:B,2,0)</f>
        <v>#N/A</v>
      </c>
      <c r="R1101" t="e">
        <f t="shared" ref="R1101:R1164" si="87">VLOOKUP(P1101,A:E,4,0)</f>
        <v>#N/A</v>
      </c>
      <c r="S1101" s="9" t="e">
        <f t="shared" ref="S1101:S1164" si="88">VLOOKUP(P1101,A:J,10,0)</f>
        <v>#N/A</v>
      </c>
      <c r="T1101" s="3" t="e">
        <f t="shared" ref="T1101:T1164" si="89">VLOOKUP(P1101,A:J,5,0)</f>
        <v>#N/A</v>
      </c>
    </row>
    <row r="1102" spans="2:20" x14ac:dyDescent="0.35">
      <c r="B1102" t="str">
        <f>IF(NOT(ISBLANK(A1102)),VLOOKUP(A1102,'BBT3'!A:F,2,0),"")</f>
        <v/>
      </c>
      <c r="C1102" t="str">
        <f>IF(NOT(ISBLANK(A1102)),VLOOKUP(A1102,'BBT3'!A:F,3,0),"")</f>
        <v/>
      </c>
      <c r="D1102" s="6" t="str">
        <f>IF(NOT(ISBLANK(A1102)),VLOOKUP(A1102,'BBT3'!A:F,4,1),"")</f>
        <v/>
      </c>
      <c r="E1102" t="str">
        <f>IF(NOT(ISBLANK(A1102)),VLOOKUP(A1102,'BBT3'!A:F,5,0),"")</f>
        <v/>
      </c>
      <c r="F1102" t="str">
        <f>IF(NOT(ISBLANK(A1102)),VLOOKUP(A1102,'BBT3'!A:F,6,0),"")</f>
        <v/>
      </c>
      <c r="G1102" t="str">
        <f>IF(NOT(ISBLANK(A1102)),VLOOKUP(A1102,QW_Close!A:J,5,0),"")</f>
        <v/>
      </c>
      <c r="H1102" s="5" t="str" cm="1">
        <f t="array" ref="H1102">IF(NOT(ISBLANK(A1102)),((_xlfn.XLOOKUP(1,(_bbt3[[#All],[ID]]=A1102)*(_bbt3[[#All],[METRIC_NAME]]="YLD_YTM_ASK"),_bbt3[[#All],[METRIC_VALUE]])*0.5)+(_xlfn.XLOOKUP(1,(_bbt3[[#All],[ID]]=A1102)*(_bbt3[[#All],[METRIC_NAME]]="YLD_YTM_BID"),_bbt3[[#All],[METRIC_VALUE]])*0.5))/100,"")</f>
        <v/>
      </c>
      <c r="I1102">
        <f>IF(ISNA(VLOOKUP(A1102,QW_CloseDL!A:E,5,0)),0,VLOOKUP(A1102,QW_CloseDL!A:E,5,0))</f>
        <v>0</v>
      </c>
      <c r="J1102" s="8" t="str">
        <f t="shared" si="85"/>
        <v/>
      </c>
      <c r="P1102">
        <v>0</v>
      </c>
      <c r="Q1102" t="e">
        <f t="shared" si="86"/>
        <v>#N/A</v>
      </c>
      <c r="R1102" t="e">
        <f t="shared" si="87"/>
        <v>#N/A</v>
      </c>
      <c r="S1102" s="9" t="e">
        <f t="shared" si="88"/>
        <v>#N/A</v>
      </c>
      <c r="T1102" s="3" t="e">
        <f t="shared" si="89"/>
        <v>#N/A</v>
      </c>
    </row>
    <row r="1103" spans="2:20" x14ac:dyDescent="0.35">
      <c r="B1103" t="str">
        <f>IF(NOT(ISBLANK(A1103)),VLOOKUP(A1103,'BBT3'!A:F,2,0),"")</f>
        <v/>
      </c>
      <c r="C1103" t="str">
        <f>IF(NOT(ISBLANK(A1103)),VLOOKUP(A1103,'BBT3'!A:F,3,0),"")</f>
        <v/>
      </c>
      <c r="D1103" s="6" t="str">
        <f>IF(NOT(ISBLANK(A1103)),VLOOKUP(A1103,'BBT3'!A:F,4,1),"")</f>
        <v/>
      </c>
      <c r="E1103" t="str">
        <f>IF(NOT(ISBLANK(A1103)),VLOOKUP(A1103,'BBT3'!A:F,5,0),"")</f>
        <v/>
      </c>
      <c r="F1103" t="str">
        <f>IF(NOT(ISBLANK(A1103)),VLOOKUP(A1103,'BBT3'!A:F,6,0),"")</f>
        <v/>
      </c>
      <c r="G1103" t="str">
        <f>IF(NOT(ISBLANK(A1103)),VLOOKUP(A1103,QW_Close!A:J,5,0),"")</f>
        <v/>
      </c>
      <c r="H1103" s="5" t="str" cm="1">
        <f t="array" ref="H1103">IF(NOT(ISBLANK(A1103)),((_xlfn.XLOOKUP(1,(_bbt3[[#All],[ID]]=A1103)*(_bbt3[[#All],[METRIC_NAME]]="YLD_YTM_ASK"),_bbt3[[#All],[METRIC_VALUE]])*0.5)+(_xlfn.XLOOKUP(1,(_bbt3[[#All],[ID]]=A1103)*(_bbt3[[#All],[METRIC_NAME]]="YLD_YTM_BID"),_bbt3[[#All],[METRIC_VALUE]])*0.5))/100,"")</f>
        <v/>
      </c>
      <c r="I1103">
        <f>IF(ISNA(VLOOKUP(A1103,QW_CloseDL!A:E,5,0)),0,VLOOKUP(A1103,QW_CloseDL!A:E,5,0))</f>
        <v>0</v>
      </c>
      <c r="J1103" s="8" t="str">
        <f t="shared" si="85"/>
        <v/>
      </c>
      <c r="P1103">
        <v>0</v>
      </c>
      <c r="Q1103" t="e">
        <f t="shared" si="86"/>
        <v>#N/A</v>
      </c>
      <c r="R1103" t="e">
        <f t="shared" si="87"/>
        <v>#N/A</v>
      </c>
      <c r="S1103" s="9" t="e">
        <f t="shared" si="88"/>
        <v>#N/A</v>
      </c>
      <c r="T1103" s="3" t="e">
        <f t="shared" si="89"/>
        <v>#N/A</v>
      </c>
    </row>
    <row r="1104" spans="2:20" x14ac:dyDescent="0.35">
      <c r="B1104" t="str">
        <f>IF(NOT(ISBLANK(A1104)),VLOOKUP(A1104,'BBT3'!A:F,2,0),"")</f>
        <v/>
      </c>
      <c r="C1104" t="str">
        <f>IF(NOT(ISBLANK(A1104)),VLOOKUP(A1104,'BBT3'!A:F,3,0),"")</f>
        <v/>
      </c>
      <c r="D1104" s="6" t="str">
        <f>IF(NOT(ISBLANK(A1104)),VLOOKUP(A1104,'BBT3'!A:F,4,1),"")</f>
        <v/>
      </c>
      <c r="E1104" t="str">
        <f>IF(NOT(ISBLANK(A1104)),VLOOKUP(A1104,'BBT3'!A:F,5,0),"")</f>
        <v/>
      </c>
      <c r="F1104" t="str">
        <f>IF(NOT(ISBLANK(A1104)),VLOOKUP(A1104,'BBT3'!A:F,6,0),"")</f>
        <v/>
      </c>
      <c r="G1104" t="str">
        <f>IF(NOT(ISBLANK(A1104)),VLOOKUP(A1104,QW_Close!A:J,5,0),"")</f>
        <v/>
      </c>
      <c r="H1104" s="5" t="str" cm="1">
        <f t="array" ref="H1104">IF(NOT(ISBLANK(A1104)),((_xlfn.XLOOKUP(1,(_bbt3[[#All],[ID]]=A1104)*(_bbt3[[#All],[METRIC_NAME]]="YLD_YTM_ASK"),_bbt3[[#All],[METRIC_VALUE]])*0.5)+(_xlfn.XLOOKUP(1,(_bbt3[[#All],[ID]]=A1104)*(_bbt3[[#All],[METRIC_NAME]]="YLD_YTM_BID"),_bbt3[[#All],[METRIC_VALUE]])*0.5))/100,"")</f>
        <v/>
      </c>
      <c r="I1104">
        <f>IF(ISNA(VLOOKUP(A1104,QW_CloseDL!A:E,5,0)),0,VLOOKUP(A1104,QW_CloseDL!A:E,5,0))</f>
        <v>0</v>
      </c>
      <c r="J1104" s="8" t="str">
        <f t="shared" si="85"/>
        <v/>
      </c>
      <c r="P1104">
        <v>0</v>
      </c>
      <c r="Q1104" t="e">
        <f t="shared" si="86"/>
        <v>#N/A</v>
      </c>
      <c r="R1104" t="e">
        <f t="shared" si="87"/>
        <v>#N/A</v>
      </c>
      <c r="S1104" s="9" t="e">
        <f t="shared" si="88"/>
        <v>#N/A</v>
      </c>
      <c r="T1104" s="3" t="e">
        <f t="shared" si="89"/>
        <v>#N/A</v>
      </c>
    </row>
    <row r="1105" spans="2:20" x14ac:dyDescent="0.35">
      <c r="B1105" t="str">
        <f>IF(NOT(ISBLANK(A1105)),VLOOKUP(A1105,'BBT3'!A:F,2,0),"")</f>
        <v/>
      </c>
      <c r="C1105" t="str">
        <f>IF(NOT(ISBLANK(A1105)),VLOOKUP(A1105,'BBT3'!A:F,3,0),"")</f>
        <v/>
      </c>
      <c r="D1105" s="6" t="str">
        <f>IF(NOT(ISBLANK(A1105)),VLOOKUP(A1105,'BBT3'!A:F,4,1),"")</f>
        <v/>
      </c>
      <c r="E1105" t="str">
        <f>IF(NOT(ISBLANK(A1105)),VLOOKUP(A1105,'BBT3'!A:F,5,0),"")</f>
        <v/>
      </c>
      <c r="F1105" t="str">
        <f>IF(NOT(ISBLANK(A1105)),VLOOKUP(A1105,'BBT3'!A:F,6,0),"")</f>
        <v/>
      </c>
      <c r="G1105" t="str">
        <f>IF(NOT(ISBLANK(A1105)),VLOOKUP(A1105,QW_Close!A:J,5,0),"")</f>
        <v/>
      </c>
      <c r="H1105" s="5" t="str" cm="1">
        <f t="array" ref="H1105">IF(NOT(ISBLANK(A1105)),((_xlfn.XLOOKUP(1,(_bbt3[[#All],[ID]]=A1105)*(_bbt3[[#All],[METRIC_NAME]]="YLD_YTM_ASK"),_bbt3[[#All],[METRIC_VALUE]])*0.5)+(_xlfn.XLOOKUP(1,(_bbt3[[#All],[ID]]=A1105)*(_bbt3[[#All],[METRIC_NAME]]="YLD_YTM_BID"),_bbt3[[#All],[METRIC_VALUE]])*0.5))/100,"")</f>
        <v/>
      </c>
      <c r="I1105">
        <f>IF(ISNA(VLOOKUP(A1105,QW_CloseDL!A:E,5,0)),0,VLOOKUP(A1105,QW_CloseDL!A:E,5,0))</f>
        <v>0</v>
      </c>
      <c r="J1105" s="8" t="str">
        <f t="shared" si="85"/>
        <v/>
      </c>
      <c r="P1105">
        <v>0</v>
      </c>
      <c r="Q1105" t="e">
        <f t="shared" si="86"/>
        <v>#N/A</v>
      </c>
      <c r="R1105" t="e">
        <f t="shared" si="87"/>
        <v>#N/A</v>
      </c>
      <c r="S1105" s="9" t="e">
        <f t="shared" si="88"/>
        <v>#N/A</v>
      </c>
      <c r="T1105" s="3" t="e">
        <f t="shared" si="89"/>
        <v>#N/A</v>
      </c>
    </row>
    <row r="1106" spans="2:20" x14ac:dyDescent="0.35">
      <c r="B1106" t="str">
        <f>IF(NOT(ISBLANK(A1106)),VLOOKUP(A1106,'BBT3'!A:F,2,0),"")</f>
        <v/>
      </c>
      <c r="C1106" t="str">
        <f>IF(NOT(ISBLANK(A1106)),VLOOKUP(A1106,'BBT3'!A:F,3,0),"")</f>
        <v/>
      </c>
      <c r="D1106" s="6" t="str">
        <f>IF(NOT(ISBLANK(A1106)),VLOOKUP(A1106,'BBT3'!A:F,4,1),"")</f>
        <v/>
      </c>
      <c r="E1106" t="str">
        <f>IF(NOT(ISBLANK(A1106)),VLOOKUP(A1106,'BBT3'!A:F,5,0),"")</f>
        <v/>
      </c>
      <c r="F1106" t="str">
        <f>IF(NOT(ISBLANK(A1106)),VLOOKUP(A1106,'BBT3'!A:F,6,0),"")</f>
        <v/>
      </c>
      <c r="G1106" t="str">
        <f>IF(NOT(ISBLANK(A1106)),VLOOKUP(A1106,QW_Close!A:J,5,0),"")</f>
        <v/>
      </c>
      <c r="H1106" s="5" t="str" cm="1">
        <f t="array" ref="H1106">IF(NOT(ISBLANK(A1106)),((_xlfn.XLOOKUP(1,(_bbt3[[#All],[ID]]=A1106)*(_bbt3[[#All],[METRIC_NAME]]="YLD_YTM_ASK"),_bbt3[[#All],[METRIC_VALUE]])*0.5)+(_xlfn.XLOOKUP(1,(_bbt3[[#All],[ID]]=A1106)*(_bbt3[[#All],[METRIC_NAME]]="YLD_YTM_BID"),_bbt3[[#All],[METRIC_VALUE]])*0.5))/100,"")</f>
        <v/>
      </c>
      <c r="I1106">
        <f>IF(ISNA(VLOOKUP(A1106,QW_CloseDL!A:E,5,0)),0,VLOOKUP(A1106,QW_CloseDL!A:E,5,0))</f>
        <v>0</v>
      </c>
      <c r="J1106" s="8" t="str">
        <f t="shared" si="85"/>
        <v/>
      </c>
      <c r="P1106">
        <v>0</v>
      </c>
      <c r="Q1106" t="e">
        <f t="shared" si="86"/>
        <v>#N/A</v>
      </c>
      <c r="R1106" t="e">
        <f t="shared" si="87"/>
        <v>#N/A</v>
      </c>
      <c r="S1106" s="9" t="e">
        <f t="shared" si="88"/>
        <v>#N/A</v>
      </c>
      <c r="T1106" s="3" t="e">
        <f t="shared" si="89"/>
        <v>#N/A</v>
      </c>
    </row>
    <row r="1107" spans="2:20" x14ac:dyDescent="0.35">
      <c r="B1107" t="str">
        <f>IF(NOT(ISBLANK(A1107)),VLOOKUP(A1107,'BBT3'!A:F,2,0),"")</f>
        <v/>
      </c>
      <c r="C1107" t="str">
        <f>IF(NOT(ISBLANK(A1107)),VLOOKUP(A1107,'BBT3'!A:F,3,0),"")</f>
        <v/>
      </c>
      <c r="D1107" s="6" t="str">
        <f>IF(NOT(ISBLANK(A1107)),VLOOKUP(A1107,'BBT3'!A:F,4,1),"")</f>
        <v/>
      </c>
      <c r="E1107" t="str">
        <f>IF(NOT(ISBLANK(A1107)),VLOOKUP(A1107,'BBT3'!A:F,5,0),"")</f>
        <v/>
      </c>
      <c r="F1107" t="str">
        <f>IF(NOT(ISBLANK(A1107)),VLOOKUP(A1107,'BBT3'!A:F,6,0),"")</f>
        <v/>
      </c>
      <c r="G1107" t="str">
        <f>IF(NOT(ISBLANK(A1107)),VLOOKUP(A1107,QW_Close!A:J,5,0),"")</f>
        <v/>
      </c>
      <c r="H1107" s="5" t="str" cm="1">
        <f t="array" ref="H1107">IF(NOT(ISBLANK(A1107)),((_xlfn.XLOOKUP(1,(_bbt3[[#All],[ID]]=A1107)*(_bbt3[[#All],[METRIC_NAME]]="YLD_YTM_ASK"),_bbt3[[#All],[METRIC_VALUE]])*0.5)+(_xlfn.XLOOKUP(1,(_bbt3[[#All],[ID]]=A1107)*(_bbt3[[#All],[METRIC_NAME]]="YLD_YTM_BID"),_bbt3[[#All],[METRIC_VALUE]])*0.5))/100,"")</f>
        <v/>
      </c>
      <c r="I1107">
        <f>IF(ISNA(VLOOKUP(A1107,QW_CloseDL!A:E,5,0)),0,VLOOKUP(A1107,QW_CloseDL!A:E,5,0))</f>
        <v>0</v>
      </c>
      <c r="J1107" s="8" t="str">
        <f t="shared" si="85"/>
        <v/>
      </c>
      <c r="P1107">
        <v>0</v>
      </c>
      <c r="Q1107" t="e">
        <f t="shared" si="86"/>
        <v>#N/A</v>
      </c>
      <c r="R1107" t="e">
        <f t="shared" si="87"/>
        <v>#N/A</v>
      </c>
      <c r="S1107" s="9" t="e">
        <f t="shared" si="88"/>
        <v>#N/A</v>
      </c>
      <c r="T1107" s="3" t="e">
        <f t="shared" si="89"/>
        <v>#N/A</v>
      </c>
    </row>
    <row r="1108" spans="2:20" x14ac:dyDescent="0.35">
      <c r="B1108" t="str">
        <f>IF(NOT(ISBLANK(A1108)),VLOOKUP(A1108,'BBT3'!A:F,2,0),"")</f>
        <v/>
      </c>
      <c r="C1108" t="str">
        <f>IF(NOT(ISBLANK(A1108)),VLOOKUP(A1108,'BBT3'!A:F,3,0),"")</f>
        <v/>
      </c>
      <c r="D1108" s="6" t="str">
        <f>IF(NOT(ISBLANK(A1108)),VLOOKUP(A1108,'BBT3'!A:F,4,1),"")</f>
        <v/>
      </c>
      <c r="E1108" t="str">
        <f>IF(NOT(ISBLANK(A1108)),VLOOKUP(A1108,'BBT3'!A:F,5,0),"")</f>
        <v/>
      </c>
      <c r="F1108" t="str">
        <f>IF(NOT(ISBLANK(A1108)),VLOOKUP(A1108,'BBT3'!A:F,6,0),"")</f>
        <v/>
      </c>
      <c r="G1108" t="str">
        <f>IF(NOT(ISBLANK(A1108)),VLOOKUP(A1108,QW_Close!A:J,5,0),"")</f>
        <v/>
      </c>
      <c r="H1108" s="5" t="str" cm="1">
        <f t="array" ref="H1108">IF(NOT(ISBLANK(A1108)),((_xlfn.XLOOKUP(1,(_bbt3[[#All],[ID]]=A1108)*(_bbt3[[#All],[METRIC_NAME]]="YLD_YTM_ASK"),_bbt3[[#All],[METRIC_VALUE]])*0.5)+(_xlfn.XLOOKUP(1,(_bbt3[[#All],[ID]]=A1108)*(_bbt3[[#All],[METRIC_NAME]]="YLD_YTM_BID"),_bbt3[[#All],[METRIC_VALUE]])*0.5))/100,"")</f>
        <v/>
      </c>
      <c r="I1108">
        <f>IF(ISNA(VLOOKUP(A1108,QW_CloseDL!A:E,5,0)),0,VLOOKUP(A1108,QW_CloseDL!A:E,5,0))</f>
        <v>0</v>
      </c>
      <c r="J1108" s="8" t="str">
        <f t="shared" si="85"/>
        <v/>
      </c>
      <c r="P1108">
        <v>0</v>
      </c>
      <c r="Q1108" t="e">
        <f t="shared" si="86"/>
        <v>#N/A</v>
      </c>
      <c r="R1108" t="e">
        <f t="shared" si="87"/>
        <v>#N/A</v>
      </c>
      <c r="S1108" s="9" t="e">
        <f t="shared" si="88"/>
        <v>#N/A</v>
      </c>
      <c r="T1108" s="3" t="e">
        <f t="shared" si="89"/>
        <v>#N/A</v>
      </c>
    </row>
    <row r="1109" spans="2:20" x14ac:dyDescent="0.35">
      <c r="B1109" t="str">
        <f>IF(NOT(ISBLANK(A1109)),VLOOKUP(A1109,'BBT3'!A:F,2,0),"")</f>
        <v/>
      </c>
      <c r="C1109" t="str">
        <f>IF(NOT(ISBLANK(A1109)),VLOOKUP(A1109,'BBT3'!A:F,3,0),"")</f>
        <v/>
      </c>
      <c r="D1109" s="6" t="str">
        <f>IF(NOT(ISBLANK(A1109)),VLOOKUP(A1109,'BBT3'!A:F,4,1),"")</f>
        <v/>
      </c>
      <c r="E1109" t="str">
        <f>IF(NOT(ISBLANK(A1109)),VLOOKUP(A1109,'BBT3'!A:F,5,0),"")</f>
        <v/>
      </c>
      <c r="F1109" t="str">
        <f>IF(NOT(ISBLANK(A1109)),VLOOKUP(A1109,'BBT3'!A:F,6,0),"")</f>
        <v/>
      </c>
      <c r="G1109" t="str">
        <f>IF(NOT(ISBLANK(A1109)),VLOOKUP(A1109,QW_Close!A:J,5,0),"")</f>
        <v/>
      </c>
      <c r="H1109" s="5" t="str" cm="1">
        <f t="array" ref="H1109">IF(NOT(ISBLANK(A1109)),((_xlfn.XLOOKUP(1,(_bbt3[[#All],[ID]]=A1109)*(_bbt3[[#All],[METRIC_NAME]]="YLD_YTM_ASK"),_bbt3[[#All],[METRIC_VALUE]])*0.5)+(_xlfn.XLOOKUP(1,(_bbt3[[#All],[ID]]=A1109)*(_bbt3[[#All],[METRIC_NAME]]="YLD_YTM_BID"),_bbt3[[#All],[METRIC_VALUE]])*0.5))/100,"")</f>
        <v/>
      </c>
      <c r="I1109">
        <f>IF(ISNA(VLOOKUP(A1109,QW_CloseDL!A:E,5,0)),0,VLOOKUP(A1109,QW_CloseDL!A:E,5,0))</f>
        <v>0</v>
      </c>
      <c r="J1109" s="8" t="str">
        <f t="shared" si="85"/>
        <v/>
      </c>
      <c r="P1109">
        <v>0</v>
      </c>
      <c r="Q1109" t="e">
        <f t="shared" si="86"/>
        <v>#N/A</v>
      </c>
      <c r="R1109" t="e">
        <f t="shared" si="87"/>
        <v>#N/A</v>
      </c>
      <c r="S1109" s="9" t="e">
        <f t="shared" si="88"/>
        <v>#N/A</v>
      </c>
      <c r="T1109" s="3" t="e">
        <f t="shared" si="89"/>
        <v>#N/A</v>
      </c>
    </row>
    <row r="1110" spans="2:20" x14ac:dyDescent="0.35">
      <c r="B1110" t="str">
        <f>IF(NOT(ISBLANK(A1110)),VLOOKUP(A1110,'BBT3'!A:F,2,0),"")</f>
        <v/>
      </c>
      <c r="C1110" t="str">
        <f>IF(NOT(ISBLANK(A1110)),VLOOKUP(A1110,'BBT3'!A:F,3,0),"")</f>
        <v/>
      </c>
      <c r="D1110" s="6" t="str">
        <f>IF(NOT(ISBLANK(A1110)),VLOOKUP(A1110,'BBT3'!A:F,4,1),"")</f>
        <v/>
      </c>
      <c r="E1110" t="str">
        <f>IF(NOT(ISBLANK(A1110)),VLOOKUP(A1110,'BBT3'!A:F,5,0),"")</f>
        <v/>
      </c>
      <c r="F1110" t="str">
        <f>IF(NOT(ISBLANK(A1110)),VLOOKUP(A1110,'BBT3'!A:F,6,0),"")</f>
        <v/>
      </c>
      <c r="G1110" t="str">
        <f>IF(NOT(ISBLANK(A1110)),VLOOKUP(A1110,QW_Close!A:J,5,0),"")</f>
        <v/>
      </c>
      <c r="H1110" s="5" t="str" cm="1">
        <f t="array" ref="H1110">IF(NOT(ISBLANK(A1110)),((_xlfn.XLOOKUP(1,(_bbt3[[#All],[ID]]=A1110)*(_bbt3[[#All],[METRIC_NAME]]="YLD_YTM_ASK"),_bbt3[[#All],[METRIC_VALUE]])*0.5)+(_xlfn.XLOOKUP(1,(_bbt3[[#All],[ID]]=A1110)*(_bbt3[[#All],[METRIC_NAME]]="YLD_YTM_BID"),_bbt3[[#All],[METRIC_VALUE]])*0.5))/100,"")</f>
        <v/>
      </c>
      <c r="I1110">
        <f>IF(ISNA(VLOOKUP(A1110,QW_CloseDL!A:E,5,0)),0,VLOOKUP(A1110,QW_CloseDL!A:E,5,0))</f>
        <v>0</v>
      </c>
      <c r="J1110" s="8" t="str">
        <f t="shared" si="85"/>
        <v/>
      </c>
      <c r="P1110">
        <v>0</v>
      </c>
      <c r="Q1110" t="e">
        <f t="shared" si="86"/>
        <v>#N/A</v>
      </c>
      <c r="R1110" t="e">
        <f t="shared" si="87"/>
        <v>#N/A</v>
      </c>
      <c r="S1110" s="9" t="e">
        <f t="shared" si="88"/>
        <v>#N/A</v>
      </c>
      <c r="T1110" s="3" t="e">
        <f t="shared" si="89"/>
        <v>#N/A</v>
      </c>
    </row>
    <row r="1111" spans="2:20" x14ac:dyDescent="0.35">
      <c r="B1111" t="str">
        <f>IF(NOT(ISBLANK(A1111)),VLOOKUP(A1111,'BBT3'!A:F,2,0),"")</f>
        <v/>
      </c>
      <c r="C1111" t="str">
        <f>IF(NOT(ISBLANK(A1111)),VLOOKUP(A1111,'BBT3'!A:F,3,0),"")</f>
        <v/>
      </c>
      <c r="D1111" s="6" t="str">
        <f>IF(NOT(ISBLANK(A1111)),VLOOKUP(A1111,'BBT3'!A:F,4,1),"")</f>
        <v/>
      </c>
      <c r="E1111" t="str">
        <f>IF(NOT(ISBLANK(A1111)),VLOOKUP(A1111,'BBT3'!A:F,5,0),"")</f>
        <v/>
      </c>
      <c r="F1111" t="str">
        <f>IF(NOT(ISBLANK(A1111)),VLOOKUP(A1111,'BBT3'!A:F,6,0),"")</f>
        <v/>
      </c>
      <c r="G1111" t="str">
        <f>IF(NOT(ISBLANK(A1111)),VLOOKUP(A1111,QW_Close!A:J,5,0),"")</f>
        <v/>
      </c>
      <c r="H1111" s="5" t="str" cm="1">
        <f t="array" ref="H1111">IF(NOT(ISBLANK(A1111)),((_xlfn.XLOOKUP(1,(_bbt3[[#All],[ID]]=A1111)*(_bbt3[[#All],[METRIC_NAME]]="YLD_YTM_ASK"),_bbt3[[#All],[METRIC_VALUE]])*0.5)+(_xlfn.XLOOKUP(1,(_bbt3[[#All],[ID]]=A1111)*(_bbt3[[#All],[METRIC_NAME]]="YLD_YTM_BID"),_bbt3[[#All],[METRIC_VALUE]])*0.5))/100,"")</f>
        <v/>
      </c>
      <c r="I1111">
        <f>IF(ISNA(VLOOKUP(A1111,QW_CloseDL!A:E,5,0)),0,VLOOKUP(A1111,QW_CloseDL!A:E,5,0))</f>
        <v>0</v>
      </c>
      <c r="J1111" s="8" t="str">
        <f t="shared" si="85"/>
        <v/>
      </c>
      <c r="P1111">
        <v>0</v>
      </c>
      <c r="Q1111" t="e">
        <f t="shared" si="86"/>
        <v>#N/A</v>
      </c>
      <c r="R1111" t="e">
        <f t="shared" si="87"/>
        <v>#N/A</v>
      </c>
      <c r="S1111" s="9" t="e">
        <f t="shared" si="88"/>
        <v>#N/A</v>
      </c>
      <c r="T1111" s="3" t="e">
        <f t="shared" si="89"/>
        <v>#N/A</v>
      </c>
    </row>
    <row r="1112" spans="2:20" x14ac:dyDescent="0.35">
      <c r="B1112" t="str">
        <f>IF(NOT(ISBLANK(A1112)),VLOOKUP(A1112,'BBT3'!A:F,2,0),"")</f>
        <v/>
      </c>
      <c r="C1112" t="str">
        <f>IF(NOT(ISBLANK(A1112)),VLOOKUP(A1112,'BBT3'!A:F,3,0),"")</f>
        <v/>
      </c>
      <c r="D1112" s="6" t="str">
        <f>IF(NOT(ISBLANK(A1112)),VLOOKUP(A1112,'BBT3'!A:F,4,1),"")</f>
        <v/>
      </c>
      <c r="E1112" t="str">
        <f>IF(NOT(ISBLANK(A1112)),VLOOKUP(A1112,'BBT3'!A:F,5,0),"")</f>
        <v/>
      </c>
      <c r="F1112" t="str">
        <f>IF(NOT(ISBLANK(A1112)),VLOOKUP(A1112,'BBT3'!A:F,6,0),"")</f>
        <v/>
      </c>
      <c r="G1112" t="str">
        <f>IF(NOT(ISBLANK(A1112)),VLOOKUP(A1112,QW_Close!A:J,5,0),"")</f>
        <v/>
      </c>
      <c r="H1112" s="5" t="str" cm="1">
        <f t="array" ref="H1112">IF(NOT(ISBLANK(A1112)),((_xlfn.XLOOKUP(1,(_bbt3[[#All],[ID]]=A1112)*(_bbt3[[#All],[METRIC_NAME]]="YLD_YTM_ASK"),_bbt3[[#All],[METRIC_VALUE]])*0.5)+(_xlfn.XLOOKUP(1,(_bbt3[[#All],[ID]]=A1112)*(_bbt3[[#All],[METRIC_NAME]]="YLD_YTM_BID"),_bbt3[[#All],[METRIC_VALUE]])*0.5))/100,"")</f>
        <v/>
      </c>
      <c r="I1112">
        <f>IF(ISNA(VLOOKUP(A1112,QW_CloseDL!A:E,5,0)),0,VLOOKUP(A1112,QW_CloseDL!A:E,5,0))</f>
        <v>0</v>
      </c>
      <c r="J1112" s="8" t="str">
        <f t="shared" si="85"/>
        <v/>
      </c>
      <c r="P1112">
        <v>0</v>
      </c>
      <c r="Q1112" t="e">
        <f t="shared" si="86"/>
        <v>#N/A</v>
      </c>
      <c r="R1112" t="e">
        <f t="shared" si="87"/>
        <v>#N/A</v>
      </c>
      <c r="S1112" s="9" t="e">
        <f t="shared" si="88"/>
        <v>#N/A</v>
      </c>
      <c r="T1112" s="3" t="e">
        <f t="shared" si="89"/>
        <v>#N/A</v>
      </c>
    </row>
    <row r="1113" spans="2:20" x14ac:dyDescent="0.35">
      <c r="B1113" t="str">
        <f>IF(NOT(ISBLANK(A1113)),VLOOKUP(A1113,'BBT3'!A:F,2,0),"")</f>
        <v/>
      </c>
      <c r="C1113" t="str">
        <f>IF(NOT(ISBLANK(A1113)),VLOOKUP(A1113,'BBT3'!A:F,3,0),"")</f>
        <v/>
      </c>
      <c r="D1113" s="6" t="str">
        <f>IF(NOT(ISBLANK(A1113)),VLOOKUP(A1113,'BBT3'!A:F,4,1),"")</f>
        <v/>
      </c>
      <c r="E1113" t="str">
        <f>IF(NOT(ISBLANK(A1113)),VLOOKUP(A1113,'BBT3'!A:F,5,0),"")</f>
        <v/>
      </c>
      <c r="F1113" t="str">
        <f>IF(NOT(ISBLANK(A1113)),VLOOKUP(A1113,'BBT3'!A:F,6,0),"")</f>
        <v/>
      </c>
      <c r="G1113" t="str">
        <f>IF(NOT(ISBLANK(A1113)),VLOOKUP(A1113,QW_Close!A:J,5,0),"")</f>
        <v/>
      </c>
      <c r="H1113" s="5" t="str" cm="1">
        <f t="array" ref="H1113">IF(NOT(ISBLANK(A1113)),((_xlfn.XLOOKUP(1,(_bbt3[[#All],[ID]]=A1113)*(_bbt3[[#All],[METRIC_NAME]]="YLD_YTM_ASK"),_bbt3[[#All],[METRIC_VALUE]])*0.5)+(_xlfn.XLOOKUP(1,(_bbt3[[#All],[ID]]=A1113)*(_bbt3[[#All],[METRIC_NAME]]="YLD_YTM_BID"),_bbt3[[#All],[METRIC_VALUE]])*0.5))/100,"")</f>
        <v/>
      </c>
      <c r="I1113">
        <f>IF(ISNA(VLOOKUP(A1113,QW_CloseDL!A:E,5,0)),0,VLOOKUP(A1113,QW_CloseDL!A:E,5,0))</f>
        <v>0</v>
      </c>
      <c r="J1113" s="8" t="str">
        <f t="shared" si="85"/>
        <v/>
      </c>
      <c r="P1113">
        <v>0</v>
      </c>
      <c r="Q1113" t="e">
        <f t="shared" si="86"/>
        <v>#N/A</v>
      </c>
      <c r="R1113" t="e">
        <f t="shared" si="87"/>
        <v>#N/A</v>
      </c>
      <c r="S1113" s="9" t="e">
        <f t="shared" si="88"/>
        <v>#N/A</v>
      </c>
      <c r="T1113" s="3" t="e">
        <f t="shared" si="89"/>
        <v>#N/A</v>
      </c>
    </row>
    <row r="1114" spans="2:20" x14ac:dyDescent="0.35">
      <c r="B1114" t="str">
        <f>IF(NOT(ISBLANK(A1114)),VLOOKUP(A1114,'BBT3'!A:F,2,0),"")</f>
        <v/>
      </c>
      <c r="C1114" t="str">
        <f>IF(NOT(ISBLANK(A1114)),VLOOKUP(A1114,'BBT3'!A:F,3,0),"")</f>
        <v/>
      </c>
      <c r="D1114" s="6" t="str">
        <f>IF(NOT(ISBLANK(A1114)),VLOOKUP(A1114,'BBT3'!A:F,4,1),"")</f>
        <v/>
      </c>
      <c r="E1114" t="str">
        <f>IF(NOT(ISBLANK(A1114)),VLOOKUP(A1114,'BBT3'!A:F,5,0),"")</f>
        <v/>
      </c>
      <c r="F1114" t="str">
        <f>IF(NOT(ISBLANK(A1114)),VLOOKUP(A1114,'BBT3'!A:F,6,0),"")</f>
        <v/>
      </c>
      <c r="G1114" t="str">
        <f>IF(NOT(ISBLANK(A1114)),VLOOKUP(A1114,QW_Close!A:J,5,0),"")</f>
        <v/>
      </c>
      <c r="H1114" s="5" t="str" cm="1">
        <f t="array" ref="H1114">IF(NOT(ISBLANK(A1114)),((_xlfn.XLOOKUP(1,(_bbt3[[#All],[ID]]=A1114)*(_bbt3[[#All],[METRIC_NAME]]="YLD_YTM_ASK"),_bbt3[[#All],[METRIC_VALUE]])*0.5)+(_xlfn.XLOOKUP(1,(_bbt3[[#All],[ID]]=A1114)*(_bbt3[[#All],[METRIC_NAME]]="YLD_YTM_BID"),_bbt3[[#All],[METRIC_VALUE]])*0.5))/100,"")</f>
        <v/>
      </c>
      <c r="I1114">
        <f>IF(ISNA(VLOOKUP(A1114,QW_CloseDL!A:E,5,0)),0,VLOOKUP(A1114,QW_CloseDL!A:E,5,0))</f>
        <v>0</v>
      </c>
      <c r="J1114" s="8" t="str">
        <f t="shared" si="85"/>
        <v/>
      </c>
      <c r="P1114">
        <v>0</v>
      </c>
      <c r="Q1114" t="e">
        <f t="shared" si="86"/>
        <v>#N/A</v>
      </c>
      <c r="R1114" t="e">
        <f t="shared" si="87"/>
        <v>#N/A</v>
      </c>
      <c r="S1114" s="9" t="e">
        <f t="shared" si="88"/>
        <v>#N/A</v>
      </c>
      <c r="T1114" s="3" t="e">
        <f t="shared" si="89"/>
        <v>#N/A</v>
      </c>
    </row>
    <row r="1115" spans="2:20" x14ac:dyDescent="0.35">
      <c r="B1115" t="str">
        <f>IF(NOT(ISBLANK(A1115)),VLOOKUP(A1115,'BBT3'!A:F,2,0),"")</f>
        <v/>
      </c>
      <c r="C1115" t="str">
        <f>IF(NOT(ISBLANK(A1115)),VLOOKUP(A1115,'BBT3'!A:F,3,0),"")</f>
        <v/>
      </c>
      <c r="D1115" s="6" t="str">
        <f>IF(NOT(ISBLANK(A1115)),VLOOKUP(A1115,'BBT3'!A:F,4,1),"")</f>
        <v/>
      </c>
      <c r="E1115" t="str">
        <f>IF(NOT(ISBLANK(A1115)),VLOOKUP(A1115,'BBT3'!A:F,5,0),"")</f>
        <v/>
      </c>
      <c r="F1115" t="str">
        <f>IF(NOT(ISBLANK(A1115)),VLOOKUP(A1115,'BBT3'!A:F,6,0),"")</f>
        <v/>
      </c>
      <c r="G1115" t="str">
        <f>IF(NOT(ISBLANK(A1115)),VLOOKUP(A1115,QW_Close!A:J,5,0),"")</f>
        <v/>
      </c>
      <c r="H1115" s="5" t="str" cm="1">
        <f t="array" ref="H1115">IF(NOT(ISBLANK(A1115)),((_xlfn.XLOOKUP(1,(_bbt3[[#All],[ID]]=A1115)*(_bbt3[[#All],[METRIC_NAME]]="YLD_YTM_ASK"),_bbt3[[#All],[METRIC_VALUE]])*0.5)+(_xlfn.XLOOKUP(1,(_bbt3[[#All],[ID]]=A1115)*(_bbt3[[#All],[METRIC_NAME]]="YLD_YTM_BID"),_bbt3[[#All],[METRIC_VALUE]])*0.5))/100,"")</f>
        <v/>
      </c>
      <c r="I1115">
        <f>IF(ISNA(VLOOKUP(A1115,QW_CloseDL!A:E,5,0)),0,VLOOKUP(A1115,QW_CloseDL!A:E,5,0))</f>
        <v>0</v>
      </c>
      <c r="J1115" s="8" t="str">
        <f t="shared" si="85"/>
        <v/>
      </c>
      <c r="P1115">
        <v>0</v>
      </c>
      <c r="Q1115" t="e">
        <f t="shared" si="86"/>
        <v>#N/A</v>
      </c>
      <c r="R1115" t="e">
        <f t="shared" si="87"/>
        <v>#N/A</v>
      </c>
      <c r="S1115" s="9" t="e">
        <f t="shared" si="88"/>
        <v>#N/A</v>
      </c>
      <c r="T1115" s="3" t="e">
        <f t="shared" si="89"/>
        <v>#N/A</v>
      </c>
    </row>
    <row r="1116" spans="2:20" x14ac:dyDescent="0.35">
      <c r="B1116" t="str">
        <f>IF(NOT(ISBLANK(A1116)),VLOOKUP(A1116,'BBT3'!A:F,2,0),"")</f>
        <v/>
      </c>
      <c r="C1116" t="str">
        <f>IF(NOT(ISBLANK(A1116)),VLOOKUP(A1116,'BBT3'!A:F,3,0),"")</f>
        <v/>
      </c>
      <c r="D1116" s="6" t="str">
        <f>IF(NOT(ISBLANK(A1116)),VLOOKUP(A1116,'BBT3'!A:F,4,1),"")</f>
        <v/>
      </c>
      <c r="E1116" t="str">
        <f>IF(NOT(ISBLANK(A1116)),VLOOKUP(A1116,'BBT3'!A:F,5,0),"")</f>
        <v/>
      </c>
      <c r="F1116" t="str">
        <f>IF(NOT(ISBLANK(A1116)),VLOOKUP(A1116,'BBT3'!A:F,6,0),"")</f>
        <v/>
      </c>
      <c r="G1116" t="str">
        <f>IF(NOT(ISBLANK(A1116)),VLOOKUP(A1116,QW_Close!A:J,5,0),"")</f>
        <v/>
      </c>
      <c r="H1116" s="5" t="str" cm="1">
        <f t="array" ref="H1116">IF(NOT(ISBLANK(A1116)),((_xlfn.XLOOKUP(1,(_bbt3[[#All],[ID]]=A1116)*(_bbt3[[#All],[METRIC_NAME]]="YLD_YTM_ASK"),_bbt3[[#All],[METRIC_VALUE]])*0.5)+(_xlfn.XLOOKUP(1,(_bbt3[[#All],[ID]]=A1116)*(_bbt3[[#All],[METRIC_NAME]]="YLD_YTM_BID"),_bbt3[[#All],[METRIC_VALUE]])*0.5))/100,"")</f>
        <v/>
      </c>
      <c r="I1116">
        <f>IF(ISNA(VLOOKUP(A1116,QW_CloseDL!A:E,5,0)),0,VLOOKUP(A1116,QW_CloseDL!A:E,5,0))</f>
        <v>0</v>
      </c>
      <c r="J1116" s="8" t="str">
        <f t="shared" si="85"/>
        <v/>
      </c>
      <c r="P1116">
        <v>0</v>
      </c>
      <c r="Q1116" t="e">
        <f t="shared" si="86"/>
        <v>#N/A</v>
      </c>
      <c r="R1116" t="e">
        <f t="shared" si="87"/>
        <v>#N/A</v>
      </c>
      <c r="S1116" s="9" t="e">
        <f t="shared" si="88"/>
        <v>#N/A</v>
      </c>
      <c r="T1116" s="3" t="e">
        <f t="shared" si="89"/>
        <v>#N/A</v>
      </c>
    </row>
    <row r="1117" spans="2:20" x14ac:dyDescent="0.35">
      <c r="B1117" t="str">
        <f>IF(NOT(ISBLANK(A1117)),VLOOKUP(A1117,'BBT3'!A:F,2,0),"")</f>
        <v/>
      </c>
      <c r="C1117" t="str">
        <f>IF(NOT(ISBLANK(A1117)),VLOOKUP(A1117,'BBT3'!A:F,3,0),"")</f>
        <v/>
      </c>
      <c r="D1117" s="6" t="str">
        <f>IF(NOT(ISBLANK(A1117)),VLOOKUP(A1117,'BBT3'!A:F,4,1),"")</f>
        <v/>
      </c>
      <c r="E1117" t="str">
        <f>IF(NOT(ISBLANK(A1117)),VLOOKUP(A1117,'BBT3'!A:F,5,0),"")</f>
        <v/>
      </c>
      <c r="F1117" t="str">
        <f>IF(NOT(ISBLANK(A1117)),VLOOKUP(A1117,'BBT3'!A:F,6,0),"")</f>
        <v/>
      </c>
      <c r="G1117" t="str">
        <f>IF(NOT(ISBLANK(A1117)),VLOOKUP(A1117,QW_Close!A:J,5,0),"")</f>
        <v/>
      </c>
      <c r="H1117" s="5" t="str" cm="1">
        <f t="array" ref="H1117">IF(NOT(ISBLANK(A1117)),((_xlfn.XLOOKUP(1,(_bbt3[[#All],[ID]]=A1117)*(_bbt3[[#All],[METRIC_NAME]]="YLD_YTM_ASK"),_bbt3[[#All],[METRIC_VALUE]])*0.5)+(_xlfn.XLOOKUP(1,(_bbt3[[#All],[ID]]=A1117)*(_bbt3[[#All],[METRIC_NAME]]="YLD_YTM_BID"),_bbt3[[#All],[METRIC_VALUE]])*0.5))/100,"")</f>
        <v/>
      </c>
      <c r="I1117">
        <f>IF(ISNA(VLOOKUP(A1117,QW_CloseDL!A:E,5,0)),0,VLOOKUP(A1117,QW_CloseDL!A:E,5,0))</f>
        <v>0</v>
      </c>
      <c r="J1117" s="8" t="str">
        <f t="shared" si="85"/>
        <v/>
      </c>
      <c r="P1117">
        <v>0</v>
      </c>
      <c r="Q1117" t="e">
        <f t="shared" si="86"/>
        <v>#N/A</v>
      </c>
      <c r="R1117" t="e">
        <f t="shared" si="87"/>
        <v>#N/A</v>
      </c>
      <c r="S1117" s="9" t="e">
        <f t="shared" si="88"/>
        <v>#N/A</v>
      </c>
      <c r="T1117" s="3" t="e">
        <f t="shared" si="89"/>
        <v>#N/A</v>
      </c>
    </row>
    <row r="1118" spans="2:20" x14ac:dyDescent="0.35">
      <c r="B1118" t="str">
        <f>IF(NOT(ISBLANK(A1118)),VLOOKUP(A1118,'BBT3'!A:F,2,0),"")</f>
        <v/>
      </c>
      <c r="C1118" t="str">
        <f>IF(NOT(ISBLANK(A1118)),VLOOKUP(A1118,'BBT3'!A:F,3,0),"")</f>
        <v/>
      </c>
      <c r="D1118" s="6" t="str">
        <f>IF(NOT(ISBLANK(A1118)),VLOOKUP(A1118,'BBT3'!A:F,4,1),"")</f>
        <v/>
      </c>
      <c r="E1118" t="str">
        <f>IF(NOT(ISBLANK(A1118)),VLOOKUP(A1118,'BBT3'!A:F,5,0),"")</f>
        <v/>
      </c>
      <c r="F1118" t="str">
        <f>IF(NOT(ISBLANK(A1118)),VLOOKUP(A1118,'BBT3'!A:F,6,0),"")</f>
        <v/>
      </c>
      <c r="G1118" t="str">
        <f>IF(NOT(ISBLANK(A1118)),VLOOKUP(A1118,QW_Close!A:J,5,0),"")</f>
        <v/>
      </c>
      <c r="H1118" s="5" t="str" cm="1">
        <f t="array" ref="H1118">IF(NOT(ISBLANK(A1118)),((_xlfn.XLOOKUP(1,(_bbt3[[#All],[ID]]=A1118)*(_bbt3[[#All],[METRIC_NAME]]="YLD_YTM_ASK"),_bbt3[[#All],[METRIC_VALUE]])*0.5)+(_xlfn.XLOOKUP(1,(_bbt3[[#All],[ID]]=A1118)*(_bbt3[[#All],[METRIC_NAME]]="YLD_YTM_BID"),_bbt3[[#All],[METRIC_VALUE]])*0.5))/100,"")</f>
        <v/>
      </c>
      <c r="I1118">
        <f>IF(ISNA(VLOOKUP(A1118,QW_CloseDL!A:E,5,0)),0,VLOOKUP(A1118,QW_CloseDL!A:E,5,0))</f>
        <v>0</v>
      </c>
      <c r="J1118" s="8" t="str">
        <f t="shared" si="85"/>
        <v/>
      </c>
      <c r="P1118">
        <v>0</v>
      </c>
      <c r="Q1118" t="e">
        <f t="shared" si="86"/>
        <v>#N/A</v>
      </c>
      <c r="R1118" t="e">
        <f t="shared" si="87"/>
        <v>#N/A</v>
      </c>
      <c r="S1118" s="9" t="e">
        <f t="shared" si="88"/>
        <v>#N/A</v>
      </c>
      <c r="T1118" s="3" t="e">
        <f t="shared" si="89"/>
        <v>#N/A</v>
      </c>
    </row>
    <row r="1119" spans="2:20" x14ac:dyDescent="0.35">
      <c r="B1119" t="str">
        <f>IF(NOT(ISBLANK(A1119)),VLOOKUP(A1119,'BBT3'!A:F,2,0),"")</f>
        <v/>
      </c>
      <c r="C1119" t="str">
        <f>IF(NOT(ISBLANK(A1119)),VLOOKUP(A1119,'BBT3'!A:F,3,0),"")</f>
        <v/>
      </c>
      <c r="D1119" s="6" t="str">
        <f>IF(NOT(ISBLANK(A1119)),VLOOKUP(A1119,'BBT3'!A:F,4,1),"")</f>
        <v/>
      </c>
      <c r="E1119" t="str">
        <f>IF(NOT(ISBLANK(A1119)),VLOOKUP(A1119,'BBT3'!A:F,5,0),"")</f>
        <v/>
      </c>
      <c r="F1119" t="str">
        <f>IF(NOT(ISBLANK(A1119)),VLOOKUP(A1119,'BBT3'!A:F,6,0),"")</f>
        <v/>
      </c>
      <c r="G1119" t="str">
        <f>IF(NOT(ISBLANK(A1119)),VLOOKUP(A1119,QW_Close!A:J,5,0),"")</f>
        <v/>
      </c>
      <c r="H1119" s="5" t="str" cm="1">
        <f t="array" ref="H1119">IF(NOT(ISBLANK(A1119)),((_xlfn.XLOOKUP(1,(_bbt3[[#All],[ID]]=A1119)*(_bbt3[[#All],[METRIC_NAME]]="YLD_YTM_ASK"),_bbt3[[#All],[METRIC_VALUE]])*0.5)+(_xlfn.XLOOKUP(1,(_bbt3[[#All],[ID]]=A1119)*(_bbt3[[#All],[METRIC_NAME]]="YLD_YTM_BID"),_bbt3[[#All],[METRIC_VALUE]])*0.5))/100,"")</f>
        <v/>
      </c>
      <c r="I1119">
        <f>IF(ISNA(VLOOKUP(A1119,QW_CloseDL!A:E,5,0)),0,VLOOKUP(A1119,QW_CloseDL!A:E,5,0))</f>
        <v>0</v>
      </c>
      <c r="J1119" s="8" t="str">
        <f t="shared" si="85"/>
        <v/>
      </c>
      <c r="P1119">
        <v>0</v>
      </c>
      <c r="Q1119" t="e">
        <f t="shared" si="86"/>
        <v>#N/A</v>
      </c>
      <c r="R1119" t="e">
        <f t="shared" si="87"/>
        <v>#N/A</v>
      </c>
      <c r="S1119" s="9" t="e">
        <f t="shared" si="88"/>
        <v>#N/A</v>
      </c>
      <c r="T1119" s="3" t="e">
        <f t="shared" si="89"/>
        <v>#N/A</v>
      </c>
    </row>
    <row r="1120" spans="2:20" x14ac:dyDescent="0.35">
      <c r="B1120" t="str">
        <f>IF(NOT(ISBLANK(A1120)),VLOOKUP(A1120,'BBT3'!A:F,2,0),"")</f>
        <v/>
      </c>
      <c r="C1120" t="str">
        <f>IF(NOT(ISBLANK(A1120)),VLOOKUP(A1120,'BBT3'!A:F,3,0),"")</f>
        <v/>
      </c>
      <c r="D1120" s="6" t="str">
        <f>IF(NOT(ISBLANK(A1120)),VLOOKUP(A1120,'BBT3'!A:F,4,1),"")</f>
        <v/>
      </c>
      <c r="E1120" t="str">
        <f>IF(NOT(ISBLANK(A1120)),VLOOKUP(A1120,'BBT3'!A:F,5,0),"")</f>
        <v/>
      </c>
      <c r="F1120" t="str">
        <f>IF(NOT(ISBLANK(A1120)),VLOOKUP(A1120,'BBT3'!A:F,6,0),"")</f>
        <v/>
      </c>
      <c r="G1120" t="str">
        <f>IF(NOT(ISBLANK(A1120)),VLOOKUP(A1120,QW_Close!A:J,5,0),"")</f>
        <v/>
      </c>
      <c r="H1120" s="5" t="str" cm="1">
        <f t="array" ref="H1120">IF(NOT(ISBLANK(A1120)),((_xlfn.XLOOKUP(1,(_bbt3[[#All],[ID]]=A1120)*(_bbt3[[#All],[METRIC_NAME]]="YLD_YTM_ASK"),_bbt3[[#All],[METRIC_VALUE]])*0.5)+(_xlfn.XLOOKUP(1,(_bbt3[[#All],[ID]]=A1120)*(_bbt3[[#All],[METRIC_NAME]]="YLD_YTM_BID"),_bbt3[[#All],[METRIC_VALUE]])*0.5))/100,"")</f>
        <v/>
      </c>
      <c r="I1120">
        <f>IF(ISNA(VLOOKUP(A1120,QW_CloseDL!A:E,5,0)),0,VLOOKUP(A1120,QW_CloseDL!A:E,5,0))</f>
        <v>0</v>
      </c>
      <c r="J1120" s="8" t="str">
        <f t="shared" si="85"/>
        <v/>
      </c>
      <c r="P1120">
        <v>0</v>
      </c>
      <c r="Q1120" t="e">
        <f t="shared" si="86"/>
        <v>#N/A</v>
      </c>
      <c r="R1120" t="e">
        <f t="shared" si="87"/>
        <v>#N/A</v>
      </c>
      <c r="S1120" s="9" t="e">
        <f t="shared" si="88"/>
        <v>#N/A</v>
      </c>
      <c r="T1120" s="3" t="e">
        <f t="shared" si="89"/>
        <v>#N/A</v>
      </c>
    </row>
    <row r="1121" spans="2:20" x14ac:dyDescent="0.35">
      <c r="B1121" t="str">
        <f>IF(NOT(ISBLANK(A1121)),VLOOKUP(A1121,'BBT3'!A:F,2,0),"")</f>
        <v/>
      </c>
      <c r="C1121" t="str">
        <f>IF(NOT(ISBLANK(A1121)),VLOOKUP(A1121,'BBT3'!A:F,3,0),"")</f>
        <v/>
      </c>
      <c r="D1121" s="6" t="str">
        <f>IF(NOT(ISBLANK(A1121)),VLOOKUP(A1121,'BBT3'!A:F,4,1),"")</f>
        <v/>
      </c>
      <c r="E1121" t="str">
        <f>IF(NOT(ISBLANK(A1121)),VLOOKUP(A1121,'BBT3'!A:F,5,0),"")</f>
        <v/>
      </c>
      <c r="F1121" t="str">
        <f>IF(NOT(ISBLANK(A1121)),VLOOKUP(A1121,'BBT3'!A:F,6,0),"")</f>
        <v/>
      </c>
      <c r="G1121" t="str">
        <f>IF(NOT(ISBLANK(A1121)),VLOOKUP(A1121,QW_Close!A:J,5,0),"")</f>
        <v/>
      </c>
      <c r="H1121" s="5" t="str" cm="1">
        <f t="array" ref="H1121">IF(NOT(ISBLANK(A1121)),((_xlfn.XLOOKUP(1,(_bbt3[[#All],[ID]]=A1121)*(_bbt3[[#All],[METRIC_NAME]]="YLD_YTM_ASK"),_bbt3[[#All],[METRIC_VALUE]])*0.5)+(_xlfn.XLOOKUP(1,(_bbt3[[#All],[ID]]=A1121)*(_bbt3[[#All],[METRIC_NAME]]="YLD_YTM_BID"),_bbt3[[#All],[METRIC_VALUE]])*0.5))/100,"")</f>
        <v/>
      </c>
      <c r="I1121">
        <f>IF(ISNA(VLOOKUP(A1121,QW_CloseDL!A:E,5,0)),0,VLOOKUP(A1121,QW_CloseDL!A:E,5,0))</f>
        <v>0</v>
      </c>
      <c r="J1121" s="8" t="str">
        <f t="shared" si="85"/>
        <v/>
      </c>
      <c r="P1121">
        <v>0</v>
      </c>
      <c r="Q1121" t="e">
        <f t="shared" si="86"/>
        <v>#N/A</v>
      </c>
      <c r="R1121" t="e">
        <f t="shared" si="87"/>
        <v>#N/A</v>
      </c>
      <c r="S1121" s="9" t="e">
        <f t="shared" si="88"/>
        <v>#N/A</v>
      </c>
      <c r="T1121" s="3" t="e">
        <f t="shared" si="89"/>
        <v>#N/A</v>
      </c>
    </row>
    <row r="1122" spans="2:20" x14ac:dyDescent="0.35">
      <c r="B1122" t="str">
        <f>IF(NOT(ISBLANK(A1122)),VLOOKUP(A1122,'BBT3'!A:F,2,0),"")</f>
        <v/>
      </c>
      <c r="C1122" t="str">
        <f>IF(NOT(ISBLANK(A1122)),VLOOKUP(A1122,'BBT3'!A:F,3,0),"")</f>
        <v/>
      </c>
      <c r="D1122" s="6" t="str">
        <f>IF(NOT(ISBLANK(A1122)),VLOOKUP(A1122,'BBT3'!A:F,4,1),"")</f>
        <v/>
      </c>
      <c r="E1122" t="str">
        <f>IF(NOT(ISBLANK(A1122)),VLOOKUP(A1122,'BBT3'!A:F,5,0),"")</f>
        <v/>
      </c>
      <c r="F1122" t="str">
        <f>IF(NOT(ISBLANK(A1122)),VLOOKUP(A1122,'BBT3'!A:F,6,0),"")</f>
        <v/>
      </c>
      <c r="G1122" t="str">
        <f>IF(NOT(ISBLANK(A1122)),VLOOKUP(A1122,QW_Close!A:J,5,0),"")</f>
        <v/>
      </c>
      <c r="H1122" s="5" t="str" cm="1">
        <f t="array" ref="H1122">IF(NOT(ISBLANK(A1122)),((_xlfn.XLOOKUP(1,(_bbt3[[#All],[ID]]=A1122)*(_bbt3[[#All],[METRIC_NAME]]="YLD_YTM_ASK"),_bbt3[[#All],[METRIC_VALUE]])*0.5)+(_xlfn.XLOOKUP(1,(_bbt3[[#All],[ID]]=A1122)*(_bbt3[[#All],[METRIC_NAME]]="YLD_YTM_BID"),_bbt3[[#All],[METRIC_VALUE]])*0.5))/100,"")</f>
        <v/>
      </c>
      <c r="I1122">
        <f>IF(ISNA(VLOOKUP(A1122,QW_CloseDL!A:E,5,0)),0,VLOOKUP(A1122,QW_CloseDL!A:E,5,0))</f>
        <v>0</v>
      </c>
      <c r="J1122" s="8" t="str">
        <f t="shared" si="85"/>
        <v/>
      </c>
      <c r="P1122">
        <v>0</v>
      </c>
      <c r="Q1122" t="e">
        <f t="shared" si="86"/>
        <v>#N/A</v>
      </c>
      <c r="R1122" t="e">
        <f t="shared" si="87"/>
        <v>#N/A</v>
      </c>
      <c r="S1122" s="9" t="e">
        <f t="shared" si="88"/>
        <v>#N/A</v>
      </c>
      <c r="T1122" s="3" t="e">
        <f t="shared" si="89"/>
        <v>#N/A</v>
      </c>
    </row>
    <row r="1123" spans="2:20" x14ac:dyDescent="0.35">
      <c r="B1123" t="str">
        <f>IF(NOT(ISBLANK(A1123)),VLOOKUP(A1123,'BBT3'!A:F,2,0),"")</f>
        <v/>
      </c>
      <c r="C1123" t="str">
        <f>IF(NOT(ISBLANK(A1123)),VLOOKUP(A1123,'BBT3'!A:F,3,0),"")</f>
        <v/>
      </c>
      <c r="D1123" s="6" t="str">
        <f>IF(NOT(ISBLANK(A1123)),VLOOKUP(A1123,'BBT3'!A:F,4,1),"")</f>
        <v/>
      </c>
      <c r="E1123" t="str">
        <f>IF(NOT(ISBLANK(A1123)),VLOOKUP(A1123,'BBT3'!A:F,5,0),"")</f>
        <v/>
      </c>
      <c r="F1123" t="str">
        <f>IF(NOT(ISBLANK(A1123)),VLOOKUP(A1123,'BBT3'!A:F,6,0),"")</f>
        <v/>
      </c>
      <c r="G1123" t="str">
        <f>IF(NOT(ISBLANK(A1123)),VLOOKUP(A1123,QW_Close!A:J,5,0),"")</f>
        <v/>
      </c>
      <c r="H1123" s="5" t="str" cm="1">
        <f t="array" ref="H1123">IF(NOT(ISBLANK(A1123)),((_xlfn.XLOOKUP(1,(_bbt3[[#All],[ID]]=A1123)*(_bbt3[[#All],[METRIC_NAME]]="YLD_YTM_ASK"),_bbt3[[#All],[METRIC_VALUE]])*0.5)+(_xlfn.XLOOKUP(1,(_bbt3[[#All],[ID]]=A1123)*(_bbt3[[#All],[METRIC_NAME]]="YLD_YTM_BID"),_bbt3[[#All],[METRIC_VALUE]])*0.5))/100,"")</f>
        <v/>
      </c>
      <c r="I1123">
        <f>IF(ISNA(VLOOKUP(A1123,QW_CloseDL!A:E,5,0)),0,VLOOKUP(A1123,QW_CloseDL!A:E,5,0))</f>
        <v>0</v>
      </c>
      <c r="J1123" s="8" t="str">
        <f t="shared" si="85"/>
        <v/>
      </c>
      <c r="P1123">
        <v>0</v>
      </c>
      <c r="Q1123" t="e">
        <f t="shared" si="86"/>
        <v>#N/A</v>
      </c>
      <c r="R1123" t="e">
        <f t="shared" si="87"/>
        <v>#N/A</v>
      </c>
      <c r="S1123" s="9" t="e">
        <f t="shared" si="88"/>
        <v>#N/A</v>
      </c>
      <c r="T1123" s="3" t="e">
        <f t="shared" si="89"/>
        <v>#N/A</v>
      </c>
    </row>
    <row r="1124" spans="2:20" x14ac:dyDescent="0.35">
      <c r="B1124" t="str">
        <f>IF(NOT(ISBLANK(A1124)),VLOOKUP(A1124,'BBT3'!A:F,2,0),"")</f>
        <v/>
      </c>
      <c r="C1124" t="str">
        <f>IF(NOT(ISBLANK(A1124)),VLOOKUP(A1124,'BBT3'!A:F,3,0),"")</f>
        <v/>
      </c>
      <c r="D1124" s="6" t="str">
        <f>IF(NOT(ISBLANK(A1124)),VLOOKUP(A1124,'BBT3'!A:F,4,1),"")</f>
        <v/>
      </c>
      <c r="E1124" t="str">
        <f>IF(NOT(ISBLANK(A1124)),VLOOKUP(A1124,'BBT3'!A:F,5,0),"")</f>
        <v/>
      </c>
      <c r="F1124" t="str">
        <f>IF(NOT(ISBLANK(A1124)),VLOOKUP(A1124,'BBT3'!A:F,6,0),"")</f>
        <v/>
      </c>
      <c r="G1124" t="str">
        <f>IF(NOT(ISBLANK(A1124)),VLOOKUP(A1124,QW_Close!A:J,5,0),"")</f>
        <v/>
      </c>
      <c r="H1124" s="5" t="str" cm="1">
        <f t="array" ref="H1124">IF(NOT(ISBLANK(A1124)),((_xlfn.XLOOKUP(1,(_bbt3[[#All],[ID]]=A1124)*(_bbt3[[#All],[METRIC_NAME]]="YLD_YTM_ASK"),_bbt3[[#All],[METRIC_VALUE]])*0.5)+(_xlfn.XLOOKUP(1,(_bbt3[[#All],[ID]]=A1124)*(_bbt3[[#All],[METRIC_NAME]]="YLD_YTM_BID"),_bbt3[[#All],[METRIC_VALUE]])*0.5))/100,"")</f>
        <v/>
      </c>
      <c r="I1124">
        <f>IF(ISNA(VLOOKUP(A1124,QW_CloseDL!A:E,5,0)),0,VLOOKUP(A1124,QW_CloseDL!A:E,5,0))</f>
        <v>0</v>
      </c>
      <c r="J1124" s="8" t="str">
        <f t="shared" si="85"/>
        <v/>
      </c>
      <c r="P1124">
        <v>0</v>
      </c>
      <c r="Q1124" t="e">
        <f t="shared" si="86"/>
        <v>#N/A</v>
      </c>
      <c r="R1124" t="e">
        <f t="shared" si="87"/>
        <v>#N/A</v>
      </c>
      <c r="S1124" s="9" t="e">
        <f t="shared" si="88"/>
        <v>#N/A</v>
      </c>
      <c r="T1124" s="3" t="e">
        <f t="shared" si="89"/>
        <v>#N/A</v>
      </c>
    </row>
    <row r="1125" spans="2:20" x14ac:dyDescent="0.35">
      <c r="B1125" t="str">
        <f>IF(NOT(ISBLANK(A1125)),VLOOKUP(A1125,'BBT3'!A:F,2,0),"")</f>
        <v/>
      </c>
      <c r="C1125" t="str">
        <f>IF(NOT(ISBLANK(A1125)),VLOOKUP(A1125,'BBT3'!A:F,3,0),"")</f>
        <v/>
      </c>
      <c r="D1125" s="6" t="str">
        <f>IF(NOT(ISBLANK(A1125)),VLOOKUP(A1125,'BBT3'!A:F,4,1),"")</f>
        <v/>
      </c>
      <c r="E1125" t="str">
        <f>IF(NOT(ISBLANK(A1125)),VLOOKUP(A1125,'BBT3'!A:F,5,0),"")</f>
        <v/>
      </c>
      <c r="F1125" t="str">
        <f>IF(NOT(ISBLANK(A1125)),VLOOKUP(A1125,'BBT3'!A:F,6,0),"")</f>
        <v/>
      </c>
      <c r="G1125" t="str">
        <f>IF(NOT(ISBLANK(A1125)),VLOOKUP(A1125,QW_Close!A:J,5,0),"")</f>
        <v/>
      </c>
      <c r="H1125" s="5" t="str" cm="1">
        <f t="array" ref="H1125">IF(NOT(ISBLANK(A1125)),((_xlfn.XLOOKUP(1,(_bbt3[[#All],[ID]]=A1125)*(_bbt3[[#All],[METRIC_NAME]]="YLD_YTM_ASK"),_bbt3[[#All],[METRIC_VALUE]])*0.5)+(_xlfn.XLOOKUP(1,(_bbt3[[#All],[ID]]=A1125)*(_bbt3[[#All],[METRIC_NAME]]="YLD_YTM_BID"),_bbt3[[#All],[METRIC_VALUE]])*0.5))/100,"")</f>
        <v/>
      </c>
      <c r="I1125">
        <f>IF(ISNA(VLOOKUP(A1125,QW_CloseDL!A:E,5,0)),0,VLOOKUP(A1125,QW_CloseDL!A:E,5,0))</f>
        <v>0</v>
      </c>
      <c r="J1125" s="8" t="str">
        <f t="shared" si="85"/>
        <v/>
      </c>
      <c r="P1125">
        <v>0</v>
      </c>
      <c r="Q1125" t="e">
        <f t="shared" si="86"/>
        <v>#N/A</v>
      </c>
      <c r="R1125" t="e">
        <f t="shared" si="87"/>
        <v>#N/A</v>
      </c>
      <c r="S1125" s="9" t="e">
        <f t="shared" si="88"/>
        <v>#N/A</v>
      </c>
      <c r="T1125" s="3" t="e">
        <f t="shared" si="89"/>
        <v>#N/A</v>
      </c>
    </row>
    <row r="1126" spans="2:20" x14ac:dyDescent="0.35">
      <c r="B1126" t="str">
        <f>IF(NOT(ISBLANK(A1126)),VLOOKUP(A1126,'BBT3'!A:F,2,0),"")</f>
        <v/>
      </c>
      <c r="C1126" t="str">
        <f>IF(NOT(ISBLANK(A1126)),VLOOKUP(A1126,'BBT3'!A:F,3,0),"")</f>
        <v/>
      </c>
      <c r="D1126" s="6" t="str">
        <f>IF(NOT(ISBLANK(A1126)),VLOOKUP(A1126,'BBT3'!A:F,4,1),"")</f>
        <v/>
      </c>
      <c r="E1126" t="str">
        <f>IF(NOT(ISBLANK(A1126)),VLOOKUP(A1126,'BBT3'!A:F,5,0),"")</f>
        <v/>
      </c>
      <c r="F1126" t="str">
        <f>IF(NOT(ISBLANK(A1126)),VLOOKUP(A1126,'BBT3'!A:F,6,0),"")</f>
        <v/>
      </c>
      <c r="G1126" t="str">
        <f>IF(NOT(ISBLANK(A1126)),VLOOKUP(A1126,QW_Close!A:J,5,0),"")</f>
        <v/>
      </c>
      <c r="H1126" s="5" t="str" cm="1">
        <f t="array" ref="H1126">IF(NOT(ISBLANK(A1126)),((_xlfn.XLOOKUP(1,(_bbt3[[#All],[ID]]=A1126)*(_bbt3[[#All],[METRIC_NAME]]="YLD_YTM_ASK"),_bbt3[[#All],[METRIC_VALUE]])*0.5)+(_xlfn.XLOOKUP(1,(_bbt3[[#All],[ID]]=A1126)*(_bbt3[[#All],[METRIC_NAME]]="YLD_YTM_BID"),_bbt3[[#All],[METRIC_VALUE]])*0.5))/100,"")</f>
        <v/>
      </c>
      <c r="I1126">
        <f>IF(ISNA(VLOOKUP(A1126,QW_CloseDL!A:E,5,0)),0,VLOOKUP(A1126,QW_CloseDL!A:E,5,0))</f>
        <v>0</v>
      </c>
      <c r="J1126" s="8" t="str">
        <f t="shared" si="85"/>
        <v/>
      </c>
      <c r="P1126">
        <v>0</v>
      </c>
      <c r="Q1126" t="e">
        <f t="shared" si="86"/>
        <v>#N/A</v>
      </c>
      <c r="R1126" t="e">
        <f t="shared" si="87"/>
        <v>#N/A</v>
      </c>
      <c r="S1126" s="9" t="e">
        <f t="shared" si="88"/>
        <v>#N/A</v>
      </c>
      <c r="T1126" s="3" t="e">
        <f t="shared" si="89"/>
        <v>#N/A</v>
      </c>
    </row>
    <row r="1127" spans="2:20" x14ac:dyDescent="0.35">
      <c r="B1127" t="str">
        <f>IF(NOT(ISBLANK(A1127)),VLOOKUP(A1127,'BBT3'!A:F,2,0),"")</f>
        <v/>
      </c>
      <c r="C1127" t="str">
        <f>IF(NOT(ISBLANK(A1127)),VLOOKUP(A1127,'BBT3'!A:F,3,0),"")</f>
        <v/>
      </c>
      <c r="D1127" s="6" t="str">
        <f>IF(NOT(ISBLANK(A1127)),VLOOKUP(A1127,'BBT3'!A:F,4,1),"")</f>
        <v/>
      </c>
      <c r="E1127" t="str">
        <f>IF(NOT(ISBLANK(A1127)),VLOOKUP(A1127,'BBT3'!A:F,5,0),"")</f>
        <v/>
      </c>
      <c r="F1127" t="str">
        <f>IF(NOT(ISBLANK(A1127)),VLOOKUP(A1127,'BBT3'!A:F,6,0),"")</f>
        <v/>
      </c>
      <c r="G1127" t="str">
        <f>IF(NOT(ISBLANK(A1127)),VLOOKUP(A1127,QW_Close!A:J,5,0),"")</f>
        <v/>
      </c>
      <c r="H1127" s="5" t="str" cm="1">
        <f t="array" ref="H1127">IF(NOT(ISBLANK(A1127)),((_xlfn.XLOOKUP(1,(_bbt3[[#All],[ID]]=A1127)*(_bbt3[[#All],[METRIC_NAME]]="YLD_YTM_ASK"),_bbt3[[#All],[METRIC_VALUE]])*0.5)+(_xlfn.XLOOKUP(1,(_bbt3[[#All],[ID]]=A1127)*(_bbt3[[#All],[METRIC_NAME]]="YLD_YTM_BID"),_bbt3[[#All],[METRIC_VALUE]])*0.5))/100,"")</f>
        <v/>
      </c>
      <c r="I1127">
        <f>IF(ISNA(VLOOKUP(A1127,QW_CloseDL!A:E,5,0)),0,VLOOKUP(A1127,QW_CloseDL!A:E,5,0))</f>
        <v>0</v>
      </c>
      <c r="J1127" s="8" t="str">
        <f t="shared" si="85"/>
        <v/>
      </c>
      <c r="P1127">
        <v>0</v>
      </c>
      <c r="Q1127" t="e">
        <f t="shared" si="86"/>
        <v>#N/A</v>
      </c>
      <c r="R1127" t="e">
        <f t="shared" si="87"/>
        <v>#N/A</v>
      </c>
      <c r="S1127" s="9" t="e">
        <f t="shared" si="88"/>
        <v>#N/A</v>
      </c>
      <c r="T1127" s="3" t="e">
        <f t="shared" si="89"/>
        <v>#N/A</v>
      </c>
    </row>
    <row r="1128" spans="2:20" x14ac:dyDescent="0.35">
      <c r="B1128" t="str">
        <f>IF(NOT(ISBLANK(A1128)),VLOOKUP(A1128,'BBT3'!A:F,2,0),"")</f>
        <v/>
      </c>
      <c r="C1128" t="str">
        <f>IF(NOT(ISBLANK(A1128)),VLOOKUP(A1128,'BBT3'!A:F,3,0),"")</f>
        <v/>
      </c>
      <c r="D1128" s="6" t="str">
        <f>IF(NOT(ISBLANK(A1128)),VLOOKUP(A1128,'BBT3'!A:F,4,1),"")</f>
        <v/>
      </c>
      <c r="E1128" t="str">
        <f>IF(NOT(ISBLANK(A1128)),VLOOKUP(A1128,'BBT3'!A:F,5,0),"")</f>
        <v/>
      </c>
      <c r="F1128" t="str">
        <f>IF(NOT(ISBLANK(A1128)),VLOOKUP(A1128,'BBT3'!A:F,6,0),"")</f>
        <v/>
      </c>
      <c r="G1128" t="str">
        <f>IF(NOT(ISBLANK(A1128)),VLOOKUP(A1128,QW_Close!A:J,5,0),"")</f>
        <v/>
      </c>
      <c r="H1128" s="5" t="str" cm="1">
        <f t="array" ref="H1128">IF(NOT(ISBLANK(A1128)),((_xlfn.XLOOKUP(1,(_bbt3[[#All],[ID]]=A1128)*(_bbt3[[#All],[METRIC_NAME]]="YLD_YTM_ASK"),_bbt3[[#All],[METRIC_VALUE]])*0.5)+(_xlfn.XLOOKUP(1,(_bbt3[[#All],[ID]]=A1128)*(_bbt3[[#All],[METRIC_NAME]]="YLD_YTM_BID"),_bbt3[[#All],[METRIC_VALUE]])*0.5))/100,"")</f>
        <v/>
      </c>
      <c r="I1128">
        <f>IF(ISNA(VLOOKUP(A1128,QW_CloseDL!A:E,5,0)),0,VLOOKUP(A1128,QW_CloseDL!A:E,5,0))</f>
        <v>0</v>
      </c>
      <c r="J1128" s="8" t="str">
        <f t="shared" si="85"/>
        <v/>
      </c>
      <c r="P1128">
        <v>0</v>
      </c>
      <c r="Q1128" t="e">
        <f t="shared" si="86"/>
        <v>#N/A</v>
      </c>
      <c r="R1128" t="e">
        <f t="shared" si="87"/>
        <v>#N/A</v>
      </c>
      <c r="S1128" s="9" t="e">
        <f t="shared" si="88"/>
        <v>#N/A</v>
      </c>
      <c r="T1128" s="3" t="e">
        <f t="shared" si="89"/>
        <v>#N/A</v>
      </c>
    </row>
    <row r="1129" spans="2:20" x14ac:dyDescent="0.35">
      <c r="B1129" t="str">
        <f>IF(NOT(ISBLANK(A1129)),VLOOKUP(A1129,'BBT3'!A:F,2,0),"")</f>
        <v/>
      </c>
      <c r="C1129" t="str">
        <f>IF(NOT(ISBLANK(A1129)),VLOOKUP(A1129,'BBT3'!A:F,3,0),"")</f>
        <v/>
      </c>
      <c r="D1129" s="6" t="str">
        <f>IF(NOT(ISBLANK(A1129)),VLOOKUP(A1129,'BBT3'!A:F,4,1),"")</f>
        <v/>
      </c>
      <c r="E1129" t="str">
        <f>IF(NOT(ISBLANK(A1129)),VLOOKUP(A1129,'BBT3'!A:F,5,0),"")</f>
        <v/>
      </c>
      <c r="F1129" t="str">
        <f>IF(NOT(ISBLANK(A1129)),VLOOKUP(A1129,'BBT3'!A:F,6,0),"")</f>
        <v/>
      </c>
      <c r="G1129" t="str">
        <f>IF(NOT(ISBLANK(A1129)),VLOOKUP(A1129,QW_Close!A:J,5,0),"")</f>
        <v/>
      </c>
      <c r="H1129" s="5" t="str" cm="1">
        <f t="array" ref="H1129">IF(NOT(ISBLANK(A1129)),((_xlfn.XLOOKUP(1,(_bbt3[[#All],[ID]]=A1129)*(_bbt3[[#All],[METRIC_NAME]]="YLD_YTM_ASK"),_bbt3[[#All],[METRIC_VALUE]])*0.5)+(_xlfn.XLOOKUP(1,(_bbt3[[#All],[ID]]=A1129)*(_bbt3[[#All],[METRIC_NAME]]="YLD_YTM_BID"),_bbt3[[#All],[METRIC_VALUE]])*0.5))/100,"")</f>
        <v/>
      </c>
      <c r="I1129">
        <f>IF(ISNA(VLOOKUP(A1129,QW_CloseDL!A:E,5,0)),0,VLOOKUP(A1129,QW_CloseDL!A:E,5,0))</f>
        <v>0</v>
      </c>
      <c r="J1129" s="8" t="str">
        <f t="shared" si="85"/>
        <v/>
      </c>
      <c r="P1129">
        <v>0</v>
      </c>
      <c r="Q1129" t="e">
        <f t="shared" si="86"/>
        <v>#N/A</v>
      </c>
      <c r="R1129" t="e">
        <f t="shared" si="87"/>
        <v>#N/A</v>
      </c>
      <c r="S1129" s="9" t="e">
        <f t="shared" si="88"/>
        <v>#N/A</v>
      </c>
      <c r="T1129" s="3" t="e">
        <f t="shared" si="89"/>
        <v>#N/A</v>
      </c>
    </row>
    <row r="1130" spans="2:20" x14ac:dyDescent="0.35">
      <c r="B1130" t="str">
        <f>IF(NOT(ISBLANK(A1130)),VLOOKUP(A1130,'BBT3'!A:F,2,0),"")</f>
        <v/>
      </c>
      <c r="C1130" t="str">
        <f>IF(NOT(ISBLANK(A1130)),VLOOKUP(A1130,'BBT3'!A:F,3,0),"")</f>
        <v/>
      </c>
      <c r="D1130" s="6" t="str">
        <f>IF(NOT(ISBLANK(A1130)),VLOOKUP(A1130,'BBT3'!A:F,4,1),"")</f>
        <v/>
      </c>
      <c r="E1130" t="str">
        <f>IF(NOT(ISBLANK(A1130)),VLOOKUP(A1130,'BBT3'!A:F,5,0),"")</f>
        <v/>
      </c>
      <c r="F1130" t="str">
        <f>IF(NOT(ISBLANK(A1130)),VLOOKUP(A1130,'BBT3'!A:F,6,0),"")</f>
        <v/>
      </c>
      <c r="G1130" t="str">
        <f>IF(NOT(ISBLANK(A1130)),VLOOKUP(A1130,QW_Close!A:J,5,0),"")</f>
        <v/>
      </c>
      <c r="H1130" s="5" t="str" cm="1">
        <f t="array" ref="H1130">IF(NOT(ISBLANK(A1130)),((_xlfn.XLOOKUP(1,(_bbt3[[#All],[ID]]=A1130)*(_bbt3[[#All],[METRIC_NAME]]="YLD_YTM_ASK"),_bbt3[[#All],[METRIC_VALUE]])*0.5)+(_xlfn.XLOOKUP(1,(_bbt3[[#All],[ID]]=A1130)*(_bbt3[[#All],[METRIC_NAME]]="YLD_YTM_BID"),_bbt3[[#All],[METRIC_VALUE]])*0.5))/100,"")</f>
        <v/>
      </c>
      <c r="I1130">
        <f>IF(ISNA(VLOOKUP(A1130,QW_CloseDL!A:E,5,0)),0,VLOOKUP(A1130,QW_CloseDL!A:E,5,0))</f>
        <v>0</v>
      </c>
      <c r="J1130" s="8" t="str">
        <f t="shared" si="85"/>
        <v/>
      </c>
      <c r="P1130">
        <v>0</v>
      </c>
      <c r="Q1130" t="e">
        <f t="shared" si="86"/>
        <v>#N/A</v>
      </c>
      <c r="R1130" t="e">
        <f t="shared" si="87"/>
        <v>#N/A</v>
      </c>
      <c r="S1130" s="9" t="e">
        <f t="shared" si="88"/>
        <v>#N/A</v>
      </c>
      <c r="T1130" s="3" t="e">
        <f t="shared" si="89"/>
        <v>#N/A</v>
      </c>
    </row>
    <row r="1131" spans="2:20" x14ac:dyDescent="0.35">
      <c r="B1131" t="str">
        <f>IF(NOT(ISBLANK(A1131)),VLOOKUP(A1131,'BBT3'!A:F,2,0),"")</f>
        <v/>
      </c>
      <c r="C1131" t="str">
        <f>IF(NOT(ISBLANK(A1131)),VLOOKUP(A1131,'BBT3'!A:F,3,0),"")</f>
        <v/>
      </c>
      <c r="D1131" s="6" t="str">
        <f>IF(NOT(ISBLANK(A1131)),VLOOKUP(A1131,'BBT3'!A:F,4,1),"")</f>
        <v/>
      </c>
      <c r="E1131" t="str">
        <f>IF(NOT(ISBLANK(A1131)),VLOOKUP(A1131,'BBT3'!A:F,5,0),"")</f>
        <v/>
      </c>
      <c r="F1131" t="str">
        <f>IF(NOT(ISBLANK(A1131)),VLOOKUP(A1131,'BBT3'!A:F,6,0),"")</f>
        <v/>
      </c>
      <c r="G1131" t="str">
        <f>IF(NOT(ISBLANK(A1131)),VLOOKUP(A1131,QW_Close!A:J,5,0),"")</f>
        <v/>
      </c>
      <c r="H1131" s="5" t="str" cm="1">
        <f t="array" ref="H1131">IF(NOT(ISBLANK(A1131)),((_xlfn.XLOOKUP(1,(_bbt3[[#All],[ID]]=A1131)*(_bbt3[[#All],[METRIC_NAME]]="YLD_YTM_ASK"),_bbt3[[#All],[METRIC_VALUE]])*0.5)+(_xlfn.XLOOKUP(1,(_bbt3[[#All],[ID]]=A1131)*(_bbt3[[#All],[METRIC_NAME]]="YLD_YTM_BID"),_bbt3[[#All],[METRIC_VALUE]])*0.5))/100,"")</f>
        <v/>
      </c>
      <c r="I1131">
        <f>IF(ISNA(VLOOKUP(A1131,QW_CloseDL!A:E,5,0)),0,VLOOKUP(A1131,QW_CloseDL!A:E,5,0))</f>
        <v>0</v>
      </c>
      <c r="J1131" s="8" t="str">
        <f t="shared" si="85"/>
        <v/>
      </c>
      <c r="P1131">
        <v>0</v>
      </c>
      <c r="Q1131" t="e">
        <f t="shared" si="86"/>
        <v>#N/A</v>
      </c>
      <c r="R1131" t="e">
        <f t="shared" si="87"/>
        <v>#N/A</v>
      </c>
      <c r="S1131" s="9" t="e">
        <f t="shared" si="88"/>
        <v>#N/A</v>
      </c>
      <c r="T1131" s="3" t="e">
        <f t="shared" si="89"/>
        <v>#N/A</v>
      </c>
    </row>
    <row r="1132" spans="2:20" x14ac:dyDescent="0.35">
      <c r="B1132" t="str">
        <f>IF(NOT(ISBLANK(A1132)),VLOOKUP(A1132,'BBT3'!A:F,2,0),"")</f>
        <v/>
      </c>
      <c r="C1132" t="str">
        <f>IF(NOT(ISBLANK(A1132)),VLOOKUP(A1132,'BBT3'!A:F,3,0),"")</f>
        <v/>
      </c>
      <c r="D1132" s="6" t="str">
        <f>IF(NOT(ISBLANK(A1132)),VLOOKUP(A1132,'BBT3'!A:F,4,1),"")</f>
        <v/>
      </c>
      <c r="E1132" t="str">
        <f>IF(NOT(ISBLANK(A1132)),VLOOKUP(A1132,'BBT3'!A:F,5,0),"")</f>
        <v/>
      </c>
      <c r="F1132" t="str">
        <f>IF(NOT(ISBLANK(A1132)),VLOOKUP(A1132,'BBT3'!A:F,6,0),"")</f>
        <v/>
      </c>
      <c r="G1132" t="str">
        <f>IF(NOT(ISBLANK(A1132)),VLOOKUP(A1132,QW_Close!A:J,5,0),"")</f>
        <v/>
      </c>
      <c r="H1132" s="5" t="str" cm="1">
        <f t="array" ref="H1132">IF(NOT(ISBLANK(A1132)),((_xlfn.XLOOKUP(1,(_bbt3[[#All],[ID]]=A1132)*(_bbt3[[#All],[METRIC_NAME]]="YLD_YTM_ASK"),_bbt3[[#All],[METRIC_VALUE]])*0.5)+(_xlfn.XLOOKUP(1,(_bbt3[[#All],[ID]]=A1132)*(_bbt3[[#All],[METRIC_NAME]]="YLD_YTM_BID"),_bbt3[[#All],[METRIC_VALUE]])*0.5))/100,"")</f>
        <v/>
      </c>
      <c r="I1132">
        <f>IF(ISNA(VLOOKUP(A1132,QW_CloseDL!A:E,5,0)),0,VLOOKUP(A1132,QW_CloseDL!A:E,5,0))</f>
        <v>0</v>
      </c>
      <c r="J1132" s="8" t="str">
        <f t="shared" si="85"/>
        <v/>
      </c>
      <c r="P1132">
        <v>0</v>
      </c>
      <c r="Q1132" t="e">
        <f t="shared" si="86"/>
        <v>#N/A</v>
      </c>
      <c r="R1132" t="e">
        <f t="shared" si="87"/>
        <v>#N/A</v>
      </c>
      <c r="S1132" s="9" t="e">
        <f t="shared" si="88"/>
        <v>#N/A</v>
      </c>
      <c r="T1132" s="3" t="e">
        <f t="shared" si="89"/>
        <v>#N/A</v>
      </c>
    </row>
    <row r="1133" spans="2:20" x14ac:dyDescent="0.35">
      <c r="B1133" t="str">
        <f>IF(NOT(ISBLANK(A1133)),VLOOKUP(A1133,'BBT3'!A:F,2,0),"")</f>
        <v/>
      </c>
      <c r="C1133" t="str">
        <f>IF(NOT(ISBLANK(A1133)),VLOOKUP(A1133,'BBT3'!A:F,3,0),"")</f>
        <v/>
      </c>
      <c r="D1133" s="6" t="str">
        <f>IF(NOT(ISBLANK(A1133)),VLOOKUP(A1133,'BBT3'!A:F,4,1),"")</f>
        <v/>
      </c>
      <c r="E1133" t="str">
        <f>IF(NOT(ISBLANK(A1133)),VLOOKUP(A1133,'BBT3'!A:F,5,0),"")</f>
        <v/>
      </c>
      <c r="F1133" t="str">
        <f>IF(NOT(ISBLANK(A1133)),VLOOKUP(A1133,'BBT3'!A:F,6,0),"")</f>
        <v/>
      </c>
      <c r="G1133" t="str">
        <f>IF(NOT(ISBLANK(A1133)),VLOOKUP(A1133,QW_Close!A:J,5,0),"")</f>
        <v/>
      </c>
      <c r="H1133" s="5" t="str" cm="1">
        <f t="array" ref="H1133">IF(NOT(ISBLANK(A1133)),((_xlfn.XLOOKUP(1,(_bbt3[[#All],[ID]]=A1133)*(_bbt3[[#All],[METRIC_NAME]]="YLD_YTM_ASK"),_bbt3[[#All],[METRIC_VALUE]])*0.5)+(_xlfn.XLOOKUP(1,(_bbt3[[#All],[ID]]=A1133)*(_bbt3[[#All],[METRIC_NAME]]="YLD_YTM_BID"),_bbt3[[#All],[METRIC_VALUE]])*0.5))/100,"")</f>
        <v/>
      </c>
      <c r="I1133">
        <f>IF(ISNA(VLOOKUP(A1133,QW_CloseDL!A:E,5,0)),0,VLOOKUP(A1133,QW_CloseDL!A:E,5,0))</f>
        <v>0</v>
      </c>
      <c r="J1133" s="8" t="str">
        <f t="shared" si="85"/>
        <v/>
      </c>
      <c r="P1133">
        <v>0</v>
      </c>
      <c r="Q1133" t="e">
        <f t="shared" si="86"/>
        <v>#N/A</v>
      </c>
      <c r="R1133" t="e">
        <f t="shared" si="87"/>
        <v>#N/A</v>
      </c>
      <c r="S1133" s="9" t="e">
        <f t="shared" si="88"/>
        <v>#N/A</v>
      </c>
      <c r="T1133" s="3" t="e">
        <f t="shared" si="89"/>
        <v>#N/A</v>
      </c>
    </row>
    <row r="1134" spans="2:20" x14ac:dyDescent="0.35">
      <c r="B1134" t="str">
        <f>IF(NOT(ISBLANK(A1134)),VLOOKUP(A1134,'BBT3'!A:F,2,0),"")</f>
        <v/>
      </c>
      <c r="C1134" t="str">
        <f>IF(NOT(ISBLANK(A1134)),VLOOKUP(A1134,'BBT3'!A:F,3,0),"")</f>
        <v/>
      </c>
      <c r="D1134" s="6" t="str">
        <f>IF(NOT(ISBLANK(A1134)),VLOOKUP(A1134,'BBT3'!A:F,4,1),"")</f>
        <v/>
      </c>
      <c r="E1134" t="str">
        <f>IF(NOT(ISBLANK(A1134)),VLOOKUP(A1134,'BBT3'!A:F,5,0),"")</f>
        <v/>
      </c>
      <c r="F1134" t="str">
        <f>IF(NOT(ISBLANK(A1134)),VLOOKUP(A1134,'BBT3'!A:F,6,0),"")</f>
        <v/>
      </c>
      <c r="G1134" t="str">
        <f>IF(NOT(ISBLANK(A1134)),VLOOKUP(A1134,QW_Close!A:J,5,0),"")</f>
        <v/>
      </c>
      <c r="H1134" s="5" t="str" cm="1">
        <f t="array" ref="H1134">IF(NOT(ISBLANK(A1134)),((_xlfn.XLOOKUP(1,(_bbt3[[#All],[ID]]=A1134)*(_bbt3[[#All],[METRIC_NAME]]="YLD_YTM_ASK"),_bbt3[[#All],[METRIC_VALUE]])*0.5)+(_xlfn.XLOOKUP(1,(_bbt3[[#All],[ID]]=A1134)*(_bbt3[[#All],[METRIC_NAME]]="YLD_YTM_BID"),_bbt3[[#All],[METRIC_VALUE]])*0.5))/100,"")</f>
        <v/>
      </c>
      <c r="I1134">
        <f>IF(ISNA(VLOOKUP(A1134,QW_CloseDL!A:E,5,0)),0,VLOOKUP(A1134,QW_CloseDL!A:E,5,0))</f>
        <v>0</v>
      </c>
      <c r="J1134" s="8" t="str">
        <f t="shared" si="85"/>
        <v/>
      </c>
      <c r="P1134">
        <v>0</v>
      </c>
      <c r="Q1134" t="e">
        <f t="shared" si="86"/>
        <v>#N/A</v>
      </c>
      <c r="R1134" t="e">
        <f t="shared" si="87"/>
        <v>#N/A</v>
      </c>
      <c r="S1134" s="9" t="e">
        <f t="shared" si="88"/>
        <v>#N/A</v>
      </c>
      <c r="T1134" s="3" t="e">
        <f t="shared" si="89"/>
        <v>#N/A</v>
      </c>
    </row>
    <row r="1135" spans="2:20" x14ac:dyDescent="0.35">
      <c r="B1135" t="str">
        <f>IF(NOT(ISBLANK(A1135)),VLOOKUP(A1135,'BBT3'!A:F,2,0),"")</f>
        <v/>
      </c>
      <c r="C1135" t="str">
        <f>IF(NOT(ISBLANK(A1135)),VLOOKUP(A1135,'BBT3'!A:F,3,0),"")</f>
        <v/>
      </c>
      <c r="D1135" s="6" t="str">
        <f>IF(NOT(ISBLANK(A1135)),VLOOKUP(A1135,'BBT3'!A:F,4,1),"")</f>
        <v/>
      </c>
      <c r="E1135" t="str">
        <f>IF(NOT(ISBLANK(A1135)),VLOOKUP(A1135,'BBT3'!A:F,5,0),"")</f>
        <v/>
      </c>
      <c r="F1135" t="str">
        <f>IF(NOT(ISBLANK(A1135)),VLOOKUP(A1135,'BBT3'!A:F,6,0),"")</f>
        <v/>
      </c>
      <c r="G1135" t="str">
        <f>IF(NOT(ISBLANK(A1135)),VLOOKUP(A1135,QW_Close!A:J,5,0),"")</f>
        <v/>
      </c>
      <c r="H1135" s="5" t="str" cm="1">
        <f t="array" ref="H1135">IF(NOT(ISBLANK(A1135)),((_xlfn.XLOOKUP(1,(_bbt3[[#All],[ID]]=A1135)*(_bbt3[[#All],[METRIC_NAME]]="YLD_YTM_ASK"),_bbt3[[#All],[METRIC_VALUE]])*0.5)+(_xlfn.XLOOKUP(1,(_bbt3[[#All],[ID]]=A1135)*(_bbt3[[#All],[METRIC_NAME]]="YLD_YTM_BID"),_bbt3[[#All],[METRIC_VALUE]])*0.5))/100,"")</f>
        <v/>
      </c>
      <c r="I1135">
        <f>IF(ISNA(VLOOKUP(A1135,QW_CloseDL!A:E,5,0)),0,VLOOKUP(A1135,QW_CloseDL!A:E,5,0))</f>
        <v>0</v>
      </c>
      <c r="J1135" s="8" t="str">
        <f t="shared" si="85"/>
        <v/>
      </c>
      <c r="P1135">
        <v>0</v>
      </c>
      <c r="Q1135" t="e">
        <f t="shared" si="86"/>
        <v>#N/A</v>
      </c>
      <c r="R1135" t="e">
        <f t="shared" si="87"/>
        <v>#N/A</v>
      </c>
      <c r="S1135" s="9" t="e">
        <f t="shared" si="88"/>
        <v>#N/A</v>
      </c>
      <c r="T1135" s="3" t="e">
        <f t="shared" si="89"/>
        <v>#N/A</v>
      </c>
    </row>
    <row r="1136" spans="2:20" x14ac:dyDescent="0.35">
      <c r="B1136" t="str">
        <f>IF(NOT(ISBLANK(A1136)),VLOOKUP(A1136,'BBT3'!A:F,2,0),"")</f>
        <v/>
      </c>
      <c r="C1136" t="str">
        <f>IF(NOT(ISBLANK(A1136)),VLOOKUP(A1136,'BBT3'!A:F,3,0),"")</f>
        <v/>
      </c>
      <c r="D1136" s="6" t="str">
        <f>IF(NOT(ISBLANK(A1136)),VLOOKUP(A1136,'BBT3'!A:F,4,1),"")</f>
        <v/>
      </c>
      <c r="E1136" t="str">
        <f>IF(NOT(ISBLANK(A1136)),VLOOKUP(A1136,'BBT3'!A:F,5,0),"")</f>
        <v/>
      </c>
      <c r="F1136" t="str">
        <f>IF(NOT(ISBLANK(A1136)),VLOOKUP(A1136,'BBT3'!A:F,6,0),"")</f>
        <v/>
      </c>
      <c r="G1136" t="str">
        <f>IF(NOT(ISBLANK(A1136)),VLOOKUP(A1136,QW_Close!A:J,5,0),"")</f>
        <v/>
      </c>
      <c r="H1136" s="5" t="str" cm="1">
        <f t="array" ref="H1136">IF(NOT(ISBLANK(A1136)),((_xlfn.XLOOKUP(1,(_bbt3[[#All],[ID]]=A1136)*(_bbt3[[#All],[METRIC_NAME]]="YLD_YTM_ASK"),_bbt3[[#All],[METRIC_VALUE]])*0.5)+(_xlfn.XLOOKUP(1,(_bbt3[[#All],[ID]]=A1136)*(_bbt3[[#All],[METRIC_NAME]]="YLD_YTM_BID"),_bbt3[[#All],[METRIC_VALUE]])*0.5))/100,"")</f>
        <v/>
      </c>
      <c r="I1136">
        <f>IF(ISNA(VLOOKUP(A1136,QW_CloseDL!A:E,5,0)),0,VLOOKUP(A1136,QW_CloseDL!A:E,5,0))</f>
        <v>0</v>
      </c>
      <c r="J1136" s="8" t="str">
        <f t="shared" si="85"/>
        <v/>
      </c>
      <c r="P1136">
        <v>0</v>
      </c>
      <c r="Q1136" t="e">
        <f t="shared" si="86"/>
        <v>#N/A</v>
      </c>
      <c r="R1136" t="e">
        <f t="shared" si="87"/>
        <v>#N/A</v>
      </c>
      <c r="S1136" s="9" t="e">
        <f t="shared" si="88"/>
        <v>#N/A</v>
      </c>
      <c r="T1136" s="3" t="e">
        <f t="shared" si="89"/>
        <v>#N/A</v>
      </c>
    </row>
    <row r="1137" spans="2:20" x14ac:dyDescent="0.35">
      <c r="B1137" t="str">
        <f>IF(NOT(ISBLANK(A1137)),VLOOKUP(A1137,'BBT3'!A:F,2,0),"")</f>
        <v/>
      </c>
      <c r="C1137" t="str">
        <f>IF(NOT(ISBLANK(A1137)),VLOOKUP(A1137,'BBT3'!A:F,3,0),"")</f>
        <v/>
      </c>
      <c r="D1137" s="6" t="str">
        <f>IF(NOT(ISBLANK(A1137)),VLOOKUP(A1137,'BBT3'!A:F,4,1),"")</f>
        <v/>
      </c>
      <c r="E1137" t="str">
        <f>IF(NOT(ISBLANK(A1137)),VLOOKUP(A1137,'BBT3'!A:F,5,0),"")</f>
        <v/>
      </c>
      <c r="F1137" t="str">
        <f>IF(NOT(ISBLANK(A1137)),VLOOKUP(A1137,'BBT3'!A:F,6,0),"")</f>
        <v/>
      </c>
      <c r="G1137" t="str">
        <f>IF(NOT(ISBLANK(A1137)),VLOOKUP(A1137,QW_Close!A:J,5,0),"")</f>
        <v/>
      </c>
      <c r="H1137" s="5" t="str" cm="1">
        <f t="array" ref="H1137">IF(NOT(ISBLANK(A1137)),((_xlfn.XLOOKUP(1,(_bbt3[[#All],[ID]]=A1137)*(_bbt3[[#All],[METRIC_NAME]]="YLD_YTM_ASK"),_bbt3[[#All],[METRIC_VALUE]])*0.5)+(_xlfn.XLOOKUP(1,(_bbt3[[#All],[ID]]=A1137)*(_bbt3[[#All],[METRIC_NAME]]="YLD_YTM_BID"),_bbt3[[#All],[METRIC_VALUE]])*0.5))/100,"")</f>
        <v/>
      </c>
      <c r="I1137">
        <f>IF(ISNA(VLOOKUP(A1137,QW_CloseDL!A:E,5,0)),0,VLOOKUP(A1137,QW_CloseDL!A:E,5,0))</f>
        <v>0</v>
      </c>
      <c r="J1137" s="8" t="str">
        <f t="shared" si="85"/>
        <v/>
      </c>
      <c r="P1137">
        <v>0</v>
      </c>
      <c r="Q1137" t="e">
        <f t="shared" si="86"/>
        <v>#N/A</v>
      </c>
      <c r="R1137" t="e">
        <f t="shared" si="87"/>
        <v>#N/A</v>
      </c>
      <c r="S1137" s="9" t="e">
        <f t="shared" si="88"/>
        <v>#N/A</v>
      </c>
      <c r="T1137" s="3" t="e">
        <f t="shared" si="89"/>
        <v>#N/A</v>
      </c>
    </row>
    <row r="1138" spans="2:20" x14ac:dyDescent="0.35">
      <c r="B1138" t="str">
        <f>IF(NOT(ISBLANK(A1138)),VLOOKUP(A1138,'BBT3'!A:F,2,0),"")</f>
        <v/>
      </c>
      <c r="C1138" t="str">
        <f>IF(NOT(ISBLANK(A1138)),VLOOKUP(A1138,'BBT3'!A:F,3,0),"")</f>
        <v/>
      </c>
      <c r="D1138" s="6" t="str">
        <f>IF(NOT(ISBLANK(A1138)),VLOOKUP(A1138,'BBT3'!A:F,4,1),"")</f>
        <v/>
      </c>
      <c r="E1138" t="str">
        <f>IF(NOT(ISBLANK(A1138)),VLOOKUP(A1138,'BBT3'!A:F,5,0),"")</f>
        <v/>
      </c>
      <c r="F1138" t="str">
        <f>IF(NOT(ISBLANK(A1138)),VLOOKUP(A1138,'BBT3'!A:F,6,0),"")</f>
        <v/>
      </c>
      <c r="G1138" t="str">
        <f>IF(NOT(ISBLANK(A1138)),VLOOKUP(A1138,QW_Close!A:J,5,0),"")</f>
        <v/>
      </c>
      <c r="H1138" s="5" t="str" cm="1">
        <f t="array" ref="H1138">IF(NOT(ISBLANK(A1138)),((_xlfn.XLOOKUP(1,(_bbt3[[#All],[ID]]=A1138)*(_bbt3[[#All],[METRIC_NAME]]="YLD_YTM_ASK"),_bbt3[[#All],[METRIC_VALUE]])*0.5)+(_xlfn.XLOOKUP(1,(_bbt3[[#All],[ID]]=A1138)*(_bbt3[[#All],[METRIC_NAME]]="YLD_YTM_BID"),_bbt3[[#All],[METRIC_VALUE]])*0.5))/100,"")</f>
        <v/>
      </c>
      <c r="I1138">
        <f>IF(ISNA(VLOOKUP(A1138,QW_CloseDL!A:E,5,0)),0,VLOOKUP(A1138,QW_CloseDL!A:E,5,0))</f>
        <v>0</v>
      </c>
      <c r="J1138" s="8" t="str">
        <f t="shared" si="85"/>
        <v/>
      </c>
      <c r="P1138">
        <v>0</v>
      </c>
      <c r="Q1138" t="e">
        <f t="shared" si="86"/>
        <v>#N/A</v>
      </c>
      <c r="R1138" t="e">
        <f t="shared" si="87"/>
        <v>#N/A</v>
      </c>
      <c r="S1138" s="9" t="e">
        <f t="shared" si="88"/>
        <v>#N/A</v>
      </c>
      <c r="T1138" s="3" t="e">
        <f t="shared" si="89"/>
        <v>#N/A</v>
      </c>
    </row>
    <row r="1139" spans="2:20" x14ac:dyDescent="0.35">
      <c r="B1139" t="str">
        <f>IF(NOT(ISBLANK(A1139)),VLOOKUP(A1139,'BBT3'!A:F,2,0),"")</f>
        <v/>
      </c>
      <c r="C1139" t="str">
        <f>IF(NOT(ISBLANK(A1139)),VLOOKUP(A1139,'BBT3'!A:F,3,0),"")</f>
        <v/>
      </c>
      <c r="D1139" s="6" t="str">
        <f>IF(NOT(ISBLANK(A1139)),VLOOKUP(A1139,'BBT3'!A:F,4,1),"")</f>
        <v/>
      </c>
      <c r="E1139" t="str">
        <f>IF(NOT(ISBLANK(A1139)),VLOOKUP(A1139,'BBT3'!A:F,5,0),"")</f>
        <v/>
      </c>
      <c r="F1139" t="str">
        <f>IF(NOT(ISBLANK(A1139)),VLOOKUP(A1139,'BBT3'!A:F,6,0),"")</f>
        <v/>
      </c>
      <c r="G1139" t="str">
        <f>IF(NOT(ISBLANK(A1139)),VLOOKUP(A1139,QW_Close!A:J,5,0),"")</f>
        <v/>
      </c>
      <c r="H1139" s="5" t="str" cm="1">
        <f t="array" ref="H1139">IF(NOT(ISBLANK(A1139)),((_xlfn.XLOOKUP(1,(_bbt3[[#All],[ID]]=A1139)*(_bbt3[[#All],[METRIC_NAME]]="YLD_YTM_ASK"),_bbt3[[#All],[METRIC_VALUE]])*0.5)+(_xlfn.XLOOKUP(1,(_bbt3[[#All],[ID]]=A1139)*(_bbt3[[#All],[METRIC_NAME]]="YLD_YTM_BID"),_bbt3[[#All],[METRIC_VALUE]])*0.5))/100,"")</f>
        <v/>
      </c>
      <c r="I1139">
        <f>IF(ISNA(VLOOKUP(A1139,QW_CloseDL!A:E,5,0)),0,VLOOKUP(A1139,QW_CloseDL!A:E,5,0))</f>
        <v>0</v>
      </c>
      <c r="J1139" s="8" t="str">
        <f t="shared" si="85"/>
        <v/>
      </c>
      <c r="P1139">
        <v>0</v>
      </c>
      <c r="Q1139" t="e">
        <f t="shared" si="86"/>
        <v>#N/A</v>
      </c>
      <c r="R1139" t="e">
        <f t="shared" si="87"/>
        <v>#N/A</v>
      </c>
      <c r="S1139" s="9" t="e">
        <f t="shared" si="88"/>
        <v>#N/A</v>
      </c>
      <c r="T1139" s="3" t="e">
        <f t="shared" si="89"/>
        <v>#N/A</v>
      </c>
    </row>
    <row r="1140" spans="2:20" x14ac:dyDescent="0.35">
      <c r="B1140" t="str">
        <f>IF(NOT(ISBLANK(A1140)),VLOOKUP(A1140,'BBT3'!A:F,2,0),"")</f>
        <v/>
      </c>
      <c r="C1140" t="str">
        <f>IF(NOT(ISBLANK(A1140)),VLOOKUP(A1140,'BBT3'!A:F,3,0),"")</f>
        <v/>
      </c>
      <c r="D1140" s="6" t="str">
        <f>IF(NOT(ISBLANK(A1140)),VLOOKUP(A1140,'BBT3'!A:F,4,1),"")</f>
        <v/>
      </c>
      <c r="E1140" t="str">
        <f>IF(NOT(ISBLANK(A1140)),VLOOKUP(A1140,'BBT3'!A:F,5,0),"")</f>
        <v/>
      </c>
      <c r="F1140" t="str">
        <f>IF(NOT(ISBLANK(A1140)),VLOOKUP(A1140,'BBT3'!A:F,6,0),"")</f>
        <v/>
      </c>
      <c r="G1140" t="str">
        <f>IF(NOT(ISBLANK(A1140)),VLOOKUP(A1140,QW_Close!A:J,5,0),"")</f>
        <v/>
      </c>
      <c r="H1140" s="5" t="str" cm="1">
        <f t="array" ref="H1140">IF(NOT(ISBLANK(A1140)),((_xlfn.XLOOKUP(1,(_bbt3[[#All],[ID]]=A1140)*(_bbt3[[#All],[METRIC_NAME]]="YLD_YTM_ASK"),_bbt3[[#All],[METRIC_VALUE]])*0.5)+(_xlfn.XLOOKUP(1,(_bbt3[[#All],[ID]]=A1140)*(_bbt3[[#All],[METRIC_NAME]]="YLD_YTM_BID"),_bbt3[[#All],[METRIC_VALUE]])*0.5))/100,"")</f>
        <v/>
      </c>
      <c r="I1140">
        <f>IF(ISNA(VLOOKUP(A1140,QW_CloseDL!A:E,5,0)),0,VLOOKUP(A1140,QW_CloseDL!A:E,5,0))</f>
        <v>0</v>
      </c>
      <c r="J1140" s="8" t="str">
        <f t="shared" si="85"/>
        <v/>
      </c>
      <c r="P1140">
        <v>0</v>
      </c>
      <c r="Q1140" t="e">
        <f t="shared" si="86"/>
        <v>#N/A</v>
      </c>
      <c r="R1140" t="e">
        <f t="shared" si="87"/>
        <v>#N/A</v>
      </c>
      <c r="S1140" s="9" t="e">
        <f t="shared" si="88"/>
        <v>#N/A</v>
      </c>
      <c r="T1140" s="3" t="e">
        <f t="shared" si="89"/>
        <v>#N/A</v>
      </c>
    </row>
    <row r="1141" spans="2:20" x14ac:dyDescent="0.35">
      <c r="B1141" t="str">
        <f>IF(NOT(ISBLANK(A1141)),VLOOKUP(A1141,'BBT3'!A:F,2,0),"")</f>
        <v/>
      </c>
      <c r="C1141" t="str">
        <f>IF(NOT(ISBLANK(A1141)),VLOOKUP(A1141,'BBT3'!A:F,3,0),"")</f>
        <v/>
      </c>
      <c r="D1141" s="6" t="str">
        <f>IF(NOT(ISBLANK(A1141)),VLOOKUP(A1141,'BBT3'!A:F,4,1),"")</f>
        <v/>
      </c>
      <c r="E1141" t="str">
        <f>IF(NOT(ISBLANK(A1141)),VLOOKUP(A1141,'BBT3'!A:F,5,0),"")</f>
        <v/>
      </c>
      <c r="F1141" t="str">
        <f>IF(NOT(ISBLANK(A1141)),VLOOKUP(A1141,'BBT3'!A:F,6,0),"")</f>
        <v/>
      </c>
      <c r="G1141" t="str">
        <f>IF(NOT(ISBLANK(A1141)),VLOOKUP(A1141,QW_Close!A:J,5,0),"")</f>
        <v/>
      </c>
      <c r="H1141" s="5" t="str" cm="1">
        <f t="array" ref="H1141">IF(NOT(ISBLANK(A1141)),((_xlfn.XLOOKUP(1,(_bbt3[[#All],[ID]]=A1141)*(_bbt3[[#All],[METRIC_NAME]]="YLD_YTM_ASK"),_bbt3[[#All],[METRIC_VALUE]])*0.5)+(_xlfn.XLOOKUP(1,(_bbt3[[#All],[ID]]=A1141)*(_bbt3[[#All],[METRIC_NAME]]="YLD_YTM_BID"),_bbt3[[#All],[METRIC_VALUE]])*0.5))/100,"")</f>
        <v/>
      </c>
      <c r="I1141">
        <f>IF(ISNA(VLOOKUP(A1141,QW_CloseDL!A:E,5,0)),0,VLOOKUP(A1141,QW_CloseDL!A:E,5,0))</f>
        <v>0</v>
      </c>
      <c r="J1141" s="8" t="str">
        <f t="shared" si="85"/>
        <v/>
      </c>
      <c r="P1141">
        <v>0</v>
      </c>
      <c r="Q1141" t="e">
        <f t="shared" si="86"/>
        <v>#N/A</v>
      </c>
      <c r="R1141" t="e">
        <f t="shared" si="87"/>
        <v>#N/A</v>
      </c>
      <c r="S1141" s="9" t="e">
        <f t="shared" si="88"/>
        <v>#N/A</v>
      </c>
      <c r="T1141" s="3" t="e">
        <f t="shared" si="89"/>
        <v>#N/A</v>
      </c>
    </row>
    <row r="1142" spans="2:20" x14ac:dyDescent="0.35">
      <c r="B1142" t="str">
        <f>IF(NOT(ISBLANK(A1142)),VLOOKUP(A1142,'BBT3'!A:F,2,0),"")</f>
        <v/>
      </c>
      <c r="C1142" t="str">
        <f>IF(NOT(ISBLANK(A1142)),VLOOKUP(A1142,'BBT3'!A:F,3,0),"")</f>
        <v/>
      </c>
      <c r="D1142" s="6" t="str">
        <f>IF(NOT(ISBLANK(A1142)),VLOOKUP(A1142,'BBT3'!A:F,4,1),"")</f>
        <v/>
      </c>
      <c r="E1142" t="str">
        <f>IF(NOT(ISBLANK(A1142)),VLOOKUP(A1142,'BBT3'!A:F,5,0),"")</f>
        <v/>
      </c>
      <c r="F1142" t="str">
        <f>IF(NOT(ISBLANK(A1142)),VLOOKUP(A1142,'BBT3'!A:F,6,0),"")</f>
        <v/>
      </c>
      <c r="G1142" t="str">
        <f>IF(NOT(ISBLANK(A1142)),VLOOKUP(A1142,QW_Close!A:J,5,0),"")</f>
        <v/>
      </c>
      <c r="H1142" s="5" t="str" cm="1">
        <f t="array" ref="H1142">IF(NOT(ISBLANK(A1142)),((_xlfn.XLOOKUP(1,(_bbt3[[#All],[ID]]=A1142)*(_bbt3[[#All],[METRIC_NAME]]="YLD_YTM_ASK"),_bbt3[[#All],[METRIC_VALUE]])*0.5)+(_xlfn.XLOOKUP(1,(_bbt3[[#All],[ID]]=A1142)*(_bbt3[[#All],[METRIC_NAME]]="YLD_YTM_BID"),_bbt3[[#All],[METRIC_VALUE]])*0.5))/100,"")</f>
        <v/>
      </c>
      <c r="I1142">
        <f>IF(ISNA(VLOOKUP(A1142,QW_CloseDL!A:E,5,0)),0,VLOOKUP(A1142,QW_CloseDL!A:E,5,0))</f>
        <v>0</v>
      </c>
      <c r="J1142" s="8" t="str">
        <f t="shared" si="85"/>
        <v/>
      </c>
      <c r="P1142">
        <v>0</v>
      </c>
      <c r="Q1142" t="e">
        <f t="shared" si="86"/>
        <v>#N/A</v>
      </c>
      <c r="R1142" t="e">
        <f t="shared" si="87"/>
        <v>#N/A</v>
      </c>
      <c r="S1142" s="9" t="e">
        <f t="shared" si="88"/>
        <v>#N/A</v>
      </c>
      <c r="T1142" s="3" t="e">
        <f t="shared" si="89"/>
        <v>#N/A</v>
      </c>
    </row>
    <row r="1143" spans="2:20" x14ac:dyDescent="0.35">
      <c r="B1143" t="str">
        <f>IF(NOT(ISBLANK(A1143)),VLOOKUP(A1143,'BBT3'!A:F,2,0),"")</f>
        <v/>
      </c>
      <c r="C1143" t="str">
        <f>IF(NOT(ISBLANK(A1143)),VLOOKUP(A1143,'BBT3'!A:F,3,0),"")</f>
        <v/>
      </c>
      <c r="D1143" s="6" t="str">
        <f>IF(NOT(ISBLANK(A1143)),VLOOKUP(A1143,'BBT3'!A:F,4,1),"")</f>
        <v/>
      </c>
      <c r="E1143" t="str">
        <f>IF(NOT(ISBLANK(A1143)),VLOOKUP(A1143,'BBT3'!A:F,5,0),"")</f>
        <v/>
      </c>
      <c r="F1143" t="str">
        <f>IF(NOT(ISBLANK(A1143)),VLOOKUP(A1143,'BBT3'!A:F,6,0),"")</f>
        <v/>
      </c>
      <c r="G1143" t="str">
        <f>IF(NOT(ISBLANK(A1143)),VLOOKUP(A1143,QW_Close!A:J,5,0),"")</f>
        <v/>
      </c>
      <c r="H1143" s="5" t="str" cm="1">
        <f t="array" ref="H1143">IF(NOT(ISBLANK(A1143)),((_xlfn.XLOOKUP(1,(_bbt3[[#All],[ID]]=A1143)*(_bbt3[[#All],[METRIC_NAME]]="YLD_YTM_ASK"),_bbt3[[#All],[METRIC_VALUE]])*0.5)+(_xlfn.XLOOKUP(1,(_bbt3[[#All],[ID]]=A1143)*(_bbt3[[#All],[METRIC_NAME]]="YLD_YTM_BID"),_bbt3[[#All],[METRIC_VALUE]])*0.5))/100,"")</f>
        <v/>
      </c>
      <c r="I1143">
        <f>IF(ISNA(VLOOKUP(A1143,QW_CloseDL!A:E,5,0)),0,VLOOKUP(A1143,QW_CloseDL!A:E,5,0))</f>
        <v>0</v>
      </c>
      <c r="J1143" s="8" t="str">
        <f t="shared" si="85"/>
        <v/>
      </c>
      <c r="P1143">
        <v>0</v>
      </c>
      <c r="Q1143" t="e">
        <f t="shared" si="86"/>
        <v>#N/A</v>
      </c>
      <c r="R1143" t="e">
        <f t="shared" si="87"/>
        <v>#N/A</v>
      </c>
      <c r="S1143" s="9" t="e">
        <f t="shared" si="88"/>
        <v>#N/A</v>
      </c>
      <c r="T1143" s="3" t="e">
        <f t="shared" si="89"/>
        <v>#N/A</v>
      </c>
    </row>
    <row r="1144" spans="2:20" x14ac:dyDescent="0.35">
      <c r="B1144" t="str">
        <f>IF(NOT(ISBLANK(A1144)),VLOOKUP(A1144,'BBT3'!A:F,2,0),"")</f>
        <v/>
      </c>
      <c r="C1144" t="str">
        <f>IF(NOT(ISBLANK(A1144)),VLOOKUP(A1144,'BBT3'!A:F,3,0),"")</f>
        <v/>
      </c>
      <c r="D1144" s="6" t="str">
        <f>IF(NOT(ISBLANK(A1144)),VLOOKUP(A1144,'BBT3'!A:F,4,1),"")</f>
        <v/>
      </c>
      <c r="E1144" t="str">
        <f>IF(NOT(ISBLANK(A1144)),VLOOKUP(A1144,'BBT3'!A:F,5,0),"")</f>
        <v/>
      </c>
      <c r="F1144" t="str">
        <f>IF(NOT(ISBLANK(A1144)),VLOOKUP(A1144,'BBT3'!A:F,6,0),"")</f>
        <v/>
      </c>
      <c r="G1144" t="str">
        <f>IF(NOT(ISBLANK(A1144)),VLOOKUP(A1144,QW_Close!A:J,5,0),"")</f>
        <v/>
      </c>
      <c r="H1144" s="5" t="str" cm="1">
        <f t="array" ref="H1144">IF(NOT(ISBLANK(A1144)),((_xlfn.XLOOKUP(1,(_bbt3[[#All],[ID]]=A1144)*(_bbt3[[#All],[METRIC_NAME]]="YLD_YTM_ASK"),_bbt3[[#All],[METRIC_VALUE]])*0.5)+(_xlfn.XLOOKUP(1,(_bbt3[[#All],[ID]]=A1144)*(_bbt3[[#All],[METRIC_NAME]]="YLD_YTM_BID"),_bbt3[[#All],[METRIC_VALUE]])*0.5))/100,"")</f>
        <v/>
      </c>
      <c r="I1144">
        <f>IF(ISNA(VLOOKUP(A1144,QW_CloseDL!A:E,5,0)),0,VLOOKUP(A1144,QW_CloseDL!A:E,5,0))</f>
        <v>0</v>
      </c>
      <c r="J1144" s="8" t="str">
        <f t="shared" si="85"/>
        <v/>
      </c>
      <c r="P1144">
        <v>0</v>
      </c>
      <c r="Q1144" t="e">
        <f t="shared" si="86"/>
        <v>#N/A</v>
      </c>
      <c r="R1144" t="e">
        <f t="shared" si="87"/>
        <v>#N/A</v>
      </c>
      <c r="S1144" s="9" t="e">
        <f t="shared" si="88"/>
        <v>#N/A</v>
      </c>
      <c r="T1144" s="3" t="e">
        <f t="shared" si="89"/>
        <v>#N/A</v>
      </c>
    </row>
    <row r="1145" spans="2:20" x14ac:dyDescent="0.35">
      <c r="B1145" t="str">
        <f>IF(NOT(ISBLANK(A1145)),VLOOKUP(A1145,'BBT3'!A:F,2,0),"")</f>
        <v/>
      </c>
      <c r="C1145" t="str">
        <f>IF(NOT(ISBLANK(A1145)),VLOOKUP(A1145,'BBT3'!A:F,3,0),"")</f>
        <v/>
      </c>
      <c r="D1145" s="6" t="str">
        <f>IF(NOT(ISBLANK(A1145)),VLOOKUP(A1145,'BBT3'!A:F,4,1),"")</f>
        <v/>
      </c>
      <c r="E1145" t="str">
        <f>IF(NOT(ISBLANK(A1145)),VLOOKUP(A1145,'BBT3'!A:F,5,0),"")</f>
        <v/>
      </c>
      <c r="F1145" t="str">
        <f>IF(NOT(ISBLANK(A1145)),VLOOKUP(A1145,'BBT3'!A:F,6,0),"")</f>
        <v/>
      </c>
      <c r="G1145" t="str">
        <f>IF(NOT(ISBLANK(A1145)),VLOOKUP(A1145,QW_Close!A:J,5,0),"")</f>
        <v/>
      </c>
      <c r="H1145" s="5" t="str" cm="1">
        <f t="array" ref="H1145">IF(NOT(ISBLANK(A1145)),((_xlfn.XLOOKUP(1,(_bbt3[[#All],[ID]]=A1145)*(_bbt3[[#All],[METRIC_NAME]]="YLD_YTM_ASK"),_bbt3[[#All],[METRIC_VALUE]])*0.5)+(_xlfn.XLOOKUP(1,(_bbt3[[#All],[ID]]=A1145)*(_bbt3[[#All],[METRIC_NAME]]="YLD_YTM_BID"),_bbt3[[#All],[METRIC_VALUE]])*0.5))/100,"")</f>
        <v/>
      </c>
      <c r="I1145">
        <f>IF(ISNA(VLOOKUP(A1145,QW_CloseDL!A:E,5,0)),0,VLOOKUP(A1145,QW_CloseDL!A:E,5,0))</f>
        <v>0</v>
      </c>
      <c r="J1145" s="8" t="str">
        <f t="shared" si="85"/>
        <v/>
      </c>
      <c r="P1145">
        <v>0</v>
      </c>
      <c r="Q1145" t="e">
        <f t="shared" si="86"/>
        <v>#N/A</v>
      </c>
      <c r="R1145" t="e">
        <f t="shared" si="87"/>
        <v>#N/A</v>
      </c>
      <c r="S1145" s="9" t="e">
        <f t="shared" si="88"/>
        <v>#N/A</v>
      </c>
      <c r="T1145" s="3" t="e">
        <f t="shared" si="89"/>
        <v>#N/A</v>
      </c>
    </row>
    <row r="1146" spans="2:20" x14ac:dyDescent="0.35">
      <c r="B1146" t="str">
        <f>IF(NOT(ISBLANK(A1146)),VLOOKUP(A1146,'BBT3'!A:F,2,0),"")</f>
        <v/>
      </c>
      <c r="C1146" t="str">
        <f>IF(NOT(ISBLANK(A1146)),VLOOKUP(A1146,'BBT3'!A:F,3,0),"")</f>
        <v/>
      </c>
      <c r="D1146" s="6" t="str">
        <f>IF(NOT(ISBLANK(A1146)),VLOOKUP(A1146,'BBT3'!A:F,4,1),"")</f>
        <v/>
      </c>
      <c r="E1146" t="str">
        <f>IF(NOT(ISBLANK(A1146)),VLOOKUP(A1146,'BBT3'!A:F,5,0),"")</f>
        <v/>
      </c>
      <c r="F1146" t="str">
        <f>IF(NOT(ISBLANK(A1146)),VLOOKUP(A1146,'BBT3'!A:F,6,0),"")</f>
        <v/>
      </c>
      <c r="G1146" t="str">
        <f>IF(NOT(ISBLANK(A1146)),VLOOKUP(A1146,QW_Close!A:J,5,0),"")</f>
        <v/>
      </c>
      <c r="H1146" s="5" t="str" cm="1">
        <f t="array" ref="H1146">IF(NOT(ISBLANK(A1146)),((_xlfn.XLOOKUP(1,(_bbt3[[#All],[ID]]=A1146)*(_bbt3[[#All],[METRIC_NAME]]="YLD_YTM_ASK"),_bbt3[[#All],[METRIC_VALUE]])*0.5)+(_xlfn.XLOOKUP(1,(_bbt3[[#All],[ID]]=A1146)*(_bbt3[[#All],[METRIC_NAME]]="YLD_YTM_BID"),_bbt3[[#All],[METRIC_VALUE]])*0.5))/100,"")</f>
        <v/>
      </c>
      <c r="I1146">
        <f>IF(ISNA(VLOOKUP(A1146,QW_CloseDL!A:E,5,0)),0,VLOOKUP(A1146,QW_CloseDL!A:E,5,0))</f>
        <v>0</v>
      </c>
      <c r="J1146" s="8" t="str">
        <f t="shared" si="85"/>
        <v/>
      </c>
      <c r="P1146">
        <v>0</v>
      </c>
      <c r="Q1146" t="e">
        <f t="shared" si="86"/>
        <v>#N/A</v>
      </c>
      <c r="R1146" t="e">
        <f t="shared" si="87"/>
        <v>#N/A</v>
      </c>
      <c r="S1146" s="9" t="e">
        <f t="shared" si="88"/>
        <v>#N/A</v>
      </c>
      <c r="T1146" s="3" t="e">
        <f t="shared" si="89"/>
        <v>#N/A</v>
      </c>
    </row>
    <row r="1147" spans="2:20" x14ac:dyDescent="0.35">
      <c r="B1147" t="str">
        <f>IF(NOT(ISBLANK(A1147)),VLOOKUP(A1147,'BBT3'!A:F,2,0),"")</f>
        <v/>
      </c>
      <c r="C1147" t="str">
        <f>IF(NOT(ISBLANK(A1147)),VLOOKUP(A1147,'BBT3'!A:F,3,0),"")</f>
        <v/>
      </c>
      <c r="D1147" s="6" t="str">
        <f>IF(NOT(ISBLANK(A1147)),VLOOKUP(A1147,'BBT3'!A:F,4,1),"")</f>
        <v/>
      </c>
      <c r="E1147" t="str">
        <f>IF(NOT(ISBLANK(A1147)),VLOOKUP(A1147,'BBT3'!A:F,5,0),"")</f>
        <v/>
      </c>
      <c r="F1147" t="str">
        <f>IF(NOT(ISBLANK(A1147)),VLOOKUP(A1147,'BBT3'!A:F,6,0),"")</f>
        <v/>
      </c>
      <c r="G1147" t="str">
        <f>IF(NOT(ISBLANK(A1147)),VLOOKUP(A1147,QW_Close!A:J,5,0),"")</f>
        <v/>
      </c>
      <c r="H1147" s="5" t="str" cm="1">
        <f t="array" ref="H1147">IF(NOT(ISBLANK(A1147)),((_xlfn.XLOOKUP(1,(_bbt3[[#All],[ID]]=A1147)*(_bbt3[[#All],[METRIC_NAME]]="YLD_YTM_ASK"),_bbt3[[#All],[METRIC_VALUE]])*0.5)+(_xlfn.XLOOKUP(1,(_bbt3[[#All],[ID]]=A1147)*(_bbt3[[#All],[METRIC_NAME]]="YLD_YTM_BID"),_bbt3[[#All],[METRIC_VALUE]])*0.5))/100,"")</f>
        <v/>
      </c>
      <c r="I1147">
        <f>IF(ISNA(VLOOKUP(A1147,QW_CloseDL!A:E,5,0)),0,VLOOKUP(A1147,QW_CloseDL!A:E,5,0))</f>
        <v>0</v>
      </c>
      <c r="J1147" s="8" t="str">
        <f t="shared" si="85"/>
        <v/>
      </c>
      <c r="P1147">
        <v>0</v>
      </c>
      <c r="Q1147" t="e">
        <f t="shared" si="86"/>
        <v>#N/A</v>
      </c>
      <c r="R1147" t="e">
        <f t="shared" si="87"/>
        <v>#N/A</v>
      </c>
      <c r="S1147" s="9" t="e">
        <f t="shared" si="88"/>
        <v>#N/A</v>
      </c>
      <c r="T1147" s="3" t="e">
        <f t="shared" si="89"/>
        <v>#N/A</v>
      </c>
    </row>
    <row r="1148" spans="2:20" x14ac:dyDescent="0.35">
      <c r="B1148" t="str">
        <f>IF(NOT(ISBLANK(A1148)),VLOOKUP(A1148,'BBT3'!A:F,2,0),"")</f>
        <v/>
      </c>
      <c r="C1148" t="str">
        <f>IF(NOT(ISBLANK(A1148)),VLOOKUP(A1148,'BBT3'!A:F,3,0),"")</f>
        <v/>
      </c>
      <c r="D1148" s="6" t="str">
        <f>IF(NOT(ISBLANK(A1148)),VLOOKUP(A1148,'BBT3'!A:F,4,1),"")</f>
        <v/>
      </c>
      <c r="E1148" t="str">
        <f>IF(NOT(ISBLANK(A1148)),VLOOKUP(A1148,'BBT3'!A:F,5,0),"")</f>
        <v/>
      </c>
      <c r="F1148" t="str">
        <f>IF(NOT(ISBLANK(A1148)),VLOOKUP(A1148,'BBT3'!A:F,6,0),"")</f>
        <v/>
      </c>
      <c r="G1148" t="str">
        <f>IF(NOT(ISBLANK(A1148)),VLOOKUP(A1148,QW_Close!A:J,5,0),"")</f>
        <v/>
      </c>
      <c r="H1148" s="5" t="str" cm="1">
        <f t="array" ref="H1148">IF(NOT(ISBLANK(A1148)),((_xlfn.XLOOKUP(1,(_bbt3[[#All],[ID]]=A1148)*(_bbt3[[#All],[METRIC_NAME]]="YLD_YTM_ASK"),_bbt3[[#All],[METRIC_VALUE]])*0.5)+(_xlfn.XLOOKUP(1,(_bbt3[[#All],[ID]]=A1148)*(_bbt3[[#All],[METRIC_NAME]]="YLD_YTM_BID"),_bbt3[[#All],[METRIC_VALUE]])*0.5))/100,"")</f>
        <v/>
      </c>
      <c r="I1148">
        <f>IF(ISNA(VLOOKUP(A1148,QW_CloseDL!A:E,5,0)),0,VLOOKUP(A1148,QW_CloseDL!A:E,5,0))</f>
        <v>0</v>
      </c>
      <c r="J1148" s="8" t="str">
        <f t="shared" si="85"/>
        <v/>
      </c>
      <c r="P1148">
        <v>0</v>
      </c>
      <c r="Q1148" t="e">
        <f t="shared" si="86"/>
        <v>#N/A</v>
      </c>
      <c r="R1148" t="e">
        <f t="shared" si="87"/>
        <v>#N/A</v>
      </c>
      <c r="S1148" s="9" t="e">
        <f t="shared" si="88"/>
        <v>#N/A</v>
      </c>
      <c r="T1148" s="3" t="e">
        <f t="shared" si="89"/>
        <v>#N/A</v>
      </c>
    </row>
    <row r="1149" spans="2:20" x14ac:dyDescent="0.35">
      <c r="B1149" t="str">
        <f>IF(NOT(ISBLANK(A1149)),VLOOKUP(A1149,'BBT3'!A:F,2,0),"")</f>
        <v/>
      </c>
      <c r="C1149" t="str">
        <f>IF(NOT(ISBLANK(A1149)),VLOOKUP(A1149,'BBT3'!A:F,3,0),"")</f>
        <v/>
      </c>
      <c r="D1149" s="6" t="str">
        <f>IF(NOT(ISBLANK(A1149)),VLOOKUP(A1149,'BBT3'!A:F,4,1),"")</f>
        <v/>
      </c>
      <c r="E1149" t="str">
        <f>IF(NOT(ISBLANK(A1149)),VLOOKUP(A1149,'BBT3'!A:F,5,0),"")</f>
        <v/>
      </c>
      <c r="F1149" t="str">
        <f>IF(NOT(ISBLANK(A1149)),VLOOKUP(A1149,'BBT3'!A:F,6,0),"")</f>
        <v/>
      </c>
      <c r="G1149" t="str">
        <f>IF(NOT(ISBLANK(A1149)),VLOOKUP(A1149,QW_Close!A:J,5,0),"")</f>
        <v/>
      </c>
      <c r="H1149" s="5" t="str" cm="1">
        <f t="array" ref="H1149">IF(NOT(ISBLANK(A1149)),((_xlfn.XLOOKUP(1,(_bbt3[[#All],[ID]]=A1149)*(_bbt3[[#All],[METRIC_NAME]]="YLD_YTM_ASK"),_bbt3[[#All],[METRIC_VALUE]])*0.5)+(_xlfn.XLOOKUP(1,(_bbt3[[#All],[ID]]=A1149)*(_bbt3[[#All],[METRIC_NAME]]="YLD_YTM_BID"),_bbt3[[#All],[METRIC_VALUE]])*0.5))/100,"")</f>
        <v/>
      </c>
      <c r="I1149">
        <f>IF(ISNA(VLOOKUP(A1149,QW_CloseDL!A:E,5,0)),0,VLOOKUP(A1149,QW_CloseDL!A:E,5,0))</f>
        <v>0</v>
      </c>
      <c r="J1149" s="8" t="str">
        <f t="shared" si="85"/>
        <v/>
      </c>
      <c r="P1149">
        <v>0</v>
      </c>
      <c r="Q1149" t="e">
        <f t="shared" si="86"/>
        <v>#N/A</v>
      </c>
      <c r="R1149" t="e">
        <f t="shared" si="87"/>
        <v>#N/A</v>
      </c>
      <c r="S1149" s="9" t="e">
        <f t="shared" si="88"/>
        <v>#N/A</v>
      </c>
      <c r="T1149" s="3" t="e">
        <f t="shared" si="89"/>
        <v>#N/A</v>
      </c>
    </row>
    <row r="1150" spans="2:20" x14ac:dyDescent="0.35">
      <c r="B1150" t="str">
        <f>IF(NOT(ISBLANK(A1150)),VLOOKUP(A1150,'BBT3'!A:F,2,0),"")</f>
        <v/>
      </c>
      <c r="C1150" t="str">
        <f>IF(NOT(ISBLANK(A1150)),VLOOKUP(A1150,'BBT3'!A:F,3,0),"")</f>
        <v/>
      </c>
      <c r="D1150" s="6" t="str">
        <f>IF(NOT(ISBLANK(A1150)),VLOOKUP(A1150,'BBT3'!A:F,4,1),"")</f>
        <v/>
      </c>
      <c r="E1150" t="str">
        <f>IF(NOT(ISBLANK(A1150)),VLOOKUP(A1150,'BBT3'!A:F,5,0),"")</f>
        <v/>
      </c>
      <c r="F1150" t="str">
        <f>IF(NOT(ISBLANK(A1150)),VLOOKUP(A1150,'BBT3'!A:F,6,0),"")</f>
        <v/>
      </c>
      <c r="G1150" t="str">
        <f>IF(NOT(ISBLANK(A1150)),VLOOKUP(A1150,QW_Close!A:J,5,0),"")</f>
        <v/>
      </c>
      <c r="H1150" s="5" t="str" cm="1">
        <f t="array" ref="H1150">IF(NOT(ISBLANK(A1150)),((_xlfn.XLOOKUP(1,(_bbt3[[#All],[ID]]=A1150)*(_bbt3[[#All],[METRIC_NAME]]="YLD_YTM_ASK"),_bbt3[[#All],[METRIC_VALUE]])*0.5)+(_xlfn.XLOOKUP(1,(_bbt3[[#All],[ID]]=A1150)*(_bbt3[[#All],[METRIC_NAME]]="YLD_YTM_BID"),_bbt3[[#All],[METRIC_VALUE]])*0.5))/100,"")</f>
        <v/>
      </c>
      <c r="I1150">
        <f>IF(ISNA(VLOOKUP(A1150,QW_CloseDL!A:E,5,0)),0,VLOOKUP(A1150,QW_CloseDL!A:E,5,0))</f>
        <v>0</v>
      </c>
      <c r="J1150" s="8" t="str">
        <f t="shared" si="85"/>
        <v/>
      </c>
      <c r="P1150">
        <v>0</v>
      </c>
      <c r="Q1150" t="e">
        <f t="shared" si="86"/>
        <v>#N/A</v>
      </c>
      <c r="R1150" t="e">
        <f t="shared" si="87"/>
        <v>#N/A</v>
      </c>
      <c r="S1150" s="9" t="e">
        <f t="shared" si="88"/>
        <v>#N/A</v>
      </c>
      <c r="T1150" s="3" t="e">
        <f t="shared" si="89"/>
        <v>#N/A</v>
      </c>
    </row>
    <row r="1151" spans="2:20" x14ac:dyDescent="0.35">
      <c r="B1151" t="str">
        <f>IF(NOT(ISBLANK(A1151)),VLOOKUP(A1151,'BBT3'!A:F,2,0),"")</f>
        <v/>
      </c>
      <c r="C1151" t="str">
        <f>IF(NOT(ISBLANK(A1151)),VLOOKUP(A1151,'BBT3'!A:F,3,0),"")</f>
        <v/>
      </c>
      <c r="D1151" s="6" t="str">
        <f>IF(NOT(ISBLANK(A1151)),VLOOKUP(A1151,'BBT3'!A:F,4,1),"")</f>
        <v/>
      </c>
      <c r="E1151" t="str">
        <f>IF(NOT(ISBLANK(A1151)),VLOOKUP(A1151,'BBT3'!A:F,5,0),"")</f>
        <v/>
      </c>
      <c r="F1151" t="str">
        <f>IF(NOT(ISBLANK(A1151)),VLOOKUP(A1151,'BBT3'!A:F,6,0),"")</f>
        <v/>
      </c>
      <c r="G1151" t="str">
        <f>IF(NOT(ISBLANK(A1151)),VLOOKUP(A1151,QW_Close!A:J,5,0),"")</f>
        <v/>
      </c>
      <c r="H1151" s="5" t="str" cm="1">
        <f t="array" ref="H1151">IF(NOT(ISBLANK(A1151)),((_xlfn.XLOOKUP(1,(_bbt3[[#All],[ID]]=A1151)*(_bbt3[[#All],[METRIC_NAME]]="YLD_YTM_ASK"),_bbt3[[#All],[METRIC_VALUE]])*0.5)+(_xlfn.XLOOKUP(1,(_bbt3[[#All],[ID]]=A1151)*(_bbt3[[#All],[METRIC_NAME]]="YLD_YTM_BID"),_bbt3[[#All],[METRIC_VALUE]])*0.5))/100,"")</f>
        <v/>
      </c>
      <c r="I1151">
        <f>IF(ISNA(VLOOKUP(A1151,QW_CloseDL!A:E,5,0)),0,VLOOKUP(A1151,QW_CloseDL!A:E,5,0))</f>
        <v>0</v>
      </c>
      <c r="J1151" s="8" t="str">
        <f t="shared" si="85"/>
        <v/>
      </c>
      <c r="P1151">
        <v>0</v>
      </c>
      <c r="Q1151" t="e">
        <f t="shared" si="86"/>
        <v>#N/A</v>
      </c>
      <c r="R1151" t="e">
        <f t="shared" si="87"/>
        <v>#N/A</v>
      </c>
      <c r="S1151" s="9" t="e">
        <f t="shared" si="88"/>
        <v>#N/A</v>
      </c>
      <c r="T1151" s="3" t="e">
        <f t="shared" si="89"/>
        <v>#N/A</v>
      </c>
    </row>
    <row r="1152" spans="2:20" x14ac:dyDescent="0.35">
      <c r="B1152" t="str">
        <f>IF(NOT(ISBLANK(A1152)),VLOOKUP(A1152,'BBT3'!A:F,2,0),"")</f>
        <v/>
      </c>
      <c r="C1152" t="str">
        <f>IF(NOT(ISBLANK(A1152)),VLOOKUP(A1152,'BBT3'!A:F,3,0),"")</f>
        <v/>
      </c>
      <c r="D1152" s="6" t="str">
        <f>IF(NOT(ISBLANK(A1152)),VLOOKUP(A1152,'BBT3'!A:F,4,1),"")</f>
        <v/>
      </c>
      <c r="E1152" t="str">
        <f>IF(NOT(ISBLANK(A1152)),VLOOKUP(A1152,'BBT3'!A:F,5,0),"")</f>
        <v/>
      </c>
      <c r="F1152" t="str">
        <f>IF(NOT(ISBLANK(A1152)),VLOOKUP(A1152,'BBT3'!A:F,6,0),"")</f>
        <v/>
      </c>
      <c r="G1152" t="str">
        <f>IF(NOT(ISBLANK(A1152)),VLOOKUP(A1152,QW_Close!A:J,5,0),"")</f>
        <v/>
      </c>
      <c r="H1152" s="5" t="str" cm="1">
        <f t="array" ref="H1152">IF(NOT(ISBLANK(A1152)),((_xlfn.XLOOKUP(1,(_bbt3[[#All],[ID]]=A1152)*(_bbt3[[#All],[METRIC_NAME]]="YLD_YTM_ASK"),_bbt3[[#All],[METRIC_VALUE]])*0.5)+(_xlfn.XLOOKUP(1,(_bbt3[[#All],[ID]]=A1152)*(_bbt3[[#All],[METRIC_NAME]]="YLD_YTM_BID"),_bbt3[[#All],[METRIC_VALUE]])*0.5))/100,"")</f>
        <v/>
      </c>
      <c r="I1152">
        <f>IF(ISNA(VLOOKUP(A1152,QW_CloseDL!A:E,5,0)),0,VLOOKUP(A1152,QW_CloseDL!A:E,5,0))</f>
        <v>0</v>
      </c>
      <c r="J1152" s="8" t="str">
        <f t="shared" si="85"/>
        <v/>
      </c>
      <c r="P1152">
        <v>0</v>
      </c>
      <c r="Q1152" t="e">
        <f t="shared" si="86"/>
        <v>#N/A</v>
      </c>
      <c r="R1152" t="e">
        <f t="shared" si="87"/>
        <v>#N/A</v>
      </c>
      <c r="S1152" s="9" t="e">
        <f t="shared" si="88"/>
        <v>#N/A</v>
      </c>
      <c r="T1152" s="3" t="e">
        <f t="shared" si="89"/>
        <v>#N/A</v>
      </c>
    </row>
    <row r="1153" spans="2:20" x14ac:dyDescent="0.35">
      <c r="B1153" t="str">
        <f>IF(NOT(ISBLANK(A1153)),VLOOKUP(A1153,'BBT3'!A:F,2,0),"")</f>
        <v/>
      </c>
      <c r="C1153" t="str">
        <f>IF(NOT(ISBLANK(A1153)),VLOOKUP(A1153,'BBT3'!A:F,3,0),"")</f>
        <v/>
      </c>
      <c r="D1153" s="6" t="str">
        <f>IF(NOT(ISBLANK(A1153)),VLOOKUP(A1153,'BBT3'!A:F,4,1),"")</f>
        <v/>
      </c>
      <c r="E1153" t="str">
        <f>IF(NOT(ISBLANK(A1153)),VLOOKUP(A1153,'BBT3'!A:F,5,0),"")</f>
        <v/>
      </c>
      <c r="F1153" t="str">
        <f>IF(NOT(ISBLANK(A1153)),VLOOKUP(A1153,'BBT3'!A:F,6,0),"")</f>
        <v/>
      </c>
      <c r="G1153" t="str">
        <f>IF(NOT(ISBLANK(A1153)),VLOOKUP(A1153,QW_Close!A:J,5,0),"")</f>
        <v/>
      </c>
      <c r="H1153" s="5" t="str" cm="1">
        <f t="array" ref="H1153">IF(NOT(ISBLANK(A1153)),((_xlfn.XLOOKUP(1,(_bbt3[[#All],[ID]]=A1153)*(_bbt3[[#All],[METRIC_NAME]]="YLD_YTM_ASK"),_bbt3[[#All],[METRIC_VALUE]])*0.5)+(_xlfn.XLOOKUP(1,(_bbt3[[#All],[ID]]=A1153)*(_bbt3[[#All],[METRIC_NAME]]="YLD_YTM_BID"),_bbt3[[#All],[METRIC_VALUE]])*0.5))/100,"")</f>
        <v/>
      </c>
      <c r="I1153">
        <f>IF(ISNA(VLOOKUP(A1153,QW_CloseDL!A:E,5,0)),0,VLOOKUP(A1153,QW_CloseDL!A:E,5,0))</f>
        <v>0</v>
      </c>
      <c r="J1153" s="8" t="str">
        <f t="shared" si="85"/>
        <v/>
      </c>
      <c r="P1153">
        <v>0</v>
      </c>
      <c r="Q1153" t="e">
        <f t="shared" si="86"/>
        <v>#N/A</v>
      </c>
      <c r="R1153" t="e">
        <f t="shared" si="87"/>
        <v>#N/A</v>
      </c>
      <c r="S1153" s="9" t="e">
        <f t="shared" si="88"/>
        <v>#N/A</v>
      </c>
      <c r="T1153" s="3" t="e">
        <f t="shared" si="89"/>
        <v>#N/A</v>
      </c>
    </row>
    <row r="1154" spans="2:20" x14ac:dyDescent="0.35">
      <c r="B1154" t="str">
        <f>IF(NOT(ISBLANK(A1154)),VLOOKUP(A1154,'BBT3'!A:F,2,0),"")</f>
        <v/>
      </c>
      <c r="C1154" t="str">
        <f>IF(NOT(ISBLANK(A1154)),VLOOKUP(A1154,'BBT3'!A:F,3,0),"")</f>
        <v/>
      </c>
      <c r="D1154" s="6" t="str">
        <f>IF(NOT(ISBLANK(A1154)),VLOOKUP(A1154,'BBT3'!A:F,4,1),"")</f>
        <v/>
      </c>
      <c r="E1154" t="str">
        <f>IF(NOT(ISBLANK(A1154)),VLOOKUP(A1154,'BBT3'!A:F,5,0),"")</f>
        <v/>
      </c>
      <c r="F1154" t="str">
        <f>IF(NOT(ISBLANK(A1154)),VLOOKUP(A1154,'BBT3'!A:F,6,0),"")</f>
        <v/>
      </c>
      <c r="G1154" t="str">
        <f>IF(NOT(ISBLANK(A1154)),VLOOKUP(A1154,QW_Close!A:J,5,0),"")</f>
        <v/>
      </c>
      <c r="H1154" s="5" t="str" cm="1">
        <f t="array" ref="H1154">IF(NOT(ISBLANK(A1154)),((_xlfn.XLOOKUP(1,(_bbt3[[#All],[ID]]=A1154)*(_bbt3[[#All],[METRIC_NAME]]="YLD_YTM_ASK"),_bbt3[[#All],[METRIC_VALUE]])*0.5)+(_xlfn.XLOOKUP(1,(_bbt3[[#All],[ID]]=A1154)*(_bbt3[[#All],[METRIC_NAME]]="YLD_YTM_BID"),_bbt3[[#All],[METRIC_VALUE]])*0.5))/100,"")</f>
        <v/>
      </c>
      <c r="I1154">
        <f>IF(ISNA(VLOOKUP(A1154,QW_CloseDL!A:E,5,0)),0,VLOOKUP(A1154,QW_CloseDL!A:E,5,0))</f>
        <v>0</v>
      </c>
      <c r="J1154" s="8" t="str">
        <f t="shared" si="85"/>
        <v/>
      </c>
      <c r="P1154">
        <v>0</v>
      </c>
      <c r="Q1154" t="e">
        <f t="shared" si="86"/>
        <v>#N/A</v>
      </c>
      <c r="R1154" t="e">
        <f t="shared" si="87"/>
        <v>#N/A</v>
      </c>
      <c r="S1154" s="9" t="e">
        <f t="shared" si="88"/>
        <v>#N/A</v>
      </c>
      <c r="T1154" s="3" t="e">
        <f t="shared" si="89"/>
        <v>#N/A</v>
      </c>
    </row>
    <row r="1155" spans="2:20" x14ac:dyDescent="0.35">
      <c r="B1155" t="str">
        <f>IF(NOT(ISBLANK(A1155)),VLOOKUP(A1155,'BBT3'!A:F,2,0),"")</f>
        <v/>
      </c>
      <c r="C1155" t="str">
        <f>IF(NOT(ISBLANK(A1155)),VLOOKUP(A1155,'BBT3'!A:F,3,0),"")</f>
        <v/>
      </c>
      <c r="D1155" s="6" t="str">
        <f>IF(NOT(ISBLANK(A1155)),VLOOKUP(A1155,'BBT3'!A:F,4,1),"")</f>
        <v/>
      </c>
      <c r="E1155" t="str">
        <f>IF(NOT(ISBLANK(A1155)),VLOOKUP(A1155,'BBT3'!A:F,5,0),"")</f>
        <v/>
      </c>
      <c r="F1155" t="str">
        <f>IF(NOT(ISBLANK(A1155)),VLOOKUP(A1155,'BBT3'!A:F,6,0),"")</f>
        <v/>
      </c>
      <c r="G1155" t="str">
        <f>IF(NOT(ISBLANK(A1155)),VLOOKUP(A1155,QW_Close!A:J,5,0),"")</f>
        <v/>
      </c>
      <c r="H1155" s="5" t="str" cm="1">
        <f t="array" ref="H1155">IF(NOT(ISBLANK(A1155)),((_xlfn.XLOOKUP(1,(_bbt3[[#All],[ID]]=A1155)*(_bbt3[[#All],[METRIC_NAME]]="YLD_YTM_ASK"),_bbt3[[#All],[METRIC_VALUE]])*0.5)+(_xlfn.XLOOKUP(1,(_bbt3[[#All],[ID]]=A1155)*(_bbt3[[#All],[METRIC_NAME]]="YLD_YTM_BID"),_bbt3[[#All],[METRIC_VALUE]])*0.5))/100,"")</f>
        <v/>
      </c>
      <c r="I1155">
        <f>IF(ISNA(VLOOKUP(A1155,QW_CloseDL!A:E,5,0)),0,VLOOKUP(A1155,QW_CloseDL!A:E,5,0))</f>
        <v>0</v>
      </c>
      <c r="J1155" s="8" t="str">
        <f t="shared" ref="J1155:J1218" si="90">IF(ISNA(IF(NOT(ISBLANK(A1155)),ABS(G1155-I1155),"")),0,(IF(NOT(ISBLANK(A1155)),ABS(G1155-I1155)*10000,"")))</f>
        <v/>
      </c>
      <c r="P1155">
        <v>0</v>
      </c>
      <c r="Q1155" t="e">
        <f t="shared" si="86"/>
        <v>#N/A</v>
      </c>
      <c r="R1155" t="e">
        <f t="shared" si="87"/>
        <v>#N/A</v>
      </c>
      <c r="S1155" s="9" t="e">
        <f t="shared" si="88"/>
        <v>#N/A</v>
      </c>
      <c r="T1155" s="3" t="e">
        <f t="shared" si="89"/>
        <v>#N/A</v>
      </c>
    </row>
    <row r="1156" spans="2:20" x14ac:dyDescent="0.35">
      <c r="B1156" t="str">
        <f>IF(NOT(ISBLANK(A1156)),VLOOKUP(A1156,'BBT3'!A:F,2,0),"")</f>
        <v/>
      </c>
      <c r="C1156" t="str">
        <f>IF(NOT(ISBLANK(A1156)),VLOOKUP(A1156,'BBT3'!A:F,3,0),"")</f>
        <v/>
      </c>
      <c r="D1156" s="6" t="str">
        <f>IF(NOT(ISBLANK(A1156)),VLOOKUP(A1156,'BBT3'!A:F,4,1),"")</f>
        <v/>
      </c>
      <c r="E1156" t="str">
        <f>IF(NOT(ISBLANK(A1156)),VLOOKUP(A1156,'BBT3'!A:F,5,0),"")</f>
        <v/>
      </c>
      <c r="F1156" t="str">
        <f>IF(NOT(ISBLANK(A1156)),VLOOKUP(A1156,'BBT3'!A:F,6,0),"")</f>
        <v/>
      </c>
      <c r="G1156" t="str">
        <f>IF(NOT(ISBLANK(A1156)),VLOOKUP(A1156,QW_Close!A:J,5,0),"")</f>
        <v/>
      </c>
      <c r="H1156" s="5" t="str" cm="1">
        <f t="array" ref="H1156">IF(NOT(ISBLANK(A1156)),((_xlfn.XLOOKUP(1,(_bbt3[[#All],[ID]]=A1156)*(_bbt3[[#All],[METRIC_NAME]]="YLD_YTM_ASK"),_bbt3[[#All],[METRIC_VALUE]])*0.5)+(_xlfn.XLOOKUP(1,(_bbt3[[#All],[ID]]=A1156)*(_bbt3[[#All],[METRIC_NAME]]="YLD_YTM_BID"),_bbt3[[#All],[METRIC_VALUE]])*0.5))/100,"")</f>
        <v/>
      </c>
      <c r="I1156">
        <f>IF(ISNA(VLOOKUP(A1156,QW_CloseDL!A:E,5,0)),0,VLOOKUP(A1156,QW_CloseDL!A:E,5,0))</f>
        <v>0</v>
      </c>
      <c r="J1156" s="8" t="str">
        <f t="shared" si="90"/>
        <v/>
      </c>
      <c r="P1156">
        <v>0</v>
      </c>
      <c r="Q1156" t="e">
        <f t="shared" si="86"/>
        <v>#N/A</v>
      </c>
      <c r="R1156" t="e">
        <f t="shared" si="87"/>
        <v>#N/A</v>
      </c>
      <c r="S1156" s="9" t="e">
        <f t="shared" si="88"/>
        <v>#N/A</v>
      </c>
      <c r="T1156" s="3" t="e">
        <f t="shared" si="89"/>
        <v>#N/A</v>
      </c>
    </row>
    <row r="1157" spans="2:20" x14ac:dyDescent="0.35">
      <c r="B1157" t="str">
        <f>IF(NOT(ISBLANK(A1157)),VLOOKUP(A1157,'BBT3'!A:F,2,0),"")</f>
        <v/>
      </c>
      <c r="C1157" t="str">
        <f>IF(NOT(ISBLANK(A1157)),VLOOKUP(A1157,'BBT3'!A:F,3,0),"")</f>
        <v/>
      </c>
      <c r="D1157" s="6" t="str">
        <f>IF(NOT(ISBLANK(A1157)),VLOOKUP(A1157,'BBT3'!A:F,4,1),"")</f>
        <v/>
      </c>
      <c r="E1157" t="str">
        <f>IF(NOT(ISBLANK(A1157)),VLOOKUP(A1157,'BBT3'!A:F,5,0),"")</f>
        <v/>
      </c>
      <c r="F1157" t="str">
        <f>IF(NOT(ISBLANK(A1157)),VLOOKUP(A1157,'BBT3'!A:F,6,0),"")</f>
        <v/>
      </c>
      <c r="G1157" t="str">
        <f>IF(NOT(ISBLANK(A1157)),VLOOKUP(A1157,QW_Close!A:J,5,0),"")</f>
        <v/>
      </c>
      <c r="H1157" s="5" t="str" cm="1">
        <f t="array" ref="H1157">IF(NOT(ISBLANK(A1157)),((_xlfn.XLOOKUP(1,(_bbt3[[#All],[ID]]=A1157)*(_bbt3[[#All],[METRIC_NAME]]="YLD_YTM_ASK"),_bbt3[[#All],[METRIC_VALUE]])*0.5)+(_xlfn.XLOOKUP(1,(_bbt3[[#All],[ID]]=A1157)*(_bbt3[[#All],[METRIC_NAME]]="YLD_YTM_BID"),_bbt3[[#All],[METRIC_VALUE]])*0.5))/100,"")</f>
        <v/>
      </c>
      <c r="I1157">
        <f>IF(ISNA(VLOOKUP(A1157,QW_CloseDL!A:E,5,0)),0,VLOOKUP(A1157,QW_CloseDL!A:E,5,0))</f>
        <v>0</v>
      </c>
      <c r="J1157" s="8" t="str">
        <f t="shared" si="90"/>
        <v/>
      </c>
      <c r="P1157">
        <v>0</v>
      </c>
      <c r="Q1157" t="e">
        <f t="shared" si="86"/>
        <v>#N/A</v>
      </c>
      <c r="R1157" t="e">
        <f t="shared" si="87"/>
        <v>#N/A</v>
      </c>
      <c r="S1157" s="9" t="e">
        <f t="shared" si="88"/>
        <v>#N/A</v>
      </c>
      <c r="T1157" s="3" t="e">
        <f t="shared" si="89"/>
        <v>#N/A</v>
      </c>
    </row>
    <row r="1158" spans="2:20" x14ac:dyDescent="0.35">
      <c r="B1158" t="str">
        <f>IF(NOT(ISBLANK(A1158)),VLOOKUP(A1158,'BBT3'!A:F,2,0),"")</f>
        <v/>
      </c>
      <c r="C1158" t="str">
        <f>IF(NOT(ISBLANK(A1158)),VLOOKUP(A1158,'BBT3'!A:F,3,0),"")</f>
        <v/>
      </c>
      <c r="D1158" s="6" t="str">
        <f>IF(NOT(ISBLANK(A1158)),VLOOKUP(A1158,'BBT3'!A:F,4,1),"")</f>
        <v/>
      </c>
      <c r="E1158" t="str">
        <f>IF(NOT(ISBLANK(A1158)),VLOOKUP(A1158,'BBT3'!A:F,5,0),"")</f>
        <v/>
      </c>
      <c r="F1158" t="str">
        <f>IF(NOT(ISBLANK(A1158)),VLOOKUP(A1158,'BBT3'!A:F,6,0),"")</f>
        <v/>
      </c>
      <c r="G1158" t="str">
        <f>IF(NOT(ISBLANK(A1158)),VLOOKUP(A1158,QW_Close!A:J,5,0),"")</f>
        <v/>
      </c>
      <c r="H1158" s="5" t="str" cm="1">
        <f t="array" ref="H1158">IF(NOT(ISBLANK(A1158)),((_xlfn.XLOOKUP(1,(_bbt3[[#All],[ID]]=A1158)*(_bbt3[[#All],[METRIC_NAME]]="YLD_YTM_ASK"),_bbt3[[#All],[METRIC_VALUE]])*0.5)+(_xlfn.XLOOKUP(1,(_bbt3[[#All],[ID]]=A1158)*(_bbt3[[#All],[METRIC_NAME]]="YLD_YTM_BID"),_bbt3[[#All],[METRIC_VALUE]])*0.5))/100,"")</f>
        <v/>
      </c>
      <c r="I1158">
        <f>IF(ISNA(VLOOKUP(A1158,QW_CloseDL!A:E,5,0)),0,VLOOKUP(A1158,QW_CloseDL!A:E,5,0))</f>
        <v>0</v>
      </c>
      <c r="J1158" s="8" t="str">
        <f t="shared" si="90"/>
        <v/>
      </c>
      <c r="P1158">
        <v>0</v>
      </c>
      <c r="Q1158" t="e">
        <f t="shared" si="86"/>
        <v>#N/A</v>
      </c>
      <c r="R1158" t="e">
        <f t="shared" si="87"/>
        <v>#N/A</v>
      </c>
      <c r="S1158" s="9" t="e">
        <f t="shared" si="88"/>
        <v>#N/A</v>
      </c>
      <c r="T1158" s="3" t="e">
        <f t="shared" si="89"/>
        <v>#N/A</v>
      </c>
    </row>
    <row r="1159" spans="2:20" x14ac:dyDescent="0.35">
      <c r="B1159" t="str">
        <f>IF(NOT(ISBLANK(A1159)),VLOOKUP(A1159,'BBT3'!A:F,2,0),"")</f>
        <v/>
      </c>
      <c r="C1159" t="str">
        <f>IF(NOT(ISBLANK(A1159)),VLOOKUP(A1159,'BBT3'!A:F,3,0),"")</f>
        <v/>
      </c>
      <c r="D1159" s="6" t="str">
        <f>IF(NOT(ISBLANK(A1159)),VLOOKUP(A1159,'BBT3'!A:F,4,1),"")</f>
        <v/>
      </c>
      <c r="E1159" t="str">
        <f>IF(NOT(ISBLANK(A1159)),VLOOKUP(A1159,'BBT3'!A:F,5,0),"")</f>
        <v/>
      </c>
      <c r="F1159" t="str">
        <f>IF(NOT(ISBLANK(A1159)),VLOOKUP(A1159,'BBT3'!A:F,6,0),"")</f>
        <v/>
      </c>
      <c r="G1159" t="str">
        <f>IF(NOT(ISBLANK(A1159)),VLOOKUP(A1159,QW_Close!A:J,5,0),"")</f>
        <v/>
      </c>
      <c r="H1159" s="5" t="str" cm="1">
        <f t="array" ref="H1159">IF(NOT(ISBLANK(A1159)),((_xlfn.XLOOKUP(1,(_bbt3[[#All],[ID]]=A1159)*(_bbt3[[#All],[METRIC_NAME]]="YLD_YTM_ASK"),_bbt3[[#All],[METRIC_VALUE]])*0.5)+(_xlfn.XLOOKUP(1,(_bbt3[[#All],[ID]]=A1159)*(_bbt3[[#All],[METRIC_NAME]]="YLD_YTM_BID"),_bbt3[[#All],[METRIC_VALUE]])*0.5))/100,"")</f>
        <v/>
      </c>
      <c r="I1159">
        <f>IF(ISNA(VLOOKUP(A1159,QW_CloseDL!A:E,5,0)),0,VLOOKUP(A1159,QW_CloseDL!A:E,5,0))</f>
        <v>0</v>
      </c>
      <c r="J1159" s="8" t="str">
        <f t="shared" si="90"/>
        <v/>
      </c>
      <c r="P1159">
        <v>0</v>
      </c>
      <c r="Q1159" t="e">
        <f t="shared" si="86"/>
        <v>#N/A</v>
      </c>
      <c r="R1159" t="e">
        <f t="shared" si="87"/>
        <v>#N/A</v>
      </c>
      <c r="S1159" s="9" t="e">
        <f t="shared" si="88"/>
        <v>#N/A</v>
      </c>
      <c r="T1159" s="3" t="e">
        <f t="shared" si="89"/>
        <v>#N/A</v>
      </c>
    </row>
    <row r="1160" spans="2:20" x14ac:dyDescent="0.35">
      <c r="B1160" t="str">
        <f>IF(NOT(ISBLANK(A1160)),VLOOKUP(A1160,'BBT3'!A:F,2,0),"")</f>
        <v/>
      </c>
      <c r="C1160" t="str">
        <f>IF(NOT(ISBLANK(A1160)),VLOOKUP(A1160,'BBT3'!A:F,3,0),"")</f>
        <v/>
      </c>
      <c r="D1160" s="6" t="str">
        <f>IF(NOT(ISBLANK(A1160)),VLOOKUP(A1160,'BBT3'!A:F,4,1),"")</f>
        <v/>
      </c>
      <c r="E1160" t="str">
        <f>IF(NOT(ISBLANK(A1160)),VLOOKUP(A1160,'BBT3'!A:F,5,0),"")</f>
        <v/>
      </c>
      <c r="F1160" t="str">
        <f>IF(NOT(ISBLANK(A1160)),VLOOKUP(A1160,'BBT3'!A:F,6,0),"")</f>
        <v/>
      </c>
      <c r="G1160" t="str">
        <f>IF(NOT(ISBLANK(A1160)),VLOOKUP(A1160,QW_Close!A:J,5,0),"")</f>
        <v/>
      </c>
      <c r="H1160" s="5" t="str" cm="1">
        <f t="array" ref="H1160">IF(NOT(ISBLANK(A1160)),((_xlfn.XLOOKUP(1,(_bbt3[[#All],[ID]]=A1160)*(_bbt3[[#All],[METRIC_NAME]]="YLD_YTM_ASK"),_bbt3[[#All],[METRIC_VALUE]])*0.5)+(_xlfn.XLOOKUP(1,(_bbt3[[#All],[ID]]=A1160)*(_bbt3[[#All],[METRIC_NAME]]="YLD_YTM_BID"),_bbt3[[#All],[METRIC_VALUE]])*0.5))/100,"")</f>
        <v/>
      </c>
      <c r="I1160">
        <f>IF(ISNA(VLOOKUP(A1160,QW_CloseDL!A:E,5,0)),0,VLOOKUP(A1160,QW_CloseDL!A:E,5,0))</f>
        <v>0</v>
      </c>
      <c r="J1160" s="8" t="str">
        <f t="shared" si="90"/>
        <v/>
      </c>
      <c r="P1160">
        <v>0</v>
      </c>
      <c r="Q1160" t="e">
        <f t="shared" si="86"/>
        <v>#N/A</v>
      </c>
      <c r="R1160" t="e">
        <f t="shared" si="87"/>
        <v>#N/A</v>
      </c>
      <c r="S1160" s="9" t="e">
        <f t="shared" si="88"/>
        <v>#N/A</v>
      </c>
      <c r="T1160" s="3" t="e">
        <f t="shared" si="89"/>
        <v>#N/A</v>
      </c>
    </row>
    <row r="1161" spans="2:20" x14ac:dyDescent="0.35">
      <c r="B1161" t="str">
        <f>IF(NOT(ISBLANK(A1161)),VLOOKUP(A1161,'BBT3'!A:F,2,0),"")</f>
        <v/>
      </c>
      <c r="C1161" t="str">
        <f>IF(NOT(ISBLANK(A1161)),VLOOKUP(A1161,'BBT3'!A:F,3,0),"")</f>
        <v/>
      </c>
      <c r="D1161" s="6" t="str">
        <f>IF(NOT(ISBLANK(A1161)),VLOOKUP(A1161,'BBT3'!A:F,4,1),"")</f>
        <v/>
      </c>
      <c r="E1161" t="str">
        <f>IF(NOT(ISBLANK(A1161)),VLOOKUP(A1161,'BBT3'!A:F,5,0),"")</f>
        <v/>
      </c>
      <c r="F1161" t="str">
        <f>IF(NOT(ISBLANK(A1161)),VLOOKUP(A1161,'BBT3'!A:F,6,0),"")</f>
        <v/>
      </c>
      <c r="G1161" t="str">
        <f>IF(NOT(ISBLANK(A1161)),VLOOKUP(A1161,QW_Close!A:J,5,0),"")</f>
        <v/>
      </c>
      <c r="H1161" s="5" t="str" cm="1">
        <f t="array" ref="H1161">IF(NOT(ISBLANK(A1161)),((_xlfn.XLOOKUP(1,(_bbt3[[#All],[ID]]=A1161)*(_bbt3[[#All],[METRIC_NAME]]="YLD_YTM_ASK"),_bbt3[[#All],[METRIC_VALUE]])*0.5)+(_xlfn.XLOOKUP(1,(_bbt3[[#All],[ID]]=A1161)*(_bbt3[[#All],[METRIC_NAME]]="YLD_YTM_BID"),_bbt3[[#All],[METRIC_VALUE]])*0.5))/100,"")</f>
        <v/>
      </c>
      <c r="I1161">
        <f>IF(ISNA(VLOOKUP(A1161,QW_CloseDL!A:E,5,0)),0,VLOOKUP(A1161,QW_CloseDL!A:E,5,0))</f>
        <v>0</v>
      </c>
      <c r="J1161" s="8" t="str">
        <f t="shared" si="90"/>
        <v/>
      </c>
      <c r="P1161">
        <v>0</v>
      </c>
      <c r="Q1161" t="e">
        <f t="shared" si="86"/>
        <v>#N/A</v>
      </c>
      <c r="R1161" t="e">
        <f t="shared" si="87"/>
        <v>#N/A</v>
      </c>
      <c r="S1161" s="9" t="e">
        <f t="shared" si="88"/>
        <v>#N/A</v>
      </c>
      <c r="T1161" s="3" t="e">
        <f t="shared" si="89"/>
        <v>#N/A</v>
      </c>
    </row>
    <row r="1162" spans="2:20" x14ac:dyDescent="0.35">
      <c r="B1162" t="str">
        <f>IF(NOT(ISBLANK(A1162)),VLOOKUP(A1162,'BBT3'!A:F,2,0),"")</f>
        <v/>
      </c>
      <c r="C1162" t="str">
        <f>IF(NOT(ISBLANK(A1162)),VLOOKUP(A1162,'BBT3'!A:F,3,0),"")</f>
        <v/>
      </c>
      <c r="D1162" s="6" t="str">
        <f>IF(NOT(ISBLANK(A1162)),VLOOKUP(A1162,'BBT3'!A:F,4,1),"")</f>
        <v/>
      </c>
      <c r="E1162" t="str">
        <f>IF(NOT(ISBLANK(A1162)),VLOOKUP(A1162,'BBT3'!A:F,5,0),"")</f>
        <v/>
      </c>
      <c r="F1162" t="str">
        <f>IF(NOT(ISBLANK(A1162)),VLOOKUP(A1162,'BBT3'!A:F,6,0),"")</f>
        <v/>
      </c>
      <c r="G1162" t="str">
        <f>IF(NOT(ISBLANK(A1162)),VLOOKUP(A1162,QW_Close!A:J,5,0),"")</f>
        <v/>
      </c>
      <c r="H1162" s="5" t="str" cm="1">
        <f t="array" ref="H1162">IF(NOT(ISBLANK(A1162)),((_xlfn.XLOOKUP(1,(_bbt3[[#All],[ID]]=A1162)*(_bbt3[[#All],[METRIC_NAME]]="YLD_YTM_ASK"),_bbt3[[#All],[METRIC_VALUE]])*0.5)+(_xlfn.XLOOKUP(1,(_bbt3[[#All],[ID]]=A1162)*(_bbt3[[#All],[METRIC_NAME]]="YLD_YTM_BID"),_bbt3[[#All],[METRIC_VALUE]])*0.5))/100,"")</f>
        <v/>
      </c>
      <c r="I1162">
        <f>IF(ISNA(VLOOKUP(A1162,QW_CloseDL!A:E,5,0)),0,VLOOKUP(A1162,QW_CloseDL!A:E,5,0))</f>
        <v>0</v>
      </c>
      <c r="J1162" s="8" t="str">
        <f t="shared" si="90"/>
        <v/>
      </c>
      <c r="P1162">
        <v>0</v>
      </c>
      <c r="Q1162" t="e">
        <f t="shared" si="86"/>
        <v>#N/A</v>
      </c>
      <c r="R1162" t="e">
        <f t="shared" si="87"/>
        <v>#N/A</v>
      </c>
      <c r="S1162" s="9" t="e">
        <f t="shared" si="88"/>
        <v>#N/A</v>
      </c>
      <c r="T1162" s="3" t="e">
        <f t="shared" si="89"/>
        <v>#N/A</v>
      </c>
    </row>
    <row r="1163" spans="2:20" x14ac:dyDescent="0.35">
      <c r="B1163" t="str">
        <f>IF(NOT(ISBLANK(A1163)),VLOOKUP(A1163,'BBT3'!A:F,2,0),"")</f>
        <v/>
      </c>
      <c r="C1163" t="str">
        <f>IF(NOT(ISBLANK(A1163)),VLOOKUP(A1163,'BBT3'!A:F,3,0),"")</f>
        <v/>
      </c>
      <c r="D1163" s="6" t="str">
        <f>IF(NOT(ISBLANK(A1163)),VLOOKUP(A1163,'BBT3'!A:F,4,1),"")</f>
        <v/>
      </c>
      <c r="E1163" t="str">
        <f>IF(NOT(ISBLANK(A1163)),VLOOKUP(A1163,'BBT3'!A:F,5,0),"")</f>
        <v/>
      </c>
      <c r="F1163" t="str">
        <f>IF(NOT(ISBLANK(A1163)),VLOOKUP(A1163,'BBT3'!A:F,6,0),"")</f>
        <v/>
      </c>
      <c r="G1163" t="str">
        <f>IF(NOT(ISBLANK(A1163)),VLOOKUP(A1163,QW_Close!A:J,5,0),"")</f>
        <v/>
      </c>
      <c r="H1163" s="5" t="str" cm="1">
        <f t="array" ref="H1163">IF(NOT(ISBLANK(A1163)),((_xlfn.XLOOKUP(1,(_bbt3[[#All],[ID]]=A1163)*(_bbt3[[#All],[METRIC_NAME]]="YLD_YTM_ASK"),_bbt3[[#All],[METRIC_VALUE]])*0.5)+(_xlfn.XLOOKUP(1,(_bbt3[[#All],[ID]]=A1163)*(_bbt3[[#All],[METRIC_NAME]]="YLD_YTM_BID"),_bbt3[[#All],[METRIC_VALUE]])*0.5))/100,"")</f>
        <v/>
      </c>
      <c r="I1163">
        <f>IF(ISNA(VLOOKUP(A1163,QW_CloseDL!A:E,5,0)),0,VLOOKUP(A1163,QW_CloseDL!A:E,5,0))</f>
        <v>0</v>
      </c>
      <c r="J1163" s="8" t="str">
        <f t="shared" si="90"/>
        <v/>
      </c>
      <c r="P1163">
        <v>0</v>
      </c>
      <c r="Q1163" t="e">
        <f t="shared" si="86"/>
        <v>#N/A</v>
      </c>
      <c r="R1163" t="e">
        <f t="shared" si="87"/>
        <v>#N/A</v>
      </c>
      <c r="S1163" s="9" t="e">
        <f t="shared" si="88"/>
        <v>#N/A</v>
      </c>
      <c r="T1163" s="3" t="e">
        <f t="shared" si="89"/>
        <v>#N/A</v>
      </c>
    </row>
    <row r="1164" spans="2:20" x14ac:dyDescent="0.35">
      <c r="B1164" t="str">
        <f>IF(NOT(ISBLANK(A1164)),VLOOKUP(A1164,'BBT3'!A:F,2,0),"")</f>
        <v/>
      </c>
      <c r="C1164" t="str">
        <f>IF(NOT(ISBLANK(A1164)),VLOOKUP(A1164,'BBT3'!A:F,3,0),"")</f>
        <v/>
      </c>
      <c r="D1164" s="6" t="str">
        <f>IF(NOT(ISBLANK(A1164)),VLOOKUP(A1164,'BBT3'!A:F,4,1),"")</f>
        <v/>
      </c>
      <c r="E1164" t="str">
        <f>IF(NOT(ISBLANK(A1164)),VLOOKUP(A1164,'BBT3'!A:F,5,0),"")</f>
        <v/>
      </c>
      <c r="F1164" t="str">
        <f>IF(NOT(ISBLANK(A1164)),VLOOKUP(A1164,'BBT3'!A:F,6,0),"")</f>
        <v/>
      </c>
      <c r="G1164" t="str">
        <f>IF(NOT(ISBLANK(A1164)),VLOOKUP(A1164,QW_Close!A:J,5,0),"")</f>
        <v/>
      </c>
      <c r="H1164" s="5" t="str" cm="1">
        <f t="array" ref="H1164">IF(NOT(ISBLANK(A1164)),((_xlfn.XLOOKUP(1,(_bbt3[[#All],[ID]]=A1164)*(_bbt3[[#All],[METRIC_NAME]]="YLD_YTM_ASK"),_bbt3[[#All],[METRIC_VALUE]])*0.5)+(_xlfn.XLOOKUP(1,(_bbt3[[#All],[ID]]=A1164)*(_bbt3[[#All],[METRIC_NAME]]="YLD_YTM_BID"),_bbt3[[#All],[METRIC_VALUE]])*0.5))/100,"")</f>
        <v/>
      </c>
      <c r="I1164">
        <f>IF(ISNA(VLOOKUP(A1164,QW_CloseDL!A:E,5,0)),0,VLOOKUP(A1164,QW_CloseDL!A:E,5,0))</f>
        <v>0</v>
      </c>
      <c r="J1164" s="8" t="str">
        <f t="shared" si="90"/>
        <v/>
      </c>
      <c r="P1164">
        <v>0</v>
      </c>
      <c r="Q1164" t="e">
        <f t="shared" si="86"/>
        <v>#N/A</v>
      </c>
      <c r="R1164" t="e">
        <f t="shared" si="87"/>
        <v>#N/A</v>
      </c>
      <c r="S1164" s="9" t="e">
        <f t="shared" si="88"/>
        <v>#N/A</v>
      </c>
      <c r="T1164" s="3" t="e">
        <f t="shared" si="89"/>
        <v>#N/A</v>
      </c>
    </row>
    <row r="1165" spans="2:20" x14ac:dyDescent="0.35">
      <c r="B1165" t="str">
        <f>IF(NOT(ISBLANK(A1165)),VLOOKUP(A1165,'BBT3'!A:F,2,0),"")</f>
        <v/>
      </c>
      <c r="C1165" t="str">
        <f>IF(NOT(ISBLANK(A1165)),VLOOKUP(A1165,'BBT3'!A:F,3,0),"")</f>
        <v/>
      </c>
      <c r="D1165" s="6" t="str">
        <f>IF(NOT(ISBLANK(A1165)),VLOOKUP(A1165,'BBT3'!A:F,4,1),"")</f>
        <v/>
      </c>
      <c r="E1165" t="str">
        <f>IF(NOT(ISBLANK(A1165)),VLOOKUP(A1165,'BBT3'!A:F,5,0),"")</f>
        <v/>
      </c>
      <c r="F1165" t="str">
        <f>IF(NOT(ISBLANK(A1165)),VLOOKUP(A1165,'BBT3'!A:F,6,0),"")</f>
        <v/>
      </c>
      <c r="G1165" t="str">
        <f>IF(NOT(ISBLANK(A1165)),VLOOKUP(A1165,QW_Close!A:J,5,0),"")</f>
        <v/>
      </c>
      <c r="H1165" s="5" t="str" cm="1">
        <f t="array" ref="H1165">IF(NOT(ISBLANK(A1165)),((_xlfn.XLOOKUP(1,(_bbt3[[#All],[ID]]=A1165)*(_bbt3[[#All],[METRIC_NAME]]="YLD_YTM_ASK"),_bbt3[[#All],[METRIC_VALUE]])*0.5)+(_xlfn.XLOOKUP(1,(_bbt3[[#All],[ID]]=A1165)*(_bbt3[[#All],[METRIC_NAME]]="YLD_YTM_BID"),_bbt3[[#All],[METRIC_VALUE]])*0.5))/100,"")</f>
        <v/>
      </c>
      <c r="I1165">
        <f>IF(ISNA(VLOOKUP(A1165,QW_CloseDL!A:E,5,0)),0,VLOOKUP(A1165,QW_CloseDL!A:E,5,0))</f>
        <v>0</v>
      </c>
      <c r="J1165" s="8" t="str">
        <f t="shared" si="90"/>
        <v/>
      </c>
      <c r="P1165">
        <v>0</v>
      </c>
      <c r="Q1165" t="e">
        <f t="shared" ref="Q1165:Q1228" si="91">VLOOKUP(P1165,A:B,2,0)</f>
        <v>#N/A</v>
      </c>
      <c r="R1165" t="e">
        <f t="shared" ref="R1165:R1228" si="92">VLOOKUP(P1165,A:E,4,0)</f>
        <v>#N/A</v>
      </c>
      <c r="S1165" s="9" t="e">
        <f t="shared" ref="S1165:S1228" si="93">VLOOKUP(P1165,A:J,10,0)</f>
        <v>#N/A</v>
      </c>
      <c r="T1165" s="3" t="e">
        <f t="shared" ref="T1165:T1228" si="94">VLOOKUP(P1165,A:J,5,0)</f>
        <v>#N/A</v>
      </c>
    </row>
    <row r="1166" spans="2:20" x14ac:dyDescent="0.35">
      <c r="B1166" t="str">
        <f>IF(NOT(ISBLANK(A1166)),VLOOKUP(A1166,'BBT3'!A:F,2,0),"")</f>
        <v/>
      </c>
      <c r="C1166" t="str">
        <f>IF(NOT(ISBLANK(A1166)),VLOOKUP(A1166,'BBT3'!A:F,3,0),"")</f>
        <v/>
      </c>
      <c r="D1166" s="6" t="str">
        <f>IF(NOT(ISBLANK(A1166)),VLOOKUP(A1166,'BBT3'!A:F,4,1),"")</f>
        <v/>
      </c>
      <c r="E1166" t="str">
        <f>IF(NOT(ISBLANK(A1166)),VLOOKUP(A1166,'BBT3'!A:F,5,0),"")</f>
        <v/>
      </c>
      <c r="F1166" t="str">
        <f>IF(NOT(ISBLANK(A1166)),VLOOKUP(A1166,'BBT3'!A:F,6,0),"")</f>
        <v/>
      </c>
      <c r="G1166" t="str">
        <f>IF(NOT(ISBLANK(A1166)),VLOOKUP(A1166,QW_Close!A:J,5,0),"")</f>
        <v/>
      </c>
      <c r="H1166" s="5" t="str" cm="1">
        <f t="array" ref="H1166">IF(NOT(ISBLANK(A1166)),((_xlfn.XLOOKUP(1,(_bbt3[[#All],[ID]]=A1166)*(_bbt3[[#All],[METRIC_NAME]]="YLD_YTM_ASK"),_bbt3[[#All],[METRIC_VALUE]])*0.5)+(_xlfn.XLOOKUP(1,(_bbt3[[#All],[ID]]=A1166)*(_bbt3[[#All],[METRIC_NAME]]="YLD_YTM_BID"),_bbt3[[#All],[METRIC_VALUE]])*0.5))/100,"")</f>
        <v/>
      </c>
      <c r="I1166">
        <f>IF(ISNA(VLOOKUP(A1166,QW_CloseDL!A:E,5,0)),0,VLOOKUP(A1166,QW_CloseDL!A:E,5,0))</f>
        <v>0</v>
      </c>
      <c r="J1166" s="8" t="str">
        <f t="shared" si="90"/>
        <v/>
      </c>
      <c r="P1166">
        <v>0</v>
      </c>
      <c r="Q1166" t="e">
        <f t="shared" si="91"/>
        <v>#N/A</v>
      </c>
      <c r="R1166" t="e">
        <f t="shared" si="92"/>
        <v>#N/A</v>
      </c>
      <c r="S1166" s="9" t="e">
        <f t="shared" si="93"/>
        <v>#N/A</v>
      </c>
      <c r="T1166" s="3" t="e">
        <f t="shared" si="94"/>
        <v>#N/A</v>
      </c>
    </row>
    <row r="1167" spans="2:20" x14ac:dyDescent="0.35">
      <c r="B1167" t="str">
        <f>IF(NOT(ISBLANK(A1167)),VLOOKUP(A1167,'BBT3'!A:F,2,0),"")</f>
        <v/>
      </c>
      <c r="C1167" t="str">
        <f>IF(NOT(ISBLANK(A1167)),VLOOKUP(A1167,'BBT3'!A:F,3,0),"")</f>
        <v/>
      </c>
      <c r="D1167" s="6" t="str">
        <f>IF(NOT(ISBLANK(A1167)),VLOOKUP(A1167,'BBT3'!A:F,4,1),"")</f>
        <v/>
      </c>
      <c r="E1167" t="str">
        <f>IF(NOT(ISBLANK(A1167)),VLOOKUP(A1167,'BBT3'!A:F,5,0),"")</f>
        <v/>
      </c>
      <c r="F1167" t="str">
        <f>IF(NOT(ISBLANK(A1167)),VLOOKUP(A1167,'BBT3'!A:F,6,0),"")</f>
        <v/>
      </c>
      <c r="G1167" t="str">
        <f>IF(NOT(ISBLANK(A1167)),VLOOKUP(A1167,QW_Close!A:J,5,0),"")</f>
        <v/>
      </c>
      <c r="H1167" s="5" t="str" cm="1">
        <f t="array" ref="H1167">IF(NOT(ISBLANK(A1167)),((_xlfn.XLOOKUP(1,(_bbt3[[#All],[ID]]=A1167)*(_bbt3[[#All],[METRIC_NAME]]="YLD_YTM_ASK"),_bbt3[[#All],[METRIC_VALUE]])*0.5)+(_xlfn.XLOOKUP(1,(_bbt3[[#All],[ID]]=A1167)*(_bbt3[[#All],[METRIC_NAME]]="YLD_YTM_BID"),_bbt3[[#All],[METRIC_VALUE]])*0.5))/100,"")</f>
        <v/>
      </c>
      <c r="I1167">
        <f>IF(ISNA(VLOOKUP(A1167,QW_CloseDL!A:E,5,0)),0,VLOOKUP(A1167,QW_CloseDL!A:E,5,0))</f>
        <v>0</v>
      </c>
      <c r="J1167" s="8" t="str">
        <f t="shared" si="90"/>
        <v/>
      </c>
      <c r="P1167">
        <v>0</v>
      </c>
      <c r="Q1167" t="e">
        <f t="shared" si="91"/>
        <v>#N/A</v>
      </c>
      <c r="R1167" t="e">
        <f t="shared" si="92"/>
        <v>#N/A</v>
      </c>
      <c r="S1167" s="9" t="e">
        <f t="shared" si="93"/>
        <v>#N/A</v>
      </c>
      <c r="T1167" s="3" t="e">
        <f t="shared" si="94"/>
        <v>#N/A</v>
      </c>
    </row>
    <row r="1168" spans="2:20" x14ac:dyDescent="0.35">
      <c r="B1168" t="str">
        <f>IF(NOT(ISBLANK(A1168)),VLOOKUP(A1168,'BBT3'!A:F,2,0),"")</f>
        <v/>
      </c>
      <c r="C1168" t="str">
        <f>IF(NOT(ISBLANK(A1168)),VLOOKUP(A1168,'BBT3'!A:F,3,0),"")</f>
        <v/>
      </c>
      <c r="D1168" s="6" t="str">
        <f>IF(NOT(ISBLANK(A1168)),VLOOKUP(A1168,'BBT3'!A:F,4,1),"")</f>
        <v/>
      </c>
      <c r="E1168" t="str">
        <f>IF(NOT(ISBLANK(A1168)),VLOOKUP(A1168,'BBT3'!A:F,5,0),"")</f>
        <v/>
      </c>
      <c r="F1168" t="str">
        <f>IF(NOT(ISBLANK(A1168)),VLOOKUP(A1168,'BBT3'!A:F,6,0),"")</f>
        <v/>
      </c>
      <c r="G1168" t="str">
        <f>IF(NOT(ISBLANK(A1168)),VLOOKUP(A1168,QW_Close!A:J,5,0),"")</f>
        <v/>
      </c>
      <c r="H1168" s="5" t="str" cm="1">
        <f t="array" ref="H1168">IF(NOT(ISBLANK(A1168)),((_xlfn.XLOOKUP(1,(_bbt3[[#All],[ID]]=A1168)*(_bbt3[[#All],[METRIC_NAME]]="YLD_YTM_ASK"),_bbt3[[#All],[METRIC_VALUE]])*0.5)+(_xlfn.XLOOKUP(1,(_bbt3[[#All],[ID]]=A1168)*(_bbt3[[#All],[METRIC_NAME]]="YLD_YTM_BID"),_bbt3[[#All],[METRIC_VALUE]])*0.5))/100,"")</f>
        <v/>
      </c>
      <c r="I1168">
        <f>IF(ISNA(VLOOKUP(A1168,QW_CloseDL!A:E,5,0)),0,VLOOKUP(A1168,QW_CloseDL!A:E,5,0))</f>
        <v>0</v>
      </c>
      <c r="J1168" s="8" t="str">
        <f t="shared" si="90"/>
        <v/>
      </c>
      <c r="P1168">
        <v>0</v>
      </c>
      <c r="Q1168" t="e">
        <f t="shared" si="91"/>
        <v>#N/A</v>
      </c>
      <c r="R1168" t="e">
        <f t="shared" si="92"/>
        <v>#N/A</v>
      </c>
      <c r="S1168" s="9" t="e">
        <f t="shared" si="93"/>
        <v>#N/A</v>
      </c>
      <c r="T1168" s="3" t="e">
        <f t="shared" si="94"/>
        <v>#N/A</v>
      </c>
    </row>
    <row r="1169" spans="2:20" x14ac:dyDescent="0.35">
      <c r="B1169" t="str">
        <f>IF(NOT(ISBLANK(A1169)),VLOOKUP(A1169,'BBT3'!A:F,2,0),"")</f>
        <v/>
      </c>
      <c r="C1169" t="str">
        <f>IF(NOT(ISBLANK(A1169)),VLOOKUP(A1169,'BBT3'!A:F,3,0),"")</f>
        <v/>
      </c>
      <c r="D1169" s="6" t="str">
        <f>IF(NOT(ISBLANK(A1169)),VLOOKUP(A1169,'BBT3'!A:F,4,1),"")</f>
        <v/>
      </c>
      <c r="E1169" t="str">
        <f>IF(NOT(ISBLANK(A1169)),VLOOKUP(A1169,'BBT3'!A:F,5,0),"")</f>
        <v/>
      </c>
      <c r="F1169" t="str">
        <f>IF(NOT(ISBLANK(A1169)),VLOOKUP(A1169,'BBT3'!A:F,6,0),"")</f>
        <v/>
      </c>
      <c r="G1169" t="str">
        <f>IF(NOT(ISBLANK(A1169)),VLOOKUP(A1169,QW_Close!A:J,5,0),"")</f>
        <v/>
      </c>
      <c r="H1169" s="5" t="str" cm="1">
        <f t="array" ref="H1169">IF(NOT(ISBLANK(A1169)),((_xlfn.XLOOKUP(1,(_bbt3[[#All],[ID]]=A1169)*(_bbt3[[#All],[METRIC_NAME]]="YLD_YTM_ASK"),_bbt3[[#All],[METRIC_VALUE]])*0.5)+(_xlfn.XLOOKUP(1,(_bbt3[[#All],[ID]]=A1169)*(_bbt3[[#All],[METRIC_NAME]]="YLD_YTM_BID"),_bbt3[[#All],[METRIC_VALUE]])*0.5))/100,"")</f>
        <v/>
      </c>
      <c r="I1169">
        <f>IF(ISNA(VLOOKUP(A1169,QW_CloseDL!A:E,5,0)),0,VLOOKUP(A1169,QW_CloseDL!A:E,5,0))</f>
        <v>0</v>
      </c>
      <c r="J1169" s="8" t="str">
        <f t="shared" si="90"/>
        <v/>
      </c>
      <c r="P1169">
        <v>0</v>
      </c>
      <c r="Q1169" t="e">
        <f t="shared" si="91"/>
        <v>#N/A</v>
      </c>
      <c r="R1169" t="e">
        <f t="shared" si="92"/>
        <v>#N/A</v>
      </c>
      <c r="S1169" s="9" t="e">
        <f t="shared" si="93"/>
        <v>#N/A</v>
      </c>
      <c r="T1169" s="3" t="e">
        <f t="shared" si="94"/>
        <v>#N/A</v>
      </c>
    </row>
    <row r="1170" spans="2:20" x14ac:dyDescent="0.35">
      <c r="B1170" t="str">
        <f>IF(NOT(ISBLANK(A1170)),VLOOKUP(A1170,'BBT3'!A:F,2,0),"")</f>
        <v/>
      </c>
      <c r="C1170" t="str">
        <f>IF(NOT(ISBLANK(A1170)),VLOOKUP(A1170,'BBT3'!A:F,3,0),"")</f>
        <v/>
      </c>
      <c r="D1170" s="6" t="str">
        <f>IF(NOT(ISBLANK(A1170)),VLOOKUP(A1170,'BBT3'!A:F,4,1),"")</f>
        <v/>
      </c>
      <c r="E1170" t="str">
        <f>IF(NOT(ISBLANK(A1170)),VLOOKUP(A1170,'BBT3'!A:F,5,0),"")</f>
        <v/>
      </c>
      <c r="F1170" t="str">
        <f>IF(NOT(ISBLANK(A1170)),VLOOKUP(A1170,'BBT3'!A:F,6,0),"")</f>
        <v/>
      </c>
      <c r="G1170" t="str">
        <f>IF(NOT(ISBLANK(A1170)),VLOOKUP(A1170,QW_Close!A:J,5,0),"")</f>
        <v/>
      </c>
      <c r="H1170" s="5" t="str" cm="1">
        <f t="array" ref="H1170">IF(NOT(ISBLANK(A1170)),((_xlfn.XLOOKUP(1,(_bbt3[[#All],[ID]]=A1170)*(_bbt3[[#All],[METRIC_NAME]]="YLD_YTM_ASK"),_bbt3[[#All],[METRIC_VALUE]])*0.5)+(_xlfn.XLOOKUP(1,(_bbt3[[#All],[ID]]=A1170)*(_bbt3[[#All],[METRIC_NAME]]="YLD_YTM_BID"),_bbt3[[#All],[METRIC_VALUE]])*0.5))/100,"")</f>
        <v/>
      </c>
      <c r="I1170">
        <f>IF(ISNA(VLOOKUP(A1170,QW_CloseDL!A:E,5,0)),0,VLOOKUP(A1170,QW_CloseDL!A:E,5,0))</f>
        <v>0</v>
      </c>
      <c r="J1170" s="8" t="str">
        <f t="shared" si="90"/>
        <v/>
      </c>
      <c r="P1170">
        <v>0</v>
      </c>
      <c r="Q1170" t="e">
        <f t="shared" si="91"/>
        <v>#N/A</v>
      </c>
      <c r="R1170" t="e">
        <f t="shared" si="92"/>
        <v>#N/A</v>
      </c>
      <c r="S1170" s="9" t="e">
        <f t="shared" si="93"/>
        <v>#N/A</v>
      </c>
      <c r="T1170" s="3" t="e">
        <f t="shared" si="94"/>
        <v>#N/A</v>
      </c>
    </row>
    <row r="1171" spans="2:20" x14ac:dyDescent="0.35">
      <c r="B1171" t="str">
        <f>IF(NOT(ISBLANK(A1171)),VLOOKUP(A1171,'BBT3'!A:F,2,0),"")</f>
        <v/>
      </c>
      <c r="C1171" t="str">
        <f>IF(NOT(ISBLANK(A1171)),VLOOKUP(A1171,'BBT3'!A:F,3,0),"")</f>
        <v/>
      </c>
      <c r="D1171" s="6" t="str">
        <f>IF(NOT(ISBLANK(A1171)),VLOOKUP(A1171,'BBT3'!A:F,4,1),"")</f>
        <v/>
      </c>
      <c r="E1171" t="str">
        <f>IF(NOT(ISBLANK(A1171)),VLOOKUP(A1171,'BBT3'!A:F,5,0),"")</f>
        <v/>
      </c>
      <c r="F1171" t="str">
        <f>IF(NOT(ISBLANK(A1171)),VLOOKUP(A1171,'BBT3'!A:F,6,0),"")</f>
        <v/>
      </c>
      <c r="G1171" t="str">
        <f>IF(NOT(ISBLANK(A1171)),VLOOKUP(A1171,QW_Close!A:J,5,0),"")</f>
        <v/>
      </c>
      <c r="H1171" s="5" t="str" cm="1">
        <f t="array" ref="H1171">IF(NOT(ISBLANK(A1171)),((_xlfn.XLOOKUP(1,(_bbt3[[#All],[ID]]=A1171)*(_bbt3[[#All],[METRIC_NAME]]="YLD_YTM_ASK"),_bbt3[[#All],[METRIC_VALUE]])*0.5)+(_xlfn.XLOOKUP(1,(_bbt3[[#All],[ID]]=A1171)*(_bbt3[[#All],[METRIC_NAME]]="YLD_YTM_BID"),_bbt3[[#All],[METRIC_VALUE]])*0.5))/100,"")</f>
        <v/>
      </c>
      <c r="I1171">
        <f>IF(ISNA(VLOOKUP(A1171,QW_CloseDL!A:E,5,0)),0,VLOOKUP(A1171,QW_CloseDL!A:E,5,0))</f>
        <v>0</v>
      </c>
      <c r="J1171" s="8" t="str">
        <f t="shared" si="90"/>
        <v/>
      </c>
      <c r="P1171">
        <v>0</v>
      </c>
      <c r="Q1171" t="e">
        <f t="shared" si="91"/>
        <v>#N/A</v>
      </c>
      <c r="R1171" t="e">
        <f t="shared" si="92"/>
        <v>#N/A</v>
      </c>
      <c r="S1171" s="9" t="e">
        <f t="shared" si="93"/>
        <v>#N/A</v>
      </c>
      <c r="T1171" s="3" t="e">
        <f t="shared" si="94"/>
        <v>#N/A</v>
      </c>
    </row>
    <row r="1172" spans="2:20" x14ac:dyDescent="0.35">
      <c r="B1172" t="str">
        <f>IF(NOT(ISBLANK(A1172)),VLOOKUP(A1172,'BBT3'!A:F,2,0),"")</f>
        <v/>
      </c>
      <c r="C1172" t="str">
        <f>IF(NOT(ISBLANK(A1172)),VLOOKUP(A1172,'BBT3'!A:F,3,0),"")</f>
        <v/>
      </c>
      <c r="D1172" s="6" t="str">
        <f>IF(NOT(ISBLANK(A1172)),VLOOKUP(A1172,'BBT3'!A:F,4,1),"")</f>
        <v/>
      </c>
      <c r="E1172" t="str">
        <f>IF(NOT(ISBLANK(A1172)),VLOOKUP(A1172,'BBT3'!A:F,5,0),"")</f>
        <v/>
      </c>
      <c r="F1172" t="str">
        <f>IF(NOT(ISBLANK(A1172)),VLOOKUP(A1172,'BBT3'!A:F,6,0),"")</f>
        <v/>
      </c>
      <c r="G1172" t="str">
        <f>IF(NOT(ISBLANK(A1172)),VLOOKUP(A1172,QW_Close!A:J,5,0),"")</f>
        <v/>
      </c>
      <c r="H1172" s="5" t="str" cm="1">
        <f t="array" ref="H1172">IF(NOT(ISBLANK(A1172)),((_xlfn.XLOOKUP(1,(_bbt3[[#All],[ID]]=A1172)*(_bbt3[[#All],[METRIC_NAME]]="YLD_YTM_ASK"),_bbt3[[#All],[METRIC_VALUE]])*0.5)+(_xlfn.XLOOKUP(1,(_bbt3[[#All],[ID]]=A1172)*(_bbt3[[#All],[METRIC_NAME]]="YLD_YTM_BID"),_bbt3[[#All],[METRIC_VALUE]])*0.5))/100,"")</f>
        <v/>
      </c>
      <c r="I1172">
        <f>IF(ISNA(VLOOKUP(A1172,QW_CloseDL!A:E,5,0)),0,VLOOKUP(A1172,QW_CloseDL!A:E,5,0))</f>
        <v>0</v>
      </c>
      <c r="J1172" s="8" t="str">
        <f t="shared" si="90"/>
        <v/>
      </c>
      <c r="P1172">
        <v>0</v>
      </c>
      <c r="Q1172" t="e">
        <f t="shared" si="91"/>
        <v>#N/A</v>
      </c>
      <c r="R1172" t="e">
        <f t="shared" si="92"/>
        <v>#N/A</v>
      </c>
      <c r="S1172" s="9" t="e">
        <f t="shared" si="93"/>
        <v>#N/A</v>
      </c>
      <c r="T1172" s="3" t="e">
        <f t="shared" si="94"/>
        <v>#N/A</v>
      </c>
    </row>
    <row r="1173" spans="2:20" x14ac:dyDescent="0.35">
      <c r="B1173" t="str">
        <f>IF(NOT(ISBLANK(A1173)),VLOOKUP(A1173,'BBT3'!A:F,2,0),"")</f>
        <v/>
      </c>
      <c r="C1173" t="str">
        <f>IF(NOT(ISBLANK(A1173)),VLOOKUP(A1173,'BBT3'!A:F,3,0),"")</f>
        <v/>
      </c>
      <c r="D1173" s="6" t="str">
        <f>IF(NOT(ISBLANK(A1173)),VLOOKUP(A1173,'BBT3'!A:F,4,1),"")</f>
        <v/>
      </c>
      <c r="E1173" t="str">
        <f>IF(NOT(ISBLANK(A1173)),VLOOKUP(A1173,'BBT3'!A:F,5,0),"")</f>
        <v/>
      </c>
      <c r="F1173" t="str">
        <f>IF(NOT(ISBLANK(A1173)),VLOOKUP(A1173,'BBT3'!A:F,6,0),"")</f>
        <v/>
      </c>
      <c r="G1173" t="str">
        <f>IF(NOT(ISBLANK(A1173)),VLOOKUP(A1173,QW_Close!A:J,5,0),"")</f>
        <v/>
      </c>
      <c r="H1173" s="5" t="str" cm="1">
        <f t="array" ref="H1173">IF(NOT(ISBLANK(A1173)),((_xlfn.XLOOKUP(1,(_bbt3[[#All],[ID]]=A1173)*(_bbt3[[#All],[METRIC_NAME]]="YLD_YTM_ASK"),_bbt3[[#All],[METRIC_VALUE]])*0.5)+(_xlfn.XLOOKUP(1,(_bbt3[[#All],[ID]]=A1173)*(_bbt3[[#All],[METRIC_NAME]]="YLD_YTM_BID"),_bbt3[[#All],[METRIC_VALUE]])*0.5))/100,"")</f>
        <v/>
      </c>
      <c r="I1173">
        <f>IF(ISNA(VLOOKUP(A1173,QW_CloseDL!A:E,5,0)),0,VLOOKUP(A1173,QW_CloseDL!A:E,5,0))</f>
        <v>0</v>
      </c>
      <c r="J1173" s="8" t="str">
        <f t="shared" si="90"/>
        <v/>
      </c>
      <c r="P1173">
        <v>0</v>
      </c>
      <c r="Q1173" t="e">
        <f t="shared" si="91"/>
        <v>#N/A</v>
      </c>
      <c r="R1173" t="e">
        <f t="shared" si="92"/>
        <v>#N/A</v>
      </c>
      <c r="S1173" s="9" t="e">
        <f t="shared" si="93"/>
        <v>#N/A</v>
      </c>
      <c r="T1173" s="3" t="e">
        <f t="shared" si="94"/>
        <v>#N/A</v>
      </c>
    </row>
    <row r="1174" spans="2:20" x14ac:dyDescent="0.35">
      <c r="B1174" t="str">
        <f>IF(NOT(ISBLANK(A1174)),VLOOKUP(A1174,'BBT3'!A:F,2,0),"")</f>
        <v/>
      </c>
      <c r="C1174" t="str">
        <f>IF(NOT(ISBLANK(A1174)),VLOOKUP(A1174,'BBT3'!A:F,3,0),"")</f>
        <v/>
      </c>
      <c r="D1174" s="6" t="str">
        <f>IF(NOT(ISBLANK(A1174)),VLOOKUP(A1174,'BBT3'!A:F,4,1),"")</f>
        <v/>
      </c>
      <c r="E1174" t="str">
        <f>IF(NOT(ISBLANK(A1174)),VLOOKUP(A1174,'BBT3'!A:F,5,0),"")</f>
        <v/>
      </c>
      <c r="F1174" t="str">
        <f>IF(NOT(ISBLANK(A1174)),VLOOKUP(A1174,'BBT3'!A:F,6,0),"")</f>
        <v/>
      </c>
      <c r="G1174" t="str">
        <f>IF(NOT(ISBLANK(A1174)),VLOOKUP(A1174,QW_Close!A:J,5,0),"")</f>
        <v/>
      </c>
      <c r="H1174" s="5" t="str" cm="1">
        <f t="array" ref="H1174">IF(NOT(ISBLANK(A1174)),((_xlfn.XLOOKUP(1,(_bbt3[[#All],[ID]]=A1174)*(_bbt3[[#All],[METRIC_NAME]]="YLD_YTM_ASK"),_bbt3[[#All],[METRIC_VALUE]])*0.5)+(_xlfn.XLOOKUP(1,(_bbt3[[#All],[ID]]=A1174)*(_bbt3[[#All],[METRIC_NAME]]="YLD_YTM_BID"),_bbt3[[#All],[METRIC_VALUE]])*0.5))/100,"")</f>
        <v/>
      </c>
      <c r="I1174">
        <f>IF(ISNA(VLOOKUP(A1174,QW_CloseDL!A:E,5,0)),0,VLOOKUP(A1174,QW_CloseDL!A:E,5,0))</f>
        <v>0</v>
      </c>
      <c r="J1174" s="8" t="str">
        <f t="shared" si="90"/>
        <v/>
      </c>
      <c r="P1174">
        <v>0</v>
      </c>
      <c r="Q1174" t="e">
        <f t="shared" si="91"/>
        <v>#N/A</v>
      </c>
      <c r="R1174" t="e">
        <f t="shared" si="92"/>
        <v>#N/A</v>
      </c>
      <c r="S1174" s="9" t="e">
        <f t="shared" si="93"/>
        <v>#N/A</v>
      </c>
      <c r="T1174" s="3" t="e">
        <f t="shared" si="94"/>
        <v>#N/A</v>
      </c>
    </row>
    <row r="1175" spans="2:20" x14ac:dyDescent="0.35">
      <c r="B1175" t="str">
        <f>IF(NOT(ISBLANK(A1175)),VLOOKUP(A1175,'BBT3'!A:F,2,0),"")</f>
        <v/>
      </c>
      <c r="C1175" t="str">
        <f>IF(NOT(ISBLANK(A1175)),VLOOKUP(A1175,'BBT3'!A:F,3,0),"")</f>
        <v/>
      </c>
      <c r="D1175" s="6" t="str">
        <f>IF(NOT(ISBLANK(A1175)),VLOOKUP(A1175,'BBT3'!A:F,4,1),"")</f>
        <v/>
      </c>
      <c r="E1175" t="str">
        <f>IF(NOT(ISBLANK(A1175)),VLOOKUP(A1175,'BBT3'!A:F,5,0),"")</f>
        <v/>
      </c>
      <c r="F1175" t="str">
        <f>IF(NOT(ISBLANK(A1175)),VLOOKUP(A1175,'BBT3'!A:F,6,0),"")</f>
        <v/>
      </c>
      <c r="G1175" t="str">
        <f>IF(NOT(ISBLANK(A1175)),VLOOKUP(A1175,QW_Close!A:J,5,0),"")</f>
        <v/>
      </c>
      <c r="H1175" s="5" t="str" cm="1">
        <f t="array" ref="H1175">IF(NOT(ISBLANK(A1175)),((_xlfn.XLOOKUP(1,(_bbt3[[#All],[ID]]=A1175)*(_bbt3[[#All],[METRIC_NAME]]="YLD_YTM_ASK"),_bbt3[[#All],[METRIC_VALUE]])*0.5)+(_xlfn.XLOOKUP(1,(_bbt3[[#All],[ID]]=A1175)*(_bbt3[[#All],[METRIC_NAME]]="YLD_YTM_BID"),_bbt3[[#All],[METRIC_VALUE]])*0.5))/100,"")</f>
        <v/>
      </c>
      <c r="I1175">
        <f>IF(ISNA(VLOOKUP(A1175,QW_CloseDL!A:E,5,0)),0,VLOOKUP(A1175,QW_CloseDL!A:E,5,0))</f>
        <v>0</v>
      </c>
      <c r="J1175" s="8" t="str">
        <f t="shared" si="90"/>
        <v/>
      </c>
      <c r="P1175">
        <v>0</v>
      </c>
      <c r="Q1175" t="e">
        <f t="shared" si="91"/>
        <v>#N/A</v>
      </c>
      <c r="R1175" t="e">
        <f t="shared" si="92"/>
        <v>#N/A</v>
      </c>
      <c r="S1175" s="9" t="e">
        <f t="shared" si="93"/>
        <v>#N/A</v>
      </c>
      <c r="T1175" s="3" t="e">
        <f t="shared" si="94"/>
        <v>#N/A</v>
      </c>
    </row>
    <row r="1176" spans="2:20" x14ac:dyDescent="0.35">
      <c r="B1176" t="str">
        <f>IF(NOT(ISBLANK(A1176)),VLOOKUP(A1176,'BBT3'!A:F,2,0),"")</f>
        <v/>
      </c>
      <c r="C1176" t="str">
        <f>IF(NOT(ISBLANK(A1176)),VLOOKUP(A1176,'BBT3'!A:F,3,0),"")</f>
        <v/>
      </c>
      <c r="D1176" s="6" t="str">
        <f>IF(NOT(ISBLANK(A1176)),VLOOKUP(A1176,'BBT3'!A:F,4,1),"")</f>
        <v/>
      </c>
      <c r="E1176" t="str">
        <f>IF(NOT(ISBLANK(A1176)),VLOOKUP(A1176,'BBT3'!A:F,5,0),"")</f>
        <v/>
      </c>
      <c r="F1176" t="str">
        <f>IF(NOT(ISBLANK(A1176)),VLOOKUP(A1176,'BBT3'!A:F,6,0),"")</f>
        <v/>
      </c>
      <c r="G1176" t="str">
        <f>IF(NOT(ISBLANK(A1176)),VLOOKUP(A1176,QW_Close!A:J,5,0),"")</f>
        <v/>
      </c>
      <c r="H1176" s="5" t="str" cm="1">
        <f t="array" ref="H1176">IF(NOT(ISBLANK(A1176)),((_xlfn.XLOOKUP(1,(_bbt3[[#All],[ID]]=A1176)*(_bbt3[[#All],[METRIC_NAME]]="YLD_YTM_ASK"),_bbt3[[#All],[METRIC_VALUE]])*0.5)+(_xlfn.XLOOKUP(1,(_bbt3[[#All],[ID]]=A1176)*(_bbt3[[#All],[METRIC_NAME]]="YLD_YTM_BID"),_bbt3[[#All],[METRIC_VALUE]])*0.5))/100,"")</f>
        <v/>
      </c>
      <c r="I1176">
        <f>IF(ISNA(VLOOKUP(A1176,QW_CloseDL!A:E,5,0)),0,VLOOKUP(A1176,QW_CloseDL!A:E,5,0))</f>
        <v>0</v>
      </c>
      <c r="J1176" s="8" t="str">
        <f t="shared" si="90"/>
        <v/>
      </c>
      <c r="P1176">
        <v>0</v>
      </c>
      <c r="Q1176" t="e">
        <f t="shared" si="91"/>
        <v>#N/A</v>
      </c>
      <c r="R1176" t="e">
        <f t="shared" si="92"/>
        <v>#N/A</v>
      </c>
      <c r="S1176" s="9" t="e">
        <f t="shared" si="93"/>
        <v>#N/A</v>
      </c>
      <c r="T1176" s="3" t="e">
        <f t="shared" si="94"/>
        <v>#N/A</v>
      </c>
    </row>
    <row r="1177" spans="2:20" x14ac:dyDescent="0.35">
      <c r="B1177" t="str">
        <f>IF(NOT(ISBLANK(A1177)),VLOOKUP(A1177,'BBT3'!A:F,2,0),"")</f>
        <v/>
      </c>
      <c r="C1177" t="str">
        <f>IF(NOT(ISBLANK(A1177)),VLOOKUP(A1177,'BBT3'!A:F,3,0),"")</f>
        <v/>
      </c>
      <c r="D1177" s="6" t="str">
        <f>IF(NOT(ISBLANK(A1177)),VLOOKUP(A1177,'BBT3'!A:F,4,1),"")</f>
        <v/>
      </c>
      <c r="E1177" t="str">
        <f>IF(NOT(ISBLANK(A1177)),VLOOKUP(A1177,'BBT3'!A:F,5,0),"")</f>
        <v/>
      </c>
      <c r="F1177" t="str">
        <f>IF(NOT(ISBLANK(A1177)),VLOOKUP(A1177,'BBT3'!A:F,6,0),"")</f>
        <v/>
      </c>
      <c r="G1177" t="str">
        <f>IF(NOT(ISBLANK(A1177)),VLOOKUP(A1177,QW_Close!A:J,5,0),"")</f>
        <v/>
      </c>
      <c r="H1177" s="5" t="str" cm="1">
        <f t="array" ref="H1177">IF(NOT(ISBLANK(A1177)),((_xlfn.XLOOKUP(1,(_bbt3[[#All],[ID]]=A1177)*(_bbt3[[#All],[METRIC_NAME]]="YLD_YTM_ASK"),_bbt3[[#All],[METRIC_VALUE]])*0.5)+(_xlfn.XLOOKUP(1,(_bbt3[[#All],[ID]]=A1177)*(_bbt3[[#All],[METRIC_NAME]]="YLD_YTM_BID"),_bbt3[[#All],[METRIC_VALUE]])*0.5))/100,"")</f>
        <v/>
      </c>
      <c r="I1177">
        <f>IF(ISNA(VLOOKUP(A1177,QW_CloseDL!A:E,5,0)),0,VLOOKUP(A1177,QW_CloseDL!A:E,5,0))</f>
        <v>0</v>
      </c>
      <c r="J1177" s="8" t="str">
        <f t="shared" si="90"/>
        <v/>
      </c>
      <c r="P1177">
        <v>0</v>
      </c>
      <c r="Q1177" t="e">
        <f t="shared" si="91"/>
        <v>#N/A</v>
      </c>
      <c r="R1177" t="e">
        <f t="shared" si="92"/>
        <v>#N/A</v>
      </c>
      <c r="S1177" s="9" t="e">
        <f t="shared" si="93"/>
        <v>#N/A</v>
      </c>
      <c r="T1177" s="3" t="e">
        <f t="shared" si="94"/>
        <v>#N/A</v>
      </c>
    </row>
    <row r="1178" spans="2:20" x14ac:dyDescent="0.35">
      <c r="B1178" t="str">
        <f>IF(NOT(ISBLANK(A1178)),VLOOKUP(A1178,'BBT3'!A:F,2,0),"")</f>
        <v/>
      </c>
      <c r="C1178" t="str">
        <f>IF(NOT(ISBLANK(A1178)),VLOOKUP(A1178,'BBT3'!A:F,3,0),"")</f>
        <v/>
      </c>
      <c r="D1178" s="6" t="str">
        <f>IF(NOT(ISBLANK(A1178)),VLOOKUP(A1178,'BBT3'!A:F,4,1),"")</f>
        <v/>
      </c>
      <c r="E1178" t="str">
        <f>IF(NOT(ISBLANK(A1178)),VLOOKUP(A1178,'BBT3'!A:F,5,0),"")</f>
        <v/>
      </c>
      <c r="F1178" t="str">
        <f>IF(NOT(ISBLANK(A1178)),VLOOKUP(A1178,'BBT3'!A:F,6,0),"")</f>
        <v/>
      </c>
      <c r="G1178" t="str">
        <f>IF(NOT(ISBLANK(A1178)),VLOOKUP(A1178,QW_Close!A:J,5,0),"")</f>
        <v/>
      </c>
      <c r="H1178" s="5" t="str" cm="1">
        <f t="array" ref="H1178">IF(NOT(ISBLANK(A1178)),((_xlfn.XLOOKUP(1,(_bbt3[[#All],[ID]]=A1178)*(_bbt3[[#All],[METRIC_NAME]]="YLD_YTM_ASK"),_bbt3[[#All],[METRIC_VALUE]])*0.5)+(_xlfn.XLOOKUP(1,(_bbt3[[#All],[ID]]=A1178)*(_bbt3[[#All],[METRIC_NAME]]="YLD_YTM_BID"),_bbt3[[#All],[METRIC_VALUE]])*0.5))/100,"")</f>
        <v/>
      </c>
      <c r="I1178">
        <f>IF(ISNA(VLOOKUP(A1178,QW_CloseDL!A:E,5,0)),0,VLOOKUP(A1178,QW_CloseDL!A:E,5,0))</f>
        <v>0</v>
      </c>
      <c r="J1178" s="8" t="str">
        <f t="shared" si="90"/>
        <v/>
      </c>
      <c r="P1178">
        <v>0</v>
      </c>
      <c r="Q1178" t="e">
        <f t="shared" si="91"/>
        <v>#N/A</v>
      </c>
      <c r="R1178" t="e">
        <f t="shared" si="92"/>
        <v>#N/A</v>
      </c>
      <c r="S1178" s="9" t="e">
        <f t="shared" si="93"/>
        <v>#N/A</v>
      </c>
      <c r="T1178" s="3" t="e">
        <f t="shared" si="94"/>
        <v>#N/A</v>
      </c>
    </row>
    <row r="1179" spans="2:20" x14ac:dyDescent="0.35">
      <c r="B1179" t="str">
        <f>IF(NOT(ISBLANK(A1179)),VLOOKUP(A1179,'BBT3'!A:F,2,0),"")</f>
        <v/>
      </c>
      <c r="C1179" t="str">
        <f>IF(NOT(ISBLANK(A1179)),VLOOKUP(A1179,'BBT3'!A:F,3,0),"")</f>
        <v/>
      </c>
      <c r="D1179" s="6" t="str">
        <f>IF(NOT(ISBLANK(A1179)),VLOOKUP(A1179,'BBT3'!A:F,4,1),"")</f>
        <v/>
      </c>
      <c r="E1179" t="str">
        <f>IF(NOT(ISBLANK(A1179)),VLOOKUP(A1179,'BBT3'!A:F,5,0),"")</f>
        <v/>
      </c>
      <c r="F1179" t="str">
        <f>IF(NOT(ISBLANK(A1179)),VLOOKUP(A1179,'BBT3'!A:F,6,0),"")</f>
        <v/>
      </c>
      <c r="G1179" t="str">
        <f>IF(NOT(ISBLANK(A1179)),VLOOKUP(A1179,QW_Close!A:J,5,0),"")</f>
        <v/>
      </c>
      <c r="H1179" s="5" t="str" cm="1">
        <f t="array" ref="H1179">IF(NOT(ISBLANK(A1179)),((_xlfn.XLOOKUP(1,(_bbt3[[#All],[ID]]=A1179)*(_bbt3[[#All],[METRIC_NAME]]="YLD_YTM_ASK"),_bbt3[[#All],[METRIC_VALUE]])*0.5)+(_xlfn.XLOOKUP(1,(_bbt3[[#All],[ID]]=A1179)*(_bbt3[[#All],[METRIC_NAME]]="YLD_YTM_BID"),_bbt3[[#All],[METRIC_VALUE]])*0.5))/100,"")</f>
        <v/>
      </c>
      <c r="I1179">
        <f>IF(ISNA(VLOOKUP(A1179,QW_CloseDL!A:E,5,0)),0,VLOOKUP(A1179,QW_CloseDL!A:E,5,0))</f>
        <v>0</v>
      </c>
      <c r="J1179" s="8" t="str">
        <f t="shared" si="90"/>
        <v/>
      </c>
      <c r="P1179">
        <v>0</v>
      </c>
      <c r="Q1179" t="e">
        <f t="shared" si="91"/>
        <v>#N/A</v>
      </c>
      <c r="R1179" t="e">
        <f t="shared" si="92"/>
        <v>#N/A</v>
      </c>
      <c r="S1179" s="9" t="e">
        <f t="shared" si="93"/>
        <v>#N/A</v>
      </c>
      <c r="T1179" s="3" t="e">
        <f t="shared" si="94"/>
        <v>#N/A</v>
      </c>
    </row>
    <row r="1180" spans="2:20" x14ac:dyDescent="0.35">
      <c r="B1180" t="str">
        <f>IF(NOT(ISBLANK(A1180)),VLOOKUP(A1180,'BBT3'!A:F,2,0),"")</f>
        <v/>
      </c>
      <c r="C1180" t="str">
        <f>IF(NOT(ISBLANK(A1180)),VLOOKUP(A1180,'BBT3'!A:F,3,0),"")</f>
        <v/>
      </c>
      <c r="D1180" s="6" t="str">
        <f>IF(NOT(ISBLANK(A1180)),VLOOKUP(A1180,'BBT3'!A:F,4,1),"")</f>
        <v/>
      </c>
      <c r="E1180" t="str">
        <f>IF(NOT(ISBLANK(A1180)),VLOOKUP(A1180,'BBT3'!A:F,5,0),"")</f>
        <v/>
      </c>
      <c r="F1180" t="str">
        <f>IF(NOT(ISBLANK(A1180)),VLOOKUP(A1180,'BBT3'!A:F,6,0),"")</f>
        <v/>
      </c>
      <c r="G1180" t="str">
        <f>IF(NOT(ISBLANK(A1180)),VLOOKUP(A1180,QW_Close!A:J,5,0),"")</f>
        <v/>
      </c>
      <c r="H1180" s="5" t="str" cm="1">
        <f t="array" ref="H1180">IF(NOT(ISBLANK(A1180)),((_xlfn.XLOOKUP(1,(_bbt3[[#All],[ID]]=A1180)*(_bbt3[[#All],[METRIC_NAME]]="YLD_YTM_ASK"),_bbt3[[#All],[METRIC_VALUE]])*0.5)+(_xlfn.XLOOKUP(1,(_bbt3[[#All],[ID]]=A1180)*(_bbt3[[#All],[METRIC_NAME]]="YLD_YTM_BID"),_bbt3[[#All],[METRIC_VALUE]])*0.5))/100,"")</f>
        <v/>
      </c>
      <c r="I1180">
        <f>IF(ISNA(VLOOKUP(A1180,QW_CloseDL!A:E,5,0)),0,VLOOKUP(A1180,QW_CloseDL!A:E,5,0))</f>
        <v>0</v>
      </c>
      <c r="J1180" s="8" t="str">
        <f t="shared" si="90"/>
        <v/>
      </c>
      <c r="P1180">
        <v>0</v>
      </c>
      <c r="Q1180" t="e">
        <f t="shared" si="91"/>
        <v>#N/A</v>
      </c>
      <c r="R1180" t="e">
        <f t="shared" si="92"/>
        <v>#N/A</v>
      </c>
      <c r="S1180" s="9" t="e">
        <f t="shared" si="93"/>
        <v>#N/A</v>
      </c>
      <c r="T1180" s="3" t="e">
        <f t="shared" si="94"/>
        <v>#N/A</v>
      </c>
    </row>
    <row r="1181" spans="2:20" x14ac:dyDescent="0.35">
      <c r="B1181" t="str">
        <f>IF(NOT(ISBLANK(A1181)),VLOOKUP(A1181,'BBT3'!A:F,2,0),"")</f>
        <v/>
      </c>
      <c r="C1181" t="str">
        <f>IF(NOT(ISBLANK(A1181)),VLOOKUP(A1181,'BBT3'!A:F,3,0),"")</f>
        <v/>
      </c>
      <c r="D1181" s="6" t="str">
        <f>IF(NOT(ISBLANK(A1181)),VLOOKUP(A1181,'BBT3'!A:F,4,1),"")</f>
        <v/>
      </c>
      <c r="E1181" t="str">
        <f>IF(NOT(ISBLANK(A1181)),VLOOKUP(A1181,'BBT3'!A:F,5,0),"")</f>
        <v/>
      </c>
      <c r="F1181" t="str">
        <f>IF(NOT(ISBLANK(A1181)),VLOOKUP(A1181,'BBT3'!A:F,6,0),"")</f>
        <v/>
      </c>
      <c r="G1181" t="str">
        <f>IF(NOT(ISBLANK(A1181)),VLOOKUP(A1181,QW_Close!A:J,5,0),"")</f>
        <v/>
      </c>
      <c r="H1181" s="5" t="str" cm="1">
        <f t="array" ref="H1181">IF(NOT(ISBLANK(A1181)),((_xlfn.XLOOKUP(1,(_bbt3[[#All],[ID]]=A1181)*(_bbt3[[#All],[METRIC_NAME]]="YLD_YTM_ASK"),_bbt3[[#All],[METRIC_VALUE]])*0.5)+(_xlfn.XLOOKUP(1,(_bbt3[[#All],[ID]]=A1181)*(_bbt3[[#All],[METRIC_NAME]]="YLD_YTM_BID"),_bbt3[[#All],[METRIC_VALUE]])*0.5))/100,"")</f>
        <v/>
      </c>
      <c r="I1181">
        <f>IF(ISNA(VLOOKUP(A1181,QW_CloseDL!A:E,5,0)),0,VLOOKUP(A1181,QW_CloseDL!A:E,5,0))</f>
        <v>0</v>
      </c>
      <c r="J1181" s="8" t="str">
        <f t="shared" si="90"/>
        <v/>
      </c>
      <c r="P1181">
        <v>0</v>
      </c>
      <c r="Q1181" t="e">
        <f t="shared" si="91"/>
        <v>#N/A</v>
      </c>
      <c r="R1181" t="e">
        <f t="shared" si="92"/>
        <v>#N/A</v>
      </c>
      <c r="S1181" s="9" t="e">
        <f t="shared" si="93"/>
        <v>#N/A</v>
      </c>
      <c r="T1181" s="3" t="e">
        <f t="shared" si="94"/>
        <v>#N/A</v>
      </c>
    </row>
    <row r="1182" spans="2:20" x14ac:dyDescent="0.35">
      <c r="B1182" t="str">
        <f>IF(NOT(ISBLANK(A1182)),VLOOKUP(A1182,'BBT3'!A:F,2,0),"")</f>
        <v/>
      </c>
      <c r="C1182" t="str">
        <f>IF(NOT(ISBLANK(A1182)),VLOOKUP(A1182,'BBT3'!A:F,3,0),"")</f>
        <v/>
      </c>
      <c r="D1182" s="6" t="str">
        <f>IF(NOT(ISBLANK(A1182)),VLOOKUP(A1182,'BBT3'!A:F,4,1),"")</f>
        <v/>
      </c>
      <c r="E1182" t="str">
        <f>IF(NOT(ISBLANK(A1182)),VLOOKUP(A1182,'BBT3'!A:F,5,0),"")</f>
        <v/>
      </c>
      <c r="F1182" t="str">
        <f>IF(NOT(ISBLANK(A1182)),VLOOKUP(A1182,'BBT3'!A:F,6,0),"")</f>
        <v/>
      </c>
      <c r="G1182" t="str">
        <f>IF(NOT(ISBLANK(A1182)),VLOOKUP(A1182,QW_Close!A:J,5,0),"")</f>
        <v/>
      </c>
      <c r="H1182" s="5" t="str" cm="1">
        <f t="array" ref="H1182">IF(NOT(ISBLANK(A1182)),((_xlfn.XLOOKUP(1,(_bbt3[[#All],[ID]]=A1182)*(_bbt3[[#All],[METRIC_NAME]]="YLD_YTM_ASK"),_bbt3[[#All],[METRIC_VALUE]])*0.5)+(_xlfn.XLOOKUP(1,(_bbt3[[#All],[ID]]=A1182)*(_bbt3[[#All],[METRIC_NAME]]="YLD_YTM_BID"),_bbt3[[#All],[METRIC_VALUE]])*0.5))/100,"")</f>
        <v/>
      </c>
      <c r="I1182">
        <f>IF(ISNA(VLOOKUP(A1182,QW_CloseDL!A:E,5,0)),0,VLOOKUP(A1182,QW_CloseDL!A:E,5,0))</f>
        <v>0</v>
      </c>
      <c r="J1182" s="8" t="str">
        <f t="shared" si="90"/>
        <v/>
      </c>
      <c r="P1182">
        <v>0</v>
      </c>
      <c r="Q1182" t="e">
        <f t="shared" si="91"/>
        <v>#N/A</v>
      </c>
      <c r="R1182" t="e">
        <f t="shared" si="92"/>
        <v>#N/A</v>
      </c>
      <c r="S1182" s="9" t="e">
        <f t="shared" si="93"/>
        <v>#N/A</v>
      </c>
      <c r="T1182" s="3" t="e">
        <f t="shared" si="94"/>
        <v>#N/A</v>
      </c>
    </row>
    <row r="1183" spans="2:20" x14ac:dyDescent="0.35">
      <c r="B1183" t="str">
        <f>IF(NOT(ISBLANK(A1183)),VLOOKUP(A1183,'BBT3'!A:F,2,0),"")</f>
        <v/>
      </c>
      <c r="C1183" t="str">
        <f>IF(NOT(ISBLANK(A1183)),VLOOKUP(A1183,'BBT3'!A:F,3,0),"")</f>
        <v/>
      </c>
      <c r="D1183" s="6" t="str">
        <f>IF(NOT(ISBLANK(A1183)),VLOOKUP(A1183,'BBT3'!A:F,4,1),"")</f>
        <v/>
      </c>
      <c r="E1183" t="str">
        <f>IF(NOT(ISBLANK(A1183)),VLOOKUP(A1183,'BBT3'!A:F,5,0),"")</f>
        <v/>
      </c>
      <c r="F1183" t="str">
        <f>IF(NOT(ISBLANK(A1183)),VLOOKUP(A1183,'BBT3'!A:F,6,0),"")</f>
        <v/>
      </c>
      <c r="G1183" t="str">
        <f>IF(NOT(ISBLANK(A1183)),VLOOKUP(A1183,QW_Close!A:J,5,0),"")</f>
        <v/>
      </c>
      <c r="H1183" s="5" t="str" cm="1">
        <f t="array" ref="H1183">IF(NOT(ISBLANK(A1183)),((_xlfn.XLOOKUP(1,(_bbt3[[#All],[ID]]=A1183)*(_bbt3[[#All],[METRIC_NAME]]="YLD_YTM_ASK"),_bbt3[[#All],[METRIC_VALUE]])*0.5)+(_xlfn.XLOOKUP(1,(_bbt3[[#All],[ID]]=A1183)*(_bbt3[[#All],[METRIC_NAME]]="YLD_YTM_BID"),_bbt3[[#All],[METRIC_VALUE]])*0.5))/100,"")</f>
        <v/>
      </c>
      <c r="I1183">
        <f>IF(ISNA(VLOOKUP(A1183,QW_CloseDL!A:E,5,0)),0,VLOOKUP(A1183,QW_CloseDL!A:E,5,0))</f>
        <v>0</v>
      </c>
      <c r="J1183" s="8" t="str">
        <f t="shared" si="90"/>
        <v/>
      </c>
      <c r="P1183">
        <v>0</v>
      </c>
      <c r="Q1183" t="e">
        <f t="shared" si="91"/>
        <v>#N/A</v>
      </c>
      <c r="R1183" t="e">
        <f t="shared" si="92"/>
        <v>#N/A</v>
      </c>
      <c r="S1183" s="9" t="e">
        <f t="shared" si="93"/>
        <v>#N/A</v>
      </c>
      <c r="T1183" s="3" t="e">
        <f t="shared" si="94"/>
        <v>#N/A</v>
      </c>
    </row>
    <row r="1184" spans="2:20" x14ac:dyDescent="0.35">
      <c r="B1184" t="str">
        <f>IF(NOT(ISBLANK(A1184)),VLOOKUP(A1184,'BBT3'!A:F,2,0),"")</f>
        <v/>
      </c>
      <c r="C1184" t="str">
        <f>IF(NOT(ISBLANK(A1184)),VLOOKUP(A1184,'BBT3'!A:F,3,0),"")</f>
        <v/>
      </c>
      <c r="D1184" s="6" t="str">
        <f>IF(NOT(ISBLANK(A1184)),VLOOKUP(A1184,'BBT3'!A:F,4,1),"")</f>
        <v/>
      </c>
      <c r="E1184" t="str">
        <f>IF(NOT(ISBLANK(A1184)),VLOOKUP(A1184,'BBT3'!A:F,5,0),"")</f>
        <v/>
      </c>
      <c r="F1184" t="str">
        <f>IF(NOT(ISBLANK(A1184)),VLOOKUP(A1184,'BBT3'!A:F,6,0),"")</f>
        <v/>
      </c>
      <c r="G1184" t="str">
        <f>IF(NOT(ISBLANK(A1184)),VLOOKUP(A1184,QW_Close!A:J,5,0),"")</f>
        <v/>
      </c>
      <c r="H1184" s="5" t="str" cm="1">
        <f t="array" ref="H1184">IF(NOT(ISBLANK(A1184)),((_xlfn.XLOOKUP(1,(_bbt3[[#All],[ID]]=A1184)*(_bbt3[[#All],[METRIC_NAME]]="YLD_YTM_ASK"),_bbt3[[#All],[METRIC_VALUE]])*0.5)+(_xlfn.XLOOKUP(1,(_bbt3[[#All],[ID]]=A1184)*(_bbt3[[#All],[METRIC_NAME]]="YLD_YTM_BID"),_bbt3[[#All],[METRIC_VALUE]])*0.5))/100,"")</f>
        <v/>
      </c>
      <c r="I1184">
        <f>IF(ISNA(VLOOKUP(A1184,QW_CloseDL!A:E,5,0)),0,VLOOKUP(A1184,QW_CloseDL!A:E,5,0))</f>
        <v>0</v>
      </c>
      <c r="J1184" s="8" t="str">
        <f t="shared" si="90"/>
        <v/>
      </c>
      <c r="P1184">
        <v>0</v>
      </c>
      <c r="Q1184" t="e">
        <f t="shared" si="91"/>
        <v>#N/A</v>
      </c>
      <c r="R1184" t="e">
        <f t="shared" si="92"/>
        <v>#N/A</v>
      </c>
      <c r="S1184" s="9" t="e">
        <f t="shared" si="93"/>
        <v>#N/A</v>
      </c>
      <c r="T1184" s="3" t="e">
        <f t="shared" si="94"/>
        <v>#N/A</v>
      </c>
    </row>
    <row r="1185" spans="2:20" x14ac:dyDescent="0.35">
      <c r="B1185" t="str">
        <f>IF(NOT(ISBLANK(A1185)),VLOOKUP(A1185,'BBT3'!A:F,2,0),"")</f>
        <v/>
      </c>
      <c r="C1185" t="str">
        <f>IF(NOT(ISBLANK(A1185)),VLOOKUP(A1185,'BBT3'!A:F,3,0),"")</f>
        <v/>
      </c>
      <c r="D1185" s="6" t="str">
        <f>IF(NOT(ISBLANK(A1185)),VLOOKUP(A1185,'BBT3'!A:F,4,1),"")</f>
        <v/>
      </c>
      <c r="E1185" t="str">
        <f>IF(NOT(ISBLANK(A1185)),VLOOKUP(A1185,'BBT3'!A:F,5,0),"")</f>
        <v/>
      </c>
      <c r="F1185" t="str">
        <f>IF(NOT(ISBLANK(A1185)),VLOOKUP(A1185,'BBT3'!A:F,6,0),"")</f>
        <v/>
      </c>
      <c r="G1185" t="str">
        <f>IF(NOT(ISBLANK(A1185)),VLOOKUP(A1185,QW_Close!A:J,5,0),"")</f>
        <v/>
      </c>
      <c r="H1185" s="5" t="str" cm="1">
        <f t="array" ref="H1185">IF(NOT(ISBLANK(A1185)),((_xlfn.XLOOKUP(1,(_bbt3[[#All],[ID]]=A1185)*(_bbt3[[#All],[METRIC_NAME]]="YLD_YTM_ASK"),_bbt3[[#All],[METRIC_VALUE]])*0.5)+(_xlfn.XLOOKUP(1,(_bbt3[[#All],[ID]]=A1185)*(_bbt3[[#All],[METRIC_NAME]]="YLD_YTM_BID"),_bbt3[[#All],[METRIC_VALUE]])*0.5))/100,"")</f>
        <v/>
      </c>
      <c r="I1185">
        <f>IF(ISNA(VLOOKUP(A1185,QW_CloseDL!A:E,5,0)),0,VLOOKUP(A1185,QW_CloseDL!A:E,5,0))</f>
        <v>0</v>
      </c>
      <c r="J1185" s="8" t="str">
        <f t="shared" si="90"/>
        <v/>
      </c>
      <c r="P1185">
        <v>0</v>
      </c>
      <c r="Q1185" t="e">
        <f t="shared" si="91"/>
        <v>#N/A</v>
      </c>
      <c r="R1185" t="e">
        <f t="shared" si="92"/>
        <v>#N/A</v>
      </c>
      <c r="S1185" s="9" t="e">
        <f t="shared" si="93"/>
        <v>#N/A</v>
      </c>
      <c r="T1185" s="3" t="e">
        <f t="shared" si="94"/>
        <v>#N/A</v>
      </c>
    </row>
    <row r="1186" spans="2:20" x14ac:dyDescent="0.35">
      <c r="B1186" t="str">
        <f>IF(NOT(ISBLANK(A1186)),VLOOKUP(A1186,'BBT3'!A:F,2,0),"")</f>
        <v/>
      </c>
      <c r="C1186" t="str">
        <f>IF(NOT(ISBLANK(A1186)),VLOOKUP(A1186,'BBT3'!A:F,3,0),"")</f>
        <v/>
      </c>
      <c r="D1186" s="6" t="str">
        <f>IF(NOT(ISBLANK(A1186)),VLOOKUP(A1186,'BBT3'!A:F,4,1),"")</f>
        <v/>
      </c>
      <c r="E1186" t="str">
        <f>IF(NOT(ISBLANK(A1186)),VLOOKUP(A1186,'BBT3'!A:F,5,0),"")</f>
        <v/>
      </c>
      <c r="F1186" t="str">
        <f>IF(NOT(ISBLANK(A1186)),VLOOKUP(A1186,'BBT3'!A:F,6,0),"")</f>
        <v/>
      </c>
      <c r="G1186" t="str">
        <f>IF(NOT(ISBLANK(A1186)),VLOOKUP(A1186,QW_Close!A:J,5,0),"")</f>
        <v/>
      </c>
      <c r="H1186" s="5" t="str" cm="1">
        <f t="array" ref="H1186">IF(NOT(ISBLANK(A1186)),((_xlfn.XLOOKUP(1,(_bbt3[[#All],[ID]]=A1186)*(_bbt3[[#All],[METRIC_NAME]]="YLD_YTM_ASK"),_bbt3[[#All],[METRIC_VALUE]])*0.5)+(_xlfn.XLOOKUP(1,(_bbt3[[#All],[ID]]=A1186)*(_bbt3[[#All],[METRIC_NAME]]="YLD_YTM_BID"),_bbt3[[#All],[METRIC_VALUE]])*0.5))/100,"")</f>
        <v/>
      </c>
      <c r="I1186">
        <f>IF(ISNA(VLOOKUP(A1186,QW_CloseDL!A:E,5,0)),0,VLOOKUP(A1186,QW_CloseDL!A:E,5,0))</f>
        <v>0</v>
      </c>
      <c r="J1186" s="8" t="str">
        <f t="shared" si="90"/>
        <v/>
      </c>
      <c r="P1186">
        <v>0</v>
      </c>
      <c r="Q1186" t="e">
        <f t="shared" si="91"/>
        <v>#N/A</v>
      </c>
      <c r="R1186" t="e">
        <f t="shared" si="92"/>
        <v>#N/A</v>
      </c>
      <c r="S1186" s="9" t="e">
        <f t="shared" si="93"/>
        <v>#N/A</v>
      </c>
      <c r="T1186" s="3" t="e">
        <f t="shared" si="94"/>
        <v>#N/A</v>
      </c>
    </row>
    <row r="1187" spans="2:20" x14ac:dyDescent="0.35">
      <c r="B1187" t="str">
        <f>IF(NOT(ISBLANK(A1187)),VLOOKUP(A1187,'BBT3'!A:F,2,0),"")</f>
        <v/>
      </c>
      <c r="C1187" t="str">
        <f>IF(NOT(ISBLANK(A1187)),VLOOKUP(A1187,'BBT3'!A:F,3,0),"")</f>
        <v/>
      </c>
      <c r="D1187" s="6" t="str">
        <f>IF(NOT(ISBLANK(A1187)),VLOOKUP(A1187,'BBT3'!A:F,4,1),"")</f>
        <v/>
      </c>
      <c r="E1187" t="str">
        <f>IF(NOT(ISBLANK(A1187)),VLOOKUP(A1187,'BBT3'!A:F,5,0),"")</f>
        <v/>
      </c>
      <c r="F1187" t="str">
        <f>IF(NOT(ISBLANK(A1187)),VLOOKUP(A1187,'BBT3'!A:F,6,0),"")</f>
        <v/>
      </c>
      <c r="G1187" t="str">
        <f>IF(NOT(ISBLANK(A1187)),VLOOKUP(A1187,QW_Close!A:J,5,0),"")</f>
        <v/>
      </c>
      <c r="H1187" s="5" t="str" cm="1">
        <f t="array" ref="H1187">IF(NOT(ISBLANK(A1187)),((_xlfn.XLOOKUP(1,(_bbt3[[#All],[ID]]=A1187)*(_bbt3[[#All],[METRIC_NAME]]="YLD_YTM_ASK"),_bbt3[[#All],[METRIC_VALUE]])*0.5)+(_xlfn.XLOOKUP(1,(_bbt3[[#All],[ID]]=A1187)*(_bbt3[[#All],[METRIC_NAME]]="YLD_YTM_BID"),_bbt3[[#All],[METRIC_VALUE]])*0.5))/100,"")</f>
        <v/>
      </c>
      <c r="I1187">
        <f>IF(ISNA(VLOOKUP(A1187,QW_CloseDL!A:E,5,0)),0,VLOOKUP(A1187,QW_CloseDL!A:E,5,0))</f>
        <v>0</v>
      </c>
      <c r="J1187" s="8" t="str">
        <f t="shared" si="90"/>
        <v/>
      </c>
      <c r="P1187">
        <v>0</v>
      </c>
      <c r="Q1187" t="e">
        <f t="shared" si="91"/>
        <v>#N/A</v>
      </c>
      <c r="R1187" t="e">
        <f t="shared" si="92"/>
        <v>#N/A</v>
      </c>
      <c r="S1187" s="9" t="e">
        <f t="shared" si="93"/>
        <v>#N/A</v>
      </c>
      <c r="T1187" s="3" t="e">
        <f t="shared" si="94"/>
        <v>#N/A</v>
      </c>
    </row>
    <row r="1188" spans="2:20" x14ac:dyDescent="0.35">
      <c r="B1188" t="str">
        <f>IF(NOT(ISBLANK(A1188)),VLOOKUP(A1188,'BBT3'!A:F,2,0),"")</f>
        <v/>
      </c>
      <c r="C1188" t="str">
        <f>IF(NOT(ISBLANK(A1188)),VLOOKUP(A1188,'BBT3'!A:F,3,0),"")</f>
        <v/>
      </c>
      <c r="D1188" s="6" t="str">
        <f>IF(NOT(ISBLANK(A1188)),VLOOKUP(A1188,'BBT3'!A:F,4,1),"")</f>
        <v/>
      </c>
      <c r="E1188" t="str">
        <f>IF(NOT(ISBLANK(A1188)),VLOOKUP(A1188,'BBT3'!A:F,5,0),"")</f>
        <v/>
      </c>
      <c r="F1188" t="str">
        <f>IF(NOT(ISBLANK(A1188)),VLOOKUP(A1188,'BBT3'!A:F,6,0),"")</f>
        <v/>
      </c>
      <c r="G1188" t="str">
        <f>IF(NOT(ISBLANK(A1188)),VLOOKUP(A1188,QW_Close!A:J,5,0),"")</f>
        <v/>
      </c>
      <c r="H1188" s="5" t="str" cm="1">
        <f t="array" ref="H1188">IF(NOT(ISBLANK(A1188)),((_xlfn.XLOOKUP(1,(_bbt3[[#All],[ID]]=A1188)*(_bbt3[[#All],[METRIC_NAME]]="YLD_YTM_ASK"),_bbt3[[#All],[METRIC_VALUE]])*0.5)+(_xlfn.XLOOKUP(1,(_bbt3[[#All],[ID]]=A1188)*(_bbt3[[#All],[METRIC_NAME]]="YLD_YTM_BID"),_bbt3[[#All],[METRIC_VALUE]])*0.5))/100,"")</f>
        <v/>
      </c>
      <c r="I1188">
        <f>IF(ISNA(VLOOKUP(A1188,QW_CloseDL!A:E,5,0)),0,VLOOKUP(A1188,QW_CloseDL!A:E,5,0))</f>
        <v>0</v>
      </c>
      <c r="J1188" s="8" t="str">
        <f t="shared" si="90"/>
        <v/>
      </c>
      <c r="P1188">
        <v>0</v>
      </c>
      <c r="Q1188" t="e">
        <f t="shared" si="91"/>
        <v>#N/A</v>
      </c>
      <c r="R1188" t="e">
        <f t="shared" si="92"/>
        <v>#N/A</v>
      </c>
      <c r="S1188" s="9" t="e">
        <f t="shared" si="93"/>
        <v>#N/A</v>
      </c>
      <c r="T1188" s="3" t="e">
        <f t="shared" si="94"/>
        <v>#N/A</v>
      </c>
    </row>
    <row r="1189" spans="2:20" x14ac:dyDescent="0.35">
      <c r="B1189" t="str">
        <f>IF(NOT(ISBLANK(A1189)),VLOOKUP(A1189,'BBT3'!A:F,2,0),"")</f>
        <v/>
      </c>
      <c r="C1189" t="str">
        <f>IF(NOT(ISBLANK(A1189)),VLOOKUP(A1189,'BBT3'!A:F,3,0),"")</f>
        <v/>
      </c>
      <c r="D1189" s="6" t="str">
        <f>IF(NOT(ISBLANK(A1189)),VLOOKUP(A1189,'BBT3'!A:F,4,1),"")</f>
        <v/>
      </c>
      <c r="E1189" t="str">
        <f>IF(NOT(ISBLANK(A1189)),VLOOKUP(A1189,'BBT3'!A:F,5,0),"")</f>
        <v/>
      </c>
      <c r="F1189" t="str">
        <f>IF(NOT(ISBLANK(A1189)),VLOOKUP(A1189,'BBT3'!A:F,6,0),"")</f>
        <v/>
      </c>
      <c r="G1189" t="str">
        <f>IF(NOT(ISBLANK(A1189)),VLOOKUP(A1189,QW_Close!A:J,5,0),"")</f>
        <v/>
      </c>
      <c r="H1189" s="5" t="str" cm="1">
        <f t="array" ref="H1189">IF(NOT(ISBLANK(A1189)),((_xlfn.XLOOKUP(1,(_bbt3[[#All],[ID]]=A1189)*(_bbt3[[#All],[METRIC_NAME]]="YLD_YTM_ASK"),_bbt3[[#All],[METRIC_VALUE]])*0.5)+(_xlfn.XLOOKUP(1,(_bbt3[[#All],[ID]]=A1189)*(_bbt3[[#All],[METRIC_NAME]]="YLD_YTM_BID"),_bbt3[[#All],[METRIC_VALUE]])*0.5))/100,"")</f>
        <v/>
      </c>
      <c r="I1189">
        <f>IF(ISNA(VLOOKUP(A1189,QW_CloseDL!A:E,5,0)),0,VLOOKUP(A1189,QW_CloseDL!A:E,5,0))</f>
        <v>0</v>
      </c>
      <c r="J1189" s="8" t="str">
        <f t="shared" si="90"/>
        <v/>
      </c>
      <c r="P1189">
        <v>0</v>
      </c>
      <c r="Q1189" t="e">
        <f t="shared" si="91"/>
        <v>#N/A</v>
      </c>
      <c r="R1189" t="e">
        <f t="shared" si="92"/>
        <v>#N/A</v>
      </c>
      <c r="S1189" s="9" t="e">
        <f t="shared" si="93"/>
        <v>#N/A</v>
      </c>
      <c r="T1189" s="3" t="e">
        <f t="shared" si="94"/>
        <v>#N/A</v>
      </c>
    </row>
    <row r="1190" spans="2:20" x14ac:dyDescent="0.35">
      <c r="B1190" t="str">
        <f>IF(NOT(ISBLANK(A1190)),VLOOKUP(A1190,'BBT3'!A:F,2,0),"")</f>
        <v/>
      </c>
      <c r="C1190" t="str">
        <f>IF(NOT(ISBLANK(A1190)),VLOOKUP(A1190,'BBT3'!A:F,3,0),"")</f>
        <v/>
      </c>
      <c r="D1190" s="6" t="str">
        <f>IF(NOT(ISBLANK(A1190)),VLOOKUP(A1190,'BBT3'!A:F,4,1),"")</f>
        <v/>
      </c>
      <c r="E1190" t="str">
        <f>IF(NOT(ISBLANK(A1190)),VLOOKUP(A1190,'BBT3'!A:F,5,0),"")</f>
        <v/>
      </c>
      <c r="F1190" t="str">
        <f>IF(NOT(ISBLANK(A1190)),VLOOKUP(A1190,'BBT3'!A:F,6,0),"")</f>
        <v/>
      </c>
      <c r="G1190" t="str">
        <f>IF(NOT(ISBLANK(A1190)),VLOOKUP(A1190,QW_Close!A:J,5,0),"")</f>
        <v/>
      </c>
      <c r="H1190" s="5" t="str" cm="1">
        <f t="array" ref="H1190">IF(NOT(ISBLANK(A1190)),((_xlfn.XLOOKUP(1,(_bbt3[[#All],[ID]]=A1190)*(_bbt3[[#All],[METRIC_NAME]]="YLD_YTM_ASK"),_bbt3[[#All],[METRIC_VALUE]])*0.5)+(_xlfn.XLOOKUP(1,(_bbt3[[#All],[ID]]=A1190)*(_bbt3[[#All],[METRIC_NAME]]="YLD_YTM_BID"),_bbt3[[#All],[METRIC_VALUE]])*0.5))/100,"")</f>
        <v/>
      </c>
      <c r="I1190">
        <f>IF(ISNA(VLOOKUP(A1190,QW_CloseDL!A:E,5,0)),0,VLOOKUP(A1190,QW_CloseDL!A:E,5,0))</f>
        <v>0</v>
      </c>
      <c r="J1190" s="8" t="str">
        <f t="shared" si="90"/>
        <v/>
      </c>
      <c r="P1190">
        <v>0</v>
      </c>
      <c r="Q1190" t="e">
        <f t="shared" si="91"/>
        <v>#N/A</v>
      </c>
      <c r="R1190" t="e">
        <f t="shared" si="92"/>
        <v>#N/A</v>
      </c>
      <c r="S1190" s="9" t="e">
        <f t="shared" si="93"/>
        <v>#N/A</v>
      </c>
      <c r="T1190" s="3" t="e">
        <f t="shared" si="94"/>
        <v>#N/A</v>
      </c>
    </row>
    <row r="1191" spans="2:20" x14ac:dyDescent="0.35">
      <c r="B1191" t="str">
        <f>IF(NOT(ISBLANK(A1191)),VLOOKUP(A1191,'BBT3'!A:F,2,0),"")</f>
        <v/>
      </c>
      <c r="C1191" t="str">
        <f>IF(NOT(ISBLANK(A1191)),VLOOKUP(A1191,'BBT3'!A:F,3,0),"")</f>
        <v/>
      </c>
      <c r="D1191" s="6" t="str">
        <f>IF(NOT(ISBLANK(A1191)),VLOOKUP(A1191,'BBT3'!A:F,4,1),"")</f>
        <v/>
      </c>
      <c r="E1191" t="str">
        <f>IF(NOT(ISBLANK(A1191)),VLOOKUP(A1191,'BBT3'!A:F,5,0),"")</f>
        <v/>
      </c>
      <c r="F1191" t="str">
        <f>IF(NOT(ISBLANK(A1191)),VLOOKUP(A1191,'BBT3'!A:F,6,0),"")</f>
        <v/>
      </c>
      <c r="G1191" t="str">
        <f>IF(NOT(ISBLANK(A1191)),VLOOKUP(A1191,QW_Close!A:J,5,0),"")</f>
        <v/>
      </c>
      <c r="H1191" s="5" t="str" cm="1">
        <f t="array" ref="H1191">IF(NOT(ISBLANK(A1191)),((_xlfn.XLOOKUP(1,(_bbt3[[#All],[ID]]=A1191)*(_bbt3[[#All],[METRIC_NAME]]="YLD_YTM_ASK"),_bbt3[[#All],[METRIC_VALUE]])*0.5)+(_xlfn.XLOOKUP(1,(_bbt3[[#All],[ID]]=A1191)*(_bbt3[[#All],[METRIC_NAME]]="YLD_YTM_BID"),_bbt3[[#All],[METRIC_VALUE]])*0.5))/100,"")</f>
        <v/>
      </c>
      <c r="I1191">
        <f>IF(ISNA(VLOOKUP(A1191,QW_CloseDL!A:E,5,0)),0,VLOOKUP(A1191,QW_CloseDL!A:E,5,0))</f>
        <v>0</v>
      </c>
      <c r="J1191" s="8" t="str">
        <f t="shared" si="90"/>
        <v/>
      </c>
      <c r="P1191">
        <v>0</v>
      </c>
      <c r="Q1191" t="e">
        <f t="shared" si="91"/>
        <v>#N/A</v>
      </c>
      <c r="R1191" t="e">
        <f t="shared" si="92"/>
        <v>#N/A</v>
      </c>
      <c r="S1191" s="9" t="e">
        <f t="shared" si="93"/>
        <v>#N/A</v>
      </c>
      <c r="T1191" s="3" t="e">
        <f t="shared" si="94"/>
        <v>#N/A</v>
      </c>
    </row>
    <row r="1192" spans="2:20" x14ac:dyDescent="0.35">
      <c r="B1192" t="str">
        <f>IF(NOT(ISBLANK(A1192)),VLOOKUP(A1192,'BBT3'!A:F,2,0),"")</f>
        <v/>
      </c>
      <c r="C1192" t="str">
        <f>IF(NOT(ISBLANK(A1192)),VLOOKUP(A1192,'BBT3'!A:F,3,0),"")</f>
        <v/>
      </c>
      <c r="D1192" s="6" t="str">
        <f>IF(NOT(ISBLANK(A1192)),VLOOKUP(A1192,'BBT3'!A:F,4,1),"")</f>
        <v/>
      </c>
      <c r="E1192" t="str">
        <f>IF(NOT(ISBLANK(A1192)),VLOOKUP(A1192,'BBT3'!A:F,5,0),"")</f>
        <v/>
      </c>
      <c r="F1192" t="str">
        <f>IF(NOT(ISBLANK(A1192)),VLOOKUP(A1192,'BBT3'!A:F,6,0),"")</f>
        <v/>
      </c>
      <c r="G1192" t="str">
        <f>IF(NOT(ISBLANK(A1192)),VLOOKUP(A1192,QW_Close!A:J,5,0),"")</f>
        <v/>
      </c>
      <c r="H1192" s="5" t="str" cm="1">
        <f t="array" ref="H1192">IF(NOT(ISBLANK(A1192)),((_xlfn.XLOOKUP(1,(_bbt3[[#All],[ID]]=A1192)*(_bbt3[[#All],[METRIC_NAME]]="YLD_YTM_ASK"),_bbt3[[#All],[METRIC_VALUE]])*0.5)+(_xlfn.XLOOKUP(1,(_bbt3[[#All],[ID]]=A1192)*(_bbt3[[#All],[METRIC_NAME]]="YLD_YTM_BID"),_bbt3[[#All],[METRIC_VALUE]])*0.5))/100,"")</f>
        <v/>
      </c>
      <c r="I1192">
        <f>IF(ISNA(VLOOKUP(A1192,QW_CloseDL!A:E,5,0)),0,VLOOKUP(A1192,QW_CloseDL!A:E,5,0))</f>
        <v>0</v>
      </c>
      <c r="J1192" s="8" t="str">
        <f t="shared" si="90"/>
        <v/>
      </c>
      <c r="P1192">
        <v>0</v>
      </c>
      <c r="Q1192" t="e">
        <f t="shared" si="91"/>
        <v>#N/A</v>
      </c>
      <c r="R1192" t="e">
        <f t="shared" si="92"/>
        <v>#N/A</v>
      </c>
      <c r="S1192" s="9" t="e">
        <f t="shared" si="93"/>
        <v>#N/A</v>
      </c>
      <c r="T1192" s="3" t="e">
        <f t="shared" si="94"/>
        <v>#N/A</v>
      </c>
    </row>
    <row r="1193" spans="2:20" x14ac:dyDescent="0.35">
      <c r="B1193" t="str">
        <f>IF(NOT(ISBLANK(A1193)),VLOOKUP(A1193,'BBT3'!A:F,2,0),"")</f>
        <v/>
      </c>
      <c r="C1193" t="str">
        <f>IF(NOT(ISBLANK(A1193)),VLOOKUP(A1193,'BBT3'!A:F,3,0),"")</f>
        <v/>
      </c>
      <c r="D1193" s="6" t="str">
        <f>IF(NOT(ISBLANK(A1193)),VLOOKUP(A1193,'BBT3'!A:F,4,1),"")</f>
        <v/>
      </c>
      <c r="E1193" t="str">
        <f>IF(NOT(ISBLANK(A1193)),VLOOKUP(A1193,'BBT3'!A:F,5,0),"")</f>
        <v/>
      </c>
      <c r="F1193" t="str">
        <f>IF(NOT(ISBLANK(A1193)),VLOOKUP(A1193,'BBT3'!A:F,6,0),"")</f>
        <v/>
      </c>
      <c r="G1193" t="str">
        <f>IF(NOT(ISBLANK(A1193)),VLOOKUP(A1193,QW_Close!A:J,5,0),"")</f>
        <v/>
      </c>
      <c r="H1193" s="5" t="str" cm="1">
        <f t="array" ref="H1193">IF(NOT(ISBLANK(A1193)),((_xlfn.XLOOKUP(1,(_bbt3[[#All],[ID]]=A1193)*(_bbt3[[#All],[METRIC_NAME]]="YLD_YTM_ASK"),_bbt3[[#All],[METRIC_VALUE]])*0.5)+(_xlfn.XLOOKUP(1,(_bbt3[[#All],[ID]]=A1193)*(_bbt3[[#All],[METRIC_NAME]]="YLD_YTM_BID"),_bbt3[[#All],[METRIC_VALUE]])*0.5))/100,"")</f>
        <v/>
      </c>
      <c r="I1193">
        <f>IF(ISNA(VLOOKUP(A1193,QW_CloseDL!A:E,5,0)),0,VLOOKUP(A1193,QW_CloseDL!A:E,5,0))</f>
        <v>0</v>
      </c>
      <c r="J1193" s="8" t="str">
        <f t="shared" si="90"/>
        <v/>
      </c>
      <c r="P1193">
        <v>0</v>
      </c>
      <c r="Q1193" t="e">
        <f t="shared" si="91"/>
        <v>#N/A</v>
      </c>
      <c r="R1193" t="e">
        <f t="shared" si="92"/>
        <v>#N/A</v>
      </c>
      <c r="S1193" s="9" t="e">
        <f t="shared" si="93"/>
        <v>#N/A</v>
      </c>
      <c r="T1193" s="3" t="e">
        <f t="shared" si="94"/>
        <v>#N/A</v>
      </c>
    </row>
    <row r="1194" spans="2:20" x14ac:dyDescent="0.35">
      <c r="B1194" t="str">
        <f>IF(NOT(ISBLANK(A1194)),VLOOKUP(A1194,'BBT3'!A:F,2,0),"")</f>
        <v/>
      </c>
      <c r="C1194" t="str">
        <f>IF(NOT(ISBLANK(A1194)),VLOOKUP(A1194,'BBT3'!A:F,3,0),"")</f>
        <v/>
      </c>
      <c r="D1194" s="6" t="str">
        <f>IF(NOT(ISBLANK(A1194)),VLOOKUP(A1194,'BBT3'!A:F,4,1),"")</f>
        <v/>
      </c>
      <c r="E1194" t="str">
        <f>IF(NOT(ISBLANK(A1194)),VLOOKUP(A1194,'BBT3'!A:F,5,0),"")</f>
        <v/>
      </c>
      <c r="F1194" t="str">
        <f>IF(NOT(ISBLANK(A1194)),VLOOKUP(A1194,'BBT3'!A:F,6,0),"")</f>
        <v/>
      </c>
      <c r="G1194" t="str">
        <f>IF(NOT(ISBLANK(A1194)),VLOOKUP(A1194,QW_Close!A:J,5,0),"")</f>
        <v/>
      </c>
      <c r="H1194" s="5" t="str" cm="1">
        <f t="array" ref="H1194">IF(NOT(ISBLANK(A1194)),((_xlfn.XLOOKUP(1,(_bbt3[[#All],[ID]]=A1194)*(_bbt3[[#All],[METRIC_NAME]]="YLD_YTM_ASK"),_bbt3[[#All],[METRIC_VALUE]])*0.5)+(_xlfn.XLOOKUP(1,(_bbt3[[#All],[ID]]=A1194)*(_bbt3[[#All],[METRIC_NAME]]="YLD_YTM_BID"),_bbt3[[#All],[METRIC_VALUE]])*0.5))/100,"")</f>
        <v/>
      </c>
      <c r="I1194">
        <f>IF(ISNA(VLOOKUP(A1194,QW_CloseDL!A:E,5,0)),0,VLOOKUP(A1194,QW_CloseDL!A:E,5,0))</f>
        <v>0</v>
      </c>
      <c r="J1194" s="8" t="str">
        <f t="shared" si="90"/>
        <v/>
      </c>
      <c r="P1194">
        <v>0</v>
      </c>
      <c r="Q1194" t="e">
        <f t="shared" si="91"/>
        <v>#N/A</v>
      </c>
      <c r="R1194" t="e">
        <f t="shared" si="92"/>
        <v>#N/A</v>
      </c>
      <c r="S1194" s="9" t="e">
        <f t="shared" si="93"/>
        <v>#N/A</v>
      </c>
      <c r="T1194" s="3" t="e">
        <f t="shared" si="94"/>
        <v>#N/A</v>
      </c>
    </row>
    <row r="1195" spans="2:20" x14ac:dyDescent="0.35">
      <c r="B1195" t="str">
        <f>IF(NOT(ISBLANK(A1195)),VLOOKUP(A1195,'BBT3'!A:F,2,0),"")</f>
        <v/>
      </c>
      <c r="C1195" t="str">
        <f>IF(NOT(ISBLANK(A1195)),VLOOKUP(A1195,'BBT3'!A:F,3,0),"")</f>
        <v/>
      </c>
      <c r="D1195" s="6" t="str">
        <f>IF(NOT(ISBLANK(A1195)),VLOOKUP(A1195,'BBT3'!A:F,4,1),"")</f>
        <v/>
      </c>
      <c r="E1195" t="str">
        <f>IF(NOT(ISBLANK(A1195)),VLOOKUP(A1195,'BBT3'!A:F,5,0),"")</f>
        <v/>
      </c>
      <c r="F1195" t="str">
        <f>IF(NOT(ISBLANK(A1195)),VLOOKUP(A1195,'BBT3'!A:F,6,0),"")</f>
        <v/>
      </c>
      <c r="G1195" t="str">
        <f>IF(NOT(ISBLANK(A1195)),VLOOKUP(A1195,QW_Close!A:J,5,0),"")</f>
        <v/>
      </c>
      <c r="H1195" s="5" t="str" cm="1">
        <f t="array" ref="H1195">IF(NOT(ISBLANK(A1195)),((_xlfn.XLOOKUP(1,(_bbt3[[#All],[ID]]=A1195)*(_bbt3[[#All],[METRIC_NAME]]="YLD_YTM_ASK"),_bbt3[[#All],[METRIC_VALUE]])*0.5)+(_xlfn.XLOOKUP(1,(_bbt3[[#All],[ID]]=A1195)*(_bbt3[[#All],[METRIC_NAME]]="YLD_YTM_BID"),_bbt3[[#All],[METRIC_VALUE]])*0.5))/100,"")</f>
        <v/>
      </c>
      <c r="I1195">
        <f>IF(ISNA(VLOOKUP(A1195,QW_CloseDL!A:E,5,0)),0,VLOOKUP(A1195,QW_CloseDL!A:E,5,0))</f>
        <v>0</v>
      </c>
      <c r="J1195" s="8" t="str">
        <f t="shared" si="90"/>
        <v/>
      </c>
      <c r="P1195">
        <v>0</v>
      </c>
      <c r="Q1195" t="e">
        <f t="shared" si="91"/>
        <v>#N/A</v>
      </c>
      <c r="R1195" t="e">
        <f t="shared" si="92"/>
        <v>#N/A</v>
      </c>
      <c r="S1195" s="9" t="e">
        <f t="shared" si="93"/>
        <v>#N/A</v>
      </c>
      <c r="T1195" s="3" t="e">
        <f t="shared" si="94"/>
        <v>#N/A</v>
      </c>
    </row>
    <row r="1196" spans="2:20" x14ac:dyDescent="0.35">
      <c r="B1196" t="str">
        <f>IF(NOT(ISBLANK(A1196)),VLOOKUP(A1196,'BBT3'!A:F,2,0),"")</f>
        <v/>
      </c>
      <c r="C1196" t="str">
        <f>IF(NOT(ISBLANK(A1196)),VLOOKUP(A1196,'BBT3'!A:F,3,0),"")</f>
        <v/>
      </c>
      <c r="D1196" s="6" t="str">
        <f>IF(NOT(ISBLANK(A1196)),VLOOKUP(A1196,'BBT3'!A:F,4,1),"")</f>
        <v/>
      </c>
      <c r="E1196" t="str">
        <f>IF(NOT(ISBLANK(A1196)),VLOOKUP(A1196,'BBT3'!A:F,5,0),"")</f>
        <v/>
      </c>
      <c r="F1196" t="str">
        <f>IF(NOT(ISBLANK(A1196)),VLOOKUP(A1196,'BBT3'!A:F,6,0),"")</f>
        <v/>
      </c>
      <c r="G1196" t="str">
        <f>IF(NOT(ISBLANK(A1196)),VLOOKUP(A1196,QW_Close!A:J,5,0),"")</f>
        <v/>
      </c>
      <c r="H1196" s="5" t="str" cm="1">
        <f t="array" ref="H1196">IF(NOT(ISBLANK(A1196)),((_xlfn.XLOOKUP(1,(_bbt3[[#All],[ID]]=A1196)*(_bbt3[[#All],[METRIC_NAME]]="YLD_YTM_ASK"),_bbt3[[#All],[METRIC_VALUE]])*0.5)+(_xlfn.XLOOKUP(1,(_bbt3[[#All],[ID]]=A1196)*(_bbt3[[#All],[METRIC_NAME]]="YLD_YTM_BID"),_bbt3[[#All],[METRIC_VALUE]])*0.5))/100,"")</f>
        <v/>
      </c>
      <c r="I1196">
        <f>IF(ISNA(VLOOKUP(A1196,QW_CloseDL!A:E,5,0)),0,VLOOKUP(A1196,QW_CloseDL!A:E,5,0))</f>
        <v>0</v>
      </c>
      <c r="J1196" s="8" t="str">
        <f t="shared" si="90"/>
        <v/>
      </c>
      <c r="P1196">
        <v>0</v>
      </c>
      <c r="Q1196" t="e">
        <f t="shared" si="91"/>
        <v>#N/A</v>
      </c>
      <c r="R1196" t="e">
        <f t="shared" si="92"/>
        <v>#N/A</v>
      </c>
      <c r="S1196" s="9" t="e">
        <f t="shared" si="93"/>
        <v>#N/A</v>
      </c>
      <c r="T1196" s="3" t="e">
        <f t="shared" si="94"/>
        <v>#N/A</v>
      </c>
    </row>
    <row r="1197" spans="2:20" x14ac:dyDescent="0.35">
      <c r="B1197" t="str">
        <f>IF(NOT(ISBLANK(A1197)),VLOOKUP(A1197,'BBT3'!A:F,2,0),"")</f>
        <v/>
      </c>
      <c r="C1197" t="str">
        <f>IF(NOT(ISBLANK(A1197)),VLOOKUP(A1197,'BBT3'!A:F,3,0),"")</f>
        <v/>
      </c>
      <c r="D1197" s="6" t="str">
        <f>IF(NOT(ISBLANK(A1197)),VLOOKUP(A1197,'BBT3'!A:F,4,1),"")</f>
        <v/>
      </c>
      <c r="E1197" t="str">
        <f>IF(NOT(ISBLANK(A1197)),VLOOKUP(A1197,'BBT3'!A:F,5,0),"")</f>
        <v/>
      </c>
      <c r="F1197" t="str">
        <f>IF(NOT(ISBLANK(A1197)),VLOOKUP(A1197,'BBT3'!A:F,6,0),"")</f>
        <v/>
      </c>
      <c r="G1197" t="str">
        <f>IF(NOT(ISBLANK(A1197)),VLOOKUP(A1197,QW_Close!A:J,5,0),"")</f>
        <v/>
      </c>
      <c r="H1197" s="5" t="str" cm="1">
        <f t="array" ref="H1197">IF(NOT(ISBLANK(A1197)),((_xlfn.XLOOKUP(1,(_bbt3[[#All],[ID]]=A1197)*(_bbt3[[#All],[METRIC_NAME]]="YLD_YTM_ASK"),_bbt3[[#All],[METRIC_VALUE]])*0.5)+(_xlfn.XLOOKUP(1,(_bbt3[[#All],[ID]]=A1197)*(_bbt3[[#All],[METRIC_NAME]]="YLD_YTM_BID"),_bbt3[[#All],[METRIC_VALUE]])*0.5))/100,"")</f>
        <v/>
      </c>
      <c r="I1197">
        <f>IF(ISNA(VLOOKUP(A1197,QW_CloseDL!A:E,5,0)),0,VLOOKUP(A1197,QW_CloseDL!A:E,5,0))</f>
        <v>0</v>
      </c>
      <c r="J1197" s="8" t="str">
        <f t="shared" si="90"/>
        <v/>
      </c>
      <c r="P1197">
        <v>0</v>
      </c>
      <c r="Q1197" t="e">
        <f t="shared" si="91"/>
        <v>#N/A</v>
      </c>
      <c r="R1197" t="e">
        <f t="shared" si="92"/>
        <v>#N/A</v>
      </c>
      <c r="S1197" s="9" t="e">
        <f t="shared" si="93"/>
        <v>#N/A</v>
      </c>
      <c r="T1197" s="3" t="e">
        <f t="shared" si="94"/>
        <v>#N/A</v>
      </c>
    </row>
    <row r="1198" spans="2:20" x14ac:dyDescent="0.35">
      <c r="B1198" t="str">
        <f>IF(NOT(ISBLANK(A1198)),VLOOKUP(A1198,'BBT3'!A:F,2,0),"")</f>
        <v/>
      </c>
      <c r="C1198" t="str">
        <f>IF(NOT(ISBLANK(A1198)),VLOOKUP(A1198,'BBT3'!A:F,3,0),"")</f>
        <v/>
      </c>
      <c r="D1198" s="6" t="str">
        <f>IF(NOT(ISBLANK(A1198)),VLOOKUP(A1198,'BBT3'!A:F,4,1),"")</f>
        <v/>
      </c>
      <c r="E1198" t="str">
        <f>IF(NOT(ISBLANK(A1198)),VLOOKUP(A1198,'BBT3'!A:F,5,0),"")</f>
        <v/>
      </c>
      <c r="F1198" t="str">
        <f>IF(NOT(ISBLANK(A1198)),VLOOKUP(A1198,'BBT3'!A:F,6,0),"")</f>
        <v/>
      </c>
      <c r="G1198" t="str">
        <f>IF(NOT(ISBLANK(A1198)),VLOOKUP(A1198,QW_Close!A:J,5,0),"")</f>
        <v/>
      </c>
      <c r="H1198" s="5" t="str" cm="1">
        <f t="array" ref="H1198">IF(NOT(ISBLANK(A1198)),((_xlfn.XLOOKUP(1,(_bbt3[[#All],[ID]]=A1198)*(_bbt3[[#All],[METRIC_NAME]]="YLD_YTM_ASK"),_bbt3[[#All],[METRIC_VALUE]])*0.5)+(_xlfn.XLOOKUP(1,(_bbt3[[#All],[ID]]=A1198)*(_bbt3[[#All],[METRIC_NAME]]="YLD_YTM_BID"),_bbt3[[#All],[METRIC_VALUE]])*0.5))/100,"")</f>
        <v/>
      </c>
      <c r="I1198">
        <f>IF(ISNA(VLOOKUP(A1198,QW_CloseDL!A:E,5,0)),0,VLOOKUP(A1198,QW_CloseDL!A:E,5,0))</f>
        <v>0</v>
      </c>
      <c r="J1198" s="8" t="str">
        <f t="shared" si="90"/>
        <v/>
      </c>
      <c r="P1198">
        <v>0</v>
      </c>
      <c r="Q1198" t="e">
        <f t="shared" si="91"/>
        <v>#N/A</v>
      </c>
      <c r="R1198" t="e">
        <f t="shared" si="92"/>
        <v>#N/A</v>
      </c>
      <c r="S1198" s="9" t="e">
        <f t="shared" si="93"/>
        <v>#N/A</v>
      </c>
      <c r="T1198" s="3" t="e">
        <f t="shared" si="94"/>
        <v>#N/A</v>
      </c>
    </row>
    <row r="1199" spans="2:20" x14ac:dyDescent="0.35">
      <c r="B1199" t="str">
        <f>IF(NOT(ISBLANK(A1199)),VLOOKUP(A1199,'BBT3'!A:F,2,0),"")</f>
        <v/>
      </c>
      <c r="C1199" t="str">
        <f>IF(NOT(ISBLANK(A1199)),VLOOKUP(A1199,'BBT3'!A:F,3,0),"")</f>
        <v/>
      </c>
      <c r="D1199" s="6" t="str">
        <f>IF(NOT(ISBLANK(A1199)),VLOOKUP(A1199,'BBT3'!A:F,4,1),"")</f>
        <v/>
      </c>
      <c r="E1199" t="str">
        <f>IF(NOT(ISBLANK(A1199)),VLOOKUP(A1199,'BBT3'!A:F,5,0),"")</f>
        <v/>
      </c>
      <c r="F1199" t="str">
        <f>IF(NOT(ISBLANK(A1199)),VLOOKUP(A1199,'BBT3'!A:F,6,0),"")</f>
        <v/>
      </c>
      <c r="G1199" t="str">
        <f>IF(NOT(ISBLANK(A1199)),VLOOKUP(A1199,QW_Close!A:J,5,0),"")</f>
        <v/>
      </c>
      <c r="H1199" s="5" t="str" cm="1">
        <f t="array" ref="H1199">IF(NOT(ISBLANK(A1199)),((_xlfn.XLOOKUP(1,(_bbt3[[#All],[ID]]=A1199)*(_bbt3[[#All],[METRIC_NAME]]="YLD_YTM_ASK"),_bbt3[[#All],[METRIC_VALUE]])*0.5)+(_xlfn.XLOOKUP(1,(_bbt3[[#All],[ID]]=A1199)*(_bbt3[[#All],[METRIC_NAME]]="YLD_YTM_BID"),_bbt3[[#All],[METRIC_VALUE]])*0.5))/100,"")</f>
        <v/>
      </c>
      <c r="I1199">
        <f>IF(ISNA(VLOOKUP(A1199,QW_CloseDL!A:E,5,0)),0,VLOOKUP(A1199,QW_CloseDL!A:E,5,0))</f>
        <v>0</v>
      </c>
      <c r="J1199" s="8" t="str">
        <f t="shared" si="90"/>
        <v/>
      </c>
      <c r="P1199">
        <v>0</v>
      </c>
      <c r="Q1199" t="e">
        <f t="shared" si="91"/>
        <v>#N/A</v>
      </c>
      <c r="R1199" t="e">
        <f t="shared" si="92"/>
        <v>#N/A</v>
      </c>
      <c r="S1199" s="9" t="e">
        <f t="shared" si="93"/>
        <v>#N/A</v>
      </c>
      <c r="T1199" s="3" t="e">
        <f t="shared" si="94"/>
        <v>#N/A</v>
      </c>
    </row>
    <row r="1200" spans="2:20" x14ac:dyDescent="0.35">
      <c r="B1200" t="str">
        <f>IF(NOT(ISBLANK(A1200)),VLOOKUP(A1200,'BBT3'!A:F,2,0),"")</f>
        <v/>
      </c>
      <c r="C1200" t="str">
        <f>IF(NOT(ISBLANK(A1200)),VLOOKUP(A1200,'BBT3'!A:F,3,0),"")</f>
        <v/>
      </c>
      <c r="D1200" s="6" t="str">
        <f>IF(NOT(ISBLANK(A1200)),VLOOKUP(A1200,'BBT3'!A:F,4,1),"")</f>
        <v/>
      </c>
      <c r="E1200" t="str">
        <f>IF(NOT(ISBLANK(A1200)),VLOOKUP(A1200,'BBT3'!A:F,5,0),"")</f>
        <v/>
      </c>
      <c r="F1200" t="str">
        <f>IF(NOT(ISBLANK(A1200)),VLOOKUP(A1200,'BBT3'!A:F,6,0),"")</f>
        <v/>
      </c>
      <c r="G1200" t="str">
        <f>IF(NOT(ISBLANK(A1200)),VLOOKUP(A1200,QW_Close!A:J,5,0),"")</f>
        <v/>
      </c>
      <c r="H1200" s="5" t="str" cm="1">
        <f t="array" ref="H1200">IF(NOT(ISBLANK(A1200)),((_xlfn.XLOOKUP(1,(_bbt3[[#All],[ID]]=A1200)*(_bbt3[[#All],[METRIC_NAME]]="YLD_YTM_ASK"),_bbt3[[#All],[METRIC_VALUE]])*0.5)+(_xlfn.XLOOKUP(1,(_bbt3[[#All],[ID]]=A1200)*(_bbt3[[#All],[METRIC_NAME]]="YLD_YTM_BID"),_bbt3[[#All],[METRIC_VALUE]])*0.5))/100,"")</f>
        <v/>
      </c>
      <c r="I1200">
        <f>IF(ISNA(VLOOKUP(A1200,QW_CloseDL!A:E,5,0)),0,VLOOKUP(A1200,QW_CloseDL!A:E,5,0))</f>
        <v>0</v>
      </c>
      <c r="J1200" s="8" t="str">
        <f t="shared" si="90"/>
        <v/>
      </c>
      <c r="P1200">
        <v>0</v>
      </c>
      <c r="Q1200" t="e">
        <f t="shared" si="91"/>
        <v>#N/A</v>
      </c>
      <c r="R1200" t="e">
        <f t="shared" si="92"/>
        <v>#N/A</v>
      </c>
      <c r="S1200" s="9" t="e">
        <f t="shared" si="93"/>
        <v>#N/A</v>
      </c>
      <c r="T1200" s="3" t="e">
        <f t="shared" si="94"/>
        <v>#N/A</v>
      </c>
    </row>
    <row r="1201" spans="2:20" x14ac:dyDescent="0.35">
      <c r="B1201" t="str">
        <f>IF(NOT(ISBLANK(A1201)),VLOOKUP(A1201,'BBT3'!A:F,2,0),"")</f>
        <v/>
      </c>
      <c r="C1201" t="str">
        <f>IF(NOT(ISBLANK(A1201)),VLOOKUP(A1201,'BBT3'!A:F,3,0),"")</f>
        <v/>
      </c>
      <c r="D1201" s="6" t="str">
        <f>IF(NOT(ISBLANK(A1201)),VLOOKUP(A1201,'BBT3'!A:F,4,1),"")</f>
        <v/>
      </c>
      <c r="E1201" t="str">
        <f>IF(NOT(ISBLANK(A1201)),VLOOKUP(A1201,'BBT3'!A:F,5,0),"")</f>
        <v/>
      </c>
      <c r="F1201" t="str">
        <f>IF(NOT(ISBLANK(A1201)),VLOOKUP(A1201,'BBT3'!A:F,6,0),"")</f>
        <v/>
      </c>
      <c r="G1201" t="str">
        <f>IF(NOT(ISBLANK(A1201)),VLOOKUP(A1201,QW_Close!A:J,5,0),"")</f>
        <v/>
      </c>
      <c r="H1201" s="5" t="str" cm="1">
        <f t="array" ref="H1201">IF(NOT(ISBLANK(A1201)),((_xlfn.XLOOKUP(1,(_bbt3[[#All],[ID]]=A1201)*(_bbt3[[#All],[METRIC_NAME]]="YLD_YTM_ASK"),_bbt3[[#All],[METRIC_VALUE]])*0.5)+(_xlfn.XLOOKUP(1,(_bbt3[[#All],[ID]]=A1201)*(_bbt3[[#All],[METRIC_NAME]]="YLD_YTM_BID"),_bbt3[[#All],[METRIC_VALUE]])*0.5))/100,"")</f>
        <v/>
      </c>
      <c r="I1201">
        <f>IF(ISNA(VLOOKUP(A1201,QW_CloseDL!A:E,5,0)),0,VLOOKUP(A1201,QW_CloseDL!A:E,5,0))</f>
        <v>0</v>
      </c>
      <c r="J1201" s="8" t="str">
        <f t="shared" si="90"/>
        <v/>
      </c>
      <c r="P1201">
        <v>0</v>
      </c>
      <c r="Q1201" t="e">
        <f t="shared" si="91"/>
        <v>#N/A</v>
      </c>
      <c r="R1201" t="e">
        <f t="shared" si="92"/>
        <v>#N/A</v>
      </c>
      <c r="S1201" s="9" t="e">
        <f t="shared" si="93"/>
        <v>#N/A</v>
      </c>
      <c r="T1201" s="3" t="e">
        <f t="shared" si="94"/>
        <v>#N/A</v>
      </c>
    </row>
    <row r="1202" spans="2:20" x14ac:dyDescent="0.35">
      <c r="B1202" t="str">
        <f>IF(NOT(ISBLANK(A1202)),VLOOKUP(A1202,'BBT3'!A:F,2,0),"")</f>
        <v/>
      </c>
      <c r="C1202" t="str">
        <f>IF(NOT(ISBLANK(A1202)),VLOOKUP(A1202,'BBT3'!A:F,3,0),"")</f>
        <v/>
      </c>
      <c r="D1202" s="6" t="str">
        <f>IF(NOT(ISBLANK(A1202)),VLOOKUP(A1202,'BBT3'!A:F,4,1),"")</f>
        <v/>
      </c>
      <c r="E1202" t="str">
        <f>IF(NOT(ISBLANK(A1202)),VLOOKUP(A1202,'BBT3'!A:F,5,0),"")</f>
        <v/>
      </c>
      <c r="F1202" t="str">
        <f>IF(NOT(ISBLANK(A1202)),VLOOKUP(A1202,'BBT3'!A:F,6,0),"")</f>
        <v/>
      </c>
      <c r="G1202" t="str">
        <f>IF(NOT(ISBLANK(A1202)),VLOOKUP(A1202,QW_Close!A:J,5,0),"")</f>
        <v/>
      </c>
      <c r="H1202" s="5" t="str" cm="1">
        <f t="array" ref="H1202">IF(NOT(ISBLANK(A1202)),((_xlfn.XLOOKUP(1,(_bbt3[[#All],[ID]]=A1202)*(_bbt3[[#All],[METRIC_NAME]]="YLD_YTM_ASK"),_bbt3[[#All],[METRIC_VALUE]])*0.5)+(_xlfn.XLOOKUP(1,(_bbt3[[#All],[ID]]=A1202)*(_bbt3[[#All],[METRIC_NAME]]="YLD_YTM_BID"),_bbt3[[#All],[METRIC_VALUE]])*0.5))/100,"")</f>
        <v/>
      </c>
      <c r="I1202">
        <f>IF(ISNA(VLOOKUP(A1202,QW_CloseDL!A:E,5,0)),0,VLOOKUP(A1202,QW_CloseDL!A:E,5,0))</f>
        <v>0</v>
      </c>
      <c r="J1202" s="8" t="str">
        <f t="shared" si="90"/>
        <v/>
      </c>
      <c r="P1202">
        <v>0</v>
      </c>
      <c r="Q1202" t="e">
        <f t="shared" si="91"/>
        <v>#N/A</v>
      </c>
      <c r="R1202" t="e">
        <f t="shared" si="92"/>
        <v>#N/A</v>
      </c>
      <c r="S1202" s="9" t="e">
        <f t="shared" si="93"/>
        <v>#N/A</v>
      </c>
      <c r="T1202" s="3" t="e">
        <f t="shared" si="94"/>
        <v>#N/A</v>
      </c>
    </row>
    <row r="1203" spans="2:20" x14ac:dyDescent="0.35">
      <c r="B1203" t="str">
        <f>IF(NOT(ISBLANK(A1203)),VLOOKUP(A1203,'BBT3'!A:F,2,0),"")</f>
        <v/>
      </c>
      <c r="C1203" t="str">
        <f>IF(NOT(ISBLANK(A1203)),VLOOKUP(A1203,'BBT3'!A:F,3,0),"")</f>
        <v/>
      </c>
      <c r="D1203" s="6" t="str">
        <f>IF(NOT(ISBLANK(A1203)),VLOOKUP(A1203,'BBT3'!A:F,4,1),"")</f>
        <v/>
      </c>
      <c r="E1203" t="str">
        <f>IF(NOT(ISBLANK(A1203)),VLOOKUP(A1203,'BBT3'!A:F,5,0),"")</f>
        <v/>
      </c>
      <c r="F1203" t="str">
        <f>IF(NOT(ISBLANK(A1203)),VLOOKUP(A1203,'BBT3'!A:F,6,0),"")</f>
        <v/>
      </c>
      <c r="G1203" t="str">
        <f>IF(NOT(ISBLANK(A1203)),VLOOKUP(A1203,QW_Close!A:J,5,0),"")</f>
        <v/>
      </c>
      <c r="H1203" s="5" t="str" cm="1">
        <f t="array" ref="H1203">IF(NOT(ISBLANK(A1203)),((_xlfn.XLOOKUP(1,(_bbt3[[#All],[ID]]=A1203)*(_bbt3[[#All],[METRIC_NAME]]="YLD_YTM_ASK"),_bbt3[[#All],[METRIC_VALUE]])*0.5)+(_xlfn.XLOOKUP(1,(_bbt3[[#All],[ID]]=A1203)*(_bbt3[[#All],[METRIC_NAME]]="YLD_YTM_BID"),_bbt3[[#All],[METRIC_VALUE]])*0.5))/100,"")</f>
        <v/>
      </c>
      <c r="I1203">
        <f>IF(ISNA(VLOOKUP(A1203,QW_CloseDL!A:E,5,0)),0,VLOOKUP(A1203,QW_CloseDL!A:E,5,0))</f>
        <v>0</v>
      </c>
      <c r="J1203" s="8" t="str">
        <f t="shared" si="90"/>
        <v/>
      </c>
      <c r="P1203">
        <v>0</v>
      </c>
      <c r="Q1203" t="e">
        <f t="shared" si="91"/>
        <v>#N/A</v>
      </c>
      <c r="R1203" t="e">
        <f t="shared" si="92"/>
        <v>#N/A</v>
      </c>
      <c r="S1203" s="9" t="e">
        <f t="shared" si="93"/>
        <v>#N/A</v>
      </c>
      <c r="T1203" s="3" t="e">
        <f t="shared" si="94"/>
        <v>#N/A</v>
      </c>
    </row>
    <row r="1204" spans="2:20" x14ac:dyDescent="0.35">
      <c r="B1204" t="str">
        <f>IF(NOT(ISBLANK(A1204)),VLOOKUP(A1204,'BBT3'!A:F,2,0),"")</f>
        <v/>
      </c>
      <c r="C1204" t="str">
        <f>IF(NOT(ISBLANK(A1204)),VLOOKUP(A1204,'BBT3'!A:F,3,0),"")</f>
        <v/>
      </c>
      <c r="D1204" s="6" t="str">
        <f>IF(NOT(ISBLANK(A1204)),VLOOKUP(A1204,'BBT3'!A:F,4,1),"")</f>
        <v/>
      </c>
      <c r="E1204" t="str">
        <f>IF(NOT(ISBLANK(A1204)),VLOOKUP(A1204,'BBT3'!A:F,5,0),"")</f>
        <v/>
      </c>
      <c r="F1204" t="str">
        <f>IF(NOT(ISBLANK(A1204)),VLOOKUP(A1204,'BBT3'!A:F,6,0),"")</f>
        <v/>
      </c>
      <c r="G1204" t="str">
        <f>IF(NOT(ISBLANK(A1204)),VLOOKUP(A1204,QW_Close!A:J,5,0),"")</f>
        <v/>
      </c>
      <c r="H1204" s="5" t="str" cm="1">
        <f t="array" ref="H1204">IF(NOT(ISBLANK(A1204)),((_xlfn.XLOOKUP(1,(_bbt3[[#All],[ID]]=A1204)*(_bbt3[[#All],[METRIC_NAME]]="YLD_YTM_ASK"),_bbt3[[#All],[METRIC_VALUE]])*0.5)+(_xlfn.XLOOKUP(1,(_bbt3[[#All],[ID]]=A1204)*(_bbt3[[#All],[METRIC_NAME]]="YLD_YTM_BID"),_bbt3[[#All],[METRIC_VALUE]])*0.5))/100,"")</f>
        <v/>
      </c>
      <c r="I1204">
        <f>IF(ISNA(VLOOKUP(A1204,QW_CloseDL!A:E,5,0)),0,VLOOKUP(A1204,QW_CloseDL!A:E,5,0))</f>
        <v>0</v>
      </c>
      <c r="J1204" s="8" t="str">
        <f t="shared" si="90"/>
        <v/>
      </c>
      <c r="P1204">
        <v>0</v>
      </c>
      <c r="Q1204" t="e">
        <f t="shared" si="91"/>
        <v>#N/A</v>
      </c>
      <c r="R1204" t="e">
        <f t="shared" si="92"/>
        <v>#N/A</v>
      </c>
      <c r="S1204" s="9" t="e">
        <f t="shared" si="93"/>
        <v>#N/A</v>
      </c>
      <c r="T1204" s="3" t="e">
        <f t="shared" si="94"/>
        <v>#N/A</v>
      </c>
    </row>
    <row r="1205" spans="2:20" x14ac:dyDescent="0.35">
      <c r="B1205" t="str">
        <f>IF(NOT(ISBLANK(A1205)),VLOOKUP(A1205,'BBT3'!A:F,2,0),"")</f>
        <v/>
      </c>
      <c r="C1205" t="str">
        <f>IF(NOT(ISBLANK(A1205)),VLOOKUP(A1205,'BBT3'!A:F,3,0),"")</f>
        <v/>
      </c>
      <c r="D1205" s="6" t="str">
        <f>IF(NOT(ISBLANK(A1205)),VLOOKUP(A1205,'BBT3'!A:F,4,1),"")</f>
        <v/>
      </c>
      <c r="E1205" t="str">
        <f>IF(NOT(ISBLANK(A1205)),VLOOKUP(A1205,'BBT3'!A:F,5,0),"")</f>
        <v/>
      </c>
      <c r="F1205" t="str">
        <f>IF(NOT(ISBLANK(A1205)),VLOOKUP(A1205,'BBT3'!A:F,6,0),"")</f>
        <v/>
      </c>
      <c r="G1205" t="str">
        <f>IF(NOT(ISBLANK(A1205)),VLOOKUP(A1205,QW_Close!A:J,5,0),"")</f>
        <v/>
      </c>
      <c r="H1205" s="5" t="str" cm="1">
        <f t="array" ref="H1205">IF(NOT(ISBLANK(A1205)),((_xlfn.XLOOKUP(1,(_bbt3[[#All],[ID]]=A1205)*(_bbt3[[#All],[METRIC_NAME]]="YLD_YTM_ASK"),_bbt3[[#All],[METRIC_VALUE]])*0.5)+(_xlfn.XLOOKUP(1,(_bbt3[[#All],[ID]]=A1205)*(_bbt3[[#All],[METRIC_NAME]]="YLD_YTM_BID"),_bbt3[[#All],[METRIC_VALUE]])*0.5))/100,"")</f>
        <v/>
      </c>
      <c r="I1205">
        <f>IF(ISNA(VLOOKUP(A1205,QW_CloseDL!A:E,5,0)),0,VLOOKUP(A1205,QW_CloseDL!A:E,5,0))</f>
        <v>0</v>
      </c>
      <c r="J1205" s="8" t="str">
        <f t="shared" si="90"/>
        <v/>
      </c>
      <c r="P1205">
        <v>0</v>
      </c>
      <c r="Q1205" t="e">
        <f t="shared" si="91"/>
        <v>#N/A</v>
      </c>
      <c r="R1205" t="e">
        <f t="shared" si="92"/>
        <v>#N/A</v>
      </c>
      <c r="S1205" s="9" t="e">
        <f t="shared" si="93"/>
        <v>#N/A</v>
      </c>
      <c r="T1205" s="3" t="e">
        <f t="shared" si="94"/>
        <v>#N/A</v>
      </c>
    </row>
    <row r="1206" spans="2:20" x14ac:dyDescent="0.35">
      <c r="B1206" t="str">
        <f>IF(NOT(ISBLANK(A1206)),VLOOKUP(A1206,'BBT3'!A:F,2,0),"")</f>
        <v/>
      </c>
      <c r="C1206" t="str">
        <f>IF(NOT(ISBLANK(A1206)),VLOOKUP(A1206,'BBT3'!A:F,3,0),"")</f>
        <v/>
      </c>
      <c r="D1206" s="6" t="str">
        <f>IF(NOT(ISBLANK(A1206)),VLOOKUP(A1206,'BBT3'!A:F,4,1),"")</f>
        <v/>
      </c>
      <c r="E1206" t="str">
        <f>IF(NOT(ISBLANK(A1206)),VLOOKUP(A1206,'BBT3'!A:F,5,0),"")</f>
        <v/>
      </c>
      <c r="F1206" t="str">
        <f>IF(NOT(ISBLANK(A1206)),VLOOKUP(A1206,'BBT3'!A:F,6,0),"")</f>
        <v/>
      </c>
      <c r="G1206" t="str">
        <f>IF(NOT(ISBLANK(A1206)),VLOOKUP(A1206,QW_Close!A:J,5,0),"")</f>
        <v/>
      </c>
      <c r="H1206" s="5" t="str" cm="1">
        <f t="array" ref="H1206">IF(NOT(ISBLANK(A1206)),((_xlfn.XLOOKUP(1,(_bbt3[[#All],[ID]]=A1206)*(_bbt3[[#All],[METRIC_NAME]]="YLD_YTM_ASK"),_bbt3[[#All],[METRIC_VALUE]])*0.5)+(_xlfn.XLOOKUP(1,(_bbt3[[#All],[ID]]=A1206)*(_bbt3[[#All],[METRIC_NAME]]="YLD_YTM_BID"),_bbt3[[#All],[METRIC_VALUE]])*0.5))/100,"")</f>
        <v/>
      </c>
      <c r="I1206">
        <f>IF(ISNA(VLOOKUP(A1206,QW_CloseDL!A:E,5,0)),0,VLOOKUP(A1206,QW_CloseDL!A:E,5,0))</f>
        <v>0</v>
      </c>
      <c r="J1206" s="8" t="str">
        <f t="shared" si="90"/>
        <v/>
      </c>
      <c r="P1206">
        <v>0</v>
      </c>
      <c r="Q1206" t="e">
        <f t="shared" si="91"/>
        <v>#N/A</v>
      </c>
      <c r="R1206" t="e">
        <f t="shared" si="92"/>
        <v>#N/A</v>
      </c>
      <c r="S1206" s="9" t="e">
        <f t="shared" si="93"/>
        <v>#N/A</v>
      </c>
      <c r="T1206" s="3" t="e">
        <f t="shared" si="94"/>
        <v>#N/A</v>
      </c>
    </row>
    <row r="1207" spans="2:20" x14ac:dyDescent="0.35">
      <c r="B1207" t="str">
        <f>IF(NOT(ISBLANK(A1207)),VLOOKUP(A1207,'BBT3'!A:F,2,0),"")</f>
        <v/>
      </c>
      <c r="C1207" t="str">
        <f>IF(NOT(ISBLANK(A1207)),VLOOKUP(A1207,'BBT3'!A:F,3,0),"")</f>
        <v/>
      </c>
      <c r="D1207" s="6" t="str">
        <f>IF(NOT(ISBLANK(A1207)),VLOOKUP(A1207,'BBT3'!A:F,4,1),"")</f>
        <v/>
      </c>
      <c r="E1207" t="str">
        <f>IF(NOT(ISBLANK(A1207)),VLOOKUP(A1207,'BBT3'!A:F,5,0),"")</f>
        <v/>
      </c>
      <c r="F1207" t="str">
        <f>IF(NOT(ISBLANK(A1207)),VLOOKUP(A1207,'BBT3'!A:F,6,0),"")</f>
        <v/>
      </c>
      <c r="G1207" t="str">
        <f>IF(NOT(ISBLANK(A1207)),VLOOKUP(A1207,QW_Close!A:J,5,0),"")</f>
        <v/>
      </c>
      <c r="H1207" s="5" t="str" cm="1">
        <f t="array" ref="H1207">IF(NOT(ISBLANK(A1207)),((_xlfn.XLOOKUP(1,(_bbt3[[#All],[ID]]=A1207)*(_bbt3[[#All],[METRIC_NAME]]="YLD_YTM_ASK"),_bbt3[[#All],[METRIC_VALUE]])*0.5)+(_xlfn.XLOOKUP(1,(_bbt3[[#All],[ID]]=A1207)*(_bbt3[[#All],[METRIC_NAME]]="YLD_YTM_BID"),_bbt3[[#All],[METRIC_VALUE]])*0.5))/100,"")</f>
        <v/>
      </c>
      <c r="I1207">
        <f>IF(ISNA(VLOOKUP(A1207,QW_CloseDL!A:E,5,0)),0,VLOOKUP(A1207,QW_CloseDL!A:E,5,0))</f>
        <v>0</v>
      </c>
      <c r="J1207" s="8" t="str">
        <f t="shared" si="90"/>
        <v/>
      </c>
      <c r="P1207">
        <v>0</v>
      </c>
      <c r="Q1207" t="e">
        <f t="shared" si="91"/>
        <v>#N/A</v>
      </c>
      <c r="R1207" t="e">
        <f t="shared" si="92"/>
        <v>#N/A</v>
      </c>
      <c r="S1207" s="9" t="e">
        <f t="shared" si="93"/>
        <v>#N/A</v>
      </c>
      <c r="T1207" s="3" t="e">
        <f t="shared" si="94"/>
        <v>#N/A</v>
      </c>
    </row>
    <row r="1208" spans="2:20" x14ac:dyDescent="0.35">
      <c r="B1208" t="str">
        <f>IF(NOT(ISBLANK(A1208)),VLOOKUP(A1208,'BBT3'!A:F,2,0),"")</f>
        <v/>
      </c>
      <c r="C1208" t="str">
        <f>IF(NOT(ISBLANK(A1208)),VLOOKUP(A1208,'BBT3'!A:F,3,0),"")</f>
        <v/>
      </c>
      <c r="D1208" s="6" t="str">
        <f>IF(NOT(ISBLANK(A1208)),VLOOKUP(A1208,'BBT3'!A:F,4,1),"")</f>
        <v/>
      </c>
      <c r="E1208" t="str">
        <f>IF(NOT(ISBLANK(A1208)),VLOOKUP(A1208,'BBT3'!A:F,5,0),"")</f>
        <v/>
      </c>
      <c r="F1208" t="str">
        <f>IF(NOT(ISBLANK(A1208)),VLOOKUP(A1208,'BBT3'!A:F,6,0),"")</f>
        <v/>
      </c>
      <c r="G1208" t="str">
        <f>IF(NOT(ISBLANK(A1208)),VLOOKUP(A1208,QW_Close!A:J,5,0),"")</f>
        <v/>
      </c>
      <c r="H1208" s="5" t="str" cm="1">
        <f t="array" ref="H1208">IF(NOT(ISBLANK(A1208)),((_xlfn.XLOOKUP(1,(_bbt3[[#All],[ID]]=A1208)*(_bbt3[[#All],[METRIC_NAME]]="YLD_YTM_ASK"),_bbt3[[#All],[METRIC_VALUE]])*0.5)+(_xlfn.XLOOKUP(1,(_bbt3[[#All],[ID]]=A1208)*(_bbt3[[#All],[METRIC_NAME]]="YLD_YTM_BID"),_bbt3[[#All],[METRIC_VALUE]])*0.5))/100,"")</f>
        <v/>
      </c>
      <c r="I1208">
        <f>IF(ISNA(VLOOKUP(A1208,QW_CloseDL!A:E,5,0)),0,VLOOKUP(A1208,QW_CloseDL!A:E,5,0))</f>
        <v>0</v>
      </c>
      <c r="J1208" s="8" t="str">
        <f t="shared" si="90"/>
        <v/>
      </c>
      <c r="P1208">
        <v>0</v>
      </c>
      <c r="Q1208" t="e">
        <f t="shared" si="91"/>
        <v>#N/A</v>
      </c>
      <c r="R1208" t="e">
        <f t="shared" si="92"/>
        <v>#N/A</v>
      </c>
      <c r="S1208" s="9" t="e">
        <f t="shared" si="93"/>
        <v>#N/A</v>
      </c>
      <c r="T1208" s="3" t="e">
        <f t="shared" si="94"/>
        <v>#N/A</v>
      </c>
    </row>
    <row r="1209" spans="2:20" x14ac:dyDescent="0.35">
      <c r="B1209" t="str">
        <f>IF(NOT(ISBLANK(A1209)),VLOOKUP(A1209,'BBT3'!A:F,2,0),"")</f>
        <v/>
      </c>
      <c r="C1209" t="str">
        <f>IF(NOT(ISBLANK(A1209)),VLOOKUP(A1209,'BBT3'!A:F,3,0),"")</f>
        <v/>
      </c>
      <c r="D1209" s="6" t="str">
        <f>IF(NOT(ISBLANK(A1209)),VLOOKUP(A1209,'BBT3'!A:F,4,1),"")</f>
        <v/>
      </c>
      <c r="E1209" t="str">
        <f>IF(NOT(ISBLANK(A1209)),VLOOKUP(A1209,'BBT3'!A:F,5,0),"")</f>
        <v/>
      </c>
      <c r="F1209" t="str">
        <f>IF(NOT(ISBLANK(A1209)),VLOOKUP(A1209,'BBT3'!A:F,6,0),"")</f>
        <v/>
      </c>
      <c r="G1209" t="str">
        <f>IF(NOT(ISBLANK(A1209)),VLOOKUP(A1209,QW_Close!A:J,5,0),"")</f>
        <v/>
      </c>
      <c r="H1209" s="5" t="str" cm="1">
        <f t="array" ref="H1209">IF(NOT(ISBLANK(A1209)),((_xlfn.XLOOKUP(1,(_bbt3[[#All],[ID]]=A1209)*(_bbt3[[#All],[METRIC_NAME]]="YLD_YTM_ASK"),_bbt3[[#All],[METRIC_VALUE]])*0.5)+(_xlfn.XLOOKUP(1,(_bbt3[[#All],[ID]]=A1209)*(_bbt3[[#All],[METRIC_NAME]]="YLD_YTM_BID"),_bbt3[[#All],[METRIC_VALUE]])*0.5))/100,"")</f>
        <v/>
      </c>
      <c r="I1209">
        <f>IF(ISNA(VLOOKUP(A1209,QW_CloseDL!A:E,5,0)),0,VLOOKUP(A1209,QW_CloseDL!A:E,5,0))</f>
        <v>0</v>
      </c>
      <c r="J1209" s="8" t="str">
        <f t="shared" si="90"/>
        <v/>
      </c>
      <c r="P1209">
        <v>0</v>
      </c>
      <c r="Q1209" t="e">
        <f t="shared" si="91"/>
        <v>#N/A</v>
      </c>
      <c r="R1209" t="e">
        <f t="shared" si="92"/>
        <v>#N/A</v>
      </c>
      <c r="S1209" s="9" t="e">
        <f t="shared" si="93"/>
        <v>#N/A</v>
      </c>
      <c r="T1209" s="3" t="e">
        <f t="shared" si="94"/>
        <v>#N/A</v>
      </c>
    </row>
    <row r="1210" spans="2:20" x14ac:dyDescent="0.35">
      <c r="B1210" t="str">
        <f>IF(NOT(ISBLANK(A1210)),VLOOKUP(A1210,'BBT3'!A:F,2,0),"")</f>
        <v/>
      </c>
      <c r="C1210" t="str">
        <f>IF(NOT(ISBLANK(A1210)),VLOOKUP(A1210,'BBT3'!A:F,3,0),"")</f>
        <v/>
      </c>
      <c r="D1210" s="6" t="str">
        <f>IF(NOT(ISBLANK(A1210)),VLOOKUP(A1210,'BBT3'!A:F,4,1),"")</f>
        <v/>
      </c>
      <c r="E1210" t="str">
        <f>IF(NOT(ISBLANK(A1210)),VLOOKUP(A1210,'BBT3'!A:F,5,0),"")</f>
        <v/>
      </c>
      <c r="F1210" t="str">
        <f>IF(NOT(ISBLANK(A1210)),VLOOKUP(A1210,'BBT3'!A:F,6,0),"")</f>
        <v/>
      </c>
      <c r="G1210" t="str">
        <f>IF(NOT(ISBLANK(A1210)),VLOOKUP(A1210,QW_Close!A:J,5,0),"")</f>
        <v/>
      </c>
      <c r="H1210" s="5" t="str" cm="1">
        <f t="array" ref="H1210">IF(NOT(ISBLANK(A1210)),((_xlfn.XLOOKUP(1,(_bbt3[[#All],[ID]]=A1210)*(_bbt3[[#All],[METRIC_NAME]]="YLD_YTM_ASK"),_bbt3[[#All],[METRIC_VALUE]])*0.5)+(_xlfn.XLOOKUP(1,(_bbt3[[#All],[ID]]=A1210)*(_bbt3[[#All],[METRIC_NAME]]="YLD_YTM_BID"),_bbt3[[#All],[METRIC_VALUE]])*0.5))/100,"")</f>
        <v/>
      </c>
      <c r="I1210">
        <f>IF(ISNA(VLOOKUP(A1210,QW_CloseDL!A:E,5,0)),0,VLOOKUP(A1210,QW_CloseDL!A:E,5,0))</f>
        <v>0</v>
      </c>
      <c r="J1210" s="8" t="str">
        <f t="shared" si="90"/>
        <v/>
      </c>
      <c r="P1210">
        <v>0</v>
      </c>
      <c r="Q1210" t="e">
        <f t="shared" si="91"/>
        <v>#N/A</v>
      </c>
      <c r="R1210" t="e">
        <f t="shared" si="92"/>
        <v>#N/A</v>
      </c>
      <c r="S1210" s="9" t="e">
        <f t="shared" si="93"/>
        <v>#N/A</v>
      </c>
      <c r="T1210" s="3" t="e">
        <f t="shared" si="94"/>
        <v>#N/A</v>
      </c>
    </row>
    <row r="1211" spans="2:20" x14ac:dyDescent="0.35">
      <c r="B1211" t="str">
        <f>IF(NOT(ISBLANK(A1211)),VLOOKUP(A1211,'BBT3'!A:F,2,0),"")</f>
        <v/>
      </c>
      <c r="C1211" t="str">
        <f>IF(NOT(ISBLANK(A1211)),VLOOKUP(A1211,'BBT3'!A:F,3,0),"")</f>
        <v/>
      </c>
      <c r="D1211" s="6" t="str">
        <f>IF(NOT(ISBLANK(A1211)),VLOOKUP(A1211,'BBT3'!A:F,4,1),"")</f>
        <v/>
      </c>
      <c r="E1211" t="str">
        <f>IF(NOT(ISBLANK(A1211)),VLOOKUP(A1211,'BBT3'!A:F,5,0),"")</f>
        <v/>
      </c>
      <c r="F1211" t="str">
        <f>IF(NOT(ISBLANK(A1211)),VLOOKUP(A1211,'BBT3'!A:F,6,0),"")</f>
        <v/>
      </c>
      <c r="G1211" t="str">
        <f>IF(NOT(ISBLANK(A1211)),VLOOKUP(A1211,QW_Close!A:J,5,0),"")</f>
        <v/>
      </c>
      <c r="H1211" s="5" t="str" cm="1">
        <f t="array" ref="H1211">IF(NOT(ISBLANK(A1211)),((_xlfn.XLOOKUP(1,(_bbt3[[#All],[ID]]=A1211)*(_bbt3[[#All],[METRIC_NAME]]="YLD_YTM_ASK"),_bbt3[[#All],[METRIC_VALUE]])*0.5)+(_xlfn.XLOOKUP(1,(_bbt3[[#All],[ID]]=A1211)*(_bbt3[[#All],[METRIC_NAME]]="YLD_YTM_BID"),_bbt3[[#All],[METRIC_VALUE]])*0.5))/100,"")</f>
        <v/>
      </c>
      <c r="I1211">
        <f>IF(ISNA(VLOOKUP(A1211,QW_CloseDL!A:E,5,0)),0,VLOOKUP(A1211,QW_CloseDL!A:E,5,0))</f>
        <v>0</v>
      </c>
      <c r="J1211" s="8" t="str">
        <f t="shared" si="90"/>
        <v/>
      </c>
      <c r="P1211">
        <v>0</v>
      </c>
      <c r="Q1211" t="e">
        <f t="shared" si="91"/>
        <v>#N/A</v>
      </c>
      <c r="R1211" t="e">
        <f t="shared" si="92"/>
        <v>#N/A</v>
      </c>
      <c r="S1211" s="9" t="e">
        <f t="shared" si="93"/>
        <v>#N/A</v>
      </c>
      <c r="T1211" s="3" t="e">
        <f t="shared" si="94"/>
        <v>#N/A</v>
      </c>
    </row>
    <row r="1212" spans="2:20" x14ac:dyDescent="0.35">
      <c r="B1212" t="str">
        <f>IF(NOT(ISBLANK(A1212)),VLOOKUP(A1212,'BBT3'!A:F,2,0),"")</f>
        <v/>
      </c>
      <c r="C1212" t="str">
        <f>IF(NOT(ISBLANK(A1212)),VLOOKUP(A1212,'BBT3'!A:F,3,0),"")</f>
        <v/>
      </c>
      <c r="D1212" s="6" t="str">
        <f>IF(NOT(ISBLANK(A1212)),VLOOKUP(A1212,'BBT3'!A:F,4,1),"")</f>
        <v/>
      </c>
      <c r="E1212" t="str">
        <f>IF(NOT(ISBLANK(A1212)),VLOOKUP(A1212,'BBT3'!A:F,5,0),"")</f>
        <v/>
      </c>
      <c r="F1212" t="str">
        <f>IF(NOT(ISBLANK(A1212)),VLOOKUP(A1212,'BBT3'!A:F,6,0),"")</f>
        <v/>
      </c>
      <c r="G1212" t="str">
        <f>IF(NOT(ISBLANK(A1212)),VLOOKUP(A1212,QW_Close!A:J,5,0),"")</f>
        <v/>
      </c>
      <c r="H1212" s="5" t="str" cm="1">
        <f t="array" ref="H1212">IF(NOT(ISBLANK(A1212)),((_xlfn.XLOOKUP(1,(_bbt3[[#All],[ID]]=A1212)*(_bbt3[[#All],[METRIC_NAME]]="YLD_YTM_ASK"),_bbt3[[#All],[METRIC_VALUE]])*0.5)+(_xlfn.XLOOKUP(1,(_bbt3[[#All],[ID]]=A1212)*(_bbt3[[#All],[METRIC_NAME]]="YLD_YTM_BID"),_bbt3[[#All],[METRIC_VALUE]])*0.5))/100,"")</f>
        <v/>
      </c>
      <c r="I1212">
        <f>IF(ISNA(VLOOKUP(A1212,QW_CloseDL!A:E,5,0)),0,VLOOKUP(A1212,QW_CloseDL!A:E,5,0))</f>
        <v>0</v>
      </c>
      <c r="J1212" s="8" t="str">
        <f t="shared" si="90"/>
        <v/>
      </c>
      <c r="P1212">
        <v>0</v>
      </c>
      <c r="Q1212" t="e">
        <f t="shared" si="91"/>
        <v>#N/A</v>
      </c>
      <c r="R1212" t="e">
        <f t="shared" si="92"/>
        <v>#N/A</v>
      </c>
      <c r="S1212" s="9" t="e">
        <f t="shared" si="93"/>
        <v>#N/A</v>
      </c>
      <c r="T1212" s="3" t="e">
        <f t="shared" si="94"/>
        <v>#N/A</v>
      </c>
    </row>
    <row r="1213" spans="2:20" x14ac:dyDescent="0.35">
      <c r="B1213" t="str">
        <f>IF(NOT(ISBLANK(A1213)),VLOOKUP(A1213,'BBT3'!A:F,2,0),"")</f>
        <v/>
      </c>
      <c r="C1213" t="str">
        <f>IF(NOT(ISBLANK(A1213)),VLOOKUP(A1213,'BBT3'!A:F,3,0),"")</f>
        <v/>
      </c>
      <c r="D1213" s="6" t="str">
        <f>IF(NOT(ISBLANK(A1213)),VLOOKUP(A1213,'BBT3'!A:F,4,1),"")</f>
        <v/>
      </c>
      <c r="E1213" t="str">
        <f>IF(NOT(ISBLANK(A1213)),VLOOKUP(A1213,'BBT3'!A:F,5,0),"")</f>
        <v/>
      </c>
      <c r="F1213" t="str">
        <f>IF(NOT(ISBLANK(A1213)),VLOOKUP(A1213,'BBT3'!A:F,6,0),"")</f>
        <v/>
      </c>
      <c r="G1213" t="str">
        <f>IF(NOT(ISBLANK(A1213)),VLOOKUP(A1213,QW_Close!A:J,5,0),"")</f>
        <v/>
      </c>
      <c r="H1213" s="5" t="str" cm="1">
        <f t="array" ref="H1213">IF(NOT(ISBLANK(A1213)),((_xlfn.XLOOKUP(1,(_bbt3[[#All],[ID]]=A1213)*(_bbt3[[#All],[METRIC_NAME]]="YLD_YTM_ASK"),_bbt3[[#All],[METRIC_VALUE]])*0.5)+(_xlfn.XLOOKUP(1,(_bbt3[[#All],[ID]]=A1213)*(_bbt3[[#All],[METRIC_NAME]]="YLD_YTM_BID"),_bbt3[[#All],[METRIC_VALUE]])*0.5))/100,"")</f>
        <v/>
      </c>
      <c r="I1213">
        <f>IF(ISNA(VLOOKUP(A1213,QW_CloseDL!A:E,5,0)),0,VLOOKUP(A1213,QW_CloseDL!A:E,5,0))</f>
        <v>0</v>
      </c>
      <c r="J1213" s="8" t="str">
        <f t="shared" si="90"/>
        <v/>
      </c>
      <c r="P1213">
        <v>0</v>
      </c>
      <c r="Q1213" t="e">
        <f t="shared" si="91"/>
        <v>#N/A</v>
      </c>
      <c r="R1213" t="e">
        <f t="shared" si="92"/>
        <v>#N/A</v>
      </c>
      <c r="S1213" s="9" t="e">
        <f t="shared" si="93"/>
        <v>#N/A</v>
      </c>
      <c r="T1213" s="3" t="e">
        <f t="shared" si="94"/>
        <v>#N/A</v>
      </c>
    </row>
    <row r="1214" spans="2:20" x14ac:dyDescent="0.35">
      <c r="B1214" t="str">
        <f>IF(NOT(ISBLANK(A1214)),VLOOKUP(A1214,'BBT3'!A:F,2,0),"")</f>
        <v/>
      </c>
      <c r="C1214" t="str">
        <f>IF(NOT(ISBLANK(A1214)),VLOOKUP(A1214,'BBT3'!A:F,3,0),"")</f>
        <v/>
      </c>
      <c r="D1214" s="6" t="str">
        <f>IF(NOT(ISBLANK(A1214)),VLOOKUP(A1214,'BBT3'!A:F,4,1),"")</f>
        <v/>
      </c>
      <c r="E1214" t="str">
        <f>IF(NOT(ISBLANK(A1214)),VLOOKUP(A1214,'BBT3'!A:F,5,0),"")</f>
        <v/>
      </c>
      <c r="F1214" t="str">
        <f>IF(NOT(ISBLANK(A1214)),VLOOKUP(A1214,'BBT3'!A:F,6,0),"")</f>
        <v/>
      </c>
      <c r="G1214" t="str">
        <f>IF(NOT(ISBLANK(A1214)),VLOOKUP(A1214,QW_Close!A:J,5,0),"")</f>
        <v/>
      </c>
      <c r="H1214" s="5" t="str" cm="1">
        <f t="array" ref="H1214">IF(NOT(ISBLANK(A1214)),((_xlfn.XLOOKUP(1,(_bbt3[[#All],[ID]]=A1214)*(_bbt3[[#All],[METRIC_NAME]]="YLD_YTM_ASK"),_bbt3[[#All],[METRIC_VALUE]])*0.5)+(_xlfn.XLOOKUP(1,(_bbt3[[#All],[ID]]=A1214)*(_bbt3[[#All],[METRIC_NAME]]="YLD_YTM_BID"),_bbt3[[#All],[METRIC_VALUE]])*0.5))/100,"")</f>
        <v/>
      </c>
      <c r="I1214">
        <f>IF(ISNA(VLOOKUP(A1214,QW_CloseDL!A:E,5,0)),0,VLOOKUP(A1214,QW_CloseDL!A:E,5,0))</f>
        <v>0</v>
      </c>
      <c r="J1214" s="8" t="str">
        <f t="shared" si="90"/>
        <v/>
      </c>
      <c r="P1214">
        <v>0</v>
      </c>
      <c r="Q1214" t="e">
        <f t="shared" si="91"/>
        <v>#N/A</v>
      </c>
      <c r="R1214" t="e">
        <f t="shared" si="92"/>
        <v>#N/A</v>
      </c>
      <c r="S1214" s="9" t="e">
        <f t="shared" si="93"/>
        <v>#N/A</v>
      </c>
      <c r="T1214" s="3" t="e">
        <f t="shared" si="94"/>
        <v>#N/A</v>
      </c>
    </row>
    <row r="1215" spans="2:20" x14ac:dyDescent="0.35">
      <c r="B1215" t="str">
        <f>IF(NOT(ISBLANK(A1215)),VLOOKUP(A1215,'BBT3'!A:F,2,0),"")</f>
        <v/>
      </c>
      <c r="C1215" t="str">
        <f>IF(NOT(ISBLANK(A1215)),VLOOKUP(A1215,'BBT3'!A:F,3,0),"")</f>
        <v/>
      </c>
      <c r="D1215" s="6" t="str">
        <f>IF(NOT(ISBLANK(A1215)),VLOOKUP(A1215,'BBT3'!A:F,4,1),"")</f>
        <v/>
      </c>
      <c r="E1215" t="str">
        <f>IF(NOT(ISBLANK(A1215)),VLOOKUP(A1215,'BBT3'!A:F,5,0),"")</f>
        <v/>
      </c>
      <c r="F1215" t="str">
        <f>IF(NOT(ISBLANK(A1215)),VLOOKUP(A1215,'BBT3'!A:F,6,0),"")</f>
        <v/>
      </c>
      <c r="G1215" t="str">
        <f>IF(NOT(ISBLANK(A1215)),VLOOKUP(A1215,QW_Close!A:J,5,0),"")</f>
        <v/>
      </c>
      <c r="H1215" s="5" t="str" cm="1">
        <f t="array" ref="H1215">IF(NOT(ISBLANK(A1215)),((_xlfn.XLOOKUP(1,(_bbt3[[#All],[ID]]=A1215)*(_bbt3[[#All],[METRIC_NAME]]="YLD_YTM_ASK"),_bbt3[[#All],[METRIC_VALUE]])*0.5)+(_xlfn.XLOOKUP(1,(_bbt3[[#All],[ID]]=A1215)*(_bbt3[[#All],[METRIC_NAME]]="YLD_YTM_BID"),_bbt3[[#All],[METRIC_VALUE]])*0.5))/100,"")</f>
        <v/>
      </c>
      <c r="I1215">
        <f>IF(ISNA(VLOOKUP(A1215,QW_CloseDL!A:E,5,0)),0,VLOOKUP(A1215,QW_CloseDL!A:E,5,0))</f>
        <v>0</v>
      </c>
      <c r="J1215" s="8" t="str">
        <f t="shared" si="90"/>
        <v/>
      </c>
      <c r="P1215">
        <v>0</v>
      </c>
      <c r="Q1215" t="e">
        <f t="shared" si="91"/>
        <v>#N/A</v>
      </c>
      <c r="R1215" t="e">
        <f t="shared" si="92"/>
        <v>#N/A</v>
      </c>
      <c r="S1215" s="9" t="e">
        <f t="shared" si="93"/>
        <v>#N/A</v>
      </c>
      <c r="T1215" s="3" t="e">
        <f t="shared" si="94"/>
        <v>#N/A</v>
      </c>
    </row>
    <row r="1216" spans="2:20" x14ac:dyDescent="0.35">
      <c r="B1216" t="str">
        <f>IF(NOT(ISBLANK(A1216)),VLOOKUP(A1216,'BBT3'!A:F,2,0),"")</f>
        <v/>
      </c>
      <c r="C1216" t="str">
        <f>IF(NOT(ISBLANK(A1216)),VLOOKUP(A1216,'BBT3'!A:F,3,0),"")</f>
        <v/>
      </c>
      <c r="D1216" s="6" t="str">
        <f>IF(NOT(ISBLANK(A1216)),VLOOKUP(A1216,'BBT3'!A:F,4,1),"")</f>
        <v/>
      </c>
      <c r="E1216" t="str">
        <f>IF(NOT(ISBLANK(A1216)),VLOOKUP(A1216,'BBT3'!A:F,5,0),"")</f>
        <v/>
      </c>
      <c r="F1216" t="str">
        <f>IF(NOT(ISBLANK(A1216)),VLOOKUP(A1216,'BBT3'!A:F,6,0),"")</f>
        <v/>
      </c>
      <c r="G1216" t="str">
        <f>IF(NOT(ISBLANK(A1216)),VLOOKUP(A1216,QW_Close!A:J,5,0),"")</f>
        <v/>
      </c>
      <c r="H1216" s="5" t="str" cm="1">
        <f t="array" ref="H1216">IF(NOT(ISBLANK(A1216)),((_xlfn.XLOOKUP(1,(_bbt3[[#All],[ID]]=A1216)*(_bbt3[[#All],[METRIC_NAME]]="YLD_YTM_ASK"),_bbt3[[#All],[METRIC_VALUE]])*0.5)+(_xlfn.XLOOKUP(1,(_bbt3[[#All],[ID]]=A1216)*(_bbt3[[#All],[METRIC_NAME]]="YLD_YTM_BID"),_bbt3[[#All],[METRIC_VALUE]])*0.5))/100,"")</f>
        <v/>
      </c>
      <c r="I1216">
        <f>IF(ISNA(VLOOKUP(A1216,QW_CloseDL!A:E,5,0)),0,VLOOKUP(A1216,QW_CloseDL!A:E,5,0))</f>
        <v>0</v>
      </c>
      <c r="J1216" s="8" t="str">
        <f t="shared" si="90"/>
        <v/>
      </c>
      <c r="P1216">
        <v>0</v>
      </c>
      <c r="Q1216" t="e">
        <f t="shared" si="91"/>
        <v>#N/A</v>
      </c>
      <c r="R1216" t="e">
        <f t="shared" si="92"/>
        <v>#N/A</v>
      </c>
      <c r="S1216" s="9" t="e">
        <f t="shared" si="93"/>
        <v>#N/A</v>
      </c>
      <c r="T1216" s="3" t="e">
        <f t="shared" si="94"/>
        <v>#N/A</v>
      </c>
    </row>
    <row r="1217" spans="2:20" x14ac:dyDescent="0.35">
      <c r="B1217" t="str">
        <f>IF(NOT(ISBLANK(A1217)),VLOOKUP(A1217,'BBT3'!A:F,2,0),"")</f>
        <v/>
      </c>
      <c r="C1217" t="str">
        <f>IF(NOT(ISBLANK(A1217)),VLOOKUP(A1217,'BBT3'!A:F,3,0),"")</f>
        <v/>
      </c>
      <c r="D1217" s="6" t="str">
        <f>IF(NOT(ISBLANK(A1217)),VLOOKUP(A1217,'BBT3'!A:F,4,1),"")</f>
        <v/>
      </c>
      <c r="E1217" t="str">
        <f>IF(NOT(ISBLANK(A1217)),VLOOKUP(A1217,'BBT3'!A:F,5,0),"")</f>
        <v/>
      </c>
      <c r="F1217" t="str">
        <f>IF(NOT(ISBLANK(A1217)),VLOOKUP(A1217,'BBT3'!A:F,6,0),"")</f>
        <v/>
      </c>
      <c r="G1217" t="str">
        <f>IF(NOT(ISBLANK(A1217)),VLOOKUP(A1217,QW_Close!A:J,5,0),"")</f>
        <v/>
      </c>
      <c r="H1217" s="5" t="str" cm="1">
        <f t="array" ref="H1217">IF(NOT(ISBLANK(A1217)),((_xlfn.XLOOKUP(1,(_bbt3[[#All],[ID]]=A1217)*(_bbt3[[#All],[METRIC_NAME]]="YLD_YTM_ASK"),_bbt3[[#All],[METRIC_VALUE]])*0.5)+(_xlfn.XLOOKUP(1,(_bbt3[[#All],[ID]]=A1217)*(_bbt3[[#All],[METRIC_NAME]]="YLD_YTM_BID"),_bbt3[[#All],[METRIC_VALUE]])*0.5))/100,"")</f>
        <v/>
      </c>
      <c r="I1217">
        <f>IF(ISNA(VLOOKUP(A1217,QW_CloseDL!A:E,5,0)),0,VLOOKUP(A1217,QW_CloseDL!A:E,5,0))</f>
        <v>0</v>
      </c>
      <c r="J1217" s="8" t="str">
        <f t="shared" si="90"/>
        <v/>
      </c>
      <c r="P1217">
        <v>0</v>
      </c>
      <c r="Q1217" t="e">
        <f t="shared" si="91"/>
        <v>#N/A</v>
      </c>
      <c r="R1217" t="e">
        <f t="shared" si="92"/>
        <v>#N/A</v>
      </c>
      <c r="S1217" s="9" t="e">
        <f t="shared" si="93"/>
        <v>#N/A</v>
      </c>
      <c r="T1217" s="3" t="e">
        <f t="shared" si="94"/>
        <v>#N/A</v>
      </c>
    </row>
    <row r="1218" spans="2:20" x14ac:dyDescent="0.35">
      <c r="B1218" t="str">
        <f>IF(NOT(ISBLANK(A1218)),VLOOKUP(A1218,'BBT3'!A:F,2,0),"")</f>
        <v/>
      </c>
      <c r="C1218" t="str">
        <f>IF(NOT(ISBLANK(A1218)),VLOOKUP(A1218,'BBT3'!A:F,3,0),"")</f>
        <v/>
      </c>
      <c r="D1218" s="6" t="str">
        <f>IF(NOT(ISBLANK(A1218)),VLOOKUP(A1218,'BBT3'!A:F,4,1),"")</f>
        <v/>
      </c>
      <c r="E1218" t="str">
        <f>IF(NOT(ISBLANK(A1218)),VLOOKUP(A1218,'BBT3'!A:F,5,0),"")</f>
        <v/>
      </c>
      <c r="F1218" t="str">
        <f>IF(NOT(ISBLANK(A1218)),VLOOKUP(A1218,'BBT3'!A:F,6,0),"")</f>
        <v/>
      </c>
      <c r="G1218" t="str">
        <f>IF(NOT(ISBLANK(A1218)),VLOOKUP(A1218,QW_Close!A:J,5,0),"")</f>
        <v/>
      </c>
      <c r="H1218" s="5" t="str" cm="1">
        <f t="array" ref="H1218">IF(NOT(ISBLANK(A1218)),((_xlfn.XLOOKUP(1,(_bbt3[[#All],[ID]]=A1218)*(_bbt3[[#All],[METRIC_NAME]]="YLD_YTM_ASK"),_bbt3[[#All],[METRIC_VALUE]])*0.5)+(_xlfn.XLOOKUP(1,(_bbt3[[#All],[ID]]=A1218)*(_bbt3[[#All],[METRIC_NAME]]="YLD_YTM_BID"),_bbt3[[#All],[METRIC_VALUE]])*0.5))/100,"")</f>
        <v/>
      </c>
      <c r="I1218">
        <f>IF(ISNA(VLOOKUP(A1218,QW_CloseDL!A:E,5,0)),0,VLOOKUP(A1218,QW_CloseDL!A:E,5,0))</f>
        <v>0</v>
      </c>
      <c r="J1218" s="8" t="str">
        <f t="shared" si="90"/>
        <v/>
      </c>
      <c r="P1218">
        <v>0</v>
      </c>
      <c r="Q1218" t="e">
        <f t="shared" si="91"/>
        <v>#N/A</v>
      </c>
      <c r="R1218" t="e">
        <f t="shared" si="92"/>
        <v>#N/A</v>
      </c>
      <c r="S1218" s="9" t="e">
        <f t="shared" si="93"/>
        <v>#N/A</v>
      </c>
      <c r="T1218" s="3" t="e">
        <f t="shared" si="94"/>
        <v>#N/A</v>
      </c>
    </row>
    <row r="1219" spans="2:20" x14ac:dyDescent="0.35">
      <c r="B1219" t="str">
        <f>IF(NOT(ISBLANK(A1219)),VLOOKUP(A1219,'BBT3'!A:F,2,0),"")</f>
        <v/>
      </c>
      <c r="C1219" t="str">
        <f>IF(NOT(ISBLANK(A1219)),VLOOKUP(A1219,'BBT3'!A:F,3,0),"")</f>
        <v/>
      </c>
      <c r="D1219" s="6" t="str">
        <f>IF(NOT(ISBLANK(A1219)),VLOOKUP(A1219,'BBT3'!A:F,4,1),"")</f>
        <v/>
      </c>
      <c r="E1219" t="str">
        <f>IF(NOT(ISBLANK(A1219)),VLOOKUP(A1219,'BBT3'!A:F,5,0),"")</f>
        <v/>
      </c>
      <c r="F1219" t="str">
        <f>IF(NOT(ISBLANK(A1219)),VLOOKUP(A1219,'BBT3'!A:F,6,0),"")</f>
        <v/>
      </c>
      <c r="G1219" t="str">
        <f>IF(NOT(ISBLANK(A1219)),VLOOKUP(A1219,QW_Close!A:J,5,0),"")</f>
        <v/>
      </c>
      <c r="H1219" s="5" t="str" cm="1">
        <f t="array" ref="H1219">IF(NOT(ISBLANK(A1219)),((_xlfn.XLOOKUP(1,(_bbt3[[#All],[ID]]=A1219)*(_bbt3[[#All],[METRIC_NAME]]="YLD_YTM_ASK"),_bbt3[[#All],[METRIC_VALUE]])*0.5)+(_xlfn.XLOOKUP(1,(_bbt3[[#All],[ID]]=A1219)*(_bbt3[[#All],[METRIC_NAME]]="YLD_YTM_BID"),_bbt3[[#All],[METRIC_VALUE]])*0.5))/100,"")</f>
        <v/>
      </c>
      <c r="I1219">
        <f>IF(ISNA(VLOOKUP(A1219,QW_CloseDL!A:E,5,0)),0,VLOOKUP(A1219,QW_CloseDL!A:E,5,0))</f>
        <v>0</v>
      </c>
      <c r="J1219" s="8" t="str">
        <f t="shared" ref="J1219:J1282" si="95">IF(ISNA(IF(NOT(ISBLANK(A1219)),ABS(G1219-I1219),"")),0,(IF(NOT(ISBLANK(A1219)),ABS(G1219-I1219)*10000,"")))</f>
        <v/>
      </c>
      <c r="P1219">
        <v>0</v>
      </c>
      <c r="Q1219" t="e">
        <f t="shared" si="91"/>
        <v>#N/A</v>
      </c>
      <c r="R1219" t="e">
        <f t="shared" si="92"/>
        <v>#N/A</v>
      </c>
      <c r="S1219" s="9" t="e">
        <f t="shared" si="93"/>
        <v>#N/A</v>
      </c>
      <c r="T1219" s="3" t="e">
        <f t="shared" si="94"/>
        <v>#N/A</v>
      </c>
    </row>
    <row r="1220" spans="2:20" x14ac:dyDescent="0.35">
      <c r="B1220" t="str">
        <f>IF(NOT(ISBLANK(A1220)),VLOOKUP(A1220,'BBT3'!A:F,2,0),"")</f>
        <v/>
      </c>
      <c r="C1220" t="str">
        <f>IF(NOT(ISBLANK(A1220)),VLOOKUP(A1220,'BBT3'!A:F,3,0),"")</f>
        <v/>
      </c>
      <c r="D1220" s="6" t="str">
        <f>IF(NOT(ISBLANK(A1220)),VLOOKUP(A1220,'BBT3'!A:F,4,1),"")</f>
        <v/>
      </c>
      <c r="E1220" t="str">
        <f>IF(NOT(ISBLANK(A1220)),VLOOKUP(A1220,'BBT3'!A:F,5,0),"")</f>
        <v/>
      </c>
      <c r="F1220" t="str">
        <f>IF(NOT(ISBLANK(A1220)),VLOOKUP(A1220,'BBT3'!A:F,6,0),"")</f>
        <v/>
      </c>
      <c r="G1220" t="str">
        <f>IF(NOT(ISBLANK(A1220)),VLOOKUP(A1220,QW_Close!A:J,5,0),"")</f>
        <v/>
      </c>
      <c r="H1220" s="5" t="str" cm="1">
        <f t="array" ref="H1220">IF(NOT(ISBLANK(A1220)),((_xlfn.XLOOKUP(1,(_bbt3[[#All],[ID]]=A1220)*(_bbt3[[#All],[METRIC_NAME]]="YLD_YTM_ASK"),_bbt3[[#All],[METRIC_VALUE]])*0.5)+(_xlfn.XLOOKUP(1,(_bbt3[[#All],[ID]]=A1220)*(_bbt3[[#All],[METRIC_NAME]]="YLD_YTM_BID"),_bbt3[[#All],[METRIC_VALUE]])*0.5))/100,"")</f>
        <v/>
      </c>
      <c r="I1220">
        <f>IF(ISNA(VLOOKUP(A1220,QW_CloseDL!A:E,5,0)),0,VLOOKUP(A1220,QW_CloseDL!A:E,5,0))</f>
        <v>0</v>
      </c>
      <c r="J1220" s="8" t="str">
        <f t="shared" si="95"/>
        <v/>
      </c>
      <c r="P1220">
        <v>0</v>
      </c>
      <c r="Q1220" t="e">
        <f t="shared" si="91"/>
        <v>#N/A</v>
      </c>
      <c r="R1220" t="e">
        <f t="shared" si="92"/>
        <v>#N/A</v>
      </c>
      <c r="S1220" s="9" t="e">
        <f t="shared" si="93"/>
        <v>#N/A</v>
      </c>
      <c r="T1220" s="3" t="e">
        <f t="shared" si="94"/>
        <v>#N/A</v>
      </c>
    </row>
    <row r="1221" spans="2:20" x14ac:dyDescent="0.35">
      <c r="B1221" t="str">
        <f>IF(NOT(ISBLANK(A1221)),VLOOKUP(A1221,'BBT3'!A:F,2,0),"")</f>
        <v/>
      </c>
      <c r="C1221" t="str">
        <f>IF(NOT(ISBLANK(A1221)),VLOOKUP(A1221,'BBT3'!A:F,3,0),"")</f>
        <v/>
      </c>
      <c r="D1221" s="6" t="str">
        <f>IF(NOT(ISBLANK(A1221)),VLOOKUP(A1221,'BBT3'!A:F,4,1),"")</f>
        <v/>
      </c>
      <c r="E1221" t="str">
        <f>IF(NOT(ISBLANK(A1221)),VLOOKUP(A1221,'BBT3'!A:F,5,0),"")</f>
        <v/>
      </c>
      <c r="F1221" t="str">
        <f>IF(NOT(ISBLANK(A1221)),VLOOKUP(A1221,'BBT3'!A:F,6,0),"")</f>
        <v/>
      </c>
      <c r="G1221" t="str">
        <f>IF(NOT(ISBLANK(A1221)),VLOOKUP(A1221,QW_Close!A:J,5,0),"")</f>
        <v/>
      </c>
      <c r="H1221" s="5" t="str" cm="1">
        <f t="array" ref="H1221">IF(NOT(ISBLANK(A1221)),((_xlfn.XLOOKUP(1,(_bbt3[[#All],[ID]]=A1221)*(_bbt3[[#All],[METRIC_NAME]]="YLD_YTM_ASK"),_bbt3[[#All],[METRIC_VALUE]])*0.5)+(_xlfn.XLOOKUP(1,(_bbt3[[#All],[ID]]=A1221)*(_bbt3[[#All],[METRIC_NAME]]="YLD_YTM_BID"),_bbt3[[#All],[METRIC_VALUE]])*0.5))/100,"")</f>
        <v/>
      </c>
      <c r="I1221">
        <f>IF(ISNA(VLOOKUP(A1221,QW_CloseDL!A:E,5,0)),0,VLOOKUP(A1221,QW_CloseDL!A:E,5,0))</f>
        <v>0</v>
      </c>
      <c r="J1221" s="8" t="str">
        <f t="shared" si="95"/>
        <v/>
      </c>
      <c r="P1221">
        <v>0</v>
      </c>
      <c r="Q1221" t="e">
        <f t="shared" si="91"/>
        <v>#N/A</v>
      </c>
      <c r="R1221" t="e">
        <f t="shared" si="92"/>
        <v>#N/A</v>
      </c>
      <c r="S1221" s="9" t="e">
        <f t="shared" si="93"/>
        <v>#N/A</v>
      </c>
      <c r="T1221" s="3" t="e">
        <f t="shared" si="94"/>
        <v>#N/A</v>
      </c>
    </row>
    <row r="1222" spans="2:20" x14ac:dyDescent="0.35">
      <c r="B1222" t="str">
        <f>IF(NOT(ISBLANK(A1222)),VLOOKUP(A1222,'BBT3'!A:F,2,0),"")</f>
        <v/>
      </c>
      <c r="C1222" t="str">
        <f>IF(NOT(ISBLANK(A1222)),VLOOKUP(A1222,'BBT3'!A:F,3,0),"")</f>
        <v/>
      </c>
      <c r="D1222" s="6" t="str">
        <f>IF(NOT(ISBLANK(A1222)),VLOOKUP(A1222,'BBT3'!A:F,4,1),"")</f>
        <v/>
      </c>
      <c r="E1222" t="str">
        <f>IF(NOT(ISBLANK(A1222)),VLOOKUP(A1222,'BBT3'!A:F,5,0),"")</f>
        <v/>
      </c>
      <c r="F1222" t="str">
        <f>IF(NOT(ISBLANK(A1222)),VLOOKUP(A1222,'BBT3'!A:F,6,0),"")</f>
        <v/>
      </c>
      <c r="G1222" t="str">
        <f>IF(NOT(ISBLANK(A1222)),VLOOKUP(A1222,QW_Close!A:J,5,0),"")</f>
        <v/>
      </c>
      <c r="H1222" s="5" t="str" cm="1">
        <f t="array" ref="H1222">IF(NOT(ISBLANK(A1222)),((_xlfn.XLOOKUP(1,(_bbt3[[#All],[ID]]=A1222)*(_bbt3[[#All],[METRIC_NAME]]="YLD_YTM_ASK"),_bbt3[[#All],[METRIC_VALUE]])*0.5)+(_xlfn.XLOOKUP(1,(_bbt3[[#All],[ID]]=A1222)*(_bbt3[[#All],[METRIC_NAME]]="YLD_YTM_BID"),_bbt3[[#All],[METRIC_VALUE]])*0.5))/100,"")</f>
        <v/>
      </c>
      <c r="I1222">
        <f>IF(ISNA(VLOOKUP(A1222,QW_CloseDL!A:E,5,0)),0,VLOOKUP(A1222,QW_CloseDL!A:E,5,0))</f>
        <v>0</v>
      </c>
      <c r="J1222" s="8" t="str">
        <f t="shared" si="95"/>
        <v/>
      </c>
      <c r="P1222">
        <v>0</v>
      </c>
      <c r="Q1222" t="e">
        <f t="shared" si="91"/>
        <v>#N/A</v>
      </c>
      <c r="R1222" t="e">
        <f t="shared" si="92"/>
        <v>#N/A</v>
      </c>
      <c r="S1222" s="9" t="e">
        <f t="shared" si="93"/>
        <v>#N/A</v>
      </c>
      <c r="T1222" s="3" t="e">
        <f t="shared" si="94"/>
        <v>#N/A</v>
      </c>
    </row>
    <row r="1223" spans="2:20" x14ac:dyDescent="0.35">
      <c r="B1223" t="str">
        <f>IF(NOT(ISBLANK(A1223)),VLOOKUP(A1223,'BBT3'!A:F,2,0),"")</f>
        <v/>
      </c>
      <c r="C1223" t="str">
        <f>IF(NOT(ISBLANK(A1223)),VLOOKUP(A1223,'BBT3'!A:F,3,0),"")</f>
        <v/>
      </c>
      <c r="D1223" s="6" t="str">
        <f>IF(NOT(ISBLANK(A1223)),VLOOKUP(A1223,'BBT3'!A:F,4,1),"")</f>
        <v/>
      </c>
      <c r="E1223" t="str">
        <f>IF(NOT(ISBLANK(A1223)),VLOOKUP(A1223,'BBT3'!A:F,5,0),"")</f>
        <v/>
      </c>
      <c r="F1223" t="str">
        <f>IF(NOT(ISBLANK(A1223)),VLOOKUP(A1223,'BBT3'!A:F,6,0),"")</f>
        <v/>
      </c>
      <c r="G1223" t="str">
        <f>IF(NOT(ISBLANK(A1223)),VLOOKUP(A1223,QW_Close!A:J,5,0),"")</f>
        <v/>
      </c>
      <c r="H1223" s="5" t="str" cm="1">
        <f t="array" ref="H1223">IF(NOT(ISBLANK(A1223)),((_xlfn.XLOOKUP(1,(_bbt3[[#All],[ID]]=A1223)*(_bbt3[[#All],[METRIC_NAME]]="YLD_YTM_ASK"),_bbt3[[#All],[METRIC_VALUE]])*0.5)+(_xlfn.XLOOKUP(1,(_bbt3[[#All],[ID]]=A1223)*(_bbt3[[#All],[METRIC_NAME]]="YLD_YTM_BID"),_bbt3[[#All],[METRIC_VALUE]])*0.5))/100,"")</f>
        <v/>
      </c>
      <c r="I1223">
        <f>IF(ISNA(VLOOKUP(A1223,QW_CloseDL!A:E,5,0)),0,VLOOKUP(A1223,QW_CloseDL!A:E,5,0))</f>
        <v>0</v>
      </c>
      <c r="J1223" s="8" t="str">
        <f t="shared" si="95"/>
        <v/>
      </c>
      <c r="P1223">
        <v>0</v>
      </c>
      <c r="Q1223" t="e">
        <f t="shared" si="91"/>
        <v>#N/A</v>
      </c>
      <c r="R1223" t="e">
        <f t="shared" si="92"/>
        <v>#N/A</v>
      </c>
      <c r="S1223" s="9" t="e">
        <f t="shared" si="93"/>
        <v>#N/A</v>
      </c>
      <c r="T1223" s="3" t="e">
        <f t="shared" si="94"/>
        <v>#N/A</v>
      </c>
    </row>
    <row r="1224" spans="2:20" x14ac:dyDescent="0.35">
      <c r="B1224" t="str">
        <f>IF(NOT(ISBLANK(A1224)),VLOOKUP(A1224,'BBT3'!A:F,2,0),"")</f>
        <v/>
      </c>
      <c r="C1224" t="str">
        <f>IF(NOT(ISBLANK(A1224)),VLOOKUP(A1224,'BBT3'!A:F,3,0),"")</f>
        <v/>
      </c>
      <c r="D1224" s="6" t="str">
        <f>IF(NOT(ISBLANK(A1224)),VLOOKUP(A1224,'BBT3'!A:F,4,1),"")</f>
        <v/>
      </c>
      <c r="E1224" t="str">
        <f>IF(NOT(ISBLANK(A1224)),VLOOKUP(A1224,'BBT3'!A:F,5,0),"")</f>
        <v/>
      </c>
      <c r="F1224" t="str">
        <f>IF(NOT(ISBLANK(A1224)),VLOOKUP(A1224,'BBT3'!A:F,6,0),"")</f>
        <v/>
      </c>
      <c r="G1224" t="str">
        <f>IF(NOT(ISBLANK(A1224)),VLOOKUP(A1224,QW_Close!A:J,5,0),"")</f>
        <v/>
      </c>
      <c r="H1224" s="5" t="str" cm="1">
        <f t="array" ref="H1224">IF(NOT(ISBLANK(A1224)),((_xlfn.XLOOKUP(1,(_bbt3[[#All],[ID]]=A1224)*(_bbt3[[#All],[METRIC_NAME]]="YLD_YTM_ASK"),_bbt3[[#All],[METRIC_VALUE]])*0.5)+(_xlfn.XLOOKUP(1,(_bbt3[[#All],[ID]]=A1224)*(_bbt3[[#All],[METRIC_NAME]]="YLD_YTM_BID"),_bbt3[[#All],[METRIC_VALUE]])*0.5))/100,"")</f>
        <v/>
      </c>
      <c r="I1224">
        <f>IF(ISNA(VLOOKUP(A1224,QW_CloseDL!A:E,5,0)),0,VLOOKUP(A1224,QW_CloseDL!A:E,5,0))</f>
        <v>0</v>
      </c>
      <c r="J1224" s="8" t="str">
        <f t="shared" si="95"/>
        <v/>
      </c>
      <c r="P1224">
        <v>0</v>
      </c>
      <c r="Q1224" t="e">
        <f t="shared" si="91"/>
        <v>#N/A</v>
      </c>
      <c r="R1224" t="e">
        <f t="shared" si="92"/>
        <v>#N/A</v>
      </c>
      <c r="S1224" s="9" t="e">
        <f t="shared" si="93"/>
        <v>#N/A</v>
      </c>
      <c r="T1224" s="3" t="e">
        <f t="shared" si="94"/>
        <v>#N/A</v>
      </c>
    </row>
    <row r="1225" spans="2:20" x14ac:dyDescent="0.35">
      <c r="B1225" t="str">
        <f>IF(NOT(ISBLANK(A1225)),VLOOKUP(A1225,'BBT3'!A:F,2,0),"")</f>
        <v/>
      </c>
      <c r="C1225" t="str">
        <f>IF(NOT(ISBLANK(A1225)),VLOOKUP(A1225,'BBT3'!A:F,3,0),"")</f>
        <v/>
      </c>
      <c r="D1225" s="6" t="str">
        <f>IF(NOT(ISBLANK(A1225)),VLOOKUP(A1225,'BBT3'!A:F,4,1),"")</f>
        <v/>
      </c>
      <c r="E1225" t="str">
        <f>IF(NOT(ISBLANK(A1225)),VLOOKUP(A1225,'BBT3'!A:F,5,0),"")</f>
        <v/>
      </c>
      <c r="F1225" t="str">
        <f>IF(NOT(ISBLANK(A1225)),VLOOKUP(A1225,'BBT3'!A:F,6,0),"")</f>
        <v/>
      </c>
      <c r="G1225" t="str">
        <f>IF(NOT(ISBLANK(A1225)),VLOOKUP(A1225,QW_Close!A:J,5,0),"")</f>
        <v/>
      </c>
      <c r="H1225" s="5" t="str" cm="1">
        <f t="array" ref="H1225">IF(NOT(ISBLANK(A1225)),((_xlfn.XLOOKUP(1,(_bbt3[[#All],[ID]]=A1225)*(_bbt3[[#All],[METRIC_NAME]]="YLD_YTM_ASK"),_bbt3[[#All],[METRIC_VALUE]])*0.5)+(_xlfn.XLOOKUP(1,(_bbt3[[#All],[ID]]=A1225)*(_bbt3[[#All],[METRIC_NAME]]="YLD_YTM_BID"),_bbt3[[#All],[METRIC_VALUE]])*0.5))/100,"")</f>
        <v/>
      </c>
      <c r="I1225">
        <f>IF(ISNA(VLOOKUP(A1225,QW_CloseDL!A:E,5,0)),0,VLOOKUP(A1225,QW_CloseDL!A:E,5,0))</f>
        <v>0</v>
      </c>
      <c r="J1225" s="8" t="str">
        <f t="shared" si="95"/>
        <v/>
      </c>
      <c r="P1225">
        <v>0</v>
      </c>
      <c r="Q1225" t="e">
        <f t="shared" si="91"/>
        <v>#N/A</v>
      </c>
      <c r="R1225" t="e">
        <f t="shared" si="92"/>
        <v>#N/A</v>
      </c>
      <c r="S1225" s="9" t="e">
        <f t="shared" si="93"/>
        <v>#N/A</v>
      </c>
      <c r="T1225" s="3" t="e">
        <f t="shared" si="94"/>
        <v>#N/A</v>
      </c>
    </row>
    <row r="1226" spans="2:20" x14ac:dyDescent="0.35">
      <c r="B1226" t="str">
        <f>IF(NOT(ISBLANK(A1226)),VLOOKUP(A1226,'BBT3'!A:F,2,0),"")</f>
        <v/>
      </c>
      <c r="C1226" t="str">
        <f>IF(NOT(ISBLANK(A1226)),VLOOKUP(A1226,'BBT3'!A:F,3,0),"")</f>
        <v/>
      </c>
      <c r="D1226" s="6" t="str">
        <f>IF(NOT(ISBLANK(A1226)),VLOOKUP(A1226,'BBT3'!A:F,4,1),"")</f>
        <v/>
      </c>
      <c r="E1226" t="str">
        <f>IF(NOT(ISBLANK(A1226)),VLOOKUP(A1226,'BBT3'!A:F,5,0),"")</f>
        <v/>
      </c>
      <c r="F1226" t="str">
        <f>IF(NOT(ISBLANK(A1226)),VLOOKUP(A1226,'BBT3'!A:F,6,0),"")</f>
        <v/>
      </c>
      <c r="G1226" t="str">
        <f>IF(NOT(ISBLANK(A1226)),VLOOKUP(A1226,QW_Close!A:J,5,0),"")</f>
        <v/>
      </c>
      <c r="H1226" s="5" t="str" cm="1">
        <f t="array" ref="H1226">IF(NOT(ISBLANK(A1226)),((_xlfn.XLOOKUP(1,(_bbt3[[#All],[ID]]=A1226)*(_bbt3[[#All],[METRIC_NAME]]="YLD_YTM_ASK"),_bbt3[[#All],[METRIC_VALUE]])*0.5)+(_xlfn.XLOOKUP(1,(_bbt3[[#All],[ID]]=A1226)*(_bbt3[[#All],[METRIC_NAME]]="YLD_YTM_BID"),_bbt3[[#All],[METRIC_VALUE]])*0.5))/100,"")</f>
        <v/>
      </c>
      <c r="I1226">
        <f>IF(ISNA(VLOOKUP(A1226,QW_CloseDL!A:E,5,0)),0,VLOOKUP(A1226,QW_CloseDL!A:E,5,0))</f>
        <v>0</v>
      </c>
      <c r="J1226" s="8" t="str">
        <f t="shared" si="95"/>
        <v/>
      </c>
      <c r="P1226">
        <v>0</v>
      </c>
      <c r="Q1226" t="e">
        <f t="shared" si="91"/>
        <v>#N/A</v>
      </c>
      <c r="R1226" t="e">
        <f t="shared" si="92"/>
        <v>#N/A</v>
      </c>
      <c r="S1226" s="9" t="e">
        <f t="shared" si="93"/>
        <v>#N/A</v>
      </c>
      <c r="T1226" s="3" t="e">
        <f t="shared" si="94"/>
        <v>#N/A</v>
      </c>
    </row>
    <row r="1227" spans="2:20" x14ac:dyDescent="0.35">
      <c r="B1227" t="str">
        <f>IF(NOT(ISBLANK(A1227)),VLOOKUP(A1227,'BBT3'!A:F,2,0),"")</f>
        <v/>
      </c>
      <c r="C1227" t="str">
        <f>IF(NOT(ISBLANK(A1227)),VLOOKUP(A1227,'BBT3'!A:F,3,0),"")</f>
        <v/>
      </c>
      <c r="D1227" s="6" t="str">
        <f>IF(NOT(ISBLANK(A1227)),VLOOKUP(A1227,'BBT3'!A:F,4,1),"")</f>
        <v/>
      </c>
      <c r="E1227" t="str">
        <f>IF(NOT(ISBLANK(A1227)),VLOOKUP(A1227,'BBT3'!A:F,5,0),"")</f>
        <v/>
      </c>
      <c r="F1227" t="str">
        <f>IF(NOT(ISBLANK(A1227)),VLOOKUP(A1227,'BBT3'!A:F,6,0),"")</f>
        <v/>
      </c>
      <c r="G1227" t="str">
        <f>IF(NOT(ISBLANK(A1227)),VLOOKUP(A1227,QW_Close!A:J,5,0),"")</f>
        <v/>
      </c>
      <c r="H1227" s="5" t="str" cm="1">
        <f t="array" ref="H1227">IF(NOT(ISBLANK(A1227)),((_xlfn.XLOOKUP(1,(_bbt3[[#All],[ID]]=A1227)*(_bbt3[[#All],[METRIC_NAME]]="YLD_YTM_ASK"),_bbt3[[#All],[METRIC_VALUE]])*0.5)+(_xlfn.XLOOKUP(1,(_bbt3[[#All],[ID]]=A1227)*(_bbt3[[#All],[METRIC_NAME]]="YLD_YTM_BID"),_bbt3[[#All],[METRIC_VALUE]])*0.5))/100,"")</f>
        <v/>
      </c>
      <c r="I1227">
        <f>IF(ISNA(VLOOKUP(A1227,QW_CloseDL!A:E,5,0)),0,VLOOKUP(A1227,QW_CloseDL!A:E,5,0))</f>
        <v>0</v>
      </c>
      <c r="J1227" s="8" t="str">
        <f t="shared" si="95"/>
        <v/>
      </c>
      <c r="P1227">
        <v>0</v>
      </c>
      <c r="Q1227" t="e">
        <f t="shared" si="91"/>
        <v>#N/A</v>
      </c>
      <c r="R1227" t="e">
        <f t="shared" si="92"/>
        <v>#N/A</v>
      </c>
      <c r="S1227" s="9" t="e">
        <f t="shared" si="93"/>
        <v>#N/A</v>
      </c>
      <c r="T1227" s="3" t="e">
        <f t="shared" si="94"/>
        <v>#N/A</v>
      </c>
    </row>
    <row r="1228" spans="2:20" x14ac:dyDescent="0.35">
      <c r="B1228" t="str">
        <f>IF(NOT(ISBLANK(A1228)),VLOOKUP(A1228,'BBT3'!A:F,2,0),"")</f>
        <v/>
      </c>
      <c r="C1228" t="str">
        <f>IF(NOT(ISBLANK(A1228)),VLOOKUP(A1228,'BBT3'!A:F,3,0),"")</f>
        <v/>
      </c>
      <c r="D1228" s="6" t="str">
        <f>IF(NOT(ISBLANK(A1228)),VLOOKUP(A1228,'BBT3'!A:F,4,1),"")</f>
        <v/>
      </c>
      <c r="E1228" t="str">
        <f>IF(NOT(ISBLANK(A1228)),VLOOKUP(A1228,'BBT3'!A:F,5,0),"")</f>
        <v/>
      </c>
      <c r="F1228" t="str">
        <f>IF(NOT(ISBLANK(A1228)),VLOOKUP(A1228,'BBT3'!A:F,6,0),"")</f>
        <v/>
      </c>
      <c r="G1228" t="str">
        <f>IF(NOT(ISBLANK(A1228)),VLOOKUP(A1228,QW_Close!A:J,5,0),"")</f>
        <v/>
      </c>
      <c r="H1228" s="5" t="str" cm="1">
        <f t="array" ref="H1228">IF(NOT(ISBLANK(A1228)),((_xlfn.XLOOKUP(1,(_bbt3[[#All],[ID]]=A1228)*(_bbt3[[#All],[METRIC_NAME]]="YLD_YTM_ASK"),_bbt3[[#All],[METRIC_VALUE]])*0.5)+(_xlfn.XLOOKUP(1,(_bbt3[[#All],[ID]]=A1228)*(_bbt3[[#All],[METRIC_NAME]]="YLD_YTM_BID"),_bbt3[[#All],[METRIC_VALUE]])*0.5))/100,"")</f>
        <v/>
      </c>
      <c r="I1228">
        <f>IF(ISNA(VLOOKUP(A1228,QW_CloseDL!A:E,5,0)),0,VLOOKUP(A1228,QW_CloseDL!A:E,5,0))</f>
        <v>0</v>
      </c>
      <c r="J1228" s="8" t="str">
        <f t="shared" si="95"/>
        <v/>
      </c>
      <c r="P1228">
        <v>0</v>
      </c>
      <c r="Q1228" t="e">
        <f t="shared" si="91"/>
        <v>#N/A</v>
      </c>
      <c r="R1228" t="e">
        <f t="shared" si="92"/>
        <v>#N/A</v>
      </c>
      <c r="S1228" s="9" t="e">
        <f t="shared" si="93"/>
        <v>#N/A</v>
      </c>
      <c r="T1228" s="3" t="e">
        <f t="shared" si="94"/>
        <v>#N/A</v>
      </c>
    </row>
    <row r="1229" spans="2:20" x14ac:dyDescent="0.35">
      <c r="B1229" t="str">
        <f>IF(NOT(ISBLANK(A1229)),VLOOKUP(A1229,'BBT3'!A:F,2,0),"")</f>
        <v/>
      </c>
      <c r="C1229" t="str">
        <f>IF(NOT(ISBLANK(A1229)),VLOOKUP(A1229,'BBT3'!A:F,3,0),"")</f>
        <v/>
      </c>
      <c r="D1229" s="6" t="str">
        <f>IF(NOT(ISBLANK(A1229)),VLOOKUP(A1229,'BBT3'!A:F,4,1),"")</f>
        <v/>
      </c>
      <c r="E1229" t="str">
        <f>IF(NOT(ISBLANK(A1229)),VLOOKUP(A1229,'BBT3'!A:F,5,0),"")</f>
        <v/>
      </c>
      <c r="F1229" t="str">
        <f>IF(NOT(ISBLANK(A1229)),VLOOKUP(A1229,'BBT3'!A:F,6,0),"")</f>
        <v/>
      </c>
      <c r="G1229" t="str">
        <f>IF(NOT(ISBLANK(A1229)),VLOOKUP(A1229,QW_Close!A:J,5,0),"")</f>
        <v/>
      </c>
      <c r="H1229" s="5" t="str" cm="1">
        <f t="array" ref="H1229">IF(NOT(ISBLANK(A1229)),((_xlfn.XLOOKUP(1,(_bbt3[[#All],[ID]]=A1229)*(_bbt3[[#All],[METRIC_NAME]]="YLD_YTM_ASK"),_bbt3[[#All],[METRIC_VALUE]])*0.5)+(_xlfn.XLOOKUP(1,(_bbt3[[#All],[ID]]=A1229)*(_bbt3[[#All],[METRIC_NAME]]="YLD_YTM_BID"),_bbt3[[#All],[METRIC_VALUE]])*0.5))/100,"")</f>
        <v/>
      </c>
      <c r="I1229">
        <f>IF(ISNA(VLOOKUP(A1229,QW_CloseDL!A:E,5,0)),0,VLOOKUP(A1229,QW_CloseDL!A:E,5,0))</f>
        <v>0</v>
      </c>
      <c r="J1229" s="8" t="str">
        <f t="shared" si="95"/>
        <v/>
      </c>
      <c r="P1229">
        <v>0</v>
      </c>
      <c r="Q1229" t="e">
        <f t="shared" ref="Q1229:Q1292" si="96">VLOOKUP(P1229,A:B,2,0)</f>
        <v>#N/A</v>
      </c>
      <c r="R1229" t="e">
        <f t="shared" ref="R1229:R1292" si="97">VLOOKUP(P1229,A:E,4,0)</f>
        <v>#N/A</v>
      </c>
      <c r="S1229" s="9" t="e">
        <f t="shared" ref="S1229:S1292" si="98">VLOOKUP(P1229,A:J,10,0)</f>
        <v>#N/A</v>
      </c>
      <c r="T1229" s="3" t="e">
        <f t="shared" ref="T1229:T1292" si="99">VLOOKUP(P1229,A:J,5,0)</f>
        <v>#N/A</v>
      </c>
    </row>
    <row r="1230" spans="2:20" x14ac:dyDescent="0.35">
      <c r="B1230" t="str">
        <f>IF(NOT(ISBLANK(A1230)),VLOOKUP(A1230,'BBT3'!A:F,2,0),"")</f>
        <v/>
      </c>
      <c r="C1230" t="str">
        <f>IF(NOT(ISBLANK(A1230)),VLOOKUP(A1230,'BBT3'!A:F,3,0),"")</f>
        <v/>
      </c>
      <c r="D1230" s="6" t="str">
        <f>IF(NOT(ISBLANK(A1230)),VLOOKUP(A1230,'BBT3'!A:F,4,1),"")</f>
        <v/>
      </c>
      <c r="E1230" t="str">
        <f>IF(NOT(ISBLANK(A1230)),VLOOKUP(A1230,'BBT3'!A:F,5,0),"")</f>
        <v/>
      </c>
      <c r="F1230" t="str">
        <f>IF(NOT(ISBLANK(A1230)),VLOOKUP(A1230,'BBT3'!A:F,6,0),"")</f>
        <v/>
      </c>
      <c r="G1230" t="str">
        <f>IF(NOT(ISBLANK(A1230)),VLOOKUP(A1230,QW_Close!A:J,5,0),"")</f>
        <v/>
      </c>
      <c r="H1230" s="5" t="str" cm="1">
        <f t="array" ref="H1230">IF(NOT(ISBLANK(A1230)),((_xlfn.XLOOKUP(1,(_bbt3[[#All],[ID]]=A1230)*(_bbt3[[#All],[METRIC_NAME]]="YLD_YTM_ASK"),_bbt3[[#All],[METRIC_VALUE]])*0.5)+(_xlfn.XLOOKUP(1,(_bbt3[[#All],[ID]]=A1230)*(_bbt3[[#All],[METRIC_NAME]]="YLD_YTM_BID"),_bbt3[[#All],[METRIC_VALUE]])*0.5))/100,"")</f>
        <v/>
      </c>
      <c r="I1230">
        <f>IF(ISNA(VLOOKUP(A1230,QW_CloseDL!A:E,5,0)),0,VLOOKUP(A1230,QW_CloseDL!A:E,5,0))</f>
        <v>0</v>
      </c>
      <c r="J1230" s="8" t="str">
        <f t="shared" si="95"/>
        <v/>
      </c>
      <c r="P1230">
        <v>0</v>
      </c>
      <c r="Q1230" t="e">
        <f t="shared" si="96"/>
        <v>#N/A</v>
      </c>
      <c r="R1230" t="e">
        <f t="shared" si="97"/>
        <v>#N/A</v>
      </c>
      <c r="S1230" s="9" t="e">
        <f t="shared" si="98"/>
        <v>#N/A</v>
      </c>
      <c r="T1230" s="3" t="e">
        <f t="shared" si="99"/>
        <v>#N/A</v>
      </c>
    </row>
    <row r="1231" spans="2:20" x14ac:dyDescent="0.35">
      <c r="B1231" t="str">
        <f>IF(NOT(ISBLANK(A1231)),VLOOKUP(A1231,'BBT3'!A:F,2,0),"")</f>
        <v/>
      </c>
      <c r="C1231" t="str">
        <f>IF(NOT(ISBLANK(A1231)),VLOOKUP(A1231,'BBT3'!A:F,3,0),"")</f>
        <v/>
      </c>
      <c r="D1231" s="6" t="str">
        <f>IF(NOT(ISBLANK(A1231)),VLOOKUP(A1231,'BBT3'!A:F,4,1),"")</f>
        <v/>
      </c>
      <c r="E1231" t="str">
        <f>IF(NOT(ISBLANK(A1231)),VLOOKUP(A1231,'BBT3'!A:F,5,0),"")</f>
        <v/>
      </c>
      <c r="F1231" t="str">
        <f>IF(NOT(ISBLANK(A1231)),VLOOKUP(A1231,'BBT3'!A:F,6,0),"")</f>
        <v/>
      </c>
      <c r="G1231" t="str">
        <f>IF(NOT(ISBLANK(A1231)),VLOOKUP(A1231,QW_Close!A:J,5,0),"")</f>
        <v/>
      </c>
      <c r="H1231" s="5" t="str" cm="1">
        <f t="array" ref="H1231">IF(NOT(ISBLANK(A1231)),((_xlfn.XLOOKUP(1,(_bbt3[[#All],[ID]]=A1231)*(_bbt3[[#All],[METRIC_NAME]]="YLD_YTM_ASK"),_bbt3[[#All],[METRIC_VALUE]])*0.5)+(_xlfn.XLOOKUP(1,(_bbt3[[#All],[ID]]=A1231)*(_bbt3[[#All],[METRIC_NAME]]="YLD_YTM_BID"),_bbt3[[#All],[METRIC_VALUE]])*0.5))/100,"")</f>
        <v/>
      </c>
      <c r="I1231">
        <f>IF(ISNA(VLOOKUP(A1231,QW_CloseDL!A:E,5,0)),0,VLOOKUP(A1231,QW_CloseDL!A:E,5,0))</f>
        <v>0</v>
      </c>
      <c r="J1231" s="8" t="str">
        <f t="shared" si="95"/>
        <v/>
      </c>
      <c r="P1231">
        <v>0</v>
      </c>
      <c r="Q1231" t="e">
        <f t="shared" si="96"/>
        <v>#N/A</v>
      </c>
      <c r="R1231" t="e">
        <f t="shared" si="97"/>
        <v>#N/A</v>
      </c>
      <c r="S1231" s="9" t="e">
        <f t="shared" si="98"/>
        <v>#N/A</v>
      </c>
      <c r="T1231" s="3" t="e">
        <f t="shared" si="99"/>
        <v>#N/A</v>
      </c>
    </row>
    <row r="1232" spans="2:20" x14ac:dyDescent="0.35">
      <c r="B1232" t="str">
        <f>IF(NOT(ISBLANK(A1232)),VLOOKUP(A1232,'BBT3'!A:F,2,0),"")</f>
        <v/>
      </c>
      <c r="C1232" t="str">
        <f>IF(NOT(ISBLANK(A1232)),VLOOKUP(A1232,'BBT3'!A:F,3,0),"")</f>
        <v/>
      </c>
      <c r="D1232" s="6" t="str">
        <f>IF(NOT(ISBLANK(A1232)),VLOOKUP(A1232,'BBT3'!A:F,4,1),"")</f>
        <v/>
      </c>
      <c r="E1232" t="str">
        <f>IF(NOT(ISBLANK(A1232)),VLOOKUP(A1232,'BBT3'!A:F,5,0),"")</f>
        <v/>
      </c>
      <c r="F1232" t="str">
        <f>IF(NOT(ISBLANK(A1232)),VLOOKUP(A1232,'BBT3'!A:F,6,0),"")</f>
        <v/>
      </c>
      <c r="G1232" t="str">
        <f>IF(NOT(ISBLANK(A1232)),VLOOKUP(A1232,QW_Close!A:J,5,0),"")</f>
        <v/>
      </c>
      <c r="H1232" s="5" t="str" cm="1">
        <f t="array" ref="H1232">IF(NOT(ISBLANK(A1232)),((_xlfn.XLOOKUP(1,(_bbt3[[#All],[ID]]=A1232)*(_bbt3[[#All],[METRIC_NAME]]="YLD_YTM_ASK"),_bbt3[[#All],[METRIC_VALUE]])*0.5)+(_xlfn.XLOOKUP(1,(_bbt3[[#All],[ID]]=A1232)*(_bbt3[[#All],[METRIC_NAME]]="YLD_YTM_BID"),_bbt3[[#All],[METRIC_VALUE]])*0.5))/100,"")</f>
        <v/>
      </c>
      <c r="I1232">
        <f>IF(ISNA(VLOOKUP(A1232,QW_CloseDL!A:E,5,0)),0,VLOOKUP(A1232,QW_CloseDL!A:E,5,0))</f>
        <v>0</v>
      </c>
      <c r="J1232" s="8" t="str">
        <f t="shared" si="95"/>
        <v/>
      </c>
      <c r="P1232">
        <v>0</v>
      </c>
      <c r="Q1232" t="e">
        <f t="shared" si="96"/>
        <v>#N/A</v>
      </c>
      <c r="R1232" t="e">
        <f t="shared" si="97"/>
        <v>#N/A</v>
      </c>
      <c r="S1232" s="9" t="e">
        <f t="shared" si="98"/>
        <v>#N/A</v>
      </c>
      <c r="T1232" s="3" t="e">
        <f t="shared" si="99"/>
        <v>#N/A</v>
      </c>
    </row>
    <row r="1233" spans="2:20" x14ac:dyDescent="0.35">
      <c r="B1233" t="str">
        <f>IF(NOT(ISBLANK(A1233)),VLOOKUP(A1233,'BBT3'!A:F,2,0),"")</f>
        <v/>
      </c>
      <c r="C1233" t="str">
        <f>IF(NOT(ISBLANK(A1233)),VLOOKUP(A1233,'BBT3'!A:F,3,0),"")</f>
        <v/>
      </c>
      <c r="D1233" s="6" t="str">
        <f>IF(NOT(ISBLANK(A1233)),VLOOKUP(A1233,'BBT3'!A:F,4,1),"")</f>
        <v/>
      </c>
      <c r="E1233" t="str">
        <f>IF(NOT(ISBLANK(A1233)),VLOOKUP(A1233,'BBT3'!A:F,5,0),"")</f>
        <v/>
      </c>
      <c r="F1233" t="str">
        <f>IF(NOT(ISBLANK(A1233)),VLOOKUP(A1233,'BBT3'!A:F,6,0),"")</f>
        <v/>
      </c>
      <c r="G1233" t="str">
        <f>IF(NOT(ISBLANK(A1233)),VLOOKUP(A1233,QW_Close!A:J,5,0),"")</f>
        <v/>
      </c>
      <c r="H1233" s="5" t="str" cm="1">
        <f t="array" ref="H1233">IF(NOT(ISBLANK(A1233)),((_xlfn.XLOOKUP(1,(_bbt3[[#All],[ID]]=A1233)*(_bbt3[[#All],[METRIC_NAME]]="YLD_YTM_ASK"),_bbt3[[#All],[METRIC_VALUE]])*0.5)+(_xlfn.XLOOKUP(1,(_bbt3[[#All],[ID]]=A1233)*(_bbt3[[#All],[METRIC_NAME]]="YLD_YTM_BID"),_bbt3[[#All],[METRIC_VALUE]])*0.5))/100,"")</f>
        <v/>
      </c>
      <c r="I1233">
        <f>IF(ISNA(VLOOKUP(A1233,QW_CloseDL!A:E,5,0)),0,VLOOKUP(A1233,QW_CloseDL!A:E,5,0))</f>
        <v>0</v>
      </c>
      <c r="J1233" s="8" t="str">
        <f t="shared" si="95"/>
        <v/>
      </c>
      <c r="P1233">
        <v>0</v>
      </c>
      <c r="Q1233" t="e">
        <f t="shared" si="96"/>
        <v>#N/A</v>
      </c>
      <c r="R1233" t="e">
        <f t="shared" si="97"/>
        <v>#N/A</v>
      </c>
      <c r="S1233" s="9" t="e">
        <f t="shared" si="98"/>
        <v>#N/A</v>
      </c>
      <c r="T1233" s="3" t="e">
        <f t="shared" si="99"/>
        <v>#N/A</v>
      </c>
    </row>
    <row r="1234" spans="2:20" x14ac:dyDescent="0.35">
      <c r="B1234" t="str">
        <f>IF(NOT(ISBLANK(A1234)),VLOOKUP(A1234,'BBT3'!A:F,2,0),"")</f>
        <v/>
      </c>
      <c r="C1234" t="str">
        <f>IF(NOT(ISBLANK(A1234)),VLOOKUP(A1234,'BBT3'!A:F,3,0),"")</f>
        <v/>
      </c>
      <c r="D1234" s="6" t="str">
        <f>IF(NOT(ISBLANK(A1234)),VLOOKUP(A1234,'BBT3'!A:F,4,1),"")</f>
        <v/>
      </c>
      <c r="E1234" t="str">
        <f>IF(NOT(ISBLANK(A1234)),VLOOKUP(A1234,'BBT3'!A:F,5,0),"")</f>
        <v/>
      </c>
      <c r="F1234" t="str">
        <f>IF(NOT(ISBLANK(A1234)),VLOOKUP(A1234,'BBT3'!A:F,6,0),"")</f>
        <v/>
      </c>
      <c r="G1234" t="str">
        <f>IF(NOT(ISBLANK(A1234)),VLOOKUP(A1234,QW_Close!A:J,5,0),"")</f>
        <v/>
      </c>
      <c r="H1234" s="5" t="str" cm="1">
        <f t="array" ref="H1234">IF(NOT(ISBLANK(A1234)),((_xlfn.XLOOKUP(1,(_bbt3[[#All],[ID]]=A1234)*(_bbt3[[#All],[METRIC_NAME]]="YLD_YTM_ASK"),_bbt3[[#All],[METRIC_VALUE]])*0.5)+(_xlfn.XLOOKUP(1,(_bbt3[[#All],[ID]]=A1234)*(_bbt3[[#All],[METRIC_NAME]]="YLD_YTM_BID"),_bbt3[[#All],[METRIC_VALUE]])*0.5))/100,"")</f>
        <v/>
      </c>
      <c r="I1234">
        <f>IF(ISNA(VLOOKUP(A1234,QW_CloseDL!A:E,5,0)),0,VLOOKUP(A1234,QW_CloseDL!A:E,5,0))</f>
        <v>0</v>
      </c>
      <c r="J1234" s="8" t="str">
        <f t="shared" si="95"/>
        <v/>
      </c>
      <c r="P1234">
        <v>0</v>
      </c>
      <c r="Q1234" t="e">
        <f t="shared" si="96"/>
        <v>#N/A</v>
      </c>
      <c r="R1234" t="e">
        <f t="shared" si="97"/>
        <v>#N/A</v>
      </c>
      <c r="S1234" s="9" t="e">
        <f t="shared" si="98"/>
        <v>#N/A</v>
      </c>
      <c r="T1234" s="3" t="e">
        <f t="shared" si="99"/>
        <v>#N/A</v>
      </c>
    </row>
    <row r="1235" spans="2:20" x14ac:dyDescent="0.35">
      <c r="B1235" t="str">
        <f>IF(NOT(ISBLANK(A1235)),VLOOKUP(A1235,'BBT3'!A:F,2,0),"")</f>
        <v/>
      </c>
      <c r="C1235" t="str">
        <f>IF(NOT(ISBLANK(A1235)),VLOOKUP(A1235,'BBT3'!A:F,3,0),"")</f>
        <v/>
      </c>
      <c r="D1235" s="6" t="str">
        <f>IF(NOT(ISBLANK(A1235)),VLOOKUP(A1235,'BBT3'!A:F,4,1),"")</f>
        <v/>
      </c>
      <c r="E1235" t="str">
        <f>IF(NOT(ISBLANK(A1235)),VLOOKUP(A1235,'BBT3'!A:F,5,0),"")</f>
        <v/>
      </c>
      <c r="F1235" t="str">
        <f>IF(NOT(ISBLANK(A1235)),VLOOKUP(A1235,'BBT3'!A:F,6,0),"")</f>
        <v/>
      </c>
      <c r="G1235" t="str">
        <f>IF(NOT(ISBLANK(A1235)),VLOOKUP(A1235,QW_Close!A:J,5,0),"")</f>
        <v/>
      </c>
      <c r="H1235" s="5" t="str" cm="1">
        <f t="array" ref="H1235">IF(NOT(ISBLANK(A1235)),((_xlfn.XLOOKUP(1,(_bbt3[[#All],[ID]]=A1235)*(_bbt3[[#All],[METRIC_NAME]]="YLD_YTM_ASK"),_bbt3[[#All],[METRIC_VALUE]])*0.5)+(_xlfn.XLOOKUP(1,(_bbt3[[#All],[ID]]=A1235)*(_bbt3[[#All],[METRIC_NAME]]="YLD_YTM_BID"),_bbt3[[#All],[METRIC_VALUE]])*0.5))/100,"")</f>
        <v/>
      </c>
      <c r="I1235">
        <f>IF(ISNA(VLOOKUP(A1235,QW_CloseDL!A:E,5,0)),0,VLOOKUP(A1235,QW_CloseDL!A:E,5,0))</f>
        <v>0</v>
      </c>
      <c r="J1235" s="8" t="str">
        <f t="shared" si="95"/>
        <v/>
      </c>
      <c r="P1235">
        <v>0</v>
      </c>
      <c r="Q1235" t="e">
        <f t="shared" si="96"/>
        <v>#N/A</v>
      </c>
      <c r="R1235" t="e">
        <f t="shared" si="97"/>
        <v>#N/A</v>
      </c>
      <c r="S1235" s="9" t="e">
        <f t="shared" si="98"/>
        <v>#N/A</v>
      </c>
      <c r="T1235" s="3" t="e">
        <f t="shared" si="99"/>
        <v>#N/A</v>
      </c>
    </row>
    <row r="1236" spans="2:20" x14ac:dyDescent="0.35">
      <c r="B1236" t="str">
        <f>IF(NOT(ISBLANK(A1236)),VLOOKUP(A1236,'BBT3'!A:F,2,0),"")</f>
        <v/>
      </c>
      <c r="C1236" t="str">
        <f>IF(NOT(ISBLANK(A1236)),VLOOKUP(A1236,'BBT3'!A:F,3,0),"")</f>
        <v/>
      </c>
      <c r="D1236" s="6" t="str">
        <f>IF(NOT(ISBLANK(A1236)),VLOOKUP(A1236,'BBT3'!A:F,4,1),"")</f>
        <v/>
      </c>
      <c r="E1236" t="str">
        <f>IF(NOT(ISBLANK(A1236)),VLOOKUP(A1236,'BBT3'!A:F,5,0),"")</f>
        <v/>
      </c>
      <c r="F1236" t="str">
        <f>IF(NOT(ISBLANK(A1236)),VLOOKUP(A1236,'BBT3'!A:F,6,0),"")</f>
        <v/>
      </c>
      <c r="G1236" t="str">
        <f>IF(NOT(ISBLANK(A1236)),VLOOKUP(A1236,QW_Close!A:J,5,0),"")</f>
        <v/>
      </c>
      <c r="H1236" s="5" t="str" cm="1">
        <f t="array" ref="H1236">IF(NOT(ISBLANK(A1236)),((_xlfn.XLOOKUP(1,(_bbt3[[#All],[ID]]=A1236)*(_bbt3[[#All],[METRIC_NAME]]="YLD_YTM_ASK"),_bbt3[[#All],[METRIC_VALUE]])*0.5)+(_xlfn.XLOOKUP(1,(_bbt3[[#All],[ID]]=A1236)*(_bbt3[[#All],[METRIC_NAME]]="YLD_YTM_BID"),_bbt3[[#All],[METRIC_VALUE]])*0.5))/100,"")</f>
        <v/>
      </c>
      <c r="I1236">
        <f>IF(ISNA(VLOOKUP(A1236,QW_CloseDL!A:E,5,0)),0,VLOOKUP(A1236,QW_CloseDL!A:E,5,0))</f>
        <v>0</v>
      </c>
      <c r="J1236" s="8" t="str">
        <f t="shared" si="95"/>
        <v/>
      </c>
      <c r="P1236">
        <v>0</v>
      </c>
      <c r="Q1236" t="e">
        <f t="shared" si="96"/>
        <v>#N/A</v>
      </c>
      <c r="R1236" t="e">
        <f t="shared" si="97"/>
        <v>#N/A</v>
      </c>
      <c r="S1236" s="9" t="e">
        <f t="shared" si="98"/>
        <v>#N/A</v>
      </c>
      <c r="T1236" s="3" t="e">
        <f t="shared" si="99"/>
        <v>#N/A</v>
      </c>
    </row>
    <row r="1237" spans="2:20" x14ac:dyDescent="0.35">
      <c r="B1237" t="str">
        <f>IF(NOT(ISBLANK(A1237)),VLOOKUP(A1237,'BBT3'!A:F,2,0),"")</f>
        <v/>
      </c>
      <c r="C1237" t="str">
        <f>IF(NOT(ISBLANK(A1237)),VLOOKUP(A1237,'BBT3'!A:F,3,0),"")</f>
        <v/>
      </c>
      <c r="D1237" s="6" t="str">
        <f>IF(NOT(ISBLANK(A1237)),VLOOKUP(A1237,'BBT3'!A:F,4,1),"")</f>
        <v/>
      </c>
      <c r="E1237" t="str">
        <f>IF(NOT(ISBLANK(A1237)),VLOOKUP(A1237,'BBT3'!A:F,5,0),"")</f>
        <v/>
      </c>
      <c r="F1237" t="str">
        <f>IF(NOT(ISBLANK(A1237)),VLOOKUP(A1237,'BBT3'!A:F,6,0),"")</f>
        <v/>
      </c>
      <c r="G1237" t="str">
        <f>IF(NOT(ISBLANK(A1237)),VLOOKUP(A1237,QW_Close!A:J,5,0),"")</f>
        <v/>
      </c>
      <c r="H1237" s="5" t="str" cm="1">
        <f t="array" ref="H1237">IF(NOT(ISBLANK(A1237)),((_xlfn.XLOOKUP(1,(_bbt3[[#All],[ID]]=A1237)*(_bbt3[[#All],[METRIC_NAME]]="YLD_YTM_ASK"),_bbt3[[#All],[METRIC_VALUE]])*0.5)+(_xlfn.XLOOKUP(1,(_bbt3[[#All],[ID]]=A1237)*(_bbt3[[#All],[METRIC_NAME]]="YLD_YTM_BID"),_bbt3[[#All],[METRIC_VALUE]])*0.5))/100,"")</f>
        <v/>
      </c>
      <c r="I1237">
        <f>IF(ISNA(VLOOKUP(A1237,QW_CloseDL!A:E,5,0)),0,VLOOKUP(A1237,QW_CloseDL!A:E,5,0))</f>
        <v>0</v>
      </c>
      <c r="J1237" s="8" t="str">
        <f t="shared" si="95"/>
        <v/>
      </c>
      <c r="P1237">
        <v>0</v>
      </c>
      <c r="Q1237" t="e">
        <f t="shared" si="96"/>
        <v>#N/A</v>
      </c>
      <c r="R1237" t="e">
        <f t="shared" si="97"/>
        <v>#N/A</v>
      </c>
      <c r="S1237" s="9" t="e">
        <f t="shared" si="98"/>
        <v>#N/A</v>
      </c>
      <c r="T1237" s="3" t="e">
        <f t="shared" si="99"/>
        <v>#N/A</v>
      </c>
    </row>
    <row r="1238" spans="2:20" x14ac:dyDescent="0.35">
      <c r="B1238" t="str">
        <f>IF(NOT(ISBLANK(A1238)),VLOOKUP(A1238,'BBT3'!A:F,2,0),"")</f>
        <v/>
      </c>
      <c r="C1238" t="str">
        <f>IF(NOT(ISBLANK(A1238)),VLOOKUP(A1238,'BBT3'!A:F,3,0),"")</f>
        <v/>
      </c>
      <c r="D1238" s="6" t="str">
        <f>IF(NOT(ISBLANK(A1238)),VLOOKUP(A1238,'BBT3'!A:F,4,1),"")</f>
        <v/>
      </c>
      <c r="E1238" t="str">
        <f>IF(NOT(ISBLANK(A1238)),VLOOKUP(A1238,'BBT3'!A:F,5,0),"")</f>
        <v/>
      </c>
      <c r="F1238" t="str">
        <f>IF(NOT(ISBLANK(A1238)),VLOOKUP(A1238,'BBT3'!A:F,6,0),"")</f>
        <v/>
      </c>
      <c r="G1238" t="str">
        <f>IF(NOT(ISBLANK(A1238)),VLOOKUP(A1238,QW_Close!A:J,5,0),"")</f>
        <v/>
      </c>
      <c r="H1238" s="5" t="str" cm="1">
        <f t="array" ref="H1238">IF(NOT(ISBLANK(A1238)),((_xlfn.XLOOKUP(1,(_bbt3[[#All],[ID]]=A1238)*(_bbt3[[#All],[METRIC_NAME]]="YLD_YTM_ASK"),_bbt3[[#All],[METRIC_VALUE]])*0.5)+(_xlfn.XLOOKUP(1,(_bbt3[[#All],[ID]]=A1238)*(_bbt3[[#All],[METRIC_NAME]]="YLD_YTM_BID"),_bbt3[[#All],[METRIC_VALUE]])*0.5))/100,"")</f>
        <v/>
      </c>
      <c r="I1238">
        <f>IF(ISNA(VLOOKUP(A1238,QW_CloseDL!A:E,5,0)),0,VLOOKUP(A1238,QW_CloseDL!A:E,5,0))</f>
        <v>0</v>
      </c>
      <c r="J1238" s="8" t="str">
        <f t="shared" si="95"/>
        <v/>
      </c>
      <c r="P1238">
        <v>0</v>
      </c>
      <c r="Q1238" t="e">
        <f t="shared" si="96"/>
        <v>#N/A</v>
      </c>
      <c r="R1238" t="e">
        <f t="shared" si="97"/>
        <v>#N/A</v>
      </c>
      <c r="S1238" s="9" t="e">
        <f t="shared" si="98"/>
        <v>#N/A</v>
      </c>
      <c r="T1238" s="3" t="e">
        <f t="shared" si="99"/>
        <v>#N/A</v>
      </c>
    </row>
    <row r="1239" spans="2:20" x14ac:dyDescent="0.35">
      <c r="B1239" t="str">
        <f>IF(NOT(ISBLANK(A1239)),VLOOKUP(A1239,'BBT3'!A:F,2,0),"")</f>
        <v/>
      </c>
      <c r="C1239" t="str">
        <f>IF(NOT(ISBLANK(A1239)),VLOOKUP(A1239,'BBT3'!A:F,3,0),"")</f>
        <v/>
      </c>
      <c r="D1239" s="6" t="str">
        <f>IF(NOT(ISBLANK(A1239)),VLOOKUP(A1239,'BBT3'!A:F,4,1),"")</f>
        <v/>
      </c>
      <c r="E1239" t="str">
        <f>IF(NOT(ISBLANK(A1239)),VLOOKUP(A1239,'BBT3'!A:F,5,0),"")</f>
        <v/>
      </c>
      <c r="F1239" t="str">
        <f>IF(NOT(ISBLANK(A1239)),VLOOKUP(A1239,'BBT3'!A:F,6,0),"")</f>
        <v/>
      </c>
      <c r="G1239" t="str">
        <f>IF(NOT(ISBLANK(A1239)),VLOOKUP(A1239,QW_Close!A:J,5,0),"")</f>
        <v/>
      </c>
      <c r="H1239" s="5" t="str" cm="1">
        <f t="array" ref="H1239">IF(NOT(ISBLANK(A1239)),((_xlfn.XLOOKUP(1,(_bbt3[[#All],[ID]]=A1239)*(_bbt3[[#All],[METRIC_NAME]]="YLD_YTM_ASK"),_bbt3[[#All],[METRIC_VALUE]])*0.5)+(_xlfn.XLOOKUP(1,(_bbt3[[#All],[ID]]=A1239)*(_bbt3[[#All],[METRIC_NAME]]="YLD_YTM_BID"),_bbt3[[#All],[METRIC_VALUE]])*0.5))/100,"")</f>
        <v/>
      </c>
      <c r="I1239">
        <f>IF(ISNA(VLOOKUP(A1239,QW_CloseDL!A:E,5,0)),0,VLOOKUP(A1239,QW_CloseDL!A:E,5,0))</f>
        <v>0</v>
      </c>
      <c r="J1239" s="8" t="str">
        <f t="shared" si="95"/>
        <v/>
      </c>
      <c r="P1239">
        <v>0</v>
      </c>
      <c r="Q1239" t="e">
        <f t="shared" si="96"/>
        <v>#N/A</v>
      </c>
      <c r="R1239" t="e">
        <f t="shared" si="97"/>
        <v>#N/A</v>
      </c>
      <c r="S1239" s="9" t="e">
        <f t="shared" si="98"/>
        <v>#N/A</v>
      </c>
      <c r="T1239" s="3" t="e">
        <f t="shared" si="99"/>
        <v>#N/A</v>
      </c>
    </row>
    <row r="1240" spans="2:20" x14ac:dyDescent="0.35">
      <c r="B1240" t="str">
        <f>IF(NOT(ISBLANK(A1240)),VLOOKUP(A1240,'BBT3'!A:F,2,0),"")</f>
        <v/>
      </c>
      <c r="C1240" t="str">
        <f>IF(NOT(ISBLANK(A1240)),VLOOKUP(A1240,'BBT3'!A:F,3,0),"")</f>
        <v/>
      </c>
      <c r="D1240" s="6" t="str">
        <f>IF(NOT(ISBLANK(A1240)),VLOOKUP(A1240,'BBT3'!A:F,4,1),"")</f>
        <v/>
      </c>
      <c r="E1240" t="str">
        <f>IF(NOT(ISBLANK(A1240)),VLOOKUP(A1240,'BBT3'!A:F,5,0),"")</f>
        <v/>
      </c>
      <c r="F1240" t="str">
        <f>IF(NOT(ISBLANK(A1240)),VLOOKUP(A1240,'BBT3'!A:F,6,0),"")</f>
        <v/>
      </c>
      <c r="G1240" t="str">
        <f>IF(NOT(ISBLANK(A1240)),VLOOKUP(A1240,QW_Close!A:J,5,0),"")</f>
        <v/>
      </c>
      <c r="H1240" s="5" t="str" cm="1">
        <f t="array" ref="H1240">IF(NOT(ISBLANK(A1240)),((_xlfn.XLOOKUP(1,(_bbt3[[#All],[ID]]=A1240)*(_bbt3[[#All],[METRIC_NAME]]="YLD_YTM_ASK"),_bbt3[[#All],[METRIC_VALUE]])*0.5)+(_xlfn.XLOOKUP(1,(_bbt3[[#All],[ID]]=A1240)*(_bbt3[[#All],[METRIC_NAME]]="YLD_YTM_BID"),_bbt3[[#All],[METRIC_VALUE]])*0.5))/100,"")</f>
        <v/>
      </c>
      <c r="I1240">
        <f>IF(ISNA(VLOOKUP(A1240,QW_CloseDL!A:E,5,0)),0,VLOOKUP(A1240,QW_CloseDL!A:E,5,0))</f>
        <v>0</v>
      </c>
      <c r="J1240" s="8" t="str">
        <f t="shared" si="95"/>
        <v/>
      </c>
      <c r="P1240">
        <v>0</v>
      </c>
      <c r="Q1240" t="e">
        <f t="shared" si="96"/>
        <v>#N/A</v>
      </c>
      <c r="R1240" t="e">
        <f t="shared" si="97"/>
        <v>#N/A</v>
      </c>
      <c r="S1240" s="9" t="e">
        <f t="shared" si="98"/>
        <v>#N/A</v>
      </c>
      <c r="T1240" s="3" t="e">
        <f t="shared" si="99"/>
        <v>#N/A</v>
      </c>
    </row>
    <row r="1241" spans="2:20" x14ac:dyDescent="0.35">
      <c r="B1241" t="str">
        <f>IF(NOT(ISBLANK(A1241)),VLOOKUP(A1241,'BBT3'!A:F,2,0),"")</f>
        <v/>
      </c>
      <c r="C1241" t="str">
        <f>IF(NOT(ISBLANK(A1241)),VLOOKUP(A1241,'BBT3'!A:F,3,0),"")</f>
        <v/>
      </c>
      <c r="D1241" s="6" t="str">
        <f>IF(NOT(ISBLANK(A1241)),VLOOKUP(A1241,'BBT3'!A:F,4,1),"")</f>
        <v/>
      </c>
      <c r="E1241" t="str">
        <f>IF(NOT(ISBLANK(A1241)),VLOOKUP(A1241,'BBT3'!A:F,5,0),"")</f>
        <v/>
      </c>
      <c r="F1241" t="str">
        <f>IF(NOT(ISBLANK(A1241)),VLOOKUP(A1241,'BBT3'!A:F,6,0),"")</f>
        <v/>
      </c>
      <c r="G1241" t="str">
        <f>IF(NOT(ISBLANK(A1241)),VLOOKUP(A1241,QW_Close!A:J,5,0),"")</f>
        <v/>
      </c>
      <c r="H1241" s="5" t="str" cm="1">
        <f t="array" ref="H1241">IF(NOT(ISBLANK(A1241)),((_xlfn.XLOOKUP(1,(_bbt3[[#All],[ID]]=A1241)*(_bbt3[[#All],[METRIC_NAME]]="YLD_YTM_ASK"),_bbt3[[#All],[METRIC_VALUE]])*0.5)+(_xlfn.XLOOKUP(1,(_bbt3[[#All],[ID]]=A1241)*(_bbt3[[#All],[METRIC_NAME]]="YLD_YTM_BID"),_bbt3[[#All],[METRIC_VALUE]])*0.5))/100,"")</f>
        <v/>
      </c>
      <c r="I1241">
        <f>IF(ISNA(VLOOKUP(A1241,QW_CloseDL!A:E,5,0)),0,VLOOKUP(A1241,QW_CloseDL!A:E,5,0))</f>
        <v>0</v>
      </c>
      <c r="J1241" s="8" t="str">
        <f t="shared" si="95"/>
        <v/>
      </c>
      <c r="P1241">
        <v>0</v>
      </c>
      <c r="Q1241" t="e">
        <f t="shared" si="96"/>
        <v>#N/A</v>
      </c>
      <c r="R1241" t="e">
        <f t="shared" si="97"/>
        <v>#N/A</v>
      </c>
      <c r="S1241" s="9" t="e">
        <f t="shared" si="98"/>
        <v>#N/A</v>
      </c>
      <c r="T1241" s="3" t="e">
        <f t="shared" si="99"/>
        <v>#N/A</v>
      </c>
    </row>
    <row r="1242" spans="2:20" x14ac:dyDescent="0.35">
      <c r="B1242" t="str">
        <f>IF(NOT(ISBLANK(A1242)),VLOOKUP(A1242,'BBT3'!A:F,2,0),"")</f>
        <v/>
      </c>
      <c r="C1242" t="str">
        <f>IF(NOT(ISBLANK(A1242)),VLOOKUP(A1242,'BBT3'!A:F,3,0),"")</f>
        <v/>
      </c>
      <c r="D1242" s="6" t="str">
        <f>IF(NOT(ISBLANK(A1242)),VLOOKUP(A1242,'BBT3'!A:F,4,1),"")</f>
        <v/>
      </c>
      <c r="E1242" t="str">
        <f>IF(NOT(ISBLANK(A1242)),VLOOKUP(A1242,'BBT3'!A:F,5,0),"")</f>
        <v/>
      </c>
      <c r="F1242" t="str">
        <f>IF(NOT(ISBLANK(A1242)),VLOOKUP(A1242,'BBT3'!A:F,6,0),"")</f>
        <v/>
      </c>
      <c r="G1242" t="str">
        <f>IF(NOT(ISBLANK(A1242)),VLOOKUP(A1242,QW_Close!A:J,5,0),"")</f>
        <v/>
      </c>
      <c r="H1242" s="5" t="str" cm="1">
        <f t="array" ref="H1242">IF(NOT(ISBLANK(A1242)),((_xlfn.XLOOKUP(1,(_bbt3[[#All],[ID]]=A1242)*(_bbt3[[#All],[METRIC_NAME]]="YLD_YTM_ASK"),_bbt3[[#All],[METRIC_VALUE]])*0.5)+(_xlfn.XLOOKUP(1,(_bbt3[[#All],[ID]]=A1242)*(_bbt3[[#All],[METRIC_NAME]]="YLD_YTM_BID"),_bbt3[[#All],[METRIC_VALUE]])*0.5))/100,"")</f>
        <v/>
      </c>
      <c r="I1242">
        <f>IF(ISNA(VLOOKUP(A1242,QW_CloseDL!A:E,5,0)),0,VLOOKUP(A1242,QW_CloseDL!A:E,5,0))</f>
        <v>0</v>
      </c>
      <c r="J1242" s="8" t="str">
        <f t="shared" si="95"/>
        <v/>
      </c>
      <c r="P1242">
        <v>0</v>
      </c>
      <c r="Q1242" t="e">
        <f t="shared" si="96"/>
        <v>#N/A</v>
      </c>
      <c r="R1242" t="e">
        <f t="shared" si="97"/>
        <v>#N/A</v>
      </c>
      <c r="S1242" s="9" t="e">
        <f t="shared" si="98"/>
        <v>#N/A</v>
      </c>
      <c r="T1242" s="3" t="e">
        <f t="shared" si="99"/>
        <v>#N/A</v>
      </c>
    </row>
    <row r="1243" spans="2:20" x14ac:dyDescent="0.35">
      <c r="B1243" t="str">
        <f>IF(NOT(ISBLANK(A1243)),VLOOKUP(A1243,'BBT3'!A:F,2,0),"")</f>
        <v/>
      </c>
      <c r="C1243" t="str">
        <f>IF(NOT(ISBLANK(A1243)),VLOOKUP(A1243,'BBT3'!A:F,3,0),"")</f>
        <v/>
      </c>
      <c r="D1243" s="6" t="str">
        <f>IF(NOT(ISBLANK(A1243)),VLOOKUP(A1243,'BBT3'!A:F,4,1),"")</f>
        <v/>
      </c>
      <c r="E1243" t="str">
        <f>IF(NOT(ISBLANK(A1243)),VLOOKUP(A1243,'BBT3'!A:F,5,0),"")</f>
        <v/>
      </c>
      <c r="F1243" t="str">
        <f>IF(NOT(ISBLANK(A1243)),VLOOKUP(A1243,'BBT3'!A:F,6,0),"")</f>
        <v/>
      </c>
      <c r="G1243" t="str">
        <f>IF(NOT(ISBLANK(A1243)),VLOOKUP(A1243,QW_Close!A:J,5,0),"")</f>
        <v/>
      </c>
      <c r="H1243" s="5" t="str" cm="1">
        <f t="array" ref="H1243">IF(NOT(ISBLANK(A1243)),((_xlfn.XLOOKUP(1,(_bbt3[[#All],[ID]]=A1243)*(_bbt3[[#All],[METRIC_NAME]]="YLD_YTM_ASK"),_bbt3[[#All],[METRIC_VALUE]])*0.5)+(_xlfn.XLOOKUP(1,(_bbt3[[#All],[ID]]=A1243)*(_bbt3[[#All],[METRIC_NAME]]="YLD_YTM_BID"),_bbt3[[#All],[METRIC_VALUE]])*0.5))/100,"")</f>
        <v/>
      </c>
      <c r="I1243">
        <f>IF(ISNA(VLOOKUP(A1243,QW_CloseDL!A:E,5,0)),0,VLOOKUP(A1243,QW_CloseDL!A:E,5,0))</f>
        <v>0</v>
      </c>
      <c r="J1243" s="8" t="str">
        <f t="shared" si="95"/>
        <v/>
      </c>
      <c r="P1243">
        <v>0</v>
      </c>
      <c r="Q1243" t="e">
        <f t="shared" si="96"/>
        <v>#N/A</v>
      </c>
      <c r="R1243" t="e">
        <f t="shared" si="97"/>
        <v>#N/A</v>
      </c>
      <c r="S1243" s="9" t="e">
        <f t="shared" si="98"/>
        <v>#N/A</v>
      </c>
      <c r="T1243" s="3" t="e">
        <f t="shared" si="99"/>
        <v>#N/A</v>
      </c>
    </row>
    <row r="1244" spans="2:20" x14ac:dyDescent="0.35">
      <c r="B1244" t="str">
        <f>IF(NOT(ISBLANK(A1244)),VLOOKUP(A1244,'BBT3'!A:F,2,0),"")</f>
        <v/>
      </c>
      <c r="C1244" t="str">
        <f>IF(NOT(ISBLANK(A1244)),VLOOKUP(A1244,'BBT3'!A:F,3,0),"")</f>
        <v/>
      </c>
      <c r="D1244" s="6" t="str">
        <f>IF(NOT(ISBLANK(A1244)),VLOOKUP(A1244,'BBT3'!A:F,4,1),"")</f>
        <v/>
      </c>
      <c r="E1244" t="str">
        <f>IF(NOT(ISBLANK(A1244)),VLOOKUP(A1244,'BBT3'!A:F,5,0),"")</f>
        <v/>
      </c>
      <c r="F1244" t="str">
        <f>IF(NOT(ISBLANK(A1244)),VLOOKUP(A1244,'BBT3'!A:F,6,0),"")</f>
        <v/>
      </c>
      <c r="G1244" t="str">
        <f>IF(NOT(ISBLANK(A1244)),VLOOKUP(A1244,QW_Close!A:J,5,0),"")</f>
        <v/>
      </c>
      <c r="H1244" s="5" t="str" cm="1">
        <f t="array" ref="H1244">IF(NOT(ISBLANK(A1244)),((_xlfn.XLOOKUP(1,(_bbt3[[#All],[ID]]=A1244)*(_bbt3[[#All],[METRIC_NAME]]="YLD_YTM_ASK"),_bbt3[[#All],[METRIC_VALUE]])*0.5)+(_xlfn.XLOOKUP(1,(_bbt3[[#All],[ID]]=A1244)*(_bbt3[[#All],[METRIC_NAME]]="YLD_YTM_BID"),_bbt3[[#All],[METRIC_VALUE]])*0.5))/100,"")</f>
        <v/>
      </c>
      <c r="I1244">
        <f>IF(ISNA(VLOOKUP(A1244,QW_CloseDL!A:E,5,0)),0,VLOOKUP(A1244,QW_CloseDL!A:E,5,0))</f>
        <v>0</v>
      </c>
      <c r="J1244" s="8" t="str">
        <f t="shared" si="95"/>
        <v/>
      </c>
      <c r="P1244">
        <v>0</v>
      </c>
      <c r="Q1244" t="e">
        <f t="shared" si="96"/>
        <v>#N/A</v>
      </c>
      <c r="R1244" t="e">
        <f t="shared" si="97"/>
        <v>#N/A</v>
      </c>
      <c r="S1244" s="9" t="e">
        <f t="shared" si="98"/>
        <v>#N/A</v>
      </c>
      <c r="T1244" s="3" t="e">
        <f t="shared" si="99"/>
        <v>#N/A</v>
      </c>
    </row>
    <row r="1245" spans="2:20" x14ac:dyDescent="0.35">
      <c r="B1245" t="str">
        <f>IF(NOT(ISBLANK(A1245)),VLOOKUP(A1245,'BBT3'!A:F,2,0),"")</f>
        <v/>
      </c>
      <c r="C1245" t="str">
        <f>IF(NOT(ISBLANK(A1245)),VLOOKUP(A1245,'BBT3'!A:F,3,0),"")</f>
        <v/>
      </c>
      <c r="D1245" s="6" t="str">
        <f>IF(NOT(ISBLANK(A1245)),VLOOKUP(A1245,'BBT3'!A:F,4,1),"")</f>
        <v/>
      </c>
      <c r="E1245" t="str">
        <f>IF(NOT(ISBLANK(A1245)),VLOOKUP(A1245,'BBT3'!A:F,5,0),"")</f>
        <v/>
      </c>
      <c r="F1245" t="str">
        <f>IF(NOT(ISBLANK(A1245)),VLOOKUP(A1245,'BBT3'!A:F,6,0),"")</f>
        <v/>
      </c>
      <c r="G1245" t="str">
        <f>IF(NOT(ISBLANK(A1245)),VLOOKUP(A1245,QW_Close!A:J,5,0),"")</f>
        <v/>
      </c>
      <c r="H1245" s="5" t="str" cm="1">
        <f t="array" ref="H1245">IF(NOT(ISBLANK(A1245)),((_xlfn.XLOOKUP(1,(_bbt3[[#All],[ID]]=A1245)*(_bbt3[[#All],[METRIC_NAME]]="YLD_YTM_ASK"),_bbt3[[#All],[METRIC_VALUE]])*0.5)+(_xlfn.XLOOKUP(1,(_bbt3[[#All],[ID]]=A1245)*(_bbt3[[#All],[METRIC_NAME]]="YLD_YTM_BID"),_bbt3[[#All],[METRIC_VALUE]])*0.5))/100,"")</f>
        <v/>
      </c>
      <c r="I1245">
        <f>IF(ISNA(VLOOKUP(A1245,QW_CloseDL!A:E,5,0)),0,VLOOKUP(A1245,QW_CloseDL!A:E,5,0))</f>
        <v>0</v>
      </c>
      <c r="J1245" s="8" t="str">
        <f t="shared" si="95"/>
        <v/>
      </c>
      <c r="P1245">
        <v>0</v>
      </c>
      <c r="Q1245" t="e">
        <f t="shared" si="96"/>
        <v>#N/A</v>
      </c>
      <c r="R1245" t="e">
        <f t="shared" si="97"/>
        <v>#N/A</v>
      </c>
      <c r="S1245" s="9" t="e">
        <f t="shared" si="98"/>
        <v>#N/A</v>
      </c>
      <c r="T1245" s="3" t="e">
        <f t="shared" si="99"/>
        <v>#N/A</v>
      </c>
    </row>
    <row r="1246" spans="2:20" x14ac:dyDescent="0.35">
      <c r="B1246" t="str">
        <f>IF(NOT(ISBLANK(A1246)),VLOOKUP(A1246,'BBT3'!A:F,2,0),"")</f>
        <v/>
      </c>
      <c r="C1246" t="str">
        <f>IF(NOT(ISBLANK(A1246)),VLOOKUP(A1246,'BBT3'!A:F,3,0),"")</f>
        <v/>
      </c>
      <c r="D1246" s="6" t="str">
        <f>IF(NOT(ISBLANK(A1246)),VLOOKUP(A1246,'BBT3'!A:F,4,1),"")</f>
        <v/>
      </c>
      <c r="E1246" t="str">
        <f>IF(NOT(ISBLANK(A1246)),VLOOKUP(A1246,'BBT3'!A:F,5,0),"")</f>
        <v/>
      </c>
      <c r="F1246" t="str">
        <f>IF(NOT(ISBLANK(A1246)),VLOOKUP(A1246,'BBT3'!A:F,6,0),"")</f>
        <v/>
      </c>
      <c r="G1246" t="str">
        <f>IF(NOT(ISBLANK(A1246)),VLOOKUP(A1246,QW_Close!A:J,5,0),"")</f>
        <v/>
      </c>
      <c r="H1246" s="5" t="str" cm="1">
        <f t="array" ref="H1246">IF(NOT(ISBLANK(A1246)),((_xlfn.XLOOKUP(1,(_bbt3[[#All],[ID]]=A1246)*(_bbt3[[#All],[METRIC_NAME]]="YLD_YTM_ASK"),_bbt3[[#All],[METRIC_VALUE]])*0.5)+(_xlfn.XLOOKUP(1,(_bbt3[[#All],[ID]]=A1246)*(_bbt3[[#All],[METRIC_NAME]]="YLD_YTM_BID"),_bbt3[[#All],[METRIC_VALUE]])*0.5))/100,"")</f>
        <v/>
      </c>
      <c r="I1246">
        <f>IF(ISNA(VLOOKUP(A1246,QW_CloseDL!A:E,5,0)),0,VLOOKUP(A1246,QW_CloseDL!A:E,5,0))</f>
        <v>0</v>
      </c>
      <c r="J1246" s="8" t="str">
        <f t="shared" si="95"/>
        <v/>
      </c>
      <c r="P1246">
        <v>0</v>
      </c>
      <c r="Q1246" t="e">
        <f t="shared" si="96"/>
        <v>#N/A</v>
      </c>
      <c r="R1246" t="e">
        <f t="shared" si="97"/>
        <v>#N/A</v>
      </c>
      <c r="S1246" s="9" t="e">
        <f t="shared" si="98"/>
        <v>#N/A</v>
      </c>
      <c r="T1246" s="3" t="e">
        <f t="shared" si="99"/>
        <v>#N/A</v>
      </c>
    </row>
    <row r="1247" spans="2:20" x14ac:dyDescent="0.35">
      <c r="B1247" t="str">
        <f>IF(NOT(ISBLANK(A1247)),VLOOKUP(A1247,'BBT3'!A:F,2,0),"")</f>
        <v/>
      </c>
      <c r="C1247" t="str">
        <f>IF(NOT(ISBLANK(A1247)),VLOOKUP(A1247,'BBT3'!A:F,3,0),"")</f>
        <v/>
      </c>
      <c r="D1247" s="6" t="str">
        <f>IF(NOT(ISBLANK(A1247)),VLOOKUP(A1247,'BBT3'!A:F,4,1),"")</f>
        <v/>
      </c>
      <c r="E1247" t="str">
        <f>IF(NOT(ISBLANK(A1247)),VLOOKUP(A1247,'BBT3'!A:F,5,0),"")</f>
        <v/>
      </c>
      <c r="F1247" t="str">
        <f>IF(NOT(ISBLANK(A1247)),VLOOKUP(A1247,'BBT3'!A:F,6,0),"")</f>
        <v/>
      </c>
      <c r="G1247" t="str">
        <f>IF(NOT(ISBLANK(A1247)),VLOOKUP(A1247,QW_Close!A:J,5,0),"")</f>
        <v/>
      </c>
      <c r="H1247" s="5" t="str" cm="1">
        <f t="array" ref="H1247">IF(NOT(ISBLANK(A1247)),((_xlfn.XLOOKUP(1,(_bbt3[[#All],[ID]]=A1247)*(_bbt3[[#All],[METRIC_NAME]]="YLD_YTM_ASK"),_bbt3[[#All],[METRIC_VALUE]])*0.5)+(_xlfn.XLOOKUP(1,(_bbt3[[#All],[ID]]=A1247)*(_bbt3[[#All],[METRIC_NAME]]="YLD_YTM_BID"),_bbt3[[#All],[METRIC_VALUE]])*0.5))/100,"")</f>
        <v/>
      </c>
      <c r="I1247">
        <f>IF(ISNA(VLOOKUP(A1247,QW_CloseDL!A:E,5,0)),0,VLOOKUP(A1247,QW_CloseDL!A:E,5,0))</f>
        <v>0</v>
      </c>
      <c r="J1247" s="8" t="str">
        <f t="shared" si="95"/>
        <v/>
      </c>
      <c r="P1247">
        <v>0</v>
      </c>
      <c r="Q1247" t="e">
        <f t="shared" si="96"/>
        <v>#N/A</v>
      </c>
      <c r="R1247" t="e">
        <f t="shared" si="97"/>
        <v>#N/A</v>
      </c>
      <c r="S1247" s="9" t="e">
        <f t="shared" si="98"/>
        <v>#N/A</v>
      </c>
      <c r="T1247" s="3" t="e">
        <f t="shared" si="99"/>
        <v>#N/A</v>
      </c>
    </row>
    <row r="1248" spans="2:20" x14ac:dyDescent="0.35">
      <c r="B1248" t="str">
        <f>IF(NOT(ISBLANK(A1248)),VLOOKUP(A1248,'BBT3'!A:F,2,0),"")</f>
        <v/>
      </c>
      <c r="C1248" t="str">
        <f>IF(NOT(ISBLANK(A1248)),VLOOKUP(A1248,'BBT3'!A:F,3,0),"")</f>
        <v/>
      </c>
      <c r="D1248" s="6" t="str">
        <f>IF(NOT(ISBLANK(A1248)),VLOOKUP(A1248,'BBT3'!A:F,4,1),"")</f>
        <v/>
      </c>
      <c r="E1248" t="str">
        <f>IF(NOT(ISBLANK(A1248)),VLOOKUP(A1248,'BBT3'!A:F,5,0),"")</f>
        <v/>
      </c>
      <c r="F1248" t="str">
        <f>IF(NOT(ISBLANK(A1248)),VLOOKUP(A1248,'BBT3'!A:F,6,0),"")</f>
        <v/>
      </c>
      <c r="G1248" t="str">
        <f>IF(NOT(ISBLANK(A1248)),VLOOKUP(A1248,QW_Close!A:J,5,0),"")</f>
        <v/>
      </c>
      <c r="H1248" s="5" t="str" cm="1">
        <f t="array" ref="H1248">IF(NOT(ISBLANK(A1248)),((_xlfn.XLOOKUP(1,(_bbt3[[#All],[ID]]=A1248)*(_bbt3[[#All],[METRIC_NAME]]="YLD_YTM_ASK"),_bbt3[[#All],[METRIC_VALUE]])*0.5)+(_xlfn.XLOOKUP(1,(_bbt3[[#All],[ID]]=A1248)*(_bbt3[[#All],[METRIC_NAME]]="YLD_YTM_BID"),_bbt3[[#All],[METRIC_VALUE]])*0.5))/100,"")</f>
        <v/>
      </c>
      <c r="I1248">
        <f>IF(ISNA(VLOOKUP(A1248,QW_CloseDL!A:E,5,0)),0,VLOOKUP(A1248,QW_CloseDL!A:E,5,0))</f>
        <v>0</v>
      </c>
      <c r="J1248" s="8" t="str">
        <f t="shared" si="95"/>
        <v/>
      </c>
      <c r="P1248">
        <v>0</v>
      </c>
      <c r="Q1248" t="e">
        <f t="shared" si="96"/>
        <v>#N/A</v>
      </c>
      <c r="R1248" t="e">
        <f t="shared" si="97"/>
        <v>#N/A</v>
      </c>
      <c r="S1248" s="9" t="e">
        <f t="shared" si="98"/>
        <v>#N/A</v>
      </c>
      <c r="T1248" s="3" t="e">
        <f t="shared" si="99"/>
        <v>#N/A</v>
      </c>
    </row>
    <row r="1249" spans="2:20" x14ac:dyDescent="0.35">
      <c r="B1249" t="str">
        <f>IF(NOT(ISBLANK(A1249)),VLOOKUP(A1249,'BBT3'!A:F,2,0),"")</f>
        <v/>
      </c>
      <c r="C1249" t="str">
        <f>IF(NOT(ISBLANK(A1249)),VLOOKUP(A1249,'BBT3'!A:F,3,0),"")</f>
        <v/>
      </c>
      <c r="D1249" s="6" t="str">
        <f>IF(NOT(ISBLANK(A1249)),VLOOKUP(A1249,'BBT3'!A:F,4,1),"")</f>
        <v/>
      </c>
      <c r="E1249" t="str">
        <f>IF(NOT(ISBLANK(A1249)),VLOOKUP(A1249,'BBT3'!A:F,5,0),"")</f>
        <v/>
      </c>
      <c r="F1249" t="str">
        <f>IF(NOT(ISBLANK(A1249)),VLOOKUP(A1249,'BBT3'!A:F,6,0),"")</f>
        <v/>
      </c>
      <c r="G1249" t="str">
        <f>IF(NOT(ISBLANK(A1249)),VLOOKUP(A1249,QW_Close!A:J,5,0),"")</f>
        <v/>
      </c>
      <c r="H1249" s="5" t="str" cm="1">
        <f t="array" ref="H1249">IF(NOT(ISBLANK(A1249)),((_xlfn.XLOOKUP(1,(_bbt3[[#All],[ID]]=A1249)*(_bbt3[[#All],[METRIC_NAME]]="YLD_YTM_ASK"),_bbt3[[#All],[METRIC_VALUE]])*0.5)+(_xlfn.XLOOKUP(1,(_bbt3[[#All],[ID]]=A1249)*(_bbt3[[#All],[METRIC_NAME]]="YLD_YTM_BID"),_bbt3[[#All],[METRIC_VALUE]])*0.5))/100,"")</f>
        <v/>
      </c>
      <c r="I1249">
        <f>IF(ISNA(VLOOKUP(A1249,QW_CloseDL!A:E,5,0)),0,VLOOKUP(A1249,QW_CloseDL!A:E,5,0))</f>
        <v>0</v>
      </c>
      <c r="J1249" s="8" t="str">
        <f t="shared" si="95"/>
        <v/>
      </c>
      <c r="P1249">
        <v>0</v>
      </c>
      <c r="Q1249" t="e">
        <f t="shared" si="96"/>
        <v>#N/A</v>
      </c>
      <c r="R1249" t="e">
        <f t="shared" si="97"/>
        <v>#N/A</v>
      </c>
      <c r="S1249" s="9" t="e">
        <f t="shared" si="98"/>
        <v>#N/A</v>
      </c>
      <c r="T1249" s="3" t="e">
        <f t="shared" si="99"/>
        <v>#N/A</v>
      </c>
    </row>
    <row r="1250" spans="2:20" x14ac:dyDescent="0.35">
      <c r="B1250" t="str">
        <f>IF(NOT(ISBLANK(A1250)),VLOOKUP(A1250,'BBT3'!A:F,2,0),"")</f>
        <v/>
      </c>
      <c r="C1250" t="str">
        <f>IF(NOT(ISBLANK(A1250)),VLOOKUP(A1250,'BBT3'!A:F,3,0),"")</f>
        <v/>
      </c>
      <c r="D1250" s="6" t="str">
        <f>IF(NOT(ISBLANK(A1250)),VLOOKUP(A1250,'BBT3'!A:F,4,1),"")</f>
        <v/>
      </c>
      <c r="E1250" t="str">
        <f>IF(NOT(ISBLANK(A1250)),VLOOKUP(A1250,'BBT3'!A:F,5,0),"")</f>
        <v/>
      </c>
      <c r="F1250" t="str">
        <f>IF(NOT(ISBLANK(A1250)),VLOOKUP(A1250,'BBT3'!A:F,6,0),"")</f>
        <v/>
      </c>
      <c r="G1250" t="str">
        <f>IF(NOT(ISBLANK(A1250)),VLOOKUP(A1250,QW_Close!A:J,5,0),"")</f>
        <v/>
      </c>
      <c r="H1250" s="5" t="str" cm="1">
        <f t="array" ref="H1250">IF(NOT(ISBLANK(A1250)),((_xlfn.XLOOKUP(1,(_bbt3[[#All],[ID]]=A1250)*(_bbt3[[#All],[METRIC_NAME]]="YLD_YTM_ASK"),_bbt3[[#All],[METRIC_VALUE]])*0.5)+(_xlfn.XLOOKUP(1,(_bbt3[[#All],[ID]]=A1250)*(_bbt3[[#All],[METRIC_NAME]]="YLD_YTM_BID"),_bbt3[[#All],[METRIC_VALUE]])*0.5))/100,"")</f>
        <v/>
      </c>
      <c r="I1250">
        <f>IF(ISNA(VLOOKUP(A1250,QW_CloseDL!A:E,5,0)),0,VLOOKUP(A1250,QW_CloseDL!A:E,5,0))</f>
        <v>0</v>
      </c>
      <c r="J1250" s="8" t="str">
        <f t="shared" si="95"/>
        <v/>
      </c>
      <c r="P1250">
        <v>0</v>
      </c>
      <c r="Q1250" t="e">
        <f t="shared" si="96"/>
        <v>#N/A</v>
      </c>
      <c r="R1250" t="e">
        <f t="shared" si="97"/>
        <v>#N/A</v>
      </c>
      <c r="S1250" s="9" t="e">
        <f t="shared" si="98"/>
        <v>#N/A</v>
      </c>
      <c r="T1250" s="3" t="e">
        <f t="shared" si="99"/>
        <v>#N/A</v>
      </c>
    </row>
    <row r="1251" spans="2:20" x14ac:dyDescent="0.35">
      <c r="B1251" t="str">
        <f>IF(NOT(ISBLANK(A1251)),VLOOKUP(A1251,'BBT3'!A:F,2,0),"")</f>
        <v/>
      </c>
      <c r="C1251" t="str">
        <f>IF(NOT(ISBLANK(A1251)),VLOOKUP(A1251,'BBT3'!A:F,3,0),"")</f>
        <v/>
      </c>
      <c r="D1251" s="6" t="str">
        <f>IF(NOT(ISBLANK(A1251)),VLOOKUP(A1251,'BBT3'!A:F,4,1),"")</f>
        <v/>
      </c>
      <c r="E1251" t="str">
        <f>IF(NOT(ISBLANK(A1251)),VLOOKUP(A1251,'BBT3'!A:F,5,0),"")</f>
        <v/>
      </c>
      <c r="F1251" t="str">
        <f>IF(NOT(ISBLANK(A1251)),VLOOKUP(A1251,'BBT3'!A:F,6,0),"")</f>
        <v/>
      </c>
      <c r="G1251" t="str">
        <f>IF(NOT(ISBLANK(A1251)),VLOOKUP(A1251,QW_Close!A:J,5,0),"")</f>
        <v/>
      </c>
      <c r="H1251" s="5" t="str" cm="1">
        <f t="array" ref="H1251">IF(NOT(ISBLANK(A1251)),((_xlfn.XLOOKUP(1,(_bbt3[[#All],[ID]]=A1251)*(_bbt3[[#All],[METRIC_NAME]]="YLD_YTM_ASK"),_bbt3[[#All],[METRIC_VALUE]])*0.5)+(_xlfn.XLOOKUP(1,(_bbt3[[#All],[ID]]=A1251)*(_bbt3[[#All],[METRIC_NAME]]="YLD_YTM_BID"),_bbt3[[#All],[METRIC_VALUE]])*0.5))/100,"")</f>
        <v/>
      </c>
      <c r="I1251">
        <f>IF(ISNA(VLOOKUP(A1251,QW_CloseDL!A:E,5,0)),0,VLOOKUP(A1251,QW_CloseDL!A:E,5,0))</f>
        <v>0</v>
      </c>
      <c r="J1251" s="8" t="str">
        <f t="shared" si="95"/>
        <v/>
      </c>
      <c r="P1251">
        <v>0</v>
      </c>
      <c r="Q1251" t="e">
        <f t="shared" si="96"/>
        <v>#N/A</v>
      </c>
      <c r="R1251" t="e">
        <f t="shared" si="97"/>
        <v>#N/A</v>
      </c>
      <c r="S1251" s="9" t="e">
        <f t="shared" si="98"/>
        <v>#N/A</v>
      </c>
      <c r="T1251" s="3" t="e">
        <f t="shared" si="99"/>
        <v>#N/A</v>
      </c>
    </row>
    <row r="1252" spans="2:20" x14ac:dyDescent="0.35">
      <c r="B1252" t="str">
        <f>IF(NOT(ISBLANK(A1252)),VLOOKUP(A1252,'BBT3'!A:F,2,0),"")</f>
        <v/>
      </c>
      <c r="C1252" t="str">
        <f>IF(NOT(ISBLANK(A1252)),VLOOKUP(A1252,'BBT3'!A:F,3,0),"")</f>
        <v/>
      </c>
      <c r="D1252" s="6" t="str">
        <f>IF(NOT(ISBLANK(A1252)),VLOOKUP(A1252,'BBT3'!A:F,4,1),"")</f>
        <v/>
      </c>
      <c r="E1252" t="str">
        <f>IF(NOT(ISBLANK(A1252)),VLOOKUP(A1252,'BBT3'!A:F,5,0),"")</f>
        <v/>
      </c>
      <c r="F1252" t="str">
        <f>IF(NOT(ISBLANK(A1252)),VLOOKUP(A1252,'BBT3'!A:F,6,0),"")</f>
        <v/>
      </c>
      <c r="G1252" t="str">
        <f>IF(NOT(ISBLANK(A1252)),VLOOKUP(A1252,QW_Close!A:J,5,0),"")</f>
        <v/>
      </c>
      <c r="H1252" s="5" t="str" cm="1">
        <f t="array" ref="H1252">IF(NOT(ISBLANK(A1252)),((_xlfn.XLOOKUP(1,(_bbt3[[#All],[ID]]=A1252)*(_bbt3[[#All],[METRIC_NAME]]="YLD_YTM_ASK"),_bbt3[[#All],[METRIC_VALUE]])*0.5)+(_xlfn.XLOOKUP(1,(_bbt3[[#All],[ID]]=A1252)*(_bbt3[[#All],[METRIC_NAME]]="YLD_YTM_BID"),_bbt3[[#All],[METRIC_VALUE]])*0.5))/100,"")</f>
        <v/>
      </c>
      <c r="I1252">
        <f>IF(ISNA(VLOOKUP(A1252,QW_CloseDL!A:E,5,0)),0,VLOOKUP(A1252,QW_CloseDL!A:E,5,0))</f>
        <v>0</v>
      </c>
      <c r="J1252" s="8" t="str">
        <f t="shared" si="95"/>
        <v/>
      </c>
      <c r="P1252">
        <v>0</v>
      </c>
      <c r="Q1252" t="e">
        <f t="shared" si="96"/>
        <v>#N/A</v>
      </c>
      <c r="R1252" t="e">
        <f t="shared" si="97"/>
        <v>#N/A</v>
      </c>
      <c r="S1252" s="9" t="e">
        <f t="shared" si="98"/>
        <v>#N/A</v>
      </c>
      <c r="T1252" s="3" t="e">
        <f t="shared" si="99"/>
        <v>#N/A</v>
      </c>
    </row>
    <row r="1253" spans="2:20" x14ac:dyDescent="0.35">
      <c r="B1253" t="str">
        <f>IF(NOT(ISBLANK(A1253)),VLOOKUP(A1253,'BBT3'!A:F,2,0),"")</f>
        <v/>
      </c>
      <c r="C1253" t="str">
        <f>IF(NOT(ISBLANK(A1253)),VLOOKUP(A1253,'BBT3'!A:F,3,0),"")</f>
        <v/>
      </c>
      <c r="D1253" s="6" t="str">
        <f>IF(NOT(ISBLANK(A1253)),VLOOKUP(A1253,'BBT3'!A:F,4,1),"")</f>
        <v/>
      </c>
      <c r="E1253" t="str">
        <f>IF(NOT(ISBLANK(A1253)),VLOOKUP(A1253,'BBT3'!A:F,5,0),"")</f>
        <v/>
      </c>
      <c r="F1253" t="str">
        <f>IF(NOT(ISBLANK(A1253)),VLOOKUP(A1253,'BBT3'!A:F,6,0),"")</f>
        <v/>
      </c>
      <c r="G1253" t="str">
        <f>IF(NOT(ISBLANK(A1253)),VLOOKUP(A1253,QW_Close!A:J,5,0),"")</f>
        <v/>
      </c>
      <c r="H1253" s="5" t="str" cm="1">
        <f t="array" ref="H1253">IF(NOT(ISBLANK(A1253)),((_xlfn.XLOOKUP(1,(_bbt3[[#All],[ID]]=A1253)*(_bbt3[[#All],[METRIC_NAME]]="YLD_YTM_ASK"),_bbt3[[#All],[METRIC_VALUE]])*0.5)+(_xlfn.XLOOKUP(1,(_bbt3[[#All],[ID]]=A1253)*(_bbt3[[#All],[METRIC_NAME]]="YLD_YTM_BID"),_bbt3[[#All],[METRIC_VALUE]])*0.5))/100,"")</f>
        <v/>
      </c>
      <c r="I1253">
        <f>IF(ISNA(VLOOKUP(A1253,QW_CloseDL!A:E,5,0)),0,VLOOKUP(A1253,QW_CloseDL!A:E,5,0))</f>
        <v>0</v>
      </c>
      <c r="J1253" s="8" t="str">
        <f t="shared" si="95"/>
        <v/>
      </c>
      <c r="P1253">
        <v>0</v>
      </c>
      <c r="Q1253" t="e">
        <f t="shared" si="96"/>
        <v>#N/A</v>
      </c>
      <c r="R1253" t="e">
        <f t="shared" si="97"/>
        <v>#N/A</v>
      </c>
      <c r="S1253" s="9" t="e">
        <f t="shared" si="98"/>
        <v>#N/A</v>
      </c>
      <c r="T1253" s="3" t="e">
        <f t="shared" si="99"/>
        <v>#N/A</v>
      </c>
    </row>
    <row r="1254" spans="2:20" x14ac:dyDescent="0.35">
      <c r="B1254" t="str">
        <f>IF(NOT(ISBLANK(A1254)),VLOOKUP(A1254,'BBT3'!A:F,2,0),"")</f>
        <v/>
      </c>
      <c r="C1254" t="str">
        <f>IF(NOT(ISBLANK(A1254)),VLOOKUP(A1254,'BBT3'!A:F,3,0),"")</f>
        <v/>
      </c>
      <c r="D1254" s="6" t="str">
        <f>IF(NOT(ISBLANK(A1254)),VLOOKUP(A1254,'BBT3'!A:F,4,1),"")</f>
        <v/>
      </c>
      <c r="E1254" t="str">
        <f>IF(NOT(ISBLANK(A1254)),VLOOKUP(A1254,'BBT3'!A:F,5,0),"")</f>
        <v/>
      </c>
      <c r="F1254" t="str">
        <f>IF(NOT(ISBLANK(A1254)),VLOOKUP(A1254,'BBT3'!A:F,6,0),"")</f>
        <v/>
      </c>
      <c r="G1254" t="str">
        <f>IF(NOT(ISBLANK(A1254)),VLOOKUP(A1254,QW_Close!A:J,5,0),"")</f>
        <v/>
      </c>
      <c r="H1254" s="5" t="str" cm="1">
        <f t="array" ref="H1254">IF(NOT(ISBLANK(A1254)),((_xlfn.XLOOKUP(1,(_bbt3[[#All],[ID]]=A1254)*(_bbt3[[#All],[METRIC_NAME]]="YLD_YTM_ASK"),_bbt3[[#All],[METRIC_VALUE]])*0.5)+(_xlfn.XLOOKUP(1,(_bbt3[[#All],[ID]]=A1254)*(_bbt3[[#All],[METRIC_NAME]]="YLD_YTM_BID"),_bbt3[[#All],[METRIC_VALUE]])*0.5))/100,"")</f>
        <v/>
      </c>
      <c r="I1254">
        <f>IF(ISNA(VLOOKUP(A1254,QW_CloseDL!A:E,5,0)),0,VLOOKUP(A1254,QW_CloseDL!A:E,5,0))</f>
        <v>0</v>
      </c>
      <c r="J1254" s="8" t="str">
        <f t="shared" si="95"/>
        <v/>
      </c>
      <c r="P1254">
        <v>0</v>
      </c>
      <c r="Q1254" t="e">
        <f t="shared" si="96"/>
        <v>#N/A</v>
      </c>
      <c r="R1254" t="e">
        <f t="shared" si="97"/>
        <v>#N/A</v>
      </c>
      <c r="S1254" s="9" t="e">
        <f t="shared" si="98"/>
        <v>#N/A</v>
      </c>
      <c r="T1254" s="3" t="e">
        <f t="shared" si="99"/>
        <v>#N/A</v>
      </c>
    </row>
    <row r="1255" spans="2:20" x14ac:dyDescent="0.35">
      <c r="B1255" t="str">
        <f>IF(NOT(ISBLANK(A1255)),VLOOKUP(A1255,'BBT3'!A:F,2,0),"")</f>
        <v/>
      </c>
      <c r="C1255" t="str">
        <f>IF(NOT(ISBLANK(A1255)),VLOOKUP(A1255,'BBT3'!A:F,3,0),"")</f>
        <v/>
      </c>
      <c r="D1255" s="6" t="str">
        <f>IF(NOT(ISBLANK(A1255)),VLOOKUP(A1255,'BBT3'!A:F,4,1),"")</f>
        <v/>
      </c>
      <c r="E1255" t="str">
        <f>IF(NOT(ISBLANK(A1255)),VLOOKUP(A1255,'BBT3'!A:F,5,0),"")</f>
        <v/>
      </c>
      <c r="F1255" t="str">
        <f>IF(NOT(ISBLANK(A1255)),VLOOKUP(A1255,'BBT3'!A:F,6,0),"")</f>
        <v/>
      </c>
      <c r="G1255" t="str">
        <f>IF(NOT(ISBLANK(A1255)),VLOOKUP(A1255,QW_Close!A:J,5,0),"")</f>
        <v/>
      </c>
      <c r="H1255" s="5" t="str" cm="1">
        <f t="array" ref="H1255">IF(NOT(ISBLANK(A1255)),((_xlfn.XLOOKUP(1,(_bbt3[[#All],[ID]]=A1255)*(_bbt3[[#All],[METRIC_NAME]]="YLD_YTM_ASK"),_bbt3[[#All],[METRIC_VALUE]])*0.5)+(_xlfn.XLOOKUP(1,(_bbt3[[#All],[ID]]=A1255)*(_bbt3[[#All],[METRIC_NAME]]="YLD_YTM_BID"),_bbt3[[#All],[METRIC_VALUE]])*0.5))/100,"")</f>
        <v/>
      </c>
      <c r="I1255">
        <f>IF(ISNA(VLOOKUP(A1255,QW_CloseDL!A:E,5,0)),0,VLOOKUP(A1255,QW_CloseDL!A:E,5,0))</f>
        <v>0</v>
      </c>
      <c r="J1255" s="8" t="str">
        <f t="shared" si="95"/>
        <v/>
      </c>
      <c r="P1255">
        <v>0</v>
      </c>
      <c r="Q1255" t="e">
        <f t="shared" si="96"/>
        <v>#N/A</v>
      </c>
      <c r="R1255" t="e">
        <f t="shared" si="97"/>
        <v>#N/A</v>
      </c>
      <c r="S1255" s="9" t="e">
        <f t="shared" si="98"/>
        <v>#N/A</v>
      </c>
      <c r="T1255" s="3" t="e">
        <f t="shared" si="99"/>
        <v>#N/A</v>
      </c>
    </row>
    <row r="1256" spans="2:20" x14ac:dyDescent="0.35">
      <c r="B1256" t="str">
        <f>IF(NOT(ISBLANK(A1256)),VLOOKUP(A1256,'BBT3'!A:F,2,0),"")</f>
        <v/>
      </c>
      <c r="C1256" t="str">
        <f>IF(NOT(ISBLANK(A1256)),VLOOKUP(A1256,'BBT3'!A:F,3,0),"")</f>
        <v/>
      </c>
      <c r="D1256" s="6" t="str">
        <f>IF(NOT(ISBLANK(A1256)),VLOOKUP(A1256,'BBT3'!A:F,4,1),"")</f>
        <v/>
      </c>
      <c r="E1256" t="str">
        <f>IF(NOT(ISBLANK(A1256)),VLOOKUP(A1256,'BBT3'!A:F,5,0),"")</f>
        <v/>
      </c>
      <c r="F1256" t="str">
        <f>IF(NOT(ISBLANK(A1256)),VLOOKUP(A1256,'BBT3'!A:F,6,0),"")</f>
        <v/>
      </c>
      <c r="G1256" t="str">
        <f>IF(NOT(ISBLANK(A1256)),VLOOKUP(A1256,QW_Close!A:J,5,0),"")</f>
        <v/>
      </c>
      <c r="H1256" s="5" t="str" cm="1">
        <f t="array" ref="H1256">IF(NOT(ISBLANK(A1256)),((_xlfn.XLOOKUP(1,(_bbt3[[#All],[ID]]=A1256)*(_bbt3[[#All],[METRIC_NAME]]="YLD_YTM_ASK"),_bbt3[[#All],[METRIC_VALUE]])*0.5)+(_xlfn.XLOOKUP(1,(_bbt3[[#All],[ID]]=A1256)*(_bbt3[[#All],[METRIC_NAME]]="YLD_YTM_BID"),_bbt3[[#All],[METRIC_VALUE]])*0.5))/100,"")</f>
        <v/>
      </c>
      <c r="I1256">
        <f>IF(ISNA(VLOOKUP(A1256,QW_CloseDL!A:E,5,0)),0,VLOOKUP(A1256,QW_CloseDL!A:E,5,0))</f>
        <v>0</v>
      </c>
      <c r="J1256" s="8" t="str">
        <f t="shared" si="95"/>
        <v/>
      </c>
      <c r="P1256">
        <v>0</v>
      </c>
      <c r="Q1256" t="e">
        <f t="shared" si="96"/>
        <v>#N/A</v>
      </c>
      <c r="R1256" t="e">
        <f t="shared" si="97"/>
        <v>#N/A</v>
      </c>
      <c r="S1256" s="9" t="e">
        <f t="shared" si="98"/>
        <v>#N/A</v>
      </c>
      <c r="T1256" s="3" t="e">
        <f t="shared" si="99"/>
        <v>#N/A</v>
      </c>
    </row>
    <row r="1257" spans="2:20" x14ac:dyDescent="0.35">
      <c r="B1257" t="str">
        <f>IF(NOT(ISBLANK(A1257)),VLOOKUP(A1257,'BBT3'!A:F,2,0),"")</f>
        <v/>
      </c>
      <c r="C1257" t="str">
        <f>IF(NOT(ISBLANK(A1257)),VLOOKUP(A1257,'BBT3'!A:F,3,0),"")</f>
        <v/>
      </c>
      <c r="D1257" s="6" t="str">
        <f>IF(NOT(ISBLANK(A1257)),VLOOKUP(A1257,'BBT3'!A:F,4,1),"")</f>
        <v/>
      </c>
      <c r="E1257" t="str">
        <f>IF(NOT(ISBLANK(A1257)),VLOOKUP(A1257,'BBT3'!A:F,5,0),"")</f>
        <v/>
      </c>
      <c r="F1257" t="str">
        <f>IF(NOT(ISBLANK(A1257)),VLOOKUP(A1257,'BBT3'!A:F,6,0),"")</f>
        <v/>
      </c>
      <c r="G1257" t="str">
        <f>IF(NOT(ISBLANK(A1257)),VLOOKUP(A1257,QW_Close!A:J,5,0),"")</f>
        <v/>
      </c>
      <c r="H1257" s="5" t="str" cm="1">
        <f t="array" ref="H1257">IF(NOT(ISBLANK(A1257)),((_xlfn.XLOOKUP(1,(_bbt3[[#All],[ID]]=A1257)*(_bbt3[[#All],[METRIC_NAME]]="YLD_YTM_ASK"),_bbt3[[#All],[METRIC_VALUE]])*0.5)+(_xlfn.XLOOKUP(1,(_bbt3[[#All],[ID]]=A1257)*(_bbt3[[#All],[METRIC_NAME]]="YLD_YTM_BID"),_bbt3[[#All],[METRIC_VALUE]])*0.5))/100,"")</f>
        <v/>
      </c>
      <c r="I1257">
        <f>IF(ISNA(VLOOKUP(A1257,QW_CloseDL!A:E,5,0)),0,VLOOKUP(A1257,QW_CloseDL!A:E,5,0))</f>
        <v>0</v>
      </c>
      <c r="J1257" s="8" t="str">
        <f t="shared" si="95"/>
        <v/>
      </c>
      <c r="P1257">
        <v>0</v>
      </c>
      <c r="Q1257" t="e">
        <f t="shared" si="96"/>
        <v>#N/A</v>
      </c>
      <c r="R1257" t="e">
        <f t="shared" si="97"/>
        <v>#N/A</v>
      </c>
      <c r="S1257" s="9" t="e">
        <f t="shared" si="98"/>
        <v>#N/A</v>
      </c>
      <c r="T1257" s="3" t="e">
        <f t="shared" si="99"/>
        <v>#N/A</v>
      </c>
    </row>
    <row r="1258" spans="2:20" x14ac:dyDescent="0.35">
      <c r="B1258" t="str">
        <f>IF(NOT(ISBLANK(A1258)),VLOOKUP(A1258,'BBT3'!A:F,2,0),"")</f>
        <v/>
      </c>
      <c r="C1258" t="str">
        <f>IF(NOT(ISBLANK(A1258)),VLOOKUP(A1258,'BBT3'!A:F,3,0),"")</f>
        <v/>
      </c>
      <c r="D1258" s="6" t="str">
        <f>IF(NOT(ISBLANK(A1258)),VLOOKUP(A1258,'BBT3'!A:F,4,1),"")</f>
        <v/>
      </c>
      <c r="E1258" t="str">
        <f>IF(NOT(ISBLANK(A1258)),VLOOKUP(A1258,'BBT3'!A:F,5,0),"")</f>
        <v/>
      </c>
      <c r="F1258" t="str">
        <f>IF(NOT(ISBLANK(A1258)),VLOOKUP(A1258,'BBT3'!A:F,6,0),"")</f>
        <v/>
      </c>
      <c r="G1258" t="str">
        <f>IF(NOT(ISBLANK(A1258)),VLOOKUP(A1258,QW_Close!A:J,5,0),"")</f>
        <v/>
      </c>
      <c r="H1258" s="5" t="str" cm="1">
        <f t="array" ref="H1258">IF(NOT(ISBLANK(A1258)),((_xlfn.XLOOKUP(1,(_bbt3[[#All],[ID]]=A1258)*(_bbt3[[#All],[METRIC_NAME]]="YLD_YTM_ASK"),_bbt3[[#All],[METRIC_VALUE]])*0.5)+(_xlfn.XLOOKUP(1,(_bbt3[[#All],[ID]]=A1258)*(_bbt3[[#All],[METRIC_NAME]]="YLD_YTM_BID"),_bbt3[[#All],[METRIC_VALUE]])*0.5))/100,"")</f>
        <v/>
      </c>
      <c r="I1258">
        <f>IF(ISNA(VLOOKUP(A1258,QW_CloseDL!A:E,5,0)),0,VLOOKUP(A1258,QW_CloseDL!A:E,5,0))</f>
        <v>0</v>
      </c>
      <c r="J1258" s="8" t="str">
        <f t="shared" si="95"/>
        <v/>
      </c>
      <c r="P1258">
        <v>0</v>
      </c>
      <c r="Q1258" t="e">
        <f t="shared" si="96"/>
        <v>#N/A</v>
      </c>
      <c r="R1258" t="e">
        <f t="shared" si="97"/>
        <v>#N/A</v>
      </c>
      <c r="S1258" s="9" t="e">
        <f t="shared" si="98"/>
        <v>#N/A</v>
      </c>
      <c r="T1258" s="3" t="e">
        <f t="shared" si="99"/>
        <v>#N/A</v>
      </c>
    </row>
    <row r="1259" spans="2:20" x14ac:dyDescent="0.35">
      <c r="B1259" t="str">
        <f>IF(NOT(ISBLANK(A1259)),VLOOKUP(A1259,'BBT3'!A:F,2,0),"")</f>
        <v/>
      </c>
      <c r="C1259" t="str">
        <f>IF(NOT(ISBLANK(A1259)),VLOOKUP(A1259,'BBT3'!A:F,3,0),"")</f>
        <v/>
      </c>
      <c r="D1259" s="6" t="str">
        <f>IF(NOT(ISBLANK(A1259)),VLOOKUP(A1259,'BBT3'!A:F,4,1),"")</f>
        <v/>
      </c>
      <c r="E1259" t="str">
        <f>IF(NOT(ISBLANK(A1259)),VLOOKUP(A1259,'BBT3'!A:F,5,0),"")</f>
        <v/>
      </c>
      <c r="F1259" t="str">
        <f>IF(NOT(ISBLANK(A1259)),VLOOKUP(A1259,'BBT3'!A:F,6,0),"")</f>
        <v/>
      </c>
      <c r="G1259" t="str">
        <f>IF(NOT(ISBLANK(A1259)),VLOOKUP(A1259,QW_Close!A:J,5,0),"")</f>
        <v/>
      </c>
      <c r="H1259" s="5" t="str" cm="1">
        <f t="array" ref="H1259">IF(NOT(ISBLANK(A1259)),((_xlfn.XLOOKUP(1,(_bbt3[[#All],[ID]]=A1259)*(_bbt3[[#All],[METRIC_NAME]]="YLD_YTM_ASK"),_bbt3[[#All],[METRIC_VALUE]])*0.5)+(_xlfn.XLOOKUP(1,(_bbt3[[#All],[ID]]=A1259)*(_bbt3[[#All],[METRIC_NAME]]="YLD_YTM_BID"),_bbt3[[#All],[METRIC_VALUE]])*0.5))/100,"")</f>
        <v/>
      </c>
      <c r="I1259">
        <f>IF(ISNA(VLOOKUP(A1259,QW_CloseDL!A:E,5,0)),0,VLOOKUP(A1259,QW_CloseDL!A:E,5,0))</f>
        <v>0</v>
      </c>
      <c r="J1259" s="8" t="str">
        <f t="shared" si="95"/>
        <v/>
      </c>
      <c r="P1259">
        <v>0</v>
      </c>
      <c r="Q1259" t="e">
        <f t="shared" si="96"/>
        <v>#N/A</v>
      </c>
      <c r="R1259" t="e">
        <f t="shared" si="97"/>
        <v>#N/A</v>
      </c>
      <c r="S1259" s="9" t="e">
        <f t="shared" si="98"/>
        <v>#N/A</v>
      </c>
      <c r="T1259" s="3" t="e">
        <f t="shared" si="99"/>
        <v>#N/A</v>
      </c>
    </row>
    <row r="1260" spans="2:20" x14ac:dyDescent="0.35">
      <c r="B1260" t="str">
        <f>IF(NOT(ISBLANK(A1260)),VLOOKUP(A1260,'BBT3'!A:F,2,0),"")</f>
        <v/>
      </c>
      <c r="C1260" t="str">
        <f>IF(NOT(ISBLANK(A1260)),VLOOKUP(A1260,'BBT3'!A:F,3,0),"")</f>
        <v/>
      </c>
      <c r="D1260" s="6" t="str">
        <f>IF(NOT(ISBLANK(A1260)),VLOOKUP(A1260,'BBT3'!A:F,4,1),"")</f>
        <v/>
      </c>
      <c r="E1260" t="str">
        <f>IF(NOT(ISBLANK(A1260)),VLOOKUP(A1260,'BBT3'!A:F,5,0),"")</f>
        <v/>
      </c>
      <c r="F1260" t="str">
        <f>IF(NOT(ISBLANK(A1260)),VLOOKUP(A1260,'BBT3'!A:F,6,0),"")</f>
        <v/>
      </c>
      <c r="G1260" t="str">
        <f>IF(NOT(ISBLANK(A1260)),VLOOKUP(A1260,QW_Close!A:J,5,0),"")</f>
        <v/>
      </c>
      <c r="H1260" s="5" t="str" cm="1">
        <f t="array" ref="H1260">IF(NOT(ISBLANK(A1260)),((_xlfn.XLOOKUP(1,(_bbt3[[#All],[ID]]=A1260)*(_bbt3[[#All],[METRIC_NAME]]="YLD_YTM_ASK"),_bbt3[[#All],[METRIC_VALUE]])*0.5)+(_xlfn.XLOOKUP(1,(_bbt3[[#All],[ID]]=A1260)*(_bbt3[[#All],[METRIC_NAME]]="YLD_YTM_BID"),_bbt3[[#All],[METRIC_VALUE]])*0.5))/100,"")</f>
        <v/>
      </c>
      <c r="I1260">
        <f>IF(ISNA(VLOOKUP(A1260,QW_CloseDL!A:E,5,0)),0,VLOOKUP(A1260,QW_CloseDL!A:E,5,0))</f>
        <v>0</v>
      </c>
      <c r="J1260" s="8" t="str">
        <f t="shared" si="95"/>
        <v/>
      </c>
      <c r="P1260">
        <v>0</v>
      </c>
      <c r="Q1260" t="e">
        <f t="shared" si="96"/>
        <v>#N/A</v>
      </c>
      <c r="R1260" t="e">
        <f t="shared" si="97"/>
        <v>#N/A</v>
      </c>
      <c r="S1260" s="9" t="e">
        <f t="shared" si="98"/>
        <v>#N/A</v>
      </c>
      <c r="T1260" s="3" t="e">
        <f t="shared" si="99"/>
        <v>#N/A</v>
      </c>
    </row>
    <row r="1261" spans="2:20" x14ac:dyDescent="0.35">
      <c r="B1261" t="str">
        <f>IF(NOT(ISBLANK(A1261)),VLOOKUP(A1261,'BBT3'!A:F,2,0),"")</f>
        <v/>
      </c>
      <c r="C1261" t="str">
        <f>IF(NOT(ISBLANK(A1261)),VLOOKUP(A1261,'BBT3'!A:F,3,0),"")</f>
        <v/>
      </c>
      <c r="D1261" s="6" t="str">
        <f>IF(NOT(ISBLANK(A1261)),VLOOKUP(A1261,'BBT3'!A:F,4,1),"")</f>
        <v/>
      </c>
      <c r="E1261" t="str">
        <f>IF(NOT(ISBLANK(A1261)),VLOOKUP(A1261,'BBT3'!A:F,5,0),"")</f>
        <v/>
      </c>
      <c r="F1261" t="str">
        <f>IF(NOT(ISBLANK(A1261)),VLOOKUP(A1261,'BBT3'!A:F,6,0),"")</f>
        <v/>
      </c>
      <c r="G1261" t="str">
        <f>IF(NOT(ISBLANK(A1261)),VLOOKUP(A1261,QW_Close!A:J,5,0),"")</f>
        <v/>
      </c>
      <c r="H1261" s="5" t="str" cm="1">
        <f t="array" ref="H1261">IF(NOT(ISBLANK(A1261)),((_xlfn.XLOOKUP(1,(_bbt3[[#All],[ID]]=A1261)*(_bbt3[[#All],[METRIC_NAME]]="YLD_YTM_ASK"),_bbt3[[#All],[METRIC_VALUE]])*0.5)+(_xlfn.XLOOKUP(1,(_bbt3[[#All],[ID]]=A1261)*(_bbt3[[#All],[METRIC_NAME]]="YLD_YTM_BID"),_bbt3[[#All],[METRIC_VALUE]])*0.5))/100,"")</f>
        <v/>
      </c>
      <c r="I1261">
        <f>IF(ISNA(VLOOKUP(A1261,QW_CloseDL!A:E,5,0)),0,VLOOKUP(A1261,QW_CloseDL!A:E,5,0))</f>
        <v>0</v>
      </c>
      <c r="J1261" s="8" t="str">
        <f t="shared" si="95"/>
        <v/>
      </c>
      <c r="P1261">
        <v>0</v>
      </c>
      <c r="Q1261" t="e">
        <f t="shared" si="96"/>
        <v>#N/A</v>
      </c>
      <c r="R1261" t="e">
        <f t="shared" si="97"/>
        <v>#N/A</v>
      </c>
      <c r="S1261" s="9" t="e">
        <f t="shared" si="98"/>
        <v>#N/A</v>
      </c>
      <c r="T1261" s="3" t="e">
        <f t="shared" si="99"/>
        <v>#N/A</v>
      </c>
    </row>
    <row r="1262" spans="2:20" x14ac:dyDescent="0.35">
      <c r="B1262" t="str">
        <f>IF(NOT(ISBLANK(A1262)),VLOOKUP(A1262,'BBT3'!A:F,2,0),"")</f>
        <v/>
      </c>
      <c r="C1262" t="str">
        <f>IF(NOT(ISBLANK(A1262)),VLOOKUP(A1262,'BBT3'!A:F,3,0),"")</f>
        <v/>
      </c>
      <c r="D1262" s="6" t="str">
        <f>IF(NOT(ISBLANK(A1262)),VLOOKUP(A1262,'BBT3'!A:F,4,1),"")</f>
        <v/>
      </c>
      <c r="E1262" t="str">
        <f>IF(NOT(ISBLANK(A1262)),VLOOKUP(A1262,'BBT3'!A:F,5,0),"")</f>
        <v/>
      </c>
      <c r="F1262" t="str">
        <f>IF(NOT(ISBLANK(A1262)),VLOOKUP(A1262,'BBT3'!A:F,6,0),"")</f>
        <v/>
      </c>
      <c r="G1262" t="str">
        <f>IF(NOT(ISBLANK(A1262)),VLOOKUP(A1262,QW_Close!A:J,5,0),"")</f>
        <v/>
      </c>
      <c r="H1262" s="5" t="str" cm="1">
        <f t="array" ref="H1262">IF(NOT(ISBLANK(A1262)),((_xlfn.XLOOKUP(1,(_bbt3[[#All],[ID]]=A1262)*(_bbt3[[#All],[METRIC_NAME]]="YLD_YTM_ASK"),_bbt3[[#All],[METRIC_VALUE]])*0.5)+(_xlfn.XLOOKUP(1,(_bbt3[[#All],[ID]]=A1262)*(_bbt3[[#All],[METRIC_NAME]]="YLD_YTM_BID"),_bbt3[[#All],[METRIC_VALUE]])*0.5))/100,"")</f>
        <v/>
      </c>
      <c r="I1262">
        <f>IF(ISNA(VLOOKUP(A1262,QW_CloseDL!A:E,5,0)),0,VLOOKUP(A1262,QW_CloseDL!A:E,5,0))</f>
        <v>0</v>
      </c>
      <c r="J1262" s="8" t="str">
        <f t="shared" si="95"/>
        <v/>
      </c>
      <c r="P1262">
        <v>0</v>
      </c>
      <c r="Q1262" t="e">
        <f t="shared" si="96"/>
        <v>#N/A</v>
      </c>
      <c r="R1262" t="e">
        <f t="shared" si="97"/>
        <v>#N/A</v>
      </c>
      <c r="S1262" s="9" t="e">
        <f t="shared" si="98"/>
        <v>#N/A</v>
      </c>
      <c r="T1262" s="3" t="e">
        <f t="shared" si="99"/>
        <v>#N/A</v>
      </c>
    </row>
    <row r="1263" spans="2:20" x14ac:dyDescent="0.35">
      <c r="B1263" t="str">
        <f>IF(NOT(ISBLANK(A1263)),VLOOKUP(A1263,'BBT3'!A:F,2,0),"")</f>
        <v/>
      </c>
      <c r="C1263" t="str">
        <f>IF(NOT(ISBLANK(A1263)),VLOOKUP(A1263,'BBT3'!A:F,3,0),"")</f>
        <v/>
      </c>
      <c r="D1263" s="6" t="str">
        <f>IF(NOT(ISBLANK(A1263)),VLOOKUP(A1263,'BBT3'!A:F,4,1),"")</f>
        <v/>
      </c>
      <c r="E1263" t="str">
        <f>IF(NOT(ISBLANK(A1263)),VLOOKUP(A1263,'BBT3'!A:F,5,0),"")</f>
        <v/>
      </c>
      <c r="F1263" t="str">
        <f>IF(NOT(ISBLANK(A1263)),VLOOKUP(A1263,'BBT3'!A:F,6,0),"")</f>
        <v/>
      </c>
      <c r="G1263" t="str">
        <f>IF(NOT(ISBLANK(A1263)),VLOOKUP(A1263,QW_Close!A:J,5,0),"")</f>
        <v/>
      </c>
      <c r="H1263" s="5" t="str" cm="1">
        <f t="array" ref="H1263">IF(NOT(ISBLANK(A1263)),((_xlfn.XLOOKUP(1,(_bbt3[[#All],[ID]]=A1263)*(_bbt3[[#All],[METRIC_NAME]]="YLD_YTM_ASK"),_bbt3[[#All],[METRIC_VALUE]])*0.5)+(_xlfn.XLOOKUP(1,(_bbt3[[#All],[ID]]=A1263)*(_bbt3[[#All],[METRIC_NAME]]="YLD_YTM_BID"),_bbt3[[#All],[METRIC_VALUE]])*0.5))/100,"")</f>
        <v/>
      </c>
      <c r="I1263">
        <f>IF(ISNA(VLOOKUP(A1263,QW_CloseDL!A:E,5,0)),0,VLOOKUP(A1263,QW_CloseDL!A:E,5,0))</f>
        <v>0</v>
      </c>
      <c r="J1263" s="8" t="str">
        <f t="shared" si="95"/>
        <v/>
      </c>
      <c r="P1263">
        <v>0</v>
      </c>
      <c r="Q1263" t="e">
        <f t="shared" si="96"/>
        <v>#N/A</v>
      </c>
      <c r="R1263" t="e">
        <f t="shared" si="97"/>
        <v>#N/A</v>
      </c>
      <c r="S1263" s="9" t="e">
        <f t="shared" si="98"/>
        <v>#N/A</v>
      </c>
      <c r="T1263" s="3" t="e">
        <f t="shared" si="99"/>
        <v>#N/A</v>
      </c>
    </row>
    <row r="1264" spans="2:20" x14ac:dyDescent="0.35">
      <c r="B1264" t="str">
        <f>IF(NOT(ISBLANK(A1264)),VLOOKUP(A1264,'BBT3'!A:F,2,0),"")</f>
        <v/>
      </c>
      <c r="C1264" t="str">
        <f>IF(NOT(ISBLANK(A1264)),VLOOKUP(A1264,'BBT3'!A:F,3,0),"")</f>
        <v/>
      </c>
      <c r="D1264" s="6" t="str">
        <f>IF(NOT(ISBLANK(A1264)),VLOOKUP(A1264,'BBT3'!A:F,4,1),"")</f>
        <v/>
      </c>
      <c r="E1264" t="str">
        <f>IF(NOT(ISBLANK(A1264)),VLOOKUP(A1264,'BBT3'!A:F,5,0),"")</f>
        <v/>
      </c>
      <c r="F1264" t="str">
        <f>IF(NOT(ISBLANK(A1264)),VLOOKUP(A1264,'BBT3'!A:F,6,0),"")</f>
        <v/>
      </c>
      <c r="G1264" t="str">
        <f>IF(NOT(ISBLANK(A1264)),VLOOKUP(A1264,QW_Close!A:J,5,0),"")</f>
        <v/>
      </c>
      <c r="H1264" s="5" t="str" cm="1">
        <f t="array" ref="H1264">IF(NOT(ISBLANK(A1264)),((_xlfn.XLOOKUP(1,(_bbt3[[#All],[ID]]=A1264)*(_bbt3[[#All],[METRIC_NAME]]="YLD_YTM_ASK"),_bbt3[[#All],[METRIC_VALUE]])*0.5)+(_xlfn.XLOOKUP(1,(_bbt3[[#All],[ID]]=A1264)*(_bbt3[[#All],[METRIC_NAME]]="YLD_YTM_BID"),_bbt3[[#All],[METRIC_VALUE]])*0.5))/100,"")</f>
        <v/>
      </c>
      <c r="I1264">
        <f>IF(ISNA(VLOOKUP(A1264,QW_CloseDL!A:E,5,0)),0,VLOOKUP(A1264,QW_CloseDL!A:E,5,0))</f>
        <v>0</v>
      </c>
      <c r="J1264" s="8" t="str">
        <f t="shared" si="95"/>
        <v/>
      </c>
      <c r="P1264">
        <v>0</v>
      </c>
      <c r="Q1264" t="e">
        <f t="shared" si="96"/>
        <v>#N/A</v>
      </c>
      <c r="R1264" t="e">
        <f t="shared" si="97"/>
        <v>#N/A</v>
      </c>
      <c r="S1264" s="9" t="e">
        <f t="shared" si="98"/>
        <v>#N/A</v>
      </c>
      <c r="T1264" s="3" t="e">
        <f t="shared" si="99"/>
        <v>#N/A</v>
      </c>
    </row>
    <row r="1265" spans="2:20" x14ac:dyDescent="0.35">
      <c r="B1265" t="str">
        <f>IF(NOT(ISBLANK(A1265)),VLOOKUP(A1265,'BBT3'!A:F,2,0),"")</f>
        <v/>
      </c>
      <c r="C1265" t="str">
        <f>IF(NOT(ISBLANK(A1265)),VLOOKUP(A1265,'BBT3'!A:F,3,0),"")</f>
        <v/>
      </c>
      <c r="D1265" s="6" t="str">
        <f>IF(NOT(ISBLANK(A1265)),VLOOKUP(A1265,'BBT3'!A:F,4,1),"")</f>
        <v/>
      </c>
      <c r="E1265" t="str">
        <f>IF(NOT(ISBLANK(A1265)),VLOOKUP(A1265,'BBT3'!A:F,5,0),"")</f>
        <v/>
      </c>
      <c r="F1265" t="str">
        <f>IF(NOT(ISBLANK(A1265)),VLOOKUP(A1265,'BBT3'!A:F,6,0),"")</f>
        <v/>
      </c>
      <c r="G1265" t="str">
        <f>IF(NOT(ISBLANK(A1265)),VLOOKUP(A1265,QW_Close!A:J,5,0),"")</f>
        <v/>
      </c>
      <c r="H1265" s="5" t="str" cm="1">
        <f t="array" ref="H1265">IF(NOT(ISBLANK(A1265)),((_xlfn.XLOOKUP(1,(_bbt3[[#All],[ID]]=A1265)*(_bbt3[[#All],[METRIC_NAME]]="YLD_YTM_ASK"),_bbt3[[#All],[METRIC_VALUE]])*0.5)+(_xlfn.XLOOKUP(1,(_bbt3[[#All],[ID]]=A1265)*(_bbt3[[#All],[METRIC_NAME]]="YLD_YTM_BID"),_bbt3[[#All],[METRIC_VALUE]])*0.5))/100,"")</f>
        <v/>
      </c>
      <c r="I1265">
        <f>IF(ISNA(VLOOKUP(A1265,QW_CloseDL!A:E,5,0)),0,VLOOKUP(A1265,QW_CloseDL!A:E,5,0))</f>
        <v>0</v>
      </c>
      <c r="J1265" s="8" t="str">
        <f t="shared" si="95"/>
        <v/>
      </c>
      <c r="P1265">
        <v>0</v>
      </c>
      <c r="Q1265" t="e">
        <f t="shared" si="96"/>
        <v>#N/A</v>
      </c>
      <c r="R1265" t="e">
        <f t="shared" si="97"/>
        <v>#N/A</v>
      </c>
      <c r="S1265" s="9" t="e">
        <f t="shared" si="98"/>
        <v>#N/A</v>
      </c>
      <c r="T1265" s="3" t="e">
        <f t="shared" si="99"/>
        <v>#N/A</v>
      </c>
    </row>
    <row r="1266" spans="2:20" x14ac:dyDescent="0.35">
      <c r="B1266" t="str">
        <f>IF(NOT(ISBLANK(A1266)),VLOOKUP(A1266,'BBT3'!A:F,2,0),"")</f>
        <v/>
      </c>
      <c r="C1266" t="str">
        <f>IF(NOT(ISBLANK(A1266)),VLOOKUP(A1266,'BBT3'!A:F,3,0),"")</f>
        <v/>
      </c>
      <c r="D1266" s="6" t="str">
        <f>IF(NOT(ISBLANK(A1266)),VLOOKUP(A1266,'BBT3'!A:F,4,1),"")</f>
        <v/>
      </c>
      <c r="E1266" t="str">
        <f>IF(NOT(ISBLANK(A1266)),VLOOKUP(A1266,'BBT3'!A:F,5,0),"")</f>
        <v/>
      </c>
      <c r="F1266" t="str">
        <f>IF(NOT(ISBLANK(A1266)),VLOOKUP(A1266,'BBT3'!A:F,6,0),"")</f>
        <v/>
      </c>
      <c r="G1266" t="str">
        <f>IF(NOT(ISBLANK(A1266)),VLOOKUP(A1266,QW_Close!A:J,5,0),"")</f>
        <v/>
      </c>
      <c r="H1266" s="5" t="str" cm="1">
        <f t="array" ref="H1266">IF(NOT(ISBLANK(A1266)),((_xlfn.XLOOKUP(1,(_bbt3[[#All],[ID]]=A1266)*(_bbt3[[#All],[METRIC_NAME]]="YLD_YTM_ASK"),_bbt3[[#All],[METRIC_VALUE]])*0.5)+(_xlfn.XLOOKUP(1,(_bbt3[[#All],[ID]]=A1266)*(_bbt3[[#All],[METRIC_NAME]]="YLD_YTM_BID"),_bbt3[[#All],[METRIC_VALUE]])*0.5))/100,"")</f>
        <v/>
      </c>
      <c r="I1266">
        <f>IF(ISNA(VLOOKUP(A1266,QW_CloseDL!A:E,5,0)),0,VLOOKUP(A1266,QW_CloseDL!A:E,5,0))</f>
        <v>0</v>
      </c>
      <c r="J1266" s="8" t="str">
        <f t="shared" si="95"/>
        <v/>
      </c>
      <c r="P1266">
        <v>0</v>
      </c>
      <c r="Q1266" t="e">
        <f t="shared" si="96"/>
        <v>#N/A</v>
      </c>
      <c r="R1266" t="e">
        <f t="shared" si="97"/>
        <v>#N/A</v>
      </c>
      <c r="S1266" s="9" t="e">
        <f t="shared" si="98"/>
        <v>#N/A</v>
      </c>
      <c r="T1266" s="3" t="e">
        <f t="shared" si="99"/>
        <v>#N/A</v>
      </c>
    </row>
    <row r="1267" spans="2:20" x14ac:dyDescent="0.35">
      <c r="B1267" t="str">
        <f>IF(NOT(ISBLANK(A1267)),VLOOKUP(A1267,'BBT3'!A:F,2,0),"")</f>
        <v/>
      </c>
      <c r="C1267" t="str">
        <f>IF(NOT(ISBLANK(A1267)),VLOOKUP(A1267,'BBT3'!A:F,3,0),"")</f>
        <v/>
      </c>
      <c r="D1267" s="6" t="str">
        <f>IF(NOT(ISBLANK(A1267)),VLOOKUP(A1267,'BBT3'!A:F,4,1),"")</f>
        <v/>
      </c>
      <c r="E1267" t="str">
        <f>IF(NOT(ISBLANK(A1267)),VLOOKUP(A1267,'BBT3'!A:F,5,0),"")</f>
        <v/>
      </c>
      <c r="F1267" t="str">
        <f>IF(NOT(ISBLANK(A1267)),VLOOKUP(A1267,'BBT3'!A:F,6,0),"")</f>
        <v/>
      </c>
      <c r="G1267" t="str">
        <f>IF(NOT(ISBLANK(A1267)),VLOOKUP(A1267,QW_Close!A:J,5,0),"")</f>
        <v/>
      </c>
      <c r="H1267" s="5" t="str" cm="1">
        <f t="array" ref="H1267">IF(NOT(ISBLANK(A1267)),((_xlfn.XLOOKUP(1,(_bbt3[[#All],[ID]]=A1267)*(_bbt3[[#All],[METRIC_NAME]]="YLD_YTM_ASK"),_bbt3[[#All],[METRIC_VALUE]])*0.5)+(_xlfn.XLOOKUP(1,(_bbt3[[#All],[ID]]=A1267)*(_bbt3[[#All],[METRIC_NAME]]="YLD_YTM_BID"),_bbt3[[#All],[METRIC_VALUE]])*0.5))/100,"")</f>
        <v/>
      </c>
      <c r="I1267">
        <f>IF(ISNA(VLOOKUP(A1267,QW_CloseDL!A:E,5,0)),0,VLOOKUP(A1267,QW_CloseDL!A:E,5,0))</f>
        <v>0</v>
      </c>
      <c r="J1267" s="8" t="str">
        <f t="shared" si="95"/>
        <v/>
      </c>
      <c r="P1267">
        <v>0</v>
      </c>
      <c r="Q1267" t="e">
        <f t="shared" si="96"/>
        <v>#N/A</v>
      </c>
      <c r="R1267" t="e">
        <f t="shared" si="97"/>
        <v>#N/A</v>
      </c>
      <c r="S1267" s="9" t="e">
        <f t="shared" si="98"/>
        <v>#N/A</v>
      </c>
      <c r="T1267" s="3" t="e">
        <f t="shared" si="99"/>
        <v>#N/A</v>
      </c>
    </row>
    <row r="1268" spans="2:20" x14ac:dyDescent="0.35">
      <c r="B1268" t="str">
        <f>IF(NOT(ISBLANK(A1268)),VLOOKUP(A1268,'BBT3'!A:F,2,0),"")</f>
        <v/>
      </c>
      <c r="C1268" t="str">
        <f>IF(NOT(ISBLANK(A1268)),VLOOKUP(A1268,'BBT3'!A:F,3,0),"")</f>
        <v/>
      </c>
      <c r="D1268" s="6" t="str">
        <f>IF(NOT(ISBLANK(A1268)),VLOOKUP(A1268,'BBT3'!A:F,4,1),"")</f>
        <v/>
      </c>
      <c r="E1268" t="str">
        <f>IF(NOT(ISBLANK(A1268)),VLOOKUP(A1268,'BBT3'!A:F,5,0),"")</f>
        <v/>
      </c>
      <c r="F1268" t="str">
        <f>IF(NOT(ISBLANK(A1268)),VLOOKUP(A1268,'BBT3'!A:F,6,0),"")</f>
        <v/>
      </c>
      <c r="G1268" t="str">
        <f>IF(NOT(ISBLANK(A1268)),VLOOKUP(A1268,QW_Close!A:J,5,0),"")</f>
        <v/>
      </c>
      <c r="H1268" s="5" t="str" cm="1">
        <f t="array" ref="H1268">IF(NOT(ISBLANK(A1268)),((_xlfn.XLOOKUP(1,(_bbt3[[#All],[ID]]=A1268)*(_bbt3[[#All],[METRIC_NAME]]="YLD_YTM_ASK"),_bbt3[[#All],[METRIC_VALUE]])*0.5)+(_xlfn.XLOOKUP(1,(_bbt3[[#All],[ID]]=A1268)*(_bbt3[[#All],[METRIC_NAME]]="YLD_YTM_BID"),_bbt3[[#All],[METRIC_VALUE]])*0.5))/100,"")</f>
        <v/>
      </c>
      <c r="I1268">
        <f>IF(ISNA(VLOOKUP(A1268,QW_CloseDL!A:E,5,0)),0,VLOOKUP(A1268,QW_CloseDL!A:E,5,0))</f>
        <v>0</v>
      </c>
      <c r="J1268" s="8" t="str">
        <f t="shared" si="95"/>
        <v/>
      </c>
      <c r="P1268">
        <v>0</v>
      </c>
      <c r="Q1268" t="e">
        <f t="shared" si="96"/>
        <v>#N/A</v>
      </c>
      <c r="R1268" t="e">
        <f t="shared" si="97"/>
        <v>#N/A</v>
      </c>
      <c r="S1268" s="9" t="e">
        <f t="shared" si="98"/>
        <v>#N/A</v>
      </c>
      <c r="T1268" s="3" t="e">
        <f t="shared" si="99"/>
        <v>#N/A</v>
      </c>
    </row>
    <row r="1269" spans="2:20" x14ac:dyDescent="0.35">
      <c r="B1269" t="str">
        <f>IF(NOT(ISBLANK(A1269)),VLOOKUP(A1269,'BBT3'!A:F,2,0),"")</f>
        <v/>
      </c>
      <c r="C1269" t="str">
        <f>IF(NOT(ISBLANK(A1269)),VLOOKUP(A1269,'BBT3'!A:F,3,0),"")</f>
        <v/>
      </c>
      <c r="D1269" s="6" t="str">
        <f>IF(NOT(ISBLANK(A1269)),VLOOKUP(A1269,'BBT3'!A:F,4,1),"")</f>
        <v/>
      </c>
      <c r="E1269" t="str">
        <f>IF(NOT(ISBLANK(A1269)),VLOOKUP(A1269,'BBT3'!A:F,5,0),"")</f>
        <v/>
      </c>
      <c r="F1269" t="str">
        <f>IF(NOT(ISBLANK(A1269)),VLOOKUP(A1269,'BBT3'!A:F,6,0),"")</f>
        <v/>
      </c>
      <c r="G1269" t="str">
        <f>IF(NOT(ISBLANK(A1269)),VLOOKUP(A1269,QW_Close!A:J,5,0),"")</f>
        <v/>
      </c>
      <c r="H1269" s="5" t="str" cm="1">
        <f t="array" ref="H1269">IF(NOT(ISBLANK(A1269)),((_xlfn.XLOOKUP(1,(_bbt3[[#All],[ID]]=A1269)*(_bbt3[[#All],[METRIC_NAME]]="YLD_YTM_ASK"),_bbt3[[#All],[METRIC_VALUE]])*0.5)+(_xlfn.XLOOKUP(1,(_bbt3[[#All],[ID]]=A1269)*(_bbt3[[#All],[METRIC_NAME]]="YLD_YTM_BID"),_bbt3[[#All],[METRIC_VALUE]])*0.5))/100,"")</f>
        <v/>
      </c>
      <c r="I1269">
        <f>IF(ISNA(VLOOKUP(A1269,QW_CloseDL!A:E,5,0)),0,VLOOKUP(A1269,QW_CloseDL!A:E,5,0))</f>
        <v>0</v>
      </c>
      <c r="J1269" s="8" t="str">
        <f t="shared" si="95"/>
        <v/>
      </c>
      <c r="P1269">
        <v>0</v>
      </c>
      <c r="Q1269" t="e">
        <f t="shared" si="96"/>
        <v>#N/A</v>
      </c>
      <c r="R1269" t="e">
        <f t="shared" si="97"/>
        <v>#N/A</v>
      </c>
      <c r="S1269" s="9" t="e">
        <f t="shared" si="98"/>
        <v>#N/A</v>
      </c>
      <c r="T1269" s="3" t="e">
        <f t="shared" si="99"/>
        <v>#N/A</v>
      </c>
    </row>
    <row r="1270" spans="2:20" x14ac:dyDescent="0.35">
      <c r="B1270" t="str">
        <f>IF(NOT(ISBLANK(A1270)),VLOOKUP(A1270,'BBT3'!A:F,2,0),"")</f>
        <v/>
      </c>
      <c r="C1270" t="str">
        <f>IF(NOT(ISBLANK(A1270)),VLOOKUP(A1270,'BBT3'!A:F,3,0),"")</f>
        <v/>
      </c>
      <c r="D1270" s="6" t="str">
        <f>IF(NOT(ISBLANK(A1270)),VLOOKUP(A1270,'BBT3'!A:F,4,1),"")</f>
        <v/>
      </c>
      <c r="E1270" t="str">
        <f>IF(NOT(ISBLANK(A1270)),VLOOKUP(A1270,'BBT3'!A:F,5,0),"")</f>
        <v/>
      </c>
      <c r="F1270" t="str">
        <f>IF(NOT(ISBLANK(A1270)),VLOOKUP(A1270,'BBT3'!A:F,6,0),"")</f>
        <v/>
      </c>
      <c r="G1270" t="str">
        <f>IF(NOT(ISBLANK(A1270)),VLOOKUP(A1270,QW_Close!A:J,5,0),"")</f>
        <v/>
      </c>
      <c r="H1270" s="5" t="str" cm="1">
        <f t="array" ref="H1270">IF(NOT(ISBLANK(A1270)),((_xlfn.XLOOKUP(1,(_bbt3[[#All],[ID]]=A1270)*(_bbt3[[#All],[METRIC_NAME]]="YLD_YTM_ASK"),_bbt3[[#All],[METRIC_VALUE]])*0.5)+(_xlfn.XLOOKUP(1,(_bbt3[[#All],[ID]]=A1270)*(_bbt3[[#All],[METRIC_NAME]]="YLD_YTM_BID"),_bbt3[[#All],[METRIC_VALUE]])*0.5))/100,"")</f>
        <v/>
      </c>
      <c r="I1270">
        <f>IF(ISNA(VLOOKUP(A1270,QW_CloseDL!A:E,5,0)),0,VLOOKUP(A1270,QW_CloseDL!A:E,5,0))</f>
        <v>0</v>
      </c>
      <c r="J1270" s="8" t="str">
        <f t="shared" si="95"/>
        <v/>
      </c>
      <c r="P1270">
        <v>0</v>
      </c>
      <c r="Q1270" t="e">
        <f t="shared" si="96"/>
        <v>#N/A</v>
      </c>
      <c r="R1270" t="e">
        <f t="shared" si="97"/>
        <v>#N/A</v>
      </c>
      <c r="S1270" s="9" t="e">
        <f t="shared" si="98"/>
        <v>#N/A</v>
      </c>
      <c r="T1270" s="3" t="e">
        <f t="shared" si="99"/>
        <v>#N/A</v>
      </c>
    </row>
    <row r="1271" spans="2:20" x14ac:dyDescent="0.35">
      <c r="B1271" t="str">
        <f>IF(NOT(ISBLANK(A1271)),VLOOKUP(A1271,'BBT3'!A:F,2,0),"")</f>
        <v/>
      </c>
      <c r="C1271" t="str">
        <f>IF(NOT(ISBLANK(A1271)),VLOOKUP(A1271,'BBT3'!A:F,3,0),"")</f>
        <v/>
      </c>
      <c r="D1271" s="6" t="str">
        <f>IF(NOT(ISBLANK(A1271)),VLOOKUP(A1271,'BBT3'!A:F,4,1),"")</f>
        <v/>
      </c>
      <c r="E1271" t="str">
        <f>IF(NOT(ISBLANK(A1271)),VLOOKUP(A1271,'BBT3'!A:F,5,0),"")</f>
        <v/>
      </c>
      <c r="F1271" t="str">
        <f>IF(NOT(ISBLANK(A1271)),VLOOKUP(A1271,'BBT3'!A:F,6,0),"")</f>
        <v/>
      </c>
      <c r="G1271" t="str">
        <f>IF(NOT(ISBLANK(A1271)),VLOOKUP(A1271,QW_Close!A:J,5,0),"")</f>
        <v/>
      </c>
      <c r="H1271" s="5" t="str" cm="1">
        <f t="array" ref="H1271">IF(NOT(ISBLANK(A1271)),((_xlfn.XLOOKUP(1,(_bbt3[[#All],[ID]]=A1271)*(_bbt3[[#All],[METRIC_NAME]]="YLD_YTM_ASK"),_bbt3[[#All],[METRIC_VALUE]])*0.5)+(_xlfn.XLOOKUP(1,(_bbt3[[#All],[ID]]=A1271)*(_bbt3[[#All],[METRIC_NAME]]="YLD_YTM_BID"),_bbt3[[#All],[METRIC_VALUE]])*0.5))/100,"")</f>
        <v/>
      </c>
      <c r="I1271">
        <f>IF(ISNA(VLOOKUP(A1271,QW_CloseDL!A:E,5,0)),0,VLOOKUP(A1271,QW_CloseDL!A:E,5,0))</f>
        <v>0</v>
      </c>
      <c r="J1271" s="8" t="str">
        <f t="shared" si="95"/>
        <v/>
      </c>
      <c r="P1271">
        <v>0</v>
      </c>
      <c r="Q1271" t="e">
        <f t="shared" si="96"/>
        <v>#N/A</v>
      </c>
      <c r="R1271" t="e">
        <f t="shared" si="97"/>
        <v>#N/A</v>
      </c>
      <c r="S1271" s="9" t="e">
        <f t="shared" si="98"/>
        <v>#N/A</v>
      </c>
      <c r="T1271" s="3" t="e">
        <f t="shared" si="99"/>
        <v>#N/A</v>
      </c>
    </row>
    <row r="1272" spans="2:20" x14ac:dyDescent="0.35">
      <c r="B1272" t="str">
        <f>IF(NOT(ISBLANK(A1272)),VLOOKUP(A1272,'BBT3'!A:F,2,0),"")</f>
        <v/>
      </c>
      <c r="C1272" t="str">
        <f>IF(NOT(ISBLANK(A1272)),VLOOKUP(A1272,'BBT3'!A:F,3,0),"")</f>
        <v/>
      </c>
      <c r="D1272" s="6" t="str">
        <f>IF(NOT(ISBLANK(A1272)),VLOOKUP(A1272,'BBT3'!A:F,4,1),"")</f>
        <v/>
      </c>
      <c r="E1272" t="str">
        <f>IF(NOT(ISBLANK(A1272)),VLOOKUP(A1272,'BBT3'!A:F,5,0),"")</f>
        <v/>
      </c>
      <c r="F1272" t="str">
        <f>IF(NOT(ISBLANK(A1272)),VLOOKUP(A1272,'BBT3'!A:F,6,0),"")</f>
        <v/>
      </c>
      <c r="G1272" t="str">
        <f>IF(NOT(ISBLANK(A1272)),VLOOKUP(A1272,QW_Close!A:J,5,0),"")</f>
        <v/>
      </c>
      <c r="H1272" s="5" t="str" cm="1">
        <f t="array" ref="H1272">IF(NOT(ISBLANK(A1272)),((_xlfn.XLOOKUP(1,(_bbt3[[#All],[ID]]=A1272)*(_bbt3[[#All],[METRIC_NAME]]="YLD_YTM_ASK"),_bbt3[[#All],[METRIC_VALUE]])*0.5)+(_xlfn.XLOOKUP(1,(_bbt3[[#All],[ID]]=A1272)*(_bbt3[[#All],[METRIC_NAME]]="YLD_YTM_BID"),_bbt3[[#All],[METRIC_VALUE]])*0.5))/100,"")</f>
        <v/>
      </c>
      <c r="I1272">
        <f>IF(ISNA(VLOOKUP(A1272,QW_CloseDL!A:E,5,0)),0,VLOOKUP(A1272,QW_CloseDL!A:E,5,0))</f>
        <v>0</v>
      </c>
      <c r="J1272" s="8" t="str">
        <f t="shared" si="95"/>
        <v/>
      </c>
      <c r="P1272">
        <v>0</v>
      </c>
      <c r="Q1272" t="e">
        <f t="shared" si="96"/>
        <v>#N/A</v>
      </c>
      <c r="R1272" t="e">
        <f t="shared" si="97"/>
        <v>#N/A</v>
      </c>
      <c r="S1272" s="9" t="e">
        <f t="shared" si="98"/>
        <v>#N/A</v>
      </c>
      <c r="T1272" s="3" t="e">
        <f t="shared" si="99"/>
        <v>#N/A</v>
      </c>
    </row>
    <row r="1273" spans="2:20" x14ac:dyDescent="0.35">
      <c r="B1273" t="str">
        <f>IF(NOT(ISBLANK(A1273)),VLOOKUP(A1273,'BBT3'!A:F,2,0),"")</f>
        <v/>
      </c>
      <c r="C1273" t="str">
        <f>IF(NOT(ISBLANK(A1273)),VLOOKUP(A1273,'BBT3'!A:F,3,0),"")</f>
        <v/>
      </c>
      <c r="D1273" s="6" t="str">
        <f>IF(NOT(ISBLANK(A1273)),VLOOKUP(A1273,'BBT3'!A:F,4,1),"")</f>
        <v/>
      </c>
      <c r="E1273" t="str">
        <f>IF(NOT(ISBLANK(A1273)),VLOOKUP(A1273,'BBT3'!A:F,5,0),"")</f>
        <v/>
      </c>
      <c r="F1273" t="str">
        <f>IF(NOT(ISBLANK(A1273)),VLOOKUP(A1273,'BBT3'!A:F,6,0),"")</f>
        <v/>
      </c>
      <c r="G1273" t="str">
        <f>IF(NOT(ISBLANK(A1273)),VLOOKUP(A1273,QW_Close!A:J,5,0),"")</f>
        <v/>
      </c>
      <c r="H1273" s="5" t="str" cm="1">
        <f t="array" ref="H1273">IF(NOT(ISBLANK(A1273)),((_xlfn.XLOOKUP(1,(_bbt3[[#All],[ID]]=A1273)*(_bbt3[[#All],[METRIC_NAME]]="YLD_YTM_ASK"),_bbt3[[#All],[METRIC_VALUE]])*0.5)+(_xlfn.XLOOKUP(1,(_bbt3[[#All],[ID]]=A1273)*(_bbt3[[#All],[METRIC_NAME]]="YLD_YTM_BID"),_bbt3[[#All],[METRIC_VALUE]])*0.5))/100,"")</f>
        <v/>
      </c>
      <c r="I1273">
        <f>IF(ISNA(VLOOKUP(A1273,QW_CloseDL!A:E,5,0)),0,VLOOKUP(A1273,QW_CloseDL!A:E,5,0))</f>
        <v>0</v>
      </c>
      <c r="J1273" s="8" t="str">
        <f t="shared" si="95"/>
        <v/>
      </c>
      <c r="P1273">
        <v>0</v>
      </c>
      <c r="Q1273" t="e">
        <f t="shared" si="96"/>
        <v>#N/A</v>
      </c>
      <c r="R1273" t="e">
        <f t="shared" si="97"/>
        <v>#N/A</v>
      </c>
      <c r="S1273" s="9" t="e">
        <f t="shared" si="98"/>
        <v>#N/A</v>
      </c>
      <c r="T1273" s="3" t="e">
        <f t="shared" si="99"/>
        <v>#N/A</v>
      </c>
    </row>
    <row r="1274" spans="2:20" x14ac:dyDescent="0.35">
      <c r="B1274" t="str">
        <f>IF(NOT(ISBLANK(A1274)),VLOOKUP(A1274,'BBT3'!A:F,2,0),"")</f>
        <v/>
      </c>
      <c r="C1274" t="str">
        <f>IF(NOT(ISBLANK(A1274)),VLOOKUP(A1274,'BBT3'!A:F,3,0),"")</f>
        <v/>
      </c>
      <c r="D1274" s="6" t="str">
        <f>IF(NOT(ISBLANK(A1274)),VLOOKUP(A1274,'BBT3'!A:F,4,1),"")</f>
        <v/>
      </c>
      <c r="E1274" t="str">
        <f>IF(NOT(ISBLANK(A1274)),VLOOKUP(A1274,'BBT3'!A:F,5,0),"")</f>
        <v/>
      </c>
      <c r="F1274" t="str">
        <f>IF(NOT(ISBLANK(A1274)),VLOOKUP(A1274,'BBT3'!A:F,6,0),"")</f>
        <v/>
      </c>
      <c r="G1274" t="str">
        <f>IF(NOT(ISBLANK(A1274)),VLOOKUP(A1274,QW_Close!A:J,5,0),"")</f>
        <v/>
      </c>
      <c r="H1274" s="5" t="str" cm="1">
        <f t="array" ref="H1274">IF(NOT(ISBLANK(A1274)),((_xlfn.XLOOKUP(1,(_bbt3[[#All],[ID]]=A1274)*(_bbt3[[#All],[METRIC_NAME]]="YLD_YTM_ASK"),_bbt3[[#All],[METRIC_VALUE]])*0.5)+(_xlfn.XLOOKUP(1,(_bbt3[[#All],[ID]]=A1274)*(_bbt3[[#All],[METRIC_NAME]]="YLD_YTM_BID"),_bbt3[[#All],[METRIC_VALUE]])*0.5))/100,"")</f>
        <v/>
      </c>
      <c r="I1274">
        <f>IF(ISNA(VLOOKUP(A1274,QW_CloseDL!A:E,5,0)),0,VLOOKUP(A1274,QW_CloseDL!A:E,5,0))</f>
        <v>0</v>
      </c>
      <c r="J1274" s="8" t="str">
        <f t="shared" si="95"/>
        <v/>
      </c>
      <c r="P1274">
        <v>0</v>
      </c>
      <c r="Q1274" t="e">
        <f t="shared" si="96"/>
        <v>#N/A</v>
      </c>
      <c r="R1274" t="e">
        <f t="shared" si="97"/>
        <v>#N/A</v>
      </c>
      <c r="S1274" s="9" t="e">
        <f t="shared" si="98"/>
        <v>#N/A</v>
      </c>
      <c r="T1274" s="3" t="e">
        <f t="shared" si="99"/>
        <v>#N/A</v>
      </c>
    </row>
    <row r="1275" spans="2:20" x14ac:dyDescent="0.35">
      <c r="B1275" t="str">
        <f>IF(NOT(ISBLANK(A1275)),VLOOKUP(A1275,'BBT3'!A:F,2,0),"")</f>
        <v/>
      </c>
      <c r="C1275" t="str">
        <f>IF(NOT(ISBLANK(A1275)),VLOOKUP(A1275,'BBT3'!A:F,3,0),"")</f>
        <v/>
      </c>
      <c r="D1275" s="6" t="str">
        <f>IF(NOT(ISBLANK(A1275)),VLOOKUP(A1275,'BBT3'!A:F,4,1),"")</f>
        <v/>
      </c>
      <c r="E1275" t="str">
        <f>IF(NOT(ISBLANK(A1275)),VLOOKUP(A1275,'BBT3'!A:F,5,0),"")</f>
        <v/>
      </c>
      <c r="F1275" t="str">
        <f>IF(NOT(ISBLANK(A1275)),VLOOKUP(A1275,'BBT3'!A:F,6,0),"")</f>
        <v/>
      </c>
      <c r="G1275" t="str">
        <f>IF(NOT(ISBLANK(A1275)),VLOOKUP(A1275,QW_Close!A:J,5,0),"")</f>
        <v/>
      </c>
      <c r="H1275" s="5" t="str" cm="1">
        <f t="array" ref="H1275">IF(NOT(ISBLANK(A1275)),((_xlfn.XLOOKUP(1,(_bbt3[[#All],[ID]]=A1275)*(_bbt3[[#All],[METRIC_NAME]]="YLD_YTM_ASK"),_bbt3[[#All],[METRIC_VALUE]])*0.5)+(_xlfn.XLOOKUP(1,(_bbt3[[#All],[ID]]=A1275)*(_bbt3[[#All],[METRIC_NAME]]="YLD_YTM_BID"),_bbt3[[#All],[METRIC_VALUE]])*0.5))/100,"")</f>
        <v/>
      </c>
      <c r="I1275">
        <f>IF(ISNA(VLOOKUP(A1275,QW_CloseDL!A:E,5,0)),0,VLOOKUP(A1275,QW_CloseDL!A:E,5,0))</f>
        <v>0</v>
      </c>
      <c r="J1275" s="8" t="str">
        <f t="shared" si="95"/>
        <v/>
      </c>
      <c r="P1275">
        <v>0</v>
      </c>
      <c r="Q1275" t="e">
        <f t="shared" si="96"/>
        <v>#N/A</v>
      </c>
      <c r="R1275" t="e">
        <f t="shared" si="97"/>
        <v>#N/A</v>
      </c>
      <c r="S1275" s="9" t="e">
        <f t="shared" si="98"/>
        <v>#N/A</v>
      </c>
      <c r="T1275" s="3" t="e">
        <f t="shared" si="99"/>
        <v>#N/A</v>
      </c>
    </row>
    <row r="1276" spans="2:20" x14ac:dyDescent="0.35">
      <c r="B1276" t="str">
        <f>IF(NOT(ISBLANK(A1276)),VLOOKUP(A1276,'BBT3'!A:F,2,0),"")</f>
        <v/>
      </c>
      <c r="C1276" t="str">
        <f>IF(NOT(ISBLANK(A1276)),VLOOKUP(A1276,'BBT3'!A:F,3,0),"")</f>
        <v/>
      </c>
      <c r="D1276" s="6" t="str">
        <f>IF(NOT(ISBLANK(A1276)),VLOOKUP(A1276,'BBT3'!A:F,4,1),"")</f>
        <v/>
      </c>
      <c r="E1276" t="str">
        <f>IF(NOT(ISBLANK(A1276)),VLOOKUP(A1276,'BBT3'!A:F,5,0),"")</f>
        <v/>
      </c>
      <c r="F1276" t="str">
        <f>IF(NOT(ISBLANK(A1276)),VLOOKUP(A1276,'BBT3'!A:F,6,0),"")</f>
        <v/>
      </c>
      <c r="G1276" t="str">
        <f>IF(NOT(ISBLANK(A1276)),VLOOKUP(A1276,QW_Close!A:J,5,0),"")</f>
        <v/>
      </c>
      <c r="H1276" s="5" t="str" cm="1">
        <f t="array" ref="H1276">IF(NOT(ISBLANK(A1276)),((_xlfn.XLOOKUP(1,(_bbt3[[#All],[ID]]=A1276)*(_bbt3[[#All],[METRIC_NAME]]="YLD_YTM_ASK"),_bbt3[[#All],[METRIC_VALUE]])*0.5)+(_xlfn.XLOOKUP(1,(_bbt3[[#All],[ID]]=A1276)*(_bbt3[[#All],[METRIC_NAME]]="YLD_YTM_BID"),_bbt3[[#All],[METRIC_VALUE]])*0.5))/100,"")</f>
        <v/>
      </c>
      <c r="I1276">
        <f>IF(ISNA(VLOOKUP(A1276,QW_CloseDL!A:E,5,0)),0,VLOOKUP(A1276,QW_CloseDL!A:E,5,0))</f>
        <v>0</v>
      </c>
      <c r="J1276" s="8" t="str">
        <f t="shared" si="95"/>
        <v/>
      </c>
      <c r="P1276">
        <v>0</v>
      </c>
      <c r="Q1276" t="e">
        <f t="shared" si="96"/>
        <v>#N/A</v>
      </c>
      <c r="R1276" t="e">
        <f t="shared" si="97"/>
        <v>#N/A</v>
      </c>
      <c r="S1276" s="9" t="e">
        <f t="shared" si="98"/>
        <v>#N/A</v>
      </c>
      <c r="T1276" s="3" t="e">
        <f t="shared" si="99"/>
        <v>#N/A</v>
      </c>
    </row>
    <row r="1277" spans="2:20" x14ac:dyDescent="0.35">
      <c r="B1277" t="str">
        <f>IF(NOT(ISBLANK(A1277)),VLOOKUP(A1277,'BBT3'!A:F,2,0),"")</f>
        <v/>
      </c>
      <c r="C1277" t="str">
        <f>IF(NOT(ISBLANK(A1277)),VLOOKUP(A1277,'BBT3'!A:F,3,0),"")</f>
        <v/>
      </c>
      <c r="D1277" s="6" t="str">
        <f>IF(NOT(ISBLANK(A1277)),VLOOKUP(A1277,'BBT3'!A:F,4,1),"")</f>
        <v/>
      </c>
      <c r="E1277" t="str">
        <f>IF(NOT(ISBLANK(A1277)),VLOOKUP(A1277,'BBT3'!A:F,5,0),"")</f>
        <v/>
      </c>
      <c r="F1277" t="str">
        <f>IF(NOT(ISBLANK(A1277)),VLOOKUP(A1277,'BBT3'!A:F,6,0),"")</f>
        <v/>
      </c>
      <c r="G1277" t="str">
        <f>IF(NOT(ISBLANK(A1277)),VLOOKUP(A1277,QW_Close!A:J,5,0),"")</f>
        <v/>
      </c>
      <c r="H1277" s="5" t="str" cm="1">
        <f t="array" ref="H1277">IF(NOT(ISBLANK(A1277)),((_xlfn.XLOOKUP(1,(_bbt3[[#All],[ID]]=A1277)*(_bbt3[[#All],[METRIC_NAME]]="YLD_YTM_ASK"),_bbt3[[#All],[METRIC_VALUE]])*0.5)+(_xlfn.XLOOKUP(1,(_bbt3[[#All],[ID]]=A1277)*(_bbt3[[#All],[METRIC_NAME]]="YLD_YTM_BID"),_bbt3[[#All],[METRIC_VALUE]])*0.5))/100,"")</f>
        <v/>
      </c>
      <c r="I1277">
        <f>IF(ISNA(VLOOKUP(A1277,QW_CloseDL!A:E,5,0)),0,VLOOKUP(A1277,QW_CloseDL!A:E,5,0))</f>
        <v>0</v>
      </c>
      <c r="J1277" s="8" t="str">
        <f t="shared" si="95"/>
        <v/>
      </c>
      <c r="P1277">
        <v>0</v>
      </c>
      <c r="Q1277" t="e">
        <f t="shared" si="96"/>
        <v>#N/A</v>
      </c>
      <c r="R1277" t="e">
        <f t="shared" si="97"/>
        <v>#N/A</v>
      </c>
      <c r="S1277" s="9" t="e">
        <f t="shared" si="98"/>
        <v>#N/A</v>
      </c>
      <c r="T1277" s="3" t="e">
        <f t="shared" si="99"/>
        <v>#N/A</v>
      </c>
    </row>
    <row r="1278" spans="2:20" x14ac:dyDescent="0.35">
      <c r="B1278" t="str">
        <f>IF(NOT(ISBLANK(A1278)),VLOOKUP(A1278,'BBT3'!A:F,2,0),"")</f>
        <v/>
      </c>
      <c r="C1278" t="str">
        <f>IF(NOT(ISBLANK(A1278)),VLOOKUP(A1278,'BBT3'!A:F,3,0),"")</f>
        <v/>
      </c>
      <c r="D1278" s="6" t="str">
        <f>IF(NOT(ISBLANK(A1278)),VLOOKUP(A1278,'BBT3'!A:F,4,1),"")</f>
        <v/>
      </c>
      <c r="E1278" t="str">
        <f>IF(NOT(ISBLANK(A1278)),VLOOKUP(A1278,'BBT3'!A:F,5,0),"")</f>
        <v/>
      </c>
      <c r="F1278" t="str">
        <f>IF(NOT(ISBLANK(A1278)),VLOOKUP(A1278,'BBT3'!A:F,6,0),"")</f>
        <v/>
      </c>
      <c r="G1278" t="str">
        <f>IF(NOT(ISBLANK(A1278)),VLOOKUP(A1278,QW_Close!A:J,5,0),"")</f>
        <v/>
      </c>
      <c r="H1278" s="5" t="str" cm="1">
        <f t="array" ref="H1278">IF(NOT(ISBLANK(A1278)),((_xlfn.XLOOKUP(1,(_bbt3[[#All],[ID]]=A1278)*(_bbt3[[#All],[METRIC_NAME]]="YLD_YTM_ASK"),_bbt3[[#All],[METRIC_VALUE]])*0.5)+(_xlfn.XLOOKUP(1,(_bbt3[[#All],[ID]]=A1278)*(_bbt3[[#All],[METRIC_NAME]]="YLD_YTM_BID"),_bbt3[[#All],[METRIC_VALUE]])*0.5))/100,"")</f>
        <v/>
      </c>
      <c r="I1278">
        <f>IF(ISNA(VLOOKUP(A1278,QW_CloseDL!A:E,5,0)),0,VLOOKUP(A1278,QW_CloseDL!A:E,5,0))</f>
        <v>0</v>
      </c>
      <c r="J1278" s="8" t="str">
        <f t="shared" si="95"/>
        <v/>
      </c>
      <c r="P1278">
        <v>0</v>
      </c>
      <c r="Q1278" t="e">
        <f t="shared" si="96"/>
        <v>#N/A</v>
      </c>
      <c r="R1278" t="e">
        <f t="shared" si="97"/>
        <v>#N/A</v>
      </c>
      <c r="S1278" s="9" t="e">
        <f t="shared" si="98"/>
        <v>#N/A</v>
      </c>
      <c r="T1278" s="3" t="e">
        <f t="shared" si="99"/>
        <v>#N/A</v>
      </c>
    </row>
    <row r="1279" spans="2:20" x14ac:dyDescent="0.35">
      <c r="B1279" t="str">
        <f>IF(NOT(ISBLANK(A1279)),VLOOKUP(A1279,'BBT3'!A:F,2,0),"")</f>
        <v/>
      </c>
      <c r="C1279" t="str">
        <f>IF(NOT(ISBLANK(A1279)),VLOOKUP(A1279,'BBT3'!A:F,3,0),"")</f>
        <v/>
      </c>
      <c r="D1279" s="6" t="str">
        <f>IF(NOT(ISBLANK(A1279)),VLOOKUP(A1279,'BBT3'!A:F,4,1),"")</f>
        <v/>
      </c>
      <c r="E1279" t="str">
        <f>IF(NOT(ISBLANK(A1279)),VLOOKUP(A1279,'BBT3'!A:F,5,0),"")</f>
        <v/>
      </c>
      <c r="F1279" t="str">
        <f>IF(NOT(ISBLANK(A1279)),VLOOKUP(A1279,'BBT3'!A:F,6,0),"")</f>
        <v/>
      </c>
      <c r="G1279" t="str">
        <f>IF(NOT(ISBLANK(A1279)),VLOOKUP(A1279,QW_Close!A:J,5,0),"")</f>
        <v/>
      </c>
      <c r="H1279" s="5" t="str" cm="1">
        <f t="array" ref="H1279">IF(NOT(ISBLANK(A1279)),((_xlfn.XLOOKUP(1,(_bbt3[[#All],[ID]]=A1279)*(_bbt3[[#All],[METRIC_NAME]]="YLD_YTM_ASK"),_bbt3[[#All],[METRIC_VALUE]])*0.5)+(_xlfn.XLOOKUP(1,(_bbt3[[#All],[ID]]=A1279)*(_bbt3[[#All],[METRIC_NAME]]="YLD_YTM_BID"),_bbt3[[#All],[METRIC_VALUE]])*0.5))/100,"")</f>
        <v/>
      </c>
      <c r="I1279">
        <f>IF(ISNA(VLOOKUP(A1279,QW_CloseDL!A:E,5,0)),0,VLOOKUP(A1279,QW_CloseDL!A:E,5,0))</f>
        <v>0</v>
      </c>
      <c r="J1279" s="8" t="str">
        <f t="shared" si="95"/>
        <v/>
      </c>
      <c r="P1279">
        <v>0</v>
      </c>
      <c r="Q1279" t="e">
        <f t="shared" si="96"/>
        <v>#N/A</v>
      </c>
      <c r="R1279" t="e">
        <f t="shared" si="97"/>
        <v>#N/A</v>
      </c>
      <c r="S1279" s="9" t="e">
        <f t="shared" si="98"/>
        <v>#N/A</v>
      </c>
      <c r="T1279" s="3" t="e">
        <f t="shared" si="99"/>
        <v>#N/A</v>
      </c>
    </row>
    <row r="1280" spans="2:20" x14ac:dyDescent="0.35">
      <c r="B1280" t="str">
        <f>IF(NOT(ISBLANK(A1280)),VLOOKUP(A1280,'BBT3'!A:F,2,0),"")</f>
        <v/>
      </c>
      <c r="C1280" t="str">
        <f>IF(NOT(ISBLANK(A1280)),VLOOKUP(A1280,'BBT3'!A:F,3,0),"")</f>
        <v/>
      </c>
      <c r="D1280" s="6" t="str">
        <f>IF(NOT(ISBLANK(A1280)),VLOOKUP(A1280,'BBT3'!A:F,4,1),"")</f>
        <v/>
      </c>
      <c r="E1280" t="str">
        <f>IF(NOT(ISBLANK(A1280)),VLOOKUP(A1280,'BBT3'!A:F,5,0),"")</f>
        <v/>
      </c>
      <c r="F1280" t="str">
        <f>IF(NOT(ISBLANK(A1280)),VLOOKUP(A1280,'BBT3'!A:F,6,0),"")</f>
        <v/>
      </c>
      <c r="G1280" t="str">
        <f>IF(NOT(ISBLANK(A1280)),VLOOKUP(A1280,QW_Close!A:J,5,0),"")</f>
        <v/>
      </c>
      <c r="H1280" s="5" t="str" cm="1">
        <f t="array" ref="H1280">IF(NOT(ISBLANK(A1280)),((_xlfn.XLOOKUP(1,(_bbt3[[#All],[ID]]=A1280)*(_bbt3[[#All],[METRIC_NAME]]="YLD_YTM_ASK"),_bbt3[[#All],[METRIC_VALUE]])*0.5)+(_xlfn.XLOOKUP(1,(_bbt3[[#All],[ID]]=A1280)*(_bbt3[[#All],[METRIC_NAME]]="YLD_YTM_BID"),_bbt3[[#All],[METRIC_VALUE]])*0.5))/100,"")</f>
        <v/>
      </c>
      <c r="I1280">
        <f>IF(ISNA(VLOOKUP(A1280,QW_CloseDL!A:E,5,0)),0,VLOOKUP(A1280,QW_CloseDL!A:E,5,0))</f>
        <v>0</v>
      </c>
      <c r="J1280" s="8" t="str">
        <f t="shared" si="95"/>
        <v/>
      </c>
      <c r="P1280">
        <v>0</v>
      </c>
      <c r="Q1280" t="e">
        <f t="shared" si="96"/>
        <v>#N/A</v>
      </c>
      <c r="R1280" t="e">
        <f t="shared" si="97"/>
        <v>#N/A</v>
      </c>
      <c r="S1280" s="9" t="e">
        <f t="shared" si="98"/>
        <v>#N/A</v>
      </c>
      <c r="T1280" s="3" t="e">
        <f t="shared" si="99"/>
        <v>#N/A</v>
      </c>
    </row>
    <row r="1281" spans="2:20" x14ac:dyDescent="0.35">
      <c r="B1281" t="str">
        <f>IF(NOT(ISBLANK(A1281)),VLOOKUP(A1281,'BBT3'!A:F,2,0),"")</f>
        <v/>
      </c>
      <c r="C1281" t="str">
        <f>IF(NOT(ISBLANK(A1281)),VLOOKUP(A1281,'BBT3'!A:F,3,0),"")</f>
        <v/>
      </c>
      <c r="D1281" s="6" t="str">
        <f>IF(NOT(ISBLANK(A1281)),VLOOKUP(A1281,'BBT3'!A:F,4,1),"")</f>
        <v/>
      </c>
      <c r="E1281" t="str">
        <f>IF(NOT(ISBLANK(A1281)),VLOOKUP(A1281,'BBT3'!A:F,5,0),"")</f>
        <v/>
      </c>
      <c r="F1281" t="str">
        <f>IF(NOT(ISBLANK(A1281)),VLOOKUP(A1281,'BBT3'!A:F,6,0),"")</f>
        <v/>
      </c>
      <c r="G1281" t="str">
        <f>IF(NOT(ISBLANK(A1281)),VLOOKUP(A1281,QW_Close!A:J,5,0),"")</f>
        <v/>
      </c>
      <c r="H1281" s="5" t="str" cm="1">
        <f t="array" ref="H1281">IF(NOT(ISBLANK(A1281)),((_xlfn.XLOOKUP(1,(_bbt3[[#All],[ID]]=A1281)*(_bbt3[[#All],[METRIC_NAME]]="YLD_YTM_ASK"),_bbt3[[#All],[METRIC_VALUE]])*0.5)+(_xlfn.XLOOKUP(1,(_bbt3[[#All],[ID]]=A1281)*(_bbt3[[#All],[METRIC_NAME]]="YLD_YTM_BID"),_bbt3[[#All],[METRIC_VALUE]])*0.5))/100,"")</f>
        <v/>
      </c>
      <c r="I1281">
        <f>IF(ISNA(VLOOKUP(A1281,QW_CloseDL!A:E,5,0)),0,VLOOKUP(A1281,QW_CloseDL!A:E,5,0))</f>
        <v>0</v>
      </c>
      <c r="J1281" s="8" t="str">
        <f t="shared" si="95"/>
        <v/>
      </c>
      <c r="P1281">
        <v>0</v>
      </c>
      <c r="Q1281" t="e">
        <f t="shared" si="96"/>
        <v>#N/A</v>
      </c>
      <c r="R1281" t="e">
        <f t="shared" si="97"/>
        <v>#N/A</v>
      </c>
      <c r="S1281" s="9" t="e">
        <f t="shared" si="98"/>
        <v>#N/A</v>
      </c>
      <c r="T1281" s="3" t="e">
        <f t="shared" si="99"/>
        <v>#N/A</v>
      </c>
    </row>
    <row r="1282" spans="2:20" x14ac:dyDescent="0.35">
      <c r="B1282" t="str">
        <f>IF(NOT(ISBLANK(A1282)),VLOOKUP(A1282,'BBT3'!A:F,2,0),"")</f>
        <v/>
      </c>
      <c r="C1282" t="str">
        <f>IF(NOT(ISBLANK(A1282)),VLOOKUP(A1282,'BBT3'!A:F,3,0),"")</f>
        <v/>
      </c>
      <c r="D1282" s="6" t="str">
        <f>IF(NOT(ISBLANK(A1282)),VLOOKUP(A1282,'BBT3'!A:F,4,1),"")</f>
        <v/>
      </c>
      <c r="E1282" t="str">
        <f>IF(NOT(ISBLANK(A1282)),VLOOKUP(A1282,'BBT3'!A:F,5,0),"")</f>
        <v/>
      </c>
      <c r="F1282" t="str">
        <f>IF(NOT(ISBLANK(A1282)),VLOOKUP(A1282,'BBT3'!A:F,6,0),"")</f>
        <v/>
      </c>
      <c r="G1282" t="str">
        <f>IF(NOT(ISBLANK(A1282)),VLOOKUP(A1282,QW_Close!A:J,5,0),"")</f>
        <v/>
      </c>
      <c r="H1282" s="5" t="str" cm="1">
        <f t="array" ref="H1282">IF(NOT(ISBLANK(A1282)),((_xlfn.XLOOKUP(1,(_bbt3[[#All],[ID]]=A1282)*(_bbt3[[#All],[METRIC_NAME]]="YLD_YTM_ASK"),_bbt3[[#All],[METRIC_VALUE]])*0.5)+(_xlfn.XLOOKUP(1,(_bbt3[[#All],[ID]]=A1282)*(_bbt3[[#All],[METRIC_NAME]]="YLD_YTM_BID"),_bbt3[[#All],[METRIC_VALUE]])*0.5))/100,"")</f>
        <v/>
      </c>
      <c r="I1282">
        <f>IF(ISNA(VLOOKUP(A1282,QW_CloseDL!A:E,5,0)),0,VLOOKUP(A1282,QW_CloseDL!A:E,5,0))</f>
        <v>0</v>
      </c>
      <c r="J1282" s="8" t="str">
        <f t="shared" si="95"/>
        <v/>
      </c>
      <c r="P1282">
        <v>0</v>
      </c>
      <c r="Q1282" t="e">
        <f t="shared" si="96"/>
        <v>#N/A</v>
      </c>
      <c r="R1282" t="e">
        <f t="shared" si="97"/>
        <v>#N/A</v>
      </c>
      <c r="S1282" s="9" t="e">
        <f t="shared" si="98"/>
        <v>#N/A</v>
      </c>
      <c r="T1282" s="3" t="e">
        <f t="shared" si="99"/>
        <v>#N/A</v>
      </c>
    </row>
    <row r="1283" spans="2:20" x14ac:dyDescent="0.35">
      <c r="B1283" t="str">
        <f>IF(NOT(ISBLANK(A1283)),VLOOKUP(A1283,'BBT3'!A:F,2,0),"")</f>
        <v/>
      </c>
      <c r="C1283" t="str">
        <f>IF(NOT(ISBLANK(A1283)),VLOOKUP(A1283,'BBT3'!A:F,3,0),"")</f>
        <v/>
      </c>
      <c r="D1283" s="6" t="str">
        <f>IF(NOT(ISBLANK(A1283)),VLOOKUP(A1283,'BBT3'!A:F,4,1),"")</f>
        <v/>
      </c>
      <c r="E1283" t="str">
        <f>IF(NOT(ISBLANK(A1283)),VLOOKUP(A1283,'BBT3'!A:F,5,0),"")</f>
        <v/>
      </c>
      <c r="F1283" t="str">
        <f>IF(NOT(ISBLANK(A1283)),VLOOKUP(A1283,'BBT3'!A:F,6,0),"")</f>
        <v/>
      </c>
      <c r="G1283" t="str">
        <f>IF(NOT(ISBLANK(A1283)),VLOOKUP(A1283,QW_Close!A:J,5,0),"")</f>
        <v/>
      </c>
      <c r="H1283" s="5" t="str" cm="1">
        <f t="array" ref="H1283">IF(NOT(ISBLANK(A1283)),((_xlfn.XLOOKUP(1,(_bbt3[[#All],[ID]]=A1283)*(_bbt3[[#All],[METRIC_NAME]]="YLD_YTM_ASK"),_bbt3[[#All],[METRIC_VALUE]])*0.5)+(_xlfn.XLOOKUP(1,(_bbt3[[#All],[ID]]=A1283)*(_bbt3[[#All],[METRIC_NAME]]="YLD_YTM_BID"),_bbt3[[#All],[METRIC_VALUE]])*0.5))/100,"")</f>
        <v/>
      </c>
      <c r="I1283">
        <f>IF(ISNA(VLOOKUP(A1283,QW_CloseDL!A:E,5,0)),0,VLOOKUP(A1283,QW_CloseDL!A:E,5,0))</f>
        <v>0</v>
      </c>
      <c r="J1283" s="8" t="str">
        <f t="shared" ref="J1283:J1346" si="100">IF(ISNA(IF(NOT(ISBLANK(A1283)),ABS(G1283-I1283),"")),0,(IF(NOT(ISBLANK(A1283)),ABS(G1283-I1283)*10000,"")))</f>
        <v/>
      </c>
      <c r="P1283">
        <v>0</v>
      </c>
      <c r="Q1283" t="e">
        <f t="shared" si="96"/>
        <v>#N/A</v>
      </c>
      <c r="R1283" t="e">
        <f t="shared" si="97"/>
        <v>#N/A</v>
      </c>
      <c r="S1283" s="9" t="e">
        <f t="shared" si="98"/>
        <v>#N/A</v>
      </c>
      <c r="T1283" s="3" t="e">
        <f t="shared" si="99"/>
        <v>#N/A</v>
      </c>
    </row>
    <row r="1284" spans="2:20" x14ac:dyDescent="0.35">
      <c r="B1284" t="str">
        <f>IF(NOT(ISBLANK(A1284)),VLOOKUP(A1284,'BBT3'!A:F,2,0),"")</f>
        <v/>
      </c>
      <c r="C1284" t="str">
        <f>IF(NOT(ISBLANK(A1284)),VLOOKUP(A1284,'BBT3'!A:F,3,0),"")</f>
        <v/>
      </c>
      <c r="D1284" s="6" t="str">
        <f>IF(NOT(ISBLANK(A1284)),VLOOKUP(A1284,'BBT3'!A:F,4,1),"")</f>
        <v/>
      </c>
      <c r="E1284" t="str">
        <f>IF(NOT(ISBLANK(A1284)),VLOOKUP(A1284,'BBT3'!A:F,5,0),"")</f>
        <v/>
      </c>
      <c r="F1284" t="str">
        <f>IF(NOT(ISBLANK(A1284)),VLOOKUP(A1284,'BBT3'!A:F,6,0),"")</f>
        <v/>
      </c>
      <c r="G1284" t="str">
        <f>IF(NOT(ISBLANK(A1284)),VLOOKUP(A1284,QW_Close!A:J,5,0),"")</f>
        <v/>
      </c>
      <c r="H1284" s="5" t="str" cm="1">
        <f t="array" ref="H1284">IF(NOT(ISBLANK(A1284)),((_xlfn.XLOOKUP(1,(_bbt3[[#All],[ID]]=A1284)*(_bbt3[[#All],[METRIC_NAME]]="YLD_YTM_ASK"),_bbt3[[#All],[METRIC_VALUE]])*0.5)+(_xlfn.XLOOKUP(1,(_bbt3[[#All],[ID]]=A1284)*(_bbt3[[#All],[METRIC_NAME]]="YLD_YTM_BID"),_bbt3[[#All],[METRIC_VALUE]])*0.5))/100,"")</f>
        <v/>
      </c>
      <c r="I1284">
        <f>IF(ISNA(VLOOKUP(A1284,QW_CloseDL!A:E,5,0)),0,VLOOKUP(A1284,QW_CloseDL!A:E,5,0))</f>
        <v>0</v>
      </c>
      <c r="J1284" s="8" t="str">
        <f t="shared" si="100"/>
        <v/>
      </c>
      <c r="P1284">
        <v>0</v>
      </c>
      <c r="Q1284" t="e">
        <f t="shared" si="96"/>
        <v>#N/A</v>
      </c>
      <c r="R1284" t="e">
        <f t="shared" si="97"/>
        <v>#N/A</v>
      </c>
      <c r="S1284" s="9" t="e">
        <f t="shared" si="98"/>
        <v>#N/A</v>
      </c>
      <c r="T1284" s="3" t="e">
        <f t="shared" si="99"/>
        <v>#N/A</v>
      </c>
    </row>
    <row r="1285" spans="2:20" x14ac:dyDescent="0.35">
      <c r="B1285" t="str">
        <f>IF(NOT(ISBLANK(A1285)),VLOOKUP(A1285,'BBT3'!A:F,2,0),"")</f>
        <v/>
      </c>
      <c r="C1285" t="str">
        <f>IF(NOT(ISBLANK(A1285)),VLOOKUP(A1285,'BBT3'!A:F,3,0),"")</f>
        <v/>
      </c>
      <c r="D1285" s="6" t="str">
        <f>IF(NOT(ISBLANK(A1285)),VLOOKUP(A1285,'BBT3'!A:F,4,1),"")</f>
        <v/>
      </c>
      <c r="E1285" t="str">
        <f>IF(NOT(ISBLANK(A1285)),VLOOKUP(A1285,'BBT3'!A:F,5,0),"")</f>
        <v/>
      </c>
      <c r="F1285" t="str">
        <f>IF(NOT(ISBLANK(A1285)),VLOOKUP(A1285,'BBT3'!A:F,6,0),"")</f>
        <v/>
      </c>
      <c r="G1285" t="str">
        <f>IF(NOT(ISBLANK(A1285)),VLOOKUP(A1285,QW_Close!A:J,5,0),"")</f>
        <v/>
      </c>
      <c r="H1285" s="5" t="str" cm="1">
        <f t="array" ref="H1285">IF(NOT(ISBLANK(A1285)),((_xlfn.XLOOKUP(1,(_bbt3[[#All],[ID]]=A1285)*(_bbt3[[#All],[METRIC_NAME]]="YLD_YTM_ASK"),_bbt3[[#All],[METRIC_VALUE]])*0.5)+(_xlfn.XLOOKUP(1,(_bbt3[[#All],[ID]]=A1285)*(_bbt3[[#All],[METRIC_NAME]]="YLD_YTM_BID"),_bbt3[[#All],[METRIC_VALUE]])*0.5))/100,"")</f>
        <v/>
      </c>
      <c r="I1285">
        <f>IF(ISNA(VLOOKUP(A1285,QW_CloseDL!A:E,5,0)),0,VLOOKUP(A1285,QW_CloseDL!A:E,5,0))</f>
        <v>0</v>
      </c>
      <c r="J1285" s="8" t="str">
        <f t="shared" si="100"/>
        <v/>
      </c>
      <c r="P1285">
        <v>0</v>
      </c>
      <c r="Q1285" t="e">
        <f t="shared" si="96"/>
        <v>#N/A</v>
      </c>
      <c r="R1285" t="e">
        <f t="shared" si="97"/>
        <v>#N/A</v>
      </c>
      <c r="S1285" s="9" t="e">
        <f t="shared" si="98"/>
        <v>#N/A</v>
      </c>
      <c r="T1285" s="3" t="e">
        <f t="shared" si="99"/>
        <v>#N/A</v>
      </c>
    </row>
    <row r="1286" spans="2:20" x14ac:dyDescent="0.35">
      <c r="B1286" t="str">
        <f>IF(NOT(ISBLANK(A1286)),VLOOKUP(A1286,'BBT3'!A:F,2,0),"")</f>
        <v/>
      </c>
      <c r="C1286" t="str">
        <f>IF(NOT(ISBLANK(A1286)),VLOOKUP(A1286,'BBT3'!A:F,3,0),"")</f>
        <v/>
      </c>
      <c r="D1286" s="6" t="str">
        <f>IF(NOT(ISBLANK(A1286)),VLOOKUP(A1286,'BBT3'!A:F,4,1),"")</f>
        <v/>
      </c>
      <c r="E1286" t="str">
        <f>IF(NOT(ISBLANK(A1286)),VLOOKUP(A1286,'BBT3'!A:F,5,0),"")</f>
        <v/>
      </c>
      <c r="F1286" t="str">
        <f>IF(NOT(ISBLANK(A1286)),VLOOKUP(A1286,'BBT3'!A:F,6,0),"")</f>
        <v/>
      </c>
      <c r="G1286" t="str">
        <f>IF(NOT(ISBLANK(A1286)),VLOOKUP(A1286,QW_Close!A:J,5,0),"")</f>
        <v/>
      </c>
      <c r="H1286" s="5" t="str" cm="1">
        <f t="array" ref="H1286">IF(NOT(ISBLANK(A1286)),((_xlfn.XLOOKUP(1,(_bbt3[[#All],[ID]]=A1286)*(_bbt3[[#All],[METRIC_NAME]]="YLD_YTM_ASK"),_bbt3[[#All],[METRIC_VALUE]])*0.5)+(_xlfn.XLOOKUP(1,(_bbt3[[#All],[ID]]=A1286)*(_bbt3[[#All],[METRIC_NAME]]="YLD_YTM_BID"),_bbt3[[#All],[METRIC_VALUE]])*0.5))/100,"")</f>
        <v/>
      </c>
      <c r="I1286">
        <f>IF(ISNA(VLOOKUP(A1286,QW_CloseDL!A:E,5,0)),0,VLOOKUP(A1286,QW_CloseDL!A:E,5,0))</f>
        <v>0</v>
      </c>
      <c r="J1286" s="8" t="str">
        <f t="shared" si="100"/>
        <v/>
      </c>
      <c r="P1286">
        <v>0</v>
      </c>
      <c r="Q1286" t="e">
        <f t="shared" si="96"/>
        <v>#N/A</v>
      </c>
      <c r="R1286" t="e">
        <f t="shared" si="97"/>
        <v>#N/A</v>
      </c>
      <c r="S1286" s="9" t="e">
        <f t="shared" si="98"/>
        <v>#N/A</v>
      </c>
      <c r="T1286" s="3" t="e">
        <f t="shared" si="99"/>
        <v>#N/A</v>
      </c>
    </row>
    <row r="1287" spans="2:20" x14ac:dyDescent="0.35">
      <c r="B1287" t="str">
        <f>IF(NOT(ISBLANK(A1287)),VLOOKUP(A1287,'BBT3'!A:F,2,0),"")</f>
        <v/>
      </c>
      <c r="C1287" t="str">
        <f>IF(NOT(ISBLANK(A1287)),VLOOKUP(A1287,'BBT3'!A:F,3,0),"")</f>
        <v/>
      </c>
      <c r="D1287" s="6" t="str">
        <f>IF(NOT(ISBLANK(A1287)),VLOOKUP(A1287,'BBT3'!A:F,4,1),"")</f>
        <v/>
      </c>
      <c r="E1287" t="str">
        <f>IF(NOT(ISBLANK(A1287)),VLOOKUP(A1287,'BBT3'!A:F,5,0),"")</f>
        <v/>
      </c>
      <c r="F1287" t="str">
        <f>IF(NOT(ISBLANK(A1287)),VLOOKUP(A1287,'BBT3'!A:F,6,0),"")</f>
        <v/>
      </c>
      <c r="G1287" t="str">
        <f>IF(NOT(ISBLANK(A1287)),VLOOKUP(A1287,QW_Close!A:J,5,0),"")</f>
        <v/>
      </c>
      <c r="H1287" s="5" t="str" cm="1">
        <f t="array" ref="H1287">IF(NOT(ISBLANK(A1287)),((_xlfn.XLOOKUP(1,(_bbt3[[#All],[ID]]=A1287)*(_bbt3[[#All],[METRIC_NAME]]="YLD_YTM_ASK"),_bbt3[[#All],[METRIC_VALUE]])*0.5)+(_xlfn.XLOOKUP(1,(_bbt3[[#All],[ID]]=A1287)*(_bbt3[[#All],[METRIC_NAME]]="YLD_YTM_BID"),_bbt3[[#All],[METRIC_VALUE]])*0.5))/100,"")</f>
        <v/>
      </c>
      <c r="I1287">
        <f>IF(ISNA(VLOOKUP(A1287,QW_CloseDL!A:E,5,0)),0,VLOOKUP(A1287,QW_CloseDL!A:E,5,0))</f>
        <v>0</v>
      </c>
      <c r="J1287" s="8" t="str">
        <f t="shared" si="100"/>
        <v/>
      </c>
      <c r="P1287">
        <v>0</v>
      </c>
      <c r="Q1287" t="e">
        <f t="shared" si="96"/>
        <v>#N/A</v>
      </c>
      <c r="R1287" t="e">
        <f t="shared" si="97"/>
        <v>#N/A</v>
      </c>
      <c r="S1287" s="9" t="e">
        <f t="shared" si="98"/>
        <v>#N/A</v>
      </c>
      <c r="T1287" s="3" t="e">
        <f t="shared" si="99"/>
        <v>#N/A</v>
      </c>
    </row>
    <row r="1288" spans="2:20" x14ac:dyDescent="0.35">
      <c r="B1288" t="str">
        <f>IF(NOT(ISBLANK(A1288)),VLOOKUP(A1288,'BBT3'!A:F,2,0),"")</f>
        <v/>
      </c>
      <c r="C1288" t="str">
        <f>IF(NOT(ISBLANK(A1288)),VLOOKUP(A1288,'BBT3'!A:F,3,0),"")</f>
        <v/>
      </c>
      <c r="D1288" s="6" t="str">
        <f>IF(NOT(ISBLANK(A1288)),VLOOKUP(A1288,'BBT3'!A:F,4,1),"")</f>
        <v/>
      </c>
      <c r="E1288" t="str">
        <f>IF(NOT(ISBLANK(A1288)),VLOOKUP(A1288,'BBT3'!A:F,5,0),"")</f>
        <v/>
      </c>
      <c r="F1288" t="str">
        <f>IF(NOT(ISBLANK(A1288)),VLOOKUP(A1288,'BBT3'!A:F,6,0),"")</f>
        <v/>
      </c>
      <c r="G1288" t="str">
        <f>IF(NOT(ISBLANK(A1288)),VLOOKUP(A1288,QW_Close!A:J,5,0),"")</f>
        <v/>
      </c>
      <c r="H1288" s="5" t="str" cm="1">
        <f t="array" ref="H1288">IF(NOT(ISBLANK(A1288)),((_xlfn.XLOOKUP(1,(_bbt3[[#All],[ID]]=A1288)*(_bbt3[[#All],[METRIC_NAME]]="YLD_YTM_ASK"),_bbt3[[#All],[METRIC_VALUE]])*0.5)+(_xlfn.XLOOKUP(1,(_bbt3[[#All],[ID]]=A1288)*(_bbt3[[#All],[METRIC_NAME]]="YLD_YTM_BID"),_bbt3[[#All],[METRIC_VALUE]])*0.5))/100,"")</f>
        <v/>
      </c>
      <c r="I1288">
        <f>IF(ISNA(VLOOKUP(A1288,QW_CloseDL!A:E,5,0)),0,VLOOKUP(A1288,QW_CloseDL!A:E,5,0))</f>
        <v>0</v>
      </c>
      <c r="J1288" s="8" t="str">
        <f t="shared" si="100"/>
        <v/>
      </c>
      <c r="P1288">
        <v>0</v>
      </c>
      <c r="Q1288" t="e">
        <f t="shared" si="96"/>
        <v>#N/A</v>
      </c>
      <c r="R1288" t="e">
        <f t="shared" si="97"/>
        <v>#N/A</v>
      </c>
      <c r="S1288" s="9" t="e">
        <f t="shared" si="98"/>
        <v>#N/A</v>
      </c>
      <c r="T1288" s="3" t="e">
        <f t="shared" si="99"/>
        <v>#N/A</v>
      </c>
    </row>
    <row r="1289" spans="2:20" x14ac:dyDescent="0.35">
      <c r="B1289" t="str">
        <f>IF(NOT(ISBLANK(A1289)),VLOOKUP(A1289,'BBT3'!A:F,2,0),"")</f>
        <v/>
      </c>
      <c r="C1289" t="str">
        <f>IF(NOT(ISBLANK(A1289)),VLOOKUP(A1289,'BBT3'!A:F,3,0),"")</f>
        <v/>
      </c>
      <c r="D1289" s="6" t="str">
        <f>IF(NOT(ISBLANK(A1289)),VLOOKUP(A1289,'BBT3'!A:F,4,1),"")</f>
        <v/>
      </c>
      <c r="E1289" t="str">
        <f>IF(NOT(ISBLANK(A1289)),VLOOKUP(A1289,'BBT3'!A:F,5,0),"")</f>
        <v/>
      </c>
      <c r="F1289" t="str">
        <f>IF(NOT(ISBLANK(A1289)),VLOOKUP(A1289,'BBT3'!A:F,6,0),"")</f>
        <v/>
      </c>
      <c r="G1289" t="str">
        <f>IF(NOT(ISBLANK(A1289)),VLOOKUP(A1289,QW_Close!A:J,5,0),"")</f>
        <v/>
      </c>
      <c r="H1289" s="5" t="str" cm="1">
        <f t="array" ref="H1289">IF(NOT(ISBLANK(A1289)),((_xlfn.XLOOKUP(1,(_bbt3[[#All],[ID]]=A1289)*(_bbt3[[#All],[METRIC_NAME]]="YLD_YTM_ASK"),_bbt3[[#All],[METRIC_VALUE]])*0.5)+(_xlfn.XLOOKUP(1,(_bbt3[[#All],[ID]]=A1289)*(_bbt3[[#All],[METRIC_NAME]]="YLD_YTM_BID"),_bbt3[[#All],[METRIC_VALUE]])*0.5))/100,"")</f>
        <v/>
      </c>
      <c r="I1289">
        <f>IF(ISNA(VLOOKUP(A1289,QW_CloseDL!A:E,5,0)),0,VLOOKUP(A1289,QW_CloseDL!A:E,5,0))</f>
        <v>0</v>
      </c>
      <c r="J1289" s="8" t="str">
        <f t="shared" si="100"/>
        <v/>
      </c>
      <c r="P1289">
        <v>0</v>
      </c>
      <c r="Q1289" t="e">
        <f t="shared" si="96"/>
        <v>#N/A</v>
      </c>
      <c r="R1289" t="e">
        <f t="shared" si="97"/>
        <v>#N/A</v>
      </c>
      <c r="S1289" s="9" t="e">
        <f t="shared" si="98"/>
        <v>#N/A</v>
      </c>
      <c r="T1289" s="3" t="e">
        <f t="shared" si="99"/>
        <v>#N/A</v>
      </c>
    </row>
    <row r="1290" spans="2:20" x14ac:dyDescent="0.35">
      <c r="B1290" t="str">
        <f>IF(NOT(ISBLANK(A1290)),VLOOKUP(A1290,'BBT3'!A:F,2,0),"")</f>
        <v/>
      </c>
      <c r="C1290" t="str">
        <f>IF(NOT(ISBLANK(A1290)),VLOOKUP(A1290,'BBT3'!A:F,3,0),"")</f>
        <v/>
      </c>
      <c r="D1290" s="6" t="str">
        <f>IF(NOT(ISBLANK(A1290)),VLOOKUP(A1290,'BBT3'!A:F,4,1),"")</f>
        <v/>
      </c>
      <c r="E1290" t="str">
        <f>IF(NOT(ISBLANK(A1290)),VLOOKUP(A1290,'BBT3'!A:F,5,0),"")</f>
        <v/>
      </c>
      <c r="F1290" t="str">
        <f>IF(NOT(ISBLANK(A1290)),VLOOKUP(A1290,'BBT3'!A:F,6,0),"")</f>
        <v/>
      </c>
      <c r="G1290" t="str">
        <f>IF(NOT(ISBLANK(A1290)),VLOOKUP(A1290,QW_Close!A:J,5,0),"")</f>
        <v/>
      </c>
      <c r="H1290" s="5" t="str" cm="1">
        <f t="array" ref="H1290">IF(NOT(ISBLANK(A1290)),((_xlfn.XLOOKUP(1,(_bbt3[[#All],[ID]]=A1290)*(_bbt3[[#All],[METRIC_NAME]]="YLD_YTM_ASK"),_bbt3[[#All],[METRIC_VALUE]])*0.5)+(_xlfn.XLOOKUP(1,(_bbt3[[#All],[ID]]=A1290)*(_bbt3[[#All],[METRIC_NAME]]="YLD_YTM_BID"),_bbt3[[#All],[METRIC_VALUE]])*0.5))/100,"")</f>
        <v/>
      </c>
      <c r="I1290">
        <f>IF(ISNA(VLOOKUP(A1290,QW_CloseDL!A:E,5,0)),0,VLOOKUP(A1290,QW_CloseDL!A:E,5,0))</f>
        <v>0</v>
      </c>
      <c r="J1290" s="8" t="str">
        <f t="shared" si="100"/>
        <v/>
      </c>
      <c r="P1290">
        <v>0</v>
      </c>
      <c r="Q1290" t="e">
        <f t="shared" si="96"/>
        <v>#N/A</v>
      </c>
      <c r="R1290" t="e">
        <f t="shared" si="97"/>
        <v>#N/A</v>
      </c>
      <c r="S1290" s="9" t="e">
        <f t="shared" si="98"/>
        <v>#N/A</v>
      </c>
      <c r="T1290" s="3" t="e">
        <f t="shared" si="99"/>
        <v>#N/A</v>
      </c>
    </row>
    <row r="1291" spans="2:20" x14ac:dyDescent="0.35">
      <c r="B1291" t="str">
        <f>IF(NOT(ISBLANK(A1291)),VLOOKUP(A1291,'BBT3'!A:F,2,0),"")</f>
        <v/>
      </c>
      <c r="C1291" t="str">
        <f>IF(NOT(ISBLANK(A1291)),VLOOKUP(A1291,'BBT3'!A:F,3,0),"")</f>
        <v/>
      </c>
      <c r="D1291" s="6" t="str">
        <f>IF(NOT(ISBLANK(A1291)),VLOOKUP(A1291,'BBT3'!A:F,4,1),"")</f>
        <v/>
      </c>
      <c r="E1291" t="str">
        <f>IF(NOT(ISBLANK(A1291)),VLOOKUP(A1291,'BBT3'!A:F,5,0),"")</f>
        <v/>
      </c>
      <c r="F1291" t="str">
        <f>IF(NOT(ISBLANK(A1291)),VLOOKUP(A1291,'BBT3'!A:F,6,0),"")</f>
        <v/>
      </c>
      <c r="G1291" t="str">
        <f>IF(NOT(ISBLANK(A1291)),VLOOKUP(A1291,QW_Close!A:J,5,0),"")</f>
        <v/>
      </c>
      <c r="H1291" s="5" t="str" cm="1">
        <f t="array" ref="H1291">IF(NOT(ISBLANK(A1291)),((_xlfn.XLOOKUP(1,(_bbt3[[#All],[ID]]=A1291)*(_bbt3[[#All],[METRIC_NAME]]="YLD_YTM_ASK"),_bbt3[[#All],[METRIC_VALUE]])*0.5)+(_xlfn.XLOOKUP(1,(_bbt3[[#All],[ID]]=A1291)*(_bbt3[[#All],[METRIC_NAME]]="YLD_YTM_BID"),_bbt3[[#All],[METRIC_VALUE]])*0.5))/100,"")</f>
        <v/>
      </c>
      <c r="I1291">
        <f>IF(ISNA(VLOOKUP(A1291,QW_CloseDL!A:E,5,0)),0,VLOOKUP(A1291,QW_CloseDL!A:E,5,0))</f>
        <v>0</v>
      </c>
      <c r="J1291" s="8" t="str">
        <f t="shared" si="100"/>
        <v/>
      </c>
      <c r="P1291">
        <v>0</v>
      </c>
      <c r="Q1291" t="e">
        <f t="shared" si="96"/>
        <v>#N/A</v>
      </c>
      <c r="R1291" t="e">
        <f t="shared" si="97"/>
        <v>#N/A</v>
      </c>
      <c r="S1291" s="9" t="e">
        <f t="shared" si="98"/>
        <v>#N/A</v>
      </c>
      <c r="T1291" s="3" t="e">
        <f t="shared" si="99"/>
        <v>#N/A</v>
      </c>
    </row>
    <row r="1292" spans="2:20" x14ac:dyDescent="0.35">
      <c r="B1292" t="str">
        <f>IF(NOT(ISBLANK(A1292)),VLOOKUP(A1292,'BBT3'!A:F,2,0),"")</f>
        <v/>
      </c>
      <c r="C1292" t="str">
        <f>IF(NOT(ISBLANK(A1292)),VLOOKUP(A1292,'BBT3'!A:F,3,0),"")</f>
        <v/>
      </c>
      <c r="D1292" s="6" t="str">
        <f>IF(NOT(ISBLANK(A1292)),VLOOKUP(A1292,'BBT3'!A:F,4,1),"")</f>
        <v/>
      </c>
      <c r="E1292" t="str">
        <f>IF(NOT(ISBLANK(A1292)),VLOOKUP(A1292,'BBT3'!A:F,5,0),"")</f>
        <v/>
      </c>
      <c r="F1292" t="str">
        <f>IF(NOT(ISBLANK(A1292)),VLOOKUP(A1292,'BBT3'!A:F,6,0),"")</f>
        <v/>
      </c>
      <c r="G1292" t="str">
        <f>IF(NOT(ISBLANK(A1292)),VLOOKUP(A1292,QW_Close!A:J,5,0),"")</f>
        <v/>
      </c>
      <c r="H1292" s="5" t="str" cm="1">
        <f t="array" ref="H1292">IF(NOT(ISBLANK(A1292)),((_xlfn.XLOOKUP(1,(_bbt3[[#All],[ID]]=A1292)*(_bbt3[[#All],[METRIC_NAME]]="YLD_YTM_ASK"),_bbt3[[#All],[METRIC_VALUE]])*0.5)+(_xlfn.XLOOKUP(1,(_bbt3[[#All],[ID]]=A1292)*(_bbt3[[#All],[METRIC_NAME]]="YLD_YTM_BID"),_bbt3[[#All],[METRIC_VALUE]])*0.5))/100,"")</f>
        <v/>
      </c>
      <c r="I1292">
        <f>IF(ISNA(VLOOKUP(A1292,QW_CloseDL!A:E,5,0)),0,VLOOKUP(A1292,QW_CloseDL!A:E,5,0))</f>
        <v>0</v>
      </c>
      <c r="J1292" s="8" t="str">
        <f t="shared" si="100"/>
        <v/>
      </c>
      <c r="P1292">
        <v>0</v>
      </c>
      <c r="Q1292" t="e">
        <f t="shared" si="96"/>
        <v>#N/A</v>
      </c>
      <c r="R1292" t="e">
        <f t="shared" si="97"/>
        <v>#N/A</v>
      </c>
      <c r="S1292" s="9" t="e">
        <f t="shared" si="98"/>
        <v>#N/A</v>
      </c>
      <c r="T1292" s="3" t="e">
        <f t="shared" si="99"/>
        <v>#N/A</v>
      </c>
    </row>
    <row r="1293" spans="2:20" x14ac:dyDescent="0.35">
      <c r="B1293" t="str">
        <f>IF(NOT(ISBLANK(A1293)),VLOOKUP(A1293,'BBT3'!A:F,2,0),"")</f>
        <v/>
      </c>
      <c r="C1293" t="str">
        <f>IF(NOT(ISBLANK(A1293)),VLOOKUP(A1293,'BBT3'!A:F,3,0),"")</f>
        <v/>
      </c>
      <c r="D1293" s="6" t="str">
        <f>IF(NOT(ISBLANK(A1293)),VLOOKUP(A1293,'BBT3'!A:F,4,1),"")</f>
        <v/>
      </c>
      <c r="E1293" t="str">
        <f>IF(NOT(ISBLANK(A1293)),VLOOKUP(A1293,'BBT3'!A:F,5,0),"")</f>
        <v/>
      </c>
      <c r="F1293" t="str">
        <f>IF(NOT(ISBLANK(A1293)),VLOOKUP(A1293,'BBT3'!A:F,6,0),"")</f>
        <v/>
      </c>
      <c r="G1293" t="str">
        <f>IF(NOT(ISBLANK(A1293)),VLOOKUP(A1293,QW_Close!A:J,5,0),"")</f>
        <v/>
      </c>
      <c r="H1293" s="5" t="str" cm="1">
        <f t="array" ref="H1293">IF(NOT(ISBLANK(A1293)),((_xlfn.XLOOKUP(1,(_bbt3[[#All],[ID]]=A1293)*(_bbt3[[#All],[METRIC_NAME]]="YLD_YTM_ASK"),_bbt3[[#All],[METRIC_VALUE]])*0.5)+(_xlfn.XLOOKUP(1,(_bbt3[[#All],[ID]]=A1293)*(_bbt3[[#All],[METRIC_NAME]]="YLD_YTM_BID"),_bbt3[[#All],[METRIC_VALUE]])*0.5))/100,"")</f>
        <v/>
      </c>
      <c r="I1293">
        <f>IF(ISNA(VLOOKUP(A1293,QW_CloseDL!A:E,5,0)),0,VLOOKUP(A1293,QW_CloseDL!A:E,5,0))</f>
        <v>0</v>
      </c>
      <c r="J1293" s="8" t="str">
        <f t="shared" si="100"/>
        <v/>
      </c>
      <c r="P1293">
        <v>0</v>
      </c>
      <c r="Q1293" t="e">
        <f t="shared" ref="Q1293:Q1356" si="101">VLOOKUP(P1293,A:B,2,0)</f>
        <v>#N/A</v>
      </c>
      <c r="R1293" t="e">
        <f t="shared" ref="R1293:R1356" si="102">VLOOKUP(P1293,A:E,4,0)</f>
        <v>#N/A</v>
      </c>
      <c r="S1293" s="9" t="e">
        <f t="shared" ref="S1293:S1356" si="103">VLOOKUP(P1293,A:J,10,0)</f>
        <v>#N/A</v>
      </c>
      <c r="T1293" s="3" t="e">
        <f t="shared" ref="T1293:T1356" si="104">VLOOKUP(P1293,A:J,5,0)</f>
        <v>#N/A</v>
      </c>
    </row>
    <row r="1294" spans="2:20" x14ac:dyDescent="0.35">
      <c r="B1294" t="str">
        <f>IF(NOT(ISBLANK(A1294)),VLOOKUP(A1294,'BBT3'!A:F,2,0),"")</f>
        <v/>
      </c>
      <c r="C1294" t="str">
        <f>IF(NOT(ISBLANK(A1294)),VLOOKUP(A1294,'BBT3'!A:F,3,0),"")</f>
        <v/>
      </c>
      <c r="D1294" s="6" t="str">
        <f>IF(NOT(ISBLANK(A1294)),VLOOKUP(A1294,'BBT3'!A:F,4,1),"")</f>
        <v/>
      </c>
      <c r="E1294" t="str">
        <f>IF(NOT(ISBLANK(A1294)),VLOOKUP(A1294,'BBT3'!A:F,5,0),"")</f>
        <v/>
      </c>
      <c r="F1294" t="str">
        <f>IF(NOT(ISBLANK(A1294)),VLOOKUP(A1294,'BBT3'!A:F,6,0),"")</f>
        <v/>
      </c>
      <c r="G1294" t="str">
        <f>IF(NOT(ISBLANK(A1294)),VLOOKUP(A1294,QW_Close!A:J,5,0),"")</f>
        <v/>
      </c>
      <c r="H1294" s="5" t="str" cm="1">
        <f t="array" ref="H1294">IF(NOT(ISBLANK(A1294)),((_xlfn.XLOOKUP(1,(_bbt3[[#All],[ID]]=A1294)*(_bbt3[[#All],[METRIC_NAME]]="YLD_YTM_ASK"),_bbt3[[#All],[METRIC_VALUE]])*0.5)+(_xlfn.XLOOKUP(1,(_bbt3[[#All],[ID]]=A1294)*(_bbt3[[#All],[METRIC_NAME]]="YLD_YTM_BID"),_bbt3[[#All],[METRIC_VALUE]])*0.5))/100,"")</f>
        <v/>
      </c>
      <c r="I1294">
        <f>IF(ISNA(VLOOKUP(A1294,QW_CloseDL!A:E,5,0)),0,VLOOKUP(A1294,QW_CloseDL!A:E,5,0))</f>
        <v>0</v>
      </c>
      <c r="J1294" s="8" t="str">
        <f t="shared" si="100"/>
        <v/>
      </c>
      <c r="P1294">
        <v>0</v>
      </c>
      <c r="Q1294" t="e">
        <f t="shared" si="101"/>
        <v>#N/A</v>
      </c>
      <c r="R1294" t="e">
        <f t="shared" si="102"/>
        <v>#N/A</v>
      </c>
      <c r="S1294" s="9" t="e">
        <f t="shared" si="103"/>
        <v>#N/A</v>
      </c>
      <c r="T1294" s="3" t="e">
        <f t="shared" si="104"/>
        <v>#N/A</v>
      </c>
    </row>
    <row r="1295" spans="2:20" x14ac:dyDescent="0.35">
      <c r="B1295" t="str">
        <f>IF(NOT(ISBLANK(A1295)),VLOOKUP(A1295,'BBT3'!A:F,2,0),"")</f>
        <v/>
      </c>
      <c r="C1295" t="str">
        <f>IF(NOT(ISBLANK(A1295)),VLOOKUP(A1295,'BBT3'!A:F,3,0),"")</f>
        <v/>
      </c>
      <c r="D1295" s="6" t="str">
        <f>IF(NOT(ISBLANK(A1295)),VLOOKUP(A1295,'BBT3'!A:F,4,1),"")</f>
        <v/>
      </c>
      <c r="E1295" t="str">
        <f>IF(NOT(ISBLANK(A1295)),VLOOKUP(A1295,'BBT3'!A:F,5,0),"")</f>
        <v/>
      </c>
      <c r="F1295" t="str">
        <f>IF(NOT(ISBLANK(A1295)),VLOOKUP(A1295,'BBT3'!A:F,6,0),"")</f>
        <v/>
      </c>
      <c r="G1295" t="str">
        <f>IF(NOT(ISBLANK(A1295)),VLOOKUP(A1295,QW_Close!A:J,5,0),"")</f>
        <v/>
      </c>
      <c r="H1295" s="5" t="str" cm="1">
        <f t="array" ref="H1295">IF(NOT(ISBLANK(A1295)),((_xlfn.XLOOKUP(1,(_bbt3[[#All],[ID]]=A1295)*(_bbt3[[#All],[METRIC_NAME]]="YLD_YTM_ASK"),_bbt3[[#All],[METRIC_VALUE]])*0.5)+(_xlfn.XLOOKUP(1,(_bbt3[[#All],[ID]]=A1295)*(_bbt3[[#All],[METRIC_NAME]]="YLD_YTM_BID"),_bbt3[[#All],[METRIC_VALUE]])*0.5))/100,"")</f>
        <v/>
      </c>
      <c r="I1295">
        <f>IF(ISNA(VLOOKUP(A1295,QW_CloseDL!A:E,5,0)),0,VLOOKUP(A1295,QW_CloseDL!A:E,5,0))</f>
        <v>0</v>
      </c>
      <c r="J1295" s="8" t="str">
        <f t="shared" si="100"/>
        <v/>
      </c>
      <c r="P1295">
        <v>0</v>
      </c>
      <c r="Q1295" t="e">
        <f t="shared" si="101"/>
        <v>#N/A</v>
      </c>
      <c r="R1295" t="e">
        <f t="shared" si="102"/>
        <v>#N/A</v>
      </c>
      <c r="S1295" s="9" t="e">
        <f t="shared" si="103"/>
        <v>#N/A</v>
      </c>
      <c r="T1295" s="3" t="e">
        <f t="shared" si="104"/>
        <v>#N/A</v>
      </c>
    </row>
    <row r="1296" spans="2:20" x14ac:dyDescent="0.35">
      <c r="B1296" t="str">
        <f>IF(NOT(ISBLANK(A1296)),VLOOKUP(A1296,'BBT3'!A:F,2,0),"")</f>
        <v/>
      </c>
      <c r="C1296" t="str">
        <f>IF(NOT(ISBLANK(A1296)),VLOOKUP(A1296,'BBT3'!A:F,3,0),"")</f>
        <v/>
      </c>
      <c r="D1296" s="6" t="str">
        <f>IF(NOT(ISBLANK(A1296)),VLOOKUP(A1296,'BBT3'!A:F,4,1),"")</f>
        <v/>
      </c>
      <c r="E1296" t="str">
        <f>IF(NOT(ISBLANK(A1296)),VLOOKUP(A1296,'BBT3'!A:F,5,0),"")</f>
        <v/>
      </c>
      <c r="F1296" t="str">
        <f>IF(NOT(ISBLANK(A1296)),VLOOKUP(A1296,'BBT3'!A:F,6,0),"")</f>
        <v/>
      </c>
      <c r="G1296" t="str">
        <f>IF(NOT(ISBLANK(A1296)),VLOOKUP(A1296,QW_Close!A:J,5,0),"")</f>
        <v/>
      </c>
      <c r="H1296" s="5" t="str" cm="1">
        <f t="array" ref="H1296">IF(NOT(ISBLANK(A1296)),((_xlfn.XLOOKUP(1,(_bbt3[[#All],[ID]]=A1296)*(_bbt3[[#All],[METRIC_NAME]]="YLD_YTM_ASK"),_bbt3[[#All],[METRIC_VALUE]])*0.5)+(_xlfn.XLOOKUP(1,(_bbt3[[#All],[ID]]=A1296)*(_bbt3[[#All],[METRIC_NAME]]="YLD_YTM_BID"),_bbt3[[#All],[METRIC_VALUE]])*0.5))/100,"")</f>
        <v/>
      </c>
      <c r="I1296">
        <f>IF(ISNA(VLOOKUP(A1296,QW_CloseDL!A:E,5,0)),0,VLOOKUP(A1296,QW_CloseDL!A:E,5,0))</f>
        <v>0</v>
      </c>
      <c r="J1296" s="8" t="str">
        <f t="shared" si="100"/>
        <v/>
      </c>
      <c r="P1296">
        <v>0</v>
      </c>
      <c r="Q1296" t="e">
        <f t="shared" si="101"/>
        <v>#N/A</v>
      </c>
      <c r="R1296" t="e">
        <f t="shared" si="102"/>
        <v>#N/A</v>
      </c>
      <c r="S1296" s="9" t="e">
        <f t="shared" si="103"/>
        <v>#N/A</v>
      </c>
      <c r="T1296" s="3" t="e">
        <f t="shared" si="104"/>
        <v>#N/A</v>
      </c>
    </row>
    <row r="1297" spans="2:20" x14ac:dyDescent="0.35">
      <c r="B1297" t="str">
        <f>IF(NOT(ISBLANK(A1297)),VLOOKUP(A1297,'BBT3'!A:F,2,0),"")</f>
        <v/>
      </c>
      <c r="C1297" t="str">
        <f>IF(NOT(ISBLANK(A1297)),VLOOKUP(A1297,'BBT3'!A:F,3,0),"")</f>
        <v/>
      </c>
      <c r="D1297" s="6" t="str">
        <f>IF(NOT(ISBLANK(A1297)),VLOOKUP(A1297,'BBT3'!A:F,4,1),"")</f>
        <v/>
      </c>
      <c r="E1297" t="str">
        <f>IF(NOT(ISBLANK(A1297)),VLOOKUP(A1297,'BBT3'!A:F,5,0),"")</f>
        <v/>
      </c>
      <c r="F1297" t="str">
        <f>IF(NOT(ISBLANK(A1297)),VLOOKUP(A1297,'BBT3'!A:F,6,0),"")</f>
        <v/>
      </c>
      <c r="G1297" t="str">
        <f>IF(NOT(ISBLANK(A1297)),VLOOKUP(A1297,QW_Close!A:J,5,0),"")</f>
        <v/>
      </c>
      <c r="H1297" s="5" t="str" cm="1">
        <f t="array" ref="H1297">IF(NOT(ISBLANK(A1297)),((_xlfn.XLOOKUP(1,(_bbt3[[#All],[ID]]=A1297)*(_bbt3[[#All],[METRIC_NAME]]="YLD_YTM_ASK"),_bbt3[[#All],[METRIC_VALUE]])*0.5)+(_xlfn.XLOOKUP(1,(_bbt3[[#All],[ID]]=A1297)*(_bbt3[[#All],[METRIC_NAME]]="YLD_YTM_BID"),_bbt3[[#All],[METRIC_VALUE]])*0.5))/100,"")</f>
        <v/>
      </c>
      <c r="I1297">
        <f>IF(ISNA(VLOOKUP(A1297,QW_CloseDL!A:E,5,0)),0,VLOOKUP(A1297,QW_CloseDL!A:E,5,0))</f>
        <v>0</v>
      </c>
      <c r="J1297" s="8" t="str">
        <f t="shared" si="100"/>
        <v/>
      </c>
      <c r="P1297">
        <v>0</v>
      </c>
      <c r="Q1297" t="e">
        <f t="shared" si="101"/>
        <v>#N/A</v>
      </c>
      <c r="R1297" t="e">
        <f t="shared" si="102"/>
        <v>#N/A</v>
      </c>
      <c r="S1297" s="9" t="e">
        <f t="shared" si="103"/>
        <v>#N/A</v>
      </c>
      <c r="T1297" s="3" t="e">
        <f t="shared" si="104"/>
        <v>#N/A</v>
      </c>
    </row>
    <row r="1298" spans="2:20" x14ac:dyDescent="0.35">
      <c r="B1298" t="str">
        <f>IF(NOT(ISBLANK(A1298)),VLOOKUP(A1298,'BBT3'!A:F,2,0),"")</f>
        <v/>
      </c>
      <c r="C1298" t="str">
        <f>IF(NOT(ISBLANK(A1298)),VLOOKUP(A1298,'BBT3'!A:F,3,0),"")</f>
        <v/>
      </c>
      <c r="D1298" s="6" t="str">
        <f>IF(NOT(ISBLANK(A1298)),VLOOKUP(A1298,'BBT3'!A:F,4,1),"")</f>
        <v/>
      </c>
      <c r="E1298" t="str">
        <f>IF(NOT(ISBLANK(A1298)),VLOOKUP(A1298,'BBT3'!A:F,5,0),"")</f>
        <v/>
      </c>
      <c r="F1298" t="str">
        <f>IF(NOT(ISBLANK(A1298)),VLOOKUP(A1298,'BBT3'!A:F,6,0),"")</f>
        <v/>
      </c>
      <c r="G1298" t="str">
        <f>IF(NOT(ISBLANK(A1298)),VLOOKUP(A1298,QW_Close!A:J,5,0),"")</f>
        <v/>
      </c>
      <c r="H1298" s="5" t="str" cm="1">
        <f t="array" ref="H1298">IF(NOT(ISBLANK(A1298)),((_xlfn.XLOOKUP(1,(_bbt3[[#All],[ID]]=A1298)*(_bbt3[[#All],[METRIC_NAME]]="YLD_YTM_ASK"),_bbt3[[#All],[METRIC_VALUE]])*0.5)+(_xlfn.XLOOKUP(1,(_bbt3[[#All],[ID]]=A1298)*(_bbt3[[#All],[METRIC_NAME]]="YLD_YTM_BID"),_bbt3[[#All],[METRIC_VALUE]])*0.5))/100,"")</f>
        <v/>
      </c>
      <c r="I1298">
        <f>IF(ISNA(VLOOKUP(A1298,QW_CloseDL!A:E,5,0)),0,VLOOKUP(A1298,QW_CloseDL!A:E,5,0))</f>
        <v>0</v>
      </c>
      <c r="J1298" s="8" t="str">
        <f t="shared" si="100"/>
        <v/>
      </c>
      <c r="P1298">
        <v>0</v>
      </c>
      <c r="Q1298" t="e">
        <f t="shared" si="101"/>
        <v>#N/A</v>
      </c>
      <c r="R1298" t="e">
        <f t="shared" si="102"/>
        <v>#N/A</v>
      </c>
      <c r="S1298" s="9" t="e">
        <f t="shared" si="103"/>
        <v>#N/A</v>
      </c>
      <c r="T1298" s="3" t="e">
        <f t="shared" si="104"/>
        <v>#N/A</v>
      </c>
    </row>
    <row r="1299" spans="2:20" x14ac:dyDescent="0.35">
      <c r="B1299" t="str">
        <f>IF(NOT(ISBLANK(A1299)),VLOOKUP(A1299,'BBT3'!A:F,2,0),"")</f>
        <v/>
      </c>
      <c r="C1299" t="str">
        <f>IF(NOT(ISBLANK(A1299)),VLOOKUP(A1299,'BBT3'!A:F,3,0),"")</f>
        <v/>
      </c>
      <c r="D1299" s="6" t="str">
        <f>IF(NOT(ISBLANK(A1299)),VLOOKUP(A1299,'BBT3'!A:F,4,1),"")</f>
        <v/>
      </c>
      <c r="E1299" t="str">
        <f>IF(NOT(ISBLANK(A1299)),VLOOKUP(A1299,'BBT3'!A:F,5,0),"")</f>
        <v/>
      </c>
      <c r="F1299" t="str">
        <f>IF(NOT(ISBLANK(A1299)),VLOOKUP(A1299,'BBT3'!A:F,6,0),"")</f>
        <v/>
      </c>
      <c r="G1299" t="str">
        <f>IF(NOT(ISBLANK(A1299)),VLOOKUP(A1299,QW_Close!A:J,5,0),"")</f>
        <v/>
      </c>
      <c r="H1299" s="5" t="str" cm="1">
        <f t="array" ref="H1299">IF(NOT(ISBLANK(A1299)),((_xlfn.XLOOKUP(1,(_bbt3[[#All],[ID]]=A1299)*(_bbt3[[#All],[METRIC_NAME]]="YLD_YTM_ASK"),_bbt3[[#All],[METRIC_VALUE]])*0.5)+(_xlfn.XLOOKUP(1,(_bbt3[[#All],[ID]]=A1299)*(_bbt3[[#All],[METRIC_NAME]]="YLD_YTM_BID"),_bbt3[[#All],[METRIC_VALUE]])*0.5))/100,"")</f>
        <v/>
      </c>
      <c r="I1299">
        <f>IF(ISNA(VLOOKUP(A1299,QW_CloseDL!A:E,5,0)),0,VLOOKUP(A1299,QW_CloseDL!A:E,5,0))</f>
        <v>0</v>
      </c>
      <c r="J1299" s="8" t="str">
        <f t="shared" si="100"/>
        <v/>
      </c>
      <c r="P1299">
        <v>0</v>
      </c>
      <c r="Q1299" t="e">
        <f t="shared" si="101"/>
        <v>#N/A</v>
      </c>
      <c r="R1299" t="e">
        <f t="shared" si="102"/>
        <v>#N/A</v>
      </c>
      <c r="S1299" s="9" t="e">
        <f t="shared" si="103"/>
        <v>#N/A</v>
      </c>
      <c r="T1299" s="3" t="e">
        <f t="shared" si="104"/>
        <v>#N/A</v>
      </c>
    </row>
    <row r="1300" spans="2:20" x14ac:dyDescent="0.35">
      <c r="B1300" t="str">
        <f>IF(NOT(ISBLANK(A1300)),VLOOKUP(A1300,'BBT3'!A:F,2,0),"")</f>
        <v/>
      </c>
      <c r="C1300" t="str">
        <f>IF(NOT(ISBLANK(A1300)),VLOOKUP(A1300,'BBT3'!A:F,3,0),"")</f>
        <v/>
      </c>
      <c r="D1300" s="6" t="str">
        <f>IF(NOT(ISBLANK(A1300)),VLOOKUP(A1300,'BBT3'!A:F,4,1),"")</f>
        <v/>
      </c>
      <c r="E1300" t="str">
        <f>IF(NOT(ISBLANK(A1300)),VLOOKUP(A1300,'BBT3'!A:F,5,0),"")</f>
        <v/>
      </c>
      <c r="F1300" t="str">
        <f>IF(NOT(ISBLANK(A1300)),VLOOKUP(A1300,'BBT3'!A:F,6,0),"")</f>
        <v/>
      </c>
      <c r="G1300" t="str">
        <f>IF(NOT(ISBLANK(A1300)),VLOOKUP(A1300,QW_Close!A:J,5,0),"")</f>
        <v/>
      </c>
      <c r="H1300" s="5" t="str" cm="1">
        <f t="array" ref="H1300">IF(NOT(ISBLANK(A1300)),((_xlfn.XLOOKUP(1,(_bbt3[[#All],[ID]]=A1300)*(_bbt3[[#All],[METRIC_NAME]]="YLD_YTM_ASK"),_bbt3[[#All],[METRIC_VALUE]])*0.5)+(_xlfn.XLOOKUP(1,(_bbt3[[#All],[ID]]=A1300)*(_bbt3[[#All],[METRIC_NAME]]="YLD_YTM_BID"),_bbt3[[#All],[METRIC_VALUE]])*0.5))/100,"")</f>
        <v/>
      </c>
      <c r="I1300">
        <f>IF(ISNA(VLOOKUP(A1300,QW_CloseDL!A:E,5,0)),0,VLOOKUP(A1300,QW_CloseDL!A:E,5,0))</f>
        <v>0</v>
      </c>
      <c r="J1300" s="8" t="str">
        <f t="shared" si="100"/>
        <v/>
      </c>
      <c r="P1300">
        <v>0</v>
      </c>
      <c r="Q1300" t="e">
        <f t="shared" si="101"/>
        <v>#N/A</v>
      </c>
      <c r="R1300" t="e">
        <f t="shared" si="102"/>
        <v>#N/A</v>
      </c>
      <c r="S1300" s="9" t="e">
        <f t="shared" si="103"/>
        <v>#N/A</v>
      </c>
      <c r="T1300" s="3" t="e">
        <f t="shared" si="104"/>
        <v>#N/A</v>
      </c>
    </row>
    <row r="1301" spans="2:20" x14ac:dyDescent="0.35">
      <c r="B1301" t="str">
        <f>IF(NOT(ISBLANK(A1301)),VLOOKUP(A1301,'BBT3'!A:F,2,0),"")</f>
        <v/>
      </c>
      <c r="C1301" t="str">
        <f>IF(NOT(ISBLANK(A1301)),VLOOKUP(A1301,'BBT3'!A:F,3,0),"")</f>
        <v/>
      </c>
      <c r="D1301" s="6" t="str">
        <f>IF(NOT(ISBLANK(A1301)),VLOOKUP(A1301,'BBT3'!A:F,4,1),"")</f>
        <v/>
      </c>
      <c r="E1301" t="str">
        <f>IF(NOT(ISBLANK(A1301)),VLOOKUP(A1301,'BBT3'!A:F,5,0),"")</f>
        <v/>
      </c>
      <c r="F1301" t="str">
        <f>IF(NOT(ISBLANK(A1301)),VLOOKUP(A1301,'BBT3'!A:F,6,0),"")</f>
        <v/>
      </c>
      <c r="G1301" t="str">
        <f>IF(NOT(ISBLANK(A1301)),VLOOKUP(A1301,QW_Close!A:J,5,0),"")</f>
        <v/>
      </c>
      <c r="H1301" s="5" t="str" cm="1">
        <f t="array" ref="H1301">IF(NOT(ISBLANK(A1301)),((_xlfn.XLOOKUP(1,(_bbt3[[#All],[ID]]=A1301)*(_bbt3[[#All],[METRIC_NAME]]="YLD_YTM_ASK"),_bbt3[[#All],[METRIC_VALUE]])*0.5)+(_xlfn.XLOOKUP(1,(_bbt3[[#All],[ID]]=A1301)*(_bbt3[[#All],[METRIC_NAME]]="YLD_YTM_BID"),_bbt3[[#All],[METRIC_VALUE]])*0.5))/100,"")</f>
        <v/>
      </c>
      <c r="I1301">
        <f>IF(ISNA(VLOOKUP(A1301,QW_CloseDL!A:E,5,0)),0,VLOOKUP(A1301,QW_CloseDL!A:E,5,0))</f>
        <v>0</v>
      </c>
      <c r="J1301" s="8" t="str">
        <f t="shared" si="100"/>
        <v/>
      </c>
      <c r="P1301">
        <v>0</v>
      </c>
      <c r="Q1301" t="e">
        <f t="shared" si="101"/>
        <v>#N/A</v>
      </c>
      <c r="R1301" t="e">
        <f t="shared" si="102"/>
        <v>#N/A</v>
      </c>
      <c r="S1301" s="9" t="e">
        <f t="shared" si="103"/>
        <v>#N/A</v>
      </c>
      <c r="T1301" s="3" t="e">
        <f t="shared" si="104"/>
        <v>#N/A</v>
      </c>
    </row>
    <row r="1302" spans="2:20" x14ac:dyDescent="0.35">
      <c r="B1302" t="str">
        <f>IF(NOT(ISBLANK(A1302)),VLOOKUP(A1302,'BBT3'!A:F,2,0),"")</f>
        <v/>
      </c>
      <c r="C1302" t="str">
        <f>IF(NOT(ISBLANK(A1302)),VLOOKUP(A1302,'BBT3'!A:F,3,0),"")</f>
        <v/>
      </c>
      <c r="D1302" s="6" t="str">
        <f>IF(NOT(ISBLANK(A1302)),VLOOKUP(A1302,'BBT3'!A:F,4,1),"")</f>
        <v/>
      </c>
      <c r="E1302" t="str">
        <f>IF(NOT(ISBLANK(A1302)),VLOOKUP(A1302,'BBT3'!A:F,5,0),"")</f>
        <v/>
      </c>
      <c r="F1302" t="str">
        <f>IF(NOT(ISBLANK(A1302)),VLOOKUP(A1302,'BBT3'!A:F,6,0),"")</f>
        <v/>
      </c>
      <c r="G1302" t="str">
        <f>IF(NOT(ISBLANK(A1302)),VLOOKUP(A1302,QW_Close!A:J,5,0),"")</f>
        <v/>
      </c>
      <c r="H1302" s="5" t="str" cm="1">
        <f t="array" ref="H1302">IF(NOT(ISBLANK(A1302)),((_xlfn.XLOOKUP(1,(_bbt3[[#All],[ID]]=A1302)*(_bbt3[[#All],[METRIC_NAME]]="YLD_YTM_ASK"),_bbt3[[#All],[METRIC_VALUE]])*0.5)+(_xlfn.XLOOKUP(1,(_bbt3[[#All],[ID]]=A1302)*(_bbt3[[#All],[METRIC_NAME]]="YLD_YTM_BID"),_bbt3[[#All],[METRIC_VALUE]])*0.5))/100,"")</f>
        <v/>
      </c>
      <c r="I1302">
        <f>IF(ISNA(VLOOKUP(A1302,QW_CloseDL!A:E,5,0)),0,VLOOKUP(A1302,QW_CloseDL!A:E,5,0))</f>
        <v>0</v>
      </c>
      <c r="J1302" s="8" t="str">
        <f t="shared" si="100"/>
        <v/>
      </c>
      <c r="P1302">
        <v>0</v>
      </c>
      <c r="Q1302" t="e">
        <f t="shared" si="101"/>
        <v>#N/A</v>
      </c>
      <c r="R1302" t="e">
        <f t="shared" si="102"/>
        <v>#N/A</v>
      </c>
      <c r="S1302" s="9" t="e">
        <f t="shared" si="103"/>
        <v>#N/A</v>
      </c>
      <c r="T1302" s="3" t="e">
        <f t="shared" si="104"/>
        <v>#N/A</v>
      </c>
    </row>
    <row r="1303" spans="2:20" x14ac:dyDescent="0.35">
      <c r="B1303" t="str">
        <f>IF(NOT(ISBLANK(A1303)),VLOOKUP(A1303,'BBT3'!A:F,2,0),"")</f>
        <v/>
      </c>
      <c r="C1303" t="str">
        <f>IF(NOT(ISBLANK(A1303)),VLOOKUP(A1303,'BBT3'!A:F,3,0),"")</f>
        <v/>
      </c>
      <c r="D1303" s="6" t="str">
        <f>IF(NOT(ISBLANK(A1303)),VLOOKUP(A1303,'BBT3'!A:F,4,1),"")</f>
        <v/>
      </c>
      <c r="E1303" t="str">
        <f>IF(NOT(ISBLANK(A1303)),VLOOKUP(A1303,'BBT3'!A:F,5,0),"")</f>
        <v/>
      </c>
      <c r="F1303" t="str">
        <f>IF(NOT(ISBLANK(A1303)),VLOOKUP(A1303,'BBT3'!A:F,6,0),"")</f>
        <v/>
      </c>
      <c r="G1303" t="str">
        <f>IF(NOT(ISBLANK(A1303)),VLOOKUP(A1303,QW_Close!A:J,5,0),"")</f>
        <v/>
      </c>
      <c r="H1303" s="5" t="str" cm="1">
        <f t="array" ref="H1303">IF(NOT(ISBLANK(A1303)),((_xlfn.XLOOKUP(1,(_bbt3[[#All],[ID]]=A1303)*(_bbt3[[#All],[METRIC_NAME]]="YLD_YTM_ASK"),_bbt3[[#All],[METRIC_VALUE]])*0.5)+(_xlfn.XLOOKUP(1,(_bbt3[[#All],[ID]]=A1303)*(_bbt3[[#All],[METRIC_NAME]]="YLD_YTM_BID"),_bbt3[[#All],[METRIC_VALUE]])*0.5))/100,"")</f>
        <v/>
      </c>
      <c r="I1303">
        <f>IF(ISNA(VLOOKUP(A1303,QW_CloseDL!A:E,5,0)),0,VLOOKUP(A1303,QW_CloseDL!A:E,5,0))</f>
        <v>0</v>
      </c>
      <c r="J1303" s="8" t="str">
        <f t="shared" si="100"/>
        <v/>
      </c>
      <c r="P1303">
        <v>0</v>
      </c>
      <c r="Q1303" t="e">
        <f t="shared" si="101"/>
        <v>#N/A</v>
      </c>
      <c r="R1303" t="e">
        <f t="shared" si="102"/>
        <v>#N/A</v>
      </c>
      <c r="S1303" s="9" t="e">
        <f t="shared" si="103"/>
        <v>#N/A</v>
      </c>
      <c r="T1303" s="3" t="e">
        <f t="shared" si="104"/>
        <v>#N/A</v>
      </c>
    </row>
    <row r="1304" spans="2:20" x14ac:dyDescent="0.35">
      <c r="B1304" t="str">
        <f>IF(NOT(ISBLANK(A1304)),VLOOKUP(A1304,'BBT3'!A:F,2,0),"")</f>
        <v/>
      </c>
      <c r="C1304" t="str">
        <f>IF(NOT(ISBLANK(A1304)),VLOOKUP(A1304,'BBT3'!A:F,3,0),"")</f>
        <v/>
      </c>
      <c r="D1304" s="6" t="str">
        <f>IF(NOT(ISBLANK(A1304)),VLOOKUP(A1304,'BBT3'!A:F,4,1),"")</f>
        <v/>
      </c>
      <c r="E1304" t="str">
        <f>IF(NOT(ISBLANK(A1304)),VLOOKUP(A1304,'BBT3'!A:F,5,0),"")</f>
        <v/>
      </c>
      <c r="F1304" t="str">
        <f>IF(NOT(ISBLANK(A1304)),VLOOKUP(A1304,'BBT3'!A:F,6,0),"")</f>
        <v/>
      </c>
      <c r="G1304" t="str">
        <f>IF(NOT(ISBLANK(A1304)),VLOOKUP(A1304,QW_Close!A:J,5,0),"")</f>
        <v/>
      </c>
      <c r="H1304" s="5" t="str" cm="1">
        <f t="array" ref="H1304">IF(NOT(ISBLANK(A1304)),((_xlfn.XLOOKUP(1,(_bbt3[[#All],[ID]]=A1304)*(_bbt3[[#All],[METRIC_NAME]]="YLD_YTM_ASK"),_bbt3[[#All],[METRIC_VALUE]])*0.5)+(_xlfn.XLOOKUP(1,(_bbt3[[#All],[ID]]=A1304)*(_bbt3[[#All],[METRIC_NAME]]="YLD_YTM_BID"),_bbt3[[#All],[METRIC_VALUE]])*0.5))/100,"")</f>
        <v/>
      </c>
      <c r="I1304">
        <f>IF(ISNA(VLOOKUP(A1304,QW_CloseDL!A:E,5,0)),0,VLOOKUP(A1304,QW_CloseDL!A:E,5,0))</f>
        <v>0</v>
      </c>
      <c r="J1304" s="8" t="str">
        <f t="shared" si="100"/>
        <v/>
      </c>
      <c r="P1304">
        <v>0</v>
      </c>
      <c r="Q1304" t="e">
        <f t="shared" si="101"/>
        <v>#N/A</v>
      </c>
      <c r="R1304" t="e">
        <f t="shared" si="102"/>
        <v>#N/A</v>
      </c>
      <c r="S1304" s="9" t="e">
        <f t="shared" si="103"/>
        <v>#N/A</v>
      </c>
      <c r="T1304" s="3" t="e">
        <f t="shared" si="104"/>
        <v>#N/A</v>
      </c>
    </row>
    <row r="1305" spans="2:20" x14ac:dyDescent="0.35">
      <c r="B1305" t="str">
        <f>IF(NOT(ISBLANK(A1305)),VLOOKUP(A1305,'BBT3'!A:F,2,0),"")</f>
        <v/>
      </c>
      <c r="C1305" t="str">
        <f>IF(NOT(ISBLANK(A1305)),VLOOKUP(A1305,'BBT3'!A:F,3,0),"")</f>
        <v/>
      </c>
      <c r="D1305" s="6" t="str">
        <f>IF(NOT(ISBLANK(A1305)),VLOOKUP(A1305,'BBT3'!A:F,4,1),"")</f>
        <v/>
      </c>
      <c r="E1305" t="str">
        <f>IF(NOT(ISBLANK(A1305)),VLOOKUP(A1305,'BBT3'!A:F,5,0),"")</f>
        <v/>
      </c>
      <c r="F1305" t="str">
        <f>IF(NOT(ISBLANK(A1305)),VLOOKUP(A1305,'BBT3'!A:F,6,0),"")</f>
        <v/>
      </c>
      <c r="G1305" t="str">
        <f>IF(NOT(ISBLANK(A1305)),VLOOKUP(A1305,QW_Close!A:J,5,0),"")</f>
        <v/>
      </c>
      <c r="H1305" s="5" t="str" cm="1">
        <f t="array" ref="H1305">IF(NOT(ISBLANK(A1305)),((_xlfn.XLOOKUP(1,(_bbt3[[#All],[ID]]=A1305)*(_bbt3[[#All],[METRIC_NAME]]="YLD_YTM_ASK"),_bbt3[[#All],[METRIC_VALUE]])*0.5)+(_xlfn.XLOOKUP(1,(_bbt3[[#All],[ID]]=A1305)*(_bbt3[[#All],[METRIC_NAME]]="YLD_YTM_BID"),_bbt3[[#All],[METRIC_VALUE]])*0.5))/100,"")</f>
        <v/>
      </c>
      <c r="I1305">
        <f>IF(ISNA(VLOOKUP(A1305,QW_CloseDL!A:E,5,0)),0,VLOOKUP(A1305,QW_CloseDL!A:E,5,0))</f>
        <v>0</v>
      </c>
      <c r="J1305" s="8" t="str">
        <f t="shared" si="100"/>
        <v/>
      </c>
      <c r="P1305">
        <v>0</v>
      </c>
      <c r="Q1305" t="e">
        <f t="shared" si="101"/>
        <v>#N/A</v>
      </c>
      <c r="R1305" t="e">
        <f t="shared" si="102"/>
        <v>#N/A</v>
      </c>
      <c r="S1305" s="9" t="e">
        <f t="shared" si="103"/>
        <v>#N/A</v>
      </c>
      <c r="T1305" s="3" t="e">
        <f t="shared" si="104"/>
        <v>#N/A</v>
      </c>
    </row>
    <row r="1306" spans="2:20" x14ac:dyDescent="0.35">
      <c r="B1306" t="str">
        <f>IF(NOT(ISBLANK(A1306)),VLOOKUP(A1306,'BBT3'!A:F,2,0),"")</f>
        <v/>
      </c>
      <c r="C1306" t="str">
        <f>IF(NOT(ISBLANK(A1306)),VLOOKUP(A1306,'BBT3'!A:F,3,0),"")</f>
        <v/>
      </c>
      <c r="D1306" s="6" t="str">
        <f>IF(NOT(ISBLANK(A1306)),VLOOKUP(A1306,'BBT3'!A:F,4,1),"")</f>
        <v/>
      </c>
      <c r="E1306" t="str">
        <f>IF(NOT(ISBLANK(A1306)),VLOOKUP(A1306,'BBT3'!A:F,5,0),"")</f>
        <v/>
      </c>
      <c r="F1306" t="str">
        <f>IF(NOT(ISBLANK(A1306)),VLOOKUP(A1306,'BBT3'!A:F,6,0),"")</f>
        <v/>
      </c>
      <c r="G1306" t="str">
        <f>IF(NOT(ISBLANK(A1306)),VLOOKUP(A1306,QW_Close!A:J,5,0),"")</f>
        <v/>
      </c>
      <c r="H1306" s="5" t="str" cm="1">
        <f t="array" ref="H1306">IF(NOT(ISBLANK(A1306)),((_xlfn.XLOOKUP(1,(_bbt3[[#All],[ID]]=A1306)*(_bbt3[[#All],[METRIC_NAME]]="YLD_YTM_ASK"),_bbt3[[#All],[METRIC_VALUE]])*0.5)+(_xlfn.XLOOKUP(1,(_bbt3[[#All],[ID]]=A1306)*(_bbt3[[#All],[METRIC_NAME]]="YLD_YTM_BID"),_bbt3[[#All],[METRIC_VALUE]])*0.5))/100,"")</f>
        <v/>
      </c>
      <c r="I1306">
        <f>IF(ISNA(VLOOKUP(A1306,QW_CloseDL!A:E,5,0)),0,VLOOKUP(A1306,QW_CloseDL!A:E,5,0))</f>
        <v>0</v>
      </c>
      <c r="J1306" s="8" t="str">
        <f t="shared" si="100"/>
        <v/>
      </c>
      <c r="P1306">
        <v>0</v>
      </c>
      <c r="Q1306" t="e">
        <f t="shared" si="101"/>
        <v>#N/A</v>
      </c>
      <c r="R1306" t="e">
        <f t="shared" si="102"/>
        <v>#N/A</v>
      </c>
      <c r="S1306" s="9" t="e">
        <f t="shared" si="103"/>
        <v>#N/A</v>
      </c>
      <c r="T1306" s="3" t="e">
        <f t="shared" si="104"/>
        <v>#N/A</v>
      </c>
    </row>
    <row r="1307" spans="2:20" x14ac:dyDescent="0.35">
      <c r="B1307" t="str">
        <f>IF(NOT(ISBLANK(A1307)),VLOOKUP(A1307,'BBT3'!A:F,2,0),"")</f>
        <v/>
      </c>
      <c r="C1307" t="str">
        <f>IF(NOT(ISBLANK(A1307)),VLOOKUP(A1307,'BBT3'!A:F,3,0),"")</f>
        <v/>
      </c>
      <c r="D1307" s="6" t="str">
        <f>IF(NOT(ISBLANK(A1307)),VLOOKUP(A1307,'BBT3'!A:F,4,1),"")</f>
        <v/>
      </c>
      <c r="E1307" t="str">
        <f>IF(NOT(ISBLANK(A1307)),VLOOKUP(A1307,'BBT3'!A:F,5,0),"")</f>
        <v/>
      </c>
      <c r="F1307" t="str">
        <f>IF(NOT(ISBLANK(A1307)),VLOOKUP(A1307,'BBT3'!A:F,6,0),"")</f>
        <v/>
      </c>
      <c r="G1307" t="str">
        <f>IF(NOT(ISBLANK(A1307)),VLOOKUP(A1307,QW_Close!A:J,5,0),"")</f>
        <v/>
      </c>
      <c r="H1307" s="5" t="str" cm="1">
        <f t="array" ref="H1307">IF(NOT(ISBLANK(A1307)),((_xlfn.XLOOKUP(1,(_bbt3[[#All],[ID]]=A1307)*(_bbt3[[#All],[METRIC_NAME]]="YLD_YTM_ASK"),_bbt3[[#All],[METRIC_VALUE]])*0.5)+(_xlfn.XLOOKUP(1,(_bbt3[[#All],[ID]]=A1307)*(_bbt3[[#All],[METRIC_NAME]]="YLD_YTM_BID"),_bbt3[[#All],[METRIC_VALUE]])*0.5))/100,"")</f>
        <v/>
      </c>
      <c r="I1307">
        <f>IF(ISNA(VLOOKUP(A1307,QW_CloseDL!A:E,5,0)),0,VLOOKUP(A1307,QW_CloseDL!A:E,5,0))</f>
        <v>0</v>
      </c>
      <c r="J1307" s="8" t="str">
        <f t="shared" si="100"/>
        <v/>
      </c>
      <c r="P1307">
        <v>0</v>
      </c>
      <c r="Q1307" t="e">
        <f t="shared" si="101"/>
        <v>#N/A</v>
      </c>
      <c r="R1307" t="e">
        <f t="shared" si="102"/>
        <v>#N/A</v>
      </c>
      <c r="S1307" s="9" t="e">
        <f t="shared" si="103"/>
        <v>#N/A</v>
      </c>
      <c r="T1307" s="3" t="e">
        <f t="shared" si="104"/>
        <v>#N/A</v>
      </c>
    </row>
    <row r="1308" spans="2:20" x14ac:dyDescent="0.35">
      <c r="B1308" t="str">
        <f>IF(NOT(ISBLANK(A1308)),VLOOKUP(A1308,'BBT3'!A:F,2,0),"")</f>
        <v/>
      </c>
      <c r="C1308" t="str">
        <f>IF(NOT(ISBLANK(A1308)),VLOOKUP(A1308,'BBT3'!A:F,3,0),"")</f>
        <v/>
      </c>
      <c r="D1308" s="6" t="str">
        <f>IF(NOT(ISBLANK(A1308)),VLOOKUP(A1308,'BBT3'!A:F,4,1),"")</f>
        <v/>
      </c>
      <c r="E1308" t="str">
        <f>IF(NOT(ISBLANK(A1308)),VLOOKUP(A1308,'BBT3'!A:F,5,0),"")</f>
        <v/>
      </c>
      <c r="F1308" t="str">
        <f>IF(NOT(ISBLANK(A1308)),VLOOKUP(A1308,'BBT3'!A:F,6,0),"")</f>
        <v/>
      </c>
      <c r="G1308" t="str">
        <f>IF(NOT(ISBLANK(A1308)),VLOOKUP(A1308,QW_Close!A:J,5,0),"")</f>
        <v/>
      </c>
      <c r="H1308" s="5" t="str" cm="1">
        <f t="array" ref="H1308">IF(NOT(ISBLANK(A1308)),((_xlfn.XLOOKUP(1,(_bbt3[[#All],[ID]]=A1308)*(_bbt3[[#All],[METRIC_NAME]]="YLD_YTM_ASK"),_bbt3[[#All],[METRIC_VALUE]])*0.5)+(_xlfn.XLOOKUP(1,(_bbt3[[#All],[ID]]=A1308)*(_bbt3[[#All],[METRIC_NAME]]="YLD_YTM_BID"),_bbt3[[#All],[METRIC_VALUE]])*0.5))/100,"")</f>
        <v/>
      </c>
      <c r="I1308">
        <f>IF(ISNA(VLOOKUP(A1308,QW_CloseDL!A:E,5,0)),0,VLOOKUP(A1308,QW_CloseDL!A:E,5,0))</f>
        <v>0</v>
      </c>
      <c r="J1308" s="8" t="str">
        <f t="shared" si="100"/>
        <v/>
      </c>
      <c r="P1308">
        <v>0</v>
      </c>
      <c r="Q1308" t="e">
        <f t="shared" si="101"/>
        <v>#N/A</v>
      </c>
      <c r="R1308" t="e">
        <f t="shared" si="102"/>
        <v>#N/A</v>
      </c>
      <c r="S1308" s="9" t="e">
        <f t="shared" si="103"/>
        <v>#N/A</v>
      </c>
      <c r="T1308" s="3" t="e">
        <f t="shared" si="104"/>
        <v>#N/A</v>
      </c>
    </row>
    <row r="1309" spans="2:20" x14ac:dyDescent="0.35">
      <c r="B1309" t="str">
        <f>IF(NOT(ISBLANK(A1309)),VLOOKUP(A1309,'BBT3'!A:F,2,0),"")</f>
        <v/>
      </c>
      <c r="C1309" t="str">
        <f>IF(NOT(ISBLANK(A1309)),VLOOKUP(A1309,'BBT3'!A:F,3,0),"")</f>
        <v/>
      </c>
      <c r="D1309" s="6" t="str">
        <f>IF(NOT(ISBLANK(A1309)),VLOOKUP(A1309,'BBT3'!A:F,4,1),"")</f>
        <v/>
      </c>
      <c r="E1309" t="str">
        <f>IF(NOT(ISBLANK(A1309)),VLOOKUP(A1309,'BBT3'!A:F,5,0),"")</f>
        <v/>
      </c>
      <c r="F1309" t="str">
        <f>IF(NOT(ISBLANK(A1309)),VLOOKUP(A1309,'BBT3'!A:F,6,0),"")</f>
        <v/>
      </c>
      <c r="G1309" t="str">
        <f>IF(NOT(ISBLANK(A1309)),VLOOKUP(A1309,QW_Close!A:J,5,0),"")</f>
        <v/>
      </c>
      <c r="H1309" s="5" t="str" cm="1">
        <f t="array" ref="H1309">IF(NOT(ISBLANK(A1309)),((_xlfn.XLOOKUP(1,(_bbt3[[#All],[ID]]=A1309)*(_bbt3[[#All],[METRIC_NAME]]="YLD_YTM_ASK"),_bbt3[[#All],[METRIC_VALUE]])*0.5)+(_xlfn.XLOOKUP(1,(_bbt3[[#All],[ID]]=A1309)*(_bbt3[[#All],[METRIC_NAME]]="YLD_YTM_BID"),_bbt3[[#All],[METRIC_VALUE]])*0.5))/100,"")</f>
        <v/>
      </c>
      <c r="I1309">
        <f>IF(ISNA(VLOOKUP(A1309,QW_CloseDL!A:E,5,0)),0,VLOOKUP(A1309,QW_CloseDL!A:E,5,0))</f>
        <v>0</v>
      </c>
      <c r="J1309" s="8" t="str">
        <f t="shared" si="100"/>
        <v/>
      </c>
      <c r="P1309">
        <v>0</v>
      </c>
      <c r="Q1309" t="e">
        <f t="shared" si="101"/>
        <v>#N/A</v>
      </c>
      <c r="R1309" t="e">
        <f t="shared" si="102"/>
        <v>#N/A</v>
      </c>
      <c r="S1309" s="9" t="e">
        <f t="shared" si="103"/>
        <v>#N/A</v>
      </c>
      <c r="T1309" s="3" t="e">
        <f t="shared" si="104"/>
        <v>#N/A</v>
      </c>
    </row>
    <row r="1310" spans="2:20" x14ac:dyDescent="0.35">
      <c r="B1310" t="str">
        <f>IF(NOT(ISBLANK(A1310)),VLOOKUP(A1310,'BBT3'!A:F,2,0),"")</f>
        <v/>
      </c>
      <c r="C1310" t="str">
        <f>IF(NOT(ISBLANK(A1310)),VLOOKUP(A1310,'BBT3'!A:F,3,0),"")</f>
        <v/>
      </c>
      <c r="D1310" s="6" t="str">
        <f>IF(NOT(ISBLANK(A1310)),VLOOKUP(A1310,'BBT3'!A:F,4,1),"")</f>
        <v/>
      </c>
      <c r="E1310" t="str">
        <f>IF(NOT(ISBLANK(A1310)),VLOOKUP(A1310,'BBT3'!A:F,5,0),"")</f>
        <v/>
      </c>
      <c r="F1310" t="str">
        <f>IF(NOT(ISBLANK(A1310)),VLOOKUP(A1310,'BBT3'!A:F,6,0),"")</f>
        <v/>
      </c>
      <c r="G1310" t="str">
        <f>IF(NOT(ISBLANK(A1310)),VLOOKUP(A1310,QW_Close!A:J,5,0),"")</f>
        <v/>
      </c>
      <c r="H1310" s="5" t="str" cm="1">
        <f t="array" ref="H1310">IF(NOT(ISBLANK(A1310)),((_xlfn.XLOOKUP(1,(_bbt3[[#All],[ID]]=A1310)*(_bbt3[[#All],[METRIC_NAME]]="YLD_YTM_ASK"),_bbt3[[#All],[METRIC_VALUE]])*0.5)+(_xlfn.XLOOKUP(1,(_bbt3[[#All],[ID]]=A1310)*(_bbt3[[#All],[METRIC_NAME]]="YLD_YTM_BID"),_bbt3[[#All],[METRIC_VALUE]])*0.5))/100,"")</f>
        <v/>
      </c>
      <c r="I1310">
        <f>IF(ISNA(VLOOKUP(A1310,QW_CloseDL!A:E,5,0)),0,VLOOKUP(A1310,QW_CloseDL!A:E,5,0))</f>
        <v>0</v>
      </c>
      <c r="J1310" s="8" t="str">
        <f t="shared" si="100"/>
        <v/>
      </c>
      <c r="P1310">
        <v>0</v>
      </c>
      <c r="Q1310" t="e">
        <f t="shared" si="101"/>
        <v>#N/A</v>
      </c>
      <c r="R1310" t="e">
        <f t="shared" si="102"/>
        <v>#N/A</v>
      </c>
      <c r="S1310" s="9" t="e">
        <f t="shared" si="103"/>
        <v>#N/A</v>
      </c>
      <c r="T1310" s="3" t="e">
        <f t="shared" si="104"/>
        <v>#N/A</v>
      </c>
    </row>
    <row r="1311" spans="2:20" x14ac:dyDescent="0.35">
      <c r="B1311" t="str">
        <f>IF(NOT(ISBLANK(A1311)),VLOOKUP(A1311,'BBT3'!A:F,2,0),"")</f>
        <v/>
      </c>
      <c r="C1311" t="str">
        <f>IF(NOT(ISBLANK(A1311)),VLOOKUP(A1311,'BBT3'!A:F,3,0),"")</f>
        <v/>
      </c>
      <c r="D1311" s="6" t="str">
        <f>IF(NOT(ISBLANK(A1311)),VLOOKUP(A1311,'BBT3'!A:F,4,1),"")</f>
        <v/>
      </c>
      <c r="E1311" t="str">
        <f>IF(NOT(ISBLANK(A1311)),VLOOKUP(A1311,'BBT3'!A:F,5,0),"")</f>
        <v/>
      </c>
      <c r="F1311" t="str">
        <f>IF(NOT(ISBLANK(A1311)),VLOOKUP(A1311,'BBT3'!A:F,6,0),"")</f>
        <v/>
      </c>
      <c r="G1311" t="str">
        <f>IF(NOT(ISBLANK(A1311)),VLOOKUP(A1311,QW_Close!A:J,5,0),"")</f>
        <v/>
      </c>
      <c r="H1311" s="5" t="str" cm="1">
        <f t="array" ref="H1311">IF(NOT(ISBLANK(A1311)),((_xlfn.XLOOKUP(1,(_bbt3[[#All],[ID]]=A1311)*(_bbt3[[#All],[METRIC_NAME]]="YLD_YTM_ASK"),_bbt3[[#All],[METRIC_VALUE]])*0.5)+(_xlfn.XLOOKUP(1,(_bbt3[[#All],[ID]]=A1311)*(_bbt3[[#All],[METRIC_NAME]]="YLD_YTM_BID"),_bbt3[[#All],[METRIC_VALUE]])*0.5))/100,"")</f>
        <v/>
      </c>
      <c r="I1311">
        <f>IF(ISNA(VLOOKUP(A1311,QW_CloseDL!A:E,5,0)),0,VLOOKUP(A1311,QW_CloseDL!A:E,5,0))</f>
        <v>0</v>
      </c>
      <c r="J1311" s="8" t="str">
        <f t="shared" si="100"/>
        <v/>
      </c>
      <c r="P1311">
        <v>0</v>
      </c>
      <c r="Q1311" t="e">
        <f t="shared" si="101"/>
        <v>#N/A</v>
      </c>
      <c r="R1311" t="e">
        <f t="shared" si="102"/>
        <v>#N/A</v>
      </c>
      <c r="S1311" s="9" t="e">
        <f t="shared" si="103"/>
        <v>#N/A</v>
      </c>
      <c r="T1311" s="3" t="e">
        <f t="shared" si="104"/>
        <v>#N/A</v>
      </c>
    </row>
    <row r="1312" spans="2:20" x14ac:dyDescent="0.35">
      <c r="B1312" t="str">
        <f>IF(NOT(ISBLANK(A1312)),VLOOKUP(A1312,'BBT3'!A:F,2,0),"")</f>
        <v/>
      </c>
      <c r="C1312" t="str">
        <f>IF(NOT(ISBLANK(A1312)),VLOOKUP(A1312,'BBT3'!A:F,3,0),"")</f>
        <v/>
      </c>
      <c r="D1312" s="6" t="str">
        <f>IF(NOT(ISBLANK(A1312)),VLOOKUP(A1312,'BBT3'!A:F,4,1),"")</f>
        <v/>
      </c>
      <c r="E1312" t="str">
        <f>IF(NOT(ISBLANK(A1312)),VLOOKUP(A1312,'BBT3'!A:F,5,0),"")</f>
        <v/>
      </c>
      <c r="F1312" t="str">
        <f>IF(NOT(ISBLANK(A1312)),VLOOKUP(A1312,'BBT3'!A:F,6,0),"")</f>
        <v/>
      </c>
      <c r="G1312" t="str">
        <f>IF(NOT(ISBLANK(A1312)),VLOOKUP(A1312,QW_Close!A:J,5,0),"")</f>
        <v/>
      </c>
      <c r="H1312" s="5" t="str" cm="1">
        <f t="array" ref="H1312">IF(NOT(ISBLANK(A1312)),((_xlfn.XLOOKUP(1,(_bbt3[[#All],[ID]]=A1312)*(_bbt3[[#All],[METRIC_NAME]]="YLD_YTM_ASK"),_bbt3[[#All],[METRIC_VALUE]])*0.5)+(_xlfn.XLOOKUP(1,(_bbt3[[#All],[ID]]=A1312)*(_bbt3[[#All],[METRIC_NAME]]="YLD_YTM_BID"),_bbt3[[#All],[METRIC_VALUE]])*0.5))/100,"")</f>
        <v/>
      </c>
      <c r="I1312">
        <f>IF(ISNA(VLOOKUP(A1312,QW_CloseDL!A:E,5,0)),0,VLOOKUP(A1312,QW_CloseDL!A:E,5,0))</f>
        <v>0</v>
      </c>
      <c r="J1312" s="8" t="str">
        <f t="shared" si="100"/>
        <v/>
      </c>
      <c r="P1312">
        <v>0</v>
      </c>
      <c r="Q1312" t="e">
        <f t="shared" si="101"/>
        <v>#N/A</v>
      </c>
      <c r="R1312" t="e">
        <f t="shared" si="102"/>
        <v>#N/A</v>
      </c>
      <c r="S1312" s="9" t="e">
        <f t="shared" si="103"/>
        <v>#N/A</v>
      </c>
      <c r="T1312" s="3" t="e">
        <f t="shared" si="104"/>
        <v>#N/A</v>
      </c>
    </row>
    <row r="1313" spans="2:20" x14ac:dyDescent="0.35">
      <c r="B1313" t="str">
        <f>IF(NOT(ISBLANK(A1313)),VLOOKUP(A1313,'BBT3'!A:F,2,0),"")</f>
        <v/>
      </c>
      <c r="C1313" t="str">
        <f>IF(NOT(ISBLANK(A1313)),VLOOKUP(A1313,'BBT3'!A:F,3,0),"")</f>
        <v/>
      </c>
      <c r="D1313" s="6" t="str">
        <f>IF(NOT(ISBLANK(A1313)),VLOOKUP(A1313,'BBT3'!A:F,4,1),"")</f>
        <v/>
      </c>
      <c r="E1313" t="str">
        <f>IF(NOT(ISBLANK(A1313)),VLOOKUP(A1313,'BBT3'!A:F,5,0),"")</f>
        <v/>
      </c>
      <c r="F1313" t="str">
        <f>IF(NOT(ISBLANK(A1313)),VLOOKUP(A1313,'BBT3'!A:F,6,0),"")</f>
        <v/>
      </c>
      <c r="G1313" t="str">
        <f>IF(NOT(ISBLANK(A1313)),VLOOKUP(A1313,QW_Close!A:J,5,0),"")</f>
        <v/>
      </c>
      <c r="H1313" s="5" t="str" cm="1">
        <f t="array" ref="H1313">IF(NOT(ISBLANK(A1313)),((_xlfn.XLOOKUP(1,(_bbt3[[#All],[ID]]=A1313)*(_bbt3[[#All],[METRIC_NAME]]="YLD_YTM_ASK"),_bbt3[[#All],[METRIC_VALUE]])*0.5)+(_xlfn.XLOOKUP(1,(_bbt3[[#All],[ID]]=A1313)*(_bbt3[[#All],[METRIC_NAME]]="YLD_YTM_BID"),_bbt3[[#All],[METRIC_VALUE]])*0.5))/100,"")</f>
        <v/>
      </c>
      <c r="I1313">
        <f>IF(ISNA(VLOOKUP(A1313,QW_CloseDL!A:E,5,0)),0,VLOOKUP(A1313,QW_CloseDL!A:E,5,0))</f>
        <v>0</v>
      </c>
      <c r="J1313" s="8" t="str">
        <f t="shared" si="100"/>
        <v/>
      </c>
      <c r="P1313">
        <v>0</v>
      </c>
      <c r="Q1313" t="e">
        <f t="shared" si="101"/>
        <v>#N/A</v>
      </c>
      <c r="R1313" t="e">
        <f t="shared" si="102"/>
        <v>#N/A</v>
      </c>
      <c r="S1313" s="9" t="e">
        <f t="shared" si="103"/>
        <v>#N/A</v>
      </c>
      <c r="T1313" s="3" t="e">
        <f t="shared" si="104"/>
        <v>#N/A</v>
      </c>
    </row>
    <row r="1314" spans="2:20" x14ac:dyDescent="0.35">
      <c r="B1314" t="str">
        <f>IF(NOT(ISBLANK(A1314)),VLOOKUP(A1314,'BBT3'!A:F,2,0),"")</f>
        <v/>
      </c>
      <c r="C1314" t="str">
        <f>IF(NOT(ISBLANK(A1314)),VLOOKUP(A1314,'BBT3'!A:F,3,0),"")</f>
        <v/>
      </c>
      <c r="D1314" s="6" t="str">
        <f>IF(NOT(ISBLANK(A1314)),VLOOKUP(A1314,'BBT3'!A:F,4,1),"")</f>
        <v/>
      </c>
      <c r="E1314" t="str">
        <f>IF(NOT(ISBLANK(A1314)),VLOOKUP(A1314,'BBT3'!A:F,5,0),"")</f>
        <v/>
      </c>
      <c r="F1314" t="str">
        <f>IF(NOT(ISBLANK(A1314)),VLOOKUP(A1314,'BBT3'!A:F,6,0),"")</f>
        <v/>
      </c>
      <c r="G1314" t="str">
        <f>IF(NOT(ISBLANK(A1314)),VLOOKUP(A1314,QW_Close!A:J,5,0),"")</f>
        <v/>
      </c>
      <c r="H1314" s="5" t="str" cm="1">
        <f t="array" ref="H1314">IF(NOT(ISBLANK(A1314)),((_xlfn.XLOOKUP(1,(_bbt3[[#All],[ID]]=A1314)*(_bbt3[[#All],[METRIC_NAME]]="YLD_YTM_ASK"),_bbt3[[#All],[METRIC_VALUE]])*0.5)+(_xlfn.XLOOKUP(1,(_bbt3[[#All],[ID]]=A1314)*(_bbt3[[#All],[METRIC_NAME]]="YLD_YTM_BID"),_bbt3[[#All],[METRIC_VALUE]])*0.5))/100,"")</f>
        <v/>
      </c>
      <c r="I1314">
        <f>IF(ISNA(VLOOKUP(A1314,QW_CloseDL!A:E,5,0)),0,VLOOKUP(A1314,QW_CloseDL!A:E,5,0))</f>
        <v>0</v>
      </c>
      <c r="J1314" s="8" t="str">
        <f t="shared" si="100"/>
        <v/>
      </c>
      <c r="P1314">
        <v>0</v>
      </c>
      <c r="Q1314" t="e">
        <f t="shared" si="101"/>
        <v>#N/A</v>
      </c>
      <c r="R1314" t="e">
        <f t="shared" si="102"/>
        <v>#N/A</v>
      </c>
      <c r="S1314" s="9" t="e">
        <f t="shared" si="103"/>
        <v>#N/A</v>
      </c>
      <c r="T1314" s="3" t="e">
        <f t="shared" si="104"/>
        <v>#N/A</v>
      </c>
    </row>
    <row r="1315" spans="2:20" x14ac:dyDescent="0.35">
      <c r="B1315" t="str">
        <f>IF(NOT(ISBLANK(A1315)),VLOOKUP(A1315,'BBT3'!A:F,2,0),"")</f>
        <v/>
      </c>
      <c r="C1315" t="str">
        <f>IF(NOT(ISBLANK(A1315)),VLOOKUP(A1315,'BBT3'!A:F,3,0),"")</f>
        <v/>
      </c>
      <c r="D1315" s="6" t="str">
        <f>IF(NOT(ISBLANK(A1315)),VLOOKUP(A1315,'BBT3'!A:F,4,1),"")</f>
        <v/>
      </c>
      <c r="E1315" t="str">
        <f>IF(NOT(ISBLANK(A1315)),VLOOKUP(A1315,'BBT3'!A:F,5,0),"")</f>
        <v/>
      </c>
      <c r="F1315" t="str">
        <f>IF(NOT(ISBLANK(A1315)),VLOOKUP(A1315,'BBT3'!A:F,6,0),"")</f>
        <v/>
      </c>
      <c r="G1315" t="str">
        <f>IF(NOT(ISBLANK(A1315)),VLOOKUP(A1315,QW_Close!A:J,5,0),"")</f>
        <v/>
      </c>
      <c r="H1315" s="5" t="str" cm="1">
        <f t="array" ref="H1315">IF(NOT(ISBLANK(A1315)),((_xlfn.XLOOKUP(1,(_bbt3[[#All],[ID]]=A1315)*(_bbt3[[#All],[METRIC_NAME]]="YLD_YTM_ASK"),_bbt3[[#All],[METRIC_VALUE]])*0.5)+(_xlfn.XLOOKUP(1,(_bbt3[[#All],[ID]]=A1315)*(_bbt3[[#All],[METRIC_NAME]]="YLD_YTM_BID"),_bbt3[[#All],[METRIC_VALUE]])*0.5))/100,"")</f>
        <v/>
      </c>
      <c r="I1315">
        <f>IF(ISNA(VLOOKUP(A1315,QW_CloseDL!A:E,5,0)),0,VLOOKUP(A1315,QW_CloseDL!A:E,5,0))</f>
        <v>0</v>
      </c>
      <c r="J1315" s="8" t="str">
        <f t="shared" si="100"/>
        <v/>
      </c>
      <c r="P1315">
        <v>0</v>
      </c>
      <c r="Q1315" t="e">
        <f t="shared" si="101"/>
        <v>#N/A</v>
      </c>
      <c r="R1315" t="e">
        <f t="shared" si="102"/>
        <v>#N/A</v>
      </c>
      <c r="S1315" s="9" t="e">
        <f t="shared" si="103"/>
        <v>#N/A</v>
      </c>
      <c r="T1315" s="3" t="e">
        <f t="shared" si="104"/>
        <v>#N/A</v>
      </c>
    </row>
    <row r="1316" spans="2:20" x14ac:dyDescent="0.35">
      <c r="B1316" t="str">
        <f>IF(NOT(ISBLANK(A1316)),VLOOKUP(A1316,'BBT3'!A:F,2,0),"")</f>
        <v/>
      </c>
      <c r="C1316" t="str">
        <f>IF(NOT(ISBLANK(A1316)),VLOOKUP(A1316,'BBT3'!A:F,3,0),"")</f>
        <v/>
      </c>
      <c r="D1316" s="6" t="str">
        <f>IF(NOT(ISBLANK(A1316)),VLOOKUP(A1316,'BBT3'!A:F,4,1),"")</f>
        <v/>
      </c>
      <c r="E1316" t="str">
        <f>IF(NOT(ISBLANK(A1316)),VLOOKUP(A1316,'BBT3'!A:F,5,0),"")</f>
        <v/>
      </c>
      <c r="F1316" t="str">
        <f>IF(NOT(ISBLANK(A1316)),VLOOKUP(A1316,'BBT3'!A:F,6,0),"")</f>
        <v/>
      </c>
      <c r="G1316" t="str">
        <f>IF(NOT(ISBLANK(A1316)),VLOOKUP(A1316,QW_Close!A:J,5,0),"")</f>
        <v/>
      </c>
      <c r="H1316" s="5" t="str" cm="1">
        <f t="array" ref="H1316">IF(NOT(ISBLANK(A1316)),((_xlfn.XLOOKUP(1,(_bbt3[[#All],[ID]]=A1316)*(_bbt3[[#All],[METRIC_NAME]]="YLD_YTM_ASK"),_bbt3[[#All],[METRIC_VALUE]])*0.5)+(_xlfn.XLOOKUP(1,(_bbt3[[#All],[ID]]=A1316)*(_bbt3[[#All],[METRIC_NAME]]="YLD_YTM_BID"),_bbt3[[#All],[METRIC_VALUE]])*0.5))/100,"")</f>
        <v/>
      </c>
      <c r="I1316">
        <f>IF(ISNA(VLOOKUP(A1316,QW_CloseDL!A:E,5,0)),0,VLOOKUP(A1316,QW_CloseDL!A:E,5,0))</f>
        <v>0</v>
      </c>
      <c r="J1316" s="8" t="str">
        <f t="shared" si="100"/>
        <v/>
      </c>
      <c r="P1316">
        <v>0</v>
      </c>
      <c r="Q1316" t="e">
        <f t="shared" si="101"/>
        <v>#N/A</v>
      </c>
      <c r="R1316" t="e">
        <f t="shared" si="102"/>
        <v>#N/A</v>
      </c>
      <c r="S1316" s="9" t="e">
        <f t="shared" si="103"/>
        <v>#N/A</v>
      </c>
      <c r="T1316" s="3" t="e">
        <f t="shared" si="104"/>
        <v>#N/A</v>
      </c>
    </row>
    <row r="1317" spans="2:20" x14ac:dyDescent="0.35">
      <c r="B1317" t="str">
        <f>IF(NOT(ISBLANK(A1317)),VLOOKUP(A1317,'BBT3'!A:F,2,0),"")</f>
        <v/>
      </c>
      <c r="C1317" t="str">
        <f>IF(NOT(ISBLANK(A1317)),VLOOKUP(A1317,'BBT3'!A:F,3,0),"")</f>
        <v/>
      </c>
      <c r="D1317" s="6" t="str">
        <f>IF(NOT(ISBLANK(A1317)),VLOOKUP(A1317,'BBT3'!A:F,4,1),"")</f>
        <v/>
      </c>
      <c r="E1317" t="str">
        <f>IF(NOT(ISBLANK(A1317)),VLOOKUP(A1317,'BBT3'!A:F,5,0),"")</f>
        <v/>
      </c>
      <c r="F1317" t="str">
        <f>IF(NOT(ISBLANK(A1317)),VLOOKUP(A1317,'BBT3'!A:F,6,0),"")</f>
        <v/>
      </c>
      <c r="G1317" t="str">
        <f>IF(NOT(ISBLANK(A1317)),VLOOKUP(A1317,QW_Close!A:J,5,0),"")</f>
        <v/>
      </c>
      <c r="H1317" s="5" t="str" cm="1">
        <f t="array" ref="H1317">IF(NOT(ISBLANK(A1317)),((_xlfn.XLOOKUP(1,(_bbt3[[#All],[ID]]=A1317)*(_bbt3[[#All],[METRIC_NAME]]="YLD_YTM_ASK"),_bbt3[[#All],[METRIC_VALUE]])*0.5)+(_xlfn.XLOOKUP(1,(_bbt3[[#All],[ID]]=A1317)*(_bbt3[[#All],[METRIC_NAME]]="YLD_YTM_BID"),_bbt3[[#All],[METRIC_VALUE]])*0.5))/100,"")</f>
        <v/>
      </c>
      <c r="I1317">
        <f>IF(ISNA(VLOOKUP(A1317,QW_CloseDL!A:E,5,0)),0,VLOOKUP(A1317,QW_CloseDL!A:E,5,0))</f>
        <v>0</v>
      </c>
      <c r="J1317" s="8" t="str">
        <f t="shared" si="100"/>
        <v/>
      </c>
      <c r="P1317">
        <v>0</v>
      </c>
      <c r="Q1317" t="e">
        <f t="shared" si="101"/>
        <v>#N/A</v>
      </c>
      <c r="R1317" t="e">
        <f t="shared" si="102"/>
        <v>#N/A</v>
      </c>
      <c r="S1317" s="9" t="e">
        <f t="shared" si="103"/>
        <v>#N/A</v>
      </c>
      <c r="T1317" s="3" t="e">
        <f t="shared" si="104"/>
        <v>#N/A</v>
      </c>
    </row>
    <row r="1318" spans="2:20" x14ac:dyDescent="0.35">
      <c r="B1318" t="str">
        <f>IF(NOT(ISBLANK(A1318)),VLOOKUP(A1318,'BBT3'!A:F,2,0),"")</f>
        <v/>
      </c>
      <c r="C1318" t="str">
        <f>IF(NOT(ISBLANK(A1318)),VLOOKUP(A1318,'BBT3'!A:F,3,0),"")</f>
        <v/>
      </c>
      <c r="D1318" s="6" t="str">
        <f>IF(NOT(ISBLANK(A1318)),VLOOKUP(A1318,'BBT3'!A:F,4,1),"")</f>
        <v/>
      </c>
      <c r="E1318" t="str">
        <f>IF(NOT(ISBLANK(A1318)),VLOOKUP(A1318,'BBT3'!A:F,5,0),"")</f>
        <v/>
      </c>
      <c r="F1318" t="str">
        <f>IF(NOT(ISBLANK(A1318)),VLOOKUP(A1318,'BBT3'!A:F,6,0),"")</f>
        <v/>
      </c>
      <c r="G1318" t="str">
        <f>IF(NOT(ISBLANK(A1318)),VLOOKUP(A1318,QW_Close!A:J,5,0),"")</f>
        <v/>
      </c>
      <c r="H1318" s="5" t="str" cm="1">
        <f t="array" ref="H1318">IF(NOT(ISBLANK(A1318)),((_xlfn.XLOOKUP(1,(_bbt3[[#All],[ID]]=A1318)*(_bbt3[[#All],[METRIC_NAME]]="YLD_YTM_ASK"),_bbt3[[#All],[METRIC_VALUE]])*0.5)+(_xlfn.XLOOKUP(1,(_bbt3[[#All],[ID]]=A1318)*(_bbt3[[#All],[METRIC_NAME]]="YLD_YTM_BID"),_bbt3[[#All],[METRIC_VALUE]])*0.5))/100,"")</f>
        <v/>
      </c>
      <c r="I1318">
        <f>IF(ISNA(VLOOKUP(A1318,QW_CloseDL!A:E,5,0)),0,VLOOKUP(A1318,QW_CloseDL!A:E,5,0))</f>
        <v>0</v>
      </c>
      <c r="J1318" s="8" t="str">
        <f t="shared" si="100"/>
        <v/>
      </c>
      <c r="P1318">
        <v>0</v>
      </c>
      <c r="Q1318" t="e">
        <f t="shared" si="101"/>
        <v>#N/A</v>
      </c>
      <c r="R1318" t="e">
        <f t="shared" si="102"/>
        <v>#N/A</v>
      </c>
      <c r="S1318" s="9" t="e">
        <f t="shared" si="103"/>
        <v>#N/A</v>
      </c>
      <c r="T1318" s="3" t="e">
        <f t="shared" si="104"/>
        <v>#N/A</v>
      </c>
    </row>
    <row r="1319" spans="2:20" x14ac:dyDescent="0.35">
      <c r="B1319" t="str">
        <f>IF(NOT(ISBLANK(A1319)),VLOOKUP(A1319,'BBT3'!A:F,2,0),"")</f>
        <v/>
      </c>
      <c r="C1319" t="str">
        <f>IF(NOT(ISBLANK(A1319)),VLOOKUP(A1319,'BBT3'!A:F,3,0),"")</f>
        <v/>
      </c>
      <c r="D1319" s="6" t="str">
        <f>IF(NOT(ISBLANK(A1319)),VLOOKUP(A1319,'BBT3'!A:F,4,1),"")</f>
        <v/>
      </c>
      <c r="E1319" t="str">
        <f>IF(NOT(ISBLANK(A1319)),VLOOKUP(A1319,'BBT3'!A:F,5,0),"")</f>
        <v/>
      </c>
      <c r="F1319" t="str">
        <f>IF(NOT(ISBLANK(A1319)),VLOOKUP(A1319,'BBT3'!A:F,6,0),"")</f>
        <v/>
      </c>
      <c r="G1319" t="str">
        <f>IF(NOT(ISBLANK(A1319)),VLOOKUP(A1319,QW_Close!A:J,5,0),"")</f>
        <v/>
      </c>
      <c r="H1319" s="5" t="str" cm="1">
        <f t="array" ref="H1319">IF(NOT(ISBLANK(A1319)),((_xlfn.XLOOKUP(1,(_bbt3[[#All],[ID]]=A1319)*(_bbt3[[#All],[METRIC_NAME]]="YLD_YTM_ASK"),_bbt3[[#All],[METRIC_VALUE]])*0.5)+(_xlfn.XLOOKUP(1,(_bbt3[[#All],[ID]]=A1319)*(_bbt3[[#All],[METRIC_NAME]]="YLD_YTM_BID"),_bbt3[[#All],[METRIC_VALUE]])*0.5))/100,"")</f>
        <v/>
      </c>
      <c r="I1319">
        <f>IF(ISNA(VLOOKUP(A1319,QW_CloseDL!A:E,5,0)),0,VLOOKUP(A1319,QW_CloseDL!A:E,5,0))</f>
        <v>0</v>
      </c>
      <c r="J1319" s="8" t="str">
        <f t="shared" si="100"/>
        <v/>
      </c>
      <c r="P1319">
        <v>0</v>
      </c>
      <c r="Q1319" t="e">
        <f t="shared" si="101"/>
        <v>#N/A</v>
      </c>
      <c r="R1319" t="e">
        <f t="shared" si="102"/>
        <v>#N/A</v>
      </c>
      <c r="S1319" s="9" t="e">
        <f t="shared" si="103"/>
        <v>#N/A</v>
      </c>
      <c r="T1319" s="3" t="e">
        <f t="shared" si="104"/>
        <v>#N/A</v>
      </c>
    </row>
    <row r="1320" spans="2:20" x14ac:dyDescent="0.35">
      <c r="B1320" t="str">
        <f>IF(NOT(ISBLANK(A1320)),VLOOKUP(A1320,'BBT3'!A:F,2,0),"")</f>
        <v/>
      </c>
      <c r="C1320" t="str">
        <f>IF(NOT(ISBLANK(A1320)),VLOOKUP(A1320,'BBT3'!A:F,3,0),"")</f>
        <v/>
      </c>
      <c r="D1320" s="6" t="str">
        <f>IF(NOT(ISBLANK(A1320)),VLOOKUP(A1320,'BBT3'!A:F,4,1),"")</f>
        <v/>
      </c>
      <c r="E1320" t="str">
        <f>IF(NOT(ISBLANK(A1320)),VLOOKUP(A1320,'BBT3'!A:F,5,0),"")</f>
        <v/>
      </c>
      <c r="F1320" t="str">
        <f>IF(NOT(ISBLANK(A1320)),VLOOKUP(A1320,'BBT3'!A:F,6,0),"")</f>
        <v/>
      </c>
      <c r="G1320" t="str">
        <f>IF(NOT(ISBLANK(A1320)),VLOOKUP(A1320,QW_Close!A:J,5,0),"")</f>
        <v/>
      </c>
      <c r="H1320" s="5" t="str" cm="1">
        <f t="array" ref="H1320">IF(NOT(ISBLANK(A1320)),((_xlfn.XLOOKUP(1,(_bbt3[[#All],[ID]]=A1320)*(_bbt3[[#All],[METRIC_NAME]]="YLD_YTM_ASK"),_bbt3[[#All],[METRIC_VALUE]])*0.5)+(_xlfn.XLOOKUP(1,(_bbt3[[#All],[ID]]=A1320)*(_bbt3[[#All],[METRIC_NAME]]="YLD_YTM_BID"),_bbt3[[#All],[METRIC_VALUE]])*0.5))/100,"")</f>
        <v/>
      </c>
      <c r="I1320">
        <f>IF(ISNA(VLOOKUP(A1320,QW_CloseDL!A:E,5,0)),0,VLOOKUP(A1320,QW_CloseDL!A:E,5,0))</f>
        <v>0</v>
      </c>
      <c r="J1320" s="8" t="str">
        <f t="shared" si="100"/>
        <v/>
      </c>
      <c r="P1320">
        <v>0</v>
      </c>
      <c r="Q1320" t="e">
        <f t="shared" si="101"/>
        <v>#N/A</v>
      </c>
      <c r="R1320" t="e">
        <f t="shared" si="102"/>
        <v>#N/A</v>
      </c>
      <c r="S1320" s="9" t="e">
        <f t="shared" si="103"/>
        <v>#N/A</v>
      </c>
      <c r="T1320" s="3" t="e">
        <f t="shared" si="104"/>
        <v>#N/A</v>
      </c>
    </row>
    <row r="1321" spans="2:20" x14ac:dyDescent="0.35">
      <c r="B1321" t="str">
        <f>IF(NOT(ISBLANK(A1321)),VLOOKUP(A1321,'BBT3'!A:F,2,0),"")</f>
        <v/>
      </c>
      <c r="C1321" t="str">
        <f>IF(NOT(ISBLANK(A1321)),VLOOKUP(A1321,'BBT3'!A:F,3,0),"")</f>
        <v/>
      </c>
      <c r="D1321" s="6" t="str">
        <f>IF(NOT(ISBLANK(A1321)),VLOOKUP(A1321,'BBT3'!A:F,4,1),"")</f>
        <v/>
      </c>
      <c r="E1321" t="str">
        <f>IF(NOT(ISBLANK(A1321)),VLOOKUP(A1321,'BBT3'!A:F,5,0),"")</f>
        <v/>
      </c>
      <c r="F1321" t="str">
        <f>IF(NOT(ISBLANK(A1321)),VLOOKUP(A1321,'BBT3'!A:F,6,0),"")</f>
        <v/>
      </c>
      <c r="G1321" t="str">
        <f>IF(NOT(ISBLANK(A1321)),VLOOKUP(A1321,QW_Close!A:J,5,0),"")</f>
        <v/>
      </c>
      <c r="H1321" s="5" t="str" cm="1">
        <f t="array" ref="H1321">IF(NOT(ISBLANK(A1321)),((_xlfn.XLOOKUP(1,(_bbt3[[#All],[ID]]=A1321)*(_bbt3[[#All],[METRIC_NAME]]="YLD_YTM_ASK"),_bbt3[[#All],[METRIC_VALUE]])*0.5)+(_xlfn.XLOOKUP(1,(_bbt3[[#All],[ID]]=A1321)*(_bbt3[[#All],[METRIC_NAME]]="YLD_YTM_BID"),_bbt3[[#All],[METRIC_VALUE]])*0.5))/100,"")</f>
        <v/>
      </c>
      <c r="I1321">
        <f>IF(ISNA(VLOOKUP(A1321,QW_CloseDL!A:E,5,0)),0,VLOOKUP(A1321,QW_CloseDL!A:E,5,0))</f>
        <v>0</v>
      </c>
      <c r="J1321" s="8" t="str">
        <f t="shared" si="100"/>
        <v/>
      </c>
      <c r="P1321">
        <v>0</v>
      </c>
      <c r="Q1321" t="e">
        <f t="shared" si="101"/>
        <v>#N/A</v>
      </c>
      <c r="R1321" t="e">
        <f t="shared" si="102"/>
        <v>#N/A</v>
      </c>
      <c r="S1321" s="9" t="e">
        <f t="shared" si="103"/>
        <v>#N/A</v>
      </c>
      <c r="T1321" s="3" t="e">
        <f t="shared" si="104"/>
        <v>#N/A</v>
      </c>
    </row>
    <row r="1322" spans="2:20" x14ac:dyDescent="0.35">
      <c r="B1322" t="str">
        <f>IF(NOT(ISBLANK(A1322)),VLOOKUP(A1322,'BBT3'!A:F,2,0),"")</f>
        <v/>
      </c>
      <c r="C1322" t="str">
        <f>IF(NOT(ISBLANK(A1322)),VLOOKUP(A1322,'BBT3'!A:F,3,0),"")</f>
        <v/>
      </c>
      <c r="D1322" s="6" t="str">
        <f>IF(NOT(ISBLANK(A1322)),VLOOKUP(A1322,'BBT3'!A:F,4,1),"")</f>
        <v/>
      </c>
      <c r="E1322" t="str">
        <f>IF(NOT(ISBLANK(A1322)),VLOOKUP(A1322,'BBT3'!A:F,5,0),"")</f>
        <v/>
      </c>
      <c r="F1322" t="str">
        <f>IF(NOT(ISBLANK(A1322)),VLOOKUP(A1322,'BBT3'!A:F,6,0),"")</f>
        <v/>
      </c>
      <c r="G1322" t="str">
        <f>IF(NOT(ISBLANK(A1322)),VLOOKUP(A1322,QW_Close!A:J,5,0),"")</f>
        <v/>
      </c>
      <c r="H1322" s="5" t="str" cm="1">
        <f t="array" ref="H1322">IF(NOT(ISBLANK(A1322)),((_xlfn.XLOOKUP(1,(_bbt3[[#All],[ID]]=A1322)*(_bbt3[[#All],[METRIC_NAME]]="YLD_YTM_ASK"),_bbt3[[#All],[METRIC_VALUE]])*0.5)+(_xlfn.XLOOKUP(1,(_bbt3[[#All],[ID]]=A1322)*(_bbt3[[#All],[METRIC_NAME]]="YLD_YTM_BID"),_bbt3[[#All],[METRIC_VALUE]])*0.5))/100,"")</f>
        <v/>
      </c>
      <c r="I1322">
        <f>IF(ISNA(VLOOKUP(A1322,QW_CloseDL!A:E,5,0)),0,VLOOKUP(A1322,QW_CloseDL!A:E,5,0))</f>
        <v>0</v>
      </c>
      <c r="J1322" s="8" t="str">
        <f t="shared" si="100"/>
        <v/>
      </c>
      <c r="P1322">
        <v>0</v>
      </c>
      <c r="Q1322" t="e">
        <f t="shared" si="101"/>
        <v>#N/A</v>
      </c>
      <c r="R1322" t="e">
        <f t="shared" si="102"/>
        <v>#N/A</v>
      </c>
      <c r="S1322" s="9" t="e">
        <f t="shared" si="103"/>
        <v>#N/A</v>
      </c>
      <c r="T1322" s="3" t="e">
        <f t="shared" si="104"/>
        <v>#N/A</v>
      </c>
    </row>
    <row r="1323" spans="2:20" x14ac:dyDescent="0.35">
      <c r="B1323" t="str">
        <f>IF(NOT(ISBLANK(A1323)),VLOOKUP(A1323,'BBT3'!A:F,2,0),"")</f>
        <v/>
      </c>
      <c r="C1323" t="str">
        <f>IF(NOT(ISBLANK(A1323)),VLOOKUP(A1323,'BBT3'!A:F,3,0),"")</f>
        <v/>
      </c>
      <c r="D1323" s="6" t="str">
        <f>IF(NOT(ISBLANK(A1323)),VLOOKUP(A1323,'BBT3'!A:F,4,1),"")</f>
        <v/>
      </c>
      <c r="E1323" t="str">
        <f>IF(NOT(ISBLANK(A1323)),VLOOKUP(A1323,'BBT3'!A:F,5,0),"")</f>
        <v/>
      </c>
      <c r="F1323" t="str">
        <f>IF(NOT(ISBLANK(A1323)),VLOOKUP(A1323,'BBT3'!A:F,6,0),"")</f>
        <v/>
      </c>
      <c r="G1323" t="str">
        <f>IF(NOT(ISBLANK(A1323)),VLOOKUP(A1323,QW_Close!A:J,5,0),"")</f>
        <v/>
      </c>
      <c r="H1323" s="5" t="str" cm="1">
        <f t="array" ref="H1323">IF(NOT(ISBLANK(A1323)),((_xlfn.XLOOKUP(1,(_bbt3[[#All],[ID]]=A1323)*(_bbt3[[#All],[METRIC_NAME]]="YLD_YTM_ASK"),_bbt3[[#All],[METRIC_VALUE]])*0.5)+(_xlfn.XLOOKUP(1,(_bbt3[[#All],[ID]]=A1323)*(_bbt3[[#All],[METRIC_NAME]]="YLD_YTM_BID"),_bbt3[[#All],[METRIC_VALUE]])*0.5))/100,"")</f>
        <v/>
      </c>
      <c r="I1323">
        <f>IF(ISNA(VLOOKUP(A1323,QW_CloseDL!A:E,5,0)),0,VLOOKUP(A1323,QW_CloseDL!A:E,5,0))</f>
        <v>0</v>
      </c>
      <c r="J1323" s="8" t="str">
        <f t="shared" si="100"/>
        <v/>
      </c>
      <c r="P1323">
        <v>0</v>
      </c>
      <c r="Q1323" t="e">
        <f t="shared" si="101"/>
        <v>#N/A</v>
      </c>
      <c r="R1323" t="e">
        <f t="shared" si="102"/>
        <v>#N/A</v>
      </c>
      <c r="S1323" s="9" t="e">
        <f t="shared" si="103"/>
        <v>#N/A</v>
      </c>
      <c r="T1323" s="3" t="e">
        <f t="shared" si="104"/>
        <v>#N/A</v>
      </c>
    </row>
    <row r="1324" spans="2:20" x14ac:dyDescent="0.35">
      <c r="B1324" t="str">
        <f>IF(NOT(ISBLANK(A1324)),VLOOKUP(A1324,'BBT3'!A:F,2,0),"")</f>
        <v/>
      </c>
      <c r="C1324" t="str">
        <f>IF(NOT(ISBLANK(A1324)),VLOOKUP(A1324,'BBT3'!A:F,3,0),"")</f>
        <v/>
      </c>
      <c r="D1324" s="6" t="str">
        <f>IF(NOT(ISBLANK(A1324)),VLOOKUP(A1324,'BBT3'!A:F,4,1),"")</f>
        <v/>
      </c>
      <c r="E1324" t="str">
        <f>IF(NOT(ISBLANK(A1324)),VLOOKUP(A1324,'BBT3'!A:F,5,0),"")</f>
        <v/>
      </c>
      <c r="F1324" t="str">
        <f>IF(NOT(ISBLANK(A1324)),VLOOKUP(A1324,'BBT3'!A:F,6,0),"")</f>
        <v/>
      </c>
      <c r="G1324" t="str">
        <f>IF(NOT(ISBLANK(A1324)),VLOOKUP(A1324,QW_Close!A:J,5,0),"")</f>
        <v/>
      </c>
      <c r="H1324" s="5" t="str" cm="1">
        <f t="array" ref="H1324">IF(NOT(ISBLANK(A1324)),((_xlfn.XLOOKUP(1,(_bbt3[[#All],[ID]]=A1324)*(_bbt3[[#All],[METRIC_NAME]]="YLD_YTM_ASK"),_bbt3[[#All],[METRIC_VALUE]])*0.5)+(_xlfn.XLOOKUP(1,(_bbt3[[#All],[ID]]=A1324)*(_bbt3[[#All],[METRIC_NAME]]="YLD_YTM_BID"),_bbt3[[#All],[METRIC_VALUE]])*0.5))/100,"")</f>
        <v/>
      </c>
      <c r="I1324">
        <f>IF(ISNA(VLOOKUP(A1324,QW_CloseDL!A:E,5,0)),0,VLOOKUP(A1324,QW_CloseDL!A:E,5,0))</f>
        <v>0</v>
      </c>
      <c r="J1324" s="8" t="str">
        <f t="shared" si="100"/>
        <v/>
      </c>
      <c r="P1324">
        <v>0</v>
      </c>
      <c r="Q1324" t="e">
        <f t="shared" si="101"/>
        <v>#N/A</v>
      </c>
      <c r="R1324" t="e">
        <f t="shared" si="102"/>
        <v>#N/A</v>
      </c>
      <c r="S1324" s="9" t="e">
        <f t="shared" si="103"/>
        <v>#N/A</v>
      </c>
      <c r="T1324" s="3" t="e">
        <f t="shared" si="104"/>
        <v>#N/A</v>
      </c>
    </row>
    <row r="1325" spans="2:20" x14ac:dyDescent="0.35">
      <c r="B1325" t="str">
        <f>IF(NOT(ISBLANK(A1325)),VLOOKUP(A1325,'BBT3'!A:F,2,0),"")</f>
        <v/>
      </c>
      <c r="C1325" t="str">
        <f>IF(NOT(ISBLANK(A1325)),VLOOKUP(A1325,'BBT3'!A:F,3,0),"")</f>
        <v/>
      </c>
      <c r="D1325" s="6" t="str">
        <f>IF(NOT(ISBLANK(A1325)),VLOOKUP(A1325,'BBT3'!A:F,4,1),"")</f>
        <v/>
      </c>
      <c r="E1325" t="str">
        <f>IF(NOT(ISBLANK(A1325)),VLOOKUP(A1325,'BBT3'!A:F,5,0),"")</f>
        <v/>
      </c>
      <c r="F1325" t="str">
        <f>IF(NOT(ISBLANK(A1325)),VLOOKUP(A1325,'BBT3'!A:F,6,0),"")</f>
        <v/>
      </c>
      <c r="G1325" t="str">
        <f>IF(NOT(ISBLANK(A1325)),VLOOKUP(A1325,QW_Close!A:J,5,0),"")</f>
        <v/>
      </c>
      <c r="H1325" s="5" t="str" cm="1">
        <f t="array" ref="H1325">IF(NOT(ISBLANK(A1325)),((_xlfn.XLOOKUP(1,(_bbt3[[#All],[ID]]=A1325)*(_bbt3[[#All],[METRIC_NAME]]="YLD_YTM_ASK"),_bbt3[[#All],[METRIC_VALUE]])*0.5)+(_xlfn.XLOOKUP(1,(_bbt3[[#All],[ID]]=A1325)*(_bbt3[[#All],[METRIC_NAME]]="YLD_YTM_BID"),_bbt3[[#All],[METRIC_VALUE]])*0.5))/100,"")</f>
        <v/>
      </c>
      <c r="I1325">
        <f>IF(ISNA(VLOOKUP(A1325,QW_CloseDL!A:E,5,0)),0,VLOOKUP(A1325,QW_CloseDL!A:E,5,0))</f>
        <v>0</v>
      </c>
      <c r="J1325" s="8" t="str">
        <f t="shared" si="100"/>
        <v/>
      </c>
      <c r="P1325">
        <v>0</v>
      </c>
      <c r="Q1325" t="e">
        <f t="shared" si="101"/>
        <v>#N/A</v>
      </c>
      <c r="R1325" t="e">
        <f t="shared" si="102"/>
        <v>#N/A</v>
      </c>
      <c r="S1325" s="9" t="e">
        <f t="shared" si="103"/>
        <v>#N/A</v>
      </c>
      <c r="T1325" s="3" t="e">
        <f t="shared" si="104"/>
        <v>#N/A</v>
      </c>
    </row>
    <row r="1326" spans="2:20" x14ac:dyDescent="0.35">
      <c r="B1326" t="str">
        <f>IF(NOT(ISBLANK(A1326)),VLOOKUP(A1326,'BBT3'!A:F,2,0),"")</f>
        <v/>
      </c>
      <c r="C1326" t="str">
        <f>IF(NOT(ISBLANK(A1326)),VLOOKUP(A1326,'BBT3'!A:F,3,0),"")</f>
        <v/>
      </c>
      <c r="D1326" s="6" t="str">
        <f>IF(NOT(ISBLANK(A1326)),VLOOKUP(A1326,'BBT3'!A:F,4,1),"")</f>
        <v/>
      </c>
      <c r="E1326" t="str">
        <f>IF(NOT(ISBLANK(A1326)),VLOOKUP(A1326,'BBT3'!A:F,5,0),"")</f>
        <v/>
      </c>
      <c r="F1326" t="str">
        <f>IF(NOT(ISBLANK(A1326)),VLOOKUP(A1326,'BBT3'!A:F,6,0),"")</f>
        <v/>
      </c>
      <c r="G1326" t="str">
        <f>IF(NOT(ISBLANK(A1326)),VLOOKUP(A1326,QW_Close!A:J,5,0),"")</f>
        <v/>
      </c>
      <c r="H1326" s="5" t="str" cm="1">
        <f t="array" ref="H1326">IF(NOT(ISBLANK(A1326)),((_xlfn.XLOOKUP(1,(_bbt3[[#All],[ID]]=A1326)*(_bbt3[[#All],[METRIC_NAME]]="YLD_YTM_ASK"),_bbt3[[#All],[METRIC_VALUE]])*0.5)+(_xlfn.XLOOKUP(1,(_bbt3[[#All],[ID]]=A1326)*(_bbt3[[#All],[METRIC_NAME]]="YLD_YTM_BID"),_bbt3[[#All],[METRIC_VALUE]])*0.5))/100,"")</f>
        <v/>
      </c>
      <c r="I1326">
        <f>IF(ISNA(VLOOKUP(A1326,QW_CloseDL!A:E,5,0)),0,VLOOKUP(A1326,QW_CloseDL!A:E,5,0))</f>
        <v>0</v>
      </c>
      <c r="J1326" s="8" t="str">
        <f t="shared" si="100"/>
        <v/>
      </c>
      <c r="P1326">
        <v>0</v>
      </c>
      <c r="Q1326" t="e">
        <f t="shared" si="101"/>
        <v>#N/A</v>
      </c>
      <c r="R1326" t="e">
        <f t="shared" si="102"/>
        <v>#N/A</v>
      </c>
      <c r="S1326" s="9" t="e">
        <f t="shared" si="103"/>
        <v>#N/A</v>
      </c>
      <c r="T1326" s="3" t="e">
        <f t="shared" si="104"/>
        <v>#N/A</v>
      </c>
    </row>
    <row r="1327" spans="2:20" x14ac:dyDescent="0.35">
      <c r="B1327" t="str">
        <f>IF(NOT(ISBLANK(A1327)),VLOOKUP(A1327,'BBT3'!A:F,2,0),"")</f>
        <v/>
      </c>
      <c r="C1327" t="str">
        <f>IF(NOT(ISBLANK(A1327)),VLOOKUP(A1327,'BBT3'!A:F,3,0),"")</f>
        <v/>
      </c>
      <c r="D1327" s="6" t="str">
        <f>IF(NOT(ISBLANK(A1327)),VLOOKUP(A1327,'BBT3'!A:F,4,1),"")</f>
        <v/>
      </c>
      <c r="E1327" t="str">
        <f>IF(NOT(ISBLANK(A1327)),VLOOKUP(A1327,'BBT3'!A:F,5,0),"")</f>
        <v/>
      </c>
      <c r="F1327" t="str">
        <f>IF(NOT(ISBLANK(A1327)),VLOOKUP(A1327,'BBT3'!A:F,6,0),"")</f>
        <v/>
      </c>
      <c r="G1327" t="str">
        <f>IF(NOT(ISBLANK(A1327)),VLOOKUP(A1327,QW_Close!A:J,5,0),"")</f>
        <v/>
      </c>
      <c r="H1327" s="5" t="str" cm="1">
        <f t="array" ref="H1327">IF(NOT(ISBLANK(A1327)),((_xlfn.XLOOKUP(1,(_bbt3[[#All],[ID]]=A1327)*(_bbt3[[#All],[METRIC_NAME]]="YLD_YTM_ASK"),_bbt3[[#All],[METRIC_VALUE]])*0.5)+(_xlfn.XLOOKUP(1,(_bbt3[[#All],[ID]]=A1327)*(_bbt3[[#All],[METRIC_NAME]]="YLD_YTM_BID"),_bbt3[[#All],[METRIC_VALUE]])*0.5))/100,"")</f>
        <v/>
      </c>
      <c r="I1327">
        <f>IF(ISNA(VLOOKUP(A1327,QW_CloseDL!A:E,5,0)),0,VLOOKUP(A1327,QW_CloseDL!A:E,5,0))</f>
        <v>0</v>
      </c>
      <c r="J1327" s="8" t="str">
        <f t="shared" si="100"/>
        <v/>
      </c>
      <c r="P1327">
        <v>0</v>
      </c>
      <c r="Q1327" t="e">
        <f t="shared" si="101"/>
        <v>#N/A</v>
      </c>
      <c r="R1327" t="e">
        <f t="shared" si="102"/>
        <v>#N/A</v>
      </c>
      <c r="S1327" s="9" t="e">
        <f t="shared" si="103"/>
        <v>#N/A</v>
      </c>
      <c r="T1327" s="3" t="e">
        <f t="shared" si="104"/>
        <v>#N/A</v>
      </c>
    </row>
    <row r="1328" spans="2:20" x14ac:dyDescent="0.35">
      <c r="B1328" t="str">
        <f>IF(NOT(ISBLANK(A1328)),VLOOKUP(A1328,'BBT3'!A:F,2,0),"")</f>
        <v/>
      </c>
      <c r="C1328" t="str">
        <f>IF(NOT(ISBLANK(A1328)),VLOOKUP(A1328,'BBT3'!A:F,3,0),"")</f>
        <v/>
      </c>
      <c r="D1328" s="6" t="str">
        <f>IF(NOT(ISBLANK(A1328)),VLOOKUP(A1328,'BBT3'!A:F,4,1),"")</f>
        <v/>
      </c>
      <c r="E1328" t="str">
        <f>IF(NOT(ISBLANK(A1328)),VLOOKUP(A1328,'BBT3'!A:F,5,0),"")</f>
        <v/>
      </c>
      <c r="F1328" t="str">
        <f>IF(NOT(ISBLANK(A1328)),VLOOKUP(A1328,'BBT3'!A:F,6,0),"")</f>
        <v/>
      </c>
      <c r="G1328" t="str">
        <f>IF(NOT(ISBLANK(A1328)),VLOOKUP(A1328,QW_Close!A:J,5,0),"")</f>
        <v/>
      </c>
      <c r="H1328" s="5" t="str" cm="1">
        <f t="array" ref="H1328">IF(NOT(ISBLANK(A1328)),((_xlfn.XLOOKUP(1,(_bbt3[[#All],[ID]]=A1328)*(_bbt3[[#All],[METRIC_NAME]]="YLD_YTM_ASK"),_bbt3[[#All],[METRIC_VALUE]])*0.5)+(_xlfn.XLOOKUP(1,(_bbt3[[#All],[ID]]=A1328)*(_bbt3[[#All],[METRIC_NAME]]="YLD_YTM_BID"),_bbt3[[#All],[METRIC_VALUE]])*0.5))/100,"")</f>
        <v/>
      </c>
      <c r="I1328">
        <f>IF(ISNA(VLOOKUP(A1328,QW_CloseDL!A:E,5,0)),0,VLOOKUP(A1328,QW_CloseDL!A:E,5,0))</f>
        <v>0</v>
      </c>
      <c r="J1328" s="8" t="str">
        <f t="shared" si="100"/>
        <v/>
      </c>
      <c r="P1328">
        <v>0</v>
      </c>
      <c r="Q1328" t="e">
        <f t="shared" si="101"/>
        <v>#N/A</v>
      </c>
      <c r="R1328" t="e">
        <f t="shared" si="102"/>
        <v>#N/A</v>
      </c>
      <c r="S1328" s="9" t="e">
        <f t="shared" si="103"/>
        <v>#N/A</v>
      </c>
      <c r="T1328" s="3" t="e">
        <f t="shared" si="104"/>
        <v>#N/A</v>
      </c>
    </row>
    <row r="1329" spans="2:20" x14ac:dyDescent="0.35">
      <c r="B1329" t="str">
        <f>IF(NOT(ISBLANK(A1329)),VLOOKUP(A1329,'BBT3'!A:F,2,0),"")</f>
        <v/>
      </c>
      <c r="C1329" t="str">
        <f>IF(NOT(ISBLANK(A1329)),VLOOKUP(A1329,'BBT3'!A:F,3,0),"")</f>
        <v/>
      </c>
      <c r="D1329" s="6" t="str">
        <f>IF(NOT(ISBLANK(A1329)),VLOOKUP(A1329,'BBT3'!A:F,4,1),"")</f>
        <v/>
      </c>
      <c r="E1329" t="str">
        <f>IF(NOT(ISBLANK(A1329)),VLOOKUP(A1329,'BBT3'!A:F,5,0),"")</f>
        <v/>
      </c>
      <c r="F1329" t="str">
        <f>IF(NOT(ISBLANK(A1329)),VLOOKUP(A1329,'BBT3'!A:F,6,0),"")</f>
        <v/>
      </c>
      <c r="G1329" t="str">
        <f>IF(NOT(ISBLANK(A1329)),VLOOKUP(A1329,QW_Close!A:J,5,0),"")</f>
        <v/>
      </c>
      <c r="H1329" s="5" t="str" cm="1">
        <f t="array" ref="H1329">IF(NOT(ISBLANK(A1329)),((_xlfn.XLOOKUP(1,(_bbt3[[#All],[ID]]=A1329)*(_bbt3[[#All],[METRIC_NAME]]="YLD_YTM_ASK"),_bbt3[[#All],[METRIC_VALUE]])*0.5)+(_xlfn.XLOOKUP(1,(_bbt3[[#All],[ID]]=A1329)*(_bbt3[[#All],[METRIC_NAME]]="YLD_YTM_BID"),_bbt3[[#All],[METRIC_VALUE]])*0.5))/100,"")</f>
        <v/>
      </c>
      <c r="I1329">
        <f>IF(ISNA(VLOOKUP(A1329,QW_CloseDL!A:E,5,0)),0,VLOOKUP(A1329,QW_CloseDL!A:E,5,0))</f>
        <v>0</v>
      </c>
      <c r="J1329" s="8" t="str">
        <f t="shared" si="100"/>
        <v/>
      </c>
      <c r="P1329">
        <v>0</v>
      </c>
      <c r="Q1329" t="e">
        <f t="shared" si="101"/>
        <v>#N/A</v>
      </c>
      <c r="R1329" t="e">
        <f t="shared" si="102"/>
        <v>#N/A</v>
      </c>
      <c r="S1329" s="9" t="e">
        <f t="shared" si="103"/>
        <v>#N/A</v>
      </c>
      <c r="T1329" s="3" t="e">
        <f t="shared" si="104"/>
        <v>#N/A</v>
      </c>
    </row>
    <row r="1330" spans="2:20" x14ac:dyDescent="0.35">
      <c r="B1330" t="str">
        <f>IF(NOT(ISBLANK(A1330)),VLOOKUP(A1330,'BBT3'!A:F,2,0),"")</f>
        <v/>
      </c>
      <c r="C1330" t="str">
        <f>IF(NOT(ISBLANK(A1330)),VLOOKUP(A1330,'BBT3'!A:F,3,0),"")</f>
        <v/>
      </c>
      <c r="D1330" s="6" t="str">
        <f>IF(NOT(ISBLANK(A1330)),VLOOKUP(A1330,'BBT3'!A:F,4,1),"")</f>
        <v/>
      </c>
      <c r="E1330" t="str">
        <f>IF(NOT(ISBLANK(A1330)),VLOOKUP(A1330,'BBT3'!A:F,5,0),"")</f>
        <v/>
      </c>
      <c r="F1330" t="str">
        <f>IF(NOT(ISBLANK(A1330)),VLOOKUP(A1330,'BBT3'!A:F,6,0),"")</f>
        <v/>
      </c>
      <c r="G1330" t="str">
        <f>IF(NOT(ISBLANK(A1330)),VLOOKUP(A1330,QW_Close!A:J,5,0),"")</f>
        <v/>
      </c>
      <c r="H1330" s="5" t="str" cm="1">
        <f t="array" ref="H1330">IF(NOT(ISBLANK(A1330)),((_xlfn.XLOOKUP(1,(_bbt3[[#All],[ID]]=A1330)*(_bbt3[[#All],[METRIC_NAME]]="YLD_YTM_ASK"),_bbt3[[#All],[METRIC_VALUE]])*0.5)+(_xlfn.XLOOKUP(1,(_bbt3[[#All],[ID]]=A1330)*(_bbt3[[#All],[METRIC_NAME]]="YLD_YTM_BID"),_bbt3[[#All],[METRIC_VALUE]])*0.5))/100,"")</f>
        <v/>
      </c>
      <c r="I1330">
        <f>IF(ISNA(VLOOKUP(A1330,QW_CloseDL!A:E,5,0)),0,VLOOKUP(A1330,QW_CloseDL!A:E,5,0))</f>
        <v>0</v>
      </c>
      <c r="J1330" s="8" t="str">
        <f t="shared" si="100"/>
        <v/>
      </c>
      <c r="P1330">
        <v>0</v>
      </c>
      <c r="Q1330" t="e">
        <f t="shared" si="101"/>
        <v>#N/A</v>
      </c>
      <c r="R1330" t="e">
        <f t="shared" si="102"/>
        <v>#N/A</v>
      </c>
      <c r="S1330" s="9" t="e">
        <f t="shared" si="103"/>
        <v>#N/A</v>
      </c>
      <c r="T1330" s="3" t="e">
        <f t="shared" si="104"/>
        <v>#N/A</v>
      </c>
    </row>
    <row r="1331" spans="2:20" x14ac:dyDescent="0.35">
      <c r="B1331" t="str">
        <f>IF(NOT(ISBLANK(A1331)),VLOOKUP(A1331,'BBT3'!A:F,2,0),"")</f>
        <v/>
      </c>
      <c r="C1331" t="str">
        <f>IF(NOT(ISBLANK(A1331)),VLOOKUP(A1331,'BBT3'!A:F,3,0),"")</f>
        <v/>
      </c>
      <c r="D1331" s="6" t="str">
        <f>IF(NOT(ISBLANK(A1331)),VLOOKUP(A1331,'BBT3'!A:F,4,1),"")</f>
        <v/>
      </c>
      <c r="E1331" t="str">
        <f>IF(NOT(ISBLANK(A1331)),VLOOKUP(A1331,'BBT3'!A:F,5,0),"")</f>
        <v/>
      </c>
      <c r="F1331" t="str">
        <f>IF(NOT(ISBLANK(A1331)),VLOOKUP(A1331,'BBT3'!A:F,6,0),"")</f>
        <v/>
      </c>
      <c r="G1331" t="str">
        <f>IF(NOT(ISBLANK(A1331)),VLOOKUP(A1331,QW_Close!A:J,5,0),"")</f>
        <v/>
      </c>
      <c r="H1331" s="5" t="str" cm="1">
        <f t="array" ref="H1331">IF(NOT(ISBLANK(A1331)),((_xlfn.XLOOKUP(1,(_bbt3[[#All],[ID]]=A1331)*(_bbt3[[#All],[METRIC_NAME]]="YLD_YTM_ASK"),_bbt3[[#All],[METRIC_VALUE]])*0.5)+(_xlfn.XLOOKUP(1,(_bbt3[[#All],[ID]]=A1331)*(_bbt3[[#All],[METRIC_NAME]]="YLD_YTM_BID"),_bbt3[[#All],[METRIC_VALUE]])*0.5))/100,"")</f>
        <v/>
      </c>
      <c r="I1331">
        <f>IF(ISNA(VLOOKUP(A1331,QW_CloseDL!A:E,5,0)),0,VLOOKUP(A1331,QW_CloseDL!A:E,5,0))</f>
        <v>0</v>
      </c>
      <c r="J1331" s="8" t="str">
        <f t="shared" si="100"/>
        <v/>
      </c>
      <c r="P1331">
        <v>0</v>
      </c>
      <c r="Q1331" t="e">
        <f t="shared" si="101"/>
        <v>#N/A</v>
      </c>
      <c r="R1331" t="e">
        <f t="shared" si="102"/>
        <v>#N/A</v>
      </c>
      <c r="S1331" s="9" t="e">
        <f t="shared" si="103"/>
        <v>#N/A</v>
      </c>
      <c r="T1331" s="3" t="e">
        <f t="shared" si="104"/>
        <v>#N/A</v>
      </c>
    </row>
    <row r="1332" spans="2:20" x14ac:dyDescent="0.35">
      <c r="B1332" t="str">
        <f>IF(NOT(ISBLANK(A1332)),VLOOKUP(A1332,'BBT3'!A:F,2,0),"")</f>
        <v/>
      </c>
      <c r="C1332" t="str">
        <f>IF(NOT(ISBLANK(A1332)),VLOOKUP(A1332,'BBT3'!A:F,3,0),"")</f>
        <v/>
      </c>
      <c r="D1332" s="6" t="str">
        <f>IF(NOT(ISBLANK(A1332)),VLOOKUP(A1332,'BBT3'!A:F,4,1),"")</f>
        <v/>
      </c>
      <c r="E1332" t="str">
        <f>IF(NOT(ISBLANK(A1332)),VLOOKUP(A1332,'BBT3'!A:F,5,0),"")</f>
        <v/>
      </c>
      <c r="F1332" t="str">
        <f>IF(NOT(ISBLANK(A1332)),VLOOKUP(A1332,'BBT3'!A:F,6,0),"")</f>
        <v/>
      </c>
      <c r="G1332" t="str">
        <f>IF(NOT(ISBLANK(A1332)),VLOOKUP(A1332,QW_Close!A:J,5,0),"")</f>
        <v/>
      </c>
      <c r="H1332" s="5" t="str" cm="1">
        <f t="array" ref="H1332">IF(NOT(ISBLANK(A1332)),((_xlfn.XLOOKUP(1,(_bbt3[[#All],[ID]]=A1332)*(_bbt3[[#All],[METRIC_NAME]]="YLD_YTM_ASK"),_bbt3[[#All],[METRIC_VALUE]])*0.5)+(_xlfn.XLOOKUP(1,(_bbt3[[#All],[ID]]=A1332)*(_bbt3[[#All],[METRIC_NAME]]="YLD_YTM_BID"),_bbt3[[#All],[METRIC_VALUE]])*0.5))/100,"")</f>
        <v/>
      </c>
      <c r="I1332">
        <f>IF(ISNA(VLOOKUP(A1332,QW_CloseDL!A:E,5,0)),0,VLOOKUP(A1332,QW_CloseDL!A:E,5,0))</f>
        <v>0</v>
      </c>
      <c r="J1332" s="8" t="str">
        <f t="shared" si="100"/>
        <v/>
      </c>
      <c r="P1332">
        <v>0</v>
      </c>
      <c r="Q1332" t="e">
        <f t="shared" si="101"/>
        <v>#N/A</v>
      </c>
      <c r="R1332" t="e">
        <f t="shared" si="102"/>
        <v>#N/A</v>
      </c>
      <c r="S1332" s="9" t="e">
        <f t="shared" si="103"/>
        <v>#N/A</v>
      </c>
      <c r="T1332" s="3" t="e">
        <f t="shared" si="104"/>
        <v>#N/A</v>
      </c>
    </row>
    <row r="1333" spans="2:20" x14ac:dyDescent="0.35">
      <c r="B1333" t="str">
        <f>IF(NOT(ISBLANK(A1333)),VLOOKUP(A1333,'BBT3'!A:F,2,0),"")</f>
        <v/>
      </c>
      <c r="C1333" t="str">
        <f>IF(NOT(ISBLANK(A1333)),VLOOKUP(A1333,'BBT3'!A:F,3,0),"")</f>
        <v/>
      </c>
      <c r="D1333" s="6" t="str">
        <f>IF(NOT(ISBLANK(A1333)),VLOOKUP(A1333,'BBT3'!A:F,4,1),"")</f>
        <v/>
      </c>
      <c r="E1333" t="str">
        <f>IF(NOT(ISBLANK(A1333)),VLOOKUP(A1333,'BBT3'!A:F,5,0),"")</f>
        <v/>
      </c>
      <c r="F1333" t="str">
        <f>IF(NOT(ISBLANK(A1333)),VLOOKUP(A1333,'BBT3'!A:F,6,0),"")</f>
        <v/>
      </c>
      <c r="G1333" t="str">
        <f>IF(NOT(ISBLANK(A1333)),VLOOKUP(A1333,QW_Close!A:J,5,0),"")</f>
        <v/>
      </c>
      <c r="H1333" s="5" t="str" cm="1">
        <f t="array" ref="H1333">IF(NOT(ISBLANK(A1333)),((_xlfn.XLOOKUP(1,(_bbt3[[#All],[ID]]=A1333)*(_bbt3[[#All],[METRIC_NAME]]="YLD_YTM_ASK"),_bbt3[[#All],[METRIC_VALUE]])*0.5)+(_xlfn.XLOOKUP(1,(_bbt3[[#All],[ID]]=A1333)*(_bbt3[[#All],[METRIC_NAME]]="YLD_YTM_BID"),_bbt3[[#All],[METRIC_VALUE]])*0.5))/100,"")</f>
        <v/>
      </c>
      <c r="I1333">
        <f>IF(ISNA(VLOOKUP(A1333,QW_CloseDL!A:E,5,0)),0,VLOOKUP(A1333,QW_CloseDL!A:E,5,0))</f>
        <v>0</v>
      </c>
      <c r="J1333" s="8" t="str">
        <f t="shared" si="100"/>
        <v/>
      </c>
      <c r="P1333">
        <v>0</v>
      </c>
      <c r="Q1333" t="e">
        <f t="shared" si="101"/>
        <v>#N/A</v>
      </c>
      <c r="R1333" t="e">
        <f t="shared" si="102"/>
        <v>#N/A</v>
      </c>
      <c r="S1333" s="9" t="e">
        <f t="shared" si="103"/>
        <v>#N/A</v>
      </c>
      <c r="T1333" s="3" t="e">
        <f t="shared" si="104"/>
        <v>#N/A</v>
      </c>
    </row>
    <row r="1334" spans="2:20" x14ac:dyDescent="0.35">
      <c r="B1334" t="str">
        <f>IF(NOT(ISBLANK(A1334)),VLOOKUP(A1334,'BBT3'!A:F,2,0),"")</f>
        <v/>
      </c>
      <c r="C1334" t="str">
        <f>IF(NOT(ISBLANK(A1334)),VLOOKUP(A1334,'BBT3'!A:F,3,0),"")</f>
        <v/>
      </c>
      <c r="D1334" s="6" t="str">
        <f>IF(NOT(ISBLANK(A1334)),VLOOKUP(A1334,'BBT3'!A:F,4,1),"")</f>
        <v/>
      </c>
      <c r="E1334" t="str">
        <f>IF(NOT(ISBLANK(A1334)),VLOOKUP(A1334,'BBT3'!A:F,5,0),"")</f>
        <v/>
      </c>
      <c r="F1334" t="str">
        <f>IF(NOT(ISBLANK(A1334)),VLOOKUP(A1334,'BBT3'!A:F,6,0),"")</f>
        <v/>
      </c>
      <c r="G1334" t="str">
        <f>IF(NOT(ISBLANK(A1334)),VLOOKUP(A1334,QW_Close!A:J,5,0),"")</f>
        <v/>
      </c>
      <c r="H1334" s="5" t="str" cm="1">
        <f t="array" ref="H1334">IF(NOT(ISBLANK(A1334)),((_xlfn.XLOOKUP(1,(_bbt3[[#All],[ID]]=A1334)*(_bbt3[[#All],[METRIC_NAME]]="YLD_YTM_ASK"),_bbt3[[#All],[METRIC_VALUE]])*0.5)+(_xlfn.XLOOKUP(1,(_bbt3[[#All],[ID]]=A1334)*(_bbt3[[#All],[METRIC_NAME]]="YLD_YTM_BID"),_bbt3[[#All],[METRIC_VALUE]])*0.5))/100,"")</f>
        <v/>
      </c>
      <c r="I1334">
        <f>IF(ISNA(VLOOKUP(A1334,QW_CloseDL!A:E,5,0)),0,VLOOKUP(A1334,QW_CloseDL!A:E,5,0))</f>
        <v>0</v>
      </c>
      <c r="J1334" s="8" t="str">
        <f t="shared" si="100"/>
        <v/>
      </c>
      <c r="P1334">
        <v>0</v>
      </c>
      <c r="Q1334" t="e">
        <f t="shared" si="101"/>
        <v>#N/A</v>
      </c>
      <c r="R1334" t="e">
        <f t="shared" si="102"/>
        <v>#N/A</v>
      </c>
      <c r="S1334" s="9" t="e">
        <f t="shared" si="103"/>
        <v>#N/A</v>
      </c>
      <c r="T1334" s="3" t="e">
        <f t="shared" si="104"/>
        <v>#N/A</v>
      </c>
    </row>
    <row r="1335" spans="2:20" x14ac:dyDescent="0.35">
      <c r="B1335" t="str">
        <f>IF(NOT(ISBLANK(A1335)),VLOOKUP(A1335,'BBT3'!A:F,2,0),"")</f>
        <v/>
      </c>
      <c r="C1335" t="str">
        <f>IF(NOT(ISBLANK(A1335)),VLOOKUP(A1335,'BBT3'!A:F,3,0),"")</f>
        <v/>
      </c>
      <c r="D1335" s="6" t="str">
        <f>IF(NOT(ISBLANK(A1335)),VLOOKUP(A1335,'BBT3'!A:F,4,1),"")</f>
        <v/>
      </c>
      <c r="E1335" t="str">
        <f>IF(NOT(ISBLANK(A1335)),VLOOKUP(A1335,'BBT3'!A:F,5,0),"")</f>
        <v/>
      </c>
      <c r="F1335" t="str">
        <f>IF(NOT(ISBLANK(A1335)),VLOOKUP(A1335,'BBT3'!A:F,6,0),"")</f>
        <v/>
      </c>
      <c r="G1335" t="str">
        <f>IF(NOT(ISBLANK(A1335)),VLOOKUP(A1335,QW_Close!A:J,5,0),"")</f>
        <v/>
      </c>
      <c r="H1335" s="5" t="str" cm="1">
        <f t="array" ref="H1335">IF(NOT(ISBLANK(A1335)),((_xlfn.XLOOKUP(1,(_bbt3[[#All],[ID]]=A1335)*(_bbt3[[#All],[METRIC_NAME]]="YLD_YTM_ASK"),_bbt3[[#All],[METRIC_VALUE]])*0.5)+(_xlfn.XLOOKUP(1,(_bbt3[[#All],[ID]]=A1335)*(_bbt3[[#All],[METRIC_NAME]]="YLD_YTM_BID"),_bbt3[[#All],[METRIC_VALUE]])*0.5))/100,"")</f>
        <v/>
      </c>
      <c r="I1335">
        <f>IF(ISNA(VLOOKUP(A1335,QW_CloseDL!A:E,5,0)),0,VLOOKUP(A1335,QW_CloseDL!A:E,5,0))</f>
        <v>0</v>
      </c>
      <c r="J1335" s="8" t="str">
        <f t="shared" si="100"/>
        <v/>
      </c>
      <c r="P1335">
        <v>0</v>
      </c>
      <c r="Q1335" t="e">
        <f t="shared" si="101"/>
        <v>#N/A</v>
      </c>
      <c r="R1335" t="e">
        <f t="shared" si="102"/>
        <v>#N/A</v>
      </c>
      <c r="S1335" s="9" t="e">
        <f t="shared" si="103"/>
        <v>#N/A</v>
      </c>
      <c r="T1335" s="3" t="e">
        <f t="shared" si="104"/>
        <v>#N/A</v>
      </c>
    </row>
    <row r="1336" spans="2:20" x14ac:dyDescent="0.35">
      <c r="B1336" t="str">
        <f>IF(NOT(ISBLANK(A1336)),VLOOKUP(A1336,'BBT3'!A:F,2,0),"")</f>
        <v/>
      </c>
      <c r="C1336" t="str">
        <f>IF(NOT(ISBLANK(A1336)),VLOOKUP(A1336,'BBT3'!A:F,3,0),"")</f>
        <v/>
      </c>
      <c r="D1336" s="6" t="str">
        <f>IF(NOT(ISBLANK(A1336)),VLOOKUP(A1336,'BBT3'!A:F,4,1),"")</f>
        <v/>
      </c>
      <c r="E1336" t="str">
        <f>IF(NOT(ISBLANK(A1336)),VLOOKUP(A1336,'BBT3'!A:F,5,0),"")</f>
        <v/>
      </c>
      <c r="F1336" t="str">
        <f>IF(NOT(ISBLANK(A1336)),VLOOKUP(A1336,'BBT3'!A:F,6,0),"")</f>
        <v/>
      </c>
      <c r="G1336" t="str">
        <f>IF(NOT(ISBLANK(A1336)),VLOOKUP(A1336,QW_Close!A:J,5,0),"")</f>
        <v/>
      </c>
      <c r="H1336" s="5" t="str" cm="1">
        <f t="array" ref="H1336">IF(NOT(ISBLANK(A1336)),((_xlfn.XLOOKUP(1,(_bbt3[[#All],[ID]]=A1336)*(_bbt3[[#All],[METRIC_NAME]]="YLD_YTM_ASK"),_bbt3[[#All],[METRIC_VALUE]])*0.5)+(_xlfn.XLOOKUP(1,(_bbt3[[#All],[ID]]=A1336)*(_bbt3[[#All],[METRIC_NAME]]="YLD_YTM_BID"),_bbt3[[#All],[METRIC_VALUE]])*0.5))/100,"")</f>
        <v/>
      </c>
      <c r="I1336">
        <f>IF(ISNA(VLOOKUP(A1336,QW_CloseDL!A:E,5,0)),0,VLOOKUP(A1336,QW_CloseDL!A:E,5,0))</f>
        <v>0</v>
      </c>
      <c r="J1336" s="8" t="str">
        <f t="shared" si="100"/>
        <v/>
      </c>
      <c r="P1336">
        <v>0</v>
      </c>
      <c r="Q1336" t="e">
        <f t="shared" si="101"/>
        <v>#N/A</v>
      </c>
      <c r="R1336" t="e">
        <f t="shared" si="102"/>
        <v>#N/A</v>
      </c>
      <c r="S1336" s="9" t="e">
        <f t="shared" si="103"/>
        <v>#N/A</v>
      </c>
      <c r="T1336" s="3" t="e">
        <f t="shared" si="104"/>
        <v>#N/A</v>
      </c>
    </row>
    <row r="1337" spans="2:20" x14ac:dyDescent="0.35">
      <c r="B1337" t="str">
        <f>IF(NOT(ISBLANK(A1337)),VLOOKUP(A1337,'BBT3'!A:F,2,0),"")</f>
        <v/>
      </c>
      <c r="C1337" t="str">
        <f>IF(NOT(ISBLANK(A1337)),VLOOKUP(A1337,'BBT3'!A:F,3,0),"")</f>
        <v/>
      </c>
      <c r="D1337" s="6" t="str">
        <f>IF(NOT(ISBLANK(A1337)),VLOOKUP(A1337,'BBT3'!A:F,4,1),"")</f>
        <v/>
      </c>
      <c r="E1337" t="str">
        <f>IF(NOT(ISBLANK(A1337)),VLOOKUP(A1337,'BBT3'!A:F,5,0),"")</f>
        <v/>
      </c>
      <c r="F1337" t="str">
        <f>IF(NOT(ISBLANK(A1337)),VLOOKUP(A1337,'BBT3'!A:F,6,0),"")</f>
        <v/>
      </c>
      <c r="G1337" t="str">
        <f>IF(NOT(ISBLANK(A1337)),VLOOKUP(A1337,QW_Close!A:J,5,0),"")</f>
        <v/>
      </c>
      <c r="H1337" s="5" t="str" cm="1">
        <f t="array" ref="H1337">IF(NOT(ISBLANK(A1337)),((_xlfn.XLOOKUP(1,(_bbt3[[#All],[ID]]=A1337)*(_bbt3[[#All],[METRIC_NAME]]="YLD_YTM_ASK"),_bbt3[[#All],[METRIC_VALUE]])*0.5)+(_xlfn.XLOOKUP(1,(_bbt3[[#All],[ID]]=A1337)*(_bbt3[[#All],[METRIC_NAME]]="YLD_YTM_BID"),_bbt3[[#All],[METRIC_VALUE]])*0.5))/100,"")</f>
        <v/>
      </c>
      <c r="I1337">
        <f>IF(ISNA(VLOOKUP(A1337,QW_CloseDL!A:E,5,0)),0,VLOOKUP(A1337,QW_CloseDL!A:E,5,0))</f>
        <v>0</v>
      </c>
      <c r="J1337" s="8" t="str">
        <f t="shared" si="100"/>
        <v/>
      </c>
      <c r="P1337">
        <v>0</v>
      </c>
      <c r="Q1337" t="e">
        <f t="shared" si="101"/>
        <v>#N/A</v>
      </c>
      <c r="R1337" t="e">
        <f t="shared" si="102"/>
        <v>#N/A</v>
      </c>
      <c r="S1337" s="9" t="e">
        <f t="shared" si="103"/>
        <v>#N/A</v>
      </c>
      <c r="T1337" s="3" t="e">
        <f t="shared" si="104"/>
        <v>#N/A</v>
      </c>
    </row>
    <row r="1338" spans="2:20" x14ac:dyDescent="0.35">
      <c r="B1338" t="str">
        <f>IF(NOT(ISBLANK(A1338)),VLOOKUP(A1338,'BBT3'!A:F,2,0),"")</f>
        <v/>
      </c>
      <c r="C1338" t="str">
        <f>IF(NOT(ISBLANK(A1338)),VLOOKUP(A1338,'BBT3'!A:F,3,0),"")</f>
        <v/>
      </c>
      <c r="D1338" s="6" t="str">
        <f>IF(NOT(ISBLANK(A1338)),VLOOKUP(A1338,'BBT3'!A:F,4,1),"")</f>
        <v/>
      </c>
      <c r="E1338" t="str">
        <f>IF(NOT(ISBLANK(A1338)),VLOOKUP(A1338,'BBT3'!A:F,5,0),"")</f>
        <v/>
      </c>
      <c r="F1338" t="str">
        <f>IF(NOT(ISBLANK(A1338)),VLOOKUP(A1338,'BBT3'!A:F,6,0),"")</f>
        <v/>
      </c>
      <c r="G1338" t="str">
        <f>IF(NOT(ISBLANK(A1338)),VLOOKUP(A1338,QW_Close!A:J,5,0),"")</f>
        <v/>
      </c>
      <c r="H1338" s="5" t="str" cm="1">
        <f t="array" ref="H1338">IF(NOT(ISBLANK(A1338)),((_xlfn.XLOOKUP(1,(_bbt3[[#All],[ID]]=A1338)*(_bbt3[[#All],[METRIC_NAME]]="YLD_YTM_ASK"),_bbt3[[#All],[METRIC_VALUE]])*0.5)+(_xlfn.XLOOKUP(1,(_bbt3[[#All],[ID]]=A1338)*(_bbt3[[#All],[METRIC_NAME]]="YLD_YTM_BID"),_bbt3[[#All],[METRIC_VALUE]])*0.5))/100,"")</f>
        <v/>
      </c>
      <c r="I1338">
        <f>IF(ISNA(VLOOKUP(A1338,QW_CloseDL!A:E,5,0)),0,VLOOKUP(A1338,QW_CloseDL!A:E,5,0))</f>
        <v>0</v>
      </c>
      <c r="J1338" s="8" t="str">
        <f t="shared" si="100"/>
        <v/>
      </c>
      <c r="P1338">
        <v>0</v>
      </c>
      <c r="Q1338" t="e">
        <f t="shared" si="101"/>
        <v>#N/A</v>
      </c>
      <c r="R1338" t="e">
        <f t="shared" si="102"/>
        <v>#N/A</v>
      </c>
      <c r="S1338" s="9" t="e">
        <f t="shared" si="103"/>
        <v>#N/A</v>
      </c>
      <c r="T1338" s="3" t="e">
        <f t="shared" si="104"/>
        <v>#N/A</v>
      </c>
    </row>
    <row r="1339" spans="2:20" x14ac:dyDescent="0.35">
      <c r="B1339" t="str">
        <f>IF(NOT(ISBLANK(A1339)),VLOOKUP(A1339,'BBT3'!A:F,2,0),"")</f>
        <v/>
      </c>
      <c r="C1339" t="str">
        <f>IF(NOT(ISBLANK(A1339)),VLOOKUP(A1339,'BBT3'!A:F,3,0),"")</f>
        <v/>
      </c>
      <c r="D1339" s="6" t="str">
        <f>IF(NOT(ISBLANK(A1339)),VLOOKUP(A1339,'BBT3'!A:F,4,1),"")</f>
        <v/>
      </c>
      <c r="E1339" t="str">
        <f>IF(NOT(ISBLANK(A1339)),VLOOKUP(A1339,'BBT3'!A:F,5,0),"")</f>
        <v/>
      </c>
      <c r="F1339" t="str">
        <f>IF(NOT(ISBLANK(A1339)),VLOOKUP(A1339,'BBT3'!A:F,6,0),"")</f>
        <v/>
      </c>
      <c r="G1339" t="str">
        <f>IF(NOT(ISBLANK(A1339)),VLOOKUP(A1339,QW_Close!A:J,5,0),"")</f>
        <v/>
      </c>
      <c r="H1339" s="5" t="str" cm="1">
        <f t="array" ref="H1339">IF(NOT(ISBLANK(A1339)),((_xlfn.XLOOKUP(1,(_bbt3[[#All],[ID]]=A1339)*(_bbt3[[#All],[METRIC_NAME]]="YLD_YTM_ASK"),_bbt3[[#All],[METRIC_VALUE]])*0.5)+(_xlfn.XLOOKUP(1,(_bbt3[[#All],[ID]]=A1339)*(_bbt3[[#All],[METRIC_NAME]]="YLD_YTM_BID"),_bbt3[[#All],[METRIC_VALUE]])*0.5))/100,"")</f>
        <v/>
      </c>
      <c r="I1339">
        <f>IF(ISNA(VLOOKUP(A1339,QW_CloseDL!A:E,5,0)),0,VLOOKUP(A1339,QW_CloseDL!A:E,5,0))</f>
        <v>0</v>
      </c>
      <c r="J1339" s="8" t="str">
        <f t="shared" si="100"/>
        <v/>
      </c>
      <c r="P1339">
        <v>0</v>
      </c>
      <c r="Q1339" t="e">
        <f t="shared" si="101"/>
        <v>#N/A</v>
      </c>
      <c r="R1339" t="e">
        <f t="shared" si="102"/>
        <v>#N/A</v>
      </c>
      <c r="S1339" s="9" t="e">
        <f t="shared" si="103"/>
        <v>#N/A</v>
      </c>
      <c r="T1339" s="3" t="e">
        <f t="shared" si="104"/>
        <v>#N/A</v>
      </c>
    </row>
    <row r="1340" spans="2:20" x14ac:dyDescent="0.35">
      <c r="B1340" t="str">
        <f>IF(NOT(ISBLANK(A1340)),VLOOKUP(A1340,'BBT3'!A:F,2,0),"")</f>
        <v/>
      </c>
      <c r="C1340" t="str">
        <f>IF(NOT(ISBLANK(A1340)),VLOOKUP(A1340,'BBT3'!A:F,3,0),"")</f>
        <v/>
      </c>
      <c r="D1340" s="6" t="str">
        <f>IF(NOT(ISBLANK(A1340)),VLOOKUP(A1340,'BBT3'!A:F,4,1),"")</f>
        <v/>
      </c>
      <c r="E1340" t="str">
        <f>IF(NOT(ISBLANK(A1340)),VLOOKUP(A1340,'BBT3'!A:F,5,0),"")</f>
        <v/>
      </c>
      <c r="F1340" t="str">
        <f>IF(NOT(ISBLANK(A1340)),VLOOKUP(A1340,'BBT3'!A:F,6,0),"")</f>
        <v/>
      </c>
      <c r="G1340" t="str">
        <f>IF(NOT(ISBLANK(A1340)),VLOOKUP(A1340,QW_Close!A:J,5,0),"")</f>
        <v/>
      </c>
      <c r="H1340" s="5" t="str" cm="1">
        <f t="array" ref="H1340">IF(NOT(ISBLANK(A1340)),((_xlfn.XLOOKUP(1,(_bbt3[[#All],[ID]]=A1340)*(_bbt3[[#All],[METRIC_NAME]]="YLD_YTM_ASK"),_bbt3[[#All],[METRIC_VALUE]])*0.5)+(_xlfn.XLOOKUP(1,(_bbt3[[#All],[ID]]=A1340)*(_bbt3[[#All],[METRIC_NAME]]="YLD_YTM_BID"),_bbt3[[#All],[METRIC_VALUE]])*0.5))/100,"")</f>
        <v/>
      </c>
      <c r="I1340">
        <f>IF(ISNA(VLOOKUP(A1340,QW_CloseDL!A:E,5,0)),0,VLOOKUP(A1340,QW_CloseDL!A:E,5,0))</f>
        <v>0</v>
      </c>
      <c r="J1340" s="8" t="str">
        <f t="shared" si="100"/>
        <v/>
      </c>
      <c r="P1340">
        <v>0</v>
      </c>
      <c r="Q1340" t="e">
        <f t="shared" si="101"/>
        <v>#N/A</v>
      </c>
      <c r="R1340" t="e">
        <f t="shared" si="102"/>
        <v>#N/A</v>
      </c>
      <c r="S1340" s="9" t="e">
        <f t="shared" si="103"/>
        <v>#N/A</v>
      </c>
      <c r="T1340" s="3" t="e">
        <f t="shared" si="104"/>
        <v>#N/A</v>
      </c>
    </row>
    <row r="1341" spans="2:20" x14ac:dyDescent="0.35">
      <c r="B1341" t="str">
        <f>IF(NOT(ISBLANK(A1341)),VLOOKUP(A1341,'BBT3'!A:F,2,0),"")</f>
        <v/>
      </c>
      <c r="C1341" t="str">
        <f>IF(NOT(ISBLANK(A1341)),VLOOKUP(A1341,'BBT3'!A:F,3,0),"")</f>
        <v/>
      </c>
      <c r="D1341" s="6" t="str">
        <f>IF(NOT(ISBLANK(A1341)),VLOOKUP(A1341,'BBT3'!A:F,4,1),"")</f>
        <v/>
      </c>
      <c r="E1341" t="str">
        <f>IF(NOT(ISBLANK(A1341)),VLOOKUP(A1341,'BBT3'!A:F,5,0),"")</f>
        <v/>
      </c>
      <c r="F1341" t="str">
        <f>IF(NOT(ISBLANK(A1341)),VLOOKUP(A1341,'BBT3'!A:F,6,0),"")</f>
        <v/>
      </c>
      <c r="G1341" t="str">
        <f>IF(NOT(ISBLANK(A1341)),VLOOKUP(A1341,QW_Close!A:J,5,0),"")</f>
        <v/>
      </c>
      <c r="H1341" s="5" t="str" cm="1">
        <f t="array" ref="H1341">IF(NOT(ISBLANK(A1341)),((_xlfn.XLOOKUP(1,(_bbt3[[#All],[ID]]=A1341)*(_bbt3[[#All],[METRIC_NAME]]="YLD_YTM_ASK"),_bbt3[[#All],[METRIC_VALUE]])*0.5)+(_xlfn.XLOOKUP(1,(_bbt3[[#All],[ID]]=A1341)*(_bbt3[[#All],[METRIC_NAME]]="YLD_YTM_BID"),_bbt3[[#All],[METRIC_VALUE]])*0.5))/100,"")</f>
        <v/>
      </c>
      <c r="I1341">
        <f>IF(ISNA(VLOOKUP(A1341,QW_CloseDL!A:E,5,0)),0,VLOOKUP(A1341,QW_CloseDL!A:E,5,0))</f>
        <v>0</v>
      </c>
      <c r="J1341" s="8" t="str">
        <f t="shared" si="100"/>
        <v/>
      </c>
      <c r="P1341">
        <v>0</v>
      </c>
      <c r="Q1341" t="e">
        <f t="shared" si="101"/>
        <v>#N/A</v>
      </c>
      <c r="R1341" t="e">
        <f t="shared" si="102"/>
        <v>#N/A</v>
      </c>
      <c r="S1341" s="9" t="e">
        <f t="shared" si="103"/>
        <v>#N/A</v>
      </c>
      <c r="T1341" s="3" t="e">
        <f t="shared" si="104"/>
        <v>#N/A</v>
      </c>
    </row>
    <row r="1342" spans="2:20" x14ac:dyDescent="0.35">
      <c r="B1342" t="str">
        <f>IF(NOT(ISBLANK(A1342)),VLOOKUP(A1342,'BBT3'!A:F,2,0),"")</f>
        <v/>
      </c>
      <c r="C1342" t="str">
        <f>IF(NOT(ISBLANK(A1342)),VLOOKUP(A1342,'BBT3'!A:F,3,0),"")</f>
        <v/>
      </c>
      <c r="D1342" s="6" t="str">
        <f>IF(NOT(ISBLANK(A1342)),VLOOKUP(A1342,'BBT3'!A:F,4,1),"")</f>
        <v/>
      </c>
      <c r="E1342" t="str">
        <f>IF(NOT(ISBLANK(A1342)),VLOOKUP(A1342,'BBT3'!A:F,5,0),"")</f>
        <v/>
      </c>
      <c r="F1342" t="str">
        <f>IF(NOT(ISBLANK(A1342)),VLOOKUP(A1342,'BBT3'!A:F,6,0),"")</f>
        <v/>
      </c>
      <c r="G1342" t="str">
        <f>IF(NOT(ISBLANK(A1342)),VLOOKUP(A1342,QW_Close!A:J,5,0),"")</f>
        <v/>
      </c>
      <c r="H1342" s="5" t="str" cm="1">
        <f t="array" ref="H1342">IF(NOT(ISBLANK(A1342)),((_xlfn.XLOOKUP(1,(_bbt3[[#All],[ID]]=A1342)*(_bbt3[[#All],[METRIC_NAME]]="YLD_YTM_ASK"),_bbt3[[#All],[METRIC_VALUE]])*0.5)+(_xlfn.XLOOKUP(1,(_bbt3[[#All],[ID]]=A1342)*(_bbt3[[#All],[METRIC_NAME]]="YLD_YTM_BID"),_bbt3[[#All],[METRIC_VALUE]])*0.5))/100,"")</f>
        <v/>
      </c>
      <c r="I1342">
        <f>IF(ISNA(VLOOKUP(A1342,QW_CloseDL!A:E,5,0)),0,VLOOKUP(A1342,QW_CloseDL!A:E,5,0))</f>
        <v>0</v>
      </c>
      <c r="J1342" s="8" t="str">
        <f t="shared" si="100"/>
        <v/>
      </c>
      <c r="P1342">
        <v>0</v>
      </c>
      <c r="Q1342" t="e">
        <f t="shared" si="101"/>
        <v>#N/A</v>
      </c>
      <c r="R1342" t="e">
        <f t="shared" si="102"/>
        <v>#N/A</v>
      </c>
      <c r="S1342" s="9" t="e">
        <f t="shared" si="103"/>
        <v>#N/A</v>
      </c>
      <c r="T1342" s="3" t="e">
        <f t="shared" si="104"/>
        <v>#N/A</v>
      </c>
    </row>
    <row r="1343" spans="2:20" x14ac:dyDescent="0.35">
      <c r="B1343" t="str">
        <f>IF(NOT(ISBLANK(A1343)),VLOOKUP(A1343,'BBT3'!A:F,2,0),"")</f>
        <v/>
      </c>
      <c r="C1343" t="str">
        <f>IF(NOT(ISBLANK(A1343)),VLOOKUP(A1343,'BBT3'!A:F,3,0),"")</f>
        <v/>
      </c>
      <c r="D1343" s="6" t="str">
        <f>IF(NOT(ISBLANK(A1343)),VLOOKUP(A1343,'BBT3'!A:F,4,1),"")</f>
        <v/>
      </c>
      <c r="E1343" t="str">
        <f>IF(NOT(ISBLANK(A1343)),VLOOKUP(A1343,'BBT3'!A:F,5,0),"")</f>
        <v/>
      </c>
      <c r="F1343" t="str">
        <f>IF(NOT(ISBLANK(A1343)),VLOOKUP(A1343,'BBT3'!A:F,6,0),"")</f>
        <v/>
      </c>
      <c r="G1343" t="str">
        <f>IF(NOT(ISBLANK(A1343)),VLOOKUP(A1343,QW_Close!A:J,5,0),"")</f>
        <v/>
      </c>
      <c r="H1343" s="5" t="str" cm="1">
        <f t="array" ref="H1343">IF(NOT(ISBLANK(A1343)),((_xlfn.XLOOKUP(1,(_bbt3[[#All],[ID]]=A1343)*(_bbt3[[#All],[METRIC_NAME]]="YLD_YTM_ASK"),_bbt3[[#All],[METRIC_VALUE]])*0.5)+(_xlfn.XLOOKUP(1,(_bbt3[[#All],[ID]]=A1343)*(_bbt3[[#All],[METRIC_NAME]]="YLD_YTM_BID"),_bbt3[[#All],[METRIC_VALUE]])*0.5))/100,"")</f>
        <v/>
      </c>
      <c r="I1343">
        <f>IF(ISNA(VLOOKUP(A1343,QW_CloseDL!A:E,5,0)),0,VLOOKUP(A1343,QW_CloseDL!A:E,5,0))</f>
        <v>0</v>
      </c>
      <c r="J1343" s="8" t="str">
        <f t="shared" si="100"/>
        <v/>
      </c>
      <c r="P1343">
        <v>0</v>
      </c>
      <c r="Q1343" t="e">
        <f t="shared" si="101"/>
        <v>#N/A</v>
      </c>
      <c r="R1343" t="e">
        <f t="shared" si="102"/>
        <v>#N/A</v>
      </c>
      <c r="S1343" s="9" t="e">
        <f t="shared" si="103"/>
        <v>#N/A</v>
      </c>
      <c r="T1343" s="3" t="e">
        <f t="shared" si="104"/>
        <v>#N/A</v>
      </c>
    </row>
    <row r="1344" spans="2:20" x14ac:dyDescent="0.35">
      <c r="B1344" t="str">
        <f>IF(NOT(ISBLANK(A1344)),VLOOKUP(A1344,'BBT3'!A:F,2,0),"")</f>
        <v/>
      </c>
      <c r="C1344" t="str">
        <f>IF(NOT(ISBLANK(A1344)),VLOOKUP(A1344,'BBT3'!A:F,3,0),"")</f>
        <v/>
      </c>
      <c r="D1344" s="6" t="str">
        <f>IF(NOT(ISBLANK(A1344)),VLOOKUP(A1344,'BBT3'!A:F,4,1),"")</f>
        <v/>
      </c>
      <c r="E1344" t="str">
        <f>IF(NOT(ISBLANK(A1344)),VLOOKUP(A1344,'BBT3'!A:F,5,0),"")</f>
        <v/>
      </c>
      <c r="F1344" t="str">
        <f>IF(NOT(ISBLANK(A1344)),VLOOKUP(A1344,'BBT3'!A:F,6,0),"")</f>
        <v/>
      </c>
      <c r="G1344" t="str">
        <f>IF(NOT(ISBLANK(A1344)),VLOOKUP(A1344,QW_Close!A:J,5,0),"")</f>
        <v/>
      </c>
      <c r="H1344" s="5" t="str" cm="1">
        <f t="array" ref="H1344">IF(NOT(ISBLANK(A1344)),((_xlfn.XLOOKUP(1,(_bbt3[[#All],[ID]]=A1344)*(_bbt3[[#All],[METRIC_NAME]]="YLD_YTM_ASK"),_bbt3[[#All],[METRIC_VALUE]])*0.5)+(_xlfn.XLOOKUP(1,(_bbt3[[#All],[ID]]=A1344)*(_bbt3[[#All],[METRIC_NAME]]="YLD_YTM_BID"),_bbt3[[#All],[METRIC_VALUE]])*0.5))/100,"")</f>
        <v/>
      </c>
      <c r="I1344">
        <f>IF(ISNA(VLOOKUP(A1344,QW_CloseDL!A:E,5,0)),0,VLOOKUP(A1344,QW_CloseDL!A:E,5,0))</f>
        <v>0</v>
      </c>
      <c r="J1344" s="8" t="str">
        <f t="shared" si="100"/>
        <v/>
      </c>
      <c r="P1344">
        <v>0</v>
      </c>
      <c r="Q1344" t="e">
        <f t="shared" si="101"/>
        <v>#N/A</v>
      </c>
      <c r="R1344" t="e">
        <f t="shared" si="102"/>
        <v>#N/A</v>
      </c>
      <c r="S1344" s="9" t="e">
        <f t="shared" si="103"/>
        <v>#N/A</v>
      </c>
      <c r="T1344" s="3" t="e">
        <f t="shared" si="104"/>
        <v>#N/A</v>
      </c>
    </row>
    <row r="1345" spans="2:20" x14ac:dyDescent="0.35">
      <c r="B1345" t="str">
        <f>IF(NOT(ISBLANK(A1345)),VLOOKUP(A1345,'BBT3'!A:F,2,0),"")</f>
        <v/>
      </c>
      <c r="C1345" t="str">
        <f>IF(NOT(ISBLANK(A1345)),VLOOKUP(A1345,'BBT3'!A:F,3,0),"")</f>
        <v/>
      </c>
      <c r="D1345" s="6" t="str">
        <f>IF(NOT(ISBLANK(A1345)),VLOOKUP(A1345,'BBT3'!A:F,4,1),"")</f>
        <v/>
      </c>
      <c r="E1345" t="str">
        <f>IF(NOT(ISBLANK(A1345)),VLOOKUP(A1345,'BBT3'!A:F,5,0),"")</f>
        <v/>
      </c>
      <c r="F1345" t="str">
        <f>IF(NOT(ISBLANK(A1345)),VLOOKUP(A1345,'BBT3'!A:F,6,0),"")</f>
        <v/>
      </c>
      <c r="G1345" t="str">
        <f>IF(NOT(ISBLANK(A1345)),VLOOKUP(A1345,QW_Close!A:J,5,0),"")</f>
        <v/>
      </c>
      <c r="H1345" s="5" t="str" cm="1">
        <f t="array" ref="H1345">IF(NOT(ISBLANK(A1345)),((_xlfn.XLOOKUP(1,(_bbt3[[#All],[ID]]=A1345)*(_bbt3[[#All],[METRIC_NAME]]="YLD_YTM_ASK"),_bbt3[[#All],[METRIC_VALUE]])*0.5)+(_xlfn.XLOOKUP(1,(_bbt3[[#All],[ID]]=A1345)*(_bbt3[[#All],[METRIC_NAME]]="YLD_YTM_BID"),_bbt3[[#All],[METRIC_VALUE]])*0.5))/100,"")</f>
        <v/>
      </c>
      <c r="I1345">
        <f>IF(ISNA(VLOOKUP(A1345,QW_CloseDL!A:E,5,0)),0,VLOOKUP(A1345,QW_CloseDL!A:E,5,0))</f>
        <v>0</v>
      </c>
      <c r="J1345" s="8" t="str">
        <f t="shared" si="100"/>
        <v/>
      </c>
      <c r="P1345">
        <v>0</v>
      </c>
      <c r="Q1345" t="e">
        <f t="shared" si="101"/>
        <v>#N/A</v>
      </c>
      <c r="R1345" t="e">
        <f t="shared" si="102"/>
        <v>#N/A</v>
      </c>
      <c r="S1345" s="9" t="e">
        <f t="shared" si="103"/>
        <v>#N/A</v>
      </c>
      <c r="T1345" s="3" t="e">
        <f t="shared" si="104"/>
        <v>#N/A</v>
      </c>
    </row>
    <row r="1346" spans="2:20" x14ac:dyDescent="0.35">
      <c r="B1346" t="str">
        <f>IF(NOT(ISBLANK(A1346)),VLOOKUP(A1346,'BBT3'!A:F,2,0),"")</f>
        <v/>
      </c>
      <c r="C1346" t="str">
        <f>IF(NOT(ISBLANK(A1346)),VLOOKUP(A1346,'BBT3'!A:F,3,0),"")</f>
        <v/>
      </c>
      <c r="D1346" s="6" t="str">
        <f>IF(NOT(ISBLANK(A1346)),VLOOKUP(A1346,'BBT3'!A:F,4,1),"")</f>
        <v/>
      </c>
      <c r="E1346" t="str">
        <f>IF(NOT(ISBLANK(A1346)),VLOOKUP(A1346,'BBT3'!A:F,5,0),"")</f>
        <v/>
      </c>
      <c r="F1346" t="str">
        <f>IF(NOT(ISBLANK(A1346)),VLOOKUP(A1346,'BBT3'!A:F,6,0),"")</f>
        <v/>
      </c>
      <c r="G1346" t="str">
        <f>IF(NOT(ISBLANK(A1346)),VLOOKUP(A1346,QW_Close!A:J,5,0),"")</f>
        <v/>
      </c>
      <c r="H1346" s="5" t="str" cm="1">
        <f t="array" ref="H1346">IF(NOT(ISBLANK(A1346)),((_xlfn.XLOOKUP(1,(_bbt3[[#All],[ID]]=A1346)*(_bbt3[[#All],[METRIC_NAME]]="YLD_YTM_ASK"),_bbt3[[#All],[METRIC_VALUE]])*0.5)+(_xlfn.XLOOKUP(1,(_bbt3[[#All],[ID]]=A1346)*(_bbt3[[#All],[METRIC_NAME]]="YLD_YTM_BID"),_bbt3[[#All],[METRIC_VALUE]])*0.5))/100,"")</f>
        <v/>
      </c>
      <c r="I1346">
        <f>IF(ISNA(VLOOKUP(A1346,QW_CloseDL!A:E,5,0)),0,VLOOKUP(A1346,QW_CloseDL!A:E,5,0))</f>
        <v>0</v>
      </c>
      <c r="J1346" s="8" t="str">
        <f t="shared" si="100"/>
        <v/>
      </c>
      <c r="P1346">
        <v>0</v>
      </c>
      <c r="Q1346" t="e">
        <f t="shared" si="101"/>
        <v>#N/A</v>
      </c>
      <c r="R1346" t="e">
        <f t="shared" si="102"/>
        <v>#N/A</v>
      </c>
      <c r="S1346" s="9" t="e">
        <f t="shared" si="103"/>
        <v>#N/A</v>
      </c>
      <c r="T1346" s="3" t="e">
        <f t="shared" si="104"/>
        <v>#N/A</v>
      </c>
    </row>
    <row r="1347" spans="2:20" x14ac:dyDescent="0.35">
      <c r="B1347" t="str">
        <f>IF(NOT(ISBLANK(A1347)),VLOOKUP(A1347,'BBT3'!A:F,2,0),"")</f>
        <v/>
      </c>
      <c r="C1347" t="str">
        <f>IF(NOT(ISBLANK(A1347)),VLOOKUP(A1347,'BBT3'!A:F,3,0),"")</f>
        <v/>
      </c>
      <c r="D1347" s="6" t="str">
        <f>IF(NOT(ISBLANK(A1347)),VLOOKUP(A1347,'BBT3'!A:F,4,1),"")</f>
        <v/>
      </c>
      <c r="E1347" t="str">
        <f>IF(NOT(ISBLANK(A1347)),VLOOKUP(A1347,'BBT3'!A:F,5,0),"")</f>
        <v/>
      </c>
      <c r="F1347" t="str">
        <f>IF(NOT(ISBLANK(A1347)),VLOOKUP(A1347,'BBT3'!A:F,6,0),"")</f>
        <v/>
      </c>
      <c r="G1347" t="str">
        <f>IF(NOT(ISBLANK(A1347)),VLOOKUP(A1347,QW_Close!A:J,5,0),"")</f>
        <v/>
      </c>
      <c r="H1347" s="5" t="str" cm="1">
        <f t="array" ref="H1347">IF(NOT(ISBLANK(A1347)),((_xlfn.XLOOKUP(1,(_bbt3[[#All],[ID]]=A1347)*(_bbt3[[#All],[METRIC_NAME]]="YLD_YTM_ASK"),_bbt3[[#All],[METRIC_VALUE]])*0.5)+(_xlfn.XLOOKUP(1,(_bbt3[[#All],[ID]]=A1347)*(_bbt3[[#All],[METRIC_NAME]]="YLD_YTM_BID"),_bbt3[[#All],[METRIC_VALUE]])*0.5))/100,"")</f>
        <v/>
      </c>
      <c r="I1347">
        <f>IF(ISNA(VLOOKUP(A1347,QW_CloseDL!A:E,5,0)),0,VLOOKUP(A1347,QW_CloseDL!A:E,5,0))</f>
        <v>0</v>
      </c>
      <c r="J1347" s="8" t="str">
        <f t="shared" ref="J1347:J1410" si="105">IF(ISNA(IF(NOT(ISBLANK(A1347)),ABS(G1347-I1347),"")),0,(IF(NOT(ISBLANK(A1347)),ABS(G1347-I1347)*10000,"")))</f>
        <v/>
      </c>
      <c r="P1347">
        <v>0</v>
      </c>
      <c r="Q1347" t="e">
        <f t="shared" si="101"/>
        <v>#N/A</v>
      </c>
      <c r="R1347" t="e">
        <f t="shared" si="102"/>
        <v>#N/A</v>
      </c>
      <c r="S1347" s="9" t="e">
        <f t="shared" si="103"/>
        <v>#N/A</v>
      </c>
      <c r="T1347" s="3" t="e">
        <f t="shared" si="104"/>
        <v>#N/A</v>
      </c>
    </row>
    <row r="1348" spans="2:20" x14ac:dyDescent="0.35">
      <c r="B1348" t="str">
        <f>IF(NOT(ISBLANK(A1348)),VLOOKUP(A1348,'BBT3'!A:F,2,0),"")</f>
        <v/>
      </c>
      <c r="C1348" t="str">
        <f>IF(NOT(ISBLANK(A1348)),VLOOKUP(A1348,'BBT3'!A:F,3,0),"")</f>
        <v/>
      </c>
      <c r="D1348" s="6" t="str">
        <f>IF(NOT(ISBLANK(A1348)),VLOOKUP(A1348,'BBT3'!A:F,4,1),"")</f>
        <v/>
      </c>
      <c r="E1348" t="str">
        <f>IF(NOT(ISBLANK(A1348)),VLOOKUP(A1348,'BBT3'!A:F,5,0),"")</f>
        <v/>
      </c>
      <c r="F1348" t="str">
        <f>IF(NOT(ISBLANK(A1348)),VLOOKUP(A1348,'BBT3'!A:F,6,0),"")</f>
        <v/>
      </c>
      <c r="G1348" t="str">
        <f>IF(NOT(ISBLANK(A1348)),VLOOKUP(A1348,QW_Close!A:J,5,0),"")</f>
        <v/>
      </c>
      <c r="H1348" s="5" t="str" cm="1">
        <f t="array" ref="H1348">IF(NOT(ISBLANK(A1348)),((_xlfn.XLOOKUP(1,(_bbt3[[#All],[ID]]=A1348)*(_bbt3[[#All],[METRIC_NAME]]="YLD_YTM_ASK"),_bbt3[[#All],[METRIC_VALUE]])*0.5)+(_xlfn.XLOOKUP(1,(_bbt3[[#All],[ID]]=A1348)*(_bbt3[[#All],[METRIC_NAME]]="YLD_YTM_BID"),_bbt3[[#All],[METRIC_VALUE]])*0.5))/100,"")</f>
        <v/>
      </c>
      <c r="I1348">
        <f>IF(ISNA(VLOOKUP(A1348,QW_CloseDL!A:E,5,0)),0,VLOOKUP(A1348,QW_CloseDL!A:E,5,0))</f>
        <v>0</v>
      </c>
      <c r="J1348" s="8" t="str">
        <f t="shared" si="105"/>
        <v/>
      </c>
      <c r="P1348">
        <v>0</v>
      </c>
      <c r="Q1348" t="e">
        <f t="shared" si="101"/>
        <v>#N/A</v>
      </c>
      <c r="R1348" t="e">
        <f t="shared" si="102"/>
        <v>#N/A</v>
      </c>
      <c r="S1348" s="9" t="e">
        <f t="shared" si="103"/>
        <v>#N/A</v>
      </c>
      <c r="T1348" s="3" t="e">
        <f t="shared" si="104"/>
        <v>#N/A</v>
      </c>
    </row>
    <row r="1349" spans="2:20" x14ac:dyDescent="0.35">
      <c r="B1349" t="str">
        <f>IF(NOT(ISBLANK(A1349)),VLOOKUP(A1349,'BBT3'!A:F,2,0),"")</f>
        <v/>
      </c>
      <c r="C1349" t="str">
        <f>IF(NOT(ISBLANK(A1349)),VLOOKUP(A1349,'BBT3'!A:F,3,0),"")</f>
        <v/>
      </c>
      <c r="D1349" s="6" t="str">
        <f>IF(NOT(ISBLANK(A1349)),VLOOKUP(A1349,'BBT3'!A:F,4,1),"")</f>
        <v/>
      </c>
      <c r="E1349" t="str">
        <f>IF(NOT(ISBLANK(A1349)),VLOOKUP(A1349,'BBT3'!A:F,5,0),"")</f>
        <v/>
      </c>
      <c r="F1349" t="str">
        <f>IF(NOT(ISBLANK(A1349)),VLOOKUP(A1349,'BBT3'!A:F,6,0),"")</f>
        <v/>
      </c>
      <c r="G1349" t="str">
        <f>IF(NOT(ISBLANK(A1349)),VLOOKUP(A1349,QW_Close!A:J,5,0),"")</f>
        <v/>
      </c>
      <c r="H1349" s="5" t="str" cm="1">
        <f t="array" ref="H1349">IF(NOT(ISBLANK(A1349)),((_xlfn.XLOOKUP(1,(_bbt3[[#All],[ID]]=A1349)*(_bbt3[[#All],[METRIC_NAME]]="YLD_YTM_ASK"),_bbt3[[#All],[METRIC_VALUE]])*0.5)+(_xlfn.XLOOKUP(1,(_bbt3[[#All],[ID]]=A1349)*(_bbt3[[#All],[METRIC_NAME]]="YLD_YTM_BID"),_bbt3[[#All],[METRIC_VALUE]])*0.5))/100,"")</f>
        <v/>
      </c>
      <c r="I1349">
        <f>IF(ISNA(VLOOKUP(A1349,QW_CloseDL!A:E,5,0)),0,VLOOKUP(A1349,QW_CloseDL!A:E,5,0))</f>
        <v>0</v>
      </c>
      <c r="J1349" s="8" t="str">
        <f t="shared" si="105"/>
        <v/>
      </c>
      <c r="P1349">
        <v>0</v>
      </c>
      <c r="Q1349" t="e">
        <f t="shared" si="101"/>
        <v>#N/A</v>
      </c>
      <c r="R1349" t="e">
        <f t="shared" si="102"/>
        <v>#N/A</v>
      </c>
      <c r="S1349" s="9" t="e">
        <f t="shared" si="103"/>
        <v>#N/A</v>
      </c>
      <c r="T1349" s="3" t="e">
        <f t="shared" si="104"/>
        <v>#N/A</v>
      </c>
    </row>
    <row r="1350" spans="2:20" x14ac:dyDescent="0.35">
      <c r="B1350" t="str">
        <f>IF(NOT(ISBLANK(A1350)),VLOOKUP(A1350,'BBT3'!A:F,2,0),"")</f>
        <v/>
      </c>
      <c r="C1350" t="str">
        <f>IF(NOT(ISBLANK(A1350)),VLOOKUP(A1350,'BBT3'!A:F,3,0),"")</f>
        <v/>
      </c>
      <c r="D1350" s="6" t="str">
        <f>IF(NOT(ISBLANK(A1350)),VLOOKUP(A1350,'BBT3'!A:F,4,1),"")</f>
        <v/>
      </c>
      <c r="E1350" t="str">
        <f>IF(NOT(ISBLANK(A1350)),VLOOKUP(A1350,'BBT3'!A:F,5,0),"")</f>
        <v/>
      </c>
      <c r="F1350" t="str">
        <f>IF(NOT(ISBLANK(A1350)),VLOOKUP(A1350,'BBT3'!A:F,6,0),"")</f>
        <v/>
      </c>
      <c r="G1350" t="str">
        <f>IF(NOT(ISBLANK(A1350)),VLOOKUP(A1350,QW_Close!A:J,5,0),"")</f>
        <v/>
      </c>
      <c r="H1350" s="5" t="str" cm="1">
        <f t="array" ref="H1350">IF(NOT(ISBLANK(A1350)),((_xlfn.XLOOKUP(1,(_bbt3[[#All],[ID]]=A1350)*(_bbt3[[#All],[METRIC_NAME]]="YLD_YTM_ASK"),_bbt3[[#All],[METRIC_VALUE]])*0.5)+(_xlfn.XLOOKUP(1,(_bbt3[[#All],[ID]]=A1350)*(_bbt3[[#All],[METRIC_NAME]]="YLD_YTM_BID"),_bbt3[[#All],[METRIC_VALUE]])*0.5))/100,"")</f>
        <v/>
      </c>
      <c r="I1350">
        <f>IF(ISNA(VLOOKUP(A1350,QW_CloseDL!A:E,5,0)),0,VLOOKUP(A1350,QW_CloseDL!A:E,5,0))</f>
        <v>0</v>
      </c>
      <c r="J1350" s="8" t="str">
        <f t="shared" si="105"/>
        <v/>
      </c>
      <c r="P1350">
        <v>0</v>
      </c>
      <c r="Q1350" t="e">
        <f t="shared" si="101"/>
        <v>#N/A</v>
      </c>
      <c r="R1350" t="e">
        <f t="shared" si="102"/>
        <v>#N/A</v>
      </c>
      <c r="S1350" s="9" t="e">
        <f t="shared" si="103"/>
        <v>#N/A</v>
      </c>
      <c r="T1350" s="3" t="e">
        <f t="shared" si="104"/>
        <v>#N/A</v>
      </c>
    </row>
    <row r="1351" spans="2:20" x14ac:dyDescent="0.35">
      <c r="B1351" t="str">
        <f>IF(NOT(ISBLANK(A1351)),VLOOKUP(A1351,'BBT3'!A:F,2,0),"")</f>
        <v/>
      </c>
      <c r="C1351" t="str">
        <f>IF(NOT(ISBLANK(A1351)),VLOOKUP(A1351,'BBT3'!A:F,3,0),"")</f>
        <v/>
      </c>
      <c r="D1351" s="6" t="str">
        <f>IF(NOT(ISBLANK(A1351)),VLOOKUP(A1351,'BBT3'!A:F,4,1),"")</f>
        <v/>
      </c>
      <c r="E1351" t="str">
        <f>IF(NOT(ISBLANK(A1351)),VLOOKUP(A1351,'BBT3'!A:F,5,0),"")</f>
        <v/>
      </c>
      <c r="F1351" t="str">
        <f>IF(NOT(ISBLANK(A1351)),VLOOKUP(A1351,'BBT3'!A:F,6,0),"")</f>
        <v/>
      </c>
      <c r="G1351" t="str">
        <f>IF(NOT(ISBLANK(A1351)),VLOOKUP(A1351,QW_Close!A:J,5,0),"")</f>
        <v/>
      </c>
      <c r="H1351" s="5" t="str" cm="1">
        <f t="array" ref="H1351">IF(NOT(ISBLANK(A1351)),((_xlfn.XLOOKUP(1,(_bbt3[[#All],[ID]]=A1351)*(_bbt3[[#All],[METRIC_NAME]]="YLD_YTM_ASK"),_bbt3[[#All],[METRIC_VALUE]])*0.5)+(_xlfn.XLOOKUP(1,(_bbt3[[#All],[ID]]=A1351)*(_bbt3[[#All],[METRIC_NAME]]="YLD_YTM_BID"),_bbt3[[#All],[METRIC_VALUE]])*0.5))/100,"")</f>
        <v/>
      </c>
      <c r="I1351">
        <f>IF(ISNA(VLOOKUP(A1351,QW_CloseDL!A:E,5,0)),0,VLOOKUP(A1351,QW_CloseDL!A:E,5,0))</f>
        <v>0</v>
      </c>
      <c r="J1351" s="8" t="str">
        <f t="shared" si="105"/>
        <v/>
      </c>
      <c r="P1351">
        <v>0</v>
      </c>
      <c r="Q1351" t="e">
        <f t="shared" si="101"/>
        <v>#N/A</v>
      </c>
      <c r="R1351" t="e">
        <f t="shared" si="102"/>
        <v>#N/A</v>
      </c>
      <c r="S1351" s="9" t="e">
        <f t="shared" si="103"/>
        <v>#N/A</v>
      </c>
      <c r="T1351" s="3" t="e">
        <f t="shared" si="104"/>
        <v>#N/A</v>
      </c>
    </row>
    <row r="1352" spans="2:20" x14ac:dyDescent="0.35">
      <c r="B1352" t="str">
        <f>IF(NOT(ISBLANK(A1352)),VLOOKUP(A1352,'BBT3'!A:F,2,0),"")</f>
        <v/>
      </c>
      <c r="C1352" t="str">
        <f>IF(NOT(ISBLANK(A1352)),VLOOKUP(A1352,'BBT3'!A:F,3,0),"")</f>
        <v/>
      </c>
      <c r="D1352" s="6" t="str">
        <f>IF(NOT(ISBLANK(A1352)),VLOOKUP(A1352,'BBT3'!A:F,4,1),"")</f>
        <v/>
      </c>
      <c r="E1352" t="str">
        <f>IF(NOT(ISBLANK(A1352)),VLOOKUP(A1352,'BBT3'!A:F,5,0),"")</f>
        <v/>
      </c>
      <c r="F1352" t="str">
        <f>IF(NOT(ISBLANK(A1352)),VLOOKUP(A1352,'BBT3'!A:F,6,0),"")</f>
        <v/>
      </c>
      <c r="G1352" t="str">
        <f>IF(NOT(ISBLANK(A1352)),VLOOKUP(A1352,QW_Close!A:J,5,0),"")</f>
        <v/>
      </c>
      <c r="H1352" s="5" t="str" cm="1">
        <f t="array" ref="H1352">IF(NOT(ISBLANK(A1352)),((_xlfn.XLOOKUP(1,(_bbt3[[#All],[ID]]=A1352)*(_bbt3[[#All],[METRIC_NAME]]="YLD_YTM_ASK"),_bbt3[[#All],[METRIC_VALUE]])*0.5)+(_xlfn.XLOOKUP(1,(_bbt3[[#All],[ID]]=A1352)*(_bbt3[[#All],[METRIC_NAME]]="YLD_YTM_BID"),_bbt3[[#All],[METRIC_VALUE]])*0.5))/100,"")</f>
        <v/>
      </c>
      <c r="I1352">
        <f>IF(ISNA(VLOOKUP(A1352,QW_CloseDL!A:E,5,0)),0,VLOOKUP(A1352,QW_CloseDL!A:E,5,0))</f>
        <v>0</v>
      </c>
      <c r="J1352" s="8" t="str">
        <f t="shared" si="105"/>
        <v/>
      </c>
      <c r="P1352">
        <v>0</v>
      </c>
      <c r="Q1352" t="e">
        <f t="shared" si="101"/>
        <v>#N/A</v>
      </c>
      <c r="R1352" t="e">
        <f t="shared" si="102"/>
        <v>#N/A</v>
      </c>
      <c r="S1352" s="9" t="e">
        <f t="shared" si="103"/>
        <v>#N/A</v>
      </c>
      <c r="T1352" s="3" t="e">
        <f t="shared" si="104"/>
        <v>#N/A</v>
      </c>
    </row>
    <row r="1353" spans="2:20" x14ac:dyDescent="0.35">
      <c r="B1353" t="str">
        <f>IF(NOT(ISBLANK(A1353)),VLOOKUP(A1353,'BBT3'!A:F,2,0),"")</f>
        <v/>
      </c>
      <c r="C1353" t="str">
        <f>IF(NOT(ISBLANK(A1353)),VLOOKUP(A1353,'BBT3'!A:F,3,0),"")</f>
        <v/>
      </c>
      <c r="D1353" s="6" t="str">
        <f>IF(NOT(ISBLANK(A1353)),VLOOKUP(A1353,'BBT3'!A:F,4,1),"")</f>
        <v/>
      </c>
      <c r="E1353" t="str">
        <f>IF(NOT(ISBLANK(A1353)),VLOOKUP(A1353,'BBT3'!A:F,5,0),"")</f>
        <v/>
      </c>
      <c r="F1353" t="str">
        <f>IF(NOT(ISBLANK(A1353)),VLOOKUP(A1353,'BBT3'!A:F,6,0),"")</f>
        <v/>
      </c>
      <c r="G1353" t="str">
        <f>IF(NOT(ISBLANK(A1353)),VLOOKUP(A1353,QW_Close!A:J,5,0),"")</f>
        <v/>
      </c>
      <c r="H1353" s="5" t="str" cm="1">
        <f t="array" ref="H1353">IF(NOT(ISBLANK(A1353)),((_xlfn.XLOOKUP(1,(_bbt3[[#All],[ID]]=A1353)*(_bbt3[[#All],[METRIC_NAME]]="YLD_YTM_ASK"),_bbt3[[#All],[METRIC_VALUE]])*0.5)+(_xlfn.XLOOKUP(1,(_bbt3[[#All],[ID]]=A1353)*(_bbt3[[#All],[METRIC_NAME]]="YLD_YTM_BID"),_bbt3[[#All],[METRIC_VALUE]])*0.5))/100,"")</f>
        <v/>
      </c>
      <c r="I1353">
        <f>IF(ISNA(VLOOKUP(A1353,QW_CloseDL!A:E,5,0)),0,VLOOKUP(A1353,QW_CloseDL!A:E,5,0))</f>
        <v>0</v>
      </c>
      <c r="J1353" s="8" t="str">
        <f t="shared" si="105"/>
        <v/>
      </c>
      <c r="P1353">
        <v>0</v>
      </c>
      <c r="Q1353" t="e">
        <f t="shared" si="101"/>
        <v>#N/A</v>
      </c>
      <c r="R1353" t="e">
        <f t="shared" si="102"/>
        <v>#N/A</v>
      </c>
      <c r="S1353" s="9" t="e">
        <f t="shared" si="103"/>
        <v>#N/A</v>
      </c>
      <c r="T1353" s="3" t="e">
        <f t="shared" si="104"/>
        <v>#N/A</v>
      </c>
    </row>
    <row r="1354" spans="2:20" x14ac:dyDescent="0.35">
      <c r="B1354" t="str">
        <f>IF(NOT(ISBLANK(A1354)),VLOOKUP(A1354,'BBT3'!A:F,2,0),"")</f>
        <v/>
      </c>
      <c r="C1354" t="str">
        <f>IF(NOT(ISBLANK(A1354)),VLOOKUP(A1354,'BBT3'!A:F,3,0),"")</f>
        <v/>
      </c>
      <c r="D1354" s="6" t="str">
        <f>IF(NOT(ISBLANK(A1354)),VLOOKUP(A1354,'BBT3'!A:F,4,1),"")</f>
        <v/>
      </c>
      <c r="E1354" t="str">
        <f>IF(NOT(ISBLANK(A1354)),VLOOKUP(A1354,'BBT3'!A:F,5,0),"")</f>
        <v/>
      </c>
      <c r="F1354" t="str">
        <f>IF(NOT(ISBLANK(A1354)),VLOOKUP(A1354,'BBT3'!A:F,6,0),"")</f>
        <v/>
      </c>
      <c r="G1354" t="str">
        <f>IF(NOT(ISBLANK(A1354)),VLOOKUP(A1354,QW_Close!A:J,5,0),"")</f>
        <v/>
      </c>
      <c r="H1354" s="5" t="str" cm="1">
        <f t="array" ref="H1354">IF(NOT(ISBLANK(A1354)),((_xlfn.XLOOKUP(1,(_bbt3[[#All],[ID]]=A1354)*(_bbt3[[#All],[METRIC_NAME]]="YLD_YTM_ASK"),_bbt3[[#All],[METRIC_VALUE]])*0.5)+(_xlfn.XLOOKUP(1,(_bbt3[[#All],[ID]]=A1354)*(_bbt3[[#All],[METRIC_NAME]]="YLD_YTM_BID"),_bbt3[[#All],[METRIC_VALUE]])*0.5))/100,"")</f>
        <v/>
      </c>
      <c r="I1354">
        <f>IF(ISNA(VLOOKUP(A1354,QW_CloseDL!A:E,5,0)),0,VLOOKUP(A1354,QW_CloseDL!A:E,5,0))</f>
        <v>0</v>
      </c>
      <c r="J1354" s="8" t="str">
        <f t="shared" si="105"/>
        <v/>
      </c>
      <c r="P1354">
        <v>0</v>
      </c>
      <c r="Q1354" t="e">
        <f t="shared" si="101"/>
        <v>#N/A</v>
      </c>
      <c r="R1354" t="e">
        <f t="shared" si="102"/>
        <v>#N/A</v>
      </c>
      <c r="S1354" s="9" t="e">
        <f t="shared" si="103"/>
        <v>#N/A</v>
      </c>
      <c r="T1354" s="3" t="e">
        <f t="shared" si="104"/>
        <v>#N/A</v>
      </c>
    </row>
    <row r="1355" spans="2:20" x14ac:dyDescent="0.35">
      <c r="B1355" t="str">
        <f>IF(NOT(ISBLANK(A1355)),VLOOKUP(A1355,'BBT3'!A:F,2,0),"")</f>
        <v/>
      </c>
      <c r="C1355" t="str">
        <f>IF(NOT(ISBLANK(A1355)),VLOOKUP(A1355,'BBT3'!A:F,3,0),"")</f>
        <v/>
      </c>
      <c r="D1355" s="6" t="str">
        <f>IF(NOT(ISBLANK(A1355)),VLOOKUP(A1355,'BBT3'!A:F,4,1),"")</f>
        <v/>
      </c>
      <c r="E1355" t="str">
        <f>IF(NOT(ISBLANK(A1355)),VLOOKUP(A1355,'BBT3'!A:F,5,0),"")</f>
        <v/>
      </c>
      <c r="F1355" t="str">
        <f>IF(NOT(ISBLANK(A1355)),VLOOKUP(A1355,'BBT3'!A:F,6,0),"")</f>
        <v/>
      </c>
      <c r="G1355" t="str">
        <f>IF(NOT(ISBLANK(A1355)),VLOOKUP(A1355,QW_Close!A:J,5,0),"")</f>
        <v/>
      </c>
      <c r="H1355" s="5" t="str" cm="1">
        <f t="array" ref="H1355">IF(NOT(ISBLANK(A1355)),((_xlfn.XLOOKUP(1,(_bbt3[[#All],[ID]]=A1355)*(_bbt3[[#All],[METRIC_NAME]]="YLD_YTM_ASK"),_bbt3[[#All],[METRIC_VALUE]])*0.5)+(_xlfn.XLOOKUP(1,(_bbt3[[#All],[ID]]=A1355)*(_bbt3[[#All],[METRIC_NAME]]="YLD_YTM_BID"),_bbt3[[#All],[METRIC_VALUE]])*0.5))/100,"")</f>
        <v/>
      </c>
      <c r="I1355">
        <f>IF(ISNA(VLOOKUP(A1355,QW_CloseDL!A:E,5,0)),0,VLOOKUP(A1355,QW_CloseDL!A:E,5,0))</f>
        <v>0</v>
      </c>
      <c r="J1355" s="8" t="str">
        <f t="shared" si="105"/>
        <v/>
      </c>
      <c r="P1355">
        <v>0</v>
      </c>
      <c r="Q1355" t="e">
        <f t="shared" si="101"/>
        <v>#N/A</v>
      </c>
      <c r="R1355" t="e">
        <f t="shared" si="102"/>
        <v>#N/A</v>
      </c>
      <c r="S1355" s="9" t="e">
        <f t="shared" si="103"/>
        <v>#N/A</v>
      </c>
      <c r="T1355" s="3" t="e">
        <f t="shared" si="104"/>
        <v>#N/A</v>
      </c>
    </row>
    <row r="1356" spans="2:20" x14ac:dyDescent="0.35">
      <c r="B1356" t="str">
        <f>IF(NOT(ISBLANK(A1356)),VLOOKUP(A1356,'BBT3'!A:F,2,0),"")</f>
        <v/>
      </c>
      <c r="C1356" t="str">
        <f>IF(NOT(ISBLANK(A1356)),VLOOKUP(A1356,'BBT3'!A:F,3,0),"")</f>
        <v/>
      </c>
      <c r="D1356" s="6" t="str">
        <f>IF(NOT(ISBLANK(A1356)),VLOOKUP(A1356,'BBT3'!A:F,4,1),"")</f>
        <v/>
      </c>
      <c r="E1356" t="str">
        <f>IF(NOT(ISBLANK(A1356)),VLOOKUP(A1356,'BBT3'!A:F,5,0),"")</f>
        <v/>
      </c>
      <c r="F1356" t="str">
        <f>IF(NOT(ISBLANK(A1356)),VLOOKUP(A1356,'BBT3'!A:F,6,0),"")</f>
        <v/>
      </c>
      <c r="G1356" t="str">
        <f>IF(NOT(ISBLANK(A1356)),VLOOKUP(A1356,QW_Close!A:J,5,0),"")</f>
        <v/>
      </c>
      <c r="H1356" s="5" t="str" cm="1">
        <f t="array" ref="H1356">IF(NOT(ISBLANK(A1356)),((_xlfn.XLOOKUP(1,(_bbt3[[#All],[ID]]=A1356)*(_bbt3[[#All],[METRIC_NAME]]="YLD_YTM_ASK"),_bbt3[[#All],[METRIC_VALUE]])*0.5)+(_xlfn.XLOOKUP(1,(_bbt3[[#All],[ID]]=A1356)*(_bbt3[[#All],[METRIC_NAME]]="YLD_YTM_BID"),_bbt3[[#All],[METRIC_VALUE]])*0.5))/100,"")</f>
        <v/>
      </c>
      <c r="I1356">
        <f>IF(ISNA(VLOOKUP(A1356,QW_CloseDL!A:E,5,0)),0,VLOOKUP(A1356,QW_CloseDL!A:E,5,0))</f>
        <v>0</v>
      </c>
      <c r="J1356" s="8" t="str">
        <f t="shared" si="105"/>
        <v/>
      </c>
      <c r="P1356">
        <v>0</v>
      </c>
      <c r="Q1356" t="e">
        <f t="shared" si="101"/>
        <v>#N/A</v>
      </c>
      <c r="R1356" t="e">
        <f t="shared" si="102"/>
        <v>#N/A</v>
      </c>
      <c r="S1356" s="9" t="e">
        <f t="shared" si="103"/>
        <v>#N/A</v>
      </c>
      <c r="T1356" s="3" t="e">
        <f t="shared" si="104"/>
        <v>#N/A</v>
      </c>
    </row>
    <row r="1357" spans="2:20" x14ac:dyDescent="0.35">
      <c r="B1357" t="str">
        <f>IF(NOT(ISBLANK(A1357)),VLOOKUP(A1357,'BBT3'!A:F,2,0),"")</f>
        <v/>
      </c>
      <c r="C1357" t="str">
        <f>IF(NOT(ISBLANK(A1357)),VLOOKUP(A1357,'BBT3'!A:F,3,0),"")</f>
        <v/>
      </c>
      <c r="D1357" s="6" t="str">
        <f>IF(NOT(ISBLANK(A1357)),VLOOKUP(A1357,'BBT3'!A:F,4,1),"")</f>
        <v/>
      </c>
      <c r="E1357" t="str">
        <f>IF(NOT(ISBLANK(A1357)),VLOOKUP(A1357,'BBT3'!A:F,5,0),"")</f>
        <v/>
      </c>
      <c r="F1357" t="str">
        <f>IF(NOT(ISBLANK(A1357)),VLOOKUP(A1357,'BBT3'!A:F,6,0),"")</f>
        <v/>
      </c>
      <c r="G1357" t="str">
        <f>IF(NOT(ISBLANK(A1357)),VLOOKUP(A1357,QW_Close!A:J,5,0),"")</f>
        <v/>
      </c>
      <c r="H1357" s="5" t="str" cm="1">
        <f t="array" ref="H1357">IF(NOT(ISBLANK(A1357)),((_xlfn.XLOOKUP(1,(_bbt3[[#All],[ID]]=A1357)*(_bbt3[[#All],[METRIC_NAME]]="YLD_YTM_ASK"),_bbt3[[#All],[METRIC_VALUE]])*0.5)+(_xlfn.XLOOKUP(1,(_bbt3[[#All],[ID]]=A1357)*(_bbt3[[#All],[METRIC_NAME]]="YLD_YTM_BID"),_bbt3[[#All],[METRIC_VALUE]])*0.5))/100,"")</f>
        <v/>
      </c>
      <c r="I1357">
        <f>IF(ISNA(VLOOKUP(A1357,QW_CloseDL!A:E,5,0)),0,VLOOKUP(A1357,QW_CloseDL!A:E,5,0))</f>
        <v>0</v>
      </c>
      <c r="J1357" s="8" t="str">
        <f t="shared" si="105"/>
        <v/>
      </c>
      <c r="P1357">
        <v>0</v>
      </c>
      <c r="Q1357" t="e">
        <f t="shared" ref="Q1357:Q1420" si="106">VLOOKUP(P1357,A:B,2,0)</f>
        <v>#N/A</v>
      </c>
      <c r="R1357" t="e">
        <f t="shared" ref="R1357:R1414" si="107">VLOOKUP(P1357,A:E,4,0)</f>
        <v>#N/A</v>
      </c>
      <c r="S1357" s="9" t="e">
        <f t="shared" ref="S1357:S1420" si="108">VLOOKUP(P1357,A:J,10,0)</f>
        <v>#N/A</v>
      </c>
      <c r="T1357" s="3" t="e">
        <f t="shared" ref="T1357:T1420" si="109">VLOOKUP(P1357,A:J,5,0)</f>
        <v>#N/A</v>
      </c>
    </row>
    <row r="1358" spans="2:20" x14ac:dyDescent="0.35">
      <c r="B1358" t="str">
        <f>IF(NOT(ISBLANK(A1358)),VLOOKUP(A1358,'BBT3'!A:F,2,0),"")</f>
        <v/>
      </c>
      <c r="C1358" t="str">
        <f>IF(NOT(ISBLANK(A1358)),VLOOKUP(A1358,'BBT3'!A:F,3,0),"")</f>
        <v/>
      </c>
      <c r="D1358" s="6" t="str">
        <f>IF(NOT(ISBLANK(A1358)),VLOOKUP(A1358,'BBT3'!A:F,4,1),"")</f>
        <v/>
      </c>
      <c r="E1358" t="str">
        <f>IF(NOT(ISBLANK(A1358)),VLOOKUP(A1358,'BBT3'!A:F,5,0),"")</f>
        <v/>
      </c>
      <c r="F1358" t="str">
        <f>IF(NOT(ISBLANK(A1358)),VLOOKUP(A1358,'BBT3'!A:F,6,0),"")</f>
        <v/>
      </c>
      <c r="G1358" t="str">
        <f>IF(NOT(ISBLANK(A1358)),VLOOKUP(A1358,QW_Close!A:J,5,0),"")</f>
        <v/>
      </c>
      <c r="H1358" s="5" t="str" cm="1">
        <f t="array" ref="H1358">IF(NOT(ISBLANK(A1358)),((_xlfn.XLOOKUP(1,(_bbt3[[#All],[ID]]=A1358)*(_bbt3[[#All],[METRIC_NAME]]="YLD_YTM_ASK"),_bbt3[[#All],[METRIC_VALUE]])*0.5)+(_xlfn.XLOOKUP(1,(_bbt3[[#All],[ID]]=A1358)*(_bbt3[[#All],[METRIC_NAME]]="YLD_YTM_BID"),_bbt3[[#All],[METRIC_VALUE]])*0.5))/100,"")</f>
        <v/>
      </c>
      <c r="I1358">
        <f>IF(ISNA(VLOOKUP(A1358,QW_CloseDL!A:E,5,0)),0,VLOOKUP(A1358,QW_CloseDL!A:E,5,0))</f>
        <v>0</v>
      </c>
      <c r="J1358" s="8" t="str">
        <f t="shared" si="105"/>
        <v/>
      </c>
      <c r="P1358">
        <v>0</v>
      </c>
      <c r="Q1358" t="e">
        <f t="shared" si="106"/>
        <v>#N/A</v>
      </c>
      <c r="R1358" t="e">
        <f t="shared" si="107"/>
        <v>#N/A</v>
      </c>
      <c r="S1358" s="9" t="e">
        <f t="shared" si="108"/>
        <v>#N/A</v>
      </c>
      <c r="T1358" s="3" t="e">
        <f t="shared" si="109"/>
        <v>#N/A</v>
      </c>
    </row>
    <row r="1359" spans="2:20" x14ac:dyDescent="0.35">
      <c r="B1359" t="str">
        <f>IF(NOT(ISBLANK(A1359)),VLOOKUP(A1359,'BBT3'!A:F,2,0),"")</f>
        <v/>
      </c>
      <c r="C1359" t="str">
        <f>IF(NOT(ISBLANK(A1359)),VLOOKUP(A1359,'BBT3'!A:F,3,0),"")</f>
        <v/>
      </c>
      <c r="D1359" s="6" t="str">
        <f>IF(NOT(ISBLANK(A1359)),VLOOKUP(A1359,'BBT3'!A:F,4,1),"")</f>
        <v/>
      </c>
      <c r="E1359" t="str">
        <f>IF(NOT(ISBLANK(A1359)),VLOOKUP(A1359,'BBT3'!A:F,5,0),"")</f>
        <v/>
      </c>
      <c r="F1359" t="str">
        <f>IF(NOT(ISBLANK(A1359)),VLOOKUP(A1359,'BBT3'!A:F,6,0),"")</f>
        <v/>
      </c>
      <c r="G1359" t="str">
        <f>IF(NOT(ISBLANK(A1359)),VLOOKUP(A1359,QW_Close!A:J,5,0),"")</f>
        <v/>
      </c>
      <c r="H1359" s="5" t="str" cm="1">
        <f t="array" ref="H1359">IF(NOT(ISBLANK(A1359)),((_xlfn.XLOOKUP(1,(_bbt3[[#All],[ID]]=A1359)*(_bbt3[[#All],[METRIC_NAME]]="YLD_YTM_ASK"),_bbt3[[#All],[METRIC_VALUE]])*0.5)+(_xlfn.XLOOKUP(1,(_bbt3[[#All],[ID]]=A1359)*(_bbt3[[#All],[METRIC_NAME]]="YLD_YTM_BID"),_bbt3[[#All],[METRIC_VALUE]])*0.5))/100,"")</f>
        <v/>
      </c>
      <c r="I1359">
        <f>IF(ISNA(VLOOKUP(A1359,QW_CloseDL!A:E,5,0)),0,VLOOKUP(A1359,QW_CloseDL!A:E,5,0))</f>
        <v>0</v>
      </c>
      <c r="J1359" s="8" t="str">
        <f t="shared" si="105"/>
        <v/>
      </c>
      <c r="P1359">
        <v>0</v>
      </c>
      <c r="Q1359" t="e">
        <f t="shared" si="106"/>
        <v>#N/A</v>
      </c>
      <c r="R1359" t="e">
        <f t="shared" si="107"/>
        <v>#N/A</v>
      </c>
      <c r="S1359" s="9" t="e">
        <f t="shared" si="108"/>
        <v>#N/A</v>
      </c>
      <c r="T1359" s="3" t="e">
        <f t="shared" si="109"/>
        <v>#N/A</v>
      </c>
    </row>
    <row r="1360" spans="2:20" x14ac:dyDescent="0.35">
      <c r="B1360" t="str">
        <f>IF(NOT(ISBLANK(A1360)),VLOOKUP(A1360,'BBT3'!A:F,2,0),"")</f>
        <v/>
      </c>
      <c r="C1360" t="str">
        <f>IF(NOT(ISBLANK(A1360)),VLOOKUP(A1360,'BBT3'!A:F,3,0),"")</f>
        <v/>
      </c>
      <c r="D1360" s="6" t="str">
        <f>IF(NOT(ISBLANK(A1360)),VLOOKUP(A1360,'BBT3'!A:F,4,1),"")</f>
        <v/>
      </c>
      <c r="E1360" t="str">
        <f>IF(NOT(ISBLANK(A1360)),VLOOKUP(A1360,'BBT3'!A:F,5,0),"")</f>
        <v/>
      </c>
      <c r="F1360" t="str">
        <f>IF(NOT(ISBLANK(A1360)),VLOOKUP(A1360,'BBT3'!A:F,6,0),"")</f>
        <v/>
      </c>
      <c r="G1360" t="str">
        <f>IF(NOT(ISBLANK(A1360)),VLOOKUP(A1360,QW_Close!A:J,5,0),"")</f>
        <v/>
      </c>
      <c r="H1360" s="5" t="str" cm="1">
        <f t="array" ref="H1360">IF(NOT(ISBLANK(A1360)),((_xlfn.XLOOKUP(1,(_bbt3[[#All],[ID]]=A1360)*(_bbt3[[#All],[METRIC_NAME]]="YLD_YTM_ASK"),_bbt3[[#All],[METRIC_VALUE]])*0.5)+(_xlfn.XLOOKUP(1,(_bbt3[[#All],[ID]]=A1360)*(_bbt3[[#All],[METRIC_NAME]]="YLD_YTM_BID"),_bbt3[[#All],[METRIC_VALUE]])*0.5))/100,"")</f>
        <v/>
      </c>
      <c r="I1360">
        <f>IF(ISNA(VLOOKUP(A1360,QW_CloseDL!A:E,5,0)),0,VLOOKUP(A1360,QW_CloseDL!A:E,5,0))</f>
        <v>0</v>
      </c>
      <c r="J1360" s="8" t="str">
        <f t="shared" si="105"/>
        <v/>
      </c>
      <c r="P1360">
        <v>0</v>
      </c>
      <c r="Q1360" t="e">
        <f t="shared" si="106"/>
        <v>#N/A</v>
      </c>
      <c r="R1360" t="e">
        <f t="shared" si="107"/>
        <v>#N/A</v>
      </c>
      <c r="S1360" s="9" t="e">
        <f t="shared" si="108"/>
        <v>#N/A</v>
      </c>
      <c r="T1360" s="3" t="e">
        <f t="shared" si="109"/>
        <v>#N/A</v>
      </c>
    </row>
    <row r="1361" spans="2:20" x14ac:dyDescent="0.35">
      <c r="B1361" t="str">
        <f>IF(NOT(ISBLANK(A1361)),VLOOKUP(A1361,'BBT3'!A:F,2,0),"")</f>
        <v/>
      </c>
      <c r="C1361" t="str">
        <f>IF(NOT(ISBLANK(A1361)),VLOOKUP(A1361,'BBT3'!A:F,3,0),"")</f>
        <v/>
      </c>
      <c r="D1361" s="6" t="str">
        <f>IF(NOT(ISBLANK(A1361)),VLOOKUP(A1361,'BBT3'!A:F,4,1),"")</f>
        <v/>
      </c>
      <c r="E1361" t="str">
        <f>IF(NOT(ISBLANK(A1361)),VLOOKUP(A1361,'BBT3'!A:F,5,0),"")</f>
        <v/>
      </c>
      <c r="F1361" t="str">
        <f>IF(NOT(ISBLANK(A1361)),VLOOKUP(A1361,'BBT3'!A:F,6,0),"")</f>
        <v/>
      </c>
      <c r="G1361" t="str">
        <f>IF(NOT(ISBLANK(A1361)),VLOOKUP(A1361,QW_Close!A:J,5,0),"")</f>
        <v/>
      </c>
      <c r="H1361" s="5" t="str" cm="1">
        <f t="array" ref="H1361">IF(NOT(ISBLANK(A1361)),((_xlfn.XLOOKUP(1,(_bbt3[[#All],[ID]]=A1361)*(_bbt3[[#All],[METRIC_NAME]]="YLD_YTM_ASK"),_bbt3[[#All],[METRIC_VALUE]])*0.5)+(_xlfn.XLOOKUP(1,(_bbt3[[#All],[ID]]=A1361)*(_bbt3[[#All],[METRIC_NAME]]="YLD_YTM_BID"),_bbt3[[#All],[METRIC_VALUE]])*0.5))/100,"")</f>
        <v/>
      </c>
      <c r="I1361">
        <f>IF(ISNA(VLOOKUP(A1361,QW_CloseDL!A:E,5,0)),0,VLOOKUP(A1361,QW_CloseDL!A:E,5,0))</f>
        <v>0</v>
      </c>
      <c r="J1361" s="8" t="str">
        <f t="shared" si="105"/>
        <v/>
      </c>
      <c r="P1361">
        <v>0</v>
      </c>
      <c r="Q1361" t="e">
        <f t="shared" si="106"/>
        <v>#N/A</v>
      </c>
      <c r="R1361" t="e">
        <f t="shared" si="107"/>
        <v>#N/A</v>
      </c>
      <c r="S1361" s="9" t="e">
        <f t="shared" si="108"/>
        <v>#N/A</v>
      </c>
      <c r="T1361" s="3" t="e">
        <f t="shared" si="109"/>
        <v>#N/A</v>
      </c>
    </row>
    <row r="1362" spans="2:20" x14ac:dyDescent="0.35">
      <c r="B1362" t="str">
        <f>IF(NOT(ISBLANK(A1362)),VLOOKUP(A1362,'BBT3'!A:F,2,0),"")</f>
        <v/>
      </c>
      <c r="C1362" t="str">
        <f>IF(NOT(ISBLANK(A1362)),VLOOKUP(A1362,'BBT3'!A:F,3,0),"")</f>
        <v/>
      </c>
      <c r="D1362" s="6" t="str">
        <f>IF(NOT(ISBLANK(A1362)),VLOOKUP(A1362,'BBT3'!A:F,4,1),"")</f>
        <v/>
      </c>
      <c r="E1362" t="str">
        <f>IF(NOT(ISBLANK(A1362)),VLOOKUP(A1362,'BBT3'!A:F,5,0),"")</f>
        <v/>
      </c>
      <c r="F1362" t="str">
        <f>IF(NOT(ISBLANK(A1362)),VLOOKUP(A1362,'BBT3'!A:F,6,0),"")</f>
        <v/>
      </c>
      <c r="G1362" t="str">
        <f>IF(NOT(ISBLANK(A1362)),VLOOKUP(A1362,QW_Close!A:J,5,0),"")</f>
        <v/>
      </c>
      <c r="H1362" s="5" t="str" cm="1">
        <f t="array" ref="H1362">IF(NOT(ISBLANK(A1362)),((_xlfn.XLOOKUP(1,(_bbt3[[#All],[ID]]=A1362)*(_bbt3[[#All],[METRIC_NAME]]="YLD_YTM_ASK"),_bbt3[[#All],[METRIC_VALUE]])*0.5)+(_xlfn.XLOOKUP(1,(_bbt3[[#All],[ID]]=A1362)*(_bbt3[[#All],[METRIC_NAME]]="YLD_YTM_BID"),_bbt3[[#All],[METRIC_VALUE]])*0.5))/100,"")</f>
        <v/>
      </c>
      <c r="I1362">
        <f>IF(ISNA(VLOOKUP(A1362,QW_CloseDL!A:E,5,0)),0,VLOOKUP(A1362,QW_CloseDL!A:E,5,0))</f>
        <v>0</v>
      </c>
      <c r="J1362" s="8" t="str">
        <f t="shared" si="105"/>
        <v/>
      </c>
      <c r="P1362">
        <v>0</v>
      </c>
      <c r="Q1362" t="e">
        <f t="shared" si="106"/>
        <v>#N/A</v>
      </c>
      <c r="R1362" t="e">
        <f t="shared" si="107"/>
        <v>#N/A</v>
      </c>
      <c r="S1362" s="9" t="e">
        <f t="shared" si="108"/>
        <v>#N/A</v>
      </c>
      <c r="T1362" s="3" t="e">
        <f t="shared" si="109"/>
        <v>#N/A</v>
      </c>
    </row>
    <row r="1363" spans="2:20" x14ac:dyDescent="0.35">
      <c r="B1363" t="str">
        <f>IF(NOT(ISBLANK(A1363)),VLOOKUP(A1363,'BBT3'!A:F,2,0),"")</f>
        <v/>
      </c>
      <c r="C1363" t="str">
        <f>IF(NOT(ISBLANK(A1363)),VLOOKUP(A1363,'BBT3'!A:F,3,0),"")</f>
        <v/>
      </c>
      <c r="D1363" s="6" t="str">
        <f>IF(NOT(ISBLANK(A1363)),VLOOKUP(A1363,'BBT3'!A:F,4,1),"")</f>
        <v/>
      </c>
      <c r="E1363" t="str">
        <f>IF(NOT(ISBLANK(A1363)),VLOOKUP(A1363,'BBT3'!A:F,5,0),"")</f>
        <v/>
      </c>
      <c r="F1363" t="str">
        <f>IF(NOT(ISBLANK(A1363)),VLOOKUP(A1363,'BBT3'!A:F,6,0),"")</f>
        <v/>
      </c>
      <c r="G1363" t="str">
        <f>IF(NOT(ISBLANK(A1363)),VLOOKUP(A1363,QW_Close!A:J,5,0),"")</f>
        <v/>
      </c>
      <c r="H1363" s="5" t="str" cm="1">
        <f t="array" ref="H1363">IF(NOT(ISBLANK(A1363)),((_xlfn.XLOOKUP(1,(_bbt3[[#All],[ID]]=A1363)*(_bbt3[[#All],[METRIC_NAME]]="YLD_YTM_ASK"),_bbt3[[#All],[METRIC_VALUE]])*0.5)+(_xlfn.XLOOKUP(1,(_bbt3[[#All],[ID]]=A1363)*(_bbt3[[#All],[METRIC_NAME]]="YLD_YTM_BID"),_bbt3[[#All],[METRIC_VALUE]])*0.5))/100,"")</f>
        <v/>
      </c>
      <c r="I1363">
        <f>IF(ISNA(VLOOKUP(A1363,QW_CloseDL!A:E,5,0)),0,VLOOKUP(A1363,QW_CloseDL!A:E,5,0))</f>
        <v>0</v>
      </c>
      <c r="J1363" s="8" t="str">
        <f t="shared" si="105"/>
        <v/>
      </c>
      <c r="P1363">
        <v>0</v>
      </c>
      <c r="Q1363" t="e">
        <f t="shared" si="106"/>
        <v>#N/A</v>
      </c>
      <c r="R1363" t="e">
        <f t="shared" si="107"/>
        <v>#N/A</v>
      </c>
      <c r="S1363" s="9" t="e">
        <f t="shared" si="108"/>
        <v>#N/A</v>
      </c>
      <c r="T1363" s="3" t="e">
        <f t="shared" si="109"/>
        <v>#N/A</v>
      </c>
    </row>
    <row r="1364" spans="2:20" x14ac:dyDescent="0.35">
      <c r="B1364" t="str">
        <f>IF(NOT(ISBLANK(A1364)),VLOOKUP(A1364,'BBT3'!A:F,2,0),"")</f>
        <v/>
      </c>
      <c r="C1364" t="str">
        <f>IF(NOT(ISBLANK(A1364)),VLOOKUP(A1364,'BBT3'!A:F,3,0),"")</f>
        <v/>
      </c>
      <c r="D1364" s="6" t="str">
        <f>IF(NOT(ISBLANK(A1364)),VLOOKUP(A1364,'BBT3'!A:F,4,1),"")</f>
        <v/>
      </c>
      <c r="E1364" t="str">
        <f>IF(NOT(ISBLANK(A1364)),VLOOKUP(A1364,'BBT3'!A:F,5,0),"")</f>
        <v/>
      </c>
      <c r="F1364" t="str">
        <f>IF(NOT(ISBLANK(A1364)),VLOOKUP(A1364,'BBT3'!A:F,6,0),"")</f>
        <v/>
      </c>
      <c r="G1364" t="str">
        <f>IF(NOT(ISBLANK(A1364)),VLOOKUP(A1364,QW_Close!A:J,5,0),"")</f>
        <v/>
      </c>
      <c r="H1364" s="5" t="str" cm="1">
        <f t="array" ref="H1364">IF(NOT(ISBLANK(A1364)),((_xlfn.XLOOKUP(1,(_bbt3[[#All],[ID]]=A1364)*(_bbt3[[#All],[METRIC_NAME]]="YLD_YTM_ASK"),_bbt3[[#All],[METRIC_VALUE]])*0.5)+(_xlfn.XLOOKUP(1,(_bbt3[[#All],[ID]]=A1364)*(_bbt3[[#All],[METRIC_NAME]]="YLD_YTM_BID"),_bbt3[[#All],[METRIC_VALUE]])*0.5))/100,"")</f>
        <v/>
      </c>
      <c r="I1364">
        <f>IF(ISNA(VLOOKUP(A1364,QW_CloseDL!A:E,5,0)),0,VLOOKUP(A1364,QW_CloseDL!A:E,5,0))</f>
        <v>0</v>
      </c>
      <c r="J1364" s="8" t="str">
        <f t="shared" si="105"/>
        <v/>
      </c>
      <c r="P1364">
        <v>0</v>
      </c>
      <c r="Q1364" t="e">
        <f t="shared" si="106"/>
        <v>#N/A</v>
      </c>
      <c r="R1364" t="e">
        <f t="shared" si="107"/>
        <v>#N/A</v>
      </c>
      <c r="S1364" s="9" t="e">
        <f t="shared" si="108"/>
        <v>#N/A</v>
      </c>
      <c r="T1364" s="3" t="e">
        <f t="shared" si="109"/>
        <v>#N/A</v>
      </c>
    </row>
    <row r="1365" spans="2:20" x14ac:dyDescent="0.35">
      <c r="B1365" t="str">
        <f>IF(NOT(ISBLANK(A1365)),VLOOKUP(A1365,'BBT3'!A:F,2,0),"")</f>
        <v/>
      </c>
      <c r="C1365" t="str">
        <f>IF(NOT(ISBLANK(A1365)),VLOOKUP(A1365,'BBT3'!A:F,3,0),"")</f>
        <v/>
      </c>
      <c r="D1365" s="6" t="str">
        <f>IF(NOT(ISBLANK(A1365)),VLOOKUP(A1365,'BBT3'!A:F,4,1),"")</f>
        <v/>
      </c>
      <c r="E1365" t="str">
        <f>IF(NOT(ISBLANK(A1365)),VLOOKUP(A1365,'BBT3'!A:F,5,0),"")</f>
        <v/>
      </c>
      <c r="F1365" t="str">
        <f>IF(NOT(ISBLANK(A1365)),VLOOKUP(A1365,'BBT3'!A:F,6,0),"")</f>
        <v/>
      </c>
      <c r="G1365" t="str">
        <f>IF(NOT(ISBLANK(A1365)),VLOOKUP(A1365,QW_Close!A:J,5,0),"")</f>
        <v/>
      </c>
      <c r="H1365" s="5" t="str" cm="1">
        <f t="array" ref="H1365">IF(NOT(ISBLANK(A1365)),((_xlfn.XLOOKUP(1,(_bbt3[[#All],[ID]]=A1365)*(_bbt3[[#All],[METRIC_NAME]]="YLD_YTM_ASK"),_bbt3[[#All],[METRIC_VALUE]])*0.5)+(_xlfn.XLOOKUP(1,(_bbt3[[#All],[ID]]=A1365)*(_bbt3[[#All],[METRIC_NAME]]="YLD_YTM_BID"),_bbt3[[#All],[METRIC_VALUE]])*0.5))/100,"")</f>
        <v/>
      </c>
      <c r="I1365">
        <f>IF(ISNA(VLOOKUP(A1365,QW_CloseDL!A:E,5,0)),0,VLOOKUP(A1365,QW_CloseDL!A:E,5,0))</f>
        <v>0</v>
      </c>
      <c r="J1365" s="8" t="str">
        <f t="shared" si="105"/>
        <v/>
      </c>
      <c r="P1365">
        <v>0</v>
      </c>
      <c r="Q1365" t="e">
        <f t="shared" si="106"/>
        <v>#N/A</v>
      </c>
      <c r="R1365" t="e">
        <f t="shared" si="107"/>
        <v>#N/A</v>
      </c>
      <c r="S1365" s="9" t="e">
        <f t="shared" si="108"/>
        <v>#N/A</v>
      </c>
      <c r="T1365" s="3" t="e">
        <f t="shared" si="109"/>
        <v>#N/A</v>
      </c>
    </row>
    <row r="1366" spans="2:20" x14ac:dyDescent="0.35">
      <c r="B1366" t="str">
        <f>IF(NOT(ISBLANK(A1366)),VLOOKUP(A1366,'BBT3'!A:F,2,0),"")</f>
        <v/>
      </c>
      <c r="C1366" t="str">
        <f>IF(NOT(ISBLANK(A1366)),VLOOKUP(A1366,'BBT3'!A:F,3,0),"")</f>
        <v/>
      </c>
      <c r="D1366" s="6" t="str">
        <f>IF(NOT(ISBLANK(A1366)),VLOOKUP(A1366,'BBT3'!A:F,4,1),"")</f>
        <v/>
      </c>
      <c r="E1366" t="str">
        <f>IF(NOT(ISBLANK(A1366)),VLOOKUP(A1366,'BBT3'!A:F,5,0),"")</f>
        <v/>
      </c>
      <c r="F1366" t="str">
        <f>IF(NOT(ISBLANK(A1366)),VLOOKUP(A1366,'BBT3'!A:F,6,0),"")</f>
        <v/>
      </c>
      <c r="G1366" t="str">
        <f>IF(NOT(ISBLANK(A1366)),VLOOKUP(A1366,QW_Close!A:J,5,0),"")</f>
        <v/>
      </c>
      <c r="H1366" s="5" t="str" cm="1">
        <f t="array" ref="H1366">IF(NOT(ISBLANK(A1366)),((_xlfn.XLOOKUP(1,(_bbt3[[#All],[ID]]=A1366)*(_bbt3[[#All],[METRIC_NAME]]="YLD_YTM_ASK"),_bbt3[[#All],[METRIC_VALUE]])*0.5)+(_xlfn.XLOOKUP(1,(_bbt3[[#All],[ID]]=A1366)*(_bbt3[[#All],[METRIC_NAME]]="YLD_YTM_BID"),_bbt3[[#All],[METRIC_VALUE]])*0.5))/100,"")</f>
        <v/>
      </c>
      <c r="I1366">
        <f>IF(ISNA(VLOOKUP(A1366,QW_CloseDL!A:E,5,0)),0,VLOOKUP(A1366,QW_CloseDL!A:E,5,0))</f>
        <v>0</v>
      </c>
      <c r="J1366" s="8" t="str">
        <f t="shared" si="105"/>
        <v/>
      </c>
      <c r="P1366">
        <v>0</v>
      </c>
      <c r="Q1366" t="e">
        <f t="shared" si="106"/>
        <v>#N/A</v>
      </c>
      <c r="R1366" t="e">
        <f t="shared" si="107"/>
        <v>#N/A</v>
      </c>
      <c r="S1366" s="9" t="e">
        <f t="shared" si="108"/>
        <v>#N/A</v>
      </c>
      <c r="T1366" s="3" t="e">
        <f t="shared" si="109"/>
        <v>#N/A</v>
      </c>
    </row>
    <row r="1367" spans="2:20" x14ac:dyDescent="0.35">
      <c r="B1367" t="str">
        <f>IF(NOT(ISBLANK(A1367)),VLOOKUP(A1367,'BBT3'!A:F,2,0),"")</f>
        <v/>
      </c>
      <c r="C1367" t="str">
        <f>IF(NOT(ISBLANK(A1367)),VLOOKUP(A1367,'BBT3'!A:F,3,0),"")</f>
        <v/>
      </c>
      <c r="D1367" s="6" t="str">
        <f>IF(NOT(ISBLANK(A1367)),VLOOKUP(A1367,'BBT3'!A:F,4,1),"")</f>
        <v/>
      </c>
      <c r="E1367" t="str">
        <f>IF(NOT(ISBLANK(A1367)),VLOOKUP(A1367,'BBT3'!A:F,5,0),"")</f>
        <v/>
      </c>
      <c r="F1367" t="str">
        <f>IF(NOT(ISBLANK(A1367)),VLOOKUP(A1367,'BBT3'!A:F,6,0),"")</f>
        <v/>
      </c>
      <c r="G1367" t="str">
        <f>IF(NOT(ISBLANK(A1367)),VLOOKUP(A1367,QW_Close!A:J,5,0),"")</f>
        <v/>
      </c>
      <c r="H1367" s="5" t="str" cm="1">
        <f t="array" ref="H1367">IF(NOT(ISBLANK(A1367)),((_xlfn.XLOOKUP(1,(_bbt3[[#All],[ID]]=A1367)*(_bbt3[[#All],[METRIC_NAME]]="YLD_YTM_ASK"),_bbt3[[#All],[METRIC_VALUE]])*0.5)+(_xlfn.XLOOKUP(1,(_bbt3[[#All],[ID]]=A1367)*(_bbt3[[#All],[METRIC_NAME]]="YLD_YTM_BID"),_bbt3[[#All],[METRIC_VALUE]])*0.5))/100,"")</f>
        <v/>
      </c>
      <c r="I1367">
        <f>IF(ISNA(VLOOKUP(A1367,QW_CloseDL!A:E,5,0)),0,VLOOKUP(A1367,QW_CloseDL!A:E,5,0))</f>
        <v>0</v>
      </c>
      <c r="J1367" s="8" t="str">
        <f t="shared" si="105"/>
        <v/>
      </c>
      <c r="P1367">
        <v>0</v>
      </c>
      <c r="Q1367" t="e">
        <f t="shared" si="106"/>
        <v>#N/A</v>
      </c>
      <c r="R1367" t="e">
        <f t="shared" si="107"/>
        <v>#N/A</v>
      </c>
      <c r="S1367" s="9" t="e">
        <f t="shared" si="108"/>
        <v>#N/A</v>
      </c>
      <c r="T1367" s="3" t="e">
        <f t="shared" si="109"/>
        <v>#N/A</v>
      </c>
    </row>
    <row r="1368" spans="2:20" x14ac:dyDescent="0.35">
      <c r="B1368" t="str">
        <f>IF(NOT(ISBLANK(A1368)),VLOOKUP(A1368,'BBT3'!A:F,2,0),"")</f>
        <v/>
      </c>
      <c r="C1368" t="str">
        <f>IF(NOT(ISBLANK(A1368)),VLOOKUP(A1368,'BBT3'!A:F,3,0),"")</f>
        <v/>
      </c>
      <c r="D1368" s="6" t="str">
        <f>IF(NOT(ISBLANK(A1368)),VLOOKUP(A1368,'BBT3'!A:F,4,1),"")</f>
        <v/>
      </c>
      <c r="E1368" t="str">
        <f>IF(NOT(ISBLANK(A1368)),VLOOKUP(A1368,'BBT3'!A:F,5,0),"")</f>
        <v/>
      </c>
      <c r="F1368" t="str">
        <f>IF(NOT(ISBLANK(A1368)),VLOOKUP(A1368,'BBT3'!A:F,6,0),"")</f>
        <v/>
      </c>
      <c r="G1368" t="str">
        <f>IF(NOT(ISBLANK(A1368)),VLOOKUP(A1368,QW_Close!A:J,5,0),"")</f>
        <v/>
      </c>
      <c r="H1368" s="5" t="str" cm="1">
        <f t="array" ref="H1368">IF(NOT(ISBLANK(A1368)),((_xlfn.XLOOKUP(1,(_bbt3[[#All],[ID]]=A1368)*(_bbt3[[#All],[METRIC_NAME]]="YLD_YTM_ASK"),_bbt3[[#All],[METRIC_VALUE]])*0.5)+(_xlfn.XLOOKUP(1,(_bbt3[[#All],[ID]]=A1368)*(_bbt3[[#All],[METRIC_NAME]]="YLD_YTM_BID"),_bbt3[[#All],[METRIC_VALUE]])*0.5))/100,"")</f>
        <v/>
      </c>
      <c r="I1368">
        <f>IF(ISNA(VLOOKUP(A1368,QW_CloseDL!A:E,5,0)),0,VLOOKUP(A1368,QW_CloseDL!A:E,5,0))</f>
        <v>0</v>
      </c>
      <c r="J1368" s="8" t="str">
        <f t="shared" si="105"/>
        <v/>
      </c>
      <c r="P1368">
        <v>0</v>
      </c>
      <c r="Q1368" t="e">
        <f t="shared" si="106"/>
        <v>#N/A</v>
      </c>
      <c r="R1368" t="e">
        <f t="shared" si="107"/>
        <v>#N/A</v>
      </c>
      <c r="S1368" s="9" t="e">
        <f t="shared" si="108"/>
        <v>#N/A</v>
      </c>
      <c r="T1368" s="3" t="e">
        <f t="shared" si="109"/>
        <v>#N/A</v>
      </c>
    </row>
    <row r="1369" spans="2:20" x14ac:dyDescent="0.35">
      <c r="B1369" t="str">
        <f>IF(NOT(ISBLANK(A1369)),VLOOKUP(A1369,'BBT3'!A:F,2,0),"")</f>
        <v/>
      </c>
      <c r="C1369" t="str">
        <f>IF(NOT(ISBLANK(A1369)),VLOOKUP(A1369,'BBT3'!A:F,3,0),"")</f>
        <v/>
      </c>
      <c r="D1369" s="6" t="str">
        <f>IF(NOT(ISBLANK(A1369)),VLOOKUP(A1369,'BBT3'!A:F,4,1),"")</f>
        <v/>
      </c>
      <c r="E1369" t="str">
        <f>IF(NOT(ISBLANK(A1369)),VLOOKUP(A1369,'BBT3'!A:F,5,0),"")</f>
        <v/>
      </c>
      <c r="F1369" t="str">
        <f>IF(NOT(ISBLANK(A1369)),VLOOKUP(A1369,'BBT3'!A:F,6,0),"")</f>
        <v/>
      </c>
      <c r="G1369" t="str">
        <f>IF(NOT(ISBLANK(A1369)),VLOOKUP(A1369,QW_Close!A:J,5,0),"")</f>
        <v/>
      </c>
      <c r="H1369" s="5" t="str" cm="1">
        <f t="array" ref="H1369">IF(NOT(ISBLANK(A1369)),((_xlfn.XLOOKUP(1,(_bbt3[[#All],[ID]]=A1369)*(_bbt3[[#All],[METRIC_NAME]]="YLD_YTM_ASK"),_bbt3[[#All],[METRIC_VALUE]])*0.5)+(_xlfn.XLOOKUP(1,(_bbt3[[#All],[ID]]=A1369)*(_bbt3[[#All],[METRIC_NAME]]="YLD_YTM_BID"),_bbt3[[#All],[METRIC_VALUE]])*0.5))/100,"")</f>
        <v/>
      </c>
      <c r="I1369">
        <f>IF(ISNA(VLOOKUP(A1369,QW_CloseDL!A:E,5,0)),0,VLOOKUP(A1369,QW_CloseDL!A:E,5,0))</f>
        <v>0</v>
      </c>
      <c r="J1369" s="8" t="str">
        <f t="shared" si="105"/>
        <v/>
      </c>
      <c r="P1369">
        <v>0</v>
      </c>
      <c r="Q1369" t="e">
        <f t="shared" si="106"/>
        <v>#N/A</v>
      </c>
      <c r="R1369" t="e">
        <f t="shared" si="107"/>
        <v>#N/A</v>
      </c>
      <c r="S1369" s="9" t="e">
        <f t="shared" si="108"/>
        <v>#N/A</v>
      </c>
      <c r="T1369" s="3" t="e">
        <f t="shared" si="109"/>
        <v>#N/A</v>
      </c>
    </row>
    <row r="1370" spans="2:20" x14ac:dyDescent="0.35">
      <c r="B1370" t="str">
        <f>IF(NOT(ISBLANK(A1370)),VLOOKUP(A1370,'BBT3'!A:F,2,0),"")</f>
        <v/>
      </c>
      <c r="C1370" t="str">
        <f>IF(NOT(ISBLANK(A1370)),VLOOKUP(A1370,'BBT3'!A:F,3,0),"")</f>
        <v/>
      </c>
      <c r="D1370" s="6" t="str">
        <f>IF(NOT(ISBLANK(A1370)),VLOOKUP(A1370,'BBT3'!A:F,4,1),"")</f>
        <v/>
      </c>
      <c r="E1370" t="str">
        <f>IF(NOT(ISBLANK(A1370)),VLOOKUP(A1370,'BBT3'!A:F,5,0),"")</f>
        <v/>
      </c>
      <c r="F1370" t="str">
        <f>IF(NOT(ISBLANK(A1370)),VLOOKUP(A1370,'BBT3'!A:F,6,0),"")</f>
        <v/>
      </c>
      <c r="G1370" t="str">
        <f>IF(NOT(ISBLANK(A1370)),VLOOKUP(A1370,QW_Close!A:J,5,0),"")</f>
        <v/>
      </c>
      <c r="H1370" s="5" t="str" cm="1">
        <f t="array" ref="H1370">IF(NOT(ISBLANK(A1370)),((_xlfn.XLOOKUP(1,(_bbt3[[#All],[ID]]=A1370)*(_bbt3[[#All],[METRIC_NAME]]="YLD_YTM_ASK"),_bbt3[[#All],[METRIC_VALUE]])*0.5)+(_xlfn.XLOOKUP(1,(_bbt3[[#All],[ID]]=A1370)*(_bbt3[[#All],[METRIC_NAME]]="YLD_YTM_BID"),_bbt3[[#All],[METRIC_VALUE]])*0.5))/100,"")</f>
        <v/>
      </c>
      <c r="I1370">
        <f>IF(ISNA(VLOOKUP(A1370,QW_CloseDL!A:E,5,0)),0,VLOOKUP(A1370,QW_CloseDL!A:E,5,0))</f>
        <v>0</v>
      </c>
      <c r="J1370" s="8" t="str">
        <f t="shared" si="105"/>
        <v/>
      </c>
      <c r="P1370">
        <v>0</v>
      </c>
      <c r="Q1370" t="e">
        <f t="shared" si="106"/>
        <v>#N/A</v>
      </c>
      <c r="R1370" t="e">
        <f t="shared" si="107"/>
        <v>#N/A</v>
      </c>
      <c r="S1370" s="9" t="e">
        <f t="shared" si="108"/>
        <v>#N/A</v>
      </c>
      <c r="T1370" s="3" t="e">
        <f t="shared" si="109"/>
        <v>#N/A</v>
      </c>
    </row>
    <row r="1371" spans="2:20" x14ac:dyDescent="0.35">
      <c r="B1371" t="str">
        <f>IF(NOT(ISBLANK(A1371)),VLOOKUP(A1371,'BBT3'!A:F,2,0),"")</f>
        <v/>
      </c>
      <c r="C1371" t="str">
        <f>IF(NOT(ISBLANK(A1371)),VLOOKUP(A1371,'BBT3'!A:F,3,0),"")</f>
        <v/>
      </c>
      <c r="D1371" s="6" t="str">
        <f>IF(NOT(ISBLANK(A1371)),VLOOKUP(A1371,'BBT3'!A:F,4,1),"")</f>
        <v/>
      </c>
      <c r="E1371" t="str">
        <f>IF(NOT(ISBLANK(A1371)),VLOOKUP(A1371,'BBT3'!A:F,5,0),"")</f>
        <v/>
      </c>
      <c r="F1371" t="str">
        <f>IF(NOT(ISBLANK(A1371)),VLOOKUP(A1371,'BBT3'!A:F,6,0),"")</f>
        <v/>
      </c>
      <c r="G1371" t="str">
        <f>IF(NOT(ISBLANK(A1371)),VLOOKUP(A1371,QW_Close!A:J,5,0),"")</f>
        <v/>
      </c>
      <c r="H1371" s="5" t="str" cm="1">
        <f t="array" ref="H1371">IF(NOT(ISBLANK(A1371)),((_xlfn.XLOOKUP(1,(_bbt3[[#All],[ID]]=A1371)*(_bbt3[[#All],[METRIC_NAME]]="YLD_YTM_ASK"),_bbt3[[#All],[METRIC_VALUE]])*0.5)+(_xlfn.XLOOKUP(1,(_bbt3[[#All],[ID]]=A1371)*(_bbt3[[#All],[METRIC_NAME]]="YLD_YTM_BID"),_bbt3[[#All],[METRIC_VALUE]])*0.5))/100,"")</f>
        <v/>
      </c>
      <c r="I1371">
        <f>IF(ISNA(VLOOKUP(A1371,QW_CloseDL!A:E,5,0)),0,VLOOKUP(A1371,QW_CloseDL!A:E,5,0))</f>
        <v>0</v>
      </c>
      <c r="J1371" s="8" t="str">
        <f t="shared" si="105"/>
        <v/>
      </c>
      <c r="P1371">
        <v>0</v>
      </c>
      <c r="Q1371" t="e">
        <f t="shared" si="106"/>
        <v>#N/A</v>
      </c>
      <c r="R1371" t="e">
        <f t="shared" si="107"/>
        <v>#N/A</v>
      </c>
      <c r="S1371" s="9" t="e">
        <f t="shared" si="108"/>
        <v>#N/A</v>
      </c>
      <c r="T1371" s="3" t="e">
        <f t="shared" si="109"/>
        <v>#N/A</v>
      </c>
    </row>
    <row r="1372" spans="2:20" x14ac:dyDescent="0.35">
      <c r="B1372" t="str">
        <f>IF(NOT(ISBLANK(A1372)),VLOOKUP(A1372,'BBT3'!A:F,2,0),"")</f>
        <v/>
      </c>
      <c r="C1372" t="str">
        <f>IF(NOT(ISBLANK(A1372)),VLOOKUP(A1372,'BBT3'!A:F,3,0),"")</f>
        <v/>
      </c>
      <c r="D1372" s="6" t="str">
        <f>IF(NOT(ISBLANK(A1372)),VLOOKUP(A1372,'BBT3'!A:F,4,1),"")</f>
        <v/>
      </c>
      <c r="E1372" t="str">
        <f>IF(NOT(ISBLANK(A1372)),VLOOKUP(A1372,'BBT3'!A:F,5,0),"")</f>
        <v/>
      </c>
      <c r="F1372" t="str">
        <f>IF(NOT(ISBLANK(A1372)),VLOOKUP(A1372,'BBT3'!A:F,6,0),"")</f>
        <v/>
      </c>
      <c r="G1372" t="str">
        <f>IF(NOT(ISBLANK(A1372)),VLOOKUP(A1372,QW_Close!A:J,5,0),"")</f>
        <v/>
      </c>
      <c r="H1372" s="5" t="str" cm="1">
        <f t="array" ref="H1372">IF(NOT(ISBLANK(A1372)),((_xlfn.XLOOKUP(1,(_bbt3[[#All],[ID]]=A1372)*(_bbt3[[#All],[METRIC_NAME]]="YLD_YTM_ASK"),_bbt3[[#All],[METRIC_VALUE]])*0.5)+(_xlfn.XLOOKUP(1,(_bbt3[[#All],[ID]]=A1372)*(_bbt3[[#All],[METRIC_NAME]]="YLD_YTM_BID"),_bbt3[[#All],[METRIC_VALUE]])*0.5))/100,"")</f>
        <v/>
      </c>
      <c r="I1372">
        <f>IF(ISNA(VLOOKUP(A1372,QW_CloseDL!A:E,5,0)),0,VLOOKUP(A1372,QW_CloseDL!A:E,5,0))</f>
        <v>0</v>
      </c>
      <c r="J1372" s="8" t="str">
        <f t="shared" si="105"/>
        <v/>
      </c>
      <c r="P1372">
        <v>0</v>
      </c>
      <c r="Q1372" t="e">
        <f t="shared" si="106"/>
        <v>#N/A</v>
      </c>
      <c r="R1372" t="e">
        <f t="shared" si="107"/>
        <v>#N/A</v>
      </c>
      <c r="S1372" s="9" t="e">
        <f t="shared" si="108"/>
        <v>#N/A</v>
      </c>
      <c r="T1372" s="3" t="e">
        <f t="shared" si="109"/>
        <v>#N/A</v>
      </c>
    </row>
    <row r="1373" spans="2:20" x14ac:dyDescent="0.35">
      <c r="B1373" t="str">
        <f>IF(NOT(ISBLANK(A1373)),VLOOKUP(A1373,'BBT3'!A:F,2,0),"")</f>
        <v/>
      </c>
      <c r="C1373" t="str">
        <f>IF(NOT(ISBLANK(A1373)),VLOOKUP(A1373,'BBT3'!A:F,3,0),"")</f>
        <v/>
      </c>
      <c r="D1373" s="6" t="str">
        <f>IF(NOT(ISBLANK(A1373)),VLOOKUP(A1373,'BBT3'!A:F,4,1),"")</f>
        <v/>
      </c>
      <c r="E1373" t="str">
        <f>IF(NOT(ISBLANK(A1373)),VLOOKUP(A1373,'BBT3'!A:F,5,0),"")</f>
        <v/>
      </c>
      <c r="F1373" t="str">
        <f>IF(NOT(ISBLANK(A1373)),VLOOKUP(A1373,'BBT3'!A:F,6,0),"")</f>
        <v/>
      </c>
      <c r="G1373" t="str">
        <f>IF(NOT(ISBLANK(A1373)),VLOOKUP(A1373,QW_Close!A:J,5,0),"")</f>
        <v/>
      </c>
      <c r="H1373" s="5" t="str" cm="1">
        <f t="array" ref="H1373">IF(NOT(ISBLANK(A1373)),((_xlfn.XLOOKUP(1,(_bbt3[[#All],[ID]]=A1373)*(_bbt3[[#All],[METRIC_NAME]]="YLD_YTM_ASK"),_bbt3[[#All],[METRIC_VALUE]])*0.5)+(_xlfn.XLOOKUP(1,(_bbt3[[#All],[ID]]=A1373)*(_bbt3[[#All],[METRIC_NAME]]="YLD_YTM_BID"),_bbt3[[#All],[METRIC_VALUE]])*0.5))/100,"")</f>
        <v/>
      </c>
      <c r="I1373">
        <f>IF(ISNA(VLOOKUP(A1373,QW_CloseDL!A:E,5,0)),0,VLOOKUP(A1373,QW_CloseDL!A:E,5,0))</f>
        <v>0</v>
      </c>
      <c r="J1373" s="8" t="str">
        <f t="shared" si="105"/>
        <v/>
      </c>
      <c r="P1373">
        <v>0</v>
      </c>
      <c r="Q1373" t="e">
        <f t="shared" si="106"/>
        <v>#N/A</v>
      </c>
      <c r="R1373" t="e">
        <f t="shared" si="107"/>
        <v>#N/A</v>
      </c>
      <c r="S1373" s="9" t="e">
        <f t="shared" si="108"/>
        <v>#N/A</v>
      </c>
      <c r="T1373" s="3" t="e">
        <f t="shared" si="109"/>
        <v>#N/A</v>
      </c>
    </row>
    <row r="1374" spans="2:20" x14ac:dyDescent="0.35">
      <c r="B1374" t="str">
        <f>IF(NOT(ISBLANK(A1374)),VLOOKUP(A1374,'BBT3'!A:F,2,0),"")</f>
        <v/>
      </c>
      <c r="C1374" t="str">
        <f>IF(NOT(ISBLANK(A1374)),VLOOKUP(A1374,'BBT3'!A:F,3,0),"")</f>
        <v/>
      </c>
      <c r="D1374" s="6" t="str">
        <f>IF(NOT(ISBLANK(A1374)),VLOOKUP(A1374,'BBT3'!A:F,4,1),"")</f>
        <v/>
      </c>
      <c r="E1374" t="str">
        <f>IF(NOT(ISBLANK(A1374)),VLOOKUP(A1374,'BBT3'!A:F,5,0),"")</f>
        <v/>
      </c>
      <c r="F1374" t="str">
        <f>IF(NOT(ISBLANK(A1374)),VLOOKUP(A1374,'BBT3'!A:F,6,0),"")</f>
        <v/>
      </c>
      <c r="G1374" t="str">
        <f>IF(NOT(ISBLANK(A1374)),VLOOKUP(A1374,QW_Close!A:J,5,0),"")</f>
        <v/>
      </c>
      <c r="H1374" s="5" t="str" cm="1">
        <f t="array" ref="H1374">IF(NOT(ISBLANK(A1374)),((_xlfn.XLOOKUP(1,(_bbt3[[#All],[ID]]=A1374)*(_bbt3[[#All],[METRIC_NAME]]="YLD_YTM_ASK"),_bbt3[[#All],[METRIC_VALUE]])*0.5)+(_xlfn.XLOOKUP(1,(_bbt3[[#All],[ID]]=A1374)*(_bbt3[[#All],[METRIC_NAME]]="YLD_YTM_BID"),_bbt3[[#All],[METRIC_VALUE]])*0.5))/100,"")</f>
        <v/>
      </c>
      <c r="I1374">
        <f>IF(ISNA(VLOOKUP(A1374,QW_CloseDL!A:E,5,0)),0,VLOOKUP(A1374,QW_CloseDL!A:E,5,0))</f>
        <v>0</v>
      </c>
      <c r="J1374" s="8" t="str">
        <f t="shared" si="105"/>
        <v/>
      </c>
      <c r="P1374">
        <v>0</v>
      </c>
      <c r="Q1374" t="e">
        <f t="shared" si="106"/>
        <v>#N/A</v>
      </c>
      <c r="R1374" t="e">
        <f t="shared" si="107"/>
        <v>#N/A</v>
      </c>
      <c r="S1374" s="9" t="e">
        <f t="shared" si="108"/>
        <v>#N/A</v>
      </c>
      <c r="T1374" s="3" t="e">
        <f t="shared" si="109"/>
        <v>#N/A</v>
      </c>
    </row>
    <row r="1375" spans="2:20" x14ac:dyDescent="0.35">
      <c r="B1375" t="str">
        <f>IF(NOT(ISBLANK(A1375)),VLOOKUP(A1375,'BBT3'!A:F,2,0),"")</f>
        <v/>
      </c>
      <c r="C1375" t="str">
        <f>IF(NOT(ISBLANK(A1375)),VLOOKUP(A1375,'BBT3'!A:F,3,0),"")</f>
        <v/>
      </c>
      <c r="D1375" s="6" t="str">
        <f>IF(NOT(ISBLANK(A1375)),VLOOKUP(A1375,'BBT3'!A:F,4,1),"")</f>
        <v/>
      </c>
      <c r="E1375" t="str">
        <f>IF(NOT(ISBLANK(A1375)),VLOOKUP(A1375,'BBT3'!A:F,5,0),"")</f>
        <v/>
      </c>
      <c r="F1375" t="str">
        <f>IF(NOT(ISBLANK(A1375)),VLOOKUP(A1375,'BBT3'!A:F,6,0),"")</f>
        <v/>
      </c>
      <c r="G1375" t="str">
        <f>IF(NOT(ISBLANK(A1375)),VLOOKUP(A1375,QW_Close!A:J,5,0),"")</f>
        <v/>
      </c>
      <c r="H1375" s="5" t="str" cm="1">
        <f t="array" ref="H1375">IF(NOT(ISBLANK(A1375)),((_xlfn.XLOOKUP(1,(_bbt3[[#All],[ID]]=A1375)*(_bbt3[[#All],[METRIC_NAME]]="YLD_YTM_ASK"),_bbt3[[#All],[METRIC_VALUE]])*0.5)+(_xlfn.XLOOKUP(1,(_bbt3[[#All],[ID]]=A1375)*(_bbt3[[#All],[METRIC_NAME]]="YLD_YTM_BID"),_bbt3[[#All],[METRIC_VALUE]])*0.5))/100,"")</f>
        <v/>
      </c>
      <c r="I1375">
        <f>IF(ISNA(VLOOKUP(A1375,QW_CloseDL!A:E,5,0)),0,VLOOKUP(A1375,QW_CloseDL!A:E,5,0))</f>
        <v>0</v>
      </c>
      <c r="J1375" s="8" t="str">
        <f t="shared" si="105"/>
        <v/>
      </c>
      <c r="P1375">
        <v>0</v>
      </c>
      <c r="Q1375" t="e">
        <f t="shared" si="106"/>
        <v>#N/A</v>
      </c>
      <c r="R1375" t="e">
        <f t="shared" si="107"/>
        <v>#N/A</v>
      </c>
      <c r="S1375" s="9" t="e">
        <f t="shared" si="108"/>
        <v>#N/A</v>
      </c>
      <c r="T1375" s="3" t="e">
        <f t="shared" si="109"/>
        <v>#N/A</v>
      </c>
    </row>
    <row r="1376" spans="2:20" x14ac:dyDescent="0.35">
      <c r="B1376" t="str">
        <f>IF(NOT(ISBLANK(A1376)),VLOOKUP(A1376,'BBT3'!A:F,2,0),"")</f>
        <v/>
      </c>
      <c r="C1376" t="str">
        <f>IF(NOT(ISBLANK(A1376)),VLOOKUP(A1376,'BBT3'!A:F,3,0),"")</f>
        <v/>
      </c>
      <c r="D1376" s="6" t="str">
        <f>IF(NOT(ISBLANK(A1376)),VLOOKUP(A1376,'BBT3'!A:F,4,1),"")</f>
        <v/>
      </c>
      <c r="E1376" t="str">
        <f>IF(NOT(ISBLANK(A1376)),VLOOKUP(A1376,'BBT3'!A:F,5,0),"")</f>
        <v/>
      </c>
      <c r="F1376" t="str">
        <f>IF(NOT(ISBLANK(A1376)),VLOOKUP(A1376,'BBT3'!A:F,6,0),"")</f>
        <v/>
      </c>
      <c r="G1376" t="str">
        <f>IF(NOT(ISBLANK(A1376)),VLOOKUP(A1376,QW_Close!A:J,5,0),"")</f>
        <v/>
      </c>
      <c r="H1376" s="5" t="str" cm="1">
        <f t="array" ref="H1376">IF(NOT(ISBLANK(A1376)),((_xlfn.XLOOKUP(1,(_bbt3[[#All],[ID]]=A1376)*(_bbt3[[#All],[METRIC_NAME]]="YLD_YTM_ASK"),_bbt3[[#All],[METRIC_VALUE]])*0.5)+(_xlfn.XLOOKUP(1,(_bbt3[[#All],[ID]]=A1376)*(_bbt3[[#All],[METRIC_NAME]]="YLD_YTM_BID"),_bbt3[[#All],[METRIC_VALUE]])*0.5))/100,"")</f>
        <v/>
      </c>
      <c r="I1376">
        <f>IF(ISNA(VLOOKUP(A1376,QW_CloseDL!A:E,5,0)),0,VLOOKUP(A1376,QW_CloseDL!A:E,5,0))</f>
        <v>0</v>
      </c>
      <c r="J1376" s="8" t="str">
        <f t="shared" si="105"/>
        <v/>
      </c>
      <c r="P1376">
        <v>0</v>
      </c>
      <c r="Q1376" t="e">
        <f t="shared" si="106"/>
        <v>#N/A</v>
      </c>
      <c r="R1376" t="e">
        <f t="shared" si="107"/>
        <v>#N/A</v>
      </c>
      <c r="S1376" s="9" t="e">
        <f t="shared" si="108"/>
        <v>#N/A</v>
      </c>
      <c r="T1376" s="3" t="e">
        <f t="shared" si="109"/>
        <v>#N/A</v>
      </c>
    </row>
    <row r="1377" spans="2:20" x14ac:dyDescent="0.35">
      <c r="B1377" t="str">
        <f>IF(NOT(ISBLANK(A1377)),VLOOKUP(A1377,'BBT3'!A:F,2,0),"")</f>
        <v/>
      </c>
      <c r="C1377" t="str">
        <f>IF(NOT(ISBLANK(A1377)),VLOOKUP(A1377,'BBT3'!A:F,3,0),"")</f>
        <v/>
      </c>
      <c r="D1377" s="6" t="str">
        <f>IF(NOT(ISBLANK(A1377)),VLOOKUP(A1377,'BBT3'!A:F,4,1),"")</f>
        <v/>
      </c>
      <c r="E1377" t="str">
        <f>IF(NOT(ISBLANK(A1377)),VLOOKUP(A1377,'BBT3'!A:F,5,0),"")</f>
        <v/>
      </c>
      <c r="F1377" t="str">
        <f>IF(NOT(ISBLANK(A1377)),VLOOKUP(A1377,'BBT3'!A:F,6,0),"")</f>
        <v/>
      </c>
      <c r="G1377" t="str">
        <f>IF(NOT(ISBLANK(A1377)),VLOOKUP(A1377,QW_Close!A:J,5,0),"")</f>
        <v/>
      </c>
      <c r="H1377" s="5" t="str" cm="1">
        <f t="array" ref="H1377">IF(NOT(ISBLANK(A1377)),((_xlfn.XLOOKUP(1,(_bbt3[[#All],[ID]]=A1377)*(_bbt3[[#All],[METRIC_NAME]]="YLD_YTM_ASK"),_bbt3[[#All],[METRIC_VALUE]])*0.5)+(_xlfn.XLOOKUP(1,(_bbt3[[#All],[ID]]=A1377)*(_bbt3[[#All],[METRIC_NAME]]="YLD_YTM_BID"),_bbt3[[#All],[METRIC_VALUE]])*0.5))/100,"")</f>
        <v/>
      </c>
      <c r="I1377">
        <f>IF(ISNA(VLOOKUP(A1377,QW_CloseDL!A:E,5,0)),0,VLOOKUP(A1377,QW_CloseDL!A:E,5,0))</f>
        <v>0</v>
      </c>
      <c r="J1377" s="8" t="str">
        <f t="shared" si="105"/>
        <v/>
      </c>
      <c r="P1377">
        <v>0</v>
      </c>
      <c r="Q1377" t="e">
        <f t="shared" si="106"/>
        <v>#N/A</v>
      </c>
      <c r="R1377" t="e">
        <f t="shared" si="107"/>
        <v>#N/A</v>
      </c>
      <c r="S1377" s="9" t="e">
        <f t="shared" si="108"/>
        <v>#N/A</v>
      </c>
      <c r="T1377" s="3" t="e">
        <f t="shared" si="109"/>
        <v>#N/A</v>
      </c>
    </row>
    <row r="1378" spans="2:20" x14ac:dyDescent="0.35">
      <c r="B1378" t="str">
        <f>IF(NOT(ISBLANK(A1378)),VLOOKUP(A1378,'BBT3'!A:F,2,0),"")</f>
        <v/>
      </c>
      <c r="C1378" t="str">
        <f>IF(NOT(ISBLANK(A1378)),VLOOKUP(A1378,'BBT3'!A:F,3,0),"")</f>
        <v/>
      </c>
      <c r="D1378" s="6" t="str">
        <f>IF(NOT(ISBLANK(A1378)),VLOOKUP(A1378,'BBT3'!A:F,4,1),"")</f>
        <v/>
      </c>
      <c r="E1378" t="str">
        <f>IF(NOT(ISBLANK(A1378)),VLOOKUP(A1378,'BBT3'!A:F,5,0),"")</f>
        <v/>
      </c>
      <c r="F1378" t="str">
        <f>IF(NOT(ISBLANK(A1378)),VLOOKUP(A1378,'BBT3'!A:F,6,0),"")</f>
        <v/>
      </c>
      <c r="G1378" t="str">
        <f>IF(NOT(ISBLANK(A1378)),VLOOKUP(A1378,QW_Close!A:J,5,0),"")</f>
        <v/>
      </c>
      <c r="H1378" s="5" t="str" cm="1">
        <f t="array" ref="H1378">IF(NOT(ISBLANK(A1378)),((_xlfn.XLOOKUP(1,(_bbt3[[#All],[ID]]=A1378)*(_bbt3[[#All],[METRIC_NAME]]="YLD_YTM_ASK"),_bbt3[[#All],[METRIC_VALUE]])*0.5)+(_xlfn.XLOOKUP(1,(_bbt3[[#All],[ID]]=A1378)*(_bbt3[[#All],[METRIC_NAME]]="YLD_YTM_BID"),_bbt3[[#All],[METRIC_VALUE]])*0.5))/100,"")</f>
        <v/>
      </c>
      <c r="I1378">
        <f>IF(ISNA(VLOOKUP(A1378,QW_CloseDL!A:E,5,0)),0,VLOOKUP(A1378,QW_CloseDL!A:E,5,0))</f>
        <v>0</v>
      </c>
      <c r="J1378" s="8" t="str">
        <f t="shared" si="105"/>
        <v/>
      </c>
      <c r="P1378">
        <v>0</v>
      </c>
      <c r="Q1378" t="e">
        <f t="shared" si="106"/>
        <v>#N/A</v>
      </c>
      <c r="R1378" t="e">
        <f t="shared" si="107"/>
        <v>#N/A</v>
      </c>
      <c r="S1378" s="9" t="e">
        <f t="shared" si="108"/>
        <v>#N/A</v>
      </c>
      <c r="T1378" s="3" t="e">
        <f t="shared" si="109"/>
        <v>#N/A</v>
      </c>
    </row>
    <row r="1379" spans="2:20" x14ac:dyDescent="0.35">
      <c r="B1379" t="str">
        <f>IF(NOT(ISBLANK(A1379)),VLOOKUP(A1379,'BBT3'!A:F,2,0),"")</f>
        <v/>
      </c>
      <c r="C1379" t="str">
        <f>IF(NOT(ISBLANK(A1379)),VLOOKUP(A1379,'BBT3'!A:F,3,0),"")</f>
        <v/>
      </c>
      <c r="D1379" s="6" t="str">
        <f>IF(NOT(ISBLANK(A1379)),VLOOKUP(A1379,'BBT3'!A:F,4,1),"")</f>
        <v/>
      </c>
      <c r="E1379" t="str">
        <f>IF(NOT(ISBLANK(A1379)),VLOOKUP(A1379,'BBT3'!A:F,5,0),"")</f>
        <v/>
      </c>
      <c r="F1379" t="str">
        <f>IF(NOT(ISBLANK(A1379)),VLOOKUP(A1379,'BBT3'!A:F,6,0),"")</f>
        <v/>
      </c>
      <c r="G1379" t="str">
        <f>IF(NOT(ISBLANK(A1379)),VLOOKUP(A1379,QW_Close!A:J,5,0),"")</f>
        <v/>
      </c>
      <c r="H1379" s="5" t="str" cm="1">
        <f t="array" ref="H1379">IF(NOT(ISBLANK(A1379)),((_xlfn.XLOOKUP(1,(_bbt3[[#All],[ID]]=A1379)*(_bbt3[[#All],[METRIC_NAME]]="YLD_YTM_ASK"),_bbt3[[#All],[METRIC_VALUE]])*0.5)+(_xlfn.XLOOKUP(1,(_bbt3[[#All],[ID]]=A1379)*(_bbt3[[#All],[METRIC_NAME]]="YLD_YTM_BID"),_bbt3[[#All],[METRIC_VALUE]])*0.5))/100,"")</f>
        <v/>
      </c>
      <c r="I1379">
        <f>IF(ISNA(VLOOKUP(A1379,QW_CloseDL!A:E,5,0)),0,VLOOKUP(A1379,QW_CloseDL!A:E,5,0))</f>
        <v>0</v>
      </c>
      <c r="J1379" s="8" t="str">
        <f t="shared" si="105"/>
        <v/>
      </c>
      <c r="P1379">
        <v>0</v>
      </c>
      <c r="Q1379" t="e">
        <f t="shared" si="106"/>
        <v>#N/A</v>
      </c>
      <c r="R1379" t="e">
        <f t="shared" si="107"/>
        <v>#N/A</v>
      </c>
      <c r="S1379" s="9" t="e">
        <f t="shared" si="108"/>
        <v>#N/A</v>
      </c>
      <c r="T1379" s="3" t="e">
        <f t="shared" si="109"/>
        <v>#N/A</v>
      </c>
    </row>
    <row r="1380" spans="2:20" x14ac:dyDescent="0.35">
      <c r="B1380" t="str">
        <f>IF(NOT(ISBLANK(A1380)),VLOOKUP(A1380,'BBT3'!A:F,2,0),"")</f>
        <v/>
      </c>
      <c r="C1380" t="str">
        <f>IF(NOT(ISBLANK(A1380)),VLOOKUP(A1380,'BBT3'!A:F,3,0),"")</f>
        <v/>
      </c>
      <c r="D1380" s="6" t="str">
        <f>IF(NOT(ISBLANK(A1380)),VLOOKUP(A1380,'BBT3'!A:F,4,1),"")</f>
        <v/>
      </c>
      <c r="E1380" t="str">
        <f>IF(NOT(ISBLANK(A1380)),VLOOKUP(A1380,'BBT3'!A:F,5,0),"")</f>
        <v/>
      </c>
      <c r="F1380" t="str">
        <f>IF(NOT(ISBLANK(A1380)),VLOOKUP(A1380,'BBT3'!A:F,6,0),"")</f>
        <v/>
      </c>
      <c r="G1380" t="str">
        <f>IF(NOT(ISBLANK(A1380)),VLOOKUP(A1380,QW_Close!A:J,5,0),"")</f>
        <v/>
      </c>
      <c r="H1380" s="5" t="str" cm="1">
        <f t="array" ref="H1380">IF(NOT(ISBLANK(A1380)),((_xlfn.XLOOKUP(1,(_bbt3[[#All],[ID]]=A1380)*(_bbt3[[#All],[METRIC_NAME]]="YLD_YTM_ASK"),_bbt3[[#All],[METRIC_VALUE]])*0.5)+(_xlfn.XLOOKUP(1,(_bbt3[[#All],[ID]]=A1380)*(_bbt3[[#All],[METRIC_NAME]]="YLD_YTM_BID"),_bbt3[[#All],[METRIC_VALUE]])*0.5))/100,"")</f>
        <v/>
      </c>
      <c r="I1380">
        <f>IF(ISNA(VLOOKUP(A1380,QW_CloseDL!A:E,5,0)),0,VLOOKUP(A1380,QW_CloseDL!A:E,5,0))</f>
        <v>0</v>
      </c>
      <c r="J1380" s="8" t="str">
        <f t="shared" si="105"/>
        <v/>
      </c>
      <c r="P1380">
        <v>0</v>
      </c>
      <c r="Q1380" t="e">
        <f t="shared" si="106"/>
        <v>#N/A</v>
      </c>
      <c r="R1380" t="e">
        <f t="shared" si="107"/>
        <v>#N/A</v>
      </c>
      <c r="S1380" s="9" t="e">
        <f t="shared" si="108"/>
        <v>#N/A</v>
      </c>
      <c r="T1380" s="3" t="e">
        <f t="shared" si="109"/>
        <v>#N/A</v>
      </c>
    </row>
    <row r="1381" spans="2:20" x14ac:dyDescent="0.35">
      <c r="B1381" t="str">
        <f>IF(NOT(ISBLANK(A1381)),VLOOKUP(A1381,'BBT3'!A:F,2,0),"")</f>
        <v/>
      </c>
      <c r="C1381" t="str">
        <f>IF(NOT(ISBLANK(A1381)),VLOOKUP(A1381,'BBT3'!A:F,3,0),"")</f>
        <v/>
      </c>
      <c r="D1381" s="6" t="str">
        <f>IF(NOT(ISBLANK(A1381)),VLOOKUP(A1381,'BBT3'!A:F,4,1),"")</f>
        <v/>
      </c>
      <c r="E1381" t="str">
        <f>IF(NOT(ISBLANK(A1381)),VLOOKUP(A1381,'BBT3'!A:F,5,0),"")</f>
        <v/>
      </c>
      <c r="F1381" t="str">
        <f>IF(NOT(ISBLANK(A1381)),VLOOKUP(A1381,'BBT3'!A:F,6,0),"")</f>
        <v/>
      </c>
      <c r="G1381" t="str">
        <f>IF(NOT(ISBLANK(A1381)),VLOOKUP(A1381,QW_Close!A:J,5,0),"")</f>
        <v/>
      </c>
      <c r="H1381" s="5" t="str" cm="1">
        <f t="array" ref="H1381">IF(NOT(ISBLANK(A1381)),((_xlfn.XLOOKUP(1,(_bbt3[[#All],[ID]]=A1381)*(_bbt3[[#All],[METRIC_NAME]]="YLD_YTM_ASK"),_bbt3[[#All],[METRIC_VALUE]])*0.5)+(_xlfn.XLOOKUP(1,(_bbt3[[#All],[ID]]=A1381)*(_bbt3[[#All],[METRIC_NAME]]="YLD_YTM_BID"),_bbt3[[#All],[METRIC_VALUE]])*0.5))/100,"")</f>
        <v/>
      </c>
      <c r="I1381">
        <f>IF(ISNA(VLOOKUP(A1381,QW_CloseDL!A:E,5,0)),0,VLOOKUP(A1381,QW_CloseDL!A:E,5,0))</f>
        <v>0</v>
      </c>
      <c r="J1381" s="8" t="str">
        <f t="shared" si="105"/>
        <v/>
      </c>
      <c r="P1381">
        <v>0</v>
      </c>
      <c r="Q1381" t="e">
        <f t="shared" si="106"/>
        <v>#N/A</v>
      </c>
      <c r="R1381" t="e">
        <f t="shared" si="107"/>
        <v>#N/A</v>
      </c>
      <c r="S1381" s="9" t="e">
        <f t="shared" si="108"/>
        <v>#N/A</v>
      </c>
      <c r="T1381" s="3" t="e">
        <f t="shared" si="109"/>
        <v>#N/A</v>
      </c>
    </row>
    <row r="1382" spans="2:20" x14ac:dyDescent="0.35">
      <c r="B1382" t="str">
        <f>IF(NOT(ISBLANK(A1382)),VLOOKUP(A1382,'BBT3'!A:F,2,0),"")</f>
        <v/>
      </c>
      <c r="C1382" t="str">
        <f>IF(NOT(ISBLANK(A1382)),VLOOKUP(A1382,'BBT3'!A:F,3,0),"")</f>
        <v/>
      </c>
      <c r="D1382" s="6" t="str">
        <f>IF(NOT(ISBLANK(A1382)),VLOOKUP(A1382,'BBT3'!A:F,4,1),"")</f>
        <v/>
      </c>
      <c r="E1382" t="str">
        <f>IF(NOT(ISBLANK(A1382)),VLOOKUP(A1382,'BBT3'!A:F,5,0),"")</f>
        <v/>
      </c>
      <c r="F1382" t="str">
        <f>IF(NOT(ISBLANK(A1382)),VLOOKUP(A1382,'BBT3'!A:F,6,0),"")</f>
        <v/>
      </c>
      <c r="G1382" t="str">
        <f>IF(NOT(ISBLANK(A1382)),VLOOKUP(A1382,QW_Close!A:J,5,0),"")</f>
        <v/>
      </c>
      <c r="H1382" s="5" t="str" cm="1">
        <f t="array" ref="H1382">IF(NOT(ISBLANK(A1382)),((_xlfn.XLOOKUP(1,(_bbt3[[#All],[ID]]=A1382)*(_bbt3[[#All],[METRIC_NAME]]="YLD_YTM_ASK"),_bbt3[[#All],[METRIC_VALUE]])*0.5)+(_xlfn.XLOOKUP(1,(_bbt3[[#All],[ID]]=A1382)*(_bbt3[[#All],[METRIC_NAME]]="YLD_YTM_BID"),_bbt3[[#All],[METRIC_VALUE]])*0.5))/100,"")</f>
        <v/>
      </c>
      <c r="I1382">
        <f>IF(ISNA(VLOOKUP(A1382,QW_CloseDL!A:E,5,0)),0,VLOOKUP(A1382,QW_CloseDL!A:E,5,0))</f>
        <v>0</v>
      </c>
      <c r="J1382" s="8" t="str">
        <f t="shared" si="105"/>
        <v/>
      </c>
      <c r="P1382">
        <v>0</v>
      </c>
      <c r="Q1382" t="e">
        <f t="shared" si="106"/>
        <v>#N/A</v>
      </c>
      <c r="R1382" t="e">
        <f t="shared" si="107"/>
        <v>#N/A</v>
      </c>
      <c r="S1382" s="9" t="e">
        <f t="shared" si="108"/>
        <v>#N/A</v>
      </c>
      <c r="T1382" s="3" t="e">
        <f t="shared" si="109"/>
        <v>#N/A</v>
      </c>
    </row>
    <row r="1383" spans="2:20" x14ac:dyDescent="0.35">
      <c r="B1383" t="str">
        <f>IF(NOT(ISBLANK(A1383)),VLOOKUP(A1383,'BBT3'!A:F,2,0),"")</f>
        <v/>
      </c>
      <c r="C1383" t="str">
        <f>IF(NOT(ISBLANK(A1383)),VLOOKUP(A1383,'BBT3'!A:F,3,0),"")</f>
        <v/>
      </c>
      <c r="D1383" s="6" t="str">
        <f>IF(NOT(ISBLANK(A1383)),VLOOKUP(A1383,'BBT3'!A:F,4,1),"")</f>
        <v/>
      </c>
      <c r="E1383" t="str">
        <f>IF(NOT(ISBLANK(A1383)),VLOOKUP(A1383,'BBT3'!A:F,5,0),"")</f>
        <v/>
      </c>
      <c r="F1383" t="str">
        <f>IF(NOT(ISBLANK(A1383)),VLOOKUP(A1383,'BBT3'!A:F,6,0),"")</f>
        <v/>
      </c>
      <c r="G1383" t="str">
        <f>IF(NOT(ISBLANK(A1383)),VLOOKUP(A1383,QW_Close!A:J,5,0),"")</f>
        <v/>
      </c>
      <c r="H1383" s="5" t="str" cm="1">
        <f t="array" ref="H1383">IF(NOT(ISBLANK(A1383)),((_xlfn.XLOOKUP(1,(_bbt3[[#All],[ID]]=A1383)*(_bbt3[[#All],[METRIC_NAME]]="YLD_YTM_ASK"),_bbt3[[#All],[METRIC_VALUE]])*0.5)+(_xlfn.XLOOKUP(1,(_bbt3[[#All],[ID]]=A1383)*(_bbt3[[#All],[METRIC_NAME]]="YLD_YTM_BID"),_bbt3[[#All],[METRIC_VALUE]])*0.5))/100,"")</f>
        <v/>
      </c>
      <c r="I1383">
        <f>IF(ISNA(VLOOKUP(A1383,QW_CloseDL!A:E,5,0)),0,VLOOKUP(A1383,QW_CloseDL!A:E,5,0))</f>
        <v>0</v>
      </c>
      <c r="J1383" s="8" t="str">
        <f t="shared" si="105"/>
        <v/>
      </c>
      <c r="P1383">
        <v>0</v>
      </c>
      <c r="Q1383" t="e">
        <f t="shared" si="106"/>
        <v>#N/A</v>
      </c>
      <c r="R1383" t="e">
        <f t="shared" si="107"/>
        <v>#N/A</v>
      </c>
      <c r="S1383" s="9" t="e">
        <f t="shared" si="108"/>
        <v>#N/A</v>
      </c>
      <c r="T1383" s="3" t="e">
        <f t="shared" si="109"/>
        <v>#N/A</v>
      </c>
    </row>
    <row r="1384" spans="2:20" x14ac:dyDescent="0.35">
      <c r="B1384" t="str">
        <f>IF(NOT(ISBLANK(A1384)),VLOOKUP(A1384,'BBT3'!A:F,2,0),"")</f>
        <v/>
      </c>
      <c r="C1384" t="str">
        <f>IF(NOT(ISBLANK(A1384)),VLOOKUP(A1384,'BBT3'!A:F,3,0),"")</f>
        <v/>
      </c>
      <c r="D1384" s="6" t="str">
        <f>IF(NOT(ISBLANK(A1384)),VLOOKUP(A1384,'BBT3'!A:F,4,1),"")</f>
        <v/>
      </c>
      <c r="E1384" t="str">
        <f>IF(NOT(ISBLANK(A1384)),VLOOKUP(A1384,'BBT3'!A:F,5,0),"")</f>
        <v/>
      </c>
      <c r="F1384" t="str">
        <f>IF(NOT(ISBLANK(A1384)),VLOOKUP(A1384,'BBT3'!A:F,6,0),"")</f>
        <v/>
      </c>
      <c r="G1384" t="str">
        <f>IF(NOT(ISBLANK(A1384)),VLOOKUP(A1384,QW_Close!A:J,5,0),"")</f>
        <v/>
      </c>
      <c r="H1384" s="5" t="str" cm="1">
        <f t="array" ref="H1384">IF(NOT(ISBLANK(A1384)),((_xlfn.XLOOKUP(1,(_bbt3[[#All],[ID]]=A1384)*(_bbt3[[#All],[METRIC_NAME]]="YLD_YTM_ASK"),_bbt3[[#All],[METRIC_VALUE]])*0.5)+(_xlfn.XLOOKUP(1,(_bbt3[[#All],[ID]]=A1384)*(_bbt3[[#All],[METRIC_NAME]]="YLD_YTM_BID"),_bbt3[[#All],[METRIC_VALUE]])*0.5))/100,"")</f>
        <v/>
      </c>
      <c r="I1384">
        <f>IF(ISNA(VLOOKUP(A1384,QW_CloseDL!A:E,5,0)),0,VLOOKUP(A1384,QW_CloseDL!A:E,5,0))</f>
        <v>0</v>
      </c>
      <c r="J1384" s="8" t="str">
        <f t="shared" si="105"/>
        <v/>
      </c>
      <c r="P1384">
        <v>0</v>
      </c>
      <c r="Q1384" t="e">
        <f t="shared" si="106"/>
        <v>#N/A</v>
      </c>
      <c r="R1384" t="e">
        <f t="shared" si="107"/>
        <v>#N/A</v>
      </c>
      <c r="S1384" s="9" t="e">
        <f t="shared" si="108"/>
        <v>#N/A</v>
      </c>
      <c r="T1384" s="3" t="e">
        <f t="shared" si="109"/>
        <v>#N/A</v>
      </c>
    </row>
    <row r="1385" spans="2:20" x14ac:dyDescent="0.35">
      <c r="B1385" t="str">
        <f>IF(NOT(ISBLANK(A1385)),VLOOKUP(A1385,'BBT3'!A:F,2,0),"")</f>
        <v/>
      </c>
      <c r="C1385" t="str">
        <f>IF(NOT(ISBLANK(A1385)),VLOOKUP(A1385,'BBT3'!A:F,3,0),"")</f>
        <v/>
      </c>
      <c r="D1385" s="6" t="str">
        <f>IF(NOT(ISBLANK(A1385)),VLOOKUP(A1385,'BBT3'!A:F,4,1),"")</f>
        <v/>
      </c>
      <c r="E1385" t="str">
        <f>IF(NOT(ISBLANK(A1385)),VLOOKUP(A1385,'BBT3'!A:F,5,0),"")</f>
        <v/>
      </c>
      <c r="F1385" t="str">
        <f>IF(NOT(ISBLANK(A1385)),VLOOKUP(A1385,'BBT3'!A:F,6,0),"")</f>
        <v/>
      </c>
      <c r="G1385" t="str">
        <f>IF(NOT(ISBLANK(A1385)),VLOOKUP(A1385,QW_Close!A:J,5,0),"")</f>
        <v/>
      </c>
      <c r="H1385" s="5" t="str" cm="1">
        <f t="array" ref="H1385">IF(NOT(ISBLANK(A1385)),((_xlfn.XLOOKUP(1,(_bbt3[[#All],[ID]]=A1385)*(_bbt3[[#All],[METRIC_NAME]]="YLD_YTM_ASK"),_bbt3[[#All],[METRIC_VALUE]])*0.5)+(_xlfn.XLOOKUP(1,(_bbt3[[#All],[ID]]=A1385)*(_bbt3[[#All],[METRIC_NAME]]="YLD_YTM_BID"),_bbt3[[#All],[METRIC_VALUE]])*0.5))/100,"")</f>
        <v/>
      </c>
      <c r="I1385">
        <f>IF(ISNA(VLOOKUP(A1385,QW_CloseDL!A:E,5,0)),0,VLOOKUP(A1385,QW_CloseDL!A:E,5,0))</f>
        <v>0</v>
      </c>
      <c r="J1385" s="8" t="str">
        <f t="shared" si="105"/>
        <v/>
      </c>
      <c r="P1385">
        <v>0</v>
      </c>
      <c r="Q1385" t="e">
        <f t="shared" si="106"/>
        <v>#N/A</v>
      </c>
      <c r="R1385" t="e">
        <f t="shared" si="107"/>
        <v>#N/A</v>
      </c>
      <c r="S1385" s="9" t="e">
        <f t="shared" si="108"/>
        <v>#N/A</v>
      </c>
      <c r="T1385" s="3" t="e">
        <f t="shared" si="109"/>
        <v>#N/A</v>
      </c>
    </row>
    <row r="1386" spans="2:20" x14ac:dyDescent="0.35">
      <c r="B1386" t="str">
        <f>IF(NOT(ISBLANK(A1386)),VLOOKUP(A1386,'BBT3'!A:F,2,0),"")</f>
        <v/>
      </c>
      <c r="C1386" t="str">
        <f>IF(NOT(ISBLANK(A1386)),VLOOKUP(A1386,'BBT3'!A:F,3,0),"")</f>
        <v/>
      </c>
      <c r="D1386" s="6" t="str">
        <f>IF(NOT(ISBLANK(A1386)),VLOOKUP(A1386,'BBT3'!A:F,4,1),"")</f>
        <v/>
      </c>
      <c r="E1386" t="str">
        <f>IF(NOT(ISBLANK(A1386)),VLOOKUP(A1386,'BBT3'!A:F,5,0),"")</f>
        <v/>
      </c>
      <c r="F1386" t="str">
        <f>IF(NOT(ISBLANK(A1386)),VLOOKUP(A1386,'BBT3'!A:F,6,0),"")</f>
        <v/>
      </c>
      <c r="G1386" t="str">
        <f>IF(NOT(ISBLANK(A1386)),VLOOKUP(A1386,QW_Close!A:J,5,0),"")</f>
        <v/>
      </c>
      <c r="H1386" s="5" t="str" cm="1">
        <f t="array" ref="H1386">IF(NOT(ISBLANK(A1386)),((_xlfn.XLOOKUP(1,(_bbt3[[#All],[ID]]=A1386)*(_bbt3[[#All],[METRIC_NAME]]="YLD_YTM_ASK"),_bbt3[[#All],[METRIC_VALUE]])*0.5)+(_xlfn.XLOOKUP(1,(_bbt3[[#All],[ID]]=A1386)*(_bbt3[[#All],[METRIC_NAME]]="YLD_YTM_BID"),_bbt3[[#All],[METRIC_VALUE]])*0.5))/100,"")</f>
        <v/>
      </c>
      <c r="I1386">
        <f>IF(ISNA(VLOOKUP(A1386,QW_CloseDL!A:E,5,0)),0,VLOOKUP(A1386,QW_CloseDL!A:E,5,0))</f>
        <v>0</v>
      </c>
      <c r="J1386" s="8" t="str">
        <f t="shared" si="105"/>
        <v/>
      </c>
      <c r="P1386">
        <v>0</v>
      </c>
      <c r="Q1386" t="e">
        <f t="shared" si="106"/>
        <v>#N/A</v>
      </c>
      <c r="R1386" t="e">
        <f t="shared" si="107"/>
        <v>#N/A</v>
      </c>
      <c r="S1386" s="9" t="e">
        <f t="shared" si="108"/>
        <v>#N/A</v>
      </c>
      <c r="T1386" s="3" t="e">
        <f t="shared" si="109"/>
        <v>#N/A</v>
      </c>
    </row>
    <row r="1387" spans="2:20" x14ac:dyDescent="0.35">
      <c r="B1387" t="str">
        <f>IF(NOT(ISBLANK(A1387)),VLOOKUP(A1387,'BBT3'!A:F,2,0),"")</f>
        <v/>
      </c>
      <c r="C1387" t="str">
        <f>IF(NOT(ISBLANK(A1387)),VLOOKUP(A1387,'BBT3'!A:F,3,0),"")</f>
        <v/>
      </c>
      <c r="D1387" s="6" t="str">
        <f>IF(NOT(ISBLANK(A1387)),VLOOKUP(A1387,'BBT3'!A:F,4,1),"")</f>
        <v/>
      </c>
      <c r="E1387" t="str">
        <f>IF(NOT(ISBLANK(A1387)),VLOOKUP(A1387,'BBT3'!A:F,5,0),"")</f>
        <v/>
      </c>
      <c r="F1387" t="str">
        <f>IF(NOT(ISBLANK(A1387)),VLOOKUP(A1387,'BBT3'!A:F,6,0),"")</f>
        <v/>
      </c>
      <c r="G1387" t="str">
        <f>IF(NOT(ISBLANK(A1387)),VLOOKUP(A1387,QW_Close!A:J,5,0),"")</f>
        <v/>
      </c>
      <c r="H1387" s="5" t="str" cm="1">
        <f t="array" ref="H1387">IF(NOT(ISBLANK(A1387)),((_xlfn.XLOOKUP(1,(_bbt3[[#All],[ID]]=A1387)*(_bbt3[[#All],[METRIC_NAME]]="YLD_YTM_ASK"),_bbt3[[#All],[METRIC_VALUE]])*0.5)+(_xlfn.XLOOKUP(1,(_bbt3[[#All],[ID]]=A1387)*(_bbt3[[#All],[METRIC_NAME]]="YLD_YTM_BID"),_bbt3[[#All],[METRIC_VALUE]])*0.5))/100,"")</f>
        <v/>
      </c>
      <c r="I1387">
        <f>IF(ISNA(VLOOKUP(A1387,QW_CloseDL!A:E,5,0)),0,VLOOKUP(A1387,QW_CloseDL!A:E,5,0))</f>
        <v>0</v>
      </c>
      <c r="J1387" s="8" t="str">
        <f t="shared" si="105"/>
        <v/>
      </c>
      <c r="P1387">
        <v>0</v>
      </c>
      <c r="Q1387" t="e">
        <f t="shared" si="106"/>
        <v>#N/A</v>
      </c>
      <c r="R1387" t="e">
        <f t="shared" si="107"/>
        <v>#N/A</v>
      </c>
      <c r="S1387" s="9" t="e">
        <f t="shared" si="108"/>
        <v>#N/A</v>
      </c>
      <c r="T1387" s="3" t="e">
        <f t="shared" si="109"/>
        <v>#N/A</v>
      </c>
    </row>
    <row r="1388" spans="2:20" x14ac:dyDescent="0.35">
      <c r="B1388" t="str">
        <f>IF(NOT(ISBLANK(A1388)),VLOOKUP(A1388,'BBT3'!A:F,2,0),"")</f>
        <v/>
      </c>
      <c r="C1388" t="str">
        <f>IF(NOT(ISBLANK(A1388)),VLOOKUP(A1388,'BBT3'!A:F,3,0),"")</f>
        <v/>
      </c>
      <c r="D1388" s="6" t="str">
        <f>IF(NOT(ISBLANK(A1388)),VLOOKUP(A1388,'BBT3'!A:F,4,1),"")</f>
        <v/>
      </c>
      <c r="E1388" t="str">
        <f>IF(NOT(ISBLANK(A1388)),VLOOKUP(A1388,'BBT3'!A:F,5,0),"")</f>
        <v/>
      </c>
      <c r="F1388" t="str">
        <f>IF(NOT(ISBLANK(A1388)),VLOOKUP(A1388,'BBT3'!A:F,6,0),"")</f>
        <v/>
      </c>
      <c r="G1388" t="str">
        <f>IF(NOT(ISBLANK(A1388)),VLOOKUP(A1388,QW_Close!A:J,5,0),"")</f>
        <v/>
      </c>
      <c r="H1388" s="5" t="str" cm="1">
        <f t="array" ref="H1388">IF(NOT(ISBLANK(A1388)),((_xlfn.XLOOKUP(1,(_bbt3[[#All],[ID]]=A1388)*(_bbt3[[#All],[METRIC_NAME]]="YLD_YTM_ASK"),_bbt3[[#All],[METRIC_VALUE]])*0.5)+(_xlfn.XLOOKUP(1,(_bbt3[[#All],[ID]]=A1388)*(_bbt3[[#All],[METRIC_NAME]]="YLD_YTM_BID"),_bbt3[[#All],[METRIC_VALUE]])*0.5))/100,"")</f>
        <v/>
      </c>
      <c r="I1388">
        <f>IF(ISNA(VLOOKUP(A1388,QW_CloseDL!A:E,5,0)),0,VLOOKUP(A1388,QW_CloseDL!A:E,5,0))</f>
        <v>0</v>
      </c>
      <c r="J1388" s="8" t="str">
        <f t="shared" si="105"/>
        <v/>
      </c>
      <c r="P1388">
        <v>0</v>
      </c>
      <c r="Q1388" t="e">
        <f t="shared" si="106"/>
        <v>#N/A</v>
      </c>
      <c r="R1388" t="e">
        <f t="shared" si="107"/>
        <v>#N/A</v>
      </c>
      <c r="S1388" s="9" t="e">
        <f t="shared" si="108"/>
        <v>#N/A</v>
      </c>
      <c r="T1388" s="3" t="e">
        <f t="shared" si="109"/>
        <v>#N/A</v>
      </c>
    </row>
    <row r="1389" spans="2:20" x14ac:dyDescent="0.35">
      <c r="B1389" t="str">
        <f>IF(NOT(ISBLANK(A1389)),VLOOKUP(A1389,'BBT3'!A:F,2,0),"")</f>
        <v/>
      </c>
      <c r="C1389" t="str">
        <f>IF(NOT(ISBLANK(A1389)),VLOOKUP(A1389,'BBT3'!A:F,3,0),"")</f>
        <v/>
      </c>
      <c r="D1389" s="6" t="str">
        <f>IF(NOT(ISBLANK(A1389)),VLOOKUP(A1389,'BBT3'!A:F,4,1),"")</f>
        <v/>
      </c>
      <c r="E1389" t="str">
        <f>IF(NOT(ISBLANK(A1389)),VLOOKUP(A1389,'BBT3'!A:F,5,0),"")</f>
        <v/>
      </c>
      <c r="F1389" t="str">
        <f>IF(NOT(ISBLANK(A1389)),VLOOKUP(A1389,'BBT3'!A:F,6,0),"")</f>
        <v/>
      </c>
      <c r="G1389" t="str">
        <f>IF(NOT(ISBLANK(A1389)),VLOOKUP(A1389,QW_Close!A:J,5,0),"")</f>
        <v/>
      </c>
      <c r="H1389" s="5" t="str" cm="1">
        <f t="array" ref="H1389">IF(NOT(ISBLANK(A1389)),((_xlfn.XLOOKUP(1,(_bbt3[[#All],[ID]]=A1389)*(_bbt3[[#All],[METRIC_NAME]]="YLD_YTM_ASK"),_bbt3[[#All],[METRIC_VALUE]])*0.5)+(_xlfn.XLOOKUP(1,(_bbt3[[#All],[ID]]=A1389)*(_bbt3[[#All],[METRIC_NAME]]="YLD_YTM_BID"),_bbt3[[#All],[METRIC_VALUE]])*0.5))/100,"")</f>
        <v/>
      </c>
      <c r="I1389">
        <f>IF(ISNA(VLOOKUP(A1389,QW_CloseDL!A:E,5,0)),0,VLOOKUP(A1389,QW_CloseDL!A:E,5,0))</f>
        <v>0</v>
      </c>
      <c r="J1389" s="8" t="str">
        <f t="shared" si="105"/>
        <v/>
      </c>
      <c r="P1389">
        <v>0</v>
      </c>
      <c r="Q1389" t="e">
        <f t="shared" si="106"/>
        <v>#N/A</v>
      </c>
      <c r="R1389" t="e">
        <f t="shared" si="107"/>
        <v>#N/A</v>
      </c>
      <c r="S1389" s="9" t="e">
        <f t="shared" si="108"/>
        <v>#N/A</v>
      </c>
      <c r="T1389" s="3" t="e">
        <f t="shared" si="109"/>
        <v>#N/A</v>
      </c>
    </row>
    <row r="1390" spans="2:20" x14ac:dyDescent="0.35">
      <c r="B1390" t="str">
        <f>IF(NOT(ISBLANK(A1390)),VLOOKUP(A1390,'BBT3'!A:F,2,0),"")</f>
        <v/>
      </c>
      <c r="C1390" t="str">
        <f>IF(NOT(ISBLANK(A1390)),VLOOKUP(A1390,'BBT3'!A:F,3,0),"")</f>
        <v/>
      </c>
      <c r="D1390" s="6" t="str">
        <f>IF(NOT(ISBLANK(A1390)),VLOOKUP(A1390,'BBT3'!A:F,4,1),"")</f>
        <v/>
      </c>
      <c r="E1390" t="str">
        <f>IF(NOT(ISBLANK(A1390)),VLOOKUP(A1390,'BBT3'!A:F,5,0),"")</f>
        <v/>
      </c>
      <c r="F1390" t="str">
        <f>IF(NOT(ISBLANK(A1390)),VLOOKUP(A1390,'BBT3'!A:F,6,0),"")</f>
        <v/>
      </c>
      <c r="G1390" t="str">
        <f>IF(NOT(ISBLANK(A1390)),VLOOKUP(A1390,QW_Close!A:J,5,0),"")</f>
        <v/>
      </c>
      <c r="H1390" s="5" t="str" cm="1">
        <f t="array" ref="H1390">IF(NOT(ISBLANK(A1390)),((_xlfn.XLOOKUP(1,(_bbt3[[#All],[ID]]=A1390)*(_bbt3[[#All],[METRIC_NAME]]="YLD_YTM_ASK"),_bbt3[[#All],[METRIC_VALUE]])*0.5)+(_xlfn.XLOOKUP(1,(_bbt3[[#All],[ID]]=A1390)*(_bbt3[[#All],[METRIC_NAME]]="YLD_YTM_BID"),_bbt3[[#All],[METRIC_VALUE]])*0.5))/100,"")</f>
        <v/>
      </c>
      <c r="I1390">
        <f>IF(ISNA(VLOOKUP(A1390,QW_CloseDL!A:E,5,0)),0,VLOOKUP(A1390,QW_CloseDL!A:E,5,0))</f>
        <v>0</v>
      </c>
      <c r="J1390" s="8" t="str">
        <f t="shared" si="105"/>
        <v/>
      </c>
      <c r="P1390">
        <v>0</v>
      </c>
      <c r="Q1390" t="e">
        <f t="shared" si="106"/>
        <v>#N/A</v>
      </c>
      <c r="R1390" t="e">
        <f t="shared" si="107"/>
        <v>#N/A</v>
      </c>
      <c r="S1390" s="9" t="e">
        <f t="shared" si="108"/>
        <v>#N/A</v>
      </c>
      <c r="T1390" s="3" t="e">
        <f t="shared" si="109"/>
        <v>#N/A</v>
      </c>
    </row>
    <row r="1391" spans="2:20" x14ac:dyDescent="0.35">
      <c r="B1391" t="str">
        <f>IF(NOT(ISBLANK(A1391)),VLOOKUP(A1391,'BBT3'!A:F,2,0),"")</f>
        <v/>
      </c>
      <c r="C1391" t="str">
        <f>IF(NOT(ISBLANK(A1391)),VLOOKUP(A1391,'BBT3'!A:F,3,0),"")</f>
        <v/>
      </c>
      <c r="D1391" s="6" t="str">
        <f>IF(NOT(ISBLANK(A1391)),VLOOKUP(A1391,'BBT3'!A:F,4,1),"")</f>
        <v/>
      </c>
      <c r="E1391" t="str">
        <f>IF(NOT(ISBLANK(A1391)),VLOOKUP(A1391,'BBT3'!A:F,5,0),"")</f>
        <v/>
      </c>
      <c r="F1391" t="str">
        <f>IF(NOT(ISBLANK(A1391)),VLOOKUP(A1391,'BBT3'!A:F,6,0),"")</f>
        <v/>
      </c>
      <c r="G1391" t="str">
        <f>IF(NOT(ISBLANK(A1391)),VLOOKUP(A1391,QW_Close!A:J,5,0),"")</f>
        <v/>
      </c>
      <c r="H1391" s="5" t="str" cm="1">
        <f t="array" ref="H1391">IF(NOT(ISBLANK(A1391)),((_xlfn.XLOOKUP(1,(_bbt3[[#All],[ID]]=A1391)*(_bbt3[[#All],[METRIC_NAME]]="YLD_YTM_ASK"),_bbt3[[#All],[METRIC_VALUE]])*0.5)+(_xlfn.XLOOKUP(1,(_bbt3[[#All],[ID]]=A1391)*(_bbt3[[#All],[METRIC_NAME]]="YLD_YTM_BID"),_bbt3[[#All],[METRIC_VALUE]])*0.5))/100,"")</f>
        <v/>
      </c>
      <c r="I1391">
        <f>IF(ISNA(VLOOKUP(A1391,QW_CloseDL!A:E,5,0)),0,VLOOKUP(A1391,QW_CloseDL!A:E,5,0))</f>
        <v>0</v>
      </c>
      <c r="J1391" s="8" t="str">
        <f t="shared" si="105"/>
        <v/>
      </c>
      <c r="P1391">
        <v>0</v>
      </c>
      <c r="Q1391" t="e">
        <f t="shared" si="106"/>
        <v>#N/A</v>
      </c>
      <c r="R1391" t="e">
        <f t="shared" si="107"/>
        <v>#N/A</v>
      </c>
      <c r="S1391" s="9" t="e">
        <f t="shared" si="108"/>
        <v>#N/A</v>
      </c>
      <c r="T1391" s="3" t="e">
        <f t="shared" si="109"/>
        <v>#N/A</v>
      </c>
    </row>
    <row r="1392" spans="2:20" x14ac:dyDescent="0.35">
      <c r="B1392" t="str">
        <f>IF(NOT(ISBLANK(A1392)),VLOOKUP(A1392,'BBT3'!A:F,2,0),"")</f>
        <v/>
      </c>
      <c r="C1392" t="str">
        <f>IF(NOT(ISBLANK(A1392)),VLOOKUP(A1392,'BBT3'!A:F,3,0),"")</f>
        <v/>
      </c>
      <c r="D1392" s="6" t="str">
        <f>IF(NOT(ISBLANK(A1392)),VLOOKUP(A1392,'BBT3'!A:F,4,1),"")</f>
        <v/>
      </c>
      <c r="E1392" t="str">
        <f>IF(NOT(ISBLANK(A1392)),VLOOKUP(A1392,'BBT3'!A:F,5,0),"")</f>
        <v/>
      </c>
      <c r="F1392" t="str">
        <f>IF(NOT(ISBLANK(A1392)),VLOOKUP(A1392,'BBT3'!A:F,6,0),"")</f>
        <v/>
      </c>
      <c r="G1392" t="str">
        <f>IF(NOT(ISBLANK(A1392)),VLOOKUP(A1392,QW_Close!A:J,5,0),"")</f>
        <v/>
      </c>
      <c r="H1392" s="5" t="str" cm="1">
        <f t="array" ref="H1392">IF(NOT(ISBLANK(A1392)),((_xlfn.XLOOKUP(1,(_bbt3[[#All],[ID]]=A1392)*(_bbt3[[#All],[METRIC_NAME]]="YLD_YTM_ASK"),_bbt3[[#All],[METRIC_VALUE]])*0.5)+(_xlfn.XLOOKUP(1,(_bbt3[[#All],[ID]]=A1392)*(_bbt3[[#All],[METRIC_NAME]]="YLD_YTM_BID"),_bbt3[[#All],[METRIC_VALUE]])*0.5))/100,"")</f>
        <v/>
      </c>
      <c r="I1392">
        <f>IF(ISNA(VLOOKUP(A1392,QW_CloseDL!A:E,5,0)),0,VLOOKUP(A1392,QW_CloseDL!A:E,5,0))</f>
        <v>0</v>
      </c>
      <c r="J1392" s="8" t="str">
        <f t="shared" si="105"/>
        <v/>
      </c>
      <c r="P1392">
        <v>0</v>
      </c>
      <c r="Q1392" t="e">
        <f t="shared" si="106"/>
        <v>#N/A</v>
      </c>
      <c r="R1392" t="e">
        <f t="shared" si="107"/>
        <v>#N/A</v>
      </c>
      <c r="S1392" s="9" t="e">
        <f t="shared" si="108"/>
        <v>#N/A</v>
      </c>
      <c r="T1392" s="3" t="e">
        <f t="shared" si="109"/>
        <v>#N/A</v>
      </c>
    </row>
    <row r="1393" spans="2:20" x14ac:dyDescent="0.35">
      <c r="B1393" t="str">
        <f>IF(NOT(ISBLANK(A1393)),VLOOKUP(A1393,'BBT3'!A:F,2,0),"")</f>
        <v/>
      </c>
      <c r="C1393" t="str">
        <f>IF(NOT(ISBLANK(A1393)),VLOOKUP(A1393,'BBT3'!A:F,3,0),"")</f>
        <v/>
      </c>
      <c r="D1393" s="6" t="str">
        <f>IF(NOT(ISBLANK(A1393)),VLOOKUP(A1393,'BBT3'!A:F,4,1),"")</f>
        <v/>
      </c>
      <c r="E1393" t="str">
        <f>IF(NOT(ISBLANK(A1393)),VLOOKUP(A1393,'BBT3'!A:F,5,0),"")</f>
        <v/>
      </c>
      <c r="F1393" t="str">
        <f>IF(NOT(ISBLANK(A1393)),VLOOKUP(A1393,'BBT3'!A:F,6,0),"")</f>
        <v/>
      </c>
      <c r="G1393" t="str">
        <f>IF(NOT(ISBLANK(A1393)),VLOOKUP(A1393,QW_Close!A:J,5,0),"")</f>
        <v/>
      </c>
      <c r="H1393" s="5" t="str" cm="1">
        <f t="array" ref="H1393">IF(NOT(ISBLANK(A1393)),((_xlfn.XLOOKUP(1,(_bbt3[[#All],[ID]]=A1393)*(_bbt3[[#All],[METRIC_NAME]]="YLD_YTM_ASK"),_bbt3[[#All],[METRIC_VALUE]])*0.5)+(_xlfn.XLOOKUP(1,(_bbt3[[#All],[ID]]=A1393)*(_bbt3[[#All],[METRIC_NAME]]="YLD_YTM_BID"),_bbt3[[#All],[METRIC_VALUE]])*0.5))/100,"")</f>
        <v/>
      </c>
      <c r="I1393">
        <f>IF(ISNA(VLOOKUP(A1393,QW_CloseDL!A:E,5,0)),0,VLOOKUP(A1393,QW_CloseDL!A:E,5,0))</f>
        <v>0</v>
      </c>
      <c r="J1393" s="8" t="str">
        <f t="shared" si="105"/>
        <v/>
      </c>
      <c r="P1393">
        <v>0</v>
      </c>
      <c r="Q1393" t="e">
        <f t="shared" si="106"/>
        <v>#N/A</v>
      </c>
      <c r="R1393" t="e">
        <f t="shared" si="107"/>
        <v>#N/A</v>
      </c>
      <c r="S1393" s="9" t="e">
        <f t="shared" si="108"/>
        <v>#N/A</v>
      </c>
      <c r="T1393" s="3" t="e">
        <f t="shared" si="109"/>
        <v>#N/A</v>
      </c>
    </row>
    <row r="1394" spans="2:20" x14ac:dyDescent="0.35">
      <c r="B1394" t="str">
        <f>IF(NOT(ISBLANK(A1394)),VLOOKUP(A1394,'BBT3'!A:F,2,0),"")</f>
        <v/>
      </c>
      <c r="C1394" t="str">
        <f>IF(NOT(ISBLANK(A1394)),VLOOKUP(A1394,'BBT3'!A:F,3,0),"")</f>
        <v/>
      </c>
      <c r="D1394" s="6" t="str">
        <f>IF(NOT(ISBLANK(A1394)),VLOOKUP(A1394,'BBT3'!A:F,4,1),"")</f>
        <v/>
      </c>
      <c r="E1394" t="str">
        <f>IF(NOT(ISBLANK(A1394)),VLOOKUP(A1394,'BBT3'!A:F,5,0),"")</f>
        <v/>
      </c>
      <c r="F1394" t="str">
        <f>IF(NOT(ISBLANK(A1394)),VLOOKUP(A1394,'BBT3'!A:F,6,0),"")</f>
        <v/>
      </c>
      <c r="G1394" t="str">
        <f>IF(NOT(ISBLANK(A1394)),VLOOKUP(A1394,QW_Close!A:J,5,0),"")</f>
        <v/>
      </c>
      <c r="H1394" s="5" t="str" cm="1">
        <f t="array" ref="H1394">IF(NOT(ISBLANK(A1394)),((_xlfn.XLOOKUP(1,(_bbt3[[#All],[ID]]=A1394)*(_bbt3[[#All],[METRIC_NAME]]="YLD_YTM_ASK"),_bbt3[[#All],[METRIC_VALUE]])*0.5)+(_xlfn.XLOOKUP(1,(_bbt3[[#All],[ID]]=A1394)*(_bbt3[[#All],[METRIC_NAME]]="YLD_YTM_BID"),_bbt3[[#All],[METRIC_VALUE]])*0.5))/100,"")</f>
        <v/>
      </c>
      <c r="I1394">
        <f>IF(ISNA(VLOOKUP(A1394,QW_CloseDL!A:E,5,0)),0,VLOOKUP(A1394,QW_CloseDL!A:E,5,0))</f>
        <v>0</v>
      </c>
      <c r="J1394" s="8" t="str">
        <f t="shared" si="105"/>
        <v/>
      </c>
      <c r="P1394">
        <v>0</v>
      </c>
      <c r="Q1394" t="e">
        <f t="shared" si="106"/>
        <v>#N/A</v>
      </c>
      <c r="R1394" t="e">
        <f t="shared" si="107"/>
        <v>#N/A</v>
      </c>
      <c r="S1394" s="9" t="e">
        <f t="shared" si="108"/>
        <v>#N/A</v>
      </c>
      <c r="T1394" s="3" t="e">
        <f t="shared" si="109"/>
        <v>#N/A</v>
      </c>
    </row>
    <row r="1395" spans="2:20" x14ac:dyDescent="0.35">
      <c r="B1395" t="str">
        <f>IF(NOT(ISBLANK(A1395)),VLOOKUP(A1395,'BBT3'!A:F,2,0),"")</f>
        <v/>
      </c>
      <c r="C1395" t="str">
        <f>IF(NOT(ISBLANK(A1395)),VLOOKUP(A1395,'BBT3'!A:F,3,0),"")</f>
        <v/>
      </c>
      <c r="D1395" s="6" t="str">
        <f>IF(NOT(ISBLANK(A1395)),VLOOKUP(A1395,'BBT3'!A:F,4,1),"")</f>
        <v/>
      </c>
      <c r="E1395" t="str">
        <f>IF(NOT(ISBLANK(A1395)),VLOOKUP(A1395,'BBT3'!A:F,5,0),"")</f>
        <v/>
      </c>
      <c r="F1395" t="str">
        <f>IF(NOT(ISBLANK(A1395)),VLOOKUP(A1395,'BBT3'!A:F,6,0),"")</f>
        <v/>
      </c>
      <c r="G1395" t="str">
        <f>IF(NOT(ISBLANK(A1395)),VLOOKUP(A1395,QW_Close!A:J,5,0),"")</f>
        <v/>
      </c>
      <c r="H1395" s="5" t="str" cm="1">
        <f t="array" ref="H1395">IF(NOT(ISBLANK(A1395)),((_xlfn.XLOOKUP(1,(_bbt3[[#All],[ID]]=A1395)*(_bbt3[[#All],[METRIC_NAME]]="YLD_YTM_ASK"),_bbt3[[#All],[METRIC_VALUE]])*0.5)+(_xlfn.XLOOKUP(1,(_bbt3[[#All],[ID]]=A1395)*(_bbt3[[#All],[METRIC_NAME]]="YLD_YTM_BID"),_bbt3[[#All],[METRIC_VALUE]])*0.5))/100,"")</f>
        <v/>
      </c>
      <c r="I1395">
        <f>IF(ISNA(VLOOKUP(A1395,QW_CloseDL!A:E,5,0)),0,VLOOKUP(A1395,QW_CloseDL!A:E,5,0))</f>
        <v>0</v>
      </c>
      <c r="J1395" s="8" t="str">
        <f t="shared" si="105"/>
        <v/>
      </c>
      <c r="P1395">
        <v>0</v>
      </c>
      <c r="Q1395" t="e">
        <f t="shared" si="106"/>
        <v>#N/A</v>
      </c>
      <c r="R1395" t="e">
        <f t="shared" si="107"/>
        <v>#N/A</v>
      </c>
      <c r="S1395" s="9" t="e">
        <f t="shared" si="108"/>
        <v>#N/A</v>
      </c>
      <c r="T1395" s="3" t="e">
        <f t="shared" si="109"/>
        <v>#N/A</v>
      </c>
    </row>
    <row r="1396" spans="2:20" x14ac:dyDescent="0.35">
      <c r="B1396" t="str">
        <f>IF(NOT(ISBLANK(A1396)),VLOOKUP(A1396,'BBT3'!A:F,2,0),"")</f>
        <v/>
      </c>
      <c r="C1396" t="str">
        <f>IF(NOT(ISBLANK(A1396)),VLOOKUP(A1396,'BBT3'!A:F,3,0),"")</f>
        <v/>
      </c>
      <c r="D1396" s="6" t="str">
        <f>IF(NOT(ISBLANK(A1396)),VLOOKUP(A1396,'BBT3'!A:F,4,1),"")</f>
        <v/>
      </c>
      <c r="E1396" t="str">
        <f>IF(NOT(ISBLANK(A1396)),VLOOKUP(A1396,'BBT3'!A:F,5,0),"")</f>
        <v/>
      </c>
      <c r="F1396" t="str">
        <f>IF(NOT(ISBLANK(A1396)),VLOOKUP(A1396,'BBT3'!A:F,6,0),"")</f>
        <v/>
      </c>
      <c r="G1396" t="str">
        <f>IF(NOT(ISBLANK(A1396)),VLOOKUP(A1396,QW_Close!A:J,5,0),"")</f>
        <v/>
      </c>
      <c r="H1396" s="5" t="str" cm="1">
        <f t="array" ref="H1396">IF(NOT(ISBLANK(A1396)),((_xlfn.XLOOKUP(1,(_bbt3[[#All],[ID]]=A1396)*(_bbt3[[#All],[METRIC_NAME]]="YLD_YTM_ASK"),_bbt3[[#All],[METRIC_VALUE]])*0.5)+(_xlfn.XLOOKUP(1,(_bbt3[[#All],[ID]]=A1396)*(_bbt3[[#All],[METRIC_NAME]]="YLD_YTM_BID"),_bbt3[[#All],[METRIC_VALUE]])*0.5))/100,"")</f>
        <v/>
      </c>
      <c r="I1396">
        <f>IF(ISNA(VLOOKUP(A1396,QW_CloseDL!A:E,5,0)),0,VLOOKUP(A1396,QW_CloseDL!A:E,5,0))</f>
        <v>0</v>
      </c>
      <c r="J1396" s="8" t="str">
        <f t="shared" si="105"/>
        <v/>
      </c>
      <c r="P1396">
        <v>0</v>
      </c>
      <c r="Q1396" t="e">
        <f t="shared" si="106"/>
        <v>#N/A</v>
      </c>
      <c r="R1396" t="e">
        <f t="shared" si="107"/>
        <v>#N/A</v>
      </c>
      <c r="S1396" s="9" t="e">
        <f t="shared" si="108"/>
        <v>#N/A</v>
      </c>
      <c r="T1396" s="3" t="e">
        <f t="shared" si="109"/>
        <v>#N/A</v>
      </c>
    </row>
    <row r="1397" spans="2:20" x14ac:dyDescent="0.35">
      <c r="B1397" t="str">
        <f>IF(NOT(ISBLANK(A1397)),VLOOKUP(A1397,'BBT3'!A:F,2,0),"")</f>
        <v/>
      </c>
      <c r="C1397" t="str">
        <f>IF(NOT(ISBLANK(A1397)),VLOOKUP(A1397,'BBT3'!A:F,3,0),"")</f>
        <v/>
      </c>
      <c r="D1397" s="6" t="str">
        <f>IF(NOT(ISBLANK(A1397)),VLOOKUP(A1397,'BBT3'!A:F,4,1),"")</f>
        <v/>
      </c>
      <c r="E1397" t="str">
        <f>IF(NOT(ISBLANK(A1397)),VLOOKUP(A1397,'BBT3'!A:F,5,0),"")</f>
        <v/>
      </c>
      <c r="F1397" t="str">
        <f>IF(NOT(ISBLANK(A1397)),VLOOKUP(A1397,'BBT3'!A:F,6,0),"")</f>
        <v/>
      </c>
      <c r="G1397" t="str">
        <f>IF(NOT(ISBLANK(A1397)),VLOOKUP(A1397,QW_Close!A:J,5,0),"")</f>
        <v/>
      </c>
      <c r="H1397" s="5" t="str" cm="1">
        <f t="array" ref="H1397">IF(NOT(ISBLANK(A1397)),((_xlfn.XLOOKUP(1,(_bbt3[[#All],[ID]]=A1397)*(_bbt3[[#All],[METRIC_NAME]]="YLD_YTM_ASK"),_bbt3[[#All],[METRIC_VALUE]])*0.5)+(_xlfn.XLOOKUP(1,(_bbt3[[#All],[ID]]=A1397)*(_bbt3[[#All],[METRIC_NAME]]="YLD_YTM_BID"),_bbt3[[#All],[METRIC_VALUE]])*0.5))/100,"")</f>
        <v/>
      </c>
      <c r="I1397">
        <f>IF(ISNA(VLOOKUP(A1397,QW_CloseDL!A:E,5,0)),0,VLOOKUP(A1397,QW_CloseDL!A:E,5,0))</f>
        <v>0</v>
      </c>
      <c r="J1397" s="8" t="str">
        <f t="shared" si="105"/>
        <v/>
      </c>
      <c r="P1397">
        <v>0</v>
      </c>
      <c r="Q1397" t="e">
        <f t="shared" si="106"/>
        <v>#N/A</v>
      </c>
      <c r="R1397" t="e">
        <f t="shared" si="107"/>
        <v>#N/A</v>
      </c>
      <c r="S1397" s="9" t="e">
        <f t="shared" si="108"/>
        <v>#N/A</v>
      </c>
      <c r="T1397" s="3" t="e">
        <f t="shared" si="109"/>
        <v>#N/A</v>
      </c>
    </row>
    <row r="1398" spans="2:20" x14ac:dyDescent="0.35">
      <c r="B1398" t="str">
        <f>IF(NOT(ISBLANK(A1398)),VLOOKUP(A1398,'BBT3'!A:F,2,0),"")</f>
        <v/>
      </c>
      <c r="C1398" t="str">
        <f>IF(NOT(ISBLANK(A1398)),VLOOKUP(A1398,'BBT3'!A:F,3,0),"")</f>
        <v/>
      </c>
      <c r="D1398" s="6" t="str">
        <f>IF(NOT(ISBLANK(A1398)),VLOOKUP(A1398,'BBT3'!A:F,4,1),"")</f>
        <v/>
      </c>
      <c r="E1398" t="str">
        <f>IF(NOT(ISBLANK(A1398)),VLOOKUP(A1398,'BBT3'!A:F,5,0),"")</f>
        <v/>
      </c>
      <c r="F1398" t="str">
        <f>IF(NOT(ISBLANK(A1398)),VLOOKUP(A1398,'BBT3'!A:F,6,0),"")</f>
        <v/>
      </c>
      <c r="G1398" t="str">
        <f>IF(NOT(ISBLANK(A1398)),VLOOKUP(A1398,QW_Close!A:J,5,0),"")</f>
        <v/>
      </c>
      <c r="H1398" s="5" t="str" cm="1">
        <f t="array" ref="H1398">IF(NOT(ISBLANK(A1398)),((_xlfn.XLOOKUP(1,(_bbt3[[#All],[ID]]=A1398)*(_bbt3[[#All],[METRIC_NAME]]="YLD_YTM_ASK"),_bbt3[[#All],[METRIC_VALUE]])*0.5)+(_xlfn.XLOOKUP(1,(_bbt3[[#All],[ID]]=A1398)*(_bbt3[[#All],[METRIC_NAME]]="YLD_YTM_BID"),_bbt3[[#All],[METRIC_VALUE]])*0.5))/100,"")</f>
        <v/>
      </c>
      <c r="I1398">
        <f>IF(ISNA(VLOOKUP(A1398,QW_CloseDL!A:E,5,0)),0,VLOOKUP(A1398,QW_CloseDL!A:E,5,0))</f>
        <v>0</v>
      </c>
      <c r="J1398" s="8" t="str">
        <f t="shared" si="105"/>
        <v/>
      </c>
      <c r="P1398">
        <v>0</v>
      </c>
      <c r="Q1398" t="e">
        <f t="shared" si="106"/>
        <v>#N/A</v>
      </c>
      <c r="R1398" t="e">
        <f t="shared" si="107"/>
        <v>#N/A</v>
      </c>
      <c r="S1398" s="9" t="e">
        <f t="shared" si="108"/>
        <v>#N/A</v>
      </c>
      <c r="T1398" s="3" t="e">
        <f t="shared" si="109"/>
        <v>#N/A</v>
      </c>
    </row>
    <row r="1399" spans="2:20" x14ac:dyDescent="0.35">
      <c r="B1399" t="str">
        <f>IF(NOT(ISBLANK(A1399)),VLOOKUP(A1399,'BBT3'!A:F,2,0),"")</f>
        <v/>
      </c>
      <c r="C1399" t="str">
        <f>IF(NOT(ISBLANK(A1399)),VLOOKUP(A1399,'BBT3'!A:F,3,0),"")</f>
        <v/>
      </c>
      <c r="D1399" s="6" t="str">
        <f>IF(NOT(ISBLANK(A1399)),VLOOKUP(A1399,'BBT3'!A:F,4,1),"")</f>
        <v/>
      </c>
      <c r="E1399" t="str">
        <f>IF(NOT(ISBLANK(A1399)),VLOOKUP(A1399,'BBT3'!A:F,5,0),"")</f>
        <v/>
      </c>
      <c r="F1399" t="str">
        <f>IF(NOT(ISBLANK(A1399)),VLOOKUP(A1399,'BBT3'!A:F,6,0),"")</f>
        <v/>
      </c>
      <c r="G1399" t="str">
        <f>IF(NOT(ISBLANK(A1399)),VLOOKUP(A1399,QW_Close!A:J,5,0),"")</f>
        <v/>
      </c>
      <c r="H1399" s="5" t="str" cm="1">
        <f t="array" ref="H1399">IF(NOT(ISBLANK(A1399)),((_xlfn.XLOOKUP(1,(_bbt3[[#All],[ID]]=A1399)*(_bbt3[[#All],[METRIC_NAME]]="YLD_YTM_ASK"),_bbt3[[#All],[METRIC_VALUE]])*0.5)+(_xlfn.XLOOKUP(1,(_bbt3[[#All],[ID]]=A1399)*(_bbt3[[#All],[METRIC_NAME]]="YLD_YTM_BID"),_bbt3[[#All],[METRIC_VALUE]])*0.5))/100,"")</f>
        <v/>
      </c>
      <c r="I1399">
        <f>IF(ISNA(VLOOKUP(A1399,QW_CloseDL!A:E,5,0)),0,VLOOKUP(A1399,QW_CloseDL!A:E,5,0))</f>
        <v>0</v>
      </c>
      <c r="J1399" s="8" t="str">
        <f t="shared" si="105"/>
        <v/>
      </c>
      <c r="P1399">
        <v>0</v>
      </c>
      <c r="Q1399" t="e">
        <f t="shared" si="106"/>
        <v>#N/A</v>
      </c>
      <c r="R1399" t="e">
        <f t="shared" si="107"/>
        <v>#N/A</v>
      </c>
      <c r="S1399" s="9" t="e">
        <f t="shared" si="108"/>
        <v>#N/A</v>
      </c>
      <c r="T1399" s="3" t="e">
        <f t="shared" si="109"/>
        <v>#N/A</v>
      </c>
    </row>
    <row r="1400" spans="2:20" x14ac:dyDescent="0.35">
      <c r="B1400" t="str">
        <f>IF(NOT(ISBLANK(A1400)),VLOOKUP(A1400,'BBT3'!A:F,2,0),"")</f>
        <v/>
      </c>
      <c r="C1400" t="str">
        <f>IF(NOT(ISBLANK(A1400)),VLOOKUP(A1400,'BBT3'!A:F,3,0),"")</f>
        <v/>
      </c>
      <c r="D1400" s="6" t="str">
        <f>IF(NOT(ISBLANK(A1400)),VLOOKUP(A1400,'BBT3'!A:F,4,1),"")</f>
        <v/>
      </c>
      <c r="E1400" t="str">
        <f>IF(NOT(ISBLANK(A1400)),VLOOKUP(A1400,'BBT3'!A:F,5,0),"")</f>
        <v/>
      </c>
      <c r="F1400" t="str">
        <f>IF(NOT(ISBLANK(A1400)),VLOOKUP(A1400,'BBT3'!A:F,6,0),"")</f>
        <v/>
      </c>
      <c r="G1400" t="str">
        <f>IF(NOT(ISBLANK(A1400)),VLOOKUP(A1400,QW_Close!A:J,5,0),"")</f>
        <v/>
      </c>
      <c r="H1400" s="5" t="str" cm="1">
        <f t="array" ref="H1400">IF(NOT(ISBLANK(A1400)),((_xlfn.XLOOKUP(1,(_bbt3[[#All],[ID]]=A1400)*(_bbt3[[#All],[METRIC_NAME]]="YLD_YTM_ASK"),_bbt3[[#All],[METRIC_VALUE]])*0.5)+(_xlfn.XLOOKUP(1,(_bbt3[[#All],[ID]]=A1400)*(_bbt3[[#All],[METRIC_NAME]]="YLD_YTM_BID"),_bbt3[[#All],[METRIC_VALUE]])*0.5))/100,"")</f>
        <v/>
      </c>
      <c r="I1400">
        <f>IF(ISNA(VLOOKUP(A1400,QW_CloseDL!A:E,5,0)),0,VLOOKUP(A1400,QW_CloseDL!A:E,5,0))</f>
        <v>0</v>
      </c>
      <c r="J1400" s="8" t="str">
        <f t="shared" si="105"/>
        <v/>
      </c>
      <c r="P1400">
        <v>0</v>
      </c>
      <c r="Q1400" t="e">
        <f t="shared" si="106"/>
        <v>#N/A</v>
      </c>
      <c r="R1400" t="e">
        <f t="shared" si="107"/>
        <v>#N/A</v>
      </c>
      <c r="S1400" s="9" t="e">
        <f t="shared" si="108"/>
        <v>#N/A</v>
      </c>
      <c r="T1400" s="3" t="e">
        <f t="shared" si="109"/>
        <v>#N/A</v>
      </c>
    </row>
    <row r="1401" spans="2:20" x14ac:dyDescent="0.35">
      <c r="B1401" t="str">
        <f>IF(NOT(ISBLANK(A1401)),VLOOKUP(A1401,'BBT3'!A:F,2,0),"")</f>
        <v/>
      </c>
      <c r="C1401" t="str">
        <f>IF(NOT(ISBLANK(A1401)),VLOOKUP(A1401,'BBT3'!A:F,3,0),"")</f>
        <v/>
      </c>
      <c r="D1401" s="6" t="str">
        <f>IF(NOT(ISBLANK(A1401)),VLOOKUP(A1401,'BBT3'!A:F,4,1),"")</f>
        <v/>
      </c>
      <c r="E1401" t="str">
        <f>IF(NOT(ISBLANK(A1401)),VLOOKUP(A1401,'BBT3'!A:F,5,0),"")</f>
        <v/>
      </c>
      <c r="F1401" t="str">
        <f>IF(NOT(ISBLANK(A1401)),VLOOKUP(A1401,'BBT3'!A:F,6,0),"")</f>
        <v/>
      </c>
      <c r="G1401" t="str">
        <f>IF(NOT(ISBLANK(A1401)),VLOOKUP(A1401,QW_Close!A:J,5,0),"")</f>
        <v/>
      </c>
      <c r="H1401" s="5" t="str" cm="1">
        <f t="array" ref="H1401">IF(NOT(ISBLANK(A1401)),((_xlfn.XLOOKUP(1,(_bbt3[[#All],[ID]]=A1401)*(_bbt3[[#All],[METRIC_NAME]]="YLD_YTM_ASK"),_bbt3[[#All],[METRIC_VALUE]])*0.5)+(_xlfn.XLOOKUP(1,(_bbt3[[#All],[ID]]=A1401)*(_bbt3[[#All],[METRIC_NAME]]="YLD_YTM_BID"),_bbt3[[#All],[METRIC_VALUE]])*0.5))/100,"")</f>
        <v/>
      </c>
      <c r="I1401">
        <f>IF(ISNA(VLOOKUP(A1401,QW_CloseDL!A:E,5,0)),0,VLOOKUP(A1401,QW_CloseDL!A:E,5,0))</f>
        <v>0</v>
      </c>
      <c r="J1401" s="8" t="str">
        <f t="shared" si="105"/>
        <v/>
      </c>
      <c r="P1401">
        <v>0</v>
      </c>
      <c r="Q1401" t="e">
        <f t="shared" si="106"/>
        <v>#N/A</v>
      </c>
      <c r="R1401" t="e">
        <f t="shared" si="107"/>
        <v>#N/A</v>
      </c>
      <c r="S1401" s="9" t="e">
        <f t="shared" si="108"/>
        <v>#N/A</v>
      </c>
      <c r="T1401" s="3" t="e">
        <f t="shared" si="109"/>
        <v>#N/A</v>
      </c>
    </row>
    <row r="1402" spans="2:20" x14ac:dyDescent="0.35">
      <c r="B1402" t="str">
        <f>IF(NOT(ISBLANK(A1402)),VLOOKUP(A1402,'BBT3'!A:F,2,0),"")</f>
        <v/>
      </c>
      <c r="C1402" t="str">
        <f>IF(NOT(ISBLANK(A1402)),VLOOKUP(A1402,'BBT3'!A:F,3,0),"")</f>
        <v/>
      </c>
      <c r="D1402" s="6" t="str">
        <f>IF(NOT(ISBLANK(A1402)),VLOOKUP(A1402,'BBT3'!A:F,4,1),"")</f>
        <v/>
      </c>
      <c r="E1402" t="str">
        <f>IF(NOT(ISBLANK(A1402)),VLOOKUP(A1402,'BBT3'!A:F,5,0),"")</f>
        <v/>
      </c>
      <c r="F1402" t="str">
        <f>IF(NOT(ISBLANK(A1402)),VLOOKUP(A1402,'BBT3'!A:F,6,0),"")</f>
        <v/>
      </c>
      <c r="G1402" t="str">
        <f>IF(NOT(ISBLANK(A1402)),VLOOKUP(A1402,QW_Close!A:J,5,0),"")</f>
        <v/>
      </c>
      <c r="H1402" s="5" t="str" cm="1">
        <f t="array" ref="H1402">IF(NOT(ISBLANK(A1402)),((_xlfn.XLOOKUP(1,(_bbt3[[#All],[ID]]=A1402)*(_bbt3[[#All],[METRIC_NAME]]="YLD_YTM_ASK"),_bbt3[[#All],[METRIC_VALUE]])*0.5)+(_xlfn.XLOOKUP(1,(_bbt3[[#All],[ID]]=A1402)*(_bbt3[[#All],[METRIC_NAME]]="YLD_YTM_BID"),_bbt3[[#All],[METRIC_VALUE]])*0.5))/100,"")</f>
        <v/>
      </c>
      <c r="I1402">
        <f>IF(ISNA(VLOOKUP(A1402,QW_CloseDL!A:E,5,0)),0,VLOOKUP(A1402,QW_CloseDL!A:E,5,0))</f>
        <v>0</v>
      </c>
      <c r="J1402" s="8" t="str">
        <f t="shared" si="105"/>
        <v/>
      </c>
      <c r="P1402">
        <v>0</v>
      </c>
      <c r="Q1402" t="e">
        <f t="shared" si="106"/>
        <v>#N/A</v>
      </c>
      <c r="R1402" t="e">
        <f t="shared" si="107"/>
        <v>#N/A</v>
      </c>
      <c r="S1402" s="9" t="e">
        <f t="shared" si="108"/>
        <v>#N/A</v>
      </c>
      <c r="T1402" s="3" t="e">
        <f t="shared" si="109"/>
        <v>#N/A</v>
      </c>
    </row>
    <row r="1403" spans="2:20" x14ac:dyDescent="0.35">
      <c r="B1403" t="str">
        <f>IF(NOT(ISBLANK(A1403)),VLOOKUP(A1403,'BBT3'!A:F,2,0),"")</f>
        <v/>
      </c>
      <c r="C1403" t="str">
        <f>IF(NOT(ISBLANK(A1403)),VLOOKUP(A1403,'BBT3'!A:F,3,0),"")</f>
        <v/>
      </c>
      <c r="D1403" s="6" t="str">
        <f>IF(NOT(ISBLANK(A1403)),VLOOKUP(A1403,'BBT3'!A:F,4,1),"")</f>
        <v/>
      </c>
      <c r="E1403" t="str">
        <f>IF(NOT(ISBLANK(A1403)),VLOOKUP(A1403,'BBT3'!A:F,5,0),"")</f>
        <v/>
      </c>
      <c r="F1403" t="str">
        <f>IF(NOT(ISBLANK(A1403)),VLOOKUP(A1403,'BBT3'!A:F,6,0),"")</f>
        <v/>
      </c>
      <c r="G1403" t="str">
        <f>IF(NOT(ISBLANK(A1403)),VLOOKUP(A1403,QW_Close!A:J,5,0),"")</f>
        <v/>
      </c>
      <c r="H1403" s="5" t="str" cm="1">
        <f t="array" ref="H1403">IF(NOT(ISBLANK(A1403)),((_xlfn.XLOOKUP(1,(_bbt3[[#All],[ID]]=A1403)*(_bbt3[[#All],[METRIC_NAME]]="YLD_YTM_ASK"),_bbt3[[#All],[METRIC_VALUE]])*0.5)+(_xlfn.XLOOKUP(1,(_bbt3[[#All],[ID]]=A1403)*(_bbt3[[#All],[METRIC_NAME]]="YLD_YTM_BID"),_bbt3[[#All],[METRIC_VALUE]])*0.5))/100,"")</f>
        <v/>
      </c>
      <c r="I1403">
        <f>IF(ISNA(VLOOKUP(A1403,QW_CloseDL!A:E,5,0)),0,VLOOKUP(A1403,QW_CloseDL!A:E,5,0))</f>
        <v>0</v>
      </c>
      <c r="J1403" s="8" t="str">
        <f t="shared" si="105"/>
        <v/>
      </c>
      <c r="P1403">
        <v>0</v>
      </c>
      <c r="Q1403" t="e">
        <f t="shared" si="106"/>
        <v>#N/A</v>
      </c>
      <c r="R1403" t="e">
        <f t="shared" si="107"/>
        <v>#N/A</v>
      </c>
      <c r="S1403" s="9" t="e">
        <f t="shared" si="108"/>
        <v>#N/A</v>
      </c>
      <c r="T1403" s="3" t="e">
        <f t="shared" si="109"/>
        <v>#N/A</v>
      </c>
    </row>
    <row r="1404" spans="2:20" x14ac:dyDescent="0.35">
      <c r="B1404" t="str">
        <f>IF(NOT(ISBLANK(A1404)),VLOOKUP(A1404,'BBT3'!A:F,2,0),"")</f>
        <v/>
      </c>
      <c r="C1404" t="str">
        <f>IF(NOT(ISBLANK(A1404)),VLOOKUP(A1404,'BBT3'!A:F,3,0),"")</f>
        <v/>
      </c>
      <c r="D1404" s="6" t="str">
        <f>IF(NOT(ISBLANK(A1404)),VLOOKUP(A1404,'BBT3'!A:F,4,1),"")</f>
        <v/>
      </c>
      <c r="E1404" t="str">
        <f>IF(NOT(ISBLANK(A1404)),VLOOKUP(A1404,'BBT3'!A:F,5,0),"")</f>
        <v/>
      </c>
      <c r="F1404" t="str">
        <f>IF(NOT(ISBLANK(A1404)),VLOOKUP(A1404,'BBT3'!A:F,6,0),"")</f>
        <v/>
      </c>
      <c r="G1404" t="str">
        <f>IF(NOT(ISBLANK(A1404)),VLOOKUP(A1404,QW_Close!A:J,5,0),"")</f>
        <v/>
      </c>
      <c r="H1404" s="5" t="str" cm="1">
        <f t="array" ref="H1404">IF(NOT(ISBLANK(A1404)),((_xlfn.XLOOKUP(1,(_bbt3[[#All],[ID]]=A1404)*(_bbt3[[#All],[METRIC_NAME]]="YLD_YTM_ASK"),_bbt3[[#All],[METRIC_VALUE]])*0.5)+(_xlfn.XLOOKUP(1,(_bbt3[[#All],[ID]]=A1404)*(_bbt3[[#All],[METRIC_NAME]]="YLD_YTM_BID"),_bbt3[[#All],[METRIC_VALUE]])*0.5))/100,"")</f>
        <v/>
      </c>
      <c r="I1404">
        <f>IF(ISNA(VLOOKUP(A1404,QW_CloseDL!A:E,5,0)),0,VLOOKUP(A1404,QW_CloseDL!A:E,5,0))</f>
        <v>0</v>
      </c>
      <c r="J1404" s="8" t="str">
        <f t="shared" si="105"/>
        <v/>
      </c>
      <c r="P1404">
        <v>0</v>
      </c>
      <c r="Q1404" t="e">
        <f t="shared" si="106"/>
        <v>#N/A</v>
      </c>
      <c r="R1404" t="e">
        <f t="shared" si="107"/>
        <v>#N/A</v>
      </c>
      <c r="S1404" s="9" t="e">
        <f t="shared" si="108"/>
        <v>#N/A</v>
      </c>
      <c r="T1404" s="3" t="e">
        <f t="shared" si="109"/>
        <v>#N/A</v>
      </c>
    </row>
    <row r="1405" spans="2:20" x14ac:dyDescent="0.35">
      <c r="B1405" t="str">
        <f>IF(NOT(ISBLANK(A1405)),VLOOKUP(A1405,'BBT3'!A:F,2,0),"")</f>
        <v/>
      </c>
      <c r="C1405" t="str">
        <f>IF(NOT(ISBLANK(A1405)),VLOOKUP(A1405,'BBT3'!A:F,3,0),"")</f>
        <v/>
      </c>
      <c r="D1405" s="6" t="str">
        <f>IF(NOT(ISBLANK(A1405)),VLOOKUP(A1405,'BBT3'!A:F,4,1),"")</f>
        <v/>
      </c>
      <c r="E1405" t="str">
        <f>IF(NOT(ISBLANK(A1405)),VLOOKUP(A1405,'BBT3'!A:F,5,0),"")</f>
        <v/>
      </c>
      <c r="F1405" t="str">
        <f>IF(NOT(ISBLANK(A1405)),VLOOKUP(A1405,'BBT3'!A:F,6,0),"")</f>
        <v/>
      </c>
      <c r="G1405" t="str">
        <f>IF(NOT(ISBLANK(A1405)),VLOOKUP(A1405,QW_Close!A:J,5,0),"")</f>
        <v/>
      </c>
      <c r="H1405" s="5" t="str" cm="1">
        <f t="array" ref="H1405">IF(NOT(ISBLANK(A1405)),((_xlfn.XLOOKUP(1,(_bbt3[[#All],[ID]]=A1405)*(_bbt3[[#All],[METRIC_NAME]]="YLD_YTM_ASK"),_bbt3[[#All],[METRIC_VALUE]])*0.5)+(_xlfn.XLOOKUP(1,(_bbt3[[#All],[ID]]=A1405)*(_bbt3[[#All],[METRIC_NAME]]="YLD_YTM_BID"),_bbt3[[#All],[METRIC_VALUE]])*0.5))/100,"")</f>
        <v/>
      </c>
      <c r="I1405">
        <f>IF(ISNA(VLOOKUP(A1405,QW_CloseDL!A:E,5,0)),0,VLOOKUP(A1405,QW_CloseDL!A:E,5,0))</f>
        <v>0</v>
      </c>
      <c r="J1405" s="8" t="str">
        <f t="shared" si="105"/>
        <v/>
      </c>
      <c r="P1405">
        <v>0</v>
      </c>
      <c r="Q1405" t="e">
        <f t="shared" si="106"/>
        <v>#N/A</v>
      </c>
      <c r="R1405" t="e">
        <f t="shared" si="107"/>
        <v>#N/A</v>
      </c>
      <c r="S1405" s="9" t="e">
        <f t="shared" si="108"/>
        <v>#N/A</v>
      </c>
      <c r="T1405" s="3" t="e">
        <f t="shared" si="109"/>
        <v>#N/A</v>
      </c>
    </row>
    <row r="1406" spans="2:20" x14ac:dyDescent="0.35">
      <c r="B1406" t="str">
        <f>IF(NOT(ISBLANK(A1406)),VLOOKUP(A1406,'BBT3'!A:F,2,0),"")</f>
        <v/>
      </c>
      <c r="C1406" t="str">
        <f>IF(NOT(ISBLANK(A1406)),VLOOKUP(A1406,'BBT3'!A:F,3,0),"")</f>
        <v/>
      </c>
      <c r="D1406" s="6" t="str">
        <f>IF(NOT(ISBLANK(A1406)),VLOOKUP(A1406,'BBT3'!A:F,4,1),"")</f>
        <v/>
      </c>
      <c r="E1406" t="str">
        <f>IF(NOT(ISBLANK(A1406)),VLOOKUP(A1406,'BBT3'!A:F,5,0),"")</f>
        <v/>
      </c>
      <c r="F1406" t="str">
        <f>IF(NOT(ISBLANK(A1406)),VLOOKUP(A1406,'BBT3'!A:F,6,0),"")</f>
        <v/>
      </c>
      <c r="G1406" t="str">
        <f>IF(NOT(ISBLANK(A1406)),VLOOKUP(A1406,QW_Close!A:J,5,0),"")</f>
        <v/>
      </c>
      <c r="H1406" s="5" t="str" cm="1">
        <f t="array" ref="H1406">IF(NOT(ISBLANK(A1406)),((_xlfn.XLOOKUP(1,(_bbt3[[#All],[ID]]=A1406)*(_bbt3[[#All],[METRIC_NAME]]="YLD_YTM_ASK"),_bbt3[[#All],[METRIC_VALUE]])*0.5)+(_xlfn.XLOOKUP(1,(_bbt3[[#All],[ID]]=A1406)*(_bbt3[[#All],[METRIC_NAME]]="YLD_YTM_BID"),_bbt3[[#All],[METRIC_VALUE]])*0.5))/100,"")</f>
        <v/>
      </c>
      <c r="I1406">
        <f>IF(ISNA(VLOOKUP(A1406,QW_CloseDL!A:E,5,0)),0,VLOOKUP(A1406,QW_CloseDL!A:E,5,0))</f>
        <v>0</v>
      </c>
      <c r="J1406" s="8" t="str">
        <f t="shared" si="105"/>
        <v/>
      </c>
      <c r="P1406">
        <v>0</v>
      </c>
      <c r="Q1406" t="e">
        <f t="shared" si="106"/>
        <v>#N/A</v>
      </c>
      <c r="R1406" t="e">
        <f t="shared" si="107"/>
        <v>#N/A</v>
      </c>
      <c r="S1406" s="9" t="e">
        <f t="shared" si="108"/>
        <v>#N/A</v>
      </c>
      <c r="T1406" s="3" t="e">
        <f t="shared" si="109"/>
        <v>#N/A</v>
      </c>
    </row>
    <row r="1407" spans="2:20" x14ac:dyDescent="0.35">
      <c r="B1407" t="str">
        <f>IF(NOT(ISBLANK(A1407)),VLOOKUP(A1407,'BBT3'!A:F,2,0),"")</f>
        <v/>
      </c>
      <c r="C1407" t="str">
        <f>IF(NOT(ISBLANK(A1407)),VLOOKUP(A1407,'BBT3'!A:F,3,0),"")</f>
        <v/>
      </c>
      <c r="D1407" s="6" t="str">
        <f>IF(NOT(ISBLANK(A1407)),VLOOKUP(A1407,'BBT3'!A:F,4,1),"")</f>
        <v/>
      </c>
      <c r="E1407" t="str">
        <f>IF(NOT(ISBLANK(A1407)),VLOOKUP(A1407,'BBT3'!A:F,5,0),"")</f>
        <v/>
      </c>
      <c r="F1407" t="str">
        <f>IF(NOT(ISBLANK(A1407)),VLOOKUP(A1407,'BBT3'!A:F,6,0),"")</f>
        <v/>
      </c>
      <c r="G1407" t="str">
        <f>IF(NOT(ISBLANK(A1407)),VLOOKUP(A1407,QW_Close!A:J,5,0),"")</f>
        <v/>
      </c>
      <c r="H1407" s="5" t="str" cm="1">
        <f t="array" ref="H1407">IF(NOT(ISBLANK(A1407)),((_xlfn.XLOOKUP(1,(_bbt3[[#All],[ID]]=A1407)*(_bbt3[[#All],[METRIC_NAME]]="YLD_YTM_ASK"),_bbt3[[#All],[METRIC_VALUE]])*0.5)+(_xlfn.XLOOKUP(1,(_bbt3[[#All],[ID]]=A1407)*(_bbt3[[#All],[METRIC_NAME]]="YLD_YTM_BID"),_bbt3[[#All],[METRIC_VALUE]])*0.5))/100,"")</f>
        <v/>
      </c>
      <c r="I1407">
        <f>IF(ISNA(VLOOKUP(A1407,QW_CloseDL!A:E,5,0)),0,VLOOKUP(A1407,QW_CloseDL!A:E,5,0))</f>
        <v>0</v>
      </c>
      <c r="J1407" s="8" t="str">
        <f t="shared" si="105"/>
        <v/>
      </c>
      <c r="P1407">
        <v>0</v>
      </c>
      <c r="Q1407" t="e">
        <f t="shared" si="106"/>
        <v>#N/A</v>
      </c>
      <c r="R1407" t="e">
        <f t="shared" si="107"/>
        <v>#N/A</v>
      </c>
      <c r="S1407" s="9" t="e">
        <f t="shared" si="108"/>
        <v>#N/A</v>
      </c>
      <c r="T1407" s="3" t="e">
        <f t="shared" si="109"/>
        <v>#N/A</v>
      </c>
    </row>
    <row r="1408" spans="2:20" x14ac:dyDescent="0.35">
      <c r="B1408" t="str">
        <f>IF(NOT(ISBLANK(A1408)),VLOOKUP(A1408,'BBT3'!A:F,2,0),"")</f>
        <v/>
      </c>
      <c r="C1408" t="str">
        <f>IF(NOT(ISBLANK(A1408)),VLOOKUP(A1408,'BBT3'!A:F,3,0),"")</f>
        <v/>
      </c>
      <c r="D1408" s="6" t="str">
        <f>IF(NOT(ISBLANK(A1408)),VLOOKUP(A1408,'BBT3'!A:F,4,1),"")</f>
        <v/>
      </c>
      <c r="E1408" t="str">
        <f>IF(NOT(ISBLANK(A1408)),VLOOKUP(A1408,'BBT3'!A:F,5,0),"")</f>
        <v/>
      </c>
      <c r="F1408" t="str">
        <f>IF(NOT(ISBLANK(A1408)),VLOOKUP(A1408,'BBT3'!A:F,6,0),"")</f>
        <v/>
      </c>
      <c r="G1408" t="str">
        <f>IF(NOT(ISBLANK(A1408)),VLOOKUP(A1408,QW_Close!A:J,5,0),"")</f>
        <v/>
      </c>
      <c r="H1408" s="5" t="str" cm="1">
        <f t="array" ref="H1408">IF(NOT(ISBLANK(A1408)),((_xlfn.XLOOKUP(1,(_bbt3[[#All],[ID]]=A1408)*(_bbt3[[#All],[METRIC_NAME]]="YLD_YTM_ASK"),_bbt3[[#All],[METRIC_VALUE]])*0.5)+(_xlfn.XLOOKUP(1,(_bbt3[[#All],[ID]]=A1408)*(_bbt3[[#All],[METRIC_NAME]]="YLD_YTM_BID"),_bbt3[[#All],[METRIC_VALUE]])*0.5))/100,"")</f>
        <v/>
      </c>
      <c r="I1408">
        <f>IF(ISNA(VLOOKUP(A1408,QW_CloseDL!A:E,5,0)),0,VLOOKUP(A1408,QW_CloseDL!A:E,5,0))</f>
        <v>0</v>
      </c>
      <c r="J1408" s="8" t="str">
        <f t="shared" si="105"/>
        <v/>
      </c>
      <c r="P1408">
        <v>0</v>
      </c>
      <c r="Q1408" t="e">
        <f t="shared" si="106"/>
        <v>#N/A</v>
      </c>
      <c r="R1408" t="e">
        <f t="shared" si="107"/>
        <v>#N/A</v>
      </c>
      <c r="S1408" s="9" t="e">
        <f t="shared" si="108"/>
        <v>#N/A</v>
      </c>
      <c r="T1408" s="3" t="e">
        <f t="shared" si="109"/>
        <v>#N/A</v>
      </c>
    </row>
    <row r="1409" spans="2:20" x14ac:dyDescent="0.35">
      <c r="B1409" t="str">
        <f>IF(NOT(ISBLANK(A1409)),VLOOKUP(A1409,'BBT3'!A:F,2,0),"")</f>
        <v/>
      </c>
      <c r="C1409" t="str">
        <f>IF(NOT(ISBLANK(A1409)),VLOOKUP(A1409,'BBT3'!A:F,3,0),"")</f>
        <v/>
      </c>
      <c r="D1409" s="6" t="str">
        <f>IF(NOT(ISBLANK(A1409)),VLOOKUP(A1409,'BBT3'!A:F,4,1),"")</f>
        <v/>
      </c>
      <c r="E1409" t="str">
        <f>IF(NOT(ISBLANK(A1409)),VLOOKUP(A1409,'BBT3'!A:F,5,0),"")</f>
        <v/>
      </c>
      <c r="F1409" t="str">
        <f>IF(NOT(ISBLANK(A1409)),VLOOKUP(A1409,'BBT3'!A:F,6,0),"")</f>
        <v/>
      </c>
      <c r="G1409" t="str">
        <f>IF(NOT(ISBLANK(A1409)),VLOOKUP(A1409,QW_Close!A:J,5,0),"")</f>
        <v/>
      </c>
      <c r="H1409" s="5" t="str" cm="1">
        <f t="array" ref="H1409">IF(NOT(ISBLANK(A1409)),((_xlfn.XLOOKUP(1,(_bbt3[[#All],[ID]]=A1409)*(_bbt3[[#All],[METRIC_NAME]]="YLD_YTM_ASK"),_bbt3[[#All],[METRIC_VALUE]])*0.5)+(_xlfn.XLOOKUP(1,(_bbt3[[#All],[ID]]=A1409)*(_bbt3[[#All],[METRIC_NAME]]="YLD_YTM_BID"),_bbt3[[#All],[METRIC_VALUE]])*0.5))/100,"")</f>
        <v/>
      </c>
      <c r="I1409">
        <f>IF(ISNA(VLOOKUP(A1409,QW_CloseDL!A:E,5,0)),0,VLOOKUP(A1409,QW_CloseDL!A:E,5,0))</f>
        <v>0</v>
      </c>
      <c r="J1409" s="8" t="str">
        <f t="shared" si="105"/>
        <v/>
      </c>
      <c r="P1409">
        <v>0</v>
      </c>
      <c r="Q1409" t="e">
        <f t="shared" si="106"/>
        <v>#N/A</v>
      </c>
      <c r="R1409" t="e">
        <f t="shared" si="107"/>
        <v>#N/A</v>
      </c>
      <c r="S1409" s="9" t="e">
        <f t="shared" si="108"/>
        <v>#N/A</v>
      </c>
      <c r="T1409" s="3" t="e">
        <f t="shared" si="109"/>
        <v>#N/A</v>
      </c>
    </row>
    <row r="1410" spans="2:20" x14ac:dyDescent="0.35">
      <c r="B1410" t="str">
        <f>IF(NOT(ISBLANK(A1410)),VLOOKUP(A1410,'BBT3'!A:F,2,0),"")</f>
        <v/>
      </c>
      <c r="C1410" t="str">
        <f>IF(NOT(ISBLANK(A1410)),VLOOKUP(A1410,'BBT3'!A:F,3,0),"")</f>
        <v/>
      </c>
      <c r="D1410" s="6" t="str">
        <f>IF(NOT(ISBLANK(A1410)),VLOOKUP(A1410,'BBT3'!A:F,4,1),"")</f>
        <v/>
      </c>
      <c r="E1410" t="str">
        <f>IF(NOT(ISBLANK(A1410)),VLOOKUP(A1410,'BBT3'!A:F,5,0),"")</f>
        <v/>
      </c>
      <c r="F1410" t="str">
        <f>IF(NOT(ISBLANK(A1410)),VLOOKUP(A1410,'BBT3'!A:F,6,0),"")</f>
        <v/>
      </c>
      <c r="G1410" t="str">
        <f>IF(NOT(ISBLANK(A1410)),VLOOKUP(A1410,QW_Close!A:J,5,0),"")</f>
        <v/>
      </c>
      <c r="H1410" s="5" t="str" cm="1">
        <f t="array" ref="H1410">IF(NOT(ISBLANK(A1410)),((_xlfn.XLOOKUP(1,(_bbt3[[#All],[ID]]=A1410)*(_bbt3[[#All],[METRIC_NAME]]="YLD_YTM_ASK"),_bbt3[[#All],[METRIC_VALUE]])*0.5)+(_xlfn.XLOOKUP(1,(_bbt3[[#All],[ID]]=A1410)*(_bbt3[[#All],[METRIC_NAME]]="YLD_YTM_BID"),_bbt3[[#All],[METRIC_VALUE]])*0.5))/100,"")</f>
        <v/>
      </c>
      <c r="I1410">
        <f>IF(ISNA(VLOOKUP(A1410,QW_CloseDL!A:E,5,0)),0,VLOOKUP(A1410,QW_CloseDL!A:E,5,0))</f>
        <v>0</v>
      </c>
      <c r="J1410" s="8" t="str">
        <f t="shared" si="105"/>
        <v/>
      </c>
      <c r="P1410">
        <v>0</v>
      </c>
      <c r="Q1410" t="e">
        <f t="shared" si="106"/>
        <v>#N/A</v>
      </c>
      <c r="R1410" t="e">
        <f t="shared" si="107"/>
        <v>#N/A</v>
      </c>
      <c r="S1410" s="9" t="e">
        <f t="shared" si="108"/>
        <v>#N/A</v>
      </c>
      <c r="T1410" s="3" t="e">
        <f t="shared" si="109"/>
        <v>#N/A</v>
      </c>
    </row>
    <row r="1411" spans="2:20" x14ac:dyDescent="0.35">
      <c r="B1411" t="str">
        <f>IF(NOT(ISBLANK(A1411)),VLOOKUP(A1411,'BBT3'!A:F,2,0),"")</f>
        <v/>
      </c>
      <c r="C1411" t="str">
        <f>IF(NOT(ISBLANK(A1411)),VLOOKUP(A1411,'BBT3'!A:F,3,0),"")</f>
        <v/>
      </c>
      <c r="D1411" s="6" t="str">
        <f>IF(NOT(ISBLANK(A1411)),VLOOKUP(A1411,'BBT3'!A:F,4,1),"")</f>
        <v/>
      </c>
      <c r="E1411" t="str">
        <f>IF(NOT(ISBLANK(A1411)),VLOOKUP(A1411,'BBT3'!A:F,5,0),"")</f>
        <v/>
      </c>
      <c r="F1411" t="str">
        <f>IF(NOT(ISBLANK(A1411)),VLOOKUP(A1411,'BBT3'!A:F,6,0),"")</f>
        <v/>
      </c>
      <c r="G1411" t="str">
        <f>IF(NOT(ISBLANK(A1411)),VLOOKUP(A1411,QW_Close!A:J,5,0),"")</f>
        <v/>
      </c>
      <c r="H1411" s="5" t="str" cm="1">
        <f t="array" ref="H1411">IF(NOT(ISBLANK(A1411)),((_xlfn.XLOOKUP(1,(_bbt3[[#All],[ID]]=A1411)*(_bbt3[[#All],[METRIC_NAME]]="YLD_YTM_ASK"),_bbt3[[#All],[METRIC_VALUE]])*0.5)+(_xlfn.XLOOKUP(1,(_bbt3[[#All],[ID]]=A1411)*(_bbt3[[#All],[METRIC_NAME]]="YLD_YTM_BID"),_bbt3[[#All],[METRIC_VALUE]])*0.5))/100,"")</f>
        <v/>
      </c>
      <c r="I1411">
        <f>IF(ISNA(VLOOKUP(A1411,QW_CloseDL!A:E,5,0)),0,VLOOKUP(A1411,QW_CloseDL!A:E,5,0))</f>
        <v>0</v>
      </c>
      <c r="J1411" s="8" t="str">
        <f t="shared" ref="J1411:J1474" si="110">IF(ISNA(IF(NOT(ISBLANK(A1411)),ABS(G1411-I1411),"")),0,(IF(NOT(ISBLANK(A1411)),ABS(G1411-I1411)*10000,"")))</f>
        <v/>
      </c>
      <c r="P1411">
        <v>0</v>
      </c>
      <c r="Q1411" t="e">
        <f t="shared" si="106"/>
        <v>#N/A</v>
      </c>
      <c r="R1411" t="e">
        <f t="shared" si="107"/>
        <v>#N/A</v>
      </c>
      <c r="S1411" s="9" t="e">
        <f t="shared" si="108"/>
        <v>#N/A</v>
      </c>
      <c r="T1411" s="3" t="e">
        <f t="shared" si="109"/>
        <v>#N/A</v>
      </c>
    </row>
    <row r="1412" spans="2:20" x14ac:dyDescent="0.35">
      <c r="B1412" t="str">
        <f>IF(NOT(ISBLANK(A1412)),VLOOKUP(A1412,'BBT3'!A:F,2,0),"")</f>
        <v/>
      </c>
      <c r="C1412" t="str">
        <f>IF(NOT(ISBLANK(A1412)),VLOOKUP(A1412,'BBT3'!A:F,3,0),"")</f>
        <v/>
      </c>
      <c r="D1412" s="6" t="str">
        <f>IF(NOT(ISBLANK(A1412)),VLOOKUP(A1412,'BBT3'!A:F,4,1),"")</f>
        <v/>
      </c>
      <c r="E1412" t="str">
        <f>IF(NOT(ISBLANK(A1412)),VLOOKUP(A1412,'BBT3'!A:F,5,0),"")</f>
        <v/>
      </c>
      <c r="F1412" t="str">
        <f>IF(NOT(ISBLANK(A1412)),VLOOKUP(A1412,'BBT3'!A:F,6,0),"")</f>
        <v/>
      </c>
      <c r="G1412" t="str">
        <f>IF(NOT(ISBLANK(A1412)),VLOOKUP(A1412,QW_Close!A:J,5,0),"")</f>
        <v/>
      </c>
      <c r="H1412" s="5" t="str" cm="1">
        <f t="array" ref="H1412">IF(NOT(ISBLANK(A1412)),((_xlfn.XLOOKUP(1,(_bbt3[[#All],[ID]]=A1412)*(_bbt3[[#All],[METRIC_NAME]]="YLD_YTM_ASK"),_bbt3[[#All],[METRIC_VALUE]])*0.5)+(_xlfn.XLOOKUP(1,(_bbt3[[#All],[ID]]=A1412)*(_bbt3[[#All],[METRIC_NAME]]="YLD_YTM_BID"),_bbt3[[#All],[METRIC_VALUE]])*0.5))/100,"")</f>
        <v/>
      </c>
      <c r="I1412">
        <f>IF(ISNA(VLOOKUP(A1412,QW_CloseDL!A:E,5,0)),0,VLOOKUP(A1412,QW_CloseDL!A:E,5,0))</f>
        <v>0</v>
      </c>
      <c r="J1412" s="8" t="str">
        <f t="shared" si="110"/>
        <v/>
      </c>
      <c r="P1412">
        <v>0</v>
      </c>
      <c r="Q1412" t="e">
        <f t="shared" si="106"/>
        <v>#N/A</v>
      </c>
      <c r="R1412" t="e">
        <f t="shared" si="107"/>
        <v>#N/A</v>
      </c>
      <c r="S1412" s="9" t="e">
        <f t="shared" si="108"/>
        <v>#N/A</v>
      </c>
      <c r="T1412" s="3" t="e">
        <f t="shared" si="109"/>
        <v>#N/A</v>
      </c>
    </row>
    <row r="1413" spans="2:20" x14ac:dyDescent="0.35">
      <c r="B1413" t="str">
        <f>IF(NOT(ISBLANK(A1413)),VLOOKUP(A1413,'BBT3'!A:F,2,0),"")</f>
        <v/>
      </c>
      <c r="C1413" t="str">
        <f>IF(NOT(ISBLANK(A1413)),VLOOKUP(A1413,'BBT3'!A:F,3,0),"")</f>
        <v/>
      </c>
      <c r="D1413" s="6" t="str">
        <f>IF(NOT(ISBLANK(A1413)),VLOOKUP(A1413,'BBT3'!A:F,4,1),"")</f>
        <v/>
      </c>
      <c r="E1413" t="str">
        <f>IF(NOT(ISBLANK(A1413)),VLOOKUP(A1413,'BBT3'!A:F,5,0),"")</f>
        <v/>
      </c>
      <c r="F1413" t="str">
        <f>IF(NOT(ISBLANK(A1413)),VLOOKUP(A1413,'BBT3'!A:F,6,0),"")</f>
        <v/>
      </c>
      <c r="G1413" t="str">
        <f>IF(NOT(ISBLANK(A1413)),VLOOKUP(A1413,QW_Close!A:J,5,0),"")</f>
        <v/>
      </c>
      <c r="H1413" s="5" t="str" cm="1">
        <f t="array" ref="H1413">IF(NOT(ISBLANK(A1413)),((_xlfn.XLOOKUP(1,(_bbt3[[#All],[ID]]=A1413)*(_bbt3[[#All],[METRIC_NAME]]="YLD_YTM_ASK"),_bbt3[[#All],[METRIC_VALUE]])*0.5)+(_xlfn.XLOOKUP(1,(_bbt3[[#All],[ID]]=A1413)*(_bbt3[[#All],[METRIC_NAME]]="YLD_YTM_BID"),_bbt3[[#All],[METRIC_VALUE]])*0.5))/100,"")</f>
        <v/>
      </c>
      <c r="I1413">
        <f>IF(ISNA(VLOOKUP(A1413,QW_CloseDL!A:E,5,0)),0,VLOOKUP(A1413,QW_CloseDL!A:E,5,0))</f>
        <v>0</v>
      </c>
      <c r="J1413" s="8" t="str">
        <f t="shared" si="110"/>
        <v/>
      </c>
      <c r="P1413">
        <v>0</v>
      </c>
      <c r="Q1413" t="e">
        <f t="shared" si="106"/>
        <v>#N/A</v>
      </c>
      <c r="R1413" t="e">
        <f t="shared" si="107"/>
        <v>#N/A</v>
      </c>
      <c r="S1413" s="9" t="e">
        <f t="shared" si="108"/>
        <v>#N/A</v>
      </c>
      <c r="T1413" s="3" t="e">
        <f t="shared" si="109"/>
        <v>#N/A</v>
      </c>
    </row>
    <row r="1414" spans="2:20" x14ac:dyDescent="0.35">
      <c r="B1414" t="str">
        <f>IF(NOT(ISBLANK(A1414)),VLOOKUP(A1414,'BBT3'!A:F,2,0),"")</f>
        <v/>
      </c>
      <c r="C1414" t="str">
        <f>IF(NOT(ISBLANK(A1414)),VLOOKUP(A1414,'BBT3'!A:F,3,0),"")</f>
        <v/>
      </c>
      <c r="D1414" s="6" t="str">
        <f>IF(NOT(ISBLANK(A1414)),VLOOKUP(A1414,'BBT3'!A:F,4,1),"")</f>
        <v/>
      </c>
      <c r="E1414" t="str">
        <f>IF(NOT(ISBLANK(A1414)),VLOOKUP(A1414,'BBT3'!A:F,5,0),"")</f>
        <v/>
      </c>
      <c r="F1414" t="str">
        <f>IF(NOT(ISBLANK(A1414)),VLOOKUP(A1414,'BBT3'!A:F,6,0),"")</f>
        <v/>
      </c>
      <c r="G1414" t="str">
        <f>IF(NOT(ISBLANK(A1414)),VLOOKUP(A1414,QW_Close!A:J,5,0),"")</f>
        <v/>
      </c>
      <c r="H1414" s="5" t="str" cm="1">
        <f t="array" ref="H1414">IF(NOT(ISBLANK(A1414)),((_xlfn.XLOOKUP(1,(_bbt3[[#All],[ID]]=A1414)*(_bbt3[[#All],[METRIC_NAME]]="YLD_YTM_ASK"),_bbt3[[#All],[METRIC_VALUE]])*0.5)+(_xlfn.XLOOKUP(1,(_bbt3[[#All],[ID]]=A1414)*(_bbt3[[#All],[METRIC_NAME]]="YLD_YTM_BID"),_bbt3[[#All],[METRIC_VALUE]])*0.5))/100,"")</f>
        <v/>
      </c>
      <c r="I1414">
        <f>IF(ISNA(VLOOKUP(A1414,QW_CloseDL!A:E,5,0)),0,VLOOKUP(A1414,QW_CloseDL!A:E,5,0))</f>
        <v>0</v>
      </c>
      <c r="J1414" s="8" t="str">
        <f t="shared" si="110"/>
        <v/>
      </c>
      <c r="P1414">
        <v>0</v>
      </c>
      <c r="Q1414" t="e">
        <f t="shared" si="106"/>
        <v>#N/A</v>
      </c>
      <c r="R1414" t="e">
        <f t="shared" si="107"/>
        <v>#N/A</v>
      </c>
      <c r="S1414" s="9" t="e">
        <f t="shared" si="108"/>
        <v>#N/A</v>
      </c>
      <c r="T1414" s="3" t="e">
        <f t="shared" si="109"/>
        <v>#N/A</v>
      </c>
    </row>
    <row r="1415" spans="2:20" x14ac:dyDescent="0.35">
      <c r="B1415" t="str">
        <f>IF(NOT(ISBLANK(A1415)),VLOOKUP(A1415,'BBT3'!A:F,2,0),"")</f>
        <v/>
      </c>
      <c r="C1415" t="str">
        <f>IF(NOT(ISBLANK(A1415)),VLOOKUP(A1415,'BBT3'!A:F,3,0),"")</f>
        <v/>
      </c>
      <c r="D1415" s="6" t="str">
        <f>IF(NOT(ISBLANK(A1415)),VLOOKUP(A1415,'BBT3'!A:F,4,1),"")</f>
        <v/>
      </c>
      <c r="E1415" t="str">
        <f>IF(NOT(ISBLANK(A1415)),VLOOKUP(A1415,'BBT3'!A:F,5,0),"")</f>
        <v/>
      </c>
      <c r="F1415" t="str">
        <f>IF(NOT(ISBLANK(A1415)),VLOOKUP(A1415,'BBT3'!A:F,6,0),"")</f>
        <v/>
      </c>
      <c r="G1415" t="str">
        <f>IF(NOT(ISBLANK(A1415)),VLOOKUP(A1415,QW_Close!A:J,5,0),"")</f>
        <v/>
      </c>
      <c r="H1415" s="5" t="str" cm="1">
        <f t="array" ref="H1415">IF(NOT(ISBLANK(A1415)),((_xlfn.XLOOKUP(1,(_bbt3[[#All],[ID]]=A1415)*(_bbt3[[#All],[METRIC_NAME]]="YLD_YTM_ASK"),_bbt3[[#All],[METRIC_VALUE]])*0.5)+(_xlfn.XLOOKUP(1,(_bbt3[[#All],[ID]]=A1415)*(_bbt3[[#All],[METRIC_NAME]]="YLD_YTM_BID"),_bbt3[[#All],[METRIC_VALUE]])*0.5))/100,"")</f>
        <v/>
      </c>
      <c r="I1415">
        <f>IF(ISNA(VLOOKUP(A1415,QW_CloseDL!A:E,5,0)),0,VLOOKUP(A1415,QW_CloseDL!A:E,5,0))</f>
        <v>0</v>
      </c>
      <c r="J1415" s="8" t="str">
        <f t="shared" si="110"/>
        <v/>
      </c>
      <c r="P1415">
        <v>0</v>
      </c>
      <c r="S1415" s="9" t="e">
        <f t="shared" si="108"/>
        <v>#N/A</v>
      </c>
      <c r="T1415" s="3" t="e">
        <f t="shared" si="109"/>
        <v>#N/A</v>
      </c>
    </row>
    <row r="1416" spans="2:20" x14ac:dyDescent="0.35">
      <c r="B1416" t="str">
        <f>IF(NOT(ISBLANK(A1416)),VLOOKUP(A1416,'BBT3'!A:F,2,0),"")</f>
        <v/>
      </c>
      <c r="C1416" t="str">
        <f>IF(NOT(ISBLANK(A1416)),VLOOKUP(A1416,'BBT3'!A:F,3,0),"")</f>
        <v/>
      </c>
      <c r="D1416" s="6" t="str">
        <f>IF(NOT(ISBLANK(A1416)),VLOOKUP(A1416,'BBT3'!A:F,4,1),"")</f>
        <v/>
      </c>
      <c r="E1416" t="str">
        <f>IF(NOT(ISBLANK(A1416)),VLOOKUP(A1416,'BBT3'!A:F,5,0),"")</f>
        <v/>
      </c>
      <c r="F1416" t="str">
        <f>IF(NOT(ISBLANK(A1416)),VLOOKUP(A1416,'BBT3'!A:F,6,0),"")</f>
        <v/>
      </c>
      <c r="G1416" t="str">
        <f>IF(NOT(ISBLANK(A1416)),VLOOKUP(A1416,QW_Close!A:J,5,0),"")</f>
        <v/>
      </c>
      <c r="H1416" s="5" t="str" cm="1">
        <f t="array" ref="H1416">IF(NOT(ISBLANK(A1416)),((_xlfn.XLOOKUP(1,(_bbt3[[#All],[ID]]=A1416)*(_bbt3[[#All],[METRIC_NAME]]="YLD_YTM_ASK"),_bbt3[[#All],[METRIC_VALUE]])*0.5)+(_xlfn.XLOOKUP(1,(_bbt3[[#All],[ID]]=A1416)*(_bbt3[[#All],[METRIC_NAME]]="YLD_YTM_BID"),_bbt3[[#All],[METRIC_VALUE]])*0.5))/100,"")</f>
        <v/>
      </c>
      <c r="I1416">
        <f>IF(ISNA(VLOOKUP(A1416,QW_CloseDL!A:E,5,0)),0,VLOOKUP(A1416,QW_CloseDL!A:E,5,0))</f>
        <v>0</v>
      </c>
      <c r="J1416" s="8" t="str">
        <f t="shared" si="110"/>
        <v/>
      </c>
      <c r="P1416">
        <v>0</v>
      </c>
      <c r="S1416" s="9" t="e">
        <f t="shared" si="108"/>
        <v>#N/A</v>
      </c>
      <c r="T1416" s="3" t="e">
        <f t="shared" si="109"/>
        <v>#N/A</v>
      </c>
    </row>
    <row r="1417" spans="2:20" x14ac:dyDescent="0.35">
      <c r="B1417" t="str">
        <f>IF(NOT(ISBLANK(A1417)),VLOOKUP(A1417,'BBT3'!A:F,2,0),"")</f>
        <v/>
      </c>
      <c r="C1417" t="str">
        <f>IF(NOT(ISBLANK(A1417)),VLOOKUP(A1417,'BBT3'!A:F,3,0),"")</f>
        <v/>
      </c>
      <c r="D1417" s="6" t="str">
        <f>IF(NOT(ISBLANK(A1417)),VLOOKUP(A1417,'BBT3'!A:F,4,1),"")</f>
        <v/>
      </c>
      <c r="E1417" t="str">
        <f>IF(NOT(ISBLANK(A1417)),VLOOKUP(A1417,'BBT3'!A:F,5,0),"")</f>
        <v/>
      </c>
      <c r="F1417" t="str">
        <f>IF(NOT(ISBLANK(A1417)),VLOOKUP(A1417,'BBT3'!A:F,6,0),"")</f>
        <v/>
      </c>
      <c r="G1417" t="str">
        <f>IF(NOT(ISBLANK(A1417)),VLOOKUP(A1417,QW_Close!A:J,5,0),"")</f>
        <v/>
      </c>
      <c r="H1417" s="5" t="str" cm="1">
        <f t="array" ref="H1417">IF(NOT(ISBLANK(A1417)),((_xlfn.XLOOKUP(1,(_bbt3[[#All],[ID]]=A1417)*(_bbt3[[#All],[METRIC_NAME]]="YLD_YTM_ASK"),_bbt3[[#All],[METRIC_VALUE]])*0.5)+(_xlfn.XLOOKUP(1,(_bbt3[[#All],[ID]]=A1417)*(_bbt3[[#All],[METRIC_NAME]]="YLD_YTM_BID"),_bbt3[[#All],[METRIC_VALUE]])*0.5))/100,"")</f>
        <v/>
      </c>
      <c r="I1417">
        <f>IF(ISNA(VLOOKUP(A1417,QW_CloseDL!A:E,5,0)),0,VLOOKUP(A1417,QW_CloseDL!A:E,5,0))</f>
        <v>0</v>
      </c>
      <c r="J1417" s="8" t="str">
        <f t="shared" si="110"/>
        <v/>
      </c>
      <c r="P1417">
        <v>0</v>
      </c>
      <c r="S1417" s="9" t="e">
        <f t="shared" si="108"/>
        <v>#N/A</v>
      </c>
      <c r="T1417" s="3" t="e">
        <f t="shared" si="109"/>
        <v>#N/A</v>
      </c>
    </row>
    <row r="1418" spans="2:20" x14ac:dyDescent="0.35">
      <c r="B1418" t="str">
        <f>IF(NOT(ISBLANK(A1418)),VLOOKUP(A1418,'BBT3'!A:F,2,0),"")</f>
        <v/>
      </c>
      <c r="C1418" t="str">
        <f>IF(NOT(ISBLANK(A1418)),VLOOKUP(A1418,'BBT3'!A:F,3,0),"")</f>
        <v/>
      </c>
      <c r="D1418" s="6" t="str">
        <f>IF(NOT(ISBLANK(A1418)),VLOOKUP(A1418,'BBT3'!A:F,4,1),"")</f>
        <v/>
      </c>
      <c r="E1418" t="str">
        <f>IF(NOT(ISBLANK(A1418)),VLOOKUP(A1418,'BBT3'!A:F,5,0),"")</f>
        <v/>
      </c>
      <c r="F1418" t="str">
        <f>IF(NOT(ISBLANK(A1418)),VLOOKUP(A1418,'BBT3'!A:F,6,0),"")</f>
        <v/>
      </c>
      <c r="G1418" t="str">
        <f>IF(NOT(ISBLANK(A1418)),VLOOKUP(A1418,QW_Close!A:J,5,0),"")</f>
        <v/>
      </c>
      <c r="H1418" s="5" t="str" cm="1">
        <f t="array" ref="H1418">IF(NOT(ISBLANK(A1418)),((_xlfn.XLOOKUP(1,(_bbt3[[#All],[ID]]=A1418)*(_bbt3[[#All],[METRIC_NAME]]="YLD_YTM_ASK"),_bbt3[[#All],[METRIC_VALUE]])*0.5)+(_xlfn.XLOOKUP(1,(_bbt3[[#All],[ID]]=A1418)*(_bbt3[[#All],[METRIC_NAME]]="YLD_YTM_BID"),_bbt3[[#All],[METRIC_VALUE]])*0.5))/100,"")</f>
        <v/>
      </c>
      <c r="I1418">
        <f>IF(ISNA(VLOOKUP(A1418,QW_CloseDL!A:E,5,0)),0,VLOOKUP(A1418,QW_CloseDL!A:E,5,0))</f>
        <v>0</v>
      </c>
      <c r="J1418" s="8" t="str">
        <f t="shared" si="110"/>
        <v/>
      </c>
      <c r="P1418">
        <v>0</v>
      </c>
      <c r="S1418" s="9" t="e">
        <f t="shared" si="108"/>
        <v>#N/A</v>
      </c>
      <c r="T1418" s="3" t="e">
        <f t="shared" si="109"/>
        <v>#N/A</v>
      </c>
    </row>
    <row r="1419" spans="2:20" x14ac:dyDescent="0.35">
      <c r="B1419" t="str">
        <f>IF(NOT(ISBLANK(A1419)),VLOOKUP(A1419,'BBT3'!A:F,2,0),"")</f>
        <v/>
      </c>
      <c r="C1419" t="str">
        <f>IF(NOT(ISBLANK(A1419)),VLOOKUP(A1419,'BBT3'!A:F,3,0),"")</f>
        <v/>
      </c>
      <c r="D1419" s="6" t="str">
        <f>IF(NOT(ISBLANK(A1419)),VLOOKUP(A1419,'BBT3'!A:F,4,1),"")</f>
        <v/>
      </c>
      <c r="E1419" t="str">
        <f>IF(NOT(ISBLANK(A1419)),VLOOKUP(A1419,'BBT3'!A:F,5,0),"")</f>
        <v/>
      </c>
      <c r="F1419" t="str">
        <f>IF(NOT(ISBLANK(A1419)),VLOOKUP(A1419,'BBT3'!A:F,6,0),"")</f>
        <v/>
      </c>
      <c r="G1419" t="str">
        <f>IF(NOT(ISBLANK(A1419)),VLOOKUP(A1419,QW_Close!A:J,5,0),"")</f>
        <v/>
      </c>
      <c r="H1419" s="5" t="str" cm="1">
        <f t="array" ref="H1419">IF(NOT(ISBLANK(A1419)),((_xlfn.XLOOKUP(1,(_bbt3[[#All],[ID]]=A1419)*(_bbt3[[#All],[METRIC_NAME]]="YLD_YTM_ASK"),_bbt3[[#All],[METRIC_VALUE]])*0.5)+(_xlfn.XLOOKUP(1,(_bbt3[[#All],[ID]]=A1419)*(_bbt3[[#All],[METRIC_NAME]]="YLD_YTM_BID"),_bbt3[[#All],[METRIC_VALUE]])*0.5))/100,"")</f>
        <v/>
      </c>
      <c r="I1419">
        <f>IF(ISNA(VLOOKUP(A1419,QW_CloseDL!A:E,5,0)),0,VLOOKUP(A1419,QW_CloseDL!A:E,5,0))</f>
        <v>0</v>
      </c>
      <c r="J1419" s="8" t="str">
        <f t="shared" si="110"/>
        <v/>
      </c>
      <c r="P1419">
        <v>0</v>
      </c>
      <c r="S1419" s="9" t="e">
        <f t="shared" si="108"/>
        <v>#N/A</v>
      </c>
      <c r="T1419" s="3" t="e">
        <f t="shared" si="109"/>
        <v>#N/A</v>
      </c>
    </row>
    <row r="1420" spans="2:20" x14ac:dyDescent="0.35">
      <c r="B1420" t="str">
        <f>IF(NOT(ISBLANK(A1420)),VLOOKUP(A1420,'BBT3'!A:F,2,0),"")</f>
        <v/>
      </c>
      <c r="C1420" t="str">
        <f>IF(NOT(ISBLANK(A1420)),VLOOKUP(A1420,'BBT3'!A:F,3,0),"")</f>
        <v/>
      </c>
      <c r="D1420" s="6" t="str">
        <f>IF(NOT(ISBLANK(A1420)),VLOOKUP(A1420,'BBT3'!A:F,4,1),"")</f>
        <v/>
      </c>
      <c r="E1420" t="str">
        <f>IF(NOT(ISBLANK(A1420)),VLOOKUP(A1420,'BBT3'!A:F,5,0),"")</f>
        <v/>
      </c>
      <c r="F1420" t="str">
        <f>IF(NOT(ISBLANK(A1420)),VLOOKUP(A1420,'BBT3'!A:F,6,0),"")</f>
        <v/>
      </c>
      <c r="G1420" t="str">
        <f>IF(NOT(ISBLANK(A1420)),VLOOKUP(A1420,QW_Close!A:J,5,0),"")</f>
        <v/>
      </c>
      <c r="H1420" s="5" t="str" cm="1">
        <f t="array" ref="H1420">IF(NOT(ISBLANK(A1420)),((_xlfn.XLOOKUP(1,(_bbt3[[#All],[ID]]=A1420)*(_bbt3[[#All],[METRIC_NAME]]="YLD_YTM_ASK"),_bbt3[[#All],[METRIC_VALUE]])*0.5)+(_xlfn.XLOOKUP(1,(_bbt3[[#All],[ID]]=A1420)*(_bbt3[[#All],[METRIC_NAME]]="YLD_YTM_BID"),_bbt3[[#All],[METRIC_VALUE]])*0.5))/100,"")</f>
        <v/>
      </c>
      <c r="I1420">
        <f>IF(ISNA(VLOOKUP(A1420,QW_CloseDL!A:E,5,0)),0,VLOOKUP(A1420,QW_CloseDL!A:E,5,0))</f>
        <v>0</v>
      </c>
      <c r="J1420" s="8" t="str">
        <f t="shared" si="110"/>
        <v/>
      </c>
      <c r="P1420">
        <v>0</v>
      </c>
      <c r="S1420" s="9" t="e">
        <f t="shared" si="108"/>
        <v>#N/A</v>
      </c>
      <c r="T1420" s="3" t="e">
        <f t="shared" si="109"/>
        <v>#N/A</v>
      </c>
    </row>
    <row r="1421" spans="2:20" x14ac:dyDescent="0.35">
      <c r="B1421" t="str">
        <f>IF(NOT(ISBLANK(A1421)),VLOOKUP(A1421,'BBT3'!A:F,2,0),"")</f>
        <v/>
      </c>
      <c r="C1421" t="str">
        <f>IF(NOT(ISBLANK(A1421)),VLOOKUP(A1421,'BBT3'!A:F,3,0),"")</f>
        <v/>
      </c>
      <c r="D1421" s="6" t="str">
        <f>IF(NOT(ISBLANK(A1421)),VLOOKUP(A1421,'BBT3'!A:F,4,1),"")</f>
        <v/>
      </c>
      <c r="E1421" t="str">
        <f>IF(NOT(ISBLANK(A1421)),VLOOKUP(A1421,'BBT3'!A:F,5,0),"")</f>
        <v/>
      </c>
      <c r="F1421" t="str">
        <f>IF(NOT(ISBLANK(A1421)),VLOOKUP(A1421,'BBT3'!A:F,6,0),"")</f>
        <v/>
      </c>
      <c r="G1421" t="str">
        <f>IF(NOT(ISBLANK(A1421)),VLOOKUP(A1421,QW_Close!A:J,5,0),"")</f>
        <v/>
      </c>
      <c r="H1421" s="5" t="str" cm="1">
        <f t="array" ref="H1421">IF(NOT(ISBLANK(A1421)),((_xlfn.XLOOKUP(1,(_bbt3[[#All],[ID]]=A1421)*(_bbt3[[#All],[METRIC_NAME]]="YLD_YTM_ASK"),_bbt3[[#All],[METRIC_VALUE]])*0.5)+(_xlfn.XLOOKUP(1,(_bbt3[[#All],[ID]]=A1421)*(_bbt3[[#All],[METRIC_NAME]]="YLD_YTM_BID"),_bbt3[[#All],[METRIC_VALUE]])*0.5))/100,"")</f>
        <v/>
      </c>
      <c r="I1421">
        <f>IF(ISNA(VLOOKUP(A1421,QW_CloseDL!A:E,5,0)),0,VLOOKUP(A1421,QW_CloseDL!A:E,5,0))</f>
        <v>0</v>
      </c>
      <c r="J1421" s="8" t="str">
        <f t="shared" si="110"/>
        <v/>
      </c>
      <c r="P1421">
        <v>0</v>
      </c>
      <c r="S1421" s="9" t="e">
        <f t="shared" ref="S1421:S1452" si="111">VLOOKUP(P1421,A:J,10,0)</f>
        <v>#N/A</v>
      </c>
      <c r="T1421" s="3" t="e">
        <f t="shared" ref="T1421:T1458" si="112">VLOOKUP(P1421,A:J,5,0)</f>
        <v>#N/A</v>
      </c>
    </row>
    <row r="1422" spans="2:20" x14ac:dyDescent="0.35">
      <c r="B1422" t="str">
        <f>IF(NOT(ISBLANK(A1422)),VLOOKUP(A1422,'BBT3'!A:F,2,0),"")</f>
        <v/>
      </c>
      <c r="C1422" t="str">
        <f>IF(NOT(ISBLANK(A1422)),VLOOKUP(A1422,'BBT3'!A:F,3,0),"")</f>
        <v/>
      </c>
      <c r="D1422" s="6" t="str">
        <f>IF(NOT(ISBLANK(A1422)),VLOOKUP(A1422,'BBT3'!A:F,4,1),"")</f>
        <v/>
      </c>
      <c r="E1422" t="str">
        <f>IF(NOT(ISBLANK(A1422)),VLOOKUP(A1422,'BBT3'!A:F,5,0),"")</f>
        <v/>
      </c>
      <c r="F1422" t="str">
        <f>IF(NOT(ISBLANK(A1422)),VLOOKUP(A1422,'BBT3'!A:F,6,0),"")</f>
        <v/>
      </c>
      <c r="G1422" t="str">
        <f>IF(NOT(ISBLANK(A1422)),VLOOKUP(A1422,QW_Close!A:J,5,0),"")</f>
        <v/>
      </c>
      <c r="H1422" s="5" t="str" cm="1">
        <f t="array" ref="H1422">IF(NOT(ISBLANK(A1422)),((_xlfn.XLOOKUP(1,(_bbt3[[#All],[ID]]=A1422)*(_bbt3[[#All],[METRIC_NAME]]="YLD_YTM_ASK"),_bbt3[[#All],[METRIC_VALUE]])*0.5)+(_xlfn.XLOOKUP(1,(_bbt3[[#All],[ID]]=A1422)*(_bbt3[[#All],[METRIC_NAME]]="YLD_YTM_BID"),_bbt3[[#All],[METRIC_VALUE]])*0.5))/100,"")</f>
        <v/>
      </c>
      <c r="I1422">
        <f>IF(ISNA(VLOOKUP(A1422,QW_CloseDL!A:E,5,0)),0,VLOOKUP(A1422,QW_CloseDL!A:E,5,0))</f>
        <v>0</v>
      </c>
      <c r="J1422" s="8" t="str">
        <f t="shared" si="110"/>
        <v/>
      </c>
      <c r="P1422">
        <v>0</v>
      </c>
      <c r="S1422" s="9" t="e">
        <f t="shared" si="111"/>
        <v>#N/A</v>
      </c>
      <c r="T1422" s="3" t="e">
        <f t="shared" si="112"/>
        <v>#N/A</v>
      </c>
    </row>
    <row r="1423" spans="2:20" x14ac:dyDescent="0.35">
      <c r="B1423" t="str">
        <f>IF(NOT(ISBLANK(A1423)),VLOOKUP(A1423,'BBT3'!A:F,2,0),"")</f>
        <v/>
      </c>
      <c r="C1423" t="str">
        <f>IF(NOT(ISBLANK(A1423)),VLOOKUP(A1423,'BBT3'!A:F,3,0),"")</f>
        <v/>
      </c>
      <c r="D1423" s="6" t="str">
        <f>IF(NOT(ISBLANK(A1423)),VLOOKUP(A1423,'BBT3'!A:F,4,1),"")</f>
        <v/>
      </c>
      <c r="E1423" t="str">
        <f>IF(NOT(ISBLANK(A1423)),VLOOKUP(A1423,'BBT3'!A:F,5,0),"")</f>
        <v/>
      </c>
      <c r="F1423" t="str">
        <f>IF(NOT(ISBLANK(A1423)),VLOOKUP(A1423,'BBT3'!A:F,6,0),"")</f>
        <v/>
      </c>
      <c r="G1423" t="str">
        <f>IF(NOT(ISBLANK(A1423)),VLOOKUP(A1423,QW_Close!A:J,5,0),"")</f>
        <v/>
      </c>
      <c r="H1423" s="5" t="str" cm="1">
        <f t="array" ref="H1423">IF(NOT(ISBLANK(A1423)),((_xlfn.XLOOKUP(1,(_bbt3[[#All],[ID]]=A1423)*(_bbt3[[#All],[METRIC_NAME]]="YLD_YTM_ASK"),_bbt3[[#All],[METRIC_VALUE]])*0.5)+(_xlfn.XLOOKUP(1,(_bbt3[[#All],[ID]]=A1423)*(_bbt3[[#All],[METRIC_NAME]]="YLD_YTM_BID"),_bbt3[[#All],[METRIC_VALUE]])*0.5))/100,"")</f>
        <v/>
      </c>
      <c r="I1423">
        <f>IF(ISNA(VLOOKUP(A1423,QW_CloseDL!A:E,5,0)),0,VLOOKUP(A1423,QW_CloseDL!A:E,5,0))</f>
        <v>0</v>
      </c>
      <c r="J1423" s="8" t="str">
        <f t="shared" si="110"/>
        <v/>
      </c>
      <c r="P1423">
        <v>0</v>
      </c>
      <c r="S1423" s="9" t="e">
        <f t="shared" si="111"/>
        <v>#N/A</v>
      </c>
      <c r="T1423" s="3" t="e">
        <f t="shared" si="112"/>
        <v>#N/A</v>
      </c>
    </row>
    <row r="1424" spans="2:20" x14ac:dyDescent="0.35">
      <c r="B1424" t="str">
        <f>IF(NOT(ISBLANK(A1424)),VLOOKUP(A1424,'BBT3'!A:F,2,0),"")</f>
        <v/>
      </c>
      <c r="C1424" t="str">
        <f>IF(NOT(ISBLANK(A1424)),VLOOKUP(A1424,'BBT3'!A:F,3,0),"")</f>
        <v/>
      </c>
      <c r="D1424" s="6" t="str">
        <f>IF(NOT(ISBLANK(A1424)),VLOOKUP(A1424,'BBT3'!A:F,4,1),"")</f>
        <v/>
      </c>
      <c r="E1424" t="str">
        <f>IF(NOT(ISBLANK(A1424)),VLOOKUP(A1424,'BBT3'!A:F,5,0),"")</f>
        <v/>
      </c>
      <c r="F1424" t="str">
        <f>IF(NOT(ISBLANK(A1424)),VLOOKUP(A1424,'BBT3'!A:F,6,0),"")</f>
        <v/>
      </c>
      <c r="G1424" t="str">
        <f>IF(NOT(ISBLANK(A1424)),VLOOKUP(A1424,QW_Close!A:J,5,0),"")</f>
        <v/>
      </c>
      <c r="H1424" s="5" t="str" cm="1">
        <f t="array" ref="H1424">IF(NOT(ISBLANK(A1424)),((_xlfn.XLOOKUP(1,(_bbt3[[#All],[ID]]=A1424)*(_bbt3[[#All],[METRIC_NAME]]="YLD_YTM_ASK"),_bbt3[[#All],[METRIC_VALUE]])*0.5)+(_xlfn.XLOOKUP(1,(_bbt3[[#All],[ID]]=A1424)*(_bbt3[[#All],[METRIC_NAME]]="YLD_YTM_BID"),_bbt3[[#All],[METRIC_VALUE]])*0.5))/100,"")</f>
        <v/>
      </c>
      <c r="I1424">
        <f>IF(ISNA(VLOOKUP(A1424,QW_CloseDL!A:E,5,0)),0,VLOOKUP(A1424,QW_CloseDL!A:E,5,0))</f>
        <v>0</v>
      </c>
      <c r="J1424" s="8" t="str">
        <f t="shared" si="110"/>
        <v/>
      </c>
      <c r="P1424">
        <v>0</v>
      </c>
      <c r="S1424" s="9" t="e">
        <f t="shared" si="111"/>
        <v>#N/A</v>
      </c>
      <c r="T1424" s="3" t="e">
        <f t="shared" si="112"/>
        <v>#N/A</v>
      </c>
    </row>
    <row r="1425" spans="2:20" x14ac:dyDescent="0.35">
      <c r="B1425" t="str">
        <f>IF(NOT(ISBLANK(A1425)),VLOOKUP(A1425,'BBT3'!A:F,2,0),"")</f>
        <v/>
      </c>
      <c r="C1425" t="str">
        <f>IF(NOT(ISBLANK(A1425)),VLOOKUP(A1425,'BBT3'!A:F,3,0),"")</f>
        <v/>
      </c>
      <c r="D1425" s="6" t="str">
        <f>IF(NOT(ISBLANK(A1425)),VLOOKUP(A1425,'BBT3'!A:F,4,1),"")</f>
        <v/>
      </c>
      <c r="E1425" t="str">
        <f>IF(NOT(ISBLANK(A1425)),VLOOKUP(A1425,'BBT3'!A:F,5,0),"")</f>
        <v/>
      </c>
      <c r="F1425" t="str">
        <f>IF(NOT(ISBLANK(A1425)),VLOOKUP(A1425,'BBT3'!A:F,6,0),"")</f>
        <v/>
      </c>
      <c r="G1425" t="str">
        <f>IF(NOT(ISBLANK(A1425)),VLOOKUP(A1425,QW_Close!A:J,5,0),"")</f>
        <v/>
      </c>
      <c r="H1425" s="5" t="str" cm="1">
        <f t="array" ref="H1425">IF(NOT(ISBLANK(A1425)),((_xlfn.XLOOKUP(1,(_bbt3[[#All],[ID]]=A1425)*(_bbt3[[#All],[METRIC_NAME]]="YLD_YTM_ASK"),_bbt3[[#All],[METRIC_VALUE]])*0.5)+(_xlfn.XLOOKUP(1,(_bbt3[[#All],[ID]]=A1425)*(_bbt3[[#All],[METRIC_NAME]]="YLD_YTM_BID"),_bbt3[[#All],[METRIC_VALUE]])*0.5))/100,"")</f>
        <v/>
      </c>
      <c r="I1425">
        <f>IF(ISNA(VLOOKUP(A1425,QW_CloseDL!A:E,5,0)),0,VLOOKUP(A1425,QW_CloseDL!A:E,5,0))</f>
        <v>0</v>
      </c>
      <c r="J1425" s="8" t="str">
        <f t="shared" si="110"/>
        <v/>
      </c>
      <c r="P1425">
        <v>0</v>
      </c>
      <c r="S1425" s="9" t="e">
        <f t="shared" si="111"/>
        <v>#N/A</v>
      </c>
      <c r="T1425" s="3" t="e">
        <f t="shared" si="112"/>
        <v>#N/A</v>
      </c>
    </row>
    <row r="1426" spans="2:20" x14ac:dyDescent="0.35">
      <c r="B1426" t="str">
        <f>IF(NOT(ISBLANK(A1426)),VLOOKUP(A1426,'BBT3'!A:F,2,0),"")</f>
        <v/>
      </c>
      <c r="C1426" t="str">
        <f>IF(NOT(ISBLANK(A1426)),VLOOKUP(A1426,'BBT3'!A:F,3,0),"")</f>
        <v/>
      </c>
      <c r="D1426" s="6" t="str">
        <f>IF(NOT(ISBLANK(A1426)),VLOOKUP(A1426,'BBT3'!A:F,4,1),"")</f>
        <v/>
      </c>
      <c r="E1426" t="str">
        <f>IF(NOT(ISBLANK(A1426)),VLOOKUP(A1426,'BBT3'!A:F,5,0),"")</f>
        <v/>
      </c>
      <c r="F1426" t="str">
        <f>IF(NOT(ISBLANK(A1426)),VLOOKUP(A1426,'BBT3'!A:F,6,0),"")</f>
        <v/>
      </c>
      <c r="G1426" t="str">
        <f>IF(NOT(ISBLANK(A1426)),VLOOKUP(A1426,QW_Close!A:J,5,0),"")</f>
        <v/>
      </c>
      <c r="H1426" s="5" t="str" cm="1">
        <f t="array" ref="H1426">IF(NOT(ISBLANK(A1426)),((_xlfn.XLOOKUP(1,(_bbt3[[#All],[ID]]=A1426)*(_bbt3[[#All],[METRIC_NAME]]="YLD_YTM_ASK"),_bbt3[[#All],[METRIC_VALUE]])*0.5)+(_xlfn.XLOOKUP(1,(_bbt3[[#All],[ID]]=A1426)*(_bbt3[[#All],[METRIC_NAME]]="YLD_YTM_BID"),_bbt3[[#All],[METRIC_VALUE]])*0.5))/100,"")</f>
        <v/>
      </c>
      <c r="I1426">
        <f>IF(ISNA(VLOOKUP(A1426,QW_CloseDL!A:E,5,0)),0,VLOOKUP(A1426,QW_CloseDL!A:E,5,0))</f>
        <v>0</v>
      </c>
      <c r="J1426" s="8" t="str">
        <f t="shared" si="110"/>
        <v/>
      </c>
      <c r="P1426">
        <v>0</v>
      </c>
      <c r="S1426" s="9" t="e">
        <f t="shared" si="111"/>
        <v>#N/A</v>
      </c>
      <c r="T1426" s="3" t="e">
        <f t="shared" si="112"/>
        <v>#N/A</v>
      </c>
    </row>
    <row r="1427" spans="2:20" x14ac:dyDescent="0.35">
      <c r="B1427" t="str">
        <f>IF(NOT(ISBLANK(A1427)),VLOOKUP(A1427,'BBT3'!A:F,2,0),"")</f>
        <v/>
      </c>
      <c r="C1427" t="str">
        <f>IF(NOT(ISBLANK(A1427)),VLOOKUP(A1427,'BBT3'!A:F,3,0),"")</f>
        <v/>
      </c>
      <c r="D1427" s="6" t="str">
        <f>IF(NOT(ISBLANK(A1427)),VLOOKUP(A1427,'BBT3'!A:F,4,1),"")</f>
        <v/>
      </c>
      <c r="E1427" t="str">
        <f>IF(NOT(ISBLANK(A1427)),VLOOKUP(A1427,'BBT3'!A:F,5,0),"")</f>
        <v/>
      </c>
      <c r="F1427" t="str">
        <f>IF(NOT(ISBLANK(A1427)),VLOOKUP(A1427,'BBT3'!A:F,6,0),"")</f>
        <v/>
      </c>
      <c r="G1427" t="str">
        <f>IF(NOT(ISBLANK(A1427)),VLOOKUP(A1427,QW_Close!A:J,5,0),"")</f>
        <v/>
      </c>
      <c r="H1427" s="5" t="str" cm="1">
        <f t="array" ref="H1427">IF(NOT(ISBLANK(A1427)),((_xlfn.XLOOKUP(1,(_bbt3[[#All],[ID]]=A1427)*(_bbt3[[#All],[METRIC_NAME]]="YLD_YTM_ASK"),_bbt3[[#All],[METRIC_VALUE]])*0.5)+(_xlfn.XLOOKUP(1,(_bbt3[[#All],[ID]]=A1427)*(_bbt3[[#All],[METRIC_NAME]]="YLD_YTM_BID"),_bbt3[[#All],[METRIC_VALUE]])*0.5))/100,"")</f>
        <v/>
      </c>
      <c r="I1427">
        <f>IF(ISNA(VLOOKUP(A1427,QW_CloseDL!A:E,5,0)),0,VLOOKUP(A1427,QW_CloseDL!A:E,5,0))</f>
        <v>0</v>
      </c>
      <c r="J1427" s="8" t="str">
        <f t="shared" si="110"/>
        <v/>
      </c>
      <c r="P1427">
        <v>0</v>
      </c>
      <c r="S1427" s="9" t="e">
        <f t="shared" si="111"/>
        <v>#N/A</v>
      </c>
      <c r="T1427" s="3" t="e">
        <f t="shared" si="112"/>
        <v>#N/A</v>
      </c>
    </row>
    <row r="1428" spans="2:20" x14ac:dyDescent="0.35">
      <c r="B1428" t="str">
        <f>IF(NOT(ISBLANK(A1428)),VLOOKUP(A1428,'BBT3'!A:F,2,0),"")</f>
        <v/>
      </c>
      <c r="C1428" t="str">
        <f>IF(NOT(ISBLANK(A1428)),VLOOKUP(A1428,'BBT3'!A:F,3,0),"")</f>
        <v/>
      </c>
      <c r="D1428" s="6" t="str">
        <f>IF(NOT(ISBLANK(A1428)),VLOOKUP(A1428,'BBT3'!A:F,4,1),"")</f>
        <v/>
      </c>
      <c r="E1428" t="str">
        <f>IF(NOT(ISBLANK(A1428)),VLOOKUP(A1428,'BBT3'!A:F,5,0),"")</f>
        <v/>
      </c>
      <c r="F1428" t="str">
        <f>IF(NOT(ISBLANK(A1428)),VLOOKUP(A1428,'BBT3'!A:F,6,0),"")</f>
        <v/>
      </c>
      <c r="G1428" t="str">
        <f>IF(NOT(ISBLANK(A1428)),VLOOKUP(A1428,QW_Close!A:J,5,0),"")</f>
        <v/>
      </c>
      <c r="H1428" s="5" t="str" cm="1">
        <f t="array" ref="H1428">IF(NOT(ISBLANK(A1428)),((_xlfn.XLOOKUP(1,(_bbt3[[#All],[ID]]=A1428)*(_bbt3[[#All],[METRIC_NAME]]="YLD_YTM_ASK"),_bbt3[[#All],[METRIC_VALUE]])*0.5)+(_xlfn.XLOOKUP(1,(_bbt3[[#All],[ID]]=A1428)*(_bbt3[[#All],[METRIC_NAME]]="YLD_YTM_BID"),_bbt3[[#All],[METRIC_VALUE]])*0.5))/100,"")</f>
        <v/>
      </c>
      <c r="I1428">
        <f>IF(ISNA(VLOOKUP(A1428,QW_CloseDL!A:E,5,0)),0,VLOOKUP(A1428,QW_CloseDL!A:E,5,0))</f>
        <v>0</v>
      </c>
      <c r="J1428" s="8" t="str">
        <f t="shared" si="110"/>
        <v/>
      </c>
      <c r="P1428">
        <v>0</v>
      </c>
      <c r="S1428" s="9" t="e">
        <f t="shared" si="111"/>
        <v>#N/A</v>
      </c>
      <c r="T1428" s="3" t="e">
        <f t="shared" si="112"/>
        <v>#N/A</v>
      </c>
    </row>
    <row r="1429" spans="2:20" x14ac:dyDescent="0.35">
      <c r="B1429" t="str">
        <f>IF(NOT(ISBLANK(A1429)),VLOOKUP(A1429,'BBT3'!A:F,2,0),"")</f>
        <v/>
      </c>
      <c r="C1429" t="str">
        <f>IF(NOT(ISBLANK(A1429)),VLOOKUP(A1429,'BBT3'!A:F,3,0),"")</f>
        <v/>
      </c>
      <c r="D1429" s="6" t="str">
        <f>IF(NOT(ISBLANK(A1429)),VLOOKUP(A1429,'BBT3'!A:F,4,1),"")</f>
        <v/>
      </c>
      <c r="E1429" t="str">
        <f>IF(NOT(ISBLANK(A1429)),VLOOKUP(A1429,'BBT3'!A:F,5,0),"")</f>
        <v/>
      </c>
      <c r="F1429" t="str">
        <f>IF(NOT(ISBLANK(A1429)),VLOOKUP(A1429,'BBT3'!A:F,6,0),"")</f>
        <v/>
      </c>
      <c r="G1429" t="str">
        <f>IF(NOT(ISBLANK(A1429)),VLOOKUP(A1429,QW_Close!A:J,5,0),"")</f>
        <v/>
      </c>
      <c r="H1429" s="5" t="str" cm="1">
        <f t="array" ref="H1429">IF(NOT(ISBLANK(A1429)),((_xlfn.XLOOKUP(1,(_bbt3[[#All],[ID]]=A1429)*(_bbt3[[#All],[METRIC_NAME]]="YLD_YTM_ASK"),_bbt3[[#All],[METRIC_VALUE]])*0.5)+(_xlfn.XLOOKUP(1,(_bbt3[[#All],[ID]]=A1429)*(_bbt3[[#All],[METRIC_NAME]]="YLD_YTM_BID"),_bbt3[[#All],[METRIC_VALUE]])*0.5))/100,"")</f>
        <v/>
      </c>
      <c r="I1429">
        <f>IF(ISNA(VLOOKUP(A1429,QW_CloseDL!A:E,5,0)),0,VLOOKUP(A1429,QW_CloseDL!A:E,5,0))</f>
        <v>0</v>
      </c>
      <c r="J1429" s="8" t="str">
        <f t="shared" si="110"/>
        <v/>
      </c>
      <c r="P1429">
        <v>0</v>
      </c>
      <c r="S1429" s="9" t="e">
        <f t="shared" si="111"/>
        <v>#N/A</v>
      </c>
      <c r="T1429" s="3" t="e">
        <f t="shared" si="112"/>
        <v>#N/A</v>
      </c>
    </row>
    <row r="1430" spans="2:20" x14ac:dyDescent="0.35">
      <c r="B1430" t="str">
        <f>IF(NOT(ISBLANK(A1430)),VLOOKUP(A1430,'BBT3'!A:F,2,0),"")</f>
        <v/>
      </c>
      <c r="C1430" t="str">
        <f>IF(NOT(ISBLANK(A1430)),VLOOKUP(A1430,'BBT3'!A:F,3,0),"")</f>
        <v/>
      </c>
      <c r="D1430" s="6" t="str">
        <f>IF(NOT(ISBLANK(A1430)),VLOOKUP(A1430,'BBT3'!A:F,4,1),"")</f>
        <v/>
      </c>
      <c r="E1430" t="str">
        <f>IF(NOT(ISBLANK(A1430)),VLOOKUP(A1430,'BBT3'!A:F,5,0),"")</f>
        <v/>
      </c>
      <c r="F1430" t="str">
        <f>IF(NOT(ISBLANK(A1430)),VLOOKUP(A1430,'BBT3'!A:F,6,0),"")</f>
        <v/>
      </c>
      <c r="G1430" t="str">
        <f>IF(NOT(ISBLANK(A1430)),VLOOKUP(A1430,QW_Close!A:J,5,0),"")</f>
        <v/>
      </c>
      <c r="H1430" s="5" t="str" cm="1">
        <f t="array" ref="H1430">IF(NOT(ISBLANK(A1430)),((_xlfn.XLOOKUP(1,(_bbt3[[#All],[ID]]=A1430)*(_bbt3[[#All],[METRIC_NAME]]="YLD_YTM_ASK"),_bbt3[[#All],[METRIC_VALUE]])*0.5)+(_xlfn.XLOOKUP(1,(_bbt3[[#All],[ID]]=A1430)*(_bbt3[[#All],[METRIC_NAME]]="YLD_YTM_BID"),_bbt3[[#All],[METRIC_VALUE]])*0.5))/100,"")</f>
        <v/>
      </c>
      <c r="I1430">
        <f>IF(ISNA(VLOOKUP(A1430,QW_CloseDL!A:E,5,0)),0,VLOOKUP(A1430,QW_CloseDL!A:E,5,0))</f>
        <v>0</v>
      </c>
      <c r="J1430" s="8" t="str">
        <f t="shared" si="110"/>
        <v/>
      </c>
      <c r="P1430">
        <v>0</v>
      </c>
      <c r="S1430" s="9" t="e">
        <f t="shared" si="111"/>
        <v>#N/A</v>
      </c>
      <c r="T1430" s="3" t="e">
        <f t="shared" si="112"/>
        <v>#N/A</v>
      </c>
    </row>
    <row r="1431" spans="2:20" x14ac:dyDescent="0.35">
      <c r="B1431" t="str">
        <f>IF(NOT(ISBLANK(A1431)),VLOOKUP(A1431,'BBT3'!A:F,2,0),"")</f>
        <v/>
      </c>
      <c r="C1431" t="str">
        <f>IF(NOT(ISBLANK(A1431)),VLOOKUP(A1431,'BBT3'!A:F,3,0),"")</f>
        <v/>
      </c>
      <c r="D1431" s="6" t="str">
        <f>IF(NOT(ISBLANK(A1431)),VLOOKUP(A1431,'BBT3'!A:F,4,1),"")</f>
        <v/>
      </c>
      <c r="E1431" t="str">
        <f>IF(NOT(ISBLANK(A1431)),VLOOKUP(A1431,'BBT3'!A:F,5,0),"")</f>
        <v/>
      </c>
      <c r="F1431" t="str">
        <f>IF(NOT(ISBLANK(A1431)),VLOOKUP(A1431,'BBT3'!A:F,6,0),"")</f>
        <v/>
      </c>
      <c r="G1431" t="str">
        <f>IF(NOT(ISBLANK(A1431)),VLOOKUP(A1431,QW_Close!A:J,5,0),"")</f>
        <v/>
      </c>
      <c r="H1431" s="5" t="str" cm="1">
        <f t="array" ref="H1431">IF(NOT(ISBLANK(A1431)),((_xlfn.XLOOKUP(1,(_bbt3[[#All],[ID]]=A1431)*(_bbt3[[#All],[METRIC_NAME]]="YLD_YTM_ASK"),_bbt3[[#All],[METRIC_VALUE]])*0.5)+(_xlfn.XLOOKUP(1,(_bbt3[[#All],[ID]]=A1431)*(_bbt3[[#All],[METRIC_NAME]]="YLD_YTM_BID"),_bbt3[[#All],[METRIC_VALUE]])*0.5))/100,"")</f>
        <v/>
      </c>
      <c r="I1431">
        <f>IF(ISNA(VLOOKUP(A1431,QW_CloseDL!A:E,5,0)),0,VLOOKUP(A1431,QW_CloseDL!A:E,5,0))</f>
        <v>0</v>
      </c>
      <c r="J1431" s="8" t="str">
        <f t="shared" si="110"/>
        <v/>
      </c>
      <c r="P1431">
        <v>0</v>
      </c>
      <c r="S1431" s="9" t="e">
        <f t="shared" si="111"/>
        <v>#N/A</v>
      </c>
      <c r="T1431" s="3" t="e">
        <f t="shared" si="112"/>
        <v>#N/A</v>
      </c>
    </row>
    <row r="1432" spans="2:20" x14ac:dyDescent="0.35">
      <c r="B1432" t="str">
        <f>IF(NOT(ISBLANK(A1432)),VLOOKUP(A1432,'BBT3'!A:F,2,0),"")</f>
        <v/>
      </c>
      <c r="C1432" t="str">
        <f>IF(NOT(ISBLANK(A1432)),VLOOKUP(A1432,'BBT3'!A:F,3,0),"")</f>
        <v/>
      </c>
      <c r="D1432" s="6" t="str">
        <f>IF(NOT(ISBLANK(A1432)),VLOOKUP(A1432,'BBT3'!A:F,4,1),"")</f>
        <v/>
      </c>
      <c r="E1432" t="str">
        <f>IF(NOT(ISBLANK(A1432)),VLOOKUP(A1432,'BBT3'!A:F,5,0),"")</f>
        <v/>
      </c>
      <c r="F1432" t="str">
        <f>IF(NOT(ISBLANK(A1432)),VLOOKUP(A1432,'BBT3'!A:F,6,0),"")</f>
        <v/>
      </c>
      <c r="G1432" t="str">
        <f>IF(NOT(ISBLANK(A1432)),VLOOKUP(A1432,QW_Close!A:J,5,0),"")</f>
        <v/>
      </c>
      <c r="H1432" s="5" t="str" cm="1">
        <f t="array" ref="H1432">IF(NOT(ISBLANK(A1432)),((_xlfn.XLOOKUP(1,(_bbt3[[#All],[ID]]=A1432)*(_bbt3[[#All],[METRIC_NAME]]="YLD_YTM_ASK"),_bbt3[[#All],[METRIC_VALUE]])*0.5)+(_xlfn.XLOOKUP(1,(_bbt3[[#All],[ID]]=A1432)*(_bbt3[[#All],[METRIC_NAME]]="YLD_YTM_BID"),_bbt3[[#All],[METRIC_VALUE]])*0.5))/100,"")</f>
        <v/>
      </c>
      <c r="I1432">
        <f>IF(ISNA(VLOOKUP(A1432,QW_CloseDL!A:E,5,0)),0,VLOOKUP(A1432,QW_CloseDL!A:E,5,0))</f>
        <v>0</v>
      </c>
      <c r="J1432" s="8" t="str">
        <f t="shared" si="110"/>
        <v/>
      </c>
      <c r="P1432">
        <v>0</v>
      </c>
      <c r="S1432" s="9" t="e">
        <f t="shared" si="111"/>
        <v>#N/A</v>
      </c>
      <c r="T1432" s="3" t="e">
        <f t="shared" si="112"/>
        <v>#N/A</v>
      </c>
    </row>
    <row r="1433" spans="2:20" x14ac:dyDescent="0.35">
      <c r="B1433" t="str">
        <f>IF(NOT(ISBLANK(A1433)),VLOOKUP(A1433,'BBT3'!A:F,2,0),"")</f>
        <v/>
      </c>
      <c r="C1433" t="str">
        <f>IF(NOT(ISBLANK(A1433)),VLOOKUP(A1433,'BBT3'!A:F,3,0),"")</f>
        <v/>
      </c>
      <c r="D1433" s="6" t="str">
        <f>IF(NOT(ISBLANK(A1433)),VLOOKUP(A1433,'BBT3'!A:F,4,1),"")</f>
        <v/>
      </c>
      <c r="E1433" t="str">
        <f>IF(NOT(ISBLANK(A1433)),VLOOKUP(A1433,'BBT3'!A:F,5,0),"")</f>
        <v/>
      </c>
      <c r="F1433" t="str">
        <f>IF(NOT(ISBLANK(A1433)),VLOOKUP(A1433,'BBT3'!A:F,6,0),"")</f>
        <v/>
      </c>
      <c r="G1433" t="str">
        <f>IF(NOT(ISBLANK(A1433)),VLOOKUP(A1433,QW_Close!A:J,5,0),"")</f>
        <v/>
      </c>
      <c r="H1433" s="5" t="str" cm="1">
        <f t="array" ref="H1433">IF(NOT(ISBLANK(A1433)),((_xlfn.XLOOKUP(1,(_bbt3[[#All],[ID]]=A1433)*(_bbt3[[#All],[METRIC_NAME]]="YLD_YTM_ASK"),_bbt3[[#All],[METRIC_VALUE]])*0.5)+(_xlfn.XLOOKUP(1,(_bbt3[[#All],[ID]]=A1433)*(_bbt3[[#All],[METRIC_NAME]]="YLD_YTM_BID"),_bbt3[[#All],[METRIC_VALUE]])*0.5))/100,"")</f>
        <v/>
      </c>
      <c r="I1433">
        <f>IF(ISNA(VLOOKUP(A1433,QW_CloseDL!A:E,5,0)),0,VLOOKUP(A1433,QW_CloseDL!A:E,5,0))</f>
        <v>0</v>
      </c>
      <c r="J1433" s="8" t="str">
        <f t="shared" si="110"/>
        <v/>
      </c>
      <c r="P1433">
        <v>0</v>
      </c>
      <c r="S1433" s="9" t="e">
        <f t="shared" si="111"/>
        <v>#N/A</v>
      </c>
      <c r="T1433" s="3" t="e">
        <f t="shared" si="112"/>
        <v>#N/A</v>
      </c>
    </row>
    <row r="1434" spans="2:20" x14ac:dyDescent="0.35">
      <c r="B1434" t="str">
        <f>IF(NOT(ISBLANK(A1434)),VLOOKUP(A1434,'BBT3'!A:F,2,0),"")</f>
        <v/>
      </c>
      <c r="C1434" t="str">
        <f>IF(NOT(ISBLANK(A1434)),VLOOKUP(A1434,'BBT3'!A:F,3,0),"")</f>
        <v/>
      </c>
      <c r="D1434" s="6" t="str">
        <f>IF(NOT(ISBLANK(A1434)),VLOOKUP(A1434,'BBT3'!A:F,4,1),"")</f>
        <v/>
      </c>
      <c r="E1434" t="str">
        <f>IF(NOT(ISBLANK(A1434)),VLOOKUP(A1434,'BBT3'!A:F,5,0),"")</f>
        <v/>
      </c>
      <c r="F1434" t="str">
        <f>IF(NOT(ISBLANK(A1434)),VLOOKUP(A1434,'BBT3'!A:F,6,0),"")</f>
        <v/>
      </c>
      <c r="G1434" t="str">
        <f>IF(NOT(ISBLANK(A1434)),VLOOKUP(A1434,QW_Close!A:J,5,0),"")</f>
        <v/>
      </c>
      <c r="H1434" s="5" t="str" cm="1">
        <f t="array" ref="H1434">IF(NOT(ISBLANK(A1434)),((_xlfn.XLOOKUP(1,(_bbt3[[#All],[ID]]=A1434)*(_bbt3[[#All],[METRIC_NAME]]="YLD_YTM_ASK"),_bbt3[[#All],[METRIC_VALUE]])*0.5)+(_xlfn.XLOOKUP(1,(_bbt3[[#All],[ID]]=A1434)*(_bbt3[[#All],[METRIC_NAME]]="YLD_YTM_BID"),_bbt3[[#All],[METRIC_VALUE]])*0.5))/100,"")</f>
        <v/>
      </c>
      <c r="I1434">
        <f>IF(ISNA(VLOOKUP(A1434,QW_CloseDL!A:E,5,0)),0,VLOOKUP(A1434,QW_CloseDL!A:E,5,0))</f>
        <v>0</v>
      </c>
      <c r="J1434" s="8" t="str">
        <f t="shared" si="110"/>
        <v/>
      </c>
      <c r="P1434">
        <v>0</v>
      </c>
      <c r="S1434" s="9" t="e">
        <f t="shared" si="111"/>
        <v>#N/A</v>
      </c>
      <c r="T1434" s="3" t="e">
        <f t="shared" si="112"/>
        <v>#N/A</v>
      </c>
    </row>
    <row r="1435" spans="2:20" x14ac:dyDescent="0.35">
      <c r="B1435" t="str">
        <f>IF(NOT(ISBLANK(A1435)),VLOOKUP(A1435,'BBT3'!A:F,2,0),"")</f>
        <v/>
      </c>
      <c r="C1435" t="str">
        <f>IF(NOT(ISBLANK(A1435)),VLOOKUP(A1435,'BBT3'!A:F,3,0),"")</f>
        <v/>
      </c>
      <c r="D1435" s="6" t="str">
        <f>IF(NOT(ISBLANK(A1435)),VLOOKUP(A1435,'BBT3'!A:F,4,1),"")</f>
        <v/>
      </c>
      <c r="E1435" t="str">
        <f>IF(NOT(ISBLANK(A1435)),VLOOKUP(A1435,'BBT3'!A:F,5,0),"")</f>
        <v/>
      </c>
      <c r="F1435" t="str">
        <f>IF(NOT(ISBLANK(A1435)),VLOOKUP(A1435,'BBT3'!A:F,6,0),"")</f>
        <v/>
      </c>
      <c r="G1435" t="str">
        <f>IF(NOT(ISBLANK(A1435)),VLOOKUP(A1435,QW_Close!A:J,5,0),"")</f>
        <v/>
      </c>
      <c r="H1435" s="5" t="str" cm="1">
        <f t="array" ref="H1435">IF(NOT(ISBLANK(A1435)),((_xlfn.XLOOKUP(1,(_bbt3[[#All],[ID]]=A1435)*(_bbt3[[#All],[METRIC_NAME]]="YLD_YTM_ASK"),_bbt3[[#All],[METRIC_VALUE]])*0.5)+(_xlfn.XLOOKUP(1,(_bbt3[[#All],[ID]]=A1435)*(_bbt3[[#All],[METRIC_NAME]]="YLD_YTM_BID"),_bbt3[[#All],[METRIC_VALUE]])*0.5))/100,"")</f>
        <v/>
      </c>
      <c r="I1435">
        <f>IF(ISNA(VLOOKUP(A1435,QW_CloseDL!A:E,5,0)),0,VLOOKUP(A1435,QW_CloseDL!A:E,5,0))</f>
        <v>0</v>
      </c>
      <c r="J1435" s="8" t="str">
        <f t="shared" si="110"/>
        <v/>
      </c>
      <c r="P1435">
        <v>0</v>
      </c>
      <c r="S1435" s="9" t="e">
        <f t="shared" si="111"/>
        <v>#N/A</v>
      </c>
      <c r="T1435" s="3" t="e">
        <f t="shared" si="112"/>
        <v>#N/A</v>
      </c>
    </row>
    <row r="1436" spans="2:20" x14ac:dyDescent="0.35">
      <c r="B1436" t="str">
        <f>IF(NOT(ISBLANK(A1436)),VLOOKUP(A1436,'BBT3'!A:F,2,0),"")</f>
        <v/>
      </c>
      <c r="C1436" t="str">
        <f>IF(NOT(ISBLANK(A1436)),VLOOKUP(A1436,'BBT3'!A:F,3,0),"")</f>
        <v/>
      </c>
      <c r="D1436" s="6" t="str">
        <f>IF(NOT(ISBLANK(A1436)),VLOOKUP(A1436,'BBT3'!A:F,4,1),"")</f>
        <v/>
      </c>
      <c r="E1436" t="str">
        <f>IF(NOT(ISBLANK(A1436)),VLOOKUP(A1436,'BBT3'!A:F,5,0),"")</f>
        <v/>
      </c>
      <c r="F1436" t="str">
        <f>IF(NOT(ISBLANK(A1436)),VLOOKUP(A1436,'BBT3'!A:F,6,0),"")</f>
        <v/>
      </c>
      <c r="G1436" t="str">
        <f>IF(NOT(ISBLANK(A1436)),VLOOKUP(A1436,QW_Close!A:J,5,0),"")</f>
        <v/>
      </c>
      <c r="H1436" s="5" t="str" cm="1">
        <f t="array" ref="H1436">IF(NOT(ISBLANK(A1436)),((_xlfn.XLOOKUP(1,(_bbt3[[#All],[ID]]=A1436)*(_bbt3[[#All],[METRIC_NAME]]="YLD_YTM_ASK"),_bbt3[[#All],[METRIC_VALUE]])*0.5)+(_xlfn.XLOOKUP(1,(_bbt3[[#All],[ID]]=A1436)*(_bbt3[[#All],[METRIC_NAME]]="YLD_YTM_BID"),_bbt3[[#All],[METRIC_VALUE]])*0.5))/100,"")</f>
        <v/>
      </c>
      <c r="I1436">
        <f>IF(ISNA(VLOOKUP(A1436,QW_CloseDL!A:E,5,0)),0,VLOOKUP(A1436,QW_CloseDL!A:E,5,0))</f>
        <v>0</v>
      </c>
      <c r="J1436" s="8" t="str">
        <f t="shared" si="110"/>
        <v/>
      </c>
      <c r="P1436">
        <v>0</v>
      </c>
      <c r="S1436" s="9" t="e">
        <f t="shared" si="111"/>
        <v>#N/A</v>
      </c>
      <c r="T1436" s="3" t="e">
        <f t="shared" si="112"/>
        <v>#N/A</v>
      </c>
    </row>
    <row r="1437" spans="2:20" x14ac:dyDescent="0.35">
      <c r="B1437" t="str">
        <f>IF(NOT(ISBLANK(A1437)),VLOOKUP(A1437,'BBT3'!A:F,2,0),"")</f>
        <v/>
      </c>
      <c r="C1437" t="str">
        <f>IF(NOT(ISBLANK(A1437)),VLOOKUP(A1437,'BBT3'!A:F,3,0),"")</f>
        <v/>
      </c>
      <c r="D1437" s="6" t="str">
        <f>IF(NOT(ISBLANK(A1437)),VLOOKUP(A1437,'BBT3'!A:F,4,1),"")</f>
        <v/>
      </c>
      <c r="E1437" t="str">
        <f>IF(NOT(ISBLANK(A1437)),VLOOKUP(A1437,'BBT3'!A:F,5,0),"")</f>
        <v/>
      </c>
      <c r="F1437" t="str">
        <f>IF(NOT(ISBLANK(A1437)),VLOOKUP(A1437,'BBT3'!A:F,6,0),"")</f>
        <v/>
      </c>
      <c r="G1437" t="str">
        <f>IF(NOT(ISBLANK(A1437)),VLOOKUP(A1437,QW_Close!A:J,5,0),"")</f>
        <v/>
      </c>
      <c r="H1437" s="5" t="str" cm="1">
        <f t="array" ref="H1437">IF(NOT(ISBLANK(A1437)),((_xlfn.XLOOKUP(1,(_bbt3[[#All],[ID]]=A1437)*(_bbt3[[#All],[METRIC_NAME]]="YLD_YTM_ASK"),_bbt3[[#All],[METRIC_VALUE]])*0.5)+(_xlfn.XLOOKUP(1,(_bbt3[[#All],[ID]]=A1437)*(_bbt3[[#All],[METRIC_NAME]]="YLD_YTM_BID"),_bbt3[[#All],[METRIC_VALUE]])*0.5))/100,"")</f>
        <v/>
      </c>
      <c r="I1437">
        <f>IF(ISNA(VLOOKUP(A1437,QW_CloseDL!A:E,5,0)),0,VLOOKUP(A1437,QW_CloseDL!A:E,5,0))</f>
        <v>0</v>
      </c>
      <c r="J1437" s="8" t="str">
        <f t="shared" si="110"/>
        <v/>
      </c>
      <c r="P1437">
        <v>0</v>
      </c>
      <c r="S1437" s="9" t="e">
        <f t="shared" si="111"/>
        <v>#N/A</v>
      </c>
      <c r="T1437" s="3" t="e">
        <f t="shared" si="112"/>
        <v>#N/A</v>
      </c>
    </row>
    <row r="1438" spans="2:20" x14ac:dyDescent="0.35">
      <c r="B1438" t="str">
        <f>IF(NOT(ISBLANK(A1438)),VLOOKUP(A1438,'BBT3'!A:F,2,0),"")</f>
        <v/>
      </c>
      <c r="C1438" t="str">
        <f>IF(NOT(ISBLANK(A1438)),VLOOKUP(A1438,'BBT3'!A:F,3,0),"")</f>
        <v/>
      </c>
      <c r="D1438" s="6" t="str">
        <f>IF(NOT(ISBLANK(A1438)),VLOOKUP(A1438,'BBT3'!A:F,4,1),"")</f>
        <v/>
      </c>
      <c r="E1438" t="str">
        <f>IF(NOT(ISBLANK(A1438)),VLOOKUP(A1438,'BBT3'!A:F,5,0),"")</f>
        <v/>
      </c>
      <c r="F1438" t="str">
        <f>IF(NOT(ISBLANK(A1438)),VLOOKUP(A1438,'BBT3'!A:F,6,0),"")</f>
        <v/>
      </c>
      <c r="G1438" t="str">
        <f>IF(NOT(ISBLANK(A1438)),VLOOKUP(A1438,QW_Close!A:J,5,0),"")</f>
        <v/>
      </c>
      <c r="H1438" s="5" t="str" cm="1">
        <f t="array" ref="H1438">IF(NOT(ISBLANK(A1438)),((_xlfn.XLOOKUP(1,(_bbt3[[#All],[ID]]=A1438)*(_bbt3[[#All],[METRIC_NAME]]="YLD_YTM_ASK"),_bbt3[[#All],[METRIC_VALUE]])*0.5)+(_xlfn.XLOOKUP(1,(_bbt3[[#All],[ID]]=A1438)*(_bbt3[[#All],[METRIC_NAME]]="YLD_YTM_BID"),_bbt3[[#All],[METRIC_VALUE]])*0.5))/100,"")</f>
        <v/>
      </c>
      <c r="I1438">
        <f>IF(ISNA(VLOOKUP(A1438,QW_CloseDL!A:E,5,0)),0,VLOOKUP(A1438,QW_CloseDL!A:E,5,0))</f>
        <v>0</v>
      </c>
      <c r="J1438" s="8" t="str">
        <f t="shared" si="110"/>
        <v/>
      </c>
      <c r="P1438">
        <v>0</v>
      </c>
      <c r="S1438" s="9" t="e">
        <f t="shared" si="111"/>
        <v>#N/A</v>
      </c>
      <c r="T1438" s="3" t="e">
        <f t="shared" si="112"/>
        <v>#N/A</v>
      </c>
    </row>
    <row r="1439" spans="2:20" x14ac:dyDescent="0.35">
      <c r="B1439" t="str">
        <f>IF(NOT(ISBLANK(A1439)),VLOOKUP(A1439,'BBT3'!A:F,2,0),"")</f>
        <v/>
      </c>
      <c r="C1439" t="str">
        <f>IF(NOT(ISBLANK(A1439)),VLOOKUP(A1439,'BBT3'!A:F,3,0),"")</f>
        <v/>
      </c>
      <c r="D1439" s="6" t="str">
        <f>IF(NOT(ISBLANK(A1439)),VLOOKUP(A1439,'BBT3'!A:F,4,1),"")</f>
        <v/>
      </c>
      <c r="E1439" t="str">
        <f>IF(NOT(ISBLANK(A1439)),VLOOKUP(A1439,'BBT3'!A:F,5,0),"")</f>
        <v/>
      </c>
      <c r="F1439" t="str">
        <f>IF(NOT(ISBLANK(A1439)),VLOOKUP(A1439,'BBT3'!A:F,6,0),"")</f>
        <v/>
      </c>
      <c r="G1439" t="str">
        <f>IF(NOT(ISBLANK(A1439)),VLOOKUP(A1439,QW_Close!A:J,5,0),"")</f>
        <v/>
      </c>
      <c r="H1439" s="5" t="str" cm="1">
        <f t="array" ref="H1439">IF(NOT(ISBLANK(A1439)),((_xlfn.XLOOKUP(1,(_bbt3[[#All],[ID]]=A1439)*(_bbt3[[#All],[METRIC_NAME]]="YLD_YTM_ASK"),_bbt3[[#All],[METRIC_VALUE]])*0.5)+(_xlfn.XLOOKUP(1,(_bbt3[[#All],[ID]]=A1439)*(_bbt3[[#All],[METRIC_NAME]]="YLD_YTM_BID"),_bbt3[[#All],[METRIC_VALUE]])*0.5))/100,"")</f>
        <v/>
      </c>
      <c r="I1439">
        <f>IF(ISNA(VLOOKUP(A1439,QW_CloseDL!A:E,5,0)),0,VLOOKUP(A1439,QW_CloseDL!A:E,5,0))</f>
        <v>0</v>
      </c>
      <c r="J1439" s="8" t="str">
        <f t="shared" si="110"/>
        <v/>
      </c>
      <c r="P1439">
        <v>0</v>
      </c>
      <c r="S1439" s="9" t="e">
        <f t="shared" si="111"/>
        <v>#N/A</v>
      </c>
      <c r="T1439" s="3" t="e">
        <f t="shared" si="112"/>
        <v>#N/A</v>
      </c>
    </row>
    <row r="1440" spans="2:20" x14ac:dyDescent="0.35">
      <c r="B1440" t="str">
        <f>IF(NOT(ISBLANK(A1440)),VLOOKUP(A1440,'BBT3'!A:F,2,0),"")</f>
        <v/>
      </c>
      <c r="C1440" t="str">
        <f>IF(NOT(ISBLANK(A1440)),VLOOKUP(A1440,'BBT3'!A:F,3,0),"")</f>
        <v/>
      </c>
      <c r="D1440" s="6" t="str">
        <f>IF(NOT(ISBLANK(A1440)),VLOOKUP(A1440,'BBT3'!A:F,4,1),"")</f>
        <v/>
      </c>
      <c r="E1440" t="str">
        <f>IF(NOT(ISBLANK(A1440)),VLOOKUP(A1440,'BBT3'!A:F,5,0),"")</f>
        <v/>
      </c>
      <c r="F1440" t="str">
        <f>IF(NOT(ISBLANK(A1440)),VLOOKUP(A1440,'BBT3'!A:F,6,0),"")</f>
        <v/>
      </c>
      <c r="G1440" t="str">
        <f>IF(NOT(ISBLANK(A1440)),VLOOKUP(A1440,QW_Close!A:J,5,0),"")</f>
        <v/>
      </c>
      <c r="H1440" s="5" t="str" cm="1">
        <f t="array" ref="H1440">IF(NOT(ISBLANK(A1440)),((_xlfn.XLOOKUP(1,(_bbt3[[#All],[ID]]=A1440)*(_bbt3[[#All],[METRIC_NAME]]="YLD_YTM_ASK"),_bbt3[[#All],[METRIC_VALUE]])*0.5)+(_xlfn.XLOOKUP(1,(_bbt3[[#All],[ID]]=A1440)*(_bbt3[[#All],[METRIC_NAME]]="YLD_YTM_BID"),_bbt3[[#All],[METRIC_VALUE]])*0.5))/100,"")</f>
        <v/>
      </c>
      <c r="I1440">
        <f>IF(ISNA(VLOOKUP(A1440,QW_CloseDL!A:E,5,0)),0,VLOOKUP(A1440,QW_CloseDL!A:E,5,0))</f>
        <v>0</v>
      </c>
      <c r="J1440" s="8" t="str">
        <f t="shared" si="110"/>
        <v/>
      </c>
      <c r="P1440">
        <v>0</v>
      </c>
      <c r="S1440" s="9" t="e">
        <f t="shared" si="111"/>
        <v>#N/A</v>
      </c>
      <c r="T1440" s="3" t="e">
        <f t="shared" si="112"/>
        <v>#N/A</v>
      </c>
    </row>
    <row r="1441" spans="2:20" x14ac:dyDescent="0.35">
      <c r="B1441" t="str">
        <f>IF(NOT(ISBLANK(A1441)),VLOOKUP(A1441,'BBT3'!A:F,2,0),"")</f>
        <v/>
      </c>
      <c r="C1441" t="str">
        <f>IF(NOT(ISBLANK(A1441)),VLOOKUP(A1441,'BBT3'!A:F,3,0),"")</f>
        <v/>
      </c>
      <c r="D1441" s="6" t="str">
        <f>IF(NOT(ISBLANK(A1441)),VLOOKUP(A1441,'BBT3'!A:F,4,1),"")</f>
        <v/>
      </c>
      <c r="E1441" t="str">
        <f>IF(NOT(ISBLANK(A1441)),VLOOKUP(A1441,'BBT3'!A:F,5,0),"")</f>
        <v/>
      </c>
      <c r="F1441" t="str">
        <f>IF(NOT(ISBLANK(A1441)),VLOOKUP(A1441,'BBT3'!A:F,6,0),"")</f>
        <v/>
      </c>
      <c r="G1441" t="str">
        <f>IF(NOT(ISBLANK(A1441)),VLOOKUP(A1441,QW_Close!A:J,5,0),"")</f>
        <v/>
      </c>
      <c r="H1441" s="5" t="str" cm="1">
        <f t="array" ref="H1441">IF(NOT(ISBLANK(A1441)),((_xlfn.XLOOKUP(1,(_bbt3[[#All],[ID]]=A1441)*(_bbt3[[#All],[METRIC_NAME]]="YLD_YTM_ASK"),_bbt3[[#All],[METRIC_VALUE]])*0.5)+(_xlfn.XLOOKUP(1,(_bbt3[[#All],[ID]]=A1441)*(_bbt3[[#All],[METRIC_NAME]]="YLD_YTM_BID"),_bbt3[[#All],[METRIC_VALUE]])*0.5))/100,"")</f>
        <v/>
      </c>
      <c r="I1441">
        <f>IF(ISNA(VLOOKUP(A1441,QW_CloseDL!A:E,5,0)),0,VLOOKUP(A1441,QW_CloseDL!A:E,5,0))</f>
        <v>0</v>
      </c>
      <c r="J1441" s="8" t="str">
        <f t="shared" si="110"/>
        <v/>
      </c>
      <c r="P1441">
        <v>0</v>
      </c>
      <c r="S1441" s="9" t="e">
        <f t="shared" si="111"/>
        <v>#N/A</v>
      </c>
      <c r="T1441" s="3" t="e">
        <f t="shared" si="112"/>
        <v>#N/A</v>
      </c>
    </row>
    <row r="1442" spans="2:20" x14ac:dyDescent="0.35">
      <c r="B1442" t="str">
        <f>IF(NOT(ISBLANK(A1442)),VLOOKUP(A1442,'BBT3'!A:F,2,0),"")</f>
        <v/>
      </c>
      <c r="C1442" t="str">
        <f>IF(NOT(ISBLANK(A1442)),VLOOKUP(A1442,'BBT3'!A:F,3,0),"")</f>
        <v/>
      </c>
      <c r="D1442" s="6" t="str">
        <f>IF(NOT(ISBLANK(A1442)),VLOOKUP(A1442,'BBT3'!A:F,4,1),"")</f>
        <v/>
      </c>
      <c r="E1442" t="str">
        <f>IF(NOT(ISBLANK(A1442)),VLOOKUP(A1442,'BBT3'!A:F,5,0),"")</f>
        <v/>
      </c>
      <c r="F1442" t="str">
        <f>IF(NOT(ISBLANK(A1442)),VLOOKUP(A1442,'BBT3'!A:F,6,0),"")</f>
        <v/>
      </c>
      <c r="G1442" t="str">
        <f>IF(NOT(ISBLANK(A1442)),VLOOKUP(A1442,QW_Close!A:J,5,0),"")</f>
        <v/>
      </c>
      <c r="H1442" s="5" t="str" cm="1">
        <f t="array" ref="H1442">IF(NOT(ISBLANK(A1442)),((_xlfn.XLOOKUP(1,(_bbt3[[#All],[ID]]=A1442)*(_bbt3[[#All],[METRIC_NAME]]="YLD_YTM_ASK"),_bbt3[[#All],[METRIC_VALUE]])*0.5)+(_xlfn.XLOOKUP(1,(_bbt3[[#All],[ID]]=A1442)*(_bbt3[[#All],[METRIC_NAME]]="YLD_YTM_BID"),_bbt3[[#All],[METRIC_VALUE]])*0.5))/100,"")</f>
        <v/>
      </c>
      <c r="I1442">
        <f>IF(ISNA(VLOOKUP(A1442,QW_CloseDL!A:E,5,0)),0,VLOOKUP(A1442,QW_CloseDL!A:E,5,0))</f>
        <v>0</v>
      </c>
      <c r="J1442" s="8" t="str">
        <f t="shared" si="110"/>
        <v/>
      </c>
      <c r="P1442">
        <v>0</v>
      </c>
      <c r="S1442" s="9" t="e">
        <f t="shared" si="111"/>
        <v>#N/A</v>
      </c>
      <c r="T1442" s="3" t="e">
        <f t="shared" si="112"/>
        <v>#N/A</v>
      </c>
    </row>
    <row r="1443" spans="2:20" x14ac:dyDescent="0.35">
      <c r="B1443" t="str">
        <f>IF(NOT(ISBLANK(A1443)),VLOOKUP(A1443,'BBT3'!A:F,2,0),"")</f>
        <v/>
      </c>
      <c r="C1443" t="str">
        <f>IF(NOT(ISBLANK(A1443)),VLOOKUP(A1443,'BBT3'!A:F,3,0),"")</f>
        <v/>
      </c>
      <c r="D1443" s="6" t="str">
        <f>IF(NOT(ISBLANK(A1443)),VLOOKUP(A1443,'BBT3'!A:F,4,1),"")</f>
        <v/>
      </c>
      <c r="E1443" t="str">
        <f>IF(NOT(ISBLANK(A1443)),VLOOKUP(A1443,'BBT3'!A:F,5,0),"")</f>
        <v/>
      </c>
      <c r="F1443" t="str">
        <f>IF(NOT(ISBLANK(A1443)),VLOOKUP(A1443,'BBT3'!A:F,6,0),"")</f>
        <v/>
      </c>
      <c r="G1443" t="str">
        <f>IF(NOT(ISBLANK(A1443)),VLOOKUP(A1443,QW_Close!A:J,5,0),"")</f>
        <v/>
      </c>
      <c r="H1443" s="5" t="str" cm="1">
        <f t="array" ref="H1443">IF(NOT(ISBLANK(A1443)),((_xlfn.XLOOKUP(1,(_bbt3[[#All],[ID]]=A1443)*(_bbt3[[#All],[METRIC_NAME]]="YLD_YTM_ASK"),_bbt3[[#All],[METRIC_VALUE]])*0.5)+(_xlfn.XLOOKUP(1,(_bbt3[[#All],[ID]]=A1443)*(_bbt3[[#All],[METRIC_NAME]]="YLD_YTM_BID"),_bbt3[[#All],[METRIC_VALUE]])*0.5))/100,"")</f>
        <v/>
      </c>
      <c r="I1443">
        <f>IF(ISNA(VLOOKUP(A1443,QW_CloseDL!A:E,5,0)),0,VLOOKUP(A1443,QW_CloseDL!A:E,5,0))</f>
        <v>0</v>
      </c>
      <c r="J1443" s="8" t="str">
        <f t="shared" si="110"/>
        <v/>
      </c>
      <c r="S1443" s="9" t="e">
        <f t="shared" si="111"/>
        <v>#N/A</v>
      </c>
      <c r="T1443" s="3" t="e">
        <f t="shared" si="112"/>
        <v>#N/A</v>
      </c>
    </row>
    <row r="1444" spans="2:20" x14ac:dyDescent="0.35">
      <c r="B1444" t="str">
        <f>IF(NOT(ISBLANK(A1444)),VLOOKUP(A1444,'BBT3'!A:F,2,0),"")</f>
        <v/>
      </c>
      <c r="C1444" t="str">
        <f>IF(NOT(ISBLANK(A1444)),VLOOKUP(A1444,'BBT3'!A:F,3,0),"")</f>
        <v/>
      </c>
      <c r="D1444" s="6" t="str">
        <f>IF(NOT(ISBLANK(A1444)),VLOOKUP(A1444,'BBT3'!A:F,4,1),"")</f>
        <v/>
      </c>
      <c r="E1444" t="str">
        <f>IF(NOT(ISBLANK(A1444)),VLOOKUP(A1444,'BBT3'!A:F,5,0),"")</f>
        <v/>
      </c>
      <c r="F1444" t="str">
        <f>IF(NOT(ISBLANK(A1444)),VLOOKUP(A1444,'BBT3'!A:F,6,0),"")</f>
        <v/>
      </c>
      <c r="G1444" t="str">
        <f>IF(NOT(ISBLANK(A1444)),VLOOKUP(A1444,QW_Close!A:J,5,0),"")</f>
        <v/>
      </c>
      <c r="H1444" s="5" t="str" cm="1">
        <f t="array" ref="H1444">IF(NOT(ISBLANK(A1444)),((_xlfn.XLOOKUP(1,(_bbt3[[#All],[ID]]=A1444)*(_bbt3[[#All],[METRIC_NAME]]="YLD_YTM_ASK"),_bbt3[[#All],[METRIC_VALUE]])*0.5)+(_xlfn.XLOOKUP(1,(_bbt3[[#All],[ID]]=A1444)*(_bbt3[[#All],[METRIC_NAME]]="YLD_YTM_BID"),_bbt3[[#All],[METRIC_VALUE]])*0.5))/100,"")</f>
        <v/>
      </c>
      <c r="I1444">
        <f>IF(ISNA(VLOOKUP(A1444,QW_CloseDL!A:E,5,0)),0,VLOOKUP(A1444,QW_CloseDL!A:E,5,0))</f>
        <v>0</v>
      </c>
      <c r="J1444" s="8" t="str">
        <f t="shared" si="110"/>
        <v/>
      </c>
      <c r="S1444" s="9" t="e">
        <f t="shared" si="111"/>
        <v>#N/A</v>
      </c>
      <c r="T1444" s="3" t="e">
        <f t="shared" si="112"/>
        <v>#N/A</v>
      </c>
    </row>
    <row r="1445" spans="2:20" x14ac:dyDescent="0.35">
      <c r="B1445" t="str">
        <f>IF(NOT(ISBLANK(A1445)),VLOOKUP(A1445,'BBT3'!A:F,2,0),"")</f>
        <v/>
      </c>
      <c r="C1445" t="str">
        <f>IF(NOT(ISBLANK(A1445)),VLOOKUP(A1445,'BBT3'!A:F,3,0),"")</f>
        <v/>
      </c>
      <c r="D1445" s="6" t="str">
        <f>IF(NOT(ISBLANK(A1445)),VLOOKUP(A1445,'BBT3'!A:F,4,1),"")</f>
        <v/>
      </c>
      <c r="E1445" t="str">
        <f>IF(NOT(ISBLANK(A1445)),VLOOKUP(A1445,'BBT3'!A:F,5,0),"")</f>
        <v/>
      </c>
      <c r="F1445" t="str">
        <f>IF(NOT(ISBLANK(A1445)),VLOOKUP(A1445,'BBT3'!A:F,6,0),"")</f>
        <v/>
      </c>
      <c r="G1445" t="str">
        <f>IF(NOT(ISBLANK(A1445)),VLOOKUP(A1445,QW_Close!A:J,5,0),"")</f>
        <v/>
      </c>
      <c r="H1445" s="5" t="str" cm="1">
        <f t="array" ref="H1445">IF(NOT(ISBLANK(A1445)),((_xlfn.XLOOKUP(1,(_bbt3[[#All],[ID]]=A1445)*(_bbt3[[#All],[METRIC_NAME]]="YLD_YTM_ASK"),_bbt3[[#All],[METRIC_VALUE]])*0.5)+(_xlfn.XLOOKUP(1,(_bbt3[[#All],[ID]]=A1445)*(_bbt3[[#All],[METRIC_NAME]]="YLD_YTM_BID"),_bbt3[[#All],[METRIC_VALUE]])*0.5))/100,"")</f>
        <v/>
      </c>
      <c r="I1445">
        <f>IF(ISNA(VLOOKUP(A1445,QW_CloseDL!A:E,5,0)),0,VLOOKUP(A1445,QW_CloseDL!A:E,5,0))</f>
        <v>0</v>
      </c>
      <c r="J1445" s="8" t="str">
        <f t="shared" si="110"/>
        <v/>
      </c>
      <c r="S1445" s="9" t="e">
        <f t="shared" si="111"/>
        <v>#N/A</v>
      </c>
      <c r="T1445" s="3" t="e">
        <f t="shared" si="112"/>
        <v>#N/A</v>
      </c>
    </row>
    <row r="1446" spans="2:20" x14ac:dyDescent="0.35">
      <c r="B1446" t="str">
        <f>IF(NOT(ISBLANK(A1446)),VLOOKUP(A1446,'BBT3'!A:F,2,0),"")</f>
        <v/>
      </c>
      <c r="C1446" t="str">
        <f>IF(NOT(ISBLANK(A1446)),VLOOKUP(A1446,'BBT3'!A:F,3,0),"")</f>
        <v/>
      </c>
      <c r="D1446" s="6" t="str">
        <f>IF(NOT(ISBLANK(A1446)),VLOOKUP(A1446,'BBT3'!A:F,4,1),"")</f>
        <v/>
      </c>
      <c r="E1446" t="str">
        <f>IF(NOT(ISBLANK(A1446)),VLOOKUP(A1446,'BBT3'!A:F,5,0),"")</f>
        <v/>
      </c>
      <c r="F1446" t="str">
        <f>IF(NOT(ISBLANK(A1446)),VLOOKUP(A1446,'BBT3'!A:F,6,0),"")</f>
        <v/>
      </c>
      <c r="G1446" t="str">
        <f>IF(NOT(ISBLANK(A1446)),VLOOKUP(A1446,QW_Close!A:J,5,0),"")</f>
        <v/>
      </c>
      <c r="H1446" s="5" t="str" cm="1">
        <f t="array" ref="H1446">IF(NOT(ISBLANK(A1446)),((_xlfn.XLOOKUP(1,(_bbt3[[#All],[ID]]=A1446)*(_bbt3[[#All],[METRIC_NAME]]="YLD_YTM_ASK"),_bbt3[[#All],[METRIC_VALUE]])*0.5)+(_xlfn.XLOOKUP(1,(_bbt3[[#All],[ID]]=A1446)*(_bbt3[[#All],[METRIC_NAME]]="YLD_YTM_BID"),_bbt3[[#All],[METRIC_VALUE]])*0.5))/100,"")</f>
        <v/>
      </c>
      <c r="I1446">
        <f>IF(ISNA(VLOOKUP(A1446,QW_CloseDL!A:E,5,0)),0,VLOOKUP(A1446,QW_CloseDL!A:E,5,0))</f>
        <v>0</v>
      </c>
      <c r="J1446" s="8" t="str">
        <f t="shared" si="110"/>
        <v/>
      </c>
      <c r="S1446" s="9" t="e">
        <f t="shared" si="111"/>
        <v>#N/A</v>
      </c>
      <c r="T1446" s="3" t="e">
        <f t="shared" si="112"/>
        <v>#N/A</v>
      </c>
    </row>
    <row r="1447" spans="2:20" x14ac:dyDescent="0.35">
      <c r="B1447" t="str">
        <f>IF(NOT(ISBLANK(A1447)),VLOOKUP(A1447,'BBT3'!A:F,2,0),"")</f>
        <v/>
      </c>
      <c r="C1447" t="str">
        <f>IF(NOT(ISBLANK(A1447)),VLOOKUP(A1447,'BBT3'!A:F,3,0),"")</f>
        <v/>
      </c>
      <c r="D1447" s="6" t="str">
        <f>IF(NOT(ISBLANK(A1447)),VLOOKUP(A1447,'BBT3'!A:F,4,1),"")</f>
        <v/>
      </c>
      <c r="E1447" t="str">
        <f>IF(NOT(ISBLANK(A1447)),VLOOKUP(A1447,'BBT3'!A:F,5,0),"")</f>
        <v/>
      </c>
      <c r="F1447" t="str">
        <f>IF(NOT(ISBLANK(A1447)),VLOOKUP(A1447,'BBT3'!A:F,6,0),"")</f>
        <v/>
      </c>
      <c r="G1447" t="str">
        <f>IF(NOT(ISBLANK(A1447)),VLOOKUP(A1447,QW_Close!A:J,5,0),"")</f>
        <v/>
      </c>
      <c r="H1447" s="5" t="str" cm="1">
        <f t="array" ref="H1447">IF(NOT(ISBLANK(A1447)),((_xlfn.XLOOKUP(1,(_bbt3[[#All],[ID]]=A1447)*(_bbt3[[#All],[METRIC_NAME]]="YLD_YTM_ASK"),_bbt3[[#All],[METRIC_VALUE]])*0.5)+(_xlfn.XLOOKUP(1,(_bbt3[[#All],[ID]]=A1447)*(_bbt3[[#All],[METRIC_NAME]]="YLD_YTM_BID"),_bbt3[[#All],[METRIC_VALUE]])*0.5))/100,"")</f>
        <v/>
      </c>
      <c r="I1447">
        <f>IF(ISNA(VLOOKUP(A1447,QW_CloseDL!A:E,5,0)),0,VLOOKUP(A1447,QW_CloseDL!A:E,5,0))</f>
        <v>0</v>
      </c>
      <c r="J1447" s="8" t="str">
        <f t="shared" si="110"/>
        <v/>
      </c>
      <c r="S1447" s="9" t="e">
        <f t="shared" si="111"/>
        <v>#N/A</v>
      </c>
      <c r="T1447" s="3" t="e">
        <f t="shared" si="112"/>
        <v>#N/A</v>
      </c>
    </row>
    <row r="1448" spans="2:20" x14ac:dyDescent="0.35">
      <c r="B1448" t="str">
        <f>IF(NOT(ISBLANK(A1448)),VLOOKUP(A1448,'BBT3'!A:F,2,0),"")</f>
        <v/>
      </c>
      <c r="C1448" t="str">
        <f>IF(NOT(ISBLANK(A1448)),VLOOKUP(A1448,'BBT3'!A:F,3,0),"")</f>
        <v/>
      </c>
      <c r="D1448" s="6" t="str">
        <f>IF(NOT(ISBLANK(A1448)),VLOOKUP(A1448,'BBT3'!A:F,4,1),"")</f>
        <v/>
      </c>
      <c r="E1448" t="str">
        <f>IF(NOT(ISBLANK(A1448)),VLOOKUP(A1448,'BBT3'!A:F,5,0),"")</f>
        <v/>
      </c>
      <c r="F1448" t="str">
        <f>IF(NOT(ISBLANK(A1448)),VLOOKUP(A1448,'BBT3'!A:F,6,0),"")</f>
        <v/>
      </c>
      <c r="G1448" t="str">
        <f>IF(NOT(ISBLANK(A1448)),VLOOKUP(A1448,QW_Close!A:J,5,0),"")</f>
        <v/>
      </c>
      <c r="H1448" s="5" t="str" cm="1">
        <f t="array" ref="H1448">IF(NOT(ISBLANK(A1448)),((_xlfn.XLOOKUP(1,(_bbt3[[#All],[ID]]=A1448)*(_bbt3[[#All],[METRIC_NAME]]="YLD_YTM_ASK"),_bbt3[[#All],[METRIC_VALUE]])*0.5)+(_xlfn.XLOOKUP(1,(_bbt3[[#All],[ID]]=A1448)*(_bbt3[[#All],[METRIC_NAME]]="YLD_YTM_BID"),_bbt3[[#All],[METRIC_VALUE]])*0.5))/100,"")</f>
        <v/>
      </c>
      <c r="I1448">
        <f>IF(ISNA(VLOOKUP(A1448,QW_CloseDL!A:E,5,0)),0,VLOOKUP(A1448,QW_CloseDL!A:E,5,0))</f>
        <v>0</v>
      </c>
      <c r="J1448" s="8" t="str">
        <f t="shared" si="110"/>
        <v/>
      </c>
      <c r="S1448" s="9" t="e">
        <f t="shared" si="111"/>
        <v>#N/A</v>
      </c>
      <c r="T1448" s="3" t="e">
        <f t="shared" si="112"/>
        <v>#N/A</v>
      </c>
    </row>
    <row r="1449" spans="2:20" x14ac:dyDescent="0.35">
      <c r="B1449" t="str">
        <f>IF(NOT(ISBLANK(A1449)),VLOOKUP(A1449,'BBT3'!A:F,2,0),"")</f>
        <v/>
      </c>
      <c r="C1449" t="str">
        <f>IF(NOT(ISBLANK(A1449)),VLOOKUP(A1449,'BBT3'!A:F,3,0),"")</f>
        <v/>
      </c>
      <c r="D1449" s="6" t="str">
        <f>IF(NOT(ISBLANK(A1449)),VLOOKUP(A1449,'BBT3'!A:F,4,1),"")</f>
        <v/>
      </c>
      <c r="E1449" t="str">
        <f>IF(NOT(ISBLANK(A1449)),VLOOKUP(A1449,'BBT3'!A:F,5,0),"")</f>
        <v/>
      </c>
      <c r="F1449" t="str">
        <f>IF(NOT(ISBLANK(A1449)),VLOOKUP(A1449,'BBT3'!A:F,6,0),"")</f>
        <v/>
      </c>
      <c r="G1449" t="str">
        <f>IF(NOT(ISBLANK(A1449)),VLOOKUP(A1449,QW_Close!A:J,5,0),"")</f>
        <v/>
      </c>
      <c r="H1449" s="5" t="str" cm="1">
        <f t="array" ref="H1449">IF(NOT(ISBLANK(A1449)),((_xlfn.XLOOKUP(1,(_bbt3[[#All],[ID]]=A1449)*(_bbt3[[#All],[METRIC_NAME]]="YLD_YTM_ASK"),_bbt3[[#All],[METRIC_VALUE]])*0.5)+(_xlfn.XLOOKUP(1,(_bbt3[[#All],[ID]]=A1449)*(_bbt3[[#All],[METRIC_NAME]]="YLD_YTM_BID"),_bbt3[[#All],[METRIC_VALUE]])*0.5))/100,"")</f>
        <v/>
      </c>
      <c r="I1449">
        <f>IF(ISNA(VLOOKUP(A1449,QW_CloseDL!A:E,5,0)),0,VLOOKUP(A1449,QW_CloseDL!A:E,5,0))</f>
        <v>0</v>
      </c>
      <c r="J1449" s="8" t="str">
        <f t="shared" si="110"/>
        <v/>
      </c>
      <c r="S1449" s="9" t="e">
        <f t="shared" si="111"/>
        <v>#N/A</v>
      </c>
      <c r="T1449" s="3" t="e">
        <f t="shared" si="112"/>
        <v>#N/A</v>
      </c>
    </row>
    <row r="1450" spans="2:20" x14ac:dyDescent="0.35">
      <c r="B1450" t="str">
        <f>IF(NOT(ISBLANK(A1450)),VLOOKUP(A1450,'BBT3'!A:F,2,0),"")</f>
        <v/>
      </c>
      <c r="C1450" t="str">
        <f>IF(NOT(ISBLANK(A1450)),VLOOKUP(A1450,'BBT3'!A:F,3,0),"")</f>
        <v/>
      </c>
      <c r="D1450" s="6" t="str">
        <f>IF(NOT(ISBLANK(A1450)),VLOOKUP(A1450,'BBT3'!A:F,4,1),"")</f>
        <v/>
      </c>
      <c r="E1450" t="str">
        <f>IF(NOT(ISBLANK(A1450)),VLOOKUP(A1450,'BBT3'!A:F,5,0),"")</f>
        <v/>
      </c>
      <c r="F1450" t="str">
        <f>IF(NOT(ISBLANK(A1450)),VLOOKUP(A1450,'BBT3'!A:F,6,0),"")</f>
        <v/>
      </c>
      <c r="G1450" t="str">
        <f>IF(NOT(ISBLANK(A1450)),VLOOKUP(A1450,QW_Close!A:J,5,0),"")</f>
        <v/>
      </c>
      <c r="H1450" s="5" t="str" cm="1">
        <f t="array" ref="H1450">IF(NOT(ISBLANK(A1450)),((_xlfn.XLOOKUP(1,(_bbt3[[#All],[ID]]=A1450)*(_bbt3[[#All],[METRIC_NAME]]="YLD_YTM_ASK"),_bbt3[[#All],[METRIC_VALUE]])*0.5)+(_xlfn.XLOOKUP(1,(_bbt3[[#All],[ID]]=A1450)*(_bbt3[[#All],[METRIC_NAME]]="YLD_YTM_BID"),_bbt3[[#All],[METRIC_VALUE]])*0.5))/100,"")</f>
        <v/>
      </c>
      <c r="I1450">
        <f>IF(ISNA(VLOOKUP(A1450,QW_CloseDL!A:E,5,0)),0,VLOOKUP(A1450,QW_CloseDL!A:E,5,0))</f>
        <v>0</v>
      </c>
      <c r="J1450" s="8" t="str">
        <f t="shared" si="110"/>
        <v/>
      </c>
      <c r="S1450" s="9" t="e">
        <f t="shared" si="111"/>
        <v>#N/A</v>
      </c>
      <c r="T1450" s="3" t="e">
        <f t="shared" si="112"/>
        <v>#N/A</v>
      </c>
    </row>
    <row r="1451" spans="2:20" x14ac:dyDescent="0.35">
      <c r="B1451" t="str">
        <f>IF(NOT(ISBLANK(A1451)),VLOOKUP(A1451,'BBT3'!A:F,2,0),"")</f>
        <v/>
      </c>
      <c r="C1451" t="str">
        <f>IF(NOT(ISBLANK(A1451)),VLOOKUP(A1451,'BBT3'!A:F,3,0),"")</f>
        <v/>
      </c>
      <c r="D1451" s="6" t="str">
        <f>IF(NOT(ISBLANK(A1451)),VLOOKUP(A1451,'BBT3'!A:F,4,1),"")</f>
        <v/>
      </c>
      <c r="E1451" t="str">
        <f>IF(NOT(ISBLANK(A1451)),VLOOKUP(A1451,'BBT3'!A:F,5,0),"")</f>
        <v/>
      </c>
      <c r="F1451" t="str">
        <f>IF(NOT(ISBLANK(A1451)),VLOOKUP(A1451,'BBT3'!A:F,6,0),"")</f>
        <v/>
      </c>
      <c r="G1451" t="str">
        <f>IF(NOT(ISBLANK(A1451)),VLOOKUP(A1451,QW_Close!A:J,5,0),"")</f>
        <v/>
      </c>
      <c r="H1451" s="5" t="str" cm="1">
        <f t="array" ref="H1451">IF(NOT(ISBLANK(A1451)),((_xlfn.XLOOKUP(1,(_bbt3[[#All],[ID]]=A1451)*(_bbt3[[#All],[METRIC_NAME]]="YLD_YTM_ASK"),_bbt3[[#All],[METRIC_VALUE]])*0.5)+(_xlfn.XLOOKUP(1,(_bbt3[[#All],[ID]]=A1451)*(_bbt3[[#All],[METRIC_NAME]]="YLD_YTM_BID"),_bbt3[[#All],[METRIC_VALUE]])*0.5))/100,"")</f>
        <v/>
      </c>
      <c r="I1451">
        <f>IF(ISNA(VLOOKUP(A1451,QW_CloseDL!A:E,5,0)),0,VLOOKUP(A1451,QW_CloseDL!A:E,5,0))</f>
        <v>0</v>
      </c>
      <c r="J1451" s="8" t="str">
        <f t="shared" si="110"/>
        <v/>
      </c>
      <c r="S1451" s="9" t="e">
        <f t="shared" si="111"/>
        <v>#N/A</v>
      </c>
      <c r="T1451" s="3" t="e">
        <f t="shared" si="112"/>
        <v>#N/A</v>
      </c>
    </row>
    <row r="1452" spans="2:20" x14ac:dyDescent="0.35">
      <c r="B1452" t="str">
        <f>IF(NOT(ISBLANK(A1452)),VLOOKUP(A1452,'BBT3'!A:F,2,0),"")</f>
        <v/>
      </c>
      <c r="C1452" t="str">
        <f>IF(NOT(ISBLANK(A1452)),VLOOKUP(A1452,'BBT3'!A:F,3,0),"")</f>
        <v/>
      </c>
      <c r="D1452" s="6" t="str">
        <f>IF(NOT(ISBLANK(A1452)),VLOOKUP(A1452,'BBT3'!A:F,4,1),"")</f>
        <v/>
      </c>
      <c r="E1452" t="str">
        <f>IF(NOT(ISBLANK(A1452)),VLOOKUP(A1452,'BBT3'!A:F,5,0),"")</f>
        <v/>
      </c>
      <c r="F1452" t="str">
        <f>IF(NOT(ISBLANK(A1452)),VLOOKUP(A1452,'BBT3'!A:F,6,0),"")</f>
        <v/>
      </c>
      <c r="G1452" t="str">
        <f>IF(NOT(ISBLANK(A1452)),VLOOKUP(A1452,QW_Close!A:J,5,0),"")</f>
        <v/>
      </c>
      <c r="H1452" s="5" t="str" cm="1">
        <f t="array" ref="H1452">IF(NOT(ISBLANK(A1452)),((_xlfn.XLOOKUP(1,(_bbt3[[#All],[ID]]=A1452)*(_bbt3[[#All],[METRIC_NAME]]="YLD_YTM_ASK"),_bbt3[[#All],[METRIC_VALUE]])*0.5)+(_xlfn.XLOOKUP(1,(_bbt3[[#All],[ID]]=A1452)*(_bbt3[[#All],[METRIC_NAME]]="YLD_YTM_BID"),_bbt3[[#All],[METRIC_VALUE]])*0.5))/100,"")</f>
        <v/>
      </c>
      <c r="I1452">
        <f>IF(ISNA(VLOOKUP(A1452,QW_CloseDL!A:E,5,0)),0,VLOOKUP(A1452,QW_CloseDL!A:E,5,0))</f>
        <v>0</v>
      </c>
      <c r="J1452" s="8" t="str">
        <f t="shared" si="110"/>
        <v/>
      </c>
      <c r="S1452" s="9" t="e">
        <f t="shared" si="111"/>
        <v>#N/A</v>
      </c>
      <c r="T1452" s="3" t="e">
        <f t="shared" si="112"/>
        <v>#N/A</v>
      </c>
    </row>
    <row r="1453" spans="2:20" x14ac:dyDescent="0.35">
      <c r="B1453" t="str">
        <f>IF(NOT(ISBLANK(A1453)),VLOOKUP(A1453,'BBT3'!A:F,2,0),"")</f>
        <v/>
      </c>
      <c r="C1453" t="str">
        <f>IF(NOT(ISBLANK(A1453)),VLOOKUP(A1453,'BBT3'!A:F,3,0),"")</f>
        <v/>
      </c>
      <c r="D1453" s="6" t="str">
        <f>IF(NOT(ISBLANK(A1453)),VLOOKUP(A1453,'BBT3'!A:F,4,1),"")</f>
        <v/>
      </c>
      <c r="E1453" t="str">
        <f>IF(NOT(ISBLANK(A1453)),VLOOKUP(A1453,'BBT3'!A:F,5,0),"")</f>
        <v/>
      </c>
      <c r="F1453" t="str">
        <f>IF(NOT(ISBLANK(A1453)),VLOOKUP(A1453,'BBT3'!A:F,6,0),"")</f>
        <v/>
      </c>
      <c r="G1453" t="str">
        <f>IF(NOT(ISBLANK(A1453)),VLOOKUP(A1453,QW_Close!A:J,5,0),"")</f>
        <v/>
      </c>
      <c r="H1453" s="5" t="str" cm="1">
        <f t="array" ref="H1453">IF(NOT(ISBLANK(A1453)),((_xlfn.XLOOKUP(1,(_bbt3[[#All],[ID]]=A1453)*(_bbt3[[#All],[METRIC_NAME]]="YLD_YTM_ASK"),_bbt3[[#All],[METRIC_VALUE]])*0.5)+(_xlfn.XLOOKUP(1,(_bbt3[[#All],[ID]]=A1453)*(_bbt3[[#All],[METRIC_NAME]]="YLD_YTM_BID"),_bbt3[[#All],[METRIC_VALUE]])*0.5))/100,"")</f>
        <v/>
      </c>
      <c r="I1453">
        <f>IF(ISNA(VLOOKUP(A1453,QW_CloseDL!A:E,5,0)),0,VLOOKUP(A1453,QW_CloseDL!A:E,5,0))</f>
        <v>0</v>
      </c>
      <c r="J1453" s="8" t="str">
        <f t="shared" si="110"/>
        <v/>
      </c>
      <c r="T1453" s="3" t="e">
        <f t="shared" si="112"/>
        <v>#N/A</v>
      </c>
    </row>
    <row r="1454" spans="2:20" x14ac:dyDescent="0.35">
      <c r="B1454" t="str">
        <f>IF(NOT(ISBLANK(A1454)),VLOOKUP(A1454,'BBT3'!A:F,2,0),"")</f>
        <v/>
      </c>
      <c r="C1454" t="str">
        <f>IF(NOT(ISBLANK(A1454)),VLOOKUP(A1454,'BBT3'!A:F,3,0),"")</f>
        <v/>
      </c>
      <c r="D1454" s="6" t="str">
        <f>IF(NOT(ISBLANK(A1454)),VLOOKUP(A1454,'BBT3'!A:F,4,1),"")</f>
        <v/>
      </c>
      <c r="E1454" t="str">
        <f>IF(NOT(ISBLANK(A1454)),VLOOKUP(A1454,'BBT3'!A:F,5,0),"")</f>
        <v/>
      </c>
      <c r="F1454" t="str">
        <f>IF(NOT(ISBLANK(A1454)),VLOOKUP(A1454,'BBT3'!A:F,6,0),"")</f>
        <v/>
      </c>
      <c r="G1454" t="str">
        <f>IF(NOT(ISBLANK(A1454)),VLOOKUP(A1454,QW_Close!A:J,5,0),"")</f>
        <v/>
      </c>
      <c r="H1454" s="5" t="str" cm="1">
        <f t="array" ref="H1454">IF(NOT(ISBLANK(A1454)),((_xlfn.XLOOKUP(1,(_bbt3[[#All],[ID]]=A1454)*(_bbt3[[#All],[METRIC_NAME]]="YLD_YTM_ASK"),_bbt3[[#All],[METRIC_VALUE]])*0.5)+(_xlfn.XLOOKUP(1,(_bbt3[[#All],[ID]]=A1454)*(_bbt3[[#All],[METRIC_NAME]]="YLD_YTM_BID"),_bbt3[[#All],[METRIC_VALUE]])*0.5))/100,"")</f>
        <v/>
      </c>
      <c r="I1454">
        <f>IF(ISNA(VLOOKUP(A1454,QW_CloseDL!A:E,5,0)),0,VLOOKUP(A1454,QW_CloseDL!A:E,5,0))</f>
        <v>0</v>
      </c>
      <c r="J1454" s="8" t="str">
        <f t="shared" si="110"/>
        <v/>
      </c>
      <c r="T1454" s="3" t="e">
        <f t="shared" si="112"/>
        <v>#N/A</v>
      </c>
    </row>
    <row r="1455" spans="2:20" x14ac:dyDescent="0.35">
      <c r="B1455" t="str">
        <f>IF(NOT(ISBLANK(A1455)),VLOOKUP(A1455,'BBT3'!A:F,2,0),"")</f>
        <v/>
      </c>
      <c r="C1455" t="str">
        <f>IF(NOT(ISBLANK(A1455)),VLOOKUP(A1455,'BBT3'!A:F,3,0),"")</f>
        <v/>
      </c>
      <c r="D1455" s="6" t="str">
        <f>IF(NOT(ISBLANK(A1455)),VLOOKUP(A1455,'BBT3'!A:F,4,1),"")</f>
        <v/>
      </c>
      <c r="E1455" t="str">
        <f>IF(NOT(ISBLANK(A1455)),VLOOKUP(A1455,'BBT3'!A:F,5,0),"")</f>
        <v/>
      </c>
      <c r="F1455" t="str">
        <f>IF(NOT(ISBLANK(A1455)),VLOOKUP(A1455,'BBT3'!A:F,6,0),"")</f>
        <v/>
      </c>
      <c r="G1455" t="str">
        <f>IF(NOT(ISBLANK(A1455)),VLOOKUP(A1455,QW_Close!A:J,5,0),"")</f>
        <v/>
      </c>
      <c r="H1455" s="5" t="str" cm="1">
        <f t="array" ref="H1455">IF(NOT(ISBLANK(A1455)),((_xlfn.XLOOKUP(1,(_bbt3[[#All],[ID]]=A1455)*(_bbt3[[#All],[METRIC_NAME]]="YLD_YTM_ASK"),_bbt3[[#All],[METRIC_VALUE]])*0.5)+(_xlfn.XLOOKUP(1,(_bbt3[[#All],[ID]]=A1455)*(_bbt3[[#All],[METRIC_NAME]]="YLD_YTM_BID"),_bbt3[[#All],[METRIC_VALUE]])*0.5))/100,"")</f>
        <v/>
      </c>
      <c r="I1455">
        <f>IF(ISNA(VLOOKUP(A1455,QW_CloseDL!A:E,5,0)),0,VLOOKUP(A1455,QW_CloseDL!A:E,5,0))</f>
        <v>0</v>
      </c>
      <c r="J1455" s="8" t="str">
        <f t="shared" si="110"/>
        <v/>
      </c>
      <c r="T1455" s="3" t="e">
        <f t="shared" si="112"/>
        <v>#N/A</v>
      </c>
    </row>
    <row r="1456" spans="2:20" x14ac:dyDescent="0.35">
      <c r="B1456" t="str">
        <f>IF(NOT(ISBLANK(A1456)),VLOOKUP(A1456,'BBT3'!A:F,2,0),"")</f>
        <v/>
      </c>
      <c r="C1456" t="str">
        <f>IF(NOT(ISBLANK(A1456)),VLOOKUP(A1456,'BBT3'!A:F,3,0),"")</f>
        <v/>
      </c>
      <c r="D1456" s="6" t="str">
        <f>IF(NOT(ISBLANK(A1456)),VLOOKUP(A1456,'BBT3'!A:F,4,1),"")</f>
        <v/>
      </c>
      <c r="E1456" t="str">
        <f>IF(NOT(ISBLANK(A1456)),VLOOKUP(A1456,'BBT3'!A:F,5,0),"")</f>
        <v/>
      </c>
      <c r="F1456" t="str">
        <f>IF(NOT(ISBLANK(A1456)),VLOOKUP(A1456,'BBT3'!A:F,6,0),"")</f>
        <v/>
      </c>
      <c r="G1456" t="str">
        <f>IF(NOT(ISBLANK(A1456)),VLOOKUP(A1456,QW_Close!A:J,5,0),"")</f>
        <v/>
      </c>
      <c r="H1456" s="5" t="str" cm="1">
        <f t="array" ref="H1456">IF(NOT(ISBLANK(A1456)),((_xlfn.XLOOKUP(1,(_bbt3[[#All],[ID]]=A1456)*(_bbt3[[#All],[METRIC_NAME]]="YLD_YTM_ASK"),_bbt3[[#All],[METRIC_VALUE]])*0.5)+(_xlfn.XLOOKUP(1,(_bbt3[[#All],[ID]]=A1456)*(_bbt3[[#All],[METRIC_NAME]]="YLD_YTM_BID"),_bbt3[[#All],[METRIC_VALUE]])*0.5))/100,"")</f>
        <v/>
      </c>
      <c r="I1456">
        <f>IF(ISNA(VLOOKUP(A1456,QW_CloseDL!A:E,5,0)),0,VLOOKUP(A1456,QW_CloseDL!A:E,5,0))</f>
        <v>0</v>
      </c>
      <c r="J1456" s="8" t="str">
        <f t="shared" si="110"/>
        <v/>
      </c>
      <c r="T1456" s="3" t="e">
        <f t="shared" si="112"/>
        <v>#N/A</v>
      </c>
    </row>
    <row r="1457" spans="2:20" x14ac:dyDescent="0.35">
      <c r="B1457" t="str">
        <f>IF(NOT(ISBLANK(A1457)),VLOOKUP(A1457,'BBT3'!A:F,2,0),"")</f>
        <v/>
      </c>
      <c r="C1457" t="str">
        <f>IF(NOT(ISBLANK(A1457)),VLOOKUP(A1457,'BBT3'!A:F,3,0),"")</f>
        <v/>
      </c>
      <c r="D1457" s="6" t="str">
        <f>IF(NOT(ISBLANK(A1457)),VLOOKUP(A1457,'BBT3'!A:F,4,1),"")</f>
        <v/>
      </c>
      <c r="E1457" t="str">
        <f>IF(NOT(ISBLANK(A1457)),VLOOKUP(A1457,'BBT3'!A:F,5,0),"")</f>
        <v/>
      </c>
      <c r="F1457" t="str">
        <f>IF(NOT(ISBLANK(A1457)),VLOOKUP(A1457,'BBT3'!A:F,6,0),"")</f>
        <v/>
      </c>
      <c r="G1457" t="str">
        <f>IF(NOT(ISBLANK(A1457)),VLOOKUP(A1457,QW_Close!A:J,5,0),"")</f>
        <v/>
      </c>
      <c r="H1457" s="5" t="str" cm="1">
        <f t="array" ref="H1457">IF(NOT(ISBLANK(A1457)),((_xlfn.XLOOKUP(1,(_bbt3[[#All],[ID]]=A1457)*(_bbt3[[#All],[METRIC_NAME]]="YLD_YTM_ASK"),_bbt3[[#All],[METRIC_VALUE]])*0.5)+(_xlfn.XLOOKUP(1,(_bbt3[[#All],[ID]]=A1457)*(_bbt3[[#All],[METRIC_NAME]]="YLD_YTM_BID"),_bbt3[[#All],[METRIC_VALUE]])*0.5))/100,"")</f>
        <v/>
      </c>
      <c r="I1457">
        <f>IF(ISNA(VLOOKUP(A1457,QW_CloseDL!A:E,5,0)),0,VLOOKUP(A1457,QW_CloseDL!A:E,5,0))</f>
        <v>0</v>
      </c>
      <c r="J1457" s="8" t="str">
        <f t="shared" si="110"/>
        <v/>
      </c>
      <c r="T1457" s="3" t="e">
        <f t="shared" si="112"/>
        <v>#N/A</v>
      </c>
    </row>
    <row r="1458" spans="2:20" x14ac:dyDescent="0.35">
      <c r="B1458" t="str">
        <f>IF(NOT(ISBLANK(A1458)),VLOOKUP(A1458,'BBT3'!A:F,2,0),"")</f>
        <v/>
      </c>
      <c r="C1458" t="str">
        <f>IF(NOT(ISBLANK(A1458)),VLOOKUP(A1458,'BBT3'!A:F,3,0),"")</f>
        <v/>
      </c>
      <c r="D1458" s="6" t="str">
        <f>IF(NOT(ISBLANK(A1458)),VLOOKUP(A1458,'BBT3'!A:F,4,1),"")</f>
        <v/>
      </c>
      <c r="E1458" t="str">
        <f>IF(NOT(ISBLANK(A1458)),VLOOKUP(A1458,'BBT3'!A:F,5,0),"")</f>
        <v/>
      </c>
      <c r="F1458" t="str">
        <f>IF(NOT(ISBLANK(A1458)),VLOOKUP(A1458,'BBT3'!A:F,6,0),"")</f>
        <v/>
      </c>
      <c r="G1458" t="str">
        <f>IF(NOT(ISBLANK(A1458)),VLOOKUP(A1458,QW_Close!A:J,5,0),"")</f>
        <v/>
      </c>
      <c r="H1458" s="5" t="str" cm="1">
        <f t="array" ref="H1458">IF(NOT(ISBLANK(A1458)),((_xlfn.XLOOKUP(1,(_bbt3[[#All],[ID]]=A1458)*(_bbt3[[#All],[METRIC_NAME]]="YLD_YTM_ASK"),_bbt3[[#All],[METRIC_VALUE]])*0.5)+(_xlfn.XLOOKUP(1,(_bbt3[[#All],[ID]]=A1458)*(_bbt3[[#All],[METRIC_NAME]]="YLD_YTM_BID"),_bbt3[[#All],[METRIC_VALUE]])*0.5))/100,"")</f>
        <v/>
      </c>
      <c r="I1458">
        <f>IF(ISNA(VLOOKUP(A1458,QW_CloseDL!A:E,5,0)),0,VLOOKUP(A1458,QW_CloseDL!A:E,5,0))</f>
        <v>0</v>
      </c>
      <c r="J1458" s="8" t="str">
        <f t="shared" si="110"/>
        <v/>
      </c>
      <c r="T1458" s="3" t="e">
        <f t="shared" si="112"/>
        <v>#N/A</v>
      </c>
    </row>
    <row r="1459" spans="2:20" x14ac:dyDescent="0.35">
      <c r="B1459" t="str">
        <f>IF(NOT(ISBLANK(A1459)),VLOOKUP(A1459,'BBT3'!A:F,2,0),"")</f>
        <v/>
      </c>
      <c r="C1459" t="str">
        <f>IF(NOT(ISBLANK(A1459)),VLOOKUP(A1459,'BBT3'!A:F,3,0),"")</f>
        <v/>
      </c>
      <c r="D1459" s="6" t="str">
        <f>IF(NOT(ISBLANK(A1459)),VLOOKUP(A1459,'BBT3'!A:F,4,1),"")</f>
        <v/>
      </c>
      <c r="E1459" t="str">
        <f>IF(NOT(ISBLANK(A1459)),VLOOKUP(A1459,'BBT3'!A:F,5,0),"")</f>
        <v/>
      </c>
      <c r="F1459" t="str">
        <f>IF(NOT(ISBLANK(A1459)),VLOOKUP(A1459,'BBT3'!A:F,6,0),"")</f>
        <v/>
      </c>
      <c r="G1459" t="str">
        <f>IF(NOT(ISBLANK(A1459)),VLOOKUP(A1459,QW_Close!A:J,5,0),"")</f>
        <v/>
      </c>
      <c r="H1459" s="5" t="str" cm="1">
        <f t="array" ref="H1459">IF(NOT(ISBLANK(A1459)),((_xlfn.XLOOKUP(1,(_bbt3[[#All],[ID]]=A1459)*(_bbt3[[#All],[METRIC_NAME]]="YLD_YTM_ASK"),_bbt3[[#All],[METRIC_VALUE]])*0.5)+(_xlfn.XLOOKUP(1,(_bbt3[[#All],[ID]]=A1459)*(_bbt3[[#All],[METRIC_NAME]]="YLD_YTM_BID"),_bbt3[[#All],[METRIC_VALUE]])*0.5))/100,"")</f>
        <v/>
      </c>
      <c r="I1459">
        <f>IF(ISNA(VLOOKUP(A1459,QW_CloseDL!A:E,5,0)),0,VLOOKUP(A1459,QW_CloseDL!A:E,5,0))</f>
        <v>0</v>
      </c>
      <c r="J1459" s="8" t="str">
        <f t="shared" si="110"/>
        <v/>
      </c>
    </row>
    <row r="1460" spans="2:20" x14ac:dyDescent="0.35">
      <c r="B1460" t="str">
        <f>IF(NOT(ISBLANK(A1460)),VLOOKUP(A1460,'BBT3'!A:F,2,0),"")</f>
        <v/>
      </c>
      <c r="C1460" t="str">
        <f>IF(NOT(ISBLANK(A1460)),VLOOKUP(A1460,'BBT3'!A:F,3,0),"")</f>
        <v/>
      </c>
      <c r="D1460" s="6" t="str">
        <f>IF(NOT(ISBLANK(A1460)),VLOOKUP(A1460,'BBT3'!A:F,4,1),"")</f>
        <v/>
      </c>
      <c r="E1460" t="str">
        <f>IF(NOT(ISBLANK(A1460)),VLOOKUP(A1460,'BBT3'!A:F,5,0),"")</f>
        <v/>
      </c>
      <c r="F1460" t="str">
        <f>IF(NOT(ISBLANK(A1460)),VLOOKUP(A1460,'BBT3'!A:F,6,0),"")</f>
        <v/>
      </c>
      <c r="G1460" t="str">
        <f>IF(NOT(ISBLANK(A1460)),VLOOKUP(A1460,QW_Close!A:J,5,0),"")</f>
        <v/>
      </c>
      <c r="H1460" s="5" t="str" cm="1">
        <f t="array" ref="H1460">IF(NOT(ISBLANK(A1460)),((_xlfn.XLOOKUP(1,(_bbt3[[#All],[ID]]=A1460)*(_bbt3[[#All],[METRIC_NAME]]="YLD_YTM_ASK"),_bbt3[[#All],[METRIC_VALUE]])*0.5)+(_xlfn.XLOOKUP(1,(_bbt3[[#All],[ID]]=A1460)*(_bbt3[[#All],[METRIC_NAME]]="YLD_YTM_BID"),_bbt3[[#All],[METRIC_VALUE]])*0.5))/100,"")</f>
        <v/>
      </c>
      <c r="I1460">
        <f>IF(ISNA(VLOOKUP(A1460,QW_CloseDL!A:E,5,0)),0,VLOOKUP(A1460,QW_CloseDL!A:E,5,0))</f>
        <v>0</v>
      </c>
      <c r="J1460" s="8" t="str">
        <f t="shared" si="110"/>
        <v/>
      </c>
    </row>
    <row r="1461" spans="2:20" x14ac:dyDescent="0.35">
      <c r="B1461" t="str">
        <f>IF(NOT(ISBLANK(A1461)),VLOOKUP(A1461,'BBT3'!A:F,2,0),"")</f>
        <v/>
      </c>
      <c r="C1461" t="str">
        <f>IF(NOT(ISBLANK(A1461)),VLOOKUP(A1461,'BBT3'!A:F,3,0),"")</f>
        <v/>
      </c>
      <c r="D1461" s="6" t="str">
        <f>IF(NOT(ISBLANK(A1461)),VLOOKUP(A1461,'BBT3'!A:F,4,1),"")</f>
        <v/>
      </c>
      <c r="E1461" t="str">
        <f>IF(NOT(ISBLANK(A1461)),VLOOKUP(A1461,'BBT3'!A:F,5,0),"")</f>
        <v/>
      </c>
      <c r="F1461" t="str">
        <f>IF(NOT(ISBLANK(A1461)),VLOOKUP(A1461,'BBT3'!A:F,6,0),"")</f>
        <v/>
      </c>
      <c r="G1461" t="str">
        <f>IF(NOT(ISBLANK(A1461)),VLOOKUP(A1461,QW_Close!A:J,5,0),"")</f>
        <v/>
      </c>
      <c r="H1461" s="5" t="str" cm="1">
        <f t="array" ref="H1461">IF(NOT(ISBLANK(A1461)),((_xlfn.XLOOKUP(1,(_bbt3[[#All],[ID]]=A1461)*(_bbt3[[#All],[METRIC_NAME]]="YLD_YTM_ASK"),_bbt3[[#All],[METRIC_VALUE]])*0.5)+(_xlfn.XLOOKUP(1,(_bbt3[[#All],[ID]]=A1461)*(_bbt3[[#All],[METRIC_NAME]]="YLD_YTM_BID"),_bbt3[[#All],[METRIC_VALUE]])*0.5))/100,"")</f>
        <v/>
      </c>
      <c r="I1461">
        <f>IF(ISNA(VLOOKUP(A1461,QW_CloseDL!A:E,5,0)),0,VLOOKUP(A1461,QW_CloseDL!A:E,5,0))</f>
        <v>0</v>
      </c>
      <c r="J1461" s="8" t="str">
        <f t="shared" si="110"/>
        <v/>
      </c>
    </row>
    <row r="1462" spans="2:20" x14ac:dyDescent="0.35">
      <c r="B1462" t="str">
        <f>IF(NOT(ISBLANK(A1462)),VLOOKUP(A1462,'BBT3'!A:F,2,0),"")</f>
        <v/>
      </c>
      <c r="C1462" t="str">
        <f>IF(NOT(ISBLANK(A1462)),VLOOKUP(A1462,'BBT3'!A:F,3,0),"")</f>
        <v/>
      </c>
      <c r="D1462" s="6" t="str">
        <f>IF(NOT(ISBLANK(A1462)),VLOOKUP(A1462,'BBT3'!A:F,4,1),"")</f>
        <v/>
      </c>
      <c r="E1462" t="str">
        <f>IF(NOT(ISBLANK(A1462)),VLOOKUP(A1462,'BBT3'!A:F,5,0),"")</f>
        <v/>
      </c>
      <c r="F1462" t="str">
        <f>IF(NOT(ISBLANK(A1462)),VLOOKUP(A1462,'BBT3'!A:F,6,0),"")</f>
        <v/>
      </c>
      <c r="G1462" t="str">
        <f>IF(NOT(ISBLANK(A1462)),VLOOKUP(A1462,QW_Close!A:J,5,0),"")</f>
        <v/>
      </c>
      <c r="H1462" s="5" t="str" cm="1">
        <f t="array" ref="H1462">IF(NOT(ISBLANK(A1462)),((_xlfn.XLOOKUP(1,(_bbt3[[#All],[ID]]=A1462)*(_bbt3[[#All],[METRIC_NAME]]="YLD_YTM_ASK"),_bbt3[[#All],[METRIC_VALUE]])*0.5)+(_xlfn.XLOOKUP(1,(_bbt3[[#All],[ID]]=A1462)*(_bbt3[[#All],[METRIC_NAME]]="YLD_YTM_BID"),_bbt3[[#All],[METRIC_VALUE]])*0.5))/100,"")</f>
        <v/>
      </c>
      <c r="I1462">
        <f>IF(ISNA(VLOOKUP(A1462,QW_CloseDL!A:E,5,0)),0,VLOOKUP(A1462,QW_CloseDL!A:E,5,0))</f>
        <v>0</v>
      </c>
      <c r="J1462" s="8" t="str">
        <f t="shared" si="110"/>
        <v/>
      </c>
    </row>
    <row r="1463" spans="2:20" x14ac:dyDescent="0.35">
      <c r="B1463" t="str">
        <f>IF(NOT(ISBLANK(A1463)),VLOOKUP(A1463,'BBT3'!A:F,2,0),"")</f>
        <v/>
      </c>
      <c r="C1463" t="str">
        <f>IF(NOT(ISBLANK(A1463)),VLOOKUP(A1463,'BBT3'!A:F,3,0),"")</f>
        <v/>
      </c>
      <c r="D1463" s="6" t="str">
        <f>IF(NOT(ISBLANK(A1463)),VLOOKUP(A1463,'BBT3'!A:F,4,1),"")</f>
        <v/>
      </c>
      <c r="E1463" t="str">
        <f>IF(NOT(ISBLANK(A1463)),VLOOKUP(A1463,'BBT3'!A:F,5,0),"")</f>
        <v/>
      </c>
      <c r="F1463" t="str">
        <f>IF(NOT(ISBLANK(A1463)),VLOOKUP(A1463,'BBT3'!A:F,6,0),"")</f>
        <v/>
      </c>
      <c r="G1463" t="str">
        <f>IF(NOT(ISBLANK(A1463)),VLOOKUP(A1463,QW_Close!A:J,5,0),"")</f>
        <v/>
      </c>
      <c r="H1463" s="5" t="str" cm="1">
        <f t="array" ref="H1463">IF(NOT(ISBLANK(A1463)),((_xlfn.XLOOKUP(1,(_bbt3[[#All],[ID]]=A1463)*(_bbt3[[#All],[METRIC_NAME]]="YLD_YTM_ASK"),_bbt3[[#All],[METRIC_VALUE]])*0.5)+(_xlfn.XLOOKUP(1,(_bbt3[[#All],[ID]]=A1463)*(_bbt3[[#All],[METRIC_NAME]]="YLD_YTM_BID"),_bbt3[[#All],[METRIC_VALUE]])*0.5))/100,"")</f>
        <v/>
      </c>
      <c r="I1463">
        <f>IF(ISNA(VLOOKUP(A1463,QW_CloseDL!A:E,5,0)),0,VLOOKUP(A1463,QW_CloseDL!A:E,5,0))</f>
        <v>0</v>
      </c>
      <c r="J1463" s="8" t="str">
        <f t="shared" si="110"/>
        <v/>
      </c>
    </row>
    <row r="1464" spans="2:20" x14ac:dyDescent="0.35">
      <c r="B1464" t="str">
        <f>IF(NOT(ISBLANK(A1464)),VLOOKUP(A1464,'BBT3'!A:F,2,0),"")</f>
        <v/>
      </c>
      <c r="C1464" t="str">
        <f>IF(NOT(ISBLANK(A1464)),VLOOKUP(A1464,'BBT3'!A:F,3,0),"")</f>
        <v/>
      </c>
      <c r="D1464" s="6" t="str">
        <f>IF(NOT(ISBLANK(A1464)),VLOOKUP(A1464,'BBT3'!A:F,4,1),"")</f>
        <v/>
      </c>
      <c r="E1464" t="str">
        <f>IF(NOT(ISBLANK(A1464)),VLOOKUP(A1464,'BBT3'!A:F,5,0),"")</f>
        <v/>
      </c>
      <c r="F1464" t="str">
        <f>IF(NOT(ISBLANK(A1464)),VLOOKUP(A1464,'BBT3'!A:F,6,0),"")</f>
        <v/>
      </c>
      <c r="G1464" t="str">
        <f>IF(NOT(ISBLANK(A1464)),VLOOKUP(A1464,QW_Close!A:J,5,0),"")</f>
        <v/>
      </c>
      <c r="H1464" s="5" t="str" cm="1">
        <f t="array" ref="H1464">IF(NOT(ISBLANK(A1464)),((_xlfn.XLOOKUP(1,(_bbt3[[#All],[ID]]=A1464)*(_bbt3[[#All],[METRIC_NAME]]="YLD_YTM_ASK"),_bbt3[[#All],[METRIC_VALUE]])*0.5)+(_xlfn.XLOOKUP(1,(_bbt3[[#All],[ID]]=A1464)*(_bbt3[[#All],[METRIC_NAME]]="YLD_YTM_BID"),_bbt3[[#All],[METRIC_VALUE]])*0.5))/100,"")</f>
        <v/>
      </c>
      <c r="I1464">
        <f>IF(ISNA(VLOOKUP(A1464,QW_CloseDL!A:E,5,0)),0,VLOOKUP(A1464,QW_CloseDL!A:E,5,0))</f>
        <v>0</v>
      </c>
      <c r="J1464" s="8" t="str">
        <f t="shared" si="110"/>
        <v/>
      </c>
    </row>
    <row r="1465" spans="2:20" x14ac:dyDescent="0.35">
      <c r="B1465" t="str">
        <f>IF(NOT(ISBLANK(A1465)),VLOOKUP(A1465,'BBT3'!A:F,2,0),"")</f>
        <v/>
      </c>
      <c r="C1465" t="str">
        <f>IF(NOT(ISBLANK(A1465)),VLOOKUP(A1465,'BBT3'!A:F,3,0),"")</f>
        <v/>
      </c>
      <c r="D1465" s="6" t="str">
        <f>IF(NOT(ISBLANK(A1465)),VLOOKUP(A1465,'BBT3'!A:F,4,1),"")</f>
        <v/>
      </c>
      <c r="E1465" t="str">
        <f>IF(NOT(ISBLANK(A1465)),VLOOKUP(A1465,'BBT3'!A:F,5,0),"")</f>
        <v/>
      </c>
      <c r="F1465" t="str">
        <f>IF(NOT(ISBLANK(A1465)),VLOOKUP(A1465,'BBT3'!A:F,6,0),"")</f>
        <v/>
      </c>
      <c r="G1465" t="str">
        <f>IF(NOT(ISBLANK(A1465)),VLOOKUP(A1465,QW_Close!A:J,5,0),"")</f>
        <v/>
      </c>
      <c r="H1465" s="5" t="str" cm="1">
        <f t="array" ref="H1465">IF(NOT(ISBLANK(A1465)),((_xlfn.XLOOKUP(1,(_bbt3[[#All],[ID]]=A1465)*(_bbt3[[#All],[METRIC_NAME]]="YLD_YTM_ASK"),_bbt3[[#All],[METRIC_VALUE]])*0.5)+(_xlfn.XLOOKUP(1,(_bbt3[[#All],[ID]]=A1465)*(_bbt3[[#All],[METRIC_NAME]]="YLD_YTM_BID"),_bbt3[[#All],[METRIC_VALUE]])*0.5))/100,"")</f>
        <v/>
      </c>
      <c r="I1465">
        <f>IF(ISNA(VLOOKUP(A1465,QW_CloseDL!A:E,5,0)),0,VLOOKUP(A1465,QW_CloseDL!A:E,5,0))</f>
        <v>0</v>
      </c>
      <c r="J1465" s="8" t="str">
        <f t="shared" si="110"/>
        <v/>
      </c>
    </row>
    <row r="1466" spans="2:20" x14ac:dyDescent="0.35">
      <c r="B1466" t="str">
        <f>IF(NOT(ISBLANK(A1466)),VLOOKUP(A1466,'BBT3'!A:F,2,0),"")</f>
        <v/>
      </c>
      <c r="C1466" t="str">
        <f>IF(NOT(ISBLANK(A1466)),VLOOKUP(A1466,'BBT3'!A:F,3,0),"")</f>
        <v/>
      </c>
      <c r="D1466" s="6" t="str">
        <f>IF(NOT(ISBLANK(A1466)),VLOOKUP(A1466,'BBT3'!A:F,4,1),"")</f>
        <v/>
      </c>
      <c r="E1466" t="str">
        <f>IF(NOT(ISBLANK(A1466)),VLOOKUP(A1466,'BBT3'!A:F,5,0),"")</f>
        <v/>
      </c>
      <c r="F1466" t="str">
        <f>IF(NOT(ISBLANK(A1466)),VLOOKUP(A1466,'BBT3'!A:F,6,0),"")</f>
        <v/>
      </c>
      <c r="G1466" t="str">
        <f>IF(NOT(ISBLANK(A1466)),VLOOKUP(A1466,QW_Close!A:J,5,0),"")</f>
        <v/>
      </c>
      <c r="H1466" s="5" t="str" cm="1">
        <f t="array" ref="H1466">IF(NOT(ISBLANK(A1466)),((_xlfn.XLOOKUP(1,(_bbt3[[#All],[ID]]=A1466)*(_bbt3[[#All],[METRIC_NAME]]="YLD_YTM_ASK"),_bbt3[[#All],[METRIC_VALUE]])*0.5)+(_xlfn.XLOOKUP(1,(_bbt3[[#All],[ID]]=A1466)*(_bbt3[[#All],[METRIC_NAME]]="YLD_YTM_BID"),_bbt3[[#All],[METRIC_VALUE]])*0.5))/100,"")</f>
        <v/>
      </c>
      <c r="I1466">
        <f>IF(ISNA(VLOOKUP(A1466,QW_CloseDL!A:E,5,0)),0,VLOOKUP(A1466,QW_CloseDL!A:E,5,0))</f>
        <v>0</v>
      </c>
      <c r="J1466" s="8" t="str">
        <f t="shared" si="110"/>
        <v/>
      </c>
    </row>
    <row r="1467" spans="2:20" x14ac:dyDescent="0.35">
      <c r="B1467" t="str">
        <f>IF(NOT(ISBLANK(A1467)),VLOOKUP(A1467,'BBT3'!A:F,2,0),"")</f>
        <v/>
      </c>
      <c r="C1467" t="str">
        <f>IF(NOT(ISBLANK(A1467)),VLOOKUP(A1467,'BBT3'!A:F,3,0),"")</f>
        <v/>
      </c>
      <c r="D1467" s="6" t="str">
        <f>IF(NOT(ISBLANK(A1467)),VLOOKUP(A1467,'BBT3'!A:F,4,1),"")</f>
        <v/>
      </c>
      <c r="E1467" t="str">
        <f>IF(NOT(ISBLANK(A1467)),VLOOKUP(A1467,'BBT3'!A:F,5,0),"")</f>
        <v/>
      </c>
      <c r="F1467" t="str">
        <f>IF(NOT(ISBLANK(A1467)),VLOOKUP(A1467,'BBT3'!A:F,6,0),"")</f>
        <v/>
      </c>
      <c r="G1467" t="str">
        <f>IF(NOT(ISBLANK(A1467)),VLOOKUP(A1467,QW_Close!A:J,5,0),"")</f>
        <v/>
      </c>
      <c r="H1467" s="5" t="str" cm="1">
        <f t="array" ref="H1467">IF(NOT(ISBLANK(A1467)),((_xlfn.XLOOKUP(1,(_bbt3[[#All],[ID]]=A1467)*(_bbt3[[#All],[METRIC_NAME]]="YLD_YTM_ASK"),_bbt3[[#All],[METRIC_VALUE]])*0.5)+(_xlfn.XLOOKUP(1,(_bbt3[[#All],[ID]]=A1467)*(_bbt3[[#All],[METRIC_NAME]]="YLD_YTM_BID"),_bbt3[[#All],[METRIC_VALUE]])*0.5))/100,"")</f>
        <v/>
      </c>
      <c r="I1467">
        <f>IF(ISNA(VLOOKUP(A1467,QW_CloseDL!A:E,5,0)),0,VLOOKUP(A1467,QW_CloseDL!A:E,5,0))</f>
        <v>0</v>
      </c>
      <c r="J1467" s="8" t="str">
        <f t="shared" si="110"/>
        <v/>
      </c>
    </row>
    <row r="1468" spans="2:20" x14ac:dyDescent="0.35">
      <c r="B1468" t="str">
        <f>IF(NOT(ISBLANK(A1468)),VLOOKUP(A1468,'BBT3'!A:F,2,0),"")</f>
        <v/>
      </c>
      <c r="C1468" t="str">
        <f>IF(NOT(ISBLANK(A1468)),VLOOKUP(A1468,'BBT3'!A:F,3,0),"")</f>
        <v/>
      </c>
      <c r="D1468" s="6" t="str">
        <f>IF(NOT(ISBLANK(A1468)),VLOOKUP(A1468,'BBT3'!A:F,4,1),"")</f>
        <v/>
      </c>
      <c r="E1468" t="str">
        <f>IF(NOT(ISBLANK(A1468)),VLOOKUP(A1468,'BBT3'!A:F,5,0),"")</f>
        <v/>
      </c>
      <c r="F1468" t="str">
        <f>IF(NOT(ISBLANK(A1468)),VLOOKUP(A1468,'BBT3'!A:F,6,0),"")</f>
        <v/>
      </c>
      <c r="G1468" t="str">
        <f>IF(NOT(ISBLANK(A1468)),VLOOKUP(A1468,QW_Close!A:J,5,0),"")</f>
        <v/>
      </c>
      <c r="H1468" s="5" t="str" cm="1">
        <f t="array" ref="H1468">IF(NOT(ISBLANK(A1468)),((_xlfn.XLOOKUP(1,(_bbt3[[#All],[ID]]=A1468)*(_bbt3[[#All],[METRIC_NAME]]="YLD_YTM_ASK"),_bbt3[[#All],[METRIC_VALUE]])*0.5)+(_xlfn.XLOOKUP(1,(_bbt3[[#All],[ID]]=A1468)*(_bbt3[[#All],[METRIC_NAME]]="YLD_YTM_BID"),_bbt3[[#All],[METRIC_VALUE]])*0.5))/100,"")</f>
        <v/>
      </c>
      <c r="I1468">
        <f>IF(ISNA(VLOOKUP(A1468,QW_CloseDL!A:E,5,0)),0,VLOOKUP(A1468,QW_CloseDL!A:E,5,0))</f>
        <v>0</v>
      </c>
      <c r="J1468" s="8" t="str">
        <f t="shared" si="110"/>
        <v/>
      </c>
    </row>
    <row r="1469" spans="2:20" x14ac:dyDescent="0.35">
      <c r="B1469" t="str">
        <f>IF(NOT(ISBLANK(A1469)),VLOOKUP(A1469,'BBT3'!A:F,2,0),"")</f>
        <v/>
      </c>
      <c r="C1469" t="str">
        <f>IF(NOT(ISBLANK(A1469)),VLOOKUP(A1469,'BBT3'!A:F,3,0),"")</f>
        <v/>
      </c>
      <c r="D1469" s="6" t="str">
        <f>IF(NOT(ISBLANK(A1469)),VLOOKUP(A1469,'BBT3'!A:F,4,1),"")</f>
        <v/>
      </c>
      <c r="E1469" t="str">
        <f>IF(NOT(ISBLANK(A1469)),VLOOKUP(A1469,'BBT3'!A:F,5,0),"")</f>
        <v/>
      </c>
      <c r="F1469" t="str">
        <f>IF(NOT(ISBLANK(A1469)),VLOOKUP(A1469,'BBT3'!A:F,6,0),"")</f>
        <v/>
      </c>
      <c r="G1469" t="str">
        <f>IF(NOT(ISBLANK(A1469)),VLOOKUP(A1469,QW_Close!A:J,5,0),"")</f>
        <v/>
      </c>
      <c r="H1469" s="5" t="str" cm="1">
        <f t="array" ref="H1469">IF(NOT(ISBLANK(A1469)),((_xlfn.XLOOKUP(1,(_bbt3[[#All],[ID]]=A1469)*(_bbt3[[#All],[METRIC_NAME]]="YLD_YTM_ASK"),_bbt3[[#All],[METRIC_VALUE]])*0.5)+(_xlfn.XLOOKUP(1,(_bbt3[[#All],[ID]]=A1469)*(_bbt3[[#All],[METRIC_NAME]]="YLD_YTM_BID"),_bbt3[[#All],[METRIC_VALUE]])*0.5))/100,"")</f>
        <v/>
      </c>
      <c r="I1469">
        <f>IF(ISNA(VLOOKUP(A1469,QW_CloseDL!A:E,5,0)),0,VLOOKUP(A1469,QW_CloseDL!A:E,5,0))</f>
        <v>0</v>
      </c>
      <c r="J1469" s="8" t="str">
        <f t="shared" si="110"/>
        <v/>
      </c>
    </row>
    <row r="1470" spans="2:20" x14ac:dyDescent="0.35">
      <c r="B1470" t="str">
        <f>IF(NOT(ISBLANK(A1470)),VLOOKUP(A1470,'BBT3'!A:F,2,0),"")</f>
        <v/>
      </c>
      <c r="C1470" t="str">
        <f>IF(NOT(ISBLANK(A1470)),VLOOKUP(A1470,'BBT3'!A:F,3,0),"")</f>
        <v/>
      </c>
      <c r="D1470" s="6" t="str">
        <f>IF(NOT(ISBLANK(A1470)),VLOOKUP(A1470,'BBT3'!A:F,4,1),"")</f>
        <v/>
      </c>
      <c r="E1470" t="str">
        <f>IF(NOT(ISBLANK(A1470)),VLOOKUP(A1470,'BBT3'!A:F,5,0),"")</f>
        <v/>
      </c>
      <c r="F1470" t="str">
        <f>IF(NOT(ISBLANK(A1470)),VLOOKUP(A1470,'BBT3'!A:F,6,0),"")</f>
        <v/>
      </c>
      <c r="G1470" t="str">
        <f>IF(NOT(ISBLANK(A1470)),VLOOKUP(A1470,QW_Close!A:J,5,0),"")</f>
        <v/>
      </c>
      <c r="H1470" s="5" t="str" cm="1">
        <f t="array" ref="H1470">IF(NOT(ISBLANK(A1470)),((_xlfn.XLOOKUP(1,(_bbt3[[#All],[ID]]=A1470)*(_bbt3[[#All],[METRIC_NAME]]="YLD_YTM_ASK"),_bbt3[[#All],[METRIC_VALUE]])*0.5)+(_xlfn.XLOOKUP(1,(_bbt3[[#All],[ID]]=A1470)*(_bbt3[[#All],[METRIC_NAME]]="YLD_YTM_BID"),_bbt3[[#All],[METRIC_VALUE]])*0.5))/100,"")</f>
        <v/>
      </c>
      <c r="I1470">
        <f>IF(ISNA(VLOOKUP(A1470,QW_CloseDL!A:E,5,0)),0,VLOOKUP(A1470,QW_CloseDL!A:E,5,0))</f>
        <v>0</v>
      </c>
      <c r="J1470" s="8" t="str">
        <f t="shared" si="110"/>
        <v/>
      </c>
    </row>
    <row r="1471" spans="2:20" x14ac:dyDescent="0.35">
      <c r="B1471" t="str">
        <f>IF(NOT(ISBLANK(A1471)),VLOOKUP(A1471,'BBT3'!A:F,2,0),"")</f>
        <v/>
      </c>
      <c r="C1471" t="str">
        <f>IF(NOT(ISBLANK(A1471)),VLOOKUP(A1471,'BBT3'!A:F,3,0),"")</f>
        <v/>
      </c>
      <c r="D1471" s="6" t="str">
        <f>IF(NOT(ISBLANK(A1471)),VLOOKUP(A1471,'BBT3'!A:F,4,1),"")</f>
        <v/>
      </c>
      <c r="E1471" t="str">
        <f>IF(NOT(ISBLANK(A1471)),VLOOKUP(A1471,'BBT3'!A:F,5,0),"")</f>
        <v/>
      </c>
      <c r="F1471" t="str">
        <f>IF(NOT(ISBLANK(A1471)),VLOOKUP(A1471,'BBT3'!A:F,6,0),"")</f>
        <v/>
      </c>
      <c r="G1471" t="str">
        <f>IF(NOT(ISBLANK(A1471)),VLOOKUP(A1471,QW_Close!A:J,5,0),"")</f>
        <v/>
      </c>
      <c r="H1471" s="5" t="str" cm="1">
        <f t="array" ref="H1471">IF(NOT(ISBLANK(A1471)),((_xlfn.XLOOKUP(1,(_bbt3[[#All],[ID]]=A1471)*(_bbt3[[#All],[METRIC_NAME]]="YLD_YTM_ASK"),_bbt3[[#All],[METRIC_VALUE]])*0.5)+(_xlfn.XLOOKUP(1,(_bbt3[[#All],[ID]]=A1471)*(_bbt3[[#All],[METRIC_NAME]]="YLD_YTM_BID"),_bbt3[[#All],[METRIC_VALUE]])*0.5))/100,"")</f>
        <v/>
      </c>
      <c r="I1471">
        <f>IF(ISNA(VLOOKUP(A1471,QW_CloseDL!A:E,5,0)),0,VLOOKUP(A1471,QW_CloseDL!A:E,5,0))</f>
        <v>0</v>
      </c>
      <c r="J1471" s="8" t="str">
        <f t="shared" si="110"/>
        <v/>
      </c>
    </row>
    <row r="1472" spans="2:20" x14ac:dyDescent="0.35">
      <c r="B1472" t="str">
        <f>IF(NOT(ISBLANK(A1472)),VLOOKUP(A1472,'BBT3'!A:F,2,0),"")</f>
        <v/>
      </c>
      <c r="C1472" t="str">
        <f>IF(NOT(ISBLANK(A1472)),VLOOKUP(A1472,'BBT3'!A:F,3,0),"")</f>
        <v/>
      </c>
      <c r="D1472" s="6" t="str">
        <f>IF(NOT(ISBLANK(A1472)),VLOOKUP(A1472,'BBT3'!A:F,4,1),"")</f>
        <v/>
      </c>
      <c r="E1472" t="str">
        <f>IF(NOT(ISBLANK(A1472)),VLOOKUP(A1472,'BBT3'!A:F,5,0),"")</f>
        <v/>
      </c>
      <c r="F1472" t="str">
        <f>IF(NOT(ISBLANK(A1472)),VLOOKUP(A1472,'BBT3'!A:F,6,0),"")</f>
        <v/>
      </c>
      <c r="G1472" t="str">
        <f>IF(NOT(ISBLANK(A1472)),VLOOKUP(A1472,QW_Close!A:J,5,0),"")</f>
        <v/>
      </c>
      <c r="H1472" s="5" t="str" cm="1">
        <f t="array" ref="H1472">IF(NOT(ISBLANK(A1472)),((_xlfn.XLOOKUP(1,(_bbt3[[#All],[ID]]=A1472)*(_bbt3[[#All],[METRIC_NAME]]="YLD_YTM_ASK"),_bbt3[[#All],[METRIC_VALUE]])*0.5)+(_xlfn.XLOOKUP(1,(_bbt3[[#All],[ID]]=A1472)*(_bbt3[[#All],[METRIC_NAME]]="YLD_YTM_BID"),_bbt3[[#All],[METRIC_VALUE]])*0.5))/100,"")</f>
        <v/>
      </c>
      <c r="I1472">
        <f>IF(ISNA(VLOOKUP(A1472,QW_CloseDL!A:E,5,0)),0,VLOOKUP(A1472,QW_CloseDL!A:E,5,0))</f>
        <v>0</v>
      </c>
      <c r="J1472" s="8" t="str">
        <f t="shared" si="110"/>
        <v/>
      </c>
    </row>
    <row r="1473" spans="2:10" x14ac:dyDescent="0.35">
      <c r="B1473" t="str">
        <f>IF(NOT(ISBLANK(A1473)),VLOOKUP(A1473,'BBT3'!A:F,2,0),"")</f>
        <v/>
      </c>
      <c r="C1473" t="str">
        <f>IF(NOT(ISBLANK(A1473)),VLOOKUP(A1473,'BBT3'!A:F,3,0),"")</f>
        <v/>
      </c>
      <c r="D1473" s="6" t="str">
        <f>IF(NOT(ISBLANK(A1473)),VLOOKUP(A1473,'BBT3'!A:F,4,1),"")</f>
        <v/>
      </c>
      <c r="E1473" t="str">
        <f>IF(NOT(ISBLANK(A1473)),VLOOKUP(A1473,'BBT3'!A:F,5,0),"")</f>
        <v/>
      </c>
      <c r="F1473" t="str">
        <f>IF(NOT(ISBLANK(A1473)),VLOOKUP(A1473,'BBT3'!A:F,6,0),"")</f>
        <v/>
      </c>
      <c r="G1473" t="str">
        <f>IF(NOT(ISBLANK(A1473)),VLOOKUP(A1473,QW_Close!A:J,5,0),"")</f>
        <v/>
      </c>
      <c r="H1473" s="5" t="str" cm="1">
        <f t="array" ref="H1473">IF(NOT(ISBLANK(A1473)),((_xlfn.XLOOKUP(1,(_bbt3[[#All],[ID]]=A1473)*(_bbt3[[#All],[METRIC_NAME]]="YLD_YTM_ASK"),_bbt3[[#All],[METRIC_VALUE]])*0.5)+(_xlfn.XLOOKUP(1,(_bbt3[[#All],[ID]]=A1473)*(_bbt3[[#All],[METRIC_NAME]]="YLD_YTM_BID"),_bbt3[[#All],[METRIC_VALUE]])*0.5))/100,"")</f>
        <v/>
      </c>
      <c r="I1473">
        <f>IF(ISNA(VLOOKUP(A1473,QW_CloseDL!A:E,5,0)),0,VLOOKUP(A1473,QW_CloseDL!A:E,5,0))</f>
        <v>0</v>
      </c>
      <c r="J1473" s="8" t="str">
        <f t="shared" si="110"/>
        <v/>
      </c>
    </row>
    <row r="1474" spans="2:10" x14ac:dyDescent="0.35">
      <c r="B1474" t="str">
        <f>IF(NOT(ISBLANK(A1474)),VLOOKUP(A1474,'BBT3'!A:F,2,0),"")</f>
        <v/>
      </c>
      <c r="C1474" t="str">
        <f>IF(NOT(ISBLANK(A1474)),VLOOKUP(A1474,'BBT3'!A:F,3,0),"")</f>
        <v/>
      </c>
      <c r="D1474" s="6" t="str">
        <f>IF(NOT(ISBLANK(A1474)),VLOOKUP(A1474,'BBT3'!A:F,4,1),"")</f>
        <v/>
      </c>
      <c r="E1474" t="str">
        <f>IF(NOT(ISBLANK(A1474)),VLOOKUP(A1474,'BBT3'!A:F,5,0),"")</f>
        <v/>
      </c>
      <c r="F1474" t="str">
        <f>IF(NOT(ISBLANK(A1474)),VLOOKUP(A1474,'BBT3'!A:F,6,0),"")</f>
        <v/>
      </c>
      <c r="G1474" t="str">
        <f>IF(NOT(ISBLANK(A1474)),VLOOKUP(A1474,QW_Close!A:J,5,0),"")</f>
        <v/>
      </c>
      <c r="H1474" s="5" t="str" cm="1">
        <f t="array" ref="H1474">IF(NOT(ISBLANK(A1474)),((_xlfn.XLOOKUP(1,(_bbt3[[#All],[ID]]=A1474)*(_bbt3[[#All],[METRIC_NAME]]="YLD_YTM_ASK"),_bbt3[[#All],[METRIC_VALUE]])*0.5)+(_xlfn.XLOOKUP(1,(_bbt3[[#All],[ID]]=A1474)*(_bbt3[[#All],[METRIC_NAME]]="YLD_YTM_BID"),_bbt3[[#All],[METRIC_VALUE]])*0.5))/100,"")</f>
        <v/>
      </c>
      <c r="I1474">
        <f>IF(ISNA(VLOOKUP(A1474,QW_CloseDL!A:E,5,0)),0,VLOOKUP(A1474,QW_CloseDL!A:E,5,0))</f>
        <v>0</v>
      </c>
      <c r="J1474" s="8" t="str">
        <f t="shared" si="110"/>
        <v/>
      </c>
    </row>
    <row r="1475" spans="2:10" x14ac:dyDescent="0.35">
      <c r="B1475" t="str">
        <f>IF(NOT(ISBLANK(A1475)),VLOOKUP(A1475,'BBT3'!A:F,2,0),"")</f>
        <v/>
      </c>
      <c r="C1475" t="str">
        <f>IF(NOT(ISBLANK(A1475)),VLOOKUP(A1475,'BBT3'!A:F,3,0),"")</f>
        <v/>
      </c>
      <c r="D1475" s="6" t="str">
        <f>IF(NOT(ISBLANK(A1475)),VLOOKUP(A1475,'BBT3'!A:F,4,1),"")</f>
        <v/>
      </c>
      <c r="E1475" t="str">
        <f>IF(NOT(ISBLANK(A1475)),VLOOKUP(A1475,'BBT3'!A:F,5,0),"")</f>
        <v/>
      </c>
      <c r="F1475" t="str">
        <f>IF(NOT(ISBLANK(A1475)),VLOOKUP(A1475,'BBT3'!A:F,6,0),"")</f>
        <v/>
      </c>
      <c r="G1475" t="str">
        <f>IF(NOT(ISBLANK(A1475)),VLOOKUP(A1475,QW_Close!A:J,5,0),"")</f>
        <v/>
      </c>
      <c r="H1475" s="5" t="str" cm="1">
        <f t="array" ref="H1475">IF(NOT(ISBLANK(A1475)),((_xlfn.XLOOKUP(1,(_bbt3[[#All],[ID]]=A1475)*(_bbt3[[#All],[METRIC_NAME]]="YLD_YTM_ASK"),_bbt3[[#All],[METRIC_VALUE]])*0.5)+(_xlfn.XLOOKUP(1,(_bbt3[[#All],[ID]]=A1475)*(_bbt3[[#All],[METRIC_NAME]]="YLD_YTM_BID"),_bbt3[[#All],[METRIC_VALUE]])*0.5))/100,"")</f>
        <v/>
      </c>
      <c r="I1475">
        <f>IF(ISNA(VLOOKUP(A1475,QW_CloseDL!A:E,5,0)),0,VLOOKUP(A1475,QW_CloseDL!A:E,5,0))</f>
        <v>0</v>
      </c>
      <c r="J1475" s="8" t="str">
        <f t="shared" ref="J1475:J1538" si="113">IF(ISNA(IF(NOT(ISBLANK(A1475)),ABS(G1475-I1475),"")),0,(IF(NOT(ISBLANK(A1475)),ABS(G1475-I1475)*10000,"")))</f>
        <v/>
      </c>
    </row>
    <row r="1476" spans="2:10" x14ac:dyDescent="0.35">
      <c r="B1476" t="str">
        <f>IF(NOT(ISBLANK(A1476)),VLOOKUP(A1476,'BBT3'!A:F,2,0),"")</f>
        <v/>
      </c>
      <c r="C1476" t="str">
        <f>IF(NOT(ISBLANK(A1476)),VLOOKUP(A1476,'BBT3'!A:F,3,0),"")</f>
        <v/>
      </c>
      <c r="D1476" s="6" t="str">
        <f>IF(NOT(ISBLANK(A1476)),VLOOKUP(A1476,'BBT3'!A:F,4,1),"")</f>
        <v/>
      </c>
      <c r="E1476" t="str">
        <f>IF(NOT(ISBLANK(A1476)),VLOOKUP(A1476,'BBT3'!A:F,5,0),"")</f>
        <v/>
      </c>
      <c r="F1476" t="str">
        <f>IF(NOT(ISBLANK(A1476)),VLOOKUP(A1476,'BBT3'!A:F,6,0),"")</f>
        <v/>
      </c>
      <c r="G1476" t="str">
        <f>IF(NOT(ISBLANK(A1476)),VLOOKUP(A1476,QW_Close!A:J,5,0),"")</f>
        <v/>
      </c>
      <c r="H1476" s="5" t="str" cm="1">
        <f t="array" ref="H1476">IF(NOT(ISBLANK(A1476)),((_xlfn.XLOOKUP(1,(_bbt3[[#All],[ID]]=A1476)*(_bbt3[[#All],[METRIC_NAME]]="YLD_YTM_ASK"),_bbt3[[#All],[METRIC_VALUE]])*0.5)+(_xlfn.XLOOKUP(1,(_bbt3[[#All],[ID]]=A1476)*(_bbt3[[#All],[METRIC_NAME]]="YLD_YTM_BID"),_bbt3[[#All],[METRIC_VALUE]])*0.5))/100,"")</f>
        <v/>
      </c>
      <c r="I1476">
        <f>IF(ISNA(VLOOKUP(A1476,QW_CloseDL!A:E,5,0)),0,VLOOKUP(A1476,QW_CloseDL!A:E,5,0))</f>
        <v>0</v>
      </c>
      <c r="J1476" s="8" t="str">
        <f t="shared" si="113"/>
        <v/>
      </c>
    </row>
    <row r="1477" spans="2:10" x14ac:dyDescent="0.35">
      <c r="B1477" t="str">
        <f>IF(NOT(ISBLANK(A1477)),VLOOKUP(A1477,'BBT3'!A:F,2,0),"")</f>
        <v/>
      </c>
      <c r="C1477" t="str">
        <f>IF(NOT(ISBLANK(A1477)),VLOOKUP(A1477,'BBT3'!A:F,3,0),"")</f>
        <v/>
      </c>
      <c r="D1477" s="6" t="str">
        <f>IF(NOT(ISBLANK(A1477)),VLOOKUP(A1477,'BBT3'!A:F,4,1),"")</f>
        <v/>
      </c>
      <c r="E1477" t="str">
        <f>IF(NOT(ISBLANK(A1477)),VLOOKUP(A1477,'BBT3'!A:F,5,0),"")</f>
        <v/>
      </c>
      <c r="F1477" t="str">
        <f>IF(NOT(ISBLANK(A1477)),VLOOKUP(A1477,'BBT3'!A:F,6,0),"")</f>
        <v/>
      </c>
      <c r="G1477" t="str">
        <f>IF(NOT(ISBLANK(A1477)),VLOOKUP(A1477,QW_Close!A:J,5,0),"")</f>
        <v/>
      </c>
      <c r="H1477" s="5" t="str" cm="1">
        <f t="array" ref="H1477">IF(NOT(ISBLANK(A1477)),((_xlfn.XLOOKUP(1,(_bbt3[[#All],[ID]]=A1477)*(_bbt3[[#All],[METRIC_NAME]]="YLD_YTM_ASK"),_bbt3[[#All],[METRIC_VALUE]])*0.5)+(_xlfn.XLOOKUP(1,(_bbt3[[#All],[ID]]=A1477)*(_bbt3[[#All],[METRIC_NAME]]="YLD_YTM_BID"),_bbt3[[#All],[METRIC_VALUE]])*0.5))/100,"")</f>
        <v/>
      </c>
      <c r="I1477">
        <f>IF(ISNA(VLOOKUP(A1477,QW_CloseDL!A:E,5,0)),0,VLOOKUP(A1477,QW_CloseDL!A:E,5,0))</f>
        <v>0</v>
      </c>
      <c r="J1477" s="8" t="str">
        <f t="shared" si="113"/>
        <v/>
      </c>
    </row>
    <row r="1478" spans="2:10" x14ac:dyDescent="0.35">
      <c r="B1478" t="str">
        <f>IF(NOT(ISBLANK(A1478)),VLOOKUP(A1478,'BBT3'!A:F,2,0),"")</f>
        <v/>
      </c>
      <c r="C1478" t="str">
        <f>IF(NOT(ISBLANK(A1478)),VLOOKUP(A1478,'BBT3'!A:F,3,0),"")</f>
        <v/>
      </c>
      <c r="D1478" s="6" t="str">
        <f>IF(NOT(ISBLANK(A1478)),VLOOKUP(A1478,'BBT3'!A:F,4,1),"")</f>
        <v/>
      </c>
      <c r="E1478" t="str">
        <f>IF(NOT(ISBLANK(A1478)),VLOOKUP(A1478,'BBT3'!A:F,5,0),"")</f>
        <v/>
      </c>
      <c r="F1478" t="str">
        <f>IF(NOT(ISBLANK(A1478)),VLOOKUP(A1478,'BBT3'!A:F,6,0),"")</f>
        <v/>
      </c>
      <c r="G1478" t="str">
        <f>IF(NOT(ISBLANK(A1478)),VLOOKUP(A1478,QW_Close!A:J,5,0),"")</f>
        <v/>
      </c>
      <c r="H1478" s="5" t="str" cm="1">
        <f t="array" ref="H1478">IF(NOT(ISBLANK(A1478)),((_xlfn.XLOOKUP(1,(_bbt3[[#All],[ID]]=A1478)*(_bbt3[[#All],[METRIC_NAME]]="YLD_YTM_ASK"),_bbt3[[#All],[METRIC_VALUE]])*0.5)+(_xlfn.XLOOKUP(1,(_bbt3[[#All],[ID]]=A1478)*(_bbt3[[#All],[METRIC_NAME]]="YLD_YTM_BID"),_bbt3[[#All],[METRIC_VALUE]])*0.5))/100,"")</f>
        <v/>
      </c>
      <c r="I1478">
        <f>IF(ISNA(VLOOKUP(A1478,QW_CloseDL!A:E,5,0)),0,VLOOKUP(A1478,QW_CloseDL!A:E,5,0))</f>
        <v>0</v>
      </c>
      <c r="J1478" s="8" t="str">
        <f t="shared" si="113"/>
        <v/>
      </c>
    </row>
    <row r="1479" spans="2:10" x14ac:dyDescent="0.35">
      <c r="B1479" t="str">
        <f>IF(NOT(ISBLANK(A1479)),VLOOKUP(A1479,'BBT3'!A:F,2,0),"")</f>
        <v/>
      </c>
      <c r="C1479" t="str">
        <f>IF(NOT(ISBLANK(A1479)),VLOOKUP(A1479,'BBT3'!A:F,3,0),"")</f>
        <v/>
      </c>
      <c r="D1479" s="6" t="str">
        <f>IF(NOT(ISBLANK(A1479)),VLOOKUP(A1479,'BBT3'!A:F,4,1),"")</f>
        <v/>
      </c>
      <c r="E1479" t="str">
        <f>IF(NOT(ISBLANK(A1479)),VLOOKUP(A1479,'BBT3'!A:F,5,0),"")</f>
        <v/>
      </c>
      <c r="F1479" t="str">
        <f>IF(NOT(ISBLANK(A1479)),VLOOKUP(A1479,'BBT3'!A:F,6,0),"")</f>
        <v/>
      </c>
      <c r="G1479" t="str">
        <f>IF(NOT(ISBLANK(A1479)),VLOOKUP(A1479,QW_Close!A:J,5,0),"")</f>
        <v/>
      </c>
      <c r="H1479" s="5" t="str" cm="1">
        <f t="array" ref="H1479">IF(NOT(ISBLANK(A1479)),((_xlfn.XLOOKUP(1,(_bbt3[[#All],[ID]]=A1479)*(_bbt3[[#All],[METRIC_NAME]]="YLD_YTM_ASK"),_bbt3[[#All],[METRIC_VALUE]])*0.5)+(_xlfn.XLOOKUP(1,(_bbt3[[#All],[ID]]=A1479)*(_bbt3[[#All],[METRIC_NAME]]="YLD_YTM_BID"),_bbt3[[#All],[METRIC_VALUE]])*0.5))/100,"")</f>
        <v/>
      </c>
      <c r="I1479">
        <f>IF(ISNA(VLOOKUP(A1479,QW_CloseDL!A:E,5,0)),0,VLOOKUP(A1479,QW_CloseDL!A:E,5,0))</f>
        <v>0</v>
      </c>
      <c r="J1479" s="8" t="str">
        <f t="shared" si="113"/>
        <v/>
      </c>
    </row>
    <row r="1480" spans="2:10" x14ac:dyDescent="0.35">
      <c r="B1480" t="str">
        <f>IF(NOT(ISBLANK(A1480)),VLOOKUP(A1480,'BBT3'!A:F,2,0),"")</f>
        <v/>
      </c>
      <c r="C1480" t="str">
        <f>IF(NOT(ISBLANK(A1480)),VLOOKUP(A1480,'BBT3'!A:F,3,0),"")</f>
        <v/>
      </c>
      <c r="D1480" s="6" t="str">
        <f>IF(NOT(ISBLANK(A1480)),VLOOKUP(A1480,'BBT3'!A:F,4,1),"")</f>
        <v/>
      </c>
      <c r="E1480" t="str">
        <f>IF(NOT(ISBLANK(A1480)),VLOOKUP(A1480,'BBT3'!A:F,5,0),"")</f>
        <v/>
      </c>
      <c r="F1480" t="str">
        <f>IF(NOT(ISBLANK(A1480)),VLOOKUP(A1480,'BBT3'!A:F,6,0),"")</f>
        <v/>
      </c>
      <c r="G1480" t="str">
        <f>IF(NOT(ISBLANK(A1480)),VLOOKUP(A1480,QW_Close!A:J,5,0),"")</f>
        <v/>
      </c>
      <c r="H1480" s="5" t="str" cm="1">
        <f t="array" ref="H1480">IF(NOT(ISBLANK(A1480)),((_xlfn.XLOOKUP(1,(_bbt3[[#All],[ID]]=A1480)*(_bbt3[[#All],[METRIC_NAME]]="YLD_YTM_ASK"),_bbt3[[#All],[METRIC_VALUE]])*0.5)+(_xlfn.XLOOKUP(1,(_bbt3[[#All],[ID]]=A1480)*(_bbt3[[#All],[METRIC_NAME]]="YLD_YTM_BID"),_bbt3[[#All],[METRIC_VALUE]])*0.5))/100,"")</f>
        <v/>
      </c>
      <c r="I1480">
        <f>IF(ISNA(VLOOKUP(A1480,QW_CloseDL!A:E,5,0)),0,VLOOKUP(A1480,QW_CloseDL!A:E,5,0))</f>
        <v>0</v>
      </c>
      <c r="J1480" s="8" t="str">
        <f t="shared" si="113"/>
        <v/>
      </c>
    </row>
    <row r="1481" spans="2:10" x14ac:dyDescent="0.35">
      <c r="B1481" t="str">
        <f>IF(NOT(ISBLANK(A1481)),VLOOKUP(A1481,'BBT3'!A:F,2,0),"")</f>
        <v/>
      </c>
      <c r="C1481" t="str">
        <f>IF(NOT(ISBLANK(A1481)),VLOOKUP(A1481,'BBT3'!A:F,3,0),"")</f>
        <v/>
      </c>
      <c r="D1481" s="6" t="str">
        <f>IF(NOT(ISBLANK(A1481)),VLOOKUP(A1481,'BBT3'!A:F,4,1),"")</f>
        <v/>
      </c>
      <c r="E1481" t="str">
        <f>IF(NOT(ISBLANK(A1481)),VLOOKUP(A1481,'BBT3'!A:F,5,0),"")</f>
        <v/>
      </c>
      <c r="F1481" t="str">
        <f>IF(NOT(ISBLANK(A1481)),VLOOKUP(A1481,'BBT3'!A:F,6,0),"")</f>
        <v/>
      </c>
      <c r="G1481" t="str">
        <f>IF(NOT(ISBLANK(A1481)),VLOOKUP(A1481,QW_Close!A:J,5,0),"")</f>
        <v/>
      </c>
      <c r="H1481" s="5" t="str" cm="1">
        <f t="array" ref="H1481">IF(NOT(ISBLANK(A1481)),((_xlfn.XLOOKUP(1,(_bbt3[[#All],[ID]]=A1481)*(_bbt3[[#All],[METRIC_NAME]]="YLD_YTM_ASK"),_bbt3[[#All],[METRIC_VALUE]])*0.5)+(_xlfn.XLOOKUP(1,(_bbt3[[#All],[ID]]=A1481)*(_bbt3[[#All],[METRIC_NAME]]="YLD_YTM_BID"),_bbt3[[#All],[METRIC_VALUE]])*0.5))/100,"")</f>
        <v/>
      </c>
      <c r="I1481">
        <f>IF(ISNA(VLOOKUP(A1481,QW_CloseDL!A:E,5,0)),0,VLOOKUP(A1481,QW_CloseDL!A:E,5,0))</f>
        <v>0</v>
      </c>
      <c r="J1481" s="8" t="str">
        <f t="shared" si="113"/>
        <v/>
      </c>
    </row>
    <row r="1482" spans="2:10" x14ac:dyDescent="0.35">
      <c r="B1482" t="str">
        <f>IF(NOT(ISBLANK(A1482)),VLOOKUP(A1482,'BBT3'!A:F,2,0),"")</f>
        <v/>
      </c>
      <c r="C1482" t="str">
        <f>IF(NOT(ISBLANK(A1482)),VLOOKUP(A1482,'BBT3'!A:F,3,0),"")</f>
        <v/>
      </c>
      <c r="D1482" s="6" t="str">
        <f>IF(NOT(ISBLANK(A1482)),VLOOKUP(A1482,'BBT3'!A:F,4,1),"")</f>
        <v/>
      </c>
      <c r="E1482" t="str">
        <f>IF(NOT(ISBLANK(A1482)),VLOOKUP(A1482,'BBT3'!A:F,5,0),"")</f>
        <v/>
      </c>
      <c r="F1482" t="str">
        <f>IF(NOT(ISBLANK(A1482)),VLOOKUP(A1482,'BBT3'!A:F,6,0),"")</f>
        <v/>
      </c>
      <c r="G1482" t="str">
        <f>IF(NOT(ISBLANK(A1482)),VLOOKUP(A1482,QW_Close!A:J,5,0),"")</f>
        <v/>
      </c>
      <c r="H1482" s="5" t="str" cm="1">
        <f t="array" ref="H1482">IF(NOT(ISBLANK(A1482)),((_xlfn.XLOOKUP(1,(_bbt3[[#All],[ID]]=A1482)*(_bbt3[[#All],[METRIC_NAME]]="YLD_YTM_ASK"),_bbt3[[#All],[METRIC_VALUE]])*0.5)+(_xlfn.XLOOKUP(1,(_bbt3[[#All],[ID]]=A1482)*(_bbt3[[#All],[METRIC_NAME]]="YLD_YTM_BID"),_bbt3[[#All],[METRIC_VALUE]])*0.5))/100,"")</f>
        <v/>
      </c>
      <c r="I1482">
        <f>IF(ISNA(VLOOKUP(A1482,QW_CloseDL!A:E,5,0)),0,VLOOKUP(A1482,QW_CloseDL!A:E,5,0))</f>
        <v>0</v>
      </c>
      <c r="J1482" s="8" t="str">
        <f t="shared" si="113"/>
        <v/>
      </c>
    </row>
    <row r="1483" spans="2:10" x14ac:dyDescent="0.35">
      <c r="B1483" t="str">
        <f>IF(NOT(ISBLANK(A1483)),VLOOKUP(A1483,'BBT3'!A:F,2,0),"")</f>
        <v/>
      </c>
      <c r="C1483" t="str">
        <f>IF(NOT(ISBLANK(A1483)),VLOOKUP(A1483,'BBT3'!A:F,3,0),"")</f>
        <v/>
      </c>
      <c r="D1483" s="6" t="str">
        <f>IF(NOT(ISBLANK(A1483)),VLOOKUP(A1483,'BBT3'!A:F,4,1),"")</f>
        <v/>
      </c>
      <c r="E1483" t="str">
        <f>IF(NOT(ISBLANK(A1483)),VLOOKUP(A1483,'BBT3'!A:F,5,0),"")</f>
        <v/>
      </c>
      <c r="F1483" t="str">
        <f>IF(NOT(ISBLANK(A1483)),VLOOKUP(A1483,'BBT3'!A:F,6,0),"")</f>
        <v/>
      </c>
      <c r="G1483" t="str">
        <f>IF(NOT(ISBLANK(A1483)),VLOOKUP(A1483,QW_Close!A:J,5,0),"")</f>
        <v/>
      </c>
      <c r="H1483" s="5" t="str" cm="1">
        <f t="array" ref="H1483">IF(NOT(ISBLANK(A1483)),((_xlfn.XLOOKUP(1,(_bbt3[[#All],[ID]]=A1483)*(_bbt3[[#All],[METRIC_NAME]]="YLD_YTM_ASK"),_bbt3[[#All],[METRIC_VALUE]])*0.5)+(_xlfn.XLOOKUP(1,(_bbt3[[#All],[ID]]=A1483)*(_bbt3[[#All],[METRIC_NAME]]="YLD_YTM_BID"),_bbt3[[#All],[METRIC_VALUE]])*0.5))/100,"")</f>
        <v/>
      </c>
      <c r="I1483">
        <f>IF(ISNA(VLOOKUP(A1483,QW_CloseDL!A:E,5,0)),0,VLOOKUP(A1483,QW_CloseDL!A:E,5,0))</f>
        <v>0</v>
      </c>
      <c r="J1483" s="8" t="str">
        <f t="shared" si="113"/>
        <v/>
      </c>
    </row>
    <row r="1484" spans="2:10" x14ac:dyDescent="0.35">
      <c r="B1484" t="str">
        <f>IF(NOT(ISBLANK(A1484)),VLOOKUP(A1484,'BBT3'!A:F,2,0),"")</f>
        <v/>
      </c>
      <c r="C1484" t="str">
        <f>IF(NOT(ISBLANK(A1484)),VLOOKUP(A1484,'BBT3'!A:F,3,0),"")</f>
        <v/>
      </c>
      <c r="D1484" s="6" t="str">
        <f>IF(NOT(ISBLANK(A1484)),VLOOKUP(A1484,'BBT3'!A:F,4,1),"")</f>
        <v/>
      </c>
      <c r="E1484" t="str">
        <f>IF(NOT(ISBLANK(A1484)),VLOOKUP(A1484,'BBT3'!A:F,5,0),"")</f>
        <v/>
      </c>
      <c r="F1484" t="str">
        <f>IF(NOT(ISBLANK(A1484)),VLOOKUP(A1484,'BBT3'!A:F,6,0),"")</f>
        <v/>
      </c>
      <c r="G1484" t="str">
        <f>IF(NOT(ISBLANK(A1484)),VLOOKUP(A1484,QW_Close!A:J,5,0),"")</f>
        <v/>
      </c>
      <c r="H1484" s="5" t="str" cm="1">
        <f t="array" ref="H1484">IF(NOT(ISBLANK(A1484)),((_xlfn.XLOOKUP(1,(_bbt3[[#All],[ID]]=A1484)*(_bbt3[[#All],[METRIC_NAME]]="YLD_YTM_ASK"),_bbt3[[#All],[METRIC_VALUE]])*0.5)+(_xlfn.XLOOKUP(1,(_bbt3[[#All],[ID]]=A1484)*(_bbt3[[#All],[METRIC_NAME]]="YLD_YTM_BID"),_bbt3[[#All],[METRIC_VALUE]])*0.5))/100,"")</f>
        <v/>
      </c>
      <c r="I1484">
        <f>IF(ISNA(VLOOKUP(A1484,QW_CloseDL!A:E,5,0)),0,VLOOKUP(A1484,QW_CloseDL!A:E,5,0))</f>
        <v>0</v>
      </c>
      <c r="J1484" s="8" t="str">
        <f t="shared" si="113"/>
        <v/>
      </c>
    </row>
    <row r="1485" spans="2:10" x14ac:dyDescent="0.35">
      <c r="B1485" t="str">
        <f>IF(NOT(ISBLANK(A1485)),VLOOKUP(A1485,'BBT3'!A:F,2,0),"")</f>
        <v/>
      </c>
      <c r="C1485" t="str">
        <f>IF(NOT(ISBLANK(A1485)),VLOOKUP(A1485,'BBT3'!A:F,3,0),"")</f>
        <v/>
      </c>
      <c r="D1485" s="6" t="str">
        <f>IF(NOT(ISBLANK(A1485)),VLOOKUP(A1485,'BBT3'!A:F,4,1),"")</f>
        <v/>
      </c>
      <c r="E1485" t="str">
        <f>IF(NOT(ISBLANK(A1485)),VLOOKUP(A1485,'BBT3'!A:F,5,0),"")</f>
        <v/>
      </c>
      <c r="F1485" t="str">
        <f>IF(NOT(ISBLANK(A1485)),VLOOKUP(A1485,'BBT3'!A:F,6,0),"")</f>
        <v/>
      </c>
      <c r="G1485" t="str">
        <f>IF(NOT(ISBLANK(A1485)),VLOOKUP(A1485,QW_Close!A:J,5,0),"")</f>
        <v/>
      </c>
      <c r="H1485" s="5" t="str" cm="1">
        <f t="array" ref="H1485">IF(NOT(ISBLANK(A1485)),((_xlfn.XLOOKUP(1,(_bbt3[[#All],[ID]]=A1485)*(_bbt3[[#All],[METRIC_NAME]]="YLD_YTM_ASK"),_bbt3[[#All],[METRIC_VALUE]])*0.5)+(_xlfn.XLOOKUP(1,(_bbt3[[#All],[ID]]=A1485)*(_bbt3[[#All],[METRIC_NAME]]="YLD_YTM_BID"),_bbt3[[#All],[METRIC_VALUE]])*0.5))/100,"")</f>
        <v/>
      </c>
      <c r="I1485">
        <f>IF(ISNA(VLOOKUP(A1485,QW_CloseDL!A:E,5,0)),0,VLOOKUP(A1485,QW_CloseDL!A:E,5,0))</f>
        <v>0</v>
      </c>
      <c r="J1485" s="8" t="str">
        <f t="shared" si="113"/>
        <v/>
      </c>
    </row>
    <row r="1486" spans="2:10" x14ac:dyDescent="0.35">
      <c r="B1486" t="str">
        <f>IF(NOT(ISBLANK(A1486)),VLOOKUP(A1486,'BBT3'!A:F,2,0),"")</f>
        <v/>
      </c>
      <c r="C1486" t="str">
        <f>IF(NOT(ISBLANK(A1486)),VLOOKUP(A1486,'BBT3'!A:F,3,0),"")</f>
        <v/>
      </c>
      <c r="D1486" s="6" t="str">
        <f>IF(NOT(ISBLANK(A1486)),VLOOKUP(A1486,'BBT3'!A:F,4,1),"")</f>
        <v/>
      </c>
      <c r="E1486" t="str">
        <f>IF(NOT(ISBLANK(A1486)),VLOOKUP(A1486,'BBT3'!A:F,5,0),"")</f>
        <v/>
      </c>
      <c r="F1486" t="str">
        <f>IF(NOT(ISBLANK(A1486)),VLOOKUP(A1486,'BBT3'!A:F,6,0),"")</f>
        <v/>
      </c>
      <c r="G1486" t="str">
        <f>IF(NOT(ISBLANK(A1486)),VLOOKUP(A1486,QW_Close!A:J,5,0),"")</f>
        <v/>
      </c>
      <c r="H1486" s="5" t="str" cm="1">
        <f t="array" ref="H1486">IF(NOT(ISBLANK(A1486)),((_xlfn.XLOOKUP(1,(_bbt3[[#All],[ID]]=A1486)*(_bbt3[[#All],[METRIC_NAME]]="YLD_YTM_ASK"),_bbt3[[#All],[METRIC_VALUE]])*0.5)+(_xlfn.XLOOKUP(1,(_bbt3[[#All],[ID]]=A1486)*(_bbt3[[#All],[METRIC_NAME]]="YLD_YTM_BID"),_bbt3[[#All],[METRIC_VALUE]])*0.5))/100,"")</f>
        <v/>
      </c>
      <c r="I1486">
        <f>IF(ISNA(VLOOKUP(A1486,QW_CloseDL!A:E,5,0)),0,VLOOKUP(A1486,QW_CloseDL!A:E,5,0))</f>
        <v>0</v>
      </c>
      <c r="J1486" s="8" t="str">
        <f t="shared" si="113"/>
        <v/>
      </c>
    </row>
    <row r="1487" spans="2:10" x14ac:dyDescent="0.35">
      <c r="B1487" t="str">
        <f>IF(NOT(ISBLANK(A1487)),VLOOKUP(A1487,'BBT3'!A:F,2,0),"")</f>
        <v/>
      </c>
      <c r="C1487" t="str">
        <f>IF(NOT(ISBLANK(A1487)),VLOOKUP(A1487,'BBT3'!A:F,3,0),"")</f>
        <v/>
      </c>
      <c r="D1487" s="6" t="str">
        <f>IF(NOT(ISBLANK(A1487)),VLOOKUP(A1487,'BBT3'!A:F,4,1),"")</f>
        <v/>
      </c>
      <c r="E1487" t="str">
        <f>IF(NOT(ISBLANK(A1487)),VLOOKUP(A1487,'BBT3'!A:F,5,0),"")</f>
        <v/>
      </c>
      <c r="F1487" t="str">
        <f>IF(NOT(ISBLANK(A1487)),VLOOKUP(A1487,'BBT3'!A:F,6,0),"")</f>
        <v/>
      </c>
      <c r="G1487" t="str">
        <f>IF(NOT(ISBLANK(A1487)),VLOOKUP(A1487,QW_Close!A:J,5,0),"")</f>
        <v/>
      </c>
      <c r="H1487" s="5" t="str" cm="1">
        <f t="array" ref="H1487">IF(NOT(ISBLANK(A1487)),((_xlfn.XLOOKUP(1,(_bbt3[[#All],[ID]]=A1487)*(_bbt3[[#All],[METRIC_NAME]]="YLD_YTM_ASK"),_bbt3[[#All],[METRIC_VALUE]])*0.5)+(_xlfn.XLOOKUP(1,(_bbt3[[#All],[ID]]=A1487)*(_bbt3[[#All],[METRIC_NAME]]="YLD_YTM_BID"),_bbt3[[#All],[METRIC_VALUE]])*0.5))/100,"")</f>
        <v/>
      </c>
      <c r="I1487">
        <f>IF(ISNA(VLOOKUP(A1487,QW_CloseDL!A:E,5,0)),0,VLOOKUP(A1487,QW_CloseDL!A:E,5,0))</f>
        <v>0</v>
      </c>
      <c r="J1487" s="8" t="str">
        <f t="shared" si="113"/>
        <v/>
      </c>
    </row>
    <row r="1488" spans="2:10" x14ac:dyDescent="0.35">
      <c r="B1488" t="str">
        <f>IF(NOT(ISBLANK(A1488)),VLOOKUP(A1488,'BBT3'!A:F,2,0),"")</f>
        <v/>
      </c>
      <c r="C1488" t="str">
        <f>IF(NOT(ISBLANK(A1488)),VLOOKUP(A1488,'BBT3'!A:F,3,0),"")</f>
        <v/>
      </c>
      <c r="D1488" s="6" t="str">
        <f>IF(NOT(ISBLANK(A1488)),VLOOKUP(A1488,'BBT3'!A:F,4,1),"")</f>
        <v/>
      </c>
      <c r="E1488" t="str">
        <f>IF(NOT(ISBLANK(A1488)),VLOOKUP(A1488,'BBT3'!A:F,5,0),"")</f>
        <v/>
      </c>
      <c r="F1488" t="str">
        <f>IF(NOT(ISBLANK(A1488)),VLOOKUP(A1488,'BBT3'!A:F,6,0),"")</f>
        <v/>
      </c>
      <c r="G1488" t="str">
        <f>IF(NOT(ISBLANK(A1488)),VLOOKUP(A1488,QW_Close!A:J,5,0),"")</f>
        <v/>
      </c>
      <c r="H1488" s="5" t="str" cm="1">
        <f t="array" ref="H1488">IF(NOT(ISBLANK(A1488)),((_xlfn.XLOOKUP(1,(_bbt3[[#All],[ID]]=A1488)*(_bbt3[[#All],[METRIC_NAME]]="YLD_YTM_ASK"),_bbt3[[#All],[METRIC_VALUE]])*0.5)+(_xlfn.XLOOKUP(1,(_bbt3[[#All],[ID]]=A1488)*(_bbt3[[#All],[METRIC_NAME]]="YLD_YTM_BID"),_bbt3[[#All],[METRIC_VALUE]])*0.5))/100,"")</f>
        <v/>
      </c>
      <c r="I1488">
        <f>IF(ISNA(VLOOKUP(A1488,QW_CloseDL!A:E,5,0)),0,VLOOKUP(A1488,QW_CloseDL!A:E,5,0))</f>
        <v>0</v>
      </c>
      <c r="J1488" s="8" t="str">
        <f t="shared" si="113"/>
        <v/>
      </c>
    </row>
    <row r="1489" spans="2:10" x14ac:dyDescent="0.35">
      <c r="B1489" t="str">
        <f>IF(NOT(ISBLANK(A1489)),VLOOKUP(A1489,'BBT3'!A:F,2,0),"")</f>
        <v/>
      </c>
      <c r="C1489" t="str">
        <f>IF(NOT(ISBLANK(A1489)),VLOOKUP(A1489,'BBT3'!A:F,3,0),"")</f>
        <v/>
      </c>
      <c r="D1489" s="6" t="str">
        <f>IF(NOT(ISBLANK(A1489)),VLOOKUP(A1489,'BBT3'!A:F,4,1),"")</f>
        <v/>
      </c>
      <c r="E1489" t="str">
        <f>IF(NOT(ISBLANK(A1489)),VLOOKUP(A1489,'BBT3'!A:F,5,0),"")</f>
        <v/>
      </c>
      <c r="F1489" t="str">
        <f>IF(NOT(ISBLANK(A1489)),VLOOKUP(A1489,'BBT3'!A:F,6,0),"")</f>
        <v/>
      </c>
      <c r="G1489" t="str">
        <f>IF(NOT(ISBLANK(A1489)),VLOOKUP(A1489,QW_Close!A:J,5,0),"")</f>
        <v/>
      </c>
      <c r="H1489" s="5" t="str" cm="1">
        <f t="array" ref="H1489">IF(NOT(ISBLANK(A1489)),((_xlfn.XLOOKUP(1,(_bbt3[[#All],[ID]]=A1489)*(_bbt3[[#All],[METRIC_NAME]]="YLD_YTM_ASK"),_bbt3[[#All],[METRIC_VALUE]])*0.5)+(_xlfn.XLOOKUP(1,(_bbt3[[#All],[ID]]=A1489)*(_bbt3[[#All],[METRIC_NAME]]="YLD_YTM_BID"),_bbt3[[#All],[METRIC_VALUE]])*0.5))/100,"")</f>
        <v/>
      </c>
      <c r="I1489">
        <f>IF(ISNA(VLOOKUP(A1489,QW_CloseDL!A:E,5,0)),0,VLOOKUP(A1489,QW_CloseDL!A:E,5,0))</f>
        <v>0</v>
      </c>
      <c r="J1489" s="8" t="str">
        <f t="shared" si="113"/>
        <v/>
      </c>
    </row>
    <row r="1490" spans="2:10" x14ac:dyDescent="0.35">
      <c r="B1490" t="str">
        <f>IF(NOT(ISBLANK(A1490)),VLOOKUP(A1490,'BBT3'!A:F,2,0),"")</f>
        <v/>
      </c>
      <c r="C1490" t="str">
        <f>IF(NOT(ISBLANK(A1490)),VLOOKUP(A1490,'BBT3'!A:F,3,0),"")</f>
        <v/>
      </c>
      <c r="D1490" s="6" t="str">
        <f>IF(NOT(ISBLANK(A1490)),VLOOKUP(A1490,'BBT3'!A:F,4,1),"")</f>
        <v/>
      </c>
      <c r="E1490" t="str">
        <f>IF(NOT(ISBLANK(A1490)),VLOOKUP(A1490,'BBT3'!A:F,5,0),"")</f>
        <v/>
      </c>
      <c r="F1490" t="str">
        <f>IF(NOT(ISBLANK(A1490)),VLOOKUP(A1490,'BBT3'!A:F,6,0),"")</f>
        <v/>
      </c>
      <c r="G1490" t="str">
        <f>IF(NOT(ISBLANK(A1490)),VLOOKUP(A1490,QW_Close!A:J,5,0),"")</f>
        <v/>
      </c>
      <c r="H1490" s="5" t="str" cm="1">
        <f t="array" ref="H1490">IF(NOT(ISBLANK(A1490)),((_xlfn.XLOOKUP(1,(_bbt3[[#All],[ID]]=A1490)*(_bbt3[[#All],[METRIC_NAME]]="YLD_YTM_ASK"),_bbt3[[#All],[METRIC_VALUE]])*0.5)+(_xlfn.XLOOKUP(1,(_bbt3[[#All],[ID]]=A1490)*(_bbt3[[#All],[METRIC_NAME]]="YLD_YTM_BID"),_bbt3[[#All],[METRIC_VALUE]])*0.5))/100,"")</f>
        <v/>
      </c>
      <c r="I1490">
        <f>IF(ISNA(VLOOKUP(A1490,QW_CloseDL!A:E,5,0)),0,VLOOKUP(A1490,QW_CloseDL!A:E,5,0))</f>
        <v>0</v>
      </c>
      <c r="J1490" s="8" t="str">
        <f t="shared" si="113"/>
        <v/>
      </c>
    </row>
    <row r="1491" spans="2:10" x14ac:dyDescent="0.35">
      <c r="B1491" t="str">
        <f>IF(NOT(ISBLANK(A1491)),VLOOKUP(A1491,'BBT3'!A:F,2,0),"")</f>
        <v/>
      </c>
      <c r="C1491" t="str">
        <f>IF(NOT(ISBLANK(A1491)),VLOOKUP(A1491,'BBT3'!A:F,3,0),"")</f>
        <v/>
      </c>
      <c r="D1491" s="6" t="str">
        <f>IF(NOT(ISBLANK(A1491)),VLOOKUP(A1491,'BBT3'!A:F,4,1),"")</f>
        <v/>
      </c>
      <c r="E1491" t="str">
        <f>IF(NOT(ISBLANK(A1491)),VLOOKUP(A1491,'BBT3'!A:F,5,0),"")</f>
        <v/>
      </c>
      <c r="F1491" t="str">
        <f>IF(NOT(ISBLANK(A1491)),VLOOKUP(A1491,'BBT3'!A:F,6,0),"")</f>
        <v/>
      </c>
      <c r="G1491" t="str">
        <f>IF(NOT(ISBLANK(A1491)),VLOOKUP(A1491,QW_Close!A:J,5,0),"")</f>
        <v/>
      </c>
      <c r="H1491" s="5" t="str" cm="1">
        <f t="array" ref="H1491">IF(NOT(ISBLANK(A1491)),((_xlfn.XLOOKUP(1,(_bbt3[[#All],[ID]]=A1491)*(_bbt3[[#All],[METRIC_NAME]]="YLD_YTM_ASK"),_bbt3[[#All],[METRIC_VALUE]])*0.5)+(_xlfn.XLOOKUP(1,(_bbt3[[#All],[ID]]=A1491)*(_bbt3[[#All],[METRIC_NAME]]="YLD_YTM_BID"),_bbt3[[#All],[METRIC_VALUE]])*0.5))/100,"")</f>
        <v/>
      </c>
      <c r="I1491">
        <f>IF(ISNA(VLOOKUP(A1491,QW_CloseDL!A:E,5,0)),0,VLOOKUP(A1491,QW_CloseDL!A:E,5,0))</f>
        <v>0</v>
      </c>
      <c r="J1491" s="8" t="str">
        <f t="shared" si="113"/>
        <v/>
      </c>
    </row>
    <row r="1492" spans="2:10" x14ac:dyDescent="0.35">
      <c r="B1492" t="str">
        <f>IF(NOT(ISBLANK(A1492)),VLOOKUP(A1492,'BBT3'!A:F,2,0),"")</f>
        <v/>
      </c>
      <c r="C1492" t="str">
        <f>IF(NOT(ISBLANK(A1492)),VLOOKUP(A1492,'BBT3'!A:F,3,0),"")</f>
        <v/>
      </c>
      <c r="D1492" s="6" t="str">
        <f>IF(NOT(ISBLANK(A1492)),VLOOKUP(A1492,'BBT3'!A:F,4,1),"")</f>
        <v/>
      </c>
      <c r="E1492" t="str">
        <f>IF(NOT(ISBLANK(A1492)),VLOOKUP(A1492,'BBT3'!A:F,5,0),"")</f>
        <v/>
      </c>
      <c r="F1492" t="str">
        <f>IF(NOT(ISBLANK(A1492)),VLOOKUP(A1492,'BBT3'!A:F,6,0),"")</f>
        <v/>
      </c>
      <c r="G1492" t="str">
        <f>IF(NOT(ISBLANK(A1492)),VLOOKUP(A1492,QW_Close!A:J,5,0),"")</f>
        <v/>
      </c>
      <c r="H1492" s="5" t="str" cm="1">
        <f t="array" ref="H1492">IF(NOT(ISBLANK(A1492)),((_xlfn.XLOOKUP(1,(_bbt3[[#All],[ID]]=A1492)*(_bbt3[[#All],[METRIC_NAME]]="YLD_YTM_ASK"),_bbt3[[#All],[METRIC_VALUE]])*0.5)+(_xlfn.XLOOKUP(1,(_bbt3[[#All],[ID]]=A1492)*(_bbt3[[#All],[METRIC_NAME]]="YLD_YTM_BID"),_bbt3[[#All],[METRIC_VALUE]])*0.5))/100,"")</f>
        <v/>
      </c>
      <c r="I1492">
        <f>IF(ISNA(VLOOKUP(A1492,QW_CloseDL!A:E,5,0)),0,VLOOKUP(A1492,QW_CloseDL!A:E,5,0))</f>
        <v>0</v>
      </c>
      <c r="J1492" s="8" t="str">
        <f t="shared" si="113"/>
        <v/>
      </c>
    </row>
    <row r="1493" spans="2:10" x14ac:dyDescent="0.35">
      <c r="B1493" t="str">
        <f>IF(NOT(ISBLANK(A1493)),VLOOKUP(A1493,'BBT3'!A:F,2,0),"")</f>
        <v/>
      </c>
      <c r="C1493" t="str">
        <f>IF(NOT(ISBLANK(A1493)),VLOOKUP(A1493,'BBT3'!A:F,3,0),"")</f>
        <v/>
      </c>
      <c r="D1493" s="6" t="str">
        <f>IF(NOT(ISBLANK(A1493)),VLOOKUP(A1493,'BBT3'!A:F,4,1),"")</f>
        <v/>
      </c>
      <c r="E1493" t="str">
        <f>IF(NOT(ISBLANK(A1493)),VLOOKUP(A1493,'BBT3'!A:F,5,0),"")</f>
        <v/>
      </c>
      <c r="F1493" t="str">
        <f>IF(NOT(ISBLANK(A1493)),VLOOKUP(A1493,'BBT3'!A:F,6,0),"")</f>
        <v/>
      </c>
      <c r="G1493" t="str">
        <f>IF(NOT(ISBLANK(A1493)),VLOOKUP(A1493,QW_Close!A:J,5,0),"")</f>
        <v/>
      </c>
      <c r="H1493" s="5" t="str" cm="1">
        <f t="array" ref="H1493">IF(NOT(ISBLANK(A1493)),((_xlfn.XLOOKUP(1,(_bbt3[[#All],[ID]]=A1493)*(_bbt3[[#All],[METRIC_NAME]]="YLD_YTM_ASK"),_bbt3[[#All],[METRIC_VALUE]])*0.5)+(_xlfn.XLOOKUP(1,(_bbt3[[#All],[ID]]=A1493)*(_bbt3[[#All],[METRIC_NAME]]="YLD_YTM_BID"),_bbt3[[#All],[METRIC_VALUE]])*0.5))/100,"")</f>
        <v/>
      </c>
      <c r="I1493">
        <f>IF(ISNA(VLOOKUP(A1493,QW_CloseDL!A:E,5,0)),0,VLOOKUP(A1493,QW_CloseDL!A:E,5,0))</f>
        <v>0</v>
      </c>
      <c r="J1493" s="8" t="str">
        <f t="shared" si="113"/>
        <v/>
      </c>
    </row>
    <row r="1494" spans="2:10" x14ac:dyDescent="0.35">
      <c r="B1494" t="str">
        <f>IF(NOT(ISBLANK(A1494)),VLOOKUP(A1494,'BBT3'!A:F,2,0),"")</f>
        <v/>
      </c>
      <c r="C1494" t="str">
        <f>IF(NOT(ISBLANK(A1494)),VLOOKUP(A1494,'BBT3'!A:F,3,0),"")</f>
        <v/>
      </c>
      <c r="D1494" s="6" t="str">
        <f>IF(NOT(ISBLANK(A1494)),VLOOKUP(A1494,'BBT3'!A:F,4,1),"")</f>
        <v/>
      </c>
      <c r="E1494" t="str">
        <f>IF(NOT(ISBLANK(A1494)),VLOOKUP(A1494,'BBT3'!A:F,5,0),"")</f>
        <v/>
      </c>
      <c r="F1494" t="str">
        <f>IF(NOT(ISBLANK(A1494)),VLOOKUP(A1494,'BBT3'!A:F,6,0),"")</f>
        <v/>
      </c>
      <c r="G1494" t="str">
        <f>IF(NOT(ISBLANK(A1494)),VLOOKUP(A1494,QW_Close!A:J,5,0),"")</f>
        <v/>
      </c>
      <c r="H1494" s="5" t="str" cm="1">
        <f t="array" ref="H1494">IF(NOT(ISBLANK(A1494)),((_xlfn.XLOOKUP(1,(_bbt3[[#All],[ID]]=A1494)*(_bbt3[[#All],[METRIC_NAME]]="YLD_YTM_ASK"),_bbt3[[#All],[METRIC_VALUE]])*0.5)+(_xlfn.XLOOKUP(1,(_bbt3[[#All],[ID]]=A1494)*(_bbt3[[#All],[METRIC_NAME]]="YLD_YTM_BID"),_bbt3[[#All],[METRIC_VALUE]])*0.5))/100,"")</f>
        <v/>
      </c>
      <c r="I1494">
        <f>IF(ISNA(VLOOKUP(A1494,QW_CloseDL!A:E,5,0)),0,VLOOKUP(A1494,QW_CloseDL!A:E,5,0))</f>
        <v>0</v>
      </c>
      <c r="J1494" s="8" t="str">
        <f t="shared" si="113"/>
        <v/>
      </c>
    </row>
    <row r="1495" spans="2:10" x14ac:dyDescent="0.35">
      <c r="B1495" t="str">
        <f>IF(NOT(ISBLANK(A1495)),VLOOKUP(A1495,'BBT3'!A:F,2,0),"")</f>
        <v/>
      </c>
      <c r="C1495" t="str">
        <f>IF(NOT(ISBLANK(A1495)),VLOOKUP(A1495,'BBT3'!A:F,3,0),"")</f>
        <v/>
      </c>
      <c r="D1495" s="6" t="str">
        <f>IF(NOT(ISBLANK(A1495)),VLOOKUP(A1495,'BBT3'!A:F,4,1),"")</f>
        <v/>
      </c>
      <c r="E1495" t="str">
        <f>IF(NOT(ISBLANK(A1495)),VLOOKUP(A1495,'BBT3'!A:F,5,0),"")</f>
        <v/>
      </c>
      <c r="F1495" t="str">
        <f>IF(NOT(ISBLANK(A1495)),VLOOKUP(A1495,'BBT3'!A:F,6,0),"")</f>
        <v/>
      </c>
      <c r="G1495" t="str">
        <f>IF(NOT(ISBLANK(A1495)),VLOOKUP(A1495,QW_Close!A:J,5,0),"")</f>
        <v/>
      </c>
      <c r="H1495" s="5" t="str" cm="1">
        <f t="array" ref="H1495">IF(NOT(ISBLANK(A1495)),((_xlfn.XLOOKUP(1,(_bbt3[[#All],[ID]]=A1495)*(_bbt3[[#All],[METRIC_NAME]]="YLD_YTM_ASK"),_bbt3[[#All],[METRIC_VALUE]])*0.5)+(_xlfn.XLOOKUP(1,(_bbt3[[#All],[ID]]=A1495)*(_bbt3[[#All],[METRIC_NAME]]="YLD_YTM_BID"),_bbt3[[#All],[METRIC_VALUE]])*0.5))/100,"")</f>
        <v/>
      </c>
      <c r="I1495">
        <f>IF(ISNA(VLOOKUP(A1495,QW_CloseDL!A:E,5,0)),0,VLOOKUP(A1495,QW_CloseDL!A:E,5,0))</f>
        <v>0</v>
      </c>
      <c r="J1495" s="8" t="str">
        <f t="shared" si="113"/>
        <v/>
      </c>
    </row>
    <row r="1496" spans="2:10" x14ac:dyDescent="0.35">
      <c r="B1496" t="str">
        <f>IF(NOT(ISBLANK(A1496)),VLOOKUP(A1496,'BBT3'!A:F,2,0),"")</f>
        <v/>
      </c>
      <c r="C1496" t="str">
        <f>IF(NOT(ISBLANK(A1496)),VLOOKUP(A1496,'BBT3'!A:F,3,0),"")</f>
        <v/>
      </c>
      <c r="D1496" s="6" t="str">
        <f>IF(NOT(ISBLANK(A1496)),VLOOKUP(A1496,'BBT3'!A:F,4,1),"")</f>
        <v/>
      </c>
      <c r="E1496" t="str">
        <f>IF(NOT(ISBLANK(A1496)),VLOOKUP(A1496,'BBT3'!A:F,5,0),"")</f>
        <v/>
      </c>
      <c r="F1496" t="str">
        <f>IF(NOT(ISBLANK(A1496)),VLOOKUP(A1496,'BBT3'!A:F,6,0),"")</f>
        <v/>
      </c>
      <c r="G1496" t="str">
        <f>IF(NOT(ISBLANK(A1496)),VLOOKUP(A1496,QW_Close!A:J,5,0),"")</f>
        <v/>
      </c>
      <c r="H1496" s="5" t="str" cm="1">
        <f t="array" ref="H1496">IF(NOT(ISBLANK(A1496)),((_xlfn.XLOOKUP(1,(_bbt3[[#All],[ID]]=A1496)*(_bbt3[[#All],[METRIC_NAME]]="YLD_YTM_ASK"),_bbt3[[#All],[METRIC_VALUE]])*0.5)+(_xlfn.XLOOKUP(1,(_bbt3[[#All],[ID]]=A1496)*(_bbt3[[#All],[METRIC_NAME]]="YLD_YTM_BID"),_bbt3[[#All],[METRIC_VALUE]])*0.5))/100,"")</f>
        <v/>
      </c>
      <c r="I1496">
        <f>IF(ISNA(VLOOKUP(A1496,QW_CloseDL!A:E,5,0)),0,VLOOKUP(A1496,QW_CloseDL!A:E,5,0))</f>
        <v>0</v>
      </c>
      <c r="J1496" s="8" t="str">
        <f t="shared" si="113"/>
        <v/>
      </c>
    </row>
    <row r="1497" spans="2:10" x14ac:dyDescent="0.35">
      <c r="B1497" t="str">
        <f>IF(NOT(ISBLANK(A1497)),VLOOKUP(A1497,'BBT3'!A:F,2,0),"")</f>
        <v/>
      </c>
      <c r="C1497" t="str">
        <f>IF(NOT(ISBLANK(A1497)),VLOOKUP(A1497,'BBT3'!A:F,3,0),"")</f>
        <v/>
      </c>
      <c r="D1497" s="6" t="str">
        <f>IF(NOT(ISBLANK(A1497)),VLOOKUP(A1497,'BBT3'!A:F,4,1),"")</f>
        <v/>
      </c>
      <c r="E1497" t="str">
        <f>IF(NOT(ISBLANK(A1497)),VLOOKUP(A1497,'BBT3'!A:F,5,0),"")</f>
        <v/>
      </c>
      <c r="F1497" t="str">
        <f>IF(NOT(ISBLANK(A1497)),VLOOKUP(A1497,'BBT3'!A:F,6,0),"")</f>
        <v/>
      </c>
      <c r="G1497" t="str">
        <f>IF(NOT(ISBLANK(A1497)),VLOOKUP(A1497,QW_Close!A:J,5,0),"")</f>
        <v/>
      </c>
      <c r="H1497" s="5" t="str" cm="1">
        <f t="array" ref="H1497">IF(NOT(ISBLANK(A1497)),((_xlfn.XLOOKUP(1,(_bbt3[[#All],[ID]]=A1497)*(_bbt3[[#All],[METRIC_NAME]]="YLD_YTM_ASK"),_bbt3[[#All],[METRIC_VALUE]])*0.5)+(_xlfn.XLOOKUP(1,(_bbt3[[#All],[ID]]=A1497)*(_bbt3[[#All],[METRIC_NAME]]="YLD_YTM_BID"),_bbt3[[#All],[METRIC_VALUE]])*0.5))/100,"")</f>
        <v/>
      </c>
      <c r="I1497">
        <f>IF(ISNA(VLOOKUP(A1497,QW_CloseDL!A:E,5,0)),0,VLOOKUP(A1497,QW_CloseDL!A:E,5,0))</f>
        <v>0</v>
      </c>
      <c r="J1497" s="8" t="str">
        <f t="shared" si="113"/>
        <v/>
      </c>
    </row>
    <row r="1498" spans="2:10" x14ac:dyDescent="0.35">
      <c r="B1498" t="str">
        <f>IF(NOT(ISBLANK(A1498)),VLOOKUP(A1498,'BBT3'!A:F,2,0),"")</f>
        <v/>
      </c>
      <c r="C1498" t="str">
        <f>IF(NOT(ISBLANK(A1498)),VLOOKUP(A1498,'BBT3'!A:F,3,0),"")</f>
        <v/>
      </c>
      <c r="D1498" s="6" t="str">
        <f>IF(NOT(ISBLANK(A1498)),VLOOKUP(A1498,'BBT3'!A:F,4,1),"")</f>
        <v/>
      </c>
      <c r="E1498" t="str">
        <f>IF(NOT(ISBLANK(A1498)),VLOOKUP(A1498,'BBT3'!A:F,5,0),"")</f>
        <v/>
      </c>
      <c r="F1498" t="str">
        <f>IF(NOT(ISBLANK(A1498)),VLOOKUP(A1498,'BBT3'!A:F,6,0),"")</f>
        <v/>
      </c>
      <c r="G1498" t="str">
        <f>IF(NOT(ISBLANK(A1498)),VLOOKUP(A1498,QW_Close!A:J,5,0),"")</f>
        <v/>
      </c>
      <c r="H1498" s="5" t="str" cm="1">
        <f t="array" ref="H1498">IF(NOT(ISBLANK(A1498)),((_xlfn.XLOOKUP(1,(_bbt3[[#All],[ID]]=A1498)*(_bbt3[[#All],[METRIC_NAME]]="YLD_YTM_ASK"),_bbt3[[#All],[METRIC_VALUE]])*0.5)+(_xlfn.XLOOKUP(1,(_bbt3[[#All],[ID]]=A1498)*(_bbt3[[#All],[METRIC_NAME]]="YLD_YTM_BID"),_bbt3[[#All],[METRIC_VALUE]])*0.5))/100,"")</f>
        <v/>
      </c>
      <c r="I1498">
        <f>IF(ISNA(VLOOKUP(A1498,QW_CloseDL!A:E,5,0)),0,VLOOKUP(A1498,QW_CloseDL!A:E,5,0))</f>
        <v>0</v>
      </c>
      <c r="J1498" s="8" t="str">
        <f t="shared" si="113"/>
        <v/>
      </c>
    </row>
    <row r="1499" spans="2:10" x14ac:dyDescent="0.35">
      <c r="B1499" t="str">
        <f>IF(NOT(ISBLANK(A1499)),VLOOKUP(A1499,'BBT3'!A:F,2,0),"")</f>
        <v/>
      </c>
      <c r="C1499" t="str">
        <f>IF(NOT(ISBLANK(A1499)),VLOOKUP(A1499,'BBT3'!A:F,3,0),"")</f>
        <v/>
      </c>
      <c r="D1499" s="6" t="str">
        <f>IF(NOT(ISBLANK(A1499)),VLOOKUP(A1499,'BBT3'!A:F,4,1),"")</f>
        <v/>
      </c>
      <c r="E1499" t="str">
        <f>IF(NOT(ISBLANK(A1499)),VLOOKUP(A1499,'BBT3'!A:F,5,0),"")</f>
        <v/>
      </c>
      <c r="F1499" t="str">
        <f>IF(NOT(ISBLANK(A1499)),VLOOKUP(A1499,'BBT3'!A:F,6,0),"")</f>
        <v/>
      </c>
      <c r="G1499" t="str">
        <f>IF(NOT(ISBLANK(A1499)),VLOOKUP(A1499,QW_Close!A:J,5,0),"")</f>
        <v/>
      </c>
      <c r="H1499" s="5" t="str" cm="1">
        <f t="array" ref="H1499">IF(NOT(ISBLANK(A1499)),((_xlfn.XLOOKUP(1,(_bbt3[[#All],[ID]]=A1499)*(_bbt3[[#All],[METRIC_NAME]]="YLD_YTM_ASK"),_bbt3[[#All],[METRIC_VALUE]])*0.5)+(_xlfn.XLOOKUP(1,(_bbt3[[#All],[ID]]=A1499)*(_bbt3[[#All],[METRIC_NAME]]="YLD_YTM_BID"),_bbt3[[#All],[METRIC_VALUE]])*0.5))/100,"")</f>
        <v/>
      </c>
      <c r="I1499">
        <f>IF(ISNA(VLOOKUP(A1499,QW_CloseDL!A:E,5,0)),0,VLOOKUP(A1499,QW_CloseDL!A:E,5,0))</f>
        <v>0</v>
      </c>
      <c r="J1499" s="8" t="str">
        <f t="shared" si="113"/>
        <v/>
      </c>
    </row>
    <row r="1500" spans="2:10" x14ac:dyDescent="0.35">
      <c r="B1500" t="str">
        <f>IF(NOT(ISBLANK(A1500)),VLOOKUP(A1500,'BBT3'!A:F,2,0),"")</f>
        <v/>
      </c>
      <c r="C1500" t="str">
        <f>IF(NOT(ISBLANK(A1500)),VLOOKUP(A1500,'BBT3'!A:F,3,0),"")</f>
        <v/>
      </c>
      <c r="D1500" s="6" t="str">
        <f>IF(NOT(ISBLANK(A1500)),VLOOKUP(A1500,'BBT3'!A:F,4,1),"")</f>
        <v/>
      </c>
      <c r="E1500" t="str">
        <f>IF(NOT(ISBLANK(A1500)),VLOOKUP(A1500,'BBT3'!A:F,5,0),"")</f>
        <v/>
      </c>
      <c r="F1500" t="str">
        <f>IF(NOT(ISBLANK(A1500)),VLOOKUP(A1500,'BBT3'!A:F,6,0),"")</f>
        <v/>
      </c>
      <c r="G1500" t="str">
        <f>IF(NOT(ISBLANK(A1500)),VLOOKUP(A1500,QW_Close!A:J,5,0),"")</f>
        <v/>
      </c>
      <c r="H1500" s="5" t="str" cm="1">
        <f t="array" ref="H1500">IF(NOT(ISBLANK(A1500)),((_xlfn.XLOOKUP(1,(_bbt3[[#All],[ID]]=A1500)*(_bbt3[[#All],[METRIC_NAME]]="YLD_YTM_ASK"),_bbt3[[#All],[METRIC_VALUE]])*0.5)+(_xlfn.XLOOKUP(1,(_bbt3[[#All],[ID]]=A1500)*(_bbt3[[#All],[METRIC_NAME]]="YLD_YTM_BID"),_bbt3[[#All],[METRIC_VALUE]])*0.5))/100,"")</f>
        <v/>
      </c>
      <c r="I1500">
        <f>IF(ISNA(VLOOKUP(A1500,QW_CloseDL!A:E,5,0)),0,VLOOKUP(A1500,QW_CloseDL!A:E,5,0))</f>
        <v>0</v>
      </c>
      <c r="J1500" s="8" t="str">
        <f t="shared" si="113"/>
        <v/>
      </c>
    </row>
    <row r="1501" spans="2:10" x14ac:dyDescent="0.35">
      <c r="B1501" t="str">
        <f>IF(NOT(ISBLANK(A1501)),VLOOKUP(A1501,'BBT3'!A:F,2,0),"")</f>
        <v/>
      </c>
      <c r="C1501" t="str">
        <f>IF(NOT(ISBLANK(A1501)),VLOOKUP(A1501,'BBT3'!A:F,3,0),"")</f>
        <v/>
      </c>
      <c r="D1501" s="6" t="str">
        <f>IF(NOT(ISBLANK(A1501)),VLOOKUP(A1501,'BBT3'!A:F,4,1),"")</f>
        <v/>
      </c>
      <c r="E1501" t="str">
        <f>IF(NOT(ISBLANK(A1501)),VLOOKUP(A1501,'BBT3'!A:F,5,0),"")</f>
        <v/>
      </c>
      <c r="F1501" t="str">
        <f>IF(NOT(ISBLANK(A1501)),VLOOKUP(A1501,'BBT3'!A:F,6,0),"")</f>
        <v/>
      </c>
      <c r="G1501" t="str">
        <f>IF(NOT(ISBLANK(A1501)),VLOOKUP(A1501,QW_Close!A:J,5,0),"")</f>
        <v/>
      </c>
      <c r="H1501" s="5" t="str" cm="1">
        <f t="array" ref="H1501">IF(NOT(ISBLANK(A1501)),((_xlfn.XLOOKUP(1,(_bbt3[[#All],[ID]]=A1501)*(_bbt3[[#All],[METRIC_NAME]]="YLD_YTM_ASK"),_bbt3[[#All],[METRIC_VALUE]])*0.5)+(_xlfn.XLOOKUP(1,(_bbt3[[#All],[ID]]=A1501)*(_bbt3[[#All],[METRIC_NAME]]="YLD_YTM_BID"),_bbt3[[#All],[METRIC_VALUE]])*0.5))/100,"")</f>
        <v/>
      </c>
      <c r="I1501">
        <f>IF(ISNA(VLOOKUP(A1501,QW_CloseDL!A:E,5,0)),0,VLOOKUP(A1501,QW_CloseDL!A:E,5,0))</f>
        <v>0</v>
      </c>
      <c r="J1501" s="8" t="str">
        <f t="shared" si="113"/>
        <v/>
      </c>
    </row>
    <row r="1502" spans="2:10" x14ac:dyDescent="0.35">
      <c r="B1502" t="str">
        <f>IF(NOT(ISBLANK(A1502)),VLOOKUP(A1502,'BBT3'!A:F,2,0),"")</f>
        <v/>
      </c>
      <c r="C1502" t="str">
        <f>IF(NOT(ISBLANK(A1502)),VLOOKUP(A1502,'BBT3'!A:F,3,0),"")</f>
        <v/>
      </c>
      <c r="D1502" s="6" t="str">
        <f>IF(NOT(ISBLANK(A1502)),VLOOKUP(A1502,'BBT3'!A:F,4,1),"")</f>
        <v/>
      </c>
      <c r="E1502" t="str">
        <f>IF(NOT(ISBLANK(A1502)),VLOOKUP(A1502,'BBT3'!A:F,5,0),"")</f>
        <v/>
      </c>
      <c r="F1502" t="str">
        <f>IF(NOT(ISBLANK(A1502)),VLOOKUP(A1502,'BBT3'!A:F,6,0),"")</f>
        <v/>
      </c>
      <c r="G1502" t="str">
        <f>IF(NOT(ISBLANK(A1502)),VLOOKUP(A1502,QW_Close!A:J,5,0),"")</f>
        <v/>
      </c>
      <c r="H1502" s="5" t="str" cm="1">
        <f t="array" ref="H1502">IF(NOT(ISBLANK(A1502)),((_xlfn.XLOOKUP(1,(_bbt3[[#All],[ID]]=A1502)*(_bbt3[[#All],[METRIC_NAME]]="YLD_YTM_ASK"),_bbt3[[#All],[METRIC_VALUE]])*0.5)+(_xlfn.XLOOKUP(1,(_bbt3[[#All],[ID]]=A1502)*(_bbt3[[#All],[METRIC_NAME]]="YLD_YTM_BID"),_bbt3[[#All],[METRIC_VALUE]])*0.5))/100,"")</f>
        <v/>
      </c>
      <c r="I1502">
        <f>IF(ISNA(VLOOKUP(A1502,QW_CloseDL!A:E,5,0)),0,VLOOKUP(A1502,QW_CloseDL!A:E,5,0))</f>
        <v>0</v>
      </c>
      <c r="J1502" s="8" t="str">
        <f t="shared" si="113"/>
        <v/>
      </c>
    </row>
    <row r="1503" spans="2:10" x14ac:dyDescent="0.35">
      <c r="B1503" t="str">
        <f>IF(NOT(ISBLANK(A1503)),VLOOKUP(A1503,'BBT3'!A:F,2,0),"")</f>
        <v/>
      </c>
      <c r="C1503" t="str">
        <f>IF(NOT(ISBLANK(A1503)),VLOOKUP(A1503,'BBT3'!A:F,3,0),"")</f>
        <v/>
      </c>
      <c r="D1503" s="6" t="str">
        <f>IF(NOT(ISBLANK(A1503)),VLOOKUP(A1503,'BBT3'!A:F,4,1),"")</f>
        <v/>
      </c>
      <c r="E1503" t="str">
        <f>IF(NOT(ISBLANK(A1503)),VLOOKUP(A1503,'BBT3'!A:F,5,0),"")</f>
        <v/>
      </c>
      <c r="F1503" t="str">
        <f>IF(NOT(ISBLANK(A1503)),VLOOKUP(A1503,'BBT3'!A:F,6,0),"")</f>
        <v/>
      </c>
      <c r="G1503" t="str">
        <f>IF(NOT(ISBLANK(A1503)),VLOOKUP(A1503,QW_Close!A:J,5,0),"")</f>
        <v/>
      </c>
      <c r="H1503" s="5" t="str" cm="1">
        <f t="array" ref="H1503">IF(NOT(ISBLANK(A1503)),((_xlfn.XLOOKUP(1,(_bbt3[[#All],[ID]]=A1503)*(_bbt3[[#All],[METRIC_NAME]]="YLD_YTM_ASK"),_bbt3[[#All],[METRIC_VALUE]])*0.5)+(_xlfn.XLOOKUP(1,(_bbt3[[#All],[ID]]=A1503)*(_bbt3[[#All],[METRIC_NAME]]="YLD_YTM_BID"),_bbt3[[#All],[METRIC_VALUE]])*0.5))/100,"")</f>
        <v/>
      </c>
      <c r="I1503">
        <f>IF(ISNA(VLOOKUP(A1503,QW_CloseDL!A:E,5,0)),0,VLOOKUP(A1503,QW_CloseDL!A:E,5,0))</f>
        <v>0</v>
      </c>
      <c r="J1503" s="8" t="str">
        <f t="shared" si="113"/>
        <v/>
      </c>
    </row>
    <row r="1504" spans="2:10" x14ac:dyDescent="0.35">
      <c r="B1504" t="str">
        <f>IF(NOT(ISBLANK(A1504)),VLOOKUP(A1504,'BBT3'!A:F,2,0),"")</f>
        <v/>
      </c>
      <c r="C1504" t="str">
        <f>IF(NOT(ISBLANK(A1504)),VLOOKUP(A1504,'BBT3'!A:F,3,0),"")</f>
        <v/>
      </c>
      <c r="D1504" s="6" t="str">
        <f>IF(NOT(ISBLANK(A1504)),VLOOKUP(A1504,'BBT3'!A:F,4,1),"")</f>
        <v/>
      </c>
      <c r="E1504" t="str">
        <f>IF(NOT(ISBLANK(A1504)),VLOOKUP(A1504,'BBT3'!A:F,5,0),"")</f>
        <v/>
      </c>
      <c r="F1504" t="str">
        <f>IF(NOT(ISBLANK(A1504)),VLOOKUP(A1504,'BBT3'!A:F,6,0),"")</f>
        <v/>
      </c>
      <c r="G1504" t="str">
        <f>IF(NOT(ISBLANK(A1504)),VLOOKUP(A1504,QW_Close!A:J,5,0),"")</f>
        <v/>
      </c>
      <c r="H1504" s="5" t="str" cm="1">
        <f t="array" ref="H1504">IF(NOT(ISBLANK(A1504)),((_xlfn.XLOOKUP(1,(_bbt3[[#All],[ID]]=A1504)*(_bbt3[[#All],[METRIC_NAME]]="YLD_YTM_ASK"),_bbt3[[#All],[METRIC_VALUE]])*0.5)+(_xlfn.XLOOKUP(1,(_bbt3[[#All],[ID]]=A1504)*(_bbt3[[#All],[METRIC_NAME]]="YLD_YTM_BID"),_bbt3[[#All],[METRIC_VALUE]])*0.5))/100,"")</f>
        <v/>
      </c>
      <c r="I1504">
        <f>IF(ISNA(VLOOKUP(A1504,QW_CloseDL!A:E,5,0)),0,VLOOKUP(A1504,QW_CloseDL!A:E,5,0))</f>
        <v>0</v>
      </c>
      <c r="J1504" s="8" t="str">
        <f t="shared" si="113"/>
        <v/>
      </c>
    </row>
    <row r="1505" spans="2:10" x14ac:dyDescent="0.35">
      <c r="B1505" t="str">
        <f>IF(NOT(ISBLANK(A1505)),VLOOKUP(A1505,'BBT3'!A:F,2,0),"")</f>
        <v/>
      </c>
      <c r="C1505" t="str">
        <f>IF(NOT(ISBLANK(A1505)),VLOOKUP(A1505,'BBT3'!A:F,3,0),"")</f>
        <v/>
      </c>
      <c r="D1505" s="6" t="str">
        <f>IF(NOT(ISBLANK(A1505)),VLOOKUP(A1505,'BBT3'!A:F,4,1),"")</f>
        <v/>
      </c>
      <c r="E1505" t="str">
        <f>IF(NOT(ISBLANK(A1505)),VLOOKUP(A1505,'BBT3'!A:F,5,0),"")</f>
        <v/>
      </c>
      <c r="F1505" t="str">
        <f>IF(NOT(ISBLANK(A1505)),VLOOKUP(A1505,'BBT3'!A:F,6,0),"")</f>
        <v/>
      </c>
      <c r="G1505" t="str">
        <f>IF(NOT(ISBLANK(A1505)),VLOOKUP(A1505,QW_Close!A:J,5,0),"")</f>
        <v/>
      </c>
      <c r="H1505" s="5" t="str" cm="1">
        <f t="array" ref="H1505">IF(NOT(ISBLANK(A1505)),((_xlfn.XLOOKUP(1,(_bbt3[[#All],[ID]]=A1505)*(_bbt3[[#All],[METRIC_NAME]]="YLD_YTM_ASK"),_bbt3[[#All],[METRIC_VALUE]])*0.5)+(_xlfn.XLOOKUP(1,(_bbt3[[#All],[ID]]=A1505)*(_bbt3[[#All],[METRIC_NAME]]="YLD_YTM_BID"),_bbt3[[#All],[METRIC_VALUE]])*0.5))/100,"")</f>
        <v/>
      </c>
      <c r="I1505">
        <f>IF(ISNA(VLOOKUP(A1505,QW_CloseDL!A:E,5,0)),0,VLOOKUP(A1505,QW_CloseDL!A:E,5,0))</f>
        <v>0</v>
      </c>
      <c r="J1505" s="8" t="str">
        <f t="shared" si="113"/>
        <v/>
      </c>
    </row>
    <row r="1506" spans="2:10" x14ac:dyDescent="0.35">
      <c r="B1506" t="str">
        <f>IF(NOT(ISBLANK(A1506)),VLOOKUP(A1506,'BBT3'!A:F,2,0),"")</f>
        <v/>
      </c>
      <c r="C1506" t="str">
        <f>IF(NOT(ISBLANK(A1506)),VLOOKUP(A1506,'BBT3'!A:F,3,0),"")</f>
        <v/>
      </c>
      <c r="D1506" s="6" t="str">
        <f>IF(NOT(ISBLANK(A1506)),VLOOKUP(A1506,'BBT3'!A:F,4,1),"")</f>
        <v/>
      </c>
      <c r="E1506" t="str">
        <f>IF(NOT(ISBLANK(A1506)),VLOOKUP(A1506,'BBT3'!A:F,5,0),"")</f>
        <v/>
      </c>
      <c r="F1506" t="str">
        <f>IF(NOT(ISBLANK(A1506)),VLOOKUP(A1506,'BBT3'!A:F,6,0),"")</f>
        <v/>
      </c>
      <c r="G1506" t="str">
        <f>IF(NOT(ISBLANK(A1506)),VLOOKUP(A1506,QW_Close!A:J,5,0),"")</f>
        <v/>
      </c>
      <c r="H1506" s="5" t="str" cm="1">
        <f t="array" ref="H1506">IF(NOT(ISBLANK(A1506)),((_xlfn.XLOOKUP(1,(_bbt3[[#All],[ID]]=A1506)*(_bbt3[[#All],[METRIC_NAME]]="YLD_YTM_ASK"),_bbt3[[#All],[METRIC_VALUE]])*0.5)+(_xlfn.XLOOKUP(1,(_bbt3[[#All],[ID]]=A1506)*(_bbt3[[#All],[METRIC_NAME]]="YLD_YTM_BID"),_bbt3[[#All],[METRIC_VALUE]])*0.5))/100,"")</f>
        <v/>
      </c>
      <c r="I1506">
        <f>IF(ISNA(VLOOKUP(A1506,QW_CloseDL!A:E,5,0)),0,VLOOKUP(A1506,QW_CloseDL!A:E,5,0))</f>
        <v>0</v>
      </c>
      <c r="J1506" s="8" t="str">
        <f t="shared" si="113"/>
        <v/>
      </c>
    </row>
    <row r="1507" spans="2:10" x14ac:dyDescent="0.35">
      <c r="B1507" t="str">
        <f>IF(NOT(ISBLANK(A1507)),VLOOKUP(A1507,'BBT3'!A:F,2,0),"")</f>
        <v/>
      </c>
      <c r="C1507" t="str">
        <f>IF(NOT(ISBLANK(A1507)),VLOOKUP(A1507,'BBT3'!A:F,3,0),"")</f>
        <v/>
      </c>
      <c r="D1507" s="6" t="str">
        <f>IF(NOT(ISBLANK(A1507)),VLOOKUP(A1507,'BBT3'!A:F,4,1),"")</f>
        <v/>
      </c>
      <c r="E1507" t="str">
        <f>IF(NOT(ISBLANK(A1507)),VLOOKUP(A1507,'BBT3'!A:F,5,0),"")</f>
        <v/>
      </c>
      <c r="F1507" t="str">
        <f>IF(NOT(ISBLANK(A1507)),VLOOKUP(A1507,'BBT3'!A:F,6,0),"")</f>
        <v/>
      </c>
      <c r="G1507" t="str">
        <f>IF(NOT(ISBLANK(A1507)),VLOOKUP(A1507,QW_Close!A:J,5,0),"")</f>
        <v/>
      </c>
      <c r="H1507" s="5" t="str" cm="1">
        <f t="array" ref="H1507">IF(NOT(ISBLANK(A1507)),((_xlfn.XLOOKUP(1,(_bbt3[[#All],[ID]]=A1507)*(_bbt3[[#All],[METRIC_NAME]]="YLD_YTM_ASK"),_bbt3[[#All],[METRIC_VALUE]])*0.5)+(_xlfn.XLOOKUP(1,(_bbt3[[#All],[ID]]=A1507)*(_bbt3[[#All],[METRIC_NAME]]="YLD_YTM_BID"),_bbt3[[#All],[METRIC_VALUE]])*0.5))/100,"")</f>
        <v/>
      </c>
      <c r="I1507">
        <f>IF(ISNA(VLOOKUP(A1507,QW_CloseDL!A:E,5,0)),0,VLOOKUP(A1507,QW_CloseDL!A:E,5,0))</f>
        <v>0</v>
      </c>
      <c r="J1507" s="8" t="str">
        <f t="shared" si="113"/>
        <v/>
      </c>
    </row>
    <row r="1508" spans="2:10" x14ac:dyDescent="0.35">
      <c r="B1508" t="str">
        <f>IF(NOT(ISBLANK(A1508)),VLOOKUP(A1508,'BBT3'!A:F,2,0),"")</f>
        <v/>
      </c>
      <c r="C1508" t="str">
        <f>IF(NOT(ISBLANK(A1508)),VLOOKUP(A1508,'BBT3'!A:F,3,0),"")</f>
        <v/>
      </c>
      <c r="D1508" s="6" t="str">
        <f>IF(NOT(ISBLANK(A1508)),VLOOKUP(A1508,'BBT3'!A:F,4,1),"")</f>
        <v/>
      </c>
      <c r="E1508" t="str">
        <f>IF(NOT(ISBLANK(A1508)),VLOOKUP(A1508,'BBT3'!A:F,5,0),"")</f>
        <v/>
      </c>
      <c r="F1508" t="str">
        <f>IF(NOT(ISBLANK(A1508)),VLOOKUP(A1508,'BBT3'!A:F,6,0),"")</f>
        <v/>
      </c>
      <c r="G1508" t="str">
        <f>IF(NOT(ISBLANK(A1508)),VLOOKUP(A1508,QW_Close!A:J,5,0),"")</f>
        <v/>
      </c>
      <c r="H1508" s="5" t="str" cm="1">
        <f t="array" ref="H1508">IF(NOT(ISBLANK(A1508)),((_xlfn.XLOOKUP(1,(_bbt3[[#All],[ID]]=A1508)*(_bbt3[[#All],[METRIC_NAME]]="YLD_YTM_ASK"),_bbt3[[#All],[METRIC_VALUE]])*0.5)+(_xlfn.XLOOKUP(1,(_bbt3[[#All],[ID]]=A1508)*(_bbt3[[#All],[METRIC_NAME]]="YLD_YTM_BID"),_bbt3[[#All],[METRIC_VALUE]])*0.5))/100,"")</f>
        <v/>
      </c>
      <c r="I1508">
        <f>IF(ISNA(VLOOKUP(A1508,QW_CloseDL!A:E,5,0)),0,VLOOKUP(A1508,QW_CloseDL!A:E,5,0))</f>
        <v>0</v>
      </c>
      <c r="J1508" s="8" t="str">
        <f t="shared" si="113"/>
        <v/>
      </c>
    </row>
    <row r="1509" spans="2:10" x14ac:dyDescent="0.35">
      <c r="B1509" t="str">
        <f>IF(NOT(ISBLANK(A1509)),VLOOKUP(A1509,'BBT3'!A:F,2,0),"")</f>
        <v/>
      </c>
      <c r="C1509" t="str">
        <f>IF(NOT(ISBLANK(A1509)),VLOOKUP(A1509,'BBT3'!A:F,3,0),"")</f>
        <v/>
      </c>
      <c r="D1509" s="6" t="str">
        <f>IF(NOT(ISBLANK(A1509)),VLOOKUP(A1509,'BBT3'!A:F,4,1),"")</f>
        <v/>
      </c>
      <c r="E1509" t="str">
        <f>IF(NOT(ISBLANK(A1509)),VLOOKUP(A1509,'BBT3'!A:F,5,0),"")</f>
        <v/>
      </c>
      <c r="F1509" t="str">
        <f>IF(NOT(ISBLANK(A1509)),VLOOKUP(A1509,'BBT3'!A:F,6,0),"")</f>
        <v/>
      </c>
      <c r="G1509" t="str">
        <f>IF(NOT(ISBLANK(A1509)),VLOOKUP(A1509,QW_Close!A:J,5,0),"")</f>
        <v/>
      </c>
      <c r="H1509" s="5" t="str" cm="1">
        <f t="array" ref="H1509">IF(NOT(ISBLANK(A1509)),((_xlfn.XLOOKUP(1,(_bbt3[[#All],[ID]]=A1509)*(_bbt3[[#All],[METRIC_NAME]]="YLD_YTM_ASK"),_bbt3[[#All],[METRIC_VALUE]])*0.5)+(_xlfn.XLOOKUP(1,(_bbt3[[#All],[ID]]=A1509)*(_bbt3[[#All],[METRIC_NAME]]="YLD_YTM_BID"),_bbt3[[#All],[METRIC_VALUE]])*0.5))/100,"")</f>
        <v/>
      </c>
      <c r="I1509">
        <f>IF(ISNA(VLOOKUP(A1509,QW_CloseDL!A:E,5,0)),0,VLOOKUP(A1509,QW_CloseDL!A:E,5,0))</f>
        <v>0</v>
      </c>
      <c r="J1509" s="8" t="str">
        <f t="shared" si="113"/>
        <v/>
      </c>
    </row>
    <row r="1510" spans="2:10" x14ac:dyDescent="0.35">
      <c r="B1510" t="str">
        <f>IF(NOT(ISBLANK(A1510)),VLOOKUP(A1510,'BBT3'!A:F,2,0),"")</f>
        <v/>
      </c>
      <c r="C1510" t="str">
        <f>IF(NOT(ISBLANK(A1510)),VLOOKUP(A1510,'BBT3'!A:F,3,0),"")</f>
        <v/>
      </c>
      <c r="D1510" s="6" t="str">
        <f>IF(NOT(ISBLANK(A1510)),VLOOKUP(A1510,'BBT3'!A:F,4,1),"")</f>
        <v/>
      </c>
      <c r="E1510" t="str">
        <f>IF(NOT(ISBLANK(A1510)),VLOOKUP(A1510,'BBT3'!A:F,5,0),"")</f>
        <v/>
      </c>
      <c r="F1510" t="str">
        <f>IF(NOT(ISBLANK(A1510)),VLOOKUP(A1510,'BBT3'!A:F,6,0),"")</f>
        <v/>
      </c>
      <c r="G1510" t="str">
        <f>IF(NOT(ISBLANK(A1510)),VLOOKUP(A1510,QW_Close!A:J,5,0),"")</f>
        <v/>
      </c>
      <c r="H1510" s="5" t="str" cm="1">
        <f t="array" ref="H1510">IF(NOT(ISBLANK(A1510)),((_xlfn.XLOOKUP(1,(_bbt3[[#All],[ID]]=A1510)*(_bbt3[[#All],[METRIC_NAME]]="YLD_YTM_ASK"),_bbt3[[#All],[METRIC_VALUE]])*0.5)+(_xlfn.XLOOKUP(1,(_bbt3[[#All],[ID]]=A1510)*(_bbt3[[#All],[METRIC_NAME]]="YLD_YTM_BID"),_bbt3[[#All],[METRIC_VALUE]])*0.5))/100,"")</f>
        <v/>
      </c>
      <c r="I1510">
        <f>IF(ISNA(VLOOKUP(A1510,QW_CloseDL!A:E,5,0)),0,VLOOKUP(A1510,QW_CloseDL!A:E,5,0))</f>
        <v>0</v>
      </c>
      <c r="J1510" s="8" t="str">
        <f t="shared" si="113"/>
        <v/>
      </c>
    </row>
    <row r="1511" spans="2:10" x14ac:dyDescent="0.35">
      <c r="B1511" t="str">
        <f>IF(NOT(ISBLANK(A1511)),VLOOKUP(A1511,'BBT3'!A:F,2,0),"")</f>
        <v/>
      </c>
      <c r="C1511" t="str">
        <f>IF(NOT(ISBLANK(A1511)),VLOOKUP(A1511,'BBT3'!A:F,3,0),"")</f>
        <v/>
      </c>
      <c r="D1511" s="6" t="str">
        <f>IF(NOT(ISBLANK(A1511)),VLOOKUP(A1511,'BBT3'!A:F,4,1),"")</f>
        <v/>
      </c>
      <c r="E1511" t="str">
        <f>IF(NOT(ISBLANK(A1511)),VLOOKUP(A1511,'BBT3'!A:F,5,0),"")</f>
        <v/>
      </c>
      <c r="F1511" t="str">
        <f>IF(NOT(ISBLANK(A1511)),VLOOKUP(A1511,'BBT3'!A:F,6,0),"")</f>
        <v/>
      </c>
      <c r="G1511" t="str">
        <f>IF(NOT(ISBLANK(A1511)),VLOOKUP(A1511,QW_Close!A:J,5,0),"")</f>
        <v/>
      </c>
      <c r="H1511" s="5" t="str" cm="1">
        <f t="array" ref="H1511">IF(NOT(ISBLANK(A1511)),((_xlfn.XLOOKUP(1,(_bbt3[[#All],[ID]]=A1511)*(_bbt3[[#All],[METRIC_NAME]]="YLD_YTM_ASK"),_bbt3[[#All],[METRIC_VALUE]])*0.5)+(_xlfn.XLOOKUP(1,(_bbt3[[#All],[ID]]=A1511)*(_bbt3[[#All],[METRIC_NAME]]="YLD_YTM_BID"),_bbt3[[#All],[METRIC_VALUE]])*0.5))/100,"")</f>
        <v/>
      </c>
      <c r="I1511">
        <f>IF(ISNA(VLOOKUP(A1511,QW_CloseDL!A:E,5,0)),0,VLOOKUP(A1511,QW_CloseDL!A:E,5,0))</f>
        <v>0</v>
      </c>
      <c r="J1511" s="8" t="str">
        <f t="shared" si="113"/>
        <v/>
      </c>
    </row>
    <row r="1512" spans="2:10" x14ac:dyDescent="0.35">
      <c r="B1512" t="str">
        <f>IF(NOT(ISBLANK(A1512)),VLOOKUP(A1512,'BBT3'!A:F,2,0),"")</f>
        <v/>
      </c>
      <c r="C1512" t="str">
        <f>IF(NOT(ISBLANK(A1512)),VLOOKUP(A1512,'BBT3'!A:F,3,0),"")</f>
        <v/>
      </c>
      <c r="D1512" s="6" t="str">
        <f>IF(NOT(ISBLANK(A1512)),VLOOKUP(A1512,'BBT3'!A:F,4,1),"")</f>
        <v/>
      </c>
      <c r="E1512" t="str">
        <f>IF(NOT(ISBLANK(A1512)),VLOOKUP(A1512,'BBT3'!A:F,5,0),"")</f>
        <v/>
      </c>
      <c r="F1512" t="str">
        <f>IF(NOT(ISBLANK(A1512)),VLOOKUP(A1512,'BBT3'!A:F,6,0),"")</f>
        <v/>
      </c>
      <c r="G1512" t="str">
        <f>IF(NOT(ISBLANK(A1512)),VLOOKUP(A1512,QW_Close!A:J,5,0),"")</f>
        <v/>
      </c>
      <c r="H1512" s="5" t="str" cm="1">
        <f t="array" ref="H1512">IF(NOT(ISBLANK(A1512)),((_xlfn.XLOOKUP(1,(_bbt3[[#All],[ID]]=A1512)*(_bbt3[[#All],[METRIC_NAME]]="YLD_YTM_ASK"),_bbt3[[#All],[METRIC_VALUE]])*0.5)+(_xlfn.XLOOKUP(1,(_bbt3[[#All],[ID]]=A1512)*(_bbt3[[#All],[METRIC_NAME]]="YLD_YTM_BID"),_bbt3[[#All],[METRIC_VALUE]])*0.5))/100,"")</f>
        <v/>
      </c>
      <c r="I1512">
        <f>IF(ISNA(VLOOKUP(A1512,QW_CloseDL!A:E,5,0)),0,VLOOKUP(A1512,QW_CloseDL!A:E,5,0))</f>
        <v>0</v>
      </c>
      <c r="J1512" s="8" t="str">
        <f t="shared" si="113"/>
        <v/>
      </c>
    </row>
    <row r="1513" spans="2:10" x14ac:dyDescent="0.35">
      <c r="B1513" t="str">
        <f>IF(NOT(ISBLANK(A1513)),VLOOKUP(A1513,'BBT3'!A:F,2,0),"")</f>
        <v/>
      </c>
      <c r="C1513" t="str">
        <f>IF(NOT(ISBLANK(A1513)),VLOOKUP(A1513,'BBT3'!A:F,3,0),"")</f>
        <v/>
      </c>
      <c r="D1513" s="6" t="str">
        <f>IF(NOT(ISBLANK(A1513)),VLOOKUP(A1513,'BBT3'!A:F,4,1),"")</f>
        <v/>
      </c>
      <c r="E1513" t="str">
        <f>IF(NOT(ISBLANK(A1513)),VLOOKUP(A1513,'BBT3'!A:F,5,0),"")</f>
        <v/>
      </c>
      <c r="F1513" t="str">
        <f>IF(NOT(ISBLANK(A1513)),VLOOKUP(A1513,'BBT3'!A:F,6,0),"")</f>
        <v/>
      </c>
      <c r="G1513" t="str">
        <f>IF(NOT(ISBLANK(A1513)),VLOOKUP(A1513,QW_Close!A:J,5,0),"")</f>
        <v/>
      </c>
      <c r="H1513" s="5" t="str" cm="1">
        <f t="array" ref="H1513">IF(NOT(ISBLANK(A1513)),((_xlfn.XLOOKUP(1,(_bbt3[[#All],[ID]]=A1513)*(_bbt3[[#All],[METRIC_NAME]]="YLD_YTM_ASK"),_bbt3[[#All],[METRIC_VALUE]])*0.5)+(_xlfn.XLOOKUP(1,(_bbt3[[#All],[ID]]=A1513)*(_bbt3[[#All],[METRIC_NAME]]="YLD_YTM_BID"),_bbt3[[#All],[METRIC_VALUE]])*0.5))/100,"")</f>
        <v/>
      </c>
      <c r="I1513">
        <f>IF(ISNA(VLOOKUP(A1513,QW_CloseDL!A:E,5,0)),0,VLOOKUP(A1513,QW_CloseDL!A:E,5,0))</f>
        <v>0</v>
      </c>
      <c r="J1513" s="8" t="str">
        <f t="shared" si="113"/>
        <v/>
      </c>
    </row>
    <row r="1514" spans="2:10" x14ac:dyDescent="0.35">
      <c r="B1514" t="str">
        <f>IF(NOT(ISBLANK(A1514)),VLOOKUP(A1514,'BBT3'!A:F,2,0),"")</f>
        <v/>
      </c>
      <c r="C1514" t="str">
        <f>IF(NOT(ISBLANK(A1514)),VLOOKUP(A1514,'BBT3'!A:F,3,0),"")</f>
        <v/>
      </c>
      <c r="D1514" s="6" t="str">
        <f>IF(NOT(ISBLANK(A1514)),VLOOKUP(A1514,'BBT3'!A:F,4,1),"")</f>
        <v/>
      </c>
      <c r="E1514" t="str">
        <f>IF(NOT(ISBLANK(A1514)),VLOOKUP(A1514,'BBT3'!A:F,5,0),"")</f>
        <v/>
      </c>
      <c r="F1514" t="str">
        <f>IF(NOT(ISBLANK(A1514)),VLOOKUP(A1514,'BBT3'!A:F,6,0),"")</f>
        <v/>
      </c>
      <c r="G1514" t="str">
        <f>IF(NOT(ISBLANK(A1514)),VLOOKUP(A1514,QW_Close!A:J,5,0),"")</f>
        <v/>
      </c>
      <c r="H1514" s="5" t="str" cm="1">
        <f t="array" ref="H1514">IF(NOT(ISBLANK(A1514)),((_xlfn.XLOOKUP(1,(_bbt3[[#All],[ID]]=A1514)*(_bbt3[[#All],[METRIC_NAME]]="YLD_YTM_ASK"),_bbt3[[#All],[METRIC_VALUE]])*0.5)+(_xlfn.XLOOKUP(1,(_bbt3[[#All],[ID]]=A1514)*(_bbt3[[#All],[METRIC_NAME]]="YLD_YTM_BID"),_bbt3[[#All],[METRIC_VALUE]])*0.5))/100,"")</f>
        <v/>
      </c>
      <c r="I1514">
        <f>IF(ISNA(VLOOKUP(A1514,QW_CloseDL!A:E,5,0)),0,VLOOKUP(A1514,QW_CloseDL!A:E,5,0))</f>
        <v>0</v>
      </c>
      <c r="J1514" s="8" t="str">
        <f t="shared" si="113"/>
        <v/>
      </c>
    </row>
    <row r="1515" spans="2:10" x14ac:dyDescent="0.35">
      <c r="B1515" t="str">
        <f>IF(NOT(ISBLANK(A1515)),VLOOKUP(A1515,'BBT3'!A:F,2,0),"")</f>
        <v/>
      </c>
      <c r="C1515" t="str">
        <f>IF(NOT(ISBLANK(A1515)),VLOOKUP(A1515,'BBT3'!A:F,3,0),"")</f>
        <v/>
      </c>
      <c r="D1515" s="6" t="str">
        <f>IF(NOT(ISBLANK(A1515)),VLOOKUP(A1515,'BBT3'!A:F,4,1),"")</f>
        <v/>
      </c>
      <c r="E1515" t="str">
        <f>IF(NOT(ISBLANK(A1515)),VLOOKUP(A1515,'BBT3'!A:F,5,0),"")</f>
        <v/>
      </c>
      <c r="F1515" t="str">
        <f>IF(NOT(ISBLANK(A1515)),VLOOKUP(A1515,'BBT3'!A:F,6,0),"")</f>
        <v/>
      </c>
      <c r="G1515" t="str">
        <f>IF(NOT(ISBLANK(A1515)),VLOOKUP(A1515,QW_Close!A:J,5,0),"")</f>
        <v/>
      </c>
      <c r="H1515" s="5" t="str" cm="1">
        <f t="array" ref="H1515">IF(NOT(ISBLANK(A1515)),((_xlfn.XLOOKUP(1,(_bbt3[[#All],[ID]]=A1515)*(_bbt3[[#All],[METRIC_NAME]]="YLD_YTM_ASK"),_bbt3[[#All],[METRIC_VALUE]])*0.5)+(_xlfn.XLOOKUP(1,(_bbt3[[#All],[ID]]=A1515)*(_bbt3[[#All],[METRIC_NAME]]="YLD_YTM_BID"),_bbt3[[#All],[METRIC_VALUE]])*0.5))/100,"")</f>
        <v/>
      </c>
      <c r="I1515">
        <f>IF(ISNA(VLOOKUP(A1515,QW_CloseDL!A:E,5,0)),0,VLOOKUP(A1515,QW_CloseDL!A:E,5,0))</f>
        <v>0</v>
      </c>
      <c r="J1515" s="8" t="str">
        <f t="shared" si="113"/>
        <v/>
      </c>
    </row>
    <row r="1516" spans="2:10" x14ac:dyDescent="0.35">
      <c r="B1516" t="str">
        <f>IF(NOT(ISBLANK(A1516)),VLOOKUP(A1516,'BBT3'!A:F,2,0),"")</f>
        <v/>
      </c>
      <c r="C1516" t="str">
        <f>IF(NOT(ISBLANK(A1516)),VLOOKUP(A1516,'BBT3'!A:F,3,0),"")</f>
        <v/>
      </c>
      <c r="D1516" s="6" t="str">
        <f>IF(NOT(ISBLANK(A1516)),VLOOKUP(A1516,'BBT3'!A:F,4,1),"")</f>
        <v/>
      </c>
      <c r="E1516" t="str">
        <f>IF(NOT(ISBLANK(A1516)),VLOOKUP(A1516,'BBT3'!A:F,5,0),"")</f>
        <v/>
      </c>
      <c r="F1516" t="str">
        <f>IF(NOT(ISBLANK(A1516)),VLOOKUP(A1516,'BBT3'!A:F,6,0),"")</f>
        <v/>
      </c>
      <c r="G1516" t="str">
        <f>IF(NOT(ISBLANK(A1516)),VLOOKUP(A1516,QW_Close!A:J,5,0),"")</f>
        <v/>
      </c>
      <c r="H1516" s="5" t="str" cm="1">
        <f t="array" ref="H1516">IF(NOT(ISBLANK(A1516)),((_xlfn.XLOOKUP(1,(_bbt3[[#All],[ID]]=A1516)*(_bbt3[[#All],[METRIC_NAME]]="YLD_YTM_ASK"),_bbt3[[#All],[METRIC_VALUE]])*0.5)+(_xlfn.XLOOKUP(1,(_bbt3[[#All],[ID]]=A1516)*(_bbt3[[#All],[METRIC_NAME]]="YLD_YTM_BID"),_bbt3[[#All],[METRIC_VALUE]])*0.5))/100,"")</f>
        <v/>
      </c>
      <c r="I1516">
        <f>IF(ISNA(VLOOKUP(A1516,QW_CloseDL!A:E,5,0)),0,VLOOKUP(A1516,QW_CloseDL!A:E,5,0))</f>
        <v>0</v>
      </c>
      <c r="J1516" s="8" t="str">
        <f t="shared" si="113"/>
        <v/>
      </c>
    </row>
    <row r="1517" spans="2:10" x14ac:dyDescent="0.35">
      <c r="B1517" t="str">
        <f>IF(NOT(ISBLANK(A1517)),VLOOKUP(A1517,'BBT3'!A:F,2,0),"")</f>
        <v/>
      </c>
      <c r="C1517" t="str">
        <f>IF(NOT(ISBLANK(A1517)),VLOOKUP(A1517,'BBT3'!A:F,3,0),"")</f>
        <v/>
      </c>
      <c r="D1517" s="6" t="str">
        <f>IF(NOT(ISBLANK(A1517)),VLOOKUP(A1517,'BBT3'!A:F,4,1),"")</f>
        <v/>
      </c>
      <c r="E1517" t="str">
        <f>IF(NOT(ISBLANK(A1517)),VLOOKUP(A1517,'BBT3'!A:F,5,0),"")</f>
        <v/>
      </c>
      <c r="F1517" t="str">
        <f>IF(NOT(ISBLANK(A1517)),VLOOKUP(A1517,'BBT3'!A:F,6,0),"")</f>
        <v/>
      </c>
      <c r="G1517" t="str">
        <f>IF(NOT(ISBLANK(A1517)),VLOOKUP(A1517,QW_Close!A:J,5,0),"")</f>
        <v/>
      </c>
      <c r="H1517" s="5" t="str" cm="1">
        <f t="array" ref="H1517">IF(NOT(ISBLANK(A1517)),((_xlfn.XLOOKUP(1,(_bbt3[[#All],[ID]]=A1517)*(_bbt3[[#All],[METRIC_NAME]]="YLD_YTM_ASK"),_bbt3[[#All],[METRIC_VALUE]])*0.5)+(_xlfn.XLOOKUP(1,(_bbt3[[#All],[ID]]=A1517)*(_bbt3[[#All],[METRIC_NAME]]="YLD_YTM_BID"),_bbt3[[#All],[METRIC_VALUE]])*0.5))/100,"")</f>
        <v/>
      </c>
      <c r="I1517">
        <f>IF(ISNA(VLOOKUP(A1517,QW_CloseDL!A:E,5,0)),0,VLOOKUP(A1517,QW_CloseDL!A:E,5,0))</f>
        <v>0</v>
      </c>
      <c r="J1517" s="8" t="str">
        <f t="shared" si="113"/>
        <v/>
      </c>
    </row>
    <row r="1518" spans="2:10" x14ac:dyDescent="0.35">
      <c r="B1518" t="str">
        <f>IF(NOT(ISBLANK(A1518)),VLOOKUP(A1518,'BBT3'!A:F,2,0),"")</f>
        <v/>
      </c>
      <c r="C1518" t="str">
        <f>IF(NOT(ISBLANK(A1518)),VLOOKUP(A1518,'BBT3'!A:F,3,0),"")</f>
        <v/>
      </c>
      <c r="D1518" s="6" t="str">
        <f>IF(NOT(ISBLANK(A1518)),VLOOKUP(A1518,'BBT3'!A:F,4,1),"")</f>
        <v/>
      </c>
      <c r="E1518" t="str">
        <f>IF(NOT(ISBLANK(A1518)),VLOOKUP(A1518,'BBT3'!A:F,5,0),"")</f>
        <v/>
      </c>
      <c r="F1518" t="str">
        <f>IF(NOT(ISBLANK(A1518)),VLOOKUP(A1518,'BBT3'!A:F,6,0),"")</f>
        <v/>
      </c>
      <c r="G1518" t="str">
        <f>IF(NOT(ISBLANK(A1518)),VLOOKUP(A1518,QW_Close!A:J,5,0),"")</f>
        <v/>
      </c>
      <c r="H1518" s="5" t="str" cm="1">
        <f t="array" ref="H1518">IF(NOT(ISBLANK(A1518)),((_xlfn.XLOOKUP(1,(_bbt3[[#All],[ID]]=A1518)*(_bbt3[[#All],[METRIC_NAME]]="YLD_YTM_ASK"),_bbt3[[#All],[METRIC_VALUE]])*0.5)+(_xlfn.XLOOKUP(1,(_bbt3[[#All],[ID]]=A1518)*(_bbt3[[#All],[METRIC_NAME]]="YLD_YTM_BID"),_bbt3[[#All],[METRIC_VALUE]])*0.5))/100,"")</f>
        <v/>
      </c>
      <c r="I1518">
        <f>IF(ISNA(VLOOKUP(A1518,QW_CloseDL!A:E,5,0)),0,VLOOKUP(A1518,QW_CloseDL!A:E,5,0))</f>
        <v>0</v>
      </c>
      <c r="J1518" s="8" t="str">
        <f t="shared" si="113"/>
        <v/>
      </c>
    </row>
    <row r="1519" spans="2:10" x14ac:dyDescent="0.35">
      <c r="B1519" t="str">
        <f>IF(NOT(ISBLANK(A1519)),VLOOKUP(A1519,'BBT3'!A:F,2,0),"")</f>
        <v/>
      </c>
      <c r="C1519" t="str">
        <f>IF(NOT(ISBLANK(A1519)),VLOOKUP(A1519,'BBT3'!A:F,3,0),"")</f>
        <v/>
      </c>
      <c r="D1519" s="6" t="str">
        <f>IF(NOT(ISBLANK(A1519)),VLOOKUP(A1519,'BBT3'!A:F,4,1),"")</f>
        <v/>
      </c>
      <c r="E1519" t="str">
        <f>IF(NOT(ISBLANK(A1519)),VLOOKUP(A1519,'BBT3'!A:F,5,0),"")</f>
        <v/>
      </c>
      <c r="F1519" t="str">
        <f>IF(NOT(ISBLANK(A1519)),VLOOKUP(A1519,'BBT3'!A:F,6,0),"")</f>
        <v/>
      </c>
      <c r="G1519" t="str">
        <f>IF(NOT(ISBLANK(A1519)),VLOOKUP(A1519,QW_Close!A:J,5,0),"")</f>
        <v/>
      </c>
      <c r="H1519" s="5" t="str" cm="1">
        <f t="array" ref="H1519">IF(NOT(ISBLANK(A1519)),((_xlfn.XLOOKUP(1,(_bbt3[[#All],[ID]]=A1519)*(_bbt3[[#All],[METRIC_NAME]]="YLD_YTM_ASK"),_bbt3[[#All],[METRIC_VALUE]])*0.5)+(_xlfn.XLOOKUP(1,(_bbt3[[#All],[ID]]=A1519)*(_bbt3[[#All],[METRIC_NAME]]="YLD_YTM_BID"),_bbt3[[#All],[METRIC_VALUE]])*0.5))/100,"")</f>
        <v/>
      </c>
      <c r="I1519">
        <f>IF(ISNA(VLOOKUP(A1519,QW_CloseDL!A:E,5,0)),0,VLOOKUP(A1519,QW_CloseDL!A:E,5,0))</f>
        <v>0</v>
      </c>
      <c r="J1519" s="8" t="str">
        <f t="shared" si="113"/>
        <v/>
      </c>
    </row>
    <row r="1520" spans="2:10" x14ac:dyDescent="0.35">
      <c r="B1520" t="str">
        <f>IF(NOT(ISBLANK(A1520)),VLOOKUP(A1520,'BBT3'!A:F,2,0),"")</f>
        <v/>
      </c>
      <c r="C1520" t="str">
        <f>IF(NOT(ISBLANK(A1520)),VLOOKUP(A1520,'BBT3'!A:F,3,0),"")</f>
        <v/>
      </c>
      <c r="D1520" s="6" t="str">
        <f>IF(NOT(ISBLANK(A1520)),VLOOKUP(A1520,'BBT3'!A:F,4,1),"")</f>
        <v/>
      </c>
      <c r="E1520" t="str">
        <f>IF(NOT(ISBLANK(A1520)),VLOOKUP(A1520,'BBT3'!A:F,5,0),"")</f>
        <v/>
      </c>
      <c r="F1520" t="str">
        <f>IF(NOT(ISBLANK(A1520)),VLOOKUP(A1520,'BBT3'!A:F,6,0),"")</f>
        <v/>
      </c>
      <c r="G1520" t="str">
        <f>IF(NOT(ISBLANK(A1520)),VLOOKUP(A1520,QW_Close!A:J,5,0),"")</f>
        <v/>
      </c>
      <c r="H1520" s="5" t="str" cm="1">
        <f t="array" ref="H1520">IF(NOT(ISBLANK(A1520)),((_xlfn.XLOOKUP(1,(_bbt3[[#All],[ID]]=A1520)*(_bbt3[[#All],[METRIC_NAME]]="YLD_YTM_ASK"),_bbt3[[#All],[METRIC_VALUE]])*0.5)+(_xlfn.XLOOKUP(1,(_bbt3[[#All],[ID]]=A1520)*(_bbt3[[#All],[METRIC_NAME]]="YLD_YTM_BID"),_bbt3[[#All],[METRIC_VALUE]])*0.5))/100,"")</f>
        <v/>
      </c>
      <c r="I1520">
        <f>IF(ISNA(VLOOKUP(A1520,QW_CloseDL!A:E,5,0)),0,VLOOKUP(A1520,QW_CloseDL!A:E,5,0))</f>
        <v>0</v>
      </c>
      <c r="J1520" s="8" t="str">
        <f t="shared" si="113"/>
        <v/>
      </c>
    </row>
    <row r="1521" spans="2:10" x14ac:dyDescent="0.35">
      <c r="B1521" t="str">
        <f>IF(NOT(ISBLANK(A1521)),VLOOKUP(A1521,'BBT3'!A:F,2,0),"")</f>
        <v/>
      </c>
      <c r="C1521" t="str">
        <f>IF(NOT(ISBLANK(A1521)),VLOOKUP(A1521,'BBT3'!A:F,3,0),"")</f>
        <v/>
      </c>
      <c r="D1521" s="6" t="str">
        <f>IF(NOT(ISBLANK(A1521)),VLOOKUP(A1521,'BBT3'!A:F,4,1),"")</f>
        <v/>
      </c>
      <c r="E1521" t="str">
        <f>IF(NOT(ISBLANK(A1521)),VLOOKUP(A1521,'BBT3'!A:F,5,0),"")</f>
        <v/>
      </c>
      <c r="F1521" t="str">
        <f>IF(NOT(ISBLANK(A1521)),VLOOKUP(A1521,'BBT3'!A:F,6,0),"")</f>
        <v/>
      </c>
      <c r="G1521" t="str">
        <f>IF(NOT(ISBLANK(A1521)),VLOOKUP(A1521,QW_Close!A:J,5,0),"")</f>
        <v/>
      </c>
      <c r="H1521" s="5" t="str" cm="1">
        <f t="array" ref="H1521">IF(NOT(ISBLANK(A1521)),((_xlfn.XLOOKUP(1,(_bbt3[[#All],[ID]]=A1521)*(_bbt3[[#All],[METRIC_NAME]]="YLD_YTM_ASK"),_bbt3[[#All],[METRIC_VALUE]])*0.5)+(_xlfn.XLOOKUP(1,(_bbt3[[#All],[ID]]=A1521)*(_bbt3[[#All],[METRIC_NAME]]="YLD_YTM_BID"),_bbt3[[#All],[METRIC_VALUE]])*0.5))/100,"")</f>
        <v/>
      </c>
      <c r="I1521">
        <f>IF(ISNA(VLOOKUP(A1521,QW_CloseDL!A:E,5,0)),0,VLOOKUP(A1521,QW_CloseDL!A:E,5,0))</f>
        <v>0</v>
      </c>
      <c r="J1521" s="8" t="str">
        <f t="shared" si="113"/>
        <v/>
      </c>
    </row>
    <row r="1522" spans="2:10" x14ac:dyDescent="0.35">
      <c r="B1522" t="str">
        <f>IF(NOT(ISBLANK(A1522)),VLOOKUP(A1522,'BBT3'!A:F,2,0),"")</f>
        <v/>
      </c>
      <c r="C1522" t="str">
        <f>IF(NOT(ISBLANK(A1522)),VLOOKUP(A1522,'BBT3'!A:F,3,0),"")</f>
        <v/>
      </c>
      <c r="D1522" s="6" t="str">
        <f>IF(NOT(ISBLANK(A1522)),VLOOKUP(A1522,'BBT3'!A:F,4,1),"")</f>
        <v/>
      </c>
      <c r="E1522" t="str">
        <f>IF(NOT(ISBLANK(A1522)),VLOOKUP(A1522,'BBT3'!A:F,5,0),"")</f>
        <v/>
      </c>
      <c r="F1522" t="str">
        <f>IF(NOT(ISBLANK(A1522)),VLOOKUP(A1522,'BBT3'!A:F,6,0),"")</f>
        <v/>
      </c>
      <c r="G1522" t="str">
        <f>IF(NOT(ISBLANK(A1522)),VLOOKUP(A1522,QW_Close!A:J,5,0),"")</f>
        <v/>
      </c>
      <c r="H1522" s="5" t="str" cm="1">
        <f t="array" ref="H1522">IF(NOT(ISBLANK(A1522)),((_xlfn.XLOOKUP(1,(_bbt3[[#All],[ID]]=A1522)*(_bbt3[[#All],[METRIC_NAME]]="YLD_YTM_ASK"),_bbt3[[#All],[METRIC_VALUE]])*0.5)+(_xlfn.XLOOKUP(1,(_bbt3[[#All],[ID]]=A1522)*(_bbt3[[#All],[METRIC_NAME]]="YLD_YTM_BID"),_bbt3[[#All],[METRIC_VALUE]])*0.5))/100,"")</f>
        <v/>
      </c>
      <c r="I1522">
        <f>IF(ISNA(VLOOKUP(A1522,QW_CloseDL!A:E,5,0)),0,VLOOKUP(A1522,QW_CloseDL!A:E,5,0))</f>
        <v>0</v>
      </c>
      <c r="J1522" s="8" t="str">
        <f t="shared" si="113"/>
        <v/>
      </c>
    </row>
    <row r="1523" spans="2:10" x14ac:dyDescent="0.35">
      <c r="B1523" t="str">
        <f>IF(NOT(ISBLANK(A1523)),VLOOKUP(A1523,'BBT3'!A:F,2,0),"")</f>
        <v/>
      </c>
      <c r="C1523" t="str">
        <f>IF(NOT(ISBLANK(A1523)),VLOOKUP(A1523,'BBT3'!A:F,3,0),"")</f>
        <v/>
      </c>
      <c r="D1523" s="6" t="str">
        <f>IF(NOT(ISBLANK(A1523)),VLOOKUP(A1523,'BBT3'!A:F,4,1),"")</f>
        <v/>
      </c>
      <c r="E1523" t="str">
        <f>IF(NOT(ISBLANK(A1523)),VLOOKUP(A1523,'BBT3'!A:F,5,0),"")</f>
        <v/>
      </c>
      <c r="F1523" t="str">
        <f>IF(NOT(ISBLANK(A1523)),VLOOKUP(A1523,'BBT3'!A:F,6,0),"")</f>
        <v/>
      </c>
      <c r="G1523" t="str">
        <f>IF(NOT(ISBLANK(A1523)),VLOOKUP(A1523,QW_Close!A:J,5,0),"")</f>
        <v/>
      </c>
      <c r="H1523" s="5" t="str" cm="1">
        <f t="array" ref="H1523">IF(NOT(ISBLANK(A1523)),((_xlfn.XLOOKUP(1,(_bbt3[[#All],[ID]]=A1523)*(_bbt3[[#All],[METRIC_NAME]]="YLD_YTM_ASK"),_bbt3[[#All],[METRIC_VALUE]])*0.5)+(_xlfn.XLOOKUP(1,(_bbt3[[#All],[ID]]=A1523)*(_bbt3[[#All],[METRIC_NAME]]="YLD_YTM_BID"),_bbt3[[#All],[METRIC_VALUE]])*0.5))/100,"")</f>
        <v/>
      </c>
      <c r="I1523">
        <f>IF(ISNA(VLOOKUP(A1523,QW_CloseDL!A:E,5,0)),0,VLOOKUP(A1523,QW_CloseDL!A:E,5,0))</f>
        <v>0</v>
      </c>
      <c r="J1523" s="8" t="str">
        <f t="shared" si="113"/>
        <v/>
      </c>
    </row>
    <row r="1524" spans="2:10" x14ac:dyDescent="0.35">
      <c r="B1524" t="str">
        <f>IF(NOT(ISBLANK(A1524)),VLOOKUP(A1524,'BBT3'!A:F,2,0),"")</f>
        <v/>
      </c>
      <c r="C1524" t="str">
        <f>IF(NOT(ISBLANK(A1524)),VLOOKUP(A1524,'BBT3'!A:F,3,0),"")</f>
        <v/>
      </c>
      <c r="D1524" s="6" t="str">
        <f>IF(NOT(ISBLANK(A1524)),VLOOKUP(A1524,'BBT3'!A:F,4,1),"")</f>
        <v/>
      </c>
      <c r="E1524" t="str">
        <f>IF(NOT(ISBLANK(A1524)),VLOOKUP(A1524,'BBT3'!A:F,5,0),"")</f>
        <v/>
      </c>
      <c r="F1524" t="str">
        <f>IF(NOT(ISBLANK(A1524)),VLOOKUP(A1524,'BBT3'!A:F,6,0),"")</f>
        <v/>
      </c>
      <c r="G1524" t="str">
        <f>IF(NOT(ISBLANK(A1524)),VLOOKUP(A1524,QW_Close!A:J,5,0),"")</f>
        <v/>
      </c>
      <c r="H1524" s="5" t="str" cm="1">
        <f t="array" ref="H1524">IF(NOT(ISBLANK(A1524)),((_xlfn.XLOOKUP(1,(_bbt3[[#All],[ID]]=A1524)*(_bbt3[[#All],[METRIC_NAME]]="YLD_YTM_ASK"),_bbt3[[#All],[METRIC_VALUE]])*0.5)+(_xlfn.XLOOKUP(1,(_bbt3[[#All],[ID]]=A1524)*(_bbt3[[#All],[METRIC_NAME]]="YLD_YTM_BID"),_bbt3[[#All],[METRIC_VALUE]])*0.5))/100,"")</f>
        <v/>
      </c>
      <c r="I1524">
        <f>IF(ISNA(VLOOKUP(A1524,QW_CloseDL!A:E,5,0)),0,VLOOKUP(A1524,QW_CloseDL!A:E,5,0))</f>
        <v>0</v>
      </c>
      <c r="J1524" s="8" t="str">
        <f t="shared" si="113"/>
        <v/>
      </c>
    </row>
    <row r="1525" spans="2:10" x14ac:dyDescent="0.35">
      <c r="B1525" t="str">
        <f>IF(NOT(ISBLANK(A1525)),VLOOKUP(A1525,'BBT3'!A:F,2,0),"")</f>
        <v/>
      </c>
      <c r="C1525" t="str">
        <f>IF(NOT(ISBLANK(A1525)),VLOOKUP(A1525,'BBT3'!A:F,3,0),"")</f>
        <v/>
      </c>
      <c r="D1525" s="6" t="str">
        <f>IF(NOT(ISBLANK(A1525)),VLOOKUP(A1525,'BBT3'!A:F,4,1),"")</f>
        <v/>
      </c>
      <c r="E1525" t="str">
        <f>IF(NOT(ISBLANK(A1525)),VLOOKUP(A1525,'BBT3'!A:F,5,0),"")</f>
        <v/>
      </c>
      <c r="F1525" t="str">
        <f>IF(NOT(ISBLANK(A1525)),VLOOKUP(A1525,'BBT3'!A:F,6,0),"")</f>
        <v/>
      </c>
      <c r="G1525" t="str">
        <f>IF(NOT(ISBLANK(A1525)),VLOOKUP(A1525,QW_Close!A:J,5,0),"")</f>
        <v/>
      </c>
      <c r="H1525" s="5" t="str" cm="1">
        <f t="array" ref="H1525">IF(NOT(ISBLANK(A1525)),((_xlfn.XLOOKUP(1,(_bbt3[[#All],[ID]]=A1525)*(_bbt3[[#All],[METRIC_NAME]]="YLD_YTM_ASK"),_bbt3[[#All],[METRIC_VALUE]])*0.5)+(_xlfn.XLOOKUP(1,(_bbt3[[#All],[ID]]=A1525)*(_bbt3[[#All],[METRIC_NAME]]="YLD_YTM_BID"),_bbt3[[#All],[METRIC_VALUE]])*0.5))/100,"")</f>
        <v/>
      </c>
      <c r="I1525">
        <f>IF(ISNA(VLOOKUP(A1525,QW_CloseDL!A:E,5,0)),0,VLOOKUP(A1525,QW_CloseDL!A:E,5,0))</f>
        <v>0</v>
      </c>
      <c r="J1525" s="8" t="str">
        <f t="shared" si="113"/>
        <v/>
      </c>
    </row>
    <row r="1526" spans="2:10" x14ac:dyDescent="0.35">
      <c r="B1526" t="str">
        <f>IF(NOT(ISBLANK(A1526)),VLOOKUP(A1526,'BBT3'!A:F,2,0),"")</f>
        <v/>
      </c>
      <c r="C1526" t="str">
        <f>IF(NOT(ISBLANK(A1526)),VLOOKUP(A1526,'BBT3'!A:F,3,0),"")</f>
        <v/>
      </c>
      <c r="D1526" s="6" t="str">
        <f>IF(NOT(ISBLANK(A1526)),VLOOKUP(A1526,'BBT3'!A:F,4,1),"")</f>
        <v/>
      </c>
      <c r="E1526" t="str">
        <f>IF(NOT(ISBLANK(A1526)),VLOOKUP(A1526,'BBT3'!A:F,5,0),"")</f>
        <v/>
      </c>
      <c r="F1526" t="str">
        <f>IF(NOT(ISBLANK(A1526)),VLOOKUP(A1526,'BBT3'!A:F,6,0),"")</f>
        <v/>
      </c>
      <c r="G1526" t="str">
        <f>IF(NOT(ISBLANK(A1526)),VLOOKUP(A1526,QW_Close!A:J,5,0),"")</f>
        <v/>
      </c>
      <c r="H1526" s="5" t="str" cm="1">
        <f t="array" ref="H1526">IF(NOT(ISBLANK(A1526)),((_xlfn.XLOOKUP(1,(_bbt3[[#All],[ID]]=A1526)*(_bbt3[[#All],[METRIC_NAME]]="YLD_YTM_ASK"),_bbt3[[#All],[METRIC_VALUE]])*0.5)+(_xlfn.XLOOKUP(1,(_bbt3[[#All],[ID]]=A1526)*(_bbt3[[#All],[METRIC_NAME]]="YLD_YTM_BID"),_bbt3[[#All],[METRIC_VALUE]])*0.5))/100,"")</f>
        <v/>
      </c>
      <c r="I1526">
        <f>IF(ISNA(VLOOKUP(A1526,QW_CloseDL!A:E,5,0)),0,VLOOKUP(A1526,QW_CloseDL!A:E,5,0))</f>
        <v>0</v>
      </c>
      <c r="J1526" s="8" t="str">
        <f t="shared" si="113"/>
        <v/>
      </c>
    </row>
    <row r="1527" spans="2:10" x14ac:dyDescent="0.35">
      <c r="B1527" t="str">
        <f>IF(NOT(ISBLANK(A1527)),VLOOKUP(A1527,'BBT3'!A:F,2,0),"")</f>
        <v/>
      </c>
      <c r="C1527" t="str">
        <f>IF(NOT(ISBLANK(A1527)),VLOOKUP(A1527,'BBT3'!A:F,3,0),"")</f>
        <v/>
      </c>
      <c r="D1527" s="6" t="str">
        <f>IF(NOT(ISBLANK(A1527)),VLOOKUP(A1527,'BBT3'!A:F,4,1),"")</f>
        <v/>
      </c>
      <c r="E1527" t="str">
        <f>IF(NOT(ISBLANK(A1527)),VLOOKUP(A1527,'BBT3'!A:F,5,0),"")</f>
        <v/>
      </c>
      <c r="F1527" t="str">
        <f>IF(NOT(ISBLANK(A1527)),VLOOKUP(A1527,'BBT3'!A:F,6,0),"")</f>
        <v/>
      </c>
      <c r="G1527" t="str">
        <f>IF(NOT(ISBLANK(A1527)),VLOOKUP(A1527,QW_Close!A:J,5,0),"")</f>
        <v/>
      </c>
      <c r="H1527" s="5" t="str" cm="1">
        <f t="array" ref="H1527">IF(NOT(ISBLANK(A1527)),((_xlfn.XLOOKUP(1,(_bbt3[[#All],[ID]]=A1527)*(_bbt3[[#All],[METRIC_NAME]]="YLD_YTM_ASK"),_bbt3[[#All],[METRIC_VALUE]])*0.5)+(_xlfn.XLOOKUP(1,(_bbt3[[#All],[ID]]=A1527)*(_bbt3[[#All],[METRIC_NAME]]="YLD_YTM_BID"),_bbt3[[#All],[METRIC_VALUE]])*0.5))/100,"")</f>
        <v/>
      </c>
      <c r="I1527">
        <f>IF(ISNA(VLOOKUP(A1527,QW_CloseDL!A:E,5,0)),0,VLOOKUP(A1527,QW_CloseDL!A:E,5,0))</f>
        <v>0</v>
      </c>
      <c r="J1527" s="8" t="str">
        <f t="shared" si="113"/>
        <v/>
      </c>
    </row>
    <row r="1528" spans="2:10" x14ac:dyDescent="0.35">
      <c r="B1528" t="str">
        <f>IF(NOT(ISBLANK(A1528)),VLOOKUP(A1528,'BBT3'!A:F,2,0),"")</f>
        <v/>
      </c>
      <c r="C1528" t="str">
        <f>IF(NOT(ISBLANK(A1528)),VLOOKUP(A1528,'BBT3'!A:F,3,0),"")</f>
        <v/>
      </c>
      <c r="D1528" s="6" t="str">
        <f>IF(NOT(ISBLANK(A1528)),VLOOKUP(A1528,'BBT3'!A:F,4,1),"")</f>
        <v/>
      </c>
      <c r="E1528" t="str">
        <f>IF(NOT(ISBLANK(A1528)),VLOOKUP(A1528,'BBT3'!A:F,5,0),"")</f>
        <v/>
      </c>
      <c r="F1528" t="str">
        <f>IF(NOT(ISBLANK(A1528)),VLOOKUP(A1528,'BBT3'!A:F,6,0),"")</f>
        <v/>
      </c>
      <c r="G1528" t="str">
        <f>IF(NOT(ISBLANK(A1528)),VLOOKUP(A1528,QW_Close!A:J,5,0),"")</f>
        <v/>
      </c>
      <c r="H1528" s="5" t="str" cm="1">
        <f t="array" ref="H1528">IF(NOT(ISBLANK(A1528)),((_xlfn.XLOOKUP(1,(_bbt3[[#All],[ID]]=A1528)*(_bbt3[[#All],[METRIC_NAME]]="YLD_YTM_ASK"),_bbt3[[#All],[METRIC_VALUE]])*0.5)+(_xlfn.XLOOKUP(1,(_bbt3[[#All],[ID]]=A1528)*(_bbt3[[#All],[METRIC_NAME]]="YLD_YTM_BID"),_bbt3[[#All],[METRIC_VALUE]])*0.5))/100,"")</f>
        <v/>
      </c>
      <c r="I1528">
        <f>IF(ISNA(VLOOKUP(A1528,QW_CloseDL!A:E,5,0)),0,VLOOKUP(A1528,QW_CloseDL!A:E,5,0))</f>
        <v>0</v>
      </c>
      <c r="J1528" s="8" t="str">
        <f t="shared" si="113"/>
        <v/>
      </c>
    </row>
    <row r="1529" spans="2:10" x14ac:dyDescent="0.35">
      <c r="B1529" t="str">
        <f>IF(NOT(ISBLANK(A1529)),VLOOKUP(A1529,'BBT3'!A:F,2,0),"")</f>
        <v/>
      </c>
      <c r="C1529" t="str">
        <f>IF(NOT(ISBLANK(A1529)),VLOOKUP(A1529,'BBT3'!A:F,3,0),"")</f>
        <v/>
      </c>
      <c r="D1529" s="6" t="str">
        <f>IF(NOT(ISBLANK(A1529)),VLOOKUP(A1529,'BBT3'!A:F,4,1),"")</f>
        <v/>
      </c>
      <c r="E1529" t="str">
        <f>IF(NOT(ISBLANK(A1529)),VLOOKUP(A1529,'BBT3'!A:F,5,0),"")</f>
        <v/>
      </c>
      <c r="F1529" t="str">
        <f>IF(NOT(ISBLANK(A1529)),VLOOKUP(A1529,'BBT3'!A:F,6,0),"")</f>
        <v/>
      </c>
      <c r="G1529" t="str">
        <f>IF(NOT(ISBLANK(A1529)),VLOOKUP(A1529,QW_Close!A:J,5,0),"")</f>
        <v/>
      </c>
      <c r="H1529" s="5" t="str" cm="1">
        <f t="array" ref="H1529">IF(NOT(ISBLANK(A1529)),((_xlfn.XLOOKUP(1,(_bbt3[[#All],[ID]]=A1529)*(_bbt3[[#All],[METRIC_NAME]]="YLD_YTM_ASK"),_bbt3[[#All],[METRIC_VALUE]])*0.5)+(_xlfn.XLOOKUP(1,(_bbt3[[#All],[ID]]=A1529)*(_bbt3[[#All],[METRIC_NAME]]="YLD_YTM_BID"),_bbt3[[#All],[METRIC_VALUE]])*0.5))/100,"")</f>
        <v/>
      </c>
      <c r="I1529">
        <f>IF(ISNA(VLOOKUP(A1529,QW_CloseDL!A:E,5,0)),0,VLOOKUP(A1529,QW_CloseDL!A:E,5,0))</f>
        <v>0</v>
      </c>
      <c r="J1529" s="8" t="str">
        <f t="shared" si="113"/>
        <v/>
      </c>
    </row>
    <row r="1530" spans="2:10" x14ac:dyDescent="0.35">
      <c r="B1530" t="str">
        <f>IF(NOT(ISBLANK(A1530)),VLOOKUP(A1530,'BBT3'!A:F,2,0),"")</f>
        <v/>
      </c>
      <c r="C1530" t="str">
        <f>IF(NOT(ISBLANK(A1530)),VLOOKUP(A1530,'BBT3'!A:F,3,0),"")</f>
        <v/>
      </c>
      <c r="D1530" s="6" t="str">
        <f>IF(NOT(ISBLANK(A1530)),VLOOKUP(A1530,'BBT3'!A:F,4,1),"")</f>
        <v/>
      </c>
      <c r="E1530" t="str">
        <f>IF(NOT(ISBLANK(A1530)),VLOOKUP(A1530,'BBT3'!A:F,5,0),"")</f>
        <v/>
      </c>
      <c r="F1530" t="str">
        <f>IF(NOT(ISBLANK(A1530)),VLOOKUP(A1530,'BBT3'!A:F,6,0),"")</f>
        <v/>
      </c>
      <c r="G1530" t="str">
        <f>IF(NOT(ISBLANK(A1530)),VLOOKUP(A1530,QW_Close!A:J,5,0),"")</f>
        <v/>
      </c>
      <c r="H1530" s="5" t="str" cm="1">
        <f t="array" ref="H1530">IF(NOT(ISBLANK(A1530)),((_xlfn.XLOOKUP(1,(_bbt3[[#All],[ID]]=A1530)*(_bbt3[[#All],[METRIC_NAME]]="YLD_YTM_ASK"),_bbt3[[#All],[METRIC_VALUE]])*0.5)+(_xlfn.XLOOKUP(1,(_bbt3[[#All],[ID]]=A1530)*(_bbt3[[#All],[METRIC_NAME]]="YLD_YTM_BID"),_bbt3[[#All],[METRIC_VALUE]])*0.5))/100,"")</f>
        <v/>
      </c>
      <c r="I1530">
        <f>IF(ISNA(VLOOKUP(A1530,QW_CloseDL!A:E,5,0)),0,VLOOKUP(A1530,QW_CloseDL!A:E,5,0))</f>
        <v>0</v>
      </c>
      <c r="J1530" s="8" t="str">
        <f t="shared" si="113"/>
        <v/>
      </c>
    </row>
    <row r="1531" spans="2:10" x14ac:dyDescent="0.35">
      <c r="B1531" t="str">
        <f>IF(NOT(ISBLANK(A1531)),VLOOKUP(A1531,'BBT3'!A:F,2,0),"")</f>
        <v/>
      </c>
      <c r="C1531" t="str">
        <f>IF(NOT(ISBLANK(A1531)),VLOOKUP(A1531,'BBT3'!A:F,3,0),"")</f>
        <v/>
      </c>
      <c r="D1531" s="6" t="str">
        <f>IF(NOT(ISBLANK(A1531)),VLOOKUP(A1531,'BBT3'!A:F,4,1),"")</f>
        <v/>
      </c>
      <c r="E1531" t="str">
        <f>IF(NOT(ISBLANK(A1531)),VLOOKUP(A1531,'BBT3'!A:F,5,0),"")</f>
        <v/>
      </c>
      <c r="F1531" t="str">
        <f>IF(NOT(ISBLANK(A1531)),VLOOKUP(A1531,'BBT3'!A:F,6,0),"")</f>
        <v/>
      </c>
      <c r="G1531" t="str">
        <f>IF(NOT(ISBLANK(A1531)),VLOOKUP(A1531,QW_Close!A:J,5,0),"")</f>
        <v/>
      </c>
      <c r="H1531" s="5" t="str" cm="1">
        <f t="array" ref="H1531">IF(NOT(ISBLANK(A1531)),((_xlfn.XLOOKUP(1,(_bbt3[[#All],[ID]]=A1531)*(_bbt3[[#All],[METRIC_NAME]]="YLD_YTM_ASK"),_bbt3[[#All],[METRIC_VALUE]])*0.5)+(_xlfn.XLOOKUP(1,(_bbt3[[#All],[ID]]=A1531)*(_bbt3[[#All],[METRIC_NAME]]="YLD_YTM_BID"),_bbt3[[#All],[METRIC_VALUE]])*0.5))/100,"")</f>
        <v/>
      </c>
      <c r="I1531">
        <f>IF(ISNA(VLOOKUP(A1531,QW_CloseDL!A:E,5,0)),0,VLOOKUP(A1531,QW_CloseDL!A:E,5,0))</f>
        <v>0</v>
      </c>
      <c r="J1531" s="8" t="str">
        <f t="shared" si="113"/>
        <v/>
      </c>
    </row>
    <row r="1532" spans="2:10" x14ac:dyDescent="0.35">
      <c r="B1532" t="str">
        <f>IF(NOT(ISBLANK(A1532)),VLOOKUP(A1532,'BBT3'!A:F,2,0),"")</f>
        <v/>
      </c>
      <c r="C1532" t="str">
        <f>IF(NOT(ISBLANK(A1532)),VLOOKUP(A1532,'BBT3'!A:F,3,0),"")</f>
        <v/>
      </c>
      <c r="D1532" s="6" t="str">
        <f>IF(NOT(ISBLANK(A1532)),VLOOKUP(A1532,'BBT3'!A:F,4,1),"")</f>
        <v/>
      </c>
      <c r="E1532" t="str">
        <f>IF(NOT(ISBLANK(A1532)),VLOOKUP(A1532,'BBT3'!A:F,5,0),"")</f>
        <v/>
      </c>
      <c r="F1532" t="str">
        <f>IF(NOT(ISBLANK(A1532)),VLOOKUP(A1532,'BBT3'!A:F,6,0),"")</f>
        <v/>
      </c>
      <c r="G1532" t="str">
        <f>IF(NOT(ISBLANK(A1532)),VLOOKUP(A1532,QW_Close!A:J,5,0),"")</f>
        <v/>
      </c>
      <c r="H1532" s="5" t="str" cm="1">
        <f t="array" ref="H1532">IF(NOT(ISBLANK(A1532)),((_xlfn.XLOOKUP(1,(_bbt3[[#All],[ID]]=A1532)*(_bbt3[[#All],[METRIC_NAME]]="YLD_YTM_ASK"),_bbt3[[#All],[METRIC_VALUE]])*0.5)+(_xlfn.XLOOKUP(1,(_bbt3[[#All],[ID]]=A1532)*(_bbt3[[#All],[METRIC_NAME]]="YLD_YTM_BID"),_bbt3[[#All],[METRIC_VALUE]])*0.5))/100,"")</f>
        <v/>
      </c>
      <c r="I1532">
        <f>IF(ISNA(VLOOKUP(A1532,QW_CloseDL!A:E,5,0)),0,VLOOKUP(A1532,QW_CloseDL!A:E,5,0))</f>
        <v>0</v>
      </c>
      <c r="J1532" s="8" t="str">
        <f t="shared" si="113"/>
        <v/>
      </c>
    </row>
    <row r="1533" spans="2:10" x14ac:dyDescent="0.35">
      <c r="B1533" t="str">
        <f>IF(NOT(ISBLANK(A1533)),VLOOKUP(A1533,'BBT3'!A:F,2,0),"")</f>
        <v/>
      </c>
      <c r="C1533" t="str">
        <f>IF(NOT(ISBLANK(A1533)),VLOOKUP(A1533,'BBT3'!A:F,3,0),"")</f>
        <v/>
      </c>
      <c r="D1533" s="6" t="str">
        <f>IF(NOT(ISBLANK(A1533)),VLOOKUP(A1533,'BBT3'!A:F,4,1),"")</f>
        <v/>
      </c>
      <c r="E1533" t="str">
        <f>IF(NOT(ISBLANK(A1533)),VLOOKUP(A1533,'BBT3'!A:F,5,0),"")</f>
        <v/>
      </c>
      <c r="F1533" t="str">
        <f>IF(NOT(ISBLANK(A1533)),VLOOKUP(A1533,'BBT3'!A:F,6,0),"")</f>
        <v/>
      </c>
      <c r="G1533" t="str">
        <f>IF(NOT(ISBLANK(A1533)),VLOOKUP(A1533,QW_Close!A:J,5,0),"")</f>
        <v/>
      </c>
      <c r="H1533" s="5" t="str" cm="1">
        <f t="array" ref="H1533">IF(NOT(ISBLANK(A1533)),((_xlfn.XLOOKUP(1,(_bbt3[[#All],[ID]]=A1533)*(_bbt3[[#All],[METRIC_NAME]]="YLD_YTM_ASK"),_bbt3[[#All],[METRIC_VALUE]])*0.5)+(_xlfn.XLOOKUP(1,(_bbt3[[#All],[ID]]=A1533)*(_bbt3[[#All],[METRIC_NAME]]="YLD_YTM_BID"),_bbt3[[#All],[METRIC_VALUE]])*0.5))/100,"")</f>
        <v/>
      </c>
      <c r="I1533">
        <f>IF(ISNA(VLOOKUP(A1533,QW_CloseDL!A:E,5,0)),0,VLOOKUP(A1533,QW_CloseDL!A:E,5,0))</f>
        <v>0</v>
      </c>
      <c r="J1533" s="8" t="str">
        <f t="shared" si="113"/>
        <v/>
      </c>
    </row>
    <row r="1534" spans="2:10" x14ac:dyDescent="0.35">
      <c r="B1534" t="str">
        <f>IF(NOT(ISBLANK(A1534)),VLOOKUP(A1534,'BBT3'!A:F,2,0),"")</f>
        <v/>
      </c>
      <c r="C1534" t="str">
        <f>IF(NOT(ISBLANK(A1534)),VLOOKUP(A1534,'BBT3'!A:F,3,0),"")</f>
        <v/>
      </c>
      <c r="D1534" s="6" t="str">
        <f>IF(NOT(ISBLANK(A1534)),VLOOKUP(A1534,'BBT3'!A:F,4,1),"")</f>
        <v/>
      </c>
      <c r="E1534" t="str">
        <f>IF(NOT(ISBLANK(A1534)),VLOOKUP(A1534,'BBT3'!A:F,5,0),"")</f>
        <v/>
      </c>
      <c r="F1534" t="str">
        <f>IF(NOT(ISBLANK(A1534)),VLOOKUP(A1534,'BBT3'!A:F,6,0),"")</f>
        <v/>
      </c>
      <c r="G1534" t="str">
        <f>IF(NOT(ISBLANK(A1534)),VLOOKUP(A1534,QW_Close!A:J,5,0),"")</f>
        <v/>
      </c>
      <c r="H1534" s="5" t="str" cm="1">
        <f t="array" ref="H1534">IF(NOT(ISBLANK(A1534)),((_xlfn.XLOOKUP(1,(_bbt3[[#All],[ID]]=A1534)*(_bbt3[[#All],[METRIC_NAME]]="YLD_YTM_ASK"),_bbt3[[#All],[METRIC_VALUE]])*0.5)+(_xlfn.XLOOKUP(1,(_bbt3[[#All],[ID]]=A1534)*(_bbt3[[#All],[METRIC_NAME]]="YLD_YTM_BID"),_bbt3[[#All],[METRIC_VALUE]])*0.5))/100,"")</f>
        <v/>
      </c>
      <c r="I1534">
        <f>IF(ISNA(VLOOKUP(A1534,QW_CloseDL!A:E,5,0)),0,VLOOKUP(A1534,QW_CloseDL!A:E,5,0))</f>
        <v>0</v>
      </c>
      <c r="J1534" s="8" t="str">
        <f t="shared" si="113"/>
        <v/>
      </c>
    </row>
    <row r="1535" spans="2:10" x14ac:dyDescent="0.35">
      <c r="B1535" t="str">
        <f>IF(NOT(ISBLANK(A1535)),VLOOKUP(A1535,'BBT3'!A:F,2,0),"")</f>
        <v/>
      </c>
      <c r="C1535" t="str">
        <f>IF(NOT(ISBLANK(A1535)),VLOOKUP(A1535,'BBT3'!A:F,3,0),"")</f>
        <v/>
      </c>
      <c r="D1535" s="6" t="str">
        <f>IF(NOT(ISBLANK(A1535)),VLOOKUP(A1535,'BBT3'!A:F,4,1),"")</f>
        <v/>
      </c>
      <c r="E1535" t="str">
        <f>IF(NOT(ISBLANK(A1535)),VLOOKUP(A1535,'BBT3'!A:F,5,0),"")</f>
        <v/>
      </c>
      <c r="F1535" t="str">
        <f>IF(NOT(ISBLANK(A1535)),VLOOKUP(A1535,'BBT3'!A:F,6,0),"")</f>
        <v/>
      </c>
      <c r="G1535" t="str">
        <f>IF(NOT(ISBLANK(A1535)),VLOOKUP(A1535,QW_Close!A:J,5,0),"")</f>
        <v/>
      </c>
      <c r="H1535" s="5" t="str" cm="1">
        <f t="array" ref="H1535">IF(NOT(ISBLANK(A1535)),((_xlfn.XLOOKUP(1,(_bbt3[[#All],[ID]]=A1535)*(_bbt3[[#All],[METRIC_NAME]]="YLD_YTM_ASK"),_bbt3[[#All],[METRIC_VALUE]])*0.5)+(_xlfn.XLOOKUP(1,(_bbt3[[#All],[ID]]=A1535)*(_bbt3[[#All],[METRIC_NAME]]="YLD_YTM_BID"),_bbt3[[#All],[METRIC_VALUE]])*0.5))/100,"")</f>
        <v/>
      </c>
      <c r="I1535">
        <f>IF(ISNA(VLOOKUP(A1535,QW_CloseDL!A:E,5,0)),0,VLOOKUP(A1535,QW_CloseDL!A:E,5,0))</f>
        <v>0</v>
      </c>
      <c r="J1535" s="8" t="str">
        <f t="shared" si="113"/>
        <v/>
      </c>
    </row>
    <row r="1536" spans="2:10" x14ac:dyDescent="0.35">
      <c r="B1536" t="str">
        <f>IF(NOT(ISBLANK(A1536)),VLOOKUP(A1536,'BBT3'!A:F,2,0),"")</f>
        <v/>
      </c>
      <c r="C1536" t="str">
        <f>IF(NOT(ISBLANK(A1536)),VLOOKUP(A1536,'BBT3'!A:F,3,0),"")</f>
        <v/>
      </c>
      <c r="D1536" s="6" t="str">
        <f>IF(NOT(ISBLANK(A1536)),VLOOKUP(A1536,'BBT3'!A:F,4,1),"")</f>
        <v/>
      </c>
      <c r="E1536" t="str">
        <f>IF(NOT(ISBLANK(A1536)),VLOOKUP(A1536,'BBT3'!A:F,5,0),"")</f>
        <v/>
      </c>
      <c r="F1536" t="str">
        <f>IF(NOT(ISBLANK(A1536)),VLOOKUP(A1536,'BBT3'!A:F,6,0),"")</f>
        <v/>
      </c>
      <c r="G1536" t="str">
        <f>IF(NOT(ISBLANK(A1536)),VLOOKUP(A1536,QW_Close!A:J,5,0),"")</f>
        <v/>
      </c>
      <c r="H1536" s="5" t="str" cm="1">
        <f t="array" ref="H1536">IF(NOT(ISBLANK(A1536)),((_xlfn.XLOOKUP(1,(_bbt3[[#All],[ID]]=A1536)*(_bbt3[[#All],[METRIC_NAME]]="YLD_YTM_ASK"),_bbt3[[#All],[METRIC_VALUE]])*0.5)+(_xlfn.XLOOKUP(1,(_bbt3[[#All],[ID]]=A1536)*(_bbt3[[#All],[METRIC_NAME]]="YLD_YTM_BID"),_bbt3[[#All],[METRIC_VALUE]])*0.5))/100,"")</f>
        <v/>
      </c>
      <c r="I1536">
        <f>IF(ISNA(VLOOKUP(A1536,QW_CloseDL!A:E,5,0)),0,VLOOKUP(A1536,QW_CloseDL!A:E,5,0))</f>
        <v>0</v>
      </c>
      <c r="J1536" s="8" t="str">
        <f t="shared" si="113"/>
        <v/>
      </c>
    </row>
    <row r="1537" spans="2:10" x14ac:dyDescent="0.35">
      <c r="B1537" t="str">
        <f>IF(NOT(ISBLANK(A1537)),VLOOKUP(A1537,'BBT3'!A:F,2,0),"")</f>
        <v/>
      </c>
      <c r="C1537" t="str">
        <f>IF(NOT(ISBLANK(A1537)),VLOOKUP(A1537,'BBT3'!A:F,3,0),"")</f>
        <v/>
      </c>
      <c r="D1537" s="6" t="str">
        <f>IF(NOT(ISBLANK(A1537)),VLOOKUP(A1537,'BBT3'!A:F,4,1),"")</f>
        <v/>
      </c>
      <c r="E1537" t="str">
        <f>IF(NOT(ISBLANK(A1537)),VLOOKUP(A1537,'BBT3'!A:F,5,0),"")</f>
        <v/>
      </c>
      <c r="F1537" t="str">
        <f>IF(NOT(ISBLANK(A1537)),VLOOKUP(A1537,'BBT3'!A:F,6,0),"")</f>
        <v/>
      </c>
      <c r="G1537" t="str">
        <f>IF(NOT(ISBLANK(A1537)),VLOOKUP(A1537,QW_Close!A:J,5,0),"")</f>
        <v/>
      </c>
      <c r="H1537" s="5" t="str" cm="1">
        <f t="array" ref="H1537">IF(NOT(ISBLANK(A1537)),((_xlfn.XLOOKUP(1,(_bbt3[[#All],[ID]]=A1537)*(_bbt3[[#All],[METRIC_NAME]]="YLD_YTM_ASK"),_bbt3[[#All],[METRIC_VALUE]])*0.5)+(_xlfn.XLOOKUP(1,(_bbt3[[#All],[ID]]=A1537)*(_bbt3[[#All],[METRIC_NAME]]="YLD_YTM_BID"),_bbt3[[#All],[METRIC_VALUE]])*0.5))/100,"")</f>
        <v/>
      </c>
      <c r="I1537">
        <f>IF(ISNA(VLOOKUP(A1537,QW_CloseDL!A:E,5,0)),0,VLOOKUP(A1537,QW_CloseDL!A:E,5,0))</f>
        <v>0</v>
      </c>
      <c r="J1537" s="8" t="str">
        <f t="shared" si="113"/>
        <v/>
      </c>
    </row>
    <row r="1538" spans="2:10" x14ac:dyDescent="0.35">
      <c r="B1538" t="str">
        <f>IF(NOT(ISBLANK(A1538)),VLOOKUP(A1538,'BBT3'!A:F,2,0),"")</f>
        <v/>
      </c>
      <c r="C1538" t="str">
        <f>IF(NOT(ISBLANK(A1538)),VLOOKUP(A1538,'BBT3'!A:F,3,0),"")</f>
        <v/>
      </c>
      <c r="D1538" s="6" t="str">
        <f>IF(NOT(ISBLANK(A1538)),VLOOKUP(A1538,'BBT3'!A:F,4,1),"")</f>
        <v/>
      </c>
      <c r="E1538" t="str">
        <f>IF(NOT(ISBLANK(A1538)),VLOOKUP(A1538,'BBT3'!A:F,5,0),"")</f>
        <v/>
      </c>
      <c r="F1538" t="str">
        <f>IF(NOT(ISBLANK(A1538)),VLOOKUP(A1538,'BBT3'!A:F,6,0),"")</f>
        <v/>
      </c>
      <c r="G1538" t="str">
        <f>IF(NOT(ISBLANK(A1538)),VLOOKUP(A1538,QW_Close!A:J,5,0),"")</f>
        <v/>
      </c>
      <c r="H1538" s="5" t="str" cm="1">
        <f t="array" ref="H1538">IF(NOT(ISBLANK(A1538)),((_xlfn.XLOOKUP(1,(_bbt3[[#All],[ID]]=A1538)*(_bbt3[[#All],[METRIC_NAME]]="YLD_YTM_ASK"),_bbt3[[#All],[METRIC_VALUE]])*0.5)+(_xlfn.XLOOKUP(1,(_bbt3[[#All],[ID]]=A1538)*(_bbt3[[#All],[METRIC_NAME]]="YLD_YTM_BID"),_bbt3[[#All],[METRIC_VALUE]])*0.5))/100,"")</f>
        <v/>
      </c>
      <c r="I1538">
        <f>IF(ISNA(VLOOKUP(A1538,QW_CloseDL!A:E,5,0)),0,VLOOKUP(A1538,QW_CloseDL!A:E,5,0))</f>
        <v>0</v>
      </c>
      <c r="J1538" s="8" t="str">
        <f t="shared" si="113"/>
        <v/>
      </c>
    </row>
    <row r="1539" spans="2:10" x14ac:dyDescent="0.35">
      <c r="B1539" t="str">
        <f>IF(NOT(ISBLANK(A1539)),VLOOKUP(A1539,'BBT3'!A:F,2,0),"")</f>
        <v/>
      </c>
      <c r="C1539" t="str">
        <f>IF(NOT(ISBLANK(A1539)),VLOOKUP(A1539,'BBT3'!A:F,3,0),"")</f>
        <v/>
      </c>
      <c r="D1539" s="6" t="str">
        <f>IF(NOT(ISBLANK(A1539)),VLOOKUP(A1539,'BBT3'!A:F,4,1),"")</f>
        <v/>
      </c>
      <c r="E1539" t="str">
        <f>IF(NOT(ISBLANK(A1539)),VLOOKUP(A1539,'BBT3'!A:F,5,0),"")</f>
        <v/>
      </c>
      <c r="F1539" t="str">
        <f>IF(NOT(ISBLANK(A1539)),VLOOKUP(A1539,'BBT3'!A:F,6,0),"")</f>
        <v/>
      </c>
      <c r="G1539" t="str">
        <f>IF(NOT(ISBLANK(A1539)),VLOOKUP(A1539,QW_Close!A:J,5,0),"")</f>
        <v/>
      </c>
      <c r="H1539" s="5" t="str" cm="1">
        <f t="array" ref="H1539">IF(NOT(ISBLANK(A1539)),((_xlfn.XLOOKUP(1,(_bbt3[[#All],[ID]]=A1539)*(_bbt3[[#All],[METRIC_NAME]]="YLD_YTM_ASK"),_bbt3[[#All],[METRIC_VALUE]])*0.5)+(_xlfn.XLOOKUP(1,(_bbt3[[#All],[ID]]=A1539)*(_bbt3[[#All],[METRIC_NAME]]="YLD_YTM_BID"),_bbt3[[#All],[METRIC_VALUE]])*0.5))/100,"")</f>
        <v/>
      </c>
      <c r="I1539">
        <f>IF(ISNA(VLOOKUP(A1539,QW_CloseDL!A:E,5,0)),0,VLOOKUP(A1539,QW_CloseDL!A:E,5,0))</f>
        <v>0</v>
      </c>
      <c r="J1539" s="8" t="str">
        <f t="shared" ref="J1539:J1602" si="114">IF(ISNA(IF(NOT(ISBLANK(A1539)),ABS(G1539-I1539),"")),0,(IF(NOT(ISBLANK(A1539)),ABS(G1539-I1539)*10000,"")))</f>
        <v/>
      </c>
    </row>
    <row r="1540" spans="2:10" x14ac:dyDescent="0.35">
      <c r="B1540" t="str">
        <f>IF(NOT(ISBLANK(A1540)),VLOOKUP(A1540,'BBT3'!A:F,2,0),"")</f>
        <v/>
      </c>
      <c r="C1540" t="str">
        <f>IF(NOT(ISBLANK(A1540)),VLOOKUP(A1540,'BBT3'!A:F,3,0),"")</f>
        <v/>
      </c>
      <c r="D1540" s="6" t="str">
        <f>IF(NOT(ISBLANK(A1540)),VLOOKUP(A1540,'BBT3'!A:F,4,1),"")</f>
        <v/>
      </c>
      <c r="E1540" t="str">
        <f>IF(NOT(ISBLANK(A1540)),VLOOKUP(A1540,'BBT3'!A:F,5,0),"")</f>
        <v/>
      </c>
      <c r="F1540" t="str">
        <f>IF(NOT(ISBLANK(A1540)),VLOOKUP(A1540,'BBT3'!A:F,6,0),"")</f>
        <v/>
      </c>
      <c r="G1540" t="str">
        <f>IF(NOT(ISBLANK(A1540)),VLOOKUP(A1540,QW_Close!A:J,5,0),"")</f>
        <v/>
      </c>
      <c r="H1540" s="5" t="str" cm="1">
        <f t="array" ref="H1540">IF(NOT(ISBLANK(A1540)),((_xlfn.XLOOKUP(1,(_bbt3[[#All],[ID]]=A1540)*(_bbt3[[#All],[METRIC_NAME]]="YLD_YTM_ASK"),_bbt3[[#All],[METRIC_VALUE]])*0.5)+(_xlfn.XLOOKUP(1,(_bbt3[[#All],[ID]]=A1540)*(_bbt3[[#All],[METRIC_NAME]]="YLD_YTM_BID"),_bbt3[[#All],[METRIC_VALUE]])*0.5))/100,"")</f>
        <v/>
      </c>
      <c r="I1540">
        <f>IF(ISNA(VLOOKUP(A1540,QW_CloseDL!A:E,5,0)),0,VLOOKUP(A1540,QW_CloseDL!A:E,5,0))</f>
        <v>0</v>
      </c>
      <c r="J1540" s="8" t="str">
        <f t="shared" si="114"/>
        <v/>
      </c>
    </row>
    <row r="1541" spans="2:10" x14ac:dyDescent="0.35">
      <c r="B1541" t="str">
        <f>IF(NOT(ISBLANK(A1541)),VLOOKUP(A1541,'BBT3'!A:F,2,0),"")</f>
        <v/>
      </c>
      <c r="C1541" t="str">
        <f>IF(NOT(ISBLANK(A1541)),VLOOKUP(A1541,'BBT3'!A:F,3,0),"")</f>
        <v/>
      </c>
      <c r="D1541" s="6" t="str">
        <f>IF(NOT(ISBLANK(A1541)),VLOOKUP(A1541,'BBT3'!A:F,4,1),"")</f>
        <v/>
      </c>
      <c r="E1541" t="str">
        <f>IF(NOT(ISBLANK(A1541)),VLOOKUP(A1541,'BBT3'!A:F,5,0),"")</f>
        <v/>
      </c>
      <c r="F1541" t="str">
        <f>IF(NOT(ISBLANK(A1541)),VLOOKUP(A1541,'BBT3'!A:F,6,0),"")</f>
        <v/>
      </c>
      <c r="G1541" t="str">
        <f>IF(NOT(ISBLANK(A1541)),VLOOKUP(A1541,QW_Close!A:J,5,0),"")</f>
        <v/>
      </c>
      <c r="H1541" s="5" t="str" cm="1">
        <f t="array" ref="H1541">IF(NOT(ISBLANK(A1541)),((_xlfn.XLOOKUP(1,(_bbt3[[#All],[ID]]=A1541)*(_bbt3[[#All],[METRIC_NAME]]="YLD_YTM_ASK"),_bbt3[[#All],[METRIC_VALUE]])*0.5)+(_xlfn.XLOOKUP(1,(_bbt3[[#All],[ID]]=A1541)*(_bbt3[[#All],[METRIC_NAME]]="YLD_YTM_BID"),_bbt3[[#All],[METRIC_VALUE]])*0.5))/100,"")</f>
        <v/>
      </c>
      <c r="I1541">
        <f>IF(ISNA(VLOOKUP(A1541,QW_CloseDL!A:E,5,0)),0,VLOOKUP(A1541,QW_CloseDL!A:E,5,0))</f>
        <v>0</v>
      </c>
      <c r="J1541" s="8" t="str">
        <f t="shared" si="114"/>
        <v/>
      </c>
    </row>
    <row r="1542" spans="2:10" x14ac:dyDescent="0.35">
      <c r="B1542" t="str">
        <f>IF(NOT(ISBLANK(A1542)),VLOOKUP(A1542,'BBT3'!A:F,2,0),"")</f>
        <v/>
      </c>
      <c r="C1542" t="str">
        <f>IF(NOT(ISBLANK(A1542)),VLOOKUP(A1542,'BBT3'!A:F,3,0),"")</f>
        <v/>
      </c>
      <c r="D1542" s="6" t="str">
        <f>IF(NOT(ISBLANK(A1542)),VLOOKUP(A1542,'BBT3'!A:F,4,1),"")</f>
        <v/>
      </c>
      <c r="E1542" t="str">
        <f>IF(NOT(ISBLANK(A1542)),VLOOKUP(A1542,'BBT3'!A:F,5,0),"")</f>
        <v/>
      </c>
      <c r="F1542" t="str">
        <f>IF(NOT(ISBLANK(A1542)),VLOOKUP(A1542,'BBT3'!A:F,6,0),"")</f>
        <v/>
      </c>
      <c r="G1542" t="str">
        <f>IF(NOT(ISBLANK(A1542)),VLOOKUP(A1542,QW_Close!A:J,5,0),"")</f>
        <v/>
      </c>
      <c r="H1542" s="5" t="str" cm="1">
        <f t="array" ref="H1542">IF(NOT(ISBLANK(A1542)),((_xlfn.XLOOKUP(1,(_bbt3[[#All],[ID]]=A1542)*(_bbt3[[#All],[METRIC_NAME]]="YLD_YTM_ASK"),_bbt3[[#All],[METRIC_VALUE]])*0.5)+(_xlfn.XLOOKUP(1,(_bbt3[[#All],[ID]]=A1542)*(_bbt3[[#All],[METRIC_NAME]]="YLD_YTM_BID"),_bbt3[[#All],[METRIC_VALUE]])*0.5))/100,"")</f>
        <v/>
      </c>
      <c r="I1542">
        <f>IF(ISNA(VLOOKUP(A1542,QW_CloseDL!A:E,5,0)),0,VLOOKUP(A1542,QW_CloseDL!A:E,5,0))</f>
        <v>0</v>
      </c>
      <c r="J1542" s="8" t="str">
        <f t="shared" si="114"/>
        <v/>
      </c>
    </row>
    <row r="1543" spans="2:10" x14ac:dyDescent="0.35">
      <c r="B1543" t="str">
        <f>IF(NOT(ISBLANK(A1543)),VLOOKUP(A1543,'BBT3'!A:F,2,0),"")</f>
        <v/>
      </c>
      <c r="C1543" t="str">
        <f>IF(NOT(ISBLANK(A1543)),VLOOKUP(A1543,'BBT3'!A:F,3,0),"")</f>
        <v/>
      </c>
      <c r="D1543" s="6" t="str">
        <f>IF(NOT(ISBLANK(A1543)),VLOOKUP(A1543,'BBT3'!A:F,4,1),"")</f>
        <v/>
      </c>
      <c r="E1543" t="str">
        <f>IF(NOT(ISBLANK(A1543)),VLOOKUP(A1543,'BBT3'!A:F,5,0),"")</f>
        <v/>
      </c>
      <c r="F1543" t="str">
        <f>IF(NOT(ISBLANK(A1543)),VLOOKUP(A1543,'BBT3'!A:F,6,0),"")</f>
        <v/>
      </c>
      <c r="G1543" t="str">
        <f>IF(NOT(ISBLANK(A1543)),VLOOKUP(A1543,QW_Close!A:J,5,0),"")</f>
        <v/>
      </c>
      <c r="H1543" s="5" t="str" cm="1">
        <f t="array" ref="H1543">IF(NOT(ISBLANK(A1543)),((_xlfn.XLOOKUP(1,(_bbt3[[#All],[ID]]=A1543)*(_bbt3[[#All],[METRIC_NAME]]="YLD_YTM_ASK"),_bbt3[[#All],[METRIC_VALUE]])*0.5)+(_xlfn.XLOOKUP(1,(_bbt3[[#All],[ID]]=A1543)*(_bbt3[[#All],[METRIC_NAME]]="YLD_YTM_BID"),_bbt3[[#All],[METRIC_VALUE]])*0.5))/100,"")</f>
        <v/>
      </c>
      <c r="I1543">
        <f>IF(ISNA(VLOOKUP(A1543,QW_CloseDL!A:E,5,0)),0,VLOOKUP(A1543,QW_CloseDL!A:E,5,0))</f>
        <v>0</v>
      </c>
      <c r="J1543" s="8" t="str">
        <f t="shared" si="114"/>
        <v/>
      </c>
    </row>
    <row r="1544" spans="2:10" x14ac:dyDescent="0.35">
      <c r="B1544" t="str">
        <f>IF(NOT(ISBLANK(A1544)),VLOOKUP(A1544,'BBT3'!A:F,2,0),"")</f>
        <v/>
      </c>
      <c r="C1544" t="str">
        <f>IF(NOT(ISBLANK(A1544)),VLOOKUP(A1544,'BBT3'!A:F,3,0),"")</f>
        <v/>
      </c>
      <c r="D1544" s="6" t="str">
        <f>IF(NOT(ISBLANK(A1544)),VLOOKUP(A1544,'BBT3'!A:F,4,1),"")</f>
        <v/>
      </c>
      <c r="E1544" t="str">
        <f>IF(NOT(ISBLANK(A1544)),VLOOKUP(A1544,'BBT3'!A:F,5,0),"")</f>
        <v/>
      </c>
      <c r="F1544" t="str">
        <f>IF(NOT(ISBLANK(A1544)),VLOOKUP(A1544,'BBT3'!A:F,6,0),"")</f>
        <v/>
      </c>
      <c r="G1544" t="str">
        <f>IF(NOT(ISBLANK(A1544)),VLOOKUP(A1544,QW_Close!A:J,5,0),"")</f>
        <v/>
      </c>
      <c r="H1544" s="5" t="str" cm="1">
        <f t="array" ref="H1544">IF(NOT(ISBLANK(A1544)),((_xlfn.XLOOKUP(1,(_bbt3[[#All],[ID]]=A1544)*(_bbt3[[#All],[METRIC_NAME]]="YLD_YTM_ASK"),_bbt3[[#All],[METRIC_VALUE]])*0.5)+(_xlfn.XLOOKUP(1,(_bbt3[[#All],[ID]]=A1544)*(_bbt3[[#All],[METRIC_NAME]]="YLD_YTM_BID"),_bbt3[[#All],[METRIC_VALUE]])*0.5))/100,"")</f>
        <v/>
      </c>
      <c r="I1544">
        <f>IF(ISNA(VLOOKUP(A1544,QW_CloseDL!A:E,5,0)),0,VLOOKUP(A1544,QW_CloseDL!A:E,5,0))</f>
        <v>0</v>
      </c>
      <c r="J1544" s="8" t="str">
        <f t="shared" si="114"/>
        <v/>
      </c>
    </row>
    <row r="1545" spans="2:10" x14ac:dyDescent="0.35">
      <c r="B1545" t="str">
        <f>IF(NOT(ISBLANK(A1545)),VLOOKUP(A1545,'BBT3'!A:F,2,0),"")</f>
        <v/>
      </c>
      <c r="C1545" t="str">
        <f>IF(NOT(ISBLANK(A1545)),VLOOKUP(A1545,'BBT3'!A:F,3,0),"")</f>
        <v/>
      </c>
      <c r="D1545" s="6" t="str">
        <f>IF(NOT(ISBLANK(A1545)),VLOOKUP(A1545,'BBT3'!A:F,4,1),"")</f>
        <v/>
      </c>
      <c r="E1545" t="str">
        <f>IF(NOT(ISBLANK(A1545)),VLOOKUP(A1545,'BBT3'!A:F,5,0),"")</f>
        <v/>
      </c>
      <c r="F1545" t="str">
        <f>IF(NOT(ISBLANK(A1545)),VLOOKUP(A1545,'BBT3'!A:F,6,0),"")</f>
        <v/>
      </c>
      <c r="G1545" t="str">
        <f>IF(NOT(ISBLANK(A1545)),VLOOKUP(A1545,QW_Close!A:J,5,0),"")</f>
        <v/>
      </c>
      <c r="H1545" s="5" t="str" cm="1">
        <f t="array" ref="H1545">IF(NOT(ISBLANK(A1545)),((_xlfn.XLOOKUP(1,(_bbt3[[#All],[ID]]=A1545)*(_bbt3[[#All],[METRIC_NAME]]="YLD_YTM_ASK"),_bbt3[[#All],[METRIC_VALUE]])*0.5)+(_xlfn.XLOOKUP(1,(_bbt3[[#All],[ID]]=A1545)*(_bbt3[[#All],[METRIC_NAME]]="YLD_YTM_BID"),_bbt3[[#All],[METRIC_VALUE]])*0.5))/100,"")</f>
        <v/>
      </c>
      <c r="I1545">
        <f>IF(ISNA(VLOOKUP(A1545,QW_CloseDL!A:E,5,0)),0,VLOOKUP(A1545,QW_CloseDL!A:E,5,0))</f>
        <v>0</v>
      </c>
      <c r="J1545" s="8" t="str">
        <f t="shared" si="114"/>
        <v/>
      </c>
    </row>
    <row r="1546" spans="2:10" x14ac:dyDescent="0.35">
      <c r="B1546" t="str">
        <f>IF(NOT(ISBLANK(A1546)),VLOOKUP(A1546,'BBT3'!A:F,2,0),"")</f>
        <v/>
      </c>
      <c r="C1546" t="str">
        <f>IF(NOT(ISBLANK(A1546)),VLOOKUP(A1546,'BBT3'!A:F,3,0),"")</f>
        <v/>
      </c>
      <c r="D1546" s="6" t="str">
        <f>IF(NOT(ISBLANK(A1546)),VLOOKUP(A1546,'BBT3'!A:F,4,1),"")</f>
        <v/>
      </c>
      <c r="E1546" t="str">
        <f>IF(NOT(ISBLANK(A1546)),VLOOKUP(A1546,'BBT3'!A:F,5,0),"")</f>
        <v/>
      </c>
      <c r="F1546" t="str">
        <f>IF(NOT(ISBLANK(A1546)),VLOOKUP(A1546,'BBT3'!A:F,6,0),"")</f>
        <v/>
      </c>
      <c r="G1546" t="str">
        <f>IF(NOT(ISBLANK(A1546)),VLOOKUP(A1546,QW_Close!A:J,5,0),"")</f>
        <v/>
      </c>
      <c r="H1546" s="5" t="str" cm="1">
        <f t="array" ref="H1546">IF(NOT(ISBLANK(A1546)),((_xlfn.XLOOKUP(1,(_bbt3[[#All],[ID]]=A1546)*(_bbt3[[#All],[METRIC_NAME]]="YLD_YTM_ASK"),_bbt3[[#All],[METRIC_VALUE]])*0.5)+(_xlfn.XLOOKUP(1,(_bbt3[[#All],[ID]]=A1546)*(_bbt3[[#All],[METRIC_NAME]]="YLD_YTM_BID"),_bbt3[[#All],[METRIC_VALUE]])*0.5))/100,"")</f>
        <v/>
      </c>
      <c r="I1546">
        <f>IF(ISNA(VLOOKUP(A1546,QW_CloseDL!A:E,5,0)),0,VLOOKUP(A1546,QW_CloseDL!A:E,5,0))</f>
        <v>0</v>
      </c>
      <c r="J1546" s="8" t="str">
        <f t="shared" si="114"/>
        <v/>
      </c>
    </row>
    <row r="1547" spans="2:10" x14ac:dyDescent="0.35">
      <c r="B1547" t="str">
        <f>IF(NOT(ISBLANK(A1547)),VLOOKUP(A1547,'BBT3'!A:F,2,0),"")</f>
        <v/>
      </c>
      <c r="C1547" t="str">
        <f>IF(NOT(ISBLANK(A1547)),VLOOKUP(A1547,'BBT3'!A:F,3,0),"")</f>
        <v/>
      </c>
      <c r="D1547" s="6" t="str">
        <f>IF(NOT(ISBLANK(A1547)),VLOOKUP(A1547,'BBT3'!A:F,4,1),"")</f>
        <v/>
      </c>
      <c r="E1547" t="str">
        <f>IF(NOT(ISBLANK(A1547)),VLOOKUP(A1547,'BBT3'!A:F,5,0),"")</f>
        <v/>
      </c>
      <c r="F1547" t="str">
        <f>IF(NOT(ISBLANK(A1547)),VLOOKUP(A1547,'BBT3'!A:F,6,0),"")</f>
        <v/>
      </c>
      <c r="G1547" t="str">
        <f>IF(NOT(ISBLANK(A1547)),VLOOKUP(A1547,QW_Close!A:J,5,0),"")</f>
        <v/>
      </c>
      <c r="H1547" s="5" t="str" cm="1">
        <f t="array" ref="H1547">IF(NOT(ISBLANK(A1547)),((_xlfn.XLOOKUP(1,(_bbt3[[#All],[ID]]=A1547)*(_bbt3[[#All],[METRIC_NAME]]="YLD_YTM_ASK"),_bbt3[[#All],[METRIC_VALUE]])*0.5)+(_xlfn.XLOOKUP(1,(_bbt3[[#All],[ID]]=A1547)*(_bbt3[[#All],[METRIC_NAME]]="YLD_YTM_BID"),_bbt3[[#All],[METRIC_VALUE]])*0.5))/100,"")</f>
        <v/>
      </c>
      <c r="I1547">
        <f>IF(ISNA(VLOOKUP(A1547,QW_CloseDL!A:E,5,0)),0,VLOOKUP(A1547,QW_CloseDL!A:E,5,0))</f>
        <v>0</v>
      </c>
      <c r="J1547" s="8" t="str">
        <f t="shared" si="114"/>
        <v/>
      </c>
    </row>
    <row r="1548" spans="2:10" x14ac:dyDescent="0.35">
      <c r="B1548" t="str">
        <f>IF(NOT(ISBLANK(A1548)),VLOOKUP(A1548,'BBT3'!A:F,2,0),"")</f>
        <v/>
      </c>
      <c r="C1548" t="str">
        <f>IF(NOT(ISBLANK(A1548)),VLOOKUP(A1548,'BBT3'!A:F,3,0),"")</f>
        <v/>
      </c>
      <c r="D1548" s="6" t="str">
        <f>IF(NOT(ISBLANK(A1548)),VLOOKUP(A1548,'BBT3'!A:F,4,1),"")</f>
        <v/>
      </c>
      <c r="E1548" t="str">
        <f>IF(NOT(ISBLANK(A1548)),VLOOKUP(A1548,'BBT3'!A:F,5,0),"")</f>
        <v/>
      </c>
      <c r="F1548" t="str">
        <f>IF(NOT(ISBLANK(A1548)),VLOOKUP(A1548,'BBT3'!A:F,6,0),"")</f>
        <v/>
      </c>
      <c r="G1548" t="str">
        <f>IF(NOT(ISBLANK(A1548)),VLOOKUP(A1548,QW_Close!A:J,5,0),"")</f>
        <v/>
      </c>
      <c r="H1548" s="5" t="str" cm="1">
        <f t="array" ref="H1548">IF(NOT(ISBLANK(A1548)),((_xlfn.XLOOKUP(1,(_bbt3[[#All],[ID]]=A1548)*(_bbt3[[#All],[METRIC_NAME]]="YLD_YTM_ASK"),_bbt3[[#All],[METRIC_VALUE]])*0.5)+(_xlfn.XLOOKUP(1,(_bbt3[[#All],[ID]]=A1548)*(_bbt3[[#All],[METRIC_NAME]]="YLD_YTM_BID"),_bbt3[[#All],[METRIC_VALUE]])*0.5))/100,"")</f>
        <v/>
      </c>
      <c r="I1548">
        <f>IF(ISNA(VLOOKUP(A1548,QW_CloseDL!A:E,5,0)),0,VLOOKUP(A1548,QW_CloseDL!A:E,5,0))</f>
        <v>0</v>
      </c>
      <c r="J1548" s="8" t="str">
        <f t="shared" si="114"/>
        <v/>
      </c>
    </row>
    <row r="1549" spans="2:10" x14ac:dyDescent="0.35">
      <c r="B1549" t="str">
        <f>IF(NOT(ISBLANK(A1549)),VLOOKUP(A1549,'BBT3'!A:F,2,0),"")</f>
        <v/>
      </c>
      <c r="C1549" t="str">
        <f>IF(NOT(ISBLANK(A1549)),VLOOKUP(A1549,'BBT3'!A:F,3,0),"")</f>
        <v/>
      </c>
      <c r="D1549" s="6" t="str">
        <f>IF(NOT(ISBLANK(A1549)),VLOOKUP(A1549,'BBT3'!A:F,4,1),"")</f>
        <v/>
      </c>
      <c r="E1549" t="str">
        <f>IF(NOT(ISBLANK(A1549)),VLOOKUP(A1549,'BBT3'!A:F,5,0),"")</f>
        <v/>
      </c>
      <c r="F1549" t="str">
        <f>IF(NOT(ISBLANK(A1549)),VLOOKUP(A1549,'BBT3'!A:F,6,0),"")</f>
        <v/>
      </c>
      <c r="G1549" t="str">
        <f>IF(NOT(ISBLANK(A1549)),VLOOKUP(A1549,QW_Close!A:J,5,0),"")</f>
        <v/>
      </c>
      <c r="H1549" s="5" t="str" cm="1">
        <f t="array" ref="H1549">IF(NOT(ISBLANK(A1549)),((_xlfn.XLOOKUP(1,(_bbt3[[#All],[ID]]=A1549)*(_bbt3[[#All],[METRIC_NAME]]="YLD_YTM_ASK"),_bbt3[[#All],[METRIC_VALUE]])*0.5)+(_xlfn.XLOOKUP(1,(_bbt3[[#All],[ID]]=A1549)*(_bbt3[[#All],[METRIC_NAME]]="YLD_YTM_BID"),_bbt3[[#All],[METRIC_VALUE]])*0.5))/100,"")</f>
        <v/>
      </c>
      <c r="I1549">
        <f>IF(ISNA(VLOOKUP(A1549,QW_CloseDL!A:E,5,0)),0,VLOOKUP(A1549,QW_CloseDL!A:E,5,0))</f>
        <v>0</v>
      </c>
      <c r="J1549" s="8" t="str">
        <f t="shared" si="114"/>
        <v/>
      </c>
    </row>
    <row r="1550" spans="2:10" x14ac:dyDescent="0.35">
      <c r="B1550" t="str">
        <f>IF(NOT(ISBLANK(A1550)),VLOOKUP(A1550,'BBT3'!A:F,2,0),"")</f>
        <v/>
      </c>
      <c r="C1550" t="str">
        <f>IF(NOT(ISBLANK(A1550)),VLOOKUP(A1550,'BBT3'!A:F,3,0),"")</f>
        <v/>
      </c>
      <c r="D1550" s="6" t="str">
        <f>IF(NOT(ISBLANK(A1550)),VLOOKUP(A1550,'BBT3'!A:F,4,1),"")</f>
        <v/>
      </c>
      <c r="E1550" t="str">
        <f>IF(NOT(ISBLANK(A1550)),VLOOKUP(A1550,'BBT3'!A:F,5,0),"")</f>
        <v/>
      </c>
      <c r="F1550" t="str">
        <f>IF(NOT(ISBLANK(A1550)),VLOOKUP(A1550,'BBT3'!A:F,6,0),"")</f>
        <v/>
      </c>
      <c r="G1550" t="str">
        <f>IF(NOT(ISBLANK(A1550)),VLOOKUP(A1550,QW_Close!A:J,5,0),"")</f>
        <v/>
      </c>
      <c r="H1550" s="5" t="str" cm="1">
        <f t="array" ref="H1550">IF(NOT(ISBLANK(A1550)),((_xlfn.XLOOKUP(1,(_bbt3[[#All],[ID]]=A1550)*(_bbt3[[#All],[METRIC_NAME]]="YLD_YTM_ASK"),_bbt3[[#All],[METRIC_VALUE]])*0.5)+(_xlfn.XLOOKUP(1,(_bbt3[[#All],[ID]]=A1550)*(_bbt3[[#All],[METRIC_NAME]]="YLD_YTM_BID"),_bbt3[[#All],[METRIC_VALUE]])*0.5))/100,"")</f>
        <v/>
      </c>
      <c r="I1550">
        <f>IF(ISNA(VLOOKUP(A1550,QW_CloseDL!A:E,5,0)),0,VLOOKUP(A1550,QW_CloseDL!A:E,5,0))</f>
        <v>0</v>
      </c>
      <c r="J1550" s="8" t="str">
        <f t="shared" si="114"/>
        <v/>
      </c>
    </row>
    <row r="1551" spans="2:10" x14ac:dyDescent="0.35">
      <c r="B1551" t="str">
        <f>IF(NOT(ISBLANK(A1551)),VLOOKUP(A1551,'BBT3'!A:F,2,0),"")</f>
        <v/>
      </c>
      <c r="C1551" t="str">
        <f>IF(NOT(ISBLANK(A1551)),VLOOKUP(A1551,'BBT3'!A:F,3,0),"")</f>
        <v/>
      </c>
      <c r="D1551" s="6" t="str">
        <f>IF(NOT(ISBLANK(A1551)),VLOOKUP(A1551,'BBT3'!A:F,4,1),"")</f>
        <v/>
      </c>
      <c r="E1551" t="str">
        <f>IF(NOT(ISBLANK(A1551)),VLOOKUP(A1551,'BBT3'!A:F,5,0),"")</f>
        <v/>
      </c>
      <c r="F1551" t="str">
        <f>IF(NOT(ISBLANK(A1551)),VLOOKUP(A1551,'BBT3'!A:F,6,0),"")</f>
        <v/>
      </c>
      <c r="G1551" t="str">
        <f>IF(NOT(ISBLANK(A1551)),VLOOKUP(A1551,QW_Close!A:J,5,0),"")</f>
        <v/>
      </c>
      <c r="H1551" s="5" t="str" cm="1">
        <f t="array" ref="H1551">IF(NOT(ISBLANK(A1551)),((_xlfn.XLOOKUP(1,(_bbt3[[#All],[ID]]=A1551)*(_bbt3[[#All],[METRIC_NAME]]="YLD_YTM_ASK"),_bbt3[[#All],[METRIC_VALUE]])*0.5)+(_xlfn.XLOOKUP(1,(_bbt3[[#All],[ID]]=A1551)*(_bbt3[[#All],[METRIC_NAME]]="YLD_YTM_BID"),_bbt3[[#All],[METRIC_VALUE]])*0.5))/100,"")</f>
        <v/>
      </c>
      <c r="I1551">
        <f>IF(ISNA(VLOOKUP(A1551,QW_CloseDL!A:E,5,0)),0,VLOOKUP(A1551,QW_CloseDL!A:E,5,0))</f>
        <v>0</v>
      </c>
      <c r="J1551" s="8" t="str">
        <f t="shared" si="114"/>
        <v/>
      </c>
    </row>
    <row r="1552" spans="2:10" x14ac:dyDescent="0.35">
      <c r="B1552" t="str">
        <f>IF(NOT(ISBLANK(A1552)),VLOOKUP(A1552,'BBT3'!A:F,2,0),"")</f>
        <v/>
      </c>
      <c r="C1552" t="str">
        <f>IF(NOT(ISBLANK(A1552)),VLOOKUP(A1552,'BBT3'!A:F,3,0),"")</f>
        <v/>
      </c>
      <c r="D1552" s="6" t="str">
        <f>IF(NOT(ISBLANK(A1552)),VLOOKUP(A1552,'BBT3'!A:F,4,1),"")</f>
        <v/>
      </c>
      <c r="E1552" t="str">
        <f>IF(NOT(ISBLANK(A1552)),VLOOKUP(A1552,'BBT3'!A:F,5,0),"")</f>
        <v/>
      </c>
      <c r="F1552" t="str">
        <f>IF(NOT(ISBLANK(A1552)),VLOOKUP(A1552,'BBT3'!A:F,6,0),"")</f>
        <v/>
      </c>
      <c r="G1552" t="str">
        <f>IF(NOT(ISBLANK(A1552)),VLOOKUP(A1552,QW_Close!A:J,5,0),"")</f>
        <v/>
      </c>
      <c r="H1552" s="5" t="str" cm="1">
        <f t="array" ref="H1552">IF(NOT(ISBLANK(A1552)),((_xlfn.XLOOKUP(1,(_bbt3[[#All],[ID]]=A1552)*(_bbt3[[#All],[METRIC_NAME]]="YLD_YTM_ASK"),_bbt3[[#All],[METRIC_VALUE]])*0.5)+(_xlfn.XLOOKUP(1,(_bbt3[[#All],[ID]]=A1552)*(_bbt3[[#All],[METRIC_NAME]]="YLD_YTM_BID"),_bbt3[[#All],[METRIC_VALUE]])*0.5))/100,"")</f>
        <v/>
      </c>
      <c r="I1552">
        <f>IF(ISNA(VLOOKUP(A1552,QW_CloseDL!A:E,5,0)),0,VLOOKUP(A1552,QW_CloseDL!A:E,5,0))</f>
        <v>0</v>
      </c>
      <c r="J1552" s="8" t="str">
        <f t="shared" si="114"/>
        <v/>
      </c>
    </row>
    <row r="1553" spans="2:10" x14ac:dyDescent="0.35">
      <c r="B1553" t="str">
        <f>IF(NOT(ISBLANK(A1553)),VLOOKUP(A1553,'BBT3'!A:F,2,0),"")</f>
        <v/>
      </c>
      <c r="C1553" t="str">
        <f>IF(NOT(ISBLANK(A1553)),VLOOKUP(A1553,'BBT3'!A:F,3,0),"")</f>
        <v/>
      </c>
      <c r="D1553" s="6" t="str">
        <f>IF(NOT(ISBLANK(A1553)),VLOOKUP(A1553,'BBT3'!A:F,4,1),"")</f>
        <v/>
      </c>
      <c r="E1553" t="str">
        <f>IF(NOT(ISBLANK(A1553)),VLOOKUP(A1553,'BBT3'!A:F,5,0),"")</f>
        <v/>
      </c>
      <c r="F1553" t="str">
        <f>IF(NOT(ISBLANK(A1553)),VLOOKUP(A1553,'BBT3'!A:F,6,0),"")</f>
        <v/>
      </c>
      <c r="G1553" t="str">
        <f>IF(NOT(ISBLANK(A1553)),VLOOKUP(A1553,QW_Close!A:J,5,0),"")</f>
        <v/>
      </c>
      <c r="H1553" s="5" t="str" cm="1">
        <f t="array" ref="H1553">IF(NOT(ISBLANK(A1553)),((_xlfn.XLOOKUP(1,(_bbt3[[#All],[ID]]=A1553)*(_bbt3[[#All],[METRIC_NAME]]="YLD_YTM_ASK"),_bbt3[[#All],[METRIC_VALUE]])*0.5)+(_xlfn.XLOOKUP(1,(_bbt3[[#All],[ID]]=A1553)*(_bbt3[[#All],[METRIC_NAME]]="YLD_YTM_BID"),_bbt3[[#All],[METRIC_VALUE]])*0.5))/100,"")</f>
        <v/>
      </c>
      <c r="I1553">
        <f>IF(ISNA(VLOOKUP(A1553,QW_CloseDL!A:E,5,0)),0,VLOOKUP(A1553,QW_CloseDL!A:E,5,0))</f>
        <v>0</v>
      </c>
      <c r="J1553" s="8" t="str">
        <f t="shared" si="114"/>
        <v/>
      </c>
    </row>
    <row r="1554" spans="2:10" x14ac:dyDescent="0.35">
      <c r="B1554" t="str">
        <f>IF(NOT(ISBLANK(A1554)),VLOOKUP(A1554,'BBT3'!A:F,2,0),"")</f>
        <v/>
      </c>
      <c r="C1554" t="str">
        <f>IF(NOT(ISBLANK(A1554)),VLOOKUP(A1554,'BBT3'!A:F,3,0),"")</f>
        <v/>
      </c>
      <c r="D1554" s="6" t="str">
        <f>IF(NOT(ISBLANK(A1554)),VLOOKUP(A1554,'BBT3'!A:F,4,1),"")</f>
        <v/>
      </c>
      <c r="E1554" t="str">
        <f>IF(NOT(ISBLANK(A1554)),VLOOKUP(A1554,'BBT3'!A:F,5,0),"")</f>
        <v/>
      </c>
      <c r="F1554" t="str">
        <f>IF(NOT(ISBLANK(A1554)),VLOOKUP(A1554,'BBT3'!A:F,6,0),"")</f>
        <v/>
      </c>
      <c r="G1554" t="str">
        <f>IF(NOT(ISBLANK(A1554)),VLOOKUP(A1554,QW_Close!A:J,5,0),"")</f>
        <v/>
      </c>
      <c r="H1554" s="5" t="str" cm="1">
        <f t="array" ref="H1554">IF(NOT(ISBLANK(A1554)),((_xlfn.XLOOKUP(1,(_bbt3[[#All],[ID]]=A1554)*(_bbt3[[#All],[METRIC_NAME]]="YLD_YTM_ASK"),_bbt3[[#All],[METRIC_VALUE]])*0.5)+(_xlfn.XLOOKUP(1,(_bbt3[[#All],[ID]]=A1554)*(_bbt3[[#All],[METRIC_NAME]]="YLD_YTM_BID"),_bbt3[[#All],[METRIC_VALUE]])*0.5))/100,"")</f>
        <v/>
      </c>
      <c r="I1554">
        <f>IF(ISNA(VLOOKUP(A1554,QW_CloseDL!A:E,5,0)),0,VLOOKUP(A1554,QW_CloseDL!A:E,5,0))</f>
        <v>0</v>
      </c>
      <c r="J1554" s="8" t="str">
        <f t="shared" si="114"/>
        <v/>
      </c>
    </row>
    <row r="1555" spans="2:10" x14ac:dyDescent="0.35">
      <c r="B1555" t="str">
        <f>IF(NOT(ISBLANK(A1555)),VLOOKUP(A1555,'BBT3'!A:F,2,0),"")</f>
        <v/>
      </c>
      <c r="C1555" t="str">
        <f>IF(NOT(ISBLANK(A1555)),VLOOKUP(A1555,'BBT3'!A:F,3,0),"")</f>
        <v/>
      </c>
      <c r="D1555" s="6" t="str">
        <f>IF(NOT(ISBLANK(A1555)),VLOOKUP(A1555,'BBT3'!A:F,4,1),"")</f>
        <v/>
      </c>
      <c r="E1555" t="str">
        <f>IF(NOT(ISBLANK(A1555)),VLOOKUP(A1555,'BBT3'!A:F,5,0),"")</f>
        <v/>
      </c>
      <c r="F1555" t="str">
        <f>IF(NOT(ISBLANK(A1555)),VLOOKUP(A1555,'BBT3'!A:F,6,0),"")</f>
        <v/>
      </c>
      <c r="G1555" t="str">
        <f>IF(NOT(ISBLANK(A1555)),VLOOKUP(A1555,QW_Close!A:J,5,0),"")</f>
        <v/>
      </c>
      <c r="H1555" s="5" t="str" cm="1">
        <f t="array" ref="H1555">IF(NOT(ISBLANK(A1555)),((_xlfn.XLOOKUP(1,(_bbt3[[#All],[ID]]=A1555)*(_bbt3[[#All],[METRIC_NAME]]="YLD_YTM_ASK"),_bbt3[[#All],[METRIC_VALUE]])*0.5)+(_xlfn.XLOOKUP(1,(_bbt3[[#All],[ID]]=A1555)*(_bbt3[[#All],[METRIC_NAME]]="YLD_YTM_BID"),_bbt3[[#All],[METRIC_VALUE]])*0.5))/100,"")</f>
        <v/>
      </c>
      <c r="I1555">
        <f>IF(ISNA(VLOOKUP(A1555,QW_CloseDL!A:E,5,0)),0,VLOOKUP(A1555,QW_CloseDL!A:E,5,0))</f>
        <v>0</v>
      </c>
      <c r="J1555" s="8" t="str">
        <f t="shared" si="114"/>
        <v/>
      </c>
    </row>
    <row r="1556" spans="2:10" x14ac:dyDescent="0.35">
      <c r="B1556" t="str">
        <f>IF(NOT(ISBLANK(A1556)),VLOOKUP(A1556,'BBT3'!A:F,2,0),"")</f>
        <v/>
      </c>
      <c r="C1556" t="str">
        <f>IF(NOT(ISBLANK(A1556)),VLOOKUP(A1556,'BBT3'!A:F,3,0),"")</f>
        <v/>
      </c>
      <c r="D1556" s="6" t="str">
        <f>IF(NOT(ISBLANK(A1556)),VLOOKUP(A1556,'BBT3'!A:F,4,1),"")</f>
        <v/>
      </c>
      <c r="E1556" t="str">
        <f>IF(NOT(ISBLANK(A1556)),VLOOKUP(A1556,'BBT3'!A:F,5,0),"")</f>
        <v/>
      </c>
      <c r="F1556" t="str">
        <f>IF(NOT(ISBLANK(A1556)),VLOOKUP(A1556,'BBT3'!A:F,6,0),"")</f>
        <v/>
      </c>
      <c r="G1556" t="str">
        <f>IF(NOT(ISBLANK(A1556)),VLOOKUP(A1556,QW_Close!A:J,5,0),"")</f>
        <v/>
      </c>
      <c r="H1556" s="5" t="str" cm="1">
        <f t="array" ref="H1556">IF(NOT(ISBLANK(A1556)),((_xlfn.XLOOKUP(1,(_bbt3[[#All],[ID]]=A1556)*(_bbt3[[#All],[METRIC_NAME]]="YLD_YTM_ASK"),_bbt3[[#All],[METRIC_VALUE]])*0.5)+(_xlfn.XLOOKUP(1,(_bbt3[[#All],[ID]]=A1556)*(_bbt3[[#All],[METRIC_NAME]]="YLD_YTM_BID"),_bbt3[[#All],[METRIC_VALUE]])*0.5))/100,"")</f>
        <v/>
      </c>
      <c r="I1556">
        <f>IF(ISNA(VLOOKUP(A1556,QW_CloseDL!A:E,5,0)),0,VLOOKUP(A1556,QW_CloseDL!A:E,5,0))</f>
        <v>0</v>
      </c>
      <c r="J1556" s="8" t="str">
        <f t="shared" si="114"/>
        <v/>
      </c>
    </row>
    <row r="1557" spans="2:10" x14ac:dyDescent="0.35">
      <c r="B1557" t="str">
        <f>IF(NOT(ISBLANK(A1557)),VLOOKUP(A1557,'BBT3'!A:F,2,0),"")</f>
        <v/>
      </c>
      <c r="C1557" t="str">
        <f>IF(NOT(ISBLANK(A1557)),VLOOKUP(A1557,'BBT3'!A:F,3,0),"")</f>
        <v/>
      </c>
      <c r="D1557" s="6" t="str">
        <f>IF(NOT(ISBLANK(A1557)),VLOOKUP(A1557,'BBT3'!A:F,4,1),"")</f>
        <v/>
      </c>
      <c r="E1557" t="str">
        <f>IF(NOT(ISBLANK(A1557)),VLOOKUP(A1557,'BBT3'!A:F,5,0),"")</f>
        <v/>
      </c>
      <c r="F1557" t="str">
        <f>IF(NOT(ISBLANK(A1557)),VLOOKUP(A1557,'BBT3'!A:F,6,0),"")</f>
        <v/>
      </c>
      <c r="G1557" t="str">
        <f>IF(NOT(ISBLANK(A1557)),VLOOKUP(A1557,QW_Close!A:J,5,0),"")</f>
        <v/>
      </c>
      <c r="H1557" s="5" t="str" cm="1">
        <f t="array" ref="H1557">IF(NOT(ISBLANK(A1557)),((_xlfn.XLOOKUP(1,(_bbt3[[#All],[ID]]=A1557)*(_bbt3[[#All],[METRIC_NAME]]="YLD_YTM_ASK"),_bbt3[[#All],[METRIC_VALUE]])*0.5)+(_xlfn.XLOOKUP(1,(_bbt3[[#All],[ID]]=A1557)*(_bbt3[[#All],[METRIC_NAME]]="YLD_YTM_BID"),_bbt3[[#All],[METRIC_VALUE]])*0.5))/100,"")</f>
        <v/>
      </c>
      <c r="I1557">
        <f>IF(ISNA(VLOOKUP(A1557,QW_CloseDL!A:E,5,0)),0,VLOOKUP(A1557,QW_CloseDL!A:E,5,0))</f>
        <v>0</v>
      </c>
      <c r="J1557" s="8" t="str">
        <f t="shared" si="114"/>
        <v/>
      </c>
    </row>
    <row r="1558" spans="2:10" x14ac:dyDescent="0.35">
      <c r="B1558" t="str">
        <f>IF(NOT(ISBLANK(A1558)),VLOOKUP(A1558,'BBT3'!A:F,2,0),"")</f>
        <v/>
      </c>
      <c r="C1558" t="str">
        <f>IF(NOT(ISBLANK(A1558)),VLOOKUP(A1558,'BBT3'!A:F,3,0),"")</f>
        <v/>
      </c>
      <c r="D1558" s="6" t="str">
        <f>IF(NOT(ISBLANK(A1558)),VLOOKUP(A1558,'BBT3'!A:F,4,1),"")</f>
        <v/>
      </c>
      <c r="E1558" t="str">
        <f>IF(NOT(ISBLANK(A1558)),VLOOKUP(A1558,'BBT3'!A:F,5,0),"")</f>
        <v/>
      </c>
      <c r="F1558" t="str">
        <f>IF(NOT(ISBLANK(A1558)),VLOOKUP(A1558,'BBT3'!A:F,6,0),"")</f>
        <v/>
      </c>
      <c r="G1558" t="str">
        <f>IF(NOT(ISBLANK(A1558)),VLOOKUP(A1558,QW_Close!A:J,5,0),"")</f>
        <v/>
      </c>
      <c r="H1558" s="5" t="str" cm="1">
        <f t="array" ref="H1558">IF(NOT(ISBLANK(A1558)),((_xlfn.XLOOKUP(1,(_bbt3[[#All],[ID]]=A1558)*(_bbt3[[#All],[METRIC_NAME]]="YLD_YTM_ASK"),_bbt3[[#All],[METRIC_VALUE]])*0.5)+(_xlfn.XLOOKUP(1,(_bbt3[[#All],[ID]]=A1558)*(_bbt3[[#All],[METRIC_NAME]]="YLD_YTM_BID"),_bbt3[[#All],[METRIC_VALUE]])*0.5))/100,"")</f>
        <v/>
      </c>
      <c r="I1558">
        <f>IF(ISNA(VLOOKUP(A1558,QW_CloseDL!A:E,5,0)),0,VLOOKUP(A1558,QW_CloseDL!A:E,5,0))</f>
        <v>0</v>
      </c>
      <c r="J1558" s="8" t="str">
        <f t="shared" si="114"/>
        <v/>
      </c>
    </row>
    <row r="1559" spans="2:10" x14ac:dyDescent="0.35">
      <c r="B1559" t="str">
        <f>IF(NOT(ISBLANK(A1559)),VLOOKUP(A1559,'BBT3'!A:F,2,0),"")</f>
        <v/>
      </c>
      <c r="C1559" t="str">
        <f>IF(NOT(ISBLANK(A1559)),VLOOKUP(A1559,'BBT3'!A:F,3,0),"")</f>
        <v/>
      </c>
      <c r="D1559" s="6" t="str">
        <f>IF(NOT(ISBLANK(A1559)),VLOOKUP(A1559,'BBT3'!A:F,4,1),"")</f>
        <v/>
      </c>
      <c r="E1559" t="str">
        <f>IF(NOT(ISBLANK(A1559)),VLOOKUP(A1559,'BBT3'!A:F,5,0),"")</f>
        <v/>
      </c>
      <c r="F1559" t="str">
        <f>IF(NOT(ISBLANK(A1559)),VLOOKUP(A1559,'BBT3'!A:F,6,0),"")</f>
        <v/>
      </c>
      <c r="G1559" t="str">
        <f>IF(NOT(ISBLANK(A1559)),VLOOKUP(A1559,QW_Close!A:J,5,0),"")</f>
        <v/>
      </c>
      <c r="H1559" s="5" t="str" cm="1">
        <f t="array" ref="H1559">IF(NOT(ISBLANK(A1559)),((_xlfn.XLOOKUP(1,(_bbt3[[#All],[ID]]=A1559)*(_bbt3[[#All],[METRIC_NAME]]="YLD_YTM_ASK"),_bbt3[[#All],[METRIC_VALUE]])*0.5)+(_xlfn.XLOOKUP(1,(_bbt3[[#All],[ID]]=A1559)*(_bbt3[[#All],[METRIC_NAME]]="YLD_YTM_BID"),_bbt3[[#All],[METRIC_VALUE]])*0.5))/100,"")</f>
        <v/>
      </c>
      <c r="I1559">
        <f>IF(ISNA(VLOOKUP(A1559,QW_CloseDL!A:E,5,0)),0,VLOOKUP(A1559,QW_CloseDL!A:E,5,0))</f>
        <v>0</v>
      </c>
      <c r="J1559" s="8" t="str">
        <f t="shared" si="114"/>
        <v/>
      </c>
    </row>
    <row r="1560" spans="2:10" x14ac:dyDescent="0.35">
      <c r="B1560" t="str">
        <f>IF(NOT(ISBLANK(A1560)),VLOOKUP(A1560,'BBT3'!A:F,2,0),"")</f>
        <v/>
      </c>
      <c r="C1560" t="str">
        <f>IF(NOT(ISBLANK(A1560)),VLOOKUP(A1560,'BBT3'!A:F,3,0),"")</f>
        <v/>
      </c>
      <c r="D1560" s="6" t="str">
        <f>IF(NOT(ISBLANK(A1560)),VLOOKUP(A1560,'BBT3'!A:F,4,1),"")</f>
        <v/>
      </c>
      <c r="E1560" t="str">
        <f>IF(NOT(ISBLANK(A1560)),VLOOKUP(A1560,'BBT3'!A:F,5,0),"")</f>
        <v/>
      </c>
      <c r="F1560" t="str">
        <f>IF(NOT(ISBLANK(A1560)),VLOOKUP(A1560,'BBT3'!A:F,6,0),"")</f>
        <v/>
      </c>
      <c r="G1560" t="str">
        <f>IF(NOT(ISBLANK(A1560)),VLOOKUP(A1560,QW_Close!A:J,5,0),"")</f>
        <v/>
      </c>
      <c r="H1560" s="5" t="str" cm="1">
        <f t="array" ref="H1560">IF(NOT(ISBLANK(A1560)),((_xlfn.XLOOKUP(1,(_bbt3[[#All],[ID]]=A1560)*(_bbt3[[#All],[METRIC_NAME]]="YLD_YTM_ASK"),_bbt3[[#All],[METRIC_VALUE]])*0.5)+(_xlfn.XLOOKUP(1,(_bbt3[[#All],[ID]]=A1560)*(_bbt3[[#All],[METRIC_NAME]]="YLD_YTM_BID"),_bbt3[[#All],[METRIC_VALUE]])*0.5))/100,"")</f>
        <v/>
      </c>
      <c r="I1560">
        <f>IF(ISNA(VLOOKUP(A1560,QW_CloseDL!A:E,5,0)),0,VLOOKUP(A1560,QW_CloseDL!A:E,5,0))</f>
        <v>0</v>
      </c>
      <c r="J1560" s="8" t="str">
        <f t="shared" si="114"/>
        <v/>
      </c>
    </row>
    <row r="1561" spans="2:10" x14ac:dyDescent="0.35">
      <c r="B1561" t="str">
        <f>IF(NOT(ISBLANK(A1561)),VLOOKUP(A1561,'BBT3'!A:F,2,0),"")</f>
        <v/>
      </c>
      <c r="C1561" t="str">
        <f>IF(NOT(ISBLANK(A1561)),VLOOKUP(A1561,'BBT3'!A:F,3,0),"")</f>
        <v/>
      </c>
      <c r="D1561" s="6" t="str">
        <f>IF(NOT(ISBLANK(A1561)),VLOOKUP(A1561,'BBT3'!A:F,4,1),"")</f>
        <v/>
      </c>
      <c r="E1561" t="str">
        <f>IF(NOT(ISBLANK(A1561)),VLOOKUP(A1561,'BBT3'!A:F,5,0),"")</f>
        <v/>
      </c>
      <c r="F1561" t="str">
        <f>IF(NOT(ISBLANK(A1561)),VLOOKUP(A1561,'BBT3'!A:F,6,0),"")</f>
        <v/>
      </c>
      <c r="G1561" t="str">
        <f>IF(NOT(ISBLANK(A1561)),VLOOKUP(A1561,QW_Close!A:J,5,0),"")</f>
        <v/>
      </c>
      <c r="H1561" s="5" t="str" cm="1">
        <f t="array" ref="H1561">IF(NOT(ISBLANK(A1561)),((_xlfn.XLOOKUP(1,(_bbt3[[#All],[ID]]=A1561)*(_bbt3[[#All],[METRIC_NAME]]="YLD_YTM_ASK"),_bbt3[[#All],[METRIC_VALUE]])*0.5)+(_xlfn.XLOOKUP(1,(_bbt3[[#All],[ID]]=A1561)*(_bbt3[[#All],[METRIC_NAME]]="YLD_YTM_BID"),_bbt3[[#All],[METRIC_VALUE]])*0.5))/100,"")</f>
        <v/>
      </c>
      <c r="I1561">
        <f>IF(ISNA(VLOOKUP(A1561,QW_CloseDL!A:E,5,0)),0,VLOOKUP(A1561,QW_CloseDL!A:E,5,0))</f>
        <v>0</v>
      </c>
      <c r="J1561" s="8" t="str">
        <f t="shared" si="114"/>
        <v/>
      </c>
    </row>
    <row r="1562" spans="2:10" x14ac:dyDescent="0.35">
      <c r="B1562" t="str">
        <f>IF(NOT(ISBLANK(A1562)),VLOOKUP(A1562,'BBT3'!A:F,2,0),"")</f>
        <v/>
      </c>
      <c r="C1562" t="str">
        <f>IF(NOT(ISBLANK(A1562)),VLOOKUP(A1562,'BBT3'!A:F,3,0),"")</f>
        <v/>
      </c>
      <c r="D1562" s="6" t="str">
        <f>IF(NOT(ISBLANK(A1562)),VLOOKUP(A1562,'BBT3'!A:F,4,1),"")</f>
        <v/>
      </c>
      <c r="E1562" t="str">
        <f>IF(NOT(ISBLANK(A1562)),VLOOKUP(A1562,'BBT3'!A:F,5,0),"")</f>
        <v/>
      </c>
      <c r="F1562" t="str">
        <f>IF(NOT(ISBLANK(A1562)),VLOOKUP(A1562,'BBT3'!A:F,6,0),"")</f>
        <v/>
      </c>
      <c r="G1562" t="str">
        <f>IF(NOT(ISBLANK(A1562)),VLOOKUP(A1562,QW_Close!A:J,5,0),"")</f>
        <v/>
      </c>
      <c r="H1562" s="5" t="str" cm="1">
        <f t="array" ref="H1562">IF(NOT(ISBLANK(A1562)),((_xlfn.XLOOKUP(1,(_bbt3[[#All],[ID]]=A1562)*(_bbt3[[#All],[METRIC_NAME]]="YLD_YTM_ASK"),_bbt3[[#All],[METRIC_VALUE]])*0.5)+(_xlfn.XLOOKUP(1,(_bbt3[[#All],[ID]]=A1562)*(_bbt3[[#All],[METRIC_NAME]]="YLD_YTM_BID"),_bbt3[[#All],[METRIC_VALUE]])*0.5))/100,"")</f>
        <v/>
      </c>
      <c r="I1562">
        <f>IF(ISNA(VLOOKUP(A1562,QW_CloseDL!A:E,5,0)),0,VLOOKUP(A1562,QW_CloseDL!A:E,5,0))</f>
        <v>0</v>
      </c>
      <c r="J1562" s="8" t="str">
        <f t="shared" si="114"/>
        <v/>
      </c>
    </row>
    <row r="1563" spans="2:10" x14ac:dyDescent="0.35">
      <c r="B1563" t="str">
        <f>IF(NOT(ISBLANK(A1563)),VLOOKUP(A1563,'BBT3'!A:F,2,0),"")</f>
        <v/>
      </c>
      <c r="C1563" t="str">
        <f>IF(NOT(ISBLANK(A1563)),VLOOKUP(A1563,'BBT3'!A:F,3,0),"")</f>
        <v/>
      </c>
      <c r="D1563" s="6" t="str">
        <f>IF(NOT(ISBLANK(A1563)),VLOOKUP(A1563,'BBT3'!A:F,4,1),"")</f>
        <v/>
      </c>
      <c r="E1563" t="str">
        <f>IF(NOT(ISBLANK(A1563)),VLOOKUP(A1563,'BBT3'!A:F,5,0),"")</f>
        <v/>
      </c>
      <c r="F1563" t="str">
        <f>IF(NOT(ISBLANK(A1563)),VLOOKUP(A1563,'BBT3'!A:F,6,0),"")</f>
        <v/>
      </c>
      <c r="G1563" t="str">
        <f>IF(NOT(ISBLANK(A1563)),VLOOKUP(A1563,QW_Close!A:J,5,0),"")</f>
        <v/>
      </c>
      <c r="H1563" s="5" t="str" cm="1">
        <f t="array" ref="H1563">IF(NOT(ISBLANK(A1563)),((_xlfn.XLOOKUP(1,(_bbt3[[#All],[ID]]=A1563)*(_bbt3[[#All],[METRIC_NAME]]="YLD_YTM_ASK"),_bbt3[[#All],[METRIC_VALUE]])*0.5)+(_xlfn.XLOOKUP(1,(_bbt3[[#All],[ID]]=A1563)*(_bbt3[[#All],[METRIC_NAME]]="YLD_YTM_BID"),_bbt3[[#All],[METRIC_VALUE]])*0.5))/100,"")</f>
        <v/>
      </c>
      <c r="I1563">
        <f>IF(ISNA(VLOOKUP(A1563,QW_CloseDL!A:E,5,0)),0,VLOOKUP(A1563,QW_CloseDL!A:E,5,0))</f>
        <v>0</v>
      </c>
      <c r="J1563" s="8" t="str">
        <f t="shared" si="114"/>
        <v/>
      </c>
    </row>
    <row r="1564" spans="2:10" x14ac:dyDescent="0.35">
      <c r="B1564" t="str">
        <f>IF(NOT(ISBLANK(A1564)),VLOOKUP(A1564,'BBT3'!A:F,2,0),"")</f>
        <v/>
      </c>
      <c r="C1564" t="str">
        <f>IF(NOT(ISBLANK(A1564)),VLOOKUP(A1564,'BBT3'!A:F,3,0),"")</f>
        <v/>
      </c>
      <c r="D1564" s="6" t="str">
        <f>IF(NOT(ISBLANK(A1564)),VLOOKUP(A1564,'BBT3'!A:F,4,1),"")</f>
        <v/>
      </c>
      <c r="E1564" t="str">
        <f>IF(NOT(ISBLANK(A1564)),VLOOKUP(A1564,'BBT3'!A:F,5,0),"")</f>
        <v/>
      </c>
      <c r="F1564" t="str">
        <f>IF(NOT(ISBLANK(A1564)),VLOOKUP(A1564,'BBT3'!A:F,6,0),"")</f>
        <v/>
      </c>
      <c r="G1564" t="str">
        <f>IF(NOT(ISBLANK(A1564)),VLOOKUP(A1564,QW_Close!A:J,5,0),"")</f>
        <v/>
      </c>
      <c r="H1564" s="5" t="str" cm="1">
        <f t="array" ref="H1564">IF(NOT(ISBLANK(A1564)),((_xlfn.XLOOKUP(1,(_bbt3[[#All],[ID]]=A1564)*(_bbt3[[#All],[METRIC_NAME]]="YLD_YTM_ASK"),_bbt3[[#All],[METRIC_VALUE]])*0.5)+(_xlfn.XLOOKUP(1,(_bbt3[[#All],[ID]]=A1564)*(_bbt3[[#All],[METRIC_NAME]]="YLD_YTM_BID"),_bbt3[[#All],[METRIC_VALUE]])*0.5))/100,"")</f>
        <v/>
      </c>
      <c r="I1564">
        <f>IF(ISNA(VLOOKUP(A1564,QW_CloseDL!A:E,5,0)),0,VLOOKUP(A1564,QW_CloseDL!A:E,5,0))</f>
        <v>0</v>
      </c>
      <c r="J1564" s="8" t="str">
        <f t="shared" si="114"/>
        <v/>
      </c>
    </row>
    <row r="1565" spans="2:10" x14ac:dyDescent="0.35">
      <c r="B1565" t="str">
        <f>IF(NOT(ISBLANK(A1565)),VLOOKUP(A1565,'BBT3'!A:F,2,0),"")</f>
        <v/>
      </c>
      <c r="C1565" t="str">
        <f>IF(NOT(ISBLANK(A1565)),VLOOKUP(A1565,'BBT3'!A:F,3,0),"")</f>
        <v/>
      </c>
      <c r="D1565" s="6" t="str">
        <f>IF(NOT(ISBLANK(A1565)),VLOOKUP(A1565,'BBT3'!A:F,4,1),"")</f>
        <v/>
      </c>
      <c r="E1565" t="str">
        <f>IF(NOT(ISBLANK(A1565)),VLOOKUP(A1565,'BBT3'!A:F,5,0),"")</f>
        <v/>
      </c>
      <c r="F1565" t="str">
        <f>IF(NOT(ISBLANK(A1565)),VLOOKUP(A1565,'BBT3'!A:F,6,0),"")</f>
        <v/>
      </c>
      <c r="G1565" t="str">
        <f>IF(NOT(ISBLANK(A1565)),VLOOKUP(A1565,QW_Close!A:J,5,0),"")</f>
        <v/>
      </c>
      <c r="H1565" s="5" t="str" cm="1">
        <f t="array" ref="H1565">IF(NOT(ISBLANK(A1565)),((_xlfn.XLOOKUP(1,(_bbt3[[#All],[ID]]=A1565)*(_bbt3[[#All],[METRIC_NAME]]="YLD_YTM_ASK"),_bbt3[[#All],[METRIC_VALUE]])*0.5)+(_xlfn.XLOOKUP(1,(_bbt3[[#All],[ID]]=A1565)*(_bbt3[[#All],[METRIC_NAME]]="YLD_YTM_BID"),_bbt3[[#All],[METRIC_VALUE]])*0.5))/100,"")</f>
        <v/>
      </c>
      <c r="I1565">
        <f>IF(ISNA(VLOOKUP(A1565,QW_CloseDL!A:E,5,0)),0,VLOOKUP(A1565,QW_CloseDL!A:E,5,0))</f>
        <v>0</v>
      </c>
      <c r="J1565" s="8" t="str">
        <f t="shared" si="114"/>
        <v/>
      </c>
    </row>
    <row r="1566" spans="2:10" x14ac:dyDescent="0.35">
      <c r="B1566" t="str">
        <f>IF(NOT(ISBLANK(A1566)),VLOOKUP(A1566,'BBT3'!A:F,2,0),"")</f>
        <v/>
      </c>
      <c r="C1566" t="str">
        <f>IF(NOT(ISBLANK(A1566)),VLOOKUP(A1566,'BBT3'!A:F,3,0),"")</f>
        <v/>
      </c>
      <c r="D1566" s="6" t="str">
        <f>IF(NOT(ISBLANK(A1566)),VLOOKUP(A1566,'BBT3'!A:F,4,1),"")</f>
        <v/>
      </c>
      <c r="E1566" t="str">
        <f>IF(NOT(ISBLANK(A1566)),VLOOKUP(A1566,'BBT3'!A:F,5,0),"")</f>
        <v/>
      </c>
      <c r="F1566" t="str">
        <f>IF(NOT(ISBLANK(A1566)),VLOOKUP(A1566,'BBT3'!A:F,6,0),"")</f>
        <v/>
      </c>
      <c r="G1566" t="str">
        <f>IF(NOT(ISBLANK(A1566)),VLOOKUP(A1566,QW_Close!A:J,5,0),"")</f>
        <v/>
      </c>
      <c r="H1566" s="5" t="str" cm="1">
        <f t="array" ref="H1566">IF(NOT(ISBLANK(A1566)),((_xlfn.XLOOKUP(1,(_bbt3[[#All],[ID]]=A1566)*(_bbt3[[#All],[METRIC_NAME]]="YLD_YTM_ASK"),_bbt3[[#All],[METRIC_VALUE]])*0.5)+(_xlfn.XLOOKUP(1,(_bbt3[[#All],[ID]]=A1566)*(_bbt3[[#All],[METRIC_NAME]]="YLD_YTM_BID"),_bbt3[[#All],[METRIC_VALUE]])*0.5))/100,"")</f>
        <v/>
      </c>
      <c r="I1566">
        <f>IF(ISNA(VLOOKUP(A1566,QW_CloseDL!A:E,5,0)),0,VLOOKUP(A1566,QW_CloseDL!A:E,5,0))</f>
        <v>0</v>
      </c>
      <c r="J1566" s="8" t="str">
        <f t="shared" si="114"/>
        <v/>
      </c>
    </row>
    <row r="1567" spans="2:10" x14ac:dyDescent="0.35">
      <c r="B1567" t="str">
        <f>IF(NOT(ISBLANK(A1567)),VLOOKUP(A1567,'BBT3'!A:F,2,0),"")</f>
        <v/>
      </c>
      <c r="C1567" t="str">
        <f>IF(NOT(ISBLANK(A1567)),VLOOKUP(A1567,'BBT3'!A:F,3,0),"")</f>
        <v/>
      </c>
      <c r="D1567" s="6" t="str">
        <f>IF(NOT(ISBLANK(A1567)),VLOOKUP(A1567,'BBT3'!A:F,4,1),"")</f>
        <v/>
      </c>
      <c r="E1567" t="str">
        <f>IF(NOT(ISBLANK(A1567)),VLOOKUP(A1567,'BBT3'!A:F,5,0),"")</f>
        <v/>
      </c>
      <c r="F1567" t="str">
        <f>IF(NOT(ISBLANK(A1567)),VLOOKUP(A1567,'BBT3'!A:F,6,0),"")</f>
        <v/>
      </c>
      <c r="G1567" t="str">
        <f>IF(NOT(ISBLANK(A1567)),VLOOKUP(A1567,QW_Close!A:J,5,0),"")</f>
        <v/>
      </c>
      <c r="H1567" s="5" t="str" cm="1">
        <f t="array" ref="H1567">IF(NOT(ISBLANK(A1567)),((_xlfn.XLOOKUP(1,(_bbt3[[#All],[ID]]=A1567)*(_bbt3[[#All],[METRIC_NAME]]="YLD_YTM_ASK"),_bbt3[[#All],[METRIC_VALUE]])*0.5)+(_xlfn.XLOOKUP(1,(_bbt3[[#All],[ID]]=A1567)*(_bbt3[[#All],[METRIC_NAME]]="YLD_YTM_BID"),_bbt3[[#All],[METRIC_VALUE]])*0.5))/100,"")</f>
        <v/>
      </c>
      <c r="I1567">
        <f>IF(ISNA(VLOOKUP(A1567,QW_CloseDL!A:E,5,0)),0,VLOOKUP(A1567,QW_CloseDL!A:E,5,0))</f>
        <v>0</v>
      </c>
      <c r="J1567" s="8" t="str">
        <f t="shared" si="114"/>
        <v/>
      </c>
    </row>
    <row r="1568" spans="2:10" x14ac:dyDescent="0.35">
      <c r="B1568" t="str">
        <f>IF(NOT(ISBLANK(A1568)),VLOOKUP(A1568,'BBT3'!A:F,2,0),"")</f>
        <v/>
      </c>
      <c r="C1568" t="str">
        <f>IF(NOT(ISBLANK(A1568)),VLOOKUP(A1568,'BBT3'!A:F,3,0),"")</f>
        <v/>
      </c>
      <c r="D1568" s="6" t="str">
        <f>IF(NOT(ISBLANK(A1568)),VLOOKUP(A1568,'BBT3'!A:F,4,1),"")</f>
        <v/>
      </c>
      <c r="E1568" t="str">
        <f>IF(NOT(ISBLANK(A1568)),VLOOKUP(A1568,'BBT3'!A:F,5,0),"")</f>
        <v/>
      </c>
      <c r="F1568" t="str">
        <f>IF(NOT(ISBLANK(A1568)),VLOOKUP(A1568,'BBT3'!A:F,6,0),"")</f>
        <v/>
      </c>
      <c r="G1568" t="str">
        <f>IF(NOT(ISBLANK(A1568)),VLOOKUP(A1568,QW_Close!A:J,5,0),"")</f>
        <v/>
      </c>
      <c r="H1568" s="5" t="str" cm="1">
        <f t="array" ref="H1568">IF(NOT(ISBLANK(A1568)),((_xlfn.XLOOKUP(1,(_bbt3[[#All],[ID]]=A1568)*(_bbt3[[#All],[METRIC_NAME]]="YLD_YTM_ASK"),_bbt3[[#All],[METRIC_VALUE]])*0.5)+(_xlfn.XLOOKUP(1,(_bbt3[[#All],[ID]]=A1568)*(_bbt3[[#All],[METRIC_NAME]]="YLD_YTM_BID"),_bbt3[[#All],[METRIC_VALUE]])*0.5))/100,"")</f>
        <v/>
      </c>
      <c r="I1568">
        <f>IF(ISNA(VLOOKUP(A1568,QW_CloseDL!A:E,5,0)),0,VLOOKUP(A1568,QW_CloseDL!A:E,5,0))</f>
        <v>0</v>
      </c>
      <c r="J1568" s="8" t="str">
        <f t="shared" si="114"/>
        <v/>
      </c>
    </row>
    <row r="1569" spans="2:10" x14ac:dyDescent="0.35">
      <c r="B1569" t="str">
        <f>IF(NOT(ISBLANK(A1569)),VLOOKUP(A1569,'BBT3'!A:F,2,0),"")</f>
        <v/>
      </c>
      <c r="C1569" t="str">
        <f>IF(NOT(ISBLANK(A1569)),VLOOKUP(A1569,'BBT3'!A:F,3,0),"")</f>
        <v/>
      </c>
      <c r="D1569" s="6" t="str">
        <f>IF(NOT(ISBLANK(A1569)),VLOOKUP(A1569,'BBT3'!A:F,4,1),"")</f>
        <v/>
      </c>
      <c r="E1569" t="str">
        <f>IF(NOT(ISBLANK(A1569)),VLOOKUP(A1569,'BBT3'!A:F,5,0),"")</f>
        <v/>
      </c>
      <c r="F1569" t="str">
        <f>IF(NOT(ISBLANK(A1569)),VLOOKUP(A1569,'BBT3'!A:F,6,0),"")</f>
        <v/>
      </c>
      <c r="G1569" t="str">
        <f>IF(NOT(ISBLANK(A1569)),VLOOKUP(A1569,QW_Close!A:J,5,0),"")</f>
        <v/>
      </c>
      <c r="H1569" s="5" t="str" cm="1">
        <f t="array" ref="H1569">IF(NOT(ISBLANK(A1569)),((_xlfn.XLOOKUP(1,(_bbt3[[#All],[ID]]=A1569)*(_bbt3[[#All],[METRIC_NAME]]="YLD_YTM_ASK"),_bbt3[[#All],[METRIC_VALUE]])*0.5)+(_xlfn.XLOOKUP(1,(_bbt3[[#All],[ID]]=A1569)*(_bbt3[[#All],[METRIC_NAME]]="YLD_YTM_BID"),_bbt3[[#All],[METRIC_VALUE]])*0.5))/100,"")</f>
        <v/>
      </c>
      <c r="I1569">
        <f>IF(ISNA(VLOOKUP(A1569,QW_CloseDL!A:E,5,0)),0,VLOOKUP(A1569,QW_CloseDL!A:E,5,0))</f>
        <v>0</v>
      </c>
      <c r="J1569" s="8" t="str">
        <f t="shared" si="114"/>
        <v/>
      </c>
    </row>
    <row r="1570" spans="2:10" x14ac:dyDescent="0.35">
      <c r="B1570" t="str">
        <f>IF(NOT(ISBLANK(A1570)),VLOOKUP(A1570,'BBT3'!A:F,2,0),"")</f>
        <v/>
      </c>
      <c r="C1570" t="str">
        <f>IF(NOT(ISBLANK(A1570)),VLOOKUP(A1570,'BBT3'!A:F,3,0),"")</f>
        <v/>
      </c>
      <c r="D1570" s="6" t="str">
        <f>IF(NOT(ISBLANK(A1570)),VLOOKUP(A1570,'BBT3'!A:F,4,1),"")</f>
        <v/>
      </c>
      <c r="E1570" t="str">
        <f>IF(NOT(ISBLANK(A1570)),VLOOKUP(A1570,'BBT3'!A:F,5,0),"")</f>
        <v/>
      </c>
      <c r="F1570" t="str">
        <f>IF(NOT(ISBLANK(A1570)),VLOOKUP(A1570,'BBT3'!A:F,6,0),"")</f>
        <v/>
      </c>
      <c r="G1570" t="str">
        <f>IF(NOT(ISBLANK(A1570)),VLOOKUP(A1570,QW_Close!A:J,5,0),"")</f>
        <v/>
      </c>
      <c r="H1570" s="5" t="str" cm="1">
        <f t="array" ref="H1570">IF(NOT(ISBLANK(A1570)),((_xlfn.XLOOKUP(1,(_bbt3[[#All],[ID]]=A1570)*(_bbt3[[#All],[METRIC_NAME]]="YLD_YTM_ASK"),_bbt3[[#All],[METRIC_VALUE]])*0.5)+(_xlfn.XLOOKUP(1,(_bbt3[[#All],[ID]]=A1570)*(_bbt3[[#All],[METRIC_NAME]]="YLD_YTM_BID"),_bbt3[[#All],[METRIC_VALUE]])*0.5))/100,"")</f>
        <v/>
      </c>
      <c r="I1570">
        <f>IF(ISNA(VLOOKUP(A1570,QW_CloseDL!A:E,5,0)),0,VLOOKUP(A1570,QW_CloseDL!A:E,5,0))</f>
        <v>0</v>
      </c>
      <c r="J1570" s="8" t="str">
        <f t="shared" si="114"/>
        <v/>
      </c>
    </row>
    <row r="1571" spans="2:10" x14ac:dyDescent="0.35">
      <c r="B1571" t="str">
        <f>IF(NOT(ISBLANK(A1571)),VLOOKUP(A1571,'BBT3'!A:F,2,0),"")</f>
        <v/>
      </c>
      <c r="C1571" t="str">
        <f>IF(NOT(ISBLANK(A1571)),VLOOKUP(A1571,'BBT3'!A:F,3,0),"")</f>
        <v/>
      </c>
      <c r="D1571" s="6" t="str">
        <f>IF(NOT(ISBLANK(A1571)),VLOOKUP(A1571,'BBT3'!A:F,4,1),"")</f>
        <v/>
      </c>
      <c r="E1571" t="str">
        <f>IF(NOT(ISBLANK(A1571)),VLOOKUP(A1571,'BBT3'!A:F,5,0),"")</f>
        <v/>
      </c>
      <c r="F1571" t="str">
        <f>IF(NOT(ISBLANK(A1571)),VLOOKUP(A1571,'BBT3'!A:F,6,0),"")</f>
        <v/>
      </c>
      <c r="G1571" t="str">
        <f>IF(NOT(ISBLANK(A1571)),VLOOKUP(A1571,QW_Close!A:J,5,0),"")</f>
        <v/>
      </c>
      <c r="H1571" s="5" t="str" cm="1">
        <f t="array" ref="H1571">IF(NOT(ISBLANK(A1571)),((_xlfn.XLOOKUP(1,(_bbt3[[#All],[ID]]=A1571)*(_bbt3[[#All],[METRIC_NAME]]="YLD_YTM_ASK"),_bbt3[[#All],[METRIC_VALUE]])*0.5)+(_xlfn.XLOOKUP(1,(_bbt3[[#All],[ID]]=A1571)*(_bbt3[[#All],[METRIC_NAME]]="YLD_YTM_BID"),_bbt3[[#All],[METRIC_VALUE]])*0.5))/100,"")</f>
        <v/>
      </c>
      <c r="I1571">
        <f>IF(ISNA(VLOOKUP(A1571,QW_CloseDL!A:E,5,0)),0,VLOOKUP(A1571,QW_CloseDL!A:E,5,0))</f>
        <v>0</v>
      </c>
      <c r="J1571" s="8" t="str">
        <f t="shared" si="114"/>
        <v/>
      </c>
    </row>
    <row r="1572" spans="2:10" x14ac:dyDescent="0.35">
      <c r="B1572" t="str">
        <f>IF(NOT(ISBLANK(A1572)),VLOOKUP(A1572,'BBT3'!A:F,2,0),"")</f>
        <v/>
      </c>
      <c r="C1572" t="str">
        <f>IF(NOT(ISBLANK(A1572)),VLOOKUP(A1572,'BBT3'!A:F,3,0),"")</f>
        <v/>
      </c>
      <c r="D1572" s="6" t="str">
        <f>IF(NOT(ISBLANK(A1572)),VLOOKUP(A1572,'BBT3'!A:F,4,1),"")</f>
        <v/>
      </c>
      <c r="E1572" t="str">
        <f>IF(NOT(ISBLANK(A1572)),VLOOKUP(A1572,'BBT3'!A:F,5,0),"")</f>
        <v/>
      </c>
      <c r="F1572" t="str">
        <f>IF(NOT(ISBLANK(A1572)),VLOOKUP(A1572,'BBT3'!A:F,6,0),"")</f>
        <v/>
      </c>
      <c r="G1572" t="str">
        <f>IF(NOT(ISBLANK(A1572)),VLOOKUP(A1572,QW_Close!A:J,5,0),"")</f>
        <v/>
      </c>
      <c r="H1572" s="5" t="str" cm="1">
        <f t="array" ref="H1572">IF(NOT(ISBLANK(A1572)),((_xlfn.XLOOKUP(1,(_bbt3[[#All],[ID]]=A1572)*(_bbt3[[#All],[METRIC_NAME]]="YLD_YTM_ASK"),_bbt3[[#All],[METRIC_VALUE]])*0.5)+(_xlfn.XLOOKUP(1,(_bbt3[[#All],[ID]]=A1572)*(_bbt3[[#All],[METRIC_NAME]]="YLD_YTM_BID"),_bbt3[[#All],[METRIC_VALUE]])*0.5))/100,"")</f>
        <v/>
      </c>
      <c r="I1572">
        <f>IF(ISNA(VLOOKUP(A1572,QW_CloseDL!A:E,5,0)),0,VLOOKUP(A1572,QW_CloseDL!A:E,5,0))</f>
        <v>0</v>
      </c>
      <c r="J1572" s="8" t="str">
        <f t="shared" si="114"/>
        <v/>
      </c>
    </row>
    <row r="1573" spans="2:10" x14ac:dyDescent="0.35">
      <c r="B1573" t="str">
        <f>IF(NOT(ISBLANK(A1573)),VLOOKUP(A1573,'BBT3'!A:F,2,0),"")</f>
        <v/>
      </c>
      <c r="C1573" t="str">
        <f>IF(NOT(ISBLANK(A1573)),VLOOKUP(A1573,'BBT3'!A:F,3,0),"")</f>
        <v/>
      </c>
      <c r="D1573" s="6" t="str">
        <f>IF(NOT(ISBLANK(A1573)),VLOOKUP(A1573,'BBT3'!A:F,4,1),"")</f>
        <v/>
      </c>
      <c r="E1573" t="str">
        <f>IF(NOT(ISBLANK(A1573)),VLOOKUP(A1573,'BBT3'!A:F,5,0),"")</f>
        <v/>
      </c>
      <c r="F1573" t="str">
        <f>IF(NOT(ISBLANK(A1573)),VLOOKUP(A1573,'BBT3'!A:F,6,0),"")</f>
        <v/>
      </c>
      <c r="G1573" t="str">
        <f>IF(NOT(ISBLANK(A1573)),VLOOKUP(A1573,QW_Close!A:J,5,0),"")</f>
        <v/>
      </c>
      <c r="H1573" s="5" t="str" cm="1">
        <f t="array" ref="H1573">IF(NOT(ISBLANK(A1573)),((_xlfn.XLOOKUP(1,(_bbt3[[#All],[ID]]=A1573)*(_bbt3[[#All],[METRIC_NAME]]="YLD_YTM_ASK"),_bbt3[[#All],[METRIC_VALUE]])*0.5)+(_xlfn.XLOOKUP(1,(_bbt3[[#All],[ID]]=A1573)*(_bbt3[[#All],[METRIC_NAME]]="YLD_YTM_BID"),_bbt3[[#All],[METRIC_VALUE]])*0.5))/100,"")</f>
        <v/>
      </c>
      <c r="I1573">
        <f>IF(ISNA(VLOOKUP(A1573,QW_CloseDL!A:E,5,0)),0,VLOOKUP(A1573,QW_CloseDL!A:E,5,0))</f>
        <v>0</v>
      </c>
      <c r="J1573" s="8" t="str">
        <f t="shared" si="114"/>
        <v/>
      </c>
    </row>
    <row r="1574" spans="2:10" x14ac:dyDescent="0.35">
      <c r="B1574" t="str">
        <f>IF(NOT(ISBLANK(A1574)),VLOOKUP(A1574,'BBT3'!A:F,2,0),"")</f>
        <v/>
      </c>
      <c r="C1574" t="str">
        <f>IF(NOT(ISBLANK(A1574)),VLOOKUP(A1574,'BBT3'!A:F,3,0),"")</f>
        <v/>
      </c>
      <c r="D1574" s="6" t="str">
        <f>IF(NOT(ISBLANK(A1574)),VLOOKUP(A1574,'BBT3'!A:F,4,1),"")</f>
        <v/>
      </c>
      <c r="E1574" t="str">
        <f>IF(NOT(ISBLANK(A1574)),VLOOKUP(A1574,'BBT3'!A:F,5,0),"")</f>
        <v/>
      </c>
      <c r="F1574" t="str">
        <f>IF(NOT(ISBLANK(A1574)),VLOOKUP(A1574,'BBT3'!A:F,6,0),"")</f>
        <v/>
      </c>
      <c r="G1574" t="str">
        <f>IF(NOT(ISBLANK(A1574)),VLOOKUP(A1574,QW_Close!A:J,5,0),"")</f>
        <v/>
      </c>
      <c r="H1574" s="5" t="str" cm="1">
        <f t="array" ref="H1574">IF(NOT(ISBLANK(A1574)),((_xlfn.XLOOKUP(1,(_bbt3[[#All],[ID]]=A1574)*(_bbt3[[#All],[METRIC_NAME]]="YLD_YTM_ASK"),_bbt3[[#All],[METRIC_VALUE]])*0.5)+(_xlfn.XLOOKUP(1,(_bbt3[[#All],[ID]]=A1574)*(_bbt3[[#All],[METRIC_NAME]]="YLD_YTM_BID"),_bbt3[[#All],[METRIC_VALUE]])*0.5))/100,"")</f>
        <v/>
      </c>
      <c r="I1574">
        <f>IF(ISNA(VLOOKUP(A1574,QW_CloseDL!A:E,5,0)),0,VLOOKUP(A1574,QW_CloseDL!A:E,5,0))</f>
        <v>0</v>
      </c>
      <c r="J1574" s="8" t="str">
        <f t="shared" si="114"/>
        <v/>
      </c>
    </row>
    <row r="1575" spans="2:10" x14ac:dyDescent="0.35">
      <c r="B1575" t="str">
        <f>IF(NOT(ISBLANK(A1575)),VLOOKUP(A1575,'BBT3'!A:F,2,0),"")</f>
        <v/>
      </c>
      <c r="C1575" t="str">
        <f>IF(NOT(ISBLANK(A1575)),VLOOKUP(A1575,'BBT3'!A:F,3,0),"")</f>
        <v/>
      </c>
      <c r="D1575" s="6" t="str">
        <f>IF(NOT(ISBLANK(A1575)),VLOOKUP(A1575,'BBT3'!A:F,4,1),"")</f>
        <v/>
      </c>
      <c r="E1575" t="str">
        <f>IF(NOT(ISBLANK(A1575)),VLOOKUP(A1575,'BBT3'!A:F,5,0),"")</f>
        <v/>
      </c>
      <c r="F1575" t="str">
        <f>IF(NOT(ISBLANK(A1575)),VLOOKUP(A1575,'BBT3'!A:F,6,0),"")</f>
        <v/>
      </c>
      <c r="G1575" t="str">
        <f>IF(NOT(ISBLANK(A1575)),VLOOKUP(A1575,QW_Close!A:J,5,0),"")</f>
        <v/>
      </c>
      <c r="H1575" s="5" t="str" cm="1">
        <f t="array" ref="H1575">IF(NOT(ISBLANK(A1575)),((_xlfn.XLOOKUP(1,(_bbt3[[#All],[ID]]=A1575)*(_bbt3[[#All],[METRIC_NAME]]="YLD_YTM_ASK"),_bbt3[[#All],[METRIC_VALUE]])*0.5)+(_xlfn.XLOOKUP(1,(_bbt3[[#All],[ID]]=A1575)*(_bbt3[[#All],[METRIC_NAME]]="YLD_YTM_BID"),_bbt3[[#All],[METRIC_VALUE]])*0.5))/100,"")</f>
        <v/>
      </c>
      <c r="I1575">
        <f>IF(ISNA(VLOOKUP(A1575,QW_CloseDL!A:E,5,0)),0,VLOOKUP(A1575,QW_CloseDL!A:E,5,0))</f>
        <v>0</v>
      </c>
      <c r="J1575" s="8" t="str">
        <f t="shared" si="114"/>
        <v/>
      </c>
    </row>
    <row r="1576" spans="2:10" x14ac:dyDescent="0.35">
      <c r="B1576" t="str">
        <f>IF(NOT(ISBLANK(A1576)),VLOOKUP(A1576,'BBT3'!A:F,2,0),"")</f>
        <v/>
      </c>
      <c r="C1576" t="str">
        <f>IF(NOT(ISBLANK(A1576)),VLOOKUP(A1576,'BBT3'!A:F,3,0),"")</f>
        <v/>
      </c>
      <c r="D1576" s="6" t="str">
        <f>IF(NOT(ISBLANK(A1576)),VLOOKUP(A1576,'BBT3'!A:F,4,1),"")</f>
        <v/>
      </c>
      <c r="E1576" t="str">
        <f>IF(NOT(ISBLANK(A1576)),VLOOKUP(A1576,'BBT3'!A:F,5,0),"")</f>
        <v/>
      </c>
      <c r="F1576" t="str">
        <f>IF(NOT(ISBLANK(A1576)),VLOOKUP(A1576,'BBT3'!A:F,6,0),"")</f>
        <v/>
      </c>
      <c r="G1576" t="str">
        <f>IF(NOT(ISBLANK(A1576)),VLOOKUP(A1576,QW_Close!A:J,5,0),"")</f>
        <v/>
      </c>
      <c r="H1576" s="5" t="str" cm="1">
        <f t="array" ref="H1576">IF(NOT(ISBLANK(A1576)),((_xlfn.XLOOKUP(1,(_bbt3[[#All],[ID]]=A1576)*(_bbt3[[#All],[METRIC_NAME]]="YLD_YTM_ASK"),_bbt3[[#All],[METRIC_VALUE]])*0.5)+(_xlfn.XLOOKUP(1,(_bbt3[[#All],[ID]]=A1576)*(_bbt3[[#All],[METRIC_NAME]]="YLD_YTM_BID"),_bbt3[[#All],[METRIC_VALUE]])*0.5))/100,"")</f>
        <v/>
      </c>
      <c r="I1576">
        <f>IF(ISNA(VLOOKUP(A1576,QW_CloseDL!A:E,5,0)),0,VLOOKUP(A1576,QW_CloseDL!A:E,5,0))</f>
        <v>0</v>
      </c>
      <c r="J1576" s="8" t="str">
        <f t="shared" si="114"/>
        <v/>
      </c>
    </row>
    <row r="1577" spans="2:10" x14ac:dyDescent="0.35">
      <c r="B1577" t="str">
        <f>IF(NOT(ISBLANK(A1577)),VLOOKUP(A1577,'BBT3'!A:F,2,0),"")</f>
        <v/>
      </c>
      <c r="C1577" t="str">
        <f>IF(NOT(ISBLANK(A1577)),VLOOKUP(A1577,'BBT3'!A:F,3,0),"")</f>
        <v/>
      </c>
      <c r="D1577" s="6" t="str">
        <f>IF(NOT(ISBLANK(A1577)),VLOOKUP(A1577,'BBT3'!A:F,4,1),"")</f>
        <v/>
      </c>
      <c r="E1577" t="str">
        <f>IF(NOT(ISBLANK(A1577)),VLOOKUP(A1577,'BBT3'!A:F,5,0),"")</f>
        <v/>
      </c>
      <c r="F1577" t="str">
        <f>IF(NOT(ISBLANK(A1577)),VLOOKUP(A1577,'BBT3'!A:F,6,0),"")</f>
        <v/>
      </c>
      <c r="G1577" t="str">
        <f>IF(NOT(ISBLANK(A1577)),VLOOKUP(A1577,QW_Close!A:J,5,0),"")</f>
        <v/>
      </c>
      <c r="H1577" s="5" t="str" cm="1">
        <f t="array" ref="H1577">IF(NOT(ISBLANK(A1577)),((_xlfn.XLOOKUP(1,(_bbt3[[#All],[ID]]=A1577)*(_bbt3[[#All],[METRIC_NAME]]="YLD_YTM_ASK"),_bbt3[[#All],[METRIC_VALUE]])*0.5)+(_xlfn.XLOOKUP(1,(_bbt3[[#All],[ID]]=A1577)*(_bbt3[[#All],[METRIC_NAME]]="YLD_YTM_BID"),_bbt3[[#All],[METRIC_VALUE]])*0.5))/100,"")</f>
        <v/>
      </c>
      <c r="I1577">
        <f>IF(ISNA(VLOOKUP(A1577,QW_CloseDL!A:E,5,0)),0,VLOOKUP(A1577,QW_CloseDL!A:E,5,0))</f>
        <v>0</v>
      </c>
      <c r="J1577" s="8" t="str">
        <f t="shared" si="114"/>
        <v/>
      </c>
    </row>
    <row r="1578" spans="2:10" x14ac:dyDescent="0.35">
      <c r="B1578" t="str">
        <f>IF(NOT(ISBLANK(A1578)),VLOOKUP(A1578,'BBT3'!A:F,2,0),"")</f>
        <v/>
      </c>
      <c r="C1578" t="str">
        <f>IF(NOT(ISBLANK(A1578)),VLOOKUP(A1578,'BBT3'!A:F,3,0),"")</f>
        <v/>
      </c>
      <c r="D1578" s="6" t="str">
        <f>IF(NOT(ISBLANK(A1578)),VLOOKUP(A1578,'BBT3'!A:F,4,1),"")</f>
        <v/>
      </c>
      <c r="E1578" t="str">
        <f>IF(NOT(ISBLANK(A1578)),VLOOKUP(A1578,'BBT3'!A:F,5,0),"")</f>
        <v/>
      </c>
      <c r="F1578" t="str">
        <f>IF(NOT(ISBLANK(A1578)),VLOOKUP(A1578,'BBT3'!A:F,6,0),"")</f>
        <v/>
      </c>
      <c r="G1578" t="str">
        <f>IF(NOT(ISBLANK(A1578)),VLOOKUP(A1578,QW_Close!A:J,5,0),"")</f>
        <v/>
      </c>
      <c r="H1578" s="5" t="str" cm="1">
        <f t="array" ref="H1578">IF(NOT(ISBLANK(A1578)),((_xlfn.XLOOKUP(1,(_bbt3[[#All],[ID]]=A1578)*(_bbt3[[#All],[METRIC_NAME]]="YLD_YTM_ASK"),_bbt3[[#All],[METRIC_VALUE]])*0.5)+(_xlfn.XLOOKUP(1,(_bbt3[[#All],[ID]]=A1578)*(_bbt3[[#All],[METRIC_NAME]]="YLD_YTM_BID"),_bbt3[[#All],[METRIC_VALUE]])*0.5))/100,"")</f>
        <v/>
      </c>
      <c r="I1578">
        <f>IF(ISNA(VLOOKUP(A1578,QW_CloseDL!A:E,5,0)),0,VLOOKUP(A1578,QW_CloseDL!A:E,5,0))</f>
        <v>0</v>
      </c>
      <c r="J1578" s="8" t="str">
        <f t="shared" si="114"/>
        <v/>
      </c>
    </row>
    <row r="1579" spans="2:10" x14ac:dyDescent="0.35">
      <c r="B1579" t="str">
        <f>IF(NOT(ISBLANK(A1579)),VLOOKUP(A1579,'BBT3'!A:F,2,0),"")</f>
        <v/>
      </c>
      <c r="C1579" t="str">
        <f>IF(NOT(ISBLANK(A1579)),VLOOKUP(A1579,'BBT3'!A:F,3,0),"")</f>
        <v/>
      </c>
      <c r="D1579" s="6" t="str">
        <f>IF(NOT(ISBLANK(A1579)),VLOOKUP(A1579,'BBT3'!A:F,4,1),"")</f>
        <v/>
      </c>
      <c r="E1579" t="str">
        <f>IF(NOT(ISBLANK(A1579)),VLOOKUP(A1579,'BBT3'!A:F,5,0),"")</f>
        <v/>
      </c>
      <c r="F1579" t="str">
        <f>IF(NOT(ISBLANK(A1579)),VLOOKUP(A1579,'BBT3'!A:F,6,0),"")</f>
        <v/>
      </c>
      <c r="G1579" t="str">
        <f>IF(NOT(ISBLANK(A1579)),VLOOKUP(A1579,QW_Close!A:J,5,0),"")</f>
        <v/>
      </c>
      <c r="H1579" s="5" t="str" cm="1">
        <f t="array" ref="H1579">IF(NOT(ISBLANK(A1579)),((_xlfn.XLOOKUP(1,(_bbt3[[#All],[ID]]=A1579)*(_bbt3[[#All],[METRIC_NAME]]="YLD_YTM_ASK"),_bbt3[[#All],[METRIC_VALUE]])*0.5)+(_xlfn.XLOOKUP(1,(_bbt3[[#All],[ID]]=A1579)*(_bbt3[[#All],[METRIC_NAME]]="YLD_YTM_BID"),_bbt3[[#All],[METRIC_VALUE]])*0.5))/100,"")</f>
        <v/>
      </c>
      <c r="I1579">
        <f>IF(ISNA(VLOOKUP(A1579,QW_CloseDL!A:E,5,0)),0,VLOOKUP(A1579,QW_CloseDL!A:E,5,0))</f>
        <v>0</v>
      </c>
      <c r="J1579" s="8" t="str">
        <f t="shared" si="114"/>
        <v/>
      </c>
    </row>
    <row r="1580" spans="2:10" x14ac:dyDescent="0.35">
      <c r="B1580" t="str">
        <f>IF(NOT(ISBLANK(A1580)),VLOOKUP(A1580,'BBT3'!A:F,2,0),"")</f>
        <v/>
      </c>
      <c r="C1580" t="str">
        <f>IF(NOT(ISBLANK(A1580)),VLOOKUP(A1580,'BBT3'!A:F,3,0),"")</f>
        <v/>
      </c>
      <c r="D1580" s="6" t="str">
        <f>IF(NOT(ISBLANK(A1580)),VLOOKUP(A1580,'BBT3'!A:F,4,1),"")</f>
        <v/>
      </c>
      <c r="E1580" t="str">
        <f>IF(NOT(ISBLANK(A1580)),VLOOKUP(A1580,'BBT3'!A:F,5,0),"")</f>
        <v/>
      </c>
      <c r="F1580" t="str">
        <f>IF(NOT(ISBLANK(A1580)),VLOOKUP(A1580,'BBT3'!A:F,6,0),"")</f>
        <v/>
      </c>
      <c r="G1580" t="str">
        <f>IF(NOT(ISBLANK(A1580)),VLOOKUP(A1580,QW_Close!A:J,5,0),"")</f>
        <v/>
      </c>
      <c r="H1580" s="5" t="str" cm="1">
        <f t="array" ref="H1580">IF(NOT(ISBLANK(A1580)),((_xlfn.XLOOKUP(1,(_bbt3[[#All],[ID]]=A1580)*(_bbt3[[#All],[METRIC_NAME]]="YLD_YTM_ASK"),_bbt3[[#All],[METRIC_VALUE]])*0.5)+(_xlfn.XLOOKUP(1,(_bbt3[[#All],[ID]]=A1580)*(_bbt3[[#All],[METRIC_NAME]]="YLD_YTM_BID"),_bbt3[[#All],[METRIC_VALUE]])*0.5))/100,"")</f>
        <v/>
      </c>
      <c r="I1580">
        <f>IF(ISNA(VLOOKUP(A1580,QW_CloseDL!A:E,5,0)),0,VLOOKUP(A1580,QW_CloseDL!A:E,5,0))</f>
        <v>0</v>
      </c>
      <c r="J1580" s="8" t="str">
        <f t="shared" si="114"/>
        <v/>
      </c>
    </row>
    <row r="1581" spans="2:10" x14ac:dyDescent="0.35">
      <c r="B1581" t="str">
        <f>IF(NOT(ISBLANK(A1581)),VLOOKUP(A1581,'BBT3'!A:F,2,0),"")</f>
        <v/>
      </c>
      <c r="C1581" t="str">
        <f>IF(NOT(ISBLANK(A1581)),VLOOKUP(A1581,'BBT3'!A:F,3,0),"")</f>
        <v/>
      </c>
      <c r="D1581" s="6" t="str">
        <f>IF(NOT(ISBLANK(A1581)),VLOOKUP(A1581,'BBT3'!A:F,4,1),"")</f>
        <v/>
      </c>
      <c r="E1581" t="str">
        <f>IF(NOT(ISBLANK(A1581)),VLOOKUP(A1581,'BBT3'!A:F,5,0),"")</f>
        <v/>
      </c>
      <c r="F1581" t="str">
        <f>IF(NOT(ISBLANK(A1581)),VLOOKUP(A1581,'BBT3'!A:F,6,0),"")</f>
        <v/>
      </c>
      <c r="G1581" t="str">
        <f>IF(NOT(ISBLANK(A1581)),VLOOKUP(A1581,QW_Close!A:J,5,0),"")</f>
        <v/>
      </c>
      <c r="H1581" s="5" t="str" cm="1">
        <f t="array" ref="H1581">IF(NOT(ISBLANK(A1581)),((_xlfn.XLOOKUP(1,(_bbt3[[#All],[ID]]=A1581)*(_bbt3[[#All],[METRIC_NAME]]="YLD_YTM_ASK"),_bbt3[[#All],[METRIC_VALUE]])*0.5)+(_xlfn.XLOOKUP(1,(_bbt3[[#All],[ID]]=A1581)*(_bbt3[[#All],[METRIC_NAME]]="YLD_YTM_BID"),_bbt3[[#All],[METRIC_VALUE]])*0.5))/100,"")</f>
        <v/>
      </c>
      <c r="I1581">
        <f>IF(ISNA(VLOOKUP(A1581,QW_CloseDL!A:E,5,0)),0,VLOOKUP(A1581,QW_CloseDL!A:E,5,0))</f>
        <v>0</v>
      </c>
      <c r="J1581" s="8" t="str">
        <f t="shared" si="114"/>
        <v/>
      </c>
    </row>
    <row r="1582" spans="2:10" x14ac:dyDescent="0.35">
      <c r="B1582" t="str">
        <f>IF(NOT(ISBLANK(A1582)),VLOOKUP(A1582,'BBT3'!A:F,2,0),"")</f>
        <v/>
      </c>
      <c r="C1582" t="str">
        <f>IF(NOT(ISBLANK(A1582)),VLOOKUP(A1582,'BBT3'!A:F,3,0),"")</f>
        <v/>
      </c>
      <c r="D1582" s="6" t="str">
        <f>IF(NOT(ISBLANK(A1582)),VLOOKUP(A1582,'BBT3'!A:F,4,1),"")</f>
        <v/>
      </c>
      <c r="E1582" t="str">
        <f>IF(NOT(ISBLANK(A1582)),VLOOKUP(A1582,'BBT3'!A:F,5,0),"")</f>
        <v/>
      </c>
      <c r="F1582" t="str">
        <f>IF(NOT(ISBLANK(A1582)),VLOOKUP(A1582,'BBT3'!A:F,6,0),"")</f>
        <v/>
      </c>
      <c r="G1582" t="str">
        <f>IF(NOT(ISBLANK(A1582)),VLOOKUP(A1582,QW_Close!A:J,5,0),"")</f>
        <v/>
      </c>
      <c r="H1582" s="5" t="str" cm="1">
        <f t="array" ref="H1582">IF(NOT(ISBLANK(A1582)),((_xlfn.XLOOKUP(1,(_bbt3[[#All],[ID]]=A1582)*(_bbt3[[#All],[METRIC_NAME]]="YLD_YTM_ASK"),_bbt3[[#All],[METRIC_VALUE]])*0.5)+(_xlfn.XLOOKUP(1,(_bbt3[[#All],[ID]]=A1582)*(_bbt3[[#All],[METRIC_NAME]]="YLD_YTM_BID"),_bbt3[[#All],[METRIC_VALUE]])*0.5))/100,"")</f>
        <v/>
      </c>
      <c r="I1582">
        <f>IF(ISNA(VLOOKUP(A1582,QW_CloseDL!A:E,5,0)),0,VLOOKUP(A1582,QW_CloseDL!A:E,5,0))</f>
        <v>0</v>
      </c>
      <c r="J1582" s="8" t="str">
        <f t="shared" si="114"/>
        <v/>
      </c>
    </row>
    <row r="1583" spans="2:10" x14ac:dyDescent="0.35">
      <c r="B1583" t="str">
        <f>IF(NOT(ISBLANK(A1583)),VLOOKUP(A1583,'BBT3'!A:F,2,0),"")</f>
        <v/>
      </c>
      <c r="C1583" t="str">
        <f>IF(NOT(ISBLANK(A1583)),VLOOKUP(A1583,'BBT3'!A:F,3,0),"")</f>
        <v/>
      </c>
      <c r="D1583" s="6" t="str">
        <f>IF(NOT(ISBLANK(A1583)),VLOOKUP(A1583,'BBT3'!A:F,4,1),"")</f>
        <v/>
      </c>
      <c r="E1583" t="str">
        <f>IF(NOT(ISBLANK(A1583)),VLOOKUP(A1583,'BBT3'!A:F,5,0),"")</f>
        <v/>
      </c>
      <c r="F1583" t="str">
        <f>IF(NOT(ISBLANK(A1583)),VLOOKUP(A1583,'BBT3'!A:F,6,0),"")</f>
        <v/>
      </c>
      <c r="G1583" t="str">
        <f>IF(NOT(ISBLANK(A1583)),VLOOKUP(A1583,QW_Close!A:J,5,0),"")</f>
        <v/>
      </c>
      <c r="H1583" s="5" t="str" cm="1">
        <f t="array" ref="H1583">IF(NOT(ISBLANK(A1583)),((_xlfn.XLOOKUP(1,(_bbt3[[#All],[ID]]=A1583)*(_bbt3[[#All],[METRIC_NAME]]="YLD_YTM_ASK"),_bbt3[[#All],[METRIC_VALUE]])*0.5)+(_xlfn.XLOOKUP(1,(_bbt3[[#All],[ID]]=A1583)*(_bbt3[[#All],[METRIC_NAME]]="YLD_YTM_BID"),_bbt3[[#All],[METRIC_VALUE]])*0.5))/100,"")</f>
        <v/>
      </c>
      <c r="I1583">
        <f>IF(ISNA(VLOOKUP(A1583,QW_CloseDL!A:E,5,0)),0,VLOOKUP(A1583,QW_CloseDL!A:E,5,0))</f>
        <v>0</v>
      </c>
      <c r="J1583" s="8" t="str">
        <f t="shared" si="114"/>
        <v/>
      </c>
    </row>
    <row r="1584" spans="2:10" x14ac:dyDescent="0.35">
      <c r="B1584" t="str">
        <f>IF(NOT(ISBLANK(A1584)),VLOOKUP(A1584,'BBT3'!A:F,2,0),"")</f>
        <v/>
      </c>
      <c r="C1584" t="str">
        <f>IF(NOT(ISBLANK(A1584)),VLOOKUP(A1584,'BBT3'!A:F,3,0),"")</f>
        <v/>
      </c>
      <c r="D1584" s="6" t="str">
        <f>IF(NOT(ISBLANK(A1584)),VLOOKUP(A1584,'BBT3'!A:F,4,1),"")</f>
        <v/>
      </c>
      <c r="E1584" t="str">
        <f>IF(NOT(ISBLANK(A1584)),VLOOKUP(A1584,'BBT3'!A:F,5,0),"")</f>
        <v/>
      </c>
      <c r="F1584" t="str">
        <f>IF(NOT(ISBLANK(A1584)),VLOOKUP(A1584,'BBT3'!A:F,6,0),"")</f>
        <v/>
      </c>
      <c r="G1584" t="str">
        <f>IF(NOT(ISBLANK(A1584)),VLOOKUP(A1584,QW_Close!A:J,5,0),"")</f>
        <v/>
      </c>
      <c r="H1584" s="5" t="str" cm="1">
        <f t="array" ref="H1584">IF(NOT(ISBLANK(A1584)),((_xlfn.XLOOKUP(1,(_bbt3[[#All],[ID]]=A1584)*(_bbt3[[#All],[METRIC_NAME]]="YLD_YTM_ASK"),_bbt3[[#All],[METRIC_VALUE]])*0.5)+(_xlfn.XLOOKUP(1,(_bbt3[[#All],[ID]]=A1584)*(_bbt3[[#All],[METRIC_NAME]]="YLD_YTM_BID"),_bbt3[[#All],[METRIC_VALUE]])*0.5))/100,"")</f>
        <v/>
      </c>
      <c r="I1584">
        <f>IF(ISNA(VLOOKUP(A1584,QW_CloseDL!A:E,5,0)),0,VLOOKUP(A1584,QW_CloseDL!A:E,5,0))</f>
        <v>0</v>
      </c>
      <c r="J1584" s="8" t="str">
        <f t="shared" si="114"/>
        <v/>
      </c>
    </row>
    <row r="1585" spans="2:10" x14ac:dyDescent="0.35">
      <c r="B1585" t="str">
        <f>IF(NOT(ISBLANK(A1585)),VLOOKUP(A1585,'BBT3'!A:F,2,0),"")</f>
        <v/>
      </c>
      <c r="C1585" t="str">
        <f>IF(NOT(ISBLANK(A1585)),VLOOKUP(A1585,'BBT3'!A:F,3,0),"")</f>
        <v/>
      </c>
      <c r="D1585" s="6" t="str">
        <f>IF(NOT(ISBLANK(A1585)),VLOOKUP(A1585,'BBT3'!A:F,4,1),"")</f>
        <v/>
      </c>
      <c r="E1585" t="str">
        <f>IF(NOT(ISBLANK(A1585)),VLOOKUP(A1585,'BBT3'!A:F,5,0),"")</f>
        <v/>
      </c>
      <c r="F1585" t="str">
        <f>IF(NOT(ISBLANK(A1585)),VLOOKUP(A1585,'BBT3'!A:F,6,0),"")</f>
        <v/>
      </c>
      <c r="G1585" t="str">
        <f>IF(NOT(ISBLANK(A1585)),VLOOKUP(A1585,QW_Close!A:J,5,0),"")</f>
        <v/>
      </c>
      <c r="H1585" s="5" t="str" cm="1">
        <f t="array" ref="H1585">IF(NOT(ISBLANK(A1585)),((_xlfn.XLOOKUP(1,(_bbt3[[#All],[ID]]=A1585)*(_bbt3[[#All],[METRIC_NAME]]="YLD_YTM_ASK"),_bbt3[[#All],[METRIC_VALUE]])*0.5)+(_xlfn.XLOOKUP(1,(_bbt3[[#All],[ID]]=A1585)*(_bbt3[[#All],[METRIC_NAME]]="YLD_YTM_BID"),_bbt3[[#All],[METRIC_VALUE]])*0.5))/100,"")</f>
        <v/>
      </c>
      <c r="I1585">
        <f>IF(ISNA(VLOOKUP(A1585,QW_CloseDL!A:E,5,0)),0,VLOOKUP(A1585,QW_CloseDL!A:E,5,0))</f>
        <v>0</v>
      </c>
      <c r="J1585" s="8" t="str">
        <f t="shared" si="114"/>
        <v/>
      </c>
    </row>
    <row r="1586" spans="2:10" x14ac:dyDescent="0.35">
      <c r="B1586" t="str">
        <f>IF(NOT(ISBLANK(A1586)),VLOOKUP(A1586,'BBT3'!A:F,2,0),"")</f>
        <v/>
      </c>
      <c r="C1586" t="str">
        <f>IF(NOT(ISBLANK(A1586)),VLOOKUP(A1586,'BBT3'!A:F,3,0),"")</f>
        <v/>
      </c>
      <c r="D1586" s="6" t="str">
        <f>IF(NOT(ISBLANK(A1586)),VLOOKUP(A1586,'BBT3'!A:F,4,1),"")</f>
        <v/>
      </c>
      <c r="E1586" t="str">
        <f>IF(NOT(ISBLANK(A1586)),VLOOKUP(A1586,'BBT3'!A:F,5,0),"")</f>
        <v/>
      </c>
      <c r="F1586" t="str">
        <f>IF(NOT(ISBLANK(A1586)),VLOOKUP(A1586,'BBT3'!A:F,6,0),"")</f>
        <v/>
      </c>
      <c r="G1586" t="str">
        <f>IF(NOT(ISBLANK(A1586)),VLOOKUP(A1586,QW_Close!A:J,5,0),"")</f>
        <v/>
      </c>
      <c r="H1586" s="5" t="str" cm="1">
        <f t="array" ref="H1586">IF(NOT(ISBLANK(A1586)),((_xlfn.XLOOKUP(1,(_bbt3[[#All],[ID]]=A1586)*(_bbt3[[#All],[METRIC_NAME]]="YLD_YTM_ASK"),_bbt3[[#All],[METRIC_VALUE]])*0.5)+(_xlfn.XLOOKUP(1,(_bbt3[[#All],[ID]]=A1586)*(_bbt3[[#All],[METRIC_NAME]]="YLD_YTM_BID"),_bbt3[[#All],[METRIC_VALUE]])*0.5))/100,"")</f>
        <v/>
      </c>
      <c r="I1586">
        <f>IF(ISNA(VLOOKUP(A1586,QW_CloseDL!A:E,5,0)),0,VLOOKUP(A1586,QW_CloseDL!A:E,5,0))</f>
        <v>0</v>
      </c>
      <c r="J1586" s="8" t="str">
        <f t="shared" si="114"/>
        <v/>
      </c>
    </row>
    <row r="1587" spans="2:10" x14ac:dyDescent="0.35">
      <c r="B1587" t="str">
        <f>IF(NOT(ISBLANK(A1587)),VLOOKUP(A1587,'BBT3'!A:F,2,0),"")</f>
        <v/>
      </c>
      <c r="C1587" t="str">
        <f>IF(NOT(ISBLANK(A1587)),VLOOKUP(A1587,'BBT3'!A:F,3,0),"")</f>
        <v/>
      </c>
      <c r="D1587" s="6" t="str">
        <f>IF(NOT(ISBLANK(A1587)),VLOOKUP(A1587,'BBT3'!A:F,4,1),"")</f>
        <v/>
      </c>
      <c r="E1587" t="str">
        <f>IF(NOT(ISBLANK(A1587)),VLOOKUP(A1587,'BBT3'!A:F,5,0),"")</f>
        <v/>
      </c>
      <c r="F1587" t="str">
        <f>IF(NOT(ISBLANK(A1587)),VLOOKUP(A1587,'BBT3'!A:F,6,0),"")</f>
        <v/>
      </c>
      <c r="G1587" t="str">
        <f>IF(NOT(ISBLANK(A1587)),VLOOKUP(A1587,QW_Close!A:J,5,0),"")</f>
        <v/>
      </c>
      <c r="H1587" s="5" t="str" cm="1">
        <f t="array" ref="H1587">IF(NOT(ISBLANK(A1587)),((_xlfn.XLOOKUP(1,(_bbt3[[#All],[ID]]=A1587)*(_bbt3[[#All],[METRIC_NAME]]="YLD_YTM_ASK"),_bbt3[[#All],[METRIC_VALUE]])*0.5)+(_xlfn.XLOOKUP(1,(_bbt3[[#All],[ID]]=A1587)*(_bbt3[[#All],[METRIC_NAME]]="YLD_YTM_BID"),_bbt3[[#All],[METRIC_VALUE]])*0.5))/100,"")</f>
        <v/>
      </c>
      <c r="I1587">
        <f>IF(ISNA(VLOOKUP(A1587,QW_CloseDL!A:E,5,0)),0,VLOOKUP(A1587,QW_CloseDL!A:E,5,0))</f>
        <v>0</v>
      </c>
      <c r="J1587" s="8" t="str">
        <f t="shared" si="114"/>
        <v/>
      </c>
    </row>
    <row r="1588" spans="2:10" x14ac:dyDescent="0.35">
      <c r="B1588" t="str">
        <f>IF(NOT(ISBLANK(A1588)),VLOOKUP(A1588,'BBT3'!A:F,2,0),"")</f>
        <v/>
      </c>
      <c r="C1588" t="str">
        <f>IF(NOT(ISBLANK(A1588)),VLOOKUP(A1588,'BBT3'!A:F,3,0),"")</f>
        <v/>
      </c>
      <c r="D1588" s="6" t="str">
        <f>IF(NOT(ISBLANK(A1588)),VLOOKUP(A1588,'BBT3'!A:F,4,1),"")</f>
        <v/>
      </c>
      <c r="E1588" t="str">
        <f>IF(NOT(ISBLANK(A1588)),VLOOKUP(A1588,'BBT3'!A:F,5,0),"")</f>
        <v/>
      </c>
      <c r="F1588" t="str">
        <f>IF(NOT(ISBLANK(A1588)),VLOOKUP(A1588,'BBT3'!A:F,6,0),"")</f>
        <v/>
      </c>
      <c r="G1588" t="str">
        <f>IF(NOT(ISBLANK(A1588)),VLOOKUP(A1588,QW_Close!A:J,5,0),"")</f>
        <v/>
      </c>
      <c r="H1588" s="5" t="str" cm="1">
        <f t="array" ref="H1588">IF(NOT(ISBLANK(A1588)),((_xlfn.XLOOKUP(1,(_bbt3[[#All],[ID]]=A1588)*(_bbt3[[#All],[METRIC_NAME]]="YLD_YTM_ASK"),_bbt3[[#All],[METRIC_VALUE]])*0.5)+(_xlfn.XLOOKUP(1,(_bbt3[[#All],[ID]]=A1588)*(_bbt3[[#All],[METRIC_NAME]]="YLD_YTM_BID"),_bbt3[[#All],[METRIC_VALUE]])*0.5))/100,"")</f>
        <v/>
      </c>
      <c r="I1588">
        <f>IF(ISNA(VLOOKUP(A1588,QW_CloseDL!A:E,5,0)),0,VLOOKUP(A1588,QW_CloseDL!A:E,5,0))</f>
        <v>0</v>
      </c>
      <c r="J1588" s="8" t="str">
        <f t="shared" si="114"/>
        <v/>
      </c>
    </row>
    <row r="1589" spans="2:10" x14ac:dyDescent="0.35">
      <c r="B1589" t="str">
        <f>IF(NOT(ISBLANK(A1589)),VLOOKUP(A1589,'BBT3'!A:F,2,0),"")</f>
        <v/>
      </c>
      <c r="C1589" t="str">
        <f>IF(NOT(ISBLANK(A1589)),VLOOKUP(A1589,'BBT3'!A:F,3,0),"")</f>
        <v/>
      </c>
      <c r="D1589" s="6" t="str">
        <f>IF(NOT(ISBLANK(A1589)),VLOOKUP(A1589,'BBT3'!A:F,4,1),"")</f>
        <v/>
      </c>
      <c r="E1589" t="str">
        <f>IF(NOT(ISBLANK(A1589)),VLOOKUP(A1589,'BBT3'!A:F,5,0),"")</f>
        <v/>
      </c>
      <c r="F1589" t="str">
        <f>IF(NOT(ISBLANK(A1589)),VLOOKUP(A1589,'BBT3'!A:F,6,0),"")</f>
        <v/>
      </c>
      <c r="G1589" t="str">
        <f>IF(NOT(ISBLANK(A1589)),VLOOKUP(A1589,QW_Close!A:J,5,0),"")</f>
        <v/>
      </c>
      <c r="H1589" s="5" t="str" cm="1">
        <f t="array" ref="H1589">IF(NOT(ISBLANK(A1589)),((_xlfn.XLOOKUP(1,(_bbt3[[#All],[ID]]=A1589)*(_bbt3[[#All],[METRIC_NAME]]="YLD_YTM_ASK"),_bbt3[[#All],[METRIC_VALUE]])*0.5)+(_xlfn.XLOOKUP(1,(_bbt3[[#All],[ID]]=A1589)*(_bbt3[[#All],[METRIC_NAME]]="YLD_YTM_BID"),_bbt3[[#All],[METRIC_VALUE]])*0.5))/100,"")</f>
        <v/>
      </c>
      <c r="I1589">
        <f>IF(ISNA(VLOOKUP(A1589,QW_CloseDL!A:E,5,0)),0,VLOOKUP(A1589,QW_CloseDL!A:E,5,0))</f>
        <v>0</v>
      </c>
      <c r="J1589" s="8" t="str">
        <f t="shared" si="114"/>
        <v/>
      </c>
    </row>
    <row r="1590" spans="2:10" x14ac:dyDescent="0.35">
      <c r="B1590" t="str">
        <f>IF(NOT(ISBLANK(A1590)),VLOOKUP(A1590,'BBT3'!A:F,2,0),"")</f>
        <v/>
      </c>
      <c r="C1590" t="str">
        <f>IF(NOT(ISBLANK(A1590)),VLOOKUP(A1590,'BBT3'!A:F,3,0),"")</f>
        <v/>
      </c>
      <c r="D1590" s="6" t="str">
        <f>IF(NOT(ISBLANK(A1590)),VLOOKUP(A1590,'BBT3'!A:F,4,1),"")</f>
        <v/>
      </c>
      <c r="E1590" t="str">
        <f>IF(NOT(ISBLANK(A1590)),VLOOKUP(A1590,'BBT3'!A:F,5,0),"")</f>
        <v/>
      </c>
      <c r="F1590" t="str">
        <f>IF(NOT(ISBLANK(A1590)),VLOOKUP(A1590,'BBT3'!A:F,6,0),"")</f>
        <v/>
      </c>
      <c r="G1590" t="str">
        <f>IF(NOT(ISBLANK(A1590)),VLOOKUP(A1590,QW_Close!A:J,5,0),"")</f>
        <v/>
      </c>
      <c r="H1590" s="5" t="str" cm="1">
        <f t="array" ref="H1590">IF(NOT(ISBLANK(A1590)),((_xlfn.XLOOKUP(1,(_bbt3[[#All],[ID]]=A1590)*(_bbt3[[#All],[METRIC_NAME]]="YLD_YTM_ASK"),_bbt3[[#All],[METRIC_VALUE]])*0.5)+(_xlfn.XLOOKUP(1,(_bbt3[[#All],[ID]]=A1590)*(_bbt3[[#All],[METRIC_NAME]]="YLD_YTM_BID"),_bbt3[[#All],[METRIC_VALUE]])*0.5))/100,"")</f>
        <v/>
      </c>
      <c r="I1590">
        <f>IF(ISNA(VLOOKUP(A1590,QW_CloseDL!A:E,5,0)),0,VLOOKUP(A1590,QW_CloseDL!A:E,5,0))</f>
        <v>0</v>
      </c>
      <c r="J1590" s="8" t="str">
        <f t="shared" si="114"/>
        <v/>
      </c>
    </row>
    <row r="1591" spans="2:10" x14ac:dyDescent="0.35">
      <c r="B1591" t="str">
        <f>IF(NOT(ISBLANK(A1591)),VLOOKUP(A1591,'BBT3'!A:F,2,0),"")</f>
        <v/>
      </c>
      <c r="C1591" t="str">
        <f>IF(NOT(ISBLANK(A1591)),VLOOKUP(A1591,'BBT3'!A:F,3,0),"")</f>
        <v/>
      </c>
      <c r="D1591" s="6" t="str">
        <f>IF(NOT(ISBLANK(A1591)),VLOOKUP(A1591,'BBT3'!A:F,4,1),"")</f>
        <v/>
      </c>
      <c r="E1591" t="str">
        <f>IF(NOT(ISBLANK(A1591)),VLOOKUP(A1591,'BBT3'!A:F,5,0),"")</f>
        <v/>
      </c>
      <c r="F1591" t="str">
        <f>IF(NOT(ISBLANK(A1591)),VLOOKUP(A1591,'BBT3'!A:F,6,0),"")</f>
        <v/>
      </c>
      <c r="G1591" t="str">
        <f>IF(NOT(ISBLANK(A1591)),VLOOKUP(A1591,QW_Close!A:J,5,0),"")</f>
        <v/>
      </c>
      <c r="H1591" s="5" t="str" cm="1">
        <f t="array" ref="H1591">IF(NOT(ISBLANK(A1591)),((_xlfn.XLOOKUP(1,(_bbt3[[#All],[ID]]=A1591)*(_bbt3[[#All],[METRIC_NAME]]="YLD_YTM_ASK"),_bbt3[[#All],[METRIC_VALUE]])*0.5)+(_xlfn.XLOOKUP(1,(_bbt3[[#All],[ID]]=A1591)*(_bbt3[[#All],[METRIC_NAME]]="YLD_YTM_BID"),_bbt3[[#All],[METRIC_VALUE]])*0.5))/100,"")</f>
        <v/>
      </c>
      <c r="I1591">
        <f>IF(ISNA(VLOOKUP(A1591,QW_CloseDL!A:E,5,0)),0,VLOOKUP(A1591,QW_CloseDL!A:E,5,0))</f>
        <v>0</v>
      </c>
      <c r="J1591" s="8" t="str">
        <f t="shared" si="114"/>
        <v/>
      </c>
    </row>
    <row r="1592" spans="2:10" x14ac:dyDescent="0.35">
      <c r="B1592" t="str">
        <f>IF(NOT(ISBLANK(A1592)),VLOOKUP(A1592,'BBT3'!A:F,2,0),"")</f>
        <v/>
      </c>
      <c r="C1592" t="str">
        <f>IF(NOT(ISBLANK(A1592)),VLOOKUP(A1592,'BBT3'!A:F,3,0),"")</f>
        <v/>
      </c>
      <c r="D1592" s="6" t="str">
        <f>IF(NOT(ISBLANK(A1592)),VLOOKUP(A1592,'BBT3'!A:F,4,1),"")</f>
        <v/>
      </c>
      <c r="E1592" t="str">
        <f>IF(NOT(ISBLANK(A1592)),VLOOKUP(A1592,'BBT3'!A:F,5,0),"")</f>
        <v/>
      </c>
      <c r="F1592" t="str">
        <f>IF(NOT(ISBLANK(A1592)),VLOOKUP(A1592,'BBT3'!A:F,6,0),"")</f>
        <v/>
      </c>
      <c r="G1592" t="str">
        <f>IF(NOT(ISBLANK(A1592)),VLOOKUP(A1592,QW_Close!A:J,5,0),"")</f>
        <v/>
      </c>
      <c r="H1592" s="5" t="str" cm="1">
        <f t="array" ref="H1592">IF(NOT(ISBLANK(A1592)),((_xlfn.XLOOKUP(1,(_bbt3[[#All],[ID]]=A1592)*(_bbt3[[#All],[METRIC_NAME]]="YLD_YTM_ASK"),_bbt3[[#All],[METRIC_VALUE]])*0.5)+(_xlfn.XLOOKUP(1,(_bbt3[[#All],[ID]]=A1592)*(_bbt3[[#All],[METRIC_NAME]]="YLD_YTM_BID"),_bbt3[[#All],[METRIC_VALUE]])*0.5))/100,"")</f>
        <v/>
      </c>
      <c r="I1592">
        <f>IF(ISNA(VLOOKUP(A1592,QW_CloseDL!A:E,5,0)),0,VLOOKUP(A1592,QW_CloseDL!A:E,5,0))</f>
        <v>0</v>
      </c>
      <c r="J1592" s="8" t="str">
        <f t="shared" si="114"/>
        <v/>
      </c>
    </row>
    <row r="1593" spans="2:10" x14ac:dyDescent="0.35">
      <c r="B1593" t="str">
        <f>IF(NOT(ISBLANK(A1593)),VLOOKUP(A1593,'BBT3'!A:F,2,0),"")</f>
        <v/>
      </c>
      <c r="C1593" t="str">
        <f>IF(NOT(ISBLANK(A1593)),VLOOKUP(A1593,'BBT3'!A:F,3,0),"")</f>
        <v/>
      </c>
      <c r="D1593" s="6" t="str">
        <f>IF(NOT(ISBLANK(A1593)),VLOOKUP(A1593,'BBT3'!A:F,4,1),"")</f>
        <v/>
      </c>
      <c r="E1593" t="str">
        <f>IF(NOT(ISBLANK(A1593)),VLOOKUP(A1593,'BBT3'!A:F,5,0),"")</f>
        <v/>
      </c>
      <c r="F1593" t="str">
        <f>IF(NOT(ISBLANK(A1593)),VLOOKUP(A1593,'BBT3'!A:F,6,0),"")</f>
        <v/>
      </c>
      <c r="G1593" t="str">
        <f>IF(NOT(ISBLANK(A1593)),VLOOKUP(A1593,QW_Close!A:J,5,0),"")</f>
        <v/>
      </c>
      <c r="H1593" s="5" t="str" cm="1">
        <f t="array" ref="H1593">IF(NOT(ISBLANK(A1593)),((_xlfn.XLOOKUP(1,(_bbt3[[#All],[ID]]=A1593)*(_bbt3[[#All],[METRIC_NAME]]="YLD_YTM_ASK"),_bbt3[[#All],[METRIC_VALUE]])*0.5)+(_xlfn.XLOOKUP(1,(_bbt3[[#All],[ID]]=A1593)*(_bbt3[[#All],[METRIC_NAME]]="YLD_YTM_BID"),_bbt3[[#All],[METRIC_VALUE]])*0.5))/100,"")</f>
        <v/>
      </c>
      <c r="I1593">
        <f>IF(ISNA(VLOOKUP(A1593,QW_CloseDL!A:E,5,0)),0,VLOOKUP(A1593,QW_CloseDL!A:E,5,0))</f>
        <v>0</v>
      </c>
      <c r="J1593" s="8" t="str">
        <f t="shared" si="114"/>
        <v/>
      </c>
    </row>
    <row r="1594" spans="2:10" x14ac:dyDescent="0.35">
      <c r="B1594" t="str">
        <f>IF(NOT(ISBLANK(A1594)),VLOOKUP(A1594,'BBT3'!A:F,2,0),"")</f>
        <v/>
      </c>
      <c r="C1594" t="str">
        <f>IF(NOT(ISBLANK(A1594)),VLOOKUP(A1594,'BBT3'!A:F,3,0),"")</f>
        <v/>
      </c>
      <c r="D1594" s="6" t="str">
        <f>IF(NOT(ISBLANK(A1594)),VLOOKUP(A1594,'BBT3'!A:F,4,1),"")</f>
        <v/>
      </c>
      <c r="E1594" t="str">
        <f>IF(NOT(ISBLANK(A1594)),VLOOKUP(A1594,'BBT3'!A:F,5,0),"")</f>
        <v/>
      </c>
      <c r="F1594" t="str">
        <f>IF(NOT(ISBLANK(A1594)),VLOOKUP(A1594,'BBT3'!A:F,6,0),"")</f>
        <v/>
      </c>
      <c r="G1594" t="str">
        <f>IF(NOT(ISBLANK(A1594)),VLOOKUP(A1594,QW_Close!A:J,5,0),"")</f>
        <v/>
      </c>
      <c r="H1594" s="5" t="str" cm="1">
        <f t="array" ref="H1594">IF(NOT(ISBLANK(A1594)),((_xlfn.XLOOKUP(1,(_bbt3[[#All],[ID]]=A1594)*(_bbt3[[#All],[METRIC_NAME]]="YLD_YTM_ASK"),_bbt3[[#All],[METRIC_VALUE]])*0.5)+(_xlfn.XLOOKUP(1,(_bbt3[[#All],[ID]]=A1594)*(_bbt3[[#All],[METRIC_NAME]]="YLD_YTM_BID"),_bbt3[[#All],[METRIC_VALUE]])*0.5))/100,"")</f>
        <v/>
      </c>
      <c r="I1594">
        <f>IF(ISNA(VLOOKUP(A1594,QW_CloseDL!A:E,5,0)),0,VLOOKUP(A1594,QW_CloseDL!A:E,5,0))</f>
        <v>0</v>
      </c>
      <c r="J1594" s="8" t="str">
        <f t="shared" si="114"/>
        <v/>
      </c>
    </row>
    <row r="1595" spans="2:10" x14ac:dyDescent="0.35">
      <c r="B1595" t="str">
        <f>IF(NOT(ISBLANK(A1595)),VLOOKUP(A1595,'BBT3'!A:F,2,0),"")</f>
        <v/>
      </c>
      <c r="C1595" t="str">
        <f>IF(NOT(ISBLANK(A1595)),VLOOKUP(A1595,'BBT3'!A:F,3,0),"")</f>
        <v/>
      </c>
      <c r="D1595" s="6" t="str">
        <f>IF(NOT(ISBLANK(A1595)),VLOOKUP(A1595,'BBT3'!A:F,4,1),"")</f>
        <v/>
      </c>
      <c r="E1595" t="str">
        <f>IF(NOT(ISBLANK(A1595)),VLOOKUP(A1595,'BBT3'!A:F,5,0),"")</f>
        <v/>
      </c>
      <c r="F1595" t="str">
        <f>IF(NOT(ISBLANK(A1595)),VLOOKUP(A1595,'BBT3'!A:F,6,0),"")</f>
        <v/>
      </c>
      <c r="G1595" t="str">
        <f>IF(NOT(ISBLANK(A1595)),VLOOKUP(A1595,QW_Close!A:J,5,0),"")</f>
        <v/>
      </c>
      <c r="H1595" s="5" t="str" cm="1">
        <f t="array" ref="H1595">IF(NOT(ISBLANK(A1595)),((_xlfn.XLOOKUP(1,(_bbt3[[#All],[ID]]=A1595)*(_bbt3[[#All],[METRIC_NAME]]="YLD_YTM_ASK"),_bbt3[[#All],[METRIC_VALUE]])*0.5)+(_xlfn.XLOOKUP(1,(_bbt3[[#All],[ID]]=A1595)*(_bbt3[[#All],[METRIC_NAME]]="YLD_YTM_BID"),_bbt3[[#All],[METRIC_VALUE]])*0.5))/100,"")</f>
        <v/>
      </c>
      <c r="I1595">
        <f>IF(ISNA(VLOOKUP(A1595,QW_CloseDL!A:E,5,0)),0,VLOOKUP(A1595,QW_CloseDL!A:E,5,0))</f>
        <v>0</v>
      </c>
      <c r="J1595" s="8" t="str">
        <f t="shared" si="114"/>
        <v/>
      </c>
    </row>
    <row r="1596" spans="2:10" x14ac:dyDescent="0.35">
      <c r="B1596" t="str">
        <f>IF(NOT(ISBLANK(A1596)),VLOOKUP(A1596,'BBT3'!A:F,2,0),"")</f>
        <v/>
      </c>
      <c r="C1596" t="str">
        <f>IF(NOT(ISBLANK(A1596)),VLOOKUP(A1596,'BBT3'!A:F,3,0),"")</f>
        <v/>
      </c>
      <c r="D1596" s="6" t="str">
        <f>IF(NOT(ISBLANK(A1596)),VLOOKUP(A1596,'BBT3'!A:F,4,1),"")</f>
        <v/>
      </c>
      <c r="E1596" t="str">
        <f>IF(NOT(ISBLANK(A1596)),VLOOKUP(A1596,'BBT3'!A:F,5,0),"")</f>
        <v/>
      </c>
      <c r="F1596" t="str">
        <f>IF(NOT(ISBLANK(A1596)),VLOOKUP(A1596,'BBT3'!A:F,6,0),"")</f>
        <v/>
      </c>
      <c r="G1596" t="str">
        <f>IF(NOT(ISBLANK(A1596)),VLOOKUP(A1596,QW_Close!A:J,5,0),"")</f>
        <v/>
      </c>
      <c r="H1596" s="5" t="str" cm="1">
        <f t="array" ref="H1596">IF(NOT(ISBLANK(A1596)),((_xlfn.XLOOKUP(1,(_bbt3[[#All],[ID]]=A1596)*(_bbt3[[#All],[METRIC_NAME]]="YLD_YTM_ASK"),_bbt3[[#All],[METRIC_VALUE]])*0.5)+(_xlfn.XLOOKUP(1,(_bbt3[[#All],[ID]]=A1596)*(_bbt3[[#All],[METRIC_NAME]]="YLD_YTM_BID"),_bbt3[[#All],[METRIC_VALUE]])*0.5))/100,"")</f>
        <v/>
      </c>
      <c r="I1596">
        <f>IF(ISNA(VLOOKUP(A1596,QW_CloseDL!A:E,5,0)),0,VLOOKUP(A1596,QW_CloseDL!A:E,5,0))</f>
        <v>0</v>
      </c>
      <c r="J1596" s="8" t="str">
        <f t="shared" si="114"/>
        <v/>
      </c>
    </row>
    <row r="1597" spans="2:10" x14ac:dyDescent="0.35">
      <c r="B1597" t="str">
        <f>IF(NOT(ISBLANK(A1597)),VLOOKUP(A1597,'BBT3'!A:F,2,0),"")</f>
        <v/>
      </c>
      <c r="C1597" t="str">
        <f>IF(NOT(ISBLANK(A1597)),VLOOKUP(A1597,'BBT3'!A:F,3,0),"")</f>
        <v/>
      </c>
      <c r="D1597" s="6" t="str">
        <f>IF(NOT(ISBLANK(A1597)),VLOOKUP(A1597,'BBT3'!A:F,4,1),"")</f>
        <v/>
      </c>
      <c r="E1597" t="str">
        <f>IF(NOT(ISBLANK(A1597)),VLOOKUP(A1597,'BBT3'!A:F,5,0),"")</f>
        <v/>
      </c>
      <c r="F1597" t="str">
        <f>IF(NOT(ISBLANK(A1597)),VLOOKUP(A1597,'BBT3'!A:F,6,0),"")</f>
        <v/>
      </c>
      <c r="G1597" t="str">
        <f>IF(NOT(ISBLANK(A1597)),VLOOKUP(A1597,QW_Close!A:J,5,0),"")</f>
        <v/>
      </c>
      <c r="H1597" s="5" t="str" cm="1">
        <f t="array" ref="H1597">IF(NOT(ISBLANK(A1597)),((_xlfn.XLOOKUP(1,(_bbt3[[#All],[ID]]=A1597)*(_bbt3[[#All],[METRIC_NAME]]="YLD_YTM_ASK"),_bbt3[[#All],[METRIC_VALUE]])*0.5)+(_xlfn.XLOOKUP(1,(_bbt3[[#All],[ID]]=A1597)*(_bbt3[[#All],[METRIC_NAME]]="YLD_YTM_BID"),_bbt3[[#All],[METRIC_VALUE]])*0.5))/100,"")</f>
        <v/>
      </c>
      <c r="I1597">
        <f>IF(ISNA(VLOOKUP(A1597,QW_CloseDL!A:E,5,0)),0,VLOOKUP(A1597,QW_CloseDL!A:E,5,0))</f>
        <v>0</v>
      </c>
      <c r="J1597" s="8" t="str">
        <f t="shared" si="114"/>
        <v/>
      </c>
    </row>
    <row r="1598" spans="2:10" x14ac:dyDescent="0.35">
      <c r="B1598" t="str">
        <f>IF(NOT(ISBLANK(A1598)),VLOOKUP(A1598,'BBT3'!A:F,2,0),"")</f>
        <v/>
      </c>
      <c r="C1598" t="str">
        <f>IF(NOT(ISBLANK(A1598)),VLOOKUP(A1598,'BBT3'!A:F,3,0),"")</f>
        <v/>
      </c>
      <c r="D1598" s="6" t="str">
        <f>IF(NOT(ISBLANK(A1598)),VLOOKUP(A1598,'BBT3'!A:F,4,1),"")</f>
        <v/>
      </c>
      <c r="E1598" t="str">
        <f>IF(NOT(ISBLANK(A1598)),VLOOKUP(A1598,'BBT3'!A:F,5,0),"")</f>
        <v/>
      </c>
      <c r="F1598" t="str">
        <f>IF(NOT(ISBLANK(A1598)),VLOOKUP(A1598,'BBT3'!A:F,6,0),"")</f>
        <v/>
      </c>
      <c r="G1598" t="str">
        <f>IF(NOT(ISBLANK(A1598)),VLOOKUP(A1598,QW_Close!A:J,5,0),"")</f>
        <v/>
      </c>
      <c r="H1598" s="5" t="str" cm="1">
        <f t="array" ref="H1598">IF(NOT(ISBLANK(A1598)),((_xlfn.XLOOKUP(1,(_bbt3[[#All],[ID]]=A1598)*(_bbt3[[#All],[METRIC_NAME]]="YLD_YTM_ASK"),_bbt3[[#All],[METRIC_VALUE]])*0.5)+(_xlfn.XLOOKUP(1,(_bbt3[[#All],[ID]]=A1598)*(_bbt3[[#All],[METRIC_NAME]]="YLD_YTM_BID"),_bbt3[[#All],[METRIC_VALUE]])*0.5))/100,"")</f>
        <v/>
      </c>
      <c r="I1598">
        <f>IF(ISNA(VLOOKUP(A1598,QW_CloseDL!A:E,5,0)),0,VLOOKUP(A1598,QW_CloseDL!A:E,5,0))</f>
        <v>0</v>
      </c>
      <c r="J1598" s="8" t="str">
        <f t="shared" si="114"/>
        <v/>
      </c>
    </row>
    <row r="1599" spans="2:10" x14ac:dyDescent="0.35">
      <c r="B1599" t="str">
        <f>IF(NOT(ISBLANK(A1599)),VLOOKUP(A1599,'BBT3'!A:F,2,0),"")</f>
        <v/>
      </c>
      <c r="C1599" t="str">
        <f>IF(NOT(ISBLANK(A1599)),VLOOKUP(A1599,'BBT3'!A:F,3,0),"")</f>
        <v/>
      </c>
      <c r="D1599" s="6" t="str">
        <f>IF(NOT(ISBLANK(A1599)),VLOOKUP(A1599,'BBT3'!A:F,4,1),"")</f>
        <v/>
      </c>
      <c r="E1599" t="str">
        <f>IF(NOT(ISBLANK(A1599)),VLOOKUP(A1599,'BBT3'!A:F,5,0),"")</f>
        <v/>
      </c>
      <c r="F1599" t="str">
        <f>IF(NOT(ISBLANK(A1599)),VLOOKUP(A1599,'BBT3'!A:F,6,0),"")</f>
        <v/>
      </c>
      <c r="G1599" t="str">
        <f>IF(NOT(ISBLANK(A1599)),VLOOKUP(A1599,QW_Close!A:J,5,0),"")</f>
        <v/>
      </c>
      <c r="H1599" s="5" t="str" cm="1">
        <f t="array" ref="H1599">IF(NOT(ISBLANK(A1599)),((_xlfn.XLOOKUP(1,(_bbt3[[#All],[ID]]=A1599)*(_bbt3[[#All],[METRIC_NAME]]="YLD_YTM_ASK"),_bbt3[[#All],[METRIC_VALUE]])*0.5)+(_xlfn.XLOOKUP(1,(_bbt3[[#All],[ID]]=A1599)*(_bbt3[[#All],[METRIC_NAME]]="YLD_YTM_BID"),_bbt3[[#All],[METRIC_VALUE]])*0.5))/100,"")</f>
        <v/>
      </c>
      <c r="I1599">
        <f>IF(ISNA(VLOOKUP(A1599,QW_CloseDL!A:E,5,0)),0,VLOOKUP(A1599,QW_CloseDL!A:E,5,0))</f>
        <v>0</v>
      </c>
      <c r="J1599" s="8" t="str">
        <f t="shared" si="114"/>
        <v/>
      </c>
    </row>
    <row r="1600" spans="2:10" x14ac:dyDescent="0.35">
      <c r="B1600" t="str">
        <f>IF(NOT(ISBLANK(A1600)),VLOOKUP(A1600,'BBT3'!A:F,2,0),"")</f>
        <v/>
      </c>
      <c r="C1600" t="str">
        <f>IF(NOT(ISBLANK(A1600)),VLOOKUP(A1600,'BBT3'!A:F,3,0),"")</f>
        <v/>
      </c>
      <c r="D1600" s="6" t="str">
        <f>IF(NOT(ISBLANK(A1600)),VLOOKUP(A1600,'BBT3'!A:F,4,1),"")</f>
        <v/>
      </c>
      <c r="E1600" t="str">
        <f>IF(NOT(ISBLANK(A1600)),VLOOKUP(A1600,'BBT3'!A:F,5,0),"")</f>
        <v/>
      </c>
      <c r="F1600" t="str">
        <f>IF(NOT(ISBLANK(A1600)),VLOOKUP(A1600,'BBT3'!A:F,6,0),"")</f>
        <v/>
      </c>
      <c r="G1600" t="str">
        <f>IF(NOT(ISBLANK(A1600)),VLOOKUP(A1600,QW_Close!A:J,5,0),"")</f>
        <v/>
      </c>
      <c r="H1600" s="5" t="str" cm="1">
        <f t="array" ref="H1600">IF(NOT(ISBLANK(A1600)),((_xlfn.XLOOKUP(1,(_bbt3[[#All],[ID]]=A1600)*(_bbt3[[#All],[METRIC_NAME]]="YLD_YTM_ASK"),_bbt3[[#All],[METRIC_VALUE]])*0.5)+(_xlfn.XLOOKUP(1,(_bbt3[[#All],[ID]]=A1600)*(_bbt3[[#All],[METRIC_NAME]]="YLD_YTM_BID"),_bbt3[[#All],[METRIC_VALUE]])*0.5))/100,"")</f>
        <v/>
      </c>
      <c r="I1600">
        <f>IF(ISNA(VLOOKUP(A1600,QW_CloseDL!A:E,5,0)),0,VLOOKUP(A1600,QW_CloseDL!A:E,5,0))</f>
        <v>0</v>
      </c>
      <c r="J1600" s="8" t="str">
        <f t="shared" si="114"/>
        <v/>
      </c>
    </row>
    <row r="1601" spans="2:10" x14ac:dyDescent="0.35">
      <c r="B1601" t="str">
        <f>IF(NOT(ISBLANK(A1601)),VLOOKUP(A1601,'BBT3'!A:F,2,0),"")</f>
        <v/>
      </c>
      <c r="C1601" t="str">
        <f>IF(NOT(ISBLANK(A1601)),VLOOKUP(A1601,'BBT3'!A:F,3,0),"")</f>
        <v/>
      </c>
      <c r="D1601" s="6" t="str">
        <f>IF(NOT(ISBLANK(A1601)),VLOOKUP(A1601,'BBT3'!A:F,4,1),"")</f>
        <v/>
      </c>
      <c r="E1601" t="str">
        <f>IF(NOT(ISBLANK(A1601)),VLOOKUP(A1601,'BBT3'!A:F,5,0),"")</f>
        <v/>
      </c>
      <c r="F1601" t="str">
        <f>IF(NOT(ISBLANK(A1601)),VLOOKUP(A1601,'BBT3'!A:F,6,0),"")</f>
        <v/>
      </c>
      <c r="G1601" t="str">
        <f>IF(NOT(ISBLANK(A1601)),VLOOKUP(A1601,QW_Close!A:J,5,0),"")</f>
        <v/>
      </c>
      <c r="H1601" s="5" t="str" cm="1">
        <f t="array" ref="H1601">IF(NOT(ISBLANK(A1601)),((_xlfn.XLOOKUP(1,(_bbt3[[#All],[ID]]=A1601)*(_bbt3[[#All],[METRIC_NAME]]="YLD_YTM_ASK"),_bbt3[[#All],[METRIC_VALUE]])*0.5)+(_xlfn.XLOOKUP(1,(_bbt3[[#All],[ID]]=A1601)*(_bbt3[[#All],[METRIC_NAME]]="YLD_YTM_BID"),_bbt3[[#All],[METRIC_VALUE]])*0.5))/100,"")</f>
        <v/>
      </c>
      <c r="I1601">
        <f>IF(ISNA(VLOOKUP(A1601,QW_CloseDL!A:E,5,0)),0,VLOOKUP(A1601,QW_CloseDL!A:E,5,0))</f>
        <v>0</v>
      </c>
      <c r="J1601" s="8" t="str">
        <f t="shared" si="114"/>
        <v/>
      </c>
    </row>
    <row r="1602" spans="2:10" x14ac:dyDescent="0.35">
      <c r="B1602" t="str">
        <f>IF(NOT(ISBLANK(A1602)),VLOOKUP(A1602,'BBT3'!A:F,2,0),"")</f>
        <v/>
      </c>
      <c r="C1602" t="str">
        <f>IF(NOT(ISBLANK(A1602)),VLOOKUP(A1602,'BBT3'!A:F,3,0),"")</f>
        <v/>
      </c>
      <c r="D1602" s="6" t="str">
        <f>IF(NOT(ISBLANK(A1602)),VLOOKUP(A1602,'BBT3'!A:F,4,1),"")</f>
        <v/>
      </c>
      <c r="E1602" t="str">
        <f>IF(NOT(ISBLANK(A1602)),VLOOKUP(A1602,'BBT3'!A:F,5,0),"")</f>
        <v/>
      </c>
      <c r="F1602" t="str">
        <f>IF(NOT(ISBLANK(A1602)),VLOOKUP(A1602,'BBT3'!A:F,6,0),"")</f>
        <v/>
      </c>
      <c r="G1602" t="str">
        <f>IF(NOT(ISBLANK(A1602)),VLOOKUP(A1602,QW_Close!A:J,5,0),"")</f>
        <v/>
      </c>
      <c r="H1602" s="5" t="str" cm="1">
        <f t="array" ref="H1602">IF(NOT(ISBLANK(A1602)),((_xlfn.XLOOKUP(1,(_bbt3[[#All],[ID]]=A1602)*(_bbt3[[#All],[METRIC_NAME]]="YLD_YTM_ASK"),_bbt3[[#All],[METRIC_VALUE]])*0.5)+(_xlfn.XLOOKUP(1,(_bbt3[[#All],[ID]]=A1602)*(_bbt3[[#All],[METRIC_NAME]]="YLD_YTM_BID"),_bbt3[[#All],[METRIC_VALUE]])*0.5))/100,"")</f>
        <v/>
      </c>
      <c r="I1602">
        <f>IF(ISNA(VLOOKUP(A1602,QW_CloseDL!A:E,5,0)),0,VLOOKUP(A1602,QW_CloseDL!A:E,5,0))</f>
        <v>0</v>
      </c>
      <c r="J1602" s="8" t="str">
        <f t="shared" si="114"/>
        <v/>
      </c>
    </row>
    <row r="1603" spans="2:10" x14ac:dyDescent="0.35">
      <c r="B1603" t="str">
        <f>IF(NOT(ISBLANK(A1603)),VLOOKUP(A1603,'BBT3'!A:F,2,0),"")</f>
        <v/>
      </c>
      <c r="C1603" t="str">
        <f>IF(NOT(ISBLANK(A1603)),VLOOKUP(A1603,'BBT3'!A:F,3,0),"")</f>
        <v/>
      </c>
      <c r="D1603" s="6" t="str">
        <f>IF(NOT(ISBLANK(A1603)),VLOOKUP(A1603,'BBT3'!A:F,4,1),"")</f>
        <v/>
      </c>
      <c r="E1603" t="str">
        <f>IF(NOT(ISBLANK(A1603)),VLOOKUP(A1603,'BBT3'!A:F,5,0),"")</f>
        <v/>
      </c>
      <c r="F1603" t="str">
        <f>IF(NOT(ISBLANK(A1603)),VLOOKUP(A1603,'BBT3'!A:F,6,0),"")</f>
        <v/>
      </c>
      <c r="G1603" t="str">
        <f>IF(NOT(ISBLANK(A1603)),VLOOKUP(A1603,QW_Close!A:J,5,0),"")</f>
        <v/>
      </c>
      <c r="H1603" s="5" t="str" cm="1">
        <f t="array" ref="H1603">IF(NOT(ISBLANK(A1603)),((_xlfn.XLOOKUP(1,(_bbt3[[#All],[ID]]=A1603)*(_bbt3[[#All],[METRIC_NAME]]="YLD_YTM_ASK"),_bbt3[[#All],[METRIC_VALUE]])*0.5)+(_xlfn.XLOOKUP(1,(_bbt3[[#All],[ID]]=A1603)*(_bbt3[[#All],[METRIC_NAME]]="YLD_YTM_BID"),_bbt3[[#All],[METRIC_VALUE]])*0.5))/100,"")</f>
        <v/>
      </c>
      <c r="I1603">
        <f>IF(ISNA(VLOOKUP(A1603,QW_CloseDL!A:E,5,0)),0,VLOOKUP(A1603,QW_CloseDL!A:E,5,0))</f>
        <v>0</v>
      </c>
      <c r="J1603" s="8" t="str">
        <f t="shared" ref="J1603:J1666" si="115">IF(ISNA(IF(NOT(ISBLANK(A1603)),ABS(G1603-I1603),"")),0,(IF(NOT(ISBLANK(A1603)),ABS(G1603-I1603)*10000,"")))</f>
        <v/>
      </c>
    </row>
    <row r="1604" spans="2:10" x14ac:dyDescent="0.35">
      <c r="B1604" t="str">
        <f>IF(NOT(ISBLANK(A1604)),VLOOKUP(A1604,'BBT3'!A:F,2,0),"")</f>
        <v/>
      </c>
      <c r="C1604" t="str">
        <f>IF(NOT(ISBLANK(A1604)),VLOOKUP(A1604,'BBT3'!A:F,3,0),"")</f>
        <v/>
      </c>
      <c r="D1604" s="6" t="str">
        <f>IF(NOT(ISBLANK(A1604)),VLOOKUP(A1604,'BBT3'!A:F,4,1),"")</f>
        <v/>
      </c>
      <c r="E1604" t="str">
        <f>IF(NOT(ISBLANK(A1604)),VLOOKUP(A1604,'BBT3'!A:F,5,0),"")</f>
        <v/>
      </c>
      <c r="F1604" t="str">
        <f>IF(NOT(ISBLANK(A1604)),VLOOKUP(A1604,'BBT3'!A:F,6,0),"")</f>
        <v/>
      </c>
      <c r="G1604" t="str">
        <f>IF(NOT(ISBLANK(A1604)),VLOOKUP(A1604,QW_Close!A:J,5,0),"")</f>
        <v/>
      </c>
      <c r="H1604" s="5" t="str" cm="1">
        <f t="array" ref="H1604">IF(NOT(ISBLANK(A1604)),((_xlfn.XLOOKUP(1,(_bbt3[[#All],[ID]]=A1604)*(_bbt3[[#All],[METRIC_NAME]]="YLD_YTM_ASK"),_bbt3[[#All],[METRIC_VALUE]])*0.5)+(_xlfn.XLOOKUP(1,(_bbt3[[#All],[ID]]=A1604)*(_bbt3[[#All],[METRIC_NAME]]="YLD_YTM_BID"),_bbt3[[#All],[METRIC_VALUE]])*0.5))/100,"")</f>
        <v/>
      </c>
      <c r="I1604">
        <f>IF(ISNA(VLOOKUP(A1604,QW_CloseDL!A:E,5,0)),0,VLOOKUP(A1604,QW_CloseDL!A:E,5,0))</f>
        <v>0</v>
      </c>
      <c r="J1604" s="8" t="str">
        <f t="shared" si="115"/>
        <v/>
      </c>
    </row>
    <row r="1605" spans="2:10" x14ac:dyDescent="0.35">
      <c r="B1605" t="str">
        <f>IF(NOT(ISBLANK(A1605)),VLOOKUP(A1605,'BBT3'!A:F,2,0),"")</f>
        <v/>
      </c>
      <c r="C1605" t="str">
        <f>IF(NOT(ISBLANK(A1605)),VLOOKUP(A1605,'BBT3'!A:F,3,0),"")</f>
        <v/>
      </c>
      <c r="D1605" s="6" t="str">
        <f>IF(NOT(ISBLANK(A1605)),VLOOKUP(A1605,'BBT3'!A:F,4,1),"")</f>
        <v/>
      </c>
      <c r="E1605" t="str">
        <f>IF(NOT(ISBLANK(A1605)),VLOOKUP(A1605,'BBT3'!A:F,5,0),"")</f>
        <v/>
      </c>
      <c r="F1605" t="str">
        <f>IF(NOT(ISBLANK(A1605)),VLOOKUP(A1605,'BBT3'!A:F,6,0),"")</f>
        <v/>
      </c>
      <c r="G1605" t="str">
        <f>IF(NOT(ISBLANK(A1605)),VLOOKUP(A1605,QW_Close!A:J,5,0),"")</f>
        <v/>
      </c>
      <c r="H1605" s="5" t="str" cm="1">
        <f t="array" ref="H1605">IF(NOT(ISBLANK(A1605)),((_xlfn.XLOOKUP(1,(_bbt3[[#All],[ID]]=A1605)*(_bbt3[[#All],[METRIC_NAME]]="YLD_YTM_ASK"),_bbt3[[#All],[METRIC_VALUE]])*0.5)+(_xlfn.XLOOKUP(1,(_bbt3[[#All],[ID]]=A1605)*(_bbt3[[#All],[METRIC_NAME]]="YLD_YTM_BID"),_bbt3[[#All],[METRIC_VALUE]])*0.5))/100,"")</f>
        <v/>
      </c>
      <c r="I1605">
        <f>IF(ISNA(VLOOKUP(A1605,QW_CloseDL!A:E,5,0)),0,VLOOKUP(A1605,QW_CloseDL!A:E,5,0))</f>
        <v>0</v>
      </c>
      <c r="J1605" s="8" t="str">
        <f t="shared" si="115"/>
        <v/>
      </c>
    </row>
    <row r="1606" spans="2:10" x14ac:dyDescent="0.35">
      <c r="B1606" t="str">
        <f>IF(NOT(ISBLANK(A1606)),VLOOKUP(A1606,'BBT3'!A:F,2,0),"")</f>
        <v/>
      </c>
      <c r="C1606" t="str">
        <f>IF(NOT(ISBLANK(A1606)),VLOOKUP(A1606,'BBT3'!A:F,3,0),"")</f>
        <v/>
      </c>
      <c r="D1606" s="6" t="str">
        <f>IF(NOT(ISBLANK(A1606)),VLOOKUP(A1606,'BBT3'!A:F,4,1),"")</f>
        <v/>
      </c>
      <c r="E1606" t="str">
        <f>IF(NOT(ISBLANK(A1606)),VLOOKUP(A1606,'BBT3'!A:F,5,0),"")</f>
        <v/>
      </c>
      <c r="F1606" t="str">
        <f>IF(NOT(ISBLANK(A1606)),VLOOKUP(A1606,'BBT3'!A:F,6,0),"")</f>
        <v/>
      </c>
      <c r="G1606" t="str">
        <f>IF(NOT(ISBLANK(A1606)),VLOOKUP(A1606,QW_Close!A:J,5,0),"")</f>
        <v/>
      </c>
      <c r="H1606" s="5" t="str" cm="1">
        <f t="array" ref="H1606">IF(NOT(ISBLANK(A1606)),((_xlfn.XLOOKUP(1,(_bbt3[[#All],[ID]]=A1606)*(_bbt3[[#All],[METRIC_NAME]]="YLD_YTM_ASK"),_bbt3[[#All],[METRIC_VALUE]])*0.5)+(_xlfn.XLOOKUP(1,(_bbt3[[#All],[ID]]=A1606)*(_bbt3[[#All],[METRIC_NAME]]="YLD_YTM_BID"),_bbt3[[#All],[METRIC_VALUE]])*0.5))/100,"")</f>
        <v/>
      </c>
      <c r="I1606">
        <f>IF(ISNA(VLOOKUP(A1606,QW_CloseDL!A:E,5,0)),0,VLOOKUP(A1606,QW_CloseDL!A:E,5,0))</f>
        <v>0</v>
      </c>
      <c r="J1606" s="8" t="str">
        <f t="shared" si="115"/>
        <v/>
      </c>
    </row>
    <row r="1607" spans="2:10" x14ac:dyDescent="0.35">
      <c r="B1607" t="str">
        <f>IF(NOT(ISBLANK(A1607)),VLOOKUP(A1607,'BBT3'!A:F,2,0),"")</f>
        <v/>
      </c>
      <c r="C1607" t="str">
        <f>IF(NOT(ISBLANK(A1607)),VLOOKUP(A1607,'BBT3'!A:F,3,0),"")</f>
        <v/>
      </c>
      <c r="D1607" s="6" t="str">
        <f>IF(NOT(ISBLANK(A1607)),VLOOKUP(A1607,'BBT3'!A:F,4,1),"")</f>
        <v/>
      </c>
      <c r="E1607" t="str">
        <f>IF(NOT(ISBLANK(A1607)),VLOOKUP(A1607,'BBT3'!A:F,5,0),"")</f>
        <v/>
      </c>
      <c r="F1607" t="str">
        <f>IF(NOT(ISBLANK(A1607)),VLOOKUP(A1607,'BBT3'!A:F,6,0),"")</f>
        <v/>
      </c>
      <c r="G1607" t="str">
        <f>IF(NOT(ISBLANK(A1607)),VLOOKUP(A1607,QW_Close!A:J,5,0),"")</f>
        <v/>
      </c>
      <c r="H1607" s="5" t="str" cm="1">
        <f t="array" ref="H1607">IF(NOT(ISBLANK(A1607)),((_xlfn.XLOOKUP(1,(_bbt3[[#All],[ID]]=A1607)*(_bbt3[[#All],[METRIC_NAME]]="YLD_YTM_ASK"),_bbt3[[#All],[METRIC_VALUE]])*0.5)+(_xlfn.XLOOKUP(1,(_bbt3[[#All],[ID]]=A1607)*(_bbt3[[#All],[METRIC_NAME]]="YLD_YTM_BID"),_bbt3[[#All],[METRIC_VALUE]])*0.5))/100,"")</f>
        <v/>
      </c>
      <c r="I1607">
        <f>IF(ISNA(VLOOKUP(A1607,QW_CloseDL!A:E,5,0)),0,VLOOKUP(A1607,QW_CloseDL!A:E,5,0))</f>
        <v>0</v>
      </c>
      <c r="J1607" s="8" t="str">
        <f t="shared" si="115"/>
        <v/>
      </c>
    </row>
    <row r="1608" spans="2:10" x14ac:dyDescent="0.35">
      <c r="B1608" t="str">
        <f>IF(NOT(ISBLANK(A1608)),VLOOKUP(A1608,'BBT3'!A:F,2,0),"")</f>
        <v/>
      </c>
      <c r="C1608" t="str">
        <f>IF(NOT(ISBLANK(A1608)),VLOOKUP(A1608,'BBT3'!A:F,3,0),"")</f>
        <v/>
      </c>
      <c r="D1608" s="6" t="str">
        <f>IF(NOT(ISBLANK(A1608)),VLOOKUP(A1608,'BBT3'!A:F,4,1),"")</f>
        <v/>
      </c>
      <c r="E1608" t="str">
        <f>IF(NOT(ISBLANK(A1608)),VLOOKUP(A1608,'BBT3'!A:F,5,0),"")</f>
        <v/>
      </c>
      <c r="F1608" t="str">
        <f>IF(NOT(ISBLANK(A1608)),VLOOKUP(A1608,'BBT3'!A:F,6,0),"")</f>
        <v/>
      </c>
      <c r="G1608" t="str">
        <f>IF(NOT(ISBLANK(A1608)),VLOOKUP(A1608,QW_Close!A:J,5,0),"")</f>
        <v/>
      </c>
      <c r="H1608" s="5" t="str" cm="1">
        <f t="array" ref="H1608">IF(NOT(ISBLANK(A1608)),((_xlfn.XLOOKUP(1,(_bbt3[[#All],[ID]]=A1608)*(_bbt3[[#All],[METRIC_NAME]]="YLD_YTM_ASK"),_bbt3[[#All],[METRIC_VALUE]])*0.5)+(_xlfn.XLOOKUP(1,(_bbt3[[#All],[ID]]=A1608)*(_bbt3[[#All],[METRIC_NAME]]="YLD_YTM_BID"),_bbt3[[#All],[METRIC_VALUE]])*0.5))/100,"")</f>
        <v/>
      </c>
      <c r="I1608">
        <f>IF(ISNA(VLOOKUP(A1608,QW_CloseDL!A:E,5,0)),0,VLOOKUP(A1608,QW_CloseDL!A:E,5,0))</f>
        <v>0</v>
      </c>
      <c r="J1608" s="8" t="str">
        <f t="shared" si="115"/>
        <v/>
      </c>
    </row>
    <row r="1609" spans="2:10" x14ac:dyDescent="0.35">
      <c r="B1609" t="str">
        <f>IF(NOT(ISBLANK(A1609)),VLOOKUP(A1609,'BBT3'!A:F,2,0),"")</f>
        <v/>
      </c>
      <c r="C1609" t="str">
        <f>IF(NOT(ISBLANK(A1609)),VLOOKUP(A1609,'BBT3'!A:F,3,0),"")</f>
        <v/>
      </c>
      <c r="D1609" s="6" t="str">
        <f>IF(NOT(ISBLANK(A1609)),VLOOKUP(A1609,'BBT3'!A:F,4,1),"")</f>
        <v/>
      </c>
      <c r="E1609" t="str">
        <f>IF(NOT(ISBLANK(A1609)),VLOOKUP(A1609,'BBT3'!A:F,5,0),"")</f>
        <v/>
      </c>
      <c r="F1609" t="str">
        <f>IF(NOT(ISBLANK(A1609)),VLOOKUP(A1609,'BBT3'!A:F,6,0),"")</f>
        <v/>
      </c>
      <c r="G1609" t="str">
        <f>IF(NOT(ISBLANK(A1609)),VLOOKUP(A1609,QW_Close!A:J,5,0),"")</f>
        <v/>
      </c>
      <c r="H1609" s="5" t="str" cm="1">
        <f t="array" ref="H1609">IF(NOT(ISBLANK(A1609)),((_xlfn.XLOOKUP(1,(_bbt3[[#All],[ID]]=A1609)*(_bbt3[[#All],[METRIC_NAME]]="YLD_YTM_ASK"),_bbt3[[#All],[METRIC_VALUE]])*0.5)+(_xlfn.XLOOKUP(1,(_bbt3[[#All],[ID]]=A1609)*(_bbt3[[#All],[METRIC_NAME]]="YLD_YTM_BID"),_bbt3[[#All],[METRIC_VALUE]])*0.5))/100,"")</f>
        <v/>
      </c>
      <c r="I1609">
        <f>IF(ISNA(VLOOKUP(A1609,QW_CloseDL!A:E,5,0)),0,VLOOKUP(A1609,QW_CloseDL!A:E,5,0))</f>
        <v>0</v>
      </c>
      <c r="J1609" s="8" t="str">
        <f t="shared" si="115"/>
        <v/>
      </c>
    </row>
    <row r="1610" spans="2:10" x14ac:dyDescent="0.35">
      <c r="B1610" t="str">
        <f>IF(NOT(ISBLANK(A1610)),VLOOKUP(A1610,'BBT3'!A:F,2,0),"")</f>
        <v/>
      </c>
      <c r="C1610" t="str">
        <f>IF(NOT(ISBLANK(A1610)),VLOOKUP(A1610,'BBT3'!A:F,3,0),"")</f>
        <v/>
      </c>
      <c r="D1610" s="6" t="str">
        <f>IF(NOT(ISBLANK(A1610)),VLOOKUP(A1610,'BBT3'!A:F,4,1),"")</f>
        <v/>
      </c>
      <c r="E1610" t="str">
        <f>IF(NOT(ISBLANK(A1610)),VLOOKUP(A1610,'BBT3'!A:F,5,0),"")</f>
        <v/>
      </c>
      <c r="F1610" t="str">
        <f>IF(NOT(ISBLANK(A1610)),VLOOKUP(A1610,'BBT3'!A:F,6,0),"")</f>
        <v/>
      </c>
      <c r="G1610" t="str">
        <f>IF(NOT(ISBLANK(A1610)),VLOOKUP(A1610,QW_Close!A:J,5,0),"")</f>
        <v/>
      </c>
      <c r="H1610" s="5" t="str" cm="1">
        <f t="array" ref="H1610">IF(NOT(ISBLANK(A1610)),((_xlfn.XLOOKUP(1,(_bbt3[[#All],[ID]]=A1610)*(_bbt3[[#All],[METRIC_NAME]]="YLD_YTM_ASK"),_bbt3[[#All],[METRIC_VALUE]])*0.5)+(_xlfn.XLOOKUP(1,(_bbt3[[#All],[ID]]=A1610)*(_bbt3[[#All],[METRIC_NAME]]="YLD_YTM_BID"),_bbt3[[#All],[METRIC_VALUE]])*0.5))/100,"")</f>
        <v/>
      </c>
      <c r="I1610">
        <f>IF(ISNA(VLOOKUP(A1610,QW_CloseDL!A:E,5,0)),0,VLOOKUP(A1610,QW_CloseDL!A:E,5,0))</f>
        <v>0</v>
      </c>
      <c r="J1610" s="8" t="str">
        <f t="shared" si="115"/>
        <v/>
      </c>
    </row>
    <row r="1611" spans="2:10" x14ac:dyDescent="0.35">
      <c r="B1611" t="str">
        <f>IF(NOT(ISBLANK(A1611)),VLOOKUP(A1611,'BBT3'!A:F,2,0),"")</f>
        <v/>
      </c>
      <c r="C1611" t="str">
        <f>IF(NOT(ISBLANK(A1611)),VLOOKUP(A1611,'BBT3'!A:F,3,0),"")</f>
        <v/>
      </c>
      <c r="D1611" s="6" t="str">
        <f>IF(NOT(ISBLANK(A1611)),VLOOKUP(A1611,'BBT3'!A:F,4,1),"")</f>
        <v/>
      </c>
      <c r="E1611" t="str">
        <f>IF(NOT(ISBLANK(A1611)),VLOOKUP(A1611,'BBT3'!A:F,5,0),"")</f>
        <v/>
      </c>
      <c r="F1611" t="str">
        <f>IF(NOT(ISBLANK(A1611)),VLOOKUP(A1611,'BBT3'!A:F,6,0),"")</f>
        <v/>
      </c>
      <c r="G1611" t="str">
        <f>IF(NOT(ISBLANK(A1611)),VLOOKUP(A1611,QW_Close!A:J,5,0),"")</f>
        <v/>
      </c>
      <c r="H1611" s="5" t="str" cm="1">
        <f t="array" ref="H1611">IF(NOT(ISBLANK(A1611)),((_xlfn.XLOOKUP(1,(_bbt3[[#All],[ID]]=A1611)*(_bbt3[[#All],[METRIC_NAME]]="YLD_YTM_ASK"),_bbt3[[#All],[METRIC_VALUE]])*0.5)+(_xlfn.XLOOKUP(1,(_bbt3[[#All],[ID]]=A1611)*(_bbt3[[#All],[METRIC_NAME]]="YLD_YTM_BID"),_bbt3[[#All],[METRIC_VALUE]])*0.5))/100,"")</f>
        <v/>
      </c>
      <c r="I1611">
        <f>IF(ISNA(VLOOKUP(A1611,QW_CloseDL!A:E,5,0)),0,VLOOKUP(A1611,QW_CloseDL!A:E,5,0))</f>
        <v>0</v>
      </c>
      <c r="J1611" s="8" t="str">
        <f t="shared" si="115"/>
        <v/>
      </c>
    </row>
    <row r="1612" spans="2:10" x14ac:dyDescent="0.35">
      <c r="B1612" t="str">
        <f>IF(NOT(ISBLANK(A1612)),VLOOKUP(A1612,'BBT3'!A:F,2,0),"")</f>
        <v/>
      </c>
      <c r="C1612" t="str">
        <f>IF(NOT(ISBLANK(A1612)),VLOOKUP(A1612,'BBT3'!A:F,3,0),"")</f>
        <v/>
      </c>
      <c r="D1612" s="6" t="str">
        <f>IF(NOT(ISBLANK(A1612)),VLOOKUP(A1612,'BBT3'!A:F,4,1),"")</f>
        <v/>
      </c>
      <c r="E1612" t="str">
        <f>IF(NOT(ISBLANK(A1612)),VLOOKUP(A1612,'BBT3'!A:F,5,0),"")</f>
        <v/>
      </c>
      <c r="F1612" t="str">
        <f>IF(NOT(ISBLANK(A1612)),VLOOKUP(A1612,'BBT3'!A:F,6,0),"")</f>
        <v/>
      </c>
      <c r="G1612" t="str">
        <f>IF(NOT(ISBLANK(A1612)),VLOOKUP(A1612,QW_Close!A:J,5,0),"")</f>
        <v/>
      </c>
      <c r="H1612" s="5" t="str" cm="1">
        <f t="array" ref="H1612">IF(NOT(ISBLANK(A1612)),((_xlfn.XLOOKUP(1,(_bbt3[[#All],[ID]]=A1612)*(_bbt3[[#All],[METRIC_NAME]]="YLD_YTM_ASK"),_bbt3[[#All],[METRIC_VALUE]])*0.5)+(_xlfn.XLOOKUP(1,(_bbt3[[#All],[ID]]=A1612)*(_bbt3[[#All],[METRIC_NAME]]="YLD_YTM_BID"),_bbt3[[#All],[METRIC_VALUE]])*0.5))/100,"")</f>
        <v/>
      </c>
      <c r="I1612">
        <f>IF(ISNA(VLOOKUP(A1612,QW_CloseDL!A:E,5,0)),0,VLOOKUP(A1612,QW_CloseDL!A:E,5,0))</f>
        <v>0</v>
      </c>
      <c r="J1612" s="8" t="str">
        <f t="shared" si="115"/>
        <v/>
      </c>
    </row>
    <row r="1613" spans="2:10" x14ac:dyDescent="0.35">
      <c r="B1613" t="str">
        <f>IF(NOT(ISBLANK(A1613)),VLOOKUP(A1613,'BBT3'!A:F,2,0),"")</f>
        <v/>
      </c>
      <c r="C1613" t="str">
        <f>IF(NOT(ISBLANK(A1613)),VLOOKUP(A1613,'BBT3'!A:F,3,0),"")</f>
        <v/>
      </c>
      <c r="D1613" s="6" t="str">
        <f>IF(NOT(ISBLANK(A1613)),VLOOKUP(A1613,'BBT3'!A:F,4,1),"")</f>
        <v/>
      </c>
      <c r="E1613" t="str">
        <f>IF(NOT(ISBLANK(A1613)),VLOOKUP(A1613,'BBT3'!A:F,5,0),"")</f>
        <v/>
      </c>
      <c r="F1613" t="str">
        <f>IF(NOT(ISBLANK(A1613)),VLOOKUP(A1613,'BBT3'!A:F,6,0),"")</f>
        <v/>
      </c>
      <c r="G1613" t="str">
        <f>IF(NOT(ISBLANK(A1613)),VLOOKUP(A1613,QW_Close!A:J,5,0),"")</f>
        <v/>
      </c>
      <c r="H1613" s="5" t="str" cm="1">
        <f t="array" ref="H1613">IF(NOT(ISBLANK(A1613)),((_xlfn.XLOOKUP(1,(_bbt3[[#All],[ID]]=A1613)*(_bbt3[[#All],[METRIC_NAME]]="YLD_YTM_ASK"),_bbt3[[#All],[METRIC_VALUE]])*0.5)+(_xlfn.XLOOKUP(1,(_bbt3[[#All],[ID]]=A1613)*(_bbt3[[#All],[METRIC_NAME]]="YLD_YTM_BID"),_bbt3[[#All],[METRIC_VALUE]])*0.5))/100,"")</f>
        <v/>
      </c>
      <c r="I1613">
        <f>IF(ISNA(VLOOKUP(A1613,QW_CloseDL!A:E,5,0)),0,VLOOKUP(A1613,QW_CloseDL!A:E,5,0))</f>
        <v>0</v>
      </c>
      <c r="J1613" s="8" t="str">
        <f t="shared" si="115"/>
        <v/>
      </c>
    </row>
    <row r="1614" spans="2:10" x14ac:dyDescent="0.35">
      <c r="B1614" t="str">
        <f>IF(NOT(ISBLANK(A1614)),VLOOKUP(A1614,'BBT3'!A:F,2,0),"")</f>
        <v/>
      </c>
      <c r="C1614" t="str">
        <f>IF(NOT(ISBLANK(A1614)),VLOOKUP(A1614,'BBT3'!A:F,3,0),"")</f>
        <v/>
      </c>
      <c r="D1614" s="6" t="str">
        <f>IF(NOT(ISBLANK(A1614)),VLOOKUP(A1614,'BBT3'!A:F,4,1),"")</f>
        <v/>
      </c>
      <c r="E1614" t="str">
        <f>IF(NOT(ISBLANK(A1614)),VLOOKUP(A1614,'BBT3'!A:F,5,0),"")</f>
        <v/>
      </c>
      <c r="F1614" t="str">
        <f>IF(NOT(ISBLANK(A1614)),VLOOKUP(A1614,'BBT3'!A:F,6,0),"")</f>
        <v/>
      </c>
      <c r="G1614" t="str">
        <f>IF(NOT(ISBLANK(A1614)),VLOOKUP(A1614,QW_Close!A:J,5,0),"")</f>
        <v/>
      </c>
      <c r="H1614" s="5" t="str" cm="1">
        <f t="array" ref="H1614">IF(NOT(ISBLANK(A1614)),((_xlfn.XLOOKUP(1,(_bbt3[[#All],[ID]]=A1614)*(_bbt3[[#All],[METRIC_NAME]]="YLD_YTM_ASK"),_bbt3[[#All],[METRIC_VALUE]])*0.5)+(_xlfn.XLOOKUP(1,(_bbt3[[#All],[ID]]=A1614)*(_bbt3[[#All],[METRIC_NAME]]="YLD_YTM_BID"),_bbt3[[#All],[METRIC_VALUE]])*0.5))/100,"")</f>
        <v/>
      </c>
      <c r="I1614">
        <f>IF(ISNA(VLOOKUP(A1614,QW_CloseDL!A:E,5,0)),0,VLOOKUP(A1614,QW_CloseDL!A:E,5,0))</f>
        <v>0</v>
      </c>
      <c r="J1614" s="8" t="str">
        <f t="shared" si="115"/>
        <v/>
      </c>
    </row>
    <row r="1615" spans="2:10" x14ac:dyDescent="0.35">
      <c r="B1615" t="str">
        <f>IF(NOT(ISBLANK(A1615)),VLOOKUP(A1615,'BBT3'!A:F,2,0),"")</f>
        <v/>
      </c>
      <c r="C1615" t="str">
        <f>IF(NOT(ISBLANK(A1615)),VLOOKUP(A1615,'BBT3'!A:F,3,0),"")</f>
        <v/>
      </c>
      <c r="D1615" s="6" t="str">
        <f>IF(NOT(ISBLANK(A1615)),VLOOKUP(A1615,'BBT3'!A:F,4,1),"")</f>
        <v/>
      </c>
      <c r="E1615" t="str">
        <f>IF(NOT(ISBLANK(A1615)),VLOOKUP(A1615,'BBT3'!A:F,5,0),"")</f>
        <v/>
      </c>
      <c r="F1615" t="str">
        <f>IF(NOT(ISBLANK(A1615)),VLOOKUP(A1615,'BBT3'!A:F,6,0),"")</f>
        <v/>
      </c>
      <c r="G1615" t="str">
        <f>IF(NOT(ISBLANK(A1615)),VLOOKUP(A1615,QW_Close!A:J,5,0),"")</f>
        <v/>
      </c>
      <c r="H1615" s="5" t="str" cm="1">
        <f t="array" ref="H1615">IF(NOT(ISBLANK(A1615)),((_xlfn.XLOOKUP(1,(_bbt3[[#All],[ID]]=A1615)*(_bbt3[[#All],[METRIC_NAME]]="YLD_YTM_ASK"),_bbt3[[#All],[METRIC_VALUE]])*0.5)+(_xlfn.XLOOKUP(1,(_bbt3[[#All],[ID]]=A1615)*(_bbt3[[#All],[METRIC_NAME]]="YLD_YTM_BID"),_bbt3[[#All],[METRIC_VALUE]])*0.5))/100,"")</f>
        <v/>
      </c>
      <c r="I1615">
        <f>IF(ISNA(VLOOKUP(A1615,QW_CloseDL!A:E,5,0)),0,VLOOKUP(A1615,QW_CloseDL!A:E,5,0))</f>
        <v>0</v>
      </c>
      <c r="J1615" s="8" t="str">
        <f t="shared" si="115"/>
        <v/>
      </c>
    </row>
    <row r="1616" spans="2:10" x14ac:dyDescent="0.35">
      <c r="B1616" t="str">
        <f>IF(NOT(ISBLANK(A1616)),VLOOKUP(A1616,'BBT3'!A:F,2,0),"")</f>
        <v/>
      </c>
      <c r="C1616" t="str">
        <f>IF(NOT(ISBLANK(A1616)),VLOOKUP(A1616,'BBT3'!A:F,3,0),"")</f>
        <v/>
      </c>
      <c r="D1616" s="6" t="str">
        <f>IF(NOT(ISBLANK(A1616)),VLOOKUP(A1616,'BBT3'!A:F,4,1),"")</f>
        <v/>
      </c>
      <c r="E1616" t="str">
        <f>IF(NOT(ISBLANK(A1616)),VLOOKUP(A1616,'BBT3'!A:F,5,0),"")</f>
        <v/>
      </c>
      <c r="F1616" t="str">
        <f>IF(NOT(ISBLANK(A1616)),VLOOKUP(A1616,'BBT3'!A:F,6,0),"")</f>
        <v/>
      </c>
      <c r="G1616" t="str">
        <f>IF(NOT(ISBLANK(A1616)),VLOOKUP(A1616,QW_Close!A:J,5,0),"")</f>
        <v/>
      </c>
      <c r="H1616" s="5" t="str" cm="1">
        <f t="array" ref="H1616">IF(NOT(ISBLANK(A1616)),((_xlfn.XLOOKUP(1,(_bbt3[[#All],[ID]]=A1616)*(_bbt3[[#All],[METRIC_NAME]]="YLD_YTM_ASK"),_bbt3[[#All],[METRIC_VALUE]])*0.5)+(_xlfn.XLOOKUP(1,(_bbt3[[#All],[ID]]=A1616)*(_bbt3[[#All],[METRIC_NAME]]="YLD_YTM_BID"),_bbt3[[#All],[METRIC_VALUE]])*0.5))/100,"")</f>
        <v/>
      </c>
      <c r="I1616">
        <f>IF(ISNA(VLOOKUP(A1616,QW_CloseDL!A:E,5,0)),0,VLOOKUP(A1616,QW_CloseDL!A:E,5,0))</f>
        <v>0</v>
      </c>
      <c r="J1616" s="8" t="str">
        <f t="shared" si="115"/>
        <v/>
      </c>
    </row>
    <row r="1617" spans="2:10" x14ac:dyDescent="0.35">
      <c r="B1617" t="str">
        <f>IF(NOT(ISBLANK(A1617)),VLOOKUP(A1617,'BBT3'!A:F,2,0),"")</f>
        <v/>
      </c>
      <c r="C1617" t="str">
        <f>IF(NOT(ISBLANK(A1617)),VLOOKUP(A1617,'BBT3'!A:F,3,0),"")</f>
        <v/>
      </c>
      <c r="D1617" s="6" t="str">
        <f>IF(NOT(ISBLANK(A1617)),VLOOKUP(A1617,'BBT3'!A:F,4,1),"")</f>
        <v/>
      </c>
      <c r="E1617" t="str">
        <f>IF(NOT(ISBLANK(A1617)),VLOOKUP(A1617,'BBT3'!A:F,5,0),"")</f>
        <v/>
      </c>
      <c r="F1617" t="str">
        <f>IF(NOT(ISBLANK(A1617)),VLOOKUP(A1617,'BBT3'!A:F,6,0),"")</f>
        <v/>
      </c>
      <c r="G1617" t="str">
        <f>IF(NOT(ISBLANK(A1617)),VLOOKUP(A1617,QW_Close!A:J,5,0),"")</f>
        <v/>
      </c>
      <c r="H1617" s="5" t="str" cm="1">
        <f t="array" ref="H1617">IF(NOT(ISBLANK(A1617)),((_xlfn.XLOOKUP(1,(_bbt3[[#All],[ID]]=A1617)*(_bbt3[[#All],[METRIC_NAME]]="YLD_YTM_ASK"),_bbt3[[#All],[METRIC_VALUE]])*0.5)+(_xlfn.XLOOKUP(1,(_bbt3[[#All],[ID]]=A1617)*(_bbt3[[#All],[METRIC_NAME]]="YLD_YTM_BID"),_bbt3[[#All],[METRIC_VALUE]])*0.5))/100,"")</f>
        <v/>
      </c>
      <c r="I1617">
        <f>IF(ISNA(VLOOKUP(A1617,QW_CloseDL!A:E,5,0)),0,VLOOKUP(A1617,QW_CloseDL!A:E,5,0))</f>
        <v>0</v>
      </c>
      <c r="J1617" s="8" t="str">
        <f t="shared" si="115"/>
        <v/>
      </c>
    </row>
    <row r="1618" spans="2:10" x14ac:dyDescent="0.35">
      <c r="B1618" t="str">
        <f>IF(NOT(ISBLANK(A1618)),VLOOKUP(A1618,'BBT3'!A:F,2,0),"")</f>
        <v/>
      </c>
      <c r="C1618" t="str">
        <f>IF(NOT(ISBLANK(A1618)),VLOOKUP(A1618,'BBT3'!A:F,3,0),"")</f>
        <v/>
      </c>
      <c r="D1618" s="6" t="str">
        <f>IF(NOT(ISBLANK(A1618)),VLOOKUP(A1618,'BBT3'!A:F,4,1),"")</f>
        <v/>
      </c>
      <c r="E1618" t="str">
        <f>IF(NOT(ISBLANK(A1618)),VLOOKUP(A1618,'BBT3'!A:F,5,0),"")</f>
        <v/>
      </c>
      <c r="F1618" t="str">
        <f>IF(NOT(ISBLANK(A1618)),VLOOKUP(A1618,'BBT3'!A:F,6,0),"")</f>
        <v/>
      </c>
      <c r="G1618" t="str">
        <f>IF(NOT(ISBLANK(A1618)),VLOOKUP(A1618,QW_Close!A:J,5,0),"")</f>
        <v/>
      </c>
      <c r="H1618" s="5" t="str" cm="1">
        <f t="array" ref="H1618">IF(NOT(ISBLANK(A1618)),((_xlfn.XLOOKUP(1,(_bbt3[[#All],[ID]]=A1618)*(_bbt3[[#All],[METRIC_NAME]]="YLD_YTM_ASK"),_bbt3[[#All],[METRIC_VALUE]])*0.5)+(_xlfn.XLOOKUP(1,(_bbt3[[#All],[ID]]=A1618)*(_bbt3[[#All],[METRIC_NAME]]="YLD_YTM_BID"),_bbt3[[#All],[METRIC_VALUE]])*0.5))/100,"")</f>
        <v/>
      </c>
      <c r="I1618">
        <f>IF(ISNA(VLOOKUP(A1618,QW_CloseDL!A:E,5,0)),0,VLOOKUP(A1618,QW_CloseDL!A:E,5,0))</f>
        <v>0</v>
      </c>
      <c r="J1618" s="8" t="str">
        <f t="shared" si="115"/>
        <v/>
      </c>
    </row>
    <row r="1619" spans="2:10" x14ac:dyDescent="0.35">
      <c r="B1619" t="str">
        <f>IF(NOT(ISBLANK(A1619)),VLOOKUP(A1619,'BBT3'!A:F,2,0),"")</f>
        <v/>
      </c>
      <c r="C1619" t="str">
        <f>IF(NOT(ISBLANK(A1619)),VLOOKUP(A1619,'BBT3'!A:F,3,0),"")</f>
        <v/>
      </c>
      <c r="D1619" s="6" t="str">
        <f>IF(NOT(ISBLANK(A1619)),VLOOKUP(A1619,'BBT3'!A:F,4,1),"")</f>
        <v/>
      </c>
      <c r="E1619" t="str">
        <f>IF(NOT(ISBLANK(A1619)),VLOOKUP(A1619,'BBT3'!A:F,5,0),"")</f>
        <v/>
      </c>
      <c r="F1619" t="str">
        <f>IF(NOT(ISBLANK(A1619)),VLOOKUP(A1619,'BBT3'!A:F,6,0),"")</f>
        <v/>
      </c>
      <c r="G1619" t="str">
        <f>IF(NOT(ISBLANK(A1619)),VLOOKUP(A1619,QW_Close!A:J,5,0),"")</f>
        <v/>
      </c>
      <c r="H1619" s="5" t="str" cm="1">
        <f t="array" ref="H1619">IF(NOT(ISBLANK(A1619)),((_xlfn.XLOOKUP(1,(_bbt3[[#All],[ID]]=A1619)*(_bbt3[[#All],[METRIC_NAME]]="YLD_YTM_ASK"),_bbt3[[#All],[METRIC_VALUE]])*0.5)+(_xlfn.XLOOKUP(1,(_bbt3[[#All],[ID]]=A1619)*(_bbt3[[#All],[METRIC_NAME]]="YLD_YTM_BID"),_bbt3[[#All],[METRIC_VALUE]])*0.5))/100,"")</f>
        <v/>
      </c>
      <c r="I1619">
        <f>IF(ISNA(VLOOKUP(A1619,QW_CloseDL!A:E,5,0)),0,VLOOKUP(A1619,QW_CloseDL!A:E,5,0))</f>
        <v>0</v>
      </c>
      <c r="J1619" s="8" t="str">
        <f t="shared" si="115"/>
        <v/>
      </c>
    </row>
    <row r="1620" spans="2:10" x14ac:dyDescent="0.35">
      <c r="B1620" t="str">
        <f>IF(NOT(ISBLANK(A1620)),VLOOKUP(A1620,'BBT3'!A:F,2,0),"")</f>
        <v/>
      </c>
      <c r="C1620" t="str">
        <f>IF(NOT(ISBLANK(A1620)),VLOOKUP(A1620,'BBT3'!A:F,3,0),"")</f>
        <v/>
      </c>
      <c r="D1620" s="6" t="str">
        <f>IF(NOT(ISBLANK(A1620)),VLOOKUP(A1620,'BBT3'!A:F,4,1),"")</f>
        <v/>
      </c>
      <c r="E1620" t="str">
        <f>IF(NOT(ISBLANK(A1620)),VLOOKUP(A1620,'BBT3'!A:F,5,0),"")</f>
        <v/>
      </c>
      <c r="F1620" t="str">
        <f>IF(NOT(ISBLANK(A1620)),VLOOKUP(A1620,'BBT3'!A:F,6,0),"")</f>
        <v/>
      </c>
      <c r="G1620" t="str">
        <f>IF(NOT(ISBLANK(A1620)),VLOOKUP(A1620,QW_Close!A:J,5,0),"")</f>
        <v/>
      </c>
      <c r="H1620" s="5" t="str" cm="1">
        <f t="array" ref="H1620">IF(NOT(ISBLANK(A1620)),((_xlfn.XLOOKUP(1,(_bbt3[[#All],[ID]]=A1620)*(_bbt3[[#All],[METRIC_NAME]]="YLD_YTM_ASK"),_bbt3[[#All],[METRIC_VALUE]])*0.5)+(_xlfn.XLOOKUP(1,(_bbt3[[#All],[ID]]=A1620)*(_bbt3[[#All],[METRIC_NAME]]="YLD_YTM_BID"),_bbt3[[#All],[METRIC_VALUE]])*0.5))/100,"")</f>
        <v/>
      </c>
      <c r="I1620">
        <f>IF(ISNA(VLOOKUP(A1620,QW_CloseDL!A:E,5,0)),0,VLOOKUP(A1620,QW_CloseDL!A:E,5,0))</f>
        <v>0</v>
      </c>
      <c r="J1620" s="8" t="str">
        <f t="shared" si="115"/>
        <v/>
      </c>
    </row>
    <row r="1621" spans="2:10" x14ac:dyDescent="0.35">
      <c r="B1621" t="str">
        <f>IF(NOT(ISBLANK(A1621)),VLOOKUP(A1621,'BBT3'!A:F,2,0),"")</f>
        <v/>
      </c>
      <c r="C1621" t="str">
        <f>IF(NOT(ISBLANK(A1621)),VLOOKUP(A1621,'BBT3'!A:F,3,0),"")</f>
        <v/>
      </c>
      <c r="D1621" s="6" t="str">
        <f>IF(NOT(ISBLANK(A1621)),VLOOKUP(A1621,'BBT3'!A:F,4,1),"")</f>
        <v/>
      </c>
      <c r="E1621" t="str">
        <f>IF(NOT(ISBLANK(A1621)),VLOOKUP(A1621,'BBT3'!A:F,5,0),"")</f>
        <v/>
      </c>
      <c r="F1621" t="str">
        <f>IF(NOT(ISBLANK(A1621)),VLOOKUP(A1621,'BBT3'!A:F,6,0),"")</f>
        <v/>
      </c>
      <c r="G1621" t="str">
        <f>IF(NOT(ISBLANK(A1621)),VLOOKUP(A1621,QW_Close!A:J,5,0),"")</f>
        <v/>
      </c>
      <c r="H1621" s="5" t="str" cm="1">
        <f t="array" ref="H1621">IF(NOT(ISBLANK(A1621)),((_xlfn.XLOOKUP(1,(_bbt3[[#All],[ID]]=A1621)*(_bbt3[[#All],[METRIC_NAME]]="YLD_YTM_ASK"),_bbt3[[#All],[METRIC_VALUE]])*0.5)+(_xlfn.XLOOKUP(1,(_bbt3[[#All],[ID]]=A1621)*(_bbt3[[#All],[METRIC_NAME]]="YLD_YTM_BID"),_bbt3[[#All],[METRIC_VALUE]])*0.5))/100,"")</f>
        <v/>
      </c>
      <c r="I1621">
        <f>IF(ISNA(VLOOKUP(A1621,QW_CloseDL!A:E,5,0)),0,VLOOKUP(A1621,QW_CloseDL!A:E,5,0))</f>
        <v>0</v>
      </c>
      <c r="J1621" s="8" t="str">
        <f t="shared" si="115"/>
        <v/>
      </c>
    </row>
    <row r="1622" spans="2:10" x14ac:dyDescent="0.35">
      <c r="B1622" t="str">
        <f>IF(NOT(ISBLANK(A1622)),VLOOKUP(A1622,'BBT3'!A:F,2,0),"")</f>
        <v/>
      </c>
      <c r="C1622" t="str">
        <f>IF(NOT(ISBLANK(A1622)),VLOOKUP(A1622,'BBT3'!A:F,3,0),"")</f>
        <v/>
      </c>
      <c r="D1622" s="6" t="str">
        <f>IF(NOT(ISBLANK(A1622)),VLOOKUP(A1622,'BBT3'!A:F,4,1),"")</f>
        <v/>
      </c>
      <c r="E1622" t="str">
        <f>IF(NOT(ISBLANK(A1622)),VLOOKUP(A1622,'BBT3'!A:F,5,0),"")</f>
        <v/>
      </c>
      <c r="F1622" t="str">
        <f>IF(NOT(ISBLANK(A1622)),VLOOKUP(A1622,'BBT3'!A:F,6,0),"")</f>
        <v/>
      </c>
      <c r="G1622" t="str">
        <f>IF(NOT(ISBLANK(A1622)),VLOOKUP(A1622,QW_Close!A:J,5,0),"")</f>
        <v/>
      </c>
      <c r="H1622" s="5" t="str" cm="1">
        <f t="array" ref="H1622">IF(NOT(ISBLANK(A1622)),((_xlfn.XLOOKUP(1,(_bbt3[[#All],[ID]]=A1622)*(_bbt3[[#All],[METRIC_NAME]]="YLD_YTM_ASK"),_bbt3[[#All],[METRIC_VALUE]])*0.5)+(_xlfn.XLOOKUP(1,(_bbt3[[#All],[ID]]=A1622)*(_bbt3[[#All],[METRIC_NAME]]="YLD_YTM_BID"),_bbt3[[#All],[METRIC_VALUE]])*0.5))/100,"")</f>
        <v/>
      </c>
      <c r="I1622">
        <f>IF(ISNA(VLOOKUP(A1622,QW_CloseDL!A:E,5,0)),0,VLOOKUP(A1622,QW_CloseDL!A:E,5,0))</f>
        <v>0</v>
      </c>
      <c r="J1622" s="8" t="str">
        <f t="shared" si="115"/>
        <v/>
      </c>
    </row>
    <row r="1623" spans="2:10" x14ac:dyDescent="0.35">
      <c r="B1623" t="str">
        <f>IF(NOT(ISBLANK(A1623)),VLOOKUP(A1623,'BBT3'!A:F,2,0),"")</f>
        <v/>
      </c>
      <c r="C1623" t="str">
        <f>IF(NOT(ISBLANK(A1623)),VLOOKUP(A1623,'BBT3'!A:F,3,0),"")</f>
        <v/>
      </c>
      <c r="D1623" s="6" t="str">
        <f>IF(NOT(ISBLANK(A1623)),VLOOKUP(A1623,'BBT3'!A:F,4,1),"")</f>
        <v/>
      </c>
      <c r="E1623" t="str">
        <f>IF(NOT(ISBLANK(A1623)),VLOOKUP(A1623,'BBT3'!A:F,5,0),"")</f>
        <v/>
      </c>
      <c r="F1623" t="str">
        <f>IF(NOT(ISBLANK(A1623)),VLOOKUP(A1623,'BBT3'!A:F,6,0),"")</f>
        <v/>
      </c>
      <c r="G1623" t="str">
        <f>IF(NOT(ISBLANK(A1623)),VLOOKUP(A1623,QW_Close!A:J,5,0),"")</f>
        <v/>
      </c>
      <c r="H1623" s="5" t="str" cm="1">
        <f t="array" ref="H1623">IF(NOT(ISBLANK(A1623)),((_xlfn.XLOOKUP(1,(_bbt3[[#All],[ID]]=A1623)*(_bbt3[[#All],[METRIC_NAME]]="YLD_YTM_ASK"),_bbt3[[#All],[METRIC_VALUE]])*0.5)+(_xlfn.XLOOKUP(1,(_bbt3[[#All],[ID]]=A1623)*(_bbt3[[#All],[METRIC_NAME]]="YLD_YTM_BID"),_bbt3[[#All],[METRIC_VALUE]])*0.5))/100,"")</f>
        <v/>
      </c>
      <c r="I1623">
        <f>IF(ISNA(VLOOKUP(A1623,QW_CloseDL!A:E,5,0)),0,VLOOKUP(A1623,QW_CloseDL!A:E,5,0))</f>
        <v>0</v>
      </c>
      <c r="J1623" s="8" t="str">
        <f t="shared" si="115"/>
        <v/>
      </c>
    </row>
    <row r="1624" spans="2:10" x14ac:dyDescent="0.35">
      <c r="B1624" t="str">
        <f>IF(NOT(ISBLANK(A1624)),VLOOKUP(A1624,'BBT3'!A:F,2,0),"")</f>
        <v/>
      </c>
      <c r="C1624" t="str">
        <f>IF(NOT(ISBLANK(A1624)),VLOOKUP(A1624,'BBT3'!A:F,3,0),"")</f>
        <v/>
      </c>
      <c r="D1624" s="6" t="str">
        <f>IF(NOT(ISBLANK(A1624)),VLOOKUP(A1624,'BBT3'!A:F,4,1),"")</f>
        <v/>
      </c>
      <c r="E1624" t="str">
        <f>IF(NOT(ISBLANK(A1624)),VLOOKUP(A1624,'BBT3'!A:F,5,0),"")</f>
        <v/>
      </c>
      <c r="F1624" t="str">
        <f>IF(NOT(ISBLANK(A1624)),VLOOKUP(A1624,'BBT3'!A:F,6,0),"")</f>
        <v/>
      </c>
      <c r="G1624" t="str">
        <f>IF(NOT(ISBLANK(A1624)),VLOOKUP(A1624,QW_Close!A:J,5,0),"")</f>
        <v/>
      </c>
      <c r="H1624" s="5" t="str" cm="1">
        <f t="array" ref="H1624">IF(NOT(ISBLANK(A1624)),((_xlfn.XLOOKUP(1,(_bbt3[[#All],[ID]]=A1624)*(_bbt3[[#All],[METRIC_NAME]]="YLD_YTM_ASK"),_bbt3[[#All],[METRIC_VALUE]])*0.5)+(_xlfn.XLOOKUP(1,(_bbt3[[#All],[ID]]=A1624)*(_bbt3[[#All],[METRIC_NAME]]="YLD_YTM_BID"),_bbt3[[#All],[METRIC_VALUE]])*0.5))/100,"")</f>
        <v/>
      </c>
      <c r="I1624">
        <f>IF(ISNA(VLOOKUP(A1624,QW_CloseDL!A:E,5,0)),0,VLOOKUP(A1624,QW_CloseDL!A:E,5,0))</f>
        <v>0</v>
      </c>
      <c r="J1624" s="8" t="str">
        <f t="shared" si="115"/>
        <v/>
      </c>
    </row>
    <row r="1625" spans="2:10" x14ac:dyDescent="0.35">
      <c r="B1625" t="str">
        <f>IF(NOT(ISBLANK(A1625)),VLOOKUP(A1625,'BBT3'!A:F,2,0),"")</f>
        <v/>
      </c>
      <c r="C1625" t="str">
        <f>IF(NOT(ISBLANK(A1625)),VLOOKUP(A1625,'BBT3'!A:F,3,0),"")</f>
        <v/>
      </c>
      <c r="D1625" s="6" t="str">
        <f>IF(NOT(ISBLANK(A1625)),VLOOKUP(A1625,'BBT3'!A:F,4,1),"")</f>
        <v/>
      </c>
      <c r="E1625" t="str">
        <f>IF(NOT(ISBLANK(A1625)),VLOOKUP(A1625,'BBT3'!A:F,5,0),"")</f>
        <v/>
      </c>
      <c r="F1625" t="str">
        <f>IF(NOT(ISBLANK(A1625)),VLOOKUP(A1625,'BBT3'!A:F,6,0),"")</f>
        <v/>
      </c>
      <c r="G1625" t="str">
        <f>IF(NOT(ISBLANK(A1625)),VLOOKUP(A1625,QW_Close!A:J,5,0),"")</f>
        <v/>
      </c>
      <c r="H1625" s="5" t="str" cm="1">
        <f t="array" ref="H1625">IF(NOT(ISBLANK(A1625)),((_xlfn.XLOOKUP(1,(_bbt3[[#All],[ID]]=A1625)*(_bbt3[[#All],[METRIC_NAME]]="YLD_YTM_ASK"),_bbt3[[#All],[METRIC_VALUE]])*0.5)+(_xlfn.XLOOKUP(1,(_bbt3[[#All],[ID]]=A1625)*(_bbt3[[#All],[METRIC_NAME]]="YLD_YTM_BID"),_bbt3[[#All],[METRIC_VALUE]])*0.5))/100,"")</f>
        <v/>
      </c>
      <c r="I1625">
        <f>IF(ISNA(VLOOKUP(A1625,QW_CloseDL!A:E,5,0)),0,VLOOKUP(A1625,QW_CloseDL!A:E,5,0))</f>
        <v>0</v>
      </c>
      <c r="J1625" s="8" t="str">
        <f t="shared" si="115"/>
        <v/>
      </c>
    </row>
    <row r="1626" spans="2:10" x14ac:dyDescent="0.35">
      <c r="B1626" t="str">
        <f>IF(NOT(ISBLANK(A1626)),VLOOKUP(A1626,'BBT3'!A:F,2,0),"")</f>
        <v/>
      </c>
      <c r="C1626" t="str">
        <f>IF(NOT(ISBLANK(A1626)),VLOOKUP(A1626,'BBT3'!A:F,3,0),"")</f>
        <v/>
      </c>
      <c r="D1626" s="6" t="str">
        <f>IF(NOT(ISBLANK(A1626)),VLOOKUP(A1626,'BBT3'!A:F,4,1),"")</f>
        <v/>
      </c>
      <c r="E1626" t="str">
        <f>IF(NOT(ISBLANK(A1626)),VLOOKUP(A1626,'BBT3'!A:F,5,0),"")</f>
        <v/>
      </c>
      <c r="F1626" t="str">
        <f>IF(NOT(ISBLANK(A1626)),VLOOKUP(A1626,'BBT3'!A:F,6,0),"")</f>
        <v/>
      </c>
      <c r="G1626" t="str">
        <f>IF(NOT(ISBLANK(A1626)),VLOOKUP(A1626,QW_Close!A:J,5,0),"")</f>
        <v/>
      </c>
      <c r="H1626" s="5" t="str" cm="1">
        <f t="array" ref="H1626">IF(NOT(ISBLANK(A1626)),((_xlfn.XLOOKUP(1,(_bbt3[[#All],[ID]]=A1626)*(_bbt3[[#All],[METRIC_NAME]]="YLD_YTM_ASK"),_bbt3[[#All],[METRIC_VALUE]])*0.5)+(_xlfn.XLOOKUP(1,(_bbt3[[#All],[ID]]=A1626)*(_bbt3[[#All],[METRIC_NAME]]="YLD_YTM_BID"),_bbt3[[#All],[METRIC_VALUE]])*0.5))/100,"")</f>
        <v/>
      </c>
      <c r="I1626">
        <f>IF(ISNA(VLOOKUP(A1626,QW_CloseDL!A:E,5,0)),0,VLOOKUP(A1626,QW_CloseDL!A:E,5,0))</f>
        <v>0</v>
      </c>
      <c r="J1626" s="8" t="str">
        <f t="shared" si="115"/>
        <v/>
      </c>
    </row>
    <row r="1627" spans="2:10" x14ac:dyDescent="0.35">
      <c r="B1627" t="str">
        <f>IF(NOT(ISBLANK(A1627)),VLOOKUP(A1627,'BBT3'!A:F,2,0),"")</f>
        <v/>
      </c>
      <c r="C1627" t="str">
        <f>IF(NOT(ISBLANK(A1627)),VLOOKUP(A1627,'BBT3'!A:F,3,0),"")</f>
        <v/>
      </c>
      <c r="D1627" s="6" t="str">
        <f>IF(NOT(ISBLANK(A1627)),VLOOKUP(A1627,'BBT3'!A:F,4,1),"")</f>
        <v/>
      </c>
      <c r="E1627" t="str">
        <f>IF(NOT(ISBLANK(A1627)),VLOOKUP(A1627,'BBT3'!A:F,5,0),"")</f>
        <v/>
      </c>
      <c r="F1627" t="str">
        <f>IF(NOT(ISBLANK(A1627)),VLOOKUP(A1627,'BBT3'!A:F,6,0),"")</f>
        <v/>
      </c>
      <c r="G1627" t="str">
        <f>IF(NOT(ISBLANK(A1627)),VLOOKUP(A1627,QW_Close!A:J,5,0),"")</f>
        <v/>
      </c>
      <c r="H1627" s="5" t="str" cm="1">
        <f t="array" ref="H1627">IF(NOT(ISBLANK(A1627)),((_xlfn.XLOOKUP(1,(_bbt3[[#All],[ID]]=A1627)*(_bbt3[[#All],[METRIC_NAME]]="YLD_YTM_ASK"),_bbt3[[#All],[METRIC_VALUE]])*0.5)+(_xlfn.XLOOKUP(1,(_bbt3[[#All],[ID]]=A1627)*(_bbt3[[#All],[METRIC_NAME]]="YLD_YTM_BID"),_bbt3[[#All],[METRIC_VALUE]])*0.5))/100,"")</f>
        <v/>
      </c>
      <c r="I1627">
        <f>IF(ISNA(VLOOKUP(A1627,QW_CloseDL!A:E,5,0)),0,VLOOKUP(A1627,QW_CloseDL!A:E,5,0))</f>
        <v>0</v>
      </c>
      <c r="J1627" s="8" t="str">
        <f t="shared" si="115"/>
        <v/>
      </c>
    </row>
    <row r="1628" spans="2:10" x14ac:dyDescent="0.35">
      <c r="B1628" t="str">
        <f>IF(NOT(ISBLANK(A1628)),VLOOKUP(A1628,'BBT3'!A:F,2,0),"")</f>
        <v/>
      </c>
      <c r="C1628" t="str">
        <f>IF(NOT(ISBLANK(A1628)),VLOOKUP(A1628,'BBT3'!A:F,3,0),"")</f>
        <v/>
      </c>
      <c r="D1628" s="6" t="str">
        <f>IF(NOT(ISBLANK(A1628)),VLOOKUP(A1628,'BBT3'!A:F,4,1),"")</f>
        <v/>
      </c>
      <c r="E1628" t="str">
        <f>IF(NOT(ISBLANK(A1628)),VLOOKUP(A1628,'BBT3'!A:F,5,0),"")</f>
        <v/>
      </c>
      <c r="F1628" t="str">
        <f>IF(NOT(ISBLANK(A1628)),VLOOKUP(A1628,'BBT3'!A:F,6,0),"")</f>
        <v/>
      </c>
      <c r="G1628" t="str">
        <f>IF(NOT(ISBLANK(A1628)),VLOOKUP(A1628,QW_Close!A:J,5,0),"")</f>
        <v/>
      </c>
      <c r="H1628" s="5" t="str" cm="1">
        <f t="array" ref="H1628">IF(NOT(ISBLANK(A1628)),((_xlfn.XLOOKUP(1,(_bbt3[[#All],[ID]]=A1628)*(_bbt3[[#All],[METRIC_NAME]]="YLD_YTM_ASK"),_bbt3[[#All],[METRIC_VALUE]])*0.5)+(_xlfn.XLOOKUP(1,(_bbt3[[#All],[ID]]=A1628)*(_bbt3[[#All],[METRIC_NAME]]="YLD_YTM_BID"),_bbt3[[#All],[METRIC_VALUE]])*0.5))/100,"")</f>
        <v/>
      </c>
      <c r="I1628">
        <f>IF(ISNA(VLOOKUP(A1628,QW_CloseDL!A:E,5,0)),0,VLOOKUP(A1628,QW_CloseDL!A:E,5,0))</f>
        <v>0</v>
      </c>
      <c r="J1628" s="8" t="str">
        <f t="shared" si="115"/>
        <v/>
      </c>
    </row>
    <row r="1629" spans="2:10" x14ac:dyDescent="0.35">
      <c r="B1629" t="str">
        <f>IF(NOT(ISBLANK(A1629)),VLOOKUP(A1629,'BBT3'!A:F,2,0),"")</f>
        <v/>
      </c>
      <c r="C1629" t="str">
        <f>IF(NOT(ISBLANK(A1629)),VLOOKUP(A1629,'BBT3'!A:F,3,0),"")</f>
        <v/>
      </c>
      <c r="D1629" s="6" t="str">
        <f>IF(NOT(ISBLANK(A1629)),VLOOKUP(A1629,'BBT3'!A:F,4,1),"")</f>
        <v/>
      </c>
      <c r="E1629" t="str">
        <f>IF(NOT(ISBLANK(A1629)),VLOOKUP(A1629,'BBT3'!A:F,5,0),"")</f>
        <v/>
      </c>
      <c r="F1629" t="str">
        <f>IF(NOT(ISBLANK(A1629)),VLOOKUP(A1629,'BBT3'!A:F,6,0),"")</f>
        <v/>
      </c>
      <c r="G1629" t="str">
        <f>IF(NOT(ISBLANK(A1629)),VLOOKUP(A1629,QW_Close!A:J,5,0),"")</f>
        <v/>
      </c>
      <c r="H1629" s="5" t="str" cm="1">
        <f t="array" ref="H1629">IF(NOT(ISBLANK(A1629)),((_xlfn.XLOOKUP(1,(_bbt3[[#All],[ID]]=A1629)*(_bbt3[[#All],[METRIC_NAME]]="YLD_YTM_ASK"),_bbt3[[#All],[METRIC_VALUE]])*0.5)+(_xlfn.XLOOKUP(1,(_bbt3[[#All],[ID]]=A1629)*(_bbt3[[#All],[METRIC_NAME]]="YLD_YTM_BID"),_bbt3[[#All],[METRIC_VALUE]])*0.5))/100,"")</f>
        <v/>
      </c>
      <c r="I1629">
        <f>IF(ISNA(VLOOKUP(A1629,QW_CloseDL!A:E,5,0)),0,VLOOKUP(A1629,QW_CloseDL!A:E,5,0))</f>
        <v>0</v>
      </c>
      <c r="J1629" s="8" t="str">
        <f t="shared" si="115"/>
        <v/>
      </c>
    </row>
    <row r="1630" spans="2:10" x14ac:dyDescent="0.35">
      <c r="B1630" t="str">
        <f>IF(NOT(ISBLANK(A1630)),VLOOKUP(A1630,'BBT3'!A:F,2,0),"")</f>
        <v/>
      </c>
      <c r="C1630" t="str">
        <f>IF(NOT(ISBLANK(A1630)),VLOOKUP(A1630,'BBT3'!A:F,3,0),"")</f>
        <v/>
      </c>
      <c r="D1630" s="6" t="str">
        <f>IF(NOT(ISBLANK(A1630)),VLOOKUP(A1630,'BBT3'!A:F,4,1),"")</f>
        <v/>
      </c>
      <c r="E1630" t="str">
        <f>IF(NOT(ISBLANK(A1630)),VLOOKUP(A1630,'BBT3'!A:F,5,0),"")</f>
        <v/>
      </c>
      <c r="F1630" t="str">
        <f>IF(NOT(ISBLANK(A1630)),VLOOKUP(A1630,'BBT3'!A:F,6,0),"")</f>
        <v/>
      </c>
      <c r="G1630" t="str">
        <f>IF(NOT(ISBLANK(A1630)),VLOOKUP(A1630,QW_Close!A:J,5,0),"")</f>
        <v/>
      </c>
      <c r="H1630" s="5" t="str" cm="1">
        <f t="array" ref="H1630">IF(NOT(ISBLANK(A1630)),((_xlfn.XLOOKUP(1,(_bbt3[[#All],[ID]]=A1630)*(_bbt3[[#All],[METRIC_NAME]]="YLD_YTM_ASK"),_bbt3[[#All],[METRIC_VALUE]])*0.5)+(_xlfn.XLOOKUP(1,(_bbt3[[#All],[ID]]=A1630)*(_bbt3[[#All],[METRIC_NAME]]="YLD_YTM_BID"),_bbt3[[#All],[METRIC_VALUE]])*0.5))/100,"")</f>
        <v/>
      </c>
      <c r="I1630">
        <f>IF(ISNA(VLOOKUP(A1630,QW_CloseDL!A:E,5,0)),0,VLOOKUP(A1630,QW_CloseDL!A:E,5,0))</f>
        <v>0</v>
      </c>
      <c r="J1630" s="8" t="str">
        <f t="shared" si="115"/>
        <v/>
      </c>
    </row>
    <row r="1631" spans="2:10" x14ac:dyDescent="0.35">
      <c r="B1631" t="str">
        <f>IF(NOT(ISBLANK(A1631)),VLOOKUP(A1631,'BBT3'!A:F,2,0),"")</f>
        <v/>
      </c>
      <c r="C1631" t="str">
        <f>IF(NOT(ISBLANK(A1631)),VLOOKUP(A1631,'BBT3'!A:F,3,0),"")</f>
        <v/>
      </c>
      <c r="D1631" s="6" t="str">
        <f>IF(NOT(ISBLANK(A1631)),VLOOKUP(A1631,'BBT3'!A:F,4,1),"")</f>
        <v/>
      </c>
      <c r="E1631" t="str">
        <f>IF(NOT(ISBLANK(A1631)),VLOOKUP(A1631,'BBT3'!A:F,5,0),"")</f>
        <v/>
      </c>
      <c r="F1631" t="str">
        <f>IF(NOT(ISBLANK(A1631)),VLOOKUP(A1631,'BBT3'!A:F,6,0),"")</f>
        <v/>
      </c>
      <c r="G1631" t="str">
        <f>IF(NOT(ISBLANK(A1631)),VLOOKUP(A1631,QW_Close!A:J,5,0),"")</f>
        <v/>
      </c>
      <c r="H1631" s="5" t="str" cm="1">
        <f t="array" ref="H1631">IF(NOT(ISBLANK(A1631)),((_xlfn.XLOOKUP(1,(_bbt3[[#All],[ID]]=A1631)*(_bbt3[[#All],[METRIC_NAME]]="YLD_YTM_ASK"),_bbt3[[#All],[METRIC_VALUE]])*0.5)+(_xlfn.XLOOKUP(1,(_bbt3[[#All],[ID]]=A1631)*(_bbt3[[#All],[METRIC_NAME]]="YLD_YTM_BID"),_bbt3[[#All],[METRIC_VALUE]])*0.5))/100,"")</f>
        <v/>
      </c>
      <c r="I1631">
        <f>IF(ISNA(VLOOKUP(A1631,QW_CloseDL!A:E,5,0)),0,VLOOKUP(A1631,QW_CloseDL!A:E,5,0))</f>
        <v>0</v>
      </c>
      <c r="J1631" s="8" t="str">
        <f t="shared" si="115"/>
        <v/>
      </c>
    </row>
    <row r="1632" spans="2:10" x14ac:dyDescent="0.35">
      <c r="B1632" t="str">
        <f>IF(NOT(ISBLANK(A1632)),VLOOKUP(A1632,'BBT3'!A:F,2,0),"")</f>
        <v/>
      </c>
      <c r="C1632" t="str">
        <f>IF(NOT(ISBLANK(A1632)),VLOOKUP(A1632,'BBT3'!A:F,3,0),"")</f>
        <v/>
      </c>
      <c r="D1632" s="6" t="str">
        <f>IF(NOT(ISBLANK(A1632)),VLOOKUP(A1632,'BBT3'!A:F,4,1),"")</f>
        <v/>
      </c>
      <c r="E1632" t="str">
        <f>IF(NOT(ISBLANK(A1632)),VLOOKUP(A1632,'BBT3'!A:F,5,0),"")</f>
        <v/>
      </c>
      <c r="F1632" t="str">
        <f>IF(NOT(ISBLANK(A1632)),VLOOKUP(A1632,'BBT3'!A:F,6,0),"")</f>
        <v/>
      </c>
      <c r="G1632" t="str">
        <f>IF(NOT(ISBLANK(A1632)),VLOOKUP(A1632,QW_Close!A:J,5,0),"")</f>
        <v/>
      </c>
      <c r="H1632" s="5" t="str" cm="1">
        <f t="array" ref="H1632">IF(NOT(ISBLANK(A1632)),((_xlfn.XLOOKUP(1,(_bbt3[[#All],[ID]]=A1632)*(_bbt3[[#All],[METRIC_NAME]]="YLD_YTM_ASK"),_bbt3[[#All],[METRIC_VALUE]])*0.5)+(_xlfn.XLOOKUP(1,(_bbt3[[#All],[ID]]=A1632)*(_bbt3[[#All],[METRIC_NAME]]="YLD_YTM_BID"),_bbt3[[#All],[METRIC_VALUE]])*0.5))/100,"")</f>
        <v/>
      </c>
      <c r="I1632">
        <f>IF(ISNA(VLOOKUP(A1632,QW_CloseDL!A:E,5,0)),0,VLOOKUP(A1632,QW_CloseDL!A:E,5,0))</f>
        <v>0</v>
      </c>
      <c r="J1632" s="8" t="str">
        <f t="shared" si="115"/>
        <v/>
      </c>
    </row>
    <row r="1633" spans="2:10" x14ac:dyDescent="0.35">
      <c r="B1633" t="str">
        <f>IF(NOT(ISBLANK(A1633)),VLOOKUP(A1633,'BBT3'!A:F,2,0),"")</f>
        <v/>
      </c>
      <c r="C1633" t="str">
        <f>IF(NOT(ISBLANK(A1633)),VLOOKUP(A1633,'BBT3'!A:F,3,0),"")</f>
        <v/>
      </c>
      <c r="D1633" s="6" t="str">
        <f>IF(NOT(ISBLANK(A1633)),VLOOKUP(A1633,'BBT3'!A:F,4,1),"")</f>
        <v/>
      </c>
      <c r="E1633" t="str">
        <f>IF(NOT(ISBLANK(A1633)),VLOOKUP(A1633,'BBT3'!A:F,5,0),"")</f>
        <v/>
      </c>
      <c r="F1633" t="str">
        <f>IF(NOT(ISBLANK(A1633)),VLOOKUP(A1633,'BBT3'!A:F,6,0),"")</f>
        <v/>
      </c>
      <c r="G1633" t="str">
        <f>IF(NOT(ISBLANK(A1633)),VLOOKUP(A1633,QW_Close!A:J,5,0),"")</f>
        <v/>
      </c>
      <c r="H1633" s="5" t="str" cm="1">
        <f t="array" ref="H1633">IF(NOT(ISBLANK(A1633)),((_xlfn.XLOOKUP(1,(_bbt3[[#All],[ID]]=A1633)*(_bbt3[[#All],[METRIC_NAME]]="YLD_YTM_ASK"),_bbt3[[#All],[METRIC_VALUE]])*0.5)+(_xlfn.XLOOKUP(1,(_bbt3[[#All],[ID]]=A1633)*(_bbt3[[#All],[METRIC_NAME]]="YLD_YTM_BID"),_bbt3[[#All],[METRIC_VALUE]])*0.5))/100,"")</f>
        <v/>
      </c>
      <c r="I1633">
        <f>IF(ISNA(VLOOKUP(A1633,QW_CloseDL!A:E,5,0)),0,VLOOKUP(A1633,QW_CloseDL!A:E,5,0))</f>
        <v>0</v>
      </c>
      <c r="J1633" s="8" t="str">
        <f t="shared" si="115"/>
        <v/>
      </c>
    </row>
    <row r="1634" spans="2:10" x14ac:dyDescent="0.35">
      <c r="B1634" t="str">
        <f>IF(NOT(ISBLANK(A1634)),VLOOKUP(A1634,'BBT3'!A:F,2,0),"")</f>
        <v/>
      </c>
      <c r="C1634" t="str">
        <f>IF(NOT(ISBLANK(A1634)),VLOOKUP(A1634,'BBT3'!A:F,3,0),"")</f>
        <v/>
      </c>
      <c r="D1634" s="6" t="str">
        <f>IF(NOT(ISBLANK(A1634)),VLOOKUP(A1634,'BBT3'!A:F,4,1),"")</f>
        <v/>
      </c>
      <c r="E1634" t="str">
        <f>IF(NOT(ISBLANK(A1634)),VLOOKUP(A1634,'BBT3'!A:F,5,0),"")</f>
        <v/>
      </c>
      <c r="F1634" t="str">
        <f>IF(NOT(ISBLANK(A1634)),VLOOKUP(A1634,'BBT3'!A:F,6,0),"")</f>
        <v/>
      </c>
      <c r="G1634" t="str">
        <f>IF(NOT(ISBLANK(A1634)),VLOOKUP(A1634,QW_Close!A:J,5,0),"")</f>
        <v/>
      </c>
      <c r="H1634" s="5" t="str" cm="1">
        <f t="array" ref="H1634">IF(NOT(ISBLANK(A1634)),((_xlfn.XLOOKUP(1,(_bbt3[[#All],[ID]]=A1634)*(_bbt3[[#All],[METRIC_NAME]]="YLD_YTM_ASK"),_bbt3[[#All],[METRIC_VALUE]])*0.5)+(_xlfn.XLOOKUP(1,(_bbt3[[#All],[ID]]=A1634)*(_bbt3[[#All],[METRIC_NAME]]="YLD_YTM_BID"),_bbt3[[#All],[METRIC_VALUE]])*0.5))/100,"")</f>
        <v/>
      </c>
      <c r="I1634">
        <f>IF(ISNA(VLOOKUP(A1634,QW_CloseDL!A:E,5,0)),0,VLOOKUP(A1634,QW_CloseDL!A:E,5,0))</f>
        <v>0</v>
      </c>
      <c r="J1634" s="8" t="str">
        <f t="shared" si="115"/>
        <v/>
      </c>
    </row>
    <row r="1635" spans="2:10" x14ac:dyDescent="0.35">
      <c r="B1635" t="str">
        <f>IF(NOT(ISBLANK(A1635)),VLOOKUP(A1635,'BBT3'!A:F,2,0),"")</f>
        <v/>
      </c>
      <c r="C1635" t="str">
        <f>IF(NOT(ISBLANK(A1635)),VLOOKUP(A1635,'BBT3'!A:F,3,0),"")</f>
        <v/>
      </c>
      <c r="D1635" s="6" t="str">
        <f>IF(NOT(ISBLANK(A1635)),VLOOKUP(A1635,'BBT3'!A:F,4,1),"")</f>
        <v/>
      </c>
      <c r="E1635" t="str">
        <f>IF(NOT(ISBLANK(A1635)),VLOOKUP(A1635,'BBT3'!A:F,5,0),"")</f>
        <v/>
      </c>
      <c r="F1635" t="str">
        <f>IF(NOT(ISBLANK(A1635)),VLOOKUP(A1635,'BBT3'!A:F,6,0),"")</f>
        <v/>
      </c>
      <c r="G1635" t="str">
        <f>IF(NOT(ISBLANK(A1635)),VLOOKUP(A1635,QW_Close!A:J,5,0),"")</f>
        <v/>
      </c>
      <c r="H1635" s="5" t="str" cm="1">
        <f t="array" ref="H1635">IF(NOT(ISBLANK(A1635)),((_xlfn.XLOOKUP(1,(_bbt3[[#All],[ID]]=A1635)*(_bbt3[[#All],[METRIC_NAME]]="YLD_YTM_ASK"),_bbt3[[#All],[METRIC_VALUE]])*0.5)+(_xlfn.XLOOKUP(1,(_bbt3[[#All],[ID]]=A1635)*(_bbt3[[#All],[METRIC_NAME]]="YLD_YTM_BID"),_bbt3[[#All],[METRIC_VALUE]])*0.5))/100,"")</f>
        <v/>
      </c>
      <c r="I1635">
        <f>IF(ISNA(VLOOKUP(A1635,QW_CloseDL!A:E,5,0)),0,VLOOKUP(A1635,QW_CloseDL!A:E,5,0))</f>
        <v>0</v>
      </c>
      <c r="J1635" s="8" t="str">
        <f t="shared" si="115"/>
        <v/>
      </c>
    </row>
    <row r="1636" spans="2:10" x14ac:dyDescent="0.35">
      <c r="B1636" t="str">
        <f>IF(NOT(ISBLANK(A1636)),VLOOKUP(A1636,'BBT3'!A:F,2,0),"")</f>
        <v/>
      </c>
      <c r="C1636" t="str">
        <f>IF(NOT(ISBLANK(A1636)),VLOOKUP(A1636,'BBT3'!A:F,3,0),"")</f>
        <v/>
      </c>
      <c r="D1636" s="6" t="str">
        <f>IF(NOT(ISBLANK(A1636)),VLOOKUP(A1636,'BBT3'!A:F,4,1),"")</f>
        <v/>
      </c>
      <c r="E1636" t="str">
        <f>IF(NOT(ISBLANK(A1636)),VLOOKUP(A1636,'BBT3'!A:F,5,0),"")</f>
        <v/>
      </c>
      <c r="F1636" t="str">
        <f>IF(NOT(ISBLANK(A1636)),VLOOKUP(A1636,'BBT3'!A:F,6,0),"")</f>
        <v/>
      </c>
      <c r="G1636" t="str">
        <f>IF(NOT(ISBLANK(A1636)),VLOOKUP(A1636,QW_Close!A:J,5,0),"")</f>
        <v/>
      </c>
      <c r="H1636" s="5" t="str" cm="1">
        <f t="array" ref="H1636">IF(NOT(ISBLANK(A1636)),((_xlfn.XLOOKUP(1,(_bbt3[[#All],[ID]]=A1636)*(_bbt3[[#All],[METRIC_NAME]]="YLD_YTM_ASK"),_bbt3[[#All],[METRIC_VALUE]])*0.5)+(_xlfn.XLOOKUP(1,(_bbt3[[#All],[ID]]=A1636)*(_bbt3[[#All],[METRIC_NAME]]="YLD_YTM_BID"),_bbt3[[#All],[METRIC_VALUE]])*0.5))/100,"")</f>
        <v/>
      </c>
      <c r="I1636">
        <f>IF(ISNA(VLOOKUP(A1636,QW_CloseDL!A:E,5,0)),0,VLOOKUP(A1636,QW_CloseDL!A:E,5,0))</f>
        <v>0</v>
      </c>
      <c r="J1636" s="8" t="str">
        <f t="shared" si="115"/>
        <v/>
      </c>
    </row>
    <row r="1637" spans="2:10" x14ac:dyDescent="0.35">
      <c r="B1637" t="str">
        <f>IF(NOT(ISBLANK(A1637)),VLOOKUP(A1637,'BBT3'!A:F,2,0),"")</f>
        <v/>
      </c>
      <c r="C1637" t="str">
        <f>IF(NOT(ISBLANK(A1637)),VLOOKUP(A1637,'BBT3'!A:F,3,0),"")</f>
        <v/>
      </c>
      <c r="D1637" s="6" t="str">
        <f>IF(NOT(ISBLANK(A1637)),VLOOKUP(A1637,'BBT3'!A:F,4,1),"")</f>
        <v/>
      </c>
      <c r="E1637" t="str">
        <f>IF(NOT(ISBLANK(A1637)),VLOOKUP(A1637,'BBT3'!A:F,5,0),"")</f>
        <v/>
      </c>
      <c r="F1637" t="str">
        <f>IF(NOT(ISBLANK(A1637)),VLOOKUP(A1637,'BBT3'!A:F,6,0),"")</f>
        <v/>
      </c>
      <c r="G1637" t="str">
        <f>IF(NOT(ISBLANK(A1637)),VLOOKUP(A1637,QW_Close!A:J,5,0),"")</f>
        <v/>
      </c>
      <c r="H1637" s="5" t="str" cm="1">
        <f t="array" ref="H1637">IF(NOT(ISBLANK(A1637)),((_xlfn.XLOOKUP(1,(_bbt3[[#All],[ID]]=A1637)*(_bbt3[[#All],[METRIC_NAME]]="YLD_YTM_ASK"),_bbt3[[#All],[METRIC_VALUE]])*0.5)+(_xlfn.XLOOKUP(1,(_bbt3[[#All],[ID]]=A1637)*(_bbt3[[#All],[METRIC_NAME]]="YLD_YTM_BID"),_bbt3[[#All],[METRIC_VALUE]])*0.5))/100,"")</f>
        <v/>
      </c>
      <c r="I1637">
        <f>IF(ISNA(VLOOKUP(A1637,QW_CloseDL!A:E,5,0)),0,VLOOKUP(A1637,QW_CloseDL!A:E,5,0))</f>
        <v>0</v>
      </c>
      <c r="J1637" s="8" t="str">
        <f t="shared" si="115"/>
        <v/>
      </c>
    </row>
    <row r="1638" spans="2:10" x14ac:dyDescent="0.35">
      <c r="B1638" t="str">
        <f>IF(NOT(ISBLANK(A1638)),VLOOKUP(A1638,'BBT3'!A:F,2,0),"")</f>
        <v/>
      </c>
      <c r="C1638" t="str">
        <f>IF(NOT(ISBLANK(A1638)),VLOOKUP(A1638,'BBT3'!A:F,3,0),"")</f>
        <v/>
      </c>
      <c r="D1638" s="6" t="str">
        <f>IF(NOT(ISBLANK(A1638)),VLOOKUP(A1638,'BBT3'!A:F,4,1),"")</f>
        <v/>
      </c>
      <c r="E1638" t="str">
        <f>IF(NOT(ISBLANK(A1638)),VLOOKUP(A1638,'BBT3'!A:F,5,0),"")</f>
        <v/>
      </c>
      <c r="F1638" t="str">
        <f>IF(NOT(ISBLANK(A1638)),VLOOKUP(A1638,'BBT3'!A:F,6,0),"")</f>
        <v/>
      </c>
      <c r="G1638" t="str">
        <f>IF(NOT(ISBLANK(A1638)),VLOOKUP(A1638,QW_Close!A:J,5,0),"")</f>
        <v/>
      </c>
      <c r="H1638" s="5" t="str" cm="1">
        <f t="array" ref="H1638">IF(NOT(ISBLANK(A1638)),((_xlfn.XLOOKUP(1,(_bbt3[[#All],[ID]]=A1638)*(_bbt3[[#All],[METRIC_NAME]]="YLD_YTM_ASK"),_bbt3[[#All],[METRIC_VALUE]])*0.5)+(_xlfn.XLOOKUP(1,(_bbt3[[#All],[ID]]=A1638)*(_bbt3[[#All],[METRIC_NAME]]="YLD_YTM_BID"),_bbt3[[#All],[METRIC_VALUE]])*0.5))/100,"")</f>
        <v/>
      </c>
      <c r="I1638">
        <f>IF(ISNA(VLOOKUP(A1638,QW_CloseDL!A:E,5,0)),0,VLOOKUP(A1638,QW_CloseDL!A:E,5,0))</f>
        <v>0</v>
      </c>
      <c r="J1638" s="8" t="str">
        <f t="shared" si="115"/>
        <v/>
      </c>
    </row>
    <row r="1639" spans="2:10" x14ac:dyDescent="0.35">
      <c r="B1639" t="str">
        <f>IF(NOT(ISBLANK(A1639)),VLOOKUP(A1639,'BBT3'!A:F,2,0),"")</f>
        <v/>
      </c>
      <c r="C1639" t="str">
        <f>IF(NOT(ISBLANK(A1639)),VLOOKUP(A1639,'BBT3'!A:F,3,0),"")</f>
        <v/>
      </c>
      <c r="D1639" s="6" t="str">
        <f>IF(NOT(ISBLANK(A1639)),VLOOKUP(A1639,'BBT3'!A:F,4,1),"")</f>
        <v/>
      </c>
      <c r="E1639" t="str">
        <f>IF(NOT(ISBLANK(A1639)),VLOOKUP(A1639,'BBT3'!A:F,5,0),"")</f>
        <v/>
      </c>
      <c r="F1639" t="str">
        <f>IF(NOT(ISBLANK(A1639)),VLOOKUP(A1639,'BBT3'!A:F,6,0),"")</f>
        <v/>
      </c>
      <c r="G1639" t="str">
        <f>IF(NOT(ISBLANK(A1639)),VLOOKUP(A1639,QW_Close!A:J,5,0),"")</f>
        <v/>
      </c>
      <c r="H1639" s="5" t="str" cm="1">
        <f t="array" ref="H1639">IF(NOT(ISBLANK(A1639)),((_xlfn.XLOOKUP(1,(_bbt3[[#All],[ID]]=A1639)*(_bbt3[[#All],[METRIC_NAME]]="YLD_YTM_ASK"),_bbt3[[#All],[METRIC_VALUE]])*0.5)+(_xlfn.XLOOKUP(1,(_bbt3[[#All],[ID]]=A1639)*(_bbt3[[#All],[METRIC_NAME]]="YLD_YTM_BID"),_bbt3[[#All],[METRIC_VALUE]])*0.5))/100,"")</f>
        <v/>
      </c>
      <c r="I1639">
        <f>IF(ISNA(VLOOKUP(A1639,QW_CloseDL!A:E,5,0)),0,VLOOKUP(A1639,QW_CloseDL!A:E,5,0))</f>
        <v>0</v>
      </c>
      <c r="J1639" s="8" t="str">
        <f t="shared" si="115"/>
        <v/>
      </c>
    </row>
    <row r="1640" spans="2:10" x14ac:dyDescent="0.35">
      <c r="B1640" t="str">
        <f>IF(NOT(ISBLANK(A1640)),VLOOKUP(A1640,'BBT3'!A:F,2,0),"")</f>
        <v/>
      </c>
      <c r="C1640" t="str">
        <f>IF(NOT(ISBLANK(A1640)),VLOOKUP(A1640,'BBT3'!A:F,3,0),"")</f>
        <v/>
      </c>
      <c r="D1640" s="6" t="str">
        <f>IF(NOT(ISBLANK(A1640)),VLOOKUP(A1640,'BBT3'!A:F,4,1),"")</f>
        <v/>
      </c>
      <c r="E1640" t="str">
        <f>IF(NOT(ISBLANK(A1640)),VLOOKUP(A1640,'BBT3'!A:F,5,0),"")</f>
        <v/>
      </c>
      <c r="F1640" t="str">
        <f>IF(NOT(ISBLANK(A1640)),VLOOKUP(A1640,'BBT3'!A:F,6,0),"")</f>
        <v/>
      </c>
      <c r="G1640" t="str">
        <f>IF(NOT(ISBLANK(A1640)),VLOOKUP(A1640,QW_Close!A:J,5,0),"")</f>
        <v/>
      </c>
      <c r="H1640" s="5" t="str" cm="1">
        <f t="array" ref="H1640">IF(NOT(ISBLANK(A1640)),((_xlfn.XLOOKUP(1,(_bbt3[[#All],[ID]]=A1640)*(_bbt3[[#All],[METRIC_NAME]]="YLD_YTM_ASK"),_bbt3[[#All],[METRIC_VALUE]])*0.5)+(_xlfn.XLOOKUP(1,(_bbt3[[#All],[ID]]=A1640)*(_bbt3[[#All],[METRIC_NAME]]="YLD_YTM_BID"),_bbt3[[#All],[METRIC_VALUE]])*0.5))/100,"")</f>
        <v/>
      </c>
      <c r="I1640">
        <f>IF(ISNA(VLOOKUP(A1640,QW_CloseDL!A:E,5,0)),0,VLOOKUP(A1640,QW_CloseDL!A:E,5,0))</f>
        <v>0</v>
      </c>
      <c r="J1640" s="8" t="str">
        <f t="shared" si="115"/>
        <v/>
      </c>
    </row>
    <row r="1641" spans="2:10" x14ac:dyDescent="0.35">
      <c r="B1641" t="str">
        <f>IF(NOT(ISBLANK(A1641)),VLOOKUP(A1641,'BBT3'!A:F,2,0),"")</f>
        <v/>
      </c>
      <c r="C1641" t="str">
        <f>IF(NOT(ISBLANK(A1641)),VLOOKUP(A1641,'BBT3'!A:F,3,0),"")</f>
        <v/>
      </c>
      <c r="D1641" s="6" t="str">
        <f>IF(NOT(ISBLANK(A1641)),VLOOKUP(A1641,'BBT3'!A:F,4,1),"")</f>
        <v/>
      </c>
      <c r="E1641" t="str">
        <f>IF(NOT(ISBLANK(A1641)),VLOOKUP(A1641,'BBT3'!A:F,5,0),"")</f>
        <v/>
      </c>
      <c r="F1641" t="str">
        <f>IF(NOT(ISBLANK(A1641)),VLOOKUP(A1641,'BBT3'!A:F,6,0),"")</f>
        <v/>
      </c>
      <c r="G1641" t="str">
        <f>IF(NOT(ISBLANK(A1641)),VLOOKUP(A1641,QW_Close!A:J,5,0),"")</f>
        <v/>
      </c>
      <c r="H1641" s="5" t="str" cm="1">
        <f t="array" ref="H1641">IF(NOT(ISBLANK(A1641)),((_xlfn.XLOOKUP(1,(_bbt3[[#All],[ID]]=A1641)*(_bbt3[[#All],[METRIC_NAME]]="YLD_YTM_ASK"),_bbt3[[#All],[METRIC_VALUE]])*0.5)+(_xlfn.XLOOKUP(1,(_bbt3[[#All],[ID]]=A1641)*(_bbt3[[#All],[METRIC_NAME]]="YLD_YTM_BID"),_bbt3[[#All],[METRIC_VALUE]])*0.5))/100,"")</f>
        <v/>
      </c>
      <c r="I1641">
        <f>IF(ISNA(VLOOKUP(A1641,QW_CloseDL!A:E,5,0)),0,VLOOKUP(A1641,QW_CloseDL!A:E,5,0))</f>
        <v>0</v>
      </c>
      <c r="J1641" s="8" t="str">
        <f t="shared" si="115"/>
        <v/>
      </c>
    </row>
    <row r="1642" spans="2:10" x14ac:dyDescent="0.35">
      <c r="B1642" t="str">
        <f>IF(NOT(ISBLANK(A1642)),VLOOKUP(A1642,'BBT3'!A:F,2,0),"")</f>
        <v/>
      </c>
      <c r="C1642" t="str">
        <f>IF(NOT(ISBLANK(A1642)),VLOOKUP(A1642,'BBT3'!A:F,3,0),"")</f>
        <v/>
      </c>
      <c r="D1642" s="6" t="str">
        <f>IF(NOT(ISBLANK(A1642)),VLOOKUP(A1642,'BBT3'!A:F,4,1),"")</f>
        <v/>
      </c>
      <c r="E1642" t="str">
        <f>IF(NOT(ISBLANK(A1642)),VLOOKUP(A1642,'BBT3'!A:F,5,0),"")</f>
        <v/>
      </c>
      <c r="F1642" t="str">
        <f>IF(NOT(ISBLANK(A1642)),VLOOKUP(A1642,'BBT3'!A:F,6,0),"")</f>
        <v/>
      </c>
      <c r="G1642" t="str">
        <f>IF(NOT(ISBLANK(A1642)),VLOOKUP(A1642,QW_Close!A:J,5,0),"")</f>
        <v/>
      </c>
      <c r="H1642" s="5" t="str" cm="1">
        <f t="array" ref="H1642">IF(NOT(ISBLANK(A1642)),((_xlfn.XLOOKUP(1,(_bbt3[[#All],[ID]]=A1642)*(_bbt3[[#All],[METRIC_NAME]]="YLD_YTM_ASK"),_bbt3[[#All],[METRIC_VALUE]])*0.5)+(_xlfn.XLOOKUP(1,(_bbt3[[#All],[ID]]=A1642)*(_bbt3[[#All],[METRIC_NAME]]="YLD_YTM_BID"),_bbt3[[#All],[METRIC_VALUE]])*0.5))/100,"")</f>
        <v/>
      </c>
      <c r="I1642">
        <f>IF(ISNA(VLOOKUP(A1642,QW_CloseDL!A:E,5,0)),0,VLOOKUP(A1642,QW_CloseDL!A:E,5,0))</f>
        <v>0</v>
      </c>
      <c r="J1642" s="8" t="str">
        <f t="shared" si="115"/>
        <v/>
      </c>
    </row>
    <row r="1643" spans="2:10" x14ac:dyDescent="0.35">
      <c r="B1643" t="str">
        <f>IF(NOT(ISBLANK(A1643)),VLOOKUP(A1643,'BBT3'!A:F,2,0),"")</f>
        <v/>
      </c>
      <c r="C1643" t="str">
        <f>IF(NOT(ISBLANK(A1643)),VLOOKUP(A1643,'BBT3'!A:F,3,0),"")</f>
        <v/>
      </c>
      <c r="D1643" s="6" t="str">
        <f>IF(NOT(ISBLANK(A1643)),VLOOKUP(A1643,'BBT3'!A:F,4,1),"")</f>
        <v/>
      </c>
      <c r="E1643" t="str">
        <f>IF(NOT(ISBLANK(A1643)),VLOOKUP(A1643,'BBT3'!A:F,5,0),"")</f>
        <v/>
      </c>
      <c r="F1643" t="str">
        <f>IF(NOT(ISBLANK(A1643)),VLOOKUP(A1643,'BBT3'!A:F,6,0),"")</f>
        <v/>
      </c>
      <c r="G1643" t="str">
        <f>IF(NOT(ISBLANK(A1643)),VLOOKUP(A1643,QW_Close!A:J,5,0),"")</f>
        <v/>
      </c>
      <c r="H1643" s="5" t="str" cm="1">
        <f t="array" ref="H1643">IF(NOT(ISBLANK(A1643)),((_xlfn.XLOOKUP(1,(_bbt3[[#All],[ID]]=A1643)*(_bbt3[[#All],[METRIC_NAME]]="YLD_YTM_ASK"),_bbt3[[#All],[METRIC_VALUE]])*0.5)+(_xlfn.XLOOKUP(1,(_bbt3[[#All],[ID]]=A1643)*(_bbt3[[#All],[METRIC_NAME]]="YLD_YTM_BID"),_bbt3[[#All],[METRIC_VALUE]])*0.5))/100,"")</f>
        <v/>
      </c>
      <c r="I1643">
        <f>IF(ISNA(VLOOKUP(A1643,QW_CloseDL!A:E,5,0)),0,VLOOKUP(A1643,QW_CloseDL!A:E,5,0))</f>
        <v>0</v>
      </c>
      <c r="J1643" s="8" t="str">
        <f t="shared" si="115"/>
        <v/>
      </c>
    </row>
    <row r="1644" spans="2:10" x14ac:dyDescent="0.35">
      <c r="B1644" t="str">
        <f>IF(NOT(ISBLANK(A1644)),VLOOKUP(A1644,'BBT3'!A:F,2,0),"")</f>
        <v/>
      </c>
      <c r="C1644" t="str">
        <f>IF(NOT(ISBLANK(A1644)),VLOOKUP(A1644,'BBT3'!A:F,3,0),"")</f>
        <v/>
      </c>
      <c r="D1644" s="6" t="str">
        <f>IF(NOT(ISBLANK(A1644)),VLOOKUP(A1644,'BBT3'!A:F,4,1),"")</f>
        <v/>
      </c>
      <c r="E1644" t="str">
        <f>IF(NOT(ISBLANK(A1644)),VLOOKUP(A1644,'BBT3'!A:F,5,0),"")</f>
        <v/>
      </c>
      <c r="F1644" t="str">
        <f>IF(NOT(ISBLANK(A1644)),VLOOKUP(A1644,'BBT3'!A:F,6,0),"")</f>
        <v/>
      </c>
      <c r="G1644" t="str">
        <f>IF(NOT(ISBLANK(A1644)),VLOOKUP(A1644,QW_Close!A:J,5,0),"")</f>
        <v/>
      </c>
      <c r="H1644" s="5" t="str" cm="1">
        <f t="array" ref="H1644">IF(NOT(ISBLANK(A1644)),((_xlfn.XLOOKUP(1,(_bbt3[[#All],[ID]]=A1644)*(_bbt3[[#All],[METRIC_NAME]]="YLD_YTM_ASK"),_bbt3[[#All],[METRIC_VALUE]])*0.5)+(_xlfn.XLOOKUP(1,(_bbt3[[#All],[ID]]=A1644)*(_bbt3[[#All],[METRIC_NAME]]="YLD_YTM_BID"),_bbt3[[#All],[METRIC_VALUE]])*0.5))/100,"")</f>
        <v/>
      </c>
      <c r="I1644">
        <f>IF(ISNA(VLOOKUP(A1644,QW_CloseDL!A:E,5,0)),0,VLOOKUP(A1644,QW_CloseDL!A:E,5,0))</f>
        <v>0</v>
      </c>
      <c r="J1644" s="8" t="str">
        <f t="shared" si="115"/>
        <v/>
      </c>
    </row>
    <row r="1645" spans="2:10" x14ac:dyDescent="0.35">
      <c r="B1645" t="str">
        <f>IF(NOT(ISBLANK(A1645)),VLOOKUP(A1645,'BBT3'!A:F,2,0),"")</f>
        <v/>
      </c>
      <c r="C1645" t="str">
        <f>IF(NOT(ISBLANK(A1645)),VLOOKUP(A1645,'BBT3'!A:F,3,0),"")</f>
        <v/>
      </c>
      <c r="D1645" s="6" t="str">
        <f>IF(NOT(ISBLANK(A1645)),VLOOKUP(A1645,'BBT3'!A:F,4,1),"")</f>
        <v/>
      </c>
      <c r="E1645" t="str">
        <f>IF(NOT(ISBLANK(A1645)),VLOOKUP(A1645,'BBT3'!A:F,5,0),"")</f>
        <v/>
      </c>
      <c r="F1645" t="str">
        <f>IF(NOT(ISBLANK(A1645)),VLOOKUP(A1645,'BBT3'!A:F,6,0),"")</f>
        <v/>
      </c>
      <c r="G1645" t="str">
        <f>IF(NOT(ISBLANK(A1645)),VLOOKUP(A1645,QW_Close!A:J,5,0),"")</f>
        <v/>
      </c>
      <c r="H1645" s="5" t="str" cm="1">
        <f t="array" ref="H1645">IF(NOT(ISBLANK(A1645)),((_xlfn.XLOOKUP(1,(_bbt3[[#All],[ID]]=A1645)*(_bbt3[[#All],[METRIC_NAME]]="YLD_YTM_ASK"),_bbt3[[#All],[METRIC_VALUE]])*0.5)+(_xlfn.XLOOKUP(1,(_bbt3[[#All],[ID]]=A1645)*(_bbt3[[#All],[METRIC_NAME]]="YLD_YTM_BID"),_bbt3[[#All],[METRIC_VALUE]])*0.5))/100,"")</f>
        <v/>
      </c>
      <c r="I1645">
        <f>IF(ISNA(VLOOKUP(A1645,QW_CloseDL!A:E,5,0)),0,VLOOKUP(A1645,QW_CloseDL!A:E,5,0))</f>
        <v>0</v>
      </c>
      <c r="J1645" s="8" t="str">
        <f t="shared" si="115"/>
        <v/>
      </c>
    </row>
    <row r="1646" spans="2:10" x14ac:dyDescent="0.35">
      <c r="B1646" t="str">
        <f>IF(NOT(ISBLANK(A1646)),VLOOKUP(A1646,'BBT3'!A:F,2,0),"")</f>
        <v/>
      </c>
      <c r="C1646" t="str">
        <f>IF(NOT(ISBLANK(A1646)),VLOOKUP(A1646,'BBT3'!A:F,3,0),"")</f>
        <v/>
      </c>
      <c r="D1646" s="6" t="str">
        <f>IF(NOT(ISBLANK(A1646)),VLOOKUP(A1646,'BBT3'!A:F,4,1),"")</f>
        <v/>
      </c>
      <c r="E1646" t="str">
        <f>IF(NOT(ISBLANK(A1646)),VLOOKUP(A1646,'BBT3'!A:F,5,0),"")</f>
        <v/>
      </c>
      <c r="F1646" t="str">
        <f>IF(NOT(ISBLANK(A1646)),VLOOKUP(A1646,'BBT3'!A:F,6,0),"")</f>
        <v/>
      </c>
      <c r="G1646" t="str">
        <f>IF(NOT(ISBLANK(A1646)),VLOOKUP(A1646,QW_Close!A:J,5,0),"")</f>
        <v/>
      </c>
      <c r="H1646" s="5" t="str" cm="1">
        <f t="array" ref="H1646">IF(NOT(ISBLANK(A1646)),((_xlfn.XLOOKUP(1,(_bbt3[[#All],[ID]]=A1646)*(_bbt3[[#All],[METRIC_NAME]]="YLD_YTM_ASK"),_bbt3[[#All],[METRIC_VALUE]])*0.5)+(_xlfn.XLOOKUP(1,(_bbt3[[#All],[ID]]=A1646)*(_bbt3[[#All],[METRIC_NAME]]="YLD_YTM_BID"),_bbt3[[#All],[METRIC_VALUE]])*0.5))/100,"")</f>
        <v/>
      </c>
      <c r="I1646">
        <f>IF(ISNA(VLOOKUP(A1646,QW_CloseDL!A:E,5,0)),0,VLOOKUP(A1646,QW_CloseDL!A:E,5,0))</f>
        <v>0</v>
      </c>
      <c r="J1646" s="8" t="str">
        <f t="shared" si="115"/>
        <v/>
      </c>
    </row>
    <row r="1647" spans="2:10" x14ac:dyDescent="0.35">
      <c r="B1647" t="str">
        <f>IF(NOT(ISBLANK(A1647)),VLOOKUP(A1647,'BBT3'!A:F,2,0),"")</f>
        <v/>
      </c>
      <c r="C1647" t="str">
        <f>IF(NOT(ISBLANK(A1647)),VLOOKUP(A1647,'BBT3'!A:F,3,0),"")</f>
        <v/>
      </c>
      <c r="D1647" s="6" t="str">
        <f>IF(NOT(ISBLANK(A1647)),VLOOKUP(A1647,'BBT3'!A:F,4,1),"")</f>
        <v/>
      </c>
      <c r="E1647" t="str">
        <f>IF(NOT(ISBLANK(A1647)),VLOOKUP(A1647,'BBT3'!A:F,5,0),"")</f>
        <v/>
      </c>
      <c r="F1647" t="str">
        <f>IF(NOT(ISBLANK(A1647)),VLOOKUP(A1647,'BBT3'!A:F,6,0),"")</f>
        <v/>
      </c>
      <c r="G1647" t="str">
        <f>IF(NOT(ISBLANK(A1647)),VLOOKUP(A1647,QW_Close!A:J,5,0),"")</f>
        <v/>
      </c>
      <c r="H1647" s="5" t="str" cm="1">
        <f t="array" ref="H1647">IF(NOT(ISBLANK(A1647)),((_xlfn.XLOOKUP(1,(_bbt3[[#All],[ID]]=A1647)*(_bbt3[[#All],[METRIC_NAME]]="YLD_YTM_ASK"),_bbt3[[#All],[METRIC_VALUE]])*0.5)+(_xlfn.XLOOKUP(1,(_bbt3[[#All],[ID]]=A1647)*(_bbt3[[#All],[METRIC_NAME]]="YLD_YTM_BID"),_bbt3[[#All],[METRIC_VALUE]])*0.5))/100,"")</f>
        <v/>
      </c>
      <c r="I1647">
        <f>IF(ISNA(VLOOKUP(A1647,QW_CloseDL!A:E,5,0)),0,VLOOKUP(A1647,QW_CloseDL!A:E,5,0))</f>
        <v>0</v>
      </c>
      <c r="J1647" s="8" t="str">
        <f t="shared" si="115"/>
        <v/>
      </c>
    </row>
    <row r="1648" spans="2:10" x14ac:dyDescent="0.35">
      <c r="B1648" t="str">
        <f>IF(NOT(ISBLANK(A1648)),VLOOKUP(A1648,'BBT3'!A:F,2,0),"")</f>
        <v/>
      </c>
      <c r="C1648" t="str">
        <f>IF(NOT(ISBLANK(A1648)),VLOOKUP(A1648,'BBT3'!A:F,3,0),"")</f>
        <v/>
      </c>
      <c r="D1648" s="6" t="str">
        <f>IF(NOT(ISBLANK(A1648)),VLOOKUP(A1648,'BBT3'!A:F,4,1),"")</f>
        <v/>
      </c>
      <c r="E1648" t="str">
        <f>IF(NOT(ISBLANK(A1648)),VLOOKUP(A1648,'BBT3'!A:F,5,0),"")</f>
        <v/>
      </c>
      <c r="F1648" t="str">
        <f>IF(NOT(ISBLANK(A1648)),VLOOKUP(A1648,'BBT3'!A:F,6,0),"")</f>
        <v/>
      </c>
      <c r="G1648" t="str">
        <f>IF(NOT(ISBLANK(A1648)),VLOOKUP(A1648,QW_Close!A:J,5,0),"")</f>
        <v/>
      </c>
      <c r="H1648" s="5" t="str" cm="1">
        <f t="array" ref="H1648">IF(NOT(ISBLANK(A1648)),((_xlfn.XLOOKUP(1,(_bbt3[[#All],[ID]]=A1648)*(_bbt3[[#All],[METRIC_NAME]]="YLD_YTM_ASK"),_bbt3[[#All],[METRIC_VALUE]])*0.5)+(_xlfn.XLOOKUP(1,(_bbt3[[#All],[ID]]=A1648)*(_bbt3[[#All],[METRIC_NAME]]="YLD_YTM_BID"),_bbt3[[#All],[METRIC_VALUE]])*0.5))/100,"")</f>
        <v/>
      </c>
      <c r="I1648">
        <f>IF(ISNA(VLOOKUP(A1648,QW_CloseDL!A:E,5,0)),0,VLOOKUP(A1648,QW_CloseDL!A:E,5,0))</f>
        <v>0</v>
      </c>
      <c r="J1648" s="8" t="str">
        <f t="shared" si="115"/>
        <v/>
      </c>
    </row>
    <row r="1649" spans="2:10" x14ac:dyDescent="0.35">
      <c r="B1649" t="str">
        <f>IF(NOT(ISBLANK(A1649)),VLOOKUP(A1649,'BBT3'!A:F,2,0),"")</f>
        <v/>
      </c>
      <c r="C1649" t="str">
        <f>IF(NOT(ISBLANK(A1649)),VLOOKUP(A1649,'BBT3'!A:F,3,0),"")</f>
        <v/>
      </c>
      <c r="D1649" s="6" t="str">
        <f>IF(NOT(ISBLANK(A1649)),VLOOKUP(A1649,'BBT3'!A:F,4,1),"")</f>
        <v/>
      </c>
      <c r="E1649" t="str">
        <f>IF(NOT(ISBLANK(A1649)),VLOOKUP(A1649,'BBT3'!A:F,5,0),"")</f>
        <v/>
      </c>
      <c r="F1649" t="str">
        <f>IF(NOT(ISBLANK(A1649)),VLOOKUP(A1649,'BBT3'!A:F,6,0),"")</f>
        <v/>
      </c>
      <c r="G1649" t="str">
        <f>IF(NOT(ISBLANK(A1649)),VLOOKUP(A1649,QW_Close!A:J,5,0),"")</f>
        <v/>
      </c>
      <c r="H1649" s="5" t="str" cm="1">
        <f t="array" ref="H1649">IF(NOT(ISBLANK(A1649)),((_xlfn.XLOOKUP(1,(_bbt3[[#All],[ID]]=A1649)*(_bbt3[[#All],[METRIC_NAME]]="YLD_YTM_ASK"),_bbt3[[#All],[METRIC_VALUE]])*0.5)+(_xlfn.XLOOKUP(1,(_bbt3[[#All],[ID]]=A1649)*(_bbt3[[#All],[METRIC_NAME]]="YLD_YTM_BID"),_bbt3[[#All],[METRIC_VALUE]])*0.5))/100,"")</f>
        <v/>
      </c>
      <c r="I1649">
        <f>IF(ISNA(VLOOKUP(A1649,QW_CloseDL!A:E,5,0)),0,VLOOKUP(A1649,QW_CloseDL!A:E,5,0))</f>
        <v>0</v>
      </c>
      <c r="J1649" s="8" t="str">
        <f t="shared" si="115"/>
        <v/>
      </c>
    </row>
    <row r="1650" spans="2:10" x14ac:dyDescent="0.35">
      <c r="B1650" t="str">
        <f>IF(NOT(ISBLANK(A1650)),VLOOKUP(A1650,'BBT3'!A:F,2,0),"")</f>
        <v/>
      </c>
      <c r="C1650" t="str">
        <f>IF(NOT(ISBLANK(A1650)),VLOOKUP(A1650,'BBT3'!A:F,3,0),"")</f>
        <v/>
      </c>
      <c r="D1650" s="6" t="str">
        <f>IF(NOT(ISBLANK(A1650)),VLOOKUP(A1650,'BBT3'!A:F,4,1),"")</f>
        <v/>
      </c>
      <c r="E1650" t="str">
        <f>IF(NOT(ISBLANK(A1650)),VLOOKUP(A1650,'BBT3'!A:F,5,0),"")</f>
        <v/>
      </c>
      <c r="F1650" t="str">
        <f>IF(NOT(ISBLANK(A1650)),VLOOKUP(A1650,'BBT3'!A:F,6,0),"")</f>
        <v/>
      </c>
      <c r="G1650" t="str">
        <f>IF(NOT(ISBLANK(A1650)),VLOOKUP(A1650,QW_Close!A:J,5,0),"")</f>
        <v/>
      </c>
      <c r="H1650" s="5" t="str" cm="1">
        <f t="array" ref="H1650">IF(NOT(ISBLANK(A1650)),((_xlfn.XLOOKUP(1,(_bbt3[[#All],[ID]]=A1650)*(_bbt3[[#All],[METRIC_NAME]]="YLD_YTM_ASK"),_bbt3[[#All],[METRIC_VALUE]])*0.5)+(_xlfn.XLOOKUP(1,(_bbt3[[#All],[ID]]=A1650)*(_bbt3[[#All],[METRIC_NAME]]="YLD_YTM_BID"),_bbt3[[#All],[METRIC_VALUE]])*0.5))/100,"")</f>
        <v/>
      </c>
      <c r="I1650">
        <f>IF(ISNA(VLOOKUP(A1650,QW_CloseDL!A:E,5,0)),0,VLOOKUP(A1650,QW_CloseDL!A:E,5,0))</f>
        <v>0</v>
      </c>
      <c r="J1650" s="8" t="str">
        <f t="shared" si="115"/>
        <v/>
      </c>
    </row>
    <row r="1651" spans="2:10" x14ac:dyDescent="0.35">
      <c r="B1651" t="str">
        <f>IF(NOT(ISBLANK(A1651)),VLOOKUP(A1651,'BBT3'!A:F,2,0),"")</f>
        <v/>
      </c>
      <c r="C1651" t="str">
        <f>IF(NOT(ISBLANK(A1651)),VLOOKUP(A1651,'BBT3'!A:F,3,0),"")</f>
        <v/>
      </c>
      <c r="D1651" s="6" t="str">
        <f>IF(NOT(ISBLANK(A1651)),VLOOKUP(A1651,'BBT3'!A:F,4,1),"")</f>
        <v/>
      </c>
      <c r="E1651" t="str">
        <f>IF(NOT(ISBLANK(A1651)),VLOOKUP(A1651,'BBT3'!A:F,5,0),"")</f>
        <v/>
      </c>
      <c r="F1651" t="str">
        <f>IF(NOT(ISBLANK(A1651)),VLOOKUP(A1651,'BBT3'!A:F,6,0),"")</f>
        <v/>
      </c>
      <c r="G1651" t="str">
        <f>IF(NOT(ISBLANK(A1651)),VLOOKUP(A1651,QW_Close!A:J,5,0),"")</f>
        <v/>
      </c>
      <c r="H1651" s="5" t="str" cm="1">
        <f t="array" ref="H1651">IF(NOT(ISBLANK(A1651)),((_xlfn.XLOOKUP(1,(_bbt3[[#All],[ID]]=A1651)*(_bbt3[[#All],[METRIC_NAME]]="YLD_YTM_ASK"),_bbt3[[#All],[METRIC_VALUE]])*0.5)+(_xlfn.XLOOKUP(1,(_bbt3[[#All],[ID]]=A1651)*(_bbt3[[#All],[METRIC_NAME]]="YLD_YTM_BID"),_bbt3[[#All],[METRIC_VALUE]])*0.5))/100,"")</f>
        <v/>
      </c>
      <c r="I1651">
        <f>IF(ISNA(VLOOKUP(A1651,QW_CloseDL!A:E,5,0)),0,VLOOKUP(A1651,QW_CloseDL!A:E,5,0))</f>
        <v>0</v>
      </c>
      <c r="J1651" s="8" t="str">
        <f t="shared" si="115"/>
        <v/>
      </c>
    </row>
    <row r="1652" spans="2:10" x14ac:dyDescent="0.35">
      <c r="B1652" t="str">
        <f>IF(NOT(ISBLANK(A1652)),VLOOKUP(A1652,'BBT3'!A:F,2,0),"")</f>
        <v/>
      </c>
      <c r="C1652" t="str">
        <f>IF(NOT(ISBLANK(A1652)),VLOOKUP(A1652,'BBT3'!A:F,3,0),"")</f>
        <v/>
      </c>
      <c r="D1652" s="6" t="str">
        <f>IF(NOT(ISBLANK(A1652)),VLOOKUP(A1652,'BBT3'!A:F,4,1),"")</f>
        <v/>
      </c>
      <c r="E1652" t="str">
        <f>IF(NOT(ISBLANK(A1652)),VLOOKUP(A1652,'BBT3'!A:F,5,0),"")</f>
        <v/>
      </c>
      <c r="F1652" t="str">
        <f>IF(NOT(ISBLANK(A1652)),VLOOKUP(A1652,'BBT3'!A:F,6,0),"")</f>
        <v/>
      </c>
      <c r="G1652" t="str">
        <f>IF(NOT(ISBLANK(A1652)),VLOOKUP(A1652,QW_Close!A:J,5,0),"")</f>
        <v/>
      </c>
      <c r="H1652" s="5" t="str" cm="1">
        <f t="array" ref="H1652">IF(NOT(ISBLANK(A1652)),((_xlfn.XLOOKUP(1,(_bbt3[[#All],[ID]]=A1652)*(_bbt3[[#All],[METRIC_NAME]]="YLD_YTM_ASK"),_bbt3[[#All],[METRIC_VALUE]])*0.5)+(_xlfn.XLOOKUP(1,(_bbt3[[#All],[ID]]=A1652)*(_bbt3[[#All],[METRIC_NAME]]="YLD_YTM_BID"),_bbt3[[#All],[METRIC_VALUE]])*0.5))/100,"")</f>
        <v/>
      </c>
      <c r="I1652">
        <f>IF(ISNA(VLOOKUP(A1652,QW_CloseDL!A:E,5,0)),0,VLOOKUP(A1652,QW_CloseDL!A:E,5,0))</f>
        <v>0</v>
      </c>
      <c r="J1652" s="8" t="str">
        <f t="shared" si="115"/>
        <v/>
      </c>
    </row>
    <row r="1653" spans="2:10" x14ac:dyDescent="0.35">
      <c r="B1653" t="str">
        <f>IF(NOT(ISBLANK(A1653)),VLOOKUP(A1653,'BBT3'!A:F,2,0),"")</f>
        <v/>
      </c>
      <c r="C1653" t="str">
        <f>IF(NOT(ISBLANK(A1653)),VLOOKUP(A1653,'BBT3'!A:F,3,0),"")</f>
        <v/>
      </c>
      <c r="D1653" s="6" t="str">
        <f>IF(NOT(ISBLANK(A1653)),VLOOKUP(A1653,'BBT3'!A:F,4,1),"")</f>
        <v/>
      </c>
      <c r="E1653" t="str">
        <f>IF(NOT(ISBLANK(A1653)),VLOOKUP(A1653,'BBT3'!A:F,5,0),"")</f>
        <v/>
      </c>
      <c r="F1653" t="str">
        <f>IF(NOT(ISBLANK(A1653)),VLOOKUP(A1653,'BBT3'!A:F,6,0),"")</f>
        <v/>
      </c>
      <c r="G1653" t="str">
        <f>IF(NOT(ISBLANK(A1653)),VLOOKUP(A1653,QW_Close!A:J,5,0),"")</f>
        <v/>
      </c>
      <c r="H1653" s="5" t="str" cm="1">
        <f t="array" ref="H1653">IF(NOT(ISBLANK(A1653)),((_xlfn.XLOOKUP(1,(_bbt3[[#All],[ID]]=A1653)*(_bbt3[[#All],[METRIC_NAME]]="YLD_YTM_ASK"),_bbt3[[#All],[METRIC_VALUE]])*0.5)+(_xlfn.XLOOKUP(1,(_bbt3[[#All],[ID]]=A1653)*(_bbt3[[#All],[METRIC_NAME]]="YLD_YTM_BID"),_bbt3[[#All],[METRIC_VALUE]])*0.5))/100,"")</f>
        <v/>
      </c>
      <c r="I1653">
        <f>IF(ISNA(VLOOKUP(A1653,QW_CloseDL!A:E,5,0)),0,VLOOKUP(A1653,QW_CloseDL!A:E,5,0))</f>
        <v>0</v>
      </c>
      <c r="J1653" s="8" t="str">
        <f t="shared" si="115"/>
        <v/>
      </c>
    </row>
    <row r="1654" spans="2:10" x14ac:dyDescent="0.35">
      <c r="B1654" t="str">
        <f>IF(NOT(ISBLANK(A1654)),VLOOKUP(A1654,'BBT3'!A:F,2,0),"")</f>
        <v/>
      </c>
      <c r="C1654" t="str">
        <f>IF(NOT(ISBLANK(A1654)),VLOOKUP(A1654,'BBT3'!A:F,3,0),"")</f>
        <v/>
      </c>
      <c r="D1654" s="6" t="str">
        <f>IF(NOT(ISBLANK(A1654)),VLOOKUP(A1654,'BBT3'!A:F,4,1),"")</f>
        <v/>
      </c>
      <c r="E1654" t="str">
        <f>IF(NOT(ISBLANK(A1654)),VLOOKUP(A1654,'BBT3'!A:F,5,0),"")</f>
        <v/>
      </c>
      <c r="F1654" t="str">
        <f>IF(NOT(ISBLANK(A1654)),VLOOKUP(A1654,'BBT3'!A:F,6,0),"")</f>
        <v/>
      </c>
      <c r="G1654" t="str">
        <f>IF(NOT(ISBLANK(A1654)),VLOOKUP(A1654,QW_Close!A:J,5,0),"")</f>
        <v/>
      </c>
      <c r="H1654" s="5" t="str" cm="1">
        <f t="array" ref="H1654">IF(NOT(ISBLANK(A1654)),((_xlfn.XLOOKUP(1,(_bbt3[[#All],[ID]]=A1654)*(_bbt3[[#All],[METRIC_NAME]]="YLD_YTM_ASK"),_bbt3[[#All],[METRIC_VALUE]])*0.5)+(_xlfn.XLOOKUP(1,(_bbt3[[#All],[ID]]=A1654)*(_bbt3[[#All],[METRIC_NAME]]="YLD_YTM_BID"),_bbt3[[#All],[METRIC_VALUE]])*0.5))/100,"")</f>
        <v/>
      </c>
      <c r="I1654">
        <f>IF(ISNA(VLOOKUP(A1654,QW_CloseDL!A:E,5,0)),0,VLOOKUP(A1654,QW_CloseDL!A:E,5,0))</f>
        <v>0</v>
      </c>
      <c r="J1654" s="8" t="str">
        <f t="shared" si="115"/>
        <v/>
      </c>
    </row>
    <row r="1655" spans="2:10" x14ac:dyDescent="0.35">
      <c r="B1655" t="str">
        <f>IF(NOT(ISBLANK(A1655)),VLOOKUP(A1655,'BBT3'!A:F,2,0),"")</f>
        <v/>
      </c>
      <c r="C1655" t="str">
        <f>IF(NOT(ISBLANK(A1655)),VLOOKUP(A1655,'BBT3'!A:F,3,0),"")</f>
        <v/>
      </c>
      <c r="D1655" s="6" t="str">
        <f>IF(NOT(ISBLANK(A1655)),VLOOKUP(A1655,'BBT3'!A:F,4,1),"")</f>
        <v/>
      </c>
      <c r="E1655" t="str">
        <f>IF(NOT(ISBLANK(A1655)),VLOOKUP(A1655,'BBT3'!A:F,5,0),"")</f>
        <v/>
      </c>
      <c r="F1655" t="str">
        <f>IF(NOT(ISBLANK(A1655)),VLOOKUP(A1655,'BBT3'!A:F,6,0),"")</f>
        <v/>
      </c>
      <c r="G1655" t="str">
        <f>IF(NOT(ISBLANK(A1655)),VLOOKUP(A1655,QW_Close!A:J,5,0),"")</f>
        <v/>
      </c>
      <c r="H1655" s="5" t="str" cm="1">
        <f t="array" ref="H1655">IF(NOT(ISBLANK(A1655)),((_xlfn.XLOOKUP(1,(_bbt3[[#All],[ID]]=A1655)*(_bbt3[[#All],[METRIC_NAME]]="YLD_YTM_ASK"),_bbt3[[#All],[METRIC_VALUE]])*0.5)+(_xlfn.XLOOKUP(1,(_bbt3[[#All],[ID]]=A1655)*(_bbt3[[#All],[METRIC_NAME]]="YLD_YTM_BID"),_bbt3[[#All],[METRIC_VALUE]])*0.5))/100,"")</f>
        <v/>
      </c>
      <c r="I1655">
        <f>IF(ISNA(VLOOKUP(A1655,QW_CloseDL!A:E,5,0)),0,VLOOKUP(A1655,QW_CloseDL!A:E,5,0))</f>
        <v>0</v>
      </c>
      <c r="J1655" s="8" t="str">
        <f t="shared" si="115"/>
        <v/>
      </c>
    </row>
    <row r="1656" spans="2:10" x14ac:dyDescent="0.35">
      <c r="B1656" t="str">
        <f>IF(NOT(ISBLANK(A1656)),VLOOKUP(A1656,'BBT3'!A:F,2,0),"")</f>
        <v/>
      </c>
      <c r="C1656" t="str">
        <f>IF(NOT(ISBLANK(A1656)),VLOOKUP(A1656,'BBT3'!A:F,3,0),"")</f>
        <v/>
      </c>
      <c r="D1656" s="6" t="str">
        <f>IF(NOT(ISBLANK(A1656)),VLOOKUP(A1656,'BBT3'!A:F,4,1),"")</f>
        <v/>
      </c>
      <c r="E1656" t="str">
        <f>IF(NOT(ISBLANK(A1656)),VLOOKUP(A1656,'BBT3'!A:F,5,0),"")</f>
        <v/>
      </c>
      <c r="F1656" t="str">
        <f>IF(NOT(ISBLANK(A1656)),VLOOKUP(A1656,'BBT3'!A:F,6,0),"")</f>
        <v/>
      </c>
      <c r="G1656" t="str">
        <f>IF(NOT(ISBLANK(A1656)),VLOOKUP(A1656,QW_Close!A:J,5,0),"")</f>
        <v/>
      </c>
      <c r="H1656" s="5" t="str" cm="1">
        <f t="array" ref="H1656">IF(NOT(ISBLANK(A1656)),((_xlfn.XLOOKUP(1,(_bbt3[[#All],[ID]]=A1656)*(_bbt3[[#All],[METRIC_NAME]]="YLD_YTM_ASK"),_bbt3[[#All],[METRIC_VALUE]])*0.5)+(_xlfn.XLOOKUP(1,(_bbt3[[#All],[ID]]=A1656)*(_bbt3[[#All],[METRIC_NAME]]="YLD_YTM_BID"),_bbt3[[#All],[METRIC_VALUE]])*0.5))/100,"")</f>
        <v/>
      </c>
      <c r="I1656">
        <f>IF(ISNA(VLOOKUP(A1656,QW_CloseDL!A:E,5,0)),0,VLOOKUP(A1656,QW_CloseDL!A:E,5,0))</f>
        <v>0</v>
      </c>
      <c r="J1656" s="8" t="str">
        <f t="shared" si="115"/>
        <v/>
      </c>
    </row>
    <row r="1657" spans="2:10" x14ac:dyDescent="0.35">
      <c r="B1657" t="str">
        <f>IF(NOT(ISBLANK(A1657)),VLOOKUP(A1657,'BBT3'!A:F,2,0),"")</f>
        <v/>
      </c>
      <c r="C1657" t="str">
        <f>IF(NOT(ISBLANK(A1657)),VLOOKUP(A1657,'BBT3'!A:F,3,0),"")</f>
        <v/>
      </c>
      <c r="D1657" s="6" t="str">
        <f>IF(NOT(ISBLANK(A1657)),VLOOKUP(A1657,'BBT3'!A:F,4,1),"")</f>
        <v/>
      </c>
      <c r="E1657" t="str">
        <f>IF(NOT(ISBLANK(A1657)),VLOOKUP(A1657,'BBT3'!A:F,5,0),"")</f>
        <v/>
      </c>
      <c r="F1657" t="str">
        <f>IF(NOT(ISBLANK(A1657)),VLOOKUP(A1657,'BBT3'!A:F,6,0),"")</f>
        <v/>
      </c>
      <c r="G1657" t="str">
        <f>IF(NOT(ISBLANK(A1657)),VLOOKUP(A1657,QW_Close!A:J,5,0),"")</f>
        <v/>
      </c>
      <c r="H1657" s="5" t="str" cm="1">
        <f t="array" ref="H1657">IF(NOT(ISBLANK(A1657)),((_xlfn.XLOOKUP(1,(_bbt3[[#All],[ID]]=A1657)*(_bbt3[[#All],[METRIC_NAME]]="YLD_YTM_ASK"),_bbt3[[#All],[METRIC_VALUE]])*0.5)+(_xlfn.XLOOKUP(1,(_bbt3[[#All],[ID]]=A1657)*(_bbt3[[#All],[METRIC_NAME]]="YLD_YTM_BID"),_bbt3[[#All],[METRIC_VALUE]])*0.5))/100,"")</f>
        <v/>
      </c>
      <c r="I1657">
        <f>IF(ISNA(VLOOKUP(A1657,QW_CloseDL!A:E,5,0)),0,VLOOKUP(A1657,QW_CloseDL!A:E,5,0))</f>
        <v>0</v>
      </c>
      <c r="J1657" s="8" t="str">
        <f t="shared" si="115"/>
        <v/>
      </c>
    </row>
    <row r="1658" spans="2:10" x14ac:dyDescent="0.35">
      <c r="B1658" t="str">
        <f>IF(NOT(ISBLANK(A1658)),VLOOKUP(A1658,'BBT3'!A:F,2,0),"")</f>
        <v/>
      </c>
      <c r="C1658" t="str">
        <f>IF(NOT(ISBLANK(A1658)),VLOOKUP(A1658,'BBT3'!A:F,3,0),"")</f>
        <v/>
      </c>
      <c r="D1658" s="6" t="str">
        <f>IF(NOT(ISBLANK(A1658)),VLOOKUP(A1658,'BBT3'!A:F,4,1),"")</f>
        <v/>
      </c>
      <c r="E1658" t="str">
        <f>IF(NOT(ISBLANK(A1658)),VLOOKUP(A1658,'BBT3'!A:F,5,0),"")</f>
        <v/>
      </c>
      <c r="F1658" t="str">
        <f>IF(NOT(ISBLANK(A1658)),VLOOKUP(A1658,'BBT3'!A:F,6,0),"")</f>
        <v/>
      </c>
      <c r="G1658" t="str">
        <f>IF(NOT(ISBLANK(A1658)),VLOOKUP(A1658,QW_Close!A:J,5,0),"")</f>
        <v/>
      </c>
      <c r="H1658" s="5" t="str" cm="1">
        <f t="array" ref="H1658">IF(NOT(ISBLANK(A1658)),((_xlfn.XLOOKUP(1,(_bbt3[[#All],[ID]]=A1658)*(_bbt3[[#All],[METRIC_NAME]]="YLD_YTM_ASK"),_bbt3[[#All],[METRIC_VALUE]])*0.5)+(_xlfn.XLOOKUP(1,(_bbt3[[#All],[ID]]=A1658)*(_bbt3[[#All],[METRIC_NAME]]="YLD_YTM_BID"),_bbt3[[#All],[METRIC_VALUE]])*0.5))/100,"")</f>
        <v/>
      </c>
      <c r="I1658">
        <f>IF(ISNA(VLOOKUP(A1658,QW_CloseDL!A:E,5,0)),0,VLOOKUP(A1658,QW_CloseDL!A:E,5,0))</f>
        <v>0</v>
      </c>
      <c r="J1658" s="8" t="str">
        <f t="shared" si="115"/>
        <v/>
      </c>
    </row>
    <row r="1659" spans="2:10" x14ac:dyDescent="0.35">
      <c r="B1659" t="str">
        <f>IF(NOT(ISBLANK(A1659)),VLOOKUP(A1659,'BBT3'!A:F,2,0),"")</f>
        <v/>
      </c>
      <c r="C1659" t="str">
        <f>IF(NOT(ISBLANK(A1659)),VLOOKUP(A1659,'BBT3'!A:F,3,0),"")</f>
        <v/>
      </c>
      <c r="D1659" s="6" t="str">
        <f>IF(NOT(ISBLANK(A1659)),VLOOKUP(A1659,'BBT3'!A:F,4,1),"")</f>
        <v/>
      </c>
      <c r="E1659" t="str">
        <f>IF(NOT(ISBLANK(A1659)),VLOOKUP(A1659,'BBT3'!A:F,5,0),"")</f>
        <v/>
      </c>
      <c r="F1659" t="str">
        <f>IF(NOT(ISBLANK(A1659)),VLOOKUP(A1659,'BBT3'!A:F,6,0),"")</f>
        <v/>
      </c>
      <c r="G1659" t="str">
        <f>IF(NOT(ISBLANK(A1659)),VLOOKUP(A1659,QW_Close!A:J,5,0),"")</f>
        <v/>
      </c>
      <c r="H1659" s="5" t="str" cm="1">
        <f t="array" ref="H1659">IF(NOT(ISBLANK(A1659)),((_xlfn.XLOOKUP(1,(_bbt3[[#All],[ID]]=A1659)*(_bbt3[[#All],[METRIC_NAME]]="YLD_YTM_ASK"),_bbt3[[#All],[METRIC_VALUE]])*0.5)+(_xlfn.XLOOKUP(1,(_bbt3[[#All],[ID]]=A1659)*(_bbt3[[#All],[METRIC_NAME]]="YLD_YTM_BID"),_bbt3[[#All],[METRIC_VALUE]])*0.5))/100,"")</f>
        <v/>
      </c>
      <c r="I1659">
        <f>IF(ISNA(VLOOKUP(A1659,QW_CloseDL!A:E,5,0)),0,VLOOKUP(A1659,QW_CloseDL!A:E,5,0))</f>
        <v>0</v>
      </c>
      <c r="J1659" s="8" t="str">
        <f t="shared" si="115"/>
        <v/>
      </c>
    </row>
    <row r="1660" spans="2:10" x14ac:dyDescent="0.35">
      <c r="B1660" t="str">
        <f>IF(NOT(ISBLANK(A1660)),VLOOKUP(A1660,'BBT3'!A:F,2,0),"")</f>
        <v/>
      </c>
      <c r="C1660" t="str">
        <f>IF(NOT(ISBLANK(A1660)),VLOOKUP(A1660,'BBT3'!A:F,3,0),"")</f>
        <v/>
      </c>
      <c r="D1660" s="6" t="str">
        <f>IF(NOT(ISBLANK(A1660)),VLOOKUP(A1660,'BBT3'!A:F,4,1),"")</f>
        <v/>
      </c>
      <c r="E1660" t="str">
        <f>IF(NOT(ISBLANK(A1660)),VLOOKUP(A1660,'BBT3'!A:F,5,0),"")</f>
        <v/>
      </c>
      <c r="F1660" t="str">
        <f>IF(NOT(ISBLANK(A1660)),VLOOKUP(A1660,'BBT3'!A:F,6,0),"")</f>
        <v/>
      </c>
      <c r="G1660" t="str">
        <f>IF(NOT(ISBLANK(A1660)),VLOOKUP(A1660,QW_Close!A:J,5,0),"")</f>
        <v/>
      </c>
      <c r="H1660" s="5" t="str" cm="1">
        <f t="array" ref="H1660">IF(NOT(ISBLANK(A1660)),((_xlfn.XLOOKUP(1,(_bbt3[[#All],[ID]]=A1660)*(_bbt3[[#All],[METRIC_NAME]]="YLD_YTM_ASK"),_bbt3[[#All],[METRIC_VALUE]])*0.5)+(_xlfn.XLOOKUP(1,(_bbt3[[#All],[ID]]=A1660)*(_bbt3[[#All],[METRIC_NAME]]="YLD_YTM_BID"),_bbt3[[#All],[METRIC_VALUE]])*0.5))/100,"")</f>
        <v/>
      </c>
      <c r="I1660">
        <f>IF(ISNA(VLOOKUP(A1660,QW_CloseDL!A:E,5,0)),0,VLOOKUP(A1660,QW_CloseDL!A:E,5,0))</f>
        <v>0</v>
      </c>
      <c r="J1660" s="8" t="str">
        <f t="shared" si="115"/>
        <v/>
      </c>
    </row>
    <row r="1661" spans="2:10" x14ac:dyDescent="0.35">
      <c r="B1661" t="str">
        <f>IF(NOT(ISBLANK(A1661)),VLOOKUP(A1661,'BBT3'!A:F,2,0),"")</f>
        <v/>
      </c>
      <c r="C1661" t="str">
        <f>IF(NOT(ISBLANK(A1661)),VLOOKUP(A1661,'BBT3'!A:F,3,0),"")</f>
        <v/>
      </c>
      <c r="D1661" s="6" t="str">
        <f>IF(NOT(ISBLANK(A1661)),VLOOKUP(A1661,'BBT3'!A:F,4,1),"")</f>
        <v/>
      </c>
      <c r="E1661" t="str">
        <f>IF(NOT(ISBLANK(A1661)),VLOOKUP(A1661,'BBT3'!A:F,5,0),"")</f>
        <v/>
      </c>
      <c r="F1661" t="str">
        <f>IF(NOT(ISBLANK(A1661)),VLOOKUP(A1661,'BBT3'!A:F,6,0),"")</f>
        <v/>
      </c>
      <c r="G1661" t="str">
        <f>IF(NOT(ISBLANK(A1661)),VLOOKUP(A1661,QW_Close!A:J,5,0),"")</f>
        <v/>
      </c>
      <c r="H1661" s="5" t="str" cm="1">
        <f t="array" ref="H1661">IF(NOT(ISBLANK(A1661)),((_xlfn.XLOOKUP(1,(_bbt3[[#All],[ID]]=A1661)*(_bbt3[[#All],[METRIC_NAME]]="YLD_YTM_ASK"),_bbt3[[#All],[METRIC_VALUE]])*0.5)+(_xlfn.XLOOKUP(1,(_bbt3[[#All],[ID]]=A1661)*(_bbt3[[#All],[METRIC_NAME]]="YLD_YTM_BID"),_bbt3[[#All],[METRIC_VALUE]])*0.5))/100,"")</f>
        <v/>
      </c>
      <c r="I1661">
        <f>IF(ISNA(VLOOKUP(A1661,QW_CloseDL!A:E,5,0)),0,VLOOKUP(A1661,QW_CloseDL!A:E,5,0))</f>
        <v>0</v>
      </c>
      <c r="J1661" s="8" t="str">
        <f t="shared" si="115"/>
        <v/>
      </c>
    </row>
    <row r="1662" spans="2:10" x14ac:dyDescent="0.35">
      <c r="B1662" t="str">
        <f>IF(NOT(ISBLANK(A1662)),VLOOKUP(A1662,'BBT3'!A:F,2,0),"")</f>
        <v/>
      </c>
      <c r="C1662" t="str">
        <f>IF(NOT(ISBLANK(A1662)),VLOOKUP(A1662,'BBT3'!A:F,3,0),"")</f>
        <v/>
      </c>
      <c r="D1662" s="6" t="str">
        <f>IF(NOT(ISBLANK(A1662)),VLOOKUP(A1662,'BBT3'!A:F,4,1),"")</f>
        <v/>
      </c>
      <c r="E1662" t="str">
        <f>IF(NOT(ISBLANK(A1662)),VLOOKUP(A1662,'BBT3'!A:F,5,0),"")</f>
        <v/>
      </c>
      <c r="F1662" t="str">
        <f>IF(NOT(ISBLANK(A1662)),VLOOKUP(A1662,'BBT3'!A:F,6,0),"")</f>
        <v/>
      </c>
      <c r="G1662" t="str">
        <f>IF(NOT(ISBLANK(A1662)),VLOOKUP(A1662,QW_Close!A:J,5,0),"")</f>
        <v/>
      </c>
      <c r="H1662" s="5" t="str" cm="1">
        <f t="array" ref="H1662">IF(NOT(ISBLANK(A1662)),((_xlfn.XLOOKUP(1,(_bbt3[[#All],[ID]]=A1662)*(_bbt3[[#All],[METRIC_NAME]]="YLD_YTM_ASK"),_bbt3[[#All],[METRIC_VALUE]])*0.5)+(_xlfn.XLOOKUP(1,(_bbt3[[#All],[ID]]=A1662)*(_bbt3[[#All],[METRIC_NAME]]="YLD_YTM_BID"),_bbt3[[#All],[METRIC_VALUE]])*0.5))/100,"")</f>
        <v/>
      </c>
      <c r="I1662">
        <f>IF(ISNA(VLOOKUP(A1662,QW_CloseDL!A:E,5,0)),0,VLOOKUP(A1662,QW_CloseDL!A:E,5,0))</f>
        <v>0</v>
      </c>
      <c r="J1662" s="8" t="str">
        <f t="shared" si="115"/>
        <v/>
      </c>
    </row>
    <row r="1663" spans="2:10" x14ac:dyDescent="0.35">
      <c r="B1663" t="str">
        <f>IF(NOT(ISBLANK(A1663)),VLOOKUP(A1663,'BBT3'!A:F,2,0),"")</f>
        <v/>
      </c>
      <c r="C1663" t="str">
        <f>IF(NOT(ISBLANK(A1663)),VLOOKUP(A1663,'BBT3'!A:F,3,0),"")</f>
        <v/>
      </c>
      <c r="D1663" s="6" t="str">
        <f>IF(NOT(ISBLANK(A1663)),VLOOKUP(A1663,'BBT3'!A:F,4,1),"")</f>
        <v/>
      </c>
      <c r="E1663" t="str">
        <f>IF(NOT(ISBLANK(A1663)),VLOOKUP(A1663,'BBT3'!A:F,5,0),"")</f>
        <v/>
      </c>
      <c r="F1663" t="str">
        <f>IF(NOT(ISBLANK(A1663)),VLOOKUP(A1663,'BBT3'!A:F,6,0),"")</f>
        <v/>
      </c>
      <c r="G1663" t="str">
        <f>IF(NOT(ISBLANK(A1663)),VLOOKUP(A1663,QW_Close!A:J,5,0),"")</f>
        <v/>
      </c>
      <c r="H1663" s="5" t="str" cm="1">
        <f t="array" ref="H1663">IF(NOT(ISBLANK(A1663)),((_xlfn.XLOOKUP(1,(_bbt3[[#All],[ID]]=A1663)*(_bbt3[[#All],[METRIC_NAME]]="YLD_YTM_ASK"),_bbt3[[#All],[METRIC_VALUE]])*0.5)+(_xlfn.XLOOKUP(1,(_bbt3[[#All],[ID]]=A1663)*(_bbt3[[#All],[METRIC_NAME]]="YLD_YTM_BID"),_bbt3[[#All],[METRIC_VALUE]])*0.5))/100,"")</f>
        <v/>
      </c>
      <c r="I1663">
        <f>IF(ISNA(VLOOKUP(A1663,QW_CloseDL!A:E,5,0)),0,VLOOKUP(A1663,QW_CloseDL!A:E,5,0))</f>
        <v>0</v>
      </c>
      <c r="J1663" s="8" t="str">
        <f t="shared" si="115"/>
        <v/>
      </c>
    </row>
    <row r="1664" spans="2:10" x14ac:dyDescent="0.35">
      <c r="B1664" t="str">
        <f>IF(NOT(ISBLANK(A1664)),VLOOKUP(A1664,'BBT3'!A:F,2,0),"")</f>
        <v/>
      </c>
      <c r="C1664" t="str">
        <f>IF(NOT(ISBLANK(A1664)),VLOOKUP(A1664,'BBT3'!A:F,3,0),"")</f>
        <v/>
      </c>
      <c r="D1664" s="6" t="str">
        <f>IF(NOT(ISBLANK(A1664)),VLOOKUP(A1664,'BBT3'!A:F,4,1),"")</f>
        <v/>
      </c>
      <c r="E1664" t="str">
        <f>IF(NOT(ISBLANK(A1664)),VLOOKUP(A1664,'BBT3'!A:F,5,0),"")</f>
        <v/>
      </c>
      <c r="F1664" t="str">
        <f>IF(NOT(ISBLANK(A1664)),VLOOKUP(A1664,'BBT3'!A:F,6,0),"")</f>
        <v/>
      </c>
      <c r="G1664" t="str">
        <f>IF(NOT(ISBLANK(A1664)),VLOOKUP(A1664,QW_Close!A:J,5,0),"")</f>
        <v/>
      </c>
      <c r="H1664" s="5" t="str" cm="1">
        <f t="array" ref="H1664">IF(NOT(ISBLANK(A1664)),((_xlfn.XLOOKUP(1,(_bbt3[[#All],[ID]]=A1664)*(_bbt3[[#All],[METRIC_NAME]]="YLD_YTM_ASK"),_bbt3[[#All],[METRIC_VALUE]])*0.5)+(_xlfn.XLOOKUP(1,(_bbt3[[#All],[ID]]=A1664)*(_bbt3[[#All],[METRIC_NAME]]="YLD_YTM_BID"),_bbt3[[#All],[METRIC_VALUE]])*0.5))/100,"")</f>
        <v/>
      </c>
      <c r="I1664">
        <f>IF(ISNA(VLOOKUP(A1664,QW_CloseDL!A:E,5,0)),0,VLOOKUP(A1664,QW_CloseDL!A:E,5,0))</f>
        <v>0</v>
      </c>
      <c r="J1664" s="8" t="str">
        <f t="shared" si="115"/>
        <v/>
      </c>
    </row>
    <row r="1665" spans="2:10" x14ac:dyDescent="0.35">
      <c r="B1665" t="str">
        <f>IF(NOT(ISBLANK(A1665)),VLOOKUP(A1665,'BBT3'!A:F,2,0),"")</f>
        <v/>
      </c>
      <c r="C1665" t="str">
        <f>IF(NOT(ISBLANK(A1665)),VLOOKUP(A1665,'BBT3'!A:F,3,0),"")</f>
        <v/>
      </c>
      <c r="D1665" s="6" t="str">
        <f>IF(NOT(ISBLANK(A1665)),VLOOKUP(A1665,'BBT3'!A:F,4,1),"")</f>
        <v/>
      </c>
      <c r="E1665" t="str">
        <f>IF(NOT(ISBLANK(A1665)),VLOOKUP(A1665,'BBT3'!A:F,5,0),"")</f>
        <v/>
      </c>
      <c r="F1665" t="str">
        <f>IF(NOT(ISBLANK(A1665)),VLOOKUP(A1665,'BBT3'!A:F,6,0),"")</f>
        <v/>
      </c>
      <c r="G1665" t="str">
        <f>IF(NOT(ISBLANK(A1665)),VLOOKUP(A1665,QW_Close!A:J,5,0),"")</f>
        <v/>
      </c>
      <c r="H1665" s="5" t="str" cm="1">
        <f t="array" ref="H1665">IF(NOT(ISBLANK(A1665)),((_xlfn.XLOOKUP(1,(_bbt3[[#All],[ID]]=A1665)*(_bbt3[[#All],[METRIC_NAME]]="YLD_YTM_ASK"),_bbt3[[#All],[METRIC_VALUE]])*0.5)+(_xlfn.XLOOKUP(1,(_bbt3[[#All],[ID]]=A1665)*(_bbt3[[#All],[METRIC_NAME]]="YLD_YTM_BID"),_bbt3[[#All],[METRIC_VALUE]])*0.5))/100,"")</f>
        <v/>
      </c>
      <c r="I1665">
        <f>IF(ISNA(VLOOKUP(A1665,QW_CloseDL!A:E,5,0)),0,VLOOKUP(A1665,QW_CloseDL!A:E,5,0))</f>
        <v>0</v>
      </c>
      <c r="J1665" s="8" t="str">
        <f t="shared" si="115"/>
        <v/>
      </c>
    </row>
    <row r="1666" spans="2:10" x14ac:dyDescent="0.35">
      <c r="B1666" t="str">
        <f>IF(NOT(ISBLANK(A1666)),VLOOKUP(A1666,'BBT3'!A:F,2,0),"")</f>
        <v/>
      </c>
      <c r="C1666" t="str">
        <f>IF(NOT(ISBLANK(A1666)),VLOOKUP(A1666,'BBT3'!A:F,3,0),"")</f>
        <v/>
      </c>
      <c r="D1666" s="6" t="str">
        <f>IF(NOT(ISBLANK(A1666)),VLOOKUP(A1666,'BBT3'!A:F,4,1),"")</f>
        <v/>
      </c>
      <c r="E1666" t="str">
        <f>IF(NOT(ISBLANK(A1666)),VLOOKUP(A1666,'BBT3'!A:F,5,0),"")</f>
        <v/>
      </c>
      <c r="F1666" t="str">
        <f>IF(NOT(ISBLANK(A1666)),VLOOKUP(A1666,'BBT3'!A:F,6,0),"")</f>
        <v/>
      </c>
      <c r="G1666" t="str">
        <f>IF(NOT(ISBLANK(A1666)),VLOOKUP(A1666,QW_Close!A:J,5,0),"")</f>
        <v/>
      </c>
      <c r="H1666" s="5" t="str" cm="1">
        <f t="array" ref="H1666">IF(NOT(ISBLANK(A1666)),((_xlfn.XLOOKUP(1,(_bbt3[[#All],[ID]]=A1666)*(_bbt3[[#All],[METRIC_NAME]]="YLD_YTM_ASK"),_bbt3[[#All],[METRIC_VALUE]])*0.5)+(_xlfn.XLOOKUP(1,(_bbt3[[#All],[ID]]=A1666)*(_bbt3[[#All],[METRIC_NAME]]="YLD_YTM_BID"),_bbt3[[#All],[METRIC_VALUE]])*0.5))/100,"")</f>
        <v/>
      </c>
      <c r="I1666">
        <f>IF(ISNA(VLOOKUP(A1666,QW_CloseDL!A:E,5,0)),0,VLOOKUP(A1666,QW_CloseDL!A:E,5,0))</f>
        <v>0</v>
      </c>
      <c r="J1666" s="8" t="str">
        <f t="shared" si="115"/>
        <v/>
      </c>
    </row>
    <row r="1667" spans="2:10" x14ac:dyDescent="0.35">
      <c r="B1667" t="str">
        <f>IF(NOT(ISBLANK(A1667)),VLOOKUP(A1667,'BBT3'!A:F,2,0),"")</f>
        <v/>
      </c>
      <c r="C1667" t="str">
        <f>IF(NOT(ISBLANK(A1667)),VLOOKUP(A1667,'BBT3'!A:F,3,0),"")</f>
        <v/>
      </c>
      <c r="D1667" s="6" t="str">
        <f>IF(NOT(ISBLANK(A1667)),VLOOKUP(A1667,'BBT3'!A:F,4,1),"")</f>
        <v/>
      </c>
      <c r="E1667" t="str">
        <f>IF(NOT(ISBLANK(A1667)),VLOOKUP(A1667,'BBT3'!A:F,5,0),"")</f>
        <v/>
      </c>
      <c r="F1667" t="str">
        <f>IF(NOT(ISBLANK(A1667)),VLOOKUP(A1667,'BBT3'!A:F,6,0),"")</f>
        <v/>
      </c>
      <c r="G1667" t="str">
        <f>IF(NOT(ISBLANK(A1667)),VLOOKUP(A1667,QW_Close!A:J,5,0),"")</f>
        <v/>
      </c>
      <c r="H1667" s="5" t="str" cm="1">
        <f t="array" ref="H1667">IF(NOT(ISBLANK(A1667)),((_xlfn.XLOOKUP(1,(_bbt3[[#All],[ID]]=A1667)*(_bbt3[[#All],[METRIC_NAME]]="YLD_YTM_ASK"),_bbt3[[#All],[METRIC_VALUE]])*0.5)+(_xlfn.XLOOKUP(1,(_bbt3[[#All],[ID]]=A1667)*(_bbt3[[#All],[METRIC_NAME]]="YLD_YTM_BID"),_bbt3[[#All],[METRIC_VALUE]])*0.5))/100,"")</f>
        <v/>
      </c>
      <c r="I1667">
        <f>IF(ISNA(VLOOKUP(A1667,QW_CloseDL!A:E,5,0)),0,VLOOKUP(A1667,QW_CloseDL!A:E,5,0))</f>
        <v>0</v>
      </c>
      <c r="J1667" s="8" t="str">
        <f t="shared" ref="J1667:J1730" si="116">IF(ISNA(IF(NOT(ISBLANK(A1667)),ABS(G1667-I1667),"")),0,(IF(NOT(ISBLANK(A1667)),ABS(G1667-I1667)*10000,"")))</f>
        <v/>
      </c>
    </row>
    <row r="1668" spans="2:10" x14ac:dyDescent="0.35">
      <c r="B1668" t="str">
        <f>IF(NOT(ISBLANK(A1668)),VLOOKUP(A1668,'BBT3'!A:F,2,0),"")</f>
        <v/>
      </c>
      <c r="C1668" t="str">
        <f>IF(NOT(ISBLANK(A1668)),VLOOKUP(A1668,'BBT3'!A:F,3,0),"")</f>
        <v/>
      </c>
      <c r="D1668" s="6" t="str">
        <f>IF(NOT(ISBLANK(A1668)),VLOOKUP(A1668,'BBT3'!A:F,4,1),"")</f>
        <v/>
      </c>
      <c r="E1668" t="str">
        <f>IF(NOT(ISBLANK(A1668)),VLOOKUP(A1668,'BBT3'!A:F,5,0),"")</f>
        <v/>
      </c>
      <c r="F1668" t="str">
        <f>IF(NOT(ISBLANK(A1668)),VLOOKUP(A1668,'BBT3'!A:F,6,0),"")</f>
        <v/>
      </c>
      <c r="G1668" t="str">
        <f>IF(NOT(ISBLANK(A1668)),VLOOKUP(A1668,QW_Close!A:J,5,0),"")</f>
        <v/>
      </c>
      <c r="H1668" s="5" t="str" cm="1">
        <f t="array" ref="H1668">IF(NOT(ISBLANK(A1668)),((_xlfn.XLOOKUP(1,(_bbt3[[#All],[ID]]=A1668)*(_bbt3[[#All],[METRIC_NAME]]="YLD_YTM_ASK"),_bbt3[[#All],[METRIC_VALUE]])*0.5)+(_xlfn.XLOOKUP(1,(_bbt3[[#All],[ID]]=A1668)*(_bbt3[[#All],[METRIC_NAME]]="YLD_YTM_BID"),_bbt3[[#All],[METRIC_VALUE]])*0.5))/100,"")</f>
        <v/>
      </c>
      <c r="I1668">
        <f>IF(ISNA(VLOOKUP(A1668,QW_CloseDL!A:E,5,0)),0,VLOOKUP(A1668,QW_CloseDL!A:E,5,0))</f>
        <v>0</v>
      </c>
      <c r="J1668" s="8" t="str">
        <f t="shared" si="116"/>
        <v/>
      </c>
    </row>
    <row r="1669" spans="2:10" x14ac:dyDescent="0.35">
      <c r="B1669" t="str">
        <f>IF(NOT(ISBLANK(A1669)),VLOOKUP(A1669,'BBT3'!A:F,2,0),"")</f>
        <v/>
      </c>
      <c r="C1669" t="str">
        <f>IF(NOT(ISBLANK(A1669)),VLOOKUP(A1669,'BBT3'!A:F,3,0),"")</f>
        <v/>
      </c>
      <c r="D1669" s="6" t="str">
        <f>IF(NOT(ISBLANK(A1669)),VLOOKUP(A1669,'BBT3'!A:F,4,1),"")</f>
        <v/>
      </c>
      <c r="E1669" t="str">
        <f>IF(NOT(ISBLANK(A1669)),VLOOKUP(A1669,'BBT3'!A:F,5,0),"")</f>
        <v/>
      </c>
      <c r="F1669" t="str">
        <f>IF(NOT(ISBLANK(A1669)),VLOOKUP(A1669,'BBT3'!A:F,6,0),"")</f>
        <v/>
      </c>
      <c r="G1669" t="str">
        <f>IF(NOT(ISBLANK(A1669)),VLOOKUP(A1669,QW_Close!A:J,5,0),"")</f>
        <v/>
      </c>
      <c r="H1669" s="5" t="str" cm="1">
        <f t="array" ref="H1669">IF(NOT(ISBLANK(A1669)),((_xlfn.XLOOKUP(1,(_bbt3[[#All],[ID]]=A1669)*(_bbt3[[#All],[METRIC_NAME]]="YLD_YTM_ASK"),_bbt3[[#All],[METRIC_VALUE]])*0.5)+(_xlfn.XLOOKUP(1,(_bbt3[[#All],[ID]]=A1669)*(_bbt3[[#All],[METRIC_NAME]]="YLD_YTM_BID"),_bbt3[[#All],[METRIC_VALUE]])*0.5))/100,"")</f>
        <v/>
      </c>
      <c r="I1669">
        <f>IF(ISNA(VLOOKUP(A1669,QW_CloseDL!A:E,5,0)),0,VLOOKUP(A1669,QW_CloseDL!A:E,5,0))</f>
        <v>0</v>
      </c>
      <c r="J1669" s="8" t="str">
        <f t="shared" si="116"/>
        <v/>
      </c>
    </row>
    <row r="1670" spans="2:10" x14ac:dyDescent="0.35">
      <c r="B1670" t="str">
        <f>IF(NOT(ISBLANK(A1670)),VLOOKUP(A1670,'BBT3'!A:F,2,0),"")</f>
        <v/>
      </c>
      <c r="C1670" t="str">
        <f>IF(NOT(ISBLANK(A1670)),VLOOKUP(A1670,'BBT3'!A:F,3,0),"")</f>
        <v/>
      </c>
      <c r="D1670" s="6" t="str">
        <f>IF(NOT(ISBLANK(A1670)),VLOOKUP(A1670,'BBT3'!A:F,4,1),"")</f>
        <v/>
      </c>
      <c r="E1670" t="str">
        <f>IF(NOT(ISBLANK(A1670)),VLOOKUP(A1670,'BBT3'!A:F,5,0),"")</f>
        <v/>
      </c>
      <c r="F1670" t="str">
        <f>IF(NOT(ISBLANK(A1670)),VLOOKUP(A1670,'BBT3'!A:F,6,0),"")</f>
        <v/>
      </c>
      <c r="G1670" t="str">
        <f>IF(NOT(ISBLANK(A1670)),VLOOKUP(A1670,QW_Close!A:J,5,0),"")</f>
        <v/>
      </c>
      <c r="H1670" s="5" t="str" cm="1">
        <f t="array" ref="H1670">IF(NOT(ISBLANK(A1670)),((_xlfn.XLOOKUP(1,(_bbt3[[#All],[ID]]=A1670)*(_bbt3[[#All],[METRIC_NAME]]="YLD_YTM_ASK"),_bbt3[[#All],[METRIC_VALUE]])*0.5)+(_xlfn.XLOOKUP(1,(_bbt3[[#All],[ID]]=A1670)*(_bbt3[[#All],[METRIC_NAME]]="YLD_YTM_BID"),_bbt3[[#All],[METRIC_VALUE]])*0.5))/100,"")</f>
        <v/>
      </c>
      <c r="I1670">
        <f>IF(ISNA(VLOOKUP(A1670,QW_CloseDL!A:E,5,0)),0,VLOOKUP(A1670,QW_CloseDL!A:E,5,0))</f>
        <v>0</v>
      </c>
      <c r="J1670" s="8" t="str">
        <f t="shared" si="116"/>
        <v/>
      </c>
    </row>
    <row r="1671" spans="2:10" x14ac:dyDescent="0.35">
      <c r="B1671" t="str">
        <f>IF(NOT(ISBLANK(A1671)),VLOOKUP(A1671,'BBT3'!A:F,2,0),"")</f>
        <v/>
      </c>
      <c r="C1671" t="str">
        <f>IF(NOT(ISBLANK(A1671)),VLOOKUP(A1671,'BBT3'!A:F,3,0),"")</f>
        <v/>
      </c>
      <c r="D1671" s="6" t="str">
        <f>IF(NOT(ISBLANK(A1671)),VLOOKUP(A1671,'BBT3'!A:F,4,1),"")</f>
        <v/>
      </c>
      <c r="E1671" t="str">
        <f>IF(NOT(ISBLANK(A1671)),VLOOKUP(A1671,'BBT3'!A:F,5,0),"")</f>
        <v/>
      </c>
      <c r="F1671" t="str">
        <f>IF(NOT(ISBLANK(A1671)),VLOOKUP(A1671,'BBT3'!A:F,6,0),"")</f>
        <v/>
      </c>
      <c r="G1671" t="str">
        <f>IF(NOT(ISBLANK(A1671)),VLOOKUP(A1671,QW_Close!A:J,5,0),"")</f>
        <v/>
      </c>
      <c r="H1671" s="5" t="str" cm="1">
        <f t="array" ref="H1671">IF(NOT(ISBLANK(A1671)),((_xlfn.XLOOKUP(1,(_bbt3[[#All],[ID]]=A1671)*(_bbt3[[#All],[METRIC_NAME]]="YLD_YTM_ASK"),_bbt3[[#All],[METRIC_VALUE]])*0.5)+(_xlfn.XLOOKUP(1,(_bbt3[[#All],[ID]]=A1671)*(_bbt3[[#All],[METRIC_NAME]]="YLD_YTM_BID"),_bbt3[[#All],[METRIC_VALUE]])*0.5))/100,"")</f>
        <v/>
      </c>
      <c r="I1671">
        <f>IF(ISNA(VLOOKUP(A1671,QW_CloseDL!A:E,5,0)),0,VLOOKUP(A1671,QW_CloseDL!A:E,5,0))</f>
        <v>0</v>
      </c>
      <c r="J1671" s="8" t="str">
        <f t="shared" si="116"/>
        <v/>
      </c>
    </row>
    <row r="1672" spans="2:10" x14ac:dyDescent="0.35">
      <c r="B1672" t="str">
        <f>IF(NOT(ISBLANK(A1672)),VLOOKUP(A1672,'BBT3'!A:F,2,0),"")</f>
        <v/>
      </c>
      <c r="C1672" t="str">
        <f>IF(NOT(ISBLANK(A1672)),VLOOKUP(A1672,'BBT3'!A:F,3,0),"")</f>
        <v/>
      </c>
      <c r="D1672" s="6" t="str">
        <f>IF(NOT(ISBLANK(A1672)),VLOOKUP(A1672,'BBT3'!A:F,4,1),"")</f>
        <v/>
      </c>
      <c r="E1672" t="str">
        <f>IF(NOT(ISBLANK(A1672)),VLOOKUP(A1672,'BBT3'!A:F,5,0),"")</f>
        <v/>
      </c>
      <c r="F1672" t="str">
        <f>IF(NOT(ISBLANK(A1672)),VLOOKUP(A1672,'BBT3'!A:F,6,0),"")</f>
        <v/>
      </c>
      <c r="G1672" t="str">
        <f>IF(NOT(ISBLANK(A1672)),VLOOKUP(A1672,QW_Close!A:J,5,0),"")</f>
        <v/>
      </c>
      <c r="H1672" s="5" t="str" cm="1">
        <f t="array" ref="H1672">IF(NOT(ISBLANK(A1672)),((_xlfn.XLOOKUP(1,(_bbt3[[#All],[ID]]=A1672)*(_bbt3[[#All],[METRIC_NAME]]="YLD_YTM_ASK"),_bbt3[[#All],[METRIC_VALUE]])*0.5)+(_xlfn.XLOOKUP(1,(_bbt3[[#All],[ID]]=A1672)*(_bbt3[[#All],[METRIC_NAME]]="YLD_YTM_BID"),_bbt3[[#All],[METRIC_VALUE]])*0.5))/100,"")</f>
        <v/>
      </c>
      <c r="I1672">
        <f>IF(ISNA(VLOOKUP(A1672,QW_CloseDL!A:E,5,0)),0,VLOOKUP(A1672,QW_CloseDL!A:E,5,0))</f>
        <v>0</v>
      </c>
      <c r="J1672" s="8" t="str">
        <f t="shared" si="116"/>
        <v/>
      </c>
    </row>
    <row r="1673" spans="2:10" x14ac:dyDescent="0.35">
      <c r="B1673" t="str">
        <f>IF(NOT(ISBLANK(A1673)),VLOOKUP(A1673,'BBT3'!A:F,2,0),"")</f>
        <v/>
      </c>
      <c r="C1673" t="str">
        <f>IF(NOT(ISBLANK(A1673)),VLOOKUP(A1673,'BBT3'!A:F,3,0),"")</f>
        <v/>
      </c>
      <c r="D1673" s="6" t="str">
        <f>IF(NOT(ISBLANK(A1673)),VLOOKUP(A1673,'BBT3'!A:F,4,1),"")</f>
        <v/>
      </c>
      <c r="E1673" t="str">
        <f>IF(NOT(ISBLANK(A1673)),VLOOKUP(A1673,'BBT3'!A:F,5,0),"")</f>
        <v/>
      </c>
      <c r="F1673" t="str">
        <f>IF(NOT(ISBLANK(A1673)),VLOOKUP(A1673,'BBT3'!A:F,6,0),"")</f>
        <v/>
      </c>
      <c r="G1673" t="str">
        <f>IF(NOT(ISBLANK(A1673)),VLOOKUP(A1673,QW_Close!A:J,5,0),"")</f>
        <v/>
      </c>
      <c r="H1673" s="5" t="str" cm="1">
        <f t="array" ref="H1673">IF(NOT(ISBLANK(A1673)),((_xlfn.XLOOKUP(1,(_bbt3[[#All],[ID]]=A1673)*(_bbt3[[#All],[METRIC_NAME]]="YLD_YTM_ASK"),_bbt3[[#All],[METRIC_VALUE]])*0.5)+(_xlfn.XLOOKUP(1,(_bbt3[[#All],[ID]]=A1673)*(_bbt3[[#All],[METRIC_NAME]]="YLD_YTM_BID"),_bbt3[[#All],[METRIC_VALUE]])*0.5))/100,"")</f>
        <v/>
      </c>
      <c r="I1673">
        <f>IF(ISNA(VLOOKUP(A1673,QW_CloseDL!A:E,5,0)),0,VLOOKUP(A1673,QW_CloseDL!A:E,5,0))</f>
        <v>0</v>
      </c>
      <c r="J1673" s="8" t="str">
        <f t="shared" si="116"/>
        <v/>
      </c>
    </row>
    <row r="1674" spans="2:10" x14ac:dyDescent="0.35">
      <c r="B1674" t="str">
        <f>IF(NOT(ISBLANK(A1674)),VLOOKUP(A1674,'BBT3'!A:F,2,0),"")</f>
        <v/>
      </c>
      <c r="C1674" t="str">
        <f>IF(NOT(ISBLANK(A1674)),VLOOKUP(A1674,'BBT3'!A:F,3,0),"")</f>
        <v/>
      </c>
      <c r="D1674" s="6" t="str">
        <f>IF(NOT(ISBLANK(A1674)),VLOOKUP(A1674,'BBT3'!A:F,4,1),"")</f>
        <v/>
      </c>
      <c r="E1674" t="str">
        <f>IF(NOT(ISBLANK(A1674)),VLOOKUP(A1674,'BBT3'!A:F,5,0),"")</f>
        <v/>
      </c>
      <c r="F1674" t="str">
        <f>IF(NOT(ISBLANK(A1674)),VLOOKUP(A1674,'BBT3'!A:F,6,0),"")</f>
        <v/>
      </c>
      <c r="G1674" t="str">
        <f>IF(NOT(ISBLANK(A1674)),VLOOKUP(A1674,QW_Close!A:J,5,0),"")</f>
        <v/>
      </c>
      <c r="H1674" s="5" t="str" cm="1">
        <f t="array" ref="H1674">IF(NOT(ISBLANK(A1674)),((_xlfn.XLOOKUP(1,(_bbt3[[#All],[ID]]=A1674)*(_bbt3[[#All],[METRIC_NAME]]="YLD_YTM_ASK"),_bbt3[[#All],[METRIC_VALUE]])*0.5)+(_xlfn.XLOOKUP(1,(_bbt3[[#All],[ID]]=A1674)*(_bbt3[[#All],[METRIC_NAME]]="YLD_YTM_BID"),_bbt3[[#All],[METRIC_VALUE]])*0.5))/100,"")</f>
        <v/>
      </c>
      <c r="I1674">
        <f>IF(ISNA(VLOOKUP(A1674,QW_CloseDL!A:E,5,0)),0,VLOOKUP(A1674,QW_CloseDL!A:E,5,0))</f>
        <v>0</v>
      </c>
      <c r="J1674" s="8" t="str">
        <f t="shared" si="116"/>
        <v/>
      </c>
    </row>
    <row r="1675" spans="2:10" x14ac:dyDescent="0.35">
      <c r="B1675" t="str">
        <f>IF(NOT(ISBLANK(A1675)),VLOOKUP(A1675,'BBT3'!A:F,2,0),"")</f>
        <v/>
      </c>
      <c r="C1675" t="str">
        <f>IF(NOT(ISBLANK(A1675)),VLOOKUP(A1675,'BBT3'!A:F,3,0),"")</f>
        <v/>
      </c>
      <c r="D1675" s="6" t="str">
        <f>IF(NOT(ISBLANK(A1675)),VLOOKUP(A1675,'BBT3'!A:F,4,1),"")</f>
        <v/>
      </c>
      <c r="E1675" t="str">
        <f>IF(NOT(ISBLANK(A1675)),VLOOKUP(A1675,'BBT3'!A:F,5,0),"")</f>
        <v/>
      </c>
      <c r="F1675" t="str">
        <f>IF(NOT(ISBLANK(A1675)),VLOOKUP(A1675,'BBT3'!A:F,6,0),"")</f>
        <v/>
      </c>
      <c r="G1675" t="str">
        <f>IF(NOT(ISBLANK(A1675)),VLOOKUP(A1675,QW_Close!A:J,5,0),"")</f>
        <v/>
      </c>
      <c r="H1675" s="5" t="str" cm="1">
        <f t="array" ref="H1675">IF(NOT(ISBLANK(A1675)),((_xlfn.XLOOKUP(1,(_bbt3[[#All],[ID]]=A1675)*(_bbt3[[#All],[METRIC_NAME]]="YLD_YTM_ASK"),_bbt3[[#All],[METRIC_VALUE]])*0.5)+(_xlfn.XLOOKUP(1,(_bbt3[[#All],[ID]]=A1675)*(_bbt3[[#All],[METRIC_NAME]]="YLD_YTM_BID"),_bbt3[[#All],[METRIC_VALUE]])*0.5))/100,"")</f>
        <v/>
      </c>
      <c r="I1675">
        <f>IF(ISNA(VLOOKUP(A1675,QW_CloseDL!A:E,5,0)),0,VLOOKUP(A1675,QW_CloseDL!A:E,5,0))</f>
        <v>0</v>
      </c>
      <c r="J1675" s="8" t="str">
        <f t="shared" si="116"/>
        <v/>
      </c>
    </row>
    <row r="1676" spans="2:10" x14ac:dyDescent="0.35">
      <c r="B1676" t="str">
        <f>IF(NOT(ISBLANK(A1676)),VLOOKUP(A1676,'BBT3'!A:F,2,0),"")</f>
        <v/>
      </c>
      <c r="C1676" t="str">
        <f>IF(NOT(ISBLANK(A1676)),VLOOKUP(A1676,'BBT3'!A:F,3,0),"")</f>
        <v/>
      </c>
      <c r="D1676" s="6" t="str">
        <f>IF(NOT(ISBLANK(A1676)),VLOOKUP(A1676,'BBT3'!A:F,4,1),"")</f>
        <v/>
      </c>
      <c r="E1676" t="str">
        <f>IF(NOT(ISBLANK(A1676)),VLOOKUP(A1676,'BBT3'!A:F,5,0),"")</f>
        <v/>
      </c>
      <c r="F1676" t="str">
        <f>IF(NOT(ISBLANK(A1676)),VLOOKUP(A1676,'BBT3'!A:F,6,0),"")</f>
        <v/>
      </c>
      <c r="G1676" t="str">
        <f>IF(NOT(ISBLANK(A1676)),VLOOKUP(A1676,QW_Close!A:J,5,0),"")</f>
        <v/>
      </c>
      <c r="H1676" s="5" t="str" cm="1">
        <f t="array" ref="H1676">IF(NOT(ISBLANK(A1676)),((_xlfn.XLOOKUP(1,(_bbt3[[#All],[ID]]=A1676)*(_bbt3[[#All],[METRIC_NAME]]="YLD_YTM_ASK"),_bbt3[[#All],[METRIC_VALUE]])*0.5)+(_xlfn.XLOOKUP(1,(_bbt3[[#All],[ID]]=A1676)*(_bbt3[[#All],[METRIC_NAME]]="YLD_YTM_BID"),_bbt3[[#All],[METRIC_VALUE]])*0.5))/100,"")</f>
        <v/>
      </c>
      <c r="I1676">
        <f>IF(ISNA(VLOOKUP(A1676,QW_CloseDL!A:E,5,0)),0,VLOOKUP(A1676,QW_CloseDL!A:E,5,0))</f>
        <v>0</v>
      </c>
      <c r="J1676" s="8" t="str">
        <f t="shared" si="116"/>
        <v/>
      </c>
    </row>
    <row r="1677" spans="2:10" x14ac:dyDescent="0.35">
      <c r="B1677" t="str">
        <f>IF(NOT(ISBLANK(A1677)),VLOOKUP(A1677,'BBT3'!A:F,2,0),"")</f>
        <v/>
      </c>
      <c r="C1677" t="str">
        <f>IF(NOT(ISBLANK(A1677)),VLOOKUP(A1677,'BBT3'!A:F,3,0),"")</f>
        <v/>
      </c>
      <c r="D1677" s="6" t="str">
        <f>IF(NOT(ISBLANK(A1677)),VLOOKUP(A1677,'BBT3'!A:F,4,1),"")</f>
        <v/>
      </c>
      <c r="E1677" t="str">
        <f>IF(NOT(ISBLANK(A1677)),VLOOKUP(A1677,'BBT3'!A:F,5,0),"")</f>
        <v/>
      </c>
      <c r="F1677" t="str">
        <f>IF(NOT(ISBLANK(A1677)),VLOOKUP(A1677,'BBT3'!A:F,6,0),"")</f>
        <v/>
      </c>
      <c r="G1677" t="str">
        <f>IF(NOT(ISBLANK(A1677)),VLOOKUP(A1677,QW_Close!A:J,5,0),"")</f>
        <v/>
      </c>
      <c r="H1677" s="5" t="str" cm="1">
        <f t="array" ref="H1677">IF(NOT(ISBLANK(A1677)),((_xlfn.XLOOKUP(1,(_bbt3[[#All],[ID]]=A1677)*(_bbt3[[#All],[METRIC_NAME]]="YLD_YTM_ASK"),_bbt3[[#All],[METRIC_VALUE]])*0.5)+(_xlfn.XLOOKUP(1,(_bbt3[[#All],[ID]]=A1677)*(_bbt3[[#All],[METRIC_NAME]]="YLD_YTM_BID"),_bbt3[[#All],[METRIC_VALUE]])*0.5))/100,"")</f>
        <v/>
      </c>
      <c r="I1677">
        <f>IF(ISNA(VLOOKUP(A1677,QW_CloseDL!A:E,5,0)),0,VLOOKUP(A1677,QW_CloseDL!A:E,5,0))</f>
        <v>0</v>
      </c>
      <c r="J1677" s="8" t="str">
        <f t="shared" si="116"/>
        <v/>
      </c>
    </row>
    <row r="1678" spans="2:10" x14ac:dyDescent="0.35">
      <c r="B1678" t="str">
        <f>IF(NOT(ISBLANK(A1678)),VLOOKUP(A1678,'BBT3'!A:F,2,0),"")</f>
        <v/>
      </c>
      <c r="C1678" t="str">
        <f>IF(NOT(ISBLANK(A1678)),VLOOKUP(A1678,'BBT3'!A:F,3,0),"")</f>
        <v/>
      </c>
      <c r="D1678" s="6" t="str">
        <f>IF(NOT(ISBLANK(A1678)),VLOOKUP(A1678,'BBT3'!A:F,4,1),"")</f>
        <v/>
      </c>
      <c r="E1678" t="str">
        <f>IF(NOT(ISBLANK(A1678)),VLOOKUP(A1678,'BBT3'!A:F,5,0),"")</f>
        <v/>
      </c>
      <c r="F1678" t="str">
        <f>IF(NOT(ISBLANK(A1678)),VLOOKUP(A1678,'BBT3'!A:F,6,0),"")</f>
        <v/>
      </c>
      <c r="G1678" t="str">
        <f>IF(NOT(ISBLANK(A1678)),VLOOKUP(A1678,QW_Close!A:J,5,0),"")</f>
        <v/>
      </c>
      <c r="H1678" s="5" t="str" cm="1">
        <f t="array" ref="H1678">IF(NOT(ISBLANK(A1678)),((_xlfn.XLOOKUP(1,(_bbt3[[#All],[ID]]=A1678)*(_bbt3[[#All],[METRIC_NAME]]="YLD_YTM_ASK"),_bbt3[[#All],[METRIC_VALUE]])*0.5)+(_xlfn.XLOOKUP(1,(_bbt3[[#All],[ID]]=A1678)*(_bbt3[[#All],[METRIC_NAME]]="YLD_YTM_BID"),_bbt3[[#All],[METRIC_VALUE]])*0.5))/100,"")</f>
        <v/>
      </c>
      <c r="I1678">
        <f>IF(ISNA(VLOOKUP(A1678,QW_CloseDL!A:E,5,0)),0,VLOOKUP(A1678,QW_CloseDL!A:E,5,0))</f>
        <v>0</v>
      </c>
      <c r="J1678" s="8" t="str">
        <f t="shared" si="116"/>
        <v/>
      </c>
    </row>
    <row r="1679" spans="2:10" x14ac:dyDescent="0.35">
      <c r="B1679" t="str">
        <f>IF(NOT(ISBLANK(A1679)),VLOOKUP(A1679,'BBT3'!A:F,2,0),"")</f>
        <v/>
      </c>
      <c r="C1679" t="str">
        <f>IF(NOT(ISBLANK(A1679)),VLOOKUP(A1679,'BBT3'!A:F,3,0),"")</f>
        <v/>
      </c>
      <c r="D1679" s="6" t="str">
        <f>IF(NOT(ISBLANK(A1679)),VLOOKUP(A1679,'BBT3'!A:F,4,1),"")</f>
        <v/>
      </c>
      <c r="E1679" t="str">
        <f>IF(NOT(ISBLANK(A1679)),VLOOKUP(A1679,'BBT3'!A:F,5,0),"")</f>
        <v/>
      </c>
      <c r="F1679" t="str">
        <f>IF(NOT(ISBLANK(A1679)),VLOOKUP(A1679,'BBT3'!A:F,6,0),"")</f>
        <v/>
      </c>
      <c r="G1679" t="str">
        <f>IF(NOT(ISBLANK(A1679)),VLOOKUP(A1679,QW_Close!A:J,5,0),"")</f>
        <v/>
      </c>
      <c r="H1679" s="5" t="str" cm="1">
        <f t="array" ref="H1679">IF(NOT(ISBLANK(A1679)),((_xlfn.XLOOKUP(1,(_bbt3[[#All],[ID]]=A1679)*(_bbt3[[#All],[METRIC_NAME]]="YLD_YTM_ASK"),_bbt3[[#All],[METRIC_VALUE]])*0.5)+(_xlfn.XLOOKUP(1,(_bbt3[[#All],[ID]]=A1679)*(_bbt3[[#All],[METRIC_NAME]]="YLD_YTM_BID"),_bbt3[[#All],[METRIC_VALUE]])*0.5))/100,"")</f>
        <v/>
      </c>
      <c r="I1679">
        <f>IF(ISNA(VLOOKUP(A1679,QW_CloseDL!A:E,5,0)),0,VLOOKUP(A1679,QW_CloseDL!A:E,5,0))</f>
        <v>0</v>
      </c>
      <c r="J1679" s="8" t="str">
        <f t="shared" si="116"/>
        <v/>
      </c>
    </row>
    <row r="1680" spans="2:10" x14ac:dyDescent="0.35">
      <c r="B1680" t="str">
        <f>IF(NOT(ISBLANK(A1680)),VLOOKUP(A1680,'BBT3'!A:F,2,0),"")</f>
        <v/>
      </c>
      <c r="C1680" t="str">
        <f>IF(NOT(ISBLANK(A1680)),VLOOKUP(A1680,'BBT3'!A:F,3,0),"")</f>
        <v/>
      </c>
      <c r="D1680" s="6" t="str">
        <f>IF(NOT(ISBLANK(A1680)),VLOOKUP(A1680,'BBT3'!A:F,4,1),"")</f>
        <v/>
      </c>
      <c r="E1680" t="str">
        <f>IF(NOT(ISBLANK(A1680)),VLOOKUP(A1680,'BBT3'!A:F,5,0),"")</f>
        <v/>
      </c>
      <c r="F1680" t="str">
        <f>IF(NOT(ISBLANK(A1680)),VLOOKUP(A1680,'BBT3'!A:F,6,0),"")</f>
        <v/>
      </c>
      <c r="G1680" t="str">
        <f>IF(NOT(ISBLANK(A1680)),VLOOKUP(A1680,QW_Close!A:J,5,0),"")</f>
        <v/>
      </c>
      <c r="H1680" s="5" t="str" cm="1">
        <f t="array" ref="H1680">IF(NOT(ISBLANK(A1680)),((_xlfn.XLOOKUP(1,(_bbt3[[#All],[ID]]=A1680)*(_bbt3[[#All],[METRIC_NAME]]="YLD_YTM_ASK"),_bbt3[[#All],[METRIC_VALUE]])*0.5)+(_xlfn.XLOOKUP(1,(_bbt3[[#All],[ID]]=A1680)*(_bbt3[[#All],[METRIC_NAME]]="YLD_YTM_BID"),_bbt3[[#All],[METRIC_VALUE]])*0.5))/100,"")</f>
        <v/>
      </c>
      <c r="I1680">
        <f>IF(ISNA(VLOOKUP(A1680,QW_CloseDL!A:E,5,0)),0,VLOOKUP(A1680,QW_CloseDL!A:E,5,0))</f>
        <v>0</v>
      </c>
      <c r="J1680" s="8" t="str">
        <f t="shared" si="116"/>
        <v/>
      </c>
    </row>
    <row r="1681" spans="2:10" x14ac:dyDescent="0.35">
      <c r="B1681" t="str">
        <f>IF(NOT(ISBLANK(A1681)),VLOOKUP(A1681,'BBT3'!A:F,2,0),"")</f>
        <v/>
      </c>
      <c r="C1681" t="str">
        <f>IF(NOT(ISBLANK(A1681)),VLOOKUP(A1681,'BBT3'!A:F,3,0),"")</f>
        <v/>
      </c>
      <c r="D1681" s="6" t="str">
        <f>IF(NOT(ISBLANK(A1681)),VLOOKUP(A1681,'BBT3'!A:F,4,1),"")</f>
        <v/>
      </c>
      <c r="E1681" t="str">
        <f>IF(NOT(ISBLANK(A1681)),VLOOKUP(A1681,'BBT3'!A:F,5,0),"")</f>
        <v/>
      </c>
      <c r="F1681" t="str">
        <f>IF(NOT(ISBLANK(A1681)),VLOOKUP(A1681,'BBT3'!A:F,6,0),"")</f>
        <v/>
      </c>
      <c r="G1681" t="str">
        <f>IF(NOT(ISBLANK(A1681)),VLOOKUP(A1681,QW_Close!A:J,5,0),"")</f>
        <v/>
      </c>
      <c r="H1681" s="5" t="str" cm="1">
        <f t="array" ref="H1681">IF(NOT(ISBLANK(A1681)),((_xlfn.XLOOKUP(1,(_bbt3[[#All],[ID]]=A1681)*(_bbt3[[#All],[METRIC_NAME]]="YLD_YTM_ASK"),_bbt3[[#All],[METRIC_VALUE]])*0.5)+(_xlfn.XLOOKUP(1,(_bbt3[[#All],[ID]]=A1681)*(_bbt3[[#All],[METRIC_NAME]]="YLD_YTM_BID"),_bbt3[[#All],[METRIC_VALUE]])*0.5))/100,"")</f>
        <v/>
      </c>
      <c r="I1681">
        <f>IF(ISNA(VLOOKUP(A1681,QW_CloseDL!A:E,5,0)),0,VLOOKUP(A1681,QW_CloseDL!A:E,5,0))</f>
        <v>0</v>
      </c>
      <c r="J1681" s="8" t="str">
        <f t="shared" si="116"/>
        <v/>
      </c>
    </row>
    <row r="1682" spans="2:10" x14ac:dyDescent="0.35">
      <c r="B1682" t="str">
        <f>IF(NOT(ISBLANK(A1682)),VLOOKUP(A1682,'BBT3'!A:F,2,0),"")</f>
        <v/>
      </c>
      <c r="C1682" t="str">
        <f>IF(NOT(ISBLANK(A1682)),VLOOKUP(A1682,'BBT3'!A:F,3,0),"")</f>
        <v/>
      </c>
      <c r="D1682" s="6" t="str">
        <f>IF(NOT(ISBLANK(A1682)),VLOOKUP(A1682,'BBT3'!A:F,4,1),"")</f>
        <v/>
      </c>
      <c r="E1682" t="str">
        <f>IF(NOT(ISBLANK(A1682)),VLOOKUP(A1682,'BBT3'!A:F,5,0),"")</f>
        <v/>
      </c>
      <c r="F1682" t="str">
        <f>IF(NOT(ISBLANK(A1682)),VLOOKUP(A1682,'BBT3'!A:F,6,0),"")</f>
        <v/>
      </c>
      <c r="G1682" t="str">
        <f>IF(NOT(ISBLANK(A1682)),VLOOKUP(A1682,QW_Close!A:J,5,0),"")</f>
        <v/>
      </c>
      <c r="H1682" s="5" t="str" cm="1">
        <f t="array" ref="H1682">IF(NOT(ISBLANK(A1682)),((_xlfn.XLOOKUP(1,(_bbt3[[#All],[ID]]=A1682)*(_bbt3[[#All],[METRIC_NAME]]="YLD_YTM_ASK"),_bbt3[[#All],[METRIC_VALUE]])*0.5)+(_xlfn.XLOOKUP(1,(_bbt3[[#All],[ID]]=A1682)*(_bbt3[[#All],[METRIC_NAME]]="YLD_YTM_BID"),_bbt3[[#All],[METRIC_VALUE]])*0.5))/100,"")</f>
        <v/>
      </c>
      <c r="I1682">
        <f>IF(ISNA(VLOOKUP(A1682,QW_CloseDL!A:E,5,0)),0,VLOOKUP(A1682,QW_CloseDL!A:E,5,0))</f>
        <v>0</v>
      </c>
      <c r="J1682" s="8" t="str">
        <f t="shared" si="116"/>
        <v/>
      </c>
    </row>
    <row r="1683" spans="2:10" x14ac:dyDescent="0.35">
      <c r="B1683" t="str">
        <f>IF(NOT(ISBLANK(A1683)),VLOOKUP(A1683,'BBT3'!A:F,2,0),"")</f>
        <v/>
      </c>
      <c r="C1683" t="str">
        <f>IF(NOT(ISBLANK(A1683)),VLOOKUP(A1683,'BBT3'!A:F,3,0),"")</f>
        <v/>
      </c>
      <c r="D1683" s="6" t="str">
        <f>IF(NOT(ISBLANK(A1683)),VLOOKUP(A1683,'BBT3'!A:F,4,1),"")</f>
        <v/>
      </c>
      <c r="E1683" t="str">
        <f>IF(NOT(ISBLANK(A1683)),VLOOKUP(A1683,'BBT3'!A:F,5,0),"")</f>
        <v/>
      </c>
      <c r="F1683" t="str">
        <f>IF(NOT(ISBLANK(A1683)),VLOOKUP(A1683,'BBT3'!A:F,6,0),"")</f>
        <v/>
      </c>
      <c r="G1683" t="str">
        <f>IF(NOT(ISBLANK(A1683)),VLOOKUP(A1683,QW_Close!A:J,5,0),"")</f>
        <v/>
      </c>
      <c r="H1683" s="5" t="str" cm="1">
        <f t="array" ref="H1683">IF(NOT(ISBLANK(A1683)),((_xlfn.XLOOKUP(1,(_bbt3[[#All],[ID]]=A1683)*(_bbt3[[#All],[METRIC_NAME]]="YLD_YTM_ASK"),_bbt3[[#All],[METRIC_VALUE]])*0.5)+(_xlfn.XLOOKUP(1,(_bbt3[[#All],[ID]]=A1683)*(_bbt3[[#All],[METRIC_NAME]]="YLD_YTM_BID"),_bbt3[[#All],[METRIC_VALUE]])*0.5))/100,"")</f>
        <v/>
      </c>
      <c r="I1683">
        <f>IF(ISNA(VLOOKUP(A1683,QW_CloseDL!A:E,5,0)),0,VLOOKUP(A1683,QW_CloseDL!A:E,5,0))</f>
        <v>0</v>
      </c>
      <c r="J1683" s="8" t="str">
        <f t="shared" si="116"/>
        <v/>
      </c>
    </row>
    <row r="1684" spans="2:10" x14ac:dyDescent="0.35">
      <c r="B1684" t="str">
        <f>IF(NOT(ISBLANK(A1684)),VLOOKUP(A1684,'BBT3'!A:F,2,0),"")</f>
        <v/>
      </c>
      <c r="C1684" t="str">
        <f>IF(NOT(ISBLANK(A1684)),VLOOKUP(A1684,'BBT3'!A:F,3,0),"")</f>
        <v/>
      </c>
      <c r="D1684" s="6" t="str">
        <f>IF(NOT(ISBLANK(A1684)),VLOOKUP(A1684,'BBT3'!A:F,4,1),"")</f>
        <v/>
      </c>
      <c r="E1684" t="str">
        <f>IF(NOT(ISBLANK(A1684)),VLOOKUP(A1684,'BBT3'!A:F,5,0),"")</f>
        <v/>
      </c>
      <c r="F1684" t="str">
        <f>IF(NOT(ISBLANK(A1684)),VLOOKUP(A1684,'BBT3'!A:F,6,0),"")</f>
        <v/>
      </c>
      <c r="G1684" t="str">
        <f>IF(NOT(ISBLANK(A1684)),VLOOKUP(A1684,QW_Close!A:J,5,0),"")</f>
        <v/>
      </c>
      <c r="H1684" s="5" t="str" cm="1">
        <f t="array" ref="H1684">IF(NOT(ISBLANK(A1684)),((_xlfn.XLOOKUP(1,(_bbt3[[#All],[ID]]=A1684)*(_bbt3[[#All],[METRIC_NAME]]="YLD_YTM_ASK"),_bbt3[[#All],[METRIC_VALUE]])*0.5)+(_xlfn.XLOOKUP(1,(_bbt3[[#All],[ID]]=A1684)*(_bbt3[[#All],[METRIC_NAME]]="YLD_YTM_BID"),_bbt3[[#All],[METRIC_VALUE]])*0.5))/100,"")</f>
        <v/>
      </c>
      <c r="I1684">
        <f>IF(ISNA(VLOOKUP(A1684,QW_CloseDL!A:E,5,0)),0,VLOOKUP(A1684,QW_CloseDL!A:E,5,0))</f>
        <v>0</v>
      </c>
      <c r="J1684" s="8" t="str">
        <f t="shared" si="116"/>
        <v/>
      </c>
    </row>
    <row r="1685" spans="2:10" x14ac:dyDescent="0.35">
      <c r="B1685" t="str">
        <f>IF(NOT(ISBLANK(A1685)),VLOOKUP(A1685,'BBT3'!A:F,2,0),"")</f>
        <v/>
      </c>
      <c r="C1685" t="str">
        <f>IF(NOT(ISBLANK(A1685)),VLOOKUP(A1685,'BBT3'!A:F,3,0),"")</f>
        <v/>
      </c>
      <c r="D1685" s="6" t="str">
        <f>IF(NOT(ISBLANK(A1685)),VLOOKUP(A1685,'BBT3'!A:F,4,1),"")</f>
        <v/>
      </c>
      <c r="E1685" t="str">
        <f>IF(NOT(ISBLANK(A1685)),VLOOKUP(A1685,'BBT3'!A:F,5,0),"")</f>
        <v/>
      </c>
      <c r="F1685" t="str">
        <f>IF(NOT(ISBLANK(A1685)),VLOOKUP(A1685,'BBT3'!A:F,6,0),"")</f>
        <v/>
      </c>
      <c r="G1685" t="str">
        <f>IF(NOT(ISBLANK(A1685)),VLOOKUP(A1685,QW_Close!A:J,5,0),"")</f>
        <v/>
      </c>
      <c r="H1685" s="5" t="str" cm="1">
        <f t="array" ref="H1685">IF(NOT(ISBLANK(A1685)),((_xlfn.XLOOKUP(1,(_bbt3[[#All],[ID]]=A1685)*(_bbt3[[#All],[METRIC_NAME]]="YLD_YTM_ASK"),_bbt3[[#All],[METRIC_VALUE]])*0.5)+(_xlfn.XLOOKUP(1,(_bbt3[[#All],[ID]]=A1685)*(_bbt3[[#All],[METRIC_NAME]]="YLD_YTM_BID"),_bbt3[[#All],[METRIC_VALUE]])*0.5))/100,"")</f>
        <v/>
      </c>
      <c r="I1685">
        <f>IF(ISNA(VLOOKUP(A1685,QW_CloseDL!A:E,5,0)),0,VLOOKUP(A1685,QW_CloseDL!A:E,5,0))</f>
        <v>0</v>
      </c>
      <c r="J1685" s="8" t="str">
        <f t="shared" si="116"/>
        <v/>
      </c>
    </row>
    <row r="1686" spans="2:10" x14ac:dyDescent="0.35">
      <c r="B1686" t="str">
        <f>IF(NOT(ISBLANK(A1686)),VLOOKUP(A1686,'BBT3'!A:F,2,0),"")</f>
        <v/>
      </c>
      <c r="C1686" t="str">
        <f>IF(NOT(ISBLANK(A1686)),VLOOKUP(A1686,'BBT3'!A:F,3,0),"")</f>
        <v/>
      </c>
      <c r="D1686" s="6" t="str">
        <f>IF(NOT(ISBLANK(A1686)),VLOOKUP(A1686,'BBT3'!A:F,4,1),"")</f>
        <v/>
      </c>
      <c r="E1686" t="str">
        <f>IF(NOT(ISBLANK(A1686)),VLOOKUP(A1686,'BBT3'!A:F,5,0),"")</f>
        <v/>
      </c>
      <c r="F1686" t="str">
        <f>IF(NOT(ISBLANK(A1686)),VLOOKUP(A1686,'BBT3'!A:F,6,0),"")</f>
        <v/>
      </c>
      <c r="G1686" t="str">
        <f>IF(NOT(ISBLANK(A1686)),VLOOKUP(A1686,QW_Close!A:J,5,0),"")</f>
        <v/>
      </c>
      <c r="H1686" s="5" t="str" cm="1">
        <f t="array" ref="H1686">IF(NOT(ISBLANK(A1686)),((_xlfn.XLOOKUP(1,(_bbt3[[#All],[ID]]=A1686)*(_bbt3[[#All],[METRIC_NAME]]="YLD_YTM_ASK"),_bbt3[[#All],[METRIC_VALUE]])*0.5)+(_xlfn.XLOOKUP(1,(_bbt3[[#All],[ID]]=A1686)*(_bbt3[[#All],[METRIC_NAME]]="YLD_YTM_BID"),_bbt3[[#All],[METRIC_VALUE]])*0.5))/100,"")</f>
        <v/>
      </c>
      <c r="I1686">
        <f>IF(ISNA(VLOOKUP(A1686,QW_CloseDL!A:E,5,0)),0,VLOOKUP(A1686,QW_CloseDL!A:E,5,0))</f>
        <v>0</v>
      </c>
      <c r="J1686" s="8" t="str">
        <f t="shared" si="116"/>
        <v/>
      </c>
    </row>
    <row r="1687" spans="2:10" x14ac:dyDescent="0.35">
      <c r="B1687" t="str">
        <f>IF(NOT(ISBLANK(A1687)),VLOOKUP(A1687,'BBT3'!A:F,2,0),"")</f>
        <v/>
      </c>
      <c r="C1687" t="str">
        <f>IF(NOT(ISBLANK(A1687)),VLOOKUP(A1687,'BBT3'!A:F,3,0),"")</f>
        <v/>
      </c>
      <c r="D1687" s="6" t="str">
        <f>IF(NOT(ISBLANK(A1687)),VLOOKUP(A1687,'BBT3'!A:F,4,1),"")</f>
        <v/>
      </c>
      <c r="E1687" t="str">
        <f>IF(NOT(ISBLANK(A1687)),VLOOKUP(A1687,'BBT3'!A:F,5,0),"")</f>
        <v/>
      </c>
      <c r="F1687" t="str">
        <f>IF(NOT(ISBLANK(A1687)),VLOOKUP(A1687,'BBT3'!A:F,6,0),"")</f>
        <v/>
      </c>
      <c r="G1687" t="str">
        <f>IF(NOT(ISBLANK(A1687)),VLOOKUP(A1687,QW_Close!A:J,5,0),"")</f>
        <v/>
      </c>
      <c r="H1687" s="5" t="str" cm="1">
        <f t="array" ref="H1687">IF(NOT(ISBLANK(A1687)),((_xlfn.XLOOKUP(1,(_bbt3[[#All],[ID]]=A1687)*(_bbt3[[#All],[METRIC_NAME]]="YLD_YTM_ASK"),_bbt3[[#All],[METRIC_VALUE]])*0.5)+(_xlfn.XLOOKUP(1,(_bbt3[[#All],[ID]]=A1687)*(_bbt3[[#All],[METRIC_NAME]]="YLD_YTM_BID"),_bbt3[[#All],[METRIC_VALUE]])*0.5))/100,"")</f>
        <v/>
      </c>
      <c r="I1687">
        <f>IF(ISNA(VLOOKUP(A1687,QW_CloseDL!A:E,5,0)),0,VLOOKUP(A1687,QW_CloseDL!A:E,5,0))</f>
        <v>0</v>
      </c>
      <c r="J1687" s="8" t="str">
        <f t="shared" si="116"/>
        <v/>
      </c>
    </row>
    <row r="1688" spans="2:10" x14ac:dyDescent="0.35">
      <c r="B1688" t="str">
        <f>IF(NOT(ISBLANK(A1688)),VLOOKUP(A1688,'BBT3'!A:F,2,0),"")</f>
        <v/>
      </c>
      <c r="C1688" t="str">
        <f>IF(NOT(ISBLANK(A1688)),VLOOKUP(A1688,'BBT3'!A:F,3,0),"")</f>
        <v/>
      </c>
      <c r="D1688" s="6" t="str">
        <f>IF(NOT(ISBLANK(A1688)),VLOOKUP(A1688,'BBT3'!A:F,4,1),"")</f>
        <v/>
      </c>
      <c r="E1688" t="str">
        <f>IF(NOT(ISBLANK(A1688)),VLOOKUP(A1688,'BBT3'!A:F,5,0),"")</f>
        <v/>
      </c>
      <c r="F1688" t="str">
        <f>IF(NOT(ISBLANK(A1688)),VLOOKUP(A1688,'BBT3'!A:F,6,0),"")</f>
        <v/>
      </c>
      <c r="G1688" t="str">
        <f>IF(NOT(ISBLANK(A1688)),VLOOKUP(A1688,QW_Close!A:J,5,0),"")</f>
        <v/>
      </c>
      <c r="H1688" s="5" t="str" cm="1">
        <f t="array" ref="H1688">IF(NOT(ISBLANK(A1688)),((_xlfn.XLOOKUP(1,(_bbt3[[#All],[ID]]=A1688)*(_bbt3[[#All],[METRIC_NAME]]="YLD_YTM_ASK"),_bbt3[[#All],[METRIC_VALUE]])*0.5)+(_xlfn.XLOOKUP(1,(_bbt3[[#All],[ID]]=A1688)*(_bbt3[[#All],[METRIC_NAME]]="YLD_YTM_BID"),_bbt3[[#All],[METRIC_VALUE]])*0.5))/100,"")</f>
        <v/>
      </c>
      <c r="I1688">
        <f>IF(ISNA(VLOOKUP(A1688,QW_CloseDL!A:E,5,0)),0,VLOOKUP(A1688,QW_CloseDL!A:E,5,0))</f>
        <v>0</v>
      </c>
      <c r="J1688" s="8" t="str">
        <f t="shared" si="116"/>
        <v/>
      </c>
    </row>
    <row r="1689" spans="2:10" x14ac:dyDescent="0.35">
      <c r="B1689" t="str">
        <f>IF(NOT(ISBLANK(A1689)),VLOOKUP(A1689,'BBT3'!A:F,2,0),"")</f>
        <v/>
      </c>
      <c r="C1689" t="str">
        <f>IF(NOT(ISBLANK(A1689)),VLOOKUP(A1689,'BBT3'!A:F,3,0),"")</f>
        <v/>
      </c>
      <c r="D1689" s="6" t="str">
        <f>IF(NOT(ISBLANK(A1689)),VLOOKUP(A1689,'BBT3'!A:F,4,1),"")</f>
        <v/>
      </c>
      <c r="E1689" t="str">
        <f>IF(NOT(ISBLANK(A1689)),VLOOKUP(A1689,'BBT3'!A:F,5,0),"")</f>
        <v/>
      </c>
      <c r="F1689" t="str">
        <f>IF(NOT(ISBLANK(A1689)),VLOOKUP(A1689,'BBT3'!A:F,6,0),"")</f>
        <v/>
      </c>
      <c r="G1689" t="str">
        <f>IF(NOT(ISBLANK(A1689)),VLOOKUP(A1689,QW_Close!A:J,5,0),"")</f>
        <v/>
      </c>
      <c r="H1689" s="5" t="str" cm="1">
        <f t="array" ref="H1689">IF(NOT(ISBLANK(A1689)),((_xlfn.XLOOKUP(1,(_bbt3[[#All],[ID]]=A1689)*(_bbt3[[#All],[METRIC_NAME]]="YLD_YTM_ASK"),_bbt3[[#All],[METRIC_VALUE]])*0.5)+(_xlfn.XLOOKUP(1,(_bbt3[[#All],[ID]]=A1689)*(_bbt3[[#All],[METRIC_NAME]]="YLD_YTM_BID"),_bbt3[[#All],[METRIC_VALUE]])*0.5))/100,"")</f>
        <v/>
      </c>
      <c r="I1689">
        <f>IF(ISNA(VLOOKUP(A1689,QW_CloseDL!A:E,5,0)),0,VLOOKUP(A1689,QW_CloseDL!A:E,5,0))</f>
        <v>0</v>
      </c>
      <c r="J1689" s="8" t="str">
        <f t="shared" si="116"/>
        <v/>
      </c>
    </row>
    <row r="1690" spans="2:10" x14ac:dyDescent="0.35">
      <c r="B1690" t="str">
        <f>IF(NOT(ISBLANK(A1690)),VLOOKUP(A1690,'BBT3'!A:F,2,0),"")</f>
        <v/>
      </c>
      <c r="C1690" t="str">
        <f>IF(NOT(ISBLANK(A1690)),VLOOKUP(A1690,'BBT3'!A:F,3,0),"")</f>
        <v/>
      </c>
      <c r="D1690" s="6" t="str">
        <f>IF(NOT(ISBLANK(A1690)),VLOOKUP(A1690,'BBT3'!A:F,4,1),"")</f>
        <v/>
      </c>
      <c r="E1690" t="str">
        <f>IF(NOT(ISBLANK(A1690)),VLOOKUP(A1690,'BBT3'!A:F,5,0),"")</f>
        <v/>
      </c>
      <c r="F1690" t="str">
        <f>IF(NOT(ISBLANK(A1690)),VLOOKUP(A1690,'BBT3'!A:F,6,0),"")</f>
        <v/>
      </c>
      <c r="G1690" t="str">
        <f>IF(NOT(ISBLANK(A1690)),VLOOKUP(A1690,QW_Close!A:J,5,0),"")</f>
        <v/>
      </c>
      <c r="H1690" s="5" t="str" cm="1">
        <f t="array" ref="H1690">IF(NOT(ISBLANK(A1690)),((_xlfn.XLOOKUP(1,(_bbt3[[#All],[ID]]=A1690)*(_bbt3[[#All],[METRIC_NAME]]="YLD_YTM_ASK"),_bbt3[[#All],[METRIC_VALUE]])*0.5)+(_xlfn.XLOOKUP(1,(_bbt3[[#All],[ID]]=A1690)*(_bbt3[[#All],[METRIC_NAME]]="YLD_YTM_BID"),_bbt3[[#All],[METRIC_VALUE]])*0.5))/100,"")</f>
        <v/>
      </c>
      <c r="I1690">
        <f>IF(ISNA(VLOOKUP(A1690,QW_CloseDL!A:E,5,0)),0,VLOOKUP(A1690,QW_CloseDL!A:E,5,0))</f>
        <v>0</v>
      </c>
      <c r="J1690" s="8" t="str">
        <f t="shared" si="116"/>
        <v/>
      </c>
    </row>
    <row r="1691" spans="2:10" x14ac:dyDescent="0.35">
      <c r="B1691" t="str">
        <f>IF(NOT(ISBLANK(A1691)),VLOOKUP(A1691,'BBT3'!A:F,2,0),"")</f>
        <v/>
      </c>
      <c r="C1691" t="str">
        <f>IF(NOT(ISBLANK(A1691)),VLOOKUP(A1691,'BBT3'!A:F,3,0),"")</f>
        <v/>
      </c>
      <c r="D1691" s="6" t="str">
        <f>IF(NOT(ISBLANK(A1691)),VLOOKUP(A1691,'BBT3'!A:F,4,1),"")</f>
        <v/>
      </c>
      <c r="E1691" t="str">
        <f>IF(NOT(ISBLANK(A1691)),VLOOKUP(A1691,'BBT3'!A:F,5,0),"")</f>
        <v/>
      </c>
      <c r="F1691" t="str">
        <f>IF(NOT(ISBLANK(A1691)),VLOOKUP(A1691,'BBT3'!A:F,6,0),"")</f>
        <v/>
      </c>
      <c r="G1691" t="str">
        <f>IF(NOT(ISBLANK(A1691)),VLOOKUP(A1691,QW_Close!A:J,5,0),"")</f>
        <v/>
      </c>
      <c r="H1691" s="5" t="str" cm="1">
        <f t="array" ref="H1691">IF(NOT(ISBLANK(A1691)),((_xlfn.XLOOKUP(1,(_bbt3[[#All],[ID]]=A1691)*(_bbt3[[#All],[METRIC_NAME]]="YLD_YTM_ASK"),_bbt3[[#All],[METRIC_VALUE]])*0.5)+(_xlfn.XLOOKUP(1,(_bbt3[[#All],[ID]]=A1691)*(_bbt3[[#All],[METRIC_NAME]]="YLD_YTM_BID"),_bbt3[[#All],[METRIC_VALUE]])*0.5))/100,"")</f>
        <v/>
      </c>
      <c r="I1691">
        <f>IF(ISNA(VLOOKUP(A1691,QW_CloseDL!A:E,5,0)),0,VLOOKUP(A1691,QW_CloseDL!A:E,5,0))</f>
        <v>0</v>
      </c>
      <c r="J1691" s="8" t="str">
        <f t="shared" si="116"/>
        <v/>
      </c>
    </row>
    <row r="1692" spans="2:10" x14ac:dyDescent="0.35">
      <c r="B1692" t="str">
        <f>IF(NOT(ISBLANK(A1692)),VLOOKUP(A1692,'BBT3'!A:F,2,0),"")</f>
        <v/>
      </c>
      <c r="C1692" t="str">
        <f>IF(NOT(ISBLANK(A1692)),VLOOKUP(A1692,'BBT3'!A:F,3,0),"")</f>
        <v/>
      </c>
      <c r="D1692" s="6" t="str">
        <f>IF(NOT(ISBLANK(A1692)),VLOOKUP(A1692,'BBT3'!A:F,4,1),"")</f>
        <v/>
      </c>
      <c r="E1692" t="str">
        <f>IF(NOT(ISBLANK(A1692)),VLOOKUP(A1692,'BBT3'!A:F,5,0),"")</f>
        <v/>
      </c>
      <c r="F1692" t="str">
        <f>IF(NOT(ISBLANK(A1692)),VLOOKUP(A1692,'BBT3'!A:F,6,0),"")</f>
        <v/>
      </c>
      <c r="G1692" t="str">
        <f>IF(NOT(ISBLANK(A1692)),VLOOKUP(A1692,QW_Close!A:J,5,0),"")</f>
        <v/>
      </c>
      <c r="H1692" s="5" t="str" cm="1">
        <f t="array" ref="H1692">IF(NOT(ISBLANK(A1692)),((_xlfn.XLOOKUP(1,(_bbt3[[#All],[ID]]=A1692)*(_bbt3[[#All],[METRIC_NAME]]="YLD_YTM_ASK"),_bbt3[[#All],[METRIC_VALUE]])*0.5)+(_xlfn.XLOOKUP(1,(_bbt3[[#All],[ID]]=A1692)*(_bbt3[[#All],[METRIC_NAME]]="YLD_YTM_BID"),_bbt3[[#All],[METRIC_VALUE]])*0.5))/100,"")</f>
        <v/>
      </c>
      <c r="I1692">
        <f>IF(ISNA(VLOOKUP(A1692,QW_CloseDL!A:E,5,0)),0,VLOOKUP(A1692,QW_CloseDL!A:E,5,0))</f>
        <v>0</v>
      </c>
      <c r="J1692" s="8" t="str">
        <f t="shared" si="116"/>
        <v/>
      </c>
    </row>
    <row r="1693" spans="2:10" x14ac:dyDescent="0.35">
      <c r="B1693" t="str">
        <f>IF(NOT(ISBLANK(A1693)),VLOOKUP(A1693,'BBT3'!A:F,2,0),"")</f>
        <v/>
      </c>
      <c r="C1693" t="str">
        <f>IF(NOT(ISBLANK(A1693)),VLOOKUP(A1693,'BBT3'!A:F,3,0),"")</f>
        <v/>
      </c>
      <c r="D1693" s="6" t="str">
        <f>IF(NOT(ISBLANK(A1693)),VLOOKUP(A1693,'BBT3'!A:F,4,1),"")</f>
        <v/>
      </c>
      <c r="E1693" t="str">
        <f>IF(NOT(ISBLANK(A1693)),VLOOKUP(A1693,'BBT3'!A:F,5,0),"")</f>
        <v/>
      </c>
      <c r="F1693" t="str">
        <f>IF(NOT(ISBLANK(A1693)),VLOOKUP(A1693,'BBT3'!A:F,6,0),"")</f>
        <v/>
      </c>
      <c r="G1693" t="str">
        <f>IF(NOT(ISBLANK(A1693)),VLOOKUP(A1693,QW_Close!A:J,5,0),"")</f>
        <v/>
      </c>
      <c r="H1693" s="5" t="str" cm="1">
        <f t="array" ref="H1693">IF(NOT(ISBLANK(A1693)),((_xlfn.XLOOKUP(1,(_bbt3[[#All],[ID]]=A1693)*(_bbt3[[#All],[METRIC_NAME]]="YLD_YTM_ASK"),_bbt3[[#All],[METRIC_VALUE]])*0.5)+(_xlfn.XLOOKUP(1,(_bbt3[[#All],[ID]]=A1693)*(_bbt3[[#All],[METRIC_NAME]]="YLD_YTM_BID"),_bbt3[[#All],[METRIC_VALUE]])*0.5))/100,"")</f>
        <v/>
      </c>
      <c r="I1693">
        <f>IF(ISNA(VLOOKUP(A1693,QW_CloseDL!A:E,5,0)),0,VLOOKUP(A1693,QW_CloseDL!A:E,5,0))</f>
        <v>0</v>
      </c>
      <c r="J1693" s="8" t="str">
        <f t="shared" si="116"/>
        <v/>
      </c>
    </row>
    <row r="1694" spans="2:10" x14ac:dyDescent="0.35">
      <c r="B1694" t="str">
        <f>IF(NOT(ISBLANK(A1694)),VLOOKUP(A1694,'BBT3'!A:F,2,0),"")</f>
        <v/>
      </c>
      <c r="C1694" t="str">
        <f>IF(NOT(ISBLANK(A1694)),VLOOKUP(A1694,'BBT3'!A:F,3,0),"")</f>
        <v/>
      </c>
      <c r="D1694" s="6" t="str">
        <f>IF(NOT(ISBLANK(A1694)),VLOOKUP(A1694,'BBT3'!A:F,4,1),"")</f>
        <v/>
      </c>
      <c r="E1694" t="str">
        <f>IF(NOT(ISBLANK(A1694)),VLOOKUP(A1694,'BBT3'!A:F,5,0),"")</f>
        <v/>
      </c>
      <c r="F1694" t="str">
        <f>IF(NOT(ISBLANK(A1694)),VLOOKUP(A1694,'BBT3'!A:F,6,0),"")</f>
        <v/>
      </c>
      <c r="G1694" t="str">
        <f>IF(NOT(ISBLANK(A1694)),VLOOKUP(A1694,QW_Close!A:J,5,0),"")</f>
        <v/>
      </c>
      <c r="H1694" s="5" t="str" cm="1">
        <f t="array" ref="H1694">IF(NOT(ISBLANK(A1694)),((_xlfn.XLOOKUP(1,(_bbt3[[#All],[ID]]=A1694)*(_bbt3[[#All],[METRIC_NAME]]="YLD_YTM_ASK"),_bbt3[[#All],[METRIC_VALUE]])*0.5)+(_xlfn.XLOOKUP(1,(_bbt3[[#All],[ID]]=A1694)*(_bbt3[[#All],[METRIC_NAME]]="YLD_YTM_BID"),_bbt3[[#All],[METRIC_VALUE]])*0.5))/100,"")</f>
        <v/>
      </c>
      <c r="I1694">
        <f>IF(ISNA(VLOOKUP(A1694,QW_CloseDL!A:E,5,0)),0,VLOOKUP(A1694,QW_CloseDL!A:E,5,0))</f>
        <v>0</v>
      </c>
      <c r="J1694" s="8" t="str">
        <f t="shared" si="116"/>
        <v/>
      </c>
    </row>
    <row r="1695" spans="2:10" x14ac:dyDescent="0.35">
      <c r="B1695" t="str">
        <f>IF(NOT(ISBLANK(A1695)),VLOOKUP(A1695,'BBT3'!A:F,2,0),"")</f>
        <v/>
      </c>
      <c r="C1695" t="str">
        <f>IF(NOT(ISBLANK(A1695)),VLOOKUP(A1695,'BBT3'!A:F,3,0),"")</f>
        <v/>
      </c>
      <c r="D1695" s="6" t="str">
        <f>IF(NOT(ISBLANK(A1695)),VLOOKUP(A1695,'BBT3'!A:F,4,1),"")</f>
        <v/>
      </c>
      <c r="E1695" t="str">
        <f>IF(NOT(ISBLANK(A1695)),VLOOKUP(A1695,'BBT3'!A:F,5,0),"")</f>
        <v/>
      </c>
      <c r="F1695" t="str">
        <f>IF(NOT(ISBLANK(A1695)),VLOOKUP(A1695,'BBT3'!A:F,6,0),"")</f>
        <v/>
      </c>
      <c r="G1695" t="str">
        <f>IF(NOT(ISBLANK(A1695)),VLOOKUP(A1695,QW_Close!A:J,5,0),"")</f>
        <v/>
      </c>
      <c r="H1695" s="5" t="str" cm="1">
        <f t="array" ref="H1695">IF(NOT(ISBLANK(A1695)),((_xlfn.XLOOKUP(1,(_bbt3[[#All],[ID]]=A1695)*(_bbt3[[#All],[METRIC_NAME]]="YLD_YTM_ASK"),_bbt3[[#All],[METRIC_VALUE]])*0.5)+(_xlfn.XLOOKUP(1,(_bbt3[[#All],[ID]]=A1695)*(_bbt3[[#All],[METRIC_NAME]]="YLD_YTM_BID"),_bbt3[[#All],[METRIC_VALUE]])*0.5))/100,"")</f>
        <v/>
      </c>
      <c r="I1695">
        <f>IF(ISNA(VLOOKUP(A1695,QW_CloseDL!A:E,5,0)),0,VLOOKUP(A1695,QW_CloseDL!A:E,5,0))</f>
        <v>0</v>
      </c>
      <c r="J1695" s="8" t="str">
        <f t="shared" si="116"/>
        <v/>
      </c>
    </row>
    <row r="1696" spans="2:10" x14ac:dyDescent="0.35">
      <c r="B1696" t="str">
        <f>IF(NOT(ISBLANK(A1696)),VLOOKUP(A1696,'BBT3'!A:F,2,0),"")</f>
        <v/>
      </c>
      <c r="C1696" t="str">
        <f>IF(NOT(ISBLANK(A1696)),VLOOKUP(A1696,'BBT3'!A:F,3,0),"")</f>
        <v/>
      </c>
      <c r="D1696" s="6" t="str">
        <f>IF(NOT(ISBLANK(A1696)),VLOOKUP(A1696,'BBT3'!A:F,4,1),"")</f>
        <v/>
      </c>
      <c r="E1696" t="str">
        <f>IF(NOT(ISBLANK(A1696)),VLOOKUP(A1696,'BBT3'!A:F,5,0),"")</f>
        <v/>
      </c>
      <c r="F1696" t="str">
        <f>IF(NOT(ISBLANK(A1696)),VLOOKUP(A1696,'BBT3'!A:F,6,0),"")</f>
        <v/>
      </c>
      <c r="G1696" t="str">
        <f>IF(NOT(ISBLANK(A1696)),VLOOKUP(A1696,QW_Close!A:J,5,0),"")</f>
        <v/>
      </c>
      <c r="H1696" s="5" t="str" cm="1">
        <f t="array" ref="H1696">IF(NOT(ISBLANK(A1696)),((_xlfn.XLOOKUP(1,(_bbt3[[#All],[ID]]=A1696)*(_bbt3[[#All],[METRIC_NAME]]="YLD_YTM_ASK"),_bbt3[[#All],[METRIC_VALUE]])*0.5)+(_xlfn.XLOOKUP(1,(_bbt3[[#All],[ID]]=A1696)*(_bbt3[[#All],[METRIC_NAME]]="YLD_YTM_BID"),_bbt3[[#All],[METRIC_VALUE]])*0.5))/100,"")</f>
        <v/>
      </c>
      <c r="I1696">
        <f>IF(ISNA(VLOOKUP(A1696,QW_CloseDL!A:E,5,0)),0,VLOOKUP(A1696,QW_CloseDL!A:E,5,0))</f>
        <v>0</v>
      </c>
      <c r="J1696" s="8" t="str">
        <f t="shared" si="116"/>
        <v/>
      </c>
    </row>
    <row r="1697" spans="2:10" x14ac:dyDescent="0.35">
      <c r="B1697" t="str">
        <f>IF(NOT(ISBLANK(A1697)),VLOOKUP(A1697,'BBT3'!A:F,2,0),"")</f>
        <v/>
      </c>
      <c r="C1697" t="str">
        <f>IF(NOT(ISBLANK(A1697)),VLOOKUP(A1697,'BBT3'!A:F,3,0),"")</f>
        <v/>
      </c>
      <c r="D1697" s="6" t="str">
        <f>IF(NOT(ISBLANK(A1697)),VLOOKUP(A1697,'BBT3'!A:F,4,1),"")</f>
        <v/>
      </c>
      <c r="E1697" t="str">
        <f>IF(NOT(ISBLANK(A1697)),VLOOKUP(A1697,'BBT3'!A:F,5,0),"")</f>
        <v/>
      </c>
      <c r="F1697" t="str">
        <f>IF(NOT(ISBLANK(A1697)),VLOOKUP(A1697,'BBT3'!A:F,6,0),"")</f>
        <v/>
      </c>
      <c r="G1697" t="str">
        <f>IF(NOT(ISBLANK(A1697)),VLOOKUP(A1697,QW_Close!A:J,5,0),"")</f>
        <v/>
      </c>
      <c r="H1697" s="5" t="str" cm="1">
        <f t="array" ref="H1697">IF(NOT(ISBLANK(A1697)),((_xlfn.XLOOKUP(1,(_bbt3[[#All],[ID]]=A1697)*(_bbt3[[#All],[METRIC_NAME]]="YLD_YTM_ASK"),_bbt3[[#All],[METRIC_VALUE]])*0.5)+(_xlfn.XLOOKUP(1,(_bbt3[[#All],[ID]]=A1697)*(_bbt3[[#All],[METRIC_NAME]]="YLD_YTM_BID"),_bbt3[[#All],[METRIC_VALUE]])*0.5))/100,"")</f>
        <v/>
      </c>
      <c r="I1697">
        <f>IF(ISNA(VLOOKUP(A1697,QW_CloseDL!A:E,5,0)),0,VLOOKUP(A1697,QW_CloseDL!A:E,5,0))</f>
        <v>0</v>
      </c>
      <c r="J1697" s="8" t="str">
        <f t="shared" si="116"/>
        <v/>
      </c>
    </row>
    <row r="1698" spans="2:10" x14ac:dyDescent="0.35">
      <c r="B1698" t="str">
        <f>IF(NOT(ISBLANK(A1698)),VLOOKUP(A1698,'BBT3'!A:F,2,0),"")</f>
        <v/>
      </c>
      <c r="C1698" t="str">
        <f>IF(NOT(ISBLANK(A1698)),VLOOKUP(A1698,'BBT3'!A:F,3,0),"")</f>
        <v/>
      </c>
      <c r="D1698" s="6" t="str">
        <f>IF(NOT(ISBLANK(A1698)),VLOOKUP(A1698,'BBT3'!A:F,4,1),"")</f>
        <v/>
      </c>
      <c r="E1698" t="str">
        <f>IF(NOT(ISBLANK(A1698)),VLOOKUP(A1698,'BBT3'!A:F,5,0),"")</f>
        <v/>
      </c>
      <c r="F1698" t="str">
        <f>IF(NOT(ISBLANK(A1698)),VLOOKUP(A1698,'BBT3'!A:F,6,0),"")</f>
        <v/>
      </c>
      <c r="G1698" t="str">
        <f>IF(NOT(ISBLANK(A1698)),VLOOKUP(A1698,QW_Close!A:J,5,0),"")</f>
        <v/>
      </c>
      <c r="H1698" s="5" t="str" cm="1">
        <f t="array" ref="H1698">IF(NOT(ISBLANK(A1698)),((_xlfn.XLOOKUP(1,(_bbt3[[#All],[ID]]=A1698)*(_bbt3[[#All],[METRIC_NAME]]="YLD_YTM_ASK"),_bbt3[[#All],[METRIC_VALUE]])*0.5)+(_xlfn.XLOOKUP(1,(_bbt3[[#All],[ID]]=A1698)*(_bbt3[[#All],[METRIC_NAME]]="YLD_YTM_BID"),_bbt3[[#All],[METRIC_VALUE]])*0.5))/100,"")</f>
        <v/>
      </c>
      <c r="I1698">
        <f>IF(ISNA(VLOOKUP(A1698,QW_CloseDL!A:E,5,0)),0,VLOOKUP(A1698,QW_CloseDL!A:E,5,0))</f>
        <v>0</v>
      </c>
      <c r="J1698" s="8" t="str">
        <f t="shared" si="116"/>
        <v/>
      </c>
    </row>
    <row r="1699" spans="2:10" x14ac:dyDescent="0.35">
      <c r="B1699" t="str">
        <f>IF(NOT(ISBLANK(A1699)),VLOOKUP(A1699,'BBT3'!A:F,2,0),"")</f>
        <v/>
      </c>
      <c r="C1699" t="str">
        <f>IF(NOT(ISBLANK(A1699)),VLOOKUP(A1699,'BBT3'!A:F,3,0),"")</f>
        <v/>
      </c>
      <c r="D1699" s="6" t="str">
        <f>IF(NOT(ISBLANK(A1699)),VLOOKUP(A1699,'BBT3'!A:F,4,1),"")</f>
        <v/>
      </c>
      <c r="E1699" t="str">
        <f>IF(NOT(ISBLANK(A1699)),VLOOKUP(A1699,'BBT3'!A:F,5,0),"")</f>
        <v/>
      </c>
      <c r="F1699" t="str">
        <f>IF(NOT(ISBLANK(A1699)),VLOOKUP(A1699,'BBT3'!A:F,6,0),"")</f>
        <v/>
      </c>
      <c r="G1699" t="str">
        <f>IF(NOT(ISBLANK(A1699)),VLOOKUP(A1699,QW_Close!A:J,5,0),"")</f>
        <v/>
      </c>
      <c r="H1699" s="5" t="str" cm="1">
        <f t="array" ref="H1699">IF(NOT(ISBLANK(A1699)),((_xlfn.XLOOKUP(1,(_bbt3[[#All],[ID]]=A1699)*(_bbt3[[#All],[METRIC_NAME]]="YLD_YTM_ASK"),_bbt3[[#All],[METRIC_VALUE]])*0.5)+(_xlfn.XLOOKUP(1,(_bbt3[[#All],[ID]]=A1699)*(_bbt3[[#All],[METRIC_NAME]]="YLD_YTM_BID"),_bbt3[[#All],[METRIC_VALUE]])*0.5))/100,"")</f>
        <v/>
      </c>
      <c r="I1699">
        <f>IF(ISNA(VLOOKUP(A1699,QW_CloseDL!A:E,5,0)),0,VLOOKUP(A1699,QW_CloseDL!A:E,5,0))</f>
        <v>0</v>
      </c>
      <c r="J1699" s="8" t="str">
        <f t="shared" si="116"/>
        <v/>
      </c>
    </row>
    <row r="1700" spans="2:10" x14ac:dyDescent="0.35">
      <c r="B1700" t="str">
        <f>IF(NOT(ISBLANK(A1700)),VLOOKUP(A1700,'BBT3'!A:F,2,0),"")</f>
        <v/>
      </c>
      <c r="C1700" t="str">
        <f>IF(NOT(ISBLANK(A1700)),VLOOKUP(A1700,'BBT3'!A:F,3,0),"")</f>
        <v/>
      </c>
      <c r="D1700" s="6" t="str">
        <f>IF(NOT(ISBLANK(A1700)),VLOOKUP(A1700,'BBT3'!A:F,4,1),"")</f>
        <v/>
      </c>
      <c r="E1700" t="str">
        <f>IF(NOT(ISBLANK(A1700)),VLOOKUP(A1700,'BBT3'!A:F,5,0),"")</f>
        <v/>
      </c>
      <c r="F1700" t="str">
        <f>IF(NOT(ISBLANK(A1700)),VLOOKUP(A1700,'BBT3'!A:F,6,0),"")</f>
        <v/>
      </c>
      <c r="G1700" t="str">
        <f>IF(NOT(ISBLANK(A1700)),VLOOKUP(A1700,QW_Close!A:J,5,0),"")</f>
        <v/>
      </c>
      <c r="H1700" s="5" t="str" cm="1">
        <f t="array" ref="H1700">IF(NOT(ISBLANK(A1700)),((_xlfn.XLOOKUP(1,(_bbt3[[#All],[ID]]=A1700)*(_bbt3[[#All],[METRIC_NAME]]="YLD_YTM_ASK"),_bbt3[[#All],[METRIC_VALUE]])*0.5)+(_xlfn.XLOOKUP(1,(_bbt3[[#All],[ID]]=A1700)*(_bbt3[[#All],[METRIC_NAME]]="YLD_YTM_BID"),_bbt3[[#All],[METRIC_VALUE]])*0.5))/100,"")</f>
        <v/>
      </c>
      <c r="I1700">
        <f>IF(ISNA(VLOOKUP(A1700,QW_CloseDL!A:E,5,0)),0,VLOOKUP(A1700,QW_CloseDL!A:E,5,0))</f>
        <v>0</v>
      </c>
      <c r="J1700" s="8" t="str">
        <f t="shared" si="116"/>
        <v/>
      </c>
    </row>
    <row r="1701" spans="2:10" x14ac:dyDescent="0.35">
      <c r="B1701" t="str">
        <f>IF(NOT(ISBLANK(A1701)),VLOOKUP(A1701,'BBT3'!A:F,2,0),"")</f>
        <v/>
      </c>
      <c r="C1701" t="str">
        <f>IF(NOT(ISBLANK(A1701)),VLOOKUP(A1701,'BBT3'!A:F,3,0),"")</f>
        <v/>
      </c>
      <c r="D1701" s="6" t="str">
        <f>IF(NOT(ISBLANK(A1701)),VLOOKUP(A1701,'BBT3'!A:F,4,1),"")</f>
        <v/>
      </c>
      <c r="E1701" t="str">
        <f>IF(NOT(ISBLANK(A1701)),VLOOKUP(A1701,'BBT3'!A:F,5,0),"")</f>
        <v/>
      </c>
      <c r="F1701" t="str">
        <f>IF(NOT(ISBLANK(A1701)),VLOOKUP(A1701,'BBT3'!A:F,6,0),"")</f>
        <v/>
      </c>
      <c r="G1701" t="str">
        <f>IF(NOT(ISBLANK(A1701)),VLOOKUP(A1701,QW_Close!A:J,5,0),"")</f>
        <v/>
      </c>
      <c r="H1701" s="5" t="str" cm="1">
        <f t="array" ref="H1701">IF(NOT(ISBLANK(A1701)),((_xlfn.XLOOKUP(1,(_bbt3[[#All],[ID]]=A1701)*(_bbt3[[#All],[METRIC_NAME]]="YLD_YTM_ASK"),_bbt3[[#All],[METRIC_VALUE]])*0.5)+(_xlfn.XLOOKUP(1,(_bbt3[[#All],[ID]]=A1701)*(_bbt3[[#All],[METRIC_NAME]]="YLD_YTM_BID"),_bbt3[[#All],[METRIC_VALUE]])*0.5))/100,"")</f>
        <v/>
      </c>
      <c r="I1701">
        <f>IF(ISNA(VLOOKUP(A1701,QW_CloseDL!A:E,5,0)),0,VLOOKUP(A1701,QW_CloseDL!A:E,5,0))</f>
        <v>0</v>
      </c>
      <c r="J1701" s="8" t="str">
        <f t="shared" si="116"/>
        <v/>
      </c>
    </row>
    <row r="1702" spans="2:10" x14ac:dyDescent="0.35">
      <c r="B1702" t="str">
        <f>IF(NOT(ISBLANK(A1702)),VLOOKUP(A1702,'BBT3'!A:F,2,0),"")</f>
        <v/>
      </c>
      <c r="C1702" t="str">
        <f>IF(NOT(ISBLANK(A1702)),VLOOKUP(A1702,'BBT3'!A:F,3,0),"")</f>
        <v/>
      </c>
      <c r="D1702" s="6" t="str">
        <f>IF(NOT(ISBLANK(A1702)),VLOOKUP(A1702,'BBT3'!A:F,4,1),"")</f>
        <v/>
      </c>
      <c r="E1702" t="str">
        <f>IF(NOT(ISBLANK(A1702)),VLOOKUP(A1702,'BBT3'!A:F,5,0),"")</f>
        <v/>
      </c>
      <c r="F1702" t="str">
        <f>IF(NOT(ISBLANK(A1702)),VLOOKUP(A1702,'BBT3'!A:F,6,0),"")</f>
        <v/>
      </c>
      <c r="G1702" t="str">
        <f>IF(NOT(ISBLANK(A1702)),VLOOKUP(A1702,QW_Close!A:J,5,0),"")</f>
        <v/>
      </c>
      <c r="H1702" s="5" t="str" cm="1">
        <f t="array" ref="H1702">IF(NOT(ISBLANK(A1702)),((_xlfn.XLOOKUP(1,(_bbt3[[#All],[ID]]=A1702)*(_bbt3[[#All],[METRIC_NAME]]="YLD_YTM_ASK"),_bbt3[[#All],[METRIC_VALUE]])*0.5)+(_xlfn.XLOOKUP(1,(_bbt3[[#All],[ID]]=A1702)*(_bbt3[[#All],[METRIC_NAME]]="YLD_YTM_BID"),_bbt3[[#All],[METRIC_VALUE]])*0.5))/100,"")</f>
        <v/>
      </c>
      <c r="I1702">
        <f>IF(ISNA(VLOOKUP(A1702,QW_CloseDL!A:E,5,0)),0,VLOOKUP(A1702,QW_CloseDL!A:E,5,0))</f>
        <v>0</v>
      </c>
      <c r="J1702" s="8" t="str">
        <f t="shared" si="116"/>
        <v/>
      </c>
    </row>
    <row r="1703" spans="2:10" x14ac:dyDescent="0.35">
      <c r="B1703" t="str">
        <f>IF(NOT(ISBLANK(A1703)),VLOOKUP(A1703,'BBT3'!A:F,2,0),"")</f>
        <v/>
      </c>
      <c r="C1703" t="str">
        <f>IF(NOT(ISBLANK(A1703)),VLOOKUP(A1703,'BBT3'!A:F,3,0),"")</f>
        <v/>
      </c>
      <c r="D1703" s="6" t="str">
        <f>IF(NOT(ISBLANK(A1703)),VLOOKUP(A1703,'BBT3'!A:F,4,1),"")</f>
        <v/>
      </c>
      <c r="E1703" t="str">
        <f>IF(NOT(ISBLANK(A1703)),VLOOKUP(A1703,'BBT3'!A:F,5,0),"")</f>
        <v/>
      </c>
      <c r="F1703" t="str">
        <f>IF(NOT(ISBLANK(A1703)),VLOOKUP(A1703,'BBT3'!A:F,6,0),"")</f>
        <v/>
      </c>
      <c r="G1703" t="str">
        <f>IF(NOT(ISBLANK(A1703)),VLOOKUP(A1703,QW_Close!A:J,5,0),"")</f>
        <v/>
      </c>
      <c r="H1703" s="5" t="str" cm="1">
        <f t="array" ref="H1703">IF(NOT(ISBLANK(A1703)),((_xlfn.XLOOKUP(1,(_bbt3[[#All],[ID]]=A1703)*(_bbt3[[#All],[METRIC_NAME]]="YLD_YTM_ASK"),_bbt3[[#All],[METRIC_VALUE]])*0.5)+(_xlfn.XLOOKUP(1,(_bbt3[[#All],[ID]]=A1703)*(_bbt3[[#All],[METRIC_NAME]]="YLD_YTM_BID"),_bbt3[[#All],[METRIC_VALUE]])*0.5))/100,"")</f>
        <v/>
      </c>
      <c r="I1703">
        <f>IF(ISNA(VLOOKUP(A1703,QW_CloseDL!A:E,5,0)),0,VLOOKUP(A1703,QW_CloseDL!A:E,5,0))</f>
        <v>0</v>
      </c>
      <c r="J1703" s="8" t="str">
        <f t="shared" si="116"/>
        <v/>
      </c>
    </row>
    <row r="1704" spans="2:10" x14ac:dyDescent="0.35">
      <c r="B1704" t="str">
        <f>IF(NOT(ISBLANK(A1704)),VLOOKUP(A1704,'BBT3'!A:F,2,0),"")</f>
        <v/>
      </c>
      <c r="C1704" t="str">
        <f>IF(NOT(ISBLANK(A1704)),VLOOKUP(A1704,'BBT3'!A:F,3,0),"")</f>
        <v/>
      </c>
      <c r="D1704" s="6" t="str">
        <f>IF(NOT(ISBLANK(A1704)),VLOOKUP(A1704,'BBT3'!A:F,4,1),"")</f>
        <v/>
      </c>
      <c r="E1704" t="str">
        <f>IF(NOT(ISBLANK(A1704)),VLOOKUP(A1704,'BBT3'!A:F,5,0),"")</f>
        <v/>
      </c>
      <c r="F1704" t="str">
        <f>IF(NOT(ISBLANK(A1704)),VLOOKUP(A1704,'BBT3'!A:F,6,0),"")</f>
        <v/>
      </c>
      <c r="G1704" t="str">
        <f>IF(NOT(ISBLANK(A1704)),VLOOKUP(A1704,QW_Close!A:J,5,0),"")</f>
        <v/>
      </c>
      <c r="H1704" s="5" t="str" cm="1">
        <f t="array" ref="H1704">IF(NOT(ISBLANK(A1704)),((_xlfn.XLOOKUP(1,(_bbt3[[#All],[ID]]=A1704)*(_bbt3[[#All],[METRIC_NAME]]="YLD_YTM_ASK"),_bbt3[[#All],[METRIC_VALUE]])*0.5)+(_xlfn.XLOOKUP(1,(_bbt3[[#All],[ID]]=A1704)*(_bbt3[[#All],[METRIC_NAME]]="YLD_YTM_BID"),_bbt3[[#All],[METRIC_VALUE]])*0.5))/100,"")</f>
        <v/>
      </c>
      <c r="I1704">
        <f>IF(ISNA(VLOOKUP(A1704,QW_CloseDL!A:E,5,0)),0,VLOOKUP(A1704,QW_CloseDL!A:E,5,0))</f>
        <v>0</v>
      </c>
      <c r="J1704" s="8" t="str">
        <f t="shared" si="116"/>
        <v/>
      </c>
    </row>
    <row r="1705" spans="2:10" x14ac:dyDescent="0.35">
      <c r="B1705" t="str">
        <f>IF(NOT(ISBLANK(A1705)),VLOOKUP(A1705,'BBT3'!A:F,2,0),"")</f>
        <v/>
      </c>
      <c r="C1705" t="str">
        <f>IF(NOT(ISBLANK(A1705)),VLOOKUP(A1705,'BBT3'!A:F,3,0),"")</f>
        <v/>
      </c>
      <c r="D1705" s="6" t="str">
        <f>IF(NOT(ISBLANK(A1705)),VLOOKUP(A1705,'BBT3'!A:F,4,1),"")</f>
        <v/>
      </c>
      <c r="E1705" t="str">
        <f>IF(NOT(ISBLANK(A1705)),VLOOKUP(A1705,'BBT3'!A:F,5,0),"")</f>
        <v/>
      </c>
      <c r="F1705" t="str">
        <f>IF(NOT(ISBLANK(A1705)),VLOOKUP(A1705,'BBT3'!A:F,6,0),"")</f>
        <v/>
      </c>
      <c r="G1705" t="str">
        <f>IF(NOT(ISBLANK(A1705)),VLOOKUP(A1705,QW_Close!A:J,5,0),"")</f>
        <v/>
      </c>
      <c r="H1705" s="5" t="str" cm="1">
        <f t="array" ref="H1705">IF(NOT(ISBLANK(A1705)),((_xlfn.XLOOKUP(1,(_bbt3[[#All],[ID]]=A1705)*(_bbt3[[#All],[METRIC_NAME]]="YLD_YTM_ASK"),_bbt3[[#All],[METRIC_VALUE]])*0.5)+(_xlfn.XLOOKUP(1,(_bbt3[[#All],[ID]]=A1705)*(_bbt3[[#All],[METRIC_NAME]]="YLD_YTM_BID"),_bbt3[[#All],[METRIC_VALUE]])*0.5))/100,"")</f>
        <v/>
      </c>
      <c r="I1705">
        <f>IF(ISNA(VLOOKUP(A1705,QW_CloseDL!A:E,5,0)),0,VLOOKUP(A1705,QW_CloseDL!A:E,5,0))</f>
        <v>0</v>
      </c>
      <c r="J1705" s="8" t="str">
        <f t="shared" si="116"/>
        <v/>
      </c>
    </row>
    <row r="1706" spans="2:10" x14ac:dyDescent="0.35">
      <c r="B1706" t="str">
        <f>IF(NOT(ISBLANK(A1706)),VLOOKUP(A1706,'BBT3'!A:F,2,0),"")</f>
        <v/>
      </c>
      <c r="C1706" t="str">
        <f>IF(NOT(ISBLANK(A1706)),VLOOKUP(A1706,'BBT3'!A:F,3,0),"")</f>
        <v/>
      </c>
      <c r="D1706" s="6" t="str">
        <f>IF(NOT(ISBLANK(A1706)),VLOOKUP(A1706,'BBT3'!A:F,4,1),"")</f>
        <v/>
      </c>
      <c r="E1706" t="str">
        <f>IF(NOT(ISBLANK(A1706)),VLOOKUP(A1706,'BBT3'!A:F,5,0),"")</f>
        <v/>
      </c>
      <c r="F1706" t="str">
        <f>IF(NOT(ISBLANK(A1706)),VLOOKUP(A1706,'BBT3'!A:F,6,0),"")</f>
        <v/>
      </c>
      <c r="G1706" t="str">
        <f>IF(NOT(ISBLANK(A1706)),VLOOKUP(A1706,QW_Close!A:J,5,0),"")</f>
        <v/>
      </c>
      <c r="H1706" s="5" t="str" cm="1">
        <f t="array" ref="H1706">IF(NOT(ISBLANK(A1706)),((_xlfn.XLOOKUP(1,(_bbt3[[#All],[ID]]=A1706)*(_bbt3[[#All],[METRIC_NAME]]="YLD_YTM_ASK"),_bbt3[[#All],[METRIC_VALUE]])*0.5)+(_xlfn.XLOOKUP(1,(_bbt3[[#All],[ID]]=A1706)*(_bbt3[[#All],[METRIC_NAME]]="YLD_YTM_BID"),_bbt3[[#All],[METRIC_VALUE]])*0.5))/100,"")</f>
        <v/>
      </c>
      <c r="I1706">
        <f>IF(ISNA(VLOOKUP(A1706,QW_CloseDL!A:E,5,0)),0,VLOOKUP(A1706,QW_CloseDL!A:E,5,0))</f>
        <v>0</v>
      </c>
      <c r="J1706" s="8" t="str">
        <f t="shared" si="116"/>
        <v/>
      </c>
    </row>
    <row r="1707" spans="2:10" x14ac:dyDescent="0.35">
      <c r="B1707" t="str">
        <f>IF(NOT(ISBLANK(A1707)),VLOOKUP(A1707,'BBT3'!A:F,2,0),"")</f>
        <v/>
      </c>
      <c r="C1707" t="str">
        <f>IF(NOT(ISBLANK(A1707)),VLOOKUP(A1707,'BBT3'!A:F,3,0),"")</f>
        <v/>
      </c>
      <c r="D1707" s="6" t="str">
        <f>IF(NOT(ISBLANK(A1707)),VLOOKUP(A1707,'BBT3'!A:F,4,1),"")</f>
        <v/>
      </c>
      <c r="E1707" t="str">
        <f>IF(NOT(ISBLANK(A1707)),VLOOKUP(A1707,'BBT3'!A:F,5,0),"")</f>
        <v/>
      </c>
      <c r="F1707" t="str">
        <f>IF(NOT(ISBLANK(A1707)),VLOOKUP(A1707,'BBT3'!A:F,6,0),"")</f>
        <v/>
      </c>
      <c r="G1707" t="str">
        <f>IF(NOT(ISBLANK(A1707)),VLOOKUP(A1707,QW_Close!A:J,5,0),"")</f>
        <v/>
      </c>
      <c r="H1707" s="5" t="str" cm="1">
        <f t="array" ref="H1707">IF(NOT(ISBLANK(A1707)),((_xlfn.XLOOKUP(1,(_bbt3[[#All],[ID]]=A1707)*(_bbt3[[#All],[METRIC_NAME]]="YLD_YTM_ASK"),_bbt3[[#All],[METRIC_VALUE]])*0.5)+(_xlfn.XLOOKUP(1,(_bbt3[[#All],[ID]]=A1707)*(_bbt3[[#All],[METRIC_NAME]]="YLD_YTM_BID"),_bbt3[[#All],[METRIC_VALUE]])*0.5))/100,"")</f>
        <v/>
      </c>
      <c r="I1707">
        <f>IF(ISNA(VLOOKUP(A1707,QW_CloseDL!A:E,5,0)),0,VLOOKUP(A1707,QW_CloseDL!A:E,5,0))</f>
        <v>0</v>
      </c>
      <c r="J1707" s="8" t="str">
        <f t="shared" si="116"/>
        <v/>
      </c>
    </row>
    <row r="1708" spans="2:10" x14ac:dyDescent="0.35">
      <c r="B1708" t="str">
        <f>IF(NOT(ISBLANK(A1708)),VLOOKUP(A1708,'BBT3'!A:F,2,0),"")</f>
        <v/>
      </c>
      <c r="C1708" t="str">
        <f>IF(NOT(ISBLANK(A1708)),VLOOKUP(A1708,'BBT3'!A:F,3,0),"")</f>
        <v/>
      </c>
      <c r="D1708" s="6" t="str">
        <f>IF(NOT(ISBLANK(A1708)),VLOOKUP(A1708,'BBT3'!A:F,4,1),"")</f>
        <v/>
      </c>
      <c r="E1708" t="str">
        <f>IF(NOT(ISBLANK(A1708)),VLOOKUP(A1708,'BBT3'!A:F,5,0),"")</f>
        <v/>
      </c>
      <c r="F1708" t="str">
        <f>IF(NOT(ISBLANK(A1708)),VLOOKUP(A1708,'BBT3'!A:F,6,0),"")</f>
        <v/>
      </c>
      <c r="G1708" t="str">
        <f>IF(NOT(ISBLANK(A1708)),VLOOKUP(A1708,QW_Close!A:J,5,0),"")</f>
        <v/>
      </c>
      <c r="H1708" s="5" t="str" cm="1">
        <f t="array" ref="H1708">IF(NOT(ISBLANK(A1708)),((_xlfn.XLOOKUP(1,(_bbt3[[#All],[ID]]=A1708)*(_bbt3[[#All],[METRIC_NAME]]="YLD_YTM_ASK"),_bbt3[[#All],[METRIC_VALUE]])*0.5)+(_xlfn.XLOOKUP(1,(_bbt3[[#All],[ID]]=A1708)*(_bbt3[[#All],[METRIC_NAME]]="YLD_YTM_BID"),_bbt3[[#All],[METRIC_VALUE]])*0.5))/100,"")</f>
        <v/>
      </c>
      <c r="I1708">
        <f>IF(ISNA(VLOOKUP(A1708,QW_CloseDL!A:E,5,0)),0,VLOOKUP(A1708,QW_CloseDL!A:E,5,0))</f>
        <v>0</v>
      </c>
      <c r="J1708" s="8" t="str">
        <f t="shared" si="116"/>
        <v/>
      </c>
    </row>
    <row r="1709" spans="2:10" x14ac:dyDescent="0.35">
      <c r="B1709" t="str">
        <f>IF(NOT(ISBLANK(A1709)),VLOOKUP(A1709,'BBT3'!A:F,2,0),"")</f>
        <v/>
      </c>
      <c r="C1709" t="str">
        <f>IF(NOT(ISBLANK(A1709)),VLOOKUP(A1709,'BBT3'!A:F,3,0),"")</f>
        <v/>
      </c>
      <c r="D1709" s="6" t="str">
        <f>IF(NOT(ISBLANK(A1709)),VLOOKUP(A1709,'BBT3'!A:F,4,1),"")</f>
        <v/>
      </c>
      <c r="E1709" t="str">
        <f>IF(NOT(ISBLANK(A1709)),VLOOKUP(A1709,'BBT3'!A:F,5,0),"")</f>
        <v/>
      </c>
      <c r="F1709" t="str">
        <f>IF(NOT(ISBLANK(A1709)),VLOOKUP(A1709,'BBT3'!A:F,6,0),"")</f>
        <v/>
      </c>
      <c r="G1709" t="str">
        <f>IF(NOT(ISBLANK(A1709)),VLOOKUP(A1709,QW_Close!A:J,5,0),"")</f>
        <v/>
      </c>
      <c r="H1709" s="5" t="str" cm="1">
        <f t="array" ref="H1709">IF(NOT(ISBLANK(A1709)),((_xlfn.XLOOKUP(1,(_bbt3[[#All],[ID]]=A1709)*(_bbt3[[#All],[METRIC_NAME]]="YLD_YTM_ASK"),_bbt3[[#All],[METRIC_VALUE]])*0.5)+(_xlfn.XLOOKUP(1,(_bbt3[[#All],[ID]]=A1709)*(_bbt3[[#All],[METRIC_NAME]]="YLD_YTM_BID"),_bbt3[[#All],[METRIC_VALUE]])*0.5))/100,"")</f>
        <v/>
      </c>
      <c r="I1709">
        <f>IF(ISNA(VLOOKUP(A1709,QW_CloseDL!A:E,5,0)),0,VLOOKUP(A1709,QW_CloseDL!A:E,5,0))</f>
        <v>0</v>
      </c>
      <c r="J1709" s="8" t="str">
        <f t="shared" si="116"/>
        <v/>
      </c>
    </row>
    <row r="1710" spans="2:10" x14ac:dyDescent="0.35">
      <c r="B1710" t="str">
        <f>IF(NOT(ISBLANK(A1710)),VLOOKUP(A1710,'BBT3'!A:F,2,0),"")</f>
        <v/>
      </c>
      <c r="C1710" t="str">
        <f>IF(NOT(ISBLANK(A1710)),VLOOKUP(A1710,'BBT3'!A:F,3,0),"")</f>
        <v/>
      </c>
      <c r="D1710" s="6" t="str">
        <f>IF(NOT(ISBLANK(A1710)),VLOOKUP(A1710,'BBT3'!A:F,4,1),"")</f>
        <v/>
      </c>
      <c r="E1710" t="str">
        <f>IF(NOT(ISBLANK(A1710)),VLOOKUP(A1710,'BBT3'!A:F,5,0),"")</f>
        <v/>
      </c>
      <c r="F1710" t="str">
        <f>IF(NOT(ISBLANK(A1710)),VLOOKUP(A1710,'BBT3'!A:F,6,0),"")</f>
        <v/>
      </c>
      <c r="G1710" t="str">
        <f>IF(NOT(ISBLANK(A1710)),VLOOKUP(A1710,QW_Close!A:J,5,0),"")</f>
        <v/>
      </c>
      <c r="H1710" s="5" t="str" cm="1">
        <f t="array" ref="H1710">IF(NOT(ISBLANK(A1710)),((_xlfn.XLOOKUP(1,(_bbt3[[#All],[ID]]=A1710)*(_bbt3[[#All],[METRIC_NAME]]="YLD_YTM_ASK"),_bbt3[[#All],[METRIC_VALUE]])*0.5)+(_xlfn.XLOOKUP(1,(_bbt3[[#All],[ID]]=A1710)*(_bbt3[[#All],[METRIC_NAME]]="YLD_YTM_BID"),_bbt3[[#All],[METRIC_VALUE]])*0.5))/100,"")</f>
        <v/>
      </c>
      <c r="I1710">
        <f>IF(ISNA(VLOOKUP(A1710,QW_CloseDL!A:E,5,0)),0,VLOOKUP(A1710,QW_CloseDL!A:E,5,0))</f>
        <v>0</v>
      </c>
      <c r="J1710" s="8" t="str">
        <f t="shared" si="116"/>
        <v/>
      </c>
    </row>
    <row r="1711" spans="2:10" x14ac:dyDescent="0.35">
      <c r="B1711" t="str">
        <f>IF(NOT(ISBLANK(A1711)),VLOOKUP(A1711,'BBT3'!A:F,2,0),"")</f>
        <v/>
      </c>
      <c r="C1711" t="str">
        <f>IF(NOT(ISBLANK(A1711)),VLOOKUP(A1711,'BBT3'!A:F,3,0),"")</f>
        <v/>
      </c>
      <c r="D1711" s="6" t="str">
        <f>IF(NOT(ISBLANK(A1711)),VLOOKUP(A1711,'BBT3'!A:F,4,1),"")</f>
        <v/>
      </c>
      <c r="E1711" t="str">
        <f>IF(NOT(ISBLANK(A1711)),VLOOKUP(A1711,'BBT3'!A:F,5,0),"")</f>
        <v/>
      </c>
      <c r="F1711" t="str">
        <f>IF(NOT(ISBLANK(A1711)),VLOOKUP(A1711,'BBT3'!A:F,6,0),"")</f>
        <v/>
      </c>
      <c r="G1711" t="str">
        <f>IF(NOT(ISBLANK(A1711)),VLOOKUP(A1711,QW_Close!A:J,5,0),"")</f>
        <v/>
      </c>
      <c r="H1711" s="5" t="str" cm="1">
        <f t="array" ref="H1711">IF(NOT(ISBLANK(A1711)),((_xlfn.XLOOKUP(1,(_bbt3[[#All],[ID]]=A1711)*(_bbt3[[#All],[METRIC_NAME]]="YLD_YTM_ASK"),_bbt3[[#All],[METRIC_VALUE]])*0.5)+(_xlfn.XLOOKUP(1,(_bbt3[[#All],[ID]]=A1711)*(_bbt3[[#All],[METRIC_NAME]]="YLD_YTM_BID"),_bbt3[[#All],[METRIC_VALUE]])*0.5))/100,"")</f>
        <v/>
      </c>
      <c r="I1711">
        <f>IF(ISNA(VLOOKUP(A1711,QW_CloseDL!A:E,5,0)),0,VLOOKUP(A1711,QW_CloseDL!A:E,5,0))</f>
        <v>0</v>
      </c>
      <c r="J1711" s="8" t="str">
        <f t="shared" si="116"/>
        <v/>
      </c>
    </row>
    <row r="1712" spans="2:10" x14ac:dyDescent="0.35">
      <c r="B1712" t="str">
        <f>IF(NOT(ISBLANK(A1712)),VLOOKUP(A1712,'BBT3'!A:F,2,0),"")</f>
        <v/>
      </c>
      <c r="C1712" t="str">
        <f>IF(NOT(ISBLANK(A1712)),VLOOKUP(A1712,'BBT3'!A:F,3,0),"")</f>
        <v/>
      </c>
      <c r="D1712" s="6" t="str">
        <f>IF(NOT(ISBLANK(A1712)),VLOOKUP(A1712,'BBT3'!A:F,4,1),"")</f>
        <v/>
      </c>
      <c r="E1712" t="str">
        <f>IF(NOT(ISBLANK(A1712)),VLOOKUP(A1712,'BBT3'!A:F,5,0),"")</f>
        <v/>
      </c>
      <c r="F1712" t="str">
        <f>IF(NOT(ISBLANK(A1712)),VLOOKUP(A1712,'BBT3'!A:F,6,0),"")</f>
        <v/>
      </c>
      <c r="G1712" t="str">
        <f>IF(NOT(ISBLANK(A1712)),VLOOKUP(A1712,QW_Close!A:J,5,0),"")</f>
        <v/>
      </c>
      <c r="H1712" s="5" t="str" cm="1">
        <f t="array" ref="H1712">IF(NOT(ISBLANK(A1712)),((_xlfn.XLOOKUP(1,(_bbt3[[#All],[ID]]=A1712)*(_bbt3[[#All],[METRIC_NAME]]="YLD_YTM_ASK"),_bbt3[[#All],[METRIC_VALUE]])*0.5)+(_xlfn.XLOOKUP(1,(_bbt3[[#All],[ID]]=A1712)*(_bbt3[[#All],[METRIC_NAME]]="YLD_YTM_BID"),_bbt3[[#All],[METRIC_VALUE]])*0.5))/100,"")</f>
        <v/>
      </c>
      <c r="I1712">
        <f>IF(ISNA(VLOOKUP(A1712,QW_CloseDL!A:E,5,0)),0,VLOOKUP(A1712,QW_CloseDL!A:E,5,0))</f>
        <v>0</v>
      </c>
      <c r="J1712" s="8" t="str">
        <f t="shared" si="116"/>
        <v/>
      </c>
    </row>
    <row r="1713" spans="2:10" x14ac:dyDescent="0.35">
      <c r="B1713" t="str">
        <f>IF(NOT(ISBLANK(A1713)),VLOOKUP(A1713,'BBT3'!A:F,2,0),"")</f>
        <v/>
      </c>
      <c r="C1713" t="str">
        <f>IF(NOT(ISBLANK(A1713)),VLOOKUP(A1713,'BBT3'!A:F,3,0),"")</f>
        <v/>
      </c>
      <c r="D1713" s="6" t="str">
        <f>IF(NOT(ISBLANK(A1713)),VLOOKUP(A1713,'BBT3'!A:F,4,1),"")</f>
        <v/>
      </c>
      <c r="E1713" t="str">
        <f>IF(NOT(ISBLANK(A1713)),VLOOKUP(A1713,'BBT3'!A:F,5,0),"")</f>
        <v/>
      </c>
      <c r="F1713" t="str">
        <f>IF(NOT(ISBLANK(A1713)),VLOOKUP(A1713,'BBT3'!A:F,6,0),"")</f>
        <v/>
      </c>
      <c r="G1713" t="str">
        <f>IF(NOT(ISBLANK(A1713)),VLOOKUP(A1713,QW_Close!A:J,5,0),"")</f>
        <v/>
      </c>
      <c r="H1713" s="5" t="str" cm="1">
        <f t="array" ref="H1713">IF(NOT(ISBLANK(A1713)),((_xlfn.XLOOKUP(1,(_bbt3[[#All],[ID]]=A1713)*(_bbt3[[#All],[METRIC_NAME]]="YLD_YTM_ASK"),_bbt3[[#All],[METRIC_VALUE]])*0.5)+(_xlfn.XLOOKUP(1,(_bbt3[[#All],[ID]]=A1713)*(_bbt3[[#All],[METRIC_NAME]]="YLD_YTM_BID"),_bbt3[[#All],[METRIC_VALUE]])*0.5))/100,"")</f>
        <v/>
      </c>
      <c r="I1713">
        <f>IF(ISNA(VLOOKUP(A1713,QW_CloseDL!A:E,5,0)),0,VLOOKUP(A1713,QW_CloseDL!A:E,5,0))</f>
        <v>0</v>
      </c>
      <c r="J1713" s="8" t="str">
        <f t="shared" si="116"/>
        <v/>
      </c>
    </row>
    <row r="1714" spans="2:10" x14ac:dyDescent="0.35">
      <c r="B1714" t="str">
        <f>IF(NOT(ISBLANK(A1714)),VLOOKUP(A1714,'BBT3'!A:F,2,0),"")</f>
        <v/>
      </c>
      <c r="C1714" t="str">
        <f>IF(NOT(ISBLANK(A1714)),VLOOKUP(A1714,'BBT3'!A:F,3,0),"")</f>
        <v/>
      </c>
      <c r="D1714" s="6" t="str">
        <f>IF(NOT(ISBLANK(A1714)),VLOOKUP(A1714,'BBT3'!A:F,4,1),"")</f>
        <v/>
      </c>
      <c r="E1714" t="str">
        <f>IF(NOT(ISBLANK(A1714)),VLOOKUP(A1714,'BBT3'!A:F,5,0),"")</f>
        <v/>
      </c>
      <c r="F1714" t="str">
        <f>IF(NOT(ISBLANK(A1714)),VLOOKUP(A1714,'BBT3'!A:F,6,0),"")</f>
        <v/>
      </c>
      <c r="G1714" t="str">
        <f>IF(NOT(ISBLANK(A1714)),VLOOKUP(A1714,QW_Close!A:J,5,0),"")</f>
        <v/>
      </c>
      <c r="H1714" s="5" t="str" cm="1">
        <f t="array" ref="H1714">IF(NOT(ISBLANK(A1714)),((_xlfn.XLOOKUP(1,(_bbt3[[#All],[ID]]=A1714)*(_bbt3[[#All],[METRIC_NAME]]="YLD_YTM_ASK"),_bbt3[[#All],[METRIC_VALUE]])*0.5)+(_xlfn.XLOOKUP(1,(_bbt3[[#All],[ID]]=A1714)*(_bbt3[[#All],[METRIC_NAME]]="YLD_YTM_BID"),_bbt3[[#All],[METRIC_VALUE]])*0.5))/100,"")</f>
        <v/>
      </c>
      <c r="I1714">
        <f>IF(ISNA(VLOOKUP(A1714,QW_CloseDL!A:E,5,0)),0,VLOOKUP(A1714,QW_CloseDL!A:E,5,0))</f>
        <v>0</v>
      </c>
      <c r="J1714" s="8" t="str">
        <f t="shared" si="116"/>
        <v/>
      </c>
    </row>
    <row r="1715" spans="2:10" x14ac:dyDescent="0.35">
      <c r="B1715" t="str">
        <f>IF(NOT(ISBLANK(A1715)),VLOOKUP(A1715,'BBT3'!A:F,2,0),"")</f>
        <v/>
      </c>
      <c r="C1715" t="str">
        <f>IF(NOT(ISBLANK(A1715)),VLOOKUP(A1715,'BBT3'!A:F,3,0),"")</f>
        <v/>
      </c>
      <c r="D1715" s="6" t="str">
        <f>IF(NOT(ISBLANK(A1715)),VLOOKUP(A1715,'BBT3'!A:F,4,1),"")</f>
        <v/>
      </c>
      <c r="E1715" t="str">
        <f>IF(NOT(ISBLANK(A1715)),VLOOKUP(A1715,'BBT3'!A:F,5,0),"")</f>
        <v/>
      </c>
      <c r="F1715" t="str">
        <f>IF(NOT(ISBLANK(A1715)),VLOOKUP(A1715,'BBT3'!A:F,6,0),"")</f>
        <v/>
      </c>
      <c r="G1715" t="str">
        <f>IF(NOT(ISBLANK(A1715)),VLOOKUP(A1715,QW_Close!A:J,5,0),"")</f>
        <v/>
      </c>
      <c r="H1715" s="5" t="str" cm="1">
        <f t="array" ref="H1715">IF(NOT(ISBLANK(A1715)),((_xlfn.XLOOKUP(1,(_bbt3[[#All],[ID]]=A1715)*(_bbt3[[#All],[METRIC_NAME]]="YLD_YTM_ASK"),_bbt3[[#All],[METRIC_VALUE]])*0.5)+(_xlfn.XLOOKUP(1,(_bbt3[[#All],[ID]]=A1715)*(_bbt3[[#All],[METRIC_NAME]]="YLD_YTM_BID"),_bbt3[[#All],[METRIC_VALUE]])*0.5))/100,"")</f>
        <v/>
      </c>
      <c r="I1715">
        <f>IF(ISNA(VLOOKUP(A1715,QW_CloseDL!A:E,5,0)),0,VLOOKUP(A1715,QW_CloseDL!A:E,5,0))</f>
        <v>0</v>
      </c>
      <c r="J1715" s="8" t="str">
        <f t="shared" si="116"/>
        <v/>
      </c>
    </row>
    <row r="1716" spans="2:10" x14ac:dyDescent="0.35">
      <c r="B1716" t="str">
        <f>IF(NOT(ISBLANK(A1716)),VLOOKUP(A1716,'BBT3'!A:F,2,0),"")</f>
        <v/>
      </c>
      <c r="C1716" t="str">
        <f>IF(NOT(ISBLANK(A1716)),VLOOKUP(A1716,'BBT3'!A:F,3,0),"")</f>
        <v/>
      </c>
      <c r="D1716" s="6" t="str">
        <f>IF(NOT(ISBLANK(A1716)),VLOOKUP(A1716,'BBT3'!A:F,4,1),"")</f>
        <v/>
      </c>
      <c r="E1716" t="str">
        <f>IF(NOT(ISBLANK(A1716)),VLOOKUP(A1716,'BBT3'!A:F,5,0),"")</f>
        <v/>
      </c>
      <c r="F1716" t="str">
        <f>IF(NOT(ISBLANK(A1716)),VLOOKUP(A1716,'BBT3'!A:F,6,0),"")</f>
        <v/>
      </c>
      <c r="G1716" t="str">
        <f>IF(NOT(ISBLANK(A1716)),VLOOKUP(A1716,QW_Close!A:J,5,0),"")</f>
        <v/>
      </c>
      <c r="H1716" s="5" t="str" cm="1">
        <f t="array" ref="H1716">IF(NOT(ISBLANK(A1716)),((_xlfn.XLOOKUP(1,(_bbt3[[#All],[ID]]=A1716)*(_bbt3[[#All],[METRIC_NAME]]="YLD_YTM_ASK"),_bbt3[[#All],[METRIC_VALUE]])*0.5)+(_xlfn.XLOOKUP(1,(_bbt3[[#All],[ID]]=A1716)*(_bbt3[[#All],[METRIC_NAME]]="YLD_YTM_BID"),_bbt3[[#All],[METRIC_VALUE]])*0.5))/100,"")</f>
        <v/>
      </c>
      <c r="I1716">
        <f>IF(ISNA(VLOOKUP(A1716,QW_CloseDL!A:E,5,0)),0,VLOOKUP(A1716,QW_CloseDL!A:E,5,0))</f>
        <v>0</v>
      </c>
      <c r="J1716" s="8" t="str">
        <f t="shared" si="116"/>
        <v/>
      </c>
    </row>
    <row r="1717" spans="2:10" x14ac:dyDescent="0.35">
      <c r="B1717" t="str">
        <f>IF(NOT(ISBLANK(A1717)),VLOOKUP(A1717,'BBT3'!A:F,2,0),"")</f>
        <v/>
      </c>
      <c r="C1717" t="str">
        <f>IF(NOT(ISBLANK(A1717)),VLOOKUP(A1717,'BBT3'!A:F,3,0),"")</f>
        <v/>
      </c>
      <c r="D1717" s="6" t="str">
        <f>IF(NOT(ISBLANK(A1717)),VLOOKUP(A1717,'BBT3'!A:F,4,1),"")</f>
        <v/>
      </c>
      <c r="E1717" t="str">
        <f>IF(NOT(ISBLANK(A1717)),VLOOKUP(A1717,'BBT3'!A:F,5,0),"")</f>
        <v/>
      </c>
      <c r="F1717" t="str">
        <f>IF(NOT(ISBLANK(A1717)),VLOOKUP(A1717,'BBT3'!A:F,6,0),"")</f>
        <v/>
      </c>
      <c r="G1717" t="str">
        <f>IF(NOT(ISBLANK(A1717)),VLOOKUP(A1717,QW_Close!A:J,5,0),"")</f>
        <v/>
      </c>
      <c r="H1717" s="5" t="str" cm="1">
        <f t="array" ref="H1717">IF(NOT(ISBLANK(A1717)),((_xlfn.XLOOKUP(1,(_bbt3[[#All],[ID]]=A1717)*(_bbt3[[#All],[METRIC_NAME]]="YLD_YTM_ASK"),_bbt3[[#All],[METRIC_VALUE]])*0.5)+(_xlfn.XLOOKUP(1,(_bbt3[[#All],[ID]]=A1717)*(_bbt3[[#All],[METRIC_NAME]]="YLD_YTM_BID"),_bbt3[[#All],[METRIC_VALUE]])*0.5))/100,"")</f>
        <v/>
      </c>
      <c r="I1717">
        <f>IF(ISNA(VLOOKUP(A1717,QW_CloseDL!A:E,5,0)),0,VLOOKUP(A1717,QW_CloseDL!A:E,5,0))</f>
        <v>0</v>
      </c>
      <c r="J1717" s="8" t="str">
        <f t="shared" si="116"/>
        <v/>
      </c>
    </row>
    <row r="1718" spans="2:10" x14ac:dyDescent="0.35">
      <c r="B1718" t="str">
        <f>IF(NOT(ISBLANK(A1718)),VLOOKUP(A1718,'BBT3'!A:F,2,0),"")</f>
        <v/>
      </c>
      <c r="C1718" t="str">
        <f>IF(NOT(ISBLANK(A1718)),VLOOKUP(A1718,'BBT3'!A:F,3,0),"")</f>
        <v/>
      </c>
      <c r="D1718" s="6" t="str">
        <f>IF(NOT(ISBLANK(A1718)),VLOOKUP(A1718,'BBT3'!A:F,4,1),"")</f>
        <v/>
      </c>
      <c r="E1718" t="str">
        <f>IF(NOT(ISBLANK(A1718)),VLOOKUP(A1718,'BBT3'!A:F,5,0),"")</f>
        <v/>
      </c>
      <c r="F1718" t="str">
        <f>IF(NOT(ISBLANK(A1718)),VLOOKUP(A1718,'BBT3'!A:F,6,0),"")</f>
        <v/>
      </c>
      <c r="G1718" t="str">
        <f>IF(NOT(ISBLANK(A1718)),VLOOKUP(A1718,QW_Close!A:J,5,0),"")</f>
        <v/>
      </c>
      <c r="H1718" s="5" t="str" cm="1">
        <f t="array" ref="H1718">IF(NOT(ISBLANK(A1718)),((_xlfn.XLOOKUP(1,(_bbt3[[#All],[ID]]=A1718)*(_bbt3[[#All],[METRIC_NAME]]="YLD_YTM_ASK"),_bbt3[[#All],[METRIC_VALUE]])*0.5)+(_xlfn.XLOOKUP(1,(_bbt3[[#All],[ID]]=A1718)*(_bbt3[[#All],[METRIC_NAME]]="YLD_YTM_BID"),_bbt3[[#All],[METRIC_VALUE]])*0.5))/100,"")</f>
        <v/>
      </c>
      <c r="I1718">
        <f>IF(ISNA(VLOOKUP(A1718,QW_CloseDL!A:E,5,0)),0,VLOOKUP(A1718,QW_CloseDL!A:E,5,0))</f>
        <v>0</v>
      </c>
      <c r="J1718" s="8" t="str">
        <f t="shared" si="116"/>
        <v/>
      </c>
    </row>
    <row r="1719" spans="2:10" x14ac:dyDescent="0.35">
      <c r="B1719" t="str">
        <f>IF(NOT(ISBLANK(A1719)),VLOOKUP(A1719,'BBT3'!A:F,2,0),"")</f>
        <v/>
      </c>
      <c r="C1719" t="str">
        <f>IF(NOT(ISBLANK(A1719)),VLOOKUP(A1719,'BBT3'!A:F,3,0),"")</f>
        <v/>
      </c>
      <c r="D1719" s="6" t="str">
        <f>IF(NOT(ISBLANK(A1719)),VLOOKUP(A1719,'BBT3'!A:F,4,1),"")</f>
        <v/>
      </c>
      <c r="E1719" t="str">
        <f>IF(NOT(ISBLANK(A1719)),VLOOKUP(A1719,'BBT3'!A:F,5,0),"")</f>
        <v/>
      </c>
      <c r="F1719" t="str">
        <f>IF(NOT(ISBLANK(A1719)),VLOOKUP(A1719,'BBT3'!A:F,6,0),"")</f>
        <v/>
      </c>
      <c r="G1719" t="str">
        <f>IF(NOT(ISBLANK(A1719)),VLOOKUP(A1719,QW_Close!A:J,5,0),"")</f>
        <v/>
      </c>
      <c r="H1719" s="5" t="str" cm="1">
        <f t="array" ref="H1719">IF(NOT(ISBLANK(A1719)),((_xlfn.XLOOKUP(1,(_bbt3[[#All],[ID]]=A1719)*(_bbt3[[#All],[METRIC_NAME]]="YLD_YTM_ASK"),_bbt3[[#All],[METRIC_VALUE]])*0.5)+(_xlfn.XLOOKUP(1,(_bbt3[[#All],[ID]]=A1719)*(_bbt3[[#All],[METRIC_NAME]]="YLD_YTM_BID"),_bbt3[[#All],[METRIC_VALUE]])*0.5))/100,"")</f>
        <v/>
      </c>
      <c r="I1719">
        <f>IF(ISNA(VLOOKUP(A1719,QW_CloseDL!A:E,5,0)),0,VLOOKUP(A1719,QW_CloseDL!A:E,5,0))</f>
        <v>0</v>
      </c>
      <c r="J1719" s="8" t="str">
        <f t="shared" si="116"/>
        <v/>
      </c>
    </row>
    <row r="1720" spans="2:10" x14ac:dyDescent="0.35">
      <c r="B1720" t="str">
        <f>IF(NOT(ISBLANK(A1720)),VLOOKUP(A1720,'BBT3'!A:F,2,0),"")</f>
        <v/>
      </c>
      <c r="C1720" t="str">
        <f>IF(NOT(ISBLANK(A1720)),VLOOKUP(A1720,'BBT3'!A:F,3,0),"")</f>
        <v/>
      </c>
      <c r="D1720" s="6" t="str">
        <f>IF(NOT(ISBLANK(A1720)),VLOOKUP(A1720,'BBT3'!A:F,4,1),"")</f>
        <v/>
      </c>
      <c r="E1720" t="str">
        <f>IF(NOT(ISBLANK(A1720)),VLOOKUP(A1720,'BBT3'!A:F,5,0),"")</f>
        <v/>
      </c>
      <c r="F1720" t="str">
        <f>IF(NOT(ISBLANK(A1720)),VLOOKUP(A1720,'BBT3'!A:F,6,0),"")</f>
        <v/>
      </c>
      <c r="G1720" t="str">
        <f>IF(NOT(ISBLANK(A1720)),VLOOKUP(A1720,QW_Close!A:J,5,0),"")</f>
        <v/>
      </c>
      <c r="H1720" s="5" t="str" cm="1">
        <f t="array" ref="H1720">IF(NOT(ISBLANK(A1720)),((_xlfn.XLOOKUP(1,(_bbt3[[#All],[ID]]=A1720)*(_bbt3[[#All],[METRIC_NAME]]="YLD_YTM_ASK"),_bbt3[[#All],[METRIC_VALUE]])*0.5)+(_xlfn.XLOOKUP(1,(_bbt3[[#All],[ID]]=A1720)*(_bbt3[[#All],[METRIC_NAME]]="YLD_YTM_BID"),_bbt3[[#All],[METRIC_VALUE]])*0.5))/100,"")</f>
        <v/>
      </c>
      <c r="I1720">
        <f>IF(ISNA(VLOOKUP(A1720,QW_CloseDL!A:E,5,0)),0,VLOOKUP(A1720,QW_CloseDL!A:E,5,0))</f>
        <v>0</v>
      </c>
      <c r="J1720" s="8" t="str">
        <f t="shared" si="116"/>
        <v/>
      </c>
    </row>
    <row r="1721" spans="2:10" x14ac:dyDescent="0.35">
      <c r="B1721" t="str">
        <f>IF(NOT(ISBLANK(A1721)),VLOOKUP(A1721,'BBT3'!A:F,2,0),"")</f>
        <v/>
      </c>
      <c r="C1721" t="str">
        <f>IF(NOT(ISBLANK(A1721)),VLOOKUP(A1721,'BBT3'!A:F,3,0),"")</f>
        <v/>
      </c>
      <c r="D1721" s="6" t="str">
        <f>IF(NOT(ISBLANK(A1721)),VLOOKUP(A1721,'BBT3'!A:F,4,1),"")</f>
        <v/>
      </c>
      <c r="E1721" t="str">
        <f>IF(NOT(ISBLANK(A1721)),VLOOKUP(A1721,'BBT3'!A:F,5,0),"")</f>
        <v/>
      </c>
      <c r="F1721" t="str">
        <f>IF(NOT(ISBLANK(A1721)),VLOOKUP(A1721,'BBT3'!A:F,6,0),"")</f>
        <v/>
      </c>
      <c r="G1721" t="str">
        <f>IF(NOT(ISBLANK(A1721)),VLOOKUP(A1721,QW_Close!A:J,5,0),"")</f>
        <v/>
      </c>
      <c r="H1721" s="5" t="str" cm="1">
        <f t="array" ref="H1721">IF(NOT(ISBLANK(A1721)),((_xlfn.XLOOKUP(1,(_bbt3[[#All],[ID]]=A1721)*(_bbt3[[#All],[METRIC_NAME]]="YLD_YTM_ASK"),_bbt3[[#All],[METRIC_VALUE]])*0.5)+(_xlfn.XLOOKUP(1,(_bbt3[[#All],[ID]]=A1721)*(_bbt3[[#All],[METRIC_NAME]]="YLD_YTM_BID"),_bbt3[[#All],[METRIC_VALUE]])*0.5))/100,"")</f>
        <v/>
      </c>
      <c r="I1721">
        <f>IF(ISNA(VLOOKUP(A1721,QW_CloseDL!A:E,5,0)),0,VLOOKUP(A1721,QW_CloseDL!A:E,5,0))</f>
        <v>0</v>
      </c>
      <c r="J1721" s="8" t="str">
        <f t="shared" si="116"/>
        <v/>
      </c>
    </row>
    <row r="1722" spans="2:10" x14ac:dyDescent="0.35">
      <c r="B1722" t="str">
        <f>IF(NOT(ISBLANK(A1722)),VLOOKUP(A1722,'BBT3'!A:F,2,0),"")</f>
        <v/>
      </c>
      <c r="C1722" t="str">
        <f>IF(NOT(ISBLANK(A1722)),VLOOKUP(A1722,'BBT3'!A:F,3,0),"")</f>
        <v/>
      </c>
      <c r="D1722" s="6" t="str">
        <f>IF(NOT(ISBLANK(A1722)),VLOOKUP(A1722,'BBT3'!A:F,4,1),"")</f>
        <v/>
      </c>
      <c r="E1722" t="str">
        <f>IF(NOT(ISBLANK(A1722)),VLOOKUP(A1722,'BBT3'!A:F,5,0),"")</f>
        <v/>
      </c>
      <c r="F1722" t="str">
        <f>IF(NOT(ISBLANK(A1722)),VLOOKUP(A1722,'BBT3'!A:F,6,0),"")</f>
        <v/>
      </c>
      <c r="G1722" t="str">
        <f>IF(NOT(ISBLANK(A1722)),VLOOKUP(A1722,QW_Close!A:J,5,0),"")</f>
        <v/>
      </c>
      <c r="H1722" s="5" t="str" cm="1">
        <f t="array" ref="H1722">IF(NOT(ISBLANK(A1722)),((_xlfn.XLOOKUP(1,(_bbt3[[#All],[ID]]=A1722)*(_bbt3[[#All],[METRIC_NAME]]="YLD_YTM_ASK"),_bbt3[[#All],[METRIC_VALUE]])*0.5)+(_xlfn.XLOOKUP(1,(_bbt3[[#All],[ID]]=A1722)*(_bbt3[[#All],[METRIC_NAME]]="YLD_YTM_BID"),_bbt3[[#All],[METRIC_VALUE]])*0.5))/100,"")</f>
        <v/>
      </c>
      <c r="I1722">
        <f>IF(ISNA(VLOOKUP(A1722,QW_CloseDL!A:E,5,0)),0,VLOOKUP(A1722,QW_CloseDL!A:E,5,0))</f>
        <v>0</v>
      </c>
      <c r="J1722" s="8" t="str">
        <f t="shared" si="116"/>
        <v/>
      </c>
    </row>
    <row r="1723" spans="2:10" x14ac:dyDescent="0.35">
      <c r="B1723" t="str">
        <f>IF(NOT(ISBLANK(A1723)),VLOOKUP(A1723,'BBT3'!A:F,2,0),"")</f>
        <v/>
      </c>
      <c r="C1723" t="str">
        <f>IF(NOT(ISBLANK(A1723)),VLOOKUP(A1723,'BBT3'!A:F,3,0),"")</f>
        <v/>
      </c>
      <c r="D1723" s="6" t="str">
        <f>IF(NOT(ISBLANK(A1723)),VLOOKUP(A1723,'BBT3'!A:F,4,1),"")</f>
        <v/>
      </c>
      <c r="E1723" t="str">
        <f>IF(NOT(ISBLANK(A1723)),VLOOKUP(A1723,'BBT3'!A:F,5,0),"")</f>
        <v/>
      </c>
      <c r="F1723" t="str">
        <f>IF(NOT(ISBLANK(A1723)),VLOOKUP(A1723,'BBT3'!A:F,6,0),"")</f>
        <v/>
      </c>
      <c r="G1723" t="str">
        <f>IF(NOT(ISBLANK(A1723)),VLOOKUP(A1723,QW_Close!A:J,5,0),"")</f>
        <v/>
      </c>
      <c r="H1723" s="5" t="str" cm="1">
        <f t="array" ref="H1723">IF(NOT(ISBLANK(A1723)),((_xlfn.XLOOKUP(1,(_bbt3[[#All],[ID]]=A1723)*(_bbt3[[#All],[METRIC_NAME]]="YLD_YTM_ASK"),_bbt3[[#All],[METRIC_VALUE]])*0.5)+(_xlfn.XLOOKUP(1,(_bbt3[[#All],[ID]]=A1723)*(_bbt3[[#All],[METRIC_NAME]]="YLD_YTM_BID"),_bbt3[[#All],[METRIC_VALUE]])*0.5))/100,"")</f>
        <v/>
      </c>
      <c r="I1723">
        <f>IF(ISNA(VLOOKUP(A1723,QW_CloseDL!A:E,5,0)),0,VLOOKUP(A1723,QW_CloseDL!A:E,5,0))</f>
        <v>0</v>
      </c>
      <c r="J1723" s="8" t="str">
        <f t="shared" si="116"/>
        <v/>
      </c>
    </row>
    <row r="1724" spans="2:10" x14ac:dyDescent="0.35">
      <c r="B1724" t="str">
        <f>IF(NOT(ISBLANK(A1724)),VLOOKUP(A1724,'BBT3'!A:F,2,0),"")</f>
        <v/>
      </c>
      <c r="C1724" t="str">
        <f>IF(NOT(ISBLANK(A1724)),VLOOKUP(A1724,'BBT3'!A:F,3,0),"")</f>
        <v/>
      </c>
      <c r="D1724" s="6" t="str">
        <f>IF(NOT(ISBLANK(A1724)),VLOOKUP(A1724,'BBT3'!A:F,4,1),"")</f>
        <v/>
      </c>
      <c r="E1724" t="str">
        <f>IF(NOT(ISBLANK(A1724)),VLOOKUP(A1724,'BBT3'!A:F,5,0),"")</f>
        <v/>
      </c>
      <c r="F1724" t="str">
        <f>IF(NOT(ISBLANK(A1724)),VLOOKUP(A1724,'BBT3'!A:F,6,0),"")</f>
        <v/>
      </c>
      <c r="G1724" t="str">
        <f>IF(NOT(ISBLANK(A1724)),VLOOKUP(A1724,QW_Close!A:J,5,0),"")</f>
        <v/>
      </c>
      <c r="H1724" s="5" t="str" cm="1">
        <f t="array" ref="H1724">IF(NOT(ISBLANK(A1724)),((_xlfn.XLOOKUP(1,(_bbt3[[#All],[ID]]=A1724)*(_bbt3[[#All],[METRIC_NAME]]="YLD_YTM_ASK"),_bbt3[[#All],[METRIC_VALUE]])*0.5)+(_xlfn.XLOOKUP(1,(_bbt3[[#All],[ID]]=A1724)*(_bbt3[[#All],[METRIC_NAME]]="YLD_YTM_BID"),_bbt3[[#All],[METRIC_VALUE]])*0.5))/100,"")</f>
        <v/>
      </c>
      <c r="I1724">
        <f>IF(ISNA(VLOOKUP(A1724,QW_CloseDL!A:E,5,0)),0,VLOOKUP(A1724,QW_CloseDL!A:E,5,0))</f>
        <v>0</v>
      </c>
      <c r="J1724" s="8" t="str">
        <f t="shared" si="116"/>
        <v/>
      </c>
    </row>
    <row r="1725" spans="2:10" x14ac:dyDescent="0.35">
      <c r="B1725" t="str">
        <f>IF(NOT(ISBLANK(A1725)),VLOOKUP(A1725,'BBT3'!A:F,2,0),"")</f>
        <v/>
      </c>
      <c r="C1725" t="str">
        <f>IF(NOT(ISBLANK(A1725)),VLOOKUP(A1725,'BBT3'!A:F,3,0),"")</f>
        <v/>
      </c>
      <c r="D1725" s="6" t="str">
        <f>IF(NOT(ISBLANK(A1725)),VLOOKUP(A1725,'BBT3'!A:F,4,1),"")</f>
        <v/>
      </c>
      <c r="E1725" t="str">
        <f>IF(NOT(ISBLANK(A1725)),VLOOKUP(A1725,'BBT3'!A:F,5,0),"")</f>
        <v/>
      </c>
      <c r="F1725" t="str">
        <f>IF(NOT(ISBLANK(A1725)),VLOOKUP(A1725,'BBT3'!A:F,6,0),"")</f>
        <v/>
      </c>
      <c r="G1725" t="str">
        <f>IF(NOT(ISBLANK(A1725)),VLOOKUP(A1725,QW_Close!A:J,5,0),"")</f>
        <v/>
      </c>
      <c r="H1725" s="5" t="str" cm="1">
        <f t="array" ref="H1725">IF(NOT(ISBLANK(A1725)),((_xlfn.XLOOKUP(1,(_bbt3[[#All],[ID]]=A1725)*(_bbt3[[#All],[METRIC_NAME]]="YLD_YTM_ASK"),_bbt3[[#All],[METRIC_VALUE]])*0.5)+(_xlfn.XLOOKUP(1,(_bbt3[[#All],[ID]]=A1725)*(_bbt3[[#All],[METRIC_NAME]]="YLD_YTM_BID"),_bbt3[[#All],[METRIC_VALUE]])*0.5))/100,"")</f>
        <v/>
      </c>
      <c r="I1725">
        <f>IF(ISNA(VLOOKUP(A1725,QW_CloseDL!A:E,5,0)),0,VLOOKUP(A1725,QW_CloseDL!A:E,5,0))</f>
        <v>0</v>
      </c>
      <c r="J1725" s="8" t="str">
        <f t="shared" si="116"/>
        <v/>
      </c>
    </row>
    <row r="1726" spans="2:10" x14ac:dyDescent="0.35">
      <c r="B1726" t="str">
        <f>IF(NOT(ISBLANK(A1726)),VLOOKUP(A1726,'BBT3'!A:F,2,0),"")</f>
        <v/>
      </c>
      <c r="C1726" t="str">
        <f>IF(NOT(ISBLANK(A1726)),VLOOKUP(A1726,'BBT3'!A:F,3,0),"")</f>
        <v/>
      </c>
      <c r="D1726" s="6" t="str">
        <f>IF(NOT(ISBLANK(A1726)),VLOOKUP(A1726,'BBT3'!A:F,4,1),"")</f>
        <v/>
      </c>
      <c r="E1726" t="str">
        <f>IF(NOT(ISBLANK(A1726)),VLOOKUP(A1726,'BBT3'!A:F,5,0),"")</f>
        <v/>
      </c>
      <c r="F1726" t="str">
        <f>IF(NOT(ISBLANK(A1726)),VLOOKUP(A1726,'BBT3'!A:F,6,0),"")</f>
        <v/>
      </c>
      <c r="G1726" t="str">
        <f>IF(NOT(ISBLANK(A1726)),VLOOKUP(A1726,QW_Close!A:J,5,0),"")</f>
        <v/>
      </c>
      <c r="H1726" s="5" t="str" cm="1">
        <f t="array" ref="H1726">IF(NOT(ISBLANK(A1726)),((_xlfn.XLOOKUP(1,(_bbt3[[#All],[ID]]=A1726)*(_bbt3[[#All],[METRIC_NAME]]="YLD_YTM_ASK"),_bbt3[[#All],[METRIC_VALUE]])*0.5)+(_xlfn.XLOOKUP(1,(_bbt3[[#All],[ID]]=A1726)*(_bbt3[[#All],[METRIC_NAME]]="YLD_YTM_BID"),_bbt3[[#All],[METRIC_VALUE]])*0.5))/100,"")</f>
        <v/>
      </c>
      <c r="I1726">
        <f>IF(ISNA(VLOOKUP(A1726,QW_CloseDL!A:E,5,0)),0,VLOOKUP(A1726,QW_CloseDL!A:E,5,0))</f>
        <v>0</v>
      </c>
      <c r="J1726" s="8" t="str">
        <f t="shared" si="116"/>
        <v/>
      </c>
    </row>
    <row r="1727" spans="2:10" x14ac:dyDescent="0.35">
      <c r="B1727" t="str">
        <f>IF(NOT(ISBLANK(A1727)),VLOOKUP(A1727,'BBT3'!A:F,2,0),"")</f>
        <v/>
      </c>
      <c r="C1727" t="str">
        <f>IF(NOT(ISBLANK(A1727)),VLOOKUP(A1727,'BBT3'!A:F,3,0),"")</f>
        <v/>
      </c>
      <c r="D1727" s="6" t="str">
        <f>IF(NOT(ISBLANK(A1727)),VLOOKUP(A1727,'BBT3'!A:F,4,1),"")</f>
        <v/>
      </c>
      <c r="E1727" t="str">
        <f>IF(NOT(ISBLANK(A1727)),VLOOKUP(A1727,'BBT3'!A:F,5,0),"")</f>
        <v/>
      </c>
      <c r="F1727" t="str">
        <f>IF(NOT(ISBLANK(A1727)),VLOOKUP(A1727,'BBT3'!A:F,6,0),"")</f>
        <v/>
      </c>
      <c r="G1727" t="str">
        <f>IF(NOT(ISBLANK(A1727)),VLOOKUP(A1727,QW_Close!A:J,5,0),"")</f>
        <v/>
      </c>
      <c r="H1727" s="5" t="str" cm="1">
        <f t="array" ref="H1727">IF(NOT(ISBLANK(A1727)),((_xlfn.XLOOKUP(1,(_bbt3[[#All],[ID]]=A1727)*(_bbt3[[#All],[METRIC_NAME]]="YLD_YTM_ASK"),_bbt3[[#All],[METRIC_VALUE]])*0.5)+(_xlfn.XLOOKUP(1,(_bbt3[[#All],[ID]]=A1727)*(_bbt3[[#All],[METRIC_NAME]]="YLD_YTM_BID"),_bbt3[[#All],[METRIC_VALUE]])*0.5))/100,"")</f>
        <v/>
      </c>
      <c r="I1727">
        <f>IF(ISNA(VLOOKUP(A1727,QW_CloseDL!A:E,5,0)),0,VLOOKUP(A1727,QW_CloseDL!A:E,5,0))</f>
        <v>0</v>
      </c>
      <c r="J1727" s="8" t="str">
        <f t="shared" si="116"/>
        <v/>
      </c>
    </row>
    <row r="1728" spans="2:10" x14ac:dyDescent="0.35">
      <c r="B1728" t="str">
        <f>IF(NOT(ISBLANK(A1728)),VLOOKUP(A1728,'BBT3'!A:F,2,0),"")</f>
        <v/>
      </c>
      <c r="C1728" t="str">
        <f>IF(NOT(ISBLANK(A1728)),VLOOKUP(A1728,'BBT3'!A:F,3,0),"")</f>
        <v/>
      </c>
      <c r="D1728" s="6" t="str">
        <f>IF(NOT(ISBLANK(A1728)),VLOOKUP(A1728,'BBT3'!A:F,4,1),"")</f>
        <v/>
      </c>
      <c r="E1728" t="str">
        <f>IF(NOT(ISBLANK(A1728)),VLOOKUP(A1728,'BBT3'!A:F,5,0),"")</f>
        <v/>
      </c>
      <c r="F1728" t="str">
        <f>IF(NOT(ISBLANK(A1728)),VLOOKUP(A1728,'BBT3'!A:F,6,0),"")</f>
        <v/>
      </c>
      <c r="G1728" t="str">
        <f>IF(NOT(ISBLANK(A1728)),VLOOKUP(A1728,QW_Close!A:J,5,0),"")</f>
        <v/>
      </c>
      <c r="H1728" s="5" t="str" cm="1">
        <f t="array" ref="H1728">IF(NOT(ISBLANK(A1728)),((_xlfn.XLOOKUP(1,(_bbt3[[#All],[ID]]=A1728)*(_bbt3[[#All],[METRIC_NAME]]="YLD_YTM_ASK"),_bbt3[[#All],[METRIC_VALUE]])*0.5)+(_xlfn.XLOOKUP(1,(_bbt3[[#All],[ID]]=A1728)*(_bbt3[[#All],[METRIC_NAME]]="YLD_YTM_BID"),_bbt3[[#All],[METRIC_VALUE]])*0.5))/100,"")</f>
        <v/>
      </c>
      <c r="I1728">
        <f>IF(ISNA(VLOOKUP(A1728,QW_CloseDL!A:E,5,0)),0,VLOOKUP(A1728,QW_CloseDL!A:E,5,0))</f>
        <v>0</v>
      </c>
      <c r="J1728" s="8" t="str">
        <f t="shared" si="116"/>
        <v/>
      </c>
    </row>
    <row r="1729" spans="2:10" x14ac:dyDescent="0.35">
      <c r="B1729" t="str">
        <f>IF(NOT(ISBLANK(A1729)),VLOOKUP(A1729,'BBT3'!A:F,2,0),"")</f>
        <v/>
      </c>
      <c r="C1729" t="str">
        <f>IF(NOT(ISBLANK(A1729)),VLOOKUP(A1729,'BBT3'!A:F,3,0),"")</f>
        <v/>
      </c>
      <c r="D1729" s="6" t="str">
        <f>IF(NOT(ISBLANK(A1729)),VLOOKUP(A1729,'BBT3'!A:F,4,1),"")</f>
        <v/>
      </c>
      <c r="E1729" t="str">
        <f>IF(NOT(ISBLANK(A1729)),VLOOKUP(A1729,'BBT3'!A:F,5,0),"")</f>
        <v/>
      </c>
      <c r="F1729" t="str">
        <f>IF(NOT(ISBLANK(A1729)),VLOOKUP(A1729,'BBT3'!A:F,6,0),"")</f>
        <v/>
      </c>
      <c r="G1729" t="str">
        <f>IF(NOT(ISBLANK(A1729)),VLOOKUP(A1729,QW_Close!A:J,5,0),"")</f>
        <v/>
      </c>
      <c r="H1729" s="5" t="str" cm="1">
        <f t="array" ref="H1729">IF(NOT(ISBLANK(A1729)),((_xlfn.XLOOKUP(1,(_bbt3[[#All],[ID]]=A1729)*(_bbt3[[#All],[METRIC_NAME]]="YLD_YTM_ASK"),_bbt3[[#All],[METRIC_VALUE]])*0.5)+(_xlfn.XLOOKUP(1,(_bbt3[[#All],[ID]]=A1729)*(_bbt3[[#All],[METRIC_NAME]]="YLD_YTM_BID"),_bbt3[[#All],[METRIC_VALUE]])*0.5))/100,"")</f>
        <v/>
      </c>
      <c r="I1729">
        <f>IF(ISNA(VLOOKUP(A1729,QW_CloseDL!A:E,5,0)),0,VLOOKUP(A1729,QW_CloseDL!A:E,5,0))</f>
        <v>0</v>
      </c>
      <c r="J1729" s="8" t="str">
        <f t="shared" si="116"/>
        <v/>
      </c>
    </row>
    <row r="1730" spans="2:10" x14ac:dyDescent="0.35">
      <c r="B1730" t="str">
        <f>IF(NOT(ISBLANK(A1730)),VLOOKUP(A1730,'BBT3'!A:F,2,0),"")</f>
        <v/>
      </c>
      <c r="C1730" t="str">
        <f>IF(NOT(ISBLANK(A1730)),VLOOKUP(A1730,'BBT3'!A:F,3,0),"")</f>
        <v/>
      </c>
      <c r="D1730" s="6" t="str">
        <f>IF(NOT(ISBLANK(A1730)),VLOOKUP(A1730,'BBT3'!A:F,4,1),"")</f>
        <v/>
      </c>
      <c r="E1730" t="str">
        <f>IF(NOT(ISBLANK(A1730)),VLOOKUP(A1730,'BBT3'!A:F,5,0),"")</f>
        <v/>
      </c>
      <c r="F1730" t="str">
        <f>IF(NOT(ISBLANK(A1730)),VLOOKUP(A1730,'BBT3'!A:F,6,0),"")</f>
        <v/>
      </c>
      <c r="G1730" t="str">
        <f>IF(NOT(ISBLANK(A1730)),VLOOKUP(A1730,QW_Close!A:J,5,0),"")</f>
        <v/>
      </c>
      <c r="H1730" s="5" t="str" cm="1">
        <f t="array" ref="H1730">IF(NOT(ISBLANK(A1730)),((_xlfn.XLOOKUP(1,(_bbt3[[#All],[ID]]=A1730)*(_bbt3[[#All],[METRIC_NAME]]="YLD_YTM_ASK"),_bbt3[[#All],[METRIC_VALUE]])*0.5)+(_xlfn.XLOOKUP(1,(_bbt3[[#All],[ID]]=A1730)*(_bbt3[[#All],[METRIC_NAME]]="YLD_YTM_BID"),_bbt3[[#All],[METRIC_VALUE]])*0.5))/100,"")</f>
        <v/>
      </c>
      <c r="I1730">
        <f>IF(ISNA(VLOOKUP(A1730,QW_CloseDL!A:E,5,0)),0,VLOOKUP(A1730,QW_CloseDL!A:E,5,0))</f>
        <v>0</v>
      </c>
      <c r="J1730" s="8" t="str">
        <f t="shared" si="116"/>
        <v/>
      </c>
    </row>
    <row r="1731" spans="2:10" x14ac:dyDescent="0.35">
      <c r="B1731" t="str">
        <f>IF(NOT(ISBLANK(A1731)),VLOOKUP(A1731,'BBT3'!A:F,2,0),"")</f>
        <v/>
      </c>
      <c r="C1731" t="str">
        <f>IF(NOT(ISBLANK(A1731)),VLOOKUP(A1731,'BBT3'!A:F,3,0),"")</f>
        <v/>
      </c>
      <c r="D1731" s="6" t="str">
        <f>IF(NOT(ISBLANK(A1731)),VLOOKUP(A1731,'BBT3'!A:F,4,1),"")</f>
        <v/>
      </c>
      <c r="E1731" t="str">
        <f>IF(NOT(ISBLANK(A1731)),VLOOKUP(A1731,'BBT3'!A:F,5,0),"")</f>
        <v/>
      </c>
      <c r="F1731" t="str">
        <f>IF(NOT(ISBLANK(A1731)),VLOOKUP(A1731,'BBT3'!A:F,6,0),"")</f>
        <v/>
      </c>
      <c r="G1731" t="str">
        <f>IF(NOT(ISBLANK(A1731)),VLOOKUP(A1731,QW_Close!A:J,5,0),"")</f>
        <v/>
      </c>
      <c r="H1731" s="5" t="str" cm="1">
        <f t="array" ref="H1731">IF(NOT(ISBLANK(A1731)),((_xlfn.XLOOKUP(1,(_bbt3[[#All],[ID]]=A1731)*(_bbt3[[#All],[METRIC_NAME]]="YLD_YTM_ASK"),_bbt3[[#All],[METRIC_VALUE]])*0.5)+(_xlfn.XLOOKUP(1,(_bbt3[[#All],[ID]]=A1731)*(_bbt3[[#All],[METRIC_NAME]]="YLD_YTM_BID"),_bbt3[[#All],[METRIC_VALUE]])*0.5))/100,"")</f>
        <v/>
      </c>
      <c r="I1731">
        <f>IF(ISNA(VLOOKUP(A1731,QW_CloseDL!A:E,5,0)),0,VLOOKUP(A1731,QW_CloseDL!A:E,5,0))</f>
        <v>0</v>
      </c>
      <c r="J1731" s="8" t="str">
        <f t="shared" ref="J1731:J1794" si="117">IF(ISNA(IF(NOT(ISBLANK(A1731)),ABS(G1731-I1731),"")),0,(IF(NOT(ISBLANK(A1731)),ABS(G1731-I1731)*10000,"")))</f>
        <v/>
      </c>
    </row>
    <row r="1732" spans="2:10" x14ac:dyDescent="0.35">
      <c r="B1732" t="str">
        <f>IF(NOT(ISBLANK(A1732)),VLOOKUP(A1732,'BBT3'!A:F,2,0),"")</f>
        <v/>
      </c>
      <c r="C1732" t="str">
        <f>IF(NOT(ISBLANK(A1732)),VLOOKUP(A1732,'BBT3'!A:F,3,0),"")</f>
        <v/>
      </c>
      <c r="D1732" s="6" t="str">
        <f>IF(NOT(ISBLANK(A1732)),VLOOKUP(A1732,'BBT3'!A:F,4,1),"")</f>
        <v/>
      </c>
      <c r="E1732" t="str">
        <f>IF(NOT(ISBLANK(A1732)),VLOOKUP(A1732,'BBT3'!A:F,5,0),"")</f>
        <v/>
      </c>
      <c r="F1732" t="str">
        <f>IF(NOT(ISBLANK(A1732)),VLOOKUP(A1732,'BBT3'!A:F,6,0),"")</f>
        <v/>
      </c>
      <c r="G1732" t="str">
        <f>IF(NOT(ISBLANK(A1732)),VLOOKUP(A1732,QW_Close!A:J,5,0),"")</f>
        <v/>
      </c>
      <c r="H1732" s="5" t="str" cm="1">
        <f t="array" ref="H1732">IF(NOT(ISBLANK(A1732)),((_xlfn.XLOOKUP(1,(_bbt3[[#All],[ID]]=A1732)*(_bbt3[[#All],[METRIC_NAME]]="YLD_YTM_ASK"),_bbt3[[#All],[METRIC_VALUE]])*0.5)+(_xlfn.XLOOKUP(1,(_bbt3[[#All],[ID]]=A1732)*(_bbt3[[#All],[METRIC_NAME]]="YLD_YTM_BID"),_bbt3[[#All],[METRIC_VALUE]])*0.5))/100,"")</f>
        <v/>
      </c>
      <c r="I1732">
        <f>IF(ISNA(VLOOKUP(A1732,QW_CloseDL!A:E,5,0)),0,VLOOKUP(A1732,QW_CloseDL!A:E,5,0))</f>
        <v>0</v>
      </c>
      <c r="J1732" s="8" t="str">
        <f t="shared" si="117"/>
        <v/>
      </c>
    </row>
    <row r="1733" spans="2:10" x14ac:dyDescent="0.35">
      <c r="B1733" t="str">
        <f>IF(NOT(ISBLANK(A1733)),VLOOKUP(A1733,'BBT3'!A:F,2,0),"")</f>
        <v/>
      </c>
      <c r="C1733" t="str">
        <f>IF(NOT(ISBLANK(A1733)),VLOOKUP(A1733,'BBT3'!A:F,3,0),"")</f>
        <v/>
      </c>
      <c r="D1733" s="6" t="str">
        <f>IF(NOT(ISBLANK(A1733)),VLOOKUP(A1733,'BBT3'!A:F,4,1),"")</f>
        <v/>
      </c>
      <c r="E1733" t="str">
        <f>IF(NOT(ISBLANK(A1733)),VLOOKUP(A1733,'BBT3'!A:F,5,0),"")</f>
        <v/>
      </c>
      <c r="F1733" t="str">
        <f>IF(NOT(ISBLANK(A1733)),VLOOKUP(A1733,'BBT3'!A:F,6,0),"")</f>
        <v/>
      </c>
      <c r="G1733" t="str">
        <f>IF(NOT(ISBLANK(A1733)),VLOOKUP(A1733,QW_Close!A:J,5,0),"")</f>
        <v/>
      </c>
      <c r="H1733" s="5" t="str" cm="1">
        <f t="array" ref="H1733">IF(NOT(ISBLANK(A1733)),((_xlfn.XLOOKUP(1,(_bbt3[[#All],[ID]]=A1733)*(_bbt3[[#All],[METRIC_NAME]]="YLD_YTM_ASK"),_bbt3[[#All],[METRIC_VALUE]])*0.5)+(_xlfn.XLOOKUP(1,(_bbt3[[#All],[ID]]=A1733)*(_bbt3[[#All],[METRIC_NAME]]="YLD_YTM_BID"),_bbt3[[#All],[METRIC_VALUE]])*0.5))/100,"")</f>
        <v/>
      </c>
      <c r="I1733">
        <f>IF(ISNA(VLOOKUP(A1733,QW_CloseDL!A:E,5,0)),0,VLOOKUP(A1733,QW_CloseDL!A:E,5,0))</f>
        <v>0</v>
      </c>
      <c r="J1733" s="8" t="str">
        <f t="shared" si="117"/>
        <v/>
      </c>
    </row>
    <row r="1734" spans="2:10" x14ac:dyDescent="0.35">
      <c r="B1734" t="str">
        <f>IF(NOT(ISBLANK(A1734)),VLOOKUP(A1734,'BBT3'!A:F,2,0),"")</f>
        <v/>
      </c>
      <c r="C1734" t="str">
        <f>IF(NOT(ISBLANK(A1734)),VLOOKUP(A1734,'BBT3'!A:F,3,0),"")</f>
        <v/>
      </c>
      <c r="D1734" s="6" t="str">
        <f>IF(NOT(ISBLANK(A1734)),VLOOKUP(A1734,'BBT3'!A:F,4,1),"")</f>
        <v/>
      </c>
      <c r="E1734" t="str">
        <f>IF(NOT(ISBLANK(A1734)),VLOOKUP(A1734,'BBT3'!A:F,5,0),"")</f>
        <v/>
      </c>
      <c r="F1734" t="str">
        <f>IF(NOT(ISBLANK(A1734)),VLOOKUP(A1734,'BBT3'!A:F,6,0),"")</f>
        <v/>
      </c>
      <c r="G1734" t="str">
        <f>IF(NOT(ISBLANK(A1734)),VLOOKUP(A1734,QW_Close!A:J,5,0),"")</f>
        <v/>
      </c>
      <c r="H1734" s="5" t="str" cm="1">
        <f t="array" ref="H1734">IF(NOT(ISBLANK(A1734)),((_xlfn.XLOOKUP(1,(_bbt3[[#All],[ID]]=A1734)*(_bbt3[[#All],[METRIC_NAME]]="YLD_YTM_ASK"),_bbt3[[#All],[METRIC_VALUE]])*0.5)+(_xlfn.XLOOKUP(1,(_bbt3[[#All],[ID]]=A1734)*(_bbt3[[#All],[METRIC_NAME]]="YLD_YTM_BID"),_bbt3[[#All],[METRIC_VALUE]])*0.5))/100,"")</f>
        <v/>
      </c>
      <c r="I1734">
        <f>IF(ISNA(VLOOKUP(A1734,QW_CloseDL!A:E,5,0)),0,VLOOKUP(A1734,QW_CloseDL!A:E,5,0))</f>
        <v>0</v>
      </c>
      <c r="J1734" s="8" t="str">
        <f t="shared" si="117"/>
        <v/>
      </c>
    </row>
    <row r="1735" spans="2:10" x14ac:dyDescent="0.35">
      <c r="B1735" t="str">
        <f>IF(NOT(ISBLANK(A1735)),VLOOKUP(A1735,'BBT3'!A:F,2,0),"")</f>
        <v/>
      </c>
      <c r="C1735" t="str">
        <f>IF(NOT(ISBLANK(A1735)),VLOOKUP(A1735,'BBT3'!A:F,3,0),"")</f>
        <v/>
      </c>
      <c r="D1735" s="6" t="str">
        <f>IF(NOT(ISBLANK(A1735)),VLOOKUP(A1735,'BBT3'!A:F,4,1),"")</f>
        <v/>
      </c>
      <c r="E1735" t="str">
        <f>IF(NOT(ISBLANK(A1735)),VLOOKUP(A1735,'BBT3'!A:F,5,0),"")</f>
        <v/>
      </c>
      <c r="F1735" t="str">
        <f>IF(NOT(ISBLANK(A1735)),VLOOKUP(A1735,'BBT3'!A:F,6,0),"")</f>
        <v/>
      </c>
      <c r="G1735" t="str">
        <f>IF(NOT(ISBLANK(A1735)),VLOOKUP(A1735,QW_Close!A:J,5,0),"")</f>
        <v/>
      </c>
      <c r="H1735" s="5" t="str" cm="1">
        <f t="array" ref="H1735">IF(NOT(ISBLANK(A1735)),((_xlfn.XLOOKUP(1,(_bbt3[[#All],[ID]]=A1735)*(_bbt3[[#All],[METRIC_NAME]]="YLD_YTM_ASK"),_bbt3[[#All],[METRIC_VALUE]])*0.5)+(_xlfn.XLOOKUP(1,(_bbt3[[#All],[ID]]=A1735)*(_bbt3[[#All],[METRIC_NAME]]="YLD_YTM_BID"),_bbt3[[#All],[METRIC_VALUE]])*0.5))/100,"")</f>
        <v/>
      </c>
      <c r="I1735">
        <f>IF(ISNA(VLOOKUP(A1735,QW_CloseDL!A:E,5,0)),0,VLOOKUP(A1735,QW_CloseDL!A:E,5,0))</f>
        <v>0</v>
      </c>
      <c r="J1735" s="8" t="str">
        <f t="shared" si="117"/>
        <v/>
      </c>
    </row>
    <row r="1736" spans="2:10" x14ac:dyDescent="0.35">
      <c r="B1736" t="str">
        <f>IF(NOT(ISBLANK(A1736)),VLOOKUP(A1736,'BBT3'!A:F,2,0),"")</f>
        <v/>
      </c>
      <c r="C1736" t="str">
        <f>IF(NOT(ISBLANK(A1736)),VLOOKUP(A1736,'BBT3'!A:F,3,0),"")</f>
        <v/>
      </c>
      <c r="D1736" s="6" t="str">
        <f>IF(NOT(ISBLANK(A1736)),VLOOKUP(A1736,'BBT3'!A:F,4,1),"")</f>
        <v/>
      </c>
      <c r="E1736" t="str">
        <f>IF(NOT(ISBLANK(A1736)),VLOOKUP(A1736,'BBT3'!A:F,5,0),"")</f>
        <v/>
      </c>
      <c r="F1736" t="str">
        <f>IF(NOT(ISBLANK(A1736)),VLOOKUP(A1736,'BBT3'!A:F,6,0),"")</f>
        <v/>
      </c>
      <c r="G1736" t="str">
        <f>IF(NOT(ISBLANK(A1736)),VLOOKUP(A1736,QW_Close!A:J,5,0),"")</f>
        <v/>
      </c>
      <c r="H1736" s="5" t="str" cm="1">
        <f t="array" ref="H1736">IF(NOT(ISBLANK(A1736)),((_xlfn.XLOOKUP(1,(_bbt3[[#All],[ID]]=A1736)*(_bbt3[[#All],[METRIC_NAME]]="YLD_YTM_ASK"),_bbt3[[#All],[METRIC_VALUE]])*0.5)+(_xlfn.XLOOKUP(1,(_bbt3[[#All],[ID]]=A1736)*(_bbt3[[#All],[METRIC_NAME]]="YLD_YTM_BID"),_bbt3[[#All],[METRIC_VALUE]])*0.5))/100,"")</f>
        <v/>
      </c>
      <c r="I1736">
        <f>IF(ISNA(VLOOKUP(A1736,QW_CloseDL!A:E,5,0)),0,VLOOKUP(A1736,QW_CloseDL!A:E,5,0))</f>
        <v>0</v>
      </c>
      <c r="J1736" s="8" t="str">
        <f t="shared" si="117"/>
        <v/>
      </c>
    </row>
    <row r="1737" spans="2:10" x14ac:dyDescent="0.35">
      <c r="B1737" t="str">
        <f>IF(NOT(ISBLANK(A1737)),VLOOKUP(A1737,'BBT3'!A:F,2,0),"")</f>
        <v/>
      </c>
      <c r="C1737" t="str">
        <f>IF(NOT(ISBLANK(A1737)),VLOOKUP(A1737,'BBT3'!A:F,3,0),"")</f>
        <v/>
      </c>
      <c r="D1737" s="6" t="str">
        <f>IF(NOT(ISBLANK(A1737)),VLOOKUP(A1737,'BBT3'!A:F,4,1),"")</f>
        <v/>
      </c>
      <c r="E1737" t="str">
        <f>IF(NOT(ISBLANK(A1737)),VLOOKUP(A1737,'BBT3'!A:F,5,0),"")</f>
        <v/>
      </c>
      <c r="F1737" t="str">
        <f>IF(NOT(ISBLANK(A1737)),VLOOKUP(A1737,'BBT3'!A:F,6,0),"")</f>
        <v/>
      </c>
      <c r="G1737" t="str">
        <f>IF(NOT(ISBLANK(A1737)),VLOOKUP(A1737,QW_Close!A:J,5,0),"")</f>
        <v/>
      </c>
      <c r="H1737" s="5" t="str" cm="1">
        <f t="array" ref="H1737">IF(NOT(ISBLANK(A1737)),((_xlfn.XLOOKUP(1,(_bbt3[[#All],[ID]]=A1737)*(_bbt3[[#All],[METRIC_NAME]]="YLD_YTM_ASK"),_bbt3[[#All],[METRIC_VALUE]])*0.5)+(_xlfn.XLOOKUP(1,(_bbt3[[#All],[ID]]=A1737)*(_bbt3[[#All],[METRIC_NAME]]="YLD_YTM_BID"),_bbt3[[#All],[METRIC_VALUE]])*0.5))/100,"")</f>
        <v/>
      </c>
      <c r="I1737">
        <f>IF(ISNA(VLOOKUP(A1737,QW_CloseDL!A:E,5,0)),0,VLOOKUP(A1737,QW_CloseDL!A:E,5,0))</f>
        <v>0</v>
      </c>
      <c r="J1737" s="8" t="str">
        <f t="shared" si="117"/>
        <v/>
      </c>
    </row>
    <row r="1738" spans="2:10" x14ac:dyDescent="0.35">
      <c r="B1738" t="str">
        <f>IF(NOT(ISBLANK(A1738)),VLOOKUP(A1738,'BBT3'!A:F,2,0),"")</f>
        <v/>
      </c>
      <c r="C1738" t="str">
        <f>IF(NOT(ISBLANK(A1738)),VLOOKUP(A1738,'BBT3'!A:F,3,0),"")</f>
        <v/>
      </c>
      <c r="D1738" s="6" t="str">
        <f>IF(NOT(ISBLANK(A1738)),VLOOKUP(A1738,'BBT3'!A:F,4,1),"")</f>
        <v/>
      </c>
      <c r="E1738" t="str">
        <f>IF(NOT(ISBLANK(A1738)),VLOOKUP(A1738,'BBT3'!A:F,5,0),"")</f>
        <v/>
      </c>
      <c r="F1738" t="str">
        <f>IF(NOT(ISBLANK(A1738)),VLOOKUP(A1738,'BBT3'!A:F,6,0),"")</f>
        <v/>
      </c>
      <c r="G1738" t="str">
        <f>IF(NOT(ISBLANK(A1738)),VLOOKUP(A1738,QW_Close!A:J,5,0),"")</f>
        <v/>
      </c>
      <c r="H1738" s="5" t="str" cm="1">
        <f t="array" ref="H1738">IF(NOT(ISBLANK(A1738)),((_xlfn.XLOOKUP(1,(_bbt3[[#All],[ID]]=A1738)*(_bbt3[[#All],[METRIC_NAME]]="YLD_YTM_ASK"),_bbt3[[#All],[METRIC_VALUE]])*0.5)+(_xlfn.XLOOKUP(1,(_bbt3[[#All],[ID]]=A1738)*(_bbt3[[#All],[METRIC_NAME]]="YLD_YTM_BID"),_bbt3[[#All],[METRIC_VALUE]])*0.5))/100,"")</f>
        <v/>
      </c>
      <c r="I1738">
        <f>IF(ISNA(VLOOKUP(A1738,QW_CloseDL!A:E,5,0)),0,VLOOKUP(A1738,QW_CloseDL!A:E,5,0))</f>
        <v>0</v>
      </c>
      <c r="J1738" s="8" t="str">
        <f t="shared" si="117"/>
        <v/>
      </c>
    </row>
    <row r="1739" spans="2:10" x14ac:dyDescent="0.35">
      <c r="B1739" t="str">
        <f>IF(NOT(ISBLANK(A1739)),VLOOKUP(A1739,'BBT3'!A:F,2,0),"")</f>
        <v/>
      </c>
      <c r="C1739" t="str">
        <f>IF(NOT(ISBLANK(A1739)),VLOOKUP(A1739,'BBT3'!A:F,3,0),"")</f>
        <v/>
      </c>
      <c r="D1739" s="6" t="str">
        <f>IF(NOT(ISBLANK(A1739)),VLOOKUP(A1739,'BBT3'!A:F,4,1),"")</f>
        <v/>
      </c>
      <c r="E1739" t="str">
        <f>IF(NOT(ISBLANK(A1739)),VLOOKUP(A1739,'BBT3'!A:F,5,0),"")</f>
        <v/>
      </c>
      <c r="F1739" t="str">
        <f>IF(NOT(ISBLANK(A1739)),VLOOKUP(A1739,'BBT3'!A:F,6,0),"")</f>
        <v/>
      </c>
      <c r="G1739" t="str">
        <f>IF(NOT(ISBLANK(A1739)),VLOOKUP(A1739,QW_Close!A:J,5,0),"")</f>
        <v/>
      </c>
      <c r="H1739" s="5" t="str" cm="1">
        <f t="array" ref="H1739">IF(NOT(ISBLANK(A1739)),((_xlfn.XLOOKUP(1,(_bbt3[[#All],[ID]]=A1739)*(_bbt3[[#All],[METRIC_NAME]]="YLD_YTM_ASK"),_bbt3[[#All],[METRIC_VALUE]])*0.5)+(_xlfn.XLOOKUP(1,(_bbt3[[#All],[ID]]=A1739)*(_bbt3[[#All],[METRIC_NAME]]="YLD_YTM_BID"),_bbt3[[#All],[METRIC_VALUE]])*0.5))/100,"")</f>
        <v/>
      </c>
      <c r="I1739">
        <f>IF(ISNA(VLOOKUP(A1739,QW_CloseDL!A:E,5,0)),0,VLOOKUP(A1739,QW_CloseDL!A:E,5,0))</f>
        <v>0</v>
      </c>
      <c r="J1739" s="8" t="str">
        <f t="shared" si="117"/>
        <v/>
      </c>
    </row>
    <row r="1740" spans="2:10" x14ac:dyDescent="0.35">
      <c r="B1740" t="str">
        <f>IF(NOT(ISBLANK(A1740)),VLOOKUP(A1740,'BBT3'!A:F,2,0),"")</f>
        <v/>
      </c>
      <c r="C1740" t="str">
        <f>IF(NOT(ISBLANK(A1740)),VLOOKUP(A1740,'BBT3'!A:F,3,0),"")</f>
        <v/>
      </c>
      <c r="D1740" s="6" t="str">
        <f>IF(NOT(ISBLANK(A1740)),VLOOKUP(A1740,'BBT3'!A:F,4,1),"")</f>
        <v/>
      </c>
      <c r="E1740" t="str">
        <f>IF(NOT(ISBLANK(A1740)),VLOOKUP(A1740,'BBT3'!A:F,5,0),"")</f>
        <v/>
      </c>
      <c r="F1740" t="str">
        <f>IF(NOT(ISBLANK(A1740)),VLOOKUP(A1740,'BBT3'!A:F,6,0),"")</f>
        <v/>
      </c>
      <c r="G1740" t="str">
        <f>IF(NOT(ISBLANK(A1740)),VLOOKUP(A1740,QW_Close!A:J,5,0),"")</f>
        <v/>
      </c>
      <c r="H1740" s="5" t="str" cm="1">
        <f t="array" ref="H1740">IF(NOT(ISBLANK(A1740)),((_xlfn.XLOOKUP(1,(_bbt3[[#All],[ID]]=A1740)*(_bbt3[[#All],[METRIC_NAME]]="YLD_YTM_ASK"),_bbt3[[#All],[METRIC_VALUE]])*0.5)+(_xlfn.XLOOKUP(1,(_bbt3[[#All],[ID]]=A1740)*(_bbt3[[#All],[METRIC_NAME]]="YLD_YTM_BID"),_bbt3[[#All],[METRIC_VALUE]])*0.5))/100,"")</f>
        <v/>
      </c>
      <c r="I1740">
        <f>IF(ISNA(VLOOKUP(A1740,QW_CloseDL!A:E,5,0)),0,VLOOKUP(A1740,QW_CloseDL!A:E,5,0))</f>
        <v>0</v>
      </c>
      <c r="J1740" s="8" t="str">
        <f t="shared" si="117"/>
        <v/>
      </c>
    </row>
    <row r="1741" spans="2:10" x14ac:dyDescent="0.35">
      <c r="B1741" t="str">
        <f>IF(NOT(ISBLANK(A1741)),VLOOKUP(A1741,'BBT3'!A:F,2,0),"")</f>
        <v/>
      </c>
      <c r="C1741" t="str">
        <f>IF(NOT(ISBLANK(A1741)),VLOOKUP(A1741,'BBT3'!A:F,3,0),"")</f>
        <v/>
      </c>
      <c r="D1741" s="6" t="str">
        <f>IF(NOT(ISBLANK(A1741)),VLOOKUP(A1741,'BBT3'!A:F,4,1),"")</f>
        <v/>
      </c>
      <c r="E1741" t="str">
        <f>IF(NOT(ISBLANK(A1741)),VLOOKUP(A1741,'BBT3'!A:F,5,0),"")</f>
        <v/>
      </c>
      <c r="F1741" t="str">
        <f>IF(NOT(ISBLANK(A1741)),VLOOKUP(A1741,'BBT3'!A:F,6,0),"")</f>
        <v/>
      </c>
      <c r="G1741" t="str">
        <f>IF(NOT(ISBLANK(A1741)),VLOOKUP(A1741,QW_Close!A:J,5,0),"")</f>
        <v/>
      </c>
      <c r="H1741" s="5" t="str" cm="1">
        <f t="array" ref="H1741">IF(NOT(ISBLANK(A1741)),((_xlfn.XLOOKUP(1,(_bbt3[[#All],[ID]]=A1741)*(_bbt3[[#All],[METRIC_NAME]]="YLD_YTM_ASK"),_bbt3[[#All],[METRIC_VALUE]])*0.5)+(_xlfn.XLOOKUP(1,(_bbt3[[#All],[ID]]=A1741)*(_bbt3[[#All],[METRIC_NAME]]="YLD_YTM_BID"),_bbt3[[#All],[METRIC_VALUE]])*0.5))/100,"")</f>
        <v/>
      </c>
      <c r="I1741">
        <f>IF(ISNA(VLOOKUP(A1741,QW_CloseDL!A:E,5,0)),0,VLOOKUP(A1741,QW_CloseDL!A:E,5,0))</f>
        <v>0</v>
      </c>
      <c r="J1741" s="8" t="str">
        <f t="shared" si="117"/>
        <v/>
      </c>
    </row>
    <row r="1742" spans="2:10" x14ac:dyDescent="0.35">
      <c r="B1742" t="str">
        <f>IF(NOT(ISBLANK(A1742)),VLOOKUP(A1742,'BBT3'!A:F,2,0),"")</f>
        <v/>
      </c>
      <c r="C1742" t="str">
        <f>IF(NOT(ISBLANK(A1742)),VLOOKUP(A1742,'BBT3'!A:F,3,0),"")</f>
        <v/>
      </c>
      <c r="D1742" s="6" t="str">
        <f>IF(NOT(ISBLANK(A1742)),VLOOKUP(A1742,'BBT3'!A:F,4,1),"")</f>
        <v/>
      </c>
      <c r="E1742" t="str">
        <f>IF(NOT(ISBLANK(A1742)),VLOOKUP(A1742,'BBT3'!A:F,5,0),"")</f>
        <v/>
      </c>
      <c r="F1742" t="str">
        <f>IF(NOT(ISBLANK(A1742)),VLOOKUP(A1742,'BBT3'!A:F,6,0),"")</f>
        <v/>
      </c>
      <c r="G1742" t="str">
        <f>IF(NOT(ISBLANK(A1742)),VLOOKUP(A1742,QW_Close!A:J,5,0),"")</f>
        <v/>
      </c>
      <c r="H1742" s="5" t="str" cm="1">
        <f t="array" ref="H1742">IF(NOT(ISBLANK(A1742)),((_xlfn.XLOOKUP(1,(_bbt3[[#All],[ID]]=A1742)*(_bbt3[[#All],[METRIC_NAME]]="YLD_YTM_ASK"),_bbt3[[#All],[METRIC_VALUE]])*0.5)+(_xlfn.XLOOKUP(1,(_bbt3[[#All],[ID]]=A1742)*(_bbt3[[#All],[METRIC_NAME]]="YLD_YTM_BID"),_bbt3[[#All],[METRIC_VALUE]])*0.5))/100,"")</f>
        <v/>
      </c>
      <c r="I1742">
        <f>IF(ISNA(VLOOKUP(A1742,QW_CloseDL!A:E,5,0)),0,VLOOKUP(A1742,QW_CloseDL!A:E,5,0))</f>
        <v>0</v>
      </c>
      <c r="J1742" s="8" t="str">
        <f t="shared" si="117"/>
        <v/>
      </c>
    </row>
    <row r="1743" spans="2:10" x14ac:dyDescent="0.35">
      <c r="B1743" t="str">
        <f>IF(NOT(ISBLANK(A1743)),VLOOKUP(A1743,'BBT3'!A:F,2,0),"")</f>
        <v/>
      </c>
      <c r="C1743" t="str">
        <f>IF(NOT(ISBLANK(A1743)),VLOOKUP(A1743,'BBT3'!A:F,3,0),"")</f>
        <v/>
      </c>
      <c r="D1743" s="6" t="str">
        <f>IF(NOT(ISBLANK(A1743)),VLOOKUP(A1743,'BBT3'!A:F,4,1),"")</f>
        <v/>
      </c>
      <c r="E1743" t="str">
        <f>IF(NOT(ISBLANK(A1743)),VLOOKUP(A1743,'BBT3'!A:F,5,0),"")</f>
        <v/>
      </c>
      <c r="F1743" t="str">
        <f>IF(NOT(ISBLANK(A1743)),VLOOKUP(A1743,'BBT3'!A:F,6,0),"")</f>
        <v/>
      </c>
      <c r="G1743" t="str">
        <f>IF(NOT(ISBLANK(A1743)),VLOOKUP(A1743,QW_Close!A:J,5,0),"")</f>
        <v/>
      </c>
      <c r="H1743" s="5" t="str" cm="1">
        <f t="array" ref="H1743">IF(NOT(ISBLANK(A1743)),((_xlfn.XLOOKUP(1,(_bbt3[[#All],[ID]]=A1743)*(_bbt3[[#All],[METRIC_NAME]]="YLD_YTM_ASK"),_bbt3[[#All],[METRIC_VALUE]])*0.5)+(_xlfn.XLOOKUP(1,(_bbt3[[#All],[ID]]=A1743)*(_bbt3[[#All],[METRIC_NAME]]="YLD_YTM_BID"),_bbt3[[#All],[METRIC_VALUE]])*0.5))/100,"")</f>
        <v/>
      </c>
      <c r="I1743">
        <f>IF(ISNA(VLOOKUP(A1743,QW_CloseDL!A:E,5,0)),0,VLOOKUP(A1743,QW_CloseDL!A:E,5,0))</f>
        <v>0</v>
      </c>
      <c r="J1743" s="8" t="str">
        <f t="shared" si="117"/>
        <v/>
      </c>
    </row>
    <row r="1744" spans="2:10" x14ac:dyDescent="0.35">
      <c r="B1744" t="str">
        <f>IF(NOT(ISBLANK(A1744)),VLOOKUP(A1744,'BBT3'!A:F,2,0),"")</f>
        <v/>
      </c>
      <c r="C1744" t="str">
        <f>IF(NOT(ISBLANK(A1744)),VLOOKUP(A1744,'BBT3'!A:F,3,0),"")</f>
        <v/>
      </c>
      <c r="D1744" s="6" t="str">
        <f>IF(NOT(ISBLANK(A1744)),VLOOKUP(A1744,'BBT3'!A:F,4,1),"")</f>
        <v/>
      </c>
      <c r="E1744" t="str">
        <f>IF(NOT(ISBLANK(A1744)),VLOOKUP(A1744,'BBT3'!A:F,5,0),"")</f>
        <v/>
      </c>
      <c r="F1744" t="str">
        <f>IF(NOT(ISBLANK(A1744)),VLOOKUP(A1744,'BBT3'!A:F,6,0),"")</f>
        <v/>
      </c>
      <c r="G1744" t="str">
        <f>IF(NOT(ISBLANK(A1744)),VLOOKUP(A1744,QW_Close!A:J,5,0),"")</f>
        <v/>
      </c>
      <c r="H1744" s="5" t="str" cm="1">
        <f t="array" ref="H1744">IF(NOT(ISBLANK(A1744)),((_xlfn.XLOOKUP(1,(_bbt3[[#All],[ID]]=A1744)*(_bbt3[[#All],[METRIC_NAME]]="YLD_YTM_ASK"),_bbt3[[#All],[METRIC_VALUE]])*0.5)+(_xlfn.XLOOKUP(1,(_bbt3[[#All],[ID]]=A1744)*(_bbt3[[#All],[METRIC_NAME]]="YLD_YTM_BID"),_bbt3[[#All],[METRIC_VALUE]])*0.5))/100,"")</f>
        <v/>
      </c>
      <c r="I1744">
        <f>IF(ISNA(VLOOKUP(A1744,QW_CloseDL!A:E,5,0)),0,VLOOKUP(A1744,QW_CloseDL!A:E,5,0))</f>
        <v>0</v>
      </c>
      <c r="J1744" s="8" t="str">
        <f t="shared" si="117"/>
        <v/>
      </c>
    </row>
    <row r="1745" spans="2:10" x14ac:dyDescent="0.35">
      <c r="B1745" t="str">
        <f>IF(NOT(ISBLANK(A1745)),VLOOKUP(A1745,'BBT3'!A:F,2,0),"")</f>
        <v/>
      </c>
      <c r="C1745" t="str">
        <f>IF(NOT(ISBLANK(A1745)),VLOOKUP(A1745,'BBT3'!A:F,3,0),"")</f>
        <v/>
      </c>
      <c r="D1745" s="6" t="str">
        <f>IF(NOT(ISBLANK(A1745)),VLOOKUP(A1745,'BBT3'!A:F,4,1),"")</f>
        <v/>
      </c>
      <c r="E1745" t="str">
        <f>IF(NOT(ISBLANK(A1745)),VLOOKUP(A1745,'BBT3'!A:F,5,0),"")</f>
        <v/>
      </c>
      <c r="F1745" t="str">
        <f>IF(NOT(ISBLANK(A1745)),VLOOKUP(A1745,'BBT3'!A:F,6,0),"")</f>
        <v/>
      </c>
      <c r="G1745" t="str">
        <f>IF(NOT(ISBLANK(A1745)),VLOOKUP(A1745,QW_Close!A:J,5,0),"")</f>
        <v/>
      </c>
      <c r="H1745" s="5" t="str" cm="1">
        <f t="array" ref="H1745">IF(NOT(ISBLANK(A1745)),((_xlfn.XLOOKUP(1,(_bbt3[[#All],[ID]]=A1745)*(_bbt3[[#All],[METRIC_NAME]]="YLD_YTM_ASK"),_bbt3[[#All],[METRIC_VALUE]])*0.5)+(_xlfn.XLOOKUP(1,(_bbt3[[#All],[ID]]=A1745)*(_bbt3[[#All],[METRIC_NAME]]="YLD_YTM_BID"),_bbt3[[#All],[METRIC_VALUE]])*0.5))/100,"")</f>
        <v/>
      </c>
      <c r="I1745">
        <f>IF(ISNA(VLOOKUP(A1745,QW_CloseDL!A:E,5,0)),0,VLOOKUP(A1745,QW_CloseDL!A:E,5,0))</f>
        <v>0</v>
      </c>
      <c r="J1745" s="8" t="str">
        <f t="shared" si="117"/>
        <v/>
      </c>
    </row>
    <row r="1746" spans="2:10" x14ac:dyDescent="0.35">
      <c r="B1746" t="str">
        <f>IF(NOT(ISBLANK(A1746)),VLOOKUP(A1746,'BBT3'!A:F,2,0),"")</f>
        <v/>
      </c>
      <c r="C1746" t="str">
        <f>IF(NOT(ISBLANK(A1746)),VLOOKUP(A1746,'BBT3'!A:F,3,0),"")</f>
        <v/>
      </c>
      <c r="D1746" s="6" t="str">
        <f>IF(NOT(ISBLANK(A1746)),VLOOKUP(A1746,'BBT3'!A:F,4,1),"")</f>
        <v/>
      </c>
      <c r="E1746" t="str">
        <f>IF(NOT(ISBLANK(A1746)),VLOOKUP(A1746,'BBT3'!A:F,5,0),"")</f>
        <v/>
      </c>
      <c r="F1746" t="str">
        <f>IF(NOT(ISBLANK(A1746)),VLOOKUP(A1746,'BBT3'!A:F,6,0),"")</f>
        <v/>
      </c>
      <c r="G1746" t="str">
        <f>IF(NOT(ISBLANK(A1746)),VLOOKUP(A1746,QW_Close!A:J,5,0),"")</f>
        <v/>
      </c>
      <c r="H1746" s="5" t="str" cm="1">
        <f t="array" ref="H1746">IF(NOT(ISBLANK(A1746)),((_xlfn.XLOOKUP(1,(_bbt3[[#All],[ID]]=A1746)*(_bbt3[[#All],[METRIC_NAME]]="YLD_YTM_ASK"),_bbt3[[#All],[METRIC_VALUE]])*0.5)+(_xlfn.XLOOKUP(1,(_bbt3[[#All],[ID]]=A1746)*(_bbt3[[#All],[METRIC_NAME]]="YLD_YTM_BID"),_bbt3[[#All],[METRIC_VALUE]])*0.5))/100,"")</f>
        <v/>
      </c>
      <c r="I1746">
        <f>IF(ISNA(VLOOKUP(A1746,QW_CloseDL!A:E,5,0)),0,VLOOKUP(A1746,QW_CloseDL!A:E,5,0))</f>
        <v>0</v>
      </c>
      <c r="J1746" s="8" t="str">
        <f t="shared" si="117"/>
        <v/>
      </c>
    </row>
    <row r="1747" spans="2:10" x14ac:dyDescent="0.35">
      <c r="B1747" t="str">
        <f>IF(NOT(ISBLANK(A1747)),VLOOKUP(A1747,'BBT3'!A:F,2,0),"")</f>
        <v/>
      </c>
      <c r="C1747" t="str">
        <f>IF(NOT(ISBLANK(A1747)),VLOOKUP(A1747,'BBT3'!A:F,3,0),"")</f>
        <v/>
      </c>
      <c r="D1747" s="6" t="str">
        <f>IF(NOT(ISBLANK(A1747)),VLOOKUP(A1747,'BBT3'!A:F,4,1),"")</f>
        <v/>
      </c>
      <c r="E1747" t="str">
        <f>IF(NOT(ISBLANK(A1747)),VLOOKUP(A1747,'BBT3'!A:F,5,0),"")</f>
        <v/>
      </c>
      <c r="F1747" t="str">
        <f>IF(NOT(ISBLANK(A1747)),VLOOKUP(A1747,'BBT3'!A:F,6,0),"")</f>
        <v/>
      </c>
      <c r="G1747" t="str">
        <f>IF(NOT(ISBLANK(A1747)),VLOOKUP(A1747,QW_Close!A:J,5,0),"")</f>
        <v/>
      </c>
      <c r="H1747" s="5" t="str" cm="1">
        <f t="array" ref="H1747">IF(NOT(ISBLANK(A1747)),((_xlfn.XLOOKUP(1,(_bbt3[[#All],[ID]]=A1747)*(_bbt3[[#All],[METRIC_NAME]]="YLD_YTM_ASK"),_bbt3[[#All],[METRIC_VALUE]])*0.5)+(_xlfn.XLOOKUP(1,(_bbt3[[#All],[ID]]=A1747)*(_bbt3[[#All],[METRIC_NAME]]="YLD_YTM_BID"),_bbt3[[#All],[METRIC_VALUE]])*0.5))/100,"")</f>
        <v/>
      </c>
      <c r="I1747">
        <f>IF(ISNA(VLOOKUP(A1747,QW_CloseDL!A:E,5,0)),0,VLOOKUP(A1747,QW_CloseDL!A:E,5,0))</f>
        <v>0</v>
      </c>
      <c r="J1747" s="8" t="str">
        <f t="shared" si="117"/>
        <v/>
      </c>
    </row>
    <row r="1748" spans="2:10" x14ac:dyDescent="0.35">
      <c r="B1748" t="str">
        <f>IF(NOT(ISBLANK(A1748)),VLOOKUP(A1748,'BBT3'!A:F,2,0),"")</f>
        <v/>
      </c>
      <c r="C1748" t="str">
        <f>IF(NOT(ISBLANK(A1748)),VLOOKUP(A1748,'BBT3'!A:F,3,0),"")</f>
        <v/>
      </c>
      <c r="D1748" s="6" t="str">
        <f>IF(NOT(ISBLANK(A1748)),VLOOKUP(A1748,'BBT3'!A:F,4,1),"")</f>
        <v/>
      </c>
      <c r="E1748" t="str">
        <f>IF(NOT(ISBLANK(A1748)),VLOOKUP(A1748,'BBT3'!A:F,5,0),"")</f>
        <v/>
      </c>
      <c r="F1748" t="str">
        <f>IF(NOT(ISBLANK(A1748)),VLOOKUP(A1748,'BBT3'!A:F,6,0),"")</f>
        <v/>
      </c>
      <c r="G1748" t="str">
        <f>IF(NOT(ISBLANK(A1748)),VLOOKUP(A1748,QW_Close!A:J,5,0),"")</f>
        <v/>
      </c>
      <c r="H1748" s="5" t="str" cm="1">
        <f t="array" ref="H1748">IF(NOT(ISBLANK(A1748)),((_xlfn.XLOOKUP(1,(_bbt3[[#All],[ID]]=A1748)*(_bbt3[[#All],[METRIC_NAME]]="YLD_YTM_ASK"),_bbt3[[#All],[METRIC_VALUE]])*0.5)+(_xlfn.XLOOKUP(1,(_bbt3[[#All],[ID]]=A1748)*(_bbt3[[#All],[METRIC_NAME]]="YLD_YTM_BID"),_bbt3[[#All],[METRIC_VALUE]])*0.5))/100,"")</f>
        <v/>
      </c>
      <c r="I1748">
        <f>IF(ISNA(VLOOKUP(A1748,QW_CloseDL!A:E,5,0)),0,VLOOKUP(A1748,QW_CloseDL!A:E,5,0))</f>
        <v>0</v>
      </c>
      <c r="J1748" s="8" t="str">
        <f t="shared" si="117"/>
        <v/>
      </c>
    </row>
    <row r="1749" spans="2:10" x14ac:dyDescent="0.35">
      <c r="B1749" t="str">
        <f>IF(NOT(ISBLANK(A1749)),VLOOKUP(A1749,'BBT3'!A:F,2,0),"")</f>
        <v/>
      </c>
      <c r="C1749" t="str">
        <f>IF(NOT(ISBLANK(A1749)),VLOOKUP(A1749,'BBT3'!A:F,3,0),"")</f>
        <v/>
      </c>
      <c r="D1749" s="6" t="str">
        <f>IF(NOT(ISBLANK(A1749)),VLOOKUP(A1749,'BBT3'!A:F,4,1),"")</f>
        <v/>
      </c>
      <c r="E1749" t="str">
        <f>IF(NOT(ISBLANK(A1749)),VLOOKUP(A1749,'BBT3'!A:F,5,0),"")</f>
        <v/>
      </c>
      <c r="F1749" t="str">
        <f>IF(NOT(ISBLANK(A1749)),VLOOKUP(A1749,'BBT3'!A:F,6,0),"")</f>
        <v/>
      </c>
      <c r="G1749" t="str">
        <f>IF(NOT(ISBLANK(A1749)),VLOOKUP(A1749,QW_Close!A:J,5,0),"")</f>
        <v/>
      </c>
      <c r="H1749" s="5" t="str" cm="1">
        <f t="array" ref="H1749">IF(NOT(ISBLANK(A1749)),((_xlfn.XLOOKUP(1,(_bbt3[[#All],[ID]]=A1749)*(_bbt3[[#All],[METRIC_NAME]]="YLD_YTM_ASK"),_bbt3[[#All],[METRIC_VALUE]])*0.5)+(_xlfn.XLOOKUP(1,(_bbt3[[#All],[ID]]=A1749)*(_bbt3[[#All],[METRIC_NAME]]="YLD_YTM_BID"),_bbt3[[#All],[METRIC_VALUE]])*0.5))/100,"")</f>
        <v/>
      </c>
      <c r="I1749">
        <f>IF(ISNA(VLOOKUP(A1749,QW_CloseDL!A:E,5,0)),0,VLOOKUP(A1749,QW_CloseDL!A:E,5,0))</f>
        <v>0</v>
      </c>
      <c r="J1749" s="8" t="str">
        <f t="shared" si="117"/>
        <v/>
      </c>
    </row>
    <row r="1750" spans="2:10" x14ac:dyDescent="0.35">
      <c r="B1750" t="str">
        <f>IF(NOT(ISBLANK(A1750)),VLOOKUP(A1750,'BBT3'!A:F,2,0),"")</f>
        <v/>
      </c>
      <c r="C1750" t="str">
        <f>IF(NOT(ISBLANK(A1750)),VLOOKUP(A1750,'BBT3'!A:F,3,0),"")</f>
        <v/>
      </c>
      <c r="D1750" s="6" t="str">
        <f>IF(NOT(ISBLANK(A1750)),VLOOKUP(A1750,'BBT3'!A:F,4,1),"")</f>
        <v/>
      </c>
      <c r="E1750" t="str">
        <f>IF(NOT(ISBLANK(A1750)),VLOOKUP(A1750,'BBT3'!A:F,5,0),"")</f>
        <v/>
      </c>
      <c r="F1750" t="str">
        <f>IF(NOT(ISBLANK(A1750)),VLOOKUP(A1750,'BBT3'!A:F,6,0),"")</f>
        <v/>
      </c>
      <c r="G1750" t="str">
        <f>IF(NOT(ISBLANK(A1750)),VLOOKUP(A1750,QW_Close!A:J,5,0),"")</f>
        <v/>
      </c>
      <c r="H1750" s="5" t="str" cm="1">
        <f t="array" ref="H1750">IF(NOT(ISBLANK(A1750)),((_xlfn.XLOOKUP(1,(_bbt3[[#All],[ID]]=A1750)*(_bbt3[[#All],[METRIC_NAME]]="YLD_YTM_ASK"),_bbt3[[#All],[METRIC_VALUE]])*0.5)+(_xlfn.XLOOKUP(1,(_bbt3[[#All],[ID]]=A1750)*(_bbt3[[#All],[METRIC_NAME]]="YLD_YTM_BID"),_bbt3[[#All],[METRIC_VALUE]])*0.5))/100,"")</f>
        <v/>
      </c>
      <c r="I1750">
        <f>IF(ISNA(VLOOKUP(A1750,QW_CloseDL!A:E,5,0)),0,VLOOKUP(A1750,QW_CloseDL!A:E,5,0))</f>
        <v>0</v>
      </c>
      <c r="J1750" s="8" t="str">
        <f t="shared" si="117"/>
        <v/>
      </c>
    </row>
    <row r="1751" spans="2:10" x14ac:dyDescent="0.35">
      <c r="B1751" t="str">
        <f>IF(NOT(ISBLANK(A1751)),VLOOKUP(A1751,'BBT3'!A:F,2,0),"")</f>
        <v/>
      </c>
      <c r="C1751" t="str">
        <f>IF(NOT(ISBLANK(A1751)),VLOOKUP(A1751,'BBT3'!A:F,3,0),"")</f>
        <v/>
      </c>
      <c r="D1751" s="6" t="str">
        <f>IF(NOT(ISBLANK(A1751)),VLOOKUP(A1751,'BBT3'!A:F,4,1),"")</f>
        <v/>
      </c>
      <c r="E1751" t="str">
        <f>IF(NOT(ISBLANK(A1751)),VLOOKUP(A1751,'BBT3'!A:F,5,0),"")</f>
        <v/>
      </c>
      <c r="F1751" t="str">
        <f>IF(NOT(ISBLANK(A1751)),VLOOKUP(A1751,'BBT3'!A:F,6,0),"")</f>
        <v/>
      </c>
      <c r="G1751" t="str">
        <f>IF(NOT(ISBLANK(A1751)),VLOOKUP(A1751,QW_Close!A:J,5,0),"")</f>
        <v/>
      </c>
      <c r="H1751" s="5" t="str" cm="1">
        <f t="array" ref="H1751">IF(NOT(ISBLANK(A1751)),((_xlfn.XLOOKUP(1,(_bbt3[[#All],[ID]]=A1751)*(_bbt3[[#All],[METRIC_NAME]]="YLD_YTM_ASK"),_bbt3[[#All],[METRIC_VALUE]])*0.5)+(_xlfn.XLOOKUP(1,(_bbt3[[#All],[ID]]=A1751)*(_bbt3[[#All],[METRIC_NAME]]="YLD_YTM_BID"),_bbt3[[#All],[METRIC_VALUE]])*0.5))/100,"")</f>
        <v/>
      </c>
      <c r="I1751">
        <f>IF(ISNA(VLOOKUP(A1751,QW_CloseDL!A:E,5,0)),0,VLOOKUP(A1751,QW_CloseDL!A:E,5,0))</f>
        <v>0</v>
      </c>
      <c r="J1751" s="8" t="str">
        <f t="shared" si="117"/>
        <v/>
      </c>
    </row>
    <row r="1752" spans="2:10" x14ac:dyDescent="0.35">
      <c r="B1752" t="str">
        <f>IF(NOT(ISBLANK(A1752)),VLOOKUP(A1752,'BBT3'!A:F,2,0),"")</f>
        <v/>
      </c>
      <c r="C1752" t="str">
        <f>IF(NOT(ISBLANK(A1752)),VLOOKUP(A1752,'BBT3'!A:F,3,0),"")</f>
        <v/>
      </c>
      <c r="D1752" s="6" t="str">
        <f>IF(NOT(ISBLANK(A1752)),VLOOKUP(A1752,'BBT3'!A:F,4,1),"")</f>
        <v/>
      </c>
      <c r="E1752" t="str">
        <f>IF(NOT(ISBLANK(A1752)),VLOOKUP(A1752,'BBT3'!A:F,5,0),"")</f>
        <v/>
      </c>
      <c r="F1752" t="str">
        <f>IF(NOT(ISBLANK(A1752)),VLOOKUP(A1752,'BBT3'!A:F,6,0),"")</f>
        <v/>
      </c>
      <c r="G1752" t="str">
        <f>IF(NOT(ISBLANK(A1752)),VLOOKUP(A1752,QW_Close!A:J,5,0),"")</f>
        <v/>
      </c>
      <c r="H1752" s="5" t="str" cm="1">
        <f t="array" ref="H1752">IF(NOT(ISBLANK(A1752)),((_xlfn.XLOOKUP(1,(_bbt3[[#All],[ID]]=A1752)*(_bbt3[[#All],[METRIC_NAME]]="YLD_YTM_ASK"),_bbt3[[#All],[METRIC_VALUE]])*0.5)+(_xlfn.XLOOKUP(1,(_bbt3[[#All],[ID]]=A1752)*(_bbt3[[#All],[METRIC_NAME]]="YLD_YTM_BID"),_bbt3[[#All],[METRIC_VALUE]])*0.5))/100,"")</f>
        <v/>
      </c>
      <c r="I1752">
        <f>IF(ISNA(VLOOKUP(A1752,QW_CloseDL!A:E,5,0)),0,VLOOKUP(A1752,QW_CloseDL!A:E,5,0))</f>
        <v>0</v>
      </c>
      <c r="J1752" s="8" t="str">
        <f t="shared" si="117"/>
        <v/>
      </c>
    </row>
    <row r="1753" spans="2:10" x14ac:dyDescent="0.35">
      <c r="B1753" t="str">
        <f>IF(NOT(ISBLANK(A1753)),VLOOKUP(A1753,'BBT3'!A:F,2,0),"")</f>
        <v/>
      </c>
      <c r="C1753" t="str">
        <f>IF(NOT(ISBLANK(A1753)),VLOOKUP(A1753,'BBT3'!A:F,3,0),"")</f>
        <v/>
      </c>
      <c r="D1753" s="6" t="str">
        <f>IF(NOT(ISBLANK(A1753)),VLOOKUP(A1753,'BBT3'!A:F,4,1),"")</f>
        <v/>
      </c>
      <c r="E1753" t="str">
        <f>IF(NOT(ISBLANK(A1753)),VLOOKUP(A1753,'BBT3'!A:F,5,0),"")</f>
        <v/>
      </c>
      <c r="F1753" t="str">
        <f>IF(NOT(ISBLANK(A1753)),VLOOKUP(A1753,'BBT3'!A:F,6,0),"")</f>
        <v/>
      </c>
      <c r="G1753" t="str">
        <f>IF(NOT(ISBLANK(A1753)),VLOOKUP(A1753,QW_Close!A:J,5,0),"")</f>
        <v/>
      </c>
      <c r="H1753" s="5" t="str" cm="1">
        <f t="array" ref="H1753">IF(NOT(ISBLANK(A1753)),((_xlfn.XLOOKUP(1,(_bbt3[[#All],[ID]]=A1753)*(_bbt3[[#All],[METRIC_NAME]]="YLD_YTM_ASK"),_bbt3[[#All],[METRIC_VALUE]])*0.5)+(_xlfn.XLOOKUP(1,(_bbt3[[#All],[ID]]=A1753)*(_bbt3[[#All],[METRIC_NAME]]="YLD_YTM_BID"),_bbt3[[#All],[METRIC_VALUE]])*0.5))/100,"")</f>
        <v/>
      </c>
      <c r="I1753">
        <f>IF(ISNA(VLOOKUP(A1753,QW_CloseDL!A:E,5,0)),0,VLOOKUP(A1753,QW_CloseDL!A:E,5,0))</f>
        <v>0</v>
      </c>
      <c r="J1753" s="8" t="str">
        <f t="shared" si="117"/>
        <v/>
      </c>
    </row>
    <row r="1754" spans="2:10" x14ac:dyDescent="0.35">
      <c r="B1754" t="str">
        <f>IF(NOT(ISBLANK(A1754)),VLOOKUP(A1754,'BBT3'!A:F,2,0),"")</f>
        <v/>
      </c>
      <c r="C1754" t="str">
        <f>IF(NOT(ISBLANK(A1754)),VLOOKUP(A1754,'BBT3'!A:F,3,0),"")</f>
        <v/>
      </c>
      <c r="D1754" s="6" t="str">
        <f>IF(NOT(ISBLANK(A1754)),VLOOKUP(A1754,'BBT3'!A:F,4,1),"")</f>
        <v/>
      </c>
      <c r="E1754" t="str">
        <f>IF(NOT(ISBLANK(A1754)),VLOOKUP(A1754,'BBT3'!A:F,5,0),"")</f>
        <v/>
      </c>
      <c r="F1754" t="str">
        <f>IF(NOT(ISBLANK(A1754)),VLOOKUP(A1754,'BBT3'!A:F,6,0),"")</f>
        <v/>
      </c>
      <c r="G1754" t="str">
        <f>IF(NOT(ISBLANK(A1754)),VLOOKUP(A1754,QW_Close!A:J,5,0),"")</f>
        <v/>
      </c>
      <c r="H1754" s="5" t="str" cm="1">
        <f t="array" ref="H1754">IF(NOT(ISBLANK(A1754)),((_xlfn.XLOOKUP(1,(_bbt3[[#All],[ID]]=A1754)*(_bbt3[[#All],[METRIC_NAME]]="YLD_YTM_ASK"),_bbt3[[#All],[METRIC_VALUE]])*0.5)+(_xlfn.XLOOKUP(1,(_bbt3[[#All],[ID]]=A1754)*(_bbt3[[#All],[METRIC_NAME]]="YLD_YTM_BID"),_bbt3[[#All],[METRIC_VALUE]])*0.5))/100,"")</f>
        <v/>
      </c>
      <c r="I1754">
        <f>IF(ISNA(VLOOKUP(A1754,QW_CloseDL!A:E,5,0)),0,VLOOKUP(A1754,QW_CloseDL!A:E,5,0))</f>
        <v>0</v>
      </c>
      <c r="J1754" s="8" t="str">
        <f t="shared" si="117"/>
        <v/>
      </c>
    </row>
    <row r="1755" spans="2:10" x14ac:dyDescent="0.35">
      <c r="B1755" t="str">
        <f>IF(NOT(ISBLANK(A1755)),VLOOKUP(A1755,'BBT3'!A:F,2,0),"")</f>
        <v/>
      </c>
      <c r="C1755" t="str">
        <f>IF(NOT(ISBLANK(A1755)),VLOOKUP(A1755,'BBT3'!A:F,3,0),"")</f>
        <v/>
      </c>
      <c r="D1755" s="6" t="str">
        <f>IF(NOT(ISBLANK(A1755)),VLOOKUP(A1755,'BBT3'!A:F,4,1),"")</f>
        <v/>
      </c>
      <c r="E1755" t="str">
        <f>IF(NOT(ISBLANK(A1755)),VLOOKUP(A1755,'BBT3'!A:F,5,0),"")</f>
        <v/>
      </c>
      <c r="F1755" t="str">
        <f>IF(NOT(ISBLANK(A1755)),VLOOKUP(A1755,'BBT3'!A:F,6,0),"")</f>
        <v/>
      </c>
      <c r="G1755" t="str">
        <f>IF(NOT(ISBLANK(A1755)),VLOOKUP(A1755,QW_Close!A:J,5,0),"")</f>
        <v/>
      </c>
      <c r="H1755" s="5" t="str" cm="1">
        <f t="array" ref="H1755">IF(NOT(ISBLANK(A1755)),((_xlfn.XLOOKUP(1,(_bbt3[[#All],[ID]]=A1755)*(_bbt3[[#All],[METRIC_NAME]]="YLD_YTM_ASK"),_bbt3[[#All],[METRIC_VALUE]])*0.5)+(_xlfn.XLOOKUP(1,(_bbt3[[#All],[ID]]=A1755)*(_bbt3[[#All],[METRIC_NAME]]="YLD_YTM_BID"),_bbt3[[#All],[METRIC_VALUE]])*0.5))/100,"")</f>
        <v/>
      </c>
      <c r="I1755">
        <f>IF(ISNA(VLOOKUP(A1755,QW_CloseDL!A:E,5,0)),0,VLOOKUP(A1755,QW_CloseDL!A:E,5,0))</f>
        <v>0</v>
      </c>
      <c r="J1755" s="8" t="str">
        <f t="shared" si="117"/>
        <v/>
      </c>
    </row>
    <row r="1756" spans="2:10" x14ac:dyDescent="0.35">
      <c r="B1756" t="str">
        <f>IF(NOT(ISBLANK(A1756)),VLOOKUP(A1756,'BBT3'!A:F,2,0),"")</f>
        <v/>
      </c>
      <c r="C1756" t="str">
        <f>IF(NOT(ISBLANK(A1756)),VLOOKUP(A1756,'BBT3'!A:F,3,0),"")</f>
        <v/>
      </c>
      <c r="D1756" s="6" t="str">
        <f>IF(NOT(ISBLANK(A1756)),VLOOKUP(A1756,'BBT3'!A:F,4,1),"")</f>
        <v/>
      </c>
      <c r="E1756" t="str">
        <f>IF(NOT(ISBLANK(A1756)),VLOOKUP(A1756,'BBT3'!A:F,5,0),"")</f>
        <v/>
      </c>
      <c r="F1756" t="str">
        <f>IF(NOT(ISBLANK(A1756)),VLOOKUP(A1756,'BBT3'!A:F,6,0),"")</f>
        <v/>
      </c>
      <c r="G1756" t="str">
        <f>IF(NOT(ISBLANK(A1756)),VLOOKUP(A1756,QW_Close!A:J,5,0),"")</f>
        <v/>
      </c>
      <c r="H1756" s="5" t="str" cm="1">
        <f t="array" ref="H1756">IF(NOT(ISBLANK(A1756)),((_xlfn.XLOOKUP(1,(_bbt3[[#All],[ID]]=A1756)*(_bbt3[[#All],[METRIC_NAME]]="YLD_YTM_ASK"),_bbt3[[#All],[METRIC_VALUE]])*0.5)+(_xlfn.XLOOKUP(1,(_bbt3[[#All],[ID]]=A1756)*(_bbt3[[#All],[METRIC_NAME]]="YLD_YTM_BID"),_bbt3[[#All],[METRIC_VALUE]])*0.5))/100,"")</f>
        <v/>
      </c>
      <c r="I1756">
        <f>IF(ISNA(VLOOKUP(A1756,QW_CloseDL!A:E,5,0)),0,VLOOKUP(A1756,QW_CloseDL!A:E,5,0))</f>
        <v>0</v>
      </c>
      <c r="J1756" s="8" t="str">
        <f t="shared" si="117"/>
        <v/>
      </c>
    </row>
    <row r="1757" spans="2:10" x14ac:dyDescent="0.35">
      <c r="B1757" t="str">
        <f>IF(NOT(ISBLANK(A1757)),VLOOKUP(A1757,'BBT3'!A:F,2,0),"")</f>
        <v/>
      </c>
      <c r="C1757" t="str">
        <f>IF(NOT(ISBLANK(A1757)),VLOOKUP(A1757,'BBT3'!A:F,3,0),"")</f>
        <v/>
      </c>
      <c r="D1757" s="6" t="str">
        <f>IF(NOT(ISBLANK(A1757)),VLOOKUP(A1757,'BBT3'!A:F,4,1),"")</f>
        <v/>
      </c>
      <c r="E1757" t="str">
        <f>IF(NOT(ISBLANK(A1757)),VLOOKUP(A1757,'BBT3'!A:F,5,0),"")</f>
        <v/>
      </c>
      <c r="F1757" t="str">
        <f>IF(NOT(ISBLANK(A1757)),VLOOKUP(A1757,'BBT3'!A:F,6,0),"")</f>
        <v/>
      </c>
      <c r="G1757" t="str">
        <f>IF(NOT(ISBLANK(A1757)),VLOOKUP(A1757,QW_Close!A:J,5,0),"")</f>
        <v/>
      </c>
      <c r="H1757" s="5" t="str" cm="1">
        <f t="array" ref="H1757">IF(NOT(ISBLANK(A1757)),((_xlfn.XLOOKUP(1,(_bbt3[[#All],[ID]]=A1757)*(_bbt3[[#All],[METRIC_NAME]]="YLD_YTM_ASK"),_bbt3[[#All],[METRIC_VALUE]])*0.5)+(_xlfn.XLOOKUP(1,(_bbt3[[#All],[ID]]=A1757)*(_bbt3[[#All],[METRIC_NAME]]="YLD_YTM_BID"),_bbt3[[#All],[METRIC_VALUE]])*0.5))/100,"")</f>
        <v/>
      </c>
      <c r="I1757">
        <f>IF(ISNA(VLOOKUP(A1757,QW_CloseDL!A:E,5,0)),0,VLOOKUP(A1757,QW_CloseDL!A:E,5,0))</f>
        <v>0</v>
      </c>
      <c r="J1757" s="8" t="str">
        <f t="shared" si="117"/>
        <v/>
      </c>
    </row>
    <row r="1758" spans="2:10" x14ac:dyDescent="0.35">
      <c r="B1758" t="str">
        <f>IF(NOT(ISBLANK(A1758)),VLOOKUP(A1758,'BBT3'!A:F,2,0),"")</f>
        <v/>
      </c>
      <c r="C1758" t="str">
        <f>IF(NOT(ISBLANK(A1758)),VLOOKUP(A1758,'BBT3'!A:F,3,0),"")</f>
        <v/>
      </c>
      <c r="D1758" s="6" t="str">
        <f>IF(NOT(ISBLANK(A1758)),VLOOKUP(A1758,'BBT3'!A:F,4,1),"")</f>
        <v/>
      </c>
      <c r="E1758" t="str">
        <f>IF(NOT(ISBLANK(A1758)),VLOOKUP(A1758,'BBT3'!A:F,5,0),"")</f>
        <v/>
      </c>
      <c r="F1758" t="str">
        <f>IF(NOT(ISBLANK(A1758)),VLOOKUP(A1758,'BBT3'!A:F,6,0),"")</f>
        <v/>
      </c>
      <c r="G1758" t="str">
        <f>IF(NOT(ISBLANK(A1758)),VLOOKUP(A1758,QW_Close!A:J,5,0),"")</f>
        <v/>
      </c>
      <c r="H1758" s="5" t="str" cm="1">
        <f t="array" ref="H1758">IF(NOT(ISBLANK(A1758)),((_xlfn.XLOOKUP(1,(_bbt3[[#All],[ID]]=A1758)*(_bbt3[[#All],[METRIC_NAME]]="YLD_YTM_ASK"),_bbt3[[#All],[METRIC_VALUE]])*0.5)+(_xlfn.XLOOKUP(1,(_bbt3[[#All],[ID]]=A1758)*(_bbt3[[#All],[METRIC_NAME]]="YLD_YTM_BID"),_bbt3[[#All],[METRIC_VALUE]])*0.5))/100,"")</f>
        <v/>
      </c>
      <c r="I1758">
        <f>IF(ISNA(VLOOKUP(A1758,QW_CloseDL!A:E,5,0)),0,VLOOKUP(A1758,QW_CloseDL!A:E,5,0))</f>
        <v>0</v>
      </c>
      <c r="J1758" s="8" t="str">
        <f t="shared" si="117"/>
        <v/>
      </c>
    </row>
    <row r="1759" spans="2:10" x14ac:dyDescent="0.35">
      <c r="B1759" t="str">
        <f>IF(NOT(ISBLANK(A1759)),VLOOKUP(A1759,'BBT3'!A:F,2,0),"")</f>
        <v/>
      </c>
      <c r="C1759" t="str">
        <f>IF(NOT(ISBLANK(A1759)),VLOOKUP(A1759,'BBT3'!A:F,3,0),"")</f>
        <v/>
      </c>
      <c r="D1759" s="6" t="str">
        <f>IF(NOT(ISBLANK(A1759)),VLOOKUP(A1759,'BBT3'!A:F,4,1),"")</f>
        <v/>
      </c>
      <c r="E1759" t="str">
        <f>IF(NOT(ISBLANK(A1759)),VLOOKUP(A1759,'BBT3'!A:F,5,0),"")</f>
        <v/>
      </c>
      <c r="F1759" t="str">
        <f>IF(NOT(ISBLANK(A1759)),VLOOKUP(A1759,'BBT3'!A:F,6,0),"")</f>
        <v/>
      </c>
      <c r="G1759" t="str">
        <f>IF(NOT(ISBLANK(A1759)),VLOOKUP(A1759,QW_Close!A:J,5,0),"")</f>
        <v/>
      </c>
      <c r="H1759" s="5" t="str" cm="1">
        <f t="array" ref="H1759">IF(NOT(ISBLANK(A1759)),((_xlfn.XLOOKUP(1,(_bbt3[[#All],[ID]]=A1759)*(_bbt3[[#All],[METRIC_NAME]]="YLD_YTM_ASK"),_bbt3[[#All],[METRIC_VALUE]])*0.5)+(_xlfn.XLOOKUP(1,(_bbt3[[#All],[ID]]=A1759)*(_bbt3[[#All],[METRIC_NAME]]="YLD_YTM_BID"),_bbt3[[#All],[METRIC_VALUE]])*0.5))/100,"")</f>
        <v/>
      </c>
      <c r="I1759">
        <f>IF(ISNA(VLOOKUP(A1759,QW_CloseDL!A:E,5,0)),0,VLOOKUP(A1759,QW_CloseDL!A:E,5,0))</f>
        <v>0</v>
      </c>
      <c r="J1759" s="8" t="str">
        <f t="shared" si="117"/>
        <v/>
      </c>
    </row>
    <row r="1760" spans="2:10" x14ac:dyDescent="0.35">
      <c r="B1760" t="str">
        <f>IF(NOT(ISBLANK(A1760)),VLOOKUP(A1760,'BBT3'!A:F,2,0),"")</f>
        <v/>
      </c>
      <c r="C1760" t="str">
        <f>IF(NOT(ISBLANK(A1760)),VLOOKUP(A1760,'BBT3'!A:F,3,0),"")</f>
        <v/>
      </c>
      <c r="D1760" s="6" t="str">
        <f>IF(NOT(ISBLANK(A1760)),VLOOKUP(A1760,'BBT3'!A:F,4,1),"")</f>
        <v/>
      </c>
      <c r="E1760" t="str">
        <f>IF(NOT(ISBLANK(A1760)),VLOOKUP(A1760,'BBT3'!A:F,5,0),"")</f>
        <v/>
      </c>
      <c r="F1760" t="str">
        <f>IF(NOT(ISBLANK(A1760)),VLOOKUP(A1760,'BBT3'!A:F,6,0),"")</f>
        <v/>
      </c>
      <c r="G1760" t="str">
        <f>IF(NOT(ISBLANK(A1760)),VLOOKUP(A1760,QW_Close!A:J,5,0),"")</f>
        <v/>
      </c>
      <c r="H1760" s="5" t="str" cm="1">
        <f t="array" ref="H1760">IF(NOT(ISBLANK(A1760)),((_xlfn.XLOOKUP(1,(_bbt3[[#All],[ID]]=A1760)*(_bbt3[[#All],[METRIC_NAME]]="YLD_YTM_ASK"),_bbt3[[#All],[METRIC_VALUE]])*0.5)+(_xlfn.XLOOKUP(1,(_bbt3[[#All],[ID]]=A1760)*(_bbt3[[#All],[METRIC_NAME]]="YLD_YTM_BID"),_bbt3[[#All],[METRIC_VALUE]])*0.5))/100,"")</f>
        <v/>
      </c>
      <c r="I1760">
        <f>IF(ISNA(VLOOKUP(A1760,QW_CloseDL!A:E,5,0)),0,VLOOKUP(A1760,QW_CloseDL!A:E,5,0))</f>
        <v>0</v>
      </c>
      <c r="J1760" s="8" t="str">
        <f t="shared" si="117"/>
        <v/>
      </c>
    </row>
    <row r="1761" spans="2:10" x14ac:dyDescent="0.35">
      <c r="B1761" t="str">
        <f>IF(NOT(ISBLANK(A1761)),VLOOKUP(A1761,'BBT3'!A:F,2,0),"")</f>
        <v/>
      </c>
      <c r="C1761" t="str">
        <f>IF(NOT(ISBLANK(A1761)),VLOOKUP(A1761,'BBT3'!A:F,3,0),"")</f>
        <v/>
      </c>
      <c r="D1761" s="6" t="str">
        <f>IF(NOT(ISBLANK(A1761)),VLOOKUP(A1761,'BBT3'!A:F,4,1),"")</f>
        <v/>
      </c>
      <c r="E1761" t="str">
        <f>IF(NOT(ISBLANK(A1761)),VLOOKUP(A1761,'BBT3'!A:F,5,0),"")</f>
        <v/>
      </c>
      <c r="F1761" t="str">
        <f>IF(NOT(ISBLANK(A1761)),VLOOKUP(A1761,'BBT3'!A:F,6,0),"")</f>
        <v/>
      </c>
      <c r="G1761" t="str">
        <f>IF(NOT(ISBLANK(A1761)),VLOOKUP(A1761,QW_Close!A:J,5,0),"")</f>
        <v/>
      </c>
      <c r="H1761" s="5" t="str" cm="1">
        <f t="array" ref="H1761">IF(NOT(ISBLANK(A1761)),((_xlfn.XLOOKUP(1,(_bbt3[[#All],[ID]]=A1761)*(_bbt3[[#All],[METRIC_NAME]]="YLD_YTM_ASK"),_bbt3[[#All],[METRIC_VALUE]])*0.5)+(_xlfn.XLOOKUP(1,(_bbt3[[#All],[ID]]=A1761)*(_bbt3[[#All],[METRIC_NAME]]="YLD_YTM_BID"),_bbt3[[#All],[METRIC_VALUE]])*0.5))/100,"")</f>
        <v/>
      </c>
      <c r="I1761">
        <f>IF(ISNA(VLOOKUP(A1761,QW_CloseDL!A:E,5,0)),0,VLOOKUP(A1761,QW_CloseDL!A:E,5,0))</f>
        <v>0</v>
      </c>
      <c r="J1761" s="8" t="str">
        <f t="shared" si="117"/>
        <v/>
      </c>
    </row>
    <row r="1762" spans="2:10" x14ac:dyDescent="0.35">
      <c r="B1762" t="str">
        <f>IF(NOT(ISBLANK(A1762)),VLOOKUP(A1762,'BBT3'!A:F,2,0),"")</f>
        <v/>
      </c>
      <c r="C1762" t="str">
        <f>IF(NOT(ISBLANK(A1762)),VLOOKUP(A1762,'BBT3'!A:F,3,0),"")</f>
        <v/>
      </c>
      <c r="D1762" s="6" t="str">
        <f>IF(NOT(ISBLANK(A1762)),VLOOKUP(A1762,'BBT3'!A:F,4,1),"")</f>
        <v/>
      </c>
      <c r="E1762" t="str">
        <f>IF(NOT(ISBLANK(A1762)),VLOOKUP(A1762,'BBT3'!A:F,5,0),"")</f>
        <v/>
      </c>
      <c r="F1762" t="str">
        <f>IF(NOT(ISBLANK(A1762)),VLOOKUP(A1762,'BBT3'!A:F,6,0),"")</f>
        <v/>
      </c>
      <c r="G1762" t="str">
        <f>IF(NOT(ISBLANK(A1762)),VLOOKUP(A1762,QW_Close!A:J,5,0),"")</f>
        <v/>
      </c>
      <c r="H1762" s="5" t="str" cm="1">
        <f t="array" ref="H1762">IF(NOT(ISBLANK(A1762)),((_xlfn.XLOOKUP(1,(_bbt3[[#All],[ID]]=A1762)*(_bbt3[[#All],[METRIC_NAME]]="YLD_YTM_ASK"),_bbt3[[#All],[METRIC_VALUE]])*0.5)+(_xlfn.XLOOKUP(1,(_bbt3[[#All],[ID]]=A1762)*(_bbt3[[#All],[METRIC_NAME]]="YLD_YTM_BID"),_bbt3[[#All],[METRIC_VALUE]])*0.5))/100,"")</f>
        <v/>
      </c>
      <c r="I1762">
        <f>IF(ISNA(VLOOKUP(A1762,QW_CloseDL!A:E,5,0)),0,VLOOKUP(A1762,QW_CloseDL!A:E,5,0))</f>
        <v>0</v>
      </c>
      <c r="J1762" s="8" t="str">
        <f t="shared" si="117"/>
        <v/>
      </c>
    </row>
    <row r="1763" spans="2:10" x14ac:dyDescent="0.35">
      <c r="B1763" t="str">
        <f>IF(NOT(ISBLANK(A1763)),VLOOKUP(A1763,'BBT3'!A:F,2,0),"")</f>
        <v/>
      </c>
      <c r="C1763" t="str">
        <f>IF(NOT(ISBLANK(A1763)),VLOOKUP(A1763,'BBT3'!A:F,3,0),"")</f>
        <v/>
      </c>
      <c r="D1763" s="6" t="str">
        <f>IF(NOT(ISBLANK(A1763)),VLOOKUP(A1763,'BBT3'!A:F,4,1),"")</f>
        <v/>
      </c>
      <c r="E1763" t="str">
        <f>IF(NOT(ISBLANK(A1763)),VLOOKUP(A1763,'BBT3'!A:F,5,0),"")</f>
        <v/>
      </c>
      <c r="F1763" t="str">
        <f>IF(NOT(ISBLANK(A1763)),VLOOKUP(A1763,'BBT3'!A:F,6,0),"")</f>
        <v/>
      </c>
      <c r="G1763" t="str">
        <f>IF(NOT(ISBLANK(A1763)),VLOOKUP(A1763,QW_Close!A:J,5,0),"")</f>
        <v/>
      </c>
      <c r="H1763" s="5" t="str" cm="1">
        <f t="array" ref="H1763">IF(NOT(ISBLANK(A1763)),((_xlfn.XLOOKUP(1,(_bbt3[[#All],[ID]]=A1763)*(_bbt3[[#All],[METRIC_NAME]]="YLD_YTM_ASK"),_bbt3[[#All],[METRIC_VALUE]])*0.5)+(_xlfn.XLOOKUP(1,(_bbt3[[#All],[ID]]=A1763)*(_bbt3[[#All],[METRIC_NAME]]="YLD_YTM_BID"),_bbt3[[#All],[METRIC_VALUE]])*0.5))/100,"")</f>
        <v/>
      </c>
      <c r="I1763">
        <f>IF(ISNA(VLOOKUP(A1763,QW_CloseDL!A:E,5,0)),0,VLOOKUP(A1763,QW_CloseDL!A:E,5,0))</f>
        <v>0</v>
      </c>
      <c r="J1763" s="8" t="str">
        <f t="shared" si="117"/>
        <v/>
      </c>
    </row>
    <row r="1764" spans="2:10" x14ac:dyDescent="0.35">
      <c r="B1764" t="str">
        <f>IF(NOT(ISBLANK(A1764)),VLOOKUP(A1764,'BBT3'!A:F,2,0),"")</f>
        <v/>
      </c>
      <c r="C1764" t="str">
        <f>IF(NOT(ISBLANK(A1764)),VLOOKUP(A1764,'BBT3'!A:F,3,0),"")</f>
        <v/>
      </c>
      <c r="D1764" s="6" t="str">
        <f>IF(NOT(ISBLANK(A1764)),VLOOKUP(A1764,'BBT3'!A:F,4,1),"")</f>
        <v/>
      </c>
      <c r="E1764" t="str">
        <f>IF(NOT(ISBLANK(A1764)),VLOOKUP(A1764,'BBT3'!A:F,5,0),"")</f>
        <v/>
      </c>
      <c r="F1764" t="str">
        <f>IF(NOT(ISBLANK(A1764)),VLOOKUP(A1764,'BBT3'!A:F,6,0),"")</f>
        <v/>
      </c>
      <c r="G1764" t="str">
        <f>IF(NOT(ISBLANK(A1764)),VLOOKUP(A1764,QW_Close!A:J,5,0),"")</f>
        <v/>
      </c>
      <c r="H1764" s="5" t="str" cm="1">
        <f t="array" ref="H1764">IF(NOT(ISBLANK(A1764)),((_xlfn.XLOOKUP(1,(_bbt3[[#All],[ID]]=A1764)*(_bbt3[[#All],[METRIC_NAME]]="YLD_YTM_ASK"),_bbt3[[#All],[METRIC_VALUE]])*0.5)+(_xlfn.XLOOKUP(1,(_bbt3[[#All],[ID]]=A1764)*(_bbt3[[#All],[METRIC_NAME]]="YLD_YTM_BID"),_bbt3[[#All],[METRIC_VALUE]])*0.5))/100,"")</f>
        <v/>
      </c>
      <c r="I1764">
        <f>IF(ISNA(VLOOKUP(A1764,QW_CloseDL!A:E,5,0)),0,VLOOKUP(A1764,QW_CloseDL!A:E,5,0))</f>
        <v>0</v>
      </c>
      <c r="J1764" s="8" t="str">
        <f t="shared" si="117"/>
        <v/>
      </c>
    </row>
    <row r="1765" spans="2:10" x14ac:dyDescent="0.35">
      <c r="B1765" t="str">
        <f>IF(NOT(ISBLANK(A1765)),VLOOKUP(A1765,'BBT3'!A:F,2,0),"")</f>
        <v/>
      </c>
      <c r="C1765" t="str">
        <f>IF(NOT(ISBLANK(A1765)),VLOOKUP(A1765,'BBT3'!A:F,3,0),"")</f>
        <v/>
      </c>
      <c r="D1765" s="6" t="str">
        <f>IF(NOT(ISBLANK(A1765)),VLOOKUP(A1765,'BBT3'!A:F,4,1),"")</f>
        <v/>
      </c>
      <c r="E1765" t="str">
        <f>IF(NOT(ISBLANK(A1765)),VLOOKUP(A1765,'BBT3'!A:F,5,0),"")</f>
        <v/>
      </c>
      <c r="F1765" t="str">
        <f>IF(NOT(ISBLANK(A1765)),VLOOKUP(A1765,'BBT3'!A:F,6,0),"")</f>
        <v/>
      </c>
      <c r="G1765" t="str">
        <f>IF(NOT(ISBLANK(A1765)),VLOOKUP(A1765,QW_Close!A:J,5,0),"")</f>
        <v/>
      </c>
      <c r="H1765" s="5" t="str" cm="1">
        <f t="array" ref="H1765">IF(NOT(ISBLANK(A1765)),((_xlfn.XLOOKUP(1,(_bbt3[[#All],[ID]]=A1765)*(_bbt3[[#All],[METRIC_NAME]]="YLD_YTM_ASK"),_bbt3[[#All],[METRIC_VALUE]])*0.5)+(_xlfn.XLOOKUP(1,(_bbt3[[#All],[ID]]=A1765)*(_bbt3[[#All],[METRIC_NAME]]="YLD_YTM_BID"),_bbt3[[#All],[METRIC_VALUE]])*0.5))/100,"")</f>
        <v/>
      </c>
      <c r="I1765">
        <f>IF(ISNA(VLOOKUP(A1765,QW_CloseDL!A:E,5,0)),0,VLOOKUP(A1765,QW_CloseDL!A:E,5,0))</f>
        <v>0</v>
      </c>
      <c r="J1765" s="8" t="str">
        <f t="shared" si="117"/>
        <v/>
      </c>
    </row>
    <row r="1766" spans="2:10" x14ac:dyDescent="0.35">
      <c r="B1766" t="str">
        <f>IF(NOT(ISBLANK(A1766)),VLOOKUP(A1766,'BBT3'!A:F,2,0),"")</f>
        <v/>
      </c>
      <c r="C1766" t="str">
        <f>IF(NOT(ISBLANK(A1766)),VLOOKUP(A1766,'BBT3'!A:F,3,0),"")</f>
        <v/>
      </c>
      <c r="D1766" s="6" t="str">
        <f>IF(NOT(ISBLANK(A1766)),VLOOKUP(A1766,'BBT3'!A:F,4,1),"")</f>
        <v/>
      </c>
      <c r="E1766" t="str">
        <f>IF(NOT(ISBLANK(A1766)),VLOOKUP(A1766,'BBT3'!A:F,5,0),"")</f>
        <v/>
      </c>
      <c r="F1766" t="str">
        <f>IF(NOT(ISBLANK(A1766)),VLOOKUP(A1766,'BBT3'!A:F,6,0),"")</f>
        <v/>
      </c>
      <c r="G1766" t="str">
        <f>IF(NOT(ISBLANK(A1766)),VLOOKUP(A1766,QW_Close!A:J,5,0),"")</f>
        <v/>
      </c>
      <c r="H1766" s="5" t="str" cm="1">
        <f t="array" ref="H1766">IF(NOT(ISBLANK(A1766)),((_xlfn.XLOOKUP(1,(_bbt3[[#All],[ID]]=A1766)*(_bbt3[[#All],[METRIC_NAME]]="YLD_YTM_ASK"),_bbt3[[#All],[METRIC_VALUE]])*0.5)+(_xlfn.XLOOKUP(1,(_bbt3[[#All],[ID]]=A1766)*(_bbt3[[#All],[METRIC_NAME]]="YLD_YTM_BID"),_bbt3[[#All],[METRIC_VALUE]])*0.5))/100,"")</f>
        <v/>
      </c>
      <c r="I1766">
        <f>IF(ISNA(VLOOKUP(A1766,QW_CloseDL!A:E,5,0)),0,VLOOKUP(A1766,QW_CloseDL!A:E,5,0))</f>
        <v>0</v>
      </c>
      <c r="J1766" s="8" t="str">
        <f t="shared" si="117"/>
        <v/>
      </c>
    </row>
    <row r="1767" spans="2:10" x14ac:dyDescent="0.35">
      <c r="B1767" t="str">
        <f>IF(NOT(ISBLANK(A1767)),VLOOKUP(A1767,'BBT3'!A:F,2,0),"")</f>
        <v/>
      </c>
      <c r="C1767" t="str">
        <f>IF(NOT(ISBLANK(A1767)),VLOOKUP(A1767,'BBT3'!A:F,3,0),"")</f>
        <v/>
      </c>
      <c r="D1767" s="6" t="str">
        <f>IF(NOT(ISBLANK(A1767)),VLOOKUP(A1767,'BBT3'!A:F,4,1),"")</f>
        <v/>
      </c>
      <c r="E1767" t="str">
        <f>IF(NOT(ISBLANK(A1767)),VLOOKUP(A1767,'BBT3'!A:F,5,0),"")</f>
        <v/>
      </c>
      <c r="F1767" t="str">
        <f>IF(NOT(ISBLANK(A1767)),VLOOKUP(A1767,'BBT3'!A:F,6,0),"")</f>
        <v/>
      </c>
      <c r="G1767" t="str">
        <f>IF(NOT(ISBLANK(A1767)),VLOOKUP(A1767,QW_Close!A:J,5,0),"")</f>
        <v/>
      </c>
      <c r="H1767" s="5" t="str" cm="1">
        <f t="array" ref="H1767">IF(NOT(ISBLANK(A1767)),((_xlfn.XLOOKUP(1,(_bbt3[[#All],[ID]]=A1767)*(_bbt3[[#All],[METRIC_NAME]]="YLD_YTM_ASK"),_bbt3[[#All],[METRIC_VALUE]])*0.5)+(_xlfn.XLOOKUP(1,(_bbt3[[#All],[ID]]=A1767)*(_bbt3[[#All],[METRIC_NAME]]="YLD_YTM_BID"),_bbt3[[#All],[METRIC_VALUE]])*0.5))/100,"")</f>
        <v/>
      </c>
      <c r="I1767">
        <f>IF(ISNA(VLOOKUP(A1767,QW_CloseDL!A:E,5,0)),0,VLOOKUP(A1767,QW_CloseDL!A:E,5,0))</f>
        <v>0</v>
      </c>
      <c r="J1767" s="8" t="str">
        <f t="shared" si="117"/>
        <v/>
      </c>
    </row>
    <row r="1768" spans="2:10" x14ac:dyDescent="0.35">
      <c r="B1768" t="str">
        <f>IF(NOT(ISBLANK(A1768)),VLOOKUP(A1768,'BBT3'!A:F,2,0),"")</f>
        <v/>
      </c>
      <c r="C1768" t="str">
        <f>IF(NOT(ISBLANK(A1768)),VLOOKUP(A1768,'BBT3'!A:F,3,0),"")</f>
        <v/>
      </c>
      <c r="D1768" s="6" t="str">
        <f>IF(NOT(ISBLANK(A1768)),VLOOKUP(A1768,'BBT3'!A:F,4,1),"")</f>
        <v/>
      </c>
      <c r="E1768" t="str">
        <f>IF(NOT(ISBLANK(A1768)),VLOOKUP(A1768,'BBT3'!A:F,5,0),"")</f>
        <v/>
      </c>
      <c r="F1768" t="str">
        <f>IF(NOT(ISBLANK(A1768)),VLOOKUP(A1768,'BBT3'!A:F,6,0),"")</f>
        <v/>
      </c>
      <c r="G1768" t="str">
        <f>IF(NOT(ISBLANK(A1768)),VLOOKUP(A1768,QW_Close!A:J,5,0),"")</f>
        <v/>
      </c>
      <c r="H1768" s="5" t="str" cm="1">
        <f t="array" ref="H1768">IF(NOT(ISBLANK(A1768)),((_xlfn.XLOOKUP(1,(_bbt3[[#All],[ID]]=A1768)*(_bbt3[[#All],[METRIC_NAME]]="YLD_YTM_ASK"),_bbt3[[#All],[METRIC_VALUE]])*0.5)+(_xlfn.XLOOKUP(1,(_bbt3[[#All],[ID]]=A1768)*(_bbt3[[#All],[METRIC_NAME]]="YLD_YTM_BID"),_bbt3[[#All],[METRIC_VALUE]])*0.5))/100,"")</f>
        <v/>
      </c>
      <c r="I1768">
        <f>IF(ISNA(VLOOKUP(A1768,QW_CloseDL!A:E,5,0)),0,VLOOKUP(A1768,QW_CloseDL!A:E,5,0))</f>
        <v>0</v>
      </c>
      <c r="J1768" s="8" t="str">
        <f t="shared" si="117"/>
        <v/>
      </c>
    </row>
    <row r="1769" spans="2:10" x14ac:dyDescent="0.35">
      <c r="B1769" t="str">
        <f>IF(NOT(ISBLANK(A1769)),VLOOKUP(A1769,'BBT3'!A:F,2,0),"")</f>
        <v/>
      </c>
      <c r="C1769" t="str">
        <f>IF(NOT(ISBLANK(A1769)),VLOOKUP(A1769,'BBT3'!A:F,3,0),"")</f>
        <v/>
      </c>
      <c r="D1769" s="6" t="str">
        <f>IF(NOT(ISBLANK(A1769)),VLOOKUP(A1769,'BBT3'!A:F,4,1),"")</f>
        <v/>
      </c>
      <c r="E1769" t="str">
        <f>IF(NOT(ISBLANK(A1769)),VLOOKUP(A1769,'BBT3'!A:F,5,0),"")</f>
        <v/>
      </c>
      <c r="F1769" t="str">
        <f>IF(NOT(ISBLANK(A1769)),VLOOKUP(A1769,'BBT3'!A:F,6,0),"")</f>
        <v/>
      </c>
      <c r="G1769" t="str">
        <f>IF(NOT(ISBLANK(A1769)),VLOOKUP(A1769,QW_Close!A:J,5,0),"")</f>
        <v/>
      </c>
      <c r="H1769" s="5" t="str" cm="1">
        <f t="array" ref="H1769">IF(NOT(ISBLANK(A1769)),((_xlfn.XLOOKUP(1,(_bbt3[[#All],[ID]]=A1769)*(_bbt3[[#All],[METRIC_NAME]]="YLD_YTM_ASK"),_bbt3[[#All],[METRIC_VALUE]])*0.5)+(_xlfn.XLOOKUP(1,(_bbt3[[#All],[ID]]=A1769)*(_bbt3[[#All],[METRIC_NAME]]="YLD_YTM_BID"),_bbt3[[#All],[METRIC_VALUE]])*0.5))/100,"")</f>
        <v/>
      </c>
      <c r="I1769">
        <f>IF(ISNA(VLOOKUP(A1769,QW_CloseDL!A:E,5,0)),0,VLOOKUP(A1769,QW_CloseDL!A:E,5,0))</f>
        <v>0</v>
      </c>
      <c r="J1769" s="8" t="str">
        <f t="shared" si="117"/>
        <v/>
      </c>
    </row>
    <row r="1770" spans="2:10" x14ac:dyDescent="0.35">
      <c r="B1770" t="str">
        <f>IF(NOT(ISBLANK(A1770)),VLOOKUP(A1770,'BBT3'!A:F,2,0),"")</f>
        <v/>
      </c>
      <c r="C1770" t="str">
        <f>IF(NOT(ISBLANK(A1770)),VLOOKUP(A1770,'BBT3'!A:F,3,0),"")</f>
        <v/>
      </c>
      <c r="D1770" s="6" t="str">
        <f>IF(NOT(ISBLANK(A1770)),VLOOKUP(A1770,'BBT3'!A:F,4,1),"")</f>
        <v/>
      </c>
      <c r="E1770" t="str">
        <f>IF(NOT(ISBLANK(A1770)),VLOOKUP(A1770,'BBT3'!A:F,5,0),"")</f>
        <v/>
      </c>
      <c r="F1770" t="str">
        <f>IF(NOT(ISBLANK(A1770)),VLOOKUP(A1770,'BBT3'!A:F,6,0),"")</f>
        <v/>
      </c>
      <c r="G1770" t="str">
        <f>IF(NOT(ISBLANK(A1770)),VLOOKUP(A1770,QW_Close!A:J,5,0),"")</f>
        <v/>
      </c>
      <c r="H1770" s="5" t="str" cm="1">
        <f t="array" ref="H1770">IF(NOT(ISBLANK(A1770)),((_xlfn.XLOOKUP(1,(_bbt3[[#All],[ID]]=A1770)*(_bbt3[[#All],[METRIC_NAME]]="YLD_YTM_ASK"),_bbt3[[#All],[METRIC_VALUE]])*0.5)+(_xlfn.XLOOKUP(1,(_bbt3[[#All],[ID]]=A1770)*(_bbt3[[#All],[METRIC_NAME]]="YLD_YTM_BID"),_bbt3[[#All],[METRIC_VALUE]])*0.5))/100,"")</f>
        <v/>
      </c>
      <c r="I1770">
        <f>IF(ISNA(VLOOKUP(A1770,QW_CloseDL!A:E,5,0)),0,VLOOKUP(A1770,QW_CloseDL!A:E,5,0))</f>
        <v>0</v>
      </c>
      <c r="J1770" s="8" t="str">
        <f t="shared" si="117"/>
        <v/>
      </c>
    </row>
    <row r="1771" spans="2:10" x14ac:dyDescent="0.35">
      <c r="B1771" t="str">
        <f>IF(NOT(ISBLANK(A1771)),VLOOKUP(A1771,'BBT3'!A:F,2,0),"")</f>
        <v/>
      </c>
      <c r="C1771" t="str">
        <f>IF(NOT(ISBLANK(A1771)),VLOOKUP(A1771,'BBT3'!A:F,3,0),"")</f>
        <v/>
      </c>
      <c r="D1771" s="6" t="str">
        <f>IF(NOT(ISBLANK(A1771)),VLOOKUP(A1771,'BBT3'!A:F,4,1),"")</f>
        <v/>
      </c>
      <c r="E1771" t="str">
        <f>IF(NOT(ISBLANK(A1771)),VLOOKUP(A1771,'BBT3'!A:F,5,0),"")</f>
        <v/>
      </c>
      <c r="F1771" t="str">
        <f>IF(NOT(ISBLANK(A1771)),VLOOKUP(A1771,'BBT3'!A:F,6,0),"")</f>
        <v/>
      </c>
      <c r="G1771" t="str">
        <f>IF(NOT(ISBLANK(A1771)),VLOOKUP(A1771,QW_Close!A:J,5,0),"")</f>
        <v/>
      </c>
      <c r="H1771" s="5" t="str" cm="1">
        <f t="array" ref="H1771">IF(NOT(ISBLANK(A1771)),((_xlfn.XLOOKUP(1,(_bbt3[[#All],[ID]]=A1771)*(_bbt3[[#All],[METRIC_NAME]]="YLD_YTM_ASK"),_bbt3[[#All],[METRIC_VALUE]])*0.5)+(_xlfn.XLOOKUP(1,(_bbt3[[#All],[ID]]=A1771)*(_bbt3[[#All],[METRIC_NAME]]="YLD_YTM_BID"),_bbt3[[#All],[METRIC_VALUE]])*0.5))/100,"")</f>
        <v/>
      </c>
      <c r="I1771">
        <f>IF(ISNA(VLOOKUP(A1771,QW_CloseDL!A:E,5,0)),0,VLOOKUP(A1771,QW_CloseDL!A:E,5,0))</f>
        <v>0</v>
      </c>
      <c r="J1771" s="8" t="str">
        <f t="shared" si="117"/>
        <v/>
      </c>
    </row>
    <row r="1772" spans="2:10" x14ac:dyDescent="0.35">
      <c r="B1772" t="str">
        <f>IF(NOT(ISBLANK(A1772)),VLOOKUP(A1772,'BBT3'!A:F,2,0),"")</f>
        <v/>
      </c>
      <c r="C1772" t="str">
        <f>IF(NOT(ISBLANK(A1772)),VLOOKUP(A1772,'BBT3'!A:F,3,0),"")</f>
        <v/>
      </c>
      <c r="D1772" s="6" t="str">
        <f>IF(NOT(ISBLANK(A1772)),VLOOKUP(A1772,'BBT3'!A:F,4,1),"")</f>
        <v/>
      </c>
      <c r="E1772" t="str">
        <f>IF(NOT(ISBLANK(A1772)),VLOOKUP(A1772,'BBT3'!A:F,5,0),"")</f>
        <v/>
      </c>
      <c r="F1772" t="str">
        <f>IF(NOT(ISBLANK(A1772)),VLOOKUP(A1772,'BBT3'!A:F,6,0),"")</f>
        <v/>
      </c>
      <c r="G1772" t="str">
        <f>IF(NOT(ISBLANK(A1772)),VLOOKUP(A1772,QW_Close!A:J,5,0),"")</f>
        <v/>
      </c>
      <c r="H1772" s="5" t="str" cm="1">
        <f t="array" ref="H1772">IF(NOT(ISBLANK(A1772)),((_xlfn.XLOOKUP(1,(_bbt3[[#All],[ID]]=A1772)*(_bbt3[[#All],[METRIC_NAME]]="YLD_YTM_ASK"),_bbt3[[#All],[METRIC_VALUE]])*0.5)+(_xlfn.XLOOKUP(1,(_bbt3[[#All],[ID]]=A1772)*(_bbt3[[#All],[METRIC_NAME]]="YLD_YTM_BID"),_bbt3[[#All],[METRIC_VALUE]])*0.5))/100,"")</f>
        <v/>
      </c>
      <c r="I1772">
        <f>IF(ISNA(VLOOKUP(A1772,QW_CloseDL!A:E,5,0)),0,VLOOKUP(A1772,QW_CloseDL!A:E,5,0))</f>
        <v>0</v>
      </c>
      <c r="J1772" s="8" t="str">
        <f t="shared" si="117"/>
        <v/>
      </c>
    </row>
    <row r="1773" spans="2:10" x14ac:dyDescent="0.35">
      <c r="B1773" t="str">
        <f>IF(NOT(ISBLANK(A1773)),VLOOKUP(A1773,'BBT3'!A:F,2,0),"")</f>
        <v/>
      </c>
      <c r="C1773" t="str">
        <f>IF(NOT(ISBLANK(A1773)),VLOOKUP(A1773,'BBT3'!A:F,3,0),"")</f>
        <v/>
      </c>
      <c r="D1773" s="6" t="str">
        <f>IF(NOT(ISBLANK(A1773)),VLOOKUP(A1773,'BBT3'!A:F,4,1),"")</f>
        <v/>
      </c>
      <c r="E1773" t="str">
        <f>IF(NOT(ISBLANK(A1773)),VLOOKUP(A1773,'BBT3'!A:F,5,0),"")</f>
        <v/>
      </c>
      <c r="F1773" t="str">
        <f>IF(NOT(ISBLANK(A1773)),VLOOKUP(A1773,'BBT3'!A:F,6,0),"")</f>
        <v/>
      </c>
      <c r="G1773" t="str">
        <f>IF(NOT(ISBLANK(A1773)),VLOOKUP(A1773,QW_Close!A:J,5,0),"")</f>
        <v/>
      </c>
      <c r="H1773" s="5" t="str" cm="1">
        <f t="array" ref="H1773">IF(NOT(ISBLANK(A1773)),((_xlfn.XLOOKUP(1,(_bbt3[[#All],[ID]]=A1773)*(_bbt3[[#All],[METRIC_NAME]]="YLD_YTM_ASK"),_bbt3[[#All],[METRIC_VALUE]])*0.5)+(_xlfn.XLOOKUP(1,(_bbt3[[#All],[ID]]=A1773)*(_bbt3[[#All],[METRIC_NAME]]="YLD_YTM_BID"),_bbt3[[#All],[METRIC_VALUE]])*0.5))/100,"")</f>
        <v/>
      </c>
      <c r="I1773">
        <f>IF(ISNA(VLOOKUP(A1773,QW_CloseDL!A:E,5,0)),0,VLOOKUP(A1773,QW_CloseDL!A:E,5,0))</f>
        <v>0</v>
      </c>
      <c r="J1773" s="8" t="str">
        <f t="shared" si="117"/>
        <v/>
      </c>
    </row>
    <row r="1774" spans="2:10" x14ac:dyDescent="0.35">
      <c r="B1774" t="str">
        <f>IF(NOT(ISBLANK(A1774)),VLOOKUP(A1774,'BBT3'!A:F,2,0),"")</f>
        <v/>
      </c>
      <c r="C1774" t="str">
        <f>IF(NOT(ISBLANK(A1774)),VLOOKUP(A1774,'BBT3'!A:F,3,0),"")</f>
        <v/>
      </c>
      <c r="D1774" s="6" t="str">
        <f>IF(NOT(ISBLANK(A1774)),VLOOKUP(A1774,'BBT3'!A:F,4,1),"")</f>
        <v/>
      </c>
      <c r="E1774" t="str">
        <f>IF(NOT(ISBLANK(A1774)),VLOOKUP(A1774,'BBT3'!A:F,5,0),"")</f>
        <v/>
      </c>
      <c r="F1774" t="str">
        <f>IF(NOT(ISBLANK(A1774)),VLOOKUP(A1774,'BBT3'!A:F,6,0),"")</f>
        <v/>
      </c>
      <c r="G1774" t="str">
        <f>IF(NOT(ISBLANK(A1774)),VLOOKUP(A1774,QW_Close!A:J,5,0),"")</f>
        <v/>
      </c>
      <c r="H1774" s="5" t="str" cm="1">
        <f t="array" ref="H1774">IF(NOT(ISBLANK(A1774)),((_xlfn.XLOOKUP(1,(_bbt3[[#All],[ID]]=A1774)*(_bbt3[[#All],[METRIC_NAME]]="YLD_YTM_ASK"),_bbt3[[#All],[METRIC_VALUE]])*0.5)+(_xlfn.XLOOKUP(1,(_bbt3[[#All],[ID]]=A1774)*(_bbt3[[#All],[METRIC_NAME]]="YLD_YTM_BID"),_bbt3[[#All],[METRIC_VALUE]])*0.5))/100,"")</f>
        <v/>
      </c>
      <c r="I1774">
        <f>IF(ISNA(VLOOKUP(A1774,QW_CloseDL!A:E,5,0)),0,VLOOKUP(A1774,QW_CloseDL!A:E,5,0))</f>
        <v>0</v>
      </c>
      <c r="J1774" s="8" t="str">
        <f t="shared" si="117"/>
        <v/>
      </c>
    </row>
    <row r="1775" spans="2:10" x14ac:dyDescent="0.35">
      <c r="B1775" t="str">
        <f>IF(NOT(ISBLANK(A1775)),VLOOKUP(A1775,'BBT3'!A:F,2,0),"")</f>
        <v/>
      </c>
      <c r="C1775" t="str">
        <f>IF(NOT(ISBLANK(A1775)),VLOOKUP(A1775,'BBT3'!A:F,3,0),"")</f>
        <v/>
      </c>
      <c r="D1775" s="6" t="str">
        <f>IF(NOT(ISBLANK(A1775)),VLOOKUP(A1775,'BBT3'!A:F,4,1),"")</f>
        <v/>
      </c>
      <c r="E1775" t="str">
        <f>IF(NOT(ISBLANK(A1775)),VLOOKUP(A1775,'BBT3'!A:F,5,0),"")</f>
        <v/>
      </c>
      <c r="F1775" t="str">
        <f>IF(NOT(ISBLANK(A1775)),VLOOKUP(A1775,'BBT3'!A:F,6,0),"")</f>
        <v/>
      </c>
      <c r="G1775" t="str">
        <f>IF(NOT(ISBLANK(A1775)),VLOOKUP(A1775,QW_Close!A:J,5,0),"")</f>
        <v/>
      </c>
      <c r="H1775" s="5" t="str" cm="1">
        <f t="array" ref="H1775">IF(NOT(ISBLANK(A1775)),((_xlfn.XLOOKUP(1,(_bbt3[[#All],[ID]]=A1775)*(_bbt3[[#All],[METRIC_NAME]]="YLD_YTM_ASK"),_bbt3[[#All],[METRIC_VALUE]])*0.5)+(_xlfn.XLOOKUP(1,(_bbt3[[#All],[ID]]=A1775)*(_bbt3[[#All],[METRIC_NAME]]="YLD_YTM_BID"),_bbt3[[#All],[METRIC_VALUE]])*0.5))/100,"")</f>
        <v/>
      </c>
      <c r="I1775">
        <f>IF(ISNA(VLOOKUP(A1775,QW_CloseDL!A:E,5,0)),0,VLOOKUP(A1775,QW_CloseDL!A:E,5,0))</f>
        <v>0</v>
      </c>
      <c r="J1775" s="8" t="str">
        <f t="shared" si="117"/>
        <v/>
      </c>
    </row>
    <row r="1776" spans="2:10" x14ac:dyDescent="0.35">
      <c r="B1776" t="str">
        <f>IF(NOT(ISBLANK(A1776)),VLOOKUP(A1776,'BBT3'!A:F,2,0),"")</f>
        <v/>
      </c>
      <c r="C1776" t="str">
        <f>IF(NOT(ISBLANK(A1776)),VLOOKUP(A1776,'BBT3'!A:F,3,0),"")</f>
        <v/>
      </c>
      <c r="D1776" s="6" t="str">
        <f>IF(NOT(ISBLANK(A1776)),VLOOKUP(A1776,'BBT3'!A:F,4,1),"")</f>
        <v/>
      </c>
      <c r="E1776" t="str">
        <f>IF(NOT(ISBLANK(A1776)),VLOOKUP(A1776,'BBT3'!A:F,5,0),"")</f>
        <v/>
      </c>
      <c r="F1776" t="str">
        <f>IF(NOT(ISBLANK(A1776)),VLOOKUP(A1776,'BBT3'!A:F,6,0),"")</f>
        <v/>
      </c>
      <c r="G1776" t="str">
        <f>IF(NOT(ISBLANK(A1776)),VLOOKUP(A1776,QW_Close!A:J,5,0),"")</f>
        <v/>
      </c>
      <c r="H1776" s="5" t="str" cm="1">
        <f t="array" ref="H1776">IF(NOT(ISBLANK(A1776)),((_xlfn.XLOOKUP(1,(_bbt3[[#All],[ID]]=A1776)*(_bbt3[[#All],[METRIC_NAME]]="YLD_YTM_ASK"),_bbt3[[#All],[METRIC_VALUE]])*0.5)+(_xlfn.XLOOKUP(1,(_bbt3[[#All],[ID]]=A1776)*(_bbt3[[#All],[METRIC_NAME]]="YLD_YTM_BID"),_bbt3[[#All],[METRIC_VALUE]])*0.5))/100,"")</f>
        <v/>
      </c>
      <c r="I1776">
        <f>IF(ISNA(VLOOKUP(A1776,QW_CloseDL!A:E,5,0)),0,VLOOKUP(A1776,QW_CloseDL!A:E,5,0))</f>
        <v>0</v>
      </c>
      <c r="J1776" s="8" t="str">
        <f t="shared" si="117"/>
        <v/>
      </c>
    </row>
    <row r="1777" spans="2:10" x14ac:dyDescent="0.35">
      <c r="B1777" t="str">
        <f>IF(NOT(ISBLANK(A1777)),VLOOKUP(A1777,'BBT3'!A:F,2,0),"")</f>
        <v/>
      </c>
      <c r="C1777" t="str">
        <f>IF(NOT(ISBLANK(A1777)),VLOOKUP(A1777,'BBT3'!A:F,3,0),"")</f>
        <v/>
      </c>
      <c r="D1777" s="6" t="str">
        <f>IF(NOT(ISBLANK(A1777)),VLOOKUP(A1777,'BBT3'!A:F,4,1),"")</f>
        <v/>
      </c>
      <c r="E1777" t="str">
        <f>IF(NOT(ISBLANK(A1777)),VLOOKUP(A1777,'BBT3'!A:F,5,0),"")</f>
        <v/>
      </c>
      <c r="F1777" t="str">
        <f>IF(NOT(ISBLANK(A1777)),VLOOKUP(A1777,'BBT3'!A:F,6,0),"")</f>
        <v/>
      </c>
      <c r="G1777" t="str">
        <f>IF(NOT(ISBLANK(A1777)),VLOOKUP(A1777,QW_Close!A:J,5,0),"")</f>
        <v/>
      </c>
      <c r="H1777" s="5" t="str" cm="1">
        <f t="array" ref="H1777">IF(NOT(ISBLANK(A1777)),((_xlfn.XLOOKUP(1,(_bbt3[[#All],[ID]]=A1777)*(_bbt3[[#All],[METRIC_NAME]]="YLD_YTM_ASK"),_bbt3[[#All],[METRIC_VALUE]])*0.5)+(_xlfn.XLOOKUP(1,(_bbt3[[#All],[ID]]=A1777)*(_bbt3[[#All],[METRIC_NAME]]="YLD_YTM_BID"),_bbt3[[#All],[METRIC_VALUE]])*0.5))/100,"")</f>
        <v/>
      </c>
      <c r="I1777">
        <f>IF(ISNA(VLOOKUP(A1777,QW_CloseDL!A:E,5,0)),0,VLOOKUP(A1777,QW_CloseDL!A:E,5,0))</f>
        <v>0</v>
      </c>
      <c r="J1777" s="8" t="str">
        <f t="shared" si="117"/>
        <v/>
      </c>
    </row>
    <row r="1778" spans="2:10" x14ac:dyDescent="0.35">
      <c r="B1778" t="str">
        <f>IF(NOT(ISBLANK(A1778)),VLOOKUP(A1778,'BBT3'!A:F,2,0),"")</f>
        <v/>
      </c>
      <c r="C1778" t="str">
        <f>IF(NOT(ISBLANK(A1778)),VLOOKUP(A1778,'BBT3'!A:F,3,0),"")</f>
        <v/>
      </c>
      <c r="D1778" s="6" t="str">
        <f>IF(NOT(ISBLANK(A1778)),VLOOKUP(A1778,'BBT3'!A:F,4,1),"")</f>
        <v/>
      </c>
      <c r="E1778" t="str">
        <f>IF(NOT(ISBLANK(A1778)),VLOOKUP(A1778,'BBT3'!A:F,5,0),"")</f>
        <v/>
      </c>
      <c r="F1778" t="str">
        <f>IF(NOT(ISBLANK(A1778)),VLOOKUP(A1778,'BBT3'!A:F,6,0),"")</f>
        <v/>
      </c>
      <c r="G1778" t="str">
        <f>IF(NOT(ISBLANK(A1778)),VLOOKUP(A1778,QW_Close!A:J,5,0),"")</f>
        <v/>
      </c>
      <c r="H1778" s="5" t="str" cm="1">
        <f t="array" ref="H1778">IF(NOT(ISBLANK(A1778)),((_xlfn.XLOOKUP(1,(_bbt3[[#All],[ID]]=A1778)*(_bbt3[[#All],[METRIC_NAME]]="YLD_YTM_ASK"),_bbt3[[#All],[METRIC_VALUE]])*0.5)+(_xlfn.XLOOKUP(1,(_bbt3[[#All],[ID]]=A1778)*(_bbt3[[#All],[METRIC_NAME]]="YLD_YTM_BID"),_bbt3[[#All],[METRIC_VALUE]])*0.5))/100,"")</f>
        <v/>
      </c>
      <c r="I1778">
        <f>IF(ISNA(VLOOKUP(A1778,QW_CloseDL!A:E,5,0)),0,VLOOKUP(A1778,QW_CloseDL!A:E,5,0))</f>
        <v>0</v>
      </c>
      <c r="J1778" s="8" t="str">
        <f t="shared" si="117"/>
        <v/>
      </c>
    </row>
    <row r="1779" spans="2:10" x14ac:dyDescent="0.35">
      <c r="B1779" t="str">
        <f>IF(NOT(ISBLANK(A1779)),VLOOKUP(A1779,'BBT3'!A:F,2,0),"")</f>
        <v/>
      </c>
      <c r="C1779" t="str">
        <f>IF(NOT(ISBLANK(A1779)),VLOOKUP(A1779,'BBT3'!A:F,3,0),"")</f>
        <v/>
      </c>
      <c r="D1779" s="6" t="str">
        <f>IF(NOT(ISBLANK(A1779)),VLOOKUP(A1779,'BBT3'!A:F,4,1),"")</f>
        <v/>
      </c>
      <c r="E1779" t="str">
        <f>IF(NOT(ISBLANK(A1779)),VLOOKUP(A1779,'BBT3'!A:F,5,0),"")</f>
        <v/>
      </c>
      <c r="F1779" t="str">
        <f>IF(NOT(ISBLANK(A1779)),VLOOKUP(A1779,'BBT3'!A:F,6,0),"")</f>
        <v/>
      </c>
      <c r="G1779" t="str">
        <f>IF(NOT(ISBLANK(A1779)),VLOOKUP(A1779,QW_Close!A:J,5,0),"")</f>
        <v/>
      </c>
      <c r="H1779" s="5" t="str" cm="1">
        <f t="array" ref="H1779">IF(NOT(ISBLANK(A1779)),((_xlfn.XLOOKUP(1,(_bbt3[[#All],[ID]]=A1779)*(_bbt3[[#All],[METRIC_NAME]]="YLD_YTM_ASK"),_bbt3[[#All],[METRIC_VALUE]])*0.5)+(_xlfn.XLOOKUP(1,(_bbt3[[#All],[ID]]=A1779)*(_bbt3[[#All],[METRIC_NAME]]="YLD_YTM_BID"),_bbt3[[#All],[METRIC_VALUE]])*0.5))/100,"")</f>
        <v/>
      </c>
      <c r="I1779">
        <f>IF(ISNA(VLOOKUP(A1779,QW_CloseDL!A:E,5,0)),0,VLOOKUP(A1779,QW_CloseDL!A:E,5,0))</f>
        <v>0</v>
      </c>
      <c r="J1779" s="8" t="str">
        <f t="shared" si="117"/>
        <v/>
      </c>
    </row>
    <row r="1780" spans="2:10" x14ac:dyDescent="0.35">
      <c r="B1780" t="str">
        <f>IF(NOT(ISBLANK(A1780)),VLOOKUP(A1780,'BBT3'!A:F,2,0),"")</f>
        <v/>
      </c>
      <c r="C1780" t="str">
        <f>IF(NOT(ISBLANK(A1780)),VLOOKUP(A1780,'BBT3'!A:F,3,0),"")</f>
        <v/>
      </c>
      <c r="D1780" s="6" t="str">
        <f>IF(NOT(ISBLANK(A1780)),VLOOKUP(A1780,'BBT3'!A:F,4,1),"")</f>
        <v/>
      </c>
      <c r="E1780" t="str">
        <f>IF(NOT(ISBLANK(A1780)),VLOOKUP(A1780,'BBT3'!A:F,5,0),"")</f>
        <v/>
      </c>
      <c r="F1780" t="str">
        <f>IF(NOT(ISBLANK(A1780)),VLOOKUP(A1780,'BBT3'!A:F,6,0),"")</f>
        <v/>
      </c>
      <c r="G1780" t="str">
        <f>IF(NOT(ISBLANK(A1780)),VLOOKUP(A1780,QW_Close!A:J,5,0),"")</f>
        <v/>
      </c>
      <c r="H1780" s="5" t="str" cm="1">
        <f t="array" ref="H1780">IF(NOT(ISBLANK(A1780)),((_xlfn.XLOOKUP(1,(_bbt3[[#All],[ID]]=A1780)*(_bbt3[[#All],[METRIC_NAME]]="YLD_YTM_ASK"),_bbt3[[#All],[METRIC_VALUE]])*0.5)+(_xlfn.XLOOKUP(1,(_bbt3[[#All],[ID]]=A1780)*(_bbt3[[#All],[METRIC_NAME]]="YLD_YTM_BID"),_bbt3[[#All],[METRIC_VALUE]])*0.5))/100,"")</f>
        <v/>
      </c>
      <c r="I1780">
        <f>IF(ISNA(VLOOKUP(A1780,QW_CloseDL!A:E,5,0)),0,VLOOKUP(A1780,QW_CloseDL!A:E,5,0))</f>
        <v>0</v>
      </c>
      <c r="J1780" s="8" t="str">
        <f t="shared" si="117"/>
        <v/>
      </c>
    </row>
    <row r="1781" spans="2:10" x14ac:dyDescent="0.35">
      <c r="B1781" t="str">
        <f>IF(NOT(ISBLANK(A1781)),VLOOKUP(A1781,'BBT3'!A:F,2,0),"")</f>
        <v/>
      </c>
      <c r="C1781" t="str">
        <f>IF(NOT(ISBLANK(A1781)),VLOOKUP(A1781,'BBT3'!A:F,3,0),"")</f>
        <v/>
      </c>
      <c r="D1781" s="6" t="str">
        <f>IF(NOT(ISBLANK(A1781)),VLOOKUP(A1781,'BBT3'!A:F,4,1),"")</f>
        <v/>
      </c>
      <c r="E1781" t="str">
        <f>IF(NOT(ISBLANK(A1781)),VLOOKUP(A1781,'BBT3'!A:F,5,0),"")</f>
        <v/>
      </c>
      <c r="F1781" t="str">
        <f>IF(NOT(ISBLANK(A1781)),VLOOKUP(A1781,'BBT3'!A:F,6,0),"")</f>
        <v/>
      </c>
      <c r="G1781" t="str">
        <f>IF(NOT(ISBLANK(A1781)),VLOOKUP(A1781,QW_Close!A:J,5,0),"")</f>
        <v/>
      </c>
      <c r="H1781" s="5" t="str" cm="1">
        <f t="array" ref="H1781">IF(NOT(ISBLANK(A1781)),((_xlfn.XLOOKUP(1,(_bbt3[[#All],[ID]]=A1781)*(_bbt3[[#All],[METRIC_NAME]]="YLD_YTM_ASK"),_bbt3[[#All],[METRIC_VALUE]])*0.5)+(_xlfn.XLOOKUP(1,(_bbt3[[#All],[ID]]=A1781)*(_bbt3[[#All],[METRIC_NAME]]="YLD_YTM_BID"),_bbt3[[#All],[METRIC_VALUE]])*0.5))/100,"")</f>
        <v/>
      </c>
      <c r="I1781">
        <f>IF(ISNA(VLOOKUP(A1781,QW_CloseDL!A:E,5,0)),0,VLOOKUP(A1781,QW_CloseDL!A:E,5,0))</f>
        <v>0</v>
      </c>
      <c r="J1781" s="8" t="str">
        <f t="shared" si="117"/>
        <v/>
      </c>
    </row>
    <row r="1782" spans="2:10" x14ac:dyDescent="0.35">
      <c r="B1782" t="str">
        <f>IF(NOT(ISBLANK(A1782)),VLOOKUP(A1782,'BBT3'!A:F,2,0),"")</f>
        <v/>
      </c>
      <c r="C1782" t="str">
        <f>IF(NOT(ISBLANK(A1782)),VLOOKUP(A1782,'BBT3'!A:F,3,0),"")</f>
        <v/>
      </c>
      <c r="D1782" s="6" t="str">
        <f>IF(NOT(ISBLANK(A1782)),VLOOKUP(A1782,'BBT3'!A:F,4,1),"")</f>
        <v/>
      </c>
      <c r="E1782" t="str">
        <f>IF(NOT(ISBLANK(A1782)),VLOOKUP(A1782,'BBT3'!A:F,5,0),"")</f>
        <v/>
      </c>
      <c r="F1782" t="str">
        <f>IF(NOT(ISBLANK(A1782)),VLOOKUP(A1782,'BBT3'!A:F,6,0),"")</f>
        <v/>
      </c>
      <c r="G1782" t="str">
        <f>IF(NOT(ISBLANK(A1782)),VLOOKUP(A1782,QW_Close!A:J,5,0),"")</f>
        <v/>
      </c>
      <c r="H1782" s="5" t="str" cm="1">
        <f t="array" ref="H1782">IF(NOT(ISBLANK(A1782)),((_xlfn.XLOOKUP(1,(_bbt3[[#All],[ID]]=A1782)*(_bbt3[[#All],[METRIC_NAME]]="YLD_YTM_ASK"),_bbt3[[#All],[METRIC_VALUE]])*0.5)+(_xlfn.XLOOKUP(1,(_bbt3[[#All],[ID]]=A1782)*(_bbt3[[#All],[METRIC_NAME]]="YLD_YTM_BID"),_bbt3[[#All],[METRIC_VALUE]])*0.5))/100,"")</f>
        <v/>
      </c>
      <c r="I1782">
        <f>IF(ISNA(VLOOKUP(A1782,QW_CloseDL!A:E,5,0)),0,VLOOKUP(A1782,QW_CloseDL!A:E,5,0))</f>
        <v>0</v>
      </c>
      <c r="J1782" s="8" t="str">
        <f t="shared" si="117"/>
        <v/>
      </c>
    </row>
    <row r="1783" spans="2:10" x14ac:dyDescent="0.35">
      <c r="B1783" t="str">
        <f>IF(NOT(ISBLANK(A1783)),VLOOKUP(A1783,'BBT3'!A:F,2,0),"")</f>
        <v/>
      </c>
      <c r="C1783" t="str">
        <f>IF(NOT(ISBLANK(A1783)),VLOOKUP(A1783,'BBT3'!A:F,3,0),"")</f>
        <v/>
      </c>
      <c r="D1783" s="6" t="str">
        <f>IF(NOT(ISBLANK(A1783)),VLOOKUP(A1783,'BBT3'!A:F,4,1),"")</f>
        <v/>
      </c>
      <c r="E1783" t="str">
        <f>IF(NOT(ISBLANK(A1783)),VLOOKUP(A1783,'BBT3'!A:F,5,0),"")</f>
        <v/>
      </c>
      <c r="F1783" t="str">
        <f>IF(NOT(ISBLANK(A1783)),VLOOKUP(A1783,'BBT3'!A:F,6,0),"")</f>
        <v/>
      </c>
      <c r="G1783" t="str">
        <f>IF(NOT(ISBLANK(A1783)),VLOOKUP(A1783,QW_Close!A:J,5,0),"")</f>
        <v/>
      </c>
      <c r="H1783" s="5" t="str" cm="1">
        <f t="array" ref="H1783">IF(NOT(ISBLANK(A1783)),((_xlfn.XLOOKUP(1,(_bbt3[[#All],[ID]]=A1783)*(_bbt3[[#All],[METRIC_NAME]]="YLD_YTM_ASK"),_bbt3[[#All],[METRIC_VALUE]])*0.5)+(_xlfn.XLOOKUP(1,(_bbt3[[#All],[ID]]=A1783)*(_bbt3[[#All],[METRIC_NAME]]="YLD_YTM_BID"),_bbt3[[#All],[METRIC_VALUE]])*0.5))/100,"")</f>
        <v/>
      </c>
      <c r="I1783">
        <f>IF(ISNA(VLOOKUP(A1783,QW_CloseDL!A:E,5,0)),0,VLOOKUP(A1783,QW_CloseDL!A:E,5,0))</f>
        <v>0</v>
      </c>
      <c r="J1783" s="8" t="str">
        <f t="shared" si="117"/>
        <v/>
      </c>
    </row>
    <row r="1784" spans="2:10" x14ac:dyDescent="0.35">
      <c r="B1784" t="str">
        <f>IF(NOT(ISBLANK(A1784)),VLOOKUP(A1784,'BBT3'!A:F,2,0),"")</f>
        <v/>
      </c>
      <c r="C1784" t="str">
        <f>IF(NOT(ISBLANK(A1784)),VLOOKUP(A1784,'BBT3'!A:F,3,0),"")</f>
        <v/>
      </c>
      <c r="D1784" s="6" t="str">
        <f>IF(NOT(ISBLANK(A1784)),VLOOKUP(A1784,'BBT3'!A:F,4,1),"")</f>
        <v/>
      </c>
      <c r="E1784" t="str">
        <f>IF(NOT(ISBLANK(A1784)),VLOOKUP(A1784,'BBT3'!A:F,5,0),"")</f>
        <v/>
      </c>
      <c r="F1784" t="str">
        <f>IF(NOT(ISBLANK(A1784)),VLOOKUP(A1784,'BBT3'!A:F,6,0),"")</f>
        <v/>
      </c>
      <c r="G1784" t="str">
        <f>IF(NOT(ISBLANK(A1784)),VLOOKUP(A1784,QW_Close!A:J,5,0),"")</f>
        <v/>
      </c>
      <c r="H1784" s="5" t="str" cm="1">
        <f t="array" ref="H1784">IF(NOT(ISBLANK(A1784)),((_xlfn.XLOOKUP(1,(_bbt3[[#All],[ID]]=A1784)*(_bbt3[[#All],[METRIC_NAME]]="YLD_YTM_ASK"),_bbt3[[#All],[METRIC_VALUE]])*0.5)+(_xlfn.XLOOKUP(1,(_bbt3[[#All],[ID]]=A1784)*(_bbt3[[#All],[METRIC_NAME]]="YLD_YTM_BID"),_bbt3[[#All],[METRIC_VALUE]])*0.5))/100,"")</f>
        <v/>
      </c>
      <c r="I1784">
        <f>IF(ISNA(VLOOKUP(A1784,QW_CloseDL!A:E,5,0)),0,VLOOKUP(A1784,QW_CloseDL!A:E,5,0))</f>
        <v>0</v>
      </c>
      <c r="J1784" s="8" t="str">
        <f t="shared" si="117"/>
        <v/>
      </c>
    </row>
    <row r="1785" spans="2:10" x14ac:dyDescent="0.35">
      <c r="B1785" t="str">
        <f>IF(NOT(ISBLANK(A1785)),VLOOKUP(A1785,'BBT3'!A:F,2,0),"")</f>
        <v/>
      </c>
      <c r="C1785" t="str">
        <f>IF(NOT(ISBLANK(A1785)),VLOOKUP(A1785,'BBT3'!A:F,3,0),"")</f>
        <v/>
      </c>
      <c r="D1785" s="6" t="str">
        <f>IF(NOT(ISBLANK(A1785)),VLOOKUP(A1785,'BBT3'!A:F,4,1),"")</f>
        <v/>
      </c>
      <c r="E1785" t="str">
        <f>IF(NOT(ISBLANK(A1785)),VLOOKUP(A1785,'BBT3'!A:F,5,0),"")</f>
        <v/>
      </c>
      <c r="F1785" t="str">
        <f>IF(NOT(ISBLANK(A1785)),VLOOKUP(A1785,'BBT3'!A:F,6,0),"")</f>
        <v/>
      </c>
      <c r="G1785" t="str">
        <f>IF(NOT(ISBLANK(A1785)),VLOOKUP(A1785,QW_Close!A:J,5,0),"")</f>
        <v/>
      </c>
      <c r="H1785" s="5" t="str" cm="1">
        <f t="array" ref="H1785">IF(NOT(ISBLANK(A1785)),((_xlfn.XLOOKUP(1,(_bbt3[[#All],[ID]]=A1785)*(_bbt3[[#All],[METRIC_NAME]]="YLD_YTM_ASK"),_bbt3[[#All],[METRIC_VALUE]])*0.5)+(_xlfn.XLOOKUP(1,(_bbt3[[#All],[ID]]=A1785)*(_bbt3[[#All],[METRIC_NAME]]="YLD_YTM_BID"),_bbt3[[#All],[METRIC_VALUE]])*0.5))/100,"")</f>
        <v/>
      </c>
      <c r="I1785">
        <f>IF(ISNA(VLOOKUP(A1785,QW_CloseDL!A:E,5,0)),0,VLOOKUP(A1785,QW_CloseDL!A:E,5,0))</f>
        <v>0</v>
      </c>
      <c r="J1785" s="8" t="str">
        <f t="shared" si="117"/>
        <v/>
      </c>
    </row>
    <row r="1786" spans="2:10" x14ac:dyDescent="0.35">
      <c r="B1786" t="str">
        <f>IF(NOT(ISBLANK(A1786)),VLOOKUP(A1786,'BBT3'!A:F,2,0),"")</f>
        <v/>
      </c>
      <c r="C1786" t="str">
        <f>IF(NOT(ISBLANK(A1786)),VLOOKUP(A1786,'BBT3'!A:F,3,0),"")</f>
        <v/>
      </c>
      <c r="D1786" s="6" t="str">
        <f>IF(NOT(ISBLANK(A1786)),VLOOKUP(A1786,'BBT3'!A:F,4,1),"")</f>
        <v/>
      </c>
      <c r="E1786" t="str">
        <f>IF(NOT(ISBLANK(A1786)),VLOOKUP(A1786,'BBT3'!A:F,5,0),"")</f>
        <v/>
      </c>
      <c r="F1786" t="str">
        <f>IF(NOT(ISBLANK(A1786)),VLOOKUP(A1786,'BBT3'!A:F,6,0),"")</f>
        <v/>
      </c>
      <c r="G1786" t="str">
        <f>IF(NOT(ISBLANK(A1786)),VLOOKUP(A1786,QW_Close!A:J,5,0),"")</f>
        <v/>
      </c>
      <c r="H1786" s="5" t="str" cm="1">
        <f t="array" ref="H1786">IF(NOT(ISBLANK(A1786)),((_xlfn.XLOOKUP(1,(_bbt3[[#All],[ID]]=A1786)*(_bbt3[[#All],[METRIC_NAME]]="YLD_YTM_ASK"),_bbt3[[#All],[METRIC_VALUE]])*0.5)+(_xlfn.XLOOKUP(1,(_bbt3[[#All],[ID]]=A1786)*(_bbt3[[#All],[METRIC_NAME]]="YLD_YTM_BID"),_bbt3[[#All],[METRIC_VALUE]])*0.5))/100,"")</f>
        <v/>
      </c>
      <c r="I1786">
        <f>IF(ISNA(VLOOKUP(A1786,QW_CloseDL!A:E,5,0)),0,VLOOKUP(A1786,QW_CloseDL!A:E,5,0))</f>
        <v>0</v>
      </c>
      <c r="J1786" s="8" t="str">
        <f t="shared" si="117"/>
        <v/>
      </c>
    </row>
    <row r="1787" spans="2:10" x14ac:dyDescent="0.35">
      <c r="B1787" t="str">
        <f>IF(NOT(ISBLANK(A1787)),VLOOKUP(A1787,'BBT3'!A:F,2,0),"")</f>
        <v/>
      </c>
      <c r="C1787" t="str">
        <f>IF(NOT(ISBLANK(A1787)),VLOOKUP(A1787,'BBT3'!A:F,3,0),"")</f>
        <v/>
      </c>
      <c r="D1787" s="6" t="str">
        <f>IF(NOT(ISBLANK(A1787)),VLOOKUP(A1787,'BBT3'!A:F,4,1),"")</f>
        <v/>
      </c>
      <c r="E1787" t="str">
        <f>IF(NOT(ISBLANK(A1787)),VLOOKUP(A1787,'BBT3'!A:F,5,0),"")</f>
        <v/>
      </c>
      <c r="F1787" t="str">
        <f>IF(NOT(ISBLANK(A1787)),VLOOKUP(A1787,'BBT3'!A:F,6,0),"")</f>
        <v/>
      </c>
      <c r="G1787" t="str">
        <f>IF(NOT(ISBLANK(A1787)),VLOOKUP(A1787,QW_Close!A:J,5,0),"")</f>
        <v/>
      </c>
      <c r="H1787" s="5" t="str" cm="1">
        <f t="array" ref="H1787">IF(NOT(ISBLANK(A1787)),((_xlfn.XLOOKUP(1,(_bbt3[[#All],[ID]]=A1787)*(_bbt3[[#All],[METRIC_NAME]]="YLD_YTM_ASK"),_bbt3[[#All],[METRIC_VALUE]])*0.5)+(_xlfn.XLOOKUP(1,(_bbt3[[#All],[ID]]=A1787)*(_bbt3[[#All],[METRIC_NAME]]="YLD_YTM_BID"),_bbt3[[#All],[METRIC_VALUE]])*0.5))/100,"")</f>
        <v/>
      </c>
      <c r="I1787">
        <f>IF(ISNA(VLOOKUP(A1787,QW_CloseDL!A:E,5,0)),0,VLOOKUP(A1787,QW_CloseDL!A:E,5,0))</f>
        <v>0</v>
      </c>
      <c r="J1787" s="8" t="str">
        <f t="shared" si="117"/>
        <v/>
      </c>
    </row>
    <row r="1788" spans="2:10" x14ac:dyDescent="0.35">
      <c r="B1788" t="str">
        <f>IF(NOT(ISBLANK(A1788)),VLOOKUP(A1788,'BBT3'!A:F,2,0),"")</f>
        <v/>
      </c>
      <c r="C1788" t="str">
        <f>IF(NOT(ISBLANK(A1788)),VLOOKUP(A1788,'BBT3'!A:F,3,0),"")</f>
        <v/>
      </c>
      <c r="D1788" s="6" t="str">
        <f>IF(NOT(ISBLANK(A1788)),VLOOKUP(A1788,'BBT3'!A:F,4,1),"")</f>
        <v/>
      </c>
      <c r="E1788" t="str">
        <f>IF(NOT(ISBLANK(A1788)),VLOOKUP(A1788,'BBT3'!A:F,5,0),"")</f>
        <v/>
      </c>
      <c r="F1788" t="str">
        <f>IF(NOT(ISBLANK(A1788)),VLOOKUP(A1788,'BBT3'!A:F,6,0),"")</f>
        <v/>
      </c>
      <c r="G1788" t="str">
        <f>IF(NOT(ISBLANK(A1788)),VLOOKUP(A1788,QW_Close!A:J,5,0),"")</f>
        <v/>
      </c>
      <c r="H1788" s="5" t="str" cm="1">
        <f t="array" ref="H1788">IF(NOT(ISBLANK(A1788)),((_xlfn.XLOOKUP(1,(_bbt3[[#All],[ID]]=A1788)*(_bbt3[[#All],[METRIC_NAME]]="YLD_YTM_ASK"),_bbt3[[#All],[METRIC_VALUE]])*0.5)+(_xlfn.XLOOKUP(1,(_bbt3[[#All],[ID]]=A1788)*(_bbt3[[#All],[METRIC_NAME]]="YLD_YTM_BID"),_bbt3[[#All],[METRIC_VALUE]])*0.5))/100,"")</f>
        <v/>
      </c>
      <c r="I1788">
        <f>IF(ISNA(VLOOKUP(A1788,QW_CloseDL!A:E,5,0)),0,VLOOKUP(A1788,QW_CloseDL!A:E,5,0))</f>
        <v>0</v>
      </c>
      <c r="J1788" s="8" t="str">
        <f t="shared" si="117"/>
        <v/>
      </c>
    </row>
    <row r="1789" spans="2:10" x14ac:dyDescent="0.35">
      <c r="B1789" t="str">
        <f>IF(NOT(ISBLANK(A1789)),VLOOKUP(A1789,'BBT3'!A:F,2,0),"")</f>
        <v/>
      </c>
      <c r="C1789" t="str">
        <f>IF(NOT(ISBLANK(A1789)),VLOOKUP(A1789,'BBT3'!A:F,3,0),"")</f>
        <v/>
      </c>
      <c r="D1789" s="6" t="str">
        <f>IF(NOT(ISBLANK(A1789)),VLOOKUP(A1789,'BBT3'!A:F,4,1),"")</f>
        <v/>
      </c>
      <c r="E1789" t="str">
        <f>IF(NOT(ISBLANK(A1789)),VLOOKUP(A1789,'BBT3'!A:F,5,0),"")</f>
        <v/>
      </c>
      <c r="F1789" t="str">
        <f>IF(NOT(ISBLANK(A1789)),VLOOKUP(A1789,'BBT3'!A:F,6,0),"")</f>
        <v/>
      </c>
      <c r="G1789" t="str">
        <f>IF(NOT(ISBLANK(A1789)),VLOOKUP(A1789,QW_Close!A:J,5,0),"")</f>
        <v/>
      </c>
      <c r="H1789" s="5" t="str" cm="1">
        <f t="array" ref="H1789">IF(NOT(ISBLANK(A1789)),((_xlfn.XLOOKUP(1,(_bbt3[[#All],[ID]]=A1789)*(_bbt3[[#All],[METRIC_NAME]]="YLD_YTM_ASK"),_bbt3[[#All],[METRIC_VALUE]])*0.5)+(_xlfn.XLOOKUP(1,(_bbt3[[#All],[ID]]=A1789)*(_bbt3[[#All],[METRIC_NAME]]="YLD_YTM_BID"),_bbt3[[#All],[METRIC_VALUE]])*0.5))/100,"")</f>
        <v/>
      </c>
      <c r="I1789">
        <f>IF(ISNA(VLOOKUP(A1789,QW_CloseDL!A:E,5,0)),0,VLOOKUP(A1789,QW_CloseDL!A:E,5,0))</f>
        <v>0</v>
      </c>
      <c r="J1789" s="8" t="str">
        <f t="shared" si="117"/>
        <v/>
      </c>
    </row>
    <row r="1790" spans="2:10" x14ac:dyDescent="0.35">
      <c r="B1790" t="str">
        <f>IF(NOT(ISBLANK(A1790)),VLOOKUP(A1790,'BBT3'!A:F,2,0),"")</f>
        <v/>
      </c>
      <c r="C1790" t="str">
        <f>IF(NOT(ISBLANK(A1790)),VLOOKUP(A1790,'BBT3'!A:F,3,0),"")</f>
        <v/>
      </c>
      <c r="D1790" s="6" t="str">
        <f>IF(NOT(ISBLANK(A1790)),VLOOKUP(A1790,'BBT3'!A:F,4,1),"")</f>
        <v/>
      </c>
      <c r="E1790" t="str">
        <f>IF(NOT(ISBLANK(A1790)),VLOOKUP(A1790,'BBT3'!A:F,5,0),"")</f>
        <v/>
      </c>
      <c r="F1790" t="str">
        <f>IF(NOT(ISBLANK(A1790)),VLOOKUP(A1790,'BBT3'!A:F,6,0),"")</f>
        <v/>
      </c>
      <c r="G1790" t="str">
        <f>IF(NOT(ISBLANK(A1790)),VLOOKUP(A1790,QW_Close!A:J,5,0),"")</f>
        <v/>
      </c>
      <c r="H1790" s="5" t="str" cm="1">
        <f t="array" ref="H1790">IF(NOT(ISBLANK(A1790)),((_xlfn.XLOOKUP(1,(_bbt3[[#All],[ID]]=A1790)*(_bbt3[[#All],[METRIC_NAME]]="YLD_YTM_ASK"),_bbt3[[#All],[METRIC_VALUE]])*0.5)+(_xlfn.XLOOKUP(1,(_bbt3[[#All],[ID]]=A1790)*(_bbt3[[#All],[METRIC_NAME]]="YLD_YTM_BID"),_bbt3[[#All],[METRIC_VALUE]])*0.5))/100,"")</f>
        <v/>
      </c>
      <c r="I1790">
        <f>IF(ISNA(VLOOKUP(A1790,QW_CloseDL!A:E,5,0)),0,VLOOKUP(A1790,QW_CloseDL!A:E,5,0))</f>
        <v>0</v>
      </c>
      <c r="J1790" s="8" t="str">
        <f t="shared" si="117"/>
        <v/>
      </c>
    </row>
    <row r="1791" spans="2:10" x14ac:dyDescent="0.35">
      <c r="B1791" t="str">
        <f>IF(NOT(ISBLANK(A1791)),VLOOKUP(A1791,'BBT3'!A:F,2,0),"")</f>
        <v/>
      </c>
      <c r="C1791" t="str">
        <f>IF(NOT(ISBLANK(A1791)),VLOOKUP(A1791,'BBT3'!A:F,3,0),"")</f>
        <v/>
      </c>
      <c r="D1791" s="6" t="str">
        <f>IF(NOT(ISBLANK(A1791)),VLOOKUP(A1791,'BBT3'!A:F,4,1),"")</f>
        <v/>
      </c>
      <c r="E1791" t="str">
        <f>IF(NOT(ISBLANK(A1791)),VLOOKUP(A1791,'BBT3'!A:F,5,0),"")</f>
        <v/>
      </c>
      <c r="F1791" t="str">
        <f>IF(NOT(ISBLANK(A1791)),VLOOKUP(A1791,'BBT3'!A:F,6,0),"")</f>
        <v/>
      </c>
      <c r="G1791" t="str">
        <f>IF(NOT(ISBLANK(A1791)),VLOOKUP(A1791,QW_Close!A:J,5,0),"")</f>
        <v/>
      </c>
      <c r="H1791" s="5" t="str" cm="1">
        <f t="array" ref="H1791">IF(NOT(ISBLANK(A1791)),((_xlfn.XLOOKUP(1,(_bbt3[[#All],[ID]]=A1791)*(_bbt3[[#All],[METRIC_NAME]]="YLD_YTM_ASK"),_bbt3[[#All],[METRIC_VALUE]])*0.5)+(_xlfn.XLOOKUP(1,(_bbt3[[#All],[ID]]=A1791)*(_bbt3[[#All],[METRIC_NAME]]="YLD_YTM_BID"),_bbt3[[#All],[METRIC_VALUE]])*0.5))/100,"")</f>
        <v/>
      </c>
      <c r="I1791">
        <f>IF(ISNA(VLOOKUP(A1791,QW_CloseDL!A:E,5,0)),0,VLOOKUP(A1791,QW_CloseDL!A:E,5,0))</f>
        <v>0</v>
      </c>
      <c r="J1791" s="8" t="str">
        <f t="shared" si="117"/>
        <v/>
      </c>
    </row>
    <row r="1792" spans="2:10" x14ac:dyDescent="0.35">
      <c r="B1792" t="str">
        <f>IF(NOT(ISBLANK(A1792)),VLOOKUP(A1792,'BBT3'!A:F,2,0),"")</f>
        <v/>
      </c>
      <c r="C1792" t="str">
        <f>IF(NOT(ISBLANK(A1792)),VLOOKUP(A1792,'BBT3'!A:F,3,0),"")</f>
        <v/>
      </c>
      <c r="D1792" s="6" t="str">
        <f>IF(NOT(ISBLANK(A1792)),VLOOKUP(A1792,'BBT3'!A:F,4,1),"")</f>
        <v/>
      </c>
      <c r="E1792" t="str">
        <f>IF(NOT(ISBLANK(A1792)),VLOOKUP(A1792,'BBT3'!A:F,5,0),"")</f>
        <v/>
      </c>
      <c r="F1792" t="str">
        <f>IF(NOT(ISBLANK(A1792)),VLOOKUP(A1792,'BBT3'!A:F,6,0),"")</f>
        <v/>
      </c>
      <c r="G1792" t="str">
        <f>IF(NOT(ISBLANK(A1792)),VLOOKUP(A1792,QW_Close!A:J,5,0),"")</f>
        <v/>
      </c>
      <c r="H1792" s="5" t="str" cm="1">
        <f t="array" ref="H1792">IF(NOT(ISBLANK(A1792)),((_xlfn.XLOOKUP(1,(_bbt3[[#All],[ID]]=A1792)*(_bbt3[[#All],[METRIC_NAME]]="YLD_YTM_ASK"),_bbt3[[#All],[METRIC_VALUE]])*0.5)+(_xlfn.XLOOKUP(1,(_bbt3[[#All],[ID]]=A1792)*(_bbt3[[#All],[METRIC_NAME]]="YLD_YTM_BID"),_bbt3[[#All],[METRIC_VALUE]])*0.5))/100,"")</f>
        <v/>
      </c>
      <c r="I1792">
        <f>IF(ISNA(VLOOKUP(A1792,QW_CloseDL!A:E,5,0)),0,VLOOKUP(A1792,QW_CloseDL!A:E,5,0))</f>
        <v>0</v>
      </c>
      <c r="J1792" s="8" t="str">
        <f t="shared" si="117"/>
        <v/>
      </c>
    </row>
    <row r="1793" spans="2:10" x14ac:dyDescent="0.35">
      <c r="B1793" t="str">
        <f>IF(NOT(ISBLANK(A1793)),VLOOKUP(A1793,'BBT3'!A:F,2,0),"")</f>
        <v/>
      </c>
      <c r="C1793" t="str">
        <f>IF(NOT(ISBLANK(A1793)),VLOOKUP(A1793,'BBT3'!A:F,3,0),"")</f>
        <v/>
      </c>
      <c r="D1793" s="6" t="str">
        <f>IF(NOT(ISBLANK(A1793)),VLOOKUP(A1793,'BBT3'!A:F,4,1),"")</f>
        <v/>
      </c>
      <c r="E1793" t="str">
        <f>IF(NOT(ISBLANK(A1793)),VLOOKUP(A1793,'BBT3'!A:F,5,0),"")</f>
        <v/>
      </c>
      <c r="F1793" t="str">
        <f>IF(NOT(ISBLANK(A1793)),VLOOKUP(A1793,'BBT3'!A:F,6,0),"")</f>
        <v/>
      </c>
      <c r="G1793" t="str">
        <f>IF(NOT(ISBLANK(A1793)),VLOOKUP(A1793,QW_Close!A:J,5,0),"")</f>
        <v/>
      </c>
      <c r="H1793" s="5" t="str" cm="1">
        <f t="array" ref="H1793">IF(NOT(ISBLANK(A1793)),((_xlfn.XLOOKUP(1,(_bbt3[[#All],[ID]]=A1793)*(_bbt3[[#All],[METRIC_NAME]]="YLD_YTM_ASK"),_bbt3[[#All],[METRIC_VALUE]])*0.5)+(_xlfn.XLOOKUP(1,(_bbt3[[#All],[ID]]=A1793)*(_bbt3[[#All],[METRIC_NAME]]="YLD_YTM_BID"),_bbt3[[#All],[METRIC_VALUE]])*0.5))/100,"")</f>
        <v/>
      </c>
      <c r="I1793">
        <f>IF(ISNA(VLOOKUP(A1793,QW_CloseDL!A:E,5,0)),0,VLOOKUP(A1793,QW_CloseDL!A:E,5,0))</f>
        <v>0</v>
      </c>
      <c r="J1793" s="8" t="str">
        <f t="shared" si="117"/>
        <v/>
      </c>
    </row>
    <row r="1794" spans="2:10" x14ac:dyDescent="0.35">
      <c r="B1794" t="str">
        <f>IF(NOT(ISBLANK(A1794)),VLOOKUP(A1794,'BBT3'!A:F,2,0),"")</f>
        <v/>
      </c>
      <c r="C1794" t="str">
        <f>IF(NOT(ISBLANK(A1794)),VLOOKUP(A1794,'BBT3'!A:F,3,0),"")</f>
        <v/>
      </c>
      <c r="D1794" s="6" t="str">
        <f>IF(NOT(ISBLANK(A1794)),VLOOKUP(A1794,'BBT3'!A:F,4,1),"")</f>
        <v/>
      </c>
      <c r="E1794" t="str">
        <f>IF(NOT(ISBLANK(A1794)),VLOOKUP(A1794,'BBT3'!A:F,5,0),"")</f>
        <v/>
      </c>
      <c r="F1794" t="str">
        <f>IF(NOT(ISBLANK(A1794)),VLOOKUP(A1794,'BBT3'!A:F,6,0),"")</f>
        <v/>
      </c>
      <c r="G1794" t="str">
        <f>IF(NOT(ISBLANK(A1794)),VLOOKUP(A1794,QW_Close!A:J,5,0),"")</f>
        <v/>
      </c>
      <c r="H1794" s="5" t="str" cm="1">
        <f t="array" ref="H1794">IF(NOT(ISBLANK(A1794)),((_xlfn.XLOOKUP(1,(_bbt3[[#All],[ID]]=A1794)*(_bbt3[[#All],[METRIC_NAME]]="YLD_YTM_ASK"),_bbt3[[#All],[METRIC_VALUE]])*0.5)+(_xlfn.XLOOKUP(1,(_bbt3[[#All],[ID]]=A1794)*(_bbt3[[#All],[METRIC_NAME]]="YLD_YTM_BID"),_bbt3[[#All],[METRIC_VALUE]])*0.5))/100,"")</f>
        <v/>
      </c>
      <c r="I1794">
        <f>IF(ISNA(VLOOKUP(A1794,QW_CloseDL!A:E,5,0)),0,VLOOKUP(A1794,QW_CloseDL!A:E,5,0))</f>
        <v>0</v>
      </c>
      <c r="J1794" s="8" t="str">
        <f t="shared" si="117"/>
        <v/>
      </c>
    </row>
    <row r="1795" spans="2:10" x14ac:dyDescent="0.35">
      <c r="B1795" t="str">
        <f>IF(NOT(ISBLANK(A1795)),VLOOKUP(A1795,'BBT3'!A:F,2,0),"")</f>
        <v/>
      </c>
      <c r="C1795" t="str">
        <f>IF(NOT(ISBLANK(A1795)),VLOOKUP(A1795,'BBT3'!A:F,3,0),"")</f>
        <v/>
      </c>
      <c r="D1795" s="6" t="str">
        <f>IF(NOT(ISBLANK(A1795)),VLOOKUP(A1795,'BBT3'!A:F,4,1),"")</f>
        <v/>
      </c>
      <c r="E1795" t="str">
        <f>IF(NOT(ISBLANK(A1795)),VLOOKUP(A1795,'BBT3'!A:F,5,0),"")</f>
        <v/>
      </c>
      <c r="F1795" t="str">
        <f>IF(NOT(ISBLANK(A1795)),VLOOKUP(A1795,'BBT3'!A:F,6,0),"")</f>
        <v/>
      </c>
      <c r="G1795" t="str">
        <f>IF(NOT(ISBLANK(A1795)),VLOOKUP(A1795,QW_Close!A:J,5,0),"")</f>
        <v/>
      </c>
      <c r="H1795" s="5" t="str" cm="1">
        <f t="array" ref="H1795">IF(NOT(ISBLANK(A1795)),((_xlfn.XLOOKUP(1,(_bbt3[[#All],[ID]]=A1795)*(_bbt3[[#All],[METRIC_NAME]]="YLD_YTM_ASK"),_bbt3[[#All],[METRIC_VALUE]])*0.5)+(_xlfn.XLOOKUP(1,(_bbt3[[#All],[ID]]=A1795)*(_bbt3[[#All],[METRIC_NAME]]="YLD_YTM_BID"),_bbt3[[#All],[METRIC_VALUE]])*0.5))/100,"")</f>
        <v/>
      </c>
      <c r="I1795">
        <f>IF(ISNA(VLOOKUP(A1795,QW_CloseDL!A:E,5,0)),0,VLOOKUP(A1795,QW_CloseDL!A:E,5,0))</f>
        <v>0</v>
      </c>
      <c r="J1795" s="8" t="str">
        <f t="shared" ref="J1795:J1858" si="118">IF(ISNA(IF(NOT(ISBLANK(A1795)),ABS(G1795-I1795),"")),0,(IF(NOT(ISBLANK(A1795)),ABS(G1795-I1795)*10000,"")))</f>
        <v/>
      </c>
    </row>
    <row r="1796" spans="2:10" x14ac:dyDescent="0.35">
      <c r="B1796" t="str">
        <f>IF(NOT(ISBLANK(A1796)),VLOOKUP(A1796,'BBT3'!A:F,2,0),"")</f>
        <v/>
      </c>
      <c r="C1796" t="str">
        <f>IF(NOT(ISBLANK(A1796)),VLOOKUP(A1796,'BBT3'!A:F,3,0),"")</f>
        <v/>
      </c>
      <c r="D1796" s="6" t="str">
        <f>IF(NOT(ISBLANK(A1796)),VLOOKUP(A1796,'BBT3'!A:F,4,1),"")</f>
        <v/>
      </c>
      <c r="E1796" t="str">
        <f>IF(NOT(ISBLANK(A1796)),VLOOKUP(A1796,'BBT3'!A:F,5,0),"")</f>
        <v/>
      </c>
      <c r="F1796" t="str">
        <f>IF(NOT(ISBLANK(A1796)),VLOOKUP(A1796,'BBT3'!A:F,6,0),"")</f>
        <v/>
      </c>
      <c r="G1796" t="str">
        <f>IF(NOT(ISBLANK(A1796)),VLOOKUP(A1796,QW_Close!A:J,5,0),"")</f>
        <v/>
      </c>
      <c r="H1796" s="5" t="str" cm="1">
        <f t="array" ref="H1796">IF(NOT(ISBLANK(A1796)),((_xlfn.XLOOKUP(1,(_bbt3[[#All],[ID]]=A1796)*(_bbt3[[#All],[METRIC_NAME]]="YLD_YTM_ASK"),_bbt3[[#All],[METRIC_VALUE]])*0.5)+(_xlfn.XLOOKUP(1,(_bbt3[[#All],[ID]]=A1796)*(_bbt3[[#All],[METRIC_NAME]]="YLD_YTM_BID"),_bbt3[[#All],[METRIC_VALUE]])*0.5))/100,"")</f>
        <v/>
      </c>
      <c r="I1796">
        <f>IF(ISNA(VLOOKUP(A1796,QW_CloseDL!A:E,5,0)),0,VLOOKUP(A1796,QW_CloseDL!A:E,5,0))</f>
        <v>0</v>
      </c>
      <c r="J1796" s="8" t="str">
        <f t="shared" si="118"/>
        <v/>
      </c>
    </row>
    <row r="1797" spans="2:10" x14ac:dyDescent="0.35">
      <c r="B1797" t="str">
        <f>IF(NOT(ISBLANK(A1797)),VLOOKUP(A1797,'BBT3'!A:F,2,0),"")</f>
        <v/>
      </c>
      <c r="C1797" t="str">
        <f>IF(NOT(ISBLANK(A1797)),VLOOKUP(A1797,'BBT3'!A:F,3,0),"")</f>
        <v/>
      </c>
      <c r="D1797" s="6" t="str">
        <f>IF(NOT(ISBLANK(A1797)),VLOOKUP(A1797,'BBT3'!A:F,4,1),"")</f>
        <v/>
      </c>
      <c r="E1797" t="str">
        <f>IF(NOT(ISBLANK(A1797)),VLOOKUP(A1797,'BBT3'!A:F,5,0),"")</f>
        <v/>
      </c>
      <c r="F1797" t="str">
        <f>IF(NOT(ISBLANK(A1797)),VLOOKUP(A1797,'BBT3'!A:F,6,0),"")</f>
        <v/>
      </c>
      <c r="G1797" t="str">
        <f>IF(NOT(ISBLANK(A1797)),VLOOKUP(A1797,QW_Close!A:J,5,0),"")</f>
        <v/>
      </c>
      <c r="H1797" s="5" t="str" cm="1">
        <f t="array" ref="H1797">IF(NOT(ISBLANK(A1797)),((_xlfn.XLOOKUP(1,(_bbt3[[#All],[ID]]=A1797)*(_bbt3[[#All],[METRIC_NAME]]="YLD_YTM_ASK"),_bbt3[[#All],[METRIC_VALUE]])*0.5)+(_xlfn.XLOOKUP(1,(_bbt3[[#All],[ID]]=A1797)*(_bbt3[[#All],[METRIC_NAME]]="YLD_YTM_BID"),_bbt3[[#All],[METRIC_VALUE]])*0.5))/100,"")</f>
        <v/>
      </c>
      <c r="I1797">
        <f>IF(ISNA(VLOOKUP(A1797,QW_CloseDL!A:E,5,0)),0,VLOOKUP(A1797,QW_CloseDL!A:E,5,0))</f>
        <v>0</v>
      </c>
      <c r="J1797" s="8" t="str">
        <f t="shared" si="118"/>
        <v/>
      </c>
    </row>
    <row r="1798" spans="2:10" x14ac:dyDescent="0.35">
      <c r="B1798" t="str">
        <f>IF(NOT(ISBLANK(A1798)),VLOOKUP(A1798,'BBT3'!A:F,2,0),"")</f>
        <v/>
      </c>
      <c r="C1798" t="str">
        <f>IF(NOT(ISBLANK(A1798)),VLOOKUP(A1798,'BBT3'!A:F,3,0),"")</f>
        <v/>
      </c>
      <c r="D1798" s="6" t="str">
        <f>IF(NOT(ISBLANK(A1798)),VLOOKUP(A1798,'BBT3'!A:F,4,1),"")</f>
        <v/>
      </c>
      <c r="E1798" t="str">
        <f>IF(NOT(ISBLANK(A1798)),VLOOKUP(A1798,'BBT3'!A:F,5,0),"")</f>
        <v/>
      </c>
      <c r="F1798" t="str">
        <f>IF(NOT(ISBLANK(A1798)),VLOOKUP(A1798,'BBT3'!A:F,6,0),"")</f>
        <v/>
      </c>
      <c r="G1798" t="str">
        <f>IF(NOT(ISBLANK(A1798)),VLOOKUP(A1798,QW_Close!A:J,5,0),"")</f>
        <v/>
      </c>
      <c r="H1798" s="5" t="str" cm="1">
        <f t="array" ref="H1798">IF(NOT(ISBLANK(A1798)),((_xlfn.XLOOKUP(1,(_bbt3[[#All],[ID]]=A1798)*(_bbt3[[#All],[METRIC_NAME]]="YLD_YTM_ASK"),_bbt3[[#All],[METRIC_VALUE]])*0.5)+(_xlfn.XLOOKUP(1,(_bbt3[[#All],[ID]]=A1798)*(_bbt3[[#All],[METRIC_NAME]]="YLD_YTM_BID"),_bbt3[[#All],[METRIC_VALUE]])*0.5))/100,"")</f>
        <v/>
      </c>
      <c r="I1798">
        <f>IF(ISNA(VLOOKUP(A1798,QW_CloseDL!A:E,5,0)),0,VLOOKUP(A1798,QW_CloseDL!A:E,5,0))</f>
        <v>0</v>
      </c>
      <c r="J1798" s="8" t="str">
        <f t="shared" si="118"/>
        <v/>
      </c>
    </row>
    <row r="1799" spans="2:10" x14ac:dyDescent="0.35">
      <c r="B1799" t="str">
        <f>IF(NOT(ISBLANK(A1799)),VLOOKUP(A1799,'BBT3'!A:F,2,0),"")</f>
        <v/>
      </c>
      <c r="C1799" t="str">
        <f>IF(NOT(ISBLANK(A1799)),VLOOKUP(A1799,'BBT3'!A:F,3,0),"")</f>
        <v/>
      </c>
      <c r="D1799" s="6" t="str">
        <f>IF(NOT(ISBLANK(A1799)),VLOOKUP(A1799,'BBT3'!A:F,4,1),"")</f>
        <v/>
      </c>
      <c r="E1799" t="str">
        <f>IF(NOT(ISBLANK(A1799)),VLOOKUP(A1799,'BBT3'!A:F,5,0),"")</f>
        <v/>
      </c>
      <c r="F1799" t="str">
        <f>IF(NOT(ISBLANK(A1799)),VLOOKUP(A1799,'BBT3'!A:F,6,0),"")</f>
        <v/>
      </c>
      <c r="G1799" t="str">
        <f>IF(NOT(ISBLANK(A1799)),VLOOKUP(A1799,QW_Close!A:J,5,0),"")</f>
        <v/>
      </c>
      <c r="H1799" s="5" t="str" cm="1">
        <f t="array" ref="H1799">IF(NOT(ISBLANK(A1799)),((_xlfn.XLOOKUP(1,(_bbt3[[#All],[ID]]=A1799)*(_bbt3[[#All],[METRIC_NAME]]="YLD_YTM_ASK"),_bbt3[[#All],[METRIC_VALUE]])*0.5)+(_xlfn.XLOOKUP(1,(_bbt3[[#All],[ID]]=A1799)*(_bbt3[[#All],[METRIC_NAME]]="YLD_YTM_BID"),_bbt3[[#All],[METRIC_VALUE]])*0.5))/100,"")</f>
        <v/>
      </c>
      <c r="I1799">
        <f>IF(ISNA(VLOOKUP(A1799,QW_CloseDL!A:E,5,0)),0,VLOOKUP(A1799,QW_CloseDL!A:E,5,0))</f>
        <v>0</v>
      </c>
      <c r="J1799" s="8" t="str">
        <f t="shared" si="118"/>
        <v/>
      </c>
    </row>
    <row r="1800" spans="2:10" x14ac:dyDescent="0.35">
      <c r="B1800" t="str">
        <f>IF(NOT(ISBLANK(A1800)),VLOOKUP(A1800,'BBT3'!A:F,2,0),"")</f>
        <v/>
      </c>
      <c r="C1800" t="str">
        <f>IF(NOT(ISBLANK(A1800)),VLOOKUP(A1800,'BBT3'!A:F,3,0),"")</f>
        <v/>
      </c>
      <c r="D1800" s="6" t="str">
        <f>IF(NOT(ISBLANK(A1800)),VLOOKUP(A1800,'BBT3'!A:F,4,1),"")</f>
        <v/>
      </c>
      <c r="E1800" t="str">
        <f>IF(NOT(ISBLANK(A1800)),VLOOKUP(A1800,'BBT3'!A:F,5,0),"")</f>
        <v/>
      </c>
      <c r="F1800" t="str">
        <f>IF(NOT(ISBLANK(A1800)),VLOOKUP(A1800,'BBT3'!A:F,6,0),"")</f>
        <v/>
      </c>
      <c r="G1800" t="str">
        <f>IF(NOT(ISBLANK(A1800)),VLOOKUP(A1800,QW_Close!A:J,5,0),"")</f>
        <v/>
      </c>
      <c r="H1800" s="5" t="str" cm="1">
        <f t="array" ref="H1800">IF(NOT(ISBLANK(A1800)),((_xlfn.XLOOKUP(1,(_bbt3[[#All],[ID]]=A1800)*(_bbt3[[#All],[METRIC_NAME]]="YLD_YTM_ASK"),_bbt3[[#All],[METRIC_VALUE]])*0.5)+(_xlfn.XLOOKUP(1,(_bbt3[[#All],[ID]]=A1800)*(_bbt3[[#All],[METRIC_NAME]]="YLD_YTM_BID"),_bbt3[[#All],[METRIC_VALUE]])*0.5))/100,"")</f>
        <v/>
      </c>
      <c r="I1800">
        <f>IF(ISNA(VLOOKUP(A1800,QW_CloseDL!A:E,5,0)),0,VLOOKUP(A1800,QW_CloseDL!A:E,5,0))</f>
        <v>0</v>
      </c>
      <c r="J1800" s="8" t="str">
        <f t="shared" si="118"/>
        <v/>
      </c>
    </row>
    <row r="1801" spans="2:10" x14ac:dyDescent="0.35">
      <c r="B1801" t="str">
        <f>IF(NOT(ISBLANK(A1801)),VLOOKUP(A1801,'BBT3'!A:F,2,0),"")</f>
        <v/>
      </c>
      <c r="C1801" t="str">
        <f>IF(NOT(ISBLANK(A1801)),VLOOKUP(A1801,'BBT3'!A:F,3,0),"")</f>
        <v/>
      </c>
      <c r="D1801" s="6" t="str">
        <f>IF(NOT(ISBLANK(A1801)),VLOOKUP(A1801,'BBT3'!A:F,4,1),"")</f>
        <v/>
      </c>
      <c r="E1801" t="str">
        <f>IF(NOT(ISBLANK(A1801)),VLOOKUP(A1801,'BBT3'!A:F,5,0),"")</f>
        <v/>
      </c>
      <c r="F1801" t="str">
        <f>IF(NOT(ISBLANK(A1801)),VLOOKUP(A1801,'BBT3'!A:F,6,0),"")</f>
        <v/>
      </c>
      <c r="G1801" t="str">
        <f>IF(NOT(ISBLANK(A1801)),VLOOKUP(A1801,QW_Close!A:J,5,0),"")</f>
        <v/>
      </c>
      <c r="H1801" s="5" t="str" cm="1">
        <f t="array" ref="H1801">IF(NOT(ISBLANK(A1801)),((_xlfn.XLOOKUP(1,(_bbt3[[#All],[ID]]=A1801)*(_bbt3[[#All],[METRIC_NAME]]="YLD_YTM_ASK"),_bbt3[[#All],[METRIC_VALUE]])*0.5)+(_xlfn.XLOOKUP(1,(_bbt3[[#All],[ID]]=A1801)*(_bbt3[[#All],[METRIC_NAME]]="YLD_YTM_BID"),_bbt3[[#All],[METRIC_VALUE]])*0.5))/100,"")</f>
        <v/>
      </c>
      <c r="I1801">
        <f>IF(ISNA(VLOOKUP(A1801,QW_CloseDL!A:E,5,0)),0,VLOOKUP(A1801,QW_CloseDL!A:E,5,0))</f>
        <v>0</v>
      </c>
      <c r="J1801" s="8" t="str">
        <f t="shared" si="118"/>
        <v/>
      </c>
    </row>
    <row r="1802" spans="2:10" x14ac:dyDescent="0.35">
      <c r="B1802" t="str">
        <f>IF(NOT(ISBLANK(A1802)),VLOOKUP(A1802,'BBT3'!A:F,2,0),"")</f>
        <v/>
      </c>
      <c r="C1802" t="str">
        <f>IF(NOT(ISBLANK(A1802)),VLOOKUP(A1802,'BBT3'!A:F,3,0),"")</f>
        <v/>
      </c>
      <c r="D1802" s="6" t="str">
        <f>IF(NOT(ISBLANK(A1802)),VLOOKUP(A1802,'BBT3'!A:F,4,1),"")</f>
        <v/>
      </c>
      <c r="E1802" t="str">
        <f>IF(NOT(ISBLANK(A1802)),VLOOKUP(A1802,'BBT3'!A:F,5,0),"")</f>
        <v/>
      </c>
      <c r="F1802" t="str">
        <f>IF(NOT(ISBLANK(A1802)),VLOOKUP(A1802,'BBT3'!A:F,6,0),"")</f>
        <v/>
      </c>
      <c r="G1802" t="str">
        <f>IF(NOT(ISBLANK(A1802)),VLOOKUP(A1802,QW_Close!A:J,5,0),"")</f>
        <v/>
      </c>
      <c r="H1802" s="5" t="str" cm="1">
        <f t="array" ref="H1802">IF(NOT(ISBLANK(A1802)),((_xlfn.XLOOKUP(1,(_bbt3[[#All],[ID]]=A1802)*(_bbt3[[#All],[METRIC_NAME]]="YLD_YTM_ASK"),_bbt3[[#All],[METRIC_VALUE]])*0.5)+(_xlfn.XLOOKUP(1,(_bbt3[[#All],[ID]]=A1802)*(_bbt3[[#All],[METRIC_NAME]]="YLD_YTM_BID"),_bbt3[[#All],[METRIC_VALUE]])*0.5))/100,"")</f>
        <v/>
      </c>
      <c r="I1802">
        <f>IF(ISNA(VLOOKUP(A1802,QW_CloseDL!A:E,5,0)),0,VLOOKUP(A1802,QW_CloseDL!A:E,5,0))</f>
        <v>0</v>
      </c>
      <c r="J1802" s="8" t="str">
        <f t="shared" si="118"/>
        <v/>
      </c>
    </row>
    <row r="1803" spans="2:10" x14ac:dyDescent="0.35">
      <c r="B1803" t="str">
        <f>IF(NOT(ISBLANK(A1803)),VLOOKUP(A1803,'BBT3'!A:F,2,0),"")</f>
        <v/>
      </c>
      <c r="C1803" t="str">
        <f>IF(NOT(ISBLANK(A1803)),VLOOKUP(A1803,'BBT3'!A:F,3,0),"")</f>
        <v/>
      </c>
      <c r="D1803" s="6" t="str">
        <f>IF(NOT(ISBLANK(A1803)),VLOOKUP(A1803,'BBT3'!A:F,4,1),"")</f>
        <v/>
      </c>
      <c r="E1803" t="str">
        <f>IF(NOT(ISBLANK(A1803)),VLOOKUP(A1803,'BBT3'!A:F,5,0),"")</f>
        <v/>
      </c>
      <c r="F1803" t="str">
        <f>IF(NOT(ISBLANK(A1803)),VLOOKUP(A1803,'BBT3'!A:F,6,0),"")</f>
        <v/>
      </c>
      <c r="G1803" t="str">
        <f>IF(NOT(ISBLANK(A1803)),VLOOKUP(A1803,QW_Close!A:J,5,0),"")</f>
        <v/>
      </c>
      <c r="H1803" s="5" t="str" cm="1">
        <f t="array" ref="H1803">IF(NOT(ISBLANK(A1803)),((_xlfn.XLOOKUP(1,(_bbt3[[#All],[ID]]=A1803)*(_bbt3[[#All],[METRIC_NAME]]="YLD_YTM_ASK"),_bbt3[[#All],[METRIC_VALUE]])*0.5)+(_xlfn.XLOOKUP(1,(_bbt3[[#All],[ID]]=A1803)*(_bbt3[[#All],[METRIC_NAME]]="YLD_YTM_BID"),_bbt3[[#All],[METRIC_VALUE]])*0.5))/100,"")</f>
        <v/>
      </c>
      <c r="I1803">
        <f>IF(ISNA(VLOOKUP(A1803,QW_CloseDL!A:E,5,0)),0,VLOOKUP(A1803,QW_CloseDL!A:E,5,0))</f>
        <v>0</v>
      </c>
      <c r="J1803" s="8" t="str">
        <f t="shared" si="118"/>
        <v/>
      </c>
    </row>
    <row r="1804" spans="2:10" x14ac:dyDescent="0.35">
      <c r="B1804" t="str">
        <f>IF(NOT(ISBLANK(A1804)),VLOOKUP(A1804,'BBT3'!A:F,2,0),"")</f>
        <v/>
      </c>
      <c r="C1804" t="str">
        <f>IF(NOT(ISBLANK(A1804)),VLOOKUP(A1804,'BBT3'!A:F,3,0),"")</f>
        <v/>
      </c>
      <c r="D1804" s="6" t="str">
        <f>IF(NOT(ISBLANK(A1804)),VLOOKUP(A1804,'BBT3'!A:F,4,1),"")</f>
        <v/>
      </c>
      <c r="E1804" t="str">
        <f>IF(NOT(ISBLANK(A1804)),VLOOKUP(A1804,'BBT3'!A:F,5,0),"")</f>
        <v/>
      </c>
      <c r="F1804" t="str">
        <f>IF(NOT(ISBLANK(A1804)),VLOOKUP(A1804,'BBT3'!A:F,6,0),"")</f>
        <v/>
      </c>
      <c r="G1804" t="str">
        <f>IF(NOT(ISBLANK(A1804)),VLOOKUP(A1804,QW_Close!A:J,5,0),"")</f>
        <v/>
      </c>
      <c r="H1804" s="5" t="str" cm="1">
        <f t="array" ref="H1804">IF(NOT(ISBLANK(A1804)),((_xlfn.XLOOKUP(1,(_bbt3[[#All],[ID]]=A1804)*(_bbt3[[#All],[METRIC_NAME]]="YLD_YTM_ASK"),_bbt3[[#All],[METRIC_VALUE]])*0.5)+(_xlfn.XLOOKUP(1,(_bbt3[[#All],[ID]]=A1804)*(_bbt3[[#All],[METRIC_NAME]]="YLD_YTM_BID"),_bbt3[[#All],[METRIC_VALUE]])*0.5))/100,"")</f>
        <v/>
      </c>
      <c r="I1804">
        <f>IF(ISNA(VLOOKUP(A1804,QW_CloseDL!A:E,5,0)),0,VLOOKUP(A1804,QW_CloseDL!A:E,5,0))</f>
        <v>0</v>
      </c>
      <c r="J1804" s="8" t="str">
        <f t="shared" si="118"/>
        <v/>
      </c>
    </row>
    <row r="1805" spans="2:10" x14ac:dyDescent="0.35">
      <c r="B1805" t="str">
        <f>IF(NOT(ISBLANK(A1805)),VLOOKUP(A1805,'BBT3'!A:F,2,0),"")</f>
        <v/>
      </c>
      <c r="C1805" t="str">
        <f>IF(NOT(ISBLANK(A1805)),VLOOKUP(A1805,'BBT3'!A:F,3,0),"")</f>
        <v/>
      </c>
      <c r="D1805" s="6" t="str">
        <f>IF(NOT(ISBLANK(A1805)),VLOOKUP(A1805,'BBT3'!A:F,4,1),"")</f>
        <v/>
      </c>
      <c r="E1805" t="str">
        <f>IF(NOT(ISBLANK(A1805)),VLOOKUP(A1805,'BBT3'!A:F,5,0),"")</f>
        <v/>
      </c>
      <c r="F1805" t="str">
        <f>IF(NOT(ISBLANK(A1805)),VLOOKUP(A1805,'BBT3'!A:F,6,0),"")</f>
        <v/>
      </c>
      <c r="G1805" t="str">
        <f>IF(NOT(ISBLANK(A1805)),VLOOKUP(A1805,QW_Close!A:J,5,0),"")</f>
        <v/>
      </c>
      <c r="H1805" s="5" t="str" cm="1">
        <f t="array" ref="H1805">IF(NOT(ISBLANK(A1805)),((_xlfn.XLOOKUP(1,(_bbt3[[#All],[ID]]=A1805)*(_bbt3[[#All],[METRIC_NAME]]="YLD_YTM_ASK"),_bbt3[[#All],[METRIC_VALUE]])*0.5)+(_xlfn.XLOOKUP(1,(_bbt3[[#All],[ID]]=A1805)*(_bbt3[[#All],[METRIC_NAME]]="YLD_YTM_BID"),_bbt3[[#All],[METRIC_VALUE]])*0.5))/100,"")</f>
        <v/>
      </c>
      <c r="I1805">
        <f>IF(ISNA(VLOOKUP(A1805,QW_CloseDL!A:E,5,0)),0,VLOOKUP(A1805,QW_CloseDL!A:E,5,0))</f>
        <v>0</v>
      </c>
      <c r="J1805" s="8" t="str">
        <f t="shared" si="118"/>
        <v/>
      </c>
    </row>
    <row r="1806" spans="2:10" x14ac:dyDescent="0.35">
      <c r="B1806" t="str">
        <f>IF(NOT(ISBLANK(A1806)),VLOOKUP(A1806,'BBT3'!A:F,2,0),"")</f>
        <v/>
      </c>
      <c r="C1806" t="str">
        <f>IF(NOT(ISBLANK(A1806)),VLOOKUP(A1806,'BBT3'!A:F,3,0),"")</f>
        <v/>
      </c>
      <c r="D1806" s="6" t="str">
        <f>IF(NOT(ISBLANK(A1806)),VLOOKUP(A1806,'BBT3'!A:F,4,1),"")</f>
        <v/>
      </c>
      <c r="E1806" t="str">
        <f>IF(NOT(ISBLANK(A1806)),VLOOKUP(A1806,'BBT3'!A:F,5,0),"")</f>
        <v/>
      </c>
      <c r="F1806" t="str">
        <f>IF(NOT(ISBLANK(A1806)),VLOOKUP(A1806,'BBT3'!A:F,6,0),"")</f>
        <v/>
      </c>
      <c r="G1806" t="str">
        <f>IF(NOT(ISBLANK(A1806)),VLOOKUP(A1806,QW_Close!A:J,5,0),"")</f>
        <v/>
      </c>
      <c r="H1806" s="5" t="str" cm="1">
        <f t="array" ref="H1806">IF(NOT(ISBLANK(A1806)),((_xlfn.XLOOKUP(1,(_bbt3[[#All],[ID]]=A1806)*(_bbt3[[#All],[METRIC_NAME]]="YLD_YTM_ASK"),_bbt3[[#All],[METRIC_VALUE]])*0.5)+(_xlfn.XLOOKUP(1,(_bbt3[[#All],[ID]]=A1806)*(_bbt3[[#All],[METRIC_NAME]]="YLD_YTM_BID"),_bbt3[[#All],[METRIC_VALUE]])*0.5))/100,"")</f>
        <v/>
      </c>
      <c r="I1806">
        <f>IF(ISNA(VLOOKUP(A1806,QW_CloseDL!A:E,5,0)),0,VLOOKUP(A1806,QW_CloseDL!A:E,5,0))</f>
        <v>0</v>
      </c>
      <c r="J1806" s="8" t="str">
        <f t="shared" si="118"/>
        <v/>
      </c>
    </row>
    <row r="1807" spans="2:10" x14ac:dyDescent="0.35">
      <c r="B1807" t="str">
        <f>IF(NOT(ISBLANK(A1807)),VLOOKUP(A1807,'BBT3'!A:F,2,0),"")</f>
        <v/>
      </c>
      <c r="C1807" t="str">
        <f>IF(NOT(ISBLANK(A1807)),VLOOKUP(A1807,'BBT3'!A:F,3,0),"")</f>
        <v/>
      </c>
      <c r="D1807" s="6" t="str">
        <f>IF(NOT(ISBLANK(A1807)),VLOOKUP(A1807,'BBT3'!A:F,4,1),"")</f>
        <v/>
      </c>
      <c r="E1807" t="str">
        <f>IF(NOT(ISBLANK(A1807)),VLOOKUP(A1807,'BBT3'!A:F,5,0),"")</f>
        <v/>
      </c>
      <c r="F1807" t="str">
        <f>IF(NOT(ISBLANK(A1807)),VLOOKUP(A1807,'BBT3'!A:F,6,0),"")</f>
        <v/>
      </c>
      <c r="G1807" t="str">
        <f>IF(NOT(ISBLANK(A1807)),VLOOKUP(A1807,QW_Close!A:J,5,0),"")</f>
        <v/>
      </c>
      <c r="H1807" s="5" t="str" cm="1">
        <f t="array" ref="H1807">IF(NOT(ISBLANK(A1807)),((_xlfn.XLOOKUP(1,(_bbt3[[#All],[ID]]=A1807)*(_bbt3[[#All],[METRIC_NAME]]="YLD_YTM_ASK"),_bbt3[[#All],[METRIC_VALUE]])*0.5)+(_xlfn.XLOOKUP(1,(_bbt3[[#All],[ID]]=A1807)*(_bbt3[[#All],[METRIC_NAME]]="YLD_YTM_BID"),_bbt3[[#All],[METRIC_VALUE]])*0.5))/100,"")</f>
        <v/>
      </c>
      <c r="I1807">
        <f>IF(ISNA(VLOOKUP(A1807,QW_CloseDL!A:E,5,0)),0,VLOOKUP(A1807,QW_CloseDL!A:E,5,0))</f>
        <v>0</v>
      </c>
      <c r="J1807" s="8" t="str">
        <f t="shared" si="118"/>
        <v/>
      </c>
    </row>
    <row r="1808" spans="2:10" x14ac:dyDescent="0.35">
      <c r="B1808" t="str">
        <f>IF(NOT(ISBLANK(A1808)),VLOOKUP(A1808,'BBT3'!A:F,2,0),"")</f>
        <v/>
      </c>
      <c r="C1808" t="str">
        <f>IF(NOT(ISBLANK(A1808)),VLOOKUP(A1808,'BBT3'!A:F,3,0),"")</f>
        <v/>
      </c>
      <c r="D1808" s="6" t="str">
        <f>IF(NOT(ISBLANK(A1808)),VLOOKUP(A1808,'BBT3'!A:F,4,1),"")</f>
        <v/>
      </c>
      <c r="E1808" t="str">
        <f>IF(NOT(ISBLANK(A1808)),VLOOKUP(A1808,'BBT3'!A:F,5,0),"")</f>
        <v/>
      </c>
      <c r="F1808" t="str">
        <f>IF(NOT(ISBLANK(A1808)),VLOOKUP(A1808,'BBT3'!A:F,6,0),"")</f>
        <v/>
      </c>
      <c r="G1808" t="str">
        <f>IF(NOT(ISBLANK(A1808)),VLOOKUP(A1808,QW_Close!A:J,5,0),"")</f>
        <v/>
      </c>
      <c r="H1808" s="5" t="str" cm="1">
        <f t="array" ref="H1808">IF(NOT(ISBLANK(A1808)),((_xlfn.XLOOKUP(1,(_bbt3[[#All],[ID]]=A1808)*(_bbt3[[#All],[METRIC_NAME]]="YLD_YTM_ASK"),_bbt3[[#All],[METRIC_VALUE]])*0.5)+(_xlfn.XLOOKUP(1,(_bbt3[[#All],[ID]]=A1808)*(_bbt3[[#All],[METRIC_NAME]]="YLD_YTM_BID"),_bbt3[[#All],[METRIC_VALUE]])*0.5))/100,"")</f>
        <v/>
      </c>
      <c r="I1808">
        <f>IF(ISNA(VLOOKUP(A1808,QW_CloseDL!A:E,5,0)),0,VLOOKUP(A1808,QW_CloseDL!A:E,5,0))</f>
        <v>0</v>
      </c>
      <c r="J1808" s="8" t="str">
        <f t="shared" si="118"/>
        <v/>
      </c>
    </row>
    <row r="1809" spans="2:10" x14ac:dyDescent="0.35">
      <c r="B1809" t="str">
        <f>IF(NOT(ISBLANK(A1809)),VLOOKUP(A1809,'BBT3'!A:F,2,0),"")</f>
        <v/>
      </c>
      <c r="C1809" t="str">
        <f>IF(NOT(ISBLANK(A1809)),VLOOKUP(A1809,'BBT3'!A:F,3,0),"")</f>
        <v/>
      </c>
      <c r="D1809" s="6" t="str">
        <f>IF(NOT(ISBLANK(A1809)),VLOOKUP(A1809,'BBT3'!A:F,4,1),"")</f>
        <v/>
      </c>
      <c r="E1809" t="str">
        <f>IF(NOT(ISBLANK(A1809)),VLOOKUP(A1809,'BBT3'!A:F,5,0),"")</f>
        <v/>
      </c>
      <c r="F1809" t="str">
        <f>IF(NOT(ISBLANK(A1809)),VLOOKUP(A1809,'BBT3'!A:F,6,0),"")</f>
        <v/>
      </c>
      <c r="G1809" t="str">
        <f>IF(NOT(ISBLANK(A1809)),VLOOKUP(A1809,QW_Close!A:J,5,0),"")</f>
        <v/>
      </c>
      <c r="H1809" s="5" t="str" cm="1">
        <f t="array" ref="H1809">IF(NOT(ISBLANK(A1809)),((_xlfn.XLOOKUP(1,(_bbt3[[#All],[ID]]=A1809)*(_bbt3[[#All],[METRIC_NAME]]="YLD_YTM_ASK"),_bbt3[[#All],[METRIC_VALUE]])*0.5)+(_xlfn.XLOOKUP(1,(_bbt3[[#All],[ID]]=A1809)*(_bbt3[[#All],[METRIC_NAME]]="YLD_YTM_BID"),_bbt3[[#All],[METRIC_VALUE]])*0.5))/100,"")</f>
        <v/>
      </c>
      <c r="I1809">
        <f>IF(ISNA(VLOOKUP(A1809,QW_CloseDL!A:E,5,0)),0,VLOOKUP(A1809,QW_CloseDL!A:E,5,0))</f>
        <v>0</v>
      </c>
      <c r="J1809" s="8" t="str">
        <f t="shared" si="118"/>
        <v/>
      </c>
    </row>
    <row r="1810" spans="2:10" x14ac:dyDescent="0.35">
      <c r="B1810" t="str">
        <f>IF(NOT(ISBLANK(A1810)),VLOOKUP(A1810,'BBT3'!A:F,2,0),"")</f>
        <v/>
      </c>
      <c r="C1810" t="str">
        <f>IF(NOT(ISBLANK(A1810)),VLOOKUP(A1810,'BBT3'!A:F,3,0),"")</f>
        <v/>
      </c>
      <c r="D1810" s="6" t="str">
        <f>IF(NOT(ISBLANK(A1810)),VLOOKUP(A1810,'BBT3'!A:F,4,1),"")</f>
        <v/>
      </c>
      <c r="E1810" t="str">
        <f>IF(NOT(ISBLANK(A1810)),VLOOKUP(A1810,'BBT3'!A:F,5,0),"")</f>
        <v/>
      </c>
      <c r="F1810" t="str">
        <f>IF(NOT(ISBLANK(A1810)),VLOOKUP(A1810,'BBT3'!A:F,6,0),"")</f>
        <v/>
      </c>
      <c r="G1810" t="str">
        <f>IF(NOT(ISBLANK(A1810)),VLOOKUP(A1810,QW_Close!A:J,5,0),"")</f>
        <v/>
      </c>
      <c r="H1810" s="5" t="str" cm="1">
        <f t="array" ref="H1810">IF(NOT(ISBLANK(A1810)),((_xlfn.XLOOKUP(1,(_bbt3[[#All],[ID]]=A1810)*(_bbt3[[#All],[METRIC_NAME]]="YLD_YTM_ASK"),_bbt3[[#All],[METRIC_VALUE]])*0.5)+(_xlfn.XLOOKUP(1,(_bbt3[[#All],[ID]]=A1810)*(_bbt3[[#All],[METRIC_NAME]]="YLD_YTM_BID"),_bbt3[[#All],[METRIC_VALUE]])*0.5))/100,"")</f>
        <v/>
      </c>
      <c r="I1810">
        <f>IF(ISNA(VLOOKUP(A1810,QW_CloseDL!A:E,5,0)),0,VLOOKUP(A1810,QW_CloseDL!A:E,5,0))</f>
        <v>0</v>
      </c>
      <c r="J1810" s="8" t="str">
        <f t="shared" si="118"/>
        <v/>
      </c>
    </row>
    <row r="1811" spans="2:10" x14ac:dyDescent="0.35">
      <c r="B1811" t="str">
        <f>IF(NOT(ISBLANK(A1811)),VLOOKUP(A1811,'BBT3'!A:F,2,0),"")</f>
        <v/>
      </c>
      <c r="C1811" t="str">
        <f>IF(NOT(ISBLANK(A1811)),VLOOKUP(A1811,'BBT3'!A:F,3,0),"")</f>
        <v/>
      </c>
      <c r="D1811" s="6" t="str">
        <f>IF(NOT(ISBLANK(A1811)),VLOOKUP(A1811,'BBT3'!A:F,4,1),"")</f>
        <v/>
      </c>
      <c r="E1811" t="str">
        <f>IF(NOT(ISBLANK(A1811)),VLOOKUP(A1811,'BBT3'!A:F,5,0),"")</f>
        <v/>
      </c>
      <c r="F1811" t="str">
        <f>IF(NOT(ISBLANK(A1811)),VLOOKUP(A1811,'BBT3'!A:F,6,0),"")</f>
        <v/>
      </c>
      <c r="G1811" t="str">
        <f>IF(NOT(ISBLANK(A1811)),VLOOKUP(A1811,QW_Close!A:J,5,0),"")</f>
        <v/>
      </c>
      <c r="H1811" s="5" t="str" cm="1">
        <f t="array" ref="H1811">IF(NOT(ISBLANK(A1811)),((_xlfn.XLOOKUP(1,(_bbt3[[#All],[ID]]=A1811)*(_bbt3[[#All],[METRIC_NAME]]="YLD_YTM_ASK"),_bbt3[[#All],[METRIC_VALUE]])*0.5)+(_xlfn.XLOOKUP(1,(_bbt3[[#All],[ID]]=A1811)*(_bbt3[[#All],[METRIC_NAME]]="YLD_YTM_BID"),_bbt3[[#All],[METRIC_VALUE]])*0.5))/100,"")</f>
        <v/>
      </c>
      <c r="I1811">
        <f>IF(ISNA(VLOOKUP(A1811,QW_CloseDL!A:E,5,0)),0,VLOOKUP(A1811,QW_CloseDL!A:E,5,0))</f>
        <v>0</v>
      </c>
      <c r="J1811" s="8" t="str">
        <f t="shared" si="118"/>
        <v/>
      </c>
    </row>
    <row r="1812" spans="2:10" x14ac:dyDescent="0.35">
      <c r="B1812" t="str">
        <f>IF(NOT(ISBLANK(A1812)),VLOOKUP(A1812,'BBT3'!A:F,2,0),"")</f>
        <v/>
      </c>
      <c r="C1812" t="str">
        <f>IF(NOT(ISBLANK(A1812)),VLOOKUP(A1812,'BBT3'!A:F,3,0),"")</f>
        <v/>
      </c>
      <c r="D1812" s="6" t="str">
        <f>IF(NOT(ISBLANK(A1812)),VLOOKUP(A1812,'BBT3'!A:F,4,1),"")</f>
        <v/>
      </c>
      <c r="E1812" t="str">
        <f>IF(NOT(ISBLANK(A1812)),VLOOKUP(A1812,'BBT3'!A:F,5,0),"")</f>
        <v/>
      </c>
      <c r="F1812" t="str">
        <f>IF(NOT(ISBLANK(A1812)),VLOOKUP(A1812,'BBT3'!A:F,6,0),"")</f>
        <v/>
      </c>
      <c r="G1812" t="str">
        <f>IF(NOT(ISBLANK(A1812)),VLOOKUP(A1812,QW_Close!A:J,5,0),"")</f>
        <v/>
      </c>
      <c r="H1812" s="5" t="str" cm="1">
        <f t="array" ref="H1812">IF(NOT(ISBLANK(A1812)),((_xlfn.XLOOKUP(1,(_bbt3[[#All],[ID]]=A1812)*(_bbt3[[#All],[METRIC_NAME]]="YLD_YTM_ASK"),_bbt3[[#All],[METRIC_VALUE]])*0.5)+(_xlfn.XLOOKUP(1,(_bbt3[[#All],[ID]]=A1812)*(_bbt3[[#All],[METRIC_NAME]]="YLD_YTM_BID"),_bbt3[[#All],[METRIC_VALUE]])*0.5))/100,"")</f>
        <v/>
      </c>
      <c r="I1812">
        <f>IF(ISNA(VLOOKUP(A1812,QW_CloseDL!A:E,5,0)),0,VLOOKUP(A1812,QW_CloseDL!A:E,5,0))</f>
        <v>0</v>
      </c>
      <c r="J1812" s="8" t="str">
        <f t="shared" si="118"/>
        <v/>
      </c>
    </row>
    <row r="1813" spans="2:10" x14ac:dyDescent="0.35">
      <c r="B1813" t="str">
        <f>IF(NOT(ISBLANK(A1813)),VLOOKUP(A1813,'BBT3'!A:F,2,0),"")</f>
        <v/>
      </c>
      <c r="C1813" t="str">
        <f>IF(NOT(ISBLANK(A1813)),VLOOKUP(A1813,'BBT3'!A:F,3,0),"")</f>
        <v/>
      </c>
      <c r="D1813" s="6" t="str">
        <f>IF(NOT(ISBLANK(A1813)),VLOOKUP(A1813,'BBT3'!A:F,4,1),"")</f>
        <v/>
      </c>
      <c r="E1813" t="str">
        <f>IF(NOT(ISBLANK(A1813)),VLOOKUP(A1813,'BBT3'!A:F,5,0),"")</f>
        <v/>
      </c>
      <c r="F1813" t="str">
        <f>IF(NOT(ISBLANK(A1813)),VLOOKUP(A1813,'BBT3'!A:F,6,0),"")</f>
        <v/>
      </c>
      <c r="G1813" t="str">
        <f>IF(NOT(ISBLANK(A1813)),VLOOKUP(A1813,QW_Close!A:J,5,0),"")</f>
        <v/>
      </c>
      <c r="H1813" s="5" t="str" cm="1">
        <f t="array" ref="H1813">IF(NOT(ISBLANK(A1813)),((_xlfn.XLOOKUP(1,(_bbt3[[#All],[ID]]=A1813)*(_bbt3[[#All],[METRIC_NAME]]="YLD_YTM_ASK"),_bbt3[[#All],[METRIC_VALUE]])*0.5)+(_xlfn.XLOOKUP(1,(_bbt3[[#All],[ID]]=A1813)*(_bbt3[[#All],[METRIC_NAME]]="YLD_YTM_BID"),_bbt3[[#All],[METRIC_VALUE]])*0.5))/100,"")</f>
        <v/>
      </c>
      <c r="I1813">
        <f>IF(ISNA(VLOOKUP(A1813,QW_CloseDL!A:E,5,0)),0,VLOOKUP(A1813,QW_CloseDL!A:E,5,0))</f>
        <v>0</v>
      </c>
      <c r="J1813" s="8" t="str">
        <f t="shared" si="118"/>
        <v/>
      </c>
    </row>
    <row r="1814" spans="2:10" x14ac:dyDescent="0.35">
      <c r="B1814" t="str">
        <f>IF(NOT(ISBLANK(A1814)),VLOOKUP(A1814,'BBT3'!A:F,2,0),"")</f>
        <v/>
      </c>
      <c r="C1814" t="str">
        <f>IF(NOT(ISBLANK(A1814)),VLOOKUP(A1814,'BBT3'!A:F,3,0),"")</f>
        <v/>
      </c>
      <c r="D1814" s="6" t="str">
        <f>IF(NOT(ISBLANK(A1814)),VLOOKUP(A1814,'BBT3'!A:F,4,1),"")</f>
        <v/>
      </c>
      <c r="E1814" t="str">
        <f>IF(NOT(ISBLANK(A1814)),VLOOKUP(A1814,'BBT3'!A:F,5,0),"")</f>
        <v/>
      </c>
      <c r="F1814" t="str">
        <f>IF(NOT(ISBLANK(A1814)),VLOOKUP(A1814,'BBT3'!A:F,6,0),"")</f>
        <v/>
      </c>
      <c r="G1814" t="str">
        <f>IF(NOT(ISBLANK(A1814)),VLOOKUP(A1814,QW_Close!A:J,5,0),"")</f>
        <v/>
      </c>
      <c r="H1814" s="5" t="str" cm="1">
        <f t="array" ref="H1814">IF(NOT(ISBLANK(A1814)),((_xlfn.XLOOKUP(1,(_bbt3[[#All],[ID]]=A1814)*(_bbt3[[#All],[METRIC_NAME]]="YLD_YTM_ASK"),_bbt3[[#All],[METRIC_VALUE]])*0.5)+(_xlfn.XLOOKUP(1,(_bbt3[[#All],[ID]]=A1814)*(_bbt3[[#All],[METRIC_NAME]]="YLD_YTM_BID"),_bbt3[[#All],[METRIC_VALUE]])*0.5))/100,"")</f>
        <v/>
      </c>
      <c r="I1814">
        <f>IF(ISNA(VLOOKUP(A1814,QW_CloseDL!A:E,5,0)),0,VLOOKUP(A1814,QW_CloseDL!A:E,5,0))</f>
        <v>0</v>
      </c>
      <c r="J1814" s="8" t="str">
        <f t="shared" si="118"/>
        <v/>
      </c>
    </row>
    <row r="1815" spans="2:10" x14ac:dyDescent="0.35">
      <c r="B1815" t="str">
        <f>IF(NOT(ISBLANK(A1815)),VLOOKUP(A1815,'BBT3'!A:F,2,0),"")</f>
        <v/>
      </c>
      <c r="C1815" t="str">
        <f>IF(NOT(ISBLANK(A1815)),VLOOKUP(A1815,'BBT3'!A:F,3,0),"")</f>
        <v/>
      </c>
      <c r="D1815" s="6" t="str">
        <f>IF(NOT(ISBLANK(A1815)),VLOOKUP(A1815,'BBT3'!A:F,4,1),"")</f>
        <v/>
      </c>
      <c r="E1815" t="str">
        <f>IF(NOT(ISBLANK(A1815)),VLOOKUP(A1815,'BBT3'!A:F,5,0),"")</f>
        <v/>
      </c>
      <c r="F1815" t="str">
        <f>IF(NOT(ISBLANK(A1815)),VLOOKUP(A1815,'BBT3'!A:F,6,0),"")</f>
        <v/>
      </c>
      <c r="G1815" t="str">
        <f>IF(NOT(ISBLANK(A1815)),VLOOKUP(A1815,QW_Close!A:J,5,0),"")</f>
        <v/>
      </c>
      <c r="H1815" s="5" t="str" cm="1">
        <f t="array" ref="H1815">IF(NOT(ISBLANK(A1815)),((_xlfn.XLOOKUP(1,(_bbt3[[#All],[ID]]=A1815)*(_bbt3[[#All],[METRIC_NAME]]="YLD_YTM_ASK"),_bbt3[[#All],[METRIC_VALUE]])*0.5)+(_xlfn.XLOOKUP(1,(_bbt3[[#All],[ID]]=A1815)*(_bbt3[[#All],[METRIC_NAME]]="YLD_YTM_BID"),_bbt3[[#All],[METRIC_VALUE]])*0.5))/100,"")</f>
        <v/>
      </c>
      <c r="I1815">
        <f>IF(ISNA(VLOOKUP(A1815,QW_CloseDL!A:E,5,0)),0,VLOOKUP(A1815,QW_CloseDL!A:E,5,0))</f>
        <v>0</v>
      </c>
      <c r="J1815" s="8" t="str">
        <f t="shared" si="118"/>
        <v/>
      </c>
    </row>
    <row r="1816" spans="2:10" x14ac:dyDescent="0.35">
      <c r="B1816" t="str">
        <f>IF(NOT(ISBLANK(A1816)),VLOOKUP(A1816,'BBT3'!A:F,2,0),"")</f>
        <v/>
      </c>
      <c r="C1816" t="str">
        <f>IF(NOT(ISBLANK(A1816)),VLOOKUP(A1816,'BBT3'!A:F,3,0),"")</f>
        <v/>
      </c>
      <c r="D1816" s="6" t="str">
        <f>IF(NOT(ISBLANK(A1816)),VLOOKUP(A1816,'BBT3'!A:F,4,1),"")</f>
        <v/>
      </c>
      <c r="E1816" t="str">
        <f>IF(NOT(ISBLANK(A1816)),VLOOKUP(A1816,'BBT3'!A:F,5,0),"")</f>
        <v/>
      </c>
      <c r="F1816" t="str">
        <f>IF(NOT(ISBLANK(A1816)),VLOOKUP(A1816,'BBT3'!A:F,6,0),"")</f>
        <v/>
      </c>
      <c r="G1816" t="str">
        <f>IF(NOT(ISBLANK(A1816)),VLOOKUP(A1816,QW_Close!A:J,5,0),"")</f>
        <v/>
      </c>
      <c r="H1816" s="5" t="str" cm="1">
        <f t="array" ref="H1816">IF(NOT(ISBLANK(A1816)),((_xlfn.XLOOKUP(1,(_bbt3[[#All],[ID]]=A1816)*(_bbt3[[#All],[METRIC_NAME]]="YLD_YTM_ASK"),_bbt3[[#All],[METRIC_VALUE]])*0.5)+(_xlfn.XLOOKUP(1,(_bbt3[[#All],[ID]]=A1816)*(_bbt3[[#All],[METRIC_NAME]]="YLD_YTM_BID"),_bbt3[[#All],[METRIC_VALUE]])*0.5))/100,"")</f>
        <v/>
      </c>
      <c r="I1816">
        <f>IF(ISNA(VLOOKUP(A1816,QW_CloseDL!A:E,5,0)),0,VLOOKUP(A1816,QW_CloseDL!A:E,5,0))</f>
        <v>0</v>
      </c>
      <c r="J1816" s="8" t="str">
        <f t="shared" si="118"/>
        <v/>
      </c>
    </row>
    <row r="1817" spans="2:10" x14ac:dyDescent="0.35">
      <c r="B1817" t="str">
        <f>IF(NOT(ISBLANK(A1817)),VLOOKUP(A1817,'BBT3'!A:F,2,0),"")</f>
        <v/>
      </c>
      <c r="C1817" t="str">
        <f>IF(NOT(ISBLANK(A1817)),VLOOKUP(A1817,'BBT3'!A:F,3,0),"")</f>
        <v/>
      </c>
      <c r="D1817" s="6" t="str">
        <f>IF(NOT(ISBLANK(A1817)),VLOOKUP(A1817,'BBT3'!A:F,4,1),"")</f>
        <v/>
      </c>
      <c r="E1817" t="str">
        <f>IF(NOT(ISBLANK(A1817)),VLOOKUP(A1817,'BBT3'!A:F,5,0),"")</f>
        <v/>
      </c>
      <c r="F1817" t="str">
        <f>IF(NOT(ISBLANK(A1817)),VLOOKUP(A1817,'BBT3'!A:F,6,0),"")</f>
        <v/>
      </c>
      <c r="G1817" t="str">
        <f>IF(NOT(ISBLANK(A1817)),VLOOKUP(A1817,QW_Close!A:J,5,0),"")</f>
        <v/>
      </c>
      <c r="H1817" s="5" t="str" cm="1">
        <f t="array" ref="H1817">IF(NOT(ISBLANK(A1817)),((_xlfn.XLOOKUP(1,(_bbt3[[#All],[ID]]=A1817)*(_bbt3[[#All],[METRIC_NAME]]="YLD_YTM_ASK"),_bbt3[[#All],[METRIC_VALUE]])*0.5)+(_xlfn.XLOOKUP(1,(_bbt3[[#All],[ID]]=A1817)*(_bbt3[[#All],[METRIC_NAME]]="YLD_YTM_BID"),_bbt3[[#All],[METRIC_VALUE]])*0.5))/100,"")</f>
        <v/>
      </c>
      <c r="I1817">
        <f>IF(ISNA(VLOOKUP(A1817,QW_CloseDL!A:E,5,0)),0,VLOOKUP(A1817,QW_CloseDL!A:E,5,0))</f>
        <v>0</v>
      </c>
      <c r="J1817" s="8" t="str">
        <f t="shared" si="118"/>
        <v/>
      </c>
    </row>
    <row r="1818" spans="2:10" x14ac:dyDescent="0.35">
      <c r="B1818" t="str">
        <f>IF(NOT(ISBLANK(A1818)),VLOOKUP(A1818,'BBT3'!A:F,2,0),"")</f>
        <v/>
      </c>
      <c r="C1818" t="str">
        <f>IF(NOT(ISBLANK(A1818)),VLOOKUP(A1818,'BBT3'!A:F,3,0),"")</f>
        <v/>
      </c>
      <c r="D1818" s="6" t="str">
        <f>IF(NOT(ISBLANK(A1818)),VLOOKUP(A1818,'BBT3'!A:F,4,1),"")</f>
        <v/>
      </c>
      <c r="E1818" t="str">
        <f>IF(NOT(ISBLANK(A1818)),VLOOKUP(A1818,'BBT3'!A:F,5,0),"")</f>
        <v/>
      </c>
      <c r="F1818" t="str">
        <f>IF(NOT(ISBLANK(A1818)),VLOOKUP(A1818,'BBT3'!A:F,6,0),"")</f>
        <v/>
      </c>
      <c r="G1818" t="str">
        <f>IF(NOT(ISBLANK(A1818)),VLOOKUP(A1818,QW_Close!A:J,5,0),"")</f>
        <v/>
      </c>
      <c r="H1818" s="5" t="str" cm="1">
        <f t="array" ref="H1818">IF(NOT(ISBLANK(A1818)),((_xlfn.XLOOKUP(1,(_bbt3[[#All],[ID]]=A1818)*(_bbt3[[#All],[METRIC_NAME]]="YLD_YTM_ASK"),_bbt3[[#All],[METRIC_VALUE]])*0.5)+(_xlfn.XLOOKUP(1,(_bbt3[[#All],[ID]]=A1818)*(_bbt3[[#All],[METRIC_NAME]]="YLD_YTM_BID"),_bbt3[[#All],[METRIC_VALUE]])*0.5))/100,"")</f>
        <v/>
      </c>
      <c r="I1818">
        <f>IF(ISNA(VLOOKUP(A1818,QW_CloseDL!A:E,5,0)),0,VLOOKUP(A1818,QW_CloseDL!A:E,5,0))</f>
        <v>0</v>
      </c>
      <c r="J1818" s="8" t="str">
        <f t="shared" si="118"/>
        <v/>
      </c>
    </row>
    <row r="1819" spans="2:10" x14ac:dyDescent="0.35">
      <c r="B1819" t="str">
        <f>IF(NOT(ISBLANK(A1819)),VLOOKUP(A1819,'BBT3'!A:F,2,0),"")</f>
        <v/>
      </c>
      <c r="C1819" t="str">
        <f>IF(NOT(ISBLANK(A1819)),VLOOKUP(A1819,'BBT3'!A:F,3,0),"")</f>
        <v/>
      </c>
      <c r="D1819" s="6" t="str">
        <f>IF(NOT(ISBLANK(A1819)),VLOOKUP(A1819,'BBT3'!A:F,4,1),"")</f>
        <v/>
      </c>
      <c r="E1819" t="str">
        <f>IF(NOT(ISBLANK(A1819)),VLOOKUP(A1819,'BBT3'!A:F,5,0),"")</f>
        <v/>
      </c>
      <c r="F1819" t="str">
        <f>IF(NOT(ISBLANK(A1819)),VLOOKUP(A1819,'BBT3'!A:F,6,0),"")</f>
        <v/>
      </c>
      <c r="G1819" t="str">
        <f>IF(NOT(ISBLANK(A1819)),VLOOKUP(A1819,QW_Close!A:J,5,0),"")</f>
        <v/>
      </c>
      <c r="H1819" s="5" t="str" cm="1">
        <f t="array" ref="H1819">IF(NOT(ISBLANK(A1819)),((_xlfn.XLOOKUP(1,(_bbt3[[#All],[ID]]=A1819)*(_bbt3[[#All],[METRIC_NAME]]="YLD_YTM_ASK"),_bbt3[[#All],[METRIC_VALUE]])*0.5)+(_xlfn.XLOOKUP(1,(_bbt3[[#All],[ID]]=A1819)*(_bbt3[[#All],[METRIC_NAME]]="YLD_YTM_BID"),_bbt3[[#All],[METRIC_VALUE]])*0.5))/100,"")</f>
        <v/>
      </c>
      <c r="I1819">
        <f>IF(ISNA(VLOOKUP(A1819,QW_CloseDL!A:E,5,0)),0,VLOOKUP(A1819,QW_CloseDL!A:E,5,0))</f>
        <v>0</v>
      </c>
      <c r="J1819" s="8" t="str">
        <f t="shared" si="118"/>
        <v/>
      </c>
    </row>
    <row r="1820" spans="2:10" x14ac:dyDescent="0.35">
      <c r="B1820" t="str">
        <f>IF(NOT(ISBLANK(A1820)),VLOOKUP(A1820,'BBT3'!A:F,2,0),"")</f>
        <v/>
      </c>
      <c r="C1820" t="str">
        <f>IF(NOT(ISBLANK(A1820)),VLOOKUP(A1820,'BBT3'!A:F,3,0),"")</f>
        <v/>
      </c>
      <c r="D1820" s="6" t="str">
        <f>IF(NOT(ISBLANK(A1820)),VLOOKUP(A1820,'BBT3'!A:F,4,1),"")</f>
        <v/>
      </c>
      <c r="E1820" t="str">
        <f>IF(NOT(ISBLANK(A1820)),VLOOKUP(A1820,'BBT3'!A:F,5,0),"")</f>
        <v/>
      </c>
      <c r="F1820" t="str">
        <f>IF(NOT(ISBLANK(A1820)),VLOOKUP(A1820,'BBT3'!A:F,6,0),"")</f>
        <v/>
      </c>
      <c r="G1820" t="str">
        <f>IF(NOT(ISBLANK(A1820)),VLOOKUP(A1820,QW_Close!A:J,5,0),"")</f>
        <v/>
      </c>
      <c r="H1820" s="5" t="str" cm="1">
        <f t="array" ref="H1820">IF(NOT(ISBLANK(A1820)),((_xlfn.XLOOKUP(1,(_bbt3[[#All],[ID]]=A1820)*(_bbt3[[#All],[METRIC_NAME]]="YLD_YTM_ASK"),_bbt3[[#All],[METRIC_VALUE]])*0.5)+(_xlfn.XLOOKUP(1,(_bbt3[[#All],[ID]]=A1820)*(_bbt3[[#All],[METRIC_NAME]]="YLD_YTM_BID"),_bbt3[[#All],[METRIC_VALUE]])*0.5))/100,"")</f>
        <v/>
      </c>
      <c r="I1820">
        <f>IF(ISNA(VLOOKUP(A1820,QW_CloseDL!A:E,5,0)),0,VLOOKUP(A1820,QW_CloseDL!A:E,5,0))</f>
        <v>0</v>
      </c>
      <c r="J1820" s="8" t="str">
        <f t="shared" si="118"/>
        <v/>
      </c>
    </row>
    <row r="1821" spans="2:10" x14ac:dyDescent="0.35">
      <c r="B1821" t="str">
        <f>IF(NOT(ISBLANK(A1821)),VLOOKUP(A1821,'BBT3'!A:F,2,0),"")</f>
        <v/>
      </c>
      <c r="C1821" t="str">
        <f>IF(NOT(ISBLANK(A1821)),VLOOKUP(A1821,'BBT3'!A:F,3,0),"")</f>
        <v/>
      </c>
      <c r="D1821" s="6" t="str">
        <f>IF(NOT(ISBLANK(A1821)),VLOOKUP(A1821,'BBT3'!A:F,4,1),"")</f>
        <v/>
      </c>
      <c r="E1821" t="str">
        <f>IF(NOT(ISBLANK(A1821)),VLOOKUP(A1821,'BBT3'!A:F,5,0),"")</f>
        <v/>
      </c>
      <c r="F1821" t="str">
        <f>IF(NOT(ISBLANK(A1821)),VLOOKUP(A1821,'BBT3'!A:F,6,0),"")</f>
        <v/>
      </c>
      <c r="G1821" t="str">
        <f>IF(NOT(ISBLANK(A1821)),VLOOKUP(A1821,QW_Close!A:J,5,0),"")</f>
        <v/>
      </c>
      <c r="H1821" s="5" t="str" cm="1">
        <f t="array" ref="H1821">IF(NOT(ISBLANK(A1821)),((_xlfn.XLOOKUP(1,(_bbt3[[#All],[ID]]=A1821)*(_bbt3[[#All],[METRIC_NAME]]="YLD_YTM_ASK"),_bbt3[[#All],[METRIC_VALUE]])*0.5)+(_xlfn.XLOOKUP(1,(_bbt3[[#All],[ID]]=A1821)*(_bbt3[[#All],[METRIC_NAME]]="YLD_YTM_BID"),_bbt3[[#All],[METRIC_VALUE]])*0.5))/100,"")</f>
        <v/>
      </c>
      <c r="I1821">
        <f>IF(ISNA(VLOOKUP(A1821,QW_CloseDL!A:E,5,0)),0,VLOOKUP(A1821,QW_CloseDL!A:E,5,0))</f>
        <v>0</v>
      </c>
      <c r="J1821" s="8" t="str">
        <f t="shared" si="118"/>
        <v/>
      </c>
    </row>
    <row r="1822" spans="2:10" x14ac:dyDescent="0.35">
      <c r="B1822" t="str">
        <f>IF(NOT(ISBLANK(A1822)),VLOOKUP(A1822,'BBT3'!A:F,2,0),"")</f>
        <v/>
      </c>
      <c r="C1822" t="str">
        <f>IF(NOT(ISBLANK(A1822)),VLOOKUP(A1822,'BBT3'!A:F,3,0),"")</f>
        <v/>
      </c>
      <c r="D1822" s="6" t="str">
        <f>IF(NOT(ISBLANK(A1822)),VLOOKUP(A1822,'BBT3'!A:F,4,1),"")</f>
        <v/>
      </c>
      <c r="E1822" t="str">
        <f>IF(NOT(ISBLANK(A1822)),VLOOKUP(A1822,'BBT3'!A:F,5,0),"")</f>
        <v/>
      </c>
      <c r="F1822" t="str">
        <f>IF(NOT(ISBLANK(A1822)),VLOOKUP(A1822,'BBT3'!A:F,6,0),"")</f>
        <v/>
      </c>
      <c r="G1822" t="str">
        <f>IF(NOT(ISBLANK(A1822)),VLOOKUP(A1822,QW_Close!A:J,5,0),"")</f>
        <v/>
      </c>
      <c r="H1822" s="5" t="str" cm="1">
        <f t="array" ref="H1822">IF(NOT(ISBLANK(A1822)),((_xlfn.XLOOKUP(1,(_bbt3[[#All],[ID]]=A1822)*(_bbt3[[#All],[METRIC_NAME]]="YLD_YTM_ASK"),_bbt3[[#All],[METRIC_VALUE]])*0.5)+(_xlfn.XLOOKUP(1,(_bbt3[[#All],[ID]]=A1822)*(_bbt3[[#All],[METRIC_NAME]]="YLD_YTM_BID"),_bbt3[[#All],[METRIC_VALUE]])*0.5))/100,"")</f>
        <v/>
      </c>
      <c r="I1822">
        <f>IF(ISNA(VLOOKUP(A1822,QW_CloseDL!A:E,5,0)),0,VLOOKUP(A1822,QW_CloseDL!A:E,5,0))</f>
        <v>0</v>
      </c>
      <c r="J1822" s="8" t="str">
        <f t="shared" si="118"/>
        <v/>
      </c>
    </row>
    <row r="1823" spans="2:10" x14ac:dyDescent="0.35">
      <c r="B1823" t="str">
        <f>IF(NOT(ISBLANK(A1823)),VLOOKUP(A1823,'BBT3'!A:F,2,0),"")</f>
        <v/>
      </c>
      <c r="C1823" t="str">
        <f>IF(NOT(ISBLANK(A1823)),VLOOKUP(A1823,'BBT3'!A:F,3,0),"")</f>
        <v/>
      </c>
      <c r="D1823" s="6" t="str">
        <f>IF(NOT(ISBLANK(A1823)),VLOOKUP(A1823,'BBT3'!A:F,4,1),"")</f>
        <v/>
      </c>
      <c r="E1823" t="str">
        <f>IF(NOT(ISBLANK(A1823)),VLOOKUP(A1823,'BBT3'!A:F,5,0),"")</f>
        <v/>
      </c>
      <c r="F1823" t="str">
        <f>IF(NOT(ISBLANK(A1823)),VLOOKUP(A1823,'BBT3'!A:F,6,0),"")</f>
        <v/>
      </c>
      <c r="G1823" t="str">
        <f>IF(NOT(ISBLANK(A1823)),VLOOKUP(A1823,QW_Close!A:J,5,0),"")</f>
        <v/>
      </c>
      <c r="H1823" s="5" t="str" cm="1">
        <f t="array" ref="H1823">IF(NOT(ISBLANK(A1823)),((_xlfn.XLOOKUP(1,(_bbt3[[#All],[ID]]=A1823)*(_bbt3[[#All],[METRIC_NAME]]="YLD_YTM_ASK"),_bbt3[[#All],[METRIC_VALUE]])*0.5)+(_xlfn.XLOOKUP(1,(_bbt3[[#All],[ID]]=A1823)*(_bbt3[[#All],[METRIC_NAME]]="YLD_YTM_BID"),_bbt3[[#All],[METRIC_VALUE]])*0.5))/100,"")</f>
        <v/>
      </c>
      <c r="I1823">
        <f>IF(ISNA(VLOOKUP(A1823,QW_CloseDL!A:E,5,0)),0,VLOOKUP(A1823,QW_CloseDL!A:E,5,0))</f>
        <v>0</v>
      </c>
      <c r="J1823" s="8" t="str">
        <f t="shared" si="118"/>
        <v/>
      </c>
    </row>
    <row r="1824" spans="2:10" x14ac:dyDescent="0.35">
      <c r="B1824" t="str">
        <f>IF(NOT(ISBLANK(A1824)),VLOOKUP(A1824,'BBT3'!A:F,2,0),"")</f>
        <v/>
      </c>
      <c r="C1824" t="str">
        <f>IF(NOT(ISBLANK(A1824)),VLOOKUP(A1824,'BBT3'!A:F,3,0),"")</f>
        <v/>
      </c>
      <c r="D1824" s="6" t="str">
        <f>IF(NOT(ISBLANK(A1824)),VLOOKUP(A1824,'BBT3'!A:F,4,1),"")</f>
        <v/>
      </c>
      <c r="E1824" t="str">
        <f>IF(NOT(ISBLANK(A1824)),VLOOKUP(A1824,'BBT3'!A:F,5,0),"")</f>
        <v/>
      </c>
      <c r="F1824" t="str">
        <f>IF(NOT(ISBLANK(A1824)),VLOOKUP(A1824,'BBT3'!A:F,6,0),"")</f>
        <v/>
      </c>
      <c r="G1824" t="str">
        <f>IF(NOT(ISBLANK(A1824)),VLOOKUP(A1824,QW_Close!A:J,5,0),"")</f>
        <v/>
      </c>
      <c r="H1824" s="5" t="str" cm="1">
        <f t="array" ref="H1824">IF(NOT(ISBLANK(A1824)),((_xlfn.XLOOKUP(1,(_bbt3[[#All],[ID]]=A1824)*(_bbt3[[#All],[METRIC_NAME]]="YLD_YTM_ASK"),_bbt3[[#All],[METRIC_VALUE]])*0.5)+(_xlfn.XLOOKUP(1,(_bbt3[[#All],[ID]]=A1824)*(_bbt3[[#All],[METRIC_NAME]]="YLD_YTM_BID"),_bbt3[[#All],[METRIC_VALUE]])*0.5))/100,"")</f>
        <v/>
      </c>
      <c r="I1824">
        <f>IF(ISNA(VLOOKUP(A1824,QW_CloseDL!A:E,5,0)),0,VLOOKUP(A1824,QW_CloseDL!A:E,5,0))</f>
        <v>0</v>
      </c>
      <c r="J1824" s="8" t="str">
        <f t="shared" si="118"/>
        <v/>
      </c>
    </row>
    <row r="1825" spans="2:10" x14ac:dyDescent="0.35">
      <c r="B1825" t="str">
        <f>IF(NOT(ISBLANK(A1825)),VLOOKUP(A1825,'BBT3'!A:F,2,0),"")</f>
        <v/>
      </c>
      <c r="C1825" t="str">
        <f>IF(NOT(ISBLANK(A1825)),VLOOKUP(A1825,'BBT3'!A:F,3,0),"")</f>
        <v/>
      </c>
      <c r="D1825" s="6" t="str">
        <f>IF(NOT(ISBLANK(A1825)),VLOOKUP(A1825,'BBT3'!A:F,4,1),"")</f>
        <v/>
      </c>
      <c r="E1825" t="str">
        <f>IF(NOT(ISBLANK(A1825)),VLOOKUP(A1825,'BBT3'!A:F,5,0),"")</f>
        <v/>
      </c>
      <c r="F1825" t="str">
        <f>IF(NOT(ISBLANK(A1825)),VLOOKUP(A1825,'BBT3'!A:F,6,0),"")</f>
        <v/>
      </c>
      <c r="G1825" t="str">
        <f>IF(NOT(ISBLANK(A1825)),VLOOKUP(A1825,QW_Close!A:J,5,0),"")</f>
        <v/>
      </c>
      <c r="H1825" s="5" t="str" cm="1">
        <f t="array" ref="H1825">IF(NOT(ISBLANK(A1825)),((_xlfn.XLOOKUP(1,(_bbt3[[#All],[ID]]=A1825)*(_bbt3[[#All],[METRIC_NAME]]="YLD_YTM_ASK"),_bbt3[[#All],[METRIC_VALUE]])*0.5)+(_xlfn.XLOOKUP(1,(_bbt3[[#All],[ID]]=A1825)*(_bbt3[[#All],[METRIC_NAME]]="YLD_YTM_BID"),_bbt3[[#All],[METRIC_VALUE]])*0.5))/100,"")</f>
        <v/>
      </c>
      <c r="I1825">
        <f>IF(ISNA(VLOOKUP(A1825,QW_CloseDL!A:E,5,0)),0,VLOOKUP(A1825,QW_CloseDL!A:E,5,0))</f>
        <v>0</v>
      </c>
      <c r="J1825" s="8" t="str">
        <f t="shared" si="118"/>
        <v/>
      </c>
    </row>
    <row r="1826" spans="2:10" x14ac:dyDescent="0.35">
      <c r="B1826" t="str">
        <f>IF(NOT(ISBLANK(A1826)),VLOOKUP(A1826,'BBT3'!A:F,2,0),"")</f>
        <v/>
      </c>
      <c r="C1826" t="str">
        <f>IF(NOT(ISBLANK(A1826)),VLOOKUP(A1826,'BBT3'!A:F,3,0),"")</f>
        <v/>
      </c>
      <c r="D1826" s="6" t="str">
        <f>IF(NOT(ISBLANK(A1826)),VLOOKUP(A1826,'BBT3'!A:F,4,1),"")</f>
        <v/>
      </c>
      <c r="E1826" t="str">
        <f>IF(NOT(ISBLANK(A1826)),VLOOKUP(A1826,'BBT3'!A:F,5,0),"")</f>
        <v/>
      </c>
      <c r="F1826" t="str">
        <f>IF(NOT(ISBLANK(A1826)),VLOOKUP(A1826,'BBT3'!A:F,6,0),"")</f>
        <v/>
      </c>
      <c r="G1826" t="str">
        <f>IF(NOT(ISBLANK(A1826)),VLOOKUP(A1826,QW_Close!A:J,5,0),"")</f>
        <v/>
      </c>
      <c r="H1826" s="5" t="str" cm="1">
        <f t="array" ref="H1826">IF(NOT(ISBLANK(A1826)),((_xlfn.XLOOKUP(1,(_bbt3[[#All],[ID]]=A1826)*(_bbt3[[#All],[METRIC_NAME]]="YLD_YTM_ASK"),_bbt3[[#All],[METRIC_VALUE]])*0.5)+(_xlfn.XLOOKUP(1,(_bbt3[[#All],[ID]]=A1826)*(_bbt3[[#All],[METRIC_NAME]]="YLD_YTM_BID"),_bbt3[[#All],[METRIC_VALUE]])*0.5))/100,"")</f>
        <v/>
      </c>
      <c r="I1826">
        <f>IF(ISNA(VLOOKUP(A1826,QW_CloseDL!A:E,5,0)),0,VLOOKUP(A1826,QW_CloseDL!A:E,5,0))</f>
        <v>0</v>
      </c>
      <c r="J1826" s="8" t="str">
        <f t="shared" si="118"/>
        <v/>
      </c>
    </row>
    <row r="1827" spans="2:10" x14ac:dyDescent="0.35">
      <c r="B1827" t="str">
        <f>IF(NOT(ISBLANK(A1827)),VLOOKUP(A1827,'BBT3'!A:F,2,0),"")</f>
        <v/>
      </c>
      <c r="C1827" t="str">
        <f>IF(NOT(ISBLANK(A1827)),VLOOKUP(A1827,'BBT3'!A:F,3,0),"")</f>
        <v/>
      </c>
      <c r="D1827" s="6" t="str">
        <f>IF(NOT(ISBLANK(A1827)),VLOOKUP(A1827,'BBT3'!A:F,4,1),"")</f>
        <v/>
      </c>
      <c r="E1827" t="str">
        <f>IF(NOT(ISBLANK(A1827)),VLOOKUP(A1827,'BBT3'!A:F,5,0),"")</f>
        <v/>
      </c>
      <c r="F1827" t="str">
        <f>IF(NOT(ISBLANK(A1827)),VLOOKUP(A1827,'BBT3'!A:F,6,0),"")</f>
        <v/>
      </c>
      <c r="G1827" t="str">
        <f>IF(NOT(ISBLANK(A1827)),VLOOKUP(A1827,QW_Close!A:J,5,0),"")</f>
        <v/>
      </c>
      <c r="H1827" s="5" t="str" cm="1">
        <f t="array" ref="H1827">IF(NOT(ISBLANK(A1827)),((_xlfn.XLOOKUP(1,(_bbt3[[#All],[ID]]=A1827)*(_bbt3[[#All],[METRIC_NAME]]="YLD_YTM_ASK"),_bbt3[[#All],[METRIC_VALUE]])*0.5)+(_xlfn.XLOOKUP(1,(_bbt3[[#All],[ID]]=A1827)*(_bbt3[[#All],[METRIC_NAME]]="YLD_YTM_BID"),_bbt3[[#All],[METRIC_VALUE]])*0.5))/100,"")</f>
        <v/>
      </c>
      <c r="I1827">
        <f>IF(ISNA(VLOOKUP(A1827,QW_CloseDL!A:E,5,0)),0,VLOOKUP(A1827,QW_CloseDL!A:E,5,0))</f>
        <v>0</v>
      </c>
      <c r="J1827" s="8" t="str">
        <f t="shared" si="118"/>
        <v/>
      </c>
    </row>
    <row r="1828" spans="2:10" x14ac:dyDescent="0.35">
      <c r="B1828" t="str">
        <f>IF(NOT(ISBLANK(A1828)),VLOOKUP(A1828,'BBT3'!A:F,2,0),"")</f>
        <v/>
      </c>
      <c r="C1828" t="str">
        <f>IF(NOT(ISBLANK(A1828)),VLOOKUP(A1828,'BBT3'!A:F,3,0),"")</f>
        <v/>
      </c>
      <c r="D1828" s="6" t="str">
        <f>IF(NOT(ISBLANK(A1828)),VLOOKUP(A1828,'BBT3'!A:F,4,1),"")</f>
        <v/>
      </c>
      <c r="E1828" t="str">
        <f>IF(NOT(ISBLANK(A1828)),VLOOKUP(A1828,'BBT3'!A:F,5,0),"")</f>
        <v/>
      </c>
      <c r="F1828" t="str">
        <f>IF(NOT(ISBLANK(A1828)),VLOOKUP(A1828,'BBT3'!A:F,6,0),"")</f>
        <v/>
      </c>
      <c r="G1828" t="str">
        <f>IF(NOT(ISBLANK(A1828)),VLOOKUP(A1828,QW_Close!A:J,5,0),"")</f>
        <v/>
      </c>
      <c r="H1828" s="5" t="str" cm="1">
        <f t="array" ref="H1828">IF(NOT(ISBLANK(A1828)),((_xlfn.XLOOKUP(1,(_bbt3[[#All],[ID]]=A1828)*(_bbt3[[#All],[METRIC_NAME]]="YLD_YTM_ASK"),_bbt3[[#All],[METRIC_VALUE]])*0.5)+(_xlfn.XLOOKUP(1,(_bbt3[[#All],[ID]]=A1828)*(_bbt3[[#All],[METRIC_NAME]]="YLD_YTM_BID"),_bbt3[[#All],[METRIC_VALUE]])*0.5))/100,"")</f>
        <v/>
      </c>
      <c r="I1828">
        <f>IF(ISNA(VLOOKUP(A1828,QW_CloseDL!A:E,5,0)),0,VLOOKUP(A1828,QW_CloseDL!A:E,5,0))</f>
        <v>0</v>
      </c>
      <c r="J1828" s="8" t="str">
        <f t="shared" si="118"/>
        <v/>
      </c>
    </row>
    <row r="1829" spans="2:10" x14ac:dyDescent="0.35">
      <c r="B1829" t="str">
        <f>IF(NOT(ISBLANK(A1829)),VLOOKUP(A1829,'BBT3'!A:F,2,0),"")</f>
        <v/>
      </c>
      <c r="C1829" t="str">
        <f>IF(NOT(ISBLANK(A1829)),VLOOKUP(A1829,'BBT3'!A:F,3,0),"")</f>
        <v/>
      </c>
      <c r="D1829" s="6" t="str">
        <f>IF(NOT(ISBLANK(A1829)),VLOOKUP(A1829,'BBT3'!A:F,4,1),"")</f>
        <v/>
      </c>
      <c r="E1829" t="str">
        <f>IF(NOT(ISBLANK(A1829)),VLOOKUP(A1829,'BBT3'!A:F,5,0),"")</f>
        <v/>
      </c>
      <c r="F1829" t="str">
        <f>IF(NOT(ISBLANK(A1829)),VLOOKUP(A1829,'BBT3'!A:F,6,0),"")</f>
        <v/>
      </c>
      <c r="G1829" t="str">
        <f>IF(NOT(ISBLANK(A1829)),VLOOKUP(A1829,QW_Close!A:J,5,0),"")</f>
        <v/>
      </c>
      <c r="H1829" s="5" t="str" cm="1">
        <f t="array" ref="H1829">IF(NOT(ISBLANK(A1829)),((_xlfn.XLOOKUP(1,(_bbt3[[#All],[ID]]=A1829)*(_bbt3[[#All],[METRIC_NAME]]="YLD_YTM_ASK"),_bbt3[[#All],[METRIC_VALUE]])*0.5)+(_xlfn.XLOOKUP(1,(_bbt3[[#All],[ID]]=A1829)*(_bbt3[[#All],[METRIC_NAME]]="YLD_YTM_BID"),_bbt3[[#All],[METRIC_VALUE]])*0.5))/100,"")</f>
        <v/>
      </c>
      <c r="I1829">
        <f>IF(ISNA(VLOOKUP(A1829,QW_CloseDL!A:E,5,0)),0,VLOOKUP(A1829,QW_CloseDL!A:E,5,0))</f>
        <v>0</v>
      </c>
      <c r="J1829" s="8" t="str">
        <f t="shared" si="118"/>
        <v/>
      </c>
    </row>
    <row r="1830" spans="2:10" x14ac:dyDescent="0.35">
      <c r="B1830" t="str">
        <f>IF(NOT(ISBLANK(A1830)),VLOOKUP(A1830,'BBT3'!A:F,2,0),"")</f>
        <v/>
      </c>
      <c r="C1830" t="str">
        <f>IF(NOT(ISBLANK(A1830)),VLOOKUP(A1830,'BBT3'!A:F,3,0),"")</f>
        <v/>
      </c>
      <c r="D1830" s="6" t="str">
        <f>IF(NOT(ISBLANK(A1830)),VLOOKUP(A1830,'BBT3'!A:F,4,1),"")</f>
        <v/>
      </c>
      <c r="E1830" t="str">
        <f>IF(NOT(ISBLANK(A1830)),VLOOKUP(A1830,'BBT3'!A:F,5,0),"")</f>
        <v/>
      </c>
      <c r="F1830" t="str">
        <f>IF(NOT(ISBLANK(A1830)),VLOOKUP(A1830,'BBT3'!A:F,6,0),"")</f>
        <v/>
      </c>
      <c r="G1830" t="str">
        <f>IF(NOT(ISBLANK(A1830)),VLOOKUP(A1830,QW_Close!A:J,5,0),"")</f>
        <v/>
      </c>
      <c r="H1830" s="5" t="str" cm="1">
        <f t="array" ref="H1830">IF(NOT(ISBLANK(A1830)),((_xlfn.XLOOKUP(1,(_bbt3[[#All],[ID]]=A1830)*(_bbt3[[#All],[METRIC_NAME]]="YLD_YTM_ASK"),_bbt3[[#All],[METRIC_VALUE]])*0.5)+(_xlfn.XLOOKUP(1,(_bbt3[[#All],[ID]]=A1830)*(_bbt3[[#All],[METRIC_NAME]]="YLD_YTM_BID"),_bbt3[[#All],[METRIC_VALUE]])*0.5))/100,"")</f>
        <v/>
      </c>
      <c r="I1830">
        <f>IF(ISNA(VLOOKUP(A1830,QW_CloseDL!A:E,5,0)),0,VLOOKUP(A1830,QW_CloseDL!A:E,5,0))</f>
        <v>0</v>
      </c>
      <c r="J1830" s="8" t="str">
        <f t="shared" si="118"/>
        <v/>
      </c>
    </row>
    <row r="1831" spans="2:10" x14ac:dyDescent="0.35">
      <c r="B1831" t="str">
        <f>IF(NOT(ISBLANK(A1831)),VLOOKUP(A1831,'BBT3'!A:F,2,0),"")</f>
        <v/>
      </c>
      <c r="C1831" t="str">
        <f>IF(NOT(ISBLANK(A1831)),VLOOKUP(A1831,'BBT3'!A:F,3,0),"")</f>
        <v/>
      </c>
      <c r="D1831" s="6" t="str">
        <f>IF(NOT(ISBLANK(A1831)),VLOOKUP(A1831,'BBT3'!A:F,4,1),"")</f>
        <v/>
      </c>
      <c r="E1831" t="str">
        <f>IF(NOT(ISBLANK(A1831)),VLOOKUP(A1831,'BBT3'!A:F,5,0),"")</f>
        <v/>
      </c>
      <c r="F1831" t="str">
        <f>IF(NOT(ISBLANK(A1831)),VLOOKUP(A1831,'BBT3'!A:F,6,0),"")</f>
        <v/>
      </c>
      <c r="G1831" t="str">
        <f>IF(NOT(ISBLANK(A1831)),VLOOKUP(A1831,QW_Close!A:J,5,0),"")</f>
        <v/>
      </c>
      <c r="H1831" s="5" t="str" cm="1">
        <f t="array" ref="H1831">IF(NOT(ISBLANK(A1831)),((_xlfn.XLOOKUP(1,(_bbt3[[#All],[ID]]=A1831)*(_bbt3[[#All],[METRIC_NAME]]="YLD_YTM_ASK"),_bbt3[[#All],[METRIC_VALUE]])*0.5)+(_xlfn.XLOOKUP(1,(_bbt3[[#All],[ID]]=A1831)*(_bbt3[[#All],[METRIC_NAME]]="YLD_YTM_BID"),_bbt3[[#All],[METRIC_VALUE]])*0.5))/100,"")</f>
        <v/>
      </c>
      <c r="I1831">
        <f>IF(ISNA(VLOOKUP(A1831,QW_CloseDL!A:E,5,0)),0,VLOOKUP(A1831,QW_CloseDL!A:E,5,0))</f>
        <v>0</v>
      </c>
      <c r="J1831" s="8" t="str">
        <f t="shared" si="118"/>
        <v/>
      </c>
    </row>
    <row r="1832" spans="2:10" x14ac:dyDescent="0.35">
      <c r="B1832" t="str">
        <f>IF(NOT(ISBLANK(A1832)),VLOOKUP(A1832,'BBT3'!A:F,2,0),"")</f>
        <v/>
      </c>
      <c r="C1832" t="str">
        <f>IF(NOT(ISBLANK(A1832)),VLOOKUP(A1832,'BBT3'!A:F,3,0),"")</f>
        <v/>
      </c>
      <c r="D1832" s="6" t="str">
        <f>IF(NOT(ISBLANK(A1832)),VLOOKUP(A1832,'BBT3'!A:F,4,1),"")</f>
        <v/>
      </c>
      <c r="E1832" t="str">
        <f>IF(NOT(ISBLANK(A1832)),VLOOKUP(A1832,'BBT3'!A:F,5,0),"")</f>
        <v/>
      </c>
      <c r="F1832" t="str">
        <f>IF(NOT(ISBLANK(A1832)),VLOOKUP(A1832,'BBT3'!A:F,6,0),"")</f>
        <v/>
      </c>
      <c r="G1832" t="str">
        <f>IF(NOT(ISBLANK(A1832)),VLOOKUP(A1832,QW_Close!A:J,5,0),"")</f>
        <v/>
      </c>
      <c r="H1832" s="5" t="str" cm="1">
        <f t="array" ref="H1832">IF(NOT(ISBLANK(A1832)),((_xlfn.XLOOKUP(1,(_bbt3[[#All],[ID]]=A1832)*(_bbt3[[#All],[METRIC_NAME]]="YLD_YTM_ASK"),_bbt3[[#All],[METRIC_VALUE]])*0.5)+(_xlfn.XLOOKUP(1,(_bbt3[[#All],[ID]]=A1832)*(_bbt3[[#All],[METRIC_NAME]]="YLD_YTM_BID"),_bbt3[[#All],[METRIC_VALUE]])*0.5))/100,"")</f>
        <v/>
      </c>
      <c r="I1832">
        <f>IF(ISNA(VLOOKUP(A1832,QW_CloseDL!A:E,5,0)),0,VLOOKUP(A1832,QW_CloseDL!A:E,5,0))</f>
        <v>0</v>
      </c>
      <c r="J1832" s="8" t="str">
        <f t="shared" si="118"/>
        <v/>
      </c>
    </row>
    <row r="1833" spans="2:10" x14ac:dyDescent="0.35">
      <c r="B1833" t="str">
        <f>IF(NOT(ISBLANK(A1833)),VLOOKUP(A1833,'BBT3'!A:F,2,0),"")</f>
        <v/>
      </c>
      <c r="C1833" t="str">
        <f>IF(NOT(ISBLANK(A1833)),VLOOKUP(A1833,'BBT3'!A:F,3,0),"")</f>
        <v/>
      </c>
      <c r="D1833" s="6" t="str">
        <f>IF(NOT(ISBLANK(A1833)),VLOOKUP(A1833,'BBT3'!A:F,4,1),"")</f>
        <v/>
      </c>
      <c r="E1833" t="str">
        <f>IF(NOT(ISBLANK(A1833)),VLOOKUP(A1833,'BBT3'!A:F,5,0),"")</f>
        <v/>
      </c>
      <c r="F1833" t="str">
        <f>IF(NOT(ISBLANK(A1833)),VLOOKUP(A1833,'BBT3'!A:F,6,0),"")</f>
        <v/>
      </c>
      <c r="G1833" t="str">
        <f>IF(NOT(ISBLANK(A1833)),VLOOKUP(A1833,QW_Close!A:J,5,0),"")</f>
        <v/>
      </c>
      <c r="H1833" s="5" t="str" cm="1">
        <f t="array" ref="H1833">IF(NOT(ISBLANK(A1833)),((_xlfn.XLOOKUP(1,(_bbt3[[#All],[ID]]=A1833)*(_bbt3[[#All],[METRIC_NAME]]="YLD_YTM_ASK"),_bbt3[[#All],[METRIC_VALUE]])*0.5)+(_xlfn.XLOOKUP(1,(_bbt3[[#All],[ID]]=A1833)*(_bbt3[[#All],[METRIC_NAME]]="YLD_YTM_BID"),_bbt3[[#All],[METRIC_VALUE]])*0.5))/100,"")</f>
        <v/>
      </c>
      <c r="I1833">
        <f>IF(ISNA(VLOOKUP(A1833,QW_CloseDL!A:E,5,0)),0,VLOOKUP(A1833,QW_CloseDL!A:E,5,0))</f>
        <v>0</v>
      </c>
      <c r="J1833" s="8" t="str">
        <f t="shared" si="118"/>
        <v/>
      </c>
    </row>
    <row r="1834" spans="2:10" x14ac:dyDescent="0.35">
      <c r="B1834" t="str">
        <f>IF(NOT(ISBLANK(A1834)),VLOOKUP(A1834,'BBT3'!A:F,2,0),"")</f>
        <v/>
      </c>
      <c r="C1834" t="str">
        <f>IF(NOT(ISBLANK(A1834)),VLOOKUP(A1834,'BBT3'!A:F,3,0),"")</f>
        <v/>
      </c>
      <c r="D1834" s="6" t="str">
        <f>IF(NOT(ISBLANK(A1834)),VLOOKUP(A1834,'BBT3'!A:F,4,1),"")</f>
        <v/>
      </c>
      <c r="E1834" t="str">
        <f>IF(NOT(ISBLANK(A1834)),VLOOKUP(A1834,'BBT3'!A:F,5,0),"")</f>
        <v/>
      </c>
      <c r="F1834" t="str">
        <f>IF(NOT(ISBLANK(A1834)),VLOOKUP(A1834,'BBT3'!A:F,6,0),"")</f>
        <v/>
      </c>
      <c r="G1834" t="str">
        <f>IF(NOT(ISBLANK(A1834)),VLOOKUP(A1834,QW_Close!A:J,5,0),"")</f>
        <v/>
      </c>
      <c r="H1834" s="5" t="str" cm="1">
        <f t="array" ref="H1834">IF(NOT(ISBLANK(A1834)),((_xlfn.XLOOKUP(1,(_bbt3[[#All],[ID]]=A1834)*(_bbt3[[#All],[METRIC_NAME]]="YLD_YTM_ASK"),_bbt3[[#All],[METRIC_VALUE]])*0.5)+(_xlfn.XLOOKUP(1,(_bbt3[[#All],[ID]]=A1834)*(_bbt3[[#All],[METRIC_NAME]]="YLD_YTM_BID"),_bbt3[[#All],[METRIC_VALUE]])*0.5))/100,"")</f>
        <v/>
      </c>
      <c r="I1834">
        <f>IF(ISNA(VLOOKUP(A1834,QW_CloseDL!A:E,5,0)),0,VLOOKUP(A1834,QW_CloseDL!A:E,5,0))</f>
        <v>0</v>
      </c>
      <c r="J1834" s="8" t="str">
        <f t="shared" si="118"/>
        <v/>
      </c>
    </row>
    <row r="1835" spans="2:10" x14ac:dyDescent="0.35">
      <c r="B1835" t="str">
        <f>IF(NOT(ISBLANK(A1835)),VLOOKUP(A1835,'BBT3'!A:F,2,0),"")</f>
        <v/>
      </c>
      <c r="C1835" t="str">
        <f>IF(NOT(ISBLANK(A1835)),VLOOKUP(A1835,'BBT3'!A:F,3,0),"")</f>
        <v/>
      </c>
      <c r="D1835" s="6" t="str">
        <f>IF(NOT(ISBLANK(A1835)),VLOOKUP(A1835,'BBT3'!A:F,4,1),"")</f>
        <v/>
      </c>
      <c r="E1835" t="str">
        <f>IF(NOT(ISBLANK(A1835)),VLOOKUP(A1835,'BBT3'!A:F,5,0),"")</f>
        <v/>
      </c>
      <c r="F1835" t="str">
        <f>IF(NOT(ISBLANK(A1835)),VLOOKUP(A1835,'BBT3'!A:F,6,0),"")</f>
        <v/>
      </c>
      <c r="G1835" t="str">
        <f>IF(NOT(ISBLANK(A1835)),VLOOKUP(A1835,QW_Close!A:J,5,0),"")</f>
        <v/>
      </c>
      <c r="H1835" s="5" t="str" cm="1">
        <f t="array" ref="H1835">IF(NOT(ISBLANK(A1835)),((_xlfn.XLOOKUP(1,(_bbt3[[#All],[ID]]=A1835)*(_bbt3[[#All],[METRIC_NAME]]="YLD_YTM_ASK"),_bbt3[[#All],[METRIC_VALUE]])*0.5)+(_xlfn.XLOOKUP(1,(_bbt3[[#All],[ID]]=A1835)*(_bbt3[[#All],[METRIC_NAME]]="YLD_YTM_BID"),_bbt3[[#All],[METRIC_VALUE]])*0.5))/100,"")</f>
        <v/>
      </c>
      <c r="I1835">
        <f>IF(ISNA(VLOOKUP(A1835,QW_CloseDL!A:E,5,0)),0,VLOOKUP(A1835,QW_CloseDL!A:E,5,0))</f>
        <v>0</v>
      </c>
      <c r="J1835" s="8" t="str">
        <f t="shared" si="118"/>
        <v/>
      </c>
    </row>
    <row r="1836" spans="2:10" x14ac:dyDescent="0.35">
      <c r="B1836" t="str">
        <f>IF(NOT(ISBLANK(A1836)),VLOOKUP(A1836,'BBT3'!A:F,2,0),"")</f>
        <v/>
      </c>
      <c r="C1836" t="str">
        <f>IF(NOT(ISBLANK(A1836)),VLOOKUP(A1836,'BBT3'!A:F,3,0),"")</f>
        <v/>
      </c>
      <c r="D1836" s="6" t="str">
        <f>IF(NOT(ISBLANK(A1836)),VLOOKUP(A1836,'BBT3'!A:F,4,1),"")</f>
        <v/>
      </c>
      <c r="E1836" t="str">
        <f>IF(NOT(ISBLANK(A1836)),VLOOKUP(A1836,'BBT3'!A:F,5,0),"")</f>
        <v/>
      </c>
      <c r="F1836" t="str">
        <f>IF(NOT(ISBLANK(A1836)),VLOOKUP(A1836,'BBT3'!A:F,6,0),"")</f>
        <v/>
      </c>
      <c r="G1836" t="str">
        <f>IF(NOT(ISBLANK(A1836)),VLOOKUP(A1836,QW_Close!A:J,5,0),"")</f>
        <v/>
      </c>
      <c r="H1836" s="5" t="str" cm="1">
        <f t="array" ref="H1836">IF(NOT(ISBLANK(A1836)),((_xlfn.XLOOKUP(1,(_bbt3[[#All],[ID]]=A1836)*(_bbt3[[#All],[METRIC_NAME]]="YLD_YTM_ASK"),_bbt3[[#All],[METRIC_VALUE]])*0.5)+(_xlfn.XLOOKUP(1,(_bbt3[[#All],[ID]]=A1836)*(_bbt3[[#All],[METRIC_NAME]]="YLD_YTM_BID"),_bbt3[[#All],[METRIC_VALUE]])*0.5))/100,"")</f>
        <v/>
      </c>
      <c r="I1836">
        <f>IF(ISNA(VLOOKUP(A1836,QW_CloseDL!A:E,5,0)),0,VLOOKUP(A1836,QW_CloseDL!A:E,5,0))</f>
        <v>0</v>
      </c>
      <c r="J1836" s="8" t="str">
        <f t="shared" si="118"/>
        <v/>
      </c>
    </row>
    <row r="1837" spans="2:10" x14ac:dyDescent="0.35">
      <c r="B1837" t="str">
        <f>IF(NOT(ISBLANK(A1837)),VLOOKUP(A1837,'BBT3'!A:F,2,0),"")</f>
        <v/>
      </c>
      <c r="C1837" t="str">
        <f>IF(NOT(ISBLANK(A1837)),VLOOKUP(A1837,'BBT3'!A:F,3,0),"")</f>
        <v/>
      </c>
      <c r="D1837" s="6" t="str">
        <f>IF(NOT(ISBLANK(A1837)),VLOOKUP(A1837,'BBT3'!A:F,4,1),"")</f>
        <v/>
      </c>
      <c r="E1837" t="str">
        <f>IF(NOT(ISBLANK(A1837)),VLOOKUP(A1837,'BBT3'!A:F,5,0),"")</f>
        <v/>
      </c>
      <c r="F1837" t="str">
        <f>IF(NOT(ISBLANK(A1837)),VLOOKUP(A1837,'BBT3'!A:F,6,0),"")</f>
        <v/>
      </c>
      <c r="G1837" t="str">
        <f>IF(NOT(ISBLANK(A1837)),VLOOKUP(A1837,QW_Close!A:J,5,0),"")</f>
        <v/>
      </c>
      <c r="H1837" s="5" t="str" cm="1">
        <f t="array" ref="H1837">IF(NOT(ISBLANK(A1837)),((_xlfn.XLOOKUP(1,(_bbt3[[#All],[ID]]=A1837)*(_bbt3[[#All],[METRIC_NAME]]="YLD_YTM_ASK"),_bbt3[[#All],[METRIC_VALUE]])*0.5)+(_xlfn.XLOOKUP(1,(_bbt3[[#All],[ID]]=A1837)*(_bbt3[[#All],[METRIC_NAME]]="YLD_YTM_BID"),_bbt3[[#All],[METRIC_VALUE]])*0.5))/100,"")</f>
        <v/>
      </c>
      <c r="I1837">
        <f>IF(ISNA(VLOOKUP(A1837,QW_CloseDL!A:E,5,0)),0,VLOOKUP(A1837,QW_CloseDL!A:E,5,0))</f>
        <v>0</v>
      </c>
      <c r="J1837" s="8" t="str">
        <f t="shared" si="118"/>
        <v/>
      </c>
    </row>
    <row r="1838" spans="2:10" x14ac:dyDescent="0.35">
      <c r="B1838" t="str">
        <f>IF(NOT(ISBLANK(A1838)),VLOOKUP(A1838,'BBT3'!A:F,2,0),"")</f>
        <v/>
      </c>
      <c r="C1838" t="str">
        <f>IF(NOT(ISBLANK(A1838)),VLOOKUP(A1838,'BBT3'!A:F,3,0),"")</f>
        <v/>
      </c>
      <c r="D1838" s="6" t="str">
        <f>IF(NOT(ISBLANK(A1838)),VLOOKUP(A1838,'BBT3'!A:F,4,1),"")</f>
        <v/>
      </c>
      <c r="E1838" t="str">
        <f>IF(NOT(ISBLANK(A1838)),VLOOKUP(A1838,'BBT3'!A:F,5,0),"")</f>
        <v/>
      </c>
      <c r="F1838" t="str">
        <f>IF(NOT(ISBLANK(A1838)),VLOOKUP(A1838,'BBT3'!A:F,6,0),"")</f>
        <v/>
      </c>
      <c r="G1838" t="str">
        <f>IF(NOT(ISBLANK(A1838)),VLOOKUP(A1838,QW_Close!A:J,5,0),"")</f>
        <v/>
      </c>
      <c r="H1838" s="5" t="str" cm="1">
        <f t="array" ref="H1838">IF(NOT(ISBLANK(A1838)),((_xlfn.XLOOKUP(1,(_bbt3[[#All],[ID]]=A1838)*(_bbt3[[#All],[METRIC_NAME]]="YLD_YTM_ASK"),_bbt3[[#All],[METRIC_VALUE]])*0.5)+(_xlfn.XLOOKUP(1,(_bbt3[[#All],[ID]]=A1838)*(_bbt3[[#All],[METRIC_NAME]]="YLD_YTM_BID"),_bbt3[[#All],[METRIC_VALUE]])*0.5))/100,"")</f>
        <v/>
      </c>
      <c r="I1838">
        <f>IF(ISNA(VLOOKUP(A1838,QW_CloseDL!A:E,5,0)),0,VLOOKUP(A1838,QW_CloseDL!A:E,5,0))</f>
        <v>0</v>
      </c>
      <c r="J1838" s="8" t="str">
        <f t="shared" si="118"/>
        <v/>
      </c>
    </row>
    <row r="1839" spans="2:10" x14ac:dyDescent="0.35">
      <c r="B1839" t="str">
        <f>IF(NOT(ISBLANK(A1839)),VLOOKUP(A1839,'BBT3'!A:F,2,0),"")</f>
        <v/>
      </c>
      <c r="C1839" t="str">
        <f>IF(NOT(ISBLANK(A1839)),VLOOKUP(A1839,'BBT3'!A:F,3,0),"")</f>
        <v/>
      </c>
      <c r="D1839" s="6" t="str">
        <f>IF(NOT(ISBLANK(A1839)),VLOOKUP(A1839,'BBT3'!A:F,4,1),"")</f>
        <v/>
      </c>
      <c r="E1839" t="str">
        <f>IF(NOT(ISBLANK(A1839)),VLOOKUP(A1839,'BBT3'!A:F,5,0),"")</f>
        <v/>
      </c>
      <c r="F1839" t="str">
        <f>IF(NOT(ISBLANK(A1839)),VLOOKUP(A1839,'BBT3'!A:F,6,0),"")</f>
        <v/>
      </c>
      <c r="G1839" t="str">
        <f>IF(NOT(ISBLANK(A1839)),VLOOKUP(A1839,QW_Close!A:J,5,0),"")</f>
        <v/>
      </c>
      <c r="H1839" s="5" t="str" cm="1">
        <f t="array" ref="H1839">IF(NOT(ISBLANK(A1839)),((_xlfn.XLOOKUP(1,(_bbt3[[#All],[ID]]=A1839)*(_bbt3[[#All],[METRIC_NAME]]="YLD_YTM_ASK"),_bbt3[[#All],[METRIC_VALUE]])*0.5)+(_xlfn.XLOOKUP(1,(_bbt3[[#All],[ID]]=A1839)*(_bbt3[[#All],[METRIC_NAME]]="YLD_YTM_BID"),_bbt3[[#All],[METRIC_VALUE]])*0.5))/100,"")</f>
        <v/>
      </c>
      <c r="I1839">
        <f>IF(ISNA(VLOOKUP(A1839,QW_CloseDL!A:E,5,0)),0,VLOOKUP(A1839,QW_CloseDL!A:E,5,0))</f>
        <v>0</v>
      </c>
      <c r="J1839" s="8" t="str">
        <f t="shared" si="118"/>
        <v/>
      </c>
    </row>
    <row r="1840" spans="2:10" x14ac:dyDescent="0.35">
      <c r="B1840" t="str">
        <f>IF(NOT(ISBLANK(A1840)),VLOOKUP(A1840,'BBT3'!A:F,2,0),"")</f>
        <v/>
      </c>
      <c r="C1840" t="str">
        <f>IF(NOT(ISBLANK(A1840)),VLOOKUP(A1840,'BBT3'!A:F,3,0),"")</f>
        <v/>
      </c>
      <c r="D1840" s="6" t="str">
        <f>IF(NOT(ISBLANK(A1840)),VLOOKUP(A1840,'BBT3'!A:F,4,1),"")</f>
        <v/>
      </c>
      <c r="E1840" t="str">
        <f>IF(NOT(ISBLANK(A1840)),VLOOKUP(A1840,'BBT3'!A:F,5,0),"")</f>
        <v/>
      </c>
      <c r="F1840" t="str">
        <f>IF(NOT(ISBLANK(A1840)),VLOOKUP(A1840,'BBT3'!A:F,6,0),"")</f>
        <v/>
      </c>
      <c r="G1840" t="str">
        <f>IF(NOT(ISBLANK(A1840)),VLOOKUP(A1840,QW_Close!A:J,5,0),"")</f>
        <v/>
      </c>
      <c r="H1840" s="5" t="str" cm="1">
        <f t="array" ref="H1840">IF(NOT(ISBLANK(A1840)),((_xlfn.XLOOKUP(1,(_bbt3[[#All],[ID]]=A1840)*(_bbt3[[#All],[METRIC_NAME]]="YLD_YTM_ASK"),_bbt3[[#All],[METRIC_VALUE]])*0.5)+(_xlfn.XLOOKUP(1,(_bbt3[[#All],[ID]]=A1840)*(_bbt3[[#All],[METRIC_NAME]]="YLD_YTM_BID"),_bbt3[[#All],[METRIC_VALUE]])*0.5))/100,"")</f>
        <v/>
      </c>
      <c r="I1840">
        <f>IF(ISNA(VLOOKUP(A1840,QW_CloseDL!A:E,5,0)),0,VLOOKUP(A1840,QW_CloseDL!A:E,5,0))</f>
        <v>0</v>
      </c>
      <c r="J1840" s="8" t="str">
        <f t="shared" si="118"/>
        <v/>
      </c>
    </row>
    <row r="1841" spans="2:10" x14ac:dyDescent="0.35">
      <c r="B1841" t="str">
        <f>IF(NOT(ISBLANK(A1841)),VLOOKUP(A1841,'BBT3'!A:F,2,0),"")</f>
        <v/>
      </c>
      <c r="C1841" t="str">
        <f>IF(NOT(ISBLANK(A1841)),VLOOKUP(A1841,'BBT3'!A:F,3,0),"")</f>
        <v/>
      </c>
      <c r="D1841" s="6" t="str">
        <f>IF(NOT(ISBLANK(A1841)),VLOOKUP(A1841,'BBT3'!A:F,4,1),"")</f>
        <v/>
      </c>
      <c r="E1841" t="str">
        <f>IF(NOT(ISBLANK(A1841)),VLOOKUP(A1841,'BBT3'!A:F,5,0),"")</f>
        <v/>
      </c>
      <c r="F1841" t="str">
        <f>IF(NOT(ISBLANK(A1841)),VLOOKUP(A1841,'BBT3'!A:F,6,0),"")</f>
        <v/>
      </c>
      <c r="G1841" t="str">
        <f>IF(NOT(ISBLANK(A1841)),VLOOKUP(A1841,QW_Close!A:J,5,0),"")</f>
        <v/>
      </c>
      <c r="H1841" s="5" t="str" cm="1">
        <f t="array" ref="H1841">IF(NOT(ISBLANK(A1841)),((_xlfn.XLOOKUP(1,(_bbt3[[#All],[ID]]=A1841)*(_bbt3[[#All],[METRIC_NAME]]="YLD_YTM_ASK"),_bbt3[[#All],[METRIC_VALUE]])*0.5)+(_xlfn.XLOOKUP(1,(_bbt3[[#All],[ID]]=A1841)*(_bbt3[[#All],[METRIC_NAME]]="YLD_YTM_BID"),_bbt3[[#All],[METRIC_VALUE]])*0.5))/100,"")</f>
        <v/>
      </c>
      <c r="I1841">
        <f>IF(ISNA(VLOOKUP(A1841,QW_CloseDL!A:E,5,0)),0,VLOOKUP(A1841,QW_CloseDL!A:E,5,0))</f>
        <v>0</v>
      </c>
      <c r="J1841" s="8" t="str">
        <f t="shared" si="118"/>
        <v/>
      </c>
    </row>
    <row r="1842" spans="2:10" x14ac:dyDescent="0.35">
      <c r="B1842" t="str">
        <f>IF(NOT(ISBLANK(A1842)),VLOOKUP(A1842,'BBT3'!A:F,2,0),"")</f>
        <v/>
      </c>
      <c r="C1842" t="str">
        <f>IF(NOT(ISBLANK(A1842)),VLOOKUP(A1842,'BBT3'!A:F,3,0),"")</f>
        <v/>
      </c>
      <c r="D1842" s="6" t="str">
        <f>IF(NOT(ISBLANK(A1842)),VLOOKUP(A1842,'BBT3'!A:F,4,1),"")</f>
        <v/>
      </c>
      <c r="E1842" t="str">
        <f>IF(NOT(ISBLANK(A1842)),VLOOKUP(A1842,'BBT3'!A:F,5,0),"")</f>
        <v/>
      </c>
      <c r="F1842" t="str">
        <f>IF(NOT(ISBLANK(A1842)),VLOOKUP(A1842,'BBT3'!A:F,6,0),"")</f>
        <v/>
      </c>
      <c r="G1842" t="str">
        <f>IF(NOT(ISBLANK(A1842)),VLOOKUP(A1842,QW_Close!A:J,5,0),"")</f>
        <v/>
      </c>
      <c r="H1842" s="5" t="str" cm="1">
        <f t="array" ref="H1842">IF(NOT(ISBLANK(A1842)),((_xlfn.XLOOKUP(1,(_bbt3[[#All],[ID]]=A1842)*(_bbt3[[#All],[METRIC_NAME]]="YLD_YTM_ASK"),_bbt3[[#All],[METRIC_VALUE]])*0.5)+(_xlfn.XLOOKUP(1,(_bbt3[[#All],[ID]]=A1842)*(_bbt3[[#All],[METRIC_NAME]]="YLD_YTM_BID"),_bbt3[[#All],[METRIC_VALUE]])*0.5))/100,"")</f>
        <v/>
      </c>
      <c r="I1842">
        <f>IF(ISNA(VLOOKUP(A1842,QW_CloseDL!A:E,5,0)),0,VLOOKUP(A1842,QW_CloseDL!A:E,5,0))</f>
        <v>0</v>
      </c>
      <c r="J1842" s="8" t="str">
        <f t="shared" si="118"/>
        <v/>
      </c>
    </row>
    <row r="1843" spans="2:10" x14ac:dyDescent="0.35">
      <c r="B1843" t="str">
        <f>IF(NOT(ISBLANK(A1843)),VLOOKUP(A1843,'BBT3'!A:F,2,0),"")</f>
        <v/>
      </c>
      <c r="C1843" t="str">
        <f>IF(NOT(ISBLANK(A1843)),VLOOKUP(A1843,'BBT3'!A:F,3,0),"")</f>
        <v/>
      </c>
      <c r="D1843" s="6" t="str">
        <f>IF(NOT(ISBLANK(A1843)),VLOOKUP(A1843,'BBT3'!A:F,4,1),"")</f>
        <v/>
      </c>
      <c r="E1843" t="str">
        <f>IF(NOT(ISBLANK(A1843)),VLOOKUP(A1843,'BBT3'!A:F,5,0),"")</f>
        <v/>
      </c>
      <c r="F1843" t="str">
        <f>IF(NOT(ISBLANK(A1843)),VLOOKUP(A1843,'BBT3'!A:F,6,0),"")</f>
        <v/>
      </c>
      <c r="G1843" t="str">
        <f>IF(NOT(ISBLANK(A1843)),VLOOKUP(A1843,QW_Close!A:J,5,0),"")</f>
        <v/>
      </c>
      <c r="H1843" s="5" t="str" cm="1">
        <f t="array" ref="H1843">IF(NOT(ISBLANK(A1843)),((_xlfn.XLOOKUP(1,(_bbt3[[#All],[ID]]=A1843)*(_bbt3[[#All],[METRIC_NAME]]="YLD_YTM_ASK"),_bbt3[[#All],[METRIC_VALUE]])*0.5)+(_xlfn.XLOOKUP(1,(_bbt3[[#All],[ID]]=A1843)*(_bbt3[[#All],[METRIC_NAME]]="YLD_YTM_BID"),_bbt3[[#All],[METRIC_VALUE]])*0.5))/100,"")</f>
        <v/>
      </c>
      <c r="I1843">
        <f>IF(ISNA(VLOOKUP(A1843,QW_CloseDL!A:E,5,0)),0,VLOOKUP(A1843,QW_CloseDL!A:E,5,0))</f>
        <v>0</v>
      </c>
      <c r="J1843" s="8" t="str">
        <f t="shared" si="118"/>
        <v/>
      </c>
    </row>
    <row r="1844" spans="2:10" x14ac:dyDescent="0.35">
      <c r="B1844" t="str">
        <f>IF(NOT(ISBLANK(A1844)),VLOOKUP(A1844,'BBT3'!A:F,2,0),"")</f>
        <v/>
      </c>
      <c r="C1844" t="str">
        <f>IF(NOT(ISBLANK(A1844)),VLOOKUP(A1844,'BBT3'!A:F,3,0),"")</f>
        <v/>
      </c>
      <c r="D1844" s="6" t="str">
        <f>IF(NOT(ISBLANK(A1844)),VLOOKUP(A1844,'BBT3'!A:F,4,1),"")</f>
        <v/>
      </c>
      <c r="E1844" t="str">
        <f>IF(NOT(ISBLANK(A1844)),VLOOKUP(A1844,'BBT3'!A:F,5,0),"")</f>
        <v/>
      </c>
      <c r="F1844" t="str">
        <f>IF(NOT(ISBLANK(A1844)),VLOOKUP(A1844,'BBT3'!A:F,6,0),"")</f>
        <v/>
      </c>
      <c r="G1844" t="str">
        <f>IF(NOT(ISBLANK(A1844)),VLOOKUP(A1844,QW_Close!A:J,5,0),"")</f>
        <v/>
      </c>
      <c r="H1844" s="5" t="str" cm="1">
        <f t="array" ref="H1844">IF(NOT(ISBLANK(A1844)),((_xlfn.XLOOKUP(1,(_bbt3[[#All],[ID]]=A1844)*(_bbt3[[#All],[METRIC_NAME]]="YLD_YTM_ASK"),_bbt3[[#All],[METRIC_VALUE]])*0.5)+(_xlfn.XLOOKUP(1,(_bbt3[[#All],[ID]]=A1844)*(_bbt3[[#All],[METRIC_NAME]]="YLD_YTM_BID"),_bbt3[[#All],[METRIC_VALUE]])*0.5))/100,"")</f>
        <v/>
      </c>
      <c r="I1844">
        <f>IF(ISNA(VLOOKUP(A1844,QW_CloseDL!A:E,5,0)),0,VLOOKUP(A1844,QW_CloseDL!A:E,5,0))</f>
        <v>0</v>
      </c>
      <c r="J1844" s="8" t="str">
        <f t="shared" si="118"/>
        <v/>
      </c>
    </row>
    <row r="1845" spans="2:10" x14ac:dyDescent="0.35">
      <c r="B1845" t="str">
        <f>IF(NOT(ISBLANK(A1845)),VLOOKUP(A1845,'BBT3'!A:F,2,0),"")</f>
        <v/>
      </c>
      <c r="C1845" t="str">
        <f>IF(NOT(ISBLANK(A1845)),VLOOKUP(A1845,'BBT3'!A:F,3,0),"")</f>
        <v/>
      </c>
      <c r="D1845" s="6" t="str">
        <f>IF(NOT(ISBLANK(A1845)),VLOOKUP(A1845,'BBT3'!A:F,4,1),"")</f>
        <v/>
      </c>
      <c r="E1845" t="str">
        <f>IF(NOT(ISBLANK(A1845)),VLOOKUP(A1845,'BBT3'!A:F,5,0),"")</f>
        <v/>
      </c>
      <c r="F1845" t="str">
        <f>IF(NOT(ISBLANK(A1845)),VLOOKUP(A1845,'BBT3'!A:F,6,0),"")</f>
        <v/>
      </c>
      <c r="G1845" t="str">
        <f>IF(NOT(ISBLANK(A1845)),VLOOKUP(A1845,QW_Close!A:J,5,0),"")</f>
        <v/>
      </c>
      <c r="H1845" s="5" t="str" cm="1">
        <f t="array" ref="H1845">IF(NOT(ISBLANK(A1845)),((_xlfn.XLOOKUP(1,(_bbt3[[#All],[ID]]=A1845)*(_bbt3[[#All],[METRIC_NAME]]="YLD_YTM_ASK"),_bbt3[[#All],[METRIC_VALUE]])*0.5)+(_xlfn.XLOOKUP(1,(_bbt3[[#All],[ID]]=A1845)*(_bbt3[[#All],[METRIC_NAME]]="YLD_YTM_BID"),_bbt3[[#All],[METRIC_VALUE]])*0.5))/100,"")</f>
        <v/>
      </c>
      <c r="I1845">
        <f>IF(ISNA(VLOOKUP(A1845,QW_CloseDL!A:E,5,0)),0,VLOOKUP(A1845,QW_CloseDL!A:E,5,0))</f>
        <v>0</v>
      </c>
      <c r="J1845" s="8" t="str">
        <f t="shared" si="118"/>
        <v/>
      </c>
    </row>
    <row r="1846" spans="2:10" x14ac:dyDescent="0.35">
      <c r="B1846" t="str">
        <f>IF(NOT(ISBLANK(A1846)),VLOOKUP(A1846,'BBT3'!A:F,2,0),"")</f>
        <v/>
      </c>
      <c r="C1846" t="str">
        <f>IF(NOT(ISBLANK(A1846)),VLOOKUP(A1846,'BBT3'!A:F,3,0),"")</f>
        <v/>
      </c>
      <c r="D1846" s="6" t="str">
        <f>IF(NOT(ISBLANK(A1846)),VLOOKUP(A1846,'BBT3'!A:F,4,1),"")</f>
        <v/>
      </c>
      <c r="E1846" t="str">
        <f>IF(NOT(ISBLANK(A1846)),VLOOKUP(A1846,'BBT3'!A:F,5,0),"")</f>
        <v/>
      </c>
      <c r="F1846" t="str">
        <f>IF(NOT(ISBLANK(A1846)),VLOOKUP(A1846,'BBT3'!A:F,6,0),"")</f>
        <v/>
      </c>
      <c r="G1846" t="str">
        <f>IF(NOT(ISBLANK(A1846)),VLOOKUP(A1846,QW_Close!A:J,5,0),"")</f>
        <v/>
      </c>
      <c r="H1846" s="5" t="str" cm="1">
        <f t="array" ref="H1846">IF(NOT(ISBLANK(A1846)),((_xlfn.XLOOKUP(1,(_bbt3[[#All],[ID]]=A1846)*(_bbt3[[#All],[METRIC_NAME]]="YLD_YTM_ASK"),_bbt3[[#All],[METRIC_VALUE]])*0.5)+(_xlfn.XLOOKUP(1,(_bbt3[[#All],[ID]]=A1846)*(_bbt3[[#All],[METRIC_NAME]]="YLD_YTM_BID"),_bbt3[[#All],[METRIC_VALUE]])*0.5))/100,"")</f>
        <v/>
      </c>
      <c r="I1846">
        <f>IF(ISNA(VLOOKUP(A1846,QW_CloseDL!A:E,5,0)),0,VLOOKUP(A1846,QW_CloseDL!A:E,5,0))</f>
        <v>0</v>
      </c>
      <c r="J1846" s="8" t="str">
        <f t="shared" si="118"/>
        <v/>
      </c>
    </row>
    <row r="1847" spans="2:10" x14ac:dyDescent="0.35">
      <c r="B1847" t="str">
        <f>IF(NOT(ISBLANK(A1847)),VLOOKUP(A1847,'BBT3'!A:F,2,0),"")</f>
        <v/>
      </c>
      <c r="C1847" t="str">
        <f>IF(NOT(ISBLANK(A1847)),VLOOKUP(A1847,'BBT3'!A:F,3,0),"")</f>
        <v/>
      </c>
      <c r="D1847" s="6" t="str">
        <f>IF(NOT(ISBLANK(A1847)),VLOOKUP(A1847,'BBT3'!A:F,4,1),"")</f>
        <v/>
      </c>
      <c r="E1847" t="str">
        <f>IF(NOT(ISBLANK(A1847)),VLOOKUP(A1847,'BBT3'!A:F,5,0),"")</f>
        <v/>
      </c>
      <c r="F1847" t="str">
        <f>IF(NOT(ISBLANK(A1847)),VLOOKUP(A1847,'BBT3'!A:F,6,0),"")</f>
        <v/>
      </c>
      <c r="G1847" t="str">
        <f>IF(NOT(ISBLANK(A1847)),VLOOKUP(A1847,QW_Close!A:J,5,0),"")</f>
        <v/>
      </c>
      <c r="H1847" s="5" t="str" cm="1">
        <f t="array" ref="H1847">IF(NOT(ISBLANK(A1847)),((_xlfn.XLOOKUP(1,(_bbt3[[#All],[ID]]=A1847)*(_bbt3[[#All],[METRIC_NAME]]="YLD_YTM_ASK"),_bbt3[[#All],[METRIC_VALUE]])*0.5)+(_xlfn.XLOOKUP(1,(_bbt3[[#All],[ID]]=A1847)*(_bbt3[[#All],[METRIC_NAME]]="YLD_YTM_BID"),_bbt3[[#All],[METRIC_VALUE]])*0.5))/100,"")</f>
        <v/>
      </c>
      <c r="I1847">
        <f>IF(ISNA(VLOOKUP(A1847,QW_CloseDL!A:E,5,0)),0,VLOOKUP(A1847,QW_CloseDL!A:E,5,0))</f>
        <v>0</v>
      </c>
      <c r="J1847" s="8" t="str">
        <f t="shared" si="118"/>
        <v/>
      </c>
    </row>
    <row r="1848" spans="2:10" x14ac:dyDescent="0.35">
      <c r="B1848" t="str">
        <f>IF(NOT(ISBLANK(A1848)),VLOOKUP(A1848,'BBT3'!A:F,2,0),"")</f>
        <v/>
      </c>
      <c r="C1848" t="str">
        <f>IF(NOT(ISBLANK(A1848)),VLOOKUP(A1848,'BBT3'!A:F,3,0),"")</f>
        <v/>
      </c>
      <c r="D1848" s="6" t="str">
        <f>IF(NOT(ISBLANK(A1848)),VLOOKUP(A1848,'BBT3'!A:F,4,1),"")</f>
        <v/>
      </c>
      <c r="E1848" t="str">
        <f>IF(NOT(ISBLANK(A1848)),VLOOKUP(A1848,'BBT3'!A:F,5,0),"")</f>
        <v/>
      </c>
      <c r="F1848" t="str">
        <f>IF(NOT(ISBLANK(A1848)),VLOOKUP(A1848,'BBT3'!A:F,6,0),"")</f>
        <v/>
      </c>
      <c r="G1848" t="str">
        <f>IF(NOT(ISBLANK(A1848)),VLOOKUP(A1848,QW_Close!A:J,5,0),"")</f>
        <v/>
      </c>
      <c r="H1848" s="5" t="str" cm="1">
        <f t="array" ref="H1848">IF(NOT(ISBLANK(A1848)),((_xlfn.XLOOKUP(1,(_bbt3[[#All],[ID]]=A1848)*(_bbt3[[#All],[METRIC_NAME]]="YLD_YTM_ASK"),_bbt3[[#All],[METRIC_VALUE]])*0.5)+(_xlfn.XLOOKUP(1,(_bbt3[[#All],[ID]]=A1848)*(_bbt3[[#All],[METRIC_NAME]]="YLD_YTM_BID"),_bbt3[[#All],[METRIC_VALUE]])*0.5))/100,"")</f>
        <v/>
      </c>
      <c r="I1848">
        <f>IF(ISNA(VLOOKUP(A1848,QW_CloseDL!A:E,5,0)),0,VLOOKUP(A1848,QW_CloseDL!A:E,5,0))</f>
        <v>0</v>
      </c>
      <c r="J1848" s="8" t="str">
        <f t="shared" si="118"/>
        <v/>
      </c>
    </row>
    <row r="1849" spans="2:10" x14ac:dyDescent="0.35">
      <c r="B1849" t="str">
        <f>IF(NOT(ISBLANK(A1849)),VLOOKUP(A1849,'BBT3'!A:F,2,0),"")</f>
        <v/>
      </c>
      <c r="C1849" t="str">
        <f>IF(NOT(ISBLANK(A1849)),VLOOKUP(A1849,'BBT3'!A:F,3,0),"")</f>
        <v/>
      </c>
      <c r="D1849" s="6" t="str">
        <f>IF(NOT(ISBLANK(A1849)),VLOOKUP(A1849,'BBT3'!A:F,4,1),"")</f>
        <v/>
      </c>
      <c r="E1849" t="str">
        <f>IF(NOT(ISBLANK(A1849)),VLOOKUP(A1849,'BBT3'!A:F,5,0),"")</f>
        <v/>
      </c>
      <c r="F1849" t="str">
        <f>IF(NOT(ISBLANK(A1849)),VLOOKUP(A1849,'BBT3'!A:F,6,0),"")</f>
        <v/>
      </c>
      <c r="G1849" t="str">
        <f>IF(NOT(ISBLANK(A1849)),VLOOKUP(A1849,QW_Close!A:J,5,0),"")</f>
        <v/>
      </c>
      <c r="H1849" s="5" t="str" cm="1">
        <f t="array" ref="H1849">IF(NOT(ISBLANK(A1849)),((_xlfn.XLOOKUP(1,(_bbt3[[#All],[ID]]=A1849)*(_bbt3[[#All],[METRIC_NAME]]="YLD_YTM_ASK"),_bbt3[[#All],[METRIC_VALUE]])*0.5)+(_xlfn.XLOOKUP(1,(_bbt3[[#All],[ID]]=A1849)*(_bbt3[[#All],[METRIC_NAME]]="YLD_YTM_BID"),_bbt3[[#All],[METRIC_VALUE]])*0.5))/100,"")</f>
        <v/>
      </c>
      <c r="I1849">
        <f>IF(ISNA(VLOOKUP(A1849,QW_CloseDL!A:E,5,0)),0,VLOOKUP(A1849,QW_CloseDL!A:E,5,0))</f>
        <v>0</v>
      </c>
      <c r="J1849" s="8" t="str">
        <f t="shared" si="118"/>
        <v/>
      </c>
    </row>
    <row r="1850" spans="2:10" x14ac:dyDescent="0.35">
      <c r="B1850" t="str">
        <f>IF(NOT(ISBLANK(A1850)),VLOOKUP(A1850,'BBT3'!A:F,2,0),"")</f>
        <v/>
      </c>
      <c r="C1850" t="str">
        <f>IF(NOT(ISBLANK(A1850)),VLOOKUP(A1850,'BBT3'!A:F,3,0),"")</f>
        <v/>
      </c>
      <c r="D1850" s="6" t="str">
        <f>IF(NOT(ISBLANK(A1850)),VLOOKUP(A1850,'BBT3'!A:F,4,1),"")</f>
        <v/>
      </c>
      <c r="E1850" t="str">
        <f>IF(NOT(ISBLANK(A1850)),VLOOKUP(A1850,'BBT3'!A:F,5,0),"")</f>
        <v/>
      </c>
      <c r="F1850" t="str">
        <f>IF(NOT(ISBLANK(A1850)),VLOOKUP(A1850,'BBT3'!A:F,6,0),"")</f>
        <v/>
      </c>
      <c r="G1850" t="str">
        <f>IF(NOT(ISBLANK(A1850)),VLOOKUP(A1850,QW_Close!A:J,5,0),"")</f>
        <v/>
      </c>
      <c r="H1850" s="5" t="str" cm="1">
        <f t="array" ref="H1850">IF(NOT(ISBLANK(A1850)),((_xlfn.XLOOKUP(1,(_bbt3[[#All],[ID]]=A1850)*(_bbt3[[#All],[METRIC_NAME]]="YLD_YTM_ASK"),_bbt3[[#All],[METRIC_VALUE]])*0.5)+(_xlfn.XLOOKUP(1,(_bbt3[[#All],[ID]]=A1850)*(_bbt3[[#All],[METRIC_NAME]]="YLD_YTM_BID"),_bbt3[[#All],[METRIC_VALUE]])*0.5))/100,"")</f>
        <v/>
      </c>
      <c r="I1850">
        <f>IF(ISNA(VLOOKUP(A1850,QW_CloseDL!A:E,5,0)),0,VLOOKUP(A1850,QW_CloseDL!A:E,5,0))</f>
        <v>0</v>
      </c>
      <c r="J1850" s="8" t="str">
        <f t="shared" si="118"/>
        <v/>
      </c>
    </row>
    <row r="1851" spans="2:10" x14ac:dyDescent="0.35">
      <c r="B1851" t="str">
        <f>IF(NOT(ISBLANK(A1851)),VLOOKUP(A1851,'BBT3'!A:F,2,0),"")</f>
        <v/>
      </c>
      <c r="C1851" t="str">
        <f>IF(NOT(ISBLANK(A1851)),VLOOKUP(A1851,'BBT3'!A:F,3,0),"")</f>
        <v/>
      </c>
      <c r="D1851" s="6" t="str">
        <f>IF(NOT(ISBLANK(A1851)),VLOOKUP(A1851,'BBT3'!A:F,4,1),"")</f>
        <v/>
      </c>
      <c r="E1851" t="str">
        <f>IF(NOT(ISBLANK(A1851)),VLOOKUP(A1851,'BBT3'!A:F,5,0),"")</f>
        <v/>
      </c>
      <c r="F1851" t="str">
        <f>IF(NOT(ISBLANK(A1851)),VLOOKUP(A1851,'BBT3'!A:F,6,0),"")</f>
        <v/>
      </c>
      <c r="G1851" t="str">
        <f>IF(NOT(ISBLANK(A1851)),VLOOKUP(A1851,QW_Close!A:J,5,0),"")</f>
        <v/>
      </c>
      <c r="H1851" s="5" t="str" cm="1">
        <f t="array" ref="H1851">IF(NOT(ISBLANK(A1851)),((_xlfn.XLOOKUP(1,(_bbt3[[#All],[ID]]=A1851)*(_bbt3[[#All],[METRIC_NAME]]="YLD_YTM_ASK"),_bbt3[[#All],[METRIC_VALUE]])*0.5)+(_xlfn.XLOOKUP(1,(_bbt3[[#All],[ID]]=A1851)*(_bbt3[[#All],[METRIC_NAME]]="YLD_YTM_BID"),_bbt3[[#All],[METRIC_VALUE]])*0.5))/100,"")</f>
        <v/>
      </c>
      <c r="I1851">
        <f>IF(ISNA(VLOOKUP(A1851,QW_CloseDL!A:E,5,0)),0,VLOOKUP(A1851,QW_CloseDL!A:E,5,0))</f>
        <v>0</v>
      </c>
      <c r="J1851" s="8" t="str">
        <f t="shared" si="118"/>
        <v/>
      </c>
    </row>
    <row r="1852" spans="2:10" x14ac:dyDescent="0.35">
      <c r="B1852" t="str">
        <f>IF(NOT(ISBLANK(A1852)),VLOOKUP(A1852,'BBT3'!A:F,2,0),"")</f>
        <v/>
      </c>
      <c r="C1852" t="str">
        <f>IF(NOT(ISBLANK(A1852)),VLOOKUP(A1852,'BBT3'!A:F,3,0),"")</f>
        <v/>
      </c>
      <c r="D1852" s="6" t="str">
        <f>IF(NOT(ISBLANK(A1852)),VLOOKUP(A1852,'BBT3'!A:F,4,1),"")</f>
        <v/>
      </c>
      <c r="E1852" t="str">
        <f>IF(NOT(ISBLANK(A1852)),VLOOKUP(A1852,'BBT3'!A:F,5,0),"")</f>
        <v/>
      </c>
      <c r="F1852" t="str">
        <f>IF(NOT(ISBLANK(A1852)),VLOOKUP(A1852,'BBT3'!A:F,6,0),"")</f>
        <v/>
      </c>
      <c r="G1852" t="str">
        <f>IF(NOT(ISBLANK(A1852)),VLOOKUP(A1852,QW_Close!A:J,5,0),"")</f>
        <v/>
      </c>
      <c r="H1852" s="5" t="str" cm="1">
        <f t="array" ref="H1852">IF(NOT(ISBLANK(A1852)),((_xlfn.XLOOKUP(1,(_bbt3[[#All],[ID]]=A1852)*(_bbt3[[#All],[METRIC_NAME]]="YLD_YTM_ASK"),_bbt3[[#All],[METRIC_VALUE]])*0.5)+(_xlfn.XLOOKUP(1,(_bbt3[[#All],[ID]]=A1852)*(_bbt3[[#All],[METRIC_NAME]]="YLD_YTM_BID"),_bbt3[[#All],[METRIC_VALUE]])*0.5))/100,"")</f>
        <v/>
      </c>
      <c r="I1852">
        <f>IF(ISNA(VLOOKUP(A1852,QW_CloseDL!A:E,5,0)),0,VLOOKUP(A1852,QW_CloseDL!A:E,5,0))</f>
        <v>0</v>
      </c>
      <c r="J1852" s="8" t="str">
        <f t="shared" si="118"/>
        <v/>
      </c>
    </row>
    <row r="1853" spans="2:10" x14ac:dyDescent="0.35">
      <c r="B1853" t="str">
        <f>IF(NOT(ISBLANK(A1853)),VLOOKUP(A1853,'BBT3'!A:F,2,0),"")</f>
        <v/>
      </c>
      <c r="C1853" t="str">
        <f>IF(NOT(ISBLANK(A1853)),VLOOKUP(A1853,'BBT3'!A:F,3,0),"")</f>
        <v/>
      </c>
      <c r="D1853" s="6" t="str">
        <f>IF(NOT(ISBLANK(A1853)),VLOOKUP(A1853,'BBT3'!A:F,4,1),"")</f>
        <v/>
      </c>
      <c r="E1853" t="str">
        <f>IF(NOT(ISBLANK(A1853)),VLOOKUP(A1853,'BBT3'!A:F,5,0),"")</f>
        <v/>
      </c>
      <c r="F1853" t="str">
        <f>IF(NOT(ISBLANK(A1853)),VLOOKUP(A1853,'BBT3'!A:F,6,0),"")</f>
        <v/>
      </c>
      <c r="G1853" t="str">
        <f>IF(NOT(ISBLANK(A1853)),VLOOKUP(A1853,QW_Close!A:J,5,0),"")</f>
        <v/>
      </c>
      <c r="H1853" s="5" t="str" cm="1">
        <f t="array" ref="H1853">IF(NOT(ISBLANK(A1853)),((_xlfn.XLOOKUP(1,(_bbt3[[#All],[ID]]=A1853)*(_bbt3[[#All],[METRIC_NAME]]="YLD_YTM_ASK"),_bbt3[[#All],[METRIC_VALUE]])*0.5)+(_xlfn.XLOOKUP(1,(_bbt3[[#All],[ID]]=A1853)*(_bbt3[[#All],[METRIC_NAME]]="YLD_YTM_BID"),_bbt3[[#All],[METRIC_VALUE]])*0.5))/100,"")</f>
        <v/>
      </c>
      <c r="I1853">
        <f>IF(ISNA(VLOOKUP(A1853,QW_CloseDL!A:E,5,0)),0,VLOOKUP(A1853,QW_CloseDL!A:E,5,0))</f>
        <v>0</v>
      </c>
      <c r="J1853" s="8" t="str">
        <f t="shared" si="118"/>
        <v/>
      </c>
    </row>
    <row r="1854" spans="2:10" x14ac:dyDescent="0.35">
      <c r="B1854" t="str">
        <f>IF(NOT(ISBLANK(A1854)),VLOOKUP(A1854,'BBT3'!A:F,2,0),"")</f>
        <v/>
      </c>
      <c r="C1854" t="str">
        <f>IF(NOT(ISBLANK(A1854)),VLOOKUP(A1854,'BBT3'!A:F,3,0),"")</f>
        <v/>
      </c>
      <c r="D1854" s="6" t="str">
        <f>IF(NOT(ISBLANK(A1854)),VLOOKUP(A1854,'BBT3'!A:F,4,1),"")</f>
        <v/>
      </c>
      <c r="E1854" t="str">
        <f>IF(NOT(ISBLANK(A1854)),VLOOKUP(A1854,'BBT3'!A:F,5,0),"")</f>
        <v/>
      </c>
      <c r="F1854" t="str">
        <f>IF(NOT(ISBLANK(A1854)),VLOOKUP(A1854,'BBT3'!A:F,6,0),"")</f>
        <v/>
      </c>
      <c r="G1854" t="str">
        <f>IF(NOT(ISBLANK(A1854)),VLOOKUP(A1854,QW_Close!A:J,5,0),"")</f>
        <v/>
      </c>
      <c r="H1854" s="5" t="str" cm="1">
        <f t="array" ref="H1854">IF(NOT(ISBLANK(A1854)),((_xlfn.XLOOKUP(1,(_bbt3[[#All],[ID]]=A1854)*(_bbt3[[#All],[METRIC_NAME]]="YLD_YTM_ASK"),_bbt3[[#All],[METRIC_VALUE]])*0.5)+(_xlfn.XLOOKUP(1,(_bbt3[[#All],[ID]]=A1854)*(_bbt3[[#All],[METRIC_NAME]]="YLD_YTM_BID"),_bbt3[[#All],[METRIC_VALUE]])*0.5))/100,"")</f>
        <v/>
      </c>
      <c r="I1854">
        <f>IF(ISNA(VLOOKUP(A1854,QW_CloseDL!A:E,5,0)),0,VLOOKUP(A1854,QW_CloseDL!A:E,5,0))</f>
        <v>0</v>
      </c>
      <c r="J1854" s="8" t="str">
        <f t="shared" si="118"/>
        <v/>
      </c>
    </row>
    <row r="1855" spans="2:10" x14ac:dyDescent="0.35">
      <c r="B1855" t="str">
        <f>IF(NOT(ISBLANK(A1855)),VLOOKUP(A1855,'BBT3'!A:F,2,0),"")</f>
        <v/>
      </c>
      <c r="C1855" t="str">
        <f>IF(NOT(ISBLANK(A1855)),VLOOKUP(A1855,'BBT3'!A:F,3,0),"")</f>
        <v/>
      </c>
      <c r="D1855" s="6" t="str">
        <f>IF(NOT(ISBLANK(A1855)),VLOOKUP(A1855,'BBT3'!A:F,4,1),"")</f>
        <v/>
      </c>
      <c r="E1855" t="str">
        <f>IF(NOT(ISBLANK(A1855)),VLOOKUP(A1855,'BBT3'!A:F,5,0),"")</f>
        <v/>
      </c>
      <c r="F1855" t="str">
        <f>IF(NOT(ISBLANK(A1855)),VLOOKUP(A1855,'BBT3'!A:F,6,0),"")</f>
        <v/>
      </c>
      <c r="G1855" t="str">
        <f>IF(NOT(ISBLANK(A1855)),VLOOKUP(A1855,QW_Close!A:J,5,0),"")</f>
        <v/>
      </c>
      <c r="H1855" s="5" t="str" cm="1">
        <f t="array" ref="H1855">IF(NOT(ISBLANK(A1855)),((_xlfn.XLOOKUP(1,(_bbt3[[#All],[ID]]=A1855)*(_bbt3[[#All],[METRIC_NAME]]="YLD_YTM_ASK"),_bbt3[[#All],[METRIC_VALUE]])*0.5)+(_xlfn.XLOOKUP(1,(_bbt3[[#All],[ID]]=A1855)*(_bbt3[[#All],[METRIC_NAME]]="YLD_YTM_BID"),_bbt3[[#All],[METRIC_VALUE]])*0.5))/100,"")</f>
        <v/>
      </c>
      <c r="I1855">
        <f>IF(ISNA(VLOOKUP(A1855,QW_CloseDL!A:E,5,0)),0,VLOOKUP(A1855,QW_CloseDL!A:E,5,0))</f>
        <v>0</v>
      </c>
      <c r="J1855" s="8" t="str">
        <f t="shared" si="118"/>
        <v/>
      </c>
    </row>
    <row r="1856" spans="2:10" x14ac:dyDescent="0.35">
      <c r="B1856" t="str">
        <f>IF(NOT(ISBLANK(A1856)),VLOOKUP(A1856,'BBT3'!A:F,2,0),"")</f>
        <v/>
      </c>
      <c r="C1856" t="str">
        <f>IF(NOT(ISBLANK(A1856)),VLOOKUP(A1856,'BBT3'!A:F,3,0),"")</f>
        <v/>
      </c>
      <c r="D1856" s="6" t="str">
        <f>IF(NOT(ISBLANK(A1856)),VLOOKUP(A1856,'BBT3'!A:F,4,1),"")</f>
        <v/>
      </c>
      <c r="E1856" t="str">
        <f>IF(NOT(ISBLANK(A1856)),VLOOKUP(A1856,'BBT3'!A:F,5,0),"")</f>
        <v/>
      </c>
      <c r="F1856" t="str">
        <f>IF(NOT(ISBLANK(A1856)),VLOOKUP(A1856,'BBT3'!A:F,6,0),"")</f>
        <v/>
      </c>
      <c r="G1856" t="str">
        <f>IF(NOT(ISBLANK(A1856)),VLOOKUP(A1856,QW_Close!A:J,5,0),"")</f>
        <v/>
      </c>
      <c r="H1856" s="5" t="str" cm="1">
        <f t="array" ref="H1856">IF(NOT(ISBLANK(A1856)),((_xlfn.XLOOKUP(1,(_bbt3[[#All],[ID]]=A1856)*(_bbt3[[#All],[METRIC_NAME]]="YLD_YTM_ASK"),_bbt3[[#All],[METRIC_VALUE]])*0.5)+(_xlfn.XLOOKUP(1,(_bbt3[[#All],[ID]]=A1856)*(_bbt3[[#All],[METRIC_NAME]]="YLD_YTM_BID"),_bbt3[[#All],[METRIC_VALUE]])*0.5))/100,"")</f>
        <v/>
      </c>
      <c r="I1856">
        <f>IF(ISNA(VLOOKUP(A1856,QW_CloseDL!A:E,5,0)),0,VLOOKUP(A1856,QW_CloseDL!A:E,5,0))</f>
        <v>0</v>
      </c>
      <c r="J1856" s="8" t="str">
        <f t="shared" si="118"/>
        <v/>
      </c>
    </row>
    <row r="1857" spans="2:10" x14ac:dyDescent="0.35">
      <c r="B1857" t="str">
        <f>IF(NOT(ISBLANK(A1857)),VLOOKUP(A1857,'BBT3'!A:F,2,0),"")</f>
        <v/>
      </c>
      <c r="C1857" t="str">
        <f>IF(NOT(ISBLANK(A1857)),VLOOKUP(A1857,'BBT3'!A:F,3,0),"")</f>
        <v/>
      </c>
      <c r="D1857" s="6" t="str">
        <f>IF(NOT(ISBLANK(A1857)),VLOOKUP(A1857,'BBT3'!A:F,4,1),"")</f>
        <v/>
      </c>
      <c r="E1857" t="str">
        <f>IF(NOT(ISBLANK(A1857)),VLOOKUP(A1857,'BBT3'!A:F,5,0),"")</f>
        <v/>
      </c>
      <c r="F1857" t="str">
        <f>IF(NOT(ISBLANK(A1857)),VLOOKUP(A1857,'BBT3'!A:F,6,0),"")</f>
        <v/>
      </c>
      <c r="G1857" t="str">
        <f>IF(NOT(ISBLANK(A1857)),VLOOKUP(A1857,QW_Close!A:J,5,0),"")</f>
        <v/>
      </c>
      <c r="H1857" s="5" t="str" cm="1">
        <f t="array" ref="H1857">IF(NOT(ISBLANK(A1857)),((_xlfn.XLOOKUP(1,(_bbt3[[#All],[ID]]=A1857)*(_bbt3[[#All],[METRIC_NAME]]="YLD_YTM_ASK"),_bbt3[[#All],[METRIC_VALUE]])*0.5)+(_xlfn.XLOOKUP(1,(_bbt3[[#All],[ID]]=A1857)*(_bbt3[[#All],[METRIC_NAME]]="YLD_YTM_BID"),_bbt3[[#All],[METRIC_VALUE]])*0.5))/100,"")</f>
        <v/>
      </c>
      <c r="I1857">
        <f>IF(ISNA(VLOOKUP(A1857,QW_CloseDL!A:E,5,0)),0,VLOOKUP(A1857,QW_CloseDL!A:E,5,0))</f>
        <v>0</v>
      </c>
      <c r="J1857" s="8" t="str">
        <f t="shared" si="118"/>
        <v/>
      </c>
    </row>
    <row r="1858" spans="2:10" x14ac:dyDescent="0.35">
      <c r="B1858" t="str">
        <f>IF(NOT(ISBLANK(A1858)),VLOOKUP(A1858,'BBT3'!A:F,2,0),"")</f>
        <v/>
      </c>
      <c r="C1858" t="str">
        <f>IF(NOT(ISBLANK(A1858)),VLOOKUP(A1858,'BBT3'!A:F,3,0),"")</f>
        <v/>
      </c>
      <c r="D1858" s="6" t="str">
        <f>IF(NOT(ISBLANK(A1858)),VLOOKUP(A1858,'BBT3'!A:F,4,1),"")</f>
        <v/>
      </c>
      <c r="E1858" t="str">
        <f>IF(NOT(ISBLANK(A1858)),VLOOKUP(A1858,'BBT3'!A:F,5,0),"")</f>
        <v/>
      </c>
      <c r="F1858" t="str">
        <f>IF(NOT(ISBLANK(A1858)),VLOOKUP(A1858,'BBT3'!A:F,6,0),"")</f>
        <v/>
      </c>
      <c r="G1858" t="str">
        <f>IF(NOT(ISBLANK(A1858)),VLOOKUP(A1858,QW_Close!A:J,5,0),"")</f>
        <v/>
      </c>
      <c r="H1858" s="5" t="str" cm="1">
        <f t="array" ref="H1858">IF(NOT(ISBLANK(A1858)),((_xlfn.XLOOKUP(1,(_bbt3[[#All],[ID]]=A1858)*(_bbt3[[#All],[METRIC_NAME]]="YLD_YTM_ASK"),_bbt3[[#All],[METRIC_VALUE]])*0.5)+(_xlfn.XLOOKUP(1,(_bbt3[[#All],[ID]]=A1858)*(_bbt3[[#All],[METRIC_NAME]]="YLD_YTM_BID"),_bbt3[[#All],[METRIC_VALUE]])*0.5))/100,"")</f>
        <v/>
      </c>
      <c r="I1858">
        <f>IF(ISNA(VLOOKUP(A1858,QW_CloseDL!A:E,5,0)),0,VLOOKUP(A1858,QW_CloseDL!A:E,5,0))</f>
        <v>0</v>
      </c>
      <c r="J1858" s="8" t="str">
        <f t="shared" si="118"/>
        <v/>
      </c>
    </row>
    <row r="1859" spans="2:10" x14ac:dyDescent="0.35">
      <c r="B1859" t="str">
        <f>IF(NOT(ISBLANK(A1859)),VLOOKUP(A1859,'BBT3'!A:F,2,0),"")</f>
        <v/>
      </c>
      <c r="C1859" t="str">
        <f>IF(NOT(ISBLANK(A1859)),VLOOKUP(A1859,'BBT3'!A:F,3,0),"")</f>
        <v/>
      </c>
      <c r="D1859" s="6" t="str">
        <f>IF(NOT(ISBLANK(A1859)),VLOOKUP(A1859,'BBT3'!A:F,4,1),"")</f>
        <v/>
      </c>
      <c r="E1859" t="str">
        <f>IF(NOT(ISBLANK(A1859)),VLOOKUP(A1859,'BBT3'!A:F,5,0),"")</f>
        <v/>
      </c>
      <c r="F1859" t="str">
        <f>IF(NOT(ISBLANK(A1859)),VLOOKUP(A1859,'BBT3'!A:F,6,0),"")</f>
        <v/>
      </c>
      <c r="G1859" t="str">
        <f>IF(NOT(ISBLANK(A1859)),VLOOKUP(A1859,QW_Close!A:J,5,0),"")</f>
        <v/>
      </c>
      <c r="H1859" s="5" t="str" cm="1">
        <f t="array" ref="H1859">IF(NOT(ISBLANK(A1859)),((_xlfn.XLOOKUP(1,(_bbt3[[#All],[ID]]=A1859)*(_bbt3[[#All],[METRIC_NAME]]="YLD_YTM_ASK"),_bbt3[[#All],[METRIC_VALUE]])*0.5)+(_xlfn.XLOOKUP(1,(_bbt3[[#All],[ID]]=A1859)*(_bbt3[[#All],[METRIC_NAME]]="YLD_YTM_BID"),_bbt3[[#All],[METRIC_VALUE]])*0.5))/100,"")</f>
        <v/>
      </c>
      <c r="I1859">
        <f>IF(ISNA(VLOOKUP(A1859,QW_CloseDL!A:E,5,0)),0,VLOOKUP(A1859,QW_CloseDL!A:E,5,0))</f>
        <v>0</v>
      </c>
      <c r="J1859" s="8" t="str">
        <f t="shared" ref="J1859:J1922" si="119">IF(ISNA(IF(NOT(ISBLANK(A1859)),ABS(G1859-I1859),"")),0,(IF(NOT(ISBLANK(A1859)),ABS(G1859-I1859)*10000,"")))</f>
        <v/>
      </c>
    </row>
    <row r="1860" spans="2:10" x14ac:dyDescent="0.35">
      <c r="B1860" t="str">
        <f>IF(NOT(ISBLANK(A1860)),VLOOKUP(A1860,'BBT3'!A:F,2,0),"")</f>
        <v/>
      </c>
      <c r="C1860" t="str">
        <f>IF(NOT(ISBLANK(A1860)),VLOOKUP(A1860,'BBT3'!A:F,3,0),"")</f>
        <v/>
      </c>
      <c r="D1860" s="6" t="str">
        <f>IF(NOT(ISBLANK(A1860)),VLOOKUP(A1860,'BBT3'!A:F,4,1),"")</f>
        <v/>
      </c>
      <c r="E1860" t="str">
        <f>IF(NOT(ISBLANK(A1860)),VLOOKUP(A1860,'BBT3'!A:F,5,0),"")</f>
        <v/>
      </c>
      <c r="F1860" t="str">
        <f>IF(NOT(ISBLANK(A1860)),VLOOKUP(A1860,'BBT3'!A:F,6,0),"")</f>
        <v/>
      </c>
      <c r="G1860" t="str">
        <f>IF(NOT(ISBLANK(A1860)),VLOOKUP(A1860,QW_Close!A:J,5,0),"")</f>
        <v/>
      </c>
      <c r="H1860" s="5" t="str" cm="1">
        <f t="array" ref="H1860">IF(NOT(ISBLANK(A1860)),((_xlfn.XLOOKUP(1,(_bbt3[[#All],[ID]]=A1860)*(_bbt3[[#All],[METRIC_NAME]]="YLD_YTM_ASK"),_bbt3[[#All],[METRIC_VALUE]])*0.5)+(_xlfn.XLOOKUP(1,(_bbt3[[#All],[ID]]=A1860)*(_bbt3[[#All],[METRIC_NAME]]="YLD_YTM_BID"),_bbt3[[#All],[METRIC_VALUE]])*0.5))/100,"")</f>
        <v/>
      </c>
      <c r="I1860">
        <f>IF(ISNA(VLOOKUP(A1860,QW_CloseDL!A:E,5,0)),0,VLOOKUP(A1860,QW_CloseDL!A:E,5,0))</f>
        <v>0</v>
      </c>
      <c r="J1860" s="8" t="str">
        <f t="shared" si="119"/>
        <v/>
      </c>
    </row>
    <row r="1861" spans="2:10" x14ac:dyDescent="0.35">
      <c r="B1861" t="str">
        <f>IF(NOT(ISBLANK(A1861)),VLOOKUP(A1861,'BBT3'!A:F,2,0),"")</f>
        <v/>
      </c>
      <c r="C1861" t="str">
        <f>IF(NOT(ISBLANK(A1861)),VLOOKUP(A1861,'BBT3'!A:F,3,0),"")</f>
        <v/>
      </c>
      <c r="D1861" s="6" t="str">
        <f>IF(NOT(ISBLANK(A1861)),VLOOKUP(A1861,'BBT3'!A:F,4,1),"")</f>
        <v/>
      </c>
      <c r="E1861" t="str">
        <f>IF(NOT(ISBLANK(A1861)),VLOOKUP(A1861,'BBT3'!A:F,5,0),"")</f>
        <v/>
      </c>
      <c r="F1861" t="str">
        <f>IF(NOT(ISBLANK(A1861)),VLOOKUP(A1861,'BBT3'!A:F,6,0),"")</f>
        <v/>
      </c>
      <c r="G1861" t="str">
        <f>IF(NOT(ISBLANK(A1861)),VLOOKUP(A1861,QW_Close!A:J,5,0),"")</f>
        <v/>
      </c>
      <c r="H1861" s="5" t="str" cm="1">
        <f t="array" ref="H1861">IF(NOT(ISBLANK(A1861)),((_xlfn.XLOOKUP(1,(_bbt3[[#All],[ID]]=A1861)*(_bbt3[[#All],[METRIC_NAME]]="YLD_YTM_ASK"),_bbt3[[#All],[METRIC_VALUE]])*0.5)+(_xlfn.XLOOKUP(1,(_bbt3[[#All],[ID]]=A1861)*(_bbt3[[#All],[METRIC_NAME]]="YLD_YTM_BID"),_bbt3[[#All],[METRIC_VALUE]])*0.5))/100,"")</f>
        <v/>
      </c>
      <c r="I1861">
        <f>IF(ISNA(VLOOKUP(A1861,QW_CloseDL!A:E,5,0)),0,VLOOKUP(A1861,QW_CloseDL!A:E,5,0))</f>
        <v>0</v>
      </c>
      <c r="J1861" s="8" t="str">
        <f t="shared" si="119"/>
        <v/>
      </c>
    </row>
    <row r="1862" spans="2:10" x14ac:dyDescent="0.35">
      <c r="B1862" t="str">
        <f>IF(NOT(ISBLANK(A1862)),VLOOKUP(A1862,'BBT3'!A:F,2,0),"")</f>
        <v/>
      </c>
      <c r="C1862" t="str">
        <f>IF(NOT(ISBLANK(A1862)),VLOOKUP(A1862,'BBT3'!A:F,3,0),"")</f>
        <v/>
      </c>
      <c r="D1862" s="6" t="str">
        <f>IF(NOT(ISBLANK(A1862)),VLOOKUP(A1862,'BBT3'!A:F,4,1),"")</f>
        <v/>
      </c>
      <c r="E1862" t="str">
        <f>IF(NOT(ISBLANK(A1862)),VLOOKUP(A1862,'BBT3'!A:F,5,0),"")</f>
        <v/>
      </c>
      <c r="F1862" t="str">
        <f>IF(NOT(ISBLANK(A1862)),VLOOKUP(A1862,'BBT3'!A:F,6,0),"")</f>
        <v/>
      </c>
      <c r="G1862" t="str">
        <f>IF(NOT(ISBLANK(A1862)),VLOOKUP(A1862,QW_Close!A:J,5,0),"")</f>
        <v/>
      </c>
      <c r="H1862" s="5" t="str" cm="1">
        <f t="array" ref="H1862">IF(NOT(ISBLANK(A1862)),((_xlfn.XLOOKUP(1,(_bbt3[[#All],[ID]]=A1862)*(_bbt3[[#All],[METRIC_NAME]]="YLD_YTM_ASK"),_bbt3[[#All],[METRIC_VALUE]])*0.5)+(_xlfn.XLOOKUP(1,(_bbt3[[#All],[ID]]=A1862)*(_bbt3[[#All],[METRIC_NAME]]="YLD_YTM_BID"),_bbt3[[#All],[METRIC_VALUE]])*0.5))/100,"")</f>
        <v/>
      </c>
      <c r="I1862">
        <f>IF(ISNA(VLOOKUP(A1862,QW_CloseDL!A:E,5,0)),0,VLOOKUP(A1862,QW_CloseDL!A:E,5,0))</f>
        <v>0</v>
      </c>
      <c r="J1862" s="8" t="str">
        <f t="shared" si="119"/>
        <v/>
      </c>
    </row>
    <row r="1863" spans="2:10" x14ac:dyDescent="0.35">
      <c r="B1863" t="str">
        <f>IF(NOT(ISBLANK(A1863)),VLOOKUP(A1863,'BBT3'!A:F,2,0),"")</f>
        <v/>
      </c>
      <c r="C1863" t="str">
        <f>IF(NOT(ISBLANK(A1863)),VLOOKUP(A1863,'BBT3'!A:F,3,0),"")</f>
        <v/>
      </c>
      <c r="D1863" s="6" t="str">
        <f>IF(NOT(ISBLANK(A1863)),VLOOKUP(A1863,'BBT3'!A:F,4,1),"")</f>
        <v/>
      </c>
      <c r="E1863" t="str">
        <f>IF(NOT(ISBLANK(A1863)),VLOOKUP(A1863,'BBT3'!A:F,5,0),"")</f>
        <v/>
      </c>
      <c r="F1863" t="str">
        <f>IF(NOT(ISBLANK(A1863)),VLOOKUP(A1863,'BBT3'!A:F,6,0),"")</f>
        <v/>
      </c>
      <c r="G1863" t="str">
        <f>IF(NOT(ISBLANK(A1863)),VLOOKUP(A1863,QW_Close!A:J,5,0),"")</f>
        <v/>
      </c>
      <c r="H1863" s="5" t="str" cm="1">
        <f t="array" ref="H1863">IF(NOT(ISBLANK(A1863)),((_xlfn.XLOOKUP(1,(_bbt3[[#All],[ID]]=A1863)*(_bbt3[[#All],[METRIC_NAME]]="YLD_YTM_ASK"),_bbt3[[#All],[METRIC_VALUE]])*0.5)+(_xlfn.XLOOKUP(1,(_bbt3[[#All],[ID]]=A1863)*(_bbt3[[#All],[METRIC_NAME]]="YLD_YTM_BID"),_bbt3[[#All],[METRIC_VALUE]])*0.5))/100,"")</f>
        <v/>
      </c>
      <c r="I1863">
        <f>IF(ISNA(VLOOKUP(A1863,QW_CloseDL!A:E,5,0)),0,VLOOKUP(A1863,QW_CloseDL!A:E,5,0))</f>
        <v>0</v>
      </c>
      <c r="J1863" s="8" t="str">
        <f t="shared" si="119"/>
        <v/>
      </c>
    </row>
    <row r="1864" spans="2:10" x14ac:dyDescent="0.35">
      <c r="B1864" t="str">
        <f>IF(NOT(ISBLANK(A1864)),VLOOKUP(A1864,'BBT3'!A:F,2,0),"")</f>
        <v/>
      </c>
      <c r="C1864" t="str">
        <f>IF(NOT(ISBLANK(A1864)),VLOOKUP(A1864,'BBT3'!A:F,3,0),"")</f>
        <v/>
      </c>
      <c r="D1864" s="6" t="str">
        <f>IF(NOT(ISBLANK(A1864)),VLOOKUP(A1864,'BBT3'!A:F,4,1),"")</f>
        <v/>
      </c>
      <c r="E1864" t="str">
        <f>IF(NOT(ISBLANK(A1864)),VLOOKUP(A1864,'BBT3'!A:F,5,0),"")</f>
        <v/>
      </c>
      <c r="F1864" t="str">
        <f>IF(NOT(ISBLANK(A1864)),VLOOKUP(A1864,'BBT3'!A:F,6,0),"")</f>
        <v/>
      </c>
      <c r="G1864" t="str">
        <f>IF(NOT(ISBLANK(A1864)),VLOOKUP(A1864,QW_Close!A:J,5,0),"")</f>
        <v/>
      </c>
      <c r="H1864" s="5" t="str" cm="1">
        <f t="array" ref="H1864">IF(NOT(ISBLANK(A1864)),((_xlfn.XLOOKUP(1,(_bbt3[[#All],[ID]]=A1864)*(_bbt3[[#All],[METRIC_NAME]]="YLD_YTM_ASK"),_bbt3[[#All],[METRIC_VALUE]])*0.5)+(_xlfn.XLOOKUP(1,(_bbt3[[#All],[ID]]=A1864)*(_bbt3[[#All],[METRIC_NAME]]="YLD_YTM_BID"),_bbt3[[#All],[METRIC_VALUE]])*0.5))/100,"")</f>
        <v/>
      </c>
      <c r="I1864">
        <f>IF(ISNA(VLOOKUP(A1864,QW_CloseDL!A:E,5,0)),0,VLOOKUP(A1864,QW_CloseDL!A:E,5,0))</f>
        <v>0</v>
      </c>
      <c r="J1864" s="8" t="str">
        <f t="shared" si="119"/>
        <v/>
      </c>
    </row>
    <row r="1865" spans="2:10" x14ac:dyDescent="0.35">
      <c r="B1865" t="str">
        <f>IF(NOT(ISBLANK(A1865)),VLOOKUP(A1865,'BBT3'!A:F,2,0),"")</f>
        <v/>
      </c>
      <c r="C1865" t="str">
        <f>IF(NOT(ISBLANK(A1865)),VLOOKUP(A1865,'BBT3'!A:F,3,0),"")</f>
        <v/>
      </c>
      <c r="D1865" s="6" t="str">
        <f>IF(NOT(ISBLANK(A1865)),VLOOKUP(A1865,'BBT3'!A:F,4,1),"")</f>
        <v/>
      </c>
      <c r="E1865" t="str">
        <f>IF(NOT(ISBLANK(A1865)),VLOOKUP(A1865,'BBT3'!A:F,5,0),"")</f>
        <v/>
      </c>
      <c r="F1865" t="str">
        <f>IF(NOT(ISBLANK(A1865)),VLOOKUP(A1865,'BBT3'!A:F,6,0),"")</f>
        <v/>
      </c>
      <c r="G1865" t="str">
        <f>IF(NOT(ISBLANK(A1865)),VLOOKUP(A1865,QW_Close!A:J,5,0),"")</f>
        <v/>
      </c>
      <c r="H1865" s="5" t="str" cm="1">
        <f t="array" ref="H1865">IF(NOT(ISBLANK(A1865)),((_xlfn.XLOOKUP(1,(_bbt3[[#All],[ID]]=A1865)*(_bbt3[[#All],[METRIC_NAME]]="YLD_YTM_ASK"),_bbt3[[#All],[METRIC_VALUE]])*0.5)+(_xlfn.XLOOKUP(1,(_bbt3[[#All],[ID]]=A1865)*(_bbt3[[#All],[METRIC_NAME]]="YLD_YTM_BID"),_bbt3[[#All],[METRIC_VALUE]])*0.5))/100,"")</f>
        <v/>
      </c>
      <c r="I1865">
        <f>IF(ISNA(VLOOKUP(A1865,QW_CloseDL!A:E,5,0)),0,VLOOKUP(A1865,QW_CloseDL!A:E,5,0))</f>
        <v>0</v>
      </c>
      <c r="J1865" s="8" t="str">
        <f t="shared" si="119"/>
        <v/>
      </c>
    </row>
    <row r="1866" spans="2:10" x14ac:dyDescent="0.35">
      <c r="B1866" t="str">
        <f>IF(NOT(ISBLANK(A1866)),VLOOKUP(A1866,'BBT3'!A:F,2,0),"")</f>
        <v/>
      </c>
      <c r="C1866" t="str">
        <f>IF(NOT(ISBLANK(A1866)),VLOOKUP(A1866,'BBT3'!A:F,3,0),"")</f>
        <v/>
      </c>
      <c r="D1866" s="6" t="str">
        <f>IF(NOT(ISBLANK(A1866)),VLOOKUP(A1866,'BBT3'!A:F,4,1),"")</f>
        <v/>
      </c>
      <c r="E1866" t="str">
        <f>IF(NOT(ISBLANK(A1866)),VLOOKUP(A1866,'BBT3'!A:F,5,0),"")</f>
        <v/>
      </c>
      <c r="F1866" t="str">
        <f>IF(NOT(ISBLANK(A1866)),VLOOKUP(A1866,'BBT3'!A:F,6,0),"")</f>
        <v/>
      </c>
      <c r="G1866" t="str">
        <f>IF(NOT(ISBLANK(A1866)),VLOOKUP(A1866,QW_Close!A:J,5,0),"")</f>
        <v/>
      </c>
      <c r="H1866" s="5" t="str" cm="1">
        <f t="array" ref="H1866">IF(NOT(ISBLANK(A1866)),((_xlfn.XLOOKUP(1,(_bbt3[[#All],[ID]]=A1866)*(_bbt3[[#All],[METRIC_NAME]]="YLD_YTM_ASK"),_bbt3[[#All],[METRIC_VALUE]])*0.5)+(_xlfn.XLOOKUP(1,(_bbt3[[#All],[ID]]=A1866)*(_bbt3[[#All],[METRIC_NAME]]="YLD_YTM_BID"),_bbt3[[#All],[METRIC_VALUE]])*0.5))/100,"")</f>
        <v/>
      </c>
      <c r="I1866">
        <f>IF(ISNA(VLOOKUP(A1866,QW_CloseDL!A:E,5,0)),0,VLOOKUP(A1866,QW_CloseDL!A:E,5,0))</f>
        <v>0</v>
      </c>
      <c r="J1866" s="8" t="str">
        <f t="shared" si="119"/>
        <v/>
      </c>
    </row>
    <row r="1867" spans="2:10" x14ac:dyDescent="0.35">
      <c r="B1867" t="str">
        <f>IF(NOT(ISBLANK(A1867)),VLOOKUP(A1867,'BBT3'!A:F,2,0),"")</f>
        <v/>
      </c>
      <c r="C1867" t="str">
        <f>IF(NOT(ISBLANK(A1867)),VLOOKUP(A1867,'BBT3'!A:F,3,0),"")</f>
        <v/>
      </c>
      <c r="D1867" s="6" t="str">
        <f>IF(NOT(ISBLANK(A1867)),VLOOKUP(A1867,'BBT3'!A:F,4,1),"")</f>
        <v/>
      </c>
      <c r="E1867" t="str">
        <f>IF(NOT(ISBLANK(A1867)),VLOOKUP(A1867,'BBT3'!A:F,5,0),"")</f>
        <v/>
      </c>
      <c r="F1867" t="str">
        <f>IF(NOT(ISBLANK(A1867)),VLOOKUP(A1867,'BBT3'!A:F,6,0),"")</f>
        <v/>
      </c>
      <c r="G1867" t="str">
        <f>IF(NOT(ISBLANK(A1867)),VLOOKUP(A1867,QW_Close!A:J,5,0),"")</f>
        <v/>
      </c>
      <c r="H1867" s="5" t="str" cm="1">
        <f t="array" ref="H1867">IF(NOT(ISBLANK(A1867)),((_xlfn.XLOOKUP(1,(_bbt3[[#All],[ID]]=A1867)*(_bbt3[[#All],[METRIC_NAME]]="YLD_YTM_ASK"),_bbt3[[#All],[METRIC_VALUE]])*0.5)+(_xlfn.XLOOKUP(1,(_bbt3[[#All],[ID]]=A1867)*(_bbt3[[#All],[METRIC_NAME]]="YLD_YTM_BID"),_bbt3[[#All],[METRIC_VALUE]])*0.5))/100,"")</f>
        <v/>
      </c>
      <c r="I1867">
        <f>IF(ISNA(VLOOKUP(A1867,QW_CloseDL!A:E,5,0)),0,VLOOKUP(A1867,QW_CloseDL!A:E,5,0))</f>
        <v>0</v>
      </c>
      <c r="J1867" s="8" t="str">
        <f t="shared" si="119"/>
        <v/>
      </c>
    </row>
    <row r="1868" spans="2:10" x14ac:dyDescent="0.35">
      <c r="B1868" t="str">
        <f>IF(NOT(ISBLANK(A1868)),VLOOKUP(A1868,'BBT3'!A:F,2,0),"")</f>
        <v/>
      </c>
      <c r="C1868" t="str">
        <f>IF(NOT(ISBLANK(A1868)),VLOOKUP(A1868,'BBT3'!A:F,3,0),"")</f>
        <v/>
      </c>
      <c r="D1868" s="6" t="str">
        <f>IF(NOT(ISBLANK(A1868)),VLOOKUP(A1868,'BBT3'!A:F,4,1),"")</f>
        <v/>
      </c>
      <c r="E1868" t="str">
        <f>IF(NOT(ISBLANK(A1868)),VLOOKUP(A1868,'BBT3'!A:F,5,0),"")</f>
        <v/>
      </c>
      <c r="F1868" t="str">
        <f>IF(NOT(ISBLANK(A1868)),VLOOKUP(A1868,'BBT3'!A:F,6,0),"")</f>
        <v/>
      </c>
      <c r="G1868" t="str">
        <f>IF(NOT(ISBLANK(A1868)),VLOOKUP(A1868,QW_Close!A:J,5,0),"")</f>
        <v/>
      </c>
      <c r="H1868" s="5" t="str" cm="1">
        <f t="array" ref="H1868">IF(NOT(ISBLANK(A1868)),((_xlfn.XLOOKUP(1,(_bbt3[[#All],[ID]]=A1868)*(_bbt3[[#All],[METRIC_NAME]]="YLD_YTM_ASK"),_bbt3[[#All],[METRIC_VALUE]])*0.5)+(_xlfn.XLOOKUP(1,(_bbt3[[#All],[ID]]=A1868)*(_bbt3[[#All],[METRIC_NAME]]="YLD_YTM_BID"),_bbt3[[#All],[METRIC_VALUE]])*0.5))/100,"")</f>
        <v/>
      </c>
      <c r="I1868">
        <f>IF(ISNA(VLOOKUP(A1868,QW_CloseDL!A:E,5,0)),0,VLOOKUP(A1868,QW_CloseDL!A:E,5,0))</f>
        <v>0</v>
      </c>
      <c r="J1868" s="8" t="str">
        <f t="shared" si="119"/>
        <v/>
      </c>
    </row>
    <row r="1869" spans="2:10" x14ac:dyDescent="0.35">
      <c r="B1869" t="str">
        <f>IF(NOT(ISBLANK(A1869)),VLOOKUP(A1869,'BBT3'!A:F,2,0),"")</f>
        <v/>
      </c>
      <c r="C1869" t="str">
        <f>IF(NOT(ISBLANK(A1869)),VLOOKUP(A1869,'BBT3'!A:F,3,0),"")</f>
        <v/>
      </c>
      <c r="D1869" s="6" t="str">
        <f>IF(NOT(ISBLANK(A1869)),VLOOKUP(A1869,'BBT3'!A:F,4,1),"")</f>
        <v/>
      </c>
      <c r="E1869" t="str">
        <f>IF(NOT(ISBLANK(A1869)),VLOOKUP(A1869,'BBT3'!A:F,5,0),"")</f>
        <v/>
      </c>
      <c r="F1869" t="str">
        <f>IF(NOT(ISBLANK(A1869)),VLOOKUP(A1869,'BBT3'!A:F,6,0),"")</f>
        <v/>
      </c>
      <c r="G1869" t="str">
        <f>IF(NOT(ISBLANK(A1869)),VLOOKUP(A1869,QW_Close!A:J,5,0),"")</f>
        <v/>
      </c>
      <c r="H1869" s="5" t="str" cm="1">
        <f t="array" ref="H1869">IF(NOT(ISBLANK(A1869)),((_xlfn.XLOOKUP(1,(_bbt3[[#All],[ID]]=A1869)*(_bbt3[[#All],[METRIC_NAME]]="YLD_YTM_ASK"),_bbt3[[#All],[METRIC_VALUE]])*0.5)+(_xlfn.XLOOKUP(1,(_bbt3[[#All],[ID]]=A1869)*(_bbt3[[#All],[METRIC_NAME]]="YLD_YTM_BID"),_bbt3[[#All],[METRIC_VALUE]])*0.5))/100,"")</f>
        <v/>
      </c>
      <c r="I1869">
        <f>IF(ISNA(VLOOKUP(A1869,QW_CloseDL!A:E,5,0)),0,VLOOKUP(A1869,QW_CloseDL!A:E,5,0))</f>
        <v>0</v>
      </c>
      <c r="J1869" s="8" t="str">
        <f t="shared" si="119"/>
        <v/>
      </c>
    </row>
    <row r="1870" spans="2:10" x14ac:dyDescent="0.35">
      <c r="B1870" t="str">
        <f>IF(NOT(ISBLANK(A1870)),VLOOKUP(A1870,'BBT3'!A:F,2,0),"")</f>
        <v/>
      </c>
      <c r="C1870" t="str">
        <f>IF(NOT(ISBLANK(A1870)),VLOOKUP(A1870,'BBT3'!A:F,3,0),"")</f>
        <v/>
      </c>
      <c r="D1870" s="6" t="str">
        <f>IF(NOT(ISBLANK(A1870)),VLOOKUP(A1870,'BBT3'!A:F,4,1),"")</f>
        <v/>
      </c>
      <c r="E1870" t="str">
        <f>IF(NOT(ISBLANK(A1870)),VLOOKUP(A1870,'BBT3'!A:F,5,0),"")</f>
        <v/>
      </c>
      <c r="F1870" t="str">
        <f>IF(NOT(ISBLANK(A1870)),VLOOKUP(A1870,'BBT3'!A:F,6,0),"")</f>
        <v/>
      </c>
      <c r="G1870" t="str">
        <f>IF(NOT(ISBLANK(A1870)),VLOOKUP(A1870,QW_Close!A:J,5,0),"")</f>
        <v/>
      </c>
      <c r="H1870" s="5" t="str" cm="1">
        <f t="array" ref="H1870">IF(NOT(ISBLANK(A1870)),((_xlfn.XLOOKUP(1,(_bbt3[[#All],[ID]]=A1870)*(_bbt3[[#All],[METRIC_NAME]]="YLD_YTM_ASK"),_bbt3[[#All],[METRIC_VALUE]])*0.5)+(_xlfn.XLOOKUP(1,(_bbt3[[#All],[ID]]=A1870)*(_bbt3[[#All],[METRIC_NAME]]="YLD_YTM_BID"),_bbt3[[#All],[METRIC_VALUE]])*0.5))/100,"")</f>
        <v/>
      </c>
      <c r="I1870">
        <f>IF(ISNA(VLOOKUP(A1870,QW_CloseDL!A:E,5,0)),0,VLOOKUP(A1870,QW_CloseDL!A:E,5,0))</f>
        <v>0</v>
      </c>
      <c r="J1870" s="8" t="str">
        <f t="shared" si="119"/>
        <v/>
      </c>
    </row>
    <row r="1871" spans="2:10" x14ac:dyDescent="0.35">
      <c r="B1871" t="str">
        <f>IF(NOT(ISBLANK(A1871)),VLOOKUP(A1871,'BBT3'!A:F,2,0),"")</f>
        <v/>
      </c>
      <c r="C1871" t="str">
        <f>IF(NOT(ISBLANK(A1871)),VLOOKUP(A1871,'BBT3'!A:F,3,0),"")</f>
        <v/>
      </c>
      <c r="D1871" s="6" t="str">
        <f>IF(NOT(ISBLANK(A1871)),VLOOKUP(A1871,'BBT3'!A:F,4,1),"")</f>
        <v/>
      </c>
      <c r="E1871" t="str">
        <f>IF(NOT(ISBLANK(A1871)),VLOOKUP(A1871,'BBT3'!A:F,5,0),"")</f>
        <v/>
      </c>
      <c r="F1871" t="str">
        <f>IF(NOT(ISBLANK(A1871)),VLOOKUP(A1871,'BBT3'!A:F,6,0),"")</f>
        <v/>
      </c>
      <c r="G1871" t="str">
        <f>IF(NOT(ISBLANK(A1871)),VLOOKUP(A1871,QW_Close!A:J,5,0),"")</f>
        <v/>
      </c>
      <c r="H1871" s="5" t="str" cm="1">
        <f t="array" ref="H1871">IF(NOT(ISBLANK(A1871)),((_xlfn.XLOOKUP(1,(_bbt3[[#All],[ID]]=A1871)*(_bbt3[[#All],[METRIC_NAME]]="YLD_YTM_ASK"),_bbt3[[#All],[METRIC_VALUE]])*0.5)+(_xlfn.XLOOKUP(1,(_bbt3[[#All],[ID]]=A1871)*(_bbt3[[#All],[METRIC_NAME]]="YLD_YTM_BID"),_bbt3[[#All],[METRIC_VALUE]])*0.5))/100,"")</f>
        <v/>
      </c>
      <c r="I1871">
        <f>IF(ISNA(VLOOKUP(A1871,QW_CloseDL!A:E,5,0)),0,VLOOKUP(A1871,QW_CloseDL!A:E,5,0))</f>
        <v>0</v>
      </c>
      <c r="J1871" s="8" t="str">
        <f t="shared" si="119"/>
        <v/>
      </c>
    </row>
    <row r="1872" spans="2:10" x14ac:dyDescent="0.35">
      <c r="B1872" t="str">
        <f>IF(NOT(ISBLANK(A1872)),VLOOKUP(A1872,'BBT3'!A:F,2,0),"")</f>
        <v/>
      </c>
      <c r="C1872" t="str">
        <f>IF(NOT(ISBLANK(A1872)),VLOOKUP(A1872,'BBT3'!A:F,3,0),"")</f>
        <v/>
      </c>
      <c r="D1872" s="6" t="str">
        <f>IF(NOT(ISBLANK(A1872)),VLOOKUP(A1872,'BBT3'!A:F,4,1),"")</f>
        <v/>
      </c>
      <c r="E1872" t="str">
        <f>IF(NOT(ISBLANK(A1872)),VLOOKUP(A1872,'BBT3'!A:F,5,0),"")</f>
        <v/>
      </c>
      <c r="F1872" t="str">
        <f>IF(NOT(ISBLANK(A1872)),VLOOKUP(A1872,'BBT3'!A:F,6,0),"")</f>
        <v/>
      </c>
      <c r="G1872" t="str">
        <f>IF(NOT(ISBLANK(A1872)),VLOOKUP(A1872,QW_Close!A:J,5,0),"")</f>
        <v/>
      </c>
      <c r="H1872" s="5" t="str" cm="1">
        <f t="array" ref="H1872">IF(NOT(ISBLANK(A1872)),((_xlfn.XLOOKUP(1,(_bbt3[[#All],[ID]]=A1872)*(_bbt3[[#All],[METRIC_NAME]]="YLD_YTM_ASK"),_bbt3[[#All],[METRIC_VALUE]])*0.5)+(_xlfn.XLOOKUP(1,(_bbt3[[#All],[ID]]=A1872)*(_bbt3[[#All],[METRIC_NAME]]="YLD_YTM_BID"),_bbt3[[#All],[METRIC_VALUE]])*0.5))/100,"")</f>
        <v/>
      </c>
      <c r="I1872">
        <f>IF(ISNA(VLOOKUP(A1872,QW_CloseDL!A:E,5,0)),0,VLOOKUP(A1872,QW_CloseDL!A:E,5,0))</f>
        <v>0</v>
      </c>
      <c r="J1872" s="8" t="str">
        <f t="shared" si="119"/>
        <v/>
      </c>
    </row>
    <row r="1873" spans="2:10" x14ac:dyDescent="0.35">
      <c r="B1873" t="str">
        <f>IF(NOT(ISBLANK(A1873)),VLOOKUP(A1873,'BBT3'!A:F,2,0),"")</f>
        <v/>
      </c>
      <c r="C1873" t="str">
        <f>IF(NOT(ISBLANK(A1873)),VLOOKUP(A1873,'BBT3'!A:F,3,0),"")</f>
        <v/>
      </c>
      <c r="D1873" s="6" t="str">
        <f>IF(NOT(ISBLANK(A1873)),VLOOKUP(A1873,'BBT3'!A:F,4,1),"")</f>
        <v/>
      </c>
      <c r="E1873" t="str">
        <f>IF(NOT(ISBLANK(A1873)),VLOOKUP(A1873,'BBT3'!A:F,5,0),"")</f>
        <v/>
      </c>
      <c r="F1873" t="str">
        <f>IF(NOT(ISBLANK(A1873)),VLOOKUP(A1873,'BBT3'!A:F,6,0),"")</f>
        <v/>
      </c>
      <c r="G1873" t="str">
        <f>IF(NOT(ISBLANK(A1873)),VLOOKUP(A1873,QW_Close!A:J,5,0),"")</f>
        <v/>
      </c>
      <c r="H1873" s="5" t="str" cm="1">
        <f t="array" ref="H1873">IF(NOT(ISBLANK(A1873)),((_xlfn.XLOOKUP(1,(_bbt3[[#All],[ID]]=A1873)*(_bbt3[[#All],[METRIC_NAME]]="YLD_YTM_ASK"),_bbt3[[#All],[METRIC_VALUE]])*0.5)+(_xlfn.XLOOKUP(1,(_bbt3[[#All],[ID]]=A1873)*(_bbt3[[#All],[METRIC_NAME]]="YLD_YTM_BID"),_bbt3[[#All],[METRIC_VALUE]])*0.5))/100,"")</f>
        <v/>
      </c>
      <c r="I1873">
        <f>IF(ISNA(VLOOKUP(A1873,QW_CloseDL!A:E,5,0)),0,VLOOKUP(A1873,QW_CloseDL!A:E,5,0))</f>
        <v>0</v>
      </c>
      <c r="J1873" s="8" t="str">
        <f t="shared" si="119"/>
        <v/>
      </c>
    </row>
    <row r="1874" spans="2:10" x14ac:dyDescent="0.35">
      <c r="B1874" t="str">
        <f>IF(NOT(ISBLANK(A1874)),VLOOKUP(A1874,'BBT3'!A:F,2,0),"")</f>
        <v/>
      </c>
      <c r="C1874" t="str">
        <f>IF(NOT(ISBLANK(A1874)),VLOOKUP(A1874,'BBT3'!A:F,3,0),"")</f>
        <v/>
      </c>
      <c r="D1874" s="6" t="str">
        <f>IF(NOT(ISBLANK(A1874)),VLOOKUP(A1874,'BBT3'!A:F,4,1),"")</f>
        <v/>
      </c>
      <c r="E1874" t="str">
        <f>IF(NOT(ISBLANK(A1874)),VLOOKUP(A1874,'BBT3'!A:F,5,0),"")</f>
        <v/>
      </c>
      <c r="F1874" t="str">
        <f>IF(NOT(ISBLANK(A1874)),VLOOKUP(A1874,'BBT3'!A:F,6,0),"")</f>
        <v/>
      </c>
      <c r="G1874" t="str">
        <f>IF(NOT(ISBLANK(A1874)),VLOOKUP(A1874,QW_Close!A:J,5,0),"")</f>
        <v/>
      </c>
      <c r="H1874" s="5" t="str" cm="1">
        <f t="array" ref="H1874">IF(NOT(ISBLANK(A1874)),((_xlfn.XLOOKUP(1,(_bbt3[[#All],[ID]]=A1874)*(_bbt3[[#All],[METRIC_NAME]]="YLD_YTM_ASK"),_bbt3[[#All],[METRIC_VALUE]])*0.5)+(_xlfn.XLOOKUP(1,(_bbt3[[#All],[ID]]=A1874)*(_bbt3[[#All],[METRIC_NAME]]="YLD_YTM_BID"),_bbt3[[#All],[METRIC_VALUE]])*0.5))/100,"")</f>
        <v/>
      </c>
      <c r="I1874">
        <f>IF(ISNA(VLOOKUP(A1874,QW_CloseDL!A:E,5,0)),0,VLOOKUP(A1874,QW_CloseDL!A:E,5,0))</f>
        <v>0</v>
      </c>
      <c r="J1874" s="8" t="str">
        <f t="shared" si="119"/>
        <v/>
      </c>
    </row>
    <row r="1875" spans="2:10" x14ac:dyDescent="0.35">
      <c r="B1875" t="str">
        <f>IF(NOT(ISBLANK(A1875)),VLOOKUP(A1875,'BBT3'!A:F,2,0),"")</f>
        <v/>
      </c>
      <c r="C1875" t="str">
        <f>IF(NOT(ISBLANK(A1875)),VLOOKUP(A1875,'BBT3'!A:F,3,0),"")</f>
        <v/>
      </c>
      <c r="D1875" s="6" t="str">
        <f>IF(NOT(ISBLANK(A1875)),VLOOKUP(A1875,'BBT3'!A:F,4,1),"")</f>
        <v/>
      </c>
      <c r="E1875" t="str">
        <f>IF(NOT(ISBLANK(A1875)),VLOOKUP(A1875,'BBT3'!A:F,5,0),"")</f>
        <v/>
      </c>
      <c r="F1875" t="str">
        <f>IF(NOT(ISBLANK(A1875)),VLOOKUP(A1875,'BBT3'!A:F,6,0),"")</f>
        <v/>
      </c>
      <c r="G1875" t="str">
        <f>IF(NOT(ISBLANK(A1875)),VLOOKUP(A1875,QW_Close!A:J,5,0),"")</f>
        <v/>
      </c>
      <c r="H1875" s="5" t="str" cm="1">
        <f t="array" ref="H1875">IF(NOT(ISBLANK(A1875)),((_xlfn.XLOOKUP(1,(_bbt3[[#All],[ID]]=A1875)*(_bbt3[[#All],[METRIC_NAME]]="YLD_YTM_ASK"),_bbt3[[#All],[METRIC_VALUE]])*0.5)+(_xlfn.XLOOKUP(1,(_bbt3[[#All],[ID]]=A1875)*(_bbt3[[#All],[METRIC_NAME]]="YLD_YTM_BID"),_bbt3[[#All],[METRIC_VALUE]])*0.5))/100,"")</f>
        <v/>
      </c>
      <c r="I1875">
        <f>IF(ISNA(VLOOKUP(A1875,QW_CloseDL!A:E,5,0)),0,VLOOKUP(A1875,QW_CloseDL!A:E,5,0))</f>
        <v>0</v>
      </c>
      <c r="J1875" s="8" t="str">
        <f t="shared" si="119"/>
        <v/>
      </c>
    </row>
    <row r="1876" spans="2:10" x14ac:dyDescent="0.35">
      <c r="B1876" t="str">
        <f>IF(NOT(ISBLANK(A1876)),VLOOKUP(A1876,'BBT3'!A:F,2,0),"")</f>
        <v/>
      </c>
      <c r="C1876" t="str">
        <f>IF(NOT(ISBLANK(A1876)),VLOOKUP(A1876,'BBT3'!A:F,3,0),"")</f>
        <v/>
      </c>
      <c r="D1876" s="6" t="str">
        <f>IF(NOT(ISBLANK(A1876)),VLOOKUP(A1876,'BBT3'!A:F,4,1),"")</f>
        <v/>
      </c>
      <c r="E1876" t="str">
        <f>IF(NOT(ISBLANK(A1876)),VLOOKUP(A1876,'BBT3'!A:F,5,0),"")</f>
        <v/>
      </c>
      <c r="F1876" t="str">
        <f>IF(NOT(ISBLANK(A1876)),VLOOKUP(A1876,'BBT3'!A:F,6,0),"")</f>
        <v/>
      </c>
      <c r="G1876" t="str">
        <f>IF(NOT(ISBLANK(A1876)),VLOOKUP(A1876,QW_Close!A:J,5,0),"")</f>
        <v/>
      </c>
      <c r="H1876" s="5" t="str" cm="1">
        <f t="array" ref="H1876">IF(NOT(ISBLANK(A1876)),((_xlfn.XLOOKUP(1,(_bbt3[[#All],[ID]]=A1876)*(_bbt3[[#All],[METRIC_NAME]]="YLD_YTM_ASK"),_bbt3[[#All],[METRIC_VALUE]])*0.5)+(_xlfn.XLOOKUP(1,(_bbt3[[#All],[ID]]=A1876)*(_bbt3[[#All],[METRIC_NAME]]="YLD_YTM_BID"),_bbt3[[#All],[METRIC_VALUE]])*0.5))/100,"")</f>
        <v/>
      </c>
      <c r="I1876">
        <f>IF(ISNA(VLOOKUP(A1876,QW_CloseDL!A:E,5,0)),0,VLOOKUP(A1876,QW_CloseDL!A:E,5,0))</f>
        <v>0</v>
      </c>
      <c r="J1876" s="8" t="str">
        <f t="shared" si="119"/>
        <v/>
      </c>
    </row>
    <row r="1877" spans="2:10" x14ac:dyDescent="0.35">
      <c r="B1877" t="str">
        <f>IF(NOT(ISBLANK(A1877)),VLOOKUP(A1877,'BBT3'!A:F,2,0),"")</f>
        <v/>
      </c>
      <c r="C1877" t="str">
        <f>IF(NOT(ISBLANK(A1877)),VLOOKUP(A1877,'BBT3'!A:F,3,0),"")</f>
        <v/>
      </c>
      <c r="D1877" s="6" t="str">
        <f>IF(NOT(ISBLANK(A1877)),VLOOKUP(A1877,'BBT3'!A:F,4,1),"")</f>
        <v/>
      </c>
      <c r="E1877" t="str">
        <f>IF(NOT(ISBLANK(A1877)),VLOOKUP(A1877,'BBT3'!A:F,5,0),"")</f>
        <v/>
      </c>
      <c r="F1877" t="str">
        <f>IF(NOT(ISBLANK(A1877)),VLOOKUP(A1877,'BBT3'!A:F,6,0),"")</f>
        <v/>
      </c>
      <c r="G1877" t="str">
        <f>IF(NOT(ISBLANK(A1877)),VLOOKUP(A1877,QW_Close!A:J,5,0),"")</f>
        <v/>
      </c>
      <c r="H1877" s="5" t="str" cm="1">
        <f t="array" ref="H1877">IF(NOT(ISBLANK(A1877)),((_xlfn.XLOOKUP(1,(_bbt3[[#All],[ID]]=A1877)*(_bbt3[[#All],[METRIC_NAME]]="YLD_YTM_ASK"),_bbt3[[#All],[METRIC_VALUE]])*0.5)+(_xlfn.XLOOKUP(1,(_bbt3[[#All],[ID]]=A1877)*(_bbt3[[#All],[METRIC_NAME]]="YLD_YTM_BID"),_bbt3[[#All],[METRIC_VALUE]])*0.5))/100,"")</f>
        <v/>
      </c>
      <c r="I1877">
        <f>IF(ISNA(VLOOKUP(A1877,QW_CloseDL!A:E,5,0)),0,VLOOKUP(A1877,QW_CloseDL!A:E,5,0))</f>
        <v>0</v>
      </c>
      <c r="J1877" s="8" t="str">
        <f t="shared" si="119"/>
        <v/>
      </c>
    </row>
    <row r="1878" spans="2:10" x14ac:dyDescent="0.35">
      <c r="B1878" t="str">
        <f>IF(NOT(ISBLANK(A1878)),VLOOKUP(A1878,'BBT3'!A:F,2,0),"")</f>
        <v/>
      </c>
      <c r="C1878" t="str">
        <f>IF(NOT(ISBLANK(A1878)),VLOOKUP(A1878,'BBT3'!A:F,3,0),"")</f>
        <v/>
      </c>
      <c r="D1878" s="6" t="str">
        <f>IF(NOT(ISBLANK(A1878)),VLOOKUP(A1878,'BBT3'!A:F,4,1),"")</f>
        <v/>
      </c>
      <c r="E1878" t="str">
        <f>IF(NOT(ISBLANK(A1878)),VLOOKUP(A1878,'BBT3'!A:F,5,0),"")</f>
        <v/>
      </c>
      <c r="F1878" t="str">
        <f>IF(NOT(ISBLANK(A1878)),VLOOKUP(A1878,'BBT3'!A:F,6,0),"")</f>
        <v/>
      </c>
      <c r="G1878" t="str">
        <f>IF(NOT(ISBLANK(A1878)),VLOOKUP(A1878,QW_Close!A:J,5,0),"")</f>
        <v/>
      </c>
      <c r="H1878" s="5" t="str" cm="1">
        <f t="array" ref="H1878">IF(NOT(ISBLANK(A1878)),((_xlfn.XLOOKUP(1,(_bbt3[[#All],[ID]]=A1878)*(_bbt3[[#All],[METRIC_NAME]]="YLD_YTM_ASK"),_bbt3[[#All],[METRIC_VALUE]])*0.5)+(_xlfn.XLOOKUP(1,(_bbt3[[#All],[ID]]=A1878)*(_bbt3[[#All],[METRIC_NAME]]="YLD_YTM_BID"),_bbt3[[#All],[METRIC_VALUE]])*0.5))/100,"")</f>
        <v/>
      </c>
      <c r="I1878">
        <f>IF(ISNA(VLOOKUP(A1878,QW_CloseDL!A:E,5,0)),0,VLOOKUP(A1878,QW_CloseDL!A:E,5,0))</f>
        <v>0</v>
      </c>
      <c r="J1878" s="8" t="str">
        <f t="shared" si="119"/>
        <v/>
      </c>
    </row>
    <row r="1879" spans="2:10" x14ac:dyDescent="0.35">
      <c r="B1879" t="str">
        <f>IF(NOT(ISBLANK(A1879)),VLOOKUP(A1879,'BBT3'!A:F,2,0),"")</f>
        <v/>
      </c>
      <c r="C1879" t="str">
        <f>IF(NOT(ISBLANK(A1879)),VLOOKUP(A1879,'BBT3'!A:F,3,0),"")</f>
        <v/>
      </c>
      <c r="D1879" s="6" t="str">
        <f>IF(NOT(ISBLANK(A1879)),VLOOKUP(A1879,'BBT3'!A:F,4,1),"")</f>
        <v/>
      </c>
      <c r="E1879" t="str">
        <f>IF(NOT(ISBLANK(A1879)),VLOOKUP(A1879,'BBT3'!A:F,5,0),"")</f>
        <v/>
      </c>
      <c r="F1879" t="str">
        <f>IF(NOT(ISBLANK(A1879)),VLOOKUP(A1879,'BBT3'!A:F,6,0),"")</f>
        <v/>
      </c>
      <c r="G1879" t="str">
        <f>IF(NOT(ISBLANK(A1879)),VLOOKUP(A1879,QW_Close!A:J,5,0),"")</f>
        <v/>
      </c>
      <c r="H1879" s="5" t="str" cm="1">
        <f t="array" ref="H1879">IF(NOT(ISBLANK(A1879)),((_xlfn.XLOOKUP(1,(_bbt3[[#All],[ID]]=A1879)*(_bbt3[[#All],[METRIC_NAME]]="YLD_YTM_ASK"),_bbt3[[#All],[METRIC_VALUE]])*0.5)+(_xlfn.XLOOKUP(1,(_bbt3[[#All],[ID]]=A1879)*(_bbt3[[#All],[METRIC_NAME]]="YLD_YTM_BID"),_bbt3[[#All],[METRIC_VALUE]])*0.5))/100,"")</f>
        <v/>
      </c>
      <c r="I1879">
        <f>IF(ISNA(VLOOKUP(A1879,QW_CloseDL!A:E,5,0)),0,VLOOKUP(A1879,QW_CloseDL!A:E,5,0))</f>
        <v>0</v>
      </c>
      <c r="J1879" s="8" t="str">
        <f t="shared" si="119"/>
        <v/>
      </c>
    </row>
    <row r="1880" spans="2:10" x14ac:dyDescent="0.35">
      <c r="B1880" t="str">
        <f>IF(NOT(ISBLANK(A1880)),VLOOKUP(A1880,'BBT3'!A:F,2,0),"")</f>
        <v/>
      </c>
      <c r="C1880" t="str">
        <f>IF(NOT(ISBLANK(A1880)),VLOOKUP(A1880,'BBT3'!A:F,3,0),"")</f>
        <v/>
      </c>
      <c r="D1880" s="6" t="str">
        <f>IF(NOT(ISBLANK(A1880)),VLOOKUP(A1880,'BBT3'!A:F,4,1),"")</f>
        <v/>
      </c>
      <c r="E1880" t="str">
        <f>IF(NOT(ISBLANK(A1880)),VLOOKUP(A1880,'BBT3'!A:F,5,0),"")</f>
        <v/>
      </c>
      <c r="F1880" t="str">
        <f>IF(NOT(ISBLANK(A1880)),VLOOKUP(A1880,'BBT3'!A:F,6,0),"")</f>
        <v/>
      </c>
      <c r="G1880" t="str">
        <f>IF(NOT(ISBLANK(A1880)),VLOOKUP(A1880,QW_Close!A:J,5,0),"")</f>
        <v/>
      </c>
      <c r="H1880" s="5" t="str" cm="1">
        <f t="array" ref="H1880">IF(NOT(ISBLANK(A1880)),((_xlfn.XLOOKUP(1,(_bbt3[[#All],[ID]]=A1880)*(_bbt3[[#All],[METRIC_NAME]]="YLD_YTM_ASK"),_bbt3[[#All],[METRIC_VALUE]])*0.5)+(_xlfn.XLOOKUP(1,(_bbt3[[#All],[ID]]=A1880)*(_bbt3[[#All],[METRIC_NAME]]="YLD_YTM_BID"),_bbt3[[#All],[METRIC_VALUE]])*0.5))/100,"")</f>
        <v/>
      </c>
      <c r="I1880">
        <f>IF(ISNA(VLOOKUP(A1880,QW_CloseDL!A:E,5,0)),0,VLOOKUP(A1880,QW_CloseDL!A:E,5,0))</f>
        <v>0</v>
      </c>
      <c r="J1880" s="8" t="str">
        <f t="shared" si="119"/>
        <v/>
      </c>
    </row>
    <row r="1881" spans="2:10" x14ac:dyDescent="0.35">
      <c r="B1881" t="str">
        <f>IF(NOT(ISBLANK(A1881)),VLOOKUP(A1881,'BBT3'!A:F,2,0),"")</f>
        <v/>
      </c>
      <c r="C1881" t="str">
        <f>IF(NOT(ISBLANK(A1881)),VLOOKUP(A1881,'BBT3'!A:F,3,0),"")</f>
        <v/>
      </c>
      <c r="D1881" s="6" t="str">
        <f>IF(NOT(ISBLANK(A1881)),VLOOKUP(A1881,'BBT3'!A:F,4,1),"")</f>
        <v/>
      </c>
      <c r="E1881" t="str">
        <f>IF(NOT(ISBLANK(A1881)),VLOOKUP(A1881,'BBT3'!A:F,5,0),"")</f>
        <v/>
      </c>
      <c r="F1881" t="str">
        <f>IF(NOT(ISBLANK(A1881)),VLOOKUP(A1881,'BBT3'!A:F,6,0),"")</f>
        <v/>
      </c>
      <c r="G1881" t="str">
        <f>IF(NOT(ISBLANK(A1881)),VLOOKUP(A1881,QW_Close!A:J,5,0),"")</f>
        <v/>
      </c>
      <c r="H1881" s="5" t="str" cm="1">
        <f t="array" ref="H1881">IF(NOT(ISBLANK(A1881)),((_xlfn.XLOOKUP(1,(_bbt3[[#All],[ID]]=A1881)*(_bbt3[[#All],[METRIC_NAME]]="YLD_YTM_ASK"),_bbt3[[#All],[METRIC_VALUE]])*0.5)+(_xlfn.XLOOKUP(1,(_bbt3[[#All],[ID]]=A1881)*(_bbt3[[#All],[METRIC_NAME]]="YLD_YTM_BID"),_bbt3[[#All],[METRIC_VALUE]])*0.5))/100,"")</f>
        <v/>
      </c>
      <c r="I1881">
        <f>IF(ISNA(VLOOKUP(A1881,QW_CloseDL!A:E,5,0)),0,VLOOKUP(A1881,QW_CloseDL!A:E,5,0))</f>
        <v>0</v>
      </c>
      <c r="J1881" s="8" t="str">
        <f t="shared" si="119"/>
        <v/>
      </c>
    </row>
    <row r="1882" spans="2:10" x14ac:dyDescent="0.35">
      <c r="B1882" t="str">
        <f>IF(NOT(ISBLANK(A1882)),VLOOKUP(A1882,'BBT3'!A:F,2,0),"")</f>
        <v/>
      </c>
      <c r="C1882" t="str">
        <f>IF(NOT(ISBLANK(A1882)),VLOOKUP(A1882,'BBT3'!A:F,3,0),"")</f>
        <v/>
      </c>
      <c r="D1882" s="6" t="str">
        <f>IF(NOT(ISBLANK(A1882)),VLOOKUP(A1882,'BBT3'!A:F,4,1),"")</f>
        <v/>
      </c>
      <c r="E1882" t="str">
        <f>IF(NOT(ISBLANK(A1882)),VLOOKUP(A1882,'BBT3'!A:F,5,0),"")</f>
        <v/>
      </c>
      <c r="F1882" t="str">
        <f>IF(NOT(ISBLANK(A1882)),VLOOKUP(A1882,'BBT3'!A:F,6,0),"")</f>
        <v/>
      </c>
      <c r="G1882" t="str">
        <f>IF(NOT(ISBLANK(A1882)),VLOOKUP(A1882,QW_Close!A:J,5,0),"")</f>
        <v/>
      </c>
      <c r="H1882" s="5" t="str" cm="1">
        <f t="array" ref="H1882">IF(NOT(ISBLANK(A1882)),((_xlfn.XLOOKUP(1,(_bbt3[[#All],[ID]]=A1882)*(_bbt3[[#All],[METRIC_NAME]]="YLD_YTM_ASK"),_bbt3[[#All],[METRIC_VALUE]])*0.5)+(_xlfn.XLOOKUP(1,(_bbt3[[#All],[ID]]=A1882)*(_bbt3[[#All],[METRIC_NAME]]="YLD_YTM_BID"),_bbt3[[#All],[METRIC_VALUE]])*0.5))/100,"")</f>
        <v/>
      </c>
      <c r="I1882">
        <f>IF(ISNA(VLOOKUP(A1882,QW_CloseDL!A:E,5,0)),0,VLOOKUP(A1882,QW_CloseDL!A:E,5,0))</f>
        <v>0</v>
      </c>
      <c r="J1882" s="8" t="str">
        <f t="shared" si="119"/>
        <v/>
      </c>
    </row>
    <row r="1883" spans="2:10" x14ac:dyDescent="0.35">
      <c r="B1883" t="str">
        <f>IF(NOT(ISBLANK(A1883)),VLOOKUP(A1883,'BBT3'!A:F,2,0),"")</f>
        <v/>
      </c>
      <c r="C1883" t="str">
        <f>IF(NOT(ISBLANK(A1883)),VLOOKUP(A1883,'BBT3'!A:F,3,0),"")</f>
        <v/>
      </c>
      <c r="D1883" s="6" t="str">
        <f>IF(NOT(ISBLANK(A1883)),VLOOKUP(A1883,'BBT3'!A:F,4,1),"")</f>
        <v/>
      </c>
      <c r="E1883" t="str">
        <f>IF(NOT(ISBLANK(A1883)),VLOOKUP(A1883,'BBT3'!A:F,5,0),"")</f>
        <v/>
      </c>
      <c r="F1883" t="str">
        <f>IF(NOT(ISBLANK(A1883)),VLOOKUP(A1883,'BBT3'!A:F,6,0),"")</f>
        <v/>
      </c>
      <c r="G1883" t="str">
        <f>IF(NOT(ISBLANK(A1883)),VLOOKUP(A1883,QW_Close!A:J,5,0),"")</f>
        <v/>
      </c>
      <c r="H1883" s="5" t="str" cm="1">
        <f t="array" ref="H1883">IF(NOT(ISBLANK(A1883)),((_xlfn.XLOOKUP(1,(_bbt3[[#All],[ID]]=A1883)*(_bbt3[[#All],[METRIC_NAME]]="YLD_YTM_ASK"),_bbt3[[#All],[METRIC_VALUE]])*0.5)+(_xlfn.XLOOKUP(1,(_bbt3[[#All],[ID]]=A1883)*(_bbt3[[#All],[METRIC_NAME]]="YLD_YTM_BID"),_bbt3[[#All],[METRIC_VALUE]])*0.5))/100,"")</f>
        <v/>
      </c>
      <c r="I1883">
        <f>IF(ISNA(VLOOKUP(A1883,QW_CloseDL!A:E,5,0)),0,VLOOKUP(A1883,QW_CloseDL!A:E,5,0))</f>
        <v>0</v>
      </c>
      <c r="J1883" s="8" t="str">
        <f t="shared" si="119"/>
        <v/>
      </c>
    </row>
    <row r="1884" spans="2:10" x14ac:dyDescent="0.35">
      <c r="B1884" t="str">
        <f>IF(NOT(ISBLANK(A1884)),VLOOKUP(A1884,'BBT3'!A:F,2,0),"")</f>
        <v/>
      </c>
      <c r="C1884" t="str">
        <f>IF(NOT(ISBLANK(A1884)),VLOOKUP(A1884,'BBT3'!A:F,3,0),"")</f>
        <v/>
      </c>
      <c r="D1884" s="6" t="str">
        <f>IF(NOT(ISBLANK(A1884)),VLOOKUP(A1884,'BBT3'!A:F,4,1),"")</f>
        <v/>
      </c>
      <c r="E1884" t="str">
        <f>IF(NOT(ISBLANK(A1884)),VLOOKUP(A1884,'BBT3'!A:F,5,0),"")</f>
        <v/>
      </c>
      <c r="F1884" t="str">
        <f>IF(NOT(ISBLANK(A1884)),VLOOKUP(A1884,'BBT3'!A:F,6,0),"")</f>
        <v/>
      </c>
      <c r="G1884" t="str">
        <f>IF(NOT(ISBLANK(A1884)),VLOOKUP(A1884,QW_Close!A:J,5,0),"")</f>
        <v/>
      </c>
      <c r="H1884" s="5" t="str" cm="1">
        <f t="array" ref="H1884">IF(NOT(ISBLANK(A1884)),((_xlfn.XLOOKUP(1,(_bbt3[[#All],[ID]]=A1884)*(_bbt3[[#All],[METRIC_NAME]]="YLD_YTM_ASK"),_bbt3[[#All],[METRIC_VALUE]])*0.5)+(_xlfn.XLOOKUP(1,(_bbt3[[#All],[ID]]=A1884)*(_bbt3[[#All],[METRIC_NAME]]="YLD_YTM_BID"),_bbt3[[#All],[METRIC_VALUE]])*0.5))/100,"")</f>
        <v/>
      </c>
      <c r="I1884">
        <f>IF(ISNA(VLOOKUP(A1884,QW_CloseDL!A:E,5,0)),0,VLOOKUP(A1884,QW_CloseDL!A:E,5,0))</f>
        <v>0</v>
      </c>
      <c r="J1884" s="8" t="str">
        <f t="shared" si="119"/>
        <v/>
      </c>
    </row>
    <row r="1885" spans="2:10" x14ac:dyDescent="0.35">
      <c r="B1885" t="str">
        <f>IF(NOT(ISBLANK(A1885)),VLOOKUP(A1885,'BBT3'!A:F,2,0),"")</f>
        <v/>
      </c>
      <c r="C1885" t="str">
        <f>IF(NOT(ISBLANK(A1885)),VLOOKUP(A1885,'BBT3'!A:F,3,0),"")</f>
        <v/>
      </c>
      <c r="D1885" s="6" t="str">
        <f>IF(NOT(ISBLANK(A1885)),VLOOKUP(A1885,'BBT3'!A:F,4,1),"")</f>
        <v/>
      </c>
      <c r="E1885" t="str">
        <f>IF(NOT(ISBLANK(A1885)),VLOOKUP(A1885,'BBT3'!A:F,5,0),"")</f>
        <v/>
      </c>
      <c r="F1885" t="str">
        <f>IF(NOT(ISBLANK(A1885)),VLOOKUP(A1885,'BBT3'!A:F,6,0),"")</f>
        <v/>
      </c>
      <c r="G1885" t="str">
        <f>IF(NOT(ISBLANK(A1885)),VLOOKUP(A1885,QW_Close!A:J,5,0),"")</f>
        <v/>
      </c>
      <c r="H1885" s="5" t="str" cm="1">
        <f t="array" ref="H1885">IF(NOT(ISBLANK(A1885)),((_xlfn.XLOOKUP(1,(_bbt3[[#All],[ID]]=A1885)*(_bbt3[[#All],[METRIC_NAME]]="YLD_YTM_ASK"),_bbt3[[#All],[METRIC_VALUE]])*0.5)+(_xlfn.XLOOKUP(1,(_bbt3[[#All],[ID]]=A1885)*(_bbt3[[#All],[METRIC_NAME]]="YLD_YTM_BID"),_bbt3[[#All],[METRIC_VALUE]])*0.5))/100,"")</f>
        <v/>
      </c>
      <c r="I1885">
        <f>IF(ISNA(VLOOKUP(A1885,QW_CloseDL!A:E,5,0)),0,VLOOKUP(A1885,QW_CloseDL!A:E,5,0))</f>
        <v>0</v>
      </c>
      <c r="J1885" s="8" t="str">
        <f t="shared" si="119"/>
        <v/>
      </c>
    </row>
    <row r="1886" spans="2:10" x14ac:dyDescent="0.35">
      <c r="B1886" t="str">
        <f>IF(NOT(ISBLANK(A1886)),VLOOKUP(A1886,'BBT3'!A:F,2,0),"")</f>
        <v/>
      </c>
      <c r="C1886" t="str">
        <f>IF(NOT(ISBLANK(A1886)),VLOOKUP(A1886,'BBT3'!A:F,3,0),"")</f>
        <v/>
      </c>
      <c r="D1886" s="6" t="str">
        <f>IF(NOT(ISBLANK(A1886)),VLOOKUP(A1886,'BBT3'!A:F,4,1),"")</f>
        <v/>
      </c>
      <c r="E1886" t="str">
        <f>IF(NOT(ISBLANK(A1886)),VLOOKUP(A1886,'BBT3'!A:F,5,0),"")</f>
        <v/>
      </c>
      <c r="F1886" t="str">
        <f>IF(NOT(ISBLANK(A1886)),VLOOKUP(A1886,'BBT3'!A:F,6,0),"")</f>
        <v/>
      </c>
      <c r="G1886" t="str">
        <f>IF(NOT(ISBLANK(A1886)),VLOOKUP(A1886,QW_Close!A:J,5,0),"")</f>
        <v/>
      </c>
      <c r="H1886" s="5" t="str" cm="1">
        <f t="array" ref="H1886">IF(NOT(ISBLANK(A1886)),((_xlfn.XLOOKUP(1,(_bbt3[[#All],[ID]]=A1886)*(_bbt3[[#All],[METRIC_NAME]]="YLD_YTM_ASK"),_bbt3[[#All],[METRIC_VALUE]])*0.5)+(_xlfn.XLOOKUP(1,(_bbt3[[#All],[ID]]=A1886)*(_bbt3[[#All],[METRIC_NAME]]="YLD_YTM_BID"),_bbt3[[#All],[METRIC_VALUE]])*0.5))/100,"")</f>
        <v/>
      </c>
      <c r="I1886">
        <f>IF(ISNA(VLOOKUP(A1886,QW_CloseDL!A:E,5,0)),0,VLOOKUP(A1886,QW_CloseDL!A:E,5,0))</f>
        <v>0</v>
      </c>
      <c r="J1886" s="8" t="str">
        <f t="shared" si="119"/>
        <v/>
      </c>
    </row>
    <row r="1887" spans="2:10" x14ac:dyDescent="0.35">
      <c r="B1887" t="str">
        <f>IF(NOT(ISBLANK(A1887)),VLOOKUP(A1887,'BBT3'!A:F,2,0),"")</f>
        <v/>
      </c>
      <c r="C1887" t="str">
        <f>IF(NOT(ISBLANK(A1887)),VLOOKUP(A1887,'BBT3'!A:F,3,0),"")</f>
        <v/>
      </c>
      <c r="D1887" s="6" t="str">
        <f>IF(NOT(ISBLANK(A1887)),VLOOKUP(A1887,'BBT3'!A:F,4,1),"")</f>
        <v/>
      </c>
      <c r="E1887" t="str">
        <f>IF(NOT(ISBLANK(A1887)),VLOOKUP(A1887,'BBT3'!A:F,5,0),"")</f>
        <v/>
      </c>
      <c r="F1887" t="str">
        <f>IF(NOT(ISBLANK(A1887)),VLOOKUP(A1887,'BBT3'!A:F,6,0),"")</f>
        <v/>
      </c>
      <c r="G1887" t="str">
        <f>IF(NOT(ISBLANK(A1887)),VLOOKUP(A1887,QW_Close!A:J,5,0),"")</f>
        <v/>
      </c>
      <c r="H1887" s="5" t="str" cm="1">
        <f t="array" ref="H1887">IF(NOT(ISBLANK(A1887)),((_xlfn.XLOOKUP(1,(_bbt3[[#All],[ID]]=A1887)*(_bbt3[[#All],[METRIC_NAME]]="YLD_YTM_ASK"),_bbt3[[#All],[METRIC_VALUE]])*0.5)+(_xlfn.XLOOKUP(1,(_bbt3[[#All],[ID]]=A1887)*(_bbt3[[#All],[METRIC_NAME]]="YLD_YTM_BID"),_bbt3[[#All],[METRIC_VALUE]])*0.5))/100,"")</f>
        <v/>
      </c>
      <c r="I1887">
        <f>IF(ISNA(VLOOKUP(A1887,QW_CloseDL!A:E,5,0)),0,VLOOKUP(A1887,QW_CloseDL!A:E,5,0))</f>
        <v>0</v>
      </c>
      <c r="J1887" s="8" t="str">
        <f t="shared" si="119"/>
        <v/>
      </c>
    </row>
    <row r="1888" spans="2:10" x14ac:dyDescent="0.35">
      <c r="B1888" t="str">
        <f>IF(NOT(ISBLANK(A1888)),VLOOKUP(A1888,'BBT3'!A:F,2,0),"")</f>
        <v/>
      </c>
      <c r="C1888" t="str">
        <f>IF(NOT(ISBLANK(A1888)),VLOOKUP(A1888,'BBT3'!A:F,3,0),"")</f>
        <v/>
      </c>
      <c r="D1888" s="6" t="str">
        <f>IF(NOT(ISBLANK(A1888)),VLOOKUP(A1888,'BBT3'!A:F,4,1),"")</f>
        <v/>
      </c>
      <c r="E1888" t="str">
        <f>IF(NOT(ISBLANK(A1888)),VLOOKUP(A1888,'BBT3'!A:F,5,0),"")</f>
        <v/>
      </c>
      <c r="F1888" t="str">
        <f>IF(NOT(ISBLANK(A1888)),VLOOKUP(A1888,'BBT3'!A:F,6,0),"")</f>
        <v/>
      </c>
      <c r="G1888" t="str">
        <f>IF(NOT(ISBLANK(A1888)),VLOOKUP(A1888,QW_Close!A:J,5,0),"")</f>
        <v/>
      </c>
      <c r="H1888" s="5" t="str" cm="1">
        <f t="array" ref="H1888">IF(NOT(ISBLANK(A1888)),((_xlfn.XLOOKUP(1,(_bbt3[[#All],[ID]]=A1888)*(_bbt3[[#All],[METRIC_NAME]]="YLD_YTM_ASK"),_bbt3[[#All],[METRIC_VALUE]])*0.5)+(_xlfn.XLOOKUP(1,(_bbt3[[#All],[ID]]=A1888)*(_bbt3[[#All],[METRIC_NAME]]="YLD_YTM_BID"),_bbt3[[#All],[METRIC_VALUE]])*0.5))/100,"")</f>
        <v/>
      </c>
      <c r="I1888">
        <f>IF(ISNA(VLOOKUP(A1888,QW_CloseDL!A:E,5,0)),0,VLOOKUP(A1888,QW_CloseDL!A:E,5,0))</f>
        <v>0</v>
      </c>
      <c r="J1888" s="8" t="str">
        <f t="shared" si="119"/>
        <v/>
      </c>
    </row>
    <row r="1889" spans="2:10" x14ac:dyDescent="0.35">
      <c r="B1889" t="str">
        <f>IF(NOT(ISBLANK(A1889)),VLOOKUP(A1889,'BBT3'!A:F,2,0),"")</f>
        <v/>
      </c>
      <c r="C1889" t="str">
        <f>IF(NOT(ISBLANK(A1889)),VLOOKUP(A1889,'BBT3'!A:F,3,0),"")</f>
        <v/>
      </c>
      <c r="D1889" s="6" t="str">
        <f>IF(NOT(ISBLANK(A1889)),VLOOKUP(A1889,'BBT3'!A:F,4,1),"")</f>
        <v/>
      </c>
      <c r="E1889" t="str">
        <f>IF(NOT(ISBLANK(A1889)),VLOOKUP(A1889,'BBT3'!A:F,5,0),"")</f>
        <v/>
      </c>
      <c r="F1889" t="str">
        <f>IF(NOT(ISBLANK(A1889)),VLOOKUP(A1889,'BBT3'!A:F,6,0),"")</f>
        <v/>
      </c>
      <c r="G1889" t="str">
        <f>IF(NOT(ISBLANK(A1889)),VLOOKUP(A1889,QW_Close!A:J,5,0),"")</f>
        <v/>
      </c>
      <c r="H1889" s="5" t="str" cm="1">
        <f t="array" ref="H1889">IF(NOT(ISBLANK(A1889)),((_xlfn.XLOOKUP(1,(_bbt3[[#All],[ID]]=A1889)*(_bbt3[[#All],[METRIC_NAME]]="YLD_YTM_ASK"),_bbt3[[#All],[METRIC_VALUE]])*0.5)+(_xlfn.XLOOKUP(1,(_bbt3[[#All],[ID]]=A1889)*(_bbt3[[#All],[METRIC_NAME]]="YLD_YTM_BID"),_bbt3[[#All],[METRIC_VALUE]])*0.5))/100,"")</f>
        <v/>
      </c>
      <c r="I1889">
        <f>IF(ISNA(VLOOKUP(A1889,QW_CloseDL!A:E,5,0)),0,VLOOKUP(A1889,QW_CloseDL!A:E,5,0))</f>
        <v>0</v>
      </c>
      <c r="J1889" s="8" t="str">
        <f t="shared" si="119"/>
        <v/>
      </c>
    </row>
    <row r="1890" spans="2:10" x14ac:dyDescent="0.35">
      <c r="B1890" t="str">
        <f>IF(NOT(ISBLANK(A1890)),VLOOKUP(A1890,'BBT3'!A:F,2,0),"")</f>
        <v/>
      </c>
      <c r="C1890" t="str">
        <f>IF(NOT(ISBLANK(A1890)),VLOOKUP(A1890,'BBT3'!A:F,3,0),"")</f>
        <v/>
      </c>
      <c r="D1890" s="6" t="str">
        <f>IF(NOT(ISBLANK(A1890)),VLOOKUP(A1890,'BBT3'!A:F,4,1),"")</f>
        <v/>
      </c>
      <c r="E1890" t="str">
        <f>IF(NOT(ISBLANK(A1890)),VLOOKUP(A1890,'BBT3'!A:F,5,0),"")</f>
        <v/>
      </c>
      <c r="F1890" t="str">
        <f>IF(NOT(ISBLANK(A1890)),VLOOKUP(A1890,'BBT3'!A:F,6,0),"")</f>
        <v/>
      </c>
      <c r="G1890" t="str">
        <f>IF(NOT(ISBLANK(A1890)),VLOOKUP(A1890,QW_Close!A:J,5,0),"")</f>
        <v/>
      </c>
      <c r="H1890" s="5" t="str" cm="1">
        <f t="array" ref="H1890">IF(NOT(ISBLANK(A1890)),((_xlfn.XLOOKUP(1,(_bbt3[[#All],[ID]]=A1890)*(_bbt3[[#All],[METRIC_NAME]]="YLD_YTM_ASK"),_bbt3[[#All],[METRIC_VALUE]])*0.5)+(_xlfn.XLOOKUP(1,(_bbt3[[#All],[ID]]=A1890)*(_bbt3[[#All],[METRIC_NAME]]="YLD_YTM_BID"),_bbt3[[#All],[METRIC_VALUE]])*0.5))/100,"")</f>
        <v/>
      </c>
      <c r="I1890">
        <f>IF(ISNA(VLOOKUP(A1890,QW_CloseDL!A:E,5,0)),0,VLOOKUP(A1890,QW_CloseDL!A:E,5,0))</f>
        <v>0</v>
      </c>
      <c r="J1890" s="8" t="str">
        <f t="shared" si="119"/>
        <v/>
      </c>
    </row>
    <row r="1891" spans="2:10" x14ac:dyDescent="0.35">
      <c r="B1891" t="str">
        <f>IF(NOT(ISBLANK(A1891)),VLOOKUP(A1891,'BBT3'!A:F,2,0),"")</f>
        <v/>
      </c>
      <c r="C1891" t="str">
        <f>IF(NOT(ISBLANK(A1891)),VLOOKUP(A1891,'BBT3'!A:F,3,0),"")</f>
        <v/>
      </c>
      <c r="D1891" s="6" t="str">
        <f>IF(NOT(ISBLANK(A1891)),VLOOKUP(A1891,'BBT3'!A:F,4,1),"")</f>
        <v/>
      </c>
      <c r="E1891" t="str">
        <f>IF(NOT(ISBLANK(A1891)),VLOOKUP(A1891,'BBT3'!A:F,5,0),"")</f>
        <v/>
      </c>
      <c r="F1891" t="str">
        <f>IF(NOT(ISBLANK(A1891)),VLOOKUP(A1891,'BBT3'!A:F,6,0),"")</f>
        <v/>
      </c>
      <c r="G1891" t="str">
        <f>IF(NOT(ISBLANK(A1891)),VLOOKUP(A1891,QW_Close!A:J,5,0),"")</f>
        <v/>
      </c>
      <c r="H1891" s="5" t="str" cm="1">
        <f t="array" ref="H1891">IF(NOT(ISBLANK(A1891)),((_xlfn.XLOOKUP(1,(_bbt3[[#All],[ID]]=A1891)*(_bbt3[[#All],[METRIC_NAME]]="YLD_YTM_ASK"),_bbt3[[#All],[METRIC_VALUE]])*0.5)+(_xlfn.XLOOKUP(1,(_bbt3[[#All],[ID]]=A1891)*(_bbt3[[#All],[METRIC_NAME]]="YLD_YTM_BID"),_bbt3[[#All],[METRIC_VALUE]])*0.5))/100,"")</f>
        <v/>
      </c>
      <c r="I1891">
        <f>IF(ISNA(VLOOKUP(A1891,QW_CloseDL!A:E,5,0)),0,VLOOKUP(A1891,QW_CloseDL!A:E,5,0))</f>
        <v>0</v>
      </c>
      <c r="J1891" s="8" t="str">
        <f t="shared" si="119"/>
        <v/>
      </c>
    </row>
    <row r="1892" spans="2:10" x14ac:dyDescent="0.35">
      <c r="B1892" t="str">
        <f>IF(NOT(ISBLANK(A1892)),VLOOKUP(A1892,'BBT3'!A:F,2,0),"")</f>
        <v/>
      </c>
      <c r="C1892" t="str">
        <f>IF(NOT(ISBLANK(A1892)),VLOOKUP(A1892,'BBT3'!A:F,3,0),"")</f>
        <v/>
      </c>
      <c r="D1892" s="6" t="str">
        <f>IF(NOT(ISBLANK(A1892)),VLOOKUP(A1892,'BBT3'!A:F,4,1),"")</f>
        <v/>
      </c>
      <c r="E1892" t="str">
        <f>IF(NOT(ISBLANK(A1892)),VLOOKUP(A1892,'BBT3'!A:F,5,0),"")</f>
        <v/>
      </c>
      <c r="F1892" t="str">
        <f>IF(NOT(ISBLANK(A1892)),VLOOKUP(A1892,'BBT3'!A:F,6,0),"")</f>
        <v/>
      </c>
      <c r="G1892" t="str">
        <f>IF(NOT(ISBLANK(A1892)),VLOOKUP(A1892,QW_Close!A:J,5,0),"")</f>
        <v/>
      </c>
      <c r="H1892" s="5" t="str" cm="1">
        <f t="array" ref="H1892">IF(NOT(ISBLANK(A1892)),((_xlfn.XLOOKUP(1,(_bbt3[[#All],[ID]]=A1892)*(_bbt3[[#All],[METRIC_NAME]]="YLD_YTM_ASK"),_bbt3[[#All],[METRIC_VALUE]])*0.5)+(_xlfn.XLOOKUP(1,(_bbt3[[#All],[ID]]=A1892)*(_bbt3[[#All],[METRIC_NAME]]="YLD_YTM_BID"),_bbt3[[#All],[METRIC_VALUE]])*0.5))/100,"")</f>
        <v/>
      </c>
      <c r="I1892">
        <f>IF(ISNA(VLOOKUP(A1892,QW_CloseDL!A:E,5,0)),0,VLOOKUP(A1892,QW_CloseDL!A:E,5,0))</f>
        <v>0</v>
      </c>
      <c r="J1892" s="8" t="str">
        <f t="shared" si="119"/>
        <v/>
      </c>
    </row>
    <row r="1893" spans="2:10" x14ac:dyDescent="0.35">
      <c r="B1893" t="str">
        <f>IF(NOT(ISBLANK(A1893)),VLOOKUP(A1893,'BBT3'!A:F,2,0),"")</f>
        <v/>
      </c>
      <c r="C1893" t="str">
        <f>IF(NOT(ISBLANK(A1893)),VLOOKUP(A1893,'BBT3'!A:F,3,0),"")</f>
        <v/>
      </c>
      <c r="D1893" s="6" t="str">
        <f>IF(NOT(ISBLANK(A1893)),VLOOKUP(A1893,'BBT3'!A:F,4,1),"")</f>
        <v/>
      </c>
      <c r="E1893" t="str">
        <f>IF(NOT(ISBLANK(A1893)),VLOOKUP(A1893,'BBT3'!A:F,5,0),"")</f>
        <v/>
      </c>
      <c r="F1893" t="str">
        <f>IF(NOT(ISBLANK(A1893)),VLOOKUP(A1893,'BBT3'!A:F,6,0),"")</f>
        <v/>
      </c>
      <c r="G1893" t="str">
        <f>IF(NOT(ISBLANK(A1893)),VLOOKUP(A1893,QW_Close!A:J,5,0),"")</f>
        <v/>
      </c>
      <c r="H1893" s="5" t="str" cm="1">
        <f t="array" ref="H1893">IF(NOT(ISBLANK(A1893)),((_xlfn.XLOOKUP(1,(_bbt3[[#All],[ID]]=A1893)*(_bbt3[[#All],[METRIC_NAME]]="YLD_YTM_ASK"),_bbt3[[#All],[METRIC_VALUE]])*0.5)+(_xlfn.XLOOKUP(1,(_bbt3[[#All],[ID]]=A1893)*(_bbt3[[#All],[METRIC_NAME]]="YLD_YTM_BID"),_bbt3[[#All],[METRIC_VALUE]])*0.5))/100,"")</f>
        <v/>
      </c>
      <c r="I1893">
        <f>IF(ISNA(VLOOKUP(A1893,QW_CloseDL!A:E,5,0)),0,VLOOKUP(A1893,QW_CloseDL!A:E,5,0))</f>
        <v>0</v>
      </c>
      <c r="J1893" s="8" t="str">
        <f t="shared" si="119"/>
        <v/>
      </c>
    </row>
    <row r="1894" spans="2:10" x14ac:dyDescent="0.35">
      <c r="B1894" t="str">
        <f>IF(NOT(ISBLANK(A1894)),VLOOKUP(A1894,'BBT3'!A:F,2,0),"")</f>
        <v/>
      </c>
      <c r="C1894" t="str">
        <f>IF(NOT(ISBLANK(A1894)),VLOOKUP(A1894,'BBT3'!A:F,3,0),"")</f>
        <v/>
      </c>
      <c r="D1894" s="6" t="str">
        <f>IF(NOT(ISBLANK(A1894)),VLOOKUP(A1894,'BBT3'!A:F,4,1),"")</f>
        <v/>
      </c>
      <c r="E1894" t="str">
        <f>IF(NOT(ISBLANK(A1894)),VLOOKUP(A1894,'BBT3'!A:F,5,0),"")</f>
        <v/>
      </c>
      <c r="F1894" t="str">
        <f>IF(NOT(ISBLANK(A1894)),VLOOKUP(A1894,'BBT3'!A:F,6,0),"")</f>
        <v/>
      </c>
      <c r="G1894" t="str">
        <f>IF(NOT(ISBLANK(A1894)),VLOOKUP(A1894,QW_Close!A:J,5,0),"")</f>
        <v/>
      </c>
      <c r="H1894" s="5" t="str" cm="1">
        <f t="array" ref="H1894">IF(NOT(ISBLANK(A1894)),((_xlfn.XLOOKUP(1,(_bbt3[[#All],[ID]]=A1894)*(_bbt3[[#All],[METRIC_NAME]]="YLD_YTM_ASK"),_bbt3[[#All],[METRIC_VALUE]])*0.5)+(_xlfn.XLOOKUP(1,(_bbt3[[#All],[ID]]=A1894)*(_bbt3[[#All],[METRIC_NAME]]="YLD_YTM_BID"),_bbt3[[#All],[METRIC_VALUE]])*0.5))/100,"")</f>
        <v/>
      </c>
      <c r="I1894">
        <f>IF(ISNA(VLOOKUP(A1894,QW_CloseDL!A:E,5,0)),0,VLOOKUP(A1894,QW_CloseDL!A:E,5,0))</f>
        <v>0</v>
      </c>
      <c r="J1894" s="8" t="str">
        <f t="shared" si="119"/>
        <v/>
      </c>
    </row>
    <row r="1895" spans="2:10" x14ac:dyDescent="0.35">
      <c r="B1895" t="str">
        <f>IF(NOT(ISBLANK(A1895)),VLOOKUP(A1895,'BBT3'!A:F,2,0),"")</f>
        <v/>
      </c>
      <c r="C1895" t="str">
        <f>IF(NOT(ISBLANK(A1895)),VLOOKUP(A1895,'BBT3'!A:F,3,0),"")</f>
        <v/>
      </c>
      <c r="D1895" s="6" t="str">
        <f>IF(NOT(ISBLANK(A1895)),VLOOKUP(A1895,'BBT3'!A:F,4,1),"")</f>
        <v/>
      </c>
      <c r="E1895" t="str">
        <f>IF(NOT(ISBLANK(A1895)),VLOOKUP(A1895,'BBT3'!A:F,5,0),"")</f>
        <v/>
      </c>
      <c r="F1895" t="str">
        <f>IF(NOT(ISBLANK(A1895)),VLOOKUP(A1895,'BBT3'!A:F,6,0),"")</f>
        <v/>
      </c>
      <c r="G1895" t="str">
        <f>IF(NOT(ISBLANK(A1895)),VLOOKUP(A1895,QW_Close!A:J,5,0),"")</f>
        <v/>
      </c>
      <c r="H1895" s="5" t="str" cm="1">
        <f t="array" ref="H1895">IF(NOT(ISBLANK(A1895)),((_xlfn.XLOOKUP(1,(_bbt3[[#All],[ID]]=A1895)*(_bbt3[[#All],[METRIC_NAME]]="YLD_YTM_ASK"),_bbt3[[#All],[METRIC_VALUE]])*0.5)+(_xlfn.XLOOKUP(1,(_bbt3[[#All],[ID]]=A1895)*(_bbt3[[#All],[METRIC_NAME]]="YLD_YTM_BID"),_bbt3[[#All],[METRIC_VALUE]])*0.5))/100,"")</f>
        <v/>
      </c>
      <c r="I1895">
        <f>IF(ISNA(VLOOKUP(A1895,QW_CloseDL!A:E,5,0)),0,VLOOKUP(A1895,QW_CloseDL!A:E,5,0))</f>
        <v>0</v>
      </c>
      <c r="J1895" s="8" t="str">
        <f t="shared" si="119"/>
        <v/>
      </c>
    </row>
    <row r="1896" spans="2:10" x14ac:dyDescent="0.35">
      <c r="B1896" t="str">
        <f>IF(NOT(ISBLANK(A1896)),VLOOKUP(A1896,'BBT3'!A:F,2,0),"")</f>
        <v/>
      </c>
      <c r="C1896" t="str">
        <f>IF(NOT(ISBLANK(A1896)),VLOOKUP(A1896,'BBT3'!A:F,3,0),"")</f>
        <v/>
      </c>
      <c r="D1896" s="6" t="str">
        <f>IF(NOT(ISBLANK(A1896)),VLOOKUP(A1896,'BBT3'!A:F,4,1),"")</f>
        <v/>
      </c>
      <c r="E1896" t="str">
        <f>IF(NOT(ISBLANK(A1896)),VLOOKUP(A1896,'BBT3'!A:F,5,0),"")</f>
        <v/>
      </c>
      <c r="F1896" t="str">
        <f>IF(NOT(ISBLANK(A1896)),VLOOKUP(A1896,'BBT3'!A:F,6,0),"")</f>
        <v/>
      </c>
      <c r="G1896" t="str">
        <f>IF(NOT(ISBLANK(A1896)),VLOOKUP(A1896,QW_Close!A:J,5,0),"")</f>
        <v/>
      </c>
      <c r="H1896" s="5" t="str" cm="1">
        <f t="array" ref="H1896">IF(NOT(ISBLANK(A1896)),((_xlfn.XLOOKUP(1,(_bbt3[[#All],[ID]]=A1896)*(_bbt3[[#All],[METRIC_NAME]]="YLD_YTM_ASK"),_bbt3[[#All],[METRIC_VALUE]])*0.5)+(_xlfn.XLOOKUP(1,(_bbt3[[#All],[ID]]=A1896)*(_bbt3[[#All],[METRIC_NAME]]="YLD_YTM_BID"),_bbt3[[#All],[METRIC_VALUE]])*0.5))/100,"")</f>
        <v/>
      </c>
      <c r="I1896">
        <f>IF(ISNA(VLOOKUP(A1896,QW_CloseDL!A:E,5,0)),0,VLOOKUP(A1896,QW_CloseDL!A:E,5,0))</f>
        <v>0</v>
      </c>
      <c r="J1896" s="8" t="str">
        <f t="shared" si="119"/>
        <v/>
      </c>
    </row>
    <row r="1897" spans="2:10" x14ac:dyDescent="0.35">
      <c r="B1897" t="str">
        <f>IF(NOT(ISBLANK(A1897)),VLOOKUP(A1897,'BBT3'!A:F,2,0),"")</f>
        <v/>
      </c>
      <c r="C1897" t="str">
        <f>IF(NOT(ISBLANK(A1897)),VLOOKUP(A1897,'BBT3'!A:F,3,0),"")</f>
        <v/>
      </c>
      <c r="D1897" s="6" t="str">
        <f>IF(NOT(ISBLANK(A1897)),VLOOKUP(A1897,'BBT3'!A:F,4,1),"")</f>
        <v/>
      </c>
      <c r="E1897" t="str">
        <f>IF(NOT(ISBLANK(A1897)),VLOOKUP(A1897,'BBT3'!A:F,5,0),"")</f>
        <v/>
      </c>
      <c r="F1897" t="str">
        <f>IF(NOT(ISBLANK(A1897)),VLOOKUP(A1897,'BBT3'!A:F,6,0),"")</f>
        <v/>
      </c>
      <c r="G1897" t="str">
        <f>IF(NOT(ISBLANK(A1897)),VLOOKUP(A1897,QW_Close!A:J,5,0),"")</f>
        <v/>
      </c>
      <c r="H1897" s="5" t="str" cm="1">
        <f t="array" ref="H1897">IF(NOT(ISBLANK(A1897)),((_xlfn.XLOOKUP(1,(_bbt3[[#All],[ID]]=A1897)*(_bbt3[[#All],[METRIC_NAME]]="YLD_YTM_ASK"),_bbt3[[#All],[METRIC_VALUE]])*0.5)+(_xlfn.XLOOKUP(1,(_bbt3[[#All],[ID]]=A1897)*(_bbt3[[#All],[METRIC_NAME]]="YLD_YTM_BID"),_bbt3[[#All],[METRIC_VALUE]])*0.5))/100,"")</f>
        <v/>
      </c>
      <c r="I1897">
        <f>IF(ISNA(VLOOKUP(A1897,QW_CloseDL!A:E,5,0)),0,VLOOKUP(A1897,QW_CloseDL!A:E,5,0))</f>
        <v>0</v>
      </c>
      <c r="J1897" s="8" t="str">
        <f t="shared" si="119"/>
        <v/>
      </c>
    </row>
    <row r="1898" spans="2:10" x14ac:dyDescent="0.35">
      <c r="B1898" t="str">
        <f>IF(NOT(ISBLANK(A1898)),VLOOKUP(A1898,'BBT3'!A:F,2,0),"")</f>
        <v/>
      </c>
      <c r="C1898" t="str">
        <f>IF(NOT(ISBLANK(A1898)),VLOOKUP(A1898,'BBT3'!A:F,3,0),"")</f>
        <v/>
      </c>
      <c r="D1898" s="6" t="str">
        <f>IF(NOT(ISBLANK(A1898)),VLOOKUP(A1898,'BBT3'!A:F,4,1),"")</f>
        <v/>
      </c>
      <c r="E1898" t="str">
        <f>IF(NOT(ISBLANK(A1898)),VLOOKUP(A1898,'BBT3'!A:F,5,0),"")</f>
        <v/>
      </c>
      <c r="F1898" t="str">
        <f>IF(NOT(ISBLANK(A1898)),VLOOKUP(A1898,'BBT3'!A:F,6,0),"")</f>
        <v/>
      </c>
      <c r="G1898" t="str">
        <f>IF(NOT(ISBLANK(A1898)),VLOOKUP(A1898,QW_Close!A:J,5,0),"")</f>
        <v/>
      </c>
      <c r="H1898" s="5" t="str" cm="1">
        <f t="array" ref="H1898">IF(NOT(ISBLANK(A1898)),((_xlfn.XLOOKUP(1,(_bbt3[[#All],[ID]]=A1898)*(_bbt3[[#All],[METRIC_NAME]]="YLD_YTM_ASK"),_bbt3[[#All],[METRIC_VALUE]])*0.5)+(_xlfn.XLOOKUP(1,(_bbt3[[#All],[ID]]=A1898)*(_bbt3[[#All],[METRIC_NAME]]="YLD_YTM_BID"),_bbt3[[#All],[METRIC_VALUE]])*0.5))/100,"")</f>
        <v/>
      </c>
      <c r="I1898">
        <f>IF(ISNA(VLOOKUP(A1898,QW_CloseDL!A:E,5,0)),0,VLOOKUP(A1898,QW_CloseDL!A:E,5,0))</f>
        <v>0</v>
      </c>
      <c r="J1898" s="8" t="str">
        <f t="shared" si="119"/>
        <v/>
      </c>
    </row>
    <row r="1899" spans="2:10" x14ac:dyDescent="0.35">
      <c r="B1899" t="str">
        <f>IF(NOT(ISBLANK(A1899)),VLOOKUP(A1899,'BBT3'!A:F,2,0),"")</f>
        <v/>
      </c>
      <c r="C1899" t="str">
        <f>IF(NOT(ISBLANK(A1899)),VLOOKUP(A1899,'BBT3'!A:F,3,0),"")</f>
        <v/>
      </c>
      <c r="D1899" s="6" t="str">
        <f>IF(NOT(ISBLANK(A1899)),VLOOKUP(A1899,'BBT3'!A:F,4,1),"")</f>
        <v/>
      </c>
      <c r="E1899" t="str">
        <f>IF(NOT(ISBLANK(A1899)),VLOOKUP(A1899,'BBT3'!A:F,5,0),"")</f>
        <v/>
      </c>
      <c r="F1899" t="str">
        <f>IF(NOT(ISBLANK(A1899)),VLOOKUP(A1899,'BBT3'!A:F,6,0),"")</f>
        <v/>
      </c>
      <c r="G1899" t="str">
        <f>IF(NOT(ISBLANK(A1899)),VLOOKUP(A1899,QW_Close!A:J,5,0),"")</f>
        <v/>
      </c>
      <c r="H1899" s="5" t="str" cm="1">
        <f t="array" ref="H1899">IF(NOT(ISBLANK(A1899)),((_xlfn.XLOOKUP(1,(_bbt3[[#All],[ID]]=A1899)*(_bbt3[[#All],[METRIC_NAME]]="YLD_YTM_ASK"),_bbt3[[#All],[METRIC_VALUE]])*0.5)+(_xlfn.XLOOKUP(1,(_bbt3[[#All],[ID]]=A1899)*(_bbt3[[#All],[METRIC_NAME]]="YLD_YTM_BID"),_bbt3[[#All],[METRIC_VALUE]])*0.5))/100,"")</f>
        <v/>
      </c>
      <c r="I1899">
        <f>IF(ISNA(VLOOKUP(A1899,QW_CloseDL!A:E,5,0)),0,VLOOKUP(A1899,QW_CloseDL!A:E,5,0))</f>
        <v>0</v>
      </c>
      <c r="J1899" s="8" t="str">
        <f t="shared" si="119"/>
        <v/>
      </c>
    </row>
    <row r="1900" spans="2:10" x14ac:dyDescent="0.35">
      <c r="B1900" t="str">
        <f>IF(NOT(ISBLANK(A1900)),VLOOKUP(A1900,'BBT3'!A:F,2,0),"")</f>
        <v/>
      </c>
      <c r="C1900" t="str">
        <f>IF(NOT(ISBLANK(A1900)),VLOOKUP(A1900,'BBT3'!A:F,3,0),"")</f>
        <v/>
      </c>
      <c r="D1900" s="6" t="str">
        <f>IF(NOT(ISBLANK(A1900)),VLOOKUP(A1900,'BBT3'!A:F,4,1),"")</f>
        <v/>
      </c>
      <c r="E1900" t="str">
        <f>IF(NOT(ISBLANK(A1900)),VLOOKUP(A1900,'BBT3'!A:F,5,0),"")</f>
        <v/>
      </c>
      <c r="F1900" t="str">
        <f>IF(NOT(ISBLANK(A1900)),VLOOKUP(A1900,'BBT3'!A:F,6,0),"")</f>
        <v/>
      </c>
      <c r="G1900" t="str">
        <f>IF(NOT(ISBLANK(A1900)),VLOOKUP(A1900,QW_Close!A:J,5,0),"")</f>
        <v/>
      </c>
      <c r="H1900" s="5" t="str" cm="1">
        <f t="array" ref="H1900">IF(NOT(ISBLANK(A1900)),((_xlfn.XLOOKUP(1,(_bbt3[[#All],[ID]]=A1900)*(_bbt3[[#All],[METRIC_NAME]]="YLD_YTM_ASK"),_bbt3[[#All],[METRIC_VALUE]])*0.5)+(_xlfn.XLOOKUP(1,(_bbt3[[#All],[ID]]=A1900)*(_bbt3[[#All],[METRIC_NAME]]="YLD_YTM_BID"),_bbt3[[#All],[METRIC_VALUE]])*0.5))/100,"")</f>
        <v/>
      </c>
      <c r="I1900">
        <f>IF(ISNA(VLOOKUP(A1900,QW_CloseDL!A:E,5,0)),0,VLOOKUP(A1900,QW_CloseDL!A:E,5,0))</f>
        <v>0</v>
      </c>
      <c r="J1900" s="8" t="str">
        <f t="shared" si="119"/>
        <v/>
      </c>
    </row>
    <row r="1901" spans="2:10" x14ac:dyDescent="0.35">
      <c r="B1901" t="str">
        <f>IF(NOT(ISBLANK(A1901)),VLOOKUP(A1901,'BBT3'!A:F,2,0),"")</f>
        <v/>
      </c>
      <c r="C1901" t="str">
        <f>IF(NOT(ISBLANK(A1901)),VLOOKUP(A1901,'BBT3'!A:F,3,0),"")</f>
        <v/>
      </c>
      <c r="D1901" s="6" t="str">
        <f>IF(NOT(ISBLANK(A1901)),VLOOKUP(A1901,'BBT3'!A:F,4,1),"")</f>
        <v/>
      </c>
      <c r="E1901" t="str">
        <f>IF(NOT(ISBLANK(A1901)),VLOOKUP(A1901,'BBT3'!A:F,5,0),"")</f>
        <v/>
      </c>
      <c r="F1901" t="str">
        <f>IF(NOT(ISBLANK(A1901)),VLOOKUP(A1901,'BBT3'!A:F,6,0),"")</f>
        <v/>
      </c>
      <c r="G1901" t="str">
        <f>IF(NOT(ISBLANK(A1901)),VLOOKUP(A1901,QW_Close!A:J,5,0),"")</f>
        <v/>
      </c>
      <c r="H1901" s="5" t="str" cm="1">
        <f t="array" ref="H1901">IF(NOT(ISBLANK(A1901)),((_xlfn.XLOOKUP(1,(_bbt3[[#All],[ID]]=A1901)*(_bbt3[[#All],[METRIC_NAME]]="YLD_YTM_ASK"),_bbt3[[#All],[METRIC_VALUE]])*0.5)+(_xlfn.XLOOKUP(1,(_bbt3[[#All],[ID]]=A1901)*(_bbt3[[#All],[METRIC_NAME]]="YLD_YTM_BID"),_bbt3[[#All],[METRIC_VALUE]])*0.5))/100,"")</f>
        <v/>
      </c>
      <c r="I1901">
        <f>IF(ISNA(VLOOKUP(A1901,QW_CloseDL!A:E,5,0)),0,VLOOKUP(A1901,QW_CloseDL!A:E,5,0))</f>
        <v>0</v>
      </c>
      <c r="J1901" s="8" t="str">
        <f t="shared" si="119"/>
        <v/>
      </c>
    </row>
    <row r="1902" spans="2:10" x14ac:dyDescent="0.35">
      <c r="B1902" t="str">
        <f>IF(NOT(ISBLANK(A1902)),VLOOKUP(A1902,'BBT3'!A:F,2,0),"")</f>
        <v/>
      </c>
      <c r="C1902" t="str">
        <f>IF(NOT(ISBLANK(A1902)),VLOOKUP(A1902,'BBT3'!A:F,3,0),"")</f>
        <v/>
      </c>
      <c r="D1902" s="6" t="str">
        <f>IF(NOT(ISBLANK(A1902)),VLOOKUP(A1902,'BBT3'!A:F,4,1),"")</f>
        <v/>
      </c>
      <c r="E1902" t="str">
        <f>IF(NOT(ISBLANK(A1902)),VLOOKUP(A1902,'BBT3'!A:F,5,0),"")</f>
        <v/>
      </c>
      <c r="F1902" t="str">
        <f>IF(NOT(ISBLANK(A1902)),VLOOKUP(A1902,'BBT3'!A:F,6,0),"")</f>
        <v/>
      </c>
      <c r="G1902" t="str">
        <f>IF(NOT(ISBLANK(A1902)),VLOOKUP(A1902,QW_Close!A:J,5,0),"")</f>
        <v/>
      </c>
      <c r="H1902" s="5" t="str" cm="1">
        <f t="array" ref="H1902">IF(NOT(ISBLANK(A1902)),((_xlfn.XLOOKUP(1,(_bbt3[[#All],[ID]]=A1902)*(_bbt3[[#All],[METRIC_NAME]]="YLD_YTM_ASK"),_bbt3[[#All],[METRIC_VALUE]])*0.5)+(_xlfn.XLOOKUP(1,(_bbt3[[#All],[ID]]=A1902)*(_bbt3[[#All],[METRIC_NAME]]="YLD_YTM_BID"),_bbt3[[#All],[METRIC_VALUE]])*0.5))/100,"")</f>
        <v/>
      </c>
      <c r="I1902">
        <f>IF(ISNA(VLOOKUP(A1902,QW_CloseDL!A:E,5,0)),0,VLOOKUP(A1902,QW_CloseDL!A:E,5,0))</f>
        <v>0</v>
      </c>
      <c r="J1902" s="8" t="str">
        <f t="shared" si="119"/>
        <v/>
      </c>
    </row>
    <row r="1903" spans="2:10" x14ac:dyDescent="0.35">
      <c r="B1903" t="str">
        <f>IF(NOT(ISBLANK(A1903)),VLOOKUP(A1903,'BBT3'!A:F,2,0),"")</f>
        <v/>
      </c>
      <c r="C1903" t="str">
        <f>IF(NOT(ISBLANK(A1903)),VLOOKUP(A1903,'BBT3'!A:F,3,0),"")</f>
        <v/>
      </c>
      <c r="D1903" s="6" t="str">
        <f>IF(NOT(ISBLANK(A1903)),VLOOKUP(A1903,'BBT3'!A:F,4,1),"")</f>
        <v/>
      </c>
      <c r="E1903" t="str">
        <f>IF(NOT(ISBLANK(A1903)),VLOOKUP(A1903,'BBT3'!A:F,5,0),"")</f>
        <v/>
      </c>
      <c r="F1903" t="str">
        <f>IF(NOT(ISBLANK(A1903)),VLOOKUP(A1903,'BBT3'!A:F,6,0),"")</f>
        <v/>
      </c>
      <c r="G1903" t="str">
        <f>IF(NOT(ISBLANK(A1903)),VLOOKUP(A1903,QW_Close!A:J,5,0),"")</f>
        <v/>
      </c>
      <c r="H1903" s="5" t="str" cm="1">
        <f t="array" ref="H1903">IF(NOT(ISBLANK(A1903)),((_xlfn.XLOOKUP(1,(_bbt3[[#All],[ID]]=A1903)*(_bbt3[[#All],[METRIC_NAME]]="YLD_YTM_ASK"),_bbt3[[#All],[METRIC_VALUE]])*0.5)+(_xlfn.XLOOKUP(1,(_bbt3[[#All],[ID]]=A1903)*(_bbt3[[#All],[METRIC_NAME]]="YLD_YTM_BID"),_bbt3[[#All],[METRIC_VALUE]])*0.5))/100,"")</f>
        <v/>
      </c>
      <c r="I1903">
        <f>IF(ISNA(VLOOKUP(A1903,QW_CloseDL!A:E,5,0)),0,VLOOKUP(A1903,QW_CloseDL!A:E,5,0))</f>
        <v>0</v>
      </c>
      <c r="J1903" s="8" t="str">
        <f t="shared" si="119"/>
        <v/>
      </c>
    </row>
    <row r="1904" spans="2:10" x14ac:dyDescent="0.35">
      <c r="B1904" t="str">
        <f>IF(NOT(ISBLANK(A1904)),VLOOKUP(A1904,'BBT3'!A:F,2,0),"")</f>
        <v/>
      </c>
      <c r="C1904" t="str">
        <f>IF(NOT(ISBLANK(A1904)),VLOOKUP(A1904,'BBT3'!A:F,3,0),"")</f>
        <v/>
      </c>
      <c r="D1904" s="6" t="str">
        <f>IF(NOT(ISBLANK(A1904)),VLOOKUP(A1904,'BBT3'!A:F,4,1),"")</f>
        <v/>
      </c>
      <c r="E1904" t="str">
        <f>IF(NOT(ISBLANK(A1904)),VLOOKUP(A1904,'BBT3'!A:F,5,0),"")</f>
        <v/>
      </c>
      <c r="F1904" t="str">
        <f>IF(NOT(ISBLANK(A1904)),VLOOKUP(A1904,'BBT3'!A:F,6,0),"")</f>
        <v/>
      </c>
      <c r="G1904" t="str">
        <f>IF(NOT(ISBLANK(A1904)),VLOOKUP(A1904,QW_Close!A:J,5,0),"")</f>
        <v/>
      </c>
      <c r="H1904" s="5" t="str" cm="1">
        <f t="array" ref="H1904">IF(NOT(ISBLANK(A1904)),((_xlfn.XLOOKUP(1,(_bbt3[[#All],[ID]]=A1904)*(_bbt3[[#All],[METRIC_NAME]]="YLD_YTM_ASK"),_bbt3[[#All],[METRIC_VALUE]])*0.5)+(_xlfn.XLOOKUP(1,(_bbt3[[#All],[ID]]=A1904)*(_bbt3[[#All],[METRIC_NAME]]="YLD_YTM_BID"),_bbt3[[#All],[METRIC_VALUE]])*0.5))/100,"")</f>
        <v/>
      </c>
      <c r="I1904">
        <f>IF(ISNA(VLOOKUP(A1904,QW_CloseDL!A:E,5,0)),0,VLOOKUP(A1904,QW_CloseDL!A:E,5,0))</f>
        <v>0</v>
      </c>
      <c r="J1904" s="8" t="str">
        <f t="shared" si="119"/>
        <v/>
      </c>
    </row>
    <row r="1905" spans="2:10" x14ac:dyDescent="0.35">
      <c r="B1905" t="str">
        <f>IF(NOT(ISBLANK(A1905)),VLOOKUP(A1905,'BBT3'!A:F,2,0),"")</f>
        <v/>
      </c>
      <c r="C1905" t="str">
        <f>IF(NOT(ISBLANK(A1905)),VLOOKUP(A1905,'BBT3'!A:F,3,0),"")</f>
        <v/>
      </c>
      <c r="D1905" s="6" t="str">
        <f>IF(NOT(ISBLANK(A1905)),VLOOKUP(A1905,'BBT3'!A:F,4,1),"")</f>
        <v/>
      </c>
      <c r="E1905" t="str">
        <f>IF(NOT(ISBLANK(A1905)),VLOOKUP(A1905,'BBT3'!A:F,5,0),"")</f>
        <v/>
      </c>
      <c r="F1905" t="str">
        <f>IF(NOT(ISBLANK(A1905)),VLOOKUP(A1905,'BBT3'!A:F,6,0),"")</f>
        <v/>
      </c>
      <c r="G1905" t="str">
        <f>IF(NOT(ISBLANK(A1905)),VLOOKUP(A1905,QW_Close!A:J,5,0),"")</f>
        <v/>
      </c>
      <c r="H1905" s="5" t="str" cm="1">
        <f t="array" ref="H1905">IF(NOT(ISBLANK(A1905)),((_xlfn.XLOOKUP(1,(_bbt3[[#All],[ID]]=A1905)*(_bbt3[[#All],[METRIC_NAME]]="YLD_YTM_ASK"),_bbt3[[#All],[METRIC_VALUE]])*0.5)+(_xlfn.XLOOKUP(1,(_bbt3[[#All],[ID]]=A1905)*(_bbt3[[#All],[METRIC_NAME]]="YLD_YTM_BID"),_bbt3[[#All],[METRIC_VALUE]])*0.5))/100,"")</f>
        <v/>
      </c>
      <c r="I1905">
        <f>IF(ISNA(VLOOKUP(A1905,QW_CloseDL!A:E,5,0)),0,VLOOKUP(A1905,QW_CloseDL!A:E,5,0))</f>
        <v>0</v>
      </c>
      <c r="J1905" s="8" t="str">
        <f t="shared" si="119"/>
        <v/>
      </c>
    </row>
    <row r="1906" spans="2:10" x14ac:dyDescent="0.35">
      <c r="B1906" t="str">
        <f>IF(NOT(ISBLANK(A1906)),VLOOKUP(A1906,'BBT3'!A:F,2,0),"")</f>
        <v/>
      </c>
      <c r="C1906" t="str">
        <f>IF(NOT(ISBLANK(A1906)),VLOOKUP(A1906,'BBT3'!A:F,3,0),"")</f>
        <v/>
      </c>
      <c r="D1906" s="6" t="str">
        <f>IF(NOT(ISBLANK(A1906)),VLOOKUP(A1906,'BBT3'!A:F,4,1),"")</f>
        <v/>
      </c>
      <c r="E1906" t="str">
        <f>IF(NOT(ISBLANK(A1906)),VLOOKUP(A1906,'BBT3'!A:F,5,0),"")</f>
        <v/>
      </c>
      <c r="F1906" t="str">
        <f>IF(NOT(ISBLANK(A1906)),VLOOKUP(A1906,'BBT3'!A:F,6,0),"")</f>
        <v/>
      </c>
      <c r="G1906" t="str">
        <f>IF(NOT(ISBLANK(A1906)),VLOOKUP(A1906,QW_Close!A:J,5,0),"")</f>
        <v/>
      </c>
      <c r="H1906" s="5" t="str" cm="1">
        <f t="array" ref="H1906">IF(NOT(ISBLANK(A1906)),((_xlfn.XLOOKUP(1,(_bbt3[[#All],[ID]]=A1906)*(_bbt3[[#All],[METRIC_NAME]]="YLD_YTM_ASK"),_bbt3[[#All],[METRIC_VALUE]])*0.5)+(_xlfn.XLOOKUP(1,(_bbt3[[#All],[ID]]=A1906)*(_bbt3[[#All],[METRIC_NAME]]="YLD_YTM_BID"),_bbt3[[#All],[METRIC_VALUE]])*0.5))/100,"")</f>
        <v/>
      </c>
      <c r="I1906">
        <f>IF(ISNA(VLOOKUP(A1906,QW_CloseDL!A:E,5,0)),0,VLOOKUP(A1906,QW_CloseDL!A:E,5,0))</f>
        <v>0</v>
      </c>
      <c r="J1906" s="8" t="str">
        <f t="shared" si="119"/>
        <v/>
      </c>
    </row>
    <row r="1907" spans="2:10" x14ac:dyDescent="0.35">
      <c r="B1907" t="str">
        <f>IF(NOT(ISBLANK(A1907)),VLOOKUP(A1907,'BBT3'!A:F,2,0),"")</f>
        <v/>
      </c>
      <c r="C1907" t="str">
        <f>IF(NOT(ISBLANK(A1907)),VLOOKUP(A1907,'BBT3'!A:F,3,0),"")</f>
        <v/>
      </c>
      <c r="D1907" s="6" t="str">
        <f>IF(NOT(ISBLANK(A1907)),VLOOKUP(A1907,'BBT3'!A:F,4,1),"")</f>
        <v/>
      </c>
      <c r="E1907" t="str">
        <f>IF(NOT(ISBLANK(A1907)),VLOOKUP(A1907,'BBT3'!A:F,5,0),"")</f>
        <v/>
      </c>
      <c r="F1907" t="str">
        <f>IF(NOT(ISBLANK(A1907)),VLOOKUP(A1907,'BBT3'!A:F,6,0),"")</f>
        <v/>
      </c>
      <c r="G1907" t="str">
        <f>IF(NOT(ISBLANK(A1907)),VLOOKUP(A1907,QW_Close!A:J,5,0),"")</f>
        <v/>
      </c>
      <c r="H1907" s="5" t="str" cm="1">
        <f t="array" ref="H1907">IF(NOT(ISBLANK(A1907)),((_xlfn.XLOOKUP(1,(_bbt3[[#All],[ID]]=A1907)*(_bbt3[[#All],[METRIC_NAME]]="YLD_YTM_ASK"),_bbt3[[#All],[METRIC_VALUE]])*0.5)+(_xlfn.XLOOKUP(1,(_bbt3[[#All],[ID]]=A1907)*(_bbt3[[#All],[METRIC_NAME]]="YLD_YTM_BID"),_bbt3[[#All],[METRIC_VALUE]])*0.5))/100,"")</f>
        <v/>
      </c>
      <c r="I1907">
        <f>IF(ISNA(VLOOKUP(A1907,QW_CloseDL!A:E,5,0)),0,VLOOKUP(A1907,QW_CloseDL!A:E,5,0))</f>
        <v>0</v>
      </c>
      <c r="J1907" s="8" t="str">
        <f t="shared" si="119"/>
        <v/>
      </c>
    </row>
    <row r="1908" spans="2:10" x14ac:dyDescent="0.35">
      <c r="B1908" t="str">
        <f>IF(NOT(ISBLANK(A1908)),VLOOKUP(A1908,'BBT3'!A:F,2,0),"")</f>
        <v/>
      </c>
      <c r="C1908" t="str">
        <f>IF(NOT(ISBLANK(A1908)),VLOOKUP(A1908,'BBT3'!A:F,3,0),"")</f>
        <v/>
      </c>
      <c r="D1908" s="6" t="str">
        <f>IF(NOT(ISBLANK(A1908)),VLOOKUP(A1908,'BBT3'!A:F,4,1),"")</f>
        <v/>
      </c>
      <c r="E1908" t="str">
        <f>IF(NOT(ISBLANK(A1908)),VLOOKUP(A1908,'BBT3'!A:F,5,0),"")</f>
        <v/>
      </c>
      <c r="F1908" t="str">
        <f>IF(NOT(ISBLANK(A1908)),VLOOKUP(A1908,'BBT3'!A:F,6,0),"")</f>
        <v/>
      </c>
      <c r="G1908" t="str">
        <f>IF(NOT(ISBLANK(A1908)),VLOOKUP(A1908,QW_Close!A:J,5,0),"")</f>
        <v/>
      </c>
      <c r="H1908" s="5" t="str" cm="1">
        <f t="array" ref="H1908">IF(NOT(ISBLANK(A1908)),((_xlfn.XLOOKUP(1,(_bbt3[[#All],[ID]]=A1908)*(_bbt3[[#All],[METRIC_NAME]]="YLD_YTM_ASK"),_bbt3[[#All],[METRIC_VALUE]])*0.5)+(_xlfn.XLOOKUP(1,(_bbt3[[#All],[ID]]=A1908)*(_bbt3[[#All],[METRIC_NAME]]="YLD_YTM_BID"),_bbt3[[#All],[METRIC_VALUE]])*0.5))/100,"")</f>
        <v/>
      </c>
      <c r="I1908">
        <f>IF(ISNA(VLOOKUP(A1908,QW_CloseDL!A:E,5,0)),0,VLOOKUP(A1908,QW_CloseDL!A:E,5,0))</f>
        <v>0</v>
      </c>
      <c r="J1908" s="8" t="str">
        <f t="shared" si="119"/>
        <v/>
      </c>
    </row>
    <row r="1909" spans="2:10" x14ac:dyDescent="0.35">
      <c r="B1909" t="str">
        <f>IF(NOT(ISBLANK(A1909)),VLOOKUP(A1909,'BBT3'!A:F,2,0),"")</f>
        <v/>
      </c>
      <c r="C1909" t="str">
        <f>IF(NOT(ISBLANK(A1909)),VLOOKUP(A1909,'BBT3'!A:F,3,0),"")</f>
        <v/>
      </c>
      <c r="D1909" s="6" t="str">
        <f>IF(NOT(ISBLANK(A1909)),VLOOKUP(A1909,'BBT3'!A:F,4,1),"")</f>
        <v/>
      </c>
      <c r="E1909" t="str">
        <f>IF(NOT(ISBLANK(A1909)),VLOOKUP(A1909,'BBT3'!A:F,5,0),"")</f>
        <v/>
      </c>
      <c r="F1909" t="str">
        <f>IF(NOT(ISBLANK(A1909)),VLOOKUP(A1909,'BBT3'!A:F,6,0),"")</f>
        <v/>
      </c>
      <c r="G1909" t="str">
        <f>IF(NOT(ISBLANK(A1909)),VLOOKUP(A1909,QW_Close!A:J,5,0),"")</f>
        <v/>
      </c>
      <c r="H1909" s="5" t="str" cm="1">
        <f t="array" ref="H1909">IF(NOT(ISBLANK(A1909)),((_xlfn.XLOOKUP(1,(_bbt3[[#All],[ID]]=A1909)*(_bbt3[[#All],[METRIC_NAME]]="YLD_YTM_ASK"),_bbt3[[#All],[METRIC_VALUE]])*0.5)+(_xlfn.XLOOKUP(1,(_bbt3[[#All],[ID]]=A1909)*(_bbt3[[#All],[METRIC_NAME]]="YLD_YTM_BID"),_bbt3[[#All],[METRIC_VALUE]])*0.5))/100,"")</f>
        <v/>
      </c>
      <c r="I1909">
        <f>IF(ISNA(VLOOKUP(A1909,QW_CloseDL!A:E,5,0)),0,VLOOKUP(A1909,QW_CloseDL!A:E,5,0))</f>
        <v>0</v>
      </c>
      <c r="J1909" s="8" t="str">
        <f t="shared" si="119"/>
        <v/>
      </c>
    </row>
    <row r="1910" spans="2:10" x14ac:dyDescent="0.35">
      <c r="B1910" t="str">
        <f>IF(NOT(ISBLANK(A1910)),VLOOKUP(A1910,'BBT3'!A:F,2,0),"")</f>
        <v/>
      </c>
      <c r="C1910" t="str">
        <f>IF(NOT(ISBLANK(A1910)),VLOOKUP(A1910,'BBT3'!A:F,3,0),"")</f>
        <v/>
      </c>
      <c r="D1910" s="6" t="str">
        <f>IF(NOT(ISBLANK(A1910)),VLOOKUP(A1910,'BBT3'!A:F,4,1),"")</f>
        <v/>
      </c>
      <c r="E1910" t="str">
        <f>IF(NOT(ISBLANK(A1910)),VLOOKUP(A1910,'BBT3'!A:F,5,0),"")</f>
        <v/>
      </c>
      <c r="F1910" t="str">
        <f>IF(NOT(ISBLANK(A1910)),VLOOKUP(A1910,'BBT3'!A:F,6,0),"")</f>
        <v/>
      </c>
      <c r="G1910" t="str">
        <f>IF(NOT(ISBLANK(A1910)),VLOOKUP(A1910,QW_Close!A:J,5,0),"")</f>
        <v/>
      </c>
      <c r="H1910" s="5" t="str" cm="1">
        <f t="array" ref="H1910">IF(NOT(ISBLANK(A1910)),((_xlfn.XLOOKUP(1,(_bbt3[[#All],[ID]]=A1910)*(_bbt3[[#All],[METRIC_NAME]]="YLD_YTM_ASK"),_bbt3[[#All],[METRIC_VALUE]])*0.5)+(_xlfn.XLOOKUP(1,(_bbt3[[#All],[ID]]=A1910)*(_bbt3[[#All],[METRIC_NAME]]="YLD_YTM_BID"),_bbt3[[#All],[METRIC_VALUE]])*0.5))/100,"")</f>
        <v/>
      </c>
      <c r="I1910">
        <f>IF(ISNA(VLOOKUP(A1910,QW_CloseDL!A:E,5,0)),0,VLOOKUP(A1910,QW_CloseDL!A:E,5,0))</f>
        <v>0</v>
      </c>
      <c r="J1910" s="8" t="str">
        <f t="shared" si="119"/>
        <v/>
      </c>
    </row>
    <row r="1911" spans="2:10" x14ac:dyDescent="0.35">
      <c r="B1911" t="str">
        <f>IF(NOT(ISBLANK(A1911)),VLOOKUP(A1911,'BBT3'!A:F,2,0),"")</f>
        <v/>
      </c>
      <c r="C1911" t="str">
        <f>IF(NOT(ISBLANK(A1911)),VLOOKUP(A1911,'BBT3'!A:F,3,0),"")</f>
        <v/>
      </c>
      <c r="D1911" s="6" t="str">
        <f>IF(NOT(ISBLANK(A1911)),VLOOKUP(A1911,'BBT3'!A:F,4,1),"")</f>
        <v/>
      </c>
      <c r="E1911" t="str">
        <f>IF(NOT(ISBLANK(A1911)),VLOOKUP(A1911,'BBT3'!A:F,5,0),"")</f>
        <v/>
      </c>
      <c r="F1911" t="str">
        <f>IF(NOT(ISBLANK(A1911)),VLOOKUP(A1911,'BBT3'!A:F,6,0),"")</f>
        <v/>
      </c>
      <c r="G1911" t="str">
        <f>IF(NOT(ISBLANK(A1911)),VLOOKUP(A1911,QW_Close!A:J,5,0),"")</f>
        <v/>
      </c>
      <c r="H1911" s="5" t="str" cm="1">
        <f t="array" ref="H1911">IF(NOT(ISBLANK(A1911)),((_xlfn.XLOOKUP(1,(_bbt3[[#All],[ID]]=A1911)*(_bbt3[[#All],[METRIC_NAME]]="YLD_YTM_ASK"),_bbt3[[#All],[METRIC_VALUE]])*0.5)+(_xlfn.XLOOKUP(1,(_bbt3[[#All],[ID]]=A1911)*(_bbt3[[#All],[METRIC_NAME]]="YLD_YTM_BID"),_bbt3[[#All],[METRIC_VALUE]])*0.5))/100,"")</f>
        <v/>
      </c>
      <c r="I1911">
        <f>IF(ISNA(VLOOKUP(A1911,QW_CloseDL!A:E,5,0)),0,VLOOKUP(A1911,QW_CloseDL!A:E,5,0))</f>
        <v>0</v>
      </c>
      <c r="J1911" s="8" t="str">
        <f t="shared" si="119"/>
        <v/>
      </c>
    </row>
    <row r="1912" spans="2:10" x14ac:dyDescent="0.35">
      <c r="B1912" t="str">
        <f>IF(NOT(ISBLANK(A1912)),VLOOKUP(A1912,'BBT3'!A:F,2,0),"")</f>
        <v/>
      </c>
      <c r="C1912" t="str">
        <f>IF(NOT(ISBLANK(A1912)),VLOOKUP(A1912,'BBT3'!A:F,3,0),"")</f>
        <v/>
      </c>
      <c r="D1912" s="6" t="str">
        <f>IF(NOT(ISBLANK(A1912)),VLOOKUP(A1912,'BBT3'!A:F,4,1),"")</f>
        <v/>
      </c>
      <c r="E1912" t="str">
        <f>IF(NOT(ISBLANK(A1912)),VLOOKUP(A1912,'BBT3'!A:F,5,0),"")</f>
        <v/>
      </c>
      <c r="F1912" t="str">
        <f>IF(NOT(ISBLANK(A1912)),VLOOKUP(A1912,'BBT3'!A:F,6,0),"")</f>
        <v/>
      </c>
      <c r="G1912" t="str">
        <f>IF(NOT(ISBLANK(A1912)),VLOOKUP(A1912,QW_Close!A:J,5,0),"")</f>
        <v/>
      </c>
      <c r="H1912" s="5" t="str" cm="1">
        <f t="array" ref="H1912">IF(NOT(ISBLANK(A1912)),((_xlfn.XLOOKUP(1,(_bbt3[[#All],[ID]]=A1912)*(_bbt3[[#All],[METRIC_NAME]]="YLD_YTM_ASK"),_bbt3[[#All],[METRIC_VALUE]])*0.5)+(_xlfn.XLOOKUP(1,(_bbt3[[#All],[ID]]=A1912)*(_bbt3[[#All],[METRIC_NAME]]="YLD_YTM_BID"),_bbt3[[#All],[METRIC_VALUE]])*0.5))/100,"")</f>
        <v/>
      </c>
      <c r="I1912">
        <f>IF(ISNA(VLOOKUP(A1912,QW_CloseDL!A:E,5,0)),0,VLOOKUP(A1912,QW_CloseDL!A:E,5,0))</f>
        <v>0</v>
      </c>
      <c r="J1912" s="8" t="str">
        <f t="shared" si="119"/>
        <v/>
      </c>
    </row>
    <row r="1913" spans="2:10" x14ac:dyDescent="0.35">
      <c r="B1913" t="str">
        <f>IF(NOT(ISBLANK(A1913)),VLOOKUP(A1913,'BBT3'!A:F,2,0),"")</f>
        <v/>
      </c>
      <c r="C1913" t="str">
        <f>IF(NOT(ISBLANK(A1913)),VLOOKUP(A1913,'BBT3'!A:F,3,0),"")</f>
        <v/>
      </c>
      <c r="D1913" s="6" t="str">
        <f>IF(NOT(ISBLANK(A1913)),VLOOKUP(A1913,'BBT3'!A:F,4,1),"")</f>
        <v/>
      </c>
      <c r="E1913" t="str">
        <f>IF(NOT(ISBLANK(A1913)),VLOOKUP(A1913,'BBT3'!A:F,5,0),"")</f>
        <v/>
      </c>
      <c r="F1913" t="str">
        <f>IF(NOT(ISBLANK(A1913)),VLOOKUP(A1913,'BBT3'!A:F,6,0),"")</f>
        <v/>
      </c>
      <c r="G1913" t="str">
        <f>IF(NOT(ISBLANK(A1913)),VLOOKUP(A1913,QW_Close!A:J,5,0),"")</f>
        <v/>
      </c>
      <c r="H1913" s="5" t="str" cm="1">
        <f t="array" ref="H1913">IF(NOT(ISBLANK(A1913)),((_xlfn.XLOOKUP(1,(_bbt3[[#All],[ID]]=A1913)*(_bbt3[[#All],[METRIC_NAME]]="YLD_YTM_ASK"),_bbt3[[#All],[METRIC_VALUE]])*0.5)+(_xlfn.XLOOKUP(1,(_bbt3[[#All],[ID]]=A1913)*(_bbt3[[#All],[METRIC_NAME]]="YLD_YTM_BID"),_bbt3[[#All],[METRIC_VALUE]])*0.5))/100,"")</f>
        <v/>
      </c>
      <c r="I1913">
        <f>IF(ISNA(VLOOKUP(A1913,QW_CloseDL!A:E,5,0)),0,VLOOKUP(A1913,QW_CloseDL!A:E,5,0))</f>
        <v>0</v>
      </c>
      <c r="J1913" s="8" t="str">
        <f t="shared" si="119"/>
        <v/>
      </c>
    </row>
    <row r="1914" spans="2:10" x14ac:dyDescent="0.35">
      <c r="B1914" t="str">
        <f>IF(NOT(ISBLANK(A1914)),VLOOKUP(A1914,'BBT3'!A:F,2,0),"")</f>
        <v/>
      </c>
      <c r="C1914" t="str">
        <f>IF(NOT(ISBLANK(A1914)),VLOOKUP(A1914,'BBT3'!A:F,3,0),"")</f>
        <v/>
      </c>
      <c r="D1914" s="6" t="str">
        <f>IF(NOT(ISBLANK(A1914)),VLOOKUP(A1914,'BBT3'!A:F,4,1),"")</f>
        <v/>
      </c>
      <c r="E1914" t="str">
        <f>IF(NOT(ISBLANK(A1914)),VLOOKUP(A1914,'BBT3'!A:F,5,0),"")</f>
        <v/>
      </c>
      <c r="F1914" t="str">
        <f>IF(NOT(ISBLANK(A1914)),VLOOKUP(A1914,'BBT3'!A:F,6,0),"")</f>
        <v/>
      </c>
      <c r="G1914" t="str">
        <f>IF(NOT(ISBLANK(A1914)),VLOOKUP(A1914,QW_Close!A:J,5,0),"")</f>
        <v/>
      </c>
      <c r="H1914" s="5" t="str" cm="1">
        <f t="array" ref="H1914">IF(NOT(ISBLANK(A1914)),((_xlfn.XLOOKUP(1,(_bbt3[[#All],[ID]]=A1914)*(_bbt3[[#All],[METRIC_NAME]]="YLD_YTM_ASK"),_bbt3[[#All],[METRIC_VALUE]])*0.5)+(_xlfn.XLOOKUP(1,(_bbt3[[#All],[ID]]=A1914)*(_bbt3[[#All],[METRIC_NAME]]="YLD_YTM_BID"),_bbt3[[#All],[METRIC_VALUE]])*0.5))/100,"")</f>
        <v/>
      </c>
      <c r="I1914">
        <f>IF(ISNA(VLOOKUP(A1914,QW_CloseDL!A:E,5,0)),0,VLOOKUP(A1914,QW_CloseDL!A:E,5,0))</f>
        <v>0</v>
      </c>
      <c r="J1914" s="8" t="str">
        <f t="shared" si="119"/>
        <v/>
      </c>
    </row>
    <row r="1915" spans="2:10" x14ac:dyDescent="0.35">
      <c r="B1915" t="str">
        <f>IF(NOT(ISBLANK(A1915)),VLOOKUP(A1915,'BBT3'!A:F,2,0),"")</f>
        <v/>
      </c>
      <c r="C1915" t="str">
        <f>IF(NOT(ISBLANK(A1915)),VLOOKUP(A1915,'BBT3'!A:F,3,0),"")</f>
        <v/>
      </c>
      <c r="D1915" s="6" t="str">
        <f>IF(NOT(ISBLANK(A1915)),VLOOKUP(A1915,'BBT3'!A:F,4,1),"")</f>
        <v/>
      </c>
      <c r="E1915" t="str">
        <f>IF(NOT(ISBLANK(A1915)),VLOOKUP(A1915,'BBT3'!A:F,5,0),"")</f>
        <v/>
      </c>
      <c r="F1915" t="str">
        <f>IF(NOT(ISBLANK(A1915)),VLOOKUP(A1915,'BBT3'!A:F,6,0),"")</f>
        <v/>
      </c>
      <c r="G1915" t="str">
        <f>IF(NOT(ISBLANK(A1915)),VLOOKUP(A1915,QW_Close!A:J,5,0),"")</f>
        <v/>
      </c>
      <c r="H1915" s="5" t="str" cm="1">
        <f t="array" ref="H1915">IF(NOT(ISBLANK(A1915)),((_xlfn.XLOOKUP(1,(_bbt3[[#All],[ID]]=A1915)*(_bbt3[[#All],[METRIC_NAME]]="YLD_YTM_ASK"),_bbt3[[#All],[METRIC_VALUE]])*0.5)+(_xlfn.XLOOKUP(1,(_bbt3[[#All],[ID]]=A1915)*(_bbt3[[#All],[METRIC_NAME]]="YLD_YTM_BID"),_bbt3[[#All],[METRIC_VALUE]])*0.5))/100,"")</f>
        <v/>
      </c>
      <c r="I1915">
        <f>IF(ISNA(VLOOKUP(A1915,QW_CloseDL!A:E,5,0)),0,VLOOKUP(A1915,QW_CloseDL!A:E,5,0))</f>
        <v>0</v>
      </c>
      <c r="J1915" s="8" t="str">
        <f t="shared" si="119"/>
        <v/>
      </c>
    </row>
    <row r="1916" spans="2:10" x14ac:dyDescent="0.35">
      <c r="B1916" t="str">
        <f>IF(NOT(ISBLANK(A1916)),VLOOKUP(A1916,'BBT3'!A:F,2,0),"")</f>
        <v/>
      </c>
      <c r="C1916" t="str">
        <f>IF(NOT(ISBLANK(A1916)),VLOOKUP(A1916,'BBT3'!A:F,3,0),"")</f>
        <v/>
      </c>
      <c r="D1916" s="6" t="str">
        <f>IF(NOT(ISBLANK(A1916)),VLOOKUP(A1916,'BBT3'!A:F,4,1),"")</f>
        <v/>
      </c>
      <c r="E1916" t="str">
        <f>IF(NOT(ISBLANK(A1916)),VLOOKUP(A1916,'BBT3'!A:F,5,0),"")</f>
        <v/>
      </c>
      <c r="F1916" t="str">
        <f>IF(NOT(ISBLANK(A1916)),VLOOKUP(A1916,'BBT3'!A:F,6,0),"")</f>
        <v/>
      </c>
      <c r="G1916" t="str">
        <f>IF(NOT(ISBLANK(A1916)),VLOOKUP(A1916,QW_Close!A:J,5,0),"")</f>
        <v/>
      </c>
      <c r="H1916" s="5" t="str" cm="1">
        <f t="array" ref="H1916">IF(NOT(ISBLANK(A1916)),((_xlfn.XLOOKUP(1,(_bbt3[[#All],[ID]]=A1916)*(_bbt3[[#All],[METRIC_NAME]]="YLD_YTM_ASK"),_bbt3[[#All],[METRIC_VALUE]])*0.5)+(_xlfn.XLOOKUP(1,(_bbt3[[#All],[ID]]=A1916)*(_bbt3[[#All],[METRIC_NAME]]="YLD_YTM_BID"),_bbt3[[#All],[METRIC_VALUE]])*0.5))/100,"")</f>
        <v/>
      </c>
      <c r="I1916">
        <f>IF(ISNA(VLOOKUP(A1916,QW_CloseDL!A:E,5,0)),0,VLOOKUP(A1916,QW_CloseDL!A:E,5,0))</f>
        <v>0</v>
      </c>
      <c r="J1916" s="8" t="str">
        <f t="shared" si="119"/>
        <v/>
      </c>
    </row>
    <row r="1917" spans="2:10" x14ac:dyDescent="0.35">
      <c r="B1917" t="str">
        <f>IF(NOT(ISBLANK(A1917)),VLOOKUP(A1917,'BBT3'!A:F,2,0),"")</f>
        <v/>
      </c>
      <c r="C1917" t="str">
        <f>IF(NOT(ISBLANK(A1917)),VLOOKUP(A1917,'BBT3'!A:F,3,0),"")</f>
        <v/>
      </c>
      <c r="D1917" s="6" t="str">
        <f>IF(NOT(ISBLANK(A1917)),VLOOKUP(A1917,'BBT3'!A:F,4,1),"")</f>
        <v/>
      </c>
      <c r="E1917" t="str">
        <f>IF(NOT(ISBLANK(A1917)),VLOOKUP(A1917,'BBT3'!A:F,5,0),"")</f>
        <v/>
      </c>
      <c r="F1917" t="str">
        <f>IF(NOT(ISBLANK(A1917)),VLOOKUP(A1917,'BBT3'!A:F,6,0),"")</f>
        <v/>
      </c>
      <c r="G1917" t="str">
        <f>IF(NOT(ISBLANK(A1917)),VLOOKUP(A1917,QW_Close!A:J,5,0),"")</f>
        <v/>
      </c>
      <c r="H1917" s="5" t="str" cm="1">
        <f t="array" ref="H1917">IF(NOT(ISBLANK(A1917)),((_xlfn.XLOOKUP(1,(_bbt3[[#All],[ID]]=A1917)*(_bbt3[[#All],[METRIC_NAME]]="YLD_YTM_ASK"),_bbt3[[#All],[METRIC_VALUE]])*0.5)+(_xlfn.XLOOKUP(1,(_bbt3[[#All],[ID]]=A1917)*(_bbt3[[#All],[METRIC_NAME]]="YLD_YTM_BID"),_bbt3[[#All],[METRIC_VALUE]])*0.5))/100,"")</f>
        <v/>
      </c>
      <c r="I1917">
        <f>IF(ISNA(VLOOKUP(A1917,QW_CloseDL!A:E,5,0)),0,VLOOKUP(A1917,QW_CloseDL!A:E,5,0))</f>
        <v>0</v>
      </c>
      <c r="J1917" s="8" t="str">
        <f t="shared" si="119"/>
        <v/>
      </c>
    </row>
    <row r="1918" spans="2:10" x14ac:dyDescent="0.35">
      <c r="B1918" t="str">
        <f>IF(NOT(ISBLANK(A1918)),VLOOKUP(A1918,'BBT3'!A:F,2,0),"")</f>
        <v/>
      </c>
      <c r="C1918" t="str">
        <f>IF(NOT(ISBLANK(A1918)),VLOOKUP(A1918,'BBT3'!A:F,3,0),"")</f>
        <v/>
      </c>
      <c r="D1918" s="6" t="str">
        <f>IF(NOT(ISBLANK(A1918)),VLOOKUP(A1918,'BBT3'!A:F,4,1),"")</f>
        <v/>
      </c>
      <c r="E1918" t="str">
        <f>IF(NOT(ISBLANK(A1918)),VLOOKUP(A1918,'BBT3'!A:F,5,0),"")</f>
        <v/>
      </c>
      <c r="F1918" t="str">
        <f>IF(NOT(ISBLANK(A1918)),VLOOKUP(A1918,'BBT3'!A:F,6,0),"")</f>
        <v/>
      </c>
      <c r="G1918" t="str">
        <f>IF(NOT(ISBLANK(A1918)),VLOOKUP(A1918,QW_Close!A:J,5,0),"")</f>
        <v/>
      </c>
      <c r="H1918" s="5" t="str" cm="1">
        <f t="array" ref="H1918">IF(NOT(ISBLANK(A1918)),((_xlfn.XLOOKUP(1,(_bbt3[[#All],[ID]]=A1918)*(_bbt3[[#All],[METRIC_NAME]]="YLD_YTM_ASK"),_bbt3[[#All],[METRIC_VALUE]])*0.5)+(_xlfn.XLOOKUP(1,(_bbt3[[#All],[ID]]=A1918)*(_bbt3[[#All],[METRIC_NAME]]="YLD_YTM_BID"),_bbt3[[#All],[METRIC_VALUE]])*0.5))/100,"")</f>
        <v/>
      </c>
      <c r="I1918">
        <f>IF(ISNA(VLOOKUP(A1918,QW_CloseDL!A:E,5,0)),0,VLOOKUP(A1918,QW_CloseDL!A:E,5,0))</f>
        <v>0</v>
      </c>
      <c r="J1918" s="8" t="str">
        <f t="shared" si="119"/>
        <v/>
      </c>
    </row>
    <row r="1919" spans="2:10" x14ac:dyDescent="0.35">
      <c r="B1919" t="str">
        <f>IF(NOT(ISBLANK(A1919)),VLOOKUP(A1919,'BBT3'!A:F,2,0),"")</f>
        <v/>
      </c>
      <c r="C1919" t="str">
        <f>IF(NOT(ISBLANK(A1919)),VLOOKUP(A1919,'BBT3'!A:F,3,0),"")</f>
        <v/>
      </c>
      <c r="D1919" s="6" t="str">
        <f>IF(NOT(ISBLANK(A1919)),VLOOKUP(A1919,'BBT3'!A:F,4,1),"")</f>
        <v/>
      </c>
      <c r="E1919" t="str">
        <f>IF(NOT(ISBLANK(A1919)),VLOOKUP(A1919,'BBT3'!A:F,5,0),"")</f>
        <v/>
      </c>
      <c r="F1919" t="str">
        <f>IF(NOT(ISBLANK(A1919)),VLOOKUP(A1919,'BBT3'!A:F,6,0),"")</f>
        <v/>
      </c>
      <c r="G1919" t="str">
        <f>IF(NOT(ISBLANK(A1919)),VLOOKUP(A1919,QW_Close!A:J,5,0),"")</f>
        <v/>
      </c>
      <c r="H1919" s="5" t="str" cm="1">
        <f t="array" ref="H1919">IF(NOT(ISBLANK(A1919)),((_xlfn.XLOOKUP(1,(_bbt3[[#All],[ID]]=A1919)*(_bbt3[[#All],[METRIC_NAME]]="YLD_YTM_ASK"),_bbt3[[#All],[METRIC_VALUE]])*0.5)+(_xlfn.XLOOKUP(1,(_bbt3[[#All],[ID]]=A1919)*(_bbt3[[#All],[METRIC_NAME]]="YLD_YTM_BID"),_bbt3[[#All],[METRIC_VALUE]])*0.5))/100,"")</f>
        <v/>
      </c>
      <c r="I1919">
        <f>IF(ISNA(VLOOKUP(A1919,QW_CloseDL!A:E,5,0)),0,VLOOKUP(A1919,QW_CloseDL!A:E,5,0))</f>
        <v>0</v>
      </c>
      <c r="J1919" s="8" t="str">
        <f t="shared" si="119"/>
        <v/>
      </c>
    </row>
    <row r="1920" spans="2:10" x14ac:dyDescent="0.35">
      <c r="B1920" t="str">
        <f>IF(NOT(ISBLANK(A1920)),VLOOKUP(A1920,'BBT3'!A:F,2,0),"")</f>
        <v/>
      </c>
      <c r="C1920" t="str">
        <f>IF(NOT(ISBLANK(A1920)),VLOOKUP(A1920,'BBT3'!A:F,3,0),"")</f>
        <v/>
      </c>
      <c r="D1920" s="6" t="str">
        <f>IF(NOT(ISBLANK(A1920)),VLOOKUP(A1920,'BBT3'!A:F,4,1),"")</f>
        <v/>
      </c>
      <c r="E1920" t="str">
        <f>IF(NOT(ISBLANK(A1920)),VLOOKUP(A1920,'BBT3'!A:F,5,0),"")</f>
        <v/>
      </c>
      <c r="F1920" t="str">
        <f>IF(NOT(ISBLANK(A1920)),VLOOKUP(A1920,'BBT3'!A:F,6,0),"")</f>
        <v/>
      </c>
      <c r="G1920" t="str">
        <f>IF(NOT(ISBLANK(A1920)),VLOOKUP(A1920,QW_Close!A:J,5,0),"")</f>
        <v/>
      </c>
      <c r="H1920" s="5" t="str" cm="1">
        <f t="array" ref="H1920">IF(NOT(ISBLANK(A1920)),((_xlfn.XLOOKUP(1,(_bbt3[[#All],[ID]]=A1920)*(_bbt3[[#All],[METRIC_NAME]]="YLD_YTM_ASK"),_bbt3[[#All],[METRIC_VALUE]])*0.5)+(_xlfn.XLOOKUP(1,(_bbt3[[#All],[ID]]=A1920)*(_bbt3[[#All],[METRIC_NAME]]="YLD_YTM_BID"),_bbt3[[#All],[METRIC_VALUE]])*0.5))/100,"")</f>
        <v/>
      </c>
      <c r="I1920">
        <f>IF(ISNA(VLOOKUP(A1920,QW_CloseDL!A:E,5,0)),0,VLOOKUP(A1920,QW_CloseDL!A:E,5,0))</f>
        <v>0</v>
      </c>
      <c r="J1920" s="8" t="str">
        <f t="shared" si="119"/>
        <v/>
      </c>
    </row>
    <row r="1921" spans="2:10" x14ac:dyDescent="0.35">
      <c r="B1921" t="str">
        <f>IF(NOT(ISBLANK(A1921)),VLOOKUP(A1921,'BBT3'!A:F,2,0),"")</f>
        <v/>
      </c>
      <c r="C1921" t="str">
        <f>IF(NOT(ISBLANK(A1921)),VLOOKUP(A1921,'BBT3'!A:F,3,0),"")</f>
        <v/>
      </c>
      <c r="D1921" s="6" t="str">
        <f>IF(NOT(ISBLANK(A1921)),VLOOKUP(A1921,'BBT3'!A:F,4,1),"")</f>
        <v/>
      </c>
      <c r="E1921" t="str">
        <f>IF(NOT(ISBLANK(A1921)),VLOOKUP(A1921,'BBT3'!A:F,5,0),"")</f>
        <v/>
      </c>
      <c r="F1921" t="str">
        <f>IF(NOT(ISBLANK(A1921)),VLOOKUP(A1921,'BBT3'!A:F,6,0),"")</f>
        <v/>
      </c>
      <c r="G1921" t="str">
        <f>IF(NOT(ISBLANK(A1921)),VLOOKUP(A1921,QW_Close!A:J,5,0),"")</f>
        <v/>
      </c>
      <c r="H1921" s="5" t="str" cm="1">
        <f t="array" ref="H1921">IF(NOT(ISBLANK(A1921)),((_xlfn.XLOOKUP(1,(_bbt3[[#All],[ID]]=A1921)*(_bbt3[[#All],[METRIC_NAME]]="YLD_YTM_ASK"),_bbt3[[#All],[METRIC_VALUE]])*0.5)+(_xlfn.XLOOKUP(1,(_bbt3[[#All],[ID]]=A1921)*(_bbt3[[#All],[METRIC_NAME]]="YLD_YTM_BID"),_bbt3[[#All],[METRIC_VALUE]])*0.5))/100,"")</f>
        <v/>
      </c>
      <c r="I1921">
        <f>IF(ISNA(VLOOKUP(A1921,QW_CloseDL!A:E,5,0)),0,VLOOKUP(A1921,QW_CloseDL!A:E,5,0))</f>
        <v>0</v>
      </c>
      <c r="J1921" s="8" t="str">
        <f t="shared" si="119"/>
        <v/>
      </c>
    </row>
    <row r="1922" spans="2:10" x14ac:dyDescent="0.35">
      <c r="B1922" t="str">
        <f>IF(NOT(ISBLANK(A1922)),VLOOKUP(A1922,'BBT3'!A:F,2,0),"")</f>
        <v/>
      </c>
      <c r="C1922" t="str">
        <f>IF(NOT(ISBLANK(A1922)),VLOOKUP(A1922,'BBT3'!A:F,3,0),"")</f>
        <v/>
      </c>
      <c r="D1922" s="6" t="str">
        <f>IF(NOT(ISBLANK(A1922)),VLOOKUP(A1922,'BBT3'!A:F,4,1),"")</f>
        <v/>
      </c>
      <c r="E1922" t="str">
        <f>IF(NOT(ISBLANK(A1922)),VLOOKUP(A1922,'BBT3'!A:F,5,0),"")</f>
        <v/>
      </c>
      <c r="F1922" t="str">
        <f>IF(NOT(ISBLANK(A1922)),VLOOKUP(A1922,'BBT3'!A:F,6,0),"")</f>
        <v/>
      </c>
      <c r="G1922" t="str">
        <f>IF(NOT(ISBLANK(A1922)),VLOOKUP(A1922,QW_Close!A:J,5,0),"")</f>
        <v/>
      </c>
      <c r="H1922" s="5" t="str" cm="1">
        <f t="array" ref="H1922">IF(NOT(ISBLANK(A1922)),((_xlfn.XLOOKUP(1,(_bbt3[[#All],[ID]]=A1922)*(_bbt3[[#All],[METRIC_NAME]]="YLD_YTM_ASK"),_bbt3[[#All],[METRIC_VALUE]])*0.5)+(_xlfn.XLOOKUP(1,(_bbt3[[#All],[ID]]=A1922)*(_bbt3[[#All],[METRIC_NAME]]="YLD_YTM_BID"),_bbt3[[#All],[METRIC_VALUE]])*0.5))/100,"")</f>
        <v/>
      </c>
      <c r="I1922">
        <f>IF(ISNA(VLOOKUP(A1922,QW_CloseDL!A:E,5,0)),0,VLOOKUP(A1922,QW_CloseDL!A:E,5,0))</f>
        <v>0</v>
      </c>
      <c r="J1922" s="8" t="str">
        <f t="shared" si="119"/>
        <v/>
      </c>
    </row>
    <row r="1923" spans="2:10" x14ac:dyDescent="0.35">
      <c r="B1923" t="str">
        <f>IF(NOT(ISBLANK(A1923)),VLOOKUP(A1923,'BBT3'!A:F,2,0),"")</f>
        <v/>
      </c>
      <c r="C1923" t="str">
        <f>IF(NOT(ISBLANK(A1923)),VLOOKUP(A1923,'BBT3'!A:F,3,0),"")</f>
        <v/>
      </c>
      <c r="D1923" s="6" t="str">
        <f>IF(NOT(ISBLANK(A1923)),VLOOKUP(A1923,'BBT3'!A:F,4,1),"")</f>
        <v/>
      </c>
      <c r="E1923" t="str">
        <f>IF(NOT(ISBLANK(A1923)),VLOOKUP(A1923,'BBT3'!A:F,5,0),"")</f>
        <v/>
      </c>
      <c r="F1923" t="str">
        <f>IF(NOT(ISBLANK(A1923)),VLOOKUP(A1923,'BBT3'!A:F,6,0),"")</f>
        <v/>
      </c>
      <c r="G1923" t="str">
        <f>IF(NOT(ISBLANK(A1923)),VLOOKUP(A1923,QW_Close!A:J,5,0),"")</f>
        <v/>
      </c>
      <c r="H1923" s="5" t="str" cm="1">
        <f t="array" ref="H1923">IF(NOT(ISBLANK(A1923)),((_xlfn.XLOOKUP(1,(_bbt3[[#All],[ID]]=A1923)*(_bbt3[[#All],[METRIC_NAME]]="YLD_YTM_ASK"),_bbt3[[#All],[METRIC_VALUE]])*0.5)+(_xlfn.XLOOKUP(1,(_bbt3[[#All],[ID]]=A1923)*(_bbt3[[#All],[METRIC_NAME]]="YLD_YTM_BID"),_bbt3[[#All],[METRIC_VALUE]])*0.5))/100,"")</f>
        <v/>
      </c>
      <c r="I1923">
        <f>IF(ISNA(VLOOKUP(A1923,QW_CloseDL!A:E,5,0)),0,VLOOKUP(A1923,QW_CloseDL!A:E,5,0))</f>
        <v>0</v>
      </c>
      <c r="J1923" s="8" t="str">
        <f t="shared" ref="J1923:J1986" si="120">IF(ISNA(IF(NOT(ISBLANK(A1923)),ABS(G1923-I1923),"")),0,(IF(NOT(ISBLANK(A1923)),ABS(G1923-I1923)*10000,"")))</f>
        <v/>
      </c>
    </row>
    <row r="1924" spans="2:10" x14ac:dyDescent="0.35">
      <c r="B1924" t="str">
        <f>IF(NOT(ISBLANK(A1924)),VLOOKUP(A1924,'BBT3'!A:F,2,0),"")</f>
        <v/>
      </c>
      <c r="C1924" t="str">
        <f>IF(NOT(ISBLANK(A1924)),VLOOKUP(A1924,'BBT3'!A:F,3,0),"")</f>
        <v/>
      </c>
      <c r="D1924" s="6" t="str">
        <f>IF(NOT(ISBLANK(A1924)),VLOOKUP(A1924,'BBT3'!A:F,4,1),"")</f>
        <v/>
      </c>
      <c r="E1924" t="str">
        <f>IF(NOT(ISBLANK(A1924)),VLOOKUP(A1924,'BBT3'!A:F,5,0),"")</f>
        <v/>
      </c>
      <c r="F1924" t="str">
        <f>IF(NOT(ISBLANK(A1924)),VLOOKUP(A1924,'BBT3'!A:F,6,0),"")</f>
        <v/>
      </c>
      <c r="G1924" t="str">
        <f>IF(NOT(ISBLANK(A1924)),VLOOKUP(A1924,QW_Close!A:J,5,0),"")</f>
        <v/>
      </c>
      <c r="H1924" s="5" t="str" cm="1">
        <f t="array" ref="H1924">IF(NOT(ISBLANK(A1924)),((_xlfn.XLOOKUP(1,(_bbt3[[#All],[ID]]=A1924)*(_bbt3[[#All],[METRIC_NAME]]="YLD_YTM_ASK"),_bbt3[[#All],[METRIC_VALUE]])*0.5)+(_xlfn.XLOOKUP(1,(_bbt3[[#All],[ID]]=A1924)*(_bbt3[[#All],[METRIC_NAME]]="YLD_YTM_BID"),_bbt3[[#All],[METRIC_VALUE]])*0.5))/100,"")</f>
        <v/>
      </c>
      <c r="I1924">
        <f>IF(ISNA(VLOOKUP(A1924,QW_CloseDL!A:E,5,0)),0,VLOOKUP(A1924,QW_CloseDL!A:E,5,0))</f>
        <v>0</v>
      </c>
      <c r="J1924" s="8" t="str">
        <f t="shared" si="120"/>
        <v/>
      </c>
    </row>
    <row r="1925" spans="2:10" x14ac:dyDescent="0.35">
      <c r="B1925" t="str">
        <f>IF(NOT(ISBLANK(A1925)),VLOOKUP(A1925,'BBT3'!A:F,2,0),"")</f>
        <v/>
      </c>
      <c r="C1925" t="str">
        <f>IF(NOT(ISBLANK(A1925)),VLOOKUP(A1925,'BBT3'!A:F,3,0),"")</f>
        <v/>
      </c>
      <c r="D1925" s="6" t="str">
        <f>IF(NOT(ISBLANK(A1925)),VLOOKUP(A1925,'BBT3'!A:F,4,1),"")</f>
        <v/>
      </c>
      <c r="E1925" t="str">
        <f>IF(NOT(ISBLANK(A1925)),VLOOKUP(A1925,'BBT3'!A:F,5,0),"")</f>
        <v/>
      </c>
      <c r="F1925" t="str">
        <f>IF(NOT(ISBLANK(A1925)),VLOOKUP(A1925,'BBT3'!A:F,6,0),"")</f>
        <v/>
      </c>
      <c r="G1925" t="str">
        <f>IF(NOT(ISBLANK(A1925)),VLOOKUP(A1925,QW_Close!A:J,5,0),"")</f>
        <v/>
      </c>
      <c r="H1925" s="5" t="str" cm="1">
        <f t="array" ref="H1925">IF(NOT(ISBLANK(A1925)),((_xlfn.XLOOKUP(1,(_bbt3[[#All],[ID]]=A1925)*(_bbt3[[#All],[METRIC_NAME]]="YLD_YTM_ASK"),_bbt3[[#All],[METRIC_VALUE]])*0.5)+(_xlfn.XLOOKUP(1,(_bbt3[[#All],[ID]]=A1925)*(_bbt3[[#All],[METRIC_NAME]]="YLD_YTM_BID"),_bbt3[[#All],[METRIC_VALUE]])*0.5))/100,"")</f>
        <v/>
      </c>
      <c r="I1925">
        <f>IF(ISNA(VLOOKUP(A1925,QW_CloseDL!A:E,5,0)),0,VLOOKUP(A1925,QW_CloseDL!A:E,5,0))</f>
        <v>0</v>
      </c>
      <c r="J1925" s="8" t="str">
        <f t="shared" si="120"/>
        <v/>
      </c>
    </row>
    <row r="1926" spans="2:10" x14ac:dyDescent="0.35">
      <c r="B1926" t="str">
        <f>IF(NOT(ISBLANK(A1926)),VLOOKUP(A1926,'BBT3'!A:F,2,0),"")</f>
        <v/>
      </c>
      <c r="C1926" t="str">
        <f>IF(NOT(ISBLANK(A1926)),VLOOKUP(A1926,'BBT3'!A:F,3,0),"")</f>
        <v/>
      </c>
      <c r="D1926" s="6" t="str">
        <f>IF(NOT(ISBLANK(A1926)),VLOOKUP(A1926,'BBT3'!A:F,4,1),"")</f>
        <v/>
      </c>
      <c r="E1926" t="str">
        <f>IF(NOT(ISBLANK(A1926)),VLOOKUP(A1926,'BBT3'!A:F,5,0),"")</f>
        <v/>
      </c>
      <c r="F1926" t="str">
        <f>IF(NOT(ISBLANK(A1926)),VLOOKUP(A1926,'BBT3'!A:F,6,0),"")</f>
        <v/>
      </c>
      <c r="G1926" t="str">
        <f>IF(NOT(ISBLANK(A1926)),VLOOKUP(A1926,QW_Close!A:J,5,0),"")</f>
        <v/>
      </c>
      <c r="H1926" s="5" t="str" cm="1">
        <f t="array" ref="H1926">IF(NOT(ISBLANK(A1926)),((_xlfn.XLOOKUP(1,(_bbt3[[#All],[ID]]=A1926)*(_bbt3[[#All],[METRIC_NAME]]="YLD_YTM_ASK"),_bbt3[[#All],[METRIC_VALUE]])*0.5)+(_xlfn.XLOOKUP(1,(_bbt3[[#All],[ID]]=A1926)*(_bbt3[[#All],[METRIC_NAME]]="YLD_YTM_BID"),_bbt3[[#All],[METRIC_VALUE]])*0.5))/100,"")</f>
        <v/>
      </c>
      <c r="I1926">
        <f>IF(ISNA(VLOOKUP(A1926,QW_CloseDL!A:E,5,0)),0,VLOOKUP(A1926,QW_CloseDL!A:E,5,0))</f>
        <v>0</v>
      </c>
      <c r="J1926" s="8" t="str">
        <f t="shared" si="120"/>
        <v/>
      </c>
    </row>
    <row r="1927" spans="2:10" x14ac:dyDescent="0.35">
      <c r="B1927" t="str">
        <f>IF(NOT(ISBLANK(A1927)),VLOOKUP(A1927,'BBT3'!A:F,2,0),"")</f>
        <v/>
      </c>
      <c r="C1927" t="str">
        <f>IF(NOT(ISBLANK(A1927)),VLOOKUP(A1927,'BBT3'!A:F,3,0),"")</f>
        <v/>
      </c>
      <c r="D1927" s="6" t="str">
        <f>IF(NOT(ISBLANK(A1927)),VLOOKUP(A1927,'BBT3'!A:F,4,1),"")</f>
        <v/>
      </c>
      <c r="E1927" t="str">
        <f>IF(NOT(ISBLANK(A1927)),VLOOKUP(A1927,'BBT3'!A:F,5,0),"")</f>
        <v/>
      </c>
      <c r="F1927" t="str">
        <f>IF(NOT(ISBLANK(A1927)),VLOOKUP(A1927,'BBT3'!A:F,6,0),"")</f>
        <v/>
      </c>
      <c r="G1927" t="str">
        <f>IF(NOT(ISBLANK(A1927)),VLOOKUP(A1927,QW_Close!A:J,5,0),"")</f>
        <v/>
      </c>
      <c r="H1927" s="5" t="str" cm="1">
        <f t="array" ref="H1927">IF(NOT(ISBLANK(A1927)),((_xlfn.XLOOKUP(1,(_bbt3[[#All],[ID]]=A1927)*(_bbt3[[#All],[METRIC_NAME]]="YLD_YTM_ASK"),_bbt3[[#All],[METRIC_VALUE]])*0.5)+(_xlfn.XLOOKUP(1,(_bbt3[[#All],[ID]]=A1927)*(_bbt3[[#All],[METRIC_NAME]]="YLD_YTM_BID"),_bbt3[[#All],[METRIC_VALUE]])*0.5))/100,"")</f>
        <v/>
      </c>
      <c r="I1927">
        <f>IF(ISNA(VLOOKUP(A1927,QW_CloseDL!A:E,5,0)),0,VLOOKUP(A1927,QW_CloseDL!A:E,5,0))</f>
        <v>0</v>
      </c>
      <c r="J1927" s="8" t="str">
        <f t="shared" si="120"/>
        <v/>
      </c>
    </row>
    <row r="1928" spans="2:10" x14ac:dyDescent="0.35">
      <c r="B1928" t="str">
        <f>IF(NOT(ISBLANK(A1928)),VLOOKUP(A1928,'BBT3'!A:F,2,0),"")</f>
        <v/>
      </c>
      <c r="C1928" t="str">
        <f>IF(NOT(ISBLANK(A1928)),VLOOKUP(A1928,'BBT3'!A:F,3,0),"")</f>
        <v/>
      </c>
      <c r="D1928" s="6" t="str">
        <f>IF(NOT(ISBLANK(A1928)),VLOOKUP(A1928,'BBT3'!A:F,4,1),"")</f>
        <v/>
      </c>
      <c r="E1928" t="str">
        <f>IF(NOT(ISBLANK(A1928)),VLOOKUP(A1928,'BBT3'!A:F,5,0),"")</f>
        <v/>
      </c>
      <c r="F1928" t="str">
        <f>IF(NOT(ISBLANK(A1928)),VLOOKUP(A1928,'BBT3'!A:F,6,0),"")</f>
        <v/>
      </c>
      <c r="G1928" t="str">
        <f>IF(NOT(ISBLANK(A1928)),VLOOKUP(A1928,QW_Close!A:J,5,0),"")</f>
        <v/>
      </c>
      <c r="H1928" s="5" t="str" cm="1">
        <f t="array" ref="H1928">IF(NOT(ISBLANK(A1928)),((_xlfn.XLOOKUP(1,(_bbt3[[#All],[ID]]=A1928)*(_bbt3[[#All],[METRIC_NAME]]="YLD_YTM_ASK"),_bbt3[[#All],[METRIC_VALUE]])*0.5)+(_xlfn.XLOOKUP(1,(_bbt3[[#All],[ID]]=A1928)*(_bbt3[[#All],[METRIC_NAME]]="YLD_YTM_BID"),_bbt3[[#All],[METRIC_VALUE]])*0.5))/100,"")</f>
        <v/>
      </c>
      <c r="I1928">
        <f>IF(ISNA(VLOOKUP(A1928,QW_CloseDL!A:E,5,0)),0,VLOOKUP(A1928,QW_CloseDL!A:E,5,0))</f>
        <v>0</v>
      </c>
      <c r="J1928" s="8" t="str">
        <f t="shared" si="120"/>
        <v/>
      </c>
    </row>
    <row r="1929" spans="2:10" x14ac:dyDescent="0.35">
      <c r="B1929" t="str">
        <f>IF(NOT(ISBLANK(A1929)),VLOOKUP(A1929,'BBT3'!A:F,2,0),"")</f>
        <v/>
      </c>
      <c r="C1929" t="str">
        <f>IF(NOT(ISBLANK(A1929)),VLOOKUP(A1929,'BBT3'!A:F,3,0),"")</f>
        <v/>
      </c>
      <c r="D1929" s="6" t="str">
        <f>IF(NOT(ISBLANK(A1929)),VLOOKUP(A1929,'BBT3'!A:F,4,1),"")</f>
        <v/>
      </c>
      <c r="E1929" t="str">
        <f>IF(NOT(ISBLANK(A1929)),VLOOKUP(A1929,'BBT3'!A:F,5,0),"")</f>
        <v/>
      </c>
      <c r="F1929" t="str">
        <f>IF(NOT(ISBLANK(A1929)),VLOOKUP(A1929,'BBT3'!A:F,6,0),"")</f>
        <v/>
      </c>
      <c r="G1929" t="str">
        <f>IF(NOT(ISBLANK(A1929)),VLOOKUP(A1929,QW_Close!A:J,5,0),"")</f>
        <v/>
      </c>
      <c r="H1929" s="5" t="str" cm="1">
        <f t="array" ref="H1929">IF(NOT(ISBLANK(A1929)),((_xlfn.XLOOKUP(1,(_bbt3[[#All],[ID]]=A1929)*(_bbt3[[#All],[METRIC_NAME]]="YLD_YTM_ASK"),_bbt3[[#All],[METRIC_VALUE]])*0.5)+(_xlfn.XLOOKUP(1,(_bbt3[[#All],[ID]]=A1929)*(_bbt3[[#All],[METRIC_NAME]]="YLD_YTM_BID"),_bbt3[[#All],[METRIC_VALUE]])*0.5))/100,"")</f>
        <v/>
      </c>
      <c r="I1929">
        <f>IF(ISNA(VLOOKUP(A1929,QW_CloseDL!A:E,5,0)),0,VLOOKUP(A1929,QW_CloseDL!A:E,5,0))</f>
        <v>0</v>
      </c>
      <c r="J1929" s="8" t="str">
        <f t="shared" si="120"/>
        <v/>
      </c>
    </row>
    <row r="1930" spans="2:10" x14ac:dyDescent="0.35">
      <c r="B1930" t="str">
        <f>IF(NOT(ISBLANK(A1930)),VLOOKUP(A1930,'BBT3'!A:F,2,0),"")</f>
        <v/>
      </c>
      <c r="C1930" t="str">
        <f>IF(NOT(ISBLANK(A1930)),VLOOKUP(A1930,'BBT3'!A:F,3,0),"")</f>
        <v/>
      </c>
      <c r="D1930" s="6" t="str">
        <f>IF(NOT(ISBLANK(A1930)),VLOOKUP(A1930,'BBT3'!A:F,4,1),"")</f>
        <v/>
      </c>
      <c r="E1930" t="str">
        <f>IF(NOT(ISBLANK(A1930)),VLOOKUP(A1930,'BBT3'!A:F,5,0),"")</f>
        <v/>
      </c>
      <c r="F1930" t="str">
        <f>IF(NOT(ISBLANK(A1930)),VLOOKUP(A1930,'BBT3'!A:F,6,0),"")</f>
        <v/>
      </c>
      <c r="G1930" t="str">
        <f>IF(NOT(ISBLANK(A1930)),VLOOKUP(A1930,QW_Close!A:J,5,0),"")</f>
        <v/>
      </c>
      <c r="H1930" s="5" t="str" cm="1">
        <f t="array" ref="H1930">IF(NOT(ISBLANK(A1930)),((_xlfn.XLOOKUP(1,(_bbt3[[#All],[ID]]=A1930)*(_bbt3[[#All],[METRIC_NAME]]="YLD_YTM_ASK"),_bbt3[[#All],[METRIC_VALUE]])*0.5)+(_xlfn.XLOOKUP(1,(_bbt3[[#All],[ID]]=A1930)*(_bbt3[[#All],[METRIC_NAME]]="YLD_YTM_BID"),_bbt3[[#All],[METRIC_VALUE]])*0.5))/100,"")</f>
        <v/>
      </c>
      <c r="I1930">
        <f>IF(ISNA(VLOOKUP(A1930,QW_CloseDL!A:E,5,0)),0,VLOOKUP(A1930,QW_CloseDL!A:E,5,0))</f>
        <v>0</v>
      </c>
      <c r="J1930" s="8" t="str">
        <f t="shared" si="120"/>
        <v/>
      </c>
    </row>
    <row r="1931" spans="2:10" x14ac:dyDescent="0.35">
      <c r="B1931" t="str">
        <f>IF(NOT(ISBLANK(A1931)),VLOOKUP(A1931,'BBT3'!A:F,2,0),"")</f>
        <v/>
      </c>
      <c r="C1931" t="str">
        <f>IF(NOT(ISBLANK(A1931)),VLOOKUP(A1931,'BBT3'!A:F,3,0),"")</f>
        <v/>
      </c>
      <c r="D1931" s="6" t="str">
        <f>IF(NOT(ISBLANK(A1931)),VLOOKUP(A1931,'BBT3'!A:F,4,1),"")</f>
        <v/>
      </c>
      <c r="E1931" t="str">
        <f>IF(NOT(ISBLANK(A1931)),VLOOKUP(A1931,'BBT3'!A:F,5,0),"")</f>
        <v/>
      </c>
      <c r="F1931" t="str">
        <f>IF(NOT(ISBLANK(A1931)),VLOOKUP(A1931,'BBT3'!A:F,6,0),"")</f>
        <v/>
      </c>
      <c r="G1931" t="str">
        <f>IF(NOT(ISBLANK(A1931)),VLOOKUP(A1931,QW_Close!A:J,5,0),"")</f>
        <v/>
      </c>
      <c r="H1931" s="5" t="str" cm="1">
        <f t="array" ref="H1931">IF(NOT(ISBLANK(A1931)),((_xlfn.XLOOKUP(1,(_bbt3[[#All],[ID]]=A1931)*(_bbt3[[#All],[METRIC_NAME]]="YLD_YTM_ASK"),_bbt3[[#All],[METRIC_VALUE]])*0.5)+(_xlfn.XLOOKUP(1,(_bbt3[[#All],[ID]]=A1931)*(_bbt3[[#All],[METRIC_NAME]]="YLD_YTM_BID"),_bbt3[[#All],[METRIC_VALUE]])*0.5))/100,"")</f>
        <v/>
      </c>
      <c r="I1931">
        <f>IF(ISNA(VLOOKUP(A1931,QW_CloseDL!A:E,5,0)),0,VLOOKUP(A1931,QW_CloseDL!A:E,5,0))</f>
        <v>0</v>
      </c>
      <c r="J1931" s="8" t="str">
        <f t="shared" si="120"/>
        <v/>
      </c>
    </row>
    <row r="1932" spans="2:10" x14ac:dyDescent="0.35">
      <c r="B1932" t="str">
        <f>IF(NOT(ISBLANK(A1932)),VLOOKUP(A1932,'BBT3'!A:F,2,0),"")</f>
        <v/>
      </c>
      <c r="C1932" t="str">
        <f>IF(NOT(ISBLANK(A1932)),VLOOKUP(A1932,'BBT3'!A:F,3,0),"")</f>
        <v/>
      </c>
      <c r="D1932" s="6" t="str">
        <f>IF(NOT(ISBLANK(A1932)),VLOOKUP(A1932,'BBT3'!A:F,4,1),"")</f>
        <v/>
      </c>
      <c r="E1932" t="str">
        <f>IF(NOT(ISBLANK(A1932)),VLOOKUP(A1932,'BBT3'!A:F,5,0),"")</f>
        <v/>
      </c>
      <c r="F1932" t="str">
        <f>IF(NOT(ISBLANK(A1932)),VLOOKUP(A1932,'BBT3'!A:F,6,0),"")</f>
        <v/>
      </c>
      <c r="G1932" t="str">
        <f>IF(NOT(ISBLANK(A1932)),VLOOKUP(A1932,QW_Close!A:J,5,0),"")</f>
        <v/>
      </c>
      <c r="H1932" s="5" t="str" cm="1">
        <f t="array" ref="H1932">IF(NOT(ISBLANK(A1932)),((_xlfn.XLOOKUP(1,(_bbt3[[#All],[ID]]=A1932)*(_bbt3[[#All],[METRIC_NAME]]="YLD_YTM_ASK"),_bbt3[[#All],[METRIC_VALUE]])*0.5)+(_xlfn.XLOOKUP(1,(_bbt3[[#All],[ID]]=A1932)*(_bbt3[[#All],[METRIC_NAME]]="YLD_YTM_BID"),_bbt3[[#All],[METRIC_VALUE]])*0.5))/100,"")</f>
        <v/>
      </c>
      <c r="I1932">
        <f>IF(ISNA(VLOOKUP(A1932,QW_CloseDL!A:E,5,0)),0,VLOOKUP(A1932,QW_CloseDL!A:E,5,0))</f>
        <v>0</v>
      </c>
      <c r="J1932" s="8" t="str">
        <f t="shared" si="120"/>
        <v/>
      </c>
    </row>
    <row r="1933" spans="2:10" x14ac:dyDescent="0.35">
      <c r="B1933" t="str">
        <f>IF(NOT(ISBLANK(A1933)),VLOOKUP(A1933,'BBT3'!A:F,2,0),"")</f>
        <v/>
      </c>
      <c r="C1933" t="str">
        <f>IF(NOT(ISBLANK(A1933)),VLOOKUP(A1933,'BBT3'!A:F,3,0),"")</f>
        <v/>
      </c>
      <c r="D1933" s="6" t="str">
        <f>IF(NOT(ISBLANK(A1933)),VLOOKUP(A1933,'BBT3'!A:F,4,1),"")</f>
        <v/>
      </c>
      <c r="E1933" t="str">
        <f>IF(NOT(ISBLANK(A1933)),VLOOKUP(A1933,'BBT3'!A:F,5,0),"")</f>
        <v/>
      </c>
      <c r="F1933" t="str">
        <f>IF(NOT(ISBLANK(A1933)),VLOOKUP(A1933,'BBT3'!A:F,6,0),"")</f>
        <v/>
      </c>
      <c r="G1933" t="str">
        <f>IF(NOT(ISBLANK(A1933)),VLOOKUP(A1933,QW_Close!A:J,5,0),"")</f>
        <v/>
      </c>
      <c r="H1933" s="5" t="str" cm="1">
        <f t="array" ref="H1933">IF(NOT(ISBLANK(A1933)),((_xlfn.XLOOKUP(1,(_bbt3[[#All],[ID]]=A1933)*(_bbt3[[#All],[METRIC_NAME]]="YLD_YTM_ASK"),_bbt3[[#All],[METRIC_VALUE]])*0.5)+(_xlfn.XLOOKUP(1,(_bbt3[[#All],[ID]]=A1933)*(_bbt3[[#All],[METRIC_NAME]]="YLD_YTM_BID"),_bbt3[[#All],[METRIC_VALUE]])*0.5))/100,"")</f>
        <v/>
      </c>
      <c r="I1933">
        <f>IF(ISNA(VLOOKUP(A1933,QW_CloseDL!A:E,5,0)),0,VLOOKUP(A1933,QW_CloseDL!A:E,5,0))</f>
        <v>0</v>
      </c>
      <c r="J1933" s="8" t="str">
        <f t="shared" si="120"/>
        <v/>
      </c>
    </row>
    <row r="1934" spans="2:10" x14ac:dyDescent="0.35">
      <c r="B1934" t="str">
        <f>IF(NOT(ISBLANK(A1934)),VLOOKUP(A1934,'BBT3'!A:F,2,0),"")</f>
        <v/>
      </c>
      <c r="C1934" t="str">
        <f>IF(NOT(ISBLANK(A1934)),VLOOKUP(A1934,'BBT3'!A:F,3,0),"")</f>
        <v/>
      </c>
      <c r="D1934" s="6" t="str">
        <f>IF(NOT(ISBLANK(A1934)),VLOOKUP(A1934,'BBT3'!A:F,4,1),"")</f>
        <v/>
      </c>
      <c r="E1934" t="str">
        <f>IF(NOT(ISBLANK(A1934)),VLOOKUP(A1934,'BBT3'!A:F,5,0),"")</f>
        <v/>
      </c>
      <c r="F1934" t="str">
        <f>IF(NOT(ISBLANK(A1934)),VLOOKUP(A1934,'BBT3'!A:F,6,0),"")</f>
        <v/>
      </c>
      <c r="G1934" t="str">
        <f>IF(NOT(ISBLANK(A1934)),VLOOKUP(A1934,QW_Close!A:J,5,0),"")</f>
        <v/>
      </c>
      <c r="H1934" s="5" t="str" cm="1">
        <f t="array" ref="H1934">IF(NOT(ISBLANK(A1934)),((_xlfn.XLOOKUP(1,(_bbt3[[#All],[ID]]=A1934)*(_bbt3[[#All],[METRIC_NAME]]="YLD_YTM_ASK"),_bbt3[[#All],[METRIC_VALUE]])*0.5)+(_xlfn.XLOOKUP(1,(_bbt3[[#All],[ID]]=A1934)*(_bbt3[[#All],[METRIC_NAME]]="YLD_YTM_BID"),_bbt3[[#All],[METRIC_VALUE]])*0.5))/100,"")</f>
        <v/>
      </c>
      <c r="I1934">
        <f>IF(ISNA(VLOOKUP(A1934,QW_CloseDL!A:E,5,0)),0,VLOOKUP(A1934,QW_CloseDL!A:E,5,0))</f>
        <v>0</v>
      </c>
      <c r="J1934" s="8" t="str">
        <f t="shared" si="120"/>
        <v/>
      </c>
    </row>
    <row r="1935" spans="2:10" x14ac:dyDescent="0.35">
      <c r="B1935" t="str">
        <f>IF(NOT(ISBLANK(A1935)),VLOOKUP(A1935,'BBT3'!A:F,2,0),"")</f>
        <v/>
      </c>
      <c r="C1935" t="str">
        <f>IF(NOT(ISBLANK(A1935)),VLOOKUP(A1935,'BBT3'!A:F,3,0),"")</f>
        <v/>
      </c>
      <c r="D1935" s="6" t="str">
        <f>IF(NOT(ISBLANK(A1935)),VLOOKUP(A1935,'BBT3'!A:F,4,1),"")</f>
        <v/>
      </c>
      <c r="E1935" t="str">
        <f>IF(NOT(ISBLANK(A1935)),VLOOKUP(A1935,'BBT3'!A:F,5,0),"")</f>
        <v/>
      </c>
      <c r="F1935" t="str">
        <f>IF(NOT(ISBLANK(A1935)),VLOOKUP(A1935,'BBT3'!A:F,6,0),"")</f>
        <v/>
      </c>
      <c r="G1935" t="str">
        <f>IF(NOT(ISBLANK(A1935)),VLOOKUP(A1935,QW_Close!A:J,5,0),"")</f>
        <v/>
      </c>
      <c r="H1935" s="5" t="str" cm="1">
        <f t="array" ref="H1935">IF(NOT(ISBLANK(A1935)),((_xlfn.XLOOKUP(1,(_bbt3[[#All],[ID]]=A1935)*(_bbt3[[#All],[METRIC_NAME]]="YLD_YTM_ASK"),_bbt3[[#All],[METRIC_VALUE]])*0.5)+(_xlfn.XLOOKUP(1,(_bbt3[[#All],[ID]]=A1935)*(_bbt3[[#All],[METRIC_NAME]]="YLD_YTM_BID"),_bbt3[[#All],[METRIC_VALUE]])*0.5))/100,"")</f>
        <v/>
      </c>
      <c r="I1935">
        <f>IF(ISNA(VLOOKUP(A1935,QW_CloseDL!A:E,5,0)),0,VLOOKUP(A1935,QW_CloseDL!A:E,5,0))</f>
        <v>0</v>
      </c>
      <c r="J1935" s="8" t="str">
        <f t="shared" si="120"/>
        <v/>
      </c>
    </row>
    <row r="1936" spans="2:10" x14ac:dyDescent="0.35">
      <c r="B1936" t="str">
        <f>IF(NOT(ISBLANK(A1936)),VLOOKUP(A1936,'BBT3'!A:F,2,0),"")</f>
        <v/>
      </c>
      <c r="C1936" t="str">
        <f>IF(NOT(ISBLANK(A1936)),VLOOKUP(A1936,'BBT3'!A:F,3,0),"")</f>
        <v/>
      </c>
      <c r="D1936" s="6" t="str">
        <f>IF(NOT(ISBLANK(A1936)),VLOOKUP(A1936,'BBT3'!A:F,4,1),"")</f>
        <v/>
      </c>
      <c r="E1936" t="str">
        <f>IF(NOT(ISBLANK(A1936)),VLOOKUP(A1936,'BBT3'!A:F,5,0),"")</f>
        <v/>
      </c>
      <c r="F1936" t="str">
        <f>IF(NOT(ISBLANK(A1936)),VLOOKUP(A1936,'BBT3'!A:F,6,0),"")</f>
        <v/>
      </c>
      <c r="G1936" t="str">
        <f>IF(NOT(ISBLANK(A1936)),VLOOKUP(A1936,QW_Close!A:J,5,0),"")</f>
        <v/>
      </c>
      <c r="H1936" s="5" t="str" cm="1">
        <f t="array" ref="H1936">IF(NOT(ISBLANK(A1936)),((_xlfn.XLOOKUP(1,(_bbt3[[#All],[ID]]=A1936)*(_bbt3[[#All],[METRIC_NAME]]="YLD_YTM_ASK"),_bbt3[[#All],[METRIC_VALUE]])*0.5)+(_xlfn.XLOOKUP(1,(_bbt3[[#All],[ID]]=A1936)*(_bbt3[[#All],[METRIC_NAME]]="YLD_YTM_BID"),_bbt3[[#All],[METRIC_VALUE]])*0.5))/100,"")</f>
        <v/>
      </c>
      <c r="I1936">
        <f>IF(ISNA(VLOOKUP(A1936,QW_CloseDL!A:E,5,0)),0,VLOOKUP(A1936,QW_CloseDL!A:E,5,0))</f>
        <v>0</v>
      </c>
      <c r="J1936" s="8" t="str">
        <f t="shared" si="120"/>
        <v/>
      </c>
    </row>
    <row r="1937" spans="2:10" x14ac:dyDescent="0.35">
      <c r="B1937" t="str">
        <f>IF(NOT(ISBLANK(A1937)),VLOOKUP(A1937,'BBT3'!A:F,2,0),"")</f>
        <v/>
      </c>
      <c r="C1937" t="str">
        <f>IF(NOT(ISBLANK(A1937)),VLOOKUP(A1937,'BBT3'!A:F,3,0),"")</f>
        <v/>
      </c>
      <c r="D1937" s="6" t="str">
        <f>IF(NOT(ISBLANK(A1937)),VLOOKUP(A1937,'BBT3'!A:F,4,1),"")</f>
        <v/>
      </c>
      <c r="E1937" t="str">
        <f>IF(NOT(ISBLANK(A1937)),VLOOKUP(A1937,'BBT3'!A:F,5,0),"")</f>
        <v/>
      </c>
      <c r="F1937" t="str">
        <f>IF(NOT(ISBLANK(A1937)),VLOOKUP(A1937,'BBT3'!A:F,6,0),"")</f>
        <v/>
      </c>
      <c r="G1937" t="str">
        <f>IF(NOT(ISBLANK(A1937)),VLOOKUP(A1937,QW_Close!A:J,5,0),"")</f>
        <v/>
      </c>
      <c r="H1937" s="5" t="str" cm="1">
        <f t="array" ref="H1937">IF(NOT(ISBLANK(A1937)),((_xlfn.XLOOKUP(1,(_bbt3[[#All],[ID]]=A1937)*(_bbt3[[#All],[METRIC_NAME]]="YLD_YTM_ASK"),_bbt3[[#All],[METRIC_VALUE]])*0.5)+(_xlfn.XLOOKUP(1,(_bbt3[[#All],[ID]]=A1937)*(_bbt3[[#All],[METRIC_NAME]]="YLD_YTM_BID"),_bbt3[[#All],[METRIC_VALUE]])*0.5))/100,"")</f>
        <v/>
      </c>
      <c r="I1937">
        <f>IF(ISNA(VLOOKUP(A1937,QW_CloseDL!A:E,5,0)),0,VLOOKUP(A1937,QW_CloseDL!A:E,5,0))</f>
        <v>0</v>
      </c>
      <c r="J1937" s="8" t="str">
        <f t="shared" si="120"/>
        <v/>
      </c>
    </row>
    <row r="1938" spans="2:10" x14ac:dyDescent="0.35">
      <c r="B1938" t="str">
        <f>IF(NOT(ISBLANK(A1938)),VLOOKUP(A1938,'BBT3'!A:F,2,0),"")</f>
        <v/>
      </c>
      <c r="C1938" t="str">
        <f>IF(NOT(ISBLANK(A1938)),VLOOKUP(A1938,'BBT3'!A:F,3,0),"")</f>
        <v/>
      </c>
      <c r="D1938" s="6" t="str">
        <f>IF(NOT(ISBLANK(A1938)),VLOOKUP(A1938,'BBT3'!A:F,4,1),"")</f>
        <v/>
      </c>
      <c r="E1938" t="str">
        <f>IF(NOT(ISBLANK(A1938)),VLOOKUP(A1938,'BBT3'!A:F,5,0),"")</f>
        <v/>
      </c>
      <c r="F1938" t="str">
        <f>IF(NOT(ISBLANK(A1938)),VLOOKUP(A1938,'BBT3'!A:F,6,0),"")</f>
        <v/>
      </c>
      <c r="G1938" t="str">
        <f>IF(NOT(ISBLANK(A1938)),VLOOKUP(A1938,QW_Close!A:J,5,0),"")</f>
        <v/>
      </c>
      <c r="H1938" s="5" t="str" cm="1">
        <f t="array" ref="H1938">IF(NOT(ISBLANK(A1938)),((_xlfn.XLOOKUP(1,(_bbt3[[#All],[ID]]=A1938)*(_bbt3[[#All],[METRIC_NAME]]="YLD_YTM_ASK"),_bbt3[[#All],[METRIC_VALUE]])*0.5)+(_xlfn.XLOOKUP(1,(_bbt3[[#All],[ID]]=A1938)*(_bbt3[[#All],[METRIC_NAME]]="YLD_YTM_BID"),_bbt3[[#All],[METRIC_VALUE]])*0.5))/100,"")</f>
        <v/>
      </c>
      <c r="I1938">
        <f>IF(ISNA(VLOOKUP(A1938,QW_CloseDL!A:E,5,0)),0,VLOOKUP(A1938,QW_CloseDL!A:E,5,0))</f>
        <v>0</v>
      </c>
      <c r="J1938" s="8" t="str">
        <f t="shared" si="120"/>
        <v/>
      </c>
    </row>
    <row r="1939" spans="2:10" x14ac:dyDescent="0.35">
      <c r="B1939" t="str">
        <f>IF(NOT(ISBLANK(A1939)),VLOOKUP(A1939,'BBT3'!A:F,2,0),"")</f>
        <v/>
      </c>
      <c r="C1939" t="str">
        <f>IF(NOT(ISBLANK(A1939)),VLOOKUP(A1939,'BBT3'!A:F,3,0),"")</f>
        <v/>
      </c>
      <c r="D1939" s="6" t="str">
        <f>IF(NOT(ISBLANK(A1939)),VLOOKUP(A1939,'BBT3'!A:F,4,1),"")</f>
        <v/>
      </c>
      <c r="E1939" t="str">
        <f>IF(NOT(ISBLANK(A1939)),VLOOKUP(A1939,'BBT3'!A:F,5,0),"")</f>
        <v/>
      </c>
      <c r="F1939" t="str">
        <f>IF(NOT(ISBLANK(A1939)),VLOOKUP(A1939,'BBT3'!A:F,6,0),"")</f>
        <v/>
      </c>
      <c r="G1939" t="str">
        <f>IF(NOT(ISBLANK(A1939)),VLOOKUP(A1939,QW_Close!A:J,5,0),"")</f>
        <v/>
      </c>
      <c r="H1939" s="5" t="str" cm="1">
        <f t="array" ref="H1939">IF(NOT(ISBLANK(A1939)),((_xlfn.XLOOKUP(1,(_bbt3[[#All],[ID]]=A1939)*(_bbt3[[#All],[METRIC_NAME]]="YLD_YTM_ASK"),_bbt3[[#All],[METRIC_VALUE]])*0.5)+(_xlfn.XLOOKUP(1,(_bbt3[[#All],[ID]]=A1939)*(_bbt3[[#All],[METRIC_NAME]]="YLD_YTM_BID"),_bbt3[[#All],[METRIC_VALUE]])*0.5))/100,"")</f>
        <v/>
      </c>
      <c r="I1939">
        <f>IF(ISNA(VLOOKUP(A1939,QW_CloseDL!A:E,5,0)),0,VLOOKUP(A1939,QW_CloseDL!A:E,5,0))</f>
        <v>0</v>
      </c>
      <c r="J1939" s="8" t="str">
        <f t="shared" si="120"/>
        <v/>
      </c>
    </row>
    <row r="1940" spans="2:10" x14ac:dyDescent="0.35">
      <c r="B1940" t="str">
        <f>IF(NOT(ISBLANK(A1940)),VLOOKUP(A1940,'BBT3'!A:F,2,0),"")</f>
        <v/>
      </c>
      <c r="C1940" t="str">
        <f>IF(NOT(ISBLANK(A1940)),VLOOKUP(A1940,'BBT3'!A:F,3,0),"")</f>
        <v/>
      </c>
      <c r="D1940" s="6" t="str">
        <f>IF(NOT(ISBLANK(A1940)),VLOOKUP(A1940,'BBT3'!A:F,4,1),"")</f>
        <v/>
      </c>
      <c r="E1940" t="str">
        <f>IF(NOT(ISBLANK(A1940)),VLOOKUP(A1940,'BBT3'!A:F,5,0),"")</f>
        <v/>
      </c>
      <c r="F1940" t="str">
        <f>IF(NOT(ISBLANK(A1940)),VLOOKUP(A1940,'BBT3'!A:F,6,0),"")</f>
        <v/>
      </c>
      <c r="G1940" t="str">
        <f>IF(NOT(ISBLANK(A1940)),VLOOKUP(A1940,QW_Close!A:J,5,0),"")</f>
        <v/>
      </c>
      <c r="H1940" s="5" t="str" cm="1">
        <f t="array" ref="H1940">IF(NOT(ISBLANK(A1940)),((_xlfn.XLOOKUP(1,(_bbt3[[#All],[ID]]=A1940)*(_bbt3[[#All],[METRIC_NAME]]="YLD_YTM_ASK"),_bbt3[[#All],[METRIC_VALUE]])*0.5)+(_xlfn.XLOOKUP(1,(_bbt3[[#All],[ID]]=A1940)*(_bbt3[[#All],[METRIC_NAME]]="YLD_YTM_BID"),_bbt3[[#All],[METRIC_VALUE]])*0.5))/100,"")</f>
        <v/>
      </c>
      <c r="I1940">
        <f>IF(ISNA(VLOOKUP(A1940,QW_CloseDL!A:E,5,0)),0,VLOOKUP(A1940,QW_CloseDL!A:E,5,0))</f>
        <v>0</v>
      </c>
      <c r="J1940" s="8" t="str">
        <f t="shared" si="120"/>
        <v/>
      </c>
    </row>
    <row r="1941" spans="2:10" x14ac:dyDescent="0.35">
      <c r="B1941" t="str">
        <f>IF(NOT(ISBLANK(A1941)),VLOOKUP(A1941,'BBT3'!A:F,2,0),"")</f>
        <v/>
      </c>
      <c r="C1941" t="str">
        <f>IF(NOT(ISBLANK(A1941)),VLOOKUP(A1941,'BBT3'!A:F,3,0),"")</f>
        <v/>
      </c>
      <c r="D1941" s="6" t="str">
        <f>IF(NOT(ISBLANK(A1941)),VLOOKUP(A1941,'BBT3'!A:F,4,1),"")</f>
        <v/>
      </c>
      <c r="E1941" t="str">
        <f>IF(NOT(ISBLANK(A1941)),VLOOKUP(A1941,'BBT3'!A:F,5,0),"")</f>
        <v/>
      </c>
      <c r="F1941" t="str">
        <f>IF(NOT(ISBLANK(A1941)),VLOOKUP(A1941,'BBT3'!A:F,6,0),"")</f>
        <v/>
      </c>
      <c r="G1941" t="str">
        <f>IF(NOT(ISBLANK(A1941)),VLOOKUP(A1941,QW_Close!A:J,5,0),"")</f>
        <v/>
      </c>
      <c r="H1941" s="5" t="str" cm="1">
        <f t="array" ref="H1941">IF(NOT(ISBLANK(A1941)),((_xlfn.XLOOKUP(1,(_bbt3[[#All],[ID]]=A1941)*(_bbt3[[#All],[METRIC_NAME]]="YLD_YTM_ASK"),_bbt3[[#All],[METRIC_VALUE]])*0.5)+(_xlfn.XLOOKUP(1,(_bbt3[[#All],[ID]]=A1941)*(_bbt3[[#All],[METRIC_NAME]]="YLD_YTM_BID"),_bbt3[[#All],[METRIC_VALUE]])*0.5))/100,"")</f>
        <v/>
      </c>
      <c r="I1941">
        <f>IF(ISNA(VLOOKUP(A1941,QW_CloseDL!A:E,5,0)),0,VLOOKUP(A1941,QW_CloseDL!A:E,5,0))</f>
        <v>0</v>
      </c>
      <c r="J1941" s="8" t="str">
        <f t="shared" si="120"/>
        <v/>
      </c>
    </row>
    <row r="1942" spans="2:10" x14ac:dyDescent="0.35">
      <c r="B1942" t="str">
        <f>IF(NOT(ISBLANK(A1942)),VLOOKUP(A1942,'BBT3'!A:F,2,0),"")</f>
        <v/>
      </c>
      <c r="C1942" t="str">
        <f>IF(NOT(ISBLANK(A1942)),VLOOKUP(A1942,'BBT3'!A:F,3,0),"")</f>
        <v/>
      </c>
      <c r="D1942" s="6" t="str">
        <f>IF(NOT(ISBLANK(A1942)),VLOOKUP(A1942,'BBT3'!A:F,4,1),"")</f>
        <v/>
      </c>
      <c r="E1942" t="str">
        <f>IF(NOT(ISBLANK(A1942)),VLOOKUP(A1942,'BBT3'!A:F,5,0),"")</f>
        <v/>
      </c>
      <c r="F1942" t="str">
        <f>IF(NOT(ISBLANK(A1942)),VLOOKUP(A1942,'BBT3'!A:F,6,0),"")</f>
        <v/>
      </c>
      <c r="G1942" t="str">
        <f>IF(NOT(ISBLANK(A1942)),VLOOKUP(A1942,QW_Close!A:J,5,0),"")</f>
        <v/>
      </c>
      <c r="H1942" s="5" t="str" cm="1">
        <f t="array" ref="H1942">IF(NOT(ISBLANK(A1942)),((_xlfn.XLOOKUP(1,(_bbt3[[#All],[ID]]=A1942)*(_bbt3[[#All],[METRIC_NAME]]="YLD_YTM_ASK"),_bbt3[[#All],[METRIC_VALUE]])*0.5)+(_xlfn.XLOOKUP(1,(_bbt3[[#All],[ID]]=A1942)*(_bbt3[[#All],[METRIC_NAME]]="YLD_YTM_BID"),_bbt3[[#All],[METRIC_VALUE]])*0.5))/100,"")</f>
        <v/>
      </c>
      <c r="I1942">
        <f>IF(ISNA(VLOOKUP(A1942,QW_CloseDL!A:E,5,0)),0,VLOOKUP(A1942,QW_CloseDL!A:E,5,0))</f>
        <v>0</v>
      </c>
      <c r="J1942" s="8" t="str">
        <f t="shared" si="120"/>
        <v/>
      </c>
    </row>
    <row r="1943" spans="2:10" x14ac:dyDescent="0.35">
      <c r="B1943" t="str">
        <f>IF(NOT(ISBLANK(A1943)),VLOOKUP(A1943,'BBT3'!A:F,2,0),"")</f>
        <v/>
      </c>
      <c r="C1943" t="str">
        <f>IF(NOT(ISBLANK(A1943)),VLOOKUP(A1943,'BBT3'!A:F,3,0),"")</f>
        <v/>
      </c>
      <c r="D1943" s="6" t="str">
        <f>IF(NOT(ISBLANK(A1943)),VLOOKUP(A1943,'BBT3'!A:F,4,1),"")</f>
        <v/>
      </c>
      <c r="E1943" t="str">
        <f>IF(NOT(ISBLANK(A1943)),VLOOKUP(A1943,'BBT3'!A:F,5,0),"")</f>
        <v/>
      </c>
      <c r="F1943" t="str">
        <f>IF(NOT(ISBLANK(A1943)),VLOOKUP(A1943,'BBT3'!A:F,6,0),"")</f>
        <v/>
      </c>
      <c r="G1943" t="str">
        <f>IF(NOT(ISBLANK(A1943)),VLOOKUP(A1943,QW_Close!A:J,5,0),"")</f>
        <v/>
      </c>
      <c r="H1943" s="5" t="str" cm="1">
        <f t="array" ref="H1943">IF(NOT(ISBLANK(A1943)),((_xlfn.XLOOKUP(1,(_bbt3[[#All],[ID]]=A1943)*(_bbt3[[#All],[METRIC_NAME]]="YLD_YTM_ASK"),_bbt3[[#All],[METRIC_VALUE]])*0.5)+(_xlfn.XLOOKUP(1,(_bbt3[[#All],[ID]]=A1943)*(_bbt3[[#All],[METRIC_NAME]]="YLD_YTM_BID"),_bbt3[[#All],[METRIC_VALUE]])*0.5))/100,"")</f>
        <v/>
      </c>
      <c r="I1943">
        <f>IF(ISNA(VLOOKUP(A1943,QW_CloseDL!A:E,5,0)),0,VLOOKUP(A1943,QW_CloseDL!A:E,5,0))</f>
        <v>0</v>
      </c>
      <c r="J1943" s="8" t="str">
        <f t="shared" si="120"/>
        <v/>
      </c>
    </row>
    <row r="1944" spans="2:10" x14ac:dyDescent="0.35">
      <c r="B1944" t="str">
        <f>IF(NOT(ISBLANK(A1944)),VLOOKUP(A1944,'BBT3'!A:F,2,0),"")</f>
        <v/>
      </c>
      <c r="C1944" t="str">
        <f>IF(NOT(ISBLANK(A1944)),VLOOKUP(A1944,'BBT3'!A:F,3,0),"")</f>
        <v/>
      </c>
      <c r="D1944" s="6" t="str">
        <f>IF(NOT(ISBLANK(A1944)),VLOOKUP(A1944,'BBT3'!A:F,4,1),"")</f>
        <v/>
      </c>
      <c r="E1944" t="str">
        <f>IF(NOT(ISBLANK(A1944)),VLOOKUP(A1944,'BBT3'!A:F,5,0),"")</f>
        <v/>
      </c>
      <c r="F1944" t="str">
        <f>IF(NOT(ISBLANK(A1944)),VLOOKUP(A1944,'BBT3'!A:F,6,0),"")</f>
        <v/>
      </c>
      <c r="G1944" t="str">
        <f>IF(NOT(ISBLANK(A1944)),VLOOKUP(A1944,QW_Close!A:J,5,0),"")</f>
        <v/>
      </c>
      <c r="H1944" s="5" t="str" cm="1">
        <f t="array" ref="H1944">IF(NOT(ISBLANK(A1944)),((_xlfn.XLOOKUP(1,(_bbt3[[#All],[ID]]=A1944)*(_bbt3[[#All],[METRIC_NAME]]="YLD_YTM_ASK"),_bbt3[[#All],[METRIC_VALUE]])*0.5)+(_xlfn.XLOOKUP(1,(_bbt3[[#All],[ID]]=A1944)*(_bbt3[[#All],[METRIC_NAME]]="YLD_YTM_BID"),_bbt3[[#All],[METRIC_VALUE]])*0.5))/100,"")</f>
        <v/>
      </c>
      <c r="I1944">
        <f>IF(ISNA(VLOOKUP(A1944,QW_CloseDL!A:E,5,0)),0,VLOOKUP(A1944,QW_CloseDL!A:E,5,0))</f>
        <v>0</v>
      </c>
      <c r="J1944" s="8" t="str">
        <f t="shared" si="120"/>
        <v/>
      </c>
    </row>
    <row r="1945" spans="2:10" x14ac:dyDescent="0.35">
      <c r="B1945" t="str">
        <f>IF(NOT(ISBLANK(A1945)),VLOOKUP(A1945,'BBT3'!A:F,2,0),"")</f>
        <v/>
      </c>
      <c r="C1945" t="str">
        <f>IF(NOT(ISBLANK(A1945)),VLOOKUP(A1945,'BBT3'!A:F,3,0),"")</f>
        <v/>
      </c>
      <c r="D1945" s="6" t="str">
        <f>IF(NOT(ISBLANK(A1945)),VLOOKUP(A1945,'BBT3'!A:F,4,1),"")</f>
        <v/>
      </c>
      <c r="E1945" t="str">
        <f>IF(NOT(ISBLANK(A1945)),VLOOKUP(A1945,'BBT3'!A:F,5,0),"")</f>
        <v/>
      </c>
      <c r="F1945" t="str">
        <f>IF(NOT(ISBLANK(A1945)),VLOOKUP(A1945,'BBT3'!A:F,6,0),"")</f>
        <v/>
      </c>
      <c r="G1945" t="str">
        <f>IF(NOT(ISBLANK(A1945)),VLOOKUP(A1945,QW_Close!A:J,5,0),"")</f>
        <v/>
      </c>
      <c r="H1945" s="5" t="str" cm="1">
        <f t="array" ref="H1945">IF(NOT(ISBLANK(A1945)),((_xlfn.XLOOKUP(1,(_bbt3[[#All],[ID]]=A1945)*(_bbt3[[#All],[METRIC_NAME]]="YLD_YTM_ASK"),_bbt3[[#All],[METRIC_VALUE]])*0.5)+(_xlfn.XLOOKUP(1,(_bbt3[[#All],[ID]]=A1945)*(_bbt3[[#All],[METRIC_NAME]]="YLD_YTM_BID"),_bbt3[[#All],[METRIC_VALUE]])*0.5))/100,"")</f>
        <v/>
      </c>
      <c r="I1945">
        <f>IF(ISNA(VLOOKUP(A1945,QW_CloseDL!A:E,5,0)),0,VLOOKUP(A1945,QW_CloseDL!A:E,5,0))</f>
        <v>0</v>
      </c>
      <c r="J1945" s="8" t="str">
        <f t="shared" si="120"/>
        <v/>
      </c>
    </row>
    <row r="1946" spans="2:10" x14ac:dyDescent="0.35">
      <c r="B1946" t="str">
        <f>IF(NOT(ISBLANK(A1946)),VLOOKUP(A1946,'BBT3'!A:F,2,0),"")</f>
        <v/>
      </c>
      <c r="C1946" t="str">
        <f>IF(NOT(ISBLANK(A1946)),VLOOKUP(A1946,'BBT3'!A:F,3,0),"")</f>
        <v/>
      </c>
      <c r="D1946" s="6" t="str">
        <f>IF(NOT(ISBLANK(A1946)),VLOOKUP(A1946,'BBT3'!A:F,4,1),"")</f>
        <v/>
      </c>
      <c r="E1946" t="str">
        <f>IF(NOT(ISBLANK(A1946)),VLOOKUP(A1946,'BBT3'!A:F,5,0),"")</f>
        <v/>
      </c>
      <c r="F1946" t="str">
        <f>IF(NOT(ISBLANK(A1946)),VLOOKUP(A1946,'BBT3'!A:F,6,0),"")</f>
        <v/>
      </c>
      <c r="G1946" t="str">
        <f>IF(NOT(ISBLANK(A1946)),VLOOKUP(A1946,QW_Close!A:J,5,0),"")</f>
        <v/>
      </c>
      <c r="H1946" s="5" t="str" cm="1">
        <f t="array" ref="H1946">IF(NOT(ISBLANK(A1946)),((_xlfn.XLOOKUP(1,(_bbt3[[#All],[ID]]=A1946)*(_bbt3[[#All],[METRIC_NAME]]="YLD_YTM_ASK"),_bbt3[[#All],[METRIC_VALUE]])*0.5)+(_xlfn.XLOOKUP(1,(_bbt3[[#All],[ID]]=A1946)*(_bbt3[[#All],[METRIC_NAME]]="YLD_YTM_BID"),_bbt3[[#All],[METRIC_VALUE]])*0.5))/100,"")</f>
        <v/>
      </c>
      <c r="I1946">
        <f>IF(ISNA(VLOOKUP(A1946,QW_CloseDL!A:E,5,0)),0,VLOOKUP(A1946,QW_CloseDL!A:E,5,0))</f>
        <v>0</v>
      </c>
      <c r="J1946" s="8" t="str">
        <f t="shared" si="120"/>
        <v/>
      </c>
    </row>
    <row r="1947" spans="2:10" x14ac:dyDescent="0.35">
      <c r="B1947" t="str">
        <f>IF(NOT(ISBLANK(A1947)),VLOOKUP(A1947,'BBT3'!A:F,2,0),"")</f>
        <v/>
      </c>
      <c r="C1947" t="str">
        <f>IF(NOT(ISBLANK(A1947)),VLOOKUP(A1947,'BBT3'!A:F,3,0),"")</f>
        <v/>
      </c>
      <c r="D1947" s="6" t="str">
        <f>IF(NOT(ISBLANK(A1947)),VLOOKUP(A1947,'BBT3'!A:F,4,1),"")</f>
        <v/>
      </c>
      <c r="E1947" t="str">
        <f>IF(NOT(ISBLANK(A1947)),VLOOKUP(A1947,'BBT3'!A:F,5,0),"")</f>
        <v/>
      </c>
      <c r="F1947" t="str">
        <f>IF(NOT(ISBLANK(A1947)),VLOOKUP(A1947,'BBT3'!A:F,6,0),"")</f>
        <v/>
      </c>
      <c r="G1947" t="str">
        <f>IF(NOT(ISBLANK(A1947)),VLOOKUP(A1947,QW_Close!A:J,5,0),"")</f>
        <v/>
      </c>
      <c r="H1947" s="5" t="str" cm="1">
        <f t="array" ref="H1947">IF(NOT(ISBLANK(A1947)),((_xlfn.XLOOKUP(1,(_bbt3[[#All],[ID]]=A1947)*(_bbt3[[#All],[METRIC_NAME]]="YLD_YTM_ASK"),_bbt3[[#All],[METRIC_VALUE]])*0.5)+(_xlfn.XLOOKUP(1,(_bbt3[[#All],[ID]]=A1947)*(_bbt3[[#All],[METRIC_NAME]]="YLD_YTM_BID"),_bbt3[[#All],[METRIC_VALUE]])*0.5))/100,"")</f>
        <v/>
      </c>
      <c r="I1947">
        <f>IF(ISNA(VLOOKUP(A1947,QW_CloseDL!A:E,5,0)),0,VLOOKUP(A1947,QW_CloseDL!A:E,5,0))</f>
        <v>0</v>
      </c>
      <c r="J1947" s="8" t="str">
        <f t="shared" si="120"/>
        <v/>
      </c>
    </row>
    <row r="1948" spans="2:10" x14ac:dyDescent="0.35">
      <c r="B1948" t="str">
        <f>IF(NOT(ISBLANK(A1948)),VLOOKUP(A1948,'BBT3'!A:F,2,0),"")</f>
        <v/>
      </c>
      <c r="C1948" t="str">
        <f>IF(NOT(ISBLANK(A1948)),VLOOKUP(A1948,'BBT3'!A:F,3,0),"")</f>
        <v/>
      </c>
      <c r="D1948" s="6" t="str">
        <f>IF(NOT(ISBLANK(A1948)),VLOOKUP(A1948,'BBT3'!A:F,4,1),"")</f>
        <v/>
      </c>
      <c r="E1948" t="str">
        <f>IF(NOT(ISBLANK(A1948)),VLOOKUP(A1948,'BBT3'!A:F,5,0),"")</f>
        <v/>
      </c>
      <c r="F1948" t="str">
        <f>IF(NOT(ISBLANK(A1948)),VLOOKUP(A1948,'BBT3'!A:F,6,0),"")</f>
        <v/>
      </c>
      <c r="G1948" t="str">
        <f>IF(NOT(ISBLANK(A1948)),VLOOKUP(A1948,QW_Close!A:J,5,0),"")</f>
        <v/>
      </c>
      <c r="H1948" s="5" t="str" cm="1">
        <f t="array" ref="H1948">IF(NOT(ISBLANK(A1948)),((_xlfn.XLOOKUP(1,(_bbt3[[#All],[ID]]=A1948)*(_bbt3[[#All],[METRIC_NAME]]="YLD_YTM_ASK"),_bbt3[[#All],[METRIC_VALUE]])*0.5)+(_xlfn.XLOOKUP(1,(_bbt3[[#All],[ID]]=A1948)*(_bbt3[[#All],[METRIC_NAME]]="YLD_YTM_BID"),_bbt3[[#All],[METRIC_VALUE]])*0.5))/100,"")</f>
        <v/>
      </c>
      <c r="I1948">
        <f>IF(ISNA(VLOOKUP(A1948,QW_CloseDL!A:E,5,0)),0,VLOOKUP(A1948,QW_CloseDL!A:E,5,0))</f>
        <v>0</v>
      </c>
      <c r="J1948" s="8" t="str">
        <f t="shared" si="120"/>
        <v/>
      </c>
    </row>
    <row r="1949" spans="2:10" x14ac:dyDescent="0.35">
      <c r="B1949" t="str">
        <f>IF(NOT(ISBLANK(A1949)),VLOOKUP(A1949,'BBT3'!A:F,2,0),"")</f>
        <v/>
      </c>
      <c r="C1949" t="str">
        <f>IF(NOT(ISBLANK(A1949)),VLOOKUP(A1949,'BBT3'!A:F,3,0),"")</f>
        <v/>
      </c>
      <c r="D1949" s="6" t="str">
        <f>IF(NOT(ISBLANK(A1949)),VLOOKUP(A1949,'BBT3'!A:F,4,1),"")</f>
        <v/>
      </c>
      <c r="E1949" t="str">
        <f>IF(NOT(ISBLANK(A1949)),VLOOKUP(A1949,'BBT3'!A:F,5,0),"")</f>
        <v/>
      </c>
      <c r="F1949" t="str">
        <f>IF(NOT(ISBLANK(A1949)),VLOOKUP(A1949,'BBT3'!A:F,6,0),"")</f>
        <v/>
      </c>
      <c r="G1949" t="str">
        <f>IF(NOT(ISBLANK(A1949)),VLOOKUP(A1949,QW_Close!A:J,5,0),"")</f>
        <v/>
      </c>
      <c r="H1949" s="5" t="str" cm="1">
        <f t="array" ref="H1949">IF(NOT(ISBLANK(A1949)),((_xlfn.XLOOKUP(1,(_bbt3[[#All],[ID]]=A1949)*(_bbt3[[#All],[METRIC_NAME]]="YLD_YTM_ASK"),_bbt3[[#All],[METRIC_VALUE]])*0.5)+(_xlfn.XLOOKUP(1,(_bbt3[[#All],[ID]]=A1949)*(_bbt3[[#All],[METRIC_NAME]]="YLD_YTM_BID"),_bbt3[[#All],[METRIC_VALUE]])*0.5))/100,"")</f>
        <v/>
      </c>
      <c r="I1949">
        <f>IF(ISNA(VLOOKUP(A1949,QW_CloseDL!A:E,5,0)),0,VLOOKUP(A1949,QW_CloseDL!A:E,5,0))</f>
        <v>0</v>
      </c>
      <c r="J1949" s="8" t="str">
        <f t="shared" si="120"/>
        <v/>
      </c>
    </row>
    <row r="1950" spans="2:10" x14ac:dyDescent="0.35">
      <c r="B1950" t="str">
        <f>IF(NOT(ISBLANK(A1950)),VLOOKUP(A1950,'BBT3'!A:F,2,0),"")</f>
        <v/>
      </c>
      <c r="C1950" t="str">
        <f>IF(NOT(ISBLANK(A1950)),VLOOKUP(A1950,'BBT3'!A:F,3,0),"")</f>
        <v/>
      </c>
      <c r="D1950" s="6" t="str">
        <f>IF(NOT(ISBLANK(A1950)),VLOOKUP(A1950,'BBT3'!A:F,4,1),"")</f>
        <v/>
      </c>
      <c r="E1950" t="str">
        <f>IF(NOT(ISBLANK(A1950)),VLOOKUP(A1950,'BBT3'!A:F,5,0),"")</f>
        <v/>
      </c>
      <c r="F1950" t="str">
        <f>IF(NOT(ISBLANK(A1950)),VLOOKUP(A1950,'BBT3'!A:F,6,0),"")</f>
        <v/>
      </c>
      <c r="G1950" t="str">
        <f>IF(NOT(ISBLANK(A1950)),VLOOKUP(A1950,QW_Close!A:J,5,0),"")</f>
        <v/>
      </c>
      <c r="H1950" s="5" t="str" cm="1">
        <f t="array" ref="H1950">IF(NOT(ISBLANK(A1950)),((_xlfn.XLOOKUP(1,(_bbt3[[#All],[ID]]=A1950)*(_bbt3[[#All],[METRIC_NAME]]="YLD_YTM_ASK"),_bbt3[[#All],[METRIC_VALUE]])*0.5)+(_xlfn.XLOOKUP(1,(_bbt3[[#All],[ID]]=A1950)*(_bbt3[[#All],[METRIC_NAME]]="YLD_YTM_BID"),_bbt3[[#All],[METRIC_VALUE]])*0.5))/100,"")</f>
        <v/>
      </c>
      <c r="I1950">
        <f>IF(ISNA(VLOOKUP(A1950,QW_CloseDL!A:E,5,0)),0,VLOOKUP(A1950,QW_CloseDL!A:E,5,0))</f>
        <v>0</v>
      </c>
      <c r="J1950" s="8" t="str">
        <f t="shared" si="120"/>
        <v/>
      </c>
    </row>
    <row r="1951" spans="2:10" x14ac:dyDescent="0.35">
      <c r="B1951" t="str">
        <f>IF(NOT(ISBLANK(A1951)),VLOOKUP(A1951,'BBT3'!A:F,2,0),"")</f>
        <v/>
      </c>
      <c r="C1951" t="str">
        <f>IF(NOT(ISBLANK(A1951)),VLOOKUP(A1951,'BBT3'!A:F,3,0),"")</f>
        <v/>
      </c>
      <c r="D1951" s="6" t="str">
        <f>IF(NOT(ISBLANK(A1951)),VLOOKUP(A1951,'BBT3'!A:F,4,1),"")</f>
        <v/>
      </c>
      <c r="E1951" t="str">
        <f>IF(NOT(ISBLANK(A1951)),VLOOKUP(A1951,'BBT3'!A:F,5,0),"")</f>
        <v/>
      </c>
      <c r="F1951" t="str">
        <f>IF(NOT(ISBLANK(A1951)),VLOOKUP(A1951,'BBT3'!A:F,6,0),"")</f>
        <v/>
      </c>
      <c r="G1951" t="str">
        <f>IF(NOT(ISBLANK(A1951)),VLOOKUP(A1951,QW_Close!A:J,5,0),"")</f>
        <v/>
      </c>
      <c r="H1951" s="5" t="str" cm="1">
        <f t="array" ref="H1951">IF(NOT(ISBLANK(A1951)),((_xlfn.XLOOKUP(1,(_bbt3[[#All],[ID]]=A1951)*(_bbt3[[#All],[METRIC_NAME]]="YLD_YTM_ASK"),_bbt3[[#All],[METRIC_VALUE]])*0.5)+(_xlfn.XLOOKUP(1,(_bbt3[[#All],[ID]]=A1951)*(_bbt3[[#All],[METRIC_NAME]]="YLD_YTM_BID"),_bbt3[[#All],[METRIC_VALUE]])*0.5))/100,"")</f>
        <v/>
      </c>
      <c r="I1951">
        <f>IF(ISNA(VLOOKUP(A1951,QW_CloseDL!A:E,5,0)),0,VLOOKUP(A1951,QW_CloseDL!A:E,5,0))</f>
        <v>0</v>
      </c>
      <c r="J1951" s="8" t="str">
        <f t="shared" si="120"/>
        <v/>
      </c>
    </row>
    <row r="1952" spans="2:10" x14ac:dyDescent="0.35">
      <c r="B1952" t="str">
        <f>IF(NOT(ISBLANK(A1952)),VLOOKUP(A1952,'BBT3'!A:F,2,0),"")</f>
        <v/>
      </c>
      <c r="C1952" t="str">
        <f>IF(NOT(ISBLANK(A1952)),VLOOKUP(A1952,'BBT3'!A:F,3,0),"")</f>
        <v/>
      </c>
      <c r="D1952" s="6" t="str">
        <f>IF(NOT(ISBLANK(A1952)),VLOOKUP(A1952,'BBT3'!A:F,4,1),"")</f>
        <v/>
      </c>
      <c r="E1952" t="str">
        <f>IF(NOT(ISBLANK(A1952)),VLOOKUP(A1952,'BBT3'!A:F,5,0),"")</f>
        <v/>
      </c>
      <c r="F1952" t="str">
        <f>IF(NOT(ISBLANK(A1952)),VLOOKUP(A1952,'BBT3'!A:F,6,0),"")</f>
        <v/>
      </c>
      <c r="G1952" t="str">
        <f>IF(NOT(ISBLANK(A1952)),VLOOKUP(A1952,QW_Close!A:J,5,0),"")</f>
        <v/>
      </c>
      <c r="H1952" s="5" t="str" cm="1">
        <f t="array" ref="H1952">IF(NOT(ISBLANK(A1952)),((_xlfn.XLOOKUP(1,(_bbt3[[#All],[ID]]=A1952)*(_bbt3[[#All],[METRIC_NAME]]="YLD_YTM_ASK"),_bbt3[[#All],[METRIC_VALUE]])*0.5)+(_xlfn.XLOOKUP(1,(_bbt3[[#All],[ID]]=A1952)*(_bbt3[[#All],[METRIC_NAME]]="YLD_YTM_BID"),_bbt3[[#All],[METRIC_VALUE]])*0.5))/100,"")</f>
        <v/>
      </c>
      <c r="I1952">
        <f>IF(ISNA(VLOOKUP(A1952,QW_CloseDL!A:E,5,0)),0,VLOOKUP(A1952,QW_CloseDL!A:E,5,0))</f>
        <v>0</v>
      </c>
      <c r="J1952" s="8" t="str">
        <f t="shared" si="120"/>
        <v/>
      </c>
    </row>
    <row r="1953" spans="2:10" x14ac:dyDescent="0.35">
      <c r="B1953" t="str">
        <f>IF(NOT(ISBLANK(A1953)),VLOOKUP(A1953,'BBT3'!A:F,2,0),"")</f>
        <v/>
      </c>
      <c r="C1953" t="str">
        <f>IF(NOT(ISBLANK(A1953)),VLOOKUP(A1953,'BBT3'!A:F,3,0),"")</f>
        <v/>
      </c>
      <c r="D1953" s="6" t="str">
        <f>IF(NOT(ISBLANK(A1953)),VLOOKUP(A1953,'BBT3'!A:F,4,1),"")</f>
        <v/>
      </c>
      <c r="E1953" t="str">
        <f>IF(NOT(ISBLANK(A1953)),VLOOKUP(A1953,'BBT3'!A:F,5,0),"")</f>
        <v/>
      </c>
      <c r="F1953" t="str">
        <f>IF(NOT(ISBLANK(A1953)),VLOOKUP(A1953,'BBT3'!A:F,6,0),"")</f>
        <v/>
      </c>
      <c r="G1953" t="str">
        <f>IF(NOT(ISBLANK(A1953)),VLOOKUP(A1953,QW_Close!A:J,5,0),"")</f>
        <v/>
      </c>
      <c r="H1953" s="5" t="str" cm="1">
        <f t="array" ref="H1953">IF(NOT(ISBLANK(A1953)),((_xlfn.XLOOKUP(1,(_bbt3[[#All],[ID]]=A1953)*(_bbt3[[#All],[METRIC_NAME]]="YLD_YTM_ASK"),_bbt3[[#All],[METRIC_VALUE]])*0.5)+(_xlfn.XLOOKUP(1,(_bbt3[[#All],[ID]]=A1953)*(_bbt3[[#All],[METRIC_NAME]]="YLD_YTM_BID"),_bbt3[[#All],[METRIC_VALUE]])*0.5))/100,"")</f>
        <v/>
      </c>
      <c r="I1953">
        <f>IF(ISNA(VLOOKUP(A1953,QW_CloseDL!A:E,5,0)),0,VLOOKUP(A1953,QW_CloseDL!A:E,5,0))</f>
        <v>0</v>
      </c>
      <c r="J1953" s="8" t="str">
        <f t="shared" si="120"/>
        <v/>
      </c>
    </row>
    <row r="1954" spans="2:10" x14ac:dyDescent="0.35">
      <c r="B1954" t="str">
        <f>IF(NOT(ISBLANK(A1954)),VLOOKUP(A1954,'BBT3'!A:F,2,0),"")</f>
        <v/>
      </c>
      <c r="C1954" t="str">
        <f>IF(NOT(ISBLANK(A1954)),VLOOKUP(A1954,'BBT3'!A:F,3,0),"")</f>
        <v/>
      </c>
      <c r="D1954" s="6" t="str">
        <f>IF(NOT(ISBLANK(A1954)),VLOOKUP(A1954,'BBT3'!A:F,4,1),"")</f>
        <v/>
      </c>
      <c r="E1954" t="str">
        <f>IF(NOT(ISBLANK(A1954)),VLOOKUP(A1954,'BBT3'!A:F,5,0),"")</f>
        <v/>
      </c>
      <c r="F1954" t="str">
        <f>IF(NOT(ISBLANK(A1954)),VLOOKUP(A1954,'BBT3'!A:F,6,0),"")</f>
        <v/>
      </c>
      <c r="G1954" t="str">
        <f>IF(NOT(ISBLANK(A1954)),VLOOKUP(A1954,QW_Close!A:J,5,0),"")</f>
        <v/>
      </c>
      <c r="H1954" s="5" t="str" cm="1">
        <f t="array" ref="H1954">IF(NOT(ISBLANK(A1954)),((_xlfn.XLOOKUP(1,(_bbt3[[#All],[ID]]=A1954)*(_bbt3[[#All],[METRIC_NAME]]="YLD_YTM_ASK"),_bbt3[[#All],[METRIC_VALUE]])*0.5)+(_xlfn.XLOOKUP(1,(_bbt3[[#All],[ID]]=A1954)*(_bbt3[[#All],[METRIC_NAME]]="YLD_YTM_BID"),_bbt3[[#All],[METRIC_VALUE]])*0.5))/100,"")</f>
        <v/>
      </c>
      <c r="I1954">
        <f>IF(ISNA(VLOOKUP(A1954,QW_CloseDL!A:E,5,0)),0,VLOOKUP(A1954,QW_CloseDL!A:E,5,0))</f>
        <v>0</v>
      </c>
      <c r="J1954" s="8" t="str">
        <f t="shared" si="120"/>
        <v/>
      </c>
    </row>
    <row r="1955" spans="2:10" x14ac:dyDescent="0.35">
      <c r="B1955" t="str">
        <f>IF(NOT(ISBLANK(A1955)),VLOOKUP(A1955,'BBT3'!A:F,2,0),"")</f>
        <v/>
      </c>
      <c r="C1955" t="str">
        <f>IF(NOT(ISBLANK(A1955)),VLOOKUP(A1955,'BBT3'!A:F,3,0),"")</f>
        <v/>
      </c>
      <c r="D1955" s="6" t="str">
        <f>IF(NOT(ISBLANK(A1955)),VLOOKUP(A1955,'BBT3'!A:F,4,1),"")</f>
        <v/>
      </c>
      <c r="E1955" t="str">
        <f>IF(NOT(ISBLANK(A1955)),VLOOKUP(A1955,'BBT3'!A:F,5,0),"")</f>
        <v/>
      </c>
      <c r="F1955" t="str">
        <f>IF(NOT(ISBLANK(A1955)),VLOOKUP(A1955,'BBT3'!A:F,6,0),"")</f>
        <v/>
      </c>
      <c r="G1955" t="str">
        <f>IF(NOT(ISBLANK(A1955)),VLOOKUP(A1955,QW_Close!A:J,5,0),"")</f>
        <v/>
      </c>
      <c r="H1955" s="5" t="str" cm="1">
        <f t="array" ref="H1955">IF(NOT(ISBLANK(A1955)),((_xlfn.XLOOKUP(1,(_bbt3[[#All],[ID]]=A1955)*(_bbt3[[#All],[METRIC_NAME]]="YLD_YTM_ASK"),_bbt3[[#All],[METRIC_VALUE]])*0.5)+(_xlfn.XLOOKUP(1,(_bbt3[[#All],[ID]]=A1955)*(_bbt3[[#All],[METRIC_NAME]]="YLD_YTM_BID"),_bbt3[[#All],[METRIC_VALUE]])*0.5))/100,"")</f>
        <v/>
      </c>
      <c r="I1955">
        <f>IF(ISNA(VLOOKUP(A1955,QW_CloseDL!A:E,5,0)),0,VLOOKUP(A1955,QW_CloseDL!A:E,5,0))</f>
        <v>0</v>
      </c>
      <c r="J1955" s="8" t="str">
        <f t="shared" si="120"/>
        <v/>
      </c>
    </row>
    <row r="1956" spans="2:10" x14ac:dyDescent="0.35">
      <c r="B1956" t="str">
        <f>IF(NOT(ISBLANK(A1956)),VLOOKUP(A1956,'BBT3'!A:F,2,0),"")</f>
        <v/>
      </c>
      <c r="C1956" t="str">
        <f>IF(NOT(ISBLANK(A1956)),VLOOKUP(A1956,'BBT3'!A:F,3,0),"")</f>
        <v/>
      </c>
      <c r="D1956" s="6" t="str">
        <f>IF(NOT(ISBLANK(A1956)),VLOOKUP(A1956,'BBT3'!A:F,4,1),"")</f>
        <v/>
      </c>
      <c r="E1956" t="str">
        <f>IF(NOT(ISBLANK(A1956)),VLOOKUP(A1956,'BBT3'!A:F,5,0),"")</f>
        <v/>
      </c>
      <c r="F1956" t="str">
        <f>IF(NOT(ISBLANK(A1956)),VLOOKUP(A1956,'BBT3'!A:F,6,0),"")</f>
        <v/>
      </c>
      <c r="G1956" t="str">
        <f>IF(NOT(ISBLANK(A1956)),VLOOKUP(A1956,QW_Close!A:J,5,0),"")</f>
        <v/>
      </c>
      <c r="H1956" s="5" t="str" cm="1">
        <f t="array" ref="H1956">IF(NOT(ISBLANK(A1956)),((_xlfn.XLOOKUP(1,(_bbt3[[#All],[ID]]=A1956)*(_bbt3[[#All],[METRIC_NAME]]="YLD_YTM_ASK"),_bbt3[[#All],[METRIC_VALUE]])*0.5)+(_xlfn.XLOOKUP(1,(_bbt3[[#All],[ID]]=A1956)*(_bbt3[[#All],[METRIC_NAME]]="YLD_YTM_BID"),_bbt3[[#All],[METRIC_VALUE]])*0.5))/100,"")</f>
        <v/>
      </c>
      <c r="I1956">
        <f>IF(ISNA(VLOOKUP(A1956,QW_CloseDL!A:E,5,0)),0,VLOOKUP(A1956,QW_CloseDL!A:E,5,0))</f>
        <v>0</v>
      </c>
      <c r="J1956" s="8" t="str">
        <f t="shared" si="120"/>
        <v/>
      </c>
    </row>
    <row r="1957" spans="2:10" x14ac:dyDescent="0.35">
      <c r="B1957" t="str">
        <f>IF(NOT(ISBLANK(A1957)),VLOOKUP(A1957,'BBT3'!A:F,2,0),"")</f>
        <v/>
      </c>
      <c r="C1957" t="str">
        <f>IF(NOT(ISBLANK(A1957)),VLOOKUP(A1957,'BBT3'!A:F,3,0),"")</f>
        <v/>
      </c>
      <c r="D1957" s="6" t="str">
        <f>IF(NOT(ISBLANK(A1957)),VLOOKUP(A1957,'BBT3'!A:F,4,1),"")</f>
        <v/>
      </c>
      <c r="E1957" t="str">
        <f>IF(NOT(ISBLANK(A1957)),VLOOKUP(A1957,'BBT3'!A:F,5,0),"")</f>
        <v/>
      </c>
      <c r="F1957" t="str">
        <f>IF(NOT(ISBLANK(A1957)),VLOOKUP(A1957,'BBT3'!A:F,6,0),"")</f>
        <v/>
      </c>
      <c r="G1957" t="str">
        <f>IF(NOT(ISBLANK(A1957)),VLOOKUP(A1957,QW_Close!A:J,5,0),"")</f>
        <v/>
      </c>
      <c r="H1957" s="5" t="str" cm="1">
        <f t="array" ref="H1957">IF(NOT(ISBLANK(A1957)),((_xlfn.XLOOKUP(1,(_bbt3[[#All],[ID]]=A1957)*(_bbt3[[#All],[METRIC_NAME]]="YLD_YTM_ASK"),_bbt3[[#All],[METRIC_VALUE]])*0.5)+(_xlfn.XLOOKUP(1,(_bbt3[[#All],[ID]]=A1957)*(_bbt3[[#All],[METRIC_NAME]]="YLD_YTM_BID"),_bbt3[[#All],[METRIC_VALUE]])*0.5))/100,"")</f>
        <v/>
      </c>
      <c r="I1957">
        <f>IF(ISNA(VLOOKUP(A1957,QW_CloseDL!A:E,5,0)),0,VLOOKUP(A1957,QW_CloseDL!A:E,5,0))</f>
        <v>0</v>
      </c>
      <c r="J1957" s="8" t="str">
        <f t="shared" si="120"/>
        <v/>
      </c>
    </row>
    <row r="1958" spans="2:10" x14ac:dyDescent="0.35">
      <c r="B1958" t="str">
        <f>IF(NOT(ISBLANK(A1958)),VLOOKUP(A1958,'BBT3'!A:F,2,0),"")</f>
        <v/>
      </c>
      <c r="C1958" t="str">
        <f>IF(NOT(ISBLANK(A1958)),VLOOKUP(A1958,'BBT3'!A:F,3,0),"")</f>
        <v/>
      </c>
      <c r="D1958" s="6" t="str">
        <f>IF(NOT(ISBLANK(A1958)),VLOOKUP(A1958,'BBT3'!A:F,4,1),"")</f>
        <v/>
      </c>
      <c r="E1958" t="str">
        <f>IF(NOT(ISBLANK(A1958)),VLOOKUP(A1958,'BBT3'!A:F,5,0),"")</f>
        <v/>
      </c>
      <c r="F1958" t="str">
        <f>IF(NOT(ISBLANK(A1958)),VLOOKUP(A1958,'BBT3'!A:F,6,0),"")</f>
        <v/>
      </c>
      <c r="G1958" t="str">
        <f>IF(NOT(ISBLANK(A1958)),VLOOKUP(A1958,QW_Close!A:J,5,0),"")</f>
        <v/>
      </c>
      <c r="H1958" s="5" t="str" cm="1">
        <f t="array" ref="H1958">IF(NOT(ISBLANK(A1958)),((_xlfn.XLOOKUP(1,(_bbt3[[#All],[ID]]=A1958)*(_bbt3[[#All],[METRIC_NAME]]="YLD_YTM_ASK"),_bbt3[[#All],[METRIC_VALUE]])*0.5)+(_xlfn.XLOOKUP(1,(_bbt3[[#All],[ID]]=A1958)*(_bbt3[[#All],[METRIC_NAME]]="YLD_YTM_BID"),_bbt3[[#All],[METRIC_VALUE]])*0.5))/100,"")</f>
        <v/>
      </c>
      <c r="I1958">
        <f>IF(ISNA(VLOOKUP(A1958,QW_CloseDL!A:E,5,0)),0,VLOOKUP(A1958,QW_CloseDL!A:E,5,0))</f>
        <v>0</v>
      </c>
      <c r="J1958" s="8" t="str">
        <f t="shared" si="120"/>
        <v/>
      </c>
    </row>
    <row r="1959" spans="2:10" x14ac:dyDescent="0.35">
      <c r="B1959" t="str">
        <f>IF(NOT(ISBLANK(A1959)),VLOOKUP(A1959,'BBT3'!A:F,2,0),"")</f>
        <v/>
      </c>
      <c r="C1959" t="str">
        <f>IF(NOT(ISBLANK(A1959)),VLOOKUP(A1959,'BBT3'!A:F,3,0),"")</f>
        <v/>
      </c>
      <c r="D1959" s="6" t="str">
        <f>IF(NOT(ISBLANK(A1959)),VLOOKUP(A1959,'BBT3'!A:F,4,1),"")</f>
        <v/>
      </c>
      <c r="E1959" t="str">
        <f>IF(NOT(ISBLANK(A1959)),VLOOKUP(A1959,'BBT3'!A:F,5,0),"")</f>
        <v/>
      </c>
      <c r="F1959" t="str">
        <f>IF(NOT(ISBLANK(A1959)),VLOOKUP(A1959,'BBT3'!A:F,6,0),"")</f>
        <v/>
      </c>
      <c r="G1959" t="str">
        <f>IF(NOT(ISBLANK(A1959)),VLOOKUP(A1959,QW_Close!A:J,5,0),"")</f>
        <v/>
      </c>
      <c r="H1959" s="5" t="str" cm="1">
        <f t="array" ref="H1959">IF(NOT(ISBLANK(A1959)),((_xlfn.XLOOKUP(1,(_bbt3[[#All],[ID]]=A1959)*(_bbt3[[#All],[METRIC_NAME]]="YLD_YTM_ASK"),_bbt3[[#All],[METRIC_VALUE]])*0.5)+(_xlfn.XLOOKUP(1,(_bbt3[[#All],[ID]]=A1959)*(_bbt3[[#All],[METRIC_NAME]]="YLD_YTM_BID"),_bbt3[[#All],[METRIC_VALUE]])*0.5))/100,"")</f>
        <v/>
      </c>
      <c r="I1959">
        <f>IF(ISNA(VLOOKUP(A1959,QW_CloseDL!A:E,5,0)),0,VLOOKUP(A1959,QW_CloseDL!A:E,5,0))</f>
        <v>0</v>
      </c>
      <c r="J1959" s="8" t="str">
        <f t="shared" si="120"/>
        <v/>
      </c>
    </row>
    <row r="1960" spans="2:10" x14ac:dyDescent="0.35">
      <c r="B1960" t="str">
        <f>IF(NOT(ISBLANK(A1960)),VLOOKUP(A1960,'BBT3'!A:F,2,0),"")</f>
        <v/>
      </c>
      <c r="C1960" t="str">
        <f>IF(NOT(ISBLANK(A1960)),VLOOKUP(A1960,'BBT3'!A:F,3,0),"")</f>
        <v/>
      </c>
      <c r="D1960" s="6" t="str">
        <f>IF(NOT(ISBLANK(A1960)),VLOOKUP(A1960,'BBT3'!A:F,4,1),"")</f>
        <v/>
      </c>
      <c r="E1960" t="str">
        <f>IF(NOT(ISBLANK(A1960)),VLOOKUP(A1960,'BBT3'!A:F,5,0),"")</f>
        <v/>
      </c>
      <c r="F1960" t="str">
        <f>IF(NOT(ISBLANK(A1960)),VLOOKUP(A1960,'BBT3'!A:F,6,0),"")</f>
        <v/>
      </c>
      <c r="G1960" t="str">
        <f>IF(NOT(ISBLANK(A1960)),VLOOKUP(A1960,QW_Close!A:J,5,0),"")</f>
        <v/>
      </c>
      <c r="H1960" s="5" t="str" cm="1">
        <f t="array" ref="H1960">IF(NOT(ISBLANK(A1960)),((_xlfn.XLOOKUP(1,(_bbt3[[#All],[ID]]=A1960)*(_bbt3[[#All],[METRIC_NAME]]="YLD_YTM_ASK"),_bbt3[[#All],[METRIC_VALUE]])*0.5)+(_xlfn.XLOOKUP(1,(_bbt3[[#All],[ID]]=A1960)*(_bbt3[[#All],[METRIC_NAME]]="YLD_YTM_BID"),_bbt3[[#All],[METRIC_VALUE]])*0.5))/100,"")</f>
        <v/>
      </c>
      <c r="I1960">
        <f>IF(ISNA(VLOOKUP(A1960,QW_CloseDL!A:E,5,0)),0,VLOOKUP(A1960,QW_CloseDL!A:E,5,0))</f>
        <v>0</v>
      </c>
      <c r="J1960" s="8" t="str">
        <f t="shared" si="120"/>
        <v/>
      </c>
    </row>
    <row r="1961" spans="2:10" x14ac:dyDescent="0.35">
      <c r="B1961" t="str">
        <f>IF(NOT(ISBLANK(A1961)),VLOOKUP(A1961,'BBT3'!A:F,2,0),"")</f>
        <v/>
      </c>
      <c r="C1961" t="str">
        <f>IF(NOT(ISBLANK(A1961)),VLOOKUP(A1961,'BBT3'!A:F,3,0),"")</f>
        <v/>
      </c>
      <c r="D1961" s="6" t="str">
        <f>IF(NOT(ISBLANK(A1961)),VLOOKUP(A1961,'BBT3'!A:F,4,1),"")</f>
        <v/>
      </c>
      <c r="E1961" t="str">
        <f>IF(NOT(ISBLANK(A1961)),VLOOKUP(A1961,'BBT3'!A:F,5,0),"")</f>
        <v/>
      </c>
      <c r="F1961" t="str">
        <f>IF(NOT(ISBLANK(A1961)),VLOOKUP(A1961,'BBT3'!A:F,6,0),"")</f>
        <v/>
      </c>
      <c r="G1961" t="str">
        <f>IF(NOT(ISBLANK(A1961)),VLOOKUP(A1961,QW_Close!A:J,5,0),"")</f>
        <v/>
      </c>
      <c r="H1961" s="5" t="str" cm="1">
        <f t="array" ref="H1961">IF(NOT(ISBLANK(A1961)),((_xlfn.XLOOKUP(1,(_bbt3[[#All],[ID]]=A1961)*(_bbt3[[#All],[METRIC_NAME]]="YLD_YTM_ASK"),_bbt3[[#All],[METRIC_VALUE]])*0.5)+(_xlfn.XLOOKUP(1,(_bbt3[[#All],[ID]]=A1961)*(_bbt3[[#All],[METRIC_NAME]]="YLD_YTM_BID"),_bbt3[[#All],[METRIC_VALUE]])*0.5))/100,"")</f>
        <v/>
      </c>
      <c r="I1961">
        <f>IF(ISNA(VLOOKUP(A1961,QW_CloseDL!A:E,5,0)),0,VLOOKUP(A1961,QW_CloseDL!A:E,5,0))</f>
        <v>0</v>
      </c>
      <c r="J1961" s="8" t="str">
        <f t="shared" si="120"/>
        <v/>
      </c>
    </row>
    <row r="1962" spans="2:10" x14ac:dyDescent="0.35">
      <c r="B1962" t="str">
        <f>IF(NOT(ISBLANK(A1962)),VLOOKUP(A1962,'BBT3'!A:F,2,0),"")</f>
        <v/>
      </c>
      <c r="C1962" t="str">
        <f>IF(NOT(ISBLANK(A1962)),VLOOKUP(A1962,'BBT3'!A:F,3,0),"")</f>
        <v/>
      </c>
      <c r="D1962" s="6" t="str">
        <f>IF(NOT(ISBLANK(A1962)),VLOOKUP(A1962,'BBT3'!A:F,4,1),"")</f>
        <v/>
      </c>
      <c r="E1962" t="str">
        <f>IF(NOT(ISBLANK(A1962)),VLOOKUP(A1962,'BBT3'!A:F,5,0),"")</f>
        <v/>
      </c>
      <c r="F1962" t="str">
        <f>IF(NOT(ISBLANK(A1962)),VLOOKUP(A1962,'BBT3'!A:F,6,0),"")</f>
        <v/>
      </c>
      <c r="G1962" t="str">
        <f>IF(NOT(ISBLANK(A1962)),VLOOKUP(A1962,QW_Close!A:J,5,0),"")</f>
        <v/>
      </c>
      <c r="H1962" s="5" t="str" cm="1">
        <f t="array" ref="H1962">IF(NOT(ISBLANK(A1962)),((_xlfn.XLOOKUP(1,(_bbt3[[#All],[ID]]=A1962)*(_bbt3[[#All],[METRIC_NAME]]="YLD_YTM_ASK"),_bbt3[[#All],[METRIC_VALUE]])*0.5)+(_xlfn.XLOOKUP(1,(_bbt3[[#All],[ID]]=A1962)*(_bbt3[[#All],[METRIC_NAME]]="YLD_YTM_BID"),_bbt3[[#All],[METRIC_VALUE]])*0.5))/100,"")</f>
        <v/>
      </c>
      <c r="I1962">
        <f>IF(ISNA(VLOOKUP(A1962,QW_CloseDL!A:E,5,0)),0,VLOOKUP(A1962,QW_CloseDL!A:E,5,0))</f>
        <v>0</v>
      </c>
      <c r="J1962" s="8" t="str">
        <f t="shared" si="120"/>
        <v/>
      </c>
    </row>
    <row r="1963" spans="2:10" x14ac:dyDescent="0.35">
      <c r="B1963" t="str">
        <f>IF(NOT(ISBLANK(A1963)),VLOOKUP(A1963,'BBT3'!A:F,2,0),"")</f>
        <v/>
      </c>
      <c r="C1963" t="str">
        <f>IF(NOT(ISBLANK(A1963)),VLOOKUP(A1963,'BBT3'!A:F,3,0),"")</f>
        <v/>
      </c>
      <c r="D1963" s="6" t="str">
        <f>IF(NOT(ISBLANK(A1963)),VLOOKUP(A1963,'BBT3'!A:F,4,1),"")</f>
        <v/>
      </c>
      <c r="E1963" t="str">
        <f>IF(NOT(ISBLANK(A1963)),VLOOKUP(A1963,'BBT3'!A:F,5,0),"")</f>
        <v/>
      </c>
      <c r="F1963" t="str">
        <f>IF(NOT(ISBLANK(A1963)),VLOOKUP(A1963,'BBT3'!A:F,6,0),"")</f>
        <v/>
      </c>
      <c r="G1963" t="str">
        <f>IF(NOT(ISBLANK(A1963)),VLOOKUP(A1963,QW_Close!A:J,5,0),"")</f>
        <v/>
      </c>
      <c r="H1963" s="5" t="str" cm="1">
        <f t="array" ref="H1963">IF(NOT(ISBLANK(A1963)),((_xlfn.XLOOKUP(1,(_bbt3[[#All],[ID]]=A1963)*(_bbt3[[#All],[METRIC_NAME]]="YLD_YTM_ASK"),_bbt3[[#All],[METRIC_VALUE]])*0.5)+(_xlfn.XLOOKUP(1,(_bbt3[[#All],[ID]]=A1963)*(_bbt3[[#All],[METRIC_NAME]]="YLD_YTM_BID"),_bbt3[[#All],[METRIC_VALUE]])*0.5))/100,"")</f>
        <v/>
      </c>
      <c r="I1963">
        <f>IF(ISNA(VLOOKUP(A1963,QW_CloseDL!A:E,5,0)),0,VLOOKUP(A1963,QW_CloseDL!A:E,5,0))</f>
        <v>0</v>
      </c>
      <c r="J1963" s="8" t="str">
        <f t="shared" si="120"/>
        <v/>
      </c>
    </row>
    <row r="1964" spans="2:10" x14ac:dyDescent="0.35">
      <c r="B1964" t="str">
        <f>IF(NOT(ISBLANK(A1964)),VLOOKUP(A1964,'BBT3'!A:F,2,0),"")</f>
        <v/>
      </c>
      <c r="C1964" t="str">
        <f>IF(NOT(ISBLANK(A1964)),VLOOKUP(A1964,'BBT3'!A:F,3,0),"")</f>
        <v/>
      </c>
      <c r="D1964" s="6" t="str">
        <f>IF(NOT(ISBLANK(A1964)),VLOOKUP(A1964,'BBT3'!A:F,4,1),"")</f>
        <v/>
      </c>
      <c r="E1964" t="str">
        <f>IF(NOT(ISBLANK(A1964)),VLOOKUP(A1964,'BBT3'!A:F,5,0),"")</f>
        <v/>
      </c>
      <c r="F1964" t="str">
        <f>IF(NOT(ISBLANK(A1964)),VLOOKUP(A1964,'BBT3'!A:F,6,0),"")</f>
        <v/>
      </c>
      <c r="G1964" t="str">
        <f>IF(NOT(ISBLANK(A1964)),VLOOKUP(A1964,QW_Close!A:J,5,0),"")</f>
        <v/>
      </c>
      <c r="H1964" s="5" t="str" cm="1">
        <f t="array" ref="H1964">IF(NOT(ISBLANK(A1964)),((_xlfn.XLOOKUP(1,(_bbt3[[#All],[ID]]=A1964)*(_bbt3[[#All],[METRIC_NAME]]="YLD_YTM_ASK"),_bbt3[[#All],[METRIC_VALUE]])*0.5)+(_xlfn.XLOOKUP(1,(_bbt3[[#All],[ID]]=A1964)*(_bbt3[[#All],[METRIC_NAME]]="YLD_YTM_BID"),_bbt3[[#All],[METRIC_VALUE]])*0.5))/100,"")</f>
        <v/>
      </c>
      <c r="I1964">
        <f>IF(ISNA(VLOOKUP(A1964,QW_CloseDL!A:E,5,0)),0,VLOOKUP(A1964,QW_CloseDL!A:E,5,0))</f>
        <v>0</v>
      </c>
      <c r="J1964" s="8" t="str">
        <f t="shared" si="120"/>
        <v/>
      </c>
    </row>
    <row r="1965" spans="2:10" x14ac:dyDescent="0.35">
      <c r="B1965" t="str">
        <f>IF(NOT(ISBLANK(A1965)),VLOOKUP(A1965,'BBT3'!A:F,2,0),"")</f>
        <v/>
      </c>
      <c r="C1965" t="str">
        <f>IF(NOT(ISBLANK(A1965)),VLOOKUP(A1965,'BBT3'!A:F,3,0),"")</f>
        <v/>
      </c>
      <c r="D1965" s="6" t="str">
        <f>IF(NOT(ISBLANK(A1965)),VLOOKUP(A1965,'BBT3'!A:F,4,1),"")</f>
        <v/>
      </c>
      <c r="E1965" t="str">
        <f>IF(NOT(ISBLANK(A1965)),VLOOKUP(A1965,'BBT3'!A:F,5,0),"")</f>
        <v/>
      </c>
      <c r="F1965" t="str">
        <f>IF(NOT(ISBLANK(A1965)),VLOOKUP(A1965,'BBT3'!A:F,6,0),"")</f>
        <v/>
      </c>
      <c r="G1965" t="str">
        <f>IF(NOT(ISBLANK(A1965)),VLOOKUP(A1965,QW_Close!A:J,5,0),"")</f>
        <v/>
      </c>
      <c r="H1965" s="5" t="str" cm="1">
        <f t="array" ref="H1965">IF(NOT(ISBLANK(A1965)),((_xlfn.XLOOKUP(1,(_bbt3[[#All],[ID]]=A1965)*(_bbt3[[#All],[METRIC_NAME]]="YLD_YTM_ASK"),_bbt3[[#All],[METRIC_VALUE]])*0.5)+(_xlfn.XLOOKUP(1,(_bbt3[[#All],[ID]]=A1965)*(_bbt3[[#All],[METRIC_NAME]]="YLD_YTM_BID"),_bbt3[[#All],[METRIC_VALUE]])*0.5))/100,"")</f>
        <v/>
      </c>
      <c r="I1965">
        <f>IF(ISNA(VLOOKUP(A1965,QW_CloseDL!A:E,5,0)),0,VLOOKUP(A1965,QW_CloseDL!A:E,5,0))</f>
        <v>0</v>
      </c>
      <c r="J1965" s="8" t="str">
        <f t="shared" si="120"/>
        <v/>
      </c>
    </row>
    <row r="1966" spans="2:10" x14ac:dyDescent="0.35">
      <c r="B1966" t="str">
        <f>IF(NOT(ISBLANK(A1966)),VLOOKUP(A1966,'BBT3'!A:F,2,0),"")</f>
        <v/>
      </c>
      <c r="C1966" t="str">
        <f>IF(NOT(ISBLANK(A1966)),VLOOKUP(A1966,'BBT3'!A:F,3,0),"")</f>
        <v/>
      </c>
      <c r="D1966" s="6" t="str">
        <f>IF(NOT(ISBLANK(A1966)),VLOOKUP(A1966,'BBT3'!A:F,4,1),"")</f>
        <v/>
      </c>
      <c r="E1966" t="str">
        <f>IF(NOT(ISBLANK(A1966)),VLOOKUP(A1966,'BBT3'!A:F,5,0),"")</f>
        <v/>
      </c>
      <c r="F1966" t="str">
        <f>IF(NOT(ISBLANK(A1966)),VLOOKUP(A1966,'BBT3'!A:F,6,0),"")</f>
        <v/>
      </c>
      <c r="G1966" t="str">
        <f>IF(NOT(ISBLANK(A1966)),VLOOKUP(A1966,QW_Close!A:J,5,0),"")</f>
        <v/>
      </c>
      <c r="H1966" s="5" t="str" cm="1">
        <f t="array" ref="H1966">IF(NOT(ISBLANK(A1966)),((_xlfn.XLOOKUP(1,(_bbt3[[#All],[ID]]=A1966)*(_bbt3[[#All],[METRIC_NAME]]="YLD_YTM_ASK"),_bbt3[[#All],[METRIC_VALUE]])*0.5)+(_xlfn.XLOOKUP(1,(_bbt3[[#All],[ID]]=A1966)*(_bbt3[[#All],[METRIC_NAME]]="YLD_YTM_BID"),_bbt3[[#All],[METRIC_VALUE]])*0.5))/100,"")</f>
        <v/>
      </c>
      <c r="I1966">
        <f>IF(ISNA(VLOOKUP(A1966,QW_CloseDL!A:E,5,0)),0,VLOOKUP(A1966,QW_CloseDL!A:E,5,0))</f>
        <v>0</v>
      </c>
      <c r="J1966" s="8" t="str">
        <f t="shared" si="120"/>
        <v/>
      </c>
    </row>
    <row r="1967" spans="2:10" x14ac:dyDescent="0.35">
      <c r="B1967" t="str">
        <f>IF(NOT(ISBLANK(A1967)),VLOOKUP(A1967,'BBT3'!A:F,2,0),"")</f>
        <v/>
      </c>
      <c r="C1967" t="str">
        <f>IF(NOT(ISBLANK(A1967)),VLOOKUP(A1967,'BBT3'!A:F,3,0),"")</f>
        <v/>
      </c>
      <c r="D1967" s="6" t="str">
        <f>IF(NOT(ISBLANK(A1967)),VLOOKUP(A1967,'BBT3'!A:F,4,1),"")</f>
        <v/>
      </c>
      <c r="E1967" t="str">
        <f>IF(NOT(ISBLANK(A1967)),VLOOKUP(A1967,'BBT3'!A:F,5,0),"")</f>
        <v/>
      </c>
      <c r="F1967" t="str">
        <f>IF(NOT(ISBLANK(A1967)),VLOOKUP(A1967,'BBT3'!A:F,6,0),"")</f>
        <v/>
      </c>
      <c r="G1967" t="str">
        <f>IF(NOT(ISBLANK(A1967)),VLOOKUP(A1967,QW_Close!A:J,5,0),"")</f>
        <v/>
      </c>
      <c r="H1967" s="5" t="str" cm="1">
        <f t="array" ref="H1967">IF(NOT(ISBLANK(A1967)),((_xlfn.XLOOKUP(1,(_bbt3[[#All],[ID]]=A1967)*(_bbt3[[#All],[METRIC_NAME]]="YLD_YTM_ASK"),_bbt3[[#All],[METRIC_VALUE]])*0.5)+(_xlfn.XLOOKUP(1,(_bbt3[[#All],[ID]]=A1967)*(_bbt3[[#All],[METRIC_NAME]]="YLD_YTM_BID"),_bbt3[[#All],[METRIC_VALUE]])*0.5))/100,"")</f>
        <v/>
      </c>
      <c r="I1967">
        <f>IF(ISNA(VLOOKUP(A1967,QW_CloseDL!A:E,5,0)),0,VLOOKUP(A1967,QW_CloseDL!A:E,5,0))</f>
        <v>0</v>
      </c>
      <c r="J1967" s="8" t="str">
        <f t="shared" si="120"/>
        <v/>
      </c>
    </row>
    <row r="1968" spans="2:10" x14ac:dyDescent="0.35">
      <c r="B1968" t="str">
        <f>IF(NOT(ISBLANK(A1968)),VLOOKUP(A1968,'BBT3'!A:F,2,0),"")</f>
        <v/>
      </c>
      <c r="C1968" t="str">
        <f>IF(NOT(ISBLANK(A1968)),VLOOKUP(A1968,'BBT3'!A:F,3,0),"")</f>
        <v/>
      </c>
      <c r="D1968" s="6" t="str">
        <f>IF(NOT(ISBLANK(A1968)),VLOOKUP(A1968,'BBT3'!A:F,4,1),"")</f>
        <v/>
      </c>
      <c r="E1968" t="str">
        <f>IF(NOT(ISBLANK(A1968)),VLOOKUP(A1968,'BBT3'!A:F,5,0),"")</f>
        <v/>
      </c>
      <c r="F1968" t="str">
        <f>IF(NOT(ISBLANK(A1968)),VLOOKUP(A1968,'BBT3'!A:F,6,0),"")</f>
        <v/>
      </c>
      <c r="G1968" t="str">
        <f>IF(NOT(ISBLANK(A1968)),VLOOKUP(A1968,QW_Close!A:J,5,0),"")</f>
        <v/>
      </c>
      <c r="H1968" s="5" t="str" cm="1">
        <f t="array" ref="H1968">IF(NOT(ISBLANK(A1968)),((_xlfn.XLOOKUP(1,(_bbt3[[#All],[ID]]=A1968)*(_bbt3[[#All],[METRIC_NAME]]="YLD_YTM_ASK"),_bbt3[[#All],[METRIC_VALUE]])*0.5)+(_xlfn.XLOOKUP(1,(_bbt3[[#All],[ID]]=A1968)*(_bbt3[[#All],[METRIC_NAME]]="YLD_YTM_BID"),_bbt3[[#All],[METRIC_VALUE]])*0.5))/100,"")</f>
        <v/>
      </c>
      <c r="I1968">
        <f>IF(ISNA(VLOOKUP(A1968,QW_CloseDL!A:E,5,0)),0,VLOOKUP(A1968,QW_CloseDL!A:E,5,0))</f>
        <v>0</v>
      </c>
      <c r="J1968" s="8" t="str">
        <f t="shared" si="120"/>
        <v/>
      </c>
    </row>
    <row r="1969" spans="2:10" x14ac:dyDescent="0.35">
      <c r="B1969" t="str">
        <f>IF(NOT(ISBLANK(A1969)),VLOOKUP(A1969,'BBT3'!A:F,2,0),"")</f>
        <v/>
      </c>
      <c r="C1969" t="str">
        <f>IF(NOT(ISBLANK(A1969)),VLOOKUP(A1969,'BBT3'!A:F,3,0),"")</f>
        <v/>
      </c>
      <c r="D1969" s="6" t="str">
        <f>IF(NOT(ISBLANK(A1969)),VLOOKUP(A1969,'BBT3'!A:F,4,1),"")</f>
        <v/>
      </c>
      <c r="E1969" t="str">
        <f>IF(NOT(ISBLANK(A1969)),VLOOKUP(A1969,'BBT3'!A:F,5,0),"")</f>
        <v/>
      </c>
      <c r="F1969" t="str">
        <f>IF(NOT(ISBLANK(A1969)),VLOOKUP(A1969,'BBT3'!A:F,6,0),"")</f>
        <v/>
      </c>
      <c r="G1969" t="str">
        <f>IF(NOT(ISBLANK(A1969)),VLOOKUP(A1969,QW_Close!A:J,5,0),"")</f>
        <v/>
      </c>
      <c r="H1969" s="5" t="str" cm="1">
        <f t="array" ref="H1969">IF(NOT(ISBLANK(A1969)),((_xlfn.XLOOKUP(1,(_bbt3[[#All],[ID]]=A1969)*(_bbt3[[#All],[METRIC_NAME]]="YLD_YTM_ASK"),_bbt3[[#All],[METRIC_VALUE]])*0.5)+(_xlfn.XLOOKUP(1,(_bbt3[[#All],[ID]]=A1969)*(_bbt3[[#All],[METRIC_NAME]]="YLD_YTM_BID"),_bbt3[[#All],[METRIC_VALUE]])*0.5))/100,"")</f>
        <v/>
      </c>
      <c r="I1969">
        <f>IF(ISNA(VLOOKUP(A1969,QW_CloseDL!A:E,5,0)),0,VLOOKUP(A1969,QW_CloseDL!A:E,5,0))</f>
        <v>0</v>
      </c>
      <c r="J1969" s="8" t="str">
        <f t="shared" si="120"/>
        <v/>
      </c>
    </row>
    <row r="1970" spans="2:10" x14ac:dyDescent="0.35">
      <c r="B1970" t="str">
        <f>IF(NOT(ISBLANK(A1970)),VLOOKUP(A1970,'BBT3'!A:F,2,0),"")</f>
        <v/>
      </c>
      <c r="C1970" t="str">
        <f>IF(NOT(ISBLANK(A1970)),VLOOKUP(A1970,'BBT3'!A:F,3,0),"")</f>
        <v/>
      </c>
      <c r="D1970" s="6" t="str">
        <f>IF(NOT(ISBLANK(A1970)),VLOOKUP(A1970,'BBT3'!A:F,4,1),"")</f>
        <v/>
      </c>
      <c r="E1970" t="str">
        <f>IF(NOT(ISBLANK(A1970)),VLOOKUP(A1970,'BBT3'!A:F,5,0),"")</f>
        <v/>
      </c>
      <c r="F1970" t="str">
        <f>IF(NOT(ISBLANK(A1970)),VLOOKUP(A1970,'BBT3'!A:F,6,0),"")</f>
        <v/>
      </c>
      <c r="G1970" t="str">
        <f>IF(NOT(ISBLANK(A1970)),VLOOKUP(A1970,QW_Close!A:J,5,0),"")</f>
        <v/>
      </c>
      <c r="H1970" s="5" t="str" cm="1">
        <f t="array" ref="H1970">IF(NOT(ISBLANK(A1970)),((_xlfn.XLOOKUP(1,(_bbt3[[#All],[ID]]=A1970)*(_bbt3[[#All],[METRIC_NAME]]="YLD_YTM_ASK"),_bbt3[[#All],[METRIC_VALUE]])*0.5)+(_xlfn.XLOOKUP(1,(_bbt3[[#All],[ID]]=A1970)*(_bbt3[[#All],[METRIC_NAME]]="YLD_YTM_BID"),_bbt3[[#All],[METRIC_VALUE]])*0.5))/100,"")</f>
        <v/>
      </c>
      <c r="I1970">
        <f>IF(ISNA(VLOOKUP(A1970,QW_CloseDL!A:E,5,0)),0,VLOOKUP(A1970,QW_CloseDL!A:E,5,0))</f>
        <v>0</v>
      </c>
      <c r="J1970" s="8" t="str">
        <f t="shared" si="120"/>
        <v/>
      </c>
    </row>
    <row r="1971" spans="2:10" x14ac:dyDescent="0.35">
      <c r="B1971" t="str">
        <f>IF(NOT(ISBLANK(A1971)),VLOOKUP(A1971,'BBT3'!A:F,2,0),"")</f>
        <v/>
      </c>
      <c r="C1971" t="str">
        <f>IF(NOT(ISBLANK(A1971)),VLOOKUP(A1971,'BBT3'!A:F,3,0),"")</f>
        <v/>
      </c>
      <c r="D1971" s="6" t="str">
        <f>IF(NOT(ISBLANK(A1971)),VLOOKUP(A1971,'BBT3'!A:F,4,1),"")</f>
        <v/>
      </c>
      <c r="E1971" t="str">
        <f>IF(NOT(ISBLANK(A1971)),VLOOKUP(A1971,'BBT3'!A:F,5,0),"")</f>
        <v/>
      </c>
      <c r="F1971" t="str">
        <f>IF(NOT(ISBLANK(A1971)),VLOOKUP(A1971,'BBT3'!A:F,6,0),"")</f>
        <v/>
      </c>
      <c r="G1971" t="str">
        <f>IF(NOT(ISBLANK(A1971)),VLOOKUP(A1971,QW_Close!A:J,5,0),"")</f>
        <v/>
      </c>
      <c r="H1971" s="5" t="str" cm="1">
        <f t="array" ref="H1971">IF(NOT(ISBLANK(A1971)),((_xlfn.XLOOKUP(1,(_bbt3[[#All],[ID]]=A1971)*(_bbt3[[#All],[METRIC_NAME]]="YLD_YTM_ASK"),_bbt3[[#All],[METRIC_VALUE]])*0.5)+(_xlfn.XLOOKUP(1,(_bbt3[[#All],[ID]]=A1971)*(_bbt3[[#All],[METRIC_NAME]]="YLD_YTM_BID"),_bbt3[[#All],[METRIC_VALUE]])*0.5))/100,"")</f>
        <v/>
      </c>
      <c r="I1971">
        <f>IF(ISNA(VLOOKUP(A1971,QW_CloseDL!A:E,5,0)),0,VLOOKUP(A1971,QW_CloseDL!A:E,5,0))</f>
        <v>0</v>
      </c>
      <c r="J1971" s="8" t="str">
        <f t="shared" si="120"/>
        <v/>
      </c>
    </row>
    <row r="1972" spans="2:10" x14ac:dyDescent="0.35">
      <c r="B1972" t="str">
        <f>IF(NOT(ISBLANK(A1972)),VLOOKUP(A1972,'BBT3'!A:F,2,0),"")</f>
        <v/>
      </c>
      <c r="C1972" t="str">
        <f>IF(NOT(ISBLANK(A1972)),VLOOKUP(A1972,'BBT3'!A:F,3,0),"")</f>
        <v/>
      </c>
      <c r="D1972" s="6" t="str">
        <f>IF(NOT(ISBLANK(A1972)),VLOOKUP(A1972,'BBT3'!A:F,4,1),"")</f>
        <v/>
      </c>
      <c r="E1972" t="str">
        <f>IF(NOT(ISBLANK(A1972)),VLOOKUP(A1972,'BBT3'!A:F,5,0),"")</f>
        <v/>
      </c>
      <c r="F1972" t="str">
        <f>IF(NOT(ISBLANK(A1972)),VLOOKUP(A1972,'BBT3'!A:F,6,0),"")</f>
        <v/>
      </c>
      <c r="G1972" t="str">
        <f>IF(NOT(ISBLANK(A1972)),VLOOKUP(A1972,QW_Close!A:J,5,0),"")</f>
        <v/>
      </c>
      <c r="H1972" s="5" t="str" cm="1">
        <f t="array" ref="H1972">IF(NOT(ISBLANK(A1972)),((_xlfn.XLOOKUP(1,(_bbt3[[#All],[ID]]=A1972)*(_bbt3[[#All],[METRIC_NAME]]="YLD_YTM_ASK"),_bbt3[[#All],[METRIC_VALUE]])*0.5)+(_xlfn.XLOOKUP(1,(_bbt3[[#All],[ID]]=A1972)*(_bbt3[[#All],[METRIC_NAME]]="YLD_YTM_BID"),_bbt3[[#All],[METRIC_VALUE]])*0.5))/100,"")</f>
        <v/>
      </c>
      <c r="I1972">
        <f>IF(ISNA(VLOOKUP(A1972,QW_CloseDL!A:E,5,0)),0,VLOOKUP(A1972,QW_CloseDL!A:E,5,0))</f>
        <v>0</v>
      </c>
      <c r="J1972" s="8" t="str">
        <f t="shared" si="120"/>
        <v/>
      </c>
    </row>
    <row r="1973" spans="2:10" x14ac:dyDescent="0.35">
      <c r="B1973" t="str">
        <f>IF(NOT(ISBLANK(A1973)),VLOOKUP(A1973,'BBT3'!A:F,2,0),"")</f>
        <v/>
      </c>
      <c r="C1973" t="str">
        <f>IF(NOT(ISBLANK(A1973)),VLOOKUP(A1973,'BBT3'!A:F,3,0),"")</f>
        <v/>
      </c>
      <c r="D1973" s="6" t="str">
        <f>IF(NOT(ISBLANK(A1973)),VLOOKUP(A1973,'BBT3'!A:F,4,1),"")</f>
        <v/>
      </c>
      <c r="E1973" t="str">
        <f>IF(NOT(ISBLANK(A1973)),VLOOKUP(A1973,'BBT3'!A:F,5,0),"")</f>
        <v/>
      </c>
      <c r="F1973" t="str">
        <f>IF(NOT(ISBLANK(A1973)),VLOOKUP(A1973,'BBT3'!A:F,6,0),"")</f>
        <v/>
      </c>
      <c r="G1973" t="str">
        <f>IF(NOT(ISBLANK(A1973)),VLOOKUP(A1973,QW_Close!A:J,5,0),"")</f>
        <v/>
      </c>
      <c r="H1973" s="5" t="str" cm="1">
        <f t="array" ref="H1973">IF(NOT(ISBLANK(A1973)),((_xlfn.XLOOKUP(1,(_bbt3[[#All],[ID]]=A1973)*(_bbt3[[#All],[METRIC_NAME]]="YLD_YTM_ASK"),_bbt3[[#All],[METRIC_VALUE]])*0.5)+(_xlfn.XLOOKUP(1,(_bbt3[[#All],[ID]]=A1973)*(_bbt3[[#All],[METRIC_NAME]]="YLD_YTM_BID"),_bbt3[[#All],[METRIC_VALUE]])*0.5))/100,"")</f>
        <v/>
      </c>
      <c r="I1973">
        <f>IF(ISNA(VLOOKUP(A1973,QW_CloseDL!A:E,5,0)),0,VLOOKUP(A1973,QW_CloseDL!A:E,5,0))</f>
        <v>0</v>
      </c>
      <c r="J1973" s="8" t="str">
        <f t="shared" si="120"/>
        <v/>
      </c>
    </row>
    <row r="1974" spans="2:10" x14ac:dyDescent="0.35">
      <c r="B1974" t="str">
        <f>IF(NOT(ISBLANK(A1974)),VLOOKUP(A1974,'BBT3'!A:F,2,0),"")</f>
        <v/>
      </c>
      <c r="C1974" t="str">
        <f>IF(NOT(ISBLANK(A1974)),VLOOKUP(A1974,'BBT3'!A:F,3,0),"")</f>
        <v/>
      </c>
      <c r="D1974" s="6" t="str">
        <f>IF(NOT(ISBLANK(A1974)),VLOOKUP(A1974,'BBT3'!A:F,4,1),"")</f>
        <v/>
      </c>
      <c r="E1974" t="str">
        <f>IF(NOT(ISBLANK(A1974)),VLOOKUP(A1974,'BBT3'!A:F,5,0),"")</f>
        <v/>
      </c>
      <c r="F1974" t="str">
        <f>IF(NOT(ISBLANK(A1974)),VLOOKUP(A1974,'BBT3'!A:F,6,0),"")</f>
        <v/>
      </c>
      <c r="G1974" t="str">
        <f>IF(NOT(ISBLANK(A1974)),VLOOKUP(A1974,QW_Close!A:J,5,0),"")</f>
        <v/>
      </c>
      <c r="H1974" s="5" t="str" cm="1">
        <f t="array" ref="H1974">IF(NOT(ISBLANK(A1974)),((_xlfn.XLOOKUP(1,(_bbt3[[#All],[ID]]=A1974)*(_bbt3[[#All],[METRIC_NAME]]="YLD_YTM_ASK"),_bbt3[[#All],[METRIC_VALUE]])*0.5)+(_xlfn.XLOOKUP(1,(_bbt3[[#All],[ID]]=A1974)*(_bbt3[[#All],[METRIC_NAME]]="YLD_YTM_BID"),_bbt3[[#All],[METRIC_VALUE]])*0.5))/100,"")</f>
        <v/>
      </c>
      <c r="I1974">
        <f>IF(ISNA(VLOOKUP(A1974,QW_CloseDL!A:E,5,0)),0,VLOOKUP(A1974,QW_CloseDL!A:E,5,0))</f>
        <v>0</v>
      </c>
      <c r="J1974" s="8" t="str">
        <f t="shared" si="120"/>
        <v/>
      </c>
    </row>
    <row r="1975" spans="2:10" x14ac:dyDescent="0.35">
      <c r="B1975" t="str">
        <f>IF(NOT(ISBLANK(A1975)),VLOOKUP(A1975,'BBT3'!A:F,2,0),"")</f>
        <v/>
      </c>
      <c r="C1975" t="str">
        <f>IF(NOT(ISBLANK(A1975)),VLOOKUP(A1975,'BBT3'!A:F,3,0),"")</f>
        <v/>
      </c>
      <c r="D1975" s="6" t="str">
        <f>IF(NOT(ISBLANK(A1975)),VLOOKUP(A1975,'BBT3'!A:F,4,1),"")</f>
        <v/>
      </c>
      <c r="E1975" t="str">
        <f>IF(NOT(ISBLANK(A1975)),VLOOKUP(A1975,'BBT3'!A:F,5,0),"")</f>
        <v/>
      </c>
      <c r="F1975" t="str">
        <f>IF(NOT(ISBLANK(A1975)),VLOOKUP(A1975,'BBT3'!A:F,6,0),"")</f>
        <v/>
      </c>
      <c r="G1975" t="str">
        <f>IF(NOT(ISBLANK(A1975)),VLOOKUP(A1975,QW_Close!A:J,5,0),"")</f>
        <v/>
      </c>
      <c r="H1975" s="5" t="str" cm="1">
        <f t="array" ref="H1975">IF(NOT(ISBLANK(A1975)),((_xlfn.XLOOKUP(1,(_bbt3[[#All],[ID]]=A1975)*(_bbt3[[#All],[METRIC_NAME]]="YLD_YTM_ASK"),_bbt3[[#All],[METRIC_VALUE]])*0.5)+(_xlfn.XLOOKUP(1,(_bbt3[[#All],[ID]]=A1975)*(_bbt3[[#All],[METRIC_NAME]]="YLD_YTM_BID"),_bbt3[[#All],[METRIC_VALUE]])*0.5))/100,"")</f>
        <v/>
      </c>
      <c r="I1975">
        <f>IF(ISNA(VLOOKUP(A1975,QW_CloseDL!A:E,5,0)),0,VLOOKUP(A1975,QW_CloseDL!A:E,5,0))</f>
        <v>0</v>
      </c>
      <c r="J1975" s="8" t="str">
        <f t="shared" si="120"/>
        <v/>
      </c>
    </row>
    <row r="1976" spans="2:10" x14ac:dyDescent="0.35">
      <c r="B1976" t="str">
        <f>IF(NOT(ISBLANK(A1976)),VLOOKUP(A1976,'BBT3'!A:F,2,0),"")</f>
        <v/>
      </c>
      <c r="C1976" t="str">
        <f>IF(NOT(ISBLANK(A1976)),VLOOKUP(A1976,'BBT3'!A:F,3,0),"")</f>
        <v/>
      </c>
      <c r="D1976" s="6" t="str">
        <f>IF(NOT(ISBLANK(A1976)),VLOOKUP(A1976,'BBT3'!A:F,4,1),"")</f>
        <v/>
      </c>
      <c r="E1976" t="str">
        <f>IF(NOT(ISBLANK(A1976)),VLOOKUP(A1976,'BBT3'!A:F,5,0),"")</f>
        <v/>
      </c>
      <c r="F1976" t="str">
        <f>IF(NOT(ISBLANK(A1976)),VLOOKUP(A1976,'BBT3'!A:F,6,0),"")</f>
        <v/>
      </c>
      <c r="G1976" t="str">
        <f>IF(NOT(ISBLANK(A1976)),VLOOKUP(A1976,QW_Close!A:J,5,0),"")</f>
        <v/>
      </c>
      <c r="H1976" s="5" t="str" cm="1">
        <f t="array" ref="H1976">IF(NOT(ISBLANK(A1976)),((_xlfn.XLOOKUP(1,(_bbt3[[#All],[ID]]=A1976)*(_bbt3[[#All],[METRIC_NAME]]="YLD_YTM_ASK"),_bbt3[[#All],[METRIC_VALUE]])*0.5)+(_xlfn.XLOOKUP(1,(_bbt3[[#All],[ID]]=A1976)*(_bbt3[[#All],[METRIC_NAME]]="YLD_YTM_BID"),_bbt3[[#All],[METRIC_VALUE]])*0.5))/100,"")</f>
        <v/>
      </c>
      <c r="I1976">
        <f>IF(ISNA(VLOOKUP(A1976,QW_CloseDL!A:E,5,0)),0,VLOOKUP(A1976,QW_CloseDL!A:E,5,0))</f>
        <v>0</v>
      </c>
      <c r="J1976" s="8" t="str">
        <f t="shared" si="120"/>
        <v/>
      </c>
    </row>
    <row r="1977" spans="2:10" x14ac:dyDescent="0.35">
      <c r="B1977" t="str">
        <f>IF(NOT(ISBLANK(A1977)),VLOOKUP(A1977,'BBT3'!A:F,2,0),"")</f>
        <v/>
      </c>
      <c r="C1977" t="str">
        <f>IF(NOT(ISBLANK(A1977)),VLOOKUP(A1977,'BBT3'!A:F,3,0),"")</f>
        <v/>
      </c>
      <c r="D1977" s="6" t="str">
        <f>IF(NOT(ISBLANK(A1977)),VLOOKUP(A1977,'BBT3'!A:F,4,1),"")</f>
        <v/>
      </c>
      <c r="E1977" t="str">
        <f>IF(NOT(ISBLANK(A1977)),VLOOKUP(A1977,'BBT3'!A:F,5,0),"")</f>
        <v/>
      </c>
      <c r="F1977" t="str">
        <f>IF(NOT(ISBLANK(A1977)),VLOOKUP(A1977,'BBT3'!A:F,6,0),"")</f>
        <v/>
      </c>
      <c r="G1977" t="str">
        <f>IF(NOT(ISBLANK(A1977)),VLOOKUP(A1977,QW_Close!A:J,5,0),"")</f>
        <v/>
      </c>
      <c r="H1977" s="5" t="str" cm="1">
        <f t="array" ref="H1977">IF(NOT(ISBLANK(A1977)),((_xlfn.XLOOKUP(1,(_bbt3[[#All],[ID]]=A1977)*(_bbt3[[#All],[METRIC_NAME]]="YLD_YTM_ASK"),_bbt3[[#All],[METRIC_VALUE]])*0.5)+(_xlfn.XLOOKUP(1,(_bbt3[[#All],[ID]]=A1977)*(_bbt3[[#All],[METRIC_NAME]]="YLD_YTM_BID"),_bbt3[[#All],[METRIC_VALUE]])*0.5))/100,"")</f>
        <v/>
      </c>
      <c r="I1977">
        <f>IF(ISNA(VLOOKUP(A1977,QW_CloseDL!A:E,5,0)),0,VLOOKUP(A1977,QW_CloseDL!A:E,5,0))</f>
        <v>0</v>
      </c>
      <c r="J1977" s="8" t="str">
        <f t="shared" si="120"/>
        <v/>
      </c>
    </row>
    <row r="1978" spans="2:10" x14ac:dyDescent="0.35">
      <c r="B1978" t="str">
        <f>IF(NOT(ISBLANK(A1978)),VLOOKUP(A1978,'BBT3'!A:F,2,0),"")</f>
        <v/>
      </c>
      <c r="C1978" t="str">
        <f>IF(NOT(ISBLANK(A1978)),VLOOKUP(A1978,'BBT3'!A:F,3,0),"")</f>
        <v/>
      </c>
      <c r="D1978" s="6" t="str">
        <f>IF(NOT(ISBLANK(A1978)),VLOOKUP(A1978,'BBT3'!A:F,4,1),"")</f>
        <v/>
      </c>
      <c r="E1978" t="str">
        <f>IF(NOT(ISBLANK(A1978)),VLOOKUP(A1978,'BBT3'!A:F,5,0),"")</f>
        <v/>
      </c>
      <c r="F1978" t="str">
        <f>IF(NOT(ISBLANK(A1978)),VLOOKUP(A1978,'BBT3'!A:F,6,0),"")</f>
        <v/>
      </c>
      <c r="G1978" t="str">
        <f>IF(NOT(ISBLANK(A1978)),VLOOKUP(A1978,QW_Close!A:J,5,0),"")</f>
        <v/>
      </c>
      <c r="H1978" s="5" t="str" cm="1">
        <f t="array" ref="H1978">IF(NOT(ISBLANK(A1978)),((_xlfn.XLOOKUP(1,(_bbt3[[#All],[ID]]=A1978)*(_bbt3[[#All],[METRIC_NAME]]="YLD_YTM_ASK"),_bbt3[[#All],[METRIC_VALUE]])*0.5)+(_xlfn.XLOOKUP(1,(_bbt3[[#All],[ID]]=A1978)*(_bbt3[[#All],[METRIC_NAME]]="YLD_YTM_BID"),_bbt3[[#All],[METRIC_VALUE]])*0.5))/100,"")</f>
        <v/>
      </c>
      <c r="I1978">
        <f>IF(ISNA(VLOOKUP(A1978,QW_CloseDL!A:E,5,0)),0,VLOOKUP(A1978,QW_CloseDL!A:E,5,0))</f>
        <v>0</v>
      </c>
      <c r="J1978" s="8" t="str">
        <f t="shared" si="120"/>
        <v/>
      </c>
    </row>
    <row r="1979" spans="2:10" x14ac:dyDescent="0.35">
      <c r="B1979" t="str">
        <f>IF(NOT(ISBLANK(A1979)),VLOOKUP(A1979,'BBT3'!A:F,2,0),"")</f>
        <v/>
      </c>
      <c r="C1979" t="str">
        <f>IF(NOT(ISBLANK(A1979)),VLOOKUP(A1979,'BBT3'!A:F,3,0),"")</f>
        <v/>
      </c>
      <c r="D1979" s="6" t="str">
        <f>IF(NOT(ISBLANK(A1979)),VLOOKUP(A1979,'BBT3'!A:F,4,1),"")</f>
        <v/>
      </c>
      <c r="E1979" t="str">
        <f>IF(NOT(ISBLANK(A1979)),VLOOKUP(A1979,'BBT3'!A:F,5,0),"")</f>
        <v/>
      </c>
      <c r="F1979" t="str">
        <f>IF(NOT(ISBLANK(A1979)),VLOOKUP(A1979,'BBT3'!A:F,6,0),"")</f>
        <v/>
      </c>
      <c r="G1979" t="str">
        <f>IF(NOT(ISBLANK(A1979)),VLOOKUP(A1979,QW_Close!A:J,5,0),"")</f>
        <v/>
      </c>
      <c r="H1979" s="5" t="str" cm="1">
        <f t="array" ref="H1979">IF(NOT(ISBLANK(A1979)),((_xlfn.XLOOKUP(1,(_bbt3[[#All],[ID]]=A1979)*(_bbt3[[#All],[METRIC_NAME]]="YLD_YTM_ASK"),_bbt3[[#All],[METRIC_VALUE]])*0.5)+(_xlfn.XLOOKUP(1,(_bbt3[[#All],[ID]]=A1979)*(_bbt3[[#All],[METRIC_NAME]]="YLD_YTM_BID"),_bbt3[[#All],[METRIC_VALUE]])*0.5))/100,"")</f>
        <v/>
      </c>
      <c r="I1979">
        <f>IF(ISNA(VLOOKUP(A1979,QW_CloseDL!A:E,5,0)),0,VLOOKUP(A1979,QW_CloseDL!A:E,5,0))</f>
        <v>0</v>
      </c>
      <c r="J1979" s="8" t="str">
        <f t="shared" si="120"/>
        <v/>
      </c>
    </row>
    <row r="1980" spans="2:10" x14ac:dyDescent="0.35">
      <c r="B1980" t="str">
        <f>IF(NOT(ISBLANK(A1980)),VLOOKUP(A1980,'BBT3'!A:F,2,0),"")</f>
        <v/>
      </c>
      <c r="C1980" t="str">
        <f>IF(NOT(ISBLANK(A1980)),VLOOKUP(A1980,'BBT3'!A:F,3,0),"")</f>
        <v/>
      </c>
      <c r="D1980" s="6" t="str">
        <f>IF(NOT(ISBLANK(A1980)),VLOOKUP(A1980,'BBT3'!A:F,4,1),"")</f>
        <v/>
      </c>
      <c r="E1980" t="str">
        <f>IF(NOT(ISBLANK(A1980)),VLOOKUP(A1980,'BBT3'!A:F,5,0),"")</f>
        <v/>
      </c>
      <c r="F1980" t="str">
        <f>IF(NOT(ISBLANK(A1980)),VLOOKUP(A1980,'BBT3'!A:F,6,0),"")</f>
        <v/>
      </c>
      <c r="G1980" t="str">
        <f>IF(NOT(ISBLANK(A1980)),VLOOKUP(A1980,QW_Close!A:J,5,0),"")</f>
        <v/>
      </c>
      <c r="H1980" s="5" t="str" cm="1">
        <f t="array" ref="H1980">IF(NOT(ISBLANK(A1980)),((_xlfn.XLOOKUP(1,(_bbt3[[#All],[ID]]=A1980)*(_bbt3[[#All],[METRIC_NAME]]="YLD_YTM_ASK"),_bbt3[[#All],[METRIC_VALUE]])*0.5)+(_xlfn.XLOOKUP(1,(_bbt3[[#All],[ID]]=A1980)*(_bbt3[[#All],[METRIC_NAME]]="YLD_YTM_BID"),_bbt3[[#All],[METRIC_VALUE]])*0.5))/100,"")</f>
        <v/>
      </c>
      <c r="I1980">
        <f>IF(ISNA(VLOOKUP(A1980,QW_CloseDL!A:E,5,0)),0,VLOOKUP(A1980,QW_CloseDL!A:E,5,0))</f>
        <v>0</v>
      </c>
      <c r="J1980" s="8" t="str">
        <f t="shared" si="120"/>
        <v/>
      </c>
    </row>
    <row r="1981" spans="2:10" x14ac:dyDescent="0.35">
      <c r="B1981" t="str">
        <f>IF(NOT(ISBLANK(A1981)),VLOOKUP(A1981,'BBT3'!A:F,2,0),"")</f>
        <v/>
      </c>
      <c r="C1981" t="str">
        <f>IF(NOT(ISBLANK(A1981)),VLOOKUP(A1981,'BBT3'!A:F,3,0),"")</f>
        <v/>
      </c>
      <c r="D1981" s="6" t="str">
        <f>IF(NOT(ISBLANK(A1981)),VLOOKUP(A1981,'BBT3'!A:F,4,1),"")</f>
        <v/>
      </c>
      <c r="E1981" t="str">
        <f>IF(NOT(ISBLANK(A1981)),VLOOKUP(A1981,'BBT3'!A:F,5,0),"")</f>
        <v/>
      </c>
      <c r="F1981" t="str">
        <f>IF(NOT(ISBLANK(A1981)),VLOOKUP(A1981,'BBT3'!A:F,6,0),"")</f>
        <v/>
      </c>
      <c r="G1981" t="str">
        <f>IF(NOT(ISBLANK(A1981)),VLOOKUP(A1981,QW_Close!A:J,5,0),"")</f>
        <v/>
      </c>
      <c r="H1981" s="5" t="str" cm="1">
        <f t="array" ref="H1981">IF(NOT(ISBLANK(A1981)),((_xlfn.XLOOKUP(1,(_bbt3[[#All],[ID]]=A1981)*(_bbt3[[#All],[METRIC_NAME]]="YLD_YTM_ASK"),_bbt3[[#All],[METRIC_VALUE]])*0.5)+(_xlfn.XLOOKUP(1,(_bbt3[[#All],[ID]]=A1981)*(_bbt3[[#All],[METRIC_NAME]]="YLD_YTM_BID"),_bbt3[[#All],[METRIC_VALUE]])*0.5))/100,"")</f>
        <v/>
      </c>
      <c r="I1981">
        <f>IF(ISNA(VLOOKUP(A1981,QW_CloseDL!A:E,5,0)),0,VLOOKUP(A1981,QW_CloseDL!A:E,5,0))</f>
        <v>0</v>
      </c>
      <c r="J1981" s="8" t="str">
        <f t="shared" si="120"/>
        <v/>
      </c>
    </row>
    <row r="1982" spans="2:10" x14ac:dyDescent="0.35">
      <c r="B1982" t="str">
        <f>IF(NOT(ISBLANK(A1982)),VLOOKUP(A1982,'BBT3'!A:F,2,0),"")</f>
        <v/>
      </c>
      <c r="C1982" t="str">
        <f>IF(NOT(ISBLANK(A1982)),VLOOKUP(A1982,'BBT3'!A:F,3,0),"")</f>
        <v/>
      </c>
      <c r="D1982" s="6" t="str">
        <f>IF(NOT(ISBLANK(A1982)),VLOOKUP(A1982,'BBT3'!A:F,4,1),"")</f>
        <v/>
      </c>
      <c r="E1982" t="str">
        <f>IF(NOT(ISBLANK(A1982)),VLOOKUP(A1982,'BBT3'!A:F,5,0),"")</f>
        <v/>
      </c>
      <c r="F1982" t="str">
        <f>IF(NOT(ISBLANK(A1982)),VLOOKUP(A1982,'BBT3'!A:F,6,0),"")</f>
        <v/>
      </c>
      <c r="G1982" t="str">
        <f>IF(NOT(ISBLANK(A1982)),VLOOKUP(A1982,QW_Close!A:J,5,0),"")</f>
        <v/>
      </c>
      <c r="H1982" s="5" t="str" cm="1">
        <f t="array" ref="H1982">IF(NOT(ISBLANK(A1982)),((_xlfn.XLOOKUP(1,(_bbt3[[#All],[ID]]=A1982)*(_bbt3[[#All],[METRIC_NAME]]="YLD_YTM_ASK"),_bbt3[[#All],[METRIC_VALUE]])*0.5)+(_xlfn.XLOOKUP(1,(_bbt3[[#All],[ID]]=A1982)*(_bbt3[[#All],[METRIC_NAME]]="YLD_YTM_BID"),_bbt3[[#All],[METRIC_VALUE]])*0.5))/100,"")</f>
        <v/>
      </c>
      <c r="I1982">
        <f>IF(ISNA(VLOOKUP(A1982,QW_CloseDL!A:E,5,0)),0,VLOOKUP(A1982,QW_CloseDL!A:E,5,0))</f>
        <v>0</v>
      </c>
      <c r="J1982" s="8" t="str">
        <f t="shared" si="120"/>
        <v/>
      </c>
    </row>
    <row r="1983" spans="2:10" x14ac:dyDescent="0.35">
      <c r="B1983" t="str">
        <f>IF(NOT(ISBLANK(A1983)),VLOOKUP(A1983,'BBT3'!A:F,2,0),"")</f>
        <v/>
      </c>
      <c r="C1983" t="str">
        <f>IF(NOT(ISBLANK(A1983)),VLOOKUP(A1983,'BBT3'!A:F,3,0),"")</f>
        <v/>
      </c>
      <c r="D1983" s="6" t="str">
        <f>IF(NOT(ISBLANK(A1983)),VLOOKUP(A1983,'BBT3'!A:F,4,1),"")</f>
        <v/>
      </c>
      <c r="E1983" t="str">
        <f>IF(NOT(ISBLANK(A1983)),VLOOKUP(A1983,'BBT3'!A:F,5,0),"")</f>
        <v/>
      </c>
      <c r="F1983" t="str">
        <f>IF(NOT(ISBLANK(A1983)),VLOOKUP(A1983,'BBT3'!A:F,6,0),"")</f>
        <v/>
      </c>
      <c r="G1983" t="str">
        <f>IF(NOT(ISBLANK(A1983)),VLOOKUP(A1983,QW_Close!A:J,5,0),"")</f>
        <v/>
      </c>
      <c r="H1983" s="5" t="str" cm="1">
        <f t="array" ref="H1983">IF(NOT(ISBLANK(A1983)),((_xlfn.XLOOKUP(1,(_bbt3[[#All],[ID]]=A1983)*(_bbt3[[#All],[METRIC_NAME]]="YLD_YTM_ASK"),_bbt3[[#All],[METRIC_VALUE]])*0.5)+(_xlfn.XLOOKUP(1,(_bbt3[[#All],[ID]]=A1983)*(_bbt3[[#All],[METRIC_NAME]]="YLD_YTM_BID"),_bbt3[[#All],[METRIC_VALUE]])*0.5))/100,"")</f>
        <v/>
      </c>
      <c r="I1983">
        <f>IF(ISNA(VLOOKUP(A1983,QW_CloseDL!A:E,5,0)),0,VLOOKUP(A1983,QW_CloseDL!A:E,5,0))</f>
        <v>0</v>
      </c>
      <c r="J1983" s="8" t="str">
        <f t="shared" si="120"/>
        <v/>
      </c>
    </row>
    <row r="1984" spans="2:10" x14ac:dyDescent="0.35">
      <c r="B1984" t="str">
        <f>IF(NOT(ISBLANK(A1984)),VLOOKUP(A1984,'BBT3'!A:F,2,0),"")</f>
        <v/>
      </c>
      <c r="C1984" t="str">
        <f>IF(NOT(ISBLANK(A1984)),VLOOKUP(A1984,'BBT3'!A:F,3,0),"")</f>
        <v/>
      </c>
      <c r="D1984" s="6" t="str">
        <f>IF(NOT(ISBLANK(A1984)),VLOOKUP(A1984,'BBT3'!A:F,4,1),"")</f>
        <v/>
      </c>
      <c r="E1984" t="str">
        <f>IF(NOT(ISBLANK(A1984)),VLOOKUP(A1984,'BBT3'!A:F,5,0),"")</f>
        <v/>
      </c>
      <c r="F1984" t="str">
        <f>IF(NOT(ISBLANK(A1984)),VLOOKUP(A1984,'BBT3'!A:F,6,0),"")</f>
        <v/>
      </c>
      <c r="G1984" t="str">
        <f>IF(NOT(ISBLANK(A1984)),VLOOKUP(A1984,QW_Close!A:J,5,0),"")</f>
        <v/>
      </c>
      <c r="H1984" s="5" t="str" cm="1">
        <f t="array" ref="H1984">IF(NOT(ISBLANK(A1984)),((_xlfn.XLOOKUP(1,(_bbt3[[#All],[ID]]=A1984)*(_bbt3[[#All],[METRIC_NAME]]="YLD_YTM_ASK"),_bbt3[[#All],[METRIC_VALUE]])*0.5)+(_xlfn.XLOOKUP(1,(_bbt3[[#All],[ID]]=A1984)*(_bbt3[[#All],[METRIC_NAME]]="YLD_YTM_BID"),_bbt3[[#All],[METRIC_VALUE]])*0.5))/100,"")</f>
        <v/>
      </c>
      <c r="I1984">
        <f>IF(ISNA(VLOOKUP(A1984,QW_CloseDL!A:E,5,0)),0,VLOOKUP(A1984,QW_CloseDL!A:E,5,0))</f>
        <v>0</v>
      </c>
      <c r="J1984" s="8" t="str">
        <f t="shared" si="120"/>
        <v/>
      </c>
    </row>
    <row r="1985" spans="2:10" x14ac:dyDescent="0.35">
      <c r="B1985" t="str">
        <f>IF(NOT(ISBLANK(A1985)),VLOOKUP(A1985,'BBT3'!A:F,2,0),"")</f>
        <v/>
      </c>
      <c r="C1985" t="str">
        <f>IF(NOT(ISBLANK(A1985)),VLOOKUP(A1985,'BBT3'!A:F,3,0),"")</f>
        <v/>
      </c>
      <c r="D1985" s="6" t="str">
        <f>IF(NOT(ISBLANK(A1985)),VLOOKUP(A1985,'BBT3'!A:F,4,1),"")</f>
        <v/>
      </c>
      <c r="E1985" t="str">
        <f>IF(NOT(ISBLANK(A1985)),VLOOKUP(A1985,'BBT3'!A:F,5,0),"")</f>
        <v/>
      </c>
      <c r="F1985" t="str">
        <f>IF(NOT(ISBLANK(A1985)),VLOOKUP(A1985,'BBT3'!A:F,6,0),"")</f>
        <v/>
      </c>
      <c r="G1985" t="str">
        <f>IF(NOT(ISBLANK(A1985)),VLOOKUP(A1985,QW_Close!A:J,5,0),"")</f>
        <v/>
      </c>
      <c r="H1985" s="5" t="str" cm="1">
        <f t="array" ref="H1985">IF(NOT(ISBLANK(A1985)),((_xlfn.XLOOKUP(1,(_bbt3[[#All],[ID]]=A1985)*(_bbt3[[#All],[METRIC_NAME]]="YLD_YTM_ASK"),_bbt3[[#All],[METRIC_VALUE]])*0.5)+(_xlfn.XLOOKUP(1,(_bbt3[[#All],[ID]]=A1985)*(_bbt3[[#All],[METRIC_NAME]]="YLD_YTM_BID"),_bbt3[[#All],[METRIC_VALUE]])*0.5))/100,"")</f>
        <v/>
      </c>
      <c r="I1985">
        <f>IF(ISNA(VLOOKUP(A1985,QW_CloseDL!A:E,5,0)),0,VLOOKUP(A1985,QW_CloseDL!A:E,5,0))</f>
        <v>0</v>
      </c>
      <c r="J1985" s="8" t="str">
        <f t="shared" si="120"/>
        <v/>
      </c>
    </row>
    <row r="1986" spans="2:10" x14ac:dyDescent="0.35">
      <c r="B1986" t="str">
        <f>IF(NOT(ISBLANK(A1986)),VLOOKUP(A1986,'BBT3'!A:F,2,0),"")</f>
        <v/>
      </c>
      <c r="C1986" t="str">
        <f>IF(NOT(ISBLANK(A1986)),VLOOKUP(A1986,'BBT3'!A:F,3,0),"")</f>
        <v/>
      </c>
      <c r="D1986" s="6" t="str">
        <f>IF(NOT(ISBLANK(A1986)),VLOOKUP(A1986,'BBT3'!A:F,4,1),"")</f>
        <v/>
      </c>
      <c r="E1986" t="str">
        <f>IF(NOT(ISBLANK(A1986)),VLOOKUP(A1986,'BBT3'!A:F,5,0),"")</f>
        <v/>
      </c>
      <c r="F1986" t="str">
        <f>IF(NOT(ISBLANK(A1986)),VLOOKUP(A1986,'BBT3'!A:F,6,0),"")</f>
        <v/>
      </c>
      <c r="G1986" t="str">
        <f>IF(NOT(ISBLANK(A1986)),VLOOKUP(A1986,QW_Close!A:J,5,0),"")</f>
        <v/>
      </c>
      <c r="H1986" s="5" t="str" cm="1">
        <f t="array" ref="H1986">IF(NOT(ISBLANK(A1986)),((_xlfn.XLOOKUP(1,(_bbt3[[#All],[ID]]=A1986)*(_bbt3[[#All],[METRIC_NAME]]="YLD_YTM_ASK"),_bbt3[[#All],[METRIC_VALUE]])*0.5)+(_xlfn.XLOOKUP(1,(_bbt3[[#All],[ID]]=A1986)*(_bbt3[[#All],[METRIC_NAME]]="YLD_YTM_BID"),_bbt3[[#All],[METRIC_VALUE]])*0.5))/100,"")</f>
        <v/>
      </c>
      <c r="I1986">
        <f>IF(ISNA(VLOOKUP(A1986,QW_CloseDL!A:E,5,0)),0,VLOOKUP(A1986,QW_CloseDL!A:E,5,0))</f>
        <v>0</v>
      </c>
      <c r="J1986" s="8" t="str">
        <f t="shared" si="120"/>
        <v/>
      </c>
    </row>
    <row r="1987" spans="2:10" x14ac:dyDescent="0.35">
      <c r="B1987" t="str">
        <f>IF(NOT(ISBLANK(A1987)),VLOOKUP(A1987,'BBT3'!A:F,2,0),"")</f>
        <v/>
      </c>
      <c r="C1987" t="str">
        <f>IF(NOT(ISBLANK(A1987)),VLOOKUP(A1987,'BBT3'!A:F,3,0),"")</f>
        <v/>
      </c>
      <c r="D1987" s="6" t="str">
        <f>IF(NOT(ISBLANK(A1987)),VLOOKUP(A1987,'BBT3'!A:F,4,1),"")</f>
        <v/>
      </c>
      <c r="E1987" t="str">
        <f>IF(NOT(ISBLANK(A1987)),VLOOKUP(A1987,'BBT3'!A:F,5,0),"")</f>
        <v/>
      </c>
      <c r="F1987" t="str">
        <f>IF(NOT(ISBLANK(A1987)),VLOOKUP(A1987,'BBT3'!A:F,6,0),"")</f>
        <v/>
      </c>
      <c r="G1987" t="str">
        <f>IF(NOT(ISBLANK(A1987)),VLOOKUP(A1987,QW_Close!A:J,5,0),"")</f>
        <v/>
      </c>
      <c r="H1987" s="5" t="str" cm="1">
        <f t="array" ref="H1987">IF(NOT(ISBLANK(A1987)),((_xlfn.XLOOKUP(1,(_bbt3[[#All],[ID]]=A1987)*(_bbt3[[#All],[METRIC_NAME]]="YLD_YTM_ASK"),_bbt3[[#All],[METRIC_VALUE]])*0.5)+(_xlfn.XLOOKUP(1,(_bbt3[[#All],[ID]]=A1987)*(_bbt3[[#All],[METRIC_NAME]]="YLD_YTM_BID"),_bbt3[[#All],[METRIC_VALUE]])*0.5))/100,"")</f>
        <v/>
      </c>
      <c r="I1987">
        <f>IF(ISNA(VLOOKUP(A1987,QW_CloseDL!A:E,5,0)),0,VLOOKUP(A1987,QW_CloseDL!A:E,5,0))</f>
        <v>0</v>
      </c>
      <c r="J1987" s="8" t="str">
        <f t="shared" ref="J1987:J2035" si="121">IF(ISNA(IF(NOT(ISBLANK(A1987)),ABS(G1987-I1987),"")),0,(IF(NOT(ISBLANK(A1987)),ABS(G1987-I1987)*10000,"")))</f>
        <v/>
      </c>
    </row>
    <row r="1988" spans="2:10" x14ac:dyDescent="0.35">
      <c r="B1988" t="str">
        <f>IF(NOT(ISBLANK(A1988)),VLOOKUP(A1988,'BBT3'!A:F,2,0),"")</f>
        <v/>
      </c>
      <c r="C1988" t="str">
        <f>IF(NOT(ISBLANK(A1988)),VLOOKUP(A1988,'BBT3'!A:F,3,0),"")</f>
        <v/>
      </c>
      <c r="D1988" s="6" t="str">
        <f>IF(NOT(ISBLANK(A1988)),VLOOKUP(A1988,'BBT3'!A:F,4,1),"")</f>
        <v/>
      </c>
      <c r="E1988" t="str">
        <f>IF(NOT(ISBLANK(A1988)),VLOOKUP(A1988,'BBT3'!A:F,5,0),"")</f>
        <v/>
      </c>
      <c r="F1988" t="str">
        <f>IF(NOT(ISBLANK(A1988)),VLOOKUP(A1988,'BBT3'!A:F,6,0),"")</f>
        <v/>
      </c>
      <c r="G1988" t="str">
        <f>IF(NOT(ISBLANK(A1988)),VLOOKUP(A1988,QW_Close!A:J,5,0),"")</f>
        <v/>
      </c>
      <c r="H1988" s="5" t="str" cm="1">
        <f t="array" ref="H1988">IF(NOT(ISBLANK(A1988)),((_xlfn.XLOOKUP(1,(_bbt3[[#All],[ID]]=A1988)*(_bbt3[[#All],[METRIC_NAME]]="YLD_YTM_ASK"),_bbt3[[#All],[METRIC_VALUE]])*0.5)+(_xlfn.XLOOKUP(1,(_bbt3[[#All],[ID]]=A1988)*(_bbt3[[#All],[METRIC_NAME]]="YLD_YTM_BID"),_bbt3[[#All],[METRIC_VALUE]])*0.5))/100,"")</f>
        <v/>
      </c>
      <c r="I1988">
        <f>IF(ISNA(VLOOKUP(A1988,QW_CloseDL!A:E,5,0)),0,VLOOKUP(A1988,QW_CloseDL!A:E,5,0))</f>
        <v>0</v>
      </c>
      <c r="J1988" s="8" t="str">
        <f t="shared" si="121"/>
        <v/>
      </c>
    </row>
    <row r="1989" spans="2:10" x14ac:dyDescent="0.35">
      <c r="B1989" t="str">
        <f>IF(NOT(ISBLANK(A1989)),VLOOKUP(A1989,'BBT3'!A:F,2,0),"")</f>
        <v/>
      </c>
      <c r="C1989" t="str">
        <f>IF(NOT(ISBLANK(A1989)),VLOOKUP(A1989,'BBT3'!A:F,3,0),"")</f>
        <v/>
      </c>
      <c r="D1989" s="6" t="str">
        <f>IF(NOT(ISBLANK(A1989)),VLOOKUP(A1989,'BBT3'!A:F,4,1),"")</f>
        <v/>
      </c>
      <c r="E1989" t="str">
        <f>IF(NOT(ISBLANK(A1989)),VLOOKUP(A1989,'BBT3'!A:F,5,0),"")</f>
        <v/>
      </c>
      <c r="F1989" t="str">
        <f>IF(NOT(ISBLANK(A1989)),VLOOKUP(A1989,'BBT3'!A:F,6,0),"")</f>
        <v/>
      </c>
      <c r="G1989" t="str">
        <f>IF(NOT(ISBLANK(A1989)),VLOOKUP(A1989,QW_Close!A:J,5,0),"")</f>
        <v/>
      </c>
      <c r="H1989" s="5" t="str" cm="1">
        <f t="array" ref="H1989">IF(NOT(ISBLANK(A1989)),((_xlfn.XLOOKUP(1,(_bbt3[[#All],[ID]]=A1989)*(_bbt3[[#All],[METRIC_NAME]]="YLD_YTM_ASK"),_bbt3[[#All],[METRIC_VALUE]])*0.5)+(_xlfn.XLOOKUP(1,(_bbt3[[#All],[ID]]=A1989)*(_bbt3[[#All],[METRIC_NAME]]="YLD_YTM_BID"),_bbt3[[#All],[METRIC_VALUE]])*0.5))/100,"")</f>
        <v/>
      </c>
      <c r="I1989">
        <f>IF(ISNA(VLOOKUP(A1989,QW_CloseDL!A:E,5,0)),0,VLOOKUP(A1989,QW_CloseDL!A:E,5,0))</f>
        <v>0</v>
      </c>
      <c r="J1989" s="8" t="str">
        <f t="shared" si="121"/>
        <v/>
      </c>
    </row>
    <row r="1990" spans="2:10" x14ac:dyDescent="0.35">
      <c r="B1990" t="str">
        <f>IF(NOT(ISBLANK(A1990)),VLOOKUP(A1990,'BBT3'!A:F,2,0),"")</f>
        <v/>
      </c>
      <c r="C1990" t="str">
        <f>IF(NOT(ISBLANK(A1990)),VLOOKUP(A1990,'BBT3'!A:F,3,0),"")</f>
        <v/>
      </c>
      <c r="D1990" s="6" t="str">
        <f>IF(NOT(ISBLANK(A1990)),VLOOKUP(A1990,'BBT3'!A:F,4,1),"")</f>
        <v/>
      </c>
      <c r="E1990" t="str">
        <f>IF(NOT(ISBLANK(A1990)),VLOOKUP(A1990,'BBT3'!A:F,5,0),"")</f>
        <v/>
      </c>
      <c r="F1990" t="str">
        <f>IF(NOT(ISBLANK(A1990)),VLOOKUP(A1990,'BBT3'!A:F,6,0),"")</f>
        <v/>
      </c>
      <c r="G1990" t="str">
        <f>IF(NOT(ISBLANK(A1990)),VLOOKUP(A1990,QW_Close!A:J,5,0),"")</f>
        <v/>
      </c>
      <c r="H1990" s="5" t="str" cm="1">
        <f t="array" ref="H1990">IF(NOT(ISBLANK(A1990)),((_xlfn.XLOOKUP(1,(_bbt3[[#All],[ID]]=A1990)*(_bbt3[[#All],[METRIC_NAME]]="YLD_YTM_ASK"),_bbt3[[#All],[METRIC_VALUE]])*0.5)+(_xlfn.XLOOKUP(1,(_bbt3[[#All],[ID]]=A1990)*(_bbt3[[#All],[METRIC_NAME]]="YLD_YTM_BID"),_bbt3[[#All],[METRIC_VALUE]])*0.5))/100,"")</f>
        <v/>
      </c>
      <c r="I1990">
        <f>IF(ISNA(VLOOKUP(A1990,QW_CloseDL!A:E,5,0)),0,VLOOKUP(A1990,QW_CloseDL!A:E,5,0))</f>
        <v>0</v>
      </c>
      <c r="J1990" s="8" t="str">
        <f t="shared" si="121"/>
        <v/>
      </c>
    </row>
    <row r="1991" spans="2:10" x14ac:dyDescent="0.35">
      <c r="B1991" t="str">
        <f>IF(NOT(ISBLANK(A1991)),VLOOKUP(A1991,'BBT3'!A:F,2,0),"")</f>
        <v/>
      </c>
      <c r="C1991" t="str">
        <f>IF(NOT(ISBLANK(A1991)),VLOOKUP(A1991,'BBT3'!A:F,3,0),"")</f>
        <v/>
      </c>
      <c r="D1991" s="6" t="str">
        <f>IF(NOT(ISBLANK(A1991)),VLOOKUP(A1991,'BBT3'!A:F,4,1),"")</f>
        <v/>
      </c>
      <c r="E1991" t="str">
        <f>IF(NOT(ISBLANK(A1991)),VLOOKUP(A1991,'BBT3'!A:F,5,0),"")</f>
        <v/>
      </c>
      <c r="F1991" t="str">
        <f>IF(NOT(ISBLANK(A1991)),VLOOKUP(A1991,'BBT3'!A:F,6,0),"")</f>
        <v/>
      </c>
      <c r="G1991" t="str">
        <f>IF(NOT(ISBLANK(A1991)),VLOOKUP(A1991,QW_Close!A:J,5,0),"")</f>
        <v/>
      </c>
      <c r="H1991" s="5" t="str" cm="1">
        <f t="array" ref="H1991">IF(NOT(ISBLANK(A1991)),((_xlfn.XLOOKUP(1,(_bbt3[[#All],[ID]]=A1991)*(_bbt3[[#All],[METRIC_NAME]]="YLD_YTM_ASK"),_bbt3[[#All],[METRIC_VALUE]])*0.5)+(_xlfn.XLOOKUP(1,(_bbt3[[#All],[ID]]=A1991)*(_bbt3[[#All],[METRIC_NAME]]="YLD_YTM_BID"),_bbt3[[#All],[METRIC_VALUE]])*0.5))/100,"")</f>
        <v/>
      </c>
      <c r="I1991">
        <f>IF(ISNA(VLOOKUP(A1991,QW_CloseDL!A:E,5,0)),0,VLOOKUP(A1991,QW_CloseDL!A:E,5,0))</f>
        <v>0</v>
      </c>
      <c r="J1991" s="8" t="str">
        <f t="shared" si="121"/>
        <v/>
      </c>
    </row>
    <row r="1992" spans="2:10" x14ac:dyDescent="0.35">
      <c r="B1992" t="str">
        <f>IF(NOT(ISBLANK(A1992)),VLOOKUP(A1992,'BBT3'!A:F,2,0),"")</f>
        <v/>
      </c>
      <c r="C1992" t="str">
        <f>IF(NOT(ISBLANK(A1992)),VLOOKUP(A1992,'BBT3'!A:F,3,0),"")</f>
        <v/>
      </c>
      <c r="D1992" s="6" t="str">
        <f>IF(NOT(ISBLANK(A1992)),VLOOKUP(A1992,'BBT3'!A:F,4,1),"")</f>
        <v/>
      </c>
      <c r="E1992" t="str">
        <f>IF(NOT(ISBLANK(A1992)),VLOOKUP(A1992,'BBT3'!A:F,5,0),"")</f>
        <v/>
      </c>
      <c r="F1992" t="str">
        <f>IF(NOT(ISBLANK(A1992)),VLOOKUP(A1992,'BBT3'!A:F,6,0),"")</f>
        <v/>
      </c>
      <c r="G1992" t="str">
        <f>IF(NOT(ISBLANK(A1992)),VLOOKUP(A1992,QW_Close!A:J,5,0),"")</f>
        <v/>
      </c>
      <c r="H1992" s="5" t="str" cm="1">
        <f t="array" ref="H1992">IF(NOT(ISBLANK(A1992)),((_xlfn.XLOOKUP(1,(_bbt3[[#All],[ID]]=A1992)*(_bbt3[[#All],[METRIC_NAME]]="YLD_YTM_ASK"),_bbt3[[#All],[METRIC_VALUE]])*0.5)+(_xlfn.XLOOKUP(1,(_bbt3[[#All],[ID]]=A1992)*(_bbt3[[#All],[METRIC_NAME]]="YLD_YTM_BID"),_bbt3[[#All],[METRIC_VALUE]])*0.5))/100,"")</f>
        <v/>
      </c>
      <c r="I1992">
        <f>IF(ISNA(VLOOKUP(A1992,QW_CloseDL!A:E,5,0)),0,VLOOKUP(A1992,QW_CloseDL!A:E,5,0))</f>
        <v>0</v>
      </c>
      <c r="J1992" s="8" t="str">
        <f t="shared" si="121"/>
        <v/>
      </c>
    </row>
    <row r="1993" spans="2:10" x14ac:dyDescent="0.35">
      <c r="B1993" t="str">
        <f>IF(NOT(ISBLANK(A1993)),VLOOKUP(A1993,'BBT3'!A:F,2,0),"")</f>
        <v/>
      </c>
      <c r="C1993" t="str">
        <f>IF(NOT(ISBLANK(A1993)),VLOOKUP(A1993,'BBT3'!A:F,3,0),"")</f>
        <v/>
      </c>
      <c r="D1993" s="6" t="str">
        <f>IF(NOT(ISBLANK(A1993)),VLOOKUP(A1993,'BBT3'!A:F,4,1),"")</f>
        <v/>
      </c>
      <c r="E1993" t="str">
        <f>IF(NOT(ISBLANK(A1993)),VLOOKUP(A1993,'BBT3'!A:F,5,0),"")</f>
        <v/>
      </c>
      <c r="F1993" t="str">
        <f>IF(NOT(ISBLANK(A1993)),VLOOKUP(A1993,'BBT3'!A:F,6,0),"")</f>
        <v/>
      </c>
      <c r="G1993" t="str">
        <f>IF(NOT(ISBLANK(A1993)),VLOOKUP(A1993,QW_Close!A:J,5,0),"")</f>
        <v/>
      </c>
      <c r="H1993" s="5" t="str" cm="1">
        <f t="array" ref="H1993">IF(NOT(ISBLANK(A1993)),((_xlfn.XLOOKUP(1,(_bbt3[[#All],[ID]]=A1993)*(_bbt3[[#All],[METRIC_NAME]]="YLD_YTM_ASK"),_bbt3[[#All],[METRIC_VALUE]])*0.5)+(_xlfn.XLOOKUP(1,(_bbt3[[#All],[ID]]=A1993)*(_bbt3[[#All],[METRIC_NAME]]="YLD_YTM_BID"),_bbt3[[#All],[METRIC_VALUE]])*0.5))/100,"")</f>
        <v/>
      </c>
      <c r="I1993">
        <f>IF(ISNA(VLOOKUP(A1993,QW_CloseDL!A:E,5,0)),0,VLOOKUP(A1993,QW_CloseDL!A:E,5,0))</f>
        <v>0</v>
      </c>
      <c r="J1993" s="8" t="str">
        <f t="shared" si="121"/>
        <v/>
      </c>
    </row>
    <row r="1994" spans="2:10" x14ac:dyDescent="0.35">
      <c r="B1994" t="str">
        <f>IF(NOT(ISBLANK(A1994)),VLOOKUP(A1994,'BBT3'!A:F,2,0),"")</f>
        <v/>
      </c>
      <c r="C1994" t="str">
        <f>IF(NOT(ISBLANK(A1994)),VLOOKUP(A1994,'BBT3'!A:F,3,0),"")</f>
        <v/>
      </c>
      <c r="D1994" s="6" t="str">
        <f>IF(NOT(ISBLANK(A1994)),VLOOKUP(A1994,'BBT3'!A:F,4,1),"")</f>
        <v/>
      </c>
      <c r="E1994" t="str">
        <f>IF(NOT(ISBLANK(A1994)),VLOOKUP(A1994,'BBT3'!A:F,5,0),"")</f>
        <v/>
      </c>
      <c r="F1994" t="str">
        <f>IF(NOT(ISBLANK(A1994)),VLOOKUP(A1994,'BBT3'!A:F,6,0),"")</f>
        <v/>
      </c>
      <c r="G1994" t="str">
        <f>IF(NOT(ISBLANK(A1994)),VLOOKUP(A1994,QW_Close!A:J,5,0),"")</f>
        <v/>
      </c>
      <c r="H1994" s="5" t="str" cm="1">
        <f t="array" ref="H1994">IF(NOT(ISBLANK(A1994)),((_xlfn.XLOOKUP(1,(_bbt3[[#All],[ID]]=A1994)*(_bbt3[[#All],[METRIC_NAME]]="YLD_YTM_ASK"),_bbt3[[#All],[METRIC_VALUE]])*0.5)+(_xlfn.XLOOKUP(1,(_bbt3[[#All],[ID]]=A1994)*(_bbt3[[#All],[METRIC_NAME]]="YLD_YTM_BID"),_bbt3[[#All],[METRIC_VALUE]])*0.5))/100,"")</f>
        <v/>
      </c>
      <c r="I1994">
        <f>IF(ISNA(VLOOKUP(A1994,QW_CloseDL!A:E,5,0)),0,VLOOKUP(A1994,QW_CloseDL!A:E,5,0))</f>
        <v>0</v>
      </c>
      <c r="J1994" s="8" t="str">
        <f t="shared" si="121"/>
        <v/>
      </c>
    </row>
    <row r="1995" spans="2:10" x14ac:dyDescent="0.35">
      <c r="B1995" t="str">
        <f>IF(NOT(ISBLANK(A1995)),VLOOKUP(A1995,'BBT3'!A:F,2,0),"")</f>
        <v/>
      </c>
      <c r="C1995" t="str">
        <f>IF(NOT(ISBLANK(A1995)),VLOOKUP(A1995,'BBT3'!A:F,3,0),"")</f>
        <v/>
      </c>
      <c r="D1995" s="6" t="str">
        <f>IF(NOT(ISBLANK(A1995)),VLOOKUP(A1995,'BBT3'!A:F,4,1),"")</f>
        <v/>
      </c>
      <c r="E1995" t="str">
        <f>IF(NOT(ISBLANK(A1995)),VLOOKUP(A1995,'BBT3'!A:F,5,0),"")</f>
        <v/>
      </c>
      <c r="F1995" t="str">
        <f>IF(NOT(ISBLANK(A1995)),VLOOKUP(A1995,'BBT3'!A:F,6,0),"")</f>
        <v/>
      </c>
      <c r="G1995" t="str">
        <f>IF(NOT(ISBLANK(A1995)),VLOOKUP(A1995,QW_Close!A:J,5,0),"")</f>
        <v/>
      </c>
      <c r="H1995" s="5" t="str" cm="1">
        <f t="array" ref="H1995">IF(NOT(ISBLANK(A1995)),((_xlfn.XLOOKUP(1,(_bbt3[[#All],[ID]]=A1995)*(_bbt3[[#All],[METRIC_NAME]]="YLD_YTM_ASK"),_bbt3[[#All],[METRIC_VALUE]])*0.5)+(_xlfn.XLOOKUP(1,(_bbt3[[#All],[ID]]=A1995)*(_bbt3[[#All],[METRIC_NAME]]="YLD_YTM_BID"),_bbt3[[#All],[METRIC_VALUE]])*0.5))/100,"")</f>
        <v/>
      </c>
      <c r="I1995">
        <f>IF(ISNA(VLOOKUP(A1995,QW_CloseDL!A:E,5,0)),0,VLOOKUP(A1995,QW_CloseDL!A:E,5,0))</f>
        <v>0</v>
      </c>
      <c r="J1995" s="8" t="str">
        <f t="shared" si="121"/>
        <v/>
      </c>
    </row>
    <row r="1996" spans="2:10" x14ac:dyDescent="0.35">
      <c r="B1996" t="str">
        <f>IF(NOT(ISBLANK(A1996)),VLOOKUP(A1996,'BBT3'!A:F,2,0),"")</f>
        <v/>
      </c>
      <c r="C1996" t="str">
        <f>IF(NOT(ISBLANK(A1996)),VLOOKUP(A1996,'BBT3'!A:F,3,0),"")</f>
        <v/>
      </c>
      <c r="D1996" s="6" t="str">
        <f>IF(NOT(ISBLANK(A1996)),VLOOKUP(A1996,'BBT3'!A:F,4,1),"")</f>
        <v/>
      </c>
      <c r="E1996" t="str">
        <f>IF(NOT(ISBLANK(A1996)),VLOOKUP(A1996,'BBT3'!A:F,5,0),"")</f>
        <v/>
      </c>
      <c r="F1996" t="str">
        <f>IF(NOT(ISBLANK(A1996)),VLOOKUP(A1996,'BBT3'!A:F,6,0),"")</f>
        <v/>
      </c>
      <c r="G1996" t="str">
        <f>IF(NOT(ISBLANK(A1996)),VLOOKUP(A1996,QW_Close!A:J,5,0),"")</f>
        <v/>
      </c>
      <c r="H1996" s="5" t="str" cm="1">
        <f t="array" ref="H1996">IF(NOT(ISBLANK(A1996)),((_xlfn.XLOOKUP(1,(_bbt3[[#All],[ID]]=A1996)*(_bbt3[[#All],[METRIC_NAME]]="YLD_YTM_ASK"),_bbt3[[#All],[METRIC_VALUE]])*0.5)+(_xlfn.XLOOKUP(1,(_bbt3[[#All],[ID]]=A1996)*(_bbt3[[#All],[METRIC_NAME]]="YLD_YTM_BID"),_bbt3[[#All],[METRIC_VALUE]])*0.5))/100,"")</f>
        <v/>
      </c>
      <c r="I1996">
        <f>IF(ISNA(VLOOKUP(A1996,QW_CloseDL!A:E,5,0)),0,VLOOKUP(A1996,QW_CloseDL!A:E,5,0))</f>
        <v>0</v>
      </c>
      <c r="J1996" s="8" t="str">
        <f t="shared" si="121"/>
        <v/>
      </c>
    </row>
    <row r="1997" spans="2:10" x14ac:dyDescent="0.35">
      <c r="B1997" t="str">
        <f>IF(NOT(ISBLANK(A1997)),VLOOKUP(A1997,'BBT3'!A:F,2,0),"")</f>
        <v/>
      </c>
      <c r="C1997" t="str">
        <f>IF(NOT(ISBLANK(A1997)),VLOOKUP(A1997,'BBT3'!A:F,3,0),"")</f>
        <v/>
      </c>
      <c r="D1997" s="6" t="str">
        <f>IF(NOT(ISBLANK(A1997)),VLOOKUP(A1997,'BBT3'!A:F,4,1),"")</f>
        <v/>
      </c>
      <c r="E1997" t="str">
        <f>IF(NOT(ISBLANK(A1997)),VLOOKUP(A1997,'BBT3'!A:F,5,0),"")</f>
        <v/>
      </c>
      <c r="F1997" t="str">
        <f>IF(NOT(ISBLANK(A1997)),VLOOKUP(A1997,'BBT3'!A:F,6,0),"")</f>
        <v/>
      </c>
      <c r="G1997" t="str">
        <f>IF(NOT(ISBLANK(A1997)),VLOOKUP(A1997,QW_Close!A:J,5,0),"")</f>
        <v/>
      </c>
      <c r="H1997" s="5" t="str" cm="1">
        <f t="array" ref="H1997">IF(NOT(ISBLANK(A1997)),((_xlfn.XLOOKUP(1,(_bbt3[[#All],[ID]]=A1997)*(_bbt3[[#All],[METRIC_NAME]]="YLD_YTM_ASK"),_bbt3[[#All],[METRIC_VALUE]])*0.5)+(_xlfn.XLOOKUP(1,(_bbt3[[#All],[ID]]=A1997)*(_bbt3[[#All],[METRIC_NAME]]="YLD_YTM_BID"),_bbt3[[#All],[METRIC_VALUE]])*0.5))/100,"")</f>
        <v/>
      </c>
      <c r="I1997">
        <f>IF(ISNA(VLOOKUP(A1997,QW_CloseDL!A:E,5,0)),0,VLOOKUP(A1997,QW_CloseDL!A:E,5,0))</f>
        <v>0</v>
      </c>
      <c r="J1997" s="8" t="str">
        <f t="shared" si="121"/>
        <v/>
      </c>
    </row>
    <row r="1998" spans="2:10" x14ac:dyDescent="0.35">
      <c r="B1998" t="str">
        <f>IF(NOT(ISBLANK(A1998)),VLOOKUP(A1998,'BBT3'!A:F,2,0),"")</f>
        <v/>
      </c>
      <c r="C1998" t="str">
        <f>IF(NOT(ISBLANK(A1998)),VLOOKUP(A1998,'BBT3'!A:F,3,0),"")</f>
        <v/>
      </c>
      <c r="D1998" s="6" t="str">
        <f>IF(NOT(ISBLANK(A1998)),VLOOKUP(A1998,'BBT3'!A:F,4,1),"")</f>
        <v/>
      </c>
      <c r="E1998" t="str">
        <f>IF(NOT(ISBLANK(A1998)),VLOOKUP(A1998,'BBT3'!A:F,5,0),"")</f>
        <v/>
      </c>
      <c r="F1998" t="str">
        <f>IF(NOT(ISBLANK(A1998)),VLOOKUP(A1998,'BBT3'!A:F,6,0),"")</f>
        <v/>
      </c>
      <c r="G1998" t="str">
        <f>IF(NOT(ISBLANK(A1998)),VLOOKUP(A1998,QW_Close!A:J,5,0),"")</f>
        <v/>
      </c>
      <c r="H1998" s="5" t="str" cm="1">
        <f t="array" ref="H1998">IF(NOT(ISBLANK(A1998)),((_xlfn.XLOOKUP(1,(_bbt3[[#All],[ID]]=A1998)*(_bbt3[[#All],[METRIC_NAME]]="YLD_YTM_ASK"),_bbt3[[#All],[METRIC_VALUE]])*0.5)+(_xlfn.XLOOKUP(1,(_bbt3[[#All],[ID]]=A1998)*(_bbt3[[#All],[METRIC_NAME]]="YLD_YTM_BID"),_bbt3[[#All],[METRIC_VALUE]])*0.5))/100,"")</f>
        <v/>
      </c>
      <c r="I1998">
        <f>IF(ISNA(VLOOKUP(A1998,QW_CloseDL!A:E,5,0)),0,VLOOKUP(A1998,QW_CloseDL!A:E,5,0))</f>
        <v>0</v>
      </c>
      <c r="J1998" s="8" t="str">
        <f t="shared" si="121"/>
        <v/>
      </c>
    </row>
    <row r="1999" spans="2:10" x14ac:dyDescent="0.35">
      <c r="B1999" t="str">
        <f>IF(NOT(ISBLANK(A1999)),VLOOKUP(A1999,'BBT3'!A:F,2,0),"")</f>
        <v/>
      </c>
      <c r="C1999" t="str">
        <f>IF(NOT(ISBLANK(A1999)),VLOOKUP(A1999,'BBT3'!A:F,3,0),"")</f>
        <v/>
      </c>
      <c r="D1999" s="6" t="str">
        <f>IF(NOT(ISBLANK(A1999)),VLOOKUP(A1999,'BBT3'!A:F,4,1),"")</f>
        <v/>
      </c>
      <c r="E1999" t="str">
        <f>IF(NOT(ISBLANK(A1999)),VLOOKUP(A1999,'BBT3'!A:F,5,0),"")</f>
        <v/>
      </c>
      <c r="F1999" t="str">
        <f>IF(NOT(ISBLANK(A1999)),VLOOKUP(A1999,'BBT3'!A:F,6,0),"")</f>
        <v/>
      </c>
      <c r="G1999" t="str">
        <f>IF(NOT(ISBLANK(A1999)),VLOOKUP(A1999,QW_Close!A:J,5,0),"")</f>
        <v/>
      </c>
      <c r="H1999" s="5" t="str" cm="1">
        <f t="array" ref="H1999">IF(NOT(ISBLANK(A1999)),((_xlfn.XLOOKUP(1,(_bbt3[[#All],[ID]]=A1999)*(_bbt3[[#All],[METRIC_NAME]]="YLD_YTM_ASK"),_bbt3[[#All],[METRIC_VALUE]])*0.5)+(_xlfn.XLOOKUP(1,(_bbt3[[#All],[ID]]=A1999)*(_bbt3[[#All],[METRIC_NAME]]="YLD_YTM_BID"),_bbt3[[#All],[METRIC_VALUE]])*0.5))/100,"")</f>
        <v/>
      </c>
      <c r="I1999">
        <f>IF(ISNA(VLOOKUP(A1999,QW_CloseDL!A:E,5,0)),0,VLOOKUP(A1999,QW_CloseDL!A:E,5,0))</f>
        <v>0</v>
      </c>
      <c r="J1999" s="8" t="str">
        <f t="shared" si="121"/>
        <v/>
      </c>
    </row>
    <row r="2000" spans="2:10" x14ac:dyDescent="0.35">
      <c r="B2000" t="str">
        <f>IF(NOT(ISBLANK(A2000)),VLOOKUP(A2000,'BBT3'!A:F,2,0),"")</f>
        <v/>
      </c>
      <c r="C2000" t="str">
        <f>IF(NOT(ISBLANK(A2000)),VLOOKUP(A2000,'BBT3'!A:F,3,0),"")</f>
        <v/>
      </c>
      <c r="D2000" s="6" t="str">
        <f>IF(NOT(ISBLANK(A2000)),VLOOKUP(A2000,'BBT3'!A:F,4,1),"")</f>
        <v/>
      </c>
      <c r="E2000" t="str">
        <f>IF(NOT(ISBLANK(A2000)),VLOOKUP(A2000,'BBT3'!A:F,5,0),"")</f>
        <v/>
      </c>
      <c r="F2000" t="str">
        <f>IF(NOT(ISBLANK(A2000)),VLOOKUP(A2000,'BBT3'!A:F,6,0),"")</f>
        <v/>
      </c>
      <c r="G2000" t="str">
        <f>IF(NOT(ISBLANK(A2000)),VLOOKUP(A2000,QW_Close!A:J,5,0),"")</f>
        <v/>
      </c>
      <c r="H2000" s="5" t="str" cm="1">
        <f t="array" ref="H2000">IF(NOT(ISBLANK(A2000)),((_xlfn.XLOOKUP(1,(_bbt3[[#All],[ID]]=A2000)*(_bbt3[[#All],[METRIC_NAME]]="YLD_YTM_ASK"),_bbt3[[#All],[METRIC_VALUE]])*0.5)+(_xlfn.XLOOKUP(1,(_bbt3[[#All],[ID]]=A2000)*(_bbt3[[#All],[METRIC_NAME]]="YLD_YTM_BID"),_bbt3[[#All],[METRIC_VALUE]])*0.5))/100,"")</f>
        <v/>
      </c>
      <c r="I2000">
        <f>IF(ISNA(VLOOKUP(A2000,QW_CloseDL!A:E,5,0)),0,VLOOKUP(A2000,QW_CloseDL!A:E,5,0))</f>
        <v>0</v>
      </c>
      <c r="J2000" s="8" t="str">
        <f t="shared" si="121"/>
        <v/>
      </c>
    </row>
    <row r="2001" spans="2:10" x14ac:dyDescent="0.35">
      <c r="B2001" t="str">
        <f>IF(NOT(ISBLANK(A2001)),VLOOKUP(A2001,'BBT3'!A:F,2,0),"")</f>
        <v/>
      </c>
      <c r="C2001" t="str">
        <f>IF(NOT(ISBLANK(A2001)),VLOOKUP(A2001,'BBT3'!A:F,3,0),"")</f>
        <v/>
      </c>
      <c r="D2001" s="6" t="str">
        <f>IF(NOT(ISBLANK(A2001)),VLOOKUP(A2001,'BBT3'!A:F,4,1),"")</f>
        <v/>
      </c>
      <c r="E2001" t="str">
        <f>IF(NOT(ISBLANK(A2001)),VLOOKUP(A2001,'BBT3'!A:F,5,0),"")</f>
        <v/>
      </c>
      <c r="F2001" t="str">
        <f>IF(NOT(ISBLANK(A2001)),VLOOKUP(A2001,'BBT3'!A:F,6,0),"")</f>
        <v/>
      </c>
      <c r="G2001" t="str">
        <f>IF(NOT(ISBLANK(A2001)),VLOOKUP(A2001,QW_Close!A:J,5,0),"")</f>
        <v/>
      </c>
      <c r="H2001" s="5" t="str" cm="1">
        <f t="array" ref="H2001">IF(NOT(ISBLANK(A2001)),((_xlfn.XLOOKUP(1,(_bbt3[[#All],[ID]]=A2001)*(_bbt3[[#All],[METRIC_NAME]]="YLD_YTM_ASK"),_bbt3[[#All],[METRIC_VALUE]])*0.5)+(_xlfn.XLOOKUP(1,(_bbt3[[#All],[ID]]=A2001)*(_bbt3[[#All],[METRIC_NAME]]="YLD_YTM_BID"),_bbt3[[#All],[METRIC_VALUE]])*0.5))/100,"")</f>
        <v/>
      </c>
      <c r="I2001">
        <f>IF(ISNA(VLOOKUP(A2001,QW_CloseDL!A:E,5,0)),0,VLOOKUP(A2001,QW_CloseDL!A:E,5,0))</f>
        <v>0</v>
      </c>
      <c r="J2001" s="8" t="str">
        <f t="shared" si="121"/>
        <v/>
      </c>
    </row>
    <row r="2002" spans="2:10" x14ac:dyDescent="0.35">
      <c r="B2002" t="str">
        <f>IF(NOT(ISBLANK(A2002)),VLOOKUP(A2002,'BBT3'!A:F,2,0),"")</f>
        <v/>
      </c>
      <c r="C2002" t="str">
        <f>IF(NOT(ISBLANK(A2002)),VLOOKUP(A2002,'BBT3'!A:F,3,0),"")</f>
        <v/>
      </c>
      <c r="D2002" s="6" t="str">
        <f>IF(NOT(ISBLANK(A2002)),VLOOKUP(A2002,'BBT3'!A:F,4,1),"")</f>
        <v/>
      </c>
      <c r="E2002" t="str">
        <f>IF(NOT(ISBLANK(A2002)),VLOOKUP(A2002,'BBT3'!A:F,5,0),"")</f>
        <v/>
      </c>
      <c r="F2002" t="str">
        <f>IF(NOT(ISBLANK(A2002)),VLOOKUP(A2002,'BBT3'!A:F,6,0),"")</f>
        <v/>
      </c>
      <c r="G2002" t="str">
        <f>IF(NOT(ISBLANK(A2002)),VLOOKUP(A2002,QW_Close!A:J,5,0),"")</f>
        <v/>
      </c>
      <c r="H2002" s="5" t="str" cm="1">
        <f t="array" ref="H2002">IF(NOT(ISBLANK(A2002)),((_xlfn.XLOOKUP(1,(_bbt3[[#All],[ID]]=A2002)*(_bbt3[[#All],[METRIC_NAME]]="YLD_YTM_ASK"),_bbt3[[#All],[METRIC_VALUE]])*0.5)+(_xlfn.XLOOKUP(1,(_bbt3[[#All],[ID]]=A2002)*(_bbt3[[#All],[METRIC_NAME]]="YLD_YTM_BID"),_bbt3[[#All],[METRIC_VALUE]])*0.5))/100,"")</f>
        <v/>
      </c>
      <c r="I2002">
        <f>IF(ISNA(VLOOKUP(A2002,QW_CloseDL!A:E,5,0)),0,VLOOKUP(A2002,QW_CloseDL!A:E,5,0))</f>
        <v>0</v>
      </c>
      <c r="J2002" s="8" t="str">
        <f t="shared" si="121"/>
        <v/>
      </c>
    </row>
    <row r="2003" spans="2:10" x14ac:dyDescent="0.35">
      <c r="B2003" t="str">
        <f>IF(NOT(ISBLANK(A2003)),VLOOKUP(A2003,'BBT3'!A:F,2,0),"")</f>
        <v/>
      </c>
      <c r="C2003" t="str">
        <f>IF(NOT(ISBLANK(A2003)),VLOOKUP(A2003,'BBT3'!A:F,3,0),"")</f>
        <v/>
      </c>
      <c r="D2003" s="6" t="str">
        <f>IF(NOT(ISBLANK(A2003)),VLOOKUP(A2003,'BBT3'!A:F,4,1),"")</f>
        <v/>
      </c>
      <c r="E2003" t="str">
        <f>IF(NOT(ISBLANK(A2003)),VLOOKUP(A2003,'BBT3'!A:F,5,0),"")</f>
        <v/>
      </c>
      <c r="F2003" t="str">
        <f>IF(NOT(ISBLANK(A2003)),VLOOKUP(A2003,'BBT3'!A:F,6,0),"")</f>
        <v/>
      </c>
      <c r="G2003" t="str">
        <f>IF(NOT(ISBLANK(A2003)),VLOOKUP(A2003,QW_Close!A:J,5,0),"")</f>
        <v/>
      </c>
      <c r="H2003" s="5" t="str" cm="1">
        <f t="array" ref="H2003">IF(NOT(ISBLANK(A2003)),((_xlfn.XLOOKUP(1,(_bbt3[[#All],[ID]]=A2003)*(_bbt3[[#All],[METRIC_NAME]]="YLD_YTM_ASK"),_bbt3[[#All],[METRIC_VALUE]])*0.5)+(_xlfn.XLOOKUP(1,(_bbt3[[#All],[ID]]=A2003)*(_bbt3[[#All],[METRIC_NAME]]="YLD_YTM_BID"),_bbt3[[#All],[METRIC_VALUE]])*0.5))/100,"")</f>
        <v/>
      </c>
      <c r="I2003">
        <f>IF(ISNA(VLOOKUP(A2003,QW_CloseDL!A:E,5,0)),0,VLOOKUP(A2003,QW_CloseDL!A:E,5,0))</f>
        <v>0</v>
      </c>
      <c r="J2003" s="8" t="str">
        <f t="shared" si="121"/>
        <v/>
      </c>
    </row>
    <row r="2004" spans="2:10" x14ac:dyDescent="0.35">
      <c r="B2004" t="str">
        <f>IF(NOT(ISBLANK(A2004)),VLOOKUP(A2004,'BBT3'!A:F,2,0),"")</f>
        <v/>
      </c>
      <c r="C2004" t="str">
        <f>IF(NOT(ISBLANK(A2004)),VLOOKUP(A2004,'BBT3'!A:F,3,0),"")</f>
        <v/>
      </c>
      <c r="D2004" s="6" t="str">
        <f>IF(NOT(ISBLANK(A2004)),VLOOKUP(A2004,'BBT3'!A:F,4,1),"")</f>
        <v/>
      </c>
      <c r="E2004" t="str">
        <f>IF(NOT(ISBLANK(A2004)),VLOOKUP(A2004,'BBT3'!A:F,5,0),"")</f>
        <v/>
      </c>
      <c r="F2004" t="str">
        <f>IF(NOT(ISBLANK(A2004)),VLOOKUP(A2004,'BBT3'!A:F,6,0),"")</f>
        <v/>
      </c>
      <c r="G2004" t="str">
        <f>IF(NOT(ISBLANK(A2004)),VLOOKUP(A2004,QW_Close!A:J,5,0),"")</f>
        <v/>
      </c>
      <c r="H2004" s="5" t="str" cm="1">
        <f t="array" ref="H2004">IF(NOT(ISBLANK(A2004)),((_xlfn.XLOOKUP(1,(_bbt3[[#All],[ID]]=A2004)*(_bbt3[[#All],[METRIC_NAME]]="YLD_YTM_ASK"),_bbt3[[#All],[METRIC_VALUE]])*0.5)+(_xlfn.XLOOKUP(1,(_bbt3[[#All],[ID]]=A2004)*(_bbt3[[#All],[METRIC_NAME]]="YLD_YTM_BID"),_bbt3[[#All],[METRIC_VALUE]])*0.5))/100,"")</f>
        <v/>
      </c>
      <c r="I2004">
        <f>IF(ISNA(VLOOKUP(A2004,QW_CloseDL!A:E,5,0)),0,VLOOKUP(A2004,QW_CloseDL!A:E,5,0))</f>
        <v>0</v>
      </c>
      <c r="J2004" s="8" t="str">
        <f t="shared" si="121"/>
        <v/>
      </c>
    </row>
    <row r="2005" spans="2:10" x14ac:dyDescent="0.35">
      <c r="B2005" t="str">
        <f>IF(NOT(ISBLANK(A2005)),VLOOKUP(A2005,'BBT3'!A:F,2,0),"")</f>
        <v/>
      </c>
      <c r="C2005" t="str">
        <f>IF(NOT(ISBLANK(A2005)),VLOOKUP(A2005,'BBT3'!A:F,3,0),"")</f>
        <v/>
      </c>
      <c r="D2005" s="6" t="str">
        <f>IF(NOT(ISBLANK(A2005)),VLOOKUP(A2005,'BBT3'!A:F,4,1),"")</f>
        <v/>
      </c>
      <c r="E2005" t="str">
        <f>IF(NOT(ISBLANK(A2005)),VLOOKUP(A2005,'BBT3'!A:F,5,0),"")</f>
        <v/>
      </c>
      <c r="F2005" t="str">
        <f>IF(NOT(ISBLANK(A2005)),VLOOKUP(A2005,'BBT3'!A:F,6,0),"")</f>
        <v/>
      </c>
      <c r="G2005" t="str">
        <f>IF(NOT(ISBLANK(A2005)),VLOOKUP(A2005,QW_Close!A:J,5,0),"")</f>
        <v/>
      </c>
      <c r="H2005" s="5" t="str" cm="1">
        <f t="array" ref="H2005">IF(NOT(ISBLANK(A2005)),((_xlfn.XLOOKUP(1,(_bbt3[[#All],[ID]]=A2005)*(_bbt3[[#All],[METRIC_NAME]]="YLD_YTM_ASK"),_bbt3[[#All],[METRIC_VALUE]])*0.5)+(_xlfn.XLOOKUP(1,(_bbt3[[#All],[ID]]=A2005)*(_bbt3[[#All],[METRIC_NAME]]="YLD_YTM_BID"),_bbt3[[#All],[METRIC_VALUE]])*0.5))/100,"")</f>
        <v/>
      </c>
      <c r="I2005">
        <f>IF(ISNA(VLOOKUP(A2005,QW_CloseDL!A:E,5,0)),0,VLOOKUP(A2005,QW_CloseDL!A:E,5,0))</f>
        <v>0</v>
      </c>
      <c r="J2005" s="8" t="str">
        <f t="shared" si="121"/>
        <v/>
      </c>
    </row>
    <row r="2006" spans="2:10" x14ac:dyDescent="0.35">
      <c r="B2006" t="str">
        <f>IF(NOT(ISBLANK(A2006)),VLOOKUP(A2006,'BBT3'!A:F,2,0),"")</f>
        <v/>
      </c>
      <c r="C2006" t="str">
        <f>IF(NOT(ISBLANK(A2006)),VLOOKUP(A2006,'BBT3'!A:F,3,0),"")</f>
        <v/>
      </c>
      <c r="D2006" s="6" t="str">
        <f>IF(NOT(ISBLANK(A2006)),VLOOKUP(A2006,'BBT3'!A:F,4,1),"")</f>
        <v/>
      </c>
      <c r="E2006" t="str">
        <f>IF(NOT(ISBLANK(A2006)),VLOOKUP(A2006,'BBT3'!A:F,5,0),"")</f>
        <v/>
      </c>
      <c r="F2006" t="str">
        <f>IF(NOT(ISBLANK(A2006)),VLOOKUP(A2006,'BBT3'!A:F,6,0),"")</f>
        <v/>
      </c>
      <c r="G2006" t="str">
        <f>IF(NOT(ISBLANK(A2006)),VLOOKUP(A2006,QW_Close!A:J,5,0),"")</f>
        <v/>
      </c>
      <c r="H2006" s="5" t="str" cm="1">
        <f t="array" ref="H2006">IF(NOT(ISBLANK(A2006)),((_xlfn.XLOOKUP(1,(_bbt3[[#All],[ID]]=A2006)*(_bbt3[[#All],[METRIC_NAME]]="YLD_YTM_ASK"),_bbt3[[#All],[METRIC_VALUE]])*0.5)+(_xlfn.XLOOKUP(1,(_bbt3[[#All],[ID]]=A2006)*(_bbt3[[#All],[METRIC_NAME]]="YLD_YTM_BID"),_bbt3[[#All],[METRIC_VALUE]])*0.5))/100,"")</f>
        <v/>
      </c>
      <c r="I2006">
        <f>IF(ISNA(VLOOKUP(A2006,QW_CloseDL!A:E,5,0)),0,VLOOKUP(A2006,QW_CloseDL!A:E,5,0))</f>
        <v>0</v>
      </c>
      <c r="J2006" s="8" t="str">
        <f t="shared" si="121"/>
        <v/>
      </c>
    </row>
    <row r="2007" spans="2:10" x14ac:dyDescent="0.35">
      <c r="B2007" t="str">
        <f>IF(NOT(ISBLANK(A2007)),VLOOKUP(A2007,'BBT3'!A:F,2,0),"")</f>
        <v/>
      </c>
      <c r="C2007" t="str">
        <f>IF(NOT(ISBLANK(A2007)),VLOOKUP(A2007,'BBT3'!A:F,3,0),"")</f>
        <v/>
      </c>
      <c r="D2007" s="6" t="str">
        <f>IF(NOT(ISBLANK(A2007)),VLOOKUP(A2007,'BBT3'!A:F,4,1),"")</f>
        <v/>
      </c>
      <c r="E2007" t="str">
        <f>IF(NOT(ISBLANK(A2007)),VLOOKUP(A2007,'BBT3'!A:F,5,0),"")</f>
        <v/>
      </c>
      <c r="F2007" t="str">
        <f>IF(NOT(ISBLANK(A2007)),VLOOKUP(A2007,'BBT3'!A:F,6,0),"")</f>
        <v/>
      </c>
      <c r="G2007" t="str">
        <f>IF(NOT(ISBLANK(A2007)),VLOOKUP(A2007,QW_Close!A:J,5,0),"")</f>
        <v/>
      </c>
      <c r="H2007" s="5" t="str" cm="1">
        <f t="array" ref="H2007">IF(NOT(ISBLANK(A2007)),((_xlfn.XLOOKUP(1,(_bbt3[[#All],[ID]]=A2007)*(_bbt3[[#All],[METRIC_NAME]]="YLD_YTM_ASK"),_bbt3[[#All],[METRIC_VALUE]])*0.5)+(_xlfn.XLOOKUP(1,(_bbt3[[#All],[ID]]=A2007)*(_bbt3[[#All],[METRIC_NAME]]="YLD_YTM_BID"),_bbt3[[#All],[METRIC_VALUE]])*0.5))/100,"")</f>
        <v/>
      </c>
      <c r="I2007">
        <f>IF(ISNA(VLOOKUP(A2007,QW_CloseDL!A:E,5,0)),0,VLOOKUP(A2007,QW_CloseDL!A:E,5,0))</f>
        <v>0</v>
      </c>
      <c r="J2007" s="8" t="str">
        <f t="shared" si="121"/>
        <v/>
      </c>
    </row>
    <row r="2008" spans="2:10" x14ac:dyDescent="0.35">
      <c r="B2008" t="str">
        <f>IF(NOT(ISBLANK(A2008)),VLOOKUP(A2008,'BBT3'!A:F,2,0),"")</f>
        <v/>
      </c>
      <c r="C2008" t="str">
        <f>IF(NOT(ISBLANK(A2008)),VLOOKUP(A2008,'BBT3'!A:F,3,0),"")</f>
        <v/>
      </c>
      <c r="D2008" s="6" t="str">
        <f>IF(NOT(ISBLANK(A2008)),VLOOKUP(A2008,'BBT3'!A:F,4,1),"")</f>
        <v/>
      </c>
      <c r="E2008" t="str">
        <f>IF(NOT(ISBLANK(A2008)),VLOOKUP(A2008,'BBT3'!A:F,5,0),"")</f>
        <v/>
      </c>
      <c r="F2008" t="str">
        <f>IF(NOT(ISBLANK(A2008)),VLOOKUP(A2008,'BBT3'!A:F,6,0),"")</f>
        <v/>
      </c>
      <c r="G2008" t="str">
        <f>IF(NOT(ISBLANK(A2008)),VLOOKUP(A2008,QW_Close!A:J,5,0),"")</f>
        <v/>
      </c>
      <c r="H2008" s="5" t="str" cm="1">
        <f t="array" ref="H2008">IF(NOT(ISBLANK(A2008)),((_xlfn.XLOOKUP(1,(_bbt3[[#All],[ID]]=A2008)*(_bbt3[[#All],[METRIC_NAME]]="YLD_YTM_ASK"),_bbt3[[#All],[METRIC_VALUE]])*0.5)+(_xlfn.XLOOKUP(1,(_bbt3[[#All],[ID]]=A2008)*(_bbt3[[#All],[METRIC_NAME]]="YLD_YTM_BID"),_bbt3[[#All],[METRIC_VALUE]])*0.5))/100,"")</f>
        <v/>
      </c>
      <c r="I2008">
        <f>IF(ISNA(VLOOKUP(A2008,QW_CloseDL!A:E,5,0)),0,VLOOKUP(A2008,QW_CloseDL!A:E,5,0))</f>
        <v>0</v>
      </c>
      <c r="J2008" s="8" t="str">
        <f t="shared" si="121"/>
        <v/>
      </c>
    </row>
    <row r="2009" spans="2:10" x14ac:dyDescent="0.35">
      <c r="B2009" t="str">
        <f>IF(NOT(ISBLANK(A2009)),VLOOKUP(A2009,'BBT3'!A:F,2,0),"")</f>
        <v/>
      </c>
      <c r="C2009" t="str">
        <f>IF(NOT(ISBLANK(A2009)),VLOOKUP(A2009,'BBT3'!A:F,3,0),"")</f>
        <v/>
      </c>
      <c r="D2009" s="6" t="str">
        <f>IF(NOT(ISBLANK(A2009)),VLOOKUP(A2009,'BBT3'!A:F,4,1),"")</f>
        <v/>
      </c>
      <c r="E2009" t="str">
        <f>IF(NOT(ISBLANK(A2009)),VLOOKUP(A2009,'BBT3'!A:F,5,0),"")</f>
        <v/>
      </c>
      <c r="F2009" t="str">
        <f>IF(NOT(ISBLANK(A2009)),VLOOKUP(A2009,'BBT3'!A:F,6,0),"")</f>
        <v/>
      </c>
      <c r="G2009" t="str">
        <f>IF(NOT(ISBLANK(A2009)),VLOOKUP(A2009,QW_Close!A:J,5,0),"")</f>
        <v/>
      </c>
      <c r="H2009" s="5" t="str" cm="1">
        <f t="array" ref="H2009">IF(NOT(ISBLANK(A2009)),((_xlfn.XLOOKUP(1,(_bbt3[[#All],[ID]]=A2009)*(_bbt3[[#All],[METRIC_NAME]]="YLD_YTM_ASK"),_bbt3[[#All],[METRIC_VALUE]])*0.5)+(_xlfn.XLOOKUP(1,(_bbt3[[#All],[ID]]=A2009)*(_bbt3[[#All],[METRIC_NAME]]="YLD_YTM_BID"),_bbt3[[#All],[METRIC_VALUE]])*0.5))/100,"")</f>
        <v/>
      </c>
      <c r="I2009">
        <f>IF(ISNA(VLOOKUP(A2009,QW_CloseDL!A:E,5,0)),0,VLOOKUP(A2009,QW_CloseDL!A:E,5,0))</f>
        <v>0</v>
      </c>
      <c r="J2009" s="8" t="str">
        <f t="shared" si="121"/>
        <v/>
      </c>
    </row>
    <row r="2010" spans="2:10" x14ac:dyDescent="0.35">
      <c r="B2010" t="str">
        <f>IF(NOT(ISBLANK(A2010)),VLOOKUP(A2010,'BBT3'!A:F,2,0),"")</f>
        <v/>
      </c>
      <c r="C2010" t="str">
        <f>IF(NOT(ISBLANK(A2010)),VLOOKUP(A2010,'BBT3'!A:F,3,0),"")</f>
        <v/>
      </c>
      <c r="D2010" s="6" t="str">
        <f>IF(NOT(ISBLANK(A2010)),VLOOKUP(A2010,'BBT3'!A:F,4,1),"")</f>
        <v/>
      </c>
      <c r="E2010" t="str">
        <f>IF(NOT(ISBLANK(A2010)),VLOOKUP(A2010,'BBT3'!A:F,5,0),"")</f>
        <v/>
      </c>
      <c r="F2010" t="str">
        <f>IF(NOT(ISBLANK(A2010)),VLOOKUP(A2010,'BBT3'!A:F,6,0),"")</f>
        <v/>
      </c>
      <c r="G2010" t="str">
        <f>IF(NOT(ISBLANK(A2010)),VLOOKUP(A2010,QW_Close!A:J,5,0),"")</f>
        <v/>
      </c>
      <c r="H2010" s="5" t="str" cm="1">
        <f t="array" ref="H2010">IF(NOT(ISBLANK(A2010)),((_xlfn.XLOOKUP(1,(_bbt3[[#All],[ID]]=A2010)*(_bbt3[[#All],[METRIC_NAME]]="YLD_YTM_ASK"),_bbt3[[#All],[METRIC_VALUE]])*0.5)+(_xlfn.XLOOKUP(1,(_bbt3[[#All],[ID]]=A2010)*(_bbt3[[#All],[METRIC_NAME]]="YLD_YTM_BID"),_bbt3[[#All],[METRIC_VALUE]])*0.5))/100,"")</f>
        <v/>
      </c>
      <c r="I2010">
        <f>IF(ISNA(VLOOKUP(A2010,QW_CloseDL!A:E,5,0)),0,VLOOKUP(A2010,QW_CloseDL!A:E,5,0))</f>
        <v>0</v>
      </c>
      <c r="J2010" s="8" t="str">
        <f t="shared" si="121"/>
        <v/>
      </c>
    </row>
    <row r="2011" spans="2:10" x14ac:dyDescent="0.35">
      <c r="B2011" t="str">
        <f>IF(NOT(ISBLANK(A2011)),VLOOKUP(A2011,'BBT3'!A:F,2,0),"")</f>
        <v/>
      </c>
      <c r="C2011" t="str">
        <f>IF(NOT(ISBLANK(A2011)),VLOOKUP(A2011,'BBT3'!A:F,3,0),"")</f>
        <v/>
      </c>
      <c r="D2011" s="6" t="str">
        <f>IF(NOT(ISBLANK(A2011)),VLOOKUP(A2011,'BBT3'!A:F,4,1),"")</f>
        <v/>
      </c>
      <c r="E2011" t="str">
        <f>IF(NOT(ISBLANK(A2011)),VLOOKUP(A2011,'BBT3'!A:F,5,0),"")</f>
        <v/>
      </c>
      <c r="F2011" t="str">
        <f>IF(NOT(ISBLANK(A2011)),VLOOKUP(A2011,'BBT3'!A:F,6,0),"")</f>
        <v/>
      </c>
      <c r="G2011" t="str">
        <f>IF(NOT(ISBLANK(A2011)),VLOOKUP(A2011,QW_Close!A:J,5,0),"")</f>
        <v/>
      </c>
      <c r="H2011" s="5" t="str" cm="1">
        <f t="array" ref="H2011">IF(NOT(ISBLANK(A2011)),((_xlfn.XLOOKUP(1,(_bbt3[[#All],[ID]]=A2011)*(_bbt3[[#All],[METRIC_NAME]]="YLD_YTM_ASK"),_bbt3[[#All],[METRIC_VALUE]])*0.5)+(_xlfn.XLOOKUP(1,(_bbt3[[#All],[ID]]=A2011)*(_bbt3[[#All],[METRIC_NAME]]="YLD_YTM_BID"),_bbt3[[#All],[METRIC_VALUE]])*0.5))/100,"")</f>
        <v/>
      </c>
      <c r="I2011">
        <f>IF(ISNA(VLOOKUP(A2011,QW_CloseDL!A:E,5,0)),0,VLOOKUP(A2011,QW_CloseDL!A:E,5,0))</f>
        <v>0</v>
      </c>
      <c r="J2011" s="8" t="str">
        <f t="shared" si="121"/>
        <v/>
      </c>
    </row>
    <row r="2012" spans="2:10" x14ac:dyDescent="0.35">
      <c r="B2012" t="str">
        <f>IF(NOT(ISBLANK(A2012)),VLOOKUP(A2012,'BBT3'!A:F,2,0),"")</f>
        <v/>
      </c>
      <c r="C2012" t="str">
        <f>IF(NOT(ISBLANK(A2012)),VLOOKUP(A2012,'BBT3'!A:F,3,0),"")</f>
        <v/>
      </c>
      <c r="D2012" s="6" t="str">
        <f>IF(NOT(ISBLANK(A2012)),VLOOKUP(A2012,'BBT3'!A:F,4,1),"")</f>
        <v/>
      </c>
      <c r="E2012" t="str">
        <f>IF(NOT(ISBLANK(A2012)),VLOOKUP(A2012,'BBT3'!A:F,5,0),"")</f>
        <v/>
      </c>
      <c r="F2012" t="str">
        <f>IF(NOT(ISBLANK(A2012)),VLOOKUP(A2012,'BBT3'!A:F,6,0),"")</f>
        <v/>
      </c>
      <c r="G2012" t="str">
        <f>IF(NOT(ISBLANK(A2012)),VLOOKUP(A2012,QW_Close!A:J,5,0),"")</f>
        <v/>
      </c>
      <c r="H2012" s="5" t="str" cm="1">
        <f t="array" ref="H2012">IF(NOT(ISBLANK(A2012)),((_xlfn.XLOOKUP(1,(_bbt3[[#All],[ID]]=A2012)*(_bbt3[[#All],[METRIC_NAME]]="YLD_YTM_ASK"),_bbt3[[#All],[METRIC_VALUE]])*0.5)+(_xlfn.XLOOKUP(1,(_bbt3[[#All],[ID]]=A2012)*(_bbt3[[#All],[METRIC_NAME]]="YLD_YTM_BID"),_bbt3[[#All],[METRIC_VALUE]])*0.5))/100,"")</f>
        <v/>
      </c>
      <c r="I2012">
        <f>IF(ISNA(VLOOKUP(A2012,QW_CloseDL!A:E,5,0)),0,VLOOKUP(A2012,QW_CloseDL!A:E,5,0))</f>
        <v>0</v>
      </c>
      <c r="J2012" s="8" t="str">
        <f t="shared" si="121"/>
        <v/>
      </c>
    </row>
    <row r="2013" spans="2:10" x14ac:dyDescent="0.35">
      <c r="B2013" t="str">
        <f>IF(NOT(ISBLANK(A2013)),VLOOKUP(A2013,'BBT3'!A:F,2,0),"")</f>
        <v/>
      </c>
      <c r="C2013" t="str">
        <f>IF(NOT(ISBLANK(A2013)),VLOOKUP(A2013,'BBT3'!A:F,3,0),"")</f>
        <v/>
      </c>
      <c r="D2013" s="6" t="str">
        <f>IF(NOT(ISBLANK(A2013)),VLOOKUP(A2013,'BBT3'!A:F,4,1),"")</f>
        <v/>
      </c>
      <c r="E2013" t="str">
        <f>IF(NOT(ISBLANK(A2013)),VLOOKUP(A2013,'BBT3'!A:F,5,0),"")</f>
        <v/>
      </c>
      <c r="F2013" t="str">
        <f>IF(NOT(ISBLANK(A2013)),VLOOKUP(A2013,'BBT3'!A:F,6,0),"")</f>
        <v/>
      </c>
      <c r="G2013" t="str">
        <f>IF(NOT(ISBLANK(A2013)),VLOOKUP(A2013,QW_Close!A:J,5,0),"")</f>
        <v/>
      </c>
      <c r="H2013" s="5" t="str" cm="1">
        <f t="array" ref="H2013">IF(NOT(ISBLANK(A2013)),((_xlfn.XLOOKUP(1,(_bbt3[[#All],[ID]]=A2013)*(_bbt3[[#All],[METRIC_NAME]]="YLD_YTM_ASK"),_bbt3[[#All],[METRIC_VALUE]])*0.5)+(_xlfn.XLOOKUP(1,(_bbt3[[#All],[ID]]=A2013)*(_bbt3[[#All],[METRIC_NAME]]="YLD_YTM_BID"),_bbt3[[#All],[METRIC_VALUE]])*0.5))/100,"")</f>
        <v/>
      </c>
      <c r="I2013">
        <f>IF(ISNA(VLOOKUP(A2013,QW_CloseDL!A:E,5,0)),0,VLOOKUP(A2013,QW_CloseDL!A:E,5,0))</f>
        <v>0</v>
      </c>
      <c r="J2013" s="8" t="str">
        <f t="shared" si="121"/>
        <v/>
      </c>
    </row>
    <row r="2014" spans="2:10" x14ac:dyDescent="0.35">
      <c r="B2014" t="str">
        <f>IF(NOT(ISBLANK(A2014)),VLOOKUP(A2014,'BBT3'!A:F,2,0),"")</f>
        <v/>
      </c>
      <c r="C2014" t="str">
        <f>IF(NOT(ISBLANK(A2014)),VLOOKUP(A2014,'BBT3'!A:F,3,0),"")</f>
        <v/>
      </c>
      <c r="D2014" s="6" t="str">
        <f>IF(NOT(ISBLANK(A2014)),VLOOKUP(A2014,'BBT3'!A:F,4,1),"")</f>
        <v/>
      </c>
      <c r="E2014" t="str">
        <f>IF(NOT(ISBLANK(A2014)),VLOOKUP(A2014,'BBT3'!A:F,5,0),"")</f>
        <v/>
      </c>
      <c r="F2014" t="str">
        <f>IF(NOT(ISBLANK(A2014)),VLOOKUP(A2014,'BBT3'!A:F,6,0),"")</f>
        <v/>
      </c>
      <c r="G2014" t="str">
        <f>IF(NOT(ISBLANK(A2014)),VLOOKUP(A2014,QW_Close!A:J,5,0),"")</f>
        <v/>
      </c>
      <c r="H2014" s="5" t="str" cm="1">
        <f t="array" ref="H2014">IF(NOT(ISBLANK(A2014)),((_xlfn.XLOOKUP(1,(_bbt3[[#All],[ID]]=A2014)*(_bbt3[[#All],[METRIC_NAME]]="YLD_YTM_ASK"),_bbt3[[#All],[METRIC_VALUE]])*0.5)+(_xlfn.XLOOKUP(1,(_bbt3[[#All],[ID]]=A2014)*(_bbt3[[#All],[METRIC_NAME]]="YLD_YTM_BID"),_bbt3[[#All],[METRIC_VALUE]])*0.5))/100,"")</f>
        <v/>
      </c>
      <c r="I2014">
        <f>IF(ISNA(VLOOKUP(A2014,QW_CloseDL!A:E,5,0)),0,VLOOKUP(A2014,QW_CloseDL!A:E,5,0))</f>
        <v>0</v>
      </c>
      <c r="J2014" s="8" t="str">
        <f t="shared" si="121"/>
        <v/>
      </c>
    </row>
    <row r="2015" spans="2:10" x14ac:dyDescent="0.35">
      <c r="B2015" t="str">
        <f>IF(NOT(ISBLANK(A2015)),VLOOKUP(A2015,'BBT3'!A:F,2,0),"")</f>
        <v/>
      </c>
      <c r="C2015" t="str">
        <f>IF(NOT(ISBLANK(A2015)),VLOOKUP(A2015,'BBT3'!A:F,3,0),"")</f>
        <v/>
      </c>
      <c r="D2015" s="6" t="str">
        <f>IF(NOT(ISBLANK(A2015)),VLOOKUP(A2015,'BBT3'!A:F,4,1),"")</f>
        <v/>
      </c>
      <c r="E2015" t="str">
        <f>IF(NOT(ISBLANK(A2015)),VLOOKUP(A2015,'BBT3'!A:F,5,0),"")</f>
        <v/>
      </c>
      <c r="F2015" t="str">
        <f>IF(NOT(ISBLANK(A2015)),VLOOKUP(A2015,'BBT3'!A:F,6,0),"")</f>
        <v/>
      </c>
      <c r="G2015" t="str">
        <f>IF(NOT(ISBLANK(A2015)),VLOOKUP(A2015,QW_Close!A:J,5,0),"")</f>
        <v/>
      </c>
      <c r="H2015" s="5" t="str" cm="1">
        <f t="array" ref="H2015">IF(NOT(ISBLANK(A2015)),((_xlfn.XLOOKUP(1,(_bbt3[[#All],[ID]]=A2015)*(_bbt3[[#All],[METRIC_NAME]]="YLD_YTM_ASK"),_bbt3[[#All],[METRIC_VALUE]])*0.5)+(_xlfn.XLOOKUP(1,(_bbt3[[#All],[ID]]=A2015)*(_bbt3[[#All],[METRIC_NAME]]="YLD_YTM_BID"),_bbt3[[#All],[METRIC_VALUE]])*0.5))/100,"")</f>
        <v/>
      </c>
      <c r="I2015">
        <f>IF(ISNA(VLOOKUP(A2015,QW_CloseDL!A:E,5,0)),0,VLOOKUP(A2015,QW_CloseDL!A:E,5,0))</f>
        <v>0</v>
      </c>
      <c r="J2015" s="8" t="str">
        <f t="shared" si="121"/>
        <v/>
      </c>
    </row>
    <row r="2016" spans="2:10" x14ac:dyDescent="0.35">
      <c r="B2016" t="str">
        <f>IF(NOT(ISBLANK(A2016)),VLOOKUP(A2016,'BBT3'!A:F,2,0),"")</f>
        <v/>
      </c>
      <c r="C2016" t="str">
        <f>IF(NOT(ISBLANK(A2016)),VLOOKUP(A2016,'BBT3'!A:F,3,0),"")</f>
        <v/>
      </c>
      <c r="D2016" s="6" t="str">
        <f>IF(NOT(ISBLANK(A2016)),VLOOKUP(A2016,'BBT3'!A:F,4,1),"")</f>
        <v/>
      </c>
      <c r="E2016" t="str">
        <f>IF(NOT(ISBLANK(A2016)),VLOOKUP(A2016,'BBT3'!A:F,5,0),"")</f>
        <v/>
      </c>
      <c r="F2016" t="str">
        <f>IF(NOT(ISBLANK(A2016)),VLOOKUP(A2016,'BBT3'!A:F,6,0),"")</f>
        <v/>
      </c>
      <c r="G2016" t="str">
        <f>IF(NOT(ISBLANK(A2016)),VLOOKUP(A2016,QW_Close!A:J,5,0),"")</f>
        <v/>
      </c>
      <c r="H2016" s="5" t="str" cm="1">
        <f t="array" ref="H2016">IF(NOT(ISBLANK(A2016)),((_xlfn.XLOOKUP(1,(_bbt3[[#All],[ID]]=A2016)*(_bbt3[[#All],[METRIC_NAME]]="YLD_YTM_ASK"),_bbt3[[#All],[METRIC_VALUE]])*0.5)+(_xlfn.XLOOKUP(1,(_bbt3[[#All],[ID]]=A2016)*(_bbt3[[#All],[METRIC_NAME]]="YLD_YTM_BID"),_bbt3[[#All],[METRIC_VALUE]])*0.5))/100,"")</f>
        <v/>
      </c>
      <c r="I2016">
        <f>IF(ISNA(VLOOKUP(A2016,QW_CloseDL!A:E,5,0)),0,VLOOKUP(A2016,QW_CloseDL!A:E,5,0))</f>
        <v>0</v>
      </c>
      <c r="J2016" s="8" t="str">
        <f t="shared" si="121"/>
        <v/>
      </c>
    </row>
    <row r="2017" spans="2:10" x14ac:dyDescent="0.35">
      <c r="B2017" t="str">
        <f>IF(NOT(ISBLANK(A2017)),VLOOKUP(A2017,'BBT3'!A:F,2,0),"")</f>
        <v/>
      </c>
      <c r="C2017" t="str">
        <f>IF(NOT(ISBLANK(A2017)),VLOOKUP(A2017,'BBT3'!A:F,3,0),"")</f>
        <v/>
      </c>
      <c r="D2017" s="6" t="str">
        <f>IF(NOT(ISBLANK(A2017)),VLOOKUP(A2017,'BBT3'!A:F,4,1),"")</f>
        <v/>
      </c>
      <c r="E2017" t="str">
        <f>IF(NOT(ISBLANK(A2017)),VLOOKUP(A2017,'BBT3'!A:F,5,0),"")</f>
        <v/>
      </c>
      <c r="F2017" t="str">
        <f>IF(NOT(ISBLANK(A2017)),VLOOKUP(A2017,'BBT3'!A:F,6,0),"")</f>
        <v/>
      </c>
      <c r="G2017" t="str">
        <f>IF(NOT(ISBLANK(A2017)),VLOOKUP(A2017,QW_Close!A:J,5,0),"")</f>
        <v/>
      </c>
      <c r="H2017" s="5" t="str" cm="1">
        <f t="array" ref="H2017">IF(NOT(ISBLANK(A2017)),((_xlfn.XLOOKUP(1,(_bbt3[[#All],[ID]]=A2017)*(_bbt3[[#All],[METRIC_NAME]]="YLD_YTM_ASK"),_bbt3[[#All],[METRIC_VALUE]])*0.5)+(_xlfn.XLOOKUP(1,(_bbt3[[#All],[ID]]=A2017)*(_bbt3[[#All],[METRIC_NAME]]="YLD_YTM_BID"),_bbt3[[#All],[METRIC_VALUE]])*0.5))/100,"")</f>
        <v/>
      </c>
      <c r="I2017">
        <f>IF(ISNA(VLOOKUP(A2017,QW_CloseDL!A:E,5,0)),0,VLOOKUP(A2017,QW_CloseDL!A:E,5,0))</f>
        <v>0</v>
      </c>
      <c r="J2017" s="8" t="str">
        <f t="shared" si="121"/>
        <v/>
      </c>
    </row>
    <row r="2018" spans="2:10" x14ac:dyDescent="0.35">
      <c r="B2018" t="str">
        <f>IF(NOT(ISBLANK(A2018)),VLOOKUP(A2018,'BBT3'!A:F,2,0),"")</f>
        <v/>
      </c>
      <c r="C2018" t="str">
        <f>IF(NOT(ISBLANK(A2018)),VLOOKUP(A2018,'BBT3'!A:F,3,0),"")</f>
        <v/>
      </c>
      <c r="D2018" s="6" t="str">
        <f>IF(NOT(ISBLANK(A2018)),VLOOKUP(A2018,'BBT3'!A:F,4,1),"")</f>
        <v/>
      </c>
      <c r="E2018" t="str">
        <f>IF(NOT(ISBLANK(A2018)),VLOOKUP(A2018,'BBT3'!A:F,5,0),"")</f>
        <v/>
      </c>
      <c r="F2018" t="str">
        <f>IF(NOT(ISBLANK(A2018)),VLOOKUP(A2018,'BBT3'!A:F,6,0),"")</f>
        <v/>
      </c>
      <c r="G2018" t="str">
        <f>IF(NOT(ISBLANK(A2018)),VLOOKUP(A2018,QW_Close!A:J,5,0),"")</f>
        <v/>
      </c>
      <c r="H2018" s="5" t="str" cm="1">
        <f t="array" ref="H2018">IF(NOT(ISBLANK(A2018)),((_xlfn.XLOOKUP(1,(_bbt3[[#All],[ID]]=A2018)*(_bbt3[[#All],[METRIC_NAME]]="YLD_YTM_ASK"),_bbt3[[#All],[METRIC_VALUE]])*0.5)+(_xlfn.XLOOKUP(1,(_bbt3[[#All],[ID]]=A2018)*(_bbt3[[#All],[METRIC_NAME]]="YLD_YTM_BID"),_bbt3[[#All],[METRIC_VALUE]])*0.5))/100,"")</f>
        <v/>
      </c>
      <c r="I2018">
        <f>IF(ISNA(VLOOKUP(A2018,QW_CloseDL!A:E,5,0)),0,VLOOKUP(A2018,QW_CloseDL!A:E,5,0))</f>
        <v>0</v>
      </c>
      <c r="J2018" s="8" t="str">
        <f t="shared" si="121"/>
        <v/>
      </c>
    </row>
    <row r="2019" spans="2:10" x14ac:dyDescent="0.35">
      <c r="B2019" t="str">
        <f>IF(NOT(ISBLANK(A2019)),VLOOKUP(A2019,'BBT3'!A:F,2,0),"")</f>
        <v/>
      </c>
      <c r="C2019" t="str">
        <f>IF(NOT(ISBLANK(A2019)),VLOOKUP(A2019,'BBT3'!A:F,3,0),"")</f>
        <v/>
      </c>
      <c r="D2019" s="6" t="str">
        <f>IF(NOT(ISBLANK(A2019)),VLOOKUP(A2019,'BBT3'!A:F,4,1),"")</f>
        <v/>
      </c>
      <c r="E2019" t="str">
        <f>IF(NOT(ISBLANK(A2019)),VLOOKUP(A2019,'BBT3'!A:F,5,0),"")</f>
        <v/>
      </c>
      <c r="F2019" t="str">
        <f>IF(NOT(ISBLANK(A2019)),VLOOKUP(A2019,'BBT3'!A:F,6,0),"")</f>
        <v/>
      </c>
      <c r="G2019" t="str">
        <f>IF(NOT(ISBLANK(A2019)),VLOOKUP(A2019,QW_Close!A:J,5,0),"")</f>
        <v/>
      </c>
      <c r="H2019" s="5" t="str" cm="1">
        <f t="array" ref="H2019">IF(NOT(ISBLANK(A2019)),((_xlfn.XLOOKUP(1,(_bbt3[[#All],[ID]]=A2019)*(_bbt3[[#All],[METRIC_NAME]]="YLD_YTM_ASK"),_bbt3[[#All],[METRIC_VALUE]])*0.5)+(_xlfn.XLOOKUP(1,(_bbt3[[#All],[ID]]=A2019)*(_bbt3[[#All],[METRIC_NAME]]="YLD_YTM_BID"),_bbt3[[#All],[METRIC_VALUE]])*0.5))/100,"")</f>
        <v/>
      </c>
      <c r="I2019">
        <f>IF(ISNA(VLOOKUP(A2019,QW_CloseDL!A:E,5,0)),0,VLOOKUP(A2019,QW_CloseDL!A:E,5,0))</f>
        <v>0</v>
      </c>
      <c r="J2019" s="8" t="str">
        <f t="shared" si="121"/>
        <v/>
      </c>
    </row>
    <row r="2020" spans="2:10" x14ac:dyDescent="0.35">
      <c r="B2020" t="str">
        <f>IF(NOT(ISBLANK(A2020)),VLOOKUP(A2020,'BBT3'!A:F,2,0),"")</f>
        <v/>
      </c>
      <c r="C2020" t="str">
        <f>IF(NOT(ISBLANK(A2020)),VLOOKUP(A2020,'BBT3'!A:F,3,0),"")</f>
        <v/>
      </c>
      <c r="D2020" s="6" t="str">
        <f>IF(NOT(ISBLANK(A2020)),VLOOKUP(A2020,'BBT3'!A:F,4,1),"")</f>
        <v/>
      </c>
      <c r="E2020" t="str">
        <f>IF(NOT(ISBLANK(A2020)),VLOOKUP(A2020,'BBT3'!A:F,5,0),"")</f>
        <v/>
      </c>
      <c r="F2020" t="str">
        <f>IF(NOT(ISBLANK(A2020)),VLOOKUP(A2020,'BBT3'!A:F,6,0),"")</f>
        <v/>
      </c>
      <c r="G2020" t="str">
        <f>IF(NOT(ISBLANK(A2020)),VLOOKUP(A2020,QW_Close!A:J,5,0),"")</f>
        <v/>
      </c>
      <c r="H2020" s="5" t="str" cm="1">
        <f t="array" ref="H2020">IF(NOT(ISBLANK(A2020)),((_xlfn.XLOOKUP(1,(_bbt3[[#All],[ID]]=A2020)*(_bbt3[[#All],[METRIC_NAME]]="YLD_YTM_ASK"),_bbt3[[#All],[METRIC_VALUE]])*0.5)+(_xlfn.XLOOKUP(1,(_bbt3[[#All],[ID]]=A2020)*(_bbt3[[#All],[METRIC_NAME]]="YLD_YTM_BID"),_bbt3[[#All],[METRIC_VALUE]])*0.5))/100,"")</f>
        <v/>
      </c>
      <c r="I2020">
        <f>IF(ISNA(VLOOKUP(A2020,QW_CloseDL!A:E,5,0)),0,VLOOKUP(A2020,QW_CloseDL!A:E,5,0))</f>
        <v>0</v>
      </c>
      <c r="J2020" s="8" t="str">
        <f t="shared" si="121"/>
        <v/>
      </c>
    </row>
    <row r="2021" spans="2:10" x14ac:dyDescent="0.35">
      <c r="B2021" t="str">
        <f>IF(NOT(ISBLANK(A2021)),VLOOKUP(A2021,'BBT3'!A:F,2,0),"")</f>
        <v/>
      </c>
      <c r="C2021" t="str">
        <f>IF(NOT(ISBLANK(A2021)),VLOOKUP(A2021,'BBT3'!A:F,3,0),"")</f>
        <v/>
      </c>
      <c r="D2021" s="6" t="str">
        <f>IF(NOT(ISBLANK(A2021)),VLOOKUP(A2021,'BBT3'!A:F,4,1),"")</f>
        <v/>
      </c>
      <c r="E2021" t="str">
        <f>IF(NOT(ISBLANK(A2021)),VLOOKUP(A2021,'BBT3'!A:F,5,0),"")</f>
        <v/>
      </c>
      <c r="F2021" t="str">
        <f>IF(NOT(ISBLANK(A2021)),VLOOKUP(A2021,'BBT3'!A:F,6,0),"")</f>
        <v/>
      </c>
      <c r="G2021" t="str">
        <f>IF(NOT(ISBLANK(A2021)),VLOOKUP(A2021,QW_Close!A:J,5,0),"")</f>
        <v/>
      </c>
      <c r="H2021" s="5" t="str" cm="1">
        <f t="array" ref="H2021">IF(NOT(ISBLANK(A2021)),((_xlfn.XLOOKUP(1,(_bbt3[[#All],[ID]]=A2021)*(_bbt3[[#All],[METRIC_NAME]]="YLD_YTM_ASK"),_bbt3[[#All],[METRIC_VALUE]])*0.5)+(_xlfn.XLOOKUP(1,(_bbt3[[#All],[ID]]=A2021)*(_bbt3[[#All],[METRIC_NAME]]="YLD_YTM_BID"),_bbt3[[#All],[METRIC_VALUE]])*0.5))/100,"")</f>
        <v/>
      </c>
      <c r="I2021">
        <f>IF(ISNA(VLOOKUP(A2021,QW_CloseDL!A:E,5,0)),0,VLOOKUP(A2021,QW_CloseDL!A:E,5,0))</f>
        <v>0</v>
      </c>
      <c r="J2021" s="8" t="str">
        <f t="shared" si="121"/>
        <v/>
      </c>
    </row>
    <row r="2022" spans="2:10" x14ac:dyDescent="0.35">
      <c r="B2022" t="str">
        <f>IF(NOT(ISBLANK(A2022)),VLOOKUP(A2022,'BBT3'!A:F,2,0),"")</f>
        <v/>
      </c>
      <c r="C2022" t="str">
        <f>IF(NOT(ISBLANK(A2022)),VLOOKUP(A2022,'BBT3'!A:F,3,0),"")</f>
        <v/>
      </c>
      <c r="D2022" s="6" t="str">
        <f>IF(NOT(ISBLANK(A2022)),VLOOKUP(A2022,'BBT3'!A:F,4,1),"")</f>
        <v/>
      </c>
      <c r="E2022" t="str">
        <f>IF(NOT(ISBLANK(A2022)),VLOOKUP(A2022,'BBT3'!A:F,5,0),"")</f>
        <v/>
      </c>
      <c r="F2022" t="str">
        <f>IF(NOT(ISBLANK(A2022)),VLOOKUP(A2022,'BBT3'!A:F,6,0),"")</f>
        <v/>
      </c>
      <c r="G2022" t="str">
        <f>IF(NOT(ISBLANK(A2022)),VLOOKUP(A2022,QW_Close!A:J,5,0),"")</f>
        <v/>
      </c>
      <c r="H2022" s="5" t="str" cm="1">
        <f t="array" ref="H2022">IF(NOT(ISBLANK(A2022)),((_xlfn.XLOOKUP(1,(_bbt3[[#All],[ID]]=A2022)*(_bbt3[[#All],[METRIC_NAME]]="YLD_YTM_ASK"),_bbt3[[#All],[METRIC_VALUE]])*0.5)+(_xlfn.XLOOKUP(1,(_bbt3[[#All],[ID]]=A2022)*(_bbt3[[#All],[METRIC_NAME]]="YLD_YTM_BID"),_bbt3[[#All],[METRIC_VALUE]])*0.5))/100,"")</f>
        <v/>
      </c>
      <c r="I2022">
        <f>IF(ISNA(VLOOKUP(A2022,QW_CloseDL!A:E,5,0)),0,VLOOKUP(A2022,QW_CloseDL!A:E,5,0))</f>
        <v>0</v>
      </c>
      <c r="J2022" s="8" t="str">
        <f t="shared" si="121"/>
        <v/>
      </c>
    </row>
    <row r="2023" spans="2:10" x14ac:dyDescent="0.35">
      <c r="B2023" t="str">
        <f>IF(NOT(ISBLANK(A2023)),VLOOKUP(A2023,'BBT3'!A:F,2,0),"")</f>
        <v/>
      </c>
      <c r="C2023" t="str">
        <f>IF(NOT(ISBLANK(A2023)),VLOOKUP(A2023,'BBT3'!A:F,3,0),"")</f>
        <v/>
      </c>
      <c r="D2023" s="6" t="str">
        <f>IF(NOT(ISBLANK(A2023)),VLOOKUP(A2023,'BBT3'!A:F,4,1),"")</f>
        <v/>
      </c>
      <c r="E2023" t="str">
        <f>IF(NOT(ISBLANK(A2023)),VLOOKUP(A2023,'BBT3'!A:F,5,0),"")</f>
        <v/>
      </c>
      <c r="F2023" t="str">
        <f>IF(NOT(ISBLANK(A2023)),VLOOKUP(A2023,'BBT3'!A:F,6,0),"")</f>
        <v/>
      </c>
      <c r="G2023" t="str">
        <f>IF(NOT(ISBLANK(A2023)),VLOOKUP(A2023,QW_Close!A:J,5,0),"")</f>
        <v/>
      </c>
      <c r="H2023" s="5" t="str" cm="1">
        <f t="array" ref="H2023">IF(NOT(ISBLANK(A2023)),((_xlfn.XLOOKUP(1,(_bbt3[[#All],[ID]]=A2023)*(_bbt3[[#All],[METRIC_NAME]]="YLD_YTM_ASK"),_bbt3[[#All],[METRIC_VALUE]])*0.5)+(_xlfn.XLOOKUP(1,(_bbt3[[#All],[ID]]=A2023)*(_bbt3[[#All],[METRIC_NAME]]="YLD_YTM_BID"),_bbt3[[#All],[METRIC_VALUE]])*0.5))/100,"")</f>
        <v/>
      </c>
      <c r="I2023">
        <f>IF(ISNA(VLOOKUP(A2023,QW_CloseDL!A:E,5,0)),0,VLOOKUP(A2023,QW_CloseDL!A:E,5,0))</f>
        <v>0</v>
      </c>
      <c r="J2023" s="8" t="str">
        <f t="shared" si="121"/>
        <v/>
      </c>
    </row>
    <row r="2024" spans="2:10" x14ac:dyDescent="0.35">
      <c r="B2024" t="str">
        <f>IF(NOT(ISBLANK(A2024)),VLOOKUP(A2024,'BBT3'!A:F,2,0),"")</f>
        <v/>
      </c>
      <c r="C2024" t="str">
        <f>IF(NOT(ISBLANK(A2024)),VLOOKUP(A2024,'BBT3'!A:F,3,0),"")</f>
        <v/>
      </c>
      <c r="D2024" s="6" t="str">
        <f>IF(NOT(ISBLANK(A2024)),VLOOKUP(A2024,'BBT3'!A:F,4,1),"")</f>
        <v/>
      </c>
      <c r="E2024" t="str">
        <f>IF(NOT(ISBLANK(A2024)),VLOOKUP(A2024,'BBT3'!A:F,5,0),"")</f>
        <v/>
      </c>
      <c r="F2024" t="str">
        <f>IF(NOT(ISBLANK(A2024)),VLOOKUP(A2024,'BBT3'!A:F,6,0),"")</f>
        <v/>
      </c>
      <c r="G2024" t="str">
        <f>IF(NOT(ISBLANK(A2024)),VLOOKUP(A2024,QW_Close!A:J,5,0),"")</f>
        <v/>
      </c>
      <c r="H2024" s="5" t="str" cm="1">
        <f t="array" ref="H2024">IF(NOT(ISBLANK(A2024)),((_xlfn.XLOOKUP(1,(_bbt3[[#All],[ID]]=A2024)*(_bbt3[[#All],[METRIC_NAME]]="YLD_YTM_ASK"),_bbt3[[#All],[METRIC_VALUE]])*0.5)+(_xlfn.XLOOKUP(1,(_bbt3[[#All],[ID]]=A2024)*(_bbt3[[#All],[METRIC_NAME]]="YLD_YTM_BID"),_bbt3[[#All],[METRIC_VALUE]])*0.5))/100,"")</f>
        <v/>
      </c>
      <c r="I2024">
        <f>IF(ISNA(VLOOKUP(A2024,QW_CloseDL!A:E,5,0)),0,VLOOKUP(A2024,QW_CloseDL!A:E,5,0))</f>
        <v>0</v>
      </c>
      <c r="J2024" s="8" t="str">
        <f t="shared" si="121"/>
        <v/>
      </c>
    </row>
    <row r="2025" spans="2:10" x14ac:dyDescent="0.35">
      <c r="B2025" t="str">
        <f>IF(NOT(ISBLANK(A2025)),VLOOKUP(A2025,'BBT3'!A:F,2,0),"")</f>
        <v/>
      </c>
      <c r="C2025" t="str">
        <f>IF(NOT(ISBLANK(A2025)),VLOOKUP(A2025,'BBT3'!A:F,3,0),"")</f>
        <v/>
      </c>
      <c r="D2025" s="6" t="str">
        <f>IF(NOT(ISBLANK(A2025)),VLOOKUP(A2025,'BBT3'!A:F,4,1),"")</f>
        <v/>
      </c>
      <c r="E2025" t="str">
        <f>IF(NOT(ISBLANK(A2025)),VLOOKUP(A2025,'BBT3'!A:F,5,0),"")</f>
        <v/>
      </c>
      <c r="F2025" t="str">
        <f>IF(NOT(ISBLANK(A2025)),VLOOKUP(A2025,'BBT3'!A:F,6,0),"")</f>
        <v/>
      </c>
      <c r="G2025" t="str">
        <f>IF(NOT(ISBLANK(A2025)),VLOOKUP(A2025,QW_Close!A:J,5,0),"")</f>
        <v/>
      </c>
      <c r="H2025" s="5" t="str" cm="1">
        <f t="array" ref="H2025">IF(NOT(ISBLANK(A2025)),((_xlfn.XLOOKUP(1,(_bbt3[[#All],[ID]]=A2025)*(_bbt3[[#All],[METRIC_NAME]]="YLD_YTM_ASK"),_bbt3[[#All],[METRIC_VALUE]])*0.5)+(_xlfn.XLOOKUP(1,(_bbt3[[#All],[ID]]=A2025)*(_bbt3[[#All],[METRIC_NAME]]="YLD_YTM_BID"),_bbt3[[#All],[METRIC_VALUE]])*0.5))/100,"")</f>
        <v/>
      </c>
      <c r="I2025">
        <f>IF(ISNA(VLOOKUP(A2025,QW_CloseDL!A:E,5,0)),0,VLOOKUP(A2025,QW_CloseDL!A:E,5,0))</f>
        <v>0</v>
      </c>
      <c r="J2025" s="8" t="str">
        <f t="shared" si="121"/>
        <v/>
      </c>
    </row>
    <row r="2026" spans="2:10" x14ac:dyDescent="0.35">
      <c r="B2026" t="str">
        <f>IF(NOT(ISBLANK(A2026)),VLOOKUP(A2026,'BBT3'!A:F,2,0),"")</f>
        <v/>
      </c>
      <c r="C2026" t="str">
        <f>IF(NOT(ISBLANK(A2026)),VLOOKUP(A2026,'BBT3'!A:F,3,0),"")</f>
        <v/>
      </c>
      <c r="D2026" s="6" t="str">
        <f>IF(NOT(ISBLANK(A2026)),VLOOKUP(A2026,'BBT3'!A:F,4,1),"")</f>
        <v/>
      </c>
      <c r="E2026" t="str">
        <f>IF(NOT(ISBLANK(A2026)),VLOOKUP(A2026,'BBT3'!A:F,5,0),"")</f>
        <v/>
      </c>
      <c r="F2026" t="str">
        <f>IF(NOT(ISBLANK(A2026)),VLOOKUP(A2026,'BBT3'!A:F,6,0),"")</f>
        <v/>
      </c>
      <c r="G2026" t="str">
        <f>IF(NOT(ISBLANK(A2026)),VLOOKUP(A2026,QW_Close!A:J,5,0),"")</f>
        <v/>
      </c>
      <c r="H2026" s="5" t="str" cm="1">
        <f t="array" ref="H2026">IF(NOT(ISBLANK(A2026)),((_xlfn.XLOOKUP(1,(_bbt3[[#All],[ID]]=A2026)*(_bbt3[[#All],[METRIC_NAME]]="YLD_YTM_ASK"),_bbt3[[#All],[METRIC_VALUE]])*0.5)+(_xlfn.XLOOKUP(1,(_bbt3[[#All],[ID]]=A2026)*(_bbt3[[#All],[METRIC_NAME]]="YLD_YTM_BID"),_bbt3[[#All],[METRIC_VALUE]])*0.5))/100,"")</f>
        <v/>
      </c>
      <c r="I2026">
        <f>IF(ISNA(VLOOKUP(A2026,QW_CloseDL!A:E,5,0)),0,VLOOKUP(A2026,QW_CloseDL!A:E,5,0))</f>
        <v>0</v>
      </c>
      <c r="J2026" s="8" t="str">
        <f t="shared" si="121"/>
        <v/>
      </c>
    </row>
    <row r="2027" spans="2:10" x14ac:dyDescent="0.35">
      <c r="B2027" t="str">
        <f>IF(NOT(ISBLANK(A2027)),VLOOKUP(A2027,'BBT3'!A:F,2,0),"")</f>
        <v/>
      </c>
      <c r="C2027" t="str">
        <f>IF(NOT(ISBLANK(A2027)),VLOOKUP(A2027,'BBT3'!A:F,3,0),"")</f>
        <v/>
      </c>
      <c r="D2027" s="6" t="str">
        <f>IF(NOT(ISBLANK(A2027)),VLOOKUP(A2027,'BBT3'!A:F,4,1),"")</f>
        <v/>
      </c>
      <c r="E2027" t="str">
        <f>IF(NOT(ISBLANK(A2027)),VLOOKUP(A2027,'BBT3'!A:F,5,0),"")</f>
        <v/>
      </c>
      <c r="F2027" t="str">
        <f>IF(NOT(ISBLANK(A2027)),VLOOKUP(A2027,'BBT3'!A:F,6,0),"")</f>
        <v/>
      </c>
      <c r="G2027" t="str">
        <f>IF(NOT(ISBLANK(A2027)),VLOOKUP(A2027,QW_Close!A:J,5,0),"")</f>
        <v/>
      </c>
      <c r="H2027" s="5" t="str" cm="1">
        <f t="array" ref="H2027">IF(NOT(ISBLANK(A2027)),((_xlfn.XLOOKUP(1,(_bbt3[[#All],[ID]]=A2027)*(_bbt3[[#All],[METRIC_NAME]]="YLD_YTM_ASK"),_bbt3[[#All],[METRIC_VALUE]])*0.5)+(_xlfn.XLOOKUP(1,(_bbt3[[#All],[ID]]=A2027)*(_bbt3[[#All],[METRIC_NAME]]="YLD_YTM_BID"),_bbt3[[#All],[METRIC_VALUE]])*0.5))/100,"")</f>
        <v/>
      </c>
      <c r="I2027">
        <f>IF(ISNA(VLOOKUP(A2027,QW_CloseDL!A:E,5,0)),0,VLOOKUP(A2027,QW_CloseDL!A:E,5,0))</f>
        <v>0</v>
      </c>
      <c r="J2027" s="8" t="str">
        <f t="shared" si="121"/>
        <v/>
      </c>
    </row>
    <row r="2028" spans="2:10" x14ac:dyDescent="0.35">
      <c r="B2028" t="str">
        <f>IF(NOT(ISBLANK(A2028)),VLOOKUP(A2028,'BBT3'!A:F,2,0),"")</f>
        <v/>
      </c>
      <c r="C2028" t="str">
        <f>IF(NOT(ISBLANK(A2028)),VLOOKUP(A2028,'BBT3'!A:F,3,0),"")</f>
        <v/>
      </c>
      <c r="D2028" s="6" t="str">
        <f>IF(NOT(ISBLANK(A2028)),VLOOKUP(A2028,'BBT3'!A:F,4,1),"")</f>
        <v/>
      </c>
      <c r="E2028" t="str">
        <f>IF(NOT(ISBLANK(A2028)),VLOOKUP(A2028,'BBT3'!A:F,5,0),"")</f>
        <v/>
      </c>
      <c r="F2028" t="str">
        <f>IF(NOT(ISBLANK(A2028)),VLOOKUP(A2028,'BBT3'!A:F,6,0),"")</f>
        <v/>
      </c>
      <c r="G2028" t="str">
        <f>IF(NOT(ISBLANK(A2028)),VLOOKUP(A2028,QW_Close!A:J,5,0),"")</f>
        <v/>
      </c>
      <c r="H2028" s="5" t="str" cm="1">
        <f t="array" ref="H2028">IF(NOT(ISBLANK(A2028)),((_xlfn.XLOOKUP(1,(_bbt3[[#All],[ID]]=A2028)*(_bbt3[[#All],[METRIC_NAME]]="YLD_YTM_ASK"),_bbt3[[#All],[METRIC_VALUE]])*0.5)+(_xlfn.XLOOKUP(1,(_bbt3[[#All],[ID]]=A2028)*(_bbt3[[#All],[METRIC_NAME]]="YLD_YTM_BID"),_bbt3[[#All],[METRIC_VALUE]])*0.5))/100,"")</f>
        <v/>
      </c>
      <c r="I2028">
        <f>IF(ISNA(VLOOKUP(A2028,QW_CloseDL!A:E,5,0)),0,VLOOKUP(A2028,QW_CloseDL!A:E,5,0))</f>
        <v>0</v>
      </c>
      <c r="J2028" s="8" t="str">
        <f t="shared" si="121"/>
        <v/>
      </c>
    </row>
    <row r="2029" spans="2:10" x14ac:dyDescent="0.35">
      <c r="B2029" t="str">
        <f>IF(NOT(ISBLANK(A2029)),VLOOKUP(A2029,'BBT3'!A:F,2,0),"")</f>
        <v/>
      </c>
      <c r="C2029" t="str">
        <f>IF(NOT(ISBLANK(A2029)),VLOOKUP(A2029,'BBT3'!A:F,3,0),"")</f>
        <v/>
      </c>
      <c r="D2029" s="6" t="str">
        <f>IF(NOT(ISBLANK(A2029)),VLOOKUP(A2029,'BBT3'!A:F,4,1),"")</f>
        <v/>
      </c>
      <c r="E2029" t="str">
        <f>IF(NOT(ISBLANK(A2029)),VLOOKUP(A2029,'BBT3'!A:F,5,0),"")</f>
        <v/>
      </c>
      <c r="F2029" t="str">
        <f>IF(NOT(ISBLANK(A2029)),VLOOKUP(A2029,'BBT3'!A:F,6,0),"")</f>
        <v/>
      </c>
      <c r="G2029" t="str">
        <f>IF(NOT(ISBLANK(A2029)),VLOOKUP(A2029,QW_Close!A:J,5,0),"")</f>
        <v/>
      </c>
      <c r="H2029" s="5" t="str" cm="1">
        <f t="array" ref="H2029">IF(NOT(ISBLANK(A2029)),((_xlfn.XLOOKUP(1,(_bbt3[[#All],[ID]]=A2029)*(_bbt3[[#All],[METRIC_NAME]]="YLD_YTM_ASK"),_bbt3[[#All],[METRIC_VALUE]])*0.5)+(_xlfn.XLOOKUP(1,(_bbt3[[#All],[ID]]=A2029)*(_bbt3[[#All],[METRIC_NAME]]="YLD_YTM_BID"),_bbt3[[#All],[METRIC_VALUE]])*0.5))/100,"")</f>
        <v/>
      </c>
      <c r="I2029">
        <f>IF(ISNA(VLOOKUP(A2029,QW_CloseDL!A:E,5,0)),0,VLOOKUP(A2029,QW_CloseDL!A:E,5,0))</f>
        <v>0</v>
      </c>
      <c r="J2029" s="8" t="str">
        <f t="shared" si="121"/>
        <v/>
      </c>
    </row>
    <row r="2030" spans="2:10" x14ac:dyDescent="0.35">
      <c r="B2030" t="str">
        <f>IF(NOT(ISBLANK(A2030)),VLOOKUP(A2030,'BBT3'!A:F,2,0),"")</f>
        <v/>
      </c>
      <c r="C2030" t="str">
        <f>IF(NOT(ISBLANK(A2030)),VLOOKUP(A2030,'BBT3'!A:F,3,0),"")</f>
        <v/>
      </c>
      <c r="D2030" s="6" t="str">
        <f>IF(NOT(ISBLANK(A2030)),VLOOKUP(A2030,'BBT3'!A:F,4,1),"")</f>
        <v/>
      </c>
      <c r="E2030" t="str">
        <f>IF(NOT(ISBLANK(A2030)),VLOOKUP(A2030,'BBT3'!A:F,5,0),"")</f>
        <v/>
      </c>
      <c r="F2030" t="str">
        <f>IF(NOT(ISBLANK(A2030)),VLOOKUP(A2030,'BBT3'!A:F,6,0),"")</f>
        <v/>
      </c>
      <c r="G2030" t="str">
        <f>IF(NOT(ISBLANK(A2030)),VLOOKUP(A2030,QW_Close!A:J,5,0),"")</f>
        <v/>
      </c>
      <c r="H2030" s="5" t="str" cm="1">
        <f t="array" ref="H2030">IF(NOT(ISBLANK(A2030)),((_xlfn.XLOOKUP(1,(_bbt3[[#All],[ID]]=A2030)*(_bbt3[[#All],[METRIC_NAME]]="YLD_YTM_ASK"),_bbt3[[#All],[METRIC_VALUE]])*0.5)+(_xlfn.XLOOKUP(1,(_bbt3[[#All],[ID]]=A2030)*(_bbt3[[#All],[METRIC_NAME]]="YLD_YTM_BID"),_bbt3[[#All],[METRIC_VALUE]])*0.5))/100,"")</f>
        <v/>
      </c>
      <c r="I2030">
        <f>IF(ISNA(VLOOKUP(A2030,QW_CloseDL!A:E,5,0)),0,VLOOKUP(A2030,QW_CloseDL!A:E,5,0))</f>
        <v>0</v>
      </c>
      <c r="J2030" s="8" t="str">
        <f t="shared" si="121"/>
        <v/>
      </c>
    </row>
    <row r="2031" spans="2:10" x14ac:dyDescent="0.35">
      <c r="B2031" t="str">
        <f>IF(NOT(ISBLANK(A2031)),VLOOKUP(A2031,'BBT3'!A:F,2,0),"")</f>
        <v/>
      </c>
      <c r="C2031" t="str">
        <f>IF(NOT(ISBLANK(A2031)),VLOOKUP(A2031,'BBT3'!A:F,3,0),"")</f>
        <v/>
      </c>
      <c r="D2031" s="6" t="str">
        <f>IF(NOT(ISBLANK(A2031)),VLOOKUP(A2031,'BBT3'!A:F,4,1),"")</f>
        <v/>
      </c>
      <c r="E2031" t="str">
        <f>IF(NOT(ISBLANK(A2031)),VLOOKUP(A2031,'BBT3'!A:F,5,0),"")</f>
        <v/>
      </c>
      <c r="F2031" t="str">
        <f>IF(NOT(ISBLANK(A2031)),VLOOKUP(A2031,'BBT3'!A:F,6,0),"")</f>
        <v/>
      </c>
      <c r="G2031" t="str">
        <f>IF(NOT(ISBLANK(A2031)),VLOOKUP(A2031,QW_Close!A:J,5,0),"")</f>
        <v/>
      </c>
      <c r="H2031" s="5" t="str" cm="1">
        <f t="array" ref="H2031">IF(NOT(ISBLANK(A2031)),((_xlfn.XLOOKUP(1,(_bbt3[[#All],[ID]]=A2031)*(_bbt3[[#All],[METRIC_NAME]]="YLD_YTM_ASK"),_bbt3[[#All],[METRIC_VALUE]])*0.5)+(_xlfn.XLOOKUP(1,(_bbt3[[#All],[ID]]=A2031)*(_bbt3[[#All],[METRIC_NAME]]="YLD_YTM_BID"),_bbt3[[#All],[METRIC_VALUE]])*0.5))/100,"")</f>
        <v/>
      </c>
      <c r="I2031">
        <f>IF(ISNA(VLOOKUP(A2031,QW_CloseDL!A:E,5,0)),0,VLOOKUP(A2031,QW_CloseDL!A:E,5,0))</f>
        <v>0</v>
      </c>
      <c r="J2031" s="8" t="str">
        <f t="shared" si="121"/>
        <v/>
      </c>
    </row>
    <row r="2032" spans="2:10" x14ac:dyDescent="0.35">
      <c r="B2032" t="str">
        <f>IF(NOT(ISBLANK(A2032)),VLOOKUP(A2032,'BBT3'!A:F,2,0),"")</f>
        <v/>
      </c>
      <c r="C2032" t="str">
        <f>IF(NOT(ISBLANK(A2032)),VLOOKUP(A2032,'BBT3'!A:F,3,0),"")</f>
        <v/>
      </c>
      <c r="D2032" s="6" t="str">
        <f>IF(NOT(ISBLANK(A2032)),VLOOKUP(A2032,'BBT3'!A:F,4,1),"")</f>
        <v/>
      </c>
      <c r="E2032" t="str">
        <f>IF(NOT(ISBLANK(A2032)),VLOOKUP(A2032,'BBT3'!A:F,5,0),"")</f>
        <v/>
      </c>
      <c r="F2032" t="str">
        <f>IF(NOT(ISBLANK(A2032)),VLOOKUP(A2032,'BBT3'!A:F,6,0),"")</f>
        <v/>
      </c>
      <c r="G2032" t="str">
        <f>IF(NOT(ISBLANK(A2032)),VLOOKUP(A2032,QW_Close!A:J,5,0),"")</f>
        <v/>
      </c>
      <c r="H2032" s="5" t="str" cm="1">
        <f t="array" ref="H2032">IF(NOT(ISBLANK(A2032)),((_xlfn.XLOOKUP(1,(_bbt3[[#All],[ID]]=A2032)*(_bbt3[[#All],[METRIC_NAME]]="YLD_YTM_ASK"),_bbt3[[#All],[METRIC_VALUE]])*0.5)+(_xlfn.XLOOKUP(1,(_bbt3[[#All],[ID]]=A2032)*(_bbt3[[#All],[METRIC_NAME]]="YLD_YTM_BID"),_bbt3[[#All],[METRIC_VALUE]])*0.5))/100,"")</f>
        <v/>
      </c>
      <c r="I2032">
        <f>IF(ISNA(VLOOKUP(A2032,QW_CloseDL!A:E,5,0)),0,VLOOKUP(A2032,QW_CloseDL!A:E,5,0))</f>
        <v>0</v>
      </c>
      <c r="J2032" s="8" t="str">
        <f t="shared" si="121"/>
        <v/>
      </c>
    </row>
    <row r="2033" spans="2:10" x14ac:dyDescent="0.35">
      <c r="B2033" t="str">
        <f>IF(NOT(ISBLANK(A2033)),VLOOKUP(A2033,'BBT3'!A:F,2,0),"")</f>
        <v/>
      </c>
      <c r="C2033" t="str">
        <f>IF(NOT(ISBLANK(A2033)),VLOOKUP(A2033,'BBT3'!A:F,3,0),"")</f>
        <v/>
      </c>
      <c r="D2033" s="6" t="str">
        <f>IF(NOT(ISBLANK(A2033)),VLOOKUP(A2033,'BBT3'!A:F,4,1),"")</f>
        <v/>
      </c>
      <c r="E2033" t="str">
        <f>IF(NOT(ISBLANK(A2033)),VLOOKUP(A2033,'BBT3'!A:F,5,0),"")</f>
        <v/>
      </c>
      <c r="F2033" t="str">
        <f>IF(NOT(ISBLANK(A2033)),VLOOKUP(A2033,'BBT3'!A:F,6,0),"")</f>
        <v/>
      </c>
      <c r="G2033" t="str">
        <f>IF(NOT(ISBLANK(A2033)),VLOOKUP(A2033,QW_Close!A:J,5,0),"")</f>
        <v/>
      </c>
      <c r="H2033" s="5" t="str" cm="1">
        <f t="array" ref="H2033">IF(NOT(ISBLANK(A2033)),((_xlfn.XLOOKUP(1,(_bbt3[[#All],[ID]]=A2033)*(_bbt3[[#All],[METRIC_NAME]]="YLD_YTM_ASK"),_bbt3[[#All],[METRIC_VALUE]])*0.5)+(_xlfn.XLOOKUP(1,(_bbt3[[#All],[ID]]=A2033)*(_bbt3[[#All],[METRIC_NAME]]="YLD_YTM_BID"),_bbt3[[#All],[METRIC_VALUE]])*0.5))/100,"")</f>
        <v/>
      </c>
      <c r="I2033">
        <f>IF(ISNA(VLOOKUP(A2033,QW_CloseDL!A:E,5,0)),0,VLOOKUP(A2033,QW_CloseDL!A:E,5,0))</f>
        <v>0</v>
      </c>
      <c r="J2033" s="8" t="str">
        <f t="shared" si="121"/>
        <v/>
      </c>
    </row>
    <row r="2034" spans="2:10" x14ac:dyDescent="0.35">
      <c r="B2034" t="str">
        <f>IF(NOT(ISBLANK(A2034)),VLOOKUP(A2034,'BBT3'!A:F,2,0),"")</f>
        <v/>
      </c>
      <c r="C2034" t="str">
        <f>IF(NOT(ISBLANK(A2034)),VLOOKUP(A2034,'BBT3'!A:F,3,0),"")</f>
        <v/>
      </c>
      <c r="D2034" s="6" t="str">
        <f>IF(NOT(ISBLANK(A2034)),VLOOKUP(A2034,'BBT3'!A:F,4,1),"")</f>
        <v/>
      </c>
      <c r="E2034" t="str">
        <f>IF(NOT(ISBLANK(A2034)),VLOOKUP(A2034,'BBT3'!A:F,5,0),"")</f>
        <v/>
      </c>
      <c r="F2034" t="str">
        <f>IF(NOT(ISBLANK(A2034)),VLOOKUP(A2034,'BBT3'!A:F,6,0),"")</f>
        <v/>
      </c>
      <c r="G2034" t="str">
        <f>IF(NOT(ISBLANK(A2034)),VLOOKUP(A2034,QW_Close!A:J,5,0),"")</f>
        <v/>
      </c>
      <c r="H2034" s="5" t="str" cm="1">
        <f t="array" ref="H2034">IF(NOT(ISBLANK(A2034)),((_xlfn.XLOOKUP(1,(_bbt3[[#All],[ID]]=A2034)*(_bbt3[[#All],[METRIC_NAME]]="YLD_YTM_ASK"),_bbt3[[#All],[METRIC_VALUE]])*0.5)+(_xlfn.XLOOKUP(1,(_bbt3[[#All],[ID]]=A2034)*(_bbt3[[#All],[METRIC_NAME]]="YLD_YTM_BID"),_bbt3[[#All],[METRIC_VALUE]])*0.5))/100,"")</f>
        <v/>
      </c>
      <c r="I2034">
        <f>IF(ISNA(VLOOKUP(A2034,QW_CloseDL!A:E,5,0)),0,VLOOKUP(A2034,QW_CloseDL!A:E,5,0))</f>
        <v>0</v>
      </c>
      <c r="J2034" s="8" t="str">
        <f t="shared" si="121"/>
        <v/>
      </c>
    </row>
    <row r="2035" spans="2:10" x14ac:dyDescent="0.35">
      <c r="B2035" t="str">
        <f>IF(NOT(ISBLANK(A2035)),VLOOKUP(A2035,'BBT3'!A:F,2,0),"")</f>
        <v/>
      </c>
      <c r="I2035">
        <f>IF(ISNA(VLOOKUP(A2035,QW_CloseDL!A:E,5,0)),0,VLOOKUP(A2035,QW_CloseDL!A:E,5,0))</f>
        <v>0</v>
      </c>
      <c r="J2035" s="8" t="str">
        <f t="shared" si="121"/>
        <v/>
      </c>
    </row>
  </sheetData>
  <autoFilter ref="A1:J2036" xr:uid="{9D16CCF6-4802-4B90-B4FF-A44830E76192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296B2-32A3-4D57-89CC-238B4046857A}">
  <dimension ref="A1:F38"/>
  <sheetViews>
    <sheetView topLeftCell="A17" workbookViewId="0">
      <selection activeCell="B36" sqref="B36:F38"/>
    </sheetView>
  </sheetViews>
  <sheetFormatPr defaultRowHeight="14.5" x14ac:dyDescent="0.35"/>
  <cols>
    <col min="2" max="2" width="10.1796875" bestFit="1" customWidth="1"/>
  </cols>
  <sheetData>
    <row r="1" spans="1:6" x14ac:dyDescent="0.35">
      <c r="A1" t="s">
        <v>6929</v>
      </c>
      <c r="B1" s="10" t="s">
        <v>243</v>
      </c>
      <c r="C1" s="10" t="s">
        <v>13</v>
      </c>
      <c r="D1" s="10">
        <v>3.625</v>
      </c>
      <c r="E1" s="10">
        <v>5.3113676067798039</v>
      </c>
      <c r="F1" s="10">
        <v>46858</v>
      </c>
    </row>
    <row r="2" spans="1:6" x14ac:dyDescent="0.35">
      <c r="A2" t="s">
        <v>6929</v>
      </c>
      <c r="B2" s="10" t="s">
        <v>142</v>
      </c>
      <c r="C2" s="10" t="s">
        <v>13</v>
      </c>
      <c r="D2" s="10">
        <v>3.875</v>
      </c>
      <c r="E2" s="10">
        <v>4.4163063861979959</v>
      </c>
      <c r="F2" s="10">
        <v>47223</v>
      </c>
    </row>
    <row r="3" spans="1:6" x14ac:dyDescent="0.35">
      <c r="A3" t="s">
        <v>6929</v>
      </c>
      <c r="B3" s="10" t="s">
        <v>146</v>
      </c>
      <c r="C3" s="10" t="s">
        <v>13</v>
      </c>
      <c r="D3" s="10">
        <v>3.375</v>
      </c>
      <c r="E3" s="10">
        <v>1.8684145163729884</v>
      </c>
      <c r="F3" s="10">
        <v>48319</v>
      </c>
    </row>
    <row r="4" spans="1:6" x14ac:dyDescent="0.35">
      <c r="A4" t="s">
        <v>6929</v>
      </c>
      <c r="B4" s="10" t="s">
        <v>980</v>
      </c>
      <c r="C4" s="10" t="s">
        <v>13</v>
      </c>
      <c r="D4" s="10">
        <v>3.875</v>
      </c>
      <c r="E4" s="10">
        <v>2.5884363556310381</v>
      </c>
      <c r="F4" s="10">
        <v>47223</v>
      </c>
    </row>
    <row r="5" spans="1:6" x14ac:dyDescent="0.35">
      <c r="A5" t="s">
        <v>6928</v>
      </c>
      <c r="B5" s="11" t="s">
        <v>243</v>
      </c>
      <c r="C5" s="11" t="s">
        <v>13</v>
      </c>
      <c r="D5" s="11">
        <v>3.625</v>
      </c>
      <c r="E5" s="11">
        <v>8.3604806076974931</v>
      </c>
      <c r="F5" s="11">
        <v>46858</v>
      </c>
    </row>
    <row r="6" spans="1:6" x14ac:dyDescent="0.35">
      <c r="A6" t="s">
        <v>6928</v>
      </c>
      <c r="B6" s="11" t="s">
        <v>142</v>
      </c>
      <c r="C6" s="11" t="s">
        <v>13</v>
      </c>
      <c r="D6" s="11">
        <v>3.875</v>
      </c>
      <c r="E6" s="11">
        <v>4.9256543353849889</v>
      </c>
      <c r="F6" s="11">
        <v>47223</v>
      </c>
    </row>
    <row r="7" spans="1:6" x14ac:dyDescent="0.35">
      <c r="A7" t="s">
        <v>6930</v>
      </c>
      <c r="B7" s="12" t="s">
        <v>243</v>
      </c>
      <c r="C7" s="12" t="s">
        <v>13</v>
      </c>
      <c r="D7" s="12">
        <v>3.625</v>
      </c>
      <c r="E7" s="12">
        <v>2.475202549434997</v>
      </c>
      <c r="F7" s="12">
        <v>46858</v>
      </c>
    </row>
    <row r="8" spans="1:6" x14ac:dyDescent="0.35">
      <c r="A8" t="s">
        <v>6930</v>
      </c>
      <c r="B8" s="12" t="s">
        <v>142</v>
      </c>
      <c r="C8" s="12" t="s">
        <v>13</v>
      </c>
      <c r="D8" s="12">
        <v>3.875</v>
      </c>
      <c r="E8" s="12">
        <v>2.0235517099739981</v>
      </c>
      <c r="F8" s="12">
        <v>47223</v>
      </c>
    </row>
    <row r="9" spans="1:6" x14ac:dyDescent="0.35">
      <c r="A9" t="s">
        <v>6930</v>
      </c>
      <c r="B9" s="12" t="s">
        <v>146</v>
      </c>
      <c r="C9" s="12" t="s">
        <v>13</v>
      </c>
      <c r="D9" s="12">
        <v>3.375</v>
      </c>
      <c r="E9" s="12">
        <v>0.70895187018299788</v>
      </c>
      <c r="F9" s="12">
        <v>48319</v>
      </c>
    </row>
    <row r="10" spans="1:6" x14ac:dyDescent="0.35">
      <c r="A10" t="s">
        <v>6931</v>
      </c>
      <c r="B10" s="13" t="s">
        <v>243</v>
      </c>
      <c r="C10" s="13" t="s">
        <v>13</v>
      </c>
      <c r="D10" s="13">
        <v>3.625</v>
      </c>
      <c r="E10" s="13">
        <v>3.2498878062270018</v>
      </c>
      <c r="F10" s="13">
        <v>46858</v>
      </c>
    </row>
    <row r="11" spans="1:6" x14ac:dyDescent="0.35">
      <c r="A11" t="s">
        <v>6931</v>
      </c>
      <c r="B11" s="13" t="s">
        <v>142</v>
      </c>
      <c r="C11" s="13" t="s">
        <v>13</v>
      </c>
      <c r="D11" s="13">
        <v>3.875</v>
      </c>
      <c r="E11" s="13">
        <v>1.0141912501289949</v>
      </c>
      <c r="F11" s="13">
        <v>47223</v>
      </c>
    </row>
    <row r="12" spans="1:6" x14ac:dyDescent="0.35">
      <c r="A12" t="s">
        <v>6932</v>
      </c>
      <c r="B12" s="10" t="s">
        <v>243</v>
      </c>
      <c r="C12" s="10" t="s">
        <v>13</v>
      </c>
      <c r="D12" s="10">
        <v>3.625</v>
      </c>
      <c r="E12" s="10">
        <v>6.6969417930170039</v>
      </c>
      <c r="F12" s="10">
        <v>46858</v>
      </c>
    </row>
    <row r="13" spans="1:6" x14ac:dyDescent="0.35">
      <c r="A13" t="s">
        <v>6932</v>
      </c>
      <c r="B13" s="10" t="s">
        <v>142</v>
      </c>
      <c r="C13" s="10" t="s">
        <v>13</v>
      </c>
      <c r="D13" s="10">
        <v>3.875</v>
      </c>
      <c r="E13" s="10">
        <v>5.1985768244950004</v>
      </c>
      <c r="F13" s="10">
        <v>47223</v>
      </c>
    </row>
    <row r="14" spans="1:6" x14ac:dyDescent="0.35">
      <c r="A14" t="s">
        <v>6932</v>
      </c>
      <c r="B14" s="10" t="s">
        <v>146</v>
      </c>
      <c r="C14" s="10" t="s">
        <v>13</v>
      </c>
      <c r="D14" s="10">
        <v>3.375</v>
      </c>
      <c r="E14" s="10">
        <v>4.8983527601749977</v>
      </c>
      <c r="F14" s="10">
        <v>48319</v>
      </c>
    </row>
    <row r="15" spans="1:6" x14ac:dyDescent="0.35">
      <c r="A15" t="s">
        <v>6933</v>
      </c>
      <c r="B15" s="14" t="s">
        <v>243</v>
      </c>
      <c r="C15" s="14" t="s">
        <v>13</v>
      </c>
      <c r="D15" s="14">
        <v>3.625</v>
      </c>
      <c r="E15" s="14">
        <v>0.38340733832960966</v>
      </c>
      <c r="F15" s="14">
        <v>46858</v>
      </c>
    </row>
    <row r="16" spans="1:6" x14ac:dyDescent="0.35">
      <c r="A16" t="s">
        <v>6933</v>
      </c>
      <c r="B16" s="14" t="s">
        <v>142</v>
      </c>
      <c r="C16" s="14" t="s">
        <v>13</v>
      </c>
      <c r="D16" s="14">
        <v>3.875</v>
      </c>
      <c r="E16" s="14">
        <v>0.63423440427399358</v>
      </c>
      <c r="F16" s="14">
        <v>47223</v>
      </c>
    </row>
    <row r="17" spans="1:6" x14ac:dyDescent="0.35">
      <c r="A17" t="s">
        <v>6933</v>
      </c>
      <c r="B17" s="14" t="s">
        <v>146</v>
      </c>
      <c r="C17" s="14" t="s">
        <v>13</v>
      </c>
      <c r="D17" s="14">
        <v>3.375</v>
      </c>
      <c r="E17" s="14">
        <v>0.57891943133299772</v>
      </c>
      <c r="F17" s="14">
        <v>48319</v>
      </c>
    </row>
    <row r="18" spans="1:6" x14ac:dyDescent="0.35">
      <c r="A18" t="s">
        <v>6934</v>
      </c>
      <c r="B18" s="15" t="s">
        <v>142</v>
      </c>
      <c r="C18" s="15" t="s">
        <v>13</v>
      </c>
      <c r="D18" s="15">
        <v>3.875</v>
      </c>
      <c r="E18" s="15">
        <v>1.6506653660719981</v>
      </c>
      <c r="F18" s="15">
        <v>47223</v>
      </c>
    </row>
    <row r="19" spans="1:6" x14ac:dyDescent="0.35">
      <c r="A19" t="s">
        <v>6934</v>
      </c>
      <c r="B19" s="15" t="s">
        <v>146</v>
      </c>
      <c r="C19" s="15" t="s">
        <v>13</v>
      </c>
      <c r="D19" s="15">
        <v>3.375</v>
      </c>
      <c r="E19" s="15">
        <v>2.5765567393319992</v>
      </c>
      <c r="F19" s="15">
        <v>48319</v>
      </c>
    </row>
    <row r="20" spans="1:6" x14ac:dyDescent="0.35">
      <c r="A20" t="s">
        <v>6935</v>
      </c>
      <c r="B20" t="s">
        <v>243</v>
      </c>
      <c r="C20" t="s">
        <v>13</v>
      </c>
      <c r="D20">
        <v>3.625</v>
      </c>
      <c r="E20">
        <v>0.57926664400140615</v>
      </c>
      <c r="F20">
        <v>46858</v>
      </c>
    </row>
    <row r="21" spans="1:6" x14ac:dyDescent="0.35">
      <c r="A21" t="s">
        <v>6935</v>
      </c>
      <c r="B21" t="s">
        <v>142</v>
      </c>
      <c r="C21" t="s">
        <v>13</v>
      </c>
      <c r="D21">
        <v>3.875</v>
      </c>
      <c r="E21">
        <v>1.2743458745879954</v>
      </c>
      <c r="F21">
        <v>47223</v>
      </c>
    </row>
    <row r="22" spans="1:6" x14ac:dyDescent="0.35">
      <c r="A22" t="s">
        <v>6935</v>
      </c>
      <c r="B22" t="s">
        <v>146</v>
      </c>
      <c r="C22" t="s">
        <v>13</v>
      </c>
      <c r="D22">
        <v>3.375</v>
      </c>
      <c r="E22">
        <v>1.031390681785014</v>
      </c>
      <c r="F22">
        <v>48319</v>
      </c>
    </row>
    <row r="23" spans="1:6" x14ac:dyDescent="0.35">
      <c r="A23" t="s">
        <v>6936</v>
      </c>
      <c r="B23" t="s">
        <v>243</v>
      </c>
      <c r="C23" t="s">
        <v>13</v>
      </c>
      <c r="D23">
        <v>3.625</v>
      </c>
      <c r="E23">
        <v>8.9403898321233939</v>
      </c>
      <c r="F23">
        <v>46858</v>
      </c>
    </row>
    <row r="24" spans="1:6" x14ac:dyDescent="0.35">
      <c r="A24" t="s">
        <v>6936</v>
      </c>
      <c r="B24" t="s">
        <v>142</v>
      </c>
      <c r="C24" t="s">
        <v>13</v>
      </c>
      <c r="D24">
        <v>3.875</v>
      </c>
      <c r="E24">
        <v>7.8035614908469881</v>
      </c>
      <c r="F24">
        <v>47223</v>
      </c>
    </row>
    <row r="25" spans="1:6" x14ac:dyDescent="0.35">
      <c r="A25" t="s">
        <v>6936</v>
      </c>
      <c r="B25" t="s">
        <v>146</v>
      </c>
      <c r="C25" t="s">
        <v>13</v>
      </c>
      <c r="D25">
        <v>3.375</v>
      </c>
      <c r="E25">
        <v>6.0044706735480107</v>
      </c>
      <c r="F25">
        <v>48319</v>
      </c>
    </row>
    <row r="26" spans="1:6" x14ac:dyDescent="0.35">
      <c r="A26" t="s">
        <v>6937</v>
      </c>
      <c r="B26" s="18" t="s">
        <v>243</v>
      </c>
      <c r="C26" s="18" t="s">
        <v>13</v>
      </c>
      <c r="D26" s="18">
        <v>3.625</v>
      </c>
      <c r="E26" s="18">
        <v>4.2907195148567112</v>
      </c>
      <c r="F26" s="18">
        <v>46858</v>
      </c>
    </row>
    <row r="27" spans="1:6" x14ac:dyDescent="0.35">
      <c r="A27" t="s">
        <v>6937</v>
      </c>
      <c r="B27" s="18" t="s">
        <v>142</v>
      </c>
      <c r="C27" s="18" t="s">
        <v>13</v>
      </c>
      <c r="D27" s="18">
        <v>3.875</v>
      </c>
      <c r="E27" s="18">
        <v>4.8729546014649943</v>
      </c>
      <c r="F27" s="18">
        <v>47223</v>
      </c>
    </row>
    <row r="28" spans="1:6" x14ac:dyDescent="0.35">
      <c r="A28" t="s">
        <v>6937</v>
      </c>
      <c r="B28" s="18" t="s">
        <v>146</v>
      </c>
      <c r="C28" s="18" t="s">
        <v>13</v>
      </c>
      <c r="D28" s="18">
        <v>3.375</v>
      </c>
      <c r="E28" s="18">
        <v>5.050023463203015</v>
      </c>
      <c r="F28" s="18">
        <v>48319</v>
      </c>
    </row>
    <row r="29" spans="1:6" x14ac:dyDescent="0.35">
      <c r="B29" s="17" t="s">
        <v>243</v>
      </c>
      <c r="C29" s="17" t="s">
        <v>13</v>
      </c>
      <c r="D29" s="17">
        <v>3.625</v>
      </c>
      <c r="E29" s="17">
        <v>2.745204363410001</v>
      </c>
      <c r="F29" s="17">
        <v>46858</v>
      </c>
    </row>
    <row r="30" spans="1:6" x14ac:dyDescent="0.35">
      <c r="B30" s="17" t="s">
        <v>146</v>
      </c>
      <c r="C30" s="17" t="s">
        <v>13</v>
      </c>
      <c r="D30" s="17">
        <v>3.375</v>
      </c>
      <c r="E30" s="17">
        <v>2.6546310147059979</v>
      </c>
      <c r="F30" s="17">
        <v>48319</v>
      </c>
    </row>
    <row r="31" spans="1:6" x14ac:dyDescent="0.35">
      <c r="B31" s="16" t="s">
        <v>243</v>
      </c>
      <c r="C31" s="16" t="s">
        <v>13</v>
      </c>
      <c r="D31" s="16">
        <v>3.625</v>
      </c>
      <c r="E31" s="16">
        <v>2.3576115477931885</v>
      </c>
      <c r="F31" s="16">
        <v>46858</v>
      </c>
    </row>
    <row r="32" spans="1:6" x14ac:dyDescent="0.35">
      <c r="B32" s="16" t="s">
        <v>142</v>
      </c>
      <c r="C32" s="16" t="s">
        <v>13</v>
      </c>
      <c r="D32" s="16">
        <v>3.875</v>
      </c>
      <c r="E32" s="16">
        <v>3.2204290990829958</v>
      </c>
      <c r="F32" s="16">
        <v>47223</v>
      </c>
    </row>
    <row r="33" spans="2:6" x14ac:dyDescent="0.35">
      <c r="B33" s="16" t="s">
        <v>146</v>
      </c>
      <c r="C33" s="16" t="s">
        <v>13</v>
      </c>
      <c r="D33" s="16">
        <v>3.375</v>
      </c>
      <c r="E33" s="16">
        <v>4.0825530794120004</v>
      </c>
      <c r="F33" s="16">
        <v>48319</v>
      </c>
    </row>
    <row r="34" spans="2:6" x14ac:dyDescent="0.35">
      <c r="B34" s="10" t="s">
        <v>243</v>
      </c>
      <c r="C34" s="10" t="s">
        <v>13</v>
      </c>
      <c r="D34" s="10">
        <v>3.625</v>
      </c>
      <c r="E34" s="10">
        <v>8.6927709950176091</v>
      </c>
      <c r="F34" s="10">
        <v>46858</v>
      </c>
    </row>
    <row r="35" spans="2:6" x14ac:dyDescent="0.35">
      <c r="B35" s="10" t="s">
        <v>142</v>
      </c>
      <c r="C35" s="10" t="s">
        <v>13</v>
      </c>
      <c r="D35" s="10">
        <v>3.875</v>
      </c>
      <c r="E35" s="10">
        <v>5.3088343919419945</v>
      </c>
      <c r="F35" s="10">
        <v>47223</v>
      </c>
    </row>
    <row r="36" spans="2:6" x14ac:dyDescent="0.35">
      <c r="B36" s="11" t="s">
        <v>243</v>
      </c>
      <c r="C36" s="11" t="s">
        <v>13</v>
      </c>
      <c r="D36" s="11">
        <v>3.625</v>
      </c>
      <c r="E36" s="11">
        <v>5.5486500331759956</v>
      </c>
      <c r="F36" s="11">
        <v>46858</v>
      </c>
    </row>
    <row r="37" spans="2:6" x14ac:dyDescent="0.35">
      <c r="B37" s="11" t="s">
        <v>142</v>
      </c>
      <c r="C37" s="11" t="s">
        <v>13</v>
      </c>
      <c r="D37" s="11">
        <v>3.875</v>
      </c>
      <c r="E37" s="11">
        <v>3.6341399646879977</v>
      </c>
      <c r="F37" s="11">
        <v>47223</v>
      </c>
    </row>
    <row r="38" spans="2:6" x14ac:dyDescent="0.35">
      <c r="B38" s="11" t="s">
        <v>146</v>
      </c>
      <c r="C38" s="11" t="s">
        <v>13</v>
      </c>
      <c r="D38" s="11">
        <v>3.375</v>
      </c>
      <c r="E38" s="11">
        <v>2.0194064061159964</v>
      </c>
      <c r="F38" s="11">
        <v>48319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F84FE7-6E6C-4B5B-BE4D-C9CC35981B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BBT3</vt:lpstr>
      <vt:lpstr>QW_Close</vt:lpstr>
      <vt:lpstr>QW_CloseDL</vt:lpstr>
      <vt:lpstr>Comparaison</vt:lpstr>
      <vt:lpstr>Sheet2</vt:lpstr>
      <vt:lpstr>TheDate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2026-06-04T17:29:16Z</dcterms:created>
  <dcterms:modified xsi:type="dcterms:W3CDTF">2026-06-05T18:10:30Z</dcterms:modified>
</cp:coreProperties>
</file>
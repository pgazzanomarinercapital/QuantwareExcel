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nercapital-my.sharepoint.com/personal/pgazzano_marinercapital_com/Documents/Attachments/"/>
    </mc:Choice>
  </mc:AlternateContent>
  <xr:revisionPtr revIDLastSave="1470" documentId="8_{D5AC41B5-B0A9-4002-941A-1D8535AA3FFE}" xr6:coauthVersionLast="47" xr6:coauthVersionMax="47" xr10:uidLastSave="{960AEB21-9D78-411F-9D19-AAF53A55D9EA}"/>
  <bookViews>
    <workbookView xWindow="20880" yWindow="1605" windowWidth="37335" windowHeight="16095" tabRatio="718" xr2:uid="{C448CA47-130C-4FDA-ADE2-BAEF8A55A592}"/>
  </bookViews>
  <sheets>
    <sheet name="USD Curve" sheetId="10" r:id="rId1"/>
  </sheets>
  <definedNames>
    <definedName name="solver_adj" localSheetId="0" hidden="1">'USD Curve'!$D$18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'USD Curve'!$L$1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0" l="1" a="1"/>
  <c r="A2" i="10"/>
  <c r="X15" i="10" l="1" a="1"/>
  <c r="A3" i="10" a="1"/>
  <c r="A3" i="10" s="1"/>
  <c r="X15" i="10" l="1"/>
  <c r="Y15" i="10" s="1" a="1"/>
  <c r="Y15" i="10" s="1"/>
  <c r="Y30" i="10" a="1"/>
  <c r="Y30" i="10" s="1"/>
  <c r="Y29" i="10" a="1"/>
  <c r="Y29" i="10" s="1"/>
  <c r="Y28" i="10" a="1"/>
  <c r="Y28" i="10" s="1"/>
  <c r="Y27" i="10" a="1"/>
  <c r="Y27" i="10" s="1"/>
  <c r="Y26" i="10" a="1"/>
  <c r="Y26" i="10" s="1"/>
  <c r="Y25" i="10" a="1"/>
  <c r="Y25" i="10" s="1"/>
  <c r="Y24" i="10" a="1"/>
  <c r="Y24" i="10" s="1"/>
  <c r="Y23" i="10" a="1"/>
  <c r="Y23" i="10" s="1"/>
  <c r="Y22" i="10" a="1"/>
  <c r="Y22" i="10" s="1"/>
  <c r="Y21" i="10" a="1"/>
  <c r="Y21" i="10" s="1"/>
  <c r="Y20" i="10" a="1"/>
  <c r="Y20" i="10" s="1"/>
  <c r="Y19" i="10" a="1"/>
  <c r="Y19" i="10" s="1"/>
  <c r="Y18" i="10" a="1"/>
  <c r="Y18" i="10" s="1"/>
  <c r="Y17" i="10" a="1"/>
  <c r="Y17" i="10" s="1"/>
  <c r="Y16" i="10" a="1"/>
  <c r="Y16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<sst xmlns="http://schemas.openxmlformats.org/spreadsheetml/2006/main" count="5" uniqueCount="5">
  <si>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>SOFRSWAP</t>
  </si>
  <si>
    <t>EURIBORSWAP</t>
  </si>
  <si>
    <t>qwSwapDiscountCurve($A$2,AH30)</t>
  </si>
  <si>
    <t>qwSwapDis\countCurve($A$2,AH31)</t>
  </si>
  <si>
    <t>qwSwapDiscountCurve($A$2,AH32)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</si>
</sst>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.000000%"/>
    <numFmt numFmtId="166" formatCode="0.0000%"/>
    <numFmt numFmtId="167" formatCode="0.0000"/>
    <numFmt numFmtId="168" formatCode="0.000000000"/>
    <numFmt numFmtId="169" formatCode="0.00000000000"/>
    <numFmt numFmtId="170" formatCode="0.00000%"/>
    <numFmt numFmtId="171" formatCode="0.00000000"/>
    <numFmt numFmtId="172" formatCode="0.00000000%"/>
    <numFmt numFmtId="173" formatCode="_(* #,##0.0_);_(* \(#,##0.0\);_(* &quot;-&quot;??_);_(@_)"/>
    <numFmt numFmtId="174" formatCode="0.000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164" fontId="0" fillId="0" borderId="0" xfId="1" applyNumberFormat="1" applyFont="1"/>
    <xf numFmtId="14" fontId="0" fillId="0" borderId="0" xfId="0" applyNumberFormat="1"/>
    <xf numFmtId="165" fontId="0" fillId="0" borderId="0" xfId="2" applyNumberFormat="1" applyFont="1"/>
    <xf numFmtId="166" fontId="0" fillId="0" borderId="0" xfId="2" applyNumberFormat="1" applyFon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2" applyNumberFormat="1" applyFont="1"/>
    <xf numFmtId="165" fontId="0" fillId="0" borderId="0" xfId="0" applyNumberFormat="1"/>
    <xf numFmtId="171" fontId="0" fillId="0" borderId="0" xfId="0" applyNumberFormat="1"/>
    <xf numFmtId="172" fontId="0" fillId="0" borderId="0" xfId="2" applyNumberFormat="1" applyFont="1"/>
    <xf numFmtId="0" fontId="0" fillId="0" borderId="0" xfId="0" applyAlignment="1">
      <alignment vertical="center" wrapText="1"/>
    </xf>
    <xf numFmtId="173" fontId="0" fillId="0" borderId="0" xfId="1" applyNumberFormat="1" applyFont="1"/>
    <xf numFmtId="165" fontId="0" fillId="0" borderId="0" xfId="2" quotePrefix="1" applyNumberFormat="1" applyFont="1"/>
    <xf numFmtId="174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910FF-84E9-4F22-9626-F1F764E1609F}">
  <dimension ref="A1:AK114"/>
  <sheetViews>
    <sheetView tabSelected="1" zoomScale="70" zoomScaleNormal="70" workbookViewId="0">
      <selection activeCell="Y17" sqref="Y17"/>
    </sheetView>
  </sheetViews>
  <sheetFormatPr defaultRowHeight="15" x14ac:dyDescent="0.25"/>
  <cols>
    <col min="1" max="1" width="14.5703125" bestFit="1" customWidth="1"/>
    <col min="3" max="3" width="10.140625" bestFit="1" customWidth="1"/>
    <col min="4" max="4" width="13.42578125" hidden="1" customWidth="1"/>
    <col min="5" max="5" width="12.85546875" hidden="1" customWidth="1"/>
    <col min="6" max="6" width="11.5703125" hidden="1" customWidth="1"/>
    <col min="7" max="7" width="13.85546875" hidden="1" customWidth="1"/>
    <col min="8" max="8" width="14.28515625" hidden="1" customWidth="1"/>
    <col min="9" max="9" width="9.42578125" bestFit="1" customWidth="1"/>
    <col min="10" max="10" width="12.7109375" bestFit="1" customWidth="1"/>
    <col min="11" max="12" width="12.140625" customWidth="1"/>
    <col min="13" max="13" width="14" hidden="1" customWidth="1"/>
    <col min="14" max="14" width="10.28515625" hidden="1" customWidth="1"/>
    <col min="15" max="15" width="2" hidden="1" customWidth="1"/>
    <col min="16" max="16" width="24.85546875" hidden="1" customWidth="1"/>
    <col min="17" max="17" width="12" hidden="1" customWidth="1"/>
    <col min="18" max="18" width="13.7109375" hidden="1" customWidth="1"/>
    <col min="19" max="19" width="0" hidden="1" customWidth="1"/>
    <col min="20" max="20" width="15" hidden="1" customWidth="1"/>
    <col min="21" max="22" width="0" hidden="1" customWidth="1"/>
    <col min="24" max="24" width="13.85546875" bestFit="1" customWidth="1"/>
    <col min="25" max="25" width="13.140625" bestFit="1" customWidth="1"/>
    <col min="26" max="26" width="20.5703125" bestFit="1" customWidth="1"/>
    <col min="28" max="28" width="10.7109375" bestFit="1" customWidth="1"/>
    <col min="29" max="29" width="21.42578125" bestFit="1" customWidth="1"/>
    <col min="35" max="35" width="10" bestFit="1" customWidth="1"/>
  </cols>
  <sheetData>
    <row r="1" spans="1:29" x14ac:dyDescent="0.25">
      <c r="D1" s="2"/>
    </row>
    <row r="2" spans="1:29" x14ac:dyDescent="0.25">
      <c r="A2" t="str" cm="1">
        <f t="array" ref="A2">_xll.qwCtxTrade()</f>
        <v>ctx.46150.Live</v>
      </c>
    </row>
    <row r="3" spans="1:29" x14ac:dyDescent="0.25">
      <c r="A3" s="2" cm="1">
        <f t="array" ref="A3">_xll.qwCtxDate(A2)</f>
        <v>46150</v>
      </c>
    </row>
    <row r="4" spans="1:29" x14ac:dyDescent="0.25">
      <c r="J4" s="2"/>
    </row>
    <row r="5" spans="1:29" x14ac:dyDescent="0.25">
      <c r="B5" s="4"/>
      <c r="G5" s="3"/>
      <c r="J5" s="2"/>
      <c r="Q5" s="2"/>
    </row>
    <row r="6" spans="1:29" x14ac:dyDescent="0.25">
      <c r="G6" s="4"/>
      <c r="H6" s="1"/>
      <c r="J6" s="2"/>
      <c r="Q6" s="2"/>
      <c r="Y6" s="12"/>
      <c r="Z6" s="11"/>
      <c r="AA6" s="3"/>
    </row>
    <row r="7" spans="1:29" x14ac:dyDescent="0.25">
      <c r="G7" s="5"/>
      <c r="J7" s="2"/>
      <c r="Q7" s="2"/>
      <c r="R7" s="7"/>
      <c r="Z7" s="3"/>
    </row>
    <row r="8" spans="1:29" x14ac:dyDescent="0.25">
      <c r="J8" s="2"/>
      <c r="Q8" s="2"/>
      <c r="Z8" s="3"/>
    </row>
    <row r="9" spans="1:29" x14ac:dyDescent="0.25">
      <c r="J9" s="2"/>
      <c r="Q9" s="2"/>
    </row>
    <row r="10" spans="1:29" x14ac:dyDescent="0.25">
      <c r="J10" s="2"/>
      <c r="Q10" s="2"/>
      <c r="Z10" s="3"/>
    </row>
    <row r="11" spans="1:29" x14ac:dyDescent="0.25">
      <c r="C11" s="2"/>
      <c r="D11" s="2"/>
      <c r="J11" s="2"/>
      <c r="Q11" s="2"/>
      <c r="Z11" s="3"/>
    </row>
    <row r="12" spans="1:29" x14ac:dyDescent="0.25">
      <c r="C12" s="2"/>
      <c r="J12" s="2"/>
      <c r="Q12" s="2"/>
      <c r="X12" t="s">
        <v>0</v>
      </c>
      <c r="Y12" t="s">
        <v>1</v>
      </c>
      <c r="Z12" s="3"/>
    </row>
    <row r="13" spans="1:29" x14ac:dyDescent="0.25">
      <c r="F13" s="6"/>
      <c r="I13" s="2"/>
      <c r="J13" s="2"/>
      <c r="Q13" s="2"/>
      <c r="AC13" s="15"/>
    </row>
    <row r="14" spans="1:29" x14ac:dyDescent="0.25">
      <c r="C14" s="8"/>
      <c r="F14" s="6"/>
      <c r="I14" s="2"/>
      <c r="J14" s="2"/>
      <c r="Q14" s="2"/>
    </row>
    <row r="15" spans="1:29" x14ac:dyDescent="0.25">
      <c r="C15" s="8"/>
      <c r="E15" s="10"/>
      <c r="I15" s="2"/>
      <c r="J15" s="2"/>
      <c r="Q15" s="2"/>
      <c r="X15" t="str" cm="1">
        <f t="array" ref="X15:X44">_xll.qwCurveBenchmarks(A2,X12)</f>
        <v>USOSFR1Z</v>
      </c>
      <c r="Y15" cm="1">
        <f t="array" ref="Y15">_xll.qwYield($A$2,X15,0)</f>
        <v>3.6282349999999998E-2</v>
      </c>
    </row>
    <row r="16" spans="1:29" x14ac:dyDescent="0.25">
      <c r="C16" s="2"/>
      <c r="I16" s="2"/>
      <c r="J16" s="2"/>
      <c r="Q16" s="2"/>
      <c r="X16" t="str">
        <v>USOSFR2Z</v>
      </c>
      <c r="Y16" cm="1">
        <f t="array" ref="Y16">_xll.qwYield($A$2,X16,0)</f>
        <v>3.6237999999999999E-2</v>
      </c>
    </row>
    <row r="17" spans="3:37" x14ac:dyDescent="0.25">
      <c r="I17" s="2"/>
      <c r="J17" s="2"/>
      <c r="Q17" s="2"/>
      <c r="X17" t="str">
        <v>USOSFR3Z</v>
      </c>
      <c r="Y17" cm="1">
        <f t="array" ref="Y17">_xll.qwYield($A$2,X17,0)</f>
        <v>3.6318049999999998E-2</v>
      </c>
    </row>
    <row r="18" spans="3:37" x14ac:dyDescent="0.25">
      <c r="C18" s="2"/>
      <c r="D18" s="8"/>
      <c r="I18" s="2"/>
      <c r="J18" s="2"/>
      <c r="Q18" s="2"/>
      <c r="X18" t="str">
        <v>USOSFRA</v>
      </c>
      <c r="Y18" cm="1">
        <f t="array" ref="Y18">_xll.qwYield($A$2,X18,0)</f>
        <v>3.6326399999999995E-2</v>
      </c>
    </row>
    <row r="19" spans="3:37" x14ac:dyDescent="0.25">
      <c r="C19" s="2"/>
      <c r="D19" s="9"/>
      <c r="I19" s="2"/>
      <c r="J19" s="2"/>
      <c r="Q19" s="2"/>
      <c r="X19" t="str">
        <v>USOSFRB</v>
      </c>
      <c r="Y19" cm="1">
        <f t="array" ref="Y19">_xll.qwYield($A$2,X19,0)</f>
        <v>3.6394249999999996E-2</v>
      </c>
    </row>
    <row r="20" spans="3:37" x14ac:dyDescent="0.25">
      <c r="C20" s="2"/>
      <c r="E20" s="8"/>
      <c r="I20" s="2"/>
      <c r="J20" s="2"/>
      <c r="Q20" s="2"/>
      <c r="X20" t="str">
        <v>USOSFRC</v>
      </c>
      <c r="Y20" cm="1">
        <f t="array" ref="Y20">_xll.qwYield($A$2,X20,0)</f>
        <v>3.6443799999999998E-2</v>
      </c>
    </row>
    <row r="21" spans="3:37" x14ac:dyDescent="0.25">
      <c r="C21" s="2"/>
      <c r="I21" s="2"/>
      <c r="J21" s="2"/>
      <c r="Q21" s="2"/>
      <c r="X21" t="str">
        <v>USOSFRD</v>
      </c>
      <c r="Y21" cm="1">
        <f t="array" ref="Y21">_xll.qwYield($A$2,X21,0)</f>
        <v>3.6481449999999999E-2</v>
      </c>
    </row>
    <row r="22" spans="3:37" x14ac:dyDescent="0.25">
      <c r="C22" s="2"/>
      <c r="I22" s="2"/>
      <c r="J22" s="2"/>
      <c r="Q22" s="2"/>
      <c r="X22" t="str">
        <v>USOSFRE</v>
      </c>
      <c r="Y22" cm="1">
        <f t="array" ref="Y22">_xll.qwYield($A$2,X22,0)</f>
        <v>3.6544900000000005E-2</v>
      </c>
    </row>
    <row r="23" spans="3:37" x14ac:dyDescent="0.25">
      <c r="C23" s="2"/>
      <c r="I23" s="2"/>
      <c r="J23" s="2"/>
      <c r="Q23" s="2"/>
      <c r="X23" t="str">
        <v>USOSFRF</v>
      </c>
      <c r="Y23" cm="1">
        <f t="array" ref="Y23">_xll.qwYield($A$2,X23,0)</f>
        <v>3.6623250000000003E-2</v>
      </c>
    </row>
    <row r="24" spans="3:37" x14ac:dyDescent="0.25">
      <c r="C24" s="2"/>
      <c r="I24" s="2"/>
      <c r="J24" s="2"/>
      <c r="Q24" s="2"/>
      <c r="X24" t="str">
        <v>USOSFRG</v>
      </c>
      <c r="Y24" cm="1">
        <f t="array" ref="Y24">_xll.qwYield($A$2,X24,0)</f>
        <v>3.6723550000000001E-2</v>
      </c>
    </row>
    <row r="25" spans="3:37" x14ac:dyDescent="0.25">
      <c r="C25" s="2"/>
      <c r="I25" s="2"/>
      <c r="J25" s="2"/>
      <c r="Q25" s="2"/>
      <c r="X25" t="str">
        <v>USOSFRH</v>
      </c>
      <c r="Y25" cm="1">
        <f t="array" ref="Y25">_xll.qwYield($A$2,X25,0)</f>
        <v>3.6852999999999997E-2</v>
      </c>
    </row>
    <row r="26" spans="3:37" x14ac:dyDescent="0.25">
      <c r="C26" s="2"/>
      <c r="I26" s="2"/>
      <c r="J26" s="2"/>
      <c r="Q26" s="2"/>
      <c r="X26" t="str">
        <v>USOSFRI</v>
      </c>
      <c r="Y26" cm="1">
        <f t="array" ref="Y26">_xll.qwYield($A$2,X26,0)</f>
        <v>3.6956749999999997E-2</v>
      </c>
    </row>
    <row r="27" spans="3:37" x14ac:dyDescent="0.25">
      <c r="C27" s="2"/>
      <c r="I27" s="2"/>
      <c r="J27" s="2"/>
      <c r="Q27" s="2"/>
      <c r="X27" t="str">
        <v>USOSFRJ</v>
      </c>
      <c r="Y27" cm="1">
        <f t="array" ref="Y27">_xll.qwYield($A$2,X27,0)</f>
        <v>3.7050100000000002E-2</v>
      </c>
      <c r="AI27" s="3"/>
    </row>
    <row r="28" spans="3:37" x14ac:dyDescent="0.25">
      <c r="C28" s="2"/>
      <c r="I28" s="2"/>
      <c r="J28" s="2"/>
      <c r="Q28" s="2"/>
      <c r="X28" s="3" t="str">
        <v>USOSFRK</v>
      </c>
      <c r="Y28" cm="1">
        <f t="array" ref="Y28">_xll.qwYield($A$2,X28,0)</f>
        <v>3.7173100000000001E-2</v>
      </c>
      <c r="AI28" s="3"/>
    </row>
    <row r="29" spans="3:37" x14ac:dyDescent="0.25">
      <c r="C29" s="2"/>
      <c r="I29" s="2"/>
      <c r="J29" s="2"/>
      <c r="Q29" s="2"/>
      <c r="X29" s="3" t="str">
        <v>USOSFR1</v>
      </c>
      <c r="Y29" cm="1">
        <f t="array" ref="Y29">_xll.qwYield($A$2,X29,0)</f>
        <v>3.7288699999999994E-2</v>
      </c>
      <c r="AI29" s="3"/>
    </row>
    <row r="30" spans="3:37" x14ac:dyDescent="0.25">
      <c r="C30" s="2"/>
      <c r="I30" s="2"/>
      <c r="J30" s="2"/>
      <c r="Q30" s="2"/>
      <c r="X30" s="3" t="str">
        <v>USOSFR1F</v>
      </c>
      <c r="Y30" cm="1">
        <f t="array" ref="Y30">_xll.qwYield($A$2,X30,0)</f>
        <v>3.7339150000000002E-2</v>
      </c>
      <c r="AI30" s="14" t="s">
        <v>2</v>
      </c>
    </row>
    <row r="31" spans="3:37" x14ac:dyDescent="0.25">
      <c r="C31" s="2"/>
      <c r="I31" s="2"/>
      <c r="J31" s="2"/>
      <c r="Q31" s="2"/>
      <c r="X31" s="3" t="str">
        <v>USOSFR2</v>
      </c>
      <c r="Y31" s="3"/>
      <c r="AI31" s="14" t="s">
        <v>3</v>
      </c>
    </row>
    <row r="32" spans="3:37" x14ac:dyDescent="0.25">
      <c r="C32" s="2"/>
      <c r="I32" s="2"/>
      <c r="J32" s="2"/>
      <c r="Q32" s="2"/>
      <c r="X32" s="3" t="str">
        <v>USOSFR3</v>
      </c>
      <c r="Y32" s="3"/>
      <c r="AI32" s="14" t="s">
        <v>4</v>
      </c>
      <c r="AK32" s="2"/>
    </row>
    <row r="33" spans="3:37" x14ac:dyDescent="0.25">
      <c r="C33" s="2"/>
      <c r="I33" s="2"/>
      <c r="J33" s="2"/>
      <c r="Q33" s="2"/>
      <c r="X33" s="3" t="str">
        <v>USOSFR4</v>
      </c>
      <c r="Y33" s="3"/>
      <c r="AI33" s="3"/>
      <c r="AK33" s="2"/>
    </row>
    <row r="34" spans="3:37" x14ac:dyDescent="0.25">
      <c r="C34" s="2"/>
      <c r="I34" s="2"/>
      <c r="J34" s="2"/>
      <c r="Q34" s="2"/>
      <c r="X34" s="3" t="str">
        <v>USOSFR5</v>
      </c>
      <c r="Y34" s="3"/>
      <c r="AI34" s="3"/>
    </row>
    <row r="35" spans="3:37" x14ac:dyDescent="0.25">
      <c r="C35" s="2"/>
      <c r="I35" s="2"/>
      <c r="J35" s="2"/>
      <c r="Q35" s="2"/>
      <c r="X35" s="3" t="str">
        <v>USOSFR6</v>
      </c>
      <c r="Y35" s="3"/>
      <c r="AI35" s="3"/>
    </row>
    <row r="36" spans="3:37" x14ac:dyDescent="0.25">
      <c r="C36" s="2"/>
      <c r="I36" s="2"/>
      <c r="J36" s="2"/>
      <c r="Q36" s="2"/>
      <c r="X36" s="3" t="str">
        <v>USOSFR7</v>
      </c>
      <c r="Y36" s="3"/>
      <c r="AI36" s="3"/>
    </row>
    <row r="37" spans="3:37" x14ac:dyDescent="0.25">
      <c r="C37" s="2"/>
      <c r="I37" s="2"/>
      <c r="J37" s="2"/>
      <c r="Q37" s="2"/>
      <c r="X37" s="3" t="str">
        <v>USOSFR8</v>
      </c>
      <c r="Y37" s="3"/>
      <c r="AI37" s="3"/>
    </row>
    <row r="38" spans="3:37" x14ac:dyDescent="0.25">
      <c r="C38" s="2"/>
      <c r="I38" s="2"/>
      <c r="J38" s="2"/>
      <c r="Q38" s="2"/>
      <c r="X38" s="3" t="str">
        <v>USOSFR9</v>
      </c>
      <c r="Y38" s="3"/>
      <c r="AI38" s="3"/>
    </row>
    <row r="39" spans="3:37" x14ac:dyDescent="0.25">
      <c r="C39" s="2"/>
      <c r="I39" s="2"/>
      <c r="J39" s="2"/>
      <c r="Q39" s="2"/>
      <c r="X39" s="3" t="str">
        <v>USOSFR10</v>
      </c>
      <c r="Y39" s="3"/>
      <c r="Z39" s="8"/>
      <c r="AI39" s="3"/>
    </row>
    <row r="40" spans="3:37" x14ac:dyDescent="0.25">
      <c r="C40" s="2"/>
      <c r="I40" s="2"/>
      <c r="J40" s="2"/>
      <c r="Q40" s="2"/>
      <c r="X40" t="str">
        <v>USOSFR15</v>
      </c>
      <c r="Y40" s="3"/>
      <c r="AI40" s="3"/>
    </row>
    <row r="41" spans="3:37" x14ac:dyDescent="0.25">
      <c r="C41" s="2"/>
      <c r="I41" s="2"/>
      <c r="J41" s="2"/>
      <c r="Q41" s="2"/>
      <c r="X41" t="str">
        <v>USOSFR20</v>
      </c>
      <c r="AI41" s="3"/>
    </row>
    <row r="42" spans="3:37" x14ac:dyDescent="0.25">
      <c r="C42" s="2"/>
      <c r="I42" s="2"/>
      <c r="J42" s="2"/>
      <c r="Q42" s="2"/>
      <c r="X42" t="str">
        <v>USOSFR25</v>
      </c>
      <c r="AI42" s="3"/>
    </row>
    <row r="43" spans="3:37" x14ac:dyDescent="0.25">
      <c r="C43" s="2"/>
      <c r="I43" s="2"/>
      <c r="J43" s="2"/>
      <c r="Q43" s="2"/>
      <c r="X43" t="str">
        <v>USOSFR30</v>
      </c>
      <c r="AI43" s="3"/>
    </row>
    <row r="44" spans="3:37" x14ac:dyDescent="0.25">
      <c r="C44" s="2"/>
      <c r="I44" s="2"/>
      <c r="J44" s="2"/>
      <c r="Q44" s="2"/>
      <c r="X44" t="str">
        <v>USOSFR40</v>
      </c>
      <c r="AI44" s="3"/>
    </row>
    <row r="45" spans="3:37" x14ac:dyDescent="0.25">
      <c r="C45" s="2"/>
      <c r="I45" s="2"/>
      <c r="J45" s="2"/>
      <c r="Q45" s="2"/>
      <c r="AI45" s="3"/>
    </row>
    <row r="46" spans="3:37" x14ac:dyDescent="0.25">
      <c r="C46" s="2"/>
      <c r="I46" s="2"/>
      <c r="J46" s="2"/>
      <c r="Q46" s="2"/>
      <c r="AI46" s="3"/>
    </row>
    <row r="47" spans="3:37" x14ac:dyDescent="0.25">
      <c r="C47" s="2"/>
      <c r="I47" s="2"/>
      <c r="J47" s="2"/>
      <c r="Q47" s="2"/>
      <c r="Y47" s="8"/>
      <c r="AI47" s="3"/>
    </row>
    <row r="48" spans="3:37" x14ac:dyDescent="0.25">
      <c r="C48" s="2"/>
      <c r="I48" s="2"/>
      <c r="J48" s="2"/>
      <c r="Q48" s="2"/>
      <c r="Y48" s="8"/>
      <c r="AI48" s="3"/>
    </row>
    <row r="49" spans="3:35" x14ac:dyDescent="0.25">
      <c r="C49" s="2"/>
      <c r="I49" s="2"/>
      <c r="J49" s="2"/>
      <c r="Q49" s="2"/>
      <c r="AI49" s="3"/>
    </row>
    <row r="50" spans="3:35" x14ac:dyDescent="0.25">
      <c r="C50" s="2"/>
      <c r="I50" s="2"/>
      <c r="J50" s="2"/>
      <c r="Q50" s="2"/>
      <c r="AI50" s="3"/>
    </row>
    <row r="51" spans="3:35" x14ac:dyDescent="0.25">
      <c r="C51" s="2"/>
      <c r="I51" s="2"/>
      <c r="J51" s="2"/>
      <c r="Q51" s="2"/>
      <c r="AI51" s="13"/>
    </row>
    <row r="52" spans="3:35" x14ac:dyDescent="0.25">
      <c r="C52" s="2"/>
      <c r="I52" s="2"/>
      <c r="J52" s="2"/>
      <c r="Q52" s="2"/>
      <c r="AI52" s="3"/>
    </row>
    <row r="53" spans="3:35" x14ac:dyDescent="0.25">
      <c r="C53" s="2"/>
      <c r="I53" s="2"/>
      <c r="J53" s="2"/>
      <c r="Q53" s="2"/>
      <c r="AI53" s="3"/>
    </row>
    <row r="54" spans="3:35" x14ac:dyDescent="0.25">
      <c r="C54" s="2"/>
      <c r="I54" s="2"/>
      <c r="J54" s="2"/>
      <c r="Q54" s="2"/>
      <c r="AI54" s="3"/>
    </row>
    <row r="55" spans="3:35" x14ac:dyDescent="0.25">
      <c r="C55" s="2"/>
      <c r="I55" s="2"/>
      <c r="J55" s="2"/>
      <c r="Q55" s="2"/>
      <c r="AI55" s="3"/>
    </row>
    <row r="56" spans="3:35" x14ac:dyDescent="0.25">
      <c r="C56" s="2"/>
      <c r="I56" s="2"/>
      <c r="AI56" s="3"/>
    </row>
    <row r="57" spans="3:35" x14ac:dyDescent="0.25">
      <c r="C57" s="2"/>
      <c r="I57" s="2"/>
      <c r="AI57" s="3"/>
    </row>
    <row r="58" spans="3:35" x14ac:dyDescent="0.25">
      <c r="C58" s="2"/>
      <c r="I58" s="2"/>
      <c r="AI58" s="3"/>
    </row>
    <row r="59" spans="3:35" x14ac:dyDescent="0.25">
      <c r="C59" s="2"/>
      <c r="I59" s="2"/>
    </row>
    <row r="60" spans="3:35" x14ac:dyDescent="0.25">
      <c r="C60" s="2"/>
      <c r="I60" s="2"/>
    </row>
    <row r="61" spans="3:35" x14ac:dyDescent="0.25">
      <c r="C61" s="2"/>
      <c r="I61" s="2"/>
    </row>
    <row r="62" spans="3:35" x14ac:dyDescent="0.25">
      <c r="C62" s="2"/>
      <c r="I62" s="2"/>
    </row>
    <row r="63" spans="3:35" x14ac:dyDescent="0.25">
      <c r="C63" s="2"/>
      <c r="I63" s="2"/>
    </row>
    <row r="64" spans="3:35" x14ac:dyDescent="0.25">
      <c r="C64" s="2"/>
      <c r="I64" s="2"/>
    </row>
    <row r="65" spans="3:3" x14ac:dyDescent="0.25">
      <c r="C65" s="2"/>
    </row>
    <row r="66" spans="3:3" x14ac:dyDescent="0.25">
      <c r="C66" s="2"/>
    </row>
    <row r="67" spans="3:3" x14ac:dyDescent="0.25">
      <c r="C67" s="2"/>
    </row>
    <row r="68" spans="3:3" x14ac:dyDescent="0.25">
      <c r="C68" s="2"/>
    </row>
    <row r="69" spans="3:3" x14ac:dyDescent="0.25">
      <c r="C69" s="2"/>
    </row>
    <row r="70" spans="3:3" x14ac:dyDescent="0.25">
      <c r="C70" s="2"/>
    </row>
    <row r="71" spans="3:3" x14ac:dyDescent="0.25">
      <c r="C71" s="2"/>
    </row>
    <row r="72" spans="3:3" x14ac:dyDescent="0.25">
      <c r="C72" s="2"/>
    </row>
    <row r="73" spans="3:3" x14ac:dyDescent="0.25">
      <c r="C73" s="2"/>
    </row>
    <row r="74" spans="3:3" x14ac:dyDescent="0.25">
      <c r="C74" s="2"/>
    </row>
    <row r="75" spans="3:3" x14ac:dyDescent="0.25">
      <c r="C75" s="2"/>
    </row>
    <row r="76" spans="3:3" x14ac:dyDescent="0.25">
      <c r="C76" s="2"/>
    </row>
    <row r="77" spans="3:3" x14ac:dyDescent="0.25">
      <c r="C77" s="2"/>
    </row>
    <row r="78" spans="3:3" x14ac:dyDescent="0.25">
      <c r="C78" s="2"/>
    </row>
    <row r="79" spans="3:3" x14ac:dyDescent="0.25">
      <c r="C79" s="2"/>
    </row>
    <row r="80" spans="3:3" x14ac:dyDescent="0.25">
      <c r="C80" s="2"/>
    </row>
    <row r="81" spans="3:3" x14ac:dyDescent="0.25">
      <c r="C81" s="2"/>
    </row>
    <row r="82" spans="3:3" x14ac:dyDescent="0.25">
      <c r="C82" s="2"/>
    </row>
    <row r="83" spans="3:3" x14ac:dyDescent="0.25">
      <c r="C83" s="2"/>
    </row>
    <row r="84" spans="3:3" x14ac:dyDescent="0.25">
      <c r="C84" s="2"/>
    </row>
    <row r="85" spans="3:3" x14ac:dyDescent="0.25">
      <c r="C85" s="2"/>
    </row>
    <row r="86" spans="3:3" x14ac:dyDescent="0.25">
      <c r="C86" s="2"/>
    </row>
    <row r="87" spans="3:3" x14ac:dyDescent="0.25">
      <c r="C87" s="2"/>
    </row>
    <row r="88" spans="3:3" x14ac:dyDescent="0.25">
      <c r="C88" s="2"/>
    </row>
    <row r="89" spans="3:3" x14ac:dyDescent="0.25">
      <c r="C89" s="2"/>
    </row>
    <row r="90" spans="3:3" x14ac:dyDescent="0.25">
      <c r="C90" s="2"/>
    </row>
    <row r="91" spans="3:3" x14ac:dyDescent="0.25">
      <c r="C91" s="2"/>
    </row>
    <row r="92" spans="3:3" x14ac:dyDescent="0.25">
      <c r="C92" s="2"/>
    </row>
    <row r="93" spans="3:3" x14ac:dyDescent="0.25">
      <c r="C93" s="2"/>
    </row>
    <row r="94" spans="3:3" x14ac:dyDescent="0.25">
      <c r="C94" s="2"/>
    </row>
    <row r="95" spans="3:3" x14ac:dyDescent="0.25">
      <c r="C95" s="2"/>
    </row>
    <row r="96" spans="3:3" x14ac:dyDescent="0.25">
      <c r="C96" s="2"/>
    </row>
    <row r="97" spans="3:3" x14ac:dyDescent="0.25">
      <c r="C97" s="2"/>
    </row>
    <row r="98" spans="3:3" x14ac:dyDescent="0.25">
      <c r="C98" s="2"/>
    </row>
    <row r="99" spans="3:3" x14ac:dyDescent="0.25">
      <c r="C99" s="2"/>
    </row>
    <row r="100" spans="3:3" x14ac:dyDescent="0.25">
      <c r="C100" s="2"/>
    </row>
    <row r="101" spans="3:3" x14ac:dyDescent="0.25">
      <c r="C101" s="2"/>
    </row>
    <row r="102" spans="3:3" x14ac:dyDescent="0.25">
      <c r="C102" s="2"/>
    </row>
    <row r="103" spans="3:3" x14ac:dyDescent="0.25">
      <c r="C103" s="2"/>
    </row>
    <row r="104" spans="3:3" x14ac:dyDescent="0.25">
      <c r="C104" s="2"/>
    </row>
    <row r="105" spans="3:3" x14ac:dyDescent="0.25">
      <c r="C105" s="2"/>
    </row>
    <row r="106" spans="3:3" x14ac:dyDescent="0.25">
      <c r="C106" s="2"/>
    </row>
    <row r="107" spans="3:3" x14ac:dyDescent="0.25">
      <c r="C107" s="2"/>
    </row>
    <row r="108" spans="3:3" x14ac:dyDescent="0.25">
      <c r="C108" s="2"/>
    </row>
    <row r="109" spans="3:3" x14ac:dyDescent="0.25">
      <c r="C109" s="2"/>
    </row>
    <row r="110" spans="3:3" x14ac:dyDescent="0.25">
      <c r="C110" s="2"/>
    </row>
    <row r="111" spans="3:3" x14ac:dyDescent="0.25">
      <c r="C111" s="2"/>
    </row>
    <row r="112" spans="3:3" x14ac:dyDescent="0.25">
      <c r="C112" s="2"/>
    </row>
    <row r="113" spans="3:3" x14ac:dyDescent="0.25">
      <c r="C113" s="2"/>
    </row>
    <row r="114" spans="3:3" x14ac:dyDescent="0.25">
      <c r="C114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 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Gazzano, Pierre</dc:creator>
  <cp:lastModifiedBy>Gazzano, Pierre</cp:lastModifiedBy>
  <dcterms:created xsi:type="dcterms:W3CDTF">2026-04-22T13:52:02Z</dcterms:created>
  <dcterms:modified xsi:type="dcterms:W3CDTF">2026-05-08T20:02:30Z</dcterms:modified>
</cp:coreProperties>
</file>
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inercapital-my.sharepoint.com/personal/pgazzano_marinercapital_com/Documents/Attachments/"/>
    </mc:Choice>
  </mc:AlternateContent>
  <xr:revisionPtr revIDLastSave="294" documentId="8_{E2F0EF32-DAFA-4EA9-9591-978F043A6A0E}" xr6:coauthVersionLast="47" xr6:coauthVersionMax="47" xr10:uidLastSave="{611C2D78-31EB-4E21-BE3A-3CD17BB9708C}"/>
  <bookViews>
    <workbookView xWindow="38280" yWindow="-120" windowWidth="38640" windowHeight="21840" xr2:uid="{67299944-7FF9-49B4-A72F-BD4B4EE2DA64}"/>
  </bookViews>
  <sheets>
    <sheet name="CPURNSA" sheetId="1" r:id="rId1"/>
  </sheets>
  <definedNames>
    <definedName name="LaggedEOM">CPURNSA!#REF!</definedName>
    <definedName name="LaggedEOMuk">#REF!</definedName>
    <definedName name="spotDate">CPURNSA!#REF!</definedName>
    <definedName name="strippingDate">CPURNSA!#REF!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C4" i="1" l="1" a="1"/>
  <c r="Q30" i="1" a="1"/>
  <c r="Q30" i="1" s="1"/>
  <c r="Q5" i="1" a="1"/>
  <c r="Q5" i="1" s="1"/>
  <c r="Q6" i="1" a="1"/>
  <c r="Q6" i="1" s="1"/>
  <c r="Q7" i="1" a="1"/>
  <c r="Q7" i="1" s="1"/>
  <c r="Q8" i="1" a="1"/>
  <c r="Q8" i="1" s="1"/>
  <c r="Q9" i="1" a="1"/>
  <c r="Q9" i="1" s="1"/>
  <c r="Q10" i="1" a="1"/>
  <c r="Q10" i="1" s="1"/>
  <c r="Q11" i="1" a="1"/>
  <c r="Q11" i="1" s="1"/>
  <c r="Q12" i="1" a="1"/>
  <c r="Q12" i="1" s="1"/>
  <c r="Q13" i="1" a="1"/>
  <c r="Q13" i="1" s="1"/>
  <c r="Q14" i="1" a="1"/>
  <c r="Q14" i="1" s="1"/>
  <c r="Q15" i="1" a="1"/>
  <c r="Q15" i="1" s="1"/>
  <c r="Q16" i="1" a="1"/>
  <c r="Q16" i="1" s="1"/>
  <c r="Q17" i="1" a="1"/>
  <c r="Q17" i="1" s="1"/>
  <c r="Q18" i="1" a="1"/>
  <c r="Q18" i="1" s="1"/>
  <c r="Q19" i="1" a="1"/>
  <c r="Q19" i="1" s="1"/>
  <c r="Q20" i="1" a="1"/>
  <c r="Q20" i="1" s="1"/>
  <c r="Q21" i="1" a="1"/>
  <c r="Q21" i="1" s="1"/>
  <c r="Q22" i="1" a="1"/>
  <c r="Q22" i="1" s="1"/>
  <c r="Q23" i="1" a="1"/>
  <c r="Q23" i="1" s="1"/>
  <c r="Q24" i="1" a="1"/>
  <c r="Q24" i="1" s="1"/>
  <c r="Q25" i="1" a="1"/>
  <c r="Q25" i="1" s="1"/>
  <c r="Q26" i="1" a="1"/>
  <c r="Q26" i="1" s="1"/>
  <c r="Q27" i="1" a="1"/>
  <c r="Q27" i="1" s="1"/>
  <c r="Q28" i="1" a="1"/>
  <c r="Q28" i="1" s="1"/>
  <c r="Q29" i="1" a="1"/>
  <c r="Q29" i="1" s="1"/>
  <c r="Q31" i="1" a="1"/>
  <c r="Q31" i="1" s="1"/>
  <c r="Q32" i="1" a="1"/>
  <c r="Q32" i="1" s="1"/>
  <c r="Q33" i="1" a="1"/>
  <c r="Q33" i="1" s="1"/>
  <c r="Q34" i="1" a="1"/>
  <c r="Q34" i="1" s="1"/>
  <c r="P19" i="1" a="1"/>
  <c r="P19" i="1" s="1"/>
  <c r="P12" i="1" a="1"/>
  <c r="P12" i="1" s="1"/>
  <c r="P26" i="1" a="1"/>
  <c r="P26" i="1" s="1"/>
  <c r="P18" i="1" a="1"/>
  <c r="P18" i="1" s="1"/>
  <c r="P29" i="1" a="1"/>
  <c r="P29" i="1" s="1"/>
  <c r="P5" i="1" a="1"/>
  <c r="P5" i="1" s="1"/>
  <c r="P6" i="1" a="1"/>
  <c r="P6" i="1" s="1"/>
  <c r="P7" i="1" a="1"/>
  <c r="P7" i="1" s="1"/>
  <c r="P8" i="1" a="1"/>
  <c r="P8" i="1" s="1"/>
  <c r="P9" i="1" a="1"/>
  <c r="P9" i="1" s="1"/>
  <c r="P10" i="1" a="1"/>
  <c r="P10" i="1" s="1"/>
  <c r="P11" i="1" a="1"/>
  <c r="P11" i="1" s="1"/>
  <c r="P13" i="1" a="1"/>
  <c r="P13" i="1" s="1"/>
  <c r="P14" i="1" a="1"/>
  <c r="P14" i="1" s="1"/>
  <c r="P15" i="1" a="1"/>
  <c r="P15" i="1" s="1"/>
  <c r="P16" i="1" a="1"/>
  <c r="P16" i="1" s="1"/>
  <c r="P17" i="1" a="1"/>
  <c r="P17" i="1" s="1"/>
  <c r="P20" i="1" a="1"/>
  <c r="P20" i="1" s="1"/>
  <c r="P21" i="1" a="1"/>
  <c r="P21" i="1" s="1"/>
  <c r="P22" i="1" a="1"/>
  <c r="P22" i="1" s="1"/>
  <c r="P23" i="1" a="1"/>
  <c r="P23" i="1" s="1"/>
  <c r="P24" i="1" a="1"/>
  <c r="P24" i="1" s="1"/>
  <c r="P25" i="1" a="1"/>
  <c r="P25" i="1" s="1"/>
  <c r="P27" i="1" a="1"/>
  <c r="P27" i="1" s="1"/>
  <c r="P28" i="1" a="1"/>
  <c r="P28" i="1" s="1"/>
  <c r="N9" i="1" a="1"/>
  <c r="N9" i="1" s="1"/>
  <c r="N5" i="1" a="1"/>
  <c r="N5" i="1" s="1"/>
  <c r="N6" i="1" a="1"/>
  <c r="N6" i="1" s="1"/>
  <c r="N7" i="1" a="1"/>
  <c r="N7" i="1" s="1"/>
  <c r="N8" i="1" a="1"/>
  <c r="N8" i="1" s="1"/>
  <c r="N10" i="1" a="1"/>
  <c r="N10" i="1" s="1"/>
  <c r="N11" i="1" a="1"/>
  <c r="N11" i="1" s="1"/>
  <c r="N12" i="1" a="1"/>
  <c r="N12" i="1" s="1"/>
  <c r="N13" i="1" a="1"/>
  <c r="N13" i="1" s="1"/>
  <c r="N14" i="1" a="1"/>
  <c r="N14" i="1" s="1"/>
  <c r="N15" i="1" a="1"/>
  <c r="N15" i="1" s="1"/>
  <c r="N16" i="1" a="1"/>
  <c r="N16" i="1" s="1"/>
  <c r="N17" i="1" a="1"/>
  <c r="N17" i="1" s="1"/>
  <c r="N18" i="1" a="1"/>
  <c r="N18" i="1" s="1"/>
  <c r="L6" i="1" a="1"/>
  <c r="L6" i="1" s="1"/>
  <c r="L7" i="1" a="1"/>
  <c r="L7" i="1" s="1"/>
  <c r="L8" i="1" a="1"/>
  <c r="L8" i="1" s="1"/>
  <c r="L9" i="1" a="1"/>
  <c r="L9" i="1" s="1"/>
  <c r="L10" i="1" a="1"/>
  <c r="L10" i="1" s="1"/>
  <c r="L11" i="1" a="1"/>
  <c r="L11" i="1" s="1"/>
  <c r="L12" i="1" a="1"/>
  <c r="L12" i="1" s="1"/>
  <c r="L14" i="1" a="1"/>
  <c r="L14" i="1" s="1"/>
  <c r="L15" i="1" a="1"/>
  <c r="L15" i="1" s="1"/>
  <c r="L16" i="1" a="1"/>
  <c r="L16" i="1" s="1"/>
  <c r="L17" i="1" a="1"/>
  <c r="L17" i="1" s="1"/>
  <c r="L18" i="1" a="1"/>
  <c r="L18" i="1" s="1"/>
  <c r="D18" i="1" a="1"/>
  <c r="D18" i="1" s="1"/>
  <c r="D17" i="1" a="1"/>
  <c r="D17" i="1" s="1"/>
  <c r="D5" i="1" a="1"/>
  <c r="D5" i="1" s="1"/>
  <c r="D6" i="1" a="1"/>
  <c r="D6" i="1" s="1"/>
  <c r="D7" i="1" a="1"/>
  <c r="D7" i="1" s="1"/>
  <c r="D8" i="1" a="1"/>
  <c r="D8" i="1" s="1"/>
  <c r="D9" i="1" a="1"/>
  <c r="D9" i="1" s="1"/>
  <c r="D10" i="1" a="1"/>
  <c r="D10" i="1" s="1"/>
  <c r="D11" i="1" a="1"/>
  <c r="D11" i="1" s="1"/>
  <c r="D12" i="1" a="1"/>
  <c r="D12" i="1" s="1"/>
  <c r="D13" i="1" a="1"/>
  <c r="D13" i="1" s="1"/>
  <c r="D14" i="1" a="1"/>
  <c r="D14" i="1" s="1"/>
  <c r="D15" i="1" a="1"/>
  <c r="D15" i="1" s="1"/>
  <c r="D16" i="1" a="1"/>
  <c r="D16" i="1" s="1"/>
  <c r="D19" i="1" a="1"/>
  <c r="D19" i="1" s="1"/>
  <c r="D20" i="1" a="1"/>
  <c r="D20" i="1" s="1"/>
  <c r="D21" i="1" a="1"/>
  <c r="D21" i="1" s="1"/>
  <c r="D22" i="1" a="1"/>
  <c r="D22" i="1" s="1"/>
  <c r="D23" i="1" a="1"/>
  <c r="D23" i="1" s="1"/>
  <c r="D24" i="1" a="1"/>
  <c r="D24" i="1" s="1"/>
  <c r="D25" i="1" a="1"/>
  <c r="D25" i="1" s="1"/>
  <c r="D26" i="1" a="1"/>
  <c r="D26" i="1" s="1"/>
  <c r="D27" i="1" a="1"/>
  <c r="D27" i="1" s="1"/>
  <c r="D28" i="1" a="1"/>
  <c r="D28" i="1" s="1"/>
  <c r="D29" i="1" a="1"/>
  <c r="D29" i="1" s="1"/>
  <c r="G5" i="1" a="1"/>
  <c r="G5" i="1" s="1"/>
  <c r="G6" i="1" a="1"/>
  <c r="G6" i="1" s="1"/>
  <c r="G7" i="1" a="1"/>
  <c r="G7" i="1" s="1"/>
  <c r="G8" i="1" a="1"/>
  <c r="G8" i="1" s="1"/>
  <c r="G9" i="1" a="1"/>
  <c r="G9" i="1" s="1"/>
  <c r="G10" i="1" a="1"/>
  <c r="G10" i="1" s="1"/>
  <c r="G11" i="1" a="1"/>
  <c r="G11" i="1" s="1"/>
  <c r="G12" i="1" a="1"/>
  <c r="G12" i="1" s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 s="1"/>
  <c r="G27" i="1" a="1"/>
  <c r="G27" i="1" s="1"/>
  <c r="G28" i="1" a="1"/>
  <c r="G28" i="1" s="1"/>
  <c r="G29" i="1" a="1"/>
  <c r="G29" i="1" s="1"/>
  <c r="F5" i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E5" i="1" a="1"/>
  <c r="E5" i="1" s="1"/>
  <c r="E6" i="1" a="1"/>
  <c r="E6" i="1" s="1"/>
  <c r="E7" i="1" a="1"/>
  <c r="E7" i="1" s="1"/>
  <c r="E8" i="1" a="1"/>
  <c r="E8" i="1" s="1"/>
  <c r="E9" i="1" a="1"/>
  <c r="E9" i="1" s="1"/>
  <c r="E10" i="1" a="1"/>
  <c r="E10" i="1" s="1"/>
  <c r="E11" i="1" a="1"/>
  <c r="E11" i="1" s="1"/>
  <c r="E12" i="1" a="1"/>
  <c r="E12" i="1" s="1"/>
  <c r="E13" i="1" a="1"/>
  <c r="E13" i="1" s="1"/>
  <c r="E14" i="1" a="1"/>
  <c r="E14" i="1" s="1"/>
  <c r="E15" i="1" a="1"/>
  <c r="E15" i="1" s="1"/>
  <c r="E16" i="1" a="1"/>
  <c r="E16" i="1" s="1"/>
  <c r="E17" i="1" a="1"/>
  <c r="E17" i="1" s="1"/>
  <c r="E18" i="1" a="1"/>
  <c r="E18" i="1" s="1"/>
  <c r="E19" i="1" a="1"/>
  <c r="E19" i="1" s="1"/>
  <c r="E20" i="1" a="1"/>
  <c r="E20" i="1" s="1"/>
  <c r="E21" i="1" a="1"/>
  <c r="E21" i="1" s="1"/>
  <c r="E22" i="1" a="1"/>
  <c r="E22" i="1" s="1"/>
  <c r="E23" i="1" a="1"/>
  <c r="E23" i="1" s="1"/>
  <c r="E24" i="1" a="1"/>
  <c r="E24" i="1" s="1"/>
  <c r="E25" i="1" a="1"/>
  <c r="E25" i="1" s="1"/>
  <c r="E26" i="1" a="1"/>
  <c r="E26" i="1" s="1"/>
  <c r="E27" i="1" a="1"/>
  <c r="E27" i="1" s="1"/>
  <c r="E28" i="1" a="1"/>
  <c r="E28" i="1" s="1"/>
  <c r="E29" i="1" a="1"/>
  <c r="E29" i="1" s="1"/>
  <c r="H22" i="1" a="1"/>
  <c r="H22" i="1" s="1"/>
  <c r="H5" i="1" a="1"/>
  <c r="H5" i="1" s="1"/>
  <c r="H6" i="1" a="1"/>
  <c r="H6" i="1" s="1"/>
  <c r="H7" i="1" a="1"/>
  <c r="H7" i="1" s="1"/>
  <c r="H8" i="1" a="1"/>
  <c r="H8" i="1" s="1"/>
  <c r="H9" i="1" a="1"/>
  <c r="H9" i="1" s="1"/>
  <c r="H10" i="1" a="1"/>
  <c r="H10" i="1" s="1"/>
  <c r="H11" i="1" a="1"/>
  <c r="H11" i="1" s="1"/>
  <c r="H12" i="1" a="1"/>
  <c r="H12" i="1" s="1"/>
  <c r="H13" i="1" a="1"/>
  <c r="H13" i="1" s="1"/>
  <c r="H14" i="1" a="1"/>
  <c r="H14" i="1" s="1"/>
  <c r="H15" i="1" a="1"/>
  <c r="H15" i="1" s="1"/>
  <c r="H16" i="1" a="1"/>
  <c r="H16" i="1" s="1"/>
  <c r="H17" i="1" a="1"/>
  <c r="H17" i="1" s="1"/>
  <c r="H18" i="1" a="1"/>
  <c r="H18" i="1" s="1"/>
  <c r="H19" i="1" a="1"/>
  <c r="H19" i="1" s="1"/>
  <c r="H20" i="1" a="1"/>
  <c r="H20" i="1" s="1"/>
  <c r="H21" i="1" a="1"/>
  <c r="H21" i="1" s="1"/>
  <c r="H23" i="1" a="1"/>
  <c r="H23" i="1" s="1"/>
  <c r="H24" i="1" a="1"/>
  <c r="H24" i="1" s="1"/>
  <c r="H25" i="1" a="1"/>
  <c r="H25" i="1" s="1"/>
  <c r="H26" i="1" a="1"/>
  <c r="H26" i="1" s="1"/>
  <c r="H27" i="1" a="1"/>
  <c r="H27" i="1" s="1"/>
  <c r="H28" i="1" a="1"/>
  <c r="H28" i="1" s="1"/>
  <c r="H29" i="1" a="1"/>
  <c r="H29" i="1" s="1"/>
  <c r="I17" i="1" l="1"/>
  <c r="I21" i="1"/>
  <c r="J28" i="1"/>
  <c r="J8" i="1"/>
  <c r="J14" i="1"/>
  <c r="I28" i="1"/>
  <c r="I20" i="1"/>
  <c r="I5" i="1"/>
  <c r="I12" i="1"/>
  <c r="I9" i="1"/>
  <c r="I10" i="1"/>
  <c r="J12" i="1"/>
  <c r="J23" i="1"/>
  <c r="I23" i="1"/>
  <c r="J9" i="1"/>
  <c r="J10" i="1"/>
  <c r="I29" i="1"/>
  <c r="I8" i="1"/>
  <c r="J13" i="1"/>
  <c r="J18" i="1"/>
  <c r="J17" i="1"/>
  <c r="I13" i="1"/>
  <c r="J5" i="1"/>
  <c r="J29" i="1"/>
  <c r="I18" i="1"/>
  <c r="J21" i="1"/>
  <c r="J20" i="1"/>
  <c r="I6" i="1"/>
  <c r="I14" i="1"/>
  <c r="J6" i="1"/>
  <c r="J15" i="1"/>
  <c r="I25" i="1"/>
  <c r="J19" i="1"/>
  <c r="J27" i="1"/>
  <c r="I7" i="1"/>
  <c r="J16" i="1"/>
  <c r="J26" i="1"/>
  <c r="J11" i="1"/>
  <c r="I11" i="1"/>
  <c r="I27" i="1"/>
  <c r="I19" i="1"/>
  <c r="I26" i="1"/>
  <c r="J7" i="1"/>
  <c r="J25" i="1"/>
  <c r="J22" i="1"/>
  <c r="I15" i="1"/>
  <c r="I16" i="1"/>
  <c r="I24" i="1"/>
  <c r="J24" i="1"/>
  <c r="I22" i="1"/>
  <c r="K26" i="1"/>
  <c r="K17" i="1"/>
  <c r="K24" i="1"/>
  <c r="K16" i="1"/>
  <c r="K11" i="1"/>
  <c r="K29" i="1"/>
  <c r="K13" i="1"/>
  <c r="K12" i="1"/>
  <c r="K9" i="1"/>
  <c r="K7" i="1"/>
  <c r="K21" i="1"/>
  <c r="K28" i="1"/>
  <c r="K27" i="1"/>
  <c r="K14" i="1"/>
  <c r="K8" i="1"/>
  <c r="K15" i="1"/>
  <c r="K6" i="1"/>
  <c r="K22" i="1"/>
  <c r="K5" i="1"/>
  <c r="K23" i="1"/>
  <c r="K25" i="1"/>
  <c r="K19" i="1"/>
  <c r="K20" i="1"/>
  <c r="K18" i="1"/>
  <c r="K10" i="1"/>
  <c r="L29" i="1" a="1"/>
  <c r="L29" i="1" s="1"/>
  <c r="L19" i="1" a="1"/>
  <c r="L19" i="1" s="1"/>
  <c r="N19" i="1" a="1"/>
  <c r="N19" i="1" s="1"/>
  <c r="L20" i="1" a="1"/>
  <c r="L20" i="1" s="1"/>
  <c r="N20" i="1" a="1"/>
  <c r="N20" i="1" s="1"/>
  <c r="L21" i="1" a="1"/>
  <c r="L21" i="1" s="1"/>
  <c r="N21" i="1" a="1"/>
  <c r="N21" i="1" s="1"/>
  <c r="L22" i="1" a="1"/>
  <c r="L22" i="1" s="1"/>
  <c r="N22" i="1" a="1"/>
  <c r="N22" i="1" s="1"/>
  <c r="L23" i="1" a="1"/>
  <c r="L23" i="1" s="1"/>
  <c r="N23" i="1" a="1"/>
  <c r="N23" i="1" s="1"/>
  <c r="L24" i="1" a="1"/>
  <c r="L24" i="1" s="1"/>
  <c r="N24" i="1" a="1"/>
  <c r="N24" i="1" s="1"/>
  <c r="L25" i="1" a="1"/>
  <c r="L25" i="1" s="1"/>
  <c r="N25" i="1" a="1"/>
  <c r="N25" i="1" s="1"/>
  <c r="L26" i="1" a="1"/>
  <c r="L26" i="1" s="1"/>
  <c r="N26" i="1" a="1"/>
  <c r="N26" i="1" s="1"/>
  <c r="L27" i="1" a="1"/>
  <c r="L27" i="1" s="1"/>
  <c r="N27" i="1" a="1"/>
  <c r="N27" i="1" s="1"/>
  <c r="L28" i="1" a="1"/>
  <c r="L28" i="1" s="1"/>
  <c r="N28" i="1" a="1"/>
  <c r="N28" i="1" s="1"/>
  <c r="N29" i="1" a="1"/>
  <c r="N29" i="1" s="1"/>
  <c r="L13" i="1" a="1"/>
  <c r="L13" i="1" s="1"/>
  <c r="L5" i="1" a="1"/>
  <c r="L5" i="1" s="1"/>
  <c r="C4" i="1"/>
  <c r="D4" i="1" a="1"/>
  <c r="D4" i="1" s="1"/>
  <c r="F4" i="1" a="1"/>
  <c r="F4" i="1" s="1"/>
  <c r="E4" i="1" a="1"/>
  <c r="E4" i="1" s="1"/>
  <c r="G4" i="1" a="1"/>
  <c r="G4" i="1" s="1"/>
  <c r="H4" i="1" a="1"/>
  <c r="H4" i="1" s="1"/>
  <c r="L4" i="1" l="1" a="1"/>
  <c r="L4" i="1" s="1"/>
  <c r="J4" i="1"/>
  <c r="I4" i="1"/>
  <c r="K4" i="1"/>
  <c r="Q4" i="1" a="1"/>
  <c r="Q4" i="1" s="1"/>
  <c r="P4" i="1" a="1"/>
  <c r="P4" i="1" s="1"/>
  <c r="N4" i="1" a="1"/>
  <c r="N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<sst xmlns="http://schemas.openxmlformats.org/spreadsheetml/2006/main" count="7" uniqueCount="7">
  <si>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qwEffective</t>
  </si>
  <si>
    <t>qwAsk</t>
  </si>
  <si>
    <t>qwBid</t>
  </si>
  <si>
    <t>qwYield</t>
  </si>
  <si>
    <t>qwTenor</t>
  </si>
  <si>
    <t>qwSwapCashFlowsFixedLeg</t>
  </si>
  <si>
    <t>qwSwapCashFlowsFloatLeg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</si>
</sst>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0000"/>
    <numFmt numFmtId="165" formatCode="_(* #,##0.00000_);_(* \(#,##0.00000\);_(* &quot;-&quot;??_);_(@_)"/>
    <numFmt numFmtId="166" formatCode="[$-F800]dddd\,\ mmmm\ dd\,\ yyyy"/>
    <numFmt numFmtId="167" formatCode="0.000"/>
    <numFmt numFmtId="168" formatCode="0.000000%"/>
    <numFmt numFmtId="169" formatCode="_(* #,##0.00000000_);_(* \(#,##0.00000000\);_(* &quot;-&quot;??_);_(@_)"/>
    <numFmt numFmtId="170" formatCode="_(* #,##0_);_(* \(#,##0\);_(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indexed="9"/>
      <name val="Calibri"/>
      <family val="2"/>
    </font>
    <font>
      <sz val="11"/>
      <color rgb="FFFF0000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0" fontId="4" fillId="2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4" applyNumberFormat="0" applyAlignment="0" applyProtection="0"/>
    <xf numFmtId="0" fontId="14" fillId="8" borderId="5" applyNumberFormat="0" applyAlignment="0" applyProtection="0"/>
    <xf numFmtId="0" fontId="15" fillId="8" borderId="4" applyNumberFormat="0" applyAlignment="0" applyProtection="0"/>
    <xf numFmtId="0" fontId="16" fillId="0" borderId="6" applyNumberFormat="0" applyFill="0" applyAlignment="0" applyProtection="0"/>
    <xf numFmtId="0" fontId="17" fillId="9" borderId="7" applyNumberFormat="0" applyAlignment="0" applyProtection="0"/>
    <xf numFmtId="0" fontId="5" fillId="0" borderId="0" applyNumberFormat="0" applyFill="0" applyBorder="0" applyAlignment="0" applyProtection="0"/>
    <xf numFmtId="0" fontId="1" fillId="10" borderId="8" applyNumberFormat="0" applyFont="0" applyAlignment="0" applyProtection="0"/>
    <xf numFmtId="0" fontId="18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9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9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9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9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9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9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43" fontId="0" fillId="0" borderId="0" xfId="1" applyFont="1"/>
    <xf numFmtId="43" fontId="0" fillId="0" borderId="0" xfId="0" applyNumberFormat="1"/>
    <xf numFmtId="0" fontId="0" fillId="3" borderId="0" xfId="0" applyFill="1"/>
    <xf numFmtId="166" fontId="0" fillId="0" borderId="0" xfId="0" applyNumberFormat="1"/>
    <xf numFmtId="0" fontId="5" fillId="0" borderId="0" xfId="0" applyFont="1"/>
    <xf numFmtId="165" fontId="0" fillId="0" borderId="0" xfId="0" applyNumberFormat="1"/>
    <xf numFmtId="164" fontId="0" fillId="0" borderId="0" xfId="0" applyNumberFormat="1"/>
    <xf numFmtId="165" fontId="5" fillId="0" borderId="0" xfId="0" applyNumberFormat="1" applyFont="1"/>
    <xf numFmtId="167" fontId="5" fillId="0" borderId="0" xfId="0" applyNumberFormat="1" applyFont="1"/>
    <xf numFmtId="22" fontId="0" fillId="0" borderId="0" xfId="0" applyNumberFormat="1"/>
    <xf numFmtId="168" fontId="0" fillId="0" borderId="0" xfId="44" applyNumberFormat="1" applyFont="1"/>
    <xf numFmtId="14" fontId="0" fillId="3" borderId="0" xfId="0" applyNumberFormat="1" applyFill="1"/>
    <xf numFmtId="169" fontId="0" fillId="0" borderId="0" xfId="1" applyNumberFormat="1" applyFont="1"/>
    <xf numFmtId="170" fontId="0" fillId="0" borderId="0" xfId="1" applyNumberFormat="1" applyFont="1"/>
    <xf numFmtId="14" fontId="0" fillId="0" borderId="0" xfId="0" applyNumberFormat="1" applyAlignment="1">
      <alignment horizontal="center"/>
    </xf>
  </cellXfs>
  <cellStyles count="45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blp_column_header" xfId="2" xr:uid="{7E45C141-DC45-44C9-A945-11B318FEE6FC}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44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9/14/2026</v>
        <stp/>
        <stp>BDP|15839404682115176046|22</stp>
        <stp>USSWIT7 Curncy</stp>
        <stp>SWAP_EFFECTIVE_DATE_RT</stp>
        <tr r="K22" s="1"/>
      </tp>
      <tp t="s">
        <v>#N/A N/A</v>
        <stp/>
        <stp>BDP|16823300664420383917</stp>
        <tr r="I28" s="1"/>
      </tp>
      <tp t="s">
        <v>#N/A N/A</v>
        <stp/>
        <stp>BDP|17796553259829473542</stp>
        <tr r="I17" s="1"/>
      </tp>
      <tp t="s">
        <v>9/14/2026</v>
        <stp/>
        <stp>BDP|15107670144009182269|22</stp>
        <stp>USSWIT10 Curncy</stp>
        <stp>SWAP_EFFECTIVE_DATE_RT</stp>
        <tr r="K25" s="1"/>
      </tp>
      <tp t="s">
        <v>#N/A N/A</v>
        <stp/>
        <stp>BDP|13612015264399033752</stp>
        <tr r="J9" s="1"/>
      </tp>
      <tp t="s">
        <v>9/14/2026</v>
        <stp/>
        <stp>BDP|15509379399446345946|22</stp>
        <stp>USSWIT6 Curncy</stp>
        <stp>SWAP_EFFECTIVE_DATE_RT</stp>
        <tr r="K21" s="1"/>
      </tp>
      <tp t="s">
        <v>#N/A N/A</v>
        <stp/>
        <stp>BDP|15985719489993665142</stp>
        <tr r="I9" s="1"/>
      </tp>
      <tp t="s">
        <v>1/1/2026</v>
        <stp/>
        <stp>BDP|18024206404748167547|22</stp>
        <stp>USSWIF10 Curncy</stp>
        <stp>SWAP_EFFECTIVE_DATE_RT</stp>
        <tr r="K6" s="1"/>
      </tp>
      <tp t="s">
        <v>#N/A N/A</v>
        <stp/>
        <stp>BDP|10096235586877124490</stp>
        <tr r="I7" s="1"/>
      </tp>
      <tp t="s">
        <v>#N/A N/A</v>
        <stp/>
        <stp>BDP|14170015680415757018</stp>
        <tr r="J19" s="1"/>
      </tp>
      <tp t="s">
        <v>9/14/2026</v>
        <stp/>
        <stp>BDP|13200305778867781871|22</stp>
        <stp>USSWIT20 Curncy</stp>
        <stp>SWAP_EFFECTIVE_DATE_RT</stp>
        <tr r="K28" s="1"/>
      </tp>
      <tp t="s">
        <v>#N/A N/A</v>
        <stp/>
        <stp>BDP|15405122576505065908</stp>
        <tr r="J4" s="1"/>
      </tp>
      <tp t="s">
        <v>#N/A N/A</v>
        <stp/>
        <stp>BDP|17170955494088651062</stp>
        <tr r="J28" s="1"/>
      </tp>
      <tp t="s">
        <v>#N/A N/A</v>
        <stp/>
        <stp>BDP|13376976025412533562</stp>
        <tr r="J12" s="1"/>
      </tp>
      <tp t="s">
        <v>#N/A N/A</v>
        <stp/>
        <stp>BDP|10201197039248094690</stp>
        <tr r="I13" s="1"/>
      </tp>
      <tp t="s">
        <v>9/14/2026</v>
        <stp/>
        <stp>BDP|15334087793304971024|22</stp>
        <stp>USSWIT12 Curncy</stp>
        <stp>SWAP_EFFECTIVE_DATE_RT</stp>
        <tr r="K26" s="1"/>
      </tp>
      <tp t="s">
        <v>#N/A N/A</v>
        <stp/>
        <stp>BDP|17122786846908926017</stp>
        <tr r="J8" s="1"/>
      </tp>
      <tp t="s">
        <v>#N/A N/A</v>
        <stp/>
        <stp>BDP|15688574989692869788</stp>
        <tr r="J15" s="1"/>
      </tp>
      <tp t="s">
        <v>#N/A N/A</v>
        <stp/>
        <stp>BDP|17348010560575754900</stp>
        <tr r="I21" s="1"/>
      </tp>
      <tp t="s">
        <v>#N/A N/A</v>
        <stp/>
        <stp>BDP|12539778833923851723</stp>
        <tr r="I8" s="1"/>
      </tp>
      <tp t="s">
        <v>#N/A N/A</v>
        <stp/>
        <stp>BDP|16592160652608667810</stp>
        <tr r="I20" s="1"/>
      </tp>
      <tp t="s">
        <v>#N/A N/A</v>
        <stp/>
        <stp>BDP|10431525984949135731</stp>
        <tr r="J18" s="1"/>
      </tp>
      <tp t="s">
        <v>#N/A N/A</v>
        <stp/>
        <stp>BDP|15868782608511683085</stp>
        <tr r="I10" s="1"/>
      </tp>
      <tp t="s">
        <v>#N/A N/A</v>
        <stp/>
        <stp>BDP|12731169093339220353</stp>
        <tr r="I29" s="1"/>
      </tp>
      <tp t="s">
        <v>#N/A N/A</v>
        <stp/>
        <stp>BDP|11165722673805264442</stp>
        <tr r="J13" s="1"/>
      </tp>
      <tp t="s">
        <v>9/1/2026</v>
        <stp/>
        <stp>BDP|11495316686715134876|22</stp>
        <stp>USSWIF6 Curncy</stp>
        <stp>SWAP_EFFECTIVE_DATE_RT</stp>
        <tr r="K14" s="1"/>
      </tp>
      <tp t="s">
        <v>2/1/2026</v>
        <stp/>
        <stp>BDP|15053128436861195786|22</stp>
        <stp>USSWIF11 Curncy</stp>
        <stp>SWAP_EFFECTIVE_DATE_RT</stp>
        <tr r="K7" s="1"/>
      </tp>
      <tp t="s">
        <v>9/14/2026</v>
        <stp/>
        <stp>BDP|12649916801078462940|22</stp>
        <stp>USSWIT2 Curncy</stp>
        <stp>SWAP_EFFECTIVE_DATE_RT</stp>
        <tr r="K17" s="1"/>
      </tp>
      <tp t="s">
        <v>#N/A N/A</v>
        <stp/>
        <stp>BDP|16966155604549938892</stp>
        <tr r="J14" s="1"/>
      </tp>
      <tp t="s">
        <v>#N/A N/A</v>
        <stp/>
        <stp>BDP|14911167774876199256</stp>
        <tr r="J23" s="1"/>
      </tp>
      <tp t="s">
        <v>#N/A N/A</v>
        <stp/>
        <stp>BDP|10200710664763406425</stp>
        <tr r="J27" s="1"/>
      </tp>
      <tp t="s">
        <v>#N/A N/A</v>
        <stp/>
        <stp>BDP|15948321080311984908</stp>
        <tr r="I12" s="1"/>
      </tp>
      <tp t="s">
        <v>#N/A N/A</v>
        <stp/>
        <stp>BDP|14133672355676181691</stp>
        <tr r="I23" s="1"/>
      </tp>
      <tp t="s">
        <v>9/14/2026</v>
        <stp/>
        <stp>BDP|16150296497215818842|22</stp>
        <stp>USSWIT5 Curncy</stp>
        <stp>SWAP_EFFECTIVE_DATE_RT</stp>
        <tr r="K20" s="1"/>
      </tp>
      <tp t="s">
        <v>#N/A N/A</v>
        <stp/>
        <stp>BDP|16484417675794106582</stp>
        <tr r="I5" s="1"/>
      </tp>
      <tp t="s">
        <v>4/1/2026</v>
        <stp/>
        <stp>BDP|12877192853191719630|22</stp>
        <stp>USSWIF1 Curncy</stp>
        <stp>SWAP_EFFECTIVE_DATE_RT</stp>
        <tr r="K9" s="1"/>
      </tp>
      <tp t="s">
        <v>#N/A N/A</v>
        <stp/>
        <stp>BDP|15629013929185250743</stp>
        <tr r="I25" s="1"/>
      </tp>
      <tp t="s">
        <v>9/14/2026</v>
        <stp/>
        <stp>BDP|11285981668759672206|22</stp>
        <stp>USSWIT30 Curncy</stp>
        <stp>SWAP_EFFECTIVE_DATE_RT</stp>
        <tr r="K29" s="1"/>
      </tp>
      <tp t="s">
        <v>#N/A N/A</v>
        <stp/>
        <stp>BDP|12955848023335935850</stp>
        <tr r="J10" s="1"/>
      </tp>
    </main>
    <main first="bofaddin.rtdserver">
      <tp t="s">
        <v>3/1/2026</v>
        <stp/>
        <stp>BDP|9129543431975639621|22</stp>
        <stp>USSWIF12 Curncy</stp>
        <stp>SWAP_EFFECTIVE_DATE_RT</stp>
        <tr r="K8" s="1"/>
      </tp>
      <tp t="s">
        <v>5/1/2026</v>
        <stp/>
        <stp>BDP|903597428535209691|22</stp>
        <stp>USSWIF2 Curncy</stp>
        <stp>SWAP_EFFECTIVE_DATE_RT</stp>
        <tr r="K10" s="1"/>
      </tp>
      <tp t="s">
        <v>#N/A N/A</v>
        <stp/>
        <stp>BDP|1569781952234888993</stp>
        <tr r="J7" s="1"/>
      </tp>
      <tp t="s">
        <v>#N/A N/A</v>
        <stp/>
        <stp>BDP|9382709674166745175</stp>
        <tr r="J17" s="1"/>
      </tp>
      <tp t="s">
        <v>#N/A N/A</v>
        <stp/>
        <stp>BDP|5586141029318235107</stp>
        <tr r="I11" s="1"/>
      </tp>
      <tp t="s">
        <v>#N/A N/A</v>
        <stp/>
        <stp>BDP|7821635165939358110</stp>
        <tr r="I18" s="1"/>
      </tp>
      <tp t="s">
        <v>#N/A N/A</v>
        <stp/>
        <stp>BDP|9762123955212166076</stp>
        <tr r="J26" s="1"/>
      </tp>
      <tp t="s">
        <v>#N/A N/A</v>
        <stp/>
        <stp>BDP|9888060838461771394</stp>
        <tr r="J16" s="1"/>
      </tp>
      <tp t="s">
        <v>#N/A N/A</v>
        <stp/>
        <stp>BDP|4435771694765996413</stp>
        <tr r="I26" s="1"/>
      </tp>
      <tp t="s">
        <v>#N/A N/A</v>
        <stp/>
        <stp>BDP|7491589793132824247</stp>
        <tr r="J21" s="1"/>
      </tp>
      <tp t="s">
        <v>#N/A N/A</v>
        <stp/>
        <stp>BDP|7273482579447089634</stp>
        <tr r="I6" s="1"/>
      </tp>
      <tp t="s">
        <v>#N/A N/A</v>
        <stp/>
        <stp>BDP|4409571100871585532</stp>
        <tr r="I15" s="1"/>
      </tp>
      <tp t="s">
        <v>#N/A N/A</v>
        <stp/>
        <stp>BDP|5599646844690725120</stp>
        <tr r="J6" s="1"/>
      </tp>
      <tp t="s">
        <v>#N/A N/A</v>
        <stp/>
        <stp>BDP|7323562495194409926</stp>
        <tr r="J20" s="1"/>
      </tp>
      <tp t="s">
        <v>#N/A N/A</v>
        <stp/>
        <stp>BDP|5510498631210704517</stp>
        <tr r="I27" s="1"/>
      </tp>
      <tp t="s">
        <v>#N/A N/A</v>
        <stp/>
        <stp>BDP|9026898305143148551</stp>
        <tr r="J5" s="1"/>
      </tp>
      <tp t="s">
        <v>#N/A N/A</v>
        <stp/>
        <stp>BDP|1715692313415242487</stp>
        <tr r="J22" s="1"/>
      </tp>
      <tp t="s">
        <v>#N/A N/A</v>
        <stp/>
        <stp>BDP|7144957155592866969</stp>
        <tr r="I14" s="1"/>
      </tp>
      <tp t="s">
        <v>#N/A N/A</v>
        <stp/>
        <stp>BDP|9013230294690428273</stp>
        <tr r="J11" s="1"/>
      </tp>
      <tp t="s">
        <v>#N/A N/A</v>
        <stp/>
        <stp>BDP|8816274015493202973</stp>
        <tr r="J29" s="1"/>
      </tp>
      <tp t="s">
        <v>#N/A N/A</v>
        <stp/>
        <stp>BDP|8134386539959622001</stp>
        <tr r="I4" s="1"/>
      </tp>
      <tp t="s">
        <v>#N/A N/A</v>
        <stp/>
        <stp>BDP|2465770666370232132</stp>
        <tr r="I24" s="1"/>
      </tp>
      <tp t="s">
        <v>#N/A N/A</v>
        <stp/>
        <stp>BDP|3614236909801232351</stp>
        <tr r="I22" s="1"/>
      </tp>
      <tp t="s">
        <v>#N/A N/A</v>
        <stp/>
        <stp>BDP|3169607923705567144</stp>
        <tr r="J24" s="1"/>
      </tp>
      <tp t="s">
        <v>#N/A N/A</v>
        <stp/>
        <stp>BDP|4981558656002856539</stp>
        <tr r="I19" s="1"/>
      </tp>
      <tp t="s">
        <v>9/14/2026</v>
        <stp/>
        <stp>BDP|690281940562176826|22</stp>
        <stp>USSWIT15 Curncy</stp>
        <stp>SWAP_EFFECTIVE_DATE_RT</stp>
        <tr r="K27" s="1"/>
      </tp>
      <tp t="s">
        <v>11/1/2025</v>
        <stp/>
        <stp>BDP|4207405402146429574|22</stp>
        <stp>USSWIF8 Curncy</stp>
        <stp>SWAP_EFFECTIVE_DATE_RT</stp>
        <tr r="K4" s="1"/>
      </tp>
      <tp t="s">
        <v>#N/A N/A</v>
        <stp/>
        <stp>BDP|531173126430871456</stp>
        <tr r="J25" s="1"/>
      </tp>
      <tp t="s">
        <v>9/14/2026</v>
        <stp/>
        <stp>BDP|3013740911258387627|22</stp>
        <stp>USSWIT8 Curncy</stp>
        <stp>SWAP_EFFECTIVE_DATE_RT</stp>
        <tr r="K23" s="1"/>
      </tp>
      <tp t="s">
        <v>9/14/2026</v>
        <stp/>
        <stp>BDP|3428107901199211957|22</stp>
        <stp>USSWIT1 Curncy</stp>
        <stp>SWAP_EFFECTIVE_DATE_RT</stp>
        <tr r="K15" s="1"/>
      </tp>
      <tp t="s">
        <v>9/14/2026</v>
        <stp/>
        <stp>BDP|3691771147686034604|22</stp>
        <stp>USSWIT4 Curncy</stp>
        <stp>SWAP_EFFECTIVE_DATE_RT</stp>
        <tr r="K19" s="1"/>
      </tp>
      <tp t="s">
        <v>9/14/2026</v>
        <stp/>
        <stp>BDP|1295632836651254061|22</stp>
        <stp>USSWIT3 Curncy</stp>
        <stp>SWAP_EFFECTIVE_DATE_RT</stp>
        <tr r="K18" s="1"/>
      </tp>
      <tp t="s">
        <v>9/14/2026</v>
        <stp/>
        <stp>BDP|7982064937906101279|22</stp>
        <stp>USSWIT9 Curncy</stp>
        <stp>SWAP_EFFECTIVE_DATE_RT</stp>
        <tr r="K24" s="1"/>
      </tp>
      <tp t="s">
        <v>#N/A N/A</v>
        <stp/>
        <stp>BDP|487608147160746983</stp>
        <tr r="I16" s="1"/>
      </tp>
      <tp t="s">
        <v>12/1/2025</v>
        <stp/>
        <stp>BDP|3701838488086202223|22</stp>
        <stp>USSWIF9 Curncy</stp>
        <stp>SWAP_EFFECTIVE_DATE_RT</stp>
        <tr r="K5" s="1"/>
      </tp>
      <tp t="s">
        <v>8/1/2026</v>
        <stp/>
        <stp>BDP|8239038693000518075|22</stp>
        <stp>USSWIF5 Curncy</stp>
        <stp>SWAP_EFFECTIVE_DATE_RT</stp>
        <tr r="K13" s="1"/>
      </tp>
      <tp t="s">
        <v>10/1/2026</v>
        <stp/>
        <stp>BDP|9561094173690841543|22</stp>
        <stp>USSWIF7 Curncy</stp>
        <stp>SWAP_EFFECTIVE_DATE_RT</stp>
        <tr r="K16" s="1"/>
      </tp>
      <tp t="s">
        <v>6/1/2026</v>
        <stp/>
        <stp>BDP|9158504087751232435|22</stp>
        <stp>USSWIF3 Curncy</stp>
        <stp>SWAP_EFFECTIVE_DATE_RT</stp>
        <tr r="K11" s="1"/>
      </tp>
      <tp t="s">
        <v>7/1/2026</v>
        <stp/>
        <stp>BDP|5771426158732892451|22</stp>
        <stp>USSWIF4 Curncy</stp>
        <stp>SWAP_EFFECTIVE_DATE_RT</stp>
        <tr r="K12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3DA2B-B009-413B-B470-30E482D4C08C}">
  <dimension ref="B1:T210"/>
  <sheetViews>
    <sheetView tabSelected="1" topLeftCell="B1" zoomScaleNormal="100" workbookViewId="0">
      <selection activeCell="Q15" sqref="Q15"/>
    </sheetView>
  </sheetViews>
  <sheetFormatPr defaultRowHeight="15" x14ac:dyDescent="0.25"/>
  <cols>
    <col min="1" max="1" width="4.5703125" bestFit="1" customWidth="1"/>
    <col min="2" max="3" width="9.5703125" bestFit="1" customWidth="1"/>
    <col min="4" max="4" width="20.42578125" bestFit="1" customWidth="1"/>
    <col min="5" max="5" width="10.85546875" style="1" bestFit="1" customWidth="1"/>
    <col min="6" max="7" width="25.5703125" customWidth="1"/>
    <col min="8" max="8" width="32" bestFit="1" customWidth="1"/>
    <col min="9" max="9" width="26.42578125" bestFit="1" customWidth="1"/>
    <col min="10" max="10" width="16.42578125" customWidth="1"/>
    <col min="11" max="11" width="9.42578125" style="1" bestFit="1" customWidth="1"/>
    <col min="12" max="12" width="10.42578125" style="1" bestFit="1" customWidth="1"/>
    <col min="13" max="13" width="16.42578125" customWidth="1"/>
    <col min="14" max="14" width="16.42578125" style="1" customWidth="1"/>
    <col min="15" max="15" width="12.5703125" customWidth="1"/>
    <col min="16" max="16" width="16.42578125" style="15" customWidth="1"/>
    <col min="17" max="18" width="16.42578125" customWidth="1"/>
    <col min="19" max="19" width="11.5703125" style="2" bestFit="1" customWidth="1"/>
    <col min="20" max="20" width="12" style="1" bestFit="1" customWidth="1"/>
    <col min="21" max="21" width="11.85546875" customWidth="1"/>
  </cols>
  <sheetData>
    <row r="1" spans="2:17" x14ac:dyDescent="0.25">
      <c r="B1" t="str">
        <f>_xll.qwCtxTrade()</f>
        <v>ctx.46276.Live</v>
      </c>
      <c r="O1" s="3"/>
    </row>
    <row r="3" spans="2:17" x14ac:dyDescent="0.25">
      <c r="D3" t="s">
        <v>4</v>
      </c>
      <c r="E3" s="1" t="s">
        <v>0</v>
      </c>
      <c r="F3" t="s">
        <v>1</v>
      </c>
      <c r="G3" t="s">
        <v>2</v>
      </c>
      <c r="H3" t="s">
        <v>3</v>
      </c>
      <c r="I3" s="1"/>
      <c r="L3" s="16" t="s">
        <v>5</v>
      </c>
      <c r="M3" s="16"/>
      <c r="N3" s="16" t="s">
        <v>6</v>
      </c>
      <c r="O3" s="16"/>
    </row>
    <row r="4" spans="2:17" x14ac:dyDescent="0.25">
      <c r="C4" t="str" cm="1">
        <f t="array" ref="C4:C29">_xll.qwCurveBenchmarks(B1,"CPURNSA")</f>
        <v>USSWIF8</v>
      </c>
      <c r="D4" t="str" cm="1">
        <f t="array" ref="D4">_xll.qwTenor($B$1,C4)</f>
        <v>Nov26</v>
      </c>
      <c r="E4" s="1" cm="1">
        <f t="array" ref="E4">_xll.qwEffective($B$1,C4)</f>
        <v>45962</v>
      </c>
      <c r="F4" cm="1">
        <f t="array" ref="F4">_xll.qwAsk($B$1,C4)</f>
        <v>3.4340480000000002</v>
      </c>
      <c r="G4" cm="1">
        <f t="array" ref="G4">_xll.qwBid($B$1,C4)</f>
        <v>3.4319529999999996</v>
      </c>
      <c r="H4" s="12" cm="1">
        <f t="array" ref="H4">_xll.qwYield($B$1,C4)</f>
        <v>0.23957468118730696</v>
      </c>
      <c r="I4" s="4">
        <f>_xll.BDP(_xll.qwBlmID($B$1,C4), "PX_LAST")</f>
        <v>343.3</v>
      </c>
      <c r="J4" s="4" t="str">
        <f>_xll.BDP(_xll.qwBlmID($B$1,C4), "MATURITY")</f>
        <v>11/1/2026</v>
      </c>
      <c r="K4" s="13">
        <f>DATEVALUE(_xll.BDP(_xll.qwBlmID($B$1,C4), "SWAP_EFFECTIVE_DATE_RT"))</f>
        <v>45962</v>
      </c>
      <c r="L4" s="1" cm="1">
        <f t="array" ref="L4:M4">_xll.qwSwapCashFlowsFixedLeg($B$1,C4)</f>
        <v>46328</v>
      </c>
      <c r="M4" s="14">
        <v>414.18240775950164</v>
      </c>
      <c r="N4" s="1" cm="1">
        <f t="array" ref="N4:O4">_xll.qwSwapCashFlowsFloatLeg($B$1,C4)</f>
        <v>46328</v>
      </c>
      <c r="O4" s="7">
        <v>343.30005</v>
      </c>
      <c r="P4" s="15" cm="1">
        <f t="array" ref="P4">_xll.qwCurvePrice($B$1,"SofrSwap",C4)</f>
        <v>70.516365388511048</v>
      </c>
      <c r="Q4" t="e" cm="1">
        <f t="array" ref="Q4">_xll.qwDV01($B$1,C4)</f>
        <v>#NUM!</v>
      </c>
    </row>
    <row r="5" spans="2:17" x14ac:dyDescent="0.25">
      <c r="C5" t="str">
        <v>USSWIF9</v>
      </c>
      <c r="D5" t="str" cm="1">
        <f t="array" ref="D5">_xll.qwTenor($B$1,C5)</f>
        <v>Dec26</v>
      </c>
      <c r="E5" s="1" cm="1">
        <f t="array" ref="E5">_xll.qwEffective($B$1,C5)</f>
        <v>45992</v>
      </c>
      <c r="F5" cm="1">
        <f t="array" ref="F5">_xll.qwAsk($B$1,C5)</f>
        <v>3.3654270000000004</v>
      </c>
      <c r="G5" cm="1">
        <f t="array" ref="G5">_xll.qwBid($B$1,C5)</f>
        <v>3.3633739999999999</v>
      </c>
      <c r="H5" s="12" cm="1">
        <f t="array" ref="H5">_xll.qwYield($B$1,C5)</f>
        <v>3.6045253337349203E-2</v>
      </c>
      <c r="I5" s="4">
        <f>_xll.BDP(_xll.qwBlmID($B$1,C5), "PX_LAST")</f>
        <v>336.44</v>
      </c>
      <c r="J5" s="4" t="str">
        <f>_xll.BDP(_xll.qwBlmID($B$1,C5), "MATURITY")</f>
        <v>12/1/2026</v>
      </c>
      <c r="K5" s="13">
        <f>DATEVALUE(_xll.BDP(_xll.qwBlmID($B$1,C5), "SWAP_EFFECTIVE_DATE_RT"))</f>
        <v>45992</v>
      </c>
      <c r="L5" s="1" cm="1">
        <f t="array" ref="L5:M5">_xll.qwSwapCashFlowsFixedLeg($B$1,C5)</f>
        <v>46357</v>
      </c>
      <c r="M5" s="14">
        <v>345.972942404344</v>
      </c>
      <c r="N5" s="1" cm="1">
        <f t="array" ref="N5:O5">_xll.qwSwapCashFlowsFloatLeg($B$1,C5)</f>
        <v>46357</v>
      </c>
      <c r="O5" s="7">
        <v>336.44005000000004</v>
      </c>
      <c r="P5" s="15" cm="1">
        <f t="array" ref="P5">_xll.qwCurvePrice($B$1,"SofrSwap",C5)</f>
        <v>9.4533053514008607</v>
      </c>
      <c r="Q5" t="e" cm="1">
        <f t="array" ref="Q5">_xll.qwDV01($B$1,C5)</f>
        <v>#NUM!</v>
      </c>
    </row>
    <row r="6" spans="2:17" x14ac:dyDescent="0.25">
      <c r="C6" t="str">
        <v>USSWIF10</v>
      </c>
      <c r="D6" t="str" cm="1">
        <f t="array" ref="D6">_xll.qwTenor($B$1,C6)</f>
        <v>Jan27</v>
      </c>
      <c r="E6" s="1" cm="1">
        <f t="array" ref="E6">_xll.qwEffective($B$1,C6)</f>
        <v>46023</v>
      </c>
      <c r="F6" cm="1">
        <f t="array" ref="F6">_xll.qwAsk($B$1,C6)</f>
        <v>3.367629</v>
      </c>
      <c r="G6" cm="1">
        <f t="array" ref="G6">_xll.qwBid($B$1,C6)</f>
        <v>3.3655710000000001</v>
      </c>
      <c r="H6" s="12" cm="1">
        <f t="array" ref="H6">_xll.qwYield($B$1,C6)</f>
        <v>2.7835710973576067E-2</v>
      </c>
      <c r="I6" s="4">
        <f>_xll.BDP(_xll.qwBlmID($B$1,C6), "PX_LAST")</f>
        <v>336.66</v>
      </c>
      <c r="J6" s="4" t="str">
        <f>_xll.BDP(_xll.qwBlmID($B$1,C6), "MATURITY")</f>
        <v>1/1/2027</v>
      </c>
      <c r="K6" s="13">
        <f>DATEVALUE(_xll.BDP(_xll.qwBlmID($B$1,C6), "SWAP_EFFECTIVE_DATE_RT"))</f>
        <v>46023</v>
      </c>
      <c r="L6" s="1" cm="1">
        <f t="array" ref="L6:M6">_xll.qwSwapCashFlowsFixedLeg($B$1,C6)</f>
        <v>46391</v>
      </c>
      <c r="M6" s="14">
        <v>343.30894206671218</v>
      </c>
      <c r="N6" s="1" cm="1">
        <f t="array" ref="N6:O6">_xll.qwSwapCashFlowsFloatLeg($B$1,C6)</f>
        <v>46391</v>
      </c>
      <c r="O6" s="7">
        <v>336.66</v>
      </c>
      <c r="P6" s="15" cm="1">
        <f t="array" ref="P6">_xll.qwCurvePrice($B$1,"SofrSwap",C6)</f>
        <v>6.5678982212186039</v>
      </c>
      <c r="Q6" t="e" cm="1">
        <f t="array" ref="Q6">_xll.qwDV01($B$1,C6)</f>
        <v>#NUM!</v>
      </c>
    </row>
    <row r="7" spans="2:17" x14ac:dyDescent="0.25">
      <c r="C7" t="str">
        <v>USSWIF11</v>
      </c>
      <c r="D7" t="str" cm="1">
        <f t="array" ref="D7">_xll.qwTenor($B$1,C7)</f>
        <v>Feb27</v>
      </c>
      <c r="E7" s="1" cm="1">
        <f t="array" ref="E7">_xll.qwEffective($B$1,C7)</f>
        <v>46054</v>
      </c>
      <c r="F7" cm="1">
        <f t="array" ref="F7">_xll.qwAsk($B$1,C7)</f>
        <v>3.3619289999999999</v>
      </c>
      <c r="G7" cm="1">
        <f t="array" ref="G7">_xll.qwBid($B$1,C7)</f>
        <v>3.3598710000000001</v>
      </c>
      <c r="H7" s="12" cm="1">
        <f t="array" ref="H7">_xll.qwYield($B$1,C7)</f>
        <v>1.7025836311851839E-2</v>
      </c>
      <c r="I7" s="4">
        <f>_xll.BDP(_xll.qwBlmID($B$1,C7), "PX_LAST")</f>
        <v>336.09</v>
      </c>
      <c r="J7" s="4" t="str">
        <f>_xll.BDP(_xll.qwBlmID($B$1,C7), "MATURITY")</f>
        <v>2/1/2027</v>
      </c>
      <c r="K7" s="13">
        <f>DATEVALUE(_xll.BDP(_xll.qwBlmID($B$1,C7), "SWAP_EFFECTIVE_DATE_RT"))</f>
        <v>46054</v>
      </c>
      <c r="L7" s="1" cm="1">
        <f t="array" ref="L7:M7">_xll.qwSwapCashFlowsFixedLeg($B$1,C7)</f>
        <v>46419</v>
      </c>
      <c r="M7" s="14">
        <v>339.62167188799327</v>
      </c>
      <c r="N7" s="1" cm="1">
        <f t="array" ref="N7:O7">_xll.qwSwapCashFlowsFloatLeg($B$1,C7)</f>
        <v>46419</v>
      </c>
      <c r="O7" s="7">
        <v>336.09</v>
      </c>
      <c r="P7" s="15" cm="1">
        <f t="array" ref="P7">_xll.qwCurvePrice($B$1,"SofrSwap",C7)</f>
        <v>3.4772714158171825</v>
      </c>
      <c r="Q7" t="e" cm="1">
        <f t="array" ref="Q7">_xll.qwDV01($B$1,C7)</f>
        <v>#NUM!</v>
      </c>
    </row>
    <row r="8" spans="2:17" x14ac:dyDescent="0.25">
      <c r="C8" t="str">
        <v>USSWIF12</v>
      </c>
      <c r="D8" t="str" cm="1">
        <f t="array" ref="D8">_xll.qwTenor($B$1,C8)</f>
        <v>Mar27</v>
      </c>
      <c r="E8" s="1" cm="1">
        <f t="array" ref="E8">_xll.qwEffective($B$1,C8)</f>
        <v>46082</v>
      </c>
      <c r="F8" cm="1">
        <f t="array" ref="F8">_xll.qwAsk($B$1,C8)</f>
        <v>3.3612299999999999</v>
      </c>
      <c r="G8" cm="1">
        <f t="array" ref="G8">_xll.qwBid($B$1,C8)</f>
        <v>3.3591629999999997</v>
      </c>
      <c r="H8" s="12" cm="1">
        <f t="array" ref="H8">_xll.qwYield($B$1,C8)</f>
        <v>1.3687201163004037E-2</v>
      </c>
      <c r="I8" s="4">
        <f>_xll.BDP(_xll.qwBlmID($B$1,C8), "PX_LAST")</f>
        <v>336.0197</v>
      </c>
      <c r="J8" s="4" t="str">
        <f>_xll.BDP(_xll.qwBlmID($B$1,C8), "MATURITY")</f>
        <v>3/1/2027</v>
      </c>
      <c r="K8" s="13">
        <f>DATEVALUE(_xll.BDP(_xll.qwBlmID($B$1,C8), "SWAP_EFFECTIVE_DATE_RT"))</f>
        <v>46082</v>
      </c>
      <c r="L8" s="1" cm="1">
        <f t="array" ref="L8:M8">_xll.qwSwapCashFlowsFixedLeg($B$1,C8)</f>
        <v>46447</v>
      </c>
      <c r="M8" s="14">
        <v>338.50678098690508</v>
      </c>
      <c r="N8" s="1" cm="1">
        <f t="array" ref="N8:O8">_xll.qwSwapCashFlowsFloatLeg($B$1,C8)</f>
        <v>46447</v>
      </c>
      <c r="O8" s="7">
        <v>336.01964999999996</v>
      </c>
      <c r="P8" s="15" cm="1">
        <f t="array" ref="P8">_xll.qwCurvePrice($B$1,"SofrSwap",C8)</f>
        <v>2.4407984348266525</v>
      </c>
      <c r="Q8" t="e" cm="1">
        <f t="array" ref="Q8">_xll.qwDV01($B$1,C8)</f>
        <v>#NUM!</v>
      </c>
    </row>
    <row r="9" spans="2:17" x14ac:dyDescent="0.25">
      <c r="C9" t="str">
        <v>USSWIF1</v>
      </c>
      <c r="D9" t="str" cm="1">
        <f t="array" ref="D9">_xll.qwTenor($B$1,C9)</f>
        <v>Apr27</v>
      </c>
      <c r="E9" s="1" cm="1">
        <f t="array" ref="E9">_xll.qwEffective($B$1,C9)</f>
        <v>46113</v>
      </c>
      <c r="F9" cm="1">
        <f t="array" ref="F9">_xll.qwAsk($B$1,C9)</f>
        <v>3.372744</v>
      </c>
      <c r="G9" cm="1">
        <f t="array" ref="G9">_xll.qwBid($B$1,C9)</f>
        <v>3.3707060000000002</v>
      </c>
      <c r="H9" s="12" cm="1">
        <f t="array" ref="H9">_xll.qwYield($B$1,C9)</f>
        <v>1.7938781093302714E-2</v>
      </c>
      <c r="I9" s="4">
        <f>_xll.BDP(_xll.qwBlmID($B$1,C9), "PX_LAST")</f>
        <v>337.17250000000001</v>
      </c>
      <c r="J9" s="4" t="str">
        <f>_xll.BDP(_xll.qwBlmID($B$1,C9), "MATURITY")</f>
        <v>4/1/2027</v>
      </c>
      <c r="K9" s="13">
        <f>DATEVALUE(_xll.BDP(_xll.qwBlmID($B$1,C9), "SWAP_EFFECTIVE_DATE_RT"))</f>
        <v>46113</v>
      </c>
      <c r="L9" s="1" cm="1">
        <f t="array" ref="L9:M9">_xll.qwSwapCashFlowsFixedLeg($B$1,C9)</f>
        <v>46478</v>
      </c>
      <c r="M9" s="14">
        <v>339.92653713521469</v>
      </c>
      <c r="N9" s="1" cm="1">
        <f t="array" ref="N9:O9">_xll.qwSwapCashFlowsFloatLeg($B$1,C9)</f>
        <v>46478</v>
      </c>
      <c r="O9" s="7">
        <v>337.17250000000001</v>
      </c>
      <c r="P9" s="15" cm="1">
        <f t="array" ref="P9">_xll.qwCurvePrice($B$1,"SofrSwap",C9)</f>
        <v>2.6927306769101635</v>
      </c>
      <c r="Q9" t="e" cm="1">
        <f t="array" ref="Q9">_xll.qwDV01($B$1,C9)</f>
        <v>#NUM!</v>
      </c>
    </row>
    <row r="10" spans="2:17" x14ac:dyDescent="0.25">
      <c r="C10" t="str">
        <v>USSWIF2</v>
      </c>
      <c r="D10" t="str" cm="1">
        <f t="array" ref="D10">_xll.qwTenor($B$1,C10)</f>
        <v>May27</v>
      </c>
      <c r="E10" s="1" cm="1">
        <f t="array" ref="E10">_xll.qwEffective($B$1,C10)</f>
        <v>46143</v>
      </c>
      <c r="F10" cm="1">
        <f t="array" ref="F10">_xll.qwAsk($B$1,C10)</f>
        <v>3.383928</v>
      </c>
      <c r="G10" cm="1">
        <f t="array" ref="G10">_xll.qwBid($B$1,C10)</f>
        <v>3.3818730000000001</v>
      </c>
      <c r="H10" s="12" cm="1">
        <f t="array" ref="H10">_xll.qwYield($B$1,C10)</f>
        <v>2.0954148136459017E-2</v>
      </c>
      <c r="I10" s="4">
        <f>_xll.BDP(_xll.qwBlmID($B$1,C10), "PX_LAST")</f>
        <v>338.29</v>
      </c>
      <c r="J10" s="4" t="str">
        <f>_xll.BDP(_xll.qwBlmID($B$1,C10), "MATURITY")</f>
        <v>5/1/2027</v>
      </c>
      <c r="K10" s="13">
        <f>DATEVALUE(_xll.BDP(_xll.qwBlmID($B$1,C10), "SWAP_EFFECTIVE_DATE_RT"))</f>
        <v>46143</v>
      </c>
      <c r="L10" s="1" cm="1">
        <f t="array" ref="L10:M10">_xll.qwSwapCashFlowsFixedLeg($B$1,C10)</f>
        <v>46510</v>
      </c>
      <c r="M10" s="14">
        <v>340.97211403618206</v>
      </c>
      <c r="N10" s="1" cm="1">
        <f t="array" ref="N10:O10">_xll.qwSwapCashFlowsFloatLeg($B$1,C10)</f>
        <v>46510</v>
      </c>
      <c r="O10" s="7">
        <v>338.29005000000001</v>
      </c>
      <c r="P10" s="15" cm="1">
        <f t="array" ref="P10">_xll.qwCurvePrice($B$1,"SofrSwap",C10)</f>
        <v>2.6121357977162667</v>
      </c>
      <c r="Q10" t="e" cm="1">
        <f t="array" ref="Q10">_xll.qwDV01($B$1,C10)</f>
        <v>#NUM!</v>
      </c>
    </row>
    <row r="11" spans="2:17" x14ac:dyDescent="0.25">
      <c r="C11" t="str">
        <v>USSWIF3</v>
      </c>
      <c r="D11" t="str" cm="1">
        <f t="array" ref="D11">_xll.qwTenor($B$1,C11)</f>
        <v>Jun27</v>
      </c>
      <c r="E11" s="1" cm="1">
        <f t="array" ref="E11">_xll.qwEffective($B$1,C11)</f>
        <v>46174</v>
      </c>
      <c r="F11" cm="1">
        <f t="array" ref="F11">_xll.qwAsk($B$1,C11)</f>
        <v>3.3976249999999997</v>
      </c>
      <c r="G11" cm="1">
        <f t="array" ref="G11">_xll.qwBid($B$1,C11)</f>
        <v>3.3955739999999999</v>
      </c>
      <c r="H11" s="12" cm="1">
        <f t="array" ref="H11">_xll.qwYield($B$1,C11)</f>
        <v>2.4239920755135147E-2</v>
      </c>
      <c r="I11" s="4">
        <f>_xll.BDP(_xll.qwBlmID($B$1,C11), "PX_LAST")</f>
        <v>339.66</v>
      </c>
      <c r="J11" s="4" t="str">
        <f>_xll.BDP(_xll.qwBlmID($B$1,C11), "MATURITY")</f>
        <v>6/1/2027</v>
      </c>
      <c r="K11" s="13">
        <f>DATEVALUE(_xll.BDP(_xll.qwBlmID($B$1,C11), "SWAP_EFFECTIVE_DATE_RT"))</f>
        <v>46174</v>
      </c>
      <c r="L11" s="1" cm="1">
        <f t="array" ref="L11:M11">_xll.qwSwapCashFlowsFixedLeg($B$1,C11)</f>
        <v>46539</v>
      </c>
      <c r="M11" s="14">
        <v>342.0307153284765</v>
      </c>
      <c r="N11" s="1" cm="1">
        <f t="array" ref="N11:O11">_xll.qwSwapCashFlowsFloatLeg($B$1,C11)</f>
        <v>46539</v>
      </c>
      <c r="O11" s="7">
        <v>339.65994999999998</v>
      </c>
      <c r="P11" s="15" cm="1">
        <f t="array" ref="P11">_xll.qwCurvePrice($B$1,"SofrSwap",C11)</f>
        <v>2.3007049316657335</v>
      </c>
      <c r="Q11" t="e" cm="1">
        <f t="array" ref="Q11">_xll.qwDV01($B$1,C11)</f>
        <v>#NUM!</v>
      </c>
    </row>
    <row r="12" spans="2:17" x14ac:dyDescent="0.25">
      <c r="C12" t="str">
        <v>USSWIF4</v>
      </c>
      <c r="D12" t="str" cm="1">
        <f t="array" ref="D12">_xll.qwTenor($B$1,C12)</f>
        <v>Jul27</v>
      </c>
      <c r="E12" s="1" cm="1">
        <f t="array" ref="E12">_xll.qwEffective($B$1,C12)</f>
        <v>46204</v>
      </c>
      <c r="F12" cm="1">
        <f t="array" ref="F12">_xll.qwAsk($B$1,C12)</f>
        <v>3.4071359999999999</v>
      </c>
      <c r="G12" cm="1">
        <f t="array" ref="G12">_xll.qwBid($B$1,C12)</f>
        <v>3.4050630000000002</v>
      </c>
      <c r="H12" s="12" cm="1">
        <f t="array" ref="H12">_xll.qwYield($B$1,C12)</f>
        <v>2.5306979556581677E-2</v>
      </c>
      <c r="I12" s="4">
        <f>_xll.BDP(_xll.qwBlmID($B$1,C12), "PX_LAST")</f>
        <v>340.61</v>
      </c>
      <c r="J12" s="4" t="str">
        <f>_xll.BDP(_xll.qwBlmID($B$1,C12), "MATURITY")</f>
        <v>7/1/2027</v>
      </c>
      <c r="K12" s="13">
        <f>DATEVALUE(_xll.BDP(_xll.qwBlmID($B$1,C12), "SWAP_EFFECTIVE_DATE_RT"))</f>
        <v>46204</v>
      </c>
      <c r="L12" s="1" cm="1">
        <f t="array" ref="L12:M12">_xll.qwSwapCashFlowsFixedLeg($B$1,C12)</f>
        <v>46569</v>
      </c>
      <c r="M12" s="14">
        <v>342.387044815114</v>
      </c>
      <c r="N12" s="1" cm="1">
        <f t="array" ref="N12:O12">_xll.qwSwapCashFlowsFloatLeg($B$1,C12)</f>
        <v>46569</v>
      </c>
      <c r="O12" s="7">
        <v>340.60994999999997</v>
      </c>
      <c r="P12" s="15" cm="1">
        <f t="array" ref="P12">_xll.qwCurvePrice($B$1,"SofrSwap",C12)</f>
        <v>1.7181248926111135</v>
      </c>
      <c r="Q12" t="e" cm="1">
        <f t="array" ref="Q12">_xll.qwDV01($B$1,C12)</f>
        <v>#NUM!</v>
      </c>
    </row>
    <row r="13" spans="2:17" x14ac:dyDescent="0.25">
      <c r="C13" t="str">
        <v>USSWIF5</v>
      </c>
      <c r="D13" t="str" cm="1">
        <f t="array" ref="D13">_xll.qwTenor($B$1,C13)</f>
        <v>Aug27</v>
      </c>
      <c r="E13" s="1" cm="1">
        <f t="array" ref="E13">_xll.qwEffective($B$1,C13)</f>
        <v>46235</v>
      </c>
      <c r="F13" cm="1">
        <f t="array" ref="F13">_xll.qwAsk($B$1,C13)</f>
        <v>3.4171239999999998</v>
      </c>
      <c r="G13" cm="1">
        <f t="array" ref="G13">_xll.qwBid($B$1,C13)</f>
        <v>3.4150760000000004</v>
      </c>
      <c r="H13" s="12" cm="1">
        <f t="array" ref="H13">_xll.qwYield($B$1,C13)</f>
        <v>2.625369955754997E-2</v>
      </c>
      <c r="I13" s="4">
        <f>_xll.BDP(_xll.qwBlmID($B$1,C13), "PX_LAST")</f>
        <v>341.61</v>
      </c>
      <c r="J13" s="4" t="str">
        <f>_xll.BDP(_xll.qwBlmID($B$1,C13), "MATURITY")</f>
        <v>8/1/2027</v>
      </c>
      <c r="K13" s="13">
        <f>DATEVALUE(_xll.BDP(_xll.qwBlmID($B$1,C13), "SWAP_EFFECTIVE_DATE_RT"))</f>
        <v>46235</v>
      </c>
      <c r="L13" s="1" cm="1">
        <f t="array" ref="L13:M13">_xll.qwSwapCashFlowsFixedLeg($B$1,C13)</f>
        <v>46601</v>
      </c>
      <c r="M13" s="14">
        <v>342.72745512080598</v>
      </c>
      <c r="N13" s="1" cm="1">
        <f t="array" ref="N13:O13">_xll.qwSwapCashFlowsFloatLeg($B$1,C13)</f>
        <v>46601</v>
      </c>
      <c r="O13" s="7">
        <v>341.61</v>
      </c>
      <c r="P13" s="15" cm="1">
        <f t="array" ref="P13">_xll.qwCurvePrice($B$1,"SofrSwap",C13)</f>
        <v>1.0760244939592674</v>
      </c>
      <c r="Q13" t="e" cm="1">
        <f t="array" ref="Q13">_xll.qwDV01($B$1,C13)</f>
        <v>#NUM!</v>
      </c>
    </row>
    <row r="14" spans="2:17" x14ac:dyDescent="0.25">
      <c r="C14" t="str">
        <v>USSWIF6</v>
      </c>
      <c r="D14" t="str" cm="1">
        <f t="array" ref="D14">_xll.qwTenor($B$1,C14)</f>
        <v>Sep27</v>
      </c>
      <c r="E14" s="1" cm="1">
        <f t="array" ref="E14">_xll.qwEffective($B$1,C14)</f>
        <v>46266</v>
      </c>
      <c r="F14" cm="1">
        <f t="array" ref="F14">_xll.qwAsk($B$1,C14)</f>
        <v>3.4254419999999999</v>
      </c>
      <c r="G14" cm="1">
        <f t="array" ref="G14">_xll.qwBid($B$1,C14)</f>
        <v>3.4233589999999996</v>
      </c>
      <c r="H14" s="12" cm="1">
        <f t="array" ref="H14">_xll.qwYield($B$1,C14)</f>
        <v>2.6494774998583992E-2</v>
      </c>
      <c r="I14" s="4">
        <f>_xll.BDP(_xll.qwBlmID($B$1,C14), "PX_LAST")</f>
        <v>342.44</v>
      </c>
      <c r="J14" s="4" t="str">
        <f>_xll.BDP(_xll.qwBlmID($B$1,C14), "MATURITY")</f>
        <v>9/1/2027</v>
      </c>
      <c r="K14" s="13">
        <f>DATEVALUE(_xll.BDP(_xll.qwBlmID($B$1,C14), "SWAP_EFFECTIVE_DATE_RT"))</f>
        <v>46266</v>
      </c>
      <c r="L14" s="1" cm="1">
        <f t="array" ref="L14:M14">_xll.qwSwapCashFlowsFixedLeg($B$1,C14)</f>
        <v>46631</v>
      </c>
      <c r="M14" s="14">
        <v>342.78369262824788</v>
      </c>
      <c r="N14" s="1" cm="1">
        <f t="array" ref="N14:O14">_xll.qwSwapCashFlowsFloatLeg($B$1,C14)</f>
        <v>46631</v>
      </c>
      <c r="O14" s="7">
        <v>342.44004999999999</v>
      </c>
      <c r="P14" s="15" cm="1">
        <f t="array" ref="P14">_xll.qwCurvePrice($B$1,"SofrSwap",C14)</f>
        <v>0.32964858927537982</v>
      </c>
      <c r="Q14" t="e" cm="1">
        <f t="array" ref="Q14">_xll.qwDV01($B$1,C14)</f>
        <v>#NUM!</v>
      </c>
    </row>
    <row r="15" spans="2:17" x14ac:dyDescent="0.25">
      <c r="C15" t="str">
        <v>USSWIT1</v>
      </c>
      <c r="D15" t="str" cm="1">
        <f t="array" ref="D15">_xll.qwTenor($B$1,C15)</f>
        <v>1Y</v>
      </c>
      <c r="E15" s="1" cm="1">
        <f t="array" ref="E15">_xll.qwEffective($B$1,C15)</f>
        <v>46280</v>
      </c>
      <c r="F15" cm="1">
        <f t="array" ref="F15">_xll.qwAsk($B$1,C15)</f>
        <v>2.6239999999999999E-2</v>
      </c>
      <c r="G15" cm="1">
        <f t="array" ref="G15">_xll.qwBid($B$1,C15)</f>
        <v>2.5310000000000003E-2</v>
      </c>
      <c r="H15" s="12" cm="1">
        <f t="array" ref="H15">_xll.qwYield($B$1,C15)</f>
        <v>2.5774999999999999E-2</v>
      </c>
      <c r="I15" s="4">
        <f>_xll.BDP(_xll.qwBlmID($B$1,C15), "PX_LAST")</f>
        <v>2.5762999999999998</v>
      </c>
      <c r="J15" s="4" t="str">
        <f>_xll.BDP(_xll.qwBlmID($B$1,C15), "MATURITY")</f>
        <v>9/15/2027</v>
      </c>
      <c r="K15" s="13">
        <f>DATEVALUE(_xll.BDP(_xll.qwBlmID($B$1,C15), "SWAP_EFFECTIVE_DATE_RT"))</f>
        <v>46279</v>
      </c>
      <c r="L15" s="1" cm="1">
        <f t="array" ref="L15:M15">_xll.qwSwapCashFlowsFixedLeg($B$1,C15)</f>
        <v>46645</v>
      </c>
      <c r="M15" s="14">
        <v>342.54333375075004</v>
      </c>
      <c r="N15" s="1" cm="1">
        <f t="array" ref="N15:O15">_xll.qwSwapCashFlowsFloatLeg($B$1,C15)</f>
        <v>46645</v>
      </c>
      <c r="O15" s="7">
        <v>342.54333375075004</v>
      </c>
      <c r="P15" s="15" cm="1">
        <f t="array" ref="P15">_xll.qwCurvePrice($B$1,"SofrSwap",C15)</f>
        <v>0</v>
      </c>
      <c r="Q15" t="e" cm="1">
        <f t="array" ref="Q15">_xll.qwDV01($B$1,C15)</f>
        <v>#NUM!</v>
      </c>
    </row>
    <row r="16" spans="2:17" x14ac:dyDescent="0.25">
      <c r="B16" s="1"/>
      <c r="C16" t="str">
        <v>USSWIF7</v>
      </c>
      <c r="D16" t="str" cm="1">
        <f t="array" ref="D16">_xll.qwTenor($B$1,C16)</f>
        <v>Oct27</v>
      </c>
      <c r="E16" s="1" cm="1">
        <f t="array" ref="E16">_xll.qwEffective($B$1,C16)</f>
        <v>46296</v>
      </c>
      <c r="F16" cm="1">
        <f t="array" ref="F16">_xll.qwAsk($B$1,C16)</f>
        <v>3.4281299999999999</v>
      </c>
      <c r="G16" cm="1">
        <f t="array" ref="G16">_xll.qwBid($B$1,C16)</f>
        <v>3.426069</v>
      </c>
      <c r="H16" s="12" cm="1">
        <f t="array" ref="H16">_xll.qwYield($B$1,C16)</f>
        <v>2.5156817473658499E-2</v>
      </c>
      <c r="I16" s="4">
        <f>_xll.BDP(_xll.qwBlmID($B$1,C16), "PX_LAST")</f>
        <v>342.71</v>
      </c>
      <c r="J16" s="4" t="str">
        <f>_xll.BDP(_xll.qwBlmID($B$1,C16), "MATURITY")</f>
        <v>10/1/2027</v>
      </c>
      <c r="K16" s="13">
        <f>DATEVALUE(_xll.BDP(_xll.qwBlmID($B$1,C16), "SWAP_EFFECTIVE_DATE_RT"))</f>
        <v>46296</v>
      </c>
      <c r="L16" s="1" cm="1">
        <f t="array" ref="L16:M16">_xll.qwSwapCashFlowsFixedLeg($B$1,C16)</f>
        <v>46661</v>
      </c>
      <c r="M16" s="14">
        <v>342.33690027026989</v>
      </c>
      <c r="N16" s="1" cm="1">
        <f t="array" ref="N16:O16">_xll.qwSwapCashFlowsFloatLeg($B$1,C16)</f>
        <v>46661</v>
      </c>
      <c r="O16" s="7">
        <v>342.70994999999999</v>
      </c>
      <c r="P16" s="15" cm="1">
        <f t="array" ref="P16">_xll.qwCurvePrice($B$1,"SofrSwap",C16)</f>
        <v>-0.35650122566292258</v>
      </c>
      <c r="Q16" t="e" cm="1">
        <f t="array" ref="Q16">_xll.qwDV01($B$1,C16)</f>
        <v>#NUM!</v>
      </c>
    </row>
    <row r="17" spans="3:19" x14ac:dyDescent="0.25">
      <c r="C17" t="str">
        <v>USSWIT2</v>
      </c>
      <c r="D17" t="str" cm="1">
        <f t="array" ref="D17">_xll.qwTenor($B$1,C17)</f>
        <v>2Y</v>
      </c>
      <c r="E17" s="1" cm="1">
        <f t="array" ref="E17">_xll.qwEffective($B$1,C17)</f>
        <v>46280</v>
      </c>
      <c r="F17" cm="1">
        <f t="array" ref="F17">_xll.qwAsk($B$1,C17)</f>
        <v>2.6180999999999999E-2</v>
      </c>
      <c r="G17" cm="1">
        <f t="array" ref="G17">_xll.qwBid($B$1,C17)</f>
        <v>2.5359E-2</v>
      </c>
      <c r="H17" s="12" cm="1">
        <f t="array" ref="H17">_xll.qwYield($B$1,C17)</f>
        <v>2.5770000000000001E-2</v>
      </c>
      <c r="I17" s="4">
        <f>_xll.BDP(_xll.qwBlmID($B$1,C17), "PX_LAST")</f>
        <v>2.577</v>
      </c>
      <c r="J17" s="4" t="str">
        <f>_xll.BDP(_xll.qwBlmID($B$1,C17), "MATURITY")</f>
        <v>9/15/2028</v>
      </c>
      <c r="K17" s="13">
        <f>DATEVALUE(_xll.BDP(_xll.qwBlmID($B$1,C17), "SWAP_EFFECTIVE_DATE_RT"))</f>
        <v>46279</v>
      </c>
      <c r="L17" s="1" cm="1">
        <f t="array" ref="L17:M17">_xll.qwSwapCashFlowsFixedLeg($B$1,C17)</f>
        <v>47011</v>
      </c>
      <c r="M17" s="14">
        <v>351.36896275318651</v>
      </c>
      <c r="N17" s="1" cm="1">
        <f t="array" ref="N17:O17">_xll.qwSwapCashFlowsFloatLeg($B$1,C17)</f>
        <v>47011</v>
      </c>
      <c r="O17" s="7">
        <v>351.36896275318651</v>
      </c>
      <c r="P17" s="15" cm="1">
        <f t="array" ref="P17">_xll.qwCurvePrice($B$1,"SofrSwap",C17)</f>
        <v>0</v>
      </c>
      <c r="Q17" t="e" cm="1">
        <f t="array" ref="Q17">_xll.qwDV01($B$1,C17)</f>
        <v>#NUM!</v>
      </c>
      <c r="S17"/>
    </row>
    <row r="18" spans="3:19" x14ac:dyDescent="0.25">
      <c r="C18" t="str">
        <v>USSWIT3</v>
      </c>
      <c r="D18" t="str" cm="1">
        <f t="array" ref="D18">_xll.qwTenor($B$1,C18)</f>
        <v>3Y</v>
      </c>
      <c r="E18" s="1" cm="1">
        <f t="array" ref="E18">_xll.qwEffective($B$1,C18)</f>
        <v>46280</v>
      </c>
      <c r="F18" cm="1">
        <f t="array" ref="F18">_xll.qwAsk($B$1,C18)</f>
        <v>2.6084E-2</v>
      </c>
      <c r="G18" cm="1">
        <f t="array" ref="G18">_xll.qwBid($B$1,C18)</f>
        <v>2.5283000000000003E-2</v>
      </c>
      <c r="H18" s="12" cm="1">
        <f t="array" ref="H18">_xll.qwYield($B$1,C18)</f>
        <v>2.5683500000000001E-2</v>
      </c>
      <c r="I18" s="4">
        <f>_xll.BDP(_xll.qwBlmID($B$1,C18), "PX_LAST")</f>
        <v>2.5699000000000001</v>
      </c>
      <c r="J18" s="4" t="str">
        <f>_xll.BDP(_xll.qwBlmID($B$1,C18), "MATURITY")</f>
        <v>9/15/2029</v>
      </c>
      <c r="K18" s="13">
        <f>DATEVALUE(_xll.BDP(_xll.qwBlmID($B$1,C18), "SWAP_EFFECTIVE_DATE_RT"))</f>
        <v>46279</v>
      </c>
      <c r="L18" s="1" cm="1">
        <f t="array" ref="L18:M18">_xll.qwSwapCashFlowsFixedLeg($B$1,C18)</f>
        <v>47378</v>
      </c>
      <c r="M18" s="14">
        <v>360.3825960326003</v>
      </c>
      <c r="N18" s="1" cm="1">
        <f t="array" ref="N18:O18">_xll.qwSwapCashFlowsFloatLeg($B$1,C18)</f>
        <v>47378</v>
      </c>
      <c r="O18" s="7">
        <v>360.38261913410935</v>
      </c>
      <c r="P18" s="15" cm="1">
        <f t="array" ref="P18">_xll.qwCurvePrice($B$1,"SofrSwap",C18)</f>
        <v>-2.0197758454190237E-5</v>
      </c>
      <c r="Q18" t="e" cm="1">
        <f t="array" ref="Q18">_xll.qwDV01($B$1,C18)</f>
        <v>#NUM!</v>
      </c>
      <c r="R18" s="3"/>
    </row>
    <row r="19" spans="3:19" x14ac:dyDescent="0.25">
      <c r="C19" t="str">
        <v>USSWIT4</v>
      </c>
      <c r="D19" t="str" cm="1">
        <f t="array" ref="D19">_xll.qwTenor($B$1,C19)</f>
        <v>4Y</v>
      </c>
      <c r="E19" s="1" cm="1">
        <f t="array" ref="E19">_xll.qwEffective($B$1,C19)</f>
        <v>46280</v>
      </c>
      <c r="F19" cm="1">
        <f t="array" ref="F19">_xll.qwAsk($B$1,C19)</f>
        <v>2.5846000000000001E-2</v>
      </c>
      <c r="G19" cm="1">
        <f t="array" ref="G19">_xll.qwBid($B$1,C19)</f>
        <v>2.5354000000000002E-2</v>
      </c>
      <c r="H19" s="12" cm="1">
        <f t="array" ref="H19">_xll.qwYield($B$1,C19)</f>
        <v>2.5600000000000001E-2</v>
      </c>
      <c r="I19" s="4">
        <f>_xll.BDP(_xll.qwBlmID($B$1,C19), "PX_LAST")</f>
        <v>2.56</v>
      </c>
      <c r="J19" s="4" t="str">
        <f>_xll.BDP(_xll.qwBlmID($B$1,C19), "MATURITY")</f>
        <v>9/15/2030</v>
      </c>
      <c r="K19" s="13">
        <f>DATEVALUE(_xll.BDP(_xll.qwBlmID($B$1,C19), "SWAP_EFFECTIVE_DATE_RT"))</f>
        <v>46279</v>
      </c>
      <c r="L19" s="1" cm="1">
        <f t="array" ref="L19:M19">_xll.qwSwapCashFlowsFixedLeg($B$1,C19)</f>
        <v>47742</v>
      </c>
      <c r="M19" s="14">
        <v>369.49240402957554</v>
      </c>
      <c r="N19" s="1" cm="1">
        <f t="array" ref="N19:O19">_xll.qwSwapCashFlowsFloatLeg($B$1,C19)</f>
        <v>47742</v>
      </c>
      <c r="O19" s="7">
        <v>369.49203842087968</v>
      </c>
      <c r="P19" s="15" cm="1">
        <f t="array" ref="P19">_xll.qwCurvePrice($B$1,"SofrSwap",C19)</f>
        <v>3.0586042569697699E-4</v>
      </c>
      <c r="Q19" t="e" cm="1">
        <f t="array" ref="Q19">_xll.qwDV01($B$1,C19)</f>
        <v>#NUM!</v>
      </c>
    </row>
    <row r="20" spans="3:19" x14ac:dyDescent="0.25">
      <c r="C20" t="str">
        <v>USSWIT5</v>
      </c>
      <c r="D20" t="str" cm="1">
        <f t="array" ref="D20">_xll.qwTenor($B$1,C20)</f>
        <v>5Y</v>
      </c>
      <c r="E20" s="1" cm="1">
        <f t="array" ref="E20">_xll.qwEffective($B$1,C20)</f>
        <v>46280</v>
      </c>
      <c r="F20" cm="1">
        <f t="array" ref="F20">_xll.qwAsk($B$1,C20)</f>
        <v>2.5633E-2</v>
      </c>
      <c r="G20" cm="1">
        <f t="array" ref="G20">_xll.qwBid($B$1,C20)</f>
        <v>2.5287E-2</v>
      </c>
      <c r="H20" s="12" cm="1">
        <f t="array" ref="H20">_xll.qwYield($B$1,C20)</f>
        <v>2.546E-2</v>
      </c>
      <c r="I20" s="4">
        <f>_xll.BDP(_xll.qwBlmID($B$1,C20), "PX_LAST")</f>
        <v>2.5459999999999998</v>
      </c>
      <c r="J20" s="4" t="str">
        <f>_xll.BDP(_xll.qwBlmID($B$1,C20), "MATURITY")</f>
        <v>9/15/2031</v>
      </c>
      <c r="K20" s="13">
        <f>DATEVALUE(_xll.BDP(_xll.qwBlmID($B$1,C20), "SWAP_EFFECTIVE_DATE_RT"))</f>
        <v>46279</v>
      </c>
      <c r="L20" s="1" cm="1">
        <f t="array" ref="L20:M20">_xll.qwSwapCashFlowsFixedLeg($B$1,C20)</f>
        <v>48106</v>
      </c>
      <c r="M20" s="14">
        <v>378.66662825629135</v>
      </c>
      <c r="N20" s="1" cm="1">
        <f t="array" ref="N20:O20">_xll.qwSwapCashFlowsFloatLeg($B$1,C20)</f>
        <v>48106</v>
      </c>
      <c r="O20" s="7">
        <v>378.66662825629135</v>
      </c>
      <c r="P20" s="15" cm="1">
        <f t="array" ref="P20">_xll.qwCurvePrice($B$1,"SofrSwap",C20)</f>
        <v>0</v>
      </c>
      <c r="Q20" t="e" cm="1">
        <f t="array" ref="Q20">_xll.qwDV01($B$1,C20)</f>
        <v>#NUM!</v>
      </c>
    </row>
    <row r="21" spans="3:19" ht="14.25" customHeight="1" x14ac:dyDescent="0.25">
      <c r="C21" t="str">
        <v>USSWIT6</v>
      </c>
      <c r="D21" t="str" cm="1">
        <f t="array" ref="D21">_xll.qwTenor($B$1,C21)</f>
        <v>6Y</v>
      </c>
      <c r="E21" s="1" cm="1">
        <f t="array" ref="E21">_xll.qwEffective($B$1,C21)</f>
        <v>46280</v>
      </c>
      <c r="F21" cm="1">
        <f t="array" ref="F21">_xll.qwAsk($B$1,C21)</f>
        <v>2.5430000000000001E-2</v>
      </c>
      <c r="G21" cm="1">
        <f t="array" ref="G21">_xll.qwBid($B$1,C21)</f>
        <v>2.5190000000000001E-2</v>
      </c>
      <c r="H21" s="12" cm="1">
        <f t="array" ref="H21">_xll.qwYield($B$1,C21)</f>
        <v>2.5309999999999999E-2</v>
      </c>
      <c r="I21" s="4">
        <f>_xll.BDP(_xll.qwBlmID($B$1,C21), "PX_LAST")</f>
        <v>2.5310000000000001</v>
      </c>
      <c r="J21" s="4" t="str">
        <f>_xll.BDP(_xll.qwBlmID($B$1,C21), "MATURITY")</f>
        <v>9/15/2032</v>
      </c>
      <c r="K21" s="13">
        <f>DATEVALUE(_xll.BDP(_xll.qwBlmID($B$1,C21), "SWAP_EFFECTIVE_DATE_RT"))</f>
        <v>46279</v>
      </c>
      <c r="L21" s="1" cm="1">
        <f t="array" ref="L21:M21">_xll.qwSwapCashFlowsFixedLeg($B$1,C21)</f>
        <v>48472</v>
      </c>
      <c r="M21" s="14">
        <v>387.96680524894572</v>
      </c>
      <c r="N21" s="1" cm="1">
        <f t="array" ref="N21:O21">_xll.qwSwapCashFlowsFloatLeg($B$1,C21)</f>
        <v>48472</v>
      </c>
      <c r="O21" s="7">
        <v>387.96680524894572</v>
      </c>
      <c r="P21" s="15" cm="1">
        <f t="array" ref="P21">_xll.qwCurvePrice($B$1,"SofrSwap",C21)</f>
        <v>0</v>
      </c>
      <c r="Q21" t="e" cm="1">
        <f t="array" ref="Q21">_xll.qwDV01($B$1,C21)</f>
        <v>#NUM!</v>
      </c>
      <c r="R21" s="3"/>
    </row>
    <row r="22" spans="3:19" x14ac:dyDescent="0.25">
      <c r="C22" t="str">
        <v>USSWIT7</v>
      </c>
      <c r="D22" t="str" cm="1">
        <f t="array" ref="D22">_xll.qwTenor($B$1,C22)</f>
        <v>7Y</v>
      </c>
      <c r="E22" s="1" cm="1">
        <f t="array" ref="E22">_xll.qwEffective($B$1,C22)</f>
        <v>46280</v>
      </c>
      <c r="F22" cm="1">
        <f t="array" ref="F22">_xll.qwAsk($B$1,C22)</f>
        <v>2.5273E-2</v>
      </c>
      <c r="G22" cm="1">
        <f t="array" ref="G22">_xll.qwBid($B$1,C22)</f>
        <v>2.5082E-2</v>
      </c>
      <c r="H22" s="12" cm="1">
        <f t="array" ref="H22">_xll.qwYield($B$1,C22)</f>
        <v>2.5177499999999998E-2</v>
      </c>
      <c r="I22" s="4">
        <f>_xll.BDP(_xll.qwBlmID($B$1,C22), "PX_LAST")</f>
        <v>2.5185</v>
      </c>
      <c r="J22" s="4" t="str">
        <f>_xll.BDP(_xll.qwBlmID($B$1,C22), "MATURITY")</f>
        <v>9/15/2033</v>
      </c>
      <c r="K22" s="13">
        <f>DATEVALUE(_xll.BDP(_xll.qwBlmID($B$1,C22), "SWAP_EFFECTIVE_DATE_RT"))</f>
        <v>46279</v>
      </c>
      <c r="L22" s="1" cm="1">
        <f t="array" ref="L22:M22">_xll.qwSwapCashFlowsFixedLeg($B$1,C22)</f>
        <v>48837</v>
      </c>
      <c r="M22" s="14">
        <v>397.42654535309532</v>
      </c>
      <c r="N22" s="1" cm="1">
        <f t="array" ref="N22:O22">_xll.qwSwapCashFlowsFloatLeg($B$1,C22)</f>
        <v>48837</v>
      </c>
      <c r="O22" s="7">
        <v>397.42654535309532</v>
      </c>
      <c r="P22" s="15" cm="1">
        <f t="array" ref="P22">_xll.qwCurvePrice($B$1,"SofrSwap",C22)</f>
        <v>0</v>
      </c>
      <c r="Q22" t="e" cm="1">
        <f t="array" ref="Q22">_xll.qwDV01($B$1,C22)</f>
        <v>#NUM!</v>
      </c>
      <c r="R22" s="3"/>
    </row>
    <row r="23" spans="3:19" x14ac:dyDescent="0.25">
      <c r="C23" t="str">
        <v>USSWIT8</v>
      </c>
      <c r="D23" t="str" cm="1">
        <f t="array" ref="D23">_xll.qwTenor($B$1,C23)</f>
        <v>8Y</v>
      </c>
      <c r="E23" s="1" cm="1">
        <f t="array" ref="E23">_xll.qwEffective($B$1,C23)</f>
        <v>46280</v>
      </c>
      <c r="F23" cm="1">
        <f t="array" ref="F23">_xll.qwAsk($B$1,C23)</f>
        <v>2.5131999999999998E-2</v>
      </c>
      <c r="G23" cm="1">
        <f t="array" ref="G23">_xll.qwBid($B$1,C23)</f>
        <v>2.4974E-2</v>
      </c>
      <c r="H23" s="12" cm="1">
        <f t="array" ref="H23">_xll.qwYield($B$1,C23)</f>
        <v>2.5052999999999999E-2</v>
      </c>
      <c r="I23" s="4">
        <f>_xll.BDP(_xll.qwBlmID($B$1,C23), "PX_LAST")</f>
        <v>2.5053000000000001</v>
      </c>
      <c r="J23" s="4" t="str">
        <f>_xll.BDP(_xll.qwBlmID($B$1,C23), "MATURITY")</f>
        <v>9/15/2034</v>
      </c>
      <c r="K23" s="13">
        <f>DATEVALUE(_xll.BDP(_xll.qwBlmID($B$1,C23), "SWAP_EFFECTIVE_DATE_RT"))</f>
        <v>46279</v>
      </c>
      <c r="L23" s="1" cm="1">
        <f t="array" ref="L23:M23">_xll.qwSwapCashFlowsFixedLeg($B$1,C23)</f>
        <v>49202</v>
      </c>
      <c r="M23" s="14">
        <v>407.03708356848534</v>
      </c>
      <c r="N23" s="1" cm="1">
        <f t="array" ref="N23:O23">_xll.qwSwapCashFlowsFloatLeg($B$1,C23)</f>
        <v>49202</v>
      </c>
      <c r="O23" s="7">
        <v>407.03708356848534</v>
      </c>
      <c r="P23" s="15" cm="1">
        <f t="array" ref="P23">_xll.qwCurvePrice($B$1,"SofrSwap",C23)</f>
        <v>0</v>
      </c>
      <c r="Q23" t="e" cm="1">
        <f t="array" ref="Q23">_xll.qwDV01($B$1,C23)</f>
        <v>#NUM!</v>
      </c>
      <c r="R23" s="3"/>
    </row>
    <row r="24" spans="3:19" x14ac:dyDescent="0.25">
      <c r="C24" t="str">
        <v>USSWIT9</v>
      </c>
      <c r="D24" t="str" cm="1">
        <f t="array" ref="D24">_xll.qwTenor($B$1,C24)</f>
        <v>9Y</v>
      </c>
      <c r="E24" s="1" cm="1">
        <f t="array" ref="E24">_xll.qwEffective($B$1,C24)</f>
        <v>46280</v>
      </c>
      <c r="F24" cm="1">
        <f t="array" ref="F24">_xll.qwAsk($B$1,C24)</f>
        <v>2.5092E-2</v>
      </c>
      <c r="G24" cm="1">
        <f t="array" ref="G24">_xll.qwBid($B$1,C24)</f>
        <v>2.4820000000000002E-2</v>
      </c>
      <c r="H24" s="12" cm="1">
        <f t="array" ref="H24">_xll.qwYield($B$1,C24)</f>
        <v>2.4955999999999999E-2</v>
      </c>
      <c r="I24" s="4">
        <f>_xll.BDP(_xll.qwBlmID($B$1,C24), "PX_LAST")</f>
        <v>2.4956999999999998</v>
      </c>
      <c r="J24" s="4" t="str">
        <f>_xll.BDP(_xll.qwBlmID($B$1,C24), "MATURITY")</f>
        <v>9/15/2035</v>
      </c>
      <c r="K24" s="13">
        <f>DATEVALUE(_xll.BDP(_xll.qwBlmID($B$1,C24), "SWAP_EFFECTIVE_DATE_RT"))</f>
        <v>46279</v>
      </c>
      <c r="L24" s="1" cm="1">
        <f t="array" ref="L24:M24">_xll.qwSwapCashFlowsFixedLeg($B$1,C24)</f>
        <v>49569</v>
      </c>
      <c r="M24" s="14">
        <v>416.93563369326574</v>
      </c>
      <c r="N24" s="1" cm="1">
        <f t="array" ref="N24:O24">_xll.qwSwapCashFlowsFloatLeg($B$1,C24)</f>
        <v>49569</v>
      </c>
      <c r="O24" s="7">
        <v>416.93494984110413</v>
      </c>
      <c r="P24" s="15" cm="1">
        <f t="array" ref="P24">_xll.qwCurvePrice($B$1,"SofrSwap",C24)</f>
        <v>4.5562159762949447E-4</v>
      </c>
      <c r="Q24" t="e" cm="1">
        <f t="array" ref="Q24">_xll.qwDV01($B$1,C24)</f>
        <v>#NUM!</v>
      </c>
      <c r="R24" s="3"/>
    </row>
    <row r="25" spans="3:19" x14ac:dyDescent="0.25">
      <c r="C25" t="str">
        <v>USSWIT10</v>
      </c>
      <c r="D25" t="str" cm="1">
        <f t="array" ref="D25">_xll.qwTenor($B$1,C25)</f>
        <v>10Y</v>
      </c>
      <c r="E25" s="1" cm="1">
        <f t="array" ref="E25">_xll.qwEffective($B$1,C25)</f>
        <v>46280</v>
      </c>
      <c r="F25" cm="1">
        <f t="array" ref="F25">_xll.qwAsk($B$1,C25)</f>
        <v>2.4980000000000002E-2</v>
      </c>
      <c r="G25" cm="1">
        <f t="array" ref="G25">_xll.qwBid($B$1,C25)</f>
        <v>2.4820000000000002E-2</v>
      </c>
      <c r="H25" s="12" cm="1">
        <f t="array" ref="H25">_xll.qwYield($B$1,C25)</f>
        <v>2.4900000000000002E-2</v>
      </c>
      <c r="I25" s="4">
        <f>_xll.BDP(_xll.qwBlmID($B$1,C25), "PX_LAST")</f>
        <v>2.4900000000000002</v>
      </c>
      <c r="J25" s="4" t="str">
        <f>_xll.BDP(_xll.qwBlmID($B$1,C25), "MATURITY")</f>
        <v>9/15/2036</v>
      </c>
      <c r="K25" s="13">
        <f>DATEVALUE(_xll.BDP(_xll.qwBlmID($B$1,C25), "SWAP_EFFECTIVE_DATE_RT"))</f>
        <v>46279</v>
      </c>
      <c r="L25" s="1" cm="1">
        <f t="array" ref="L25:M25">_xll.qwSwapCashFlowsFixedLeg($B$1,C25)</f>
        <v>49933</v>
      </c>
      <c r="M25" s="14">
        <v>427.04962133797227</v>
      </c>
      <c r="N25" s="1" cm="1">
        <f t="array" ref="N25:O25">_xll.qwSwapCashFlowsFloatLeg($B$1,C25)</f>
        <v>49933</v>
      </c>
      <c r="O25" s="7">
        <v>427.04962133797227</v>
      </c>
      <c r="P25" s="15" cm="1">
        <f t="array" ref="P25">_xll.qwCurvePrice($B$1,"SofrSwap",C25)</f>
        <v>0</v>
      </c>
      <c r="Q25" t="e" cm="1">
        <f t="array" ref="Q25">_xll.qwDV01($B$1,C25)</f>
        <v>#NUM!</v>
      </c>
      <c r="R25" s="3"/>
    </row>
    <row r="26" spans="3:19" x14ac:dyDescent="0.25">
      <c r="C26" t="str">
        <v>USSWIT12</v>
      </c>
      <c r="D26" t="str" cm="1">
        <f t="array" ref="D26">_xll.qwTenor($B$1,C26)</f>
        <v>12Y</v>
      </c>
      <c r="E26" s="1" cm="1">
        <f t="array" ref="E26">_xll.qwEffective($B$1,C26)</f>
        <v>46280</v>
      </c>
      <c r="F26" cm="1">
        <f t="array" ref="F26">_xll.qwAsk($B$1,C26)</f>
        <v>2.4867E-2</v>
      </c>
      <c r="G26" cm="1">
        <f t="array" ref="G26">_xll.qwBid($B$1,C26)</f>
        <v>2.4656999999999998E-2</v>
      </c>
      <c r="H26" s="12" cm="1">
        <f t="array" ref="H26">_xll.qwYield($B$1,C26)</f>
        <v>2.4761999999999999E-2</v>
      </c>
      <c r="I26" s="4">
        <f>_xll.BDP(_xll.qwBlmID($B$1,C26), "PX_LAST")</f>
        <v>2.4762</v>
      </c>
      <c r="J26" s="4" t="str">
        <f>_xll.BDP(_xll.qwBlmID($B$1,C26), "MATURITY")</f>
        <v>9/15/2038</v>
      </c>
      <c r="K26" s="13">
        <f>DATEVALUE(_xll.BDP(_xll.qwBlmID($B$1,C26), "SWAP_EFFECTIVE_DATE_RT"))</f>
        <v>46279</v>
      </c>
      <c r="L26" s="1" cm="1">
        <f t="array" ref="L26:M26">_xll.qwSwapCashFlowsFixedLeg($B$1,C26)</f>
        <v>50663</v>
      </c>
      <c r="M26" s="14">
        <v>447.85720072802638</v>
      </c>
      <c r="N26" s="1" cm="1">
        <f t="array" ref="N26:O26">_xll.qwSwapCashFlowsFloatLeg($B$1,C26)</f>
        <v>50663</v>
      </c>
      <c r="O26" s="7">
        <v>447.85720072802638</v>
      </c>
      <c r="P26" s="15" cm="1">
        <f t="array" ref="P26">_xll.qwCurvePrice($B$1,"SofrSwap",C26)</f>
        <v>0</v>
      </c>
      <c r="Q26" t="e" cm="1">
        <f t="array" ref="Q26">_xll.qwDV01($B$1,C26)</f>
        <v>#NUM!</v>
      </c>
      <c r="R26" s="3"/>
    </row>
    <row r="27" spans="3:19" x14ac:dyDescent="0.25">
      <c r="C27" t="str">
        <v>USSWIT15</v>
      </c>
      <c r="D27" t="str" cm="1">
        <f t="array" ref="D27">_xll.qwTenor($B$1,C27)</f>
        <v>15Y</v>
      </c>
      <c r="E27" s="1" cm="1">
        <f t="array" ref="E27">_xll.qwEffective($B$1,C27)</f>
        <v>46280</v>
      </c>
      <c r="F27" cm="1">
        <f t="array" ref="F27">_xll.qwAsk($B$1,C27)</f>
        <v>2.4649999999999998E-2</v>
      </c>
      <c r="G27" cm="1">
        <f t="array" ref="G27">_xll.qwBid($B$1,C27)</f>
        <v>2.4468E-2</v>
      </c>
      <c r="H27" s="12" cm="1">
        <f t="array" ref="H27">_xll.qwYield($B$1,C27)</f>
        <v>2.4558999999999997E-2</v>
      </c>
      <c r="I27" s="4">
        <f>_xll.BDP(_xll.qwBlmID($B$1,C27), "PX_LAST")</f>
        <v>2.456</v>
      </c>
      <c r="J27" s="4" t="str">
        <f>_xll.BDP(_xll.qwBlmID($B$1,C27), "MATURITY")</f>
        <v>9/15/2041</v>
      </c>
      <c r="K27" s="13">
        <f>DATEVALUE(_xll.BDP(_xll.qwBlmID($B$1,C27), "SWAP_EFFECTIVE_DATE_RT"))</f>
        <v>46279</v>
      </c>
      <c r="L27" s="1" cm="1">
        <f t="array" ref="L27:M27">_xll.qwSwapCashFlowsFixedLeg($B$1,C27)</f>
        <v>51760</v>
      </c>
      <c r="M27" s="14">
        <v>480.55914540234915</v>
      </c>
      <c r="N27" s="1" cm="1">
        <f t="array" ref="N27:O27">_xll.qwSwapCashFlowsFloatLeg($B$1,C27)</f>
        <v>51760</v>
      </c>
      <c r="O27" s="7">
        <v>480.55966879837268</v>
      </c>
      <c r="P27" s="15" cm="1">
        <f t="array" ref="P27">_xll.qwCurvePrice($B$1,"SofrSwap",C27)</f>
        <v>-2.5993393788460088E-4</v>
      </c>
      <c r="Q27" t="e" cm="1">
        <f t="array" ref="Q27">_xll.qwDV01($B$1,C27)</f>
        <v>#NUM!</v>
      </c>
      <c r="R27" s="3"/>
    </row>
    <row r="28" spans="3:19" x14ac:dyDescent="0.25">
      <c r="C28" t="str">
        <v>USSWIT20</v>
      </c>
      <c r="D28" t="str" cm="1">
        <f t="array" ref="D28">_xll.qwTenor($B$1,C28)</f>
        <v>20Y</v>
      </c>
      <c r="E28" s="1" cm="1">
        <f t="array" ref="E28">_xll.qwEffective($B$1,C28)</f>
        <v>46280</v>
      </c>
      <c r="F28" cm="1">
        <f t="array" ref="F28">_xll.qwAsk($B$1,C28)</f>
        <v>2.4407999999999999E-2</v>
      </c>
      <c r="G28" cm="1">
        <f t="array" ref="G28">_xll.qwBid($B$1,C28)</f>
        <v>2.4192000000000002E-2</v>
      </c>
      <c r="H28" s="12" cm="1">
        <f t="array" ref="H28">_xll.qwYield($B$1,C28)</f>
        <v>2.4300000000000002E-2</v>
      </c>
      <c r="I28" s="4">
        <f>_xll.BDP(_xll.qwBlmID($B$1,C28), "PX_LAST")</f>
        <v>2.4300000000000002</v>
      </c>
      <c r="J28" s="4" t="str">
        <f>_xll.BDP(_xll.qwBlmID($B$1,C28), "MATURITY")</f>
        <v>9/15/2046</v>
      </c>
      <c r="K28" s="13">
        <f>DATEVALUE(_xll.BDP(_xll.qwBlmID($B$1,C28), "SWAP_EFFECTIVE_DATE_RT"))</f>
        <v>46279</v>
      </c>
      <c r="L28" s="1" cm="1">
        <f t="array" ref="L28:M28">_xll.qwSwapCashFlowsFixedLeg($B$1,C28)</f>
        <v>53587</v>
      </c>
      <c r="M28" s="14">
        <v>539.83863182667073</v>
      </c>
      <c r="N28" s="1" cm="1">
        <f t="array" ref="N28:O28">_xll.qwSwapCashFlowsFloatLeg($B$1,C28)</f>
        <v>53587</v>
      </c>
      <c r="O28" s="7">
        <v>539.84359180842387</v>
      </c>
      <c r="P28" s="15" cm="1">
        <f t="array" ref="P28">_xll.qwCurvePrice($B$1,"SofrSwap",C28)</f>
        <v>-1.9275315536242427E-3</v>
      </c>
      <c r="Q28" t="e" cm="1">
        <f t="array" ref="Q28">_xll.qwDV01($B$1,C28)</f>
        <v>#NUM!</v>
      </c>
      <c r="R28" s="3"/>
    </row>
    <row r="29" spans="3:19" x14ac:dyDescent="0.25">
      <c r="C29" t="str">
        <v>USSWIT30</v>
      </c>
      <c r="D29" t="str" cm="1">
        <f t="array" ref="D29">_xll.qwTenor($B$1,C29)</f>
        <v>30Y</v>
      </c>
      <c r="E29" s="1" cm="1">
        <f t="array" ref="E29">_xll.qwEffective($B$1,C29)</f>
        <v>46280</v>
      </c>
      <c r="F29" cm="1">
        <f t="array" ref="F29">_xll.qwAsk($B$1,C29)</f>
        <v>2.4107E-2</v>
      </c>
      <c r="G29" cm="1">
        <f t="array" ref="G29">_xll.qwBid($B$1,C29)</f>
        <v>2.3713000000000001E-2</v>
      </c>
      <c r="H29" s="12" cm="1">
        <f t="array" ref="H29">_xll.qwYield($B$1,C29)</f>
        <v>2.3910000000000001E-2</v>
      </c>
      <c r="I29" s="4">
        <f>_xll.BDP(_xll.qwBlmID($B$1,C29), "PX_LAST")</f>
        <v>2.391</v>
      </c>
      <c r="J29" s="4" t="str">
        <f>_xll.BDP(_xll.qwBlmID($B$1,C29), "MATURITY")</f>
        <v>9/15/2056</v>
      </c>
      <c r="K29" s="13">
        <f>DATEVALUE(_xll.BDP(_xll.qwBlmID($B$1,C29), "SWAP_EFFECTIVE_DATE_RT"))</f>
        <v>46279</v>
      </c>
      <c r="L29" s="1" cm="1">
        <f t="array" ref="L29:M29">_xll.qwSwapCashFlowsFixedLeg($B$1,C29)</f>
        <v>57238</v>
      </c>
      <c r="M29" s="14">
        <v>678.44859319791624</v>
      </c>
      <c r="N29" s="1" cm="1">
        <f t="array" ref="N29:O29">_xll.qwSwapCashFlowsFloatLeg($B$1,C29)</f>
        <v>57238</v>
      </c>
      <c r="O29" s="7">
        <v>678.44859319791624</v>
      </c>
      <c r="P29" s="15" cm="1">
        <f t="array" ref="P29">_xll.qwCurvePrice($B$1,"SofrSwap",C29)</f>
        <v>0</v>
      </c>
      <c r="Q29" t="e" cm="1">
        <f t="array" ref="Q29">_xll.qwDV01($B$1,C29)</f>
        <v>#NUM!</v>
      </c>
      <c r="R29" s="3"/>
    </row>
    <row r="30" spans="3:19" x14ac:dyDescent="0.25">
      <c r="H30" s="12"/>
      <c r="I30" s="12"/>
      <c r="O30" s="7"/>
      <c r="Q30" t="e" cm="1">
        <f t="array" ref="Q30">_xll.qwDV01($B$1,C30)</f>
        <v>#NUM!</v>
      </c>
      <c r="R30" s="3"/>
    </row>
    <row r="31" spans="3:19" x14ac:dyDescent="0.25">
      <c r="H31" s="12"/>
      <c r="I31" s="12"/>
      <c r="O31" s="7"/>
      <c r="Q31" t="e" cm="1">
        <f t="array" ref="Q31">_xll.qwDV01($B$1,C31)</f>
        <v>#NUM!</v>
      </c>
      <c r="R31" s="3"/>
    </row>
    <row r="32" spans="3:19" x14ac:dyDescent="0.25">
      <c r="H32" s="12"/>
      <c r="I32" s="12"/>
      <c r="O32" s="7"/>
      <c r="Q32" t="e" cm="1">
        <f t="array" ref="Q32">_xll.qwDV01($B$1,C32)</f>
        <v>#NUM!</v>
      </c>
      <c r="R32" s="3"/>
    </row>
    <row r="33" spans="8:18" x14ac:dyDescent="0.25">
      <c r="H33" s="12"/>
      <c r="I33" s="12"/>
      <c r="O33" s="7"/>
      <c r="Q33" t="e" cm="1">
        <f t="array" ref="Q33">_xll.qwDV01($B$1,C33)</f>
        <v>#NUM!</v>
      </c>
      <c r="R33" s="3"/>
    </row>
    <row r="34" spans="8:18" x14ac:dyDescent="0.25">
      <c r="H34" s="12"/>
      <c r="I34" s="12"/>
      <c r="O34" s="7"/>
      <c r="Q34" t="e" cm="1">
        <f t="array" ref="Q34">_xll.qwDV01($B$1,C34)</f>
        <v>#NUM!</v>
      </c>
      <c r="R34" s="3"/>
    </row>
    <row r="35" spans="8:18" x14ac:dyDescent="0.25">
      <c r="I35" s="2"/>
      <c r="O35" s="7"/>
      <c r="R35" s="3"/>
    </row>
    <row r="36" spans="8:18" x14ac:dyDescent="0.25">
      <c r="I36" s="2"/>
      <c r="J36" s="12"/>
      <c r="O36" s="2"/>
      <c r="R36" s="3"/>
    </row>
    <row r="37" spans="8:18" x14ac:dyDescent="0.25">
      <c r="I37" s="2"/>
      <c r="J37" s="12"/>
      <c r="R37" s="3"/>
    </row>
    <row r="38" spans="8:18" x14ac:dyDescent="0.25">
      <c r="I38" s="2"/>
      <c r="J38" s="12"/>
      <c r="O38" s="2"/>
      <c r="R38" s="3"/>
    </row>
    <row r="39" spans="8:18" x14ac:dyDescent="0.25">
      <c r="I39" s="2"/>
      <c r="J39" s="12"/>
      <c r="O39" s="7"/>
      <c r="R39" s="3"/>
    </row>
    <row r="40" spans="8:18" x14ac:dyDescent="0.25">
      <c r="I40" s="2"/>
      <c r="J40" s="12"/>
      <c r="O40" s="7"/>
      <c r="R40" s="3"/>
    </row>
    <row r="41" spans="8:18" x14ac:dyDescent="0.25">
      <c r="I41" s="2"/>
      <c r="J41" s="12"/>
      <c r="O41" s="7"/>
      <c r="R41" s="3"/>
    </row>
    <row r="42" spans="8:18" x14ac:dyDescent="0.25">
      <c r="I42" s="2"/>
      <c r="J42" s="12"/>
      <c r="O42" s="7"/>
      <c r="R42" s="3"/>
    </row>
    <row r="43" spans="8:18" x14ac:dyDescent="0.25">
      <c r="I43" s="2"/>
      <c r="J43" s="12"/>
      <c r="O43" s="7"/>
      <c r="R43" s="3"/>
    </row>
    <row r="44" spans="8:18" x14ac:dyDescent="0.25">
      <c r="I44" s="2"/>
      <c r="J44" s="12"/>
      <c r="O44" s="7"/>
      <c r="R44" s="3"/>
    </row>
    <row r="45" spans="8:18" x14ac:dyDescent="0.25">
      <c r="I45" s="2"/>
      <c r="J45" s="3"/>
      <c r="O45" s="7"/>
      <c r="R45" s="3"/>
    </row>
    <row r="46" spans="8:18" x14ac:dyDescent="0.25">
      <c r="J46" s="3"/>
      <c r="O46" s="7"/>
      <c r="R46" s="3"/>
    </row>
    <row r="47" spans="8:18" x14ac:dyDescent="0.25">
      <c r="I47" s="2"/>
      <c r="J47" s="3"/>
      <c r="O47" s="7"/>
      <c r="R47" s="3"/>
    </row>
    <row r="48" spans="8:18" x14ac:dyDescent="0.25">
      <c r="I48" s="2"/>
      <c r="O48" s="7"/>
      <c r="R48" s="3"/>
    </row>
    <row r="49" spans="9:18" x14ac:dyDescent="0.25">
      <c r="I49" s="2"/>
      <c r="O49" s="7"/>
      <c r="R49" s="3"/>
    </row>
    <row r="50" spans="9:18" x14ac:dyDescent="0.25">
      <c r="I50" s="2"/>
      <c r="O50" s="7"/>
      <c r="R50" s="3"/>
    </row>
    <row r="51" spans="9:18" x14ac:dyDescent="0.25">
      <c r="I51" s="2"/>
      <c r="O51" s="7"/>
      <c r="R51" s="3"/>
    </row>
    <row r="52" spans="9:18" x14ac:dyDescent="0.25">
      <c r="I52" s="2"/>
      <c r="O52" s="7"/>
      <c r="R52" s="3"/>
    </row>
    <row r="53" spans="9:18" x14ac:dyDescent="0.25">
      <c r="I53" s="2"/>
      <c r="O53" s="7"/>
      <c r="R53" s="3"/>
    </row>
    <row r="54" spans="9:18" x14ac:dyDescent="0.25">
      <c r="I54" s="2"/>
      <c r="O54" s="7"/>
      <c r="R54" s="3"/>
    </row>
    <row r="55" spans="9:18" x14ac:dyDescent="0.25">
      <c r="I55" s="2"/>
      <c r="O55" s="7"/>
      <c r="R55" s="3"/>
    </row>
    <row r="56" spans="9:18" x14ac:dyDescent="0.25">
      <c r="I56" s="2"/>
      <c r="M56" s="6"/>
      <c r="O56" s="7"/>
      <c r="R56" s="3"/>
    </row>
    <row r="57" spans="9:18" x14ac:dyDescent="0.25">
      <c r="I57" s="2"/>
      <c r="M57" s="10"/>
      <c r="O57" s="7"/>
      <c r="R57" s="3"/>
    </row>
    <row r="58" spans="9:18" x14ac:dyDescent="0.25">
      <c r="I58" s="2"/>
      <c r="O58" s="7"/>
      <c r="R58" s="3"/>
    </row>
    <row r="59" spans="9:18" x14ac:dyDescent="0.25">
      <c r="I59" s="2"/>
      <c r="O59" s="7"/>
      <c r="R59" s="3"/>
    </row>
    <row r="60" spans="9:18" x14ac:dyDescent="0.25">
      <c r="I60" s="2"/>
      <c r="O60" s="7"/>
      <c r="Q60" s="3"/>
      <c r="R60" s="3"/>
    </row>
    <row r="61" spans="9:18" x14ac:dyDescent="0.25">
      <c r="I61" s="2"/>
      <c r="O61" s="7"/>
      <c r="Q61" s="3"/>
      <c r="R61" s="3"/>
    </row>
    <row r="62" spans="9:18" x14ac:dyDescent="0.25">
      <c r="I62" s="2"/>
      <c r="O62" s="7"/>
      <c r="Q62" s="3"/>
      <c r="R62" s="3"/>
    </row>
    <row r="63" spans="9:18" x14ac:dyDescent="0.25">
      <c r="I63" s="2"/>
      <c r="O63" s="7"/>
      <c r="Q63" s="3"/>
      <c r="R63" s="3"/>
    </row>
    <row r="64" spans="9:18" x14ac:dyDescent="0.25">
      <c r="I64" s="2"/>
      <c r="O64" s="7"/>
      <c r="Q64" s="3"/>
      <c r="R64" s="3"/>
    </row>
    <row r="65" spans="8:18" x14ac:dyDescent="0.25">
      <c r="I65" s="2"/>
      <c r="O65" s="7"/>
      <c r="Q65" s="3"/>
      <c r="R65" s="3"/>
    </row>
    <row r="66" spans="8:18" x14ac:dyDescent="0.25">
      <c r="I66" s="2"/>
      <c r="M66" s="8"/>
      <c r="O66" s="7"/>
      <c r="Q66" s="3"/>
      <c r="R66" s="3"/>
    </row>
    <row r="67" spans="8:18" x14ac:dyDescent="0.25">
      <c r="I67" s="2"/>
      <c r="O67" s="7"/>
      <c r="Q67" s="3"/>
      <c r="R67" s="3"/>
    </row>
    <row r="68" spans="8:18" x14ac:dyDescent="0.25">
      <c r="I68" s="2"/>
      <c r="O68" s="7"/>
      <c r="Q68" s="3"/>
      <c r="R68" s="3"/>
    </row>
    <row r="69" spans="8:18" x14ac:dyDescent="0.25">
      <c r="I69" s="2"/>
      <c r="O69" s="7"/>
      <c r="Q69" s="3"/>
      <c r="R69" s="3"/>
    </row>
    <row r="70" spans="8:18" x14ac:dyDescent="0.25">
      <c r="I70" s="2"/>
      <c r="O70" s="7"/>
      <c r="Q70" s="3"/>
      <c r="R70" s="3"/>
    </row>
    <row r="71" spans="8:18" x14ac:dyDescent="0.25">
      <c r="I71" s="2"/>
      <c r="O71" s="7"/>
      <c r="Q71" s="3"/>
      <c r="R71" s="3"/>
    </row>
    <row r="72" spans="8:18" x14ac:dyDescent="0.25">
      <c r="H72" s="1"/>
      <c r="I72" s="2"/>
      <c r="O72" s="7"/>
      <c r="Q72" s="3"/>
      <c r="R72" s="3"/>
    </row>
    <row r="73" spans="8:18" x14ac:dyDescent="0.25">
      <c r="H73" s="1"/>
      <c r="I73" s="2"/>
      <c r="O73" s="7"/>
      <c r="Q73" s="3"/>
      <c r="R73" s="3"/>
    </row>
    <row r="74" spans="8:18" x14ac:dyDescent="0.25">
      <c r="H74" s="1"/>
      <c r="I74" s="2"/>
      <c r="O74" s="7"/>
      <c r="Q74" s="3"/>
      <c r="R74" s="3"/>
    </row>
    <row r="75" spans="8:18" x14ac:dyDescent="0.25">
      <c r="H75" s="1"/>
      <c r="I75" s="2"/>
      <c r="O75" s="7"/>
      <c r="Q75" s="3"/>
      <c r="R75" s="3"/>
    </row>
    <row r="76" spans="8:18" x14ac:dyDescent="0.25">
      <c r="H76" s="1"/>
      <c r="I76" s="2"/>
      <c r="M76" s="6"/>
      <c r="O76" s="7"/>
      <c r="Q76" s="3"/>
      <c r="R76" s="3"/>
    </row>
    <row r="77" spans="8:18" x14ac:dyDescent="0.25">
      <c r="H77" s="1"/>
      <c r="I77" s="2"/>
      <c r="M77" s="6"/>
      <c r="O77" s="7"/>
      <c r="Q77" s="3"/>
      <c r="R77" s="3"/>
    </row>
    <row r="78" spans="8:18" x14ac:dyDescent="0.25">
      <c r="H78" s="1"/>
      <c r="I78" s="2"/>
      <c r="O78" s="7"/>
      <c r="Q78" s="3"/>
      <c r="R78" s="3"/>
    </row>
    <row r="79" spans="8:18" x14ac:dyDescent="0.25">
      <c r="H79" s="1"/>
      <c r="I79" s="2"/>
      <c r="O79" s="7"/>
      <c r="Q79" s="3"/>
      <c r="R79" s="3"/>
    </row>
    <row r="80" spans="8:18" x14ac:dyDescent="0.25">
      <c r="H80" s="1"/>
      <c r="I80" s="2"/>
      <c r="O80" s="7"/>
      <c r="Q80" s="3"/>
      <c r="R80" s="3"/>
    </row>
    <row r="81" spans="8:18" x14ac:dyDescent="0.25">
      <c r="H81" s="1"/>
      <c r="O81" s="7"/>
      <c r="Q81" s="3"/>
      <c r="R81" s="3"/>
    </row>
    <row r="82" spans="8:18" x14ac:dyDescent="0.25">
      <c r="H82" s="1"/>
      <c r="O82" s="7"/>
      <c r="Q82" s="3"/>
      <c r="R82" s="3"/>
    </row>
    <row r="83" spans="8:18" x14ac:dyDescent="0.25">
      <c r="H83" s="1"/>
      <c r="M83" s="7"/>
      <c r="O83" s="7"/>
      <c r="Q83" s="3"/>
      <c r="R83" s="3"/>
    </row>
    <row r="84" spans="8:18" x14ac:dyDescent="0.25">
      <c r="H84" s="1"/>
      <c r="O84" s="7"/>
      <c r="Q84" s="3"/>
      <c r="R84" s="3"/>
    </row>
    <row r="85" spans="8:18" x14ac:dyDescent="0.25">
      <c r="H85" s="1"/>
      <c r="O85" s="7"/>
      <c r="Q85" s="3"/>
      <c r="R85" s="3"/>
    </row>
    <row r="86" spans="8:18" x14ac:dyDescent="0.25">
      <c r="H86" s="1"/>
      <c r="O86" s="7"/>
      <c r="Q86" s="3"/>
      <c r="R86" s="3"/>
    </row>
    <row r="87" spans="8:18" x14ac:dyDescent="0.25">
      <c r="H87" s="1"/>
      <c r="O87" s="7"/>
      <c r="Q87" s="3"/>
      <c r="R87" s="3"/>
    </row>
    <row r="88" spans="8:18" x14ac:dyDescent="0.25">
      <c r="H88" s="1"/>
      <c r="M88" s="7"/>
      <c r="O88" s="7"/>
      <c r="Q88" s="3"/>
      <c r="R88" s="3"/>
    </row>
    <row r="89" spans="8:18" x14ac:dyDescent="0.25">
      <c r="H89" s="1"/>
      <c r="O89" s="7"/>
      <c r="Q89" s="3"/>
      <c r="R89" s="3"/>
    </row>
    <row r="90" spans="8:18" x14ac:dyDescent="0.25">
      <c r="H90" s="1"/>
      <c r="O90" s="7"/>
      <c r="Q90" s="3"/>
      <c r="R90" s="3"/>
    </row>
    <row r="91" spans="8:18" x14ac:dyDescent="0.25">
      <c r="H91" s="1"/>
      <c r="O91" s="7"/>
      <c r="Q91" s="3"/>
      <c r="R91" s="3"/>
    </row>
    <row r="92" spans="8:18" x14ac:dyDescent="0.25">
      <c r="H92" s="1"/>
      <c r="O92" s="7"/>
      <c r="Q92" s="3"/>
      <c r="R92" s="3"/>
    </row>
    <row r="93" spans="8:18" x14ac:dyDescent="0.25">
      <c r="H93" s="5"/>
      <c r="J93" s="7"/>
      <c r="O93" s="7"/>
      <c r="Q93" s="3"/>
      <c r="R93" s="3"/>
    </row>
    <row r="94" spans="8:18" x14ac:dyDescent="0.25">
      <c r="H94" s="5"/>
      <c r="J94" s="7"/>
      <c r="O94" s="7"/>
    </row>
    <row r="95" spans="8:18" x14ac:dyDescent="0.25">
      <c r="H95" s="5"/>
      <c r="J95" s="7"/>
      <c r="O95" s="7"/>
    </row>
    <row r="96" spans="8:18" x14ac:dyDescent="0.25">
      <c r="H96" s="1"/>
      <c r="J96" s="7"/>
      <c r="O96" s="7"/>
    </row>
    <row r="97" spans="8:15" x14ac:dyDescent="0.25">
      <c r="H97" s="1"/>
      <c r="J97" s="7"/>
      <c r="M97" s="6"/>
      <c r="O97" s="7"/>
    </row>
    <row r="98" spans="8:15" x14ac:dyDescent="0.25">
      <c r="H98" s="1"/>
      <c r="J98" s="7"/>
      <c r="M98" s="9"/>
      <c r="O98" s="7"/>
    </row>
    <row r="99" spans="8:15" x14ac:dyDescent="0.25">
      <c r="H99" s="1"/>
      <c r="J99" s="7"/>
      <c r="M99" s="7"/>
      <c r="O99" s="7"/>
    </row>
    <row r="100" spans="8:15" x14ac:dyDescent="0.25">
      <c r="H100" s="1"/>
      <c r="J100" s="7"/>
      <c r="O100" s="7"/>
    </row>
    <row r="101" spans="8:15" x14ac:dyDescent="0.25">
      <c r="H101" s="11"/>
      <c r="J101" s="7"/>
      <c r="O101" s="7"/>
    </row>
    <row r="102" spans="8:15" x14ac:dyDescent="0.25">
      <c r="H102" s="1"/>
      <c r="J102" s="7"/>
      <c r="O102" s="7"/>
    </row>
    <row r="103" spans="8:15" x14ac:dyDescent="0.25">
      <c r="H103" s="1"/>
      <c r="J103" s="7"/>
      <c r="M103" s="7"/>
      <c r="O103" s="7"/>
    </row>
    <row r="104" spans="8:15" x14ac:dyDescent="0.25">
      <c r="H104" s="1"/>
      <c r="J104" s="7"/>
      <c r="M104" s="7"/>
      <c r="O104" s="7"/>
    </row>
    <row r="105" spans="8:15" x14ac:dyDescent="0.25">
      <c r="H105" s="1"/>
      <c r="J105" s="7"/>
      <c r="M105" s="7"/>
      <c r="O105" s="7"/>
    </row>
    <row r="106" spans="8:15" x14ac:dyDescent="0.25">
      <c r="H106" s="1"/>
      <c r="J106" s="7"/>
      <c r="M106" s="7"/>
      <c r="O106" s="7"/>
    </row>
    <row r="107" spans="8:15" x14ac:dyDescent="0.25">
      <c r="H107" s="1"/>
      <c r="J107" s="7"/>
      <c r="M107" s="7"/>
      <c r="O107" s="7"/>
    </row>
    <row r="108" spans="8:15" x14ac:dyDescent="0.25">
      <c r="H108" s="1"/>
      <c r="J108" s="7"/>
      <c r="M108" s="7"/>
      <c r="O108" s="7"/>
    </row>
    <row r="109" spans="8:15" x14ac:dyDescent="0.25">
      <c r="H109" s="1"/>
      <c r="J109" s="7"/>
      <c r="M109" s="7"/>
      <c r="O109" s="7"/>
    </row>
    <row r="110" spans="8:15" x14ac:dyDescent="0.25">
      <c r="H110" s="1"/>
      <c r="J110" s="7"/>
      <c r="M110" s="7"/>
      <c r="O110" s="7"/>
    </row>
    <row r="111" spans="8:15" x14ac:dyDescent="0.25">
      <c r="H111" s="1"/>
      <c r="J111" s="7"/>
      <c r="M111" s="7"/>
      <c r="O111" s="7"/>
    </row>
    <row r="112" spans="8:15" x14ac:dyDescent="0.25">
      <c r="H112" s="1"/>
      <c r="J112" s="7"/>
      <c r="M112" s="7"/>
      <c r="O112" s="7"/>
    </row>
    <row r="113" spans="8:15" x14ac:dyDescent="0.25">
      <c r="H113" s="1"/>
      <c r="J113" s="7"/>
      <c r="M113" s="7"/>
      <c r="O113" s="7"/>
    </row>
    <row r="114" spans="8:15" x14ac:dyDescent="0.25">
      <c r="H114" s="1"/>
      <c r="J114" s="7"/>
      <c r="M114" s="7"/>
      <c r="O114" s="7"/>
    </row>
    <row r="115" spans="8:15" x14ac:dyDescent="0.25">
      <c r="H115" s="1"/>
      <c r="J115" s="7"/>
      <c r="M115" s="7"/>
      <c r="O115" s="7"/>
    </row>
    <row r="116" spans="8:15" x14ac:dyDescent="0.25">
      <c r="H116" s="1"/>
      <c r="J116" s="7"/>
      <c r="M116" s="7"/>
      <c r="O116" s="7"/>
    </row>
    <row r="117" spans="8:15" x14ac:dyDescent="0.25">
      <c r="H117" s="1"/>
      <c r="J117" s="7"/>
      <c r="M117" s="7"/>
      <c r="O117" s="7"/>
    </row>
    <row r="118" spans="8:15" x14ac:dyDescent="0.25">
      <c r="H118" s="1"/>
      <c r="J118" s="7"/>
      <c r="M118" s="7"/>
      <c r="O118" s="7"/>
    </row>
    <row r="119" spans="8:15" x14ac:dyDescent="0.25">
      <c r="H119" s="1"/>
      <c r="J119" s="7"/>
      <c r="M119" s="7"/>
      <c r="O119" s="7"/>
    </row>
    <row r="120" spans="8:15" x14ac:dyDescent="0.25">
      <c r="H120" s="1"/>
      <c r="J120" s="7"/>
      <c r="M120" s="7"/>
      <c r="O120" s="7"/>
    </row>
    <row r="121" spans="8:15" x14ac:dyDescent="0.25">
      <c r="H121" s="1"/>
      <c r="J121" s="7"/>
      <c r="M121" s="7"/>
      <c r="O121" s="7"/>
    </row>
    <row r="122" spans="8:15" x14ac:dyDescent="0.25">
      <c r="H122" s="1"/>
      <c r="J122" s="7"/>
      <c r="M122" s="7"/>
      <c r="O122" s="7"/>
    </row>
    <row r="123" spans="8:15" x14ac:dyDescent="0.25">
      <c r="H123" s="1"/>
      <c r="J123" s="7"/>
      <c r="M123" s="7"/>
      <c r="O123" s="7"/>
    </row>
    <row r="124" spans="8:15" x14ac:dyDescent="0.25">
      <c r="H124" s="1"/>
      <c r="J124" s="7"/>
      <c r="M124" s="7"/>
      <c r="O124" s="7"/>
    </row>
    <row r="125" spans="8:15" x14ac:dyDescent="0.25">
      <c r="H125" s="1"/>
      <c r="J125" s="7"/>
      <c r="M125" s="7"/>
      <c r="O125" s="7"/>
    </row>
    <row r="126" spans="8:15" x14ac:dyDescent="0.25">
      <c r="H126" s="1"/>
      <c r="J126" s="7"/>
      <c r="M126" s="7"/>
      <c r="O126" s="7"/>
    </row>
    <row r="127" spans="8:15" x14ac:dyDescent="0.25">
      <c r="H127" s="1"/>
      <c r="J127" s="7"/>
      <c r="M127" s="7"/>
      <c r="O127" s="7"/>
    </row>
    <row r="128" spans="8:15" x14ac:dyDescent="0.25">
      <c r="H128" s="1"/>
      <c r="J128" s="7"/>
      <c r="M128" s="7"/>
      <c r="O128" s="7"/>
    </row>
    <row r="129" spans="8:15" x14ac:dyDescent="0.25">
      <c r="H129" s="1"/>
      <c r="J129" s="7"/>
      <c r="M129" s="7"/>
      <c r="O129" s="7"/>
    </row>
    <row r="130" spans="8:15" x14ac:dyDescent="0.25">
      <c r="H130" s="1"/>
      <c r="J130" s="7"/>
      <c r="M130" s="7"/>
      <c r="O130" s="7"/>
    </row>
    <row r="131" spans="8:15" x14ac:dyDescent="0.25">
      <c r="H131" s="1"/>
      <c r="J131" s="7"/>
      <c r="M131" s="7"/>
      <c r="O131" s="7"/>
    </row>
    <row r="132" spans="8:15" x14ac:dyDescent="0.25">
      <c r="H132" s="1"/>
      <c r="J132" s="7"/>
      <c r="M132" s="7"/>
      <c r="O132" s="7"/>
    </row>
    <row r="133" spans="8:15" x14ac:dyDescent="0.25">
      <c r="H133" s="1"/>
      <c r="J133" s="7"/>
      <c r="M133" s="7"/>
      <c r="O133" s="7"/>
    </row>
    <row r="134" spans="8:15" x14ac:dyDescent="0.25">
      <c r="H134" s="1"/>
      <c r="J134" s="7"/>
      <c r="M134" s="7"/>
      <c r="O134" s="7"/>
    </row>
    <row r="135" spans="8:15" x14ac:dyDescent="0.25">
      <c r="H135" s="1"/>
      <c r="J135" s="7"/>
      <c r="M135" s="7"/>
      <c r="O135" s="7"/>
    </row>
    <row r="136" spans="8:15" x14ac:dyDescent="0.25">
      <c r="H136" s="1"/>
      <c r="J136" s="7"/>
      <c r="M136" s="7"/>
      <c r="O136" s="7"/>
    </row>
    <row r="137" spans="8:15" x14ac:dyDescent="0.25">
      <c r="H137" s="1"/>
      <c r="J137" s="7"/>
      <c r="M137" s="7"/>
      <c r="O137" s="7"/>
    </row>
    <row r="138" spans="8:15" x14ac:dyDescent="0.25">
      <c r="H138" s="1"/>
      <c r="J138" s="7"/>
      <c r="M138" s="7"/>
      <c r="O138" s="7"/>
    </row>
    <row r="139" spans="8:15" x14ac:dyDescent="0.25">
      <c r="H139" s="1"/>
      <c r="J139" s="7"/>
      <c r="M139" s="7"/>
      <c r="O139" s="7"/>
    </row>
    <row r="140" spans="8:15" x14ac:dyDescent="0.25">
      <c r="H140" s="1"/>
      <c r="J140" s="7"/>
      <c r="M140" s="7"/>
      <c r="O140" s="7"/>
    </row>
    <row r="141" spans="8:15" x14ac:dyDescent="0.25">
      <c r="H141" s="1"/>
      <c r="J141" s="7"/>
      <c r="M141" s="7"/>
      <c r="O141" s="7"/>
    </row>
    <row r="142" spans="8:15" x14ac:dyDescent="0.25">
      <c r="H142" s="1"/>
      <c r="J142" s="7"/>
      <c r="M142" s="7"/>
      <c r="O142" s="7"/>
    </row>
    <row r="143" spans="8:15" x14ac:dyDescent="0.25">
      <c r="H143" s="1"/>
      <c r="J143" s="7"/>
      <c r="M143" s="7"/>
      <c r="O143" s="7"/>
    </row>
    <row r="144" spans="8:15" x14ac:dyDescent="0.25">
      <c r="H144" s="1"/>
      <c r="J144" s="7"/>
      <c r="M144" s="7"/>
      <c r="O144" s="7"/>
    </row>
    <row r="145" spans="8:15" x14ac:dyDescent="0.25">
      <c r="H145" s="1"/>
      <c r="J145" s="7"/>
      <c r="M145" s="7"/>
      <c r="O145" s="7"/>
    </row>
    <row r="146" spans="8:15" x14ac:dyDescent="0.25">
      <c r="H146" s="1"/>
      <c r="J146" s="7"/>
      <c r="M146" s="7"/>
      <c r="O146" s="7"/>
    </row>
    <row r="147" spans="8:15" x14ac:dyDescent="0.25">
      <c r="H147" s="1"/>
      <c r="J147" s="7"/>
      <c r="M147" s="7"/>
      <c r="O147" s="7"/>
    </row>
    <row r="148" spans="8:15" x14ac:dyDescent="0.25">
      <c r="H148" s="1"/>
      <c r="J148" s="7"/>
      <c r="M148" s="7"/>
      <c r="O148" s="7"/>
    </row>
    <row r="149" spans="8:15" x14ac:dyDescent="0.25">
      <c r="H149" s="1"/>
      <c r="J149" s="7"/>
      <c r="M149" s="7"/>
      <c r="O149" s="7"/>
    </row>
    <row r="150" spans="8:15" x14ac:dyDescent="0.25">
      <c r="H150" s="1"/>
      <c r="J150" s="7"/>
      <c r="M150" s="7"/>
      <c r="O150" s="7"/>
    </row>
    <row r="151" spans="8:15" x14ac:dyDescent="0.25">
      <c r="H151" s="1"/>
      <c r="J151" s="7"/>
      <c r="M151" s="7"/>
      <c r="O151" s="7"/>
    </row>
    <row r="152" spans="8:15" x14ac:dyDescent="0.25">
      <c r="H152" s="1"/>
      <c r="J152" s="7"/>
      <c r="M152" s="7"/>
      <c r="O152" s="7"/>
    </row>
    <row r="153" spans="8:15" x14ac:dyDescent="0.25">
      <c r="H153" s="1"/>
      <c r="J153" s="7"/>
      <c r="M153" s="7"/>
      <c r="O153" s="7"/>
    </row>
    <row r="154" spans="8:15" x14ac:dyDescent="0.25">
      <c r="H154" s="1"/>
      <c r="J154" s="7"/>
      <c r="M154" s="7"/>
      <c r="O154" s="7"/>
    </row>
    <row r="155" spans="8:15" x14ac:dyDescent="0.25">
      <c r="H155" s="1"/>
      <c r="J155" s="7"/>
      <c r="M155" s="7"/>
      <c r="O155" s="7"/>
    </row>
    <row r="156" spans="8:15" x14ac:dyDescent="0.25">
      <c r="H156" s="1"/>
      <c r="J156" s="7"/>
      <c r="M156" s="7"/>
      <c r="O156" s="7"/>
    </row>
    <row r="157" spans="8:15" x14ac:dyDescent="0.25">
      <c r="H157" s="1"/>
      <c r="J157" s="7"/>
      <c r="M157" s="7"/>
      <c r="O157" s="7"/>
    </row>
    <row r="158" spans="8:15" x14ac:dyDescent="0.25">
      <c r="H158" s="11"/>
      <c r="J158" s="7"/>
      <c r="M158" s="7"/>
      <c r="O158" s="7"/>
    </row>
    <row r="159" spans="8:15" x14ac:dyDescent="0.25">
      <c r="J159" s="7"/>
      <c r="M159" s="7"/>
      <c r="O159" s="7"/>
    </row>
    <row r="160" spans="8:15" x14ac:dyDescent="0.25">
      <c r="J160" s="7"/>
      <c r="M160" s="7"/>
      <c r="O160" s="7"/>
    </row>
    <row r="161" spans="10:15" x14ac:dyDescent="0.25">
      <c r="J161" s="7"/>
      <c r="M161" s="7"/>
      <c r="O161" s="7"/>
    </row>
    <row r="162" spans="10:15" x14ac:dyDescent="0.25">
      <c r="J162" s="7"/>
      <c r="M162" s="7"/>
      <c r="O162" s="7"/>
    </row>
    <row r="163" spans="10:15" x14ac:dyDescent="0.25">
      <c r="J163" s="7"/>
      <c r="M163" s="7"/>
      <c r="O163" s="7"/>
    </row>
    <row r="164" spans="10:15" x14ac:dyDescent="0.25">
      <c r="J164" s="7"/>
      <c r="M164" s="7"/>
      <c r="O164" s="7"/>
    </row>
    <row r="165" spans="10:15" x14ac:dyDescent="0.25">
      <c r="J165" s="7"/>
      <c r="M165" s="7"/>
      <c r="O165" s="7"/>
    </row>
    <row r="166" spans="10:15" x14ac:dyDescent="0.25">
      <c r="J166" s="7"/>
      <c r="M166" s="7"/>
      <c r="O166" s="7"/>
    </row>
    <row r="167" spans="10:15" x14ac:dyDescent="0.25">
      <c r="J167" s="7"/>
      <c r="M167" s="7"/>
      <c r="O167" s="7"/>
    </row>
    <row r="168" spans="10:15" x14ac:dyDescent="0.25">
      <c r="J168" s="7"/>
      <c r="M168" s="7"/>
      <c r="O168" s="7"/>
    </row>
    <row r="169" spans="10:15" x14ac:dyDescent="0.25">
      <c r="J169" s="7"/>
      <c r="M169" s="7"/>
      <c r="O169" s="7"/>
    </row>
    <row r="170" spans="10:15" x14ac:dyDescent="0.25">
      <c r="J170" s="7"/>
      <c r="M170" s="7"/>
      <c r="O170" s="7"/>
    </row>
    <row r="171" spans="10:15" x14ac:dyDescent="0.25">
      <c r="J171" s="7"/>
      <c r="M171" s="7"/>
      <c r="O171" s="7"/>
    </row>
    <row r="172" spans="10:15" x14ac:dyDescent="0.25">
      <c r="J172" s="7"/>
      <c r="M172" s="7"/>
      <c r="O172" s="7"/>
    </row>
    <row r="173" spans="10:15" x14ac:dyDescent="0.25">
      <c r="J173" s="7"/>
      <c r="M173" s="7"/>
      <c r="O173" s="7"/>
    </row>
    <row r="174" spans="10:15" x14ac:dyDescent="0.25">
      <c r="J174" s="7"/>
      <c r="M174" s="7"/>
      <c r="O174" s="7"/>
    </row>
    <row r="175" spans="10:15" x14ac:dyDescent="0.25">
      <c r="J175" s="7"/>
      <c r="M175" s="7"/>
      <c r="O175" s="7"/>
    </row>
    <row r="176" spans="10:15" x14ac:dyDescent="0.25">
      <c r="J176" s="7"/>
      <c r="M176" s="7"/>
      <c r="O176" s="7"/>
    </row>
    <row r="177" spans="10:15" x14ac:dyDescent="0.25">
      <c r="J177" s="7"/>
      <c r="M177" s="7"/>
      <c r="O177" s="7"/>
    </row>
    <row r="178" spans="10:15" x14ac:dyDescent="0.25">
      <c r="J178" s="7"/>
      <c r="M178" s="7"/>
      <c r="O178" s="7"/>
    </row>
    <row r="179" spans="10:15" x14ac:dyDescent="0.25">
      <c r="J179" s="7"/>
      <c r="M179" s="7"/>
      <c r="O179" s="7"/>
    </row>
    <row r="180" spans="10:15" x14ac:dyDescent="0.25">
      <c r="J180" s="7"/>
      <c r="M180" s="7"/>
      <c r="O180" s="7"/>
    </row>
    <row r="181" spans="10:15" x14ac:dyDescent="0.25">
      <c r="J181" s="7"/>
      <c r="M181" s="7"/>
      <c r="O181" s="7"/>
    </row>
    <row r="182" spans="10:15" x14ac:dyDescent="0.25">
      <c r="J182" s="7"/>
      <c r="M182" s="7"/>
      <c r="O182" s="7"/>
    </row>
    <row r="183" spans="10:15" x14ac:dyDescent="0.25">
      <c r="J183" s="7"/>
      <c r="M183" s="7"/>
      <c r="O183" s="7"/>
    </row>
    <row r="184" spans="10:15" x14ac:dyDescent="0.25">
      <c r="J184" s="7"/>
      <c r="M184" s="7"/>
      <c r="O184" s="7"/>
    </row>
    <row r="185" spans="10:15" x14ac:dyDescent="0.25">
      <c r="J185" s="7"/>
      <c r="M185" s="7"/>
      <c r="O185" s="7"/>
    </row>
    <row r="186" spans="10:15" x14ac:dyDescent="0.25">
      <c r="J186" s="7"/>
      <c r="M186" s="7"/>
      <c r="O186" s="7"/>
    </row>
    <row r="187" spans="10:15" x14ac:dyDescent="0.25">
      <c r="J187" s="7"/>
      <c r="M187" s="7"/>
      <c r="O187" s="7"/>
    </row>
    <row r="188" spans="10:15" x14ac:dyDescent="0.25">
      <c r="J188" s="7"/>
      <c r="M188" s="7"/>
      <c r="O188" s="7"/>
    </row>
    <row r="189" spans="10:15" x14ac:dyDescent="0.25">
      <c r="J189" s="7"/>
      <c r="M189" s="7"/>
      <c r="O189" s="7"/>
    </row>
    <row r="190" spans="10:15" x14ac:dyDescent="0.25">
      <c r="J190" s="7"/>
      <c r="M190" s="7"/>
      <c r="O190" s="7"/>
    </row>
    <row r="191" spans="10:15" x14ac:dyDescent="0.25">
      <c r="J191" s="7"/>
      <c r="M191" s="7"/>
      <c r="O191" s="7"/>
    </row>
    <row r="192" spans="10:15" x14ac:dyDescent="0.25">
      <c r="J192" s="7"/>
      <c r="M192" s="7"/>
      <c r="O192" s="7"/>
    </row>
    <row r="193" spans="10:15" x14ac:dyDescent="0.25">
      <c r="J193" s="7"/>
      <c r="M193" s="7"/>
      <c r="O193" s="7"/>
    </row>
    <row r="194" spans="10:15" x14ac:dyDescent="0.25">
      <c r="J194" s="7"/>
      <c r="M194" s="7"/>
      <c r="O194" s="7"/>
    </row>
    <row r="195" spans="10:15" x14ac:dyDescent="0.25">
      <c r="J195" s="7"/>
      <c r="M195" s="7"/>
      <c r="O195" s="7"/>
    </row>
    <row r="196" spans="10:15" x14ac:dyDescent="0.25">
      <c r="J196" s="7"/>
      <c r="M196" s="7"/>
      <c r="O196" s="7"/>
    </row>
    <row r="197" spans="10:15" x14ac:dyDescent="0.25">
      <c r="J197" s="7"/>
      <c r="M197" s="7"/>
      <c r="O197" s="7"/>
    </row>
    <row r="198" spans="10:15" x14ac:dyDescent="0.25">
      <c r="J198" s="7"/>
      <c r="M198" s="7"/>
      <c r="O198" s="7"/>
    </row>
    <row r="199" spans="10:15" x14ac:dyDescent="0.25">
      <c r="J199" s="7"/>
      <c r="M199" s="7"/>
      <c r="O199" s="7"/>
    </row>
    <row r="200" spans="10:15" x14ac:dyDescent="0.25">
      <c r="J200" s="7"/>
      <c r="M200" s="7"/>
      <c r="O200" s="7"/>
    </row>
    <row r="201" spans="10:15" x14ac:dyDescent="0.25">
      <c r="J201" s="7"/>
      <c r="M201" s="7"/>
      <c r="O201" s="7"/>
    </row>
    <row r="202" spans="10:15" x14ac:dyDescent="0.25">
      <c r="J202" s="7"/>
      <c r="M202" s="7"/>
      <c r="O202" s="7"/>
    </row>
    <row r="203" spans="10:15" x14ac:dyDescent="0.25">
      <c r="J203" s="7"/>
      <c r="M203" s="7"/>
      <c r="O203" s="7"/>
    </row>
    <row r="204" spans="10:15" x14ac:dyDescent="0.25">
      <c r="J204" s="7"/>
      <c r="M204" s="7"/>
      <c r="O204" s="7"/>
    </row>
    <row r="205" spans="10:15" x14ac:dyDescent="0.25">
      <c r="J205" s="7"/>
      <c r="M205" s="7"/>
      <c r="O205" s="7"/>
    </row>
    <row r="206" spans="10:15" x14ac:dyDescent="0.25">
      <c r="J206" s="7"/>
      <c r="M206" s="7"/>
      <c r="O206" s="7"/>
    </row>
    <row r="207" spans="10:15" x14ac:dyDescent="0.25">
      <c r="J207" s="7"/>
      <c r="M207" s="7"/>
      <c r="O207" s="7"/>
    </row>
    <row r="208" spans="10:15" x14ac:dyDescent="0.25">
      <c r="J208" s="7"/>
      <c r="M208" s="7"/>
      <c r="O208" s="7"/>
    </row>
    <row r="209" spans="10:15" x14ac:dyDescent="0.25">
      <c r="J209" s="7"/>
      <c r="M209" s="7"/>
      <c r="O209" s="7"/>
    </row>
    <row r="210" spans="10:15" x14ac:dyDescent="0.25">
      <c r="J210" s="7"/>
      <c r="M210" s="7"/>
      <c r="O210" s="7"/>
    </row>
  </sheetData>
  <mergeCells count="2">
    <mergeCell ref="L3:M3"/>
    <mergeCell ref="N3:O3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CPURNSA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Gazzano, Pierre</dc:creator>
  <cp:keywords/>
  <dc:description/>
  <cp:lastModifiedBy>Gazzano, Pierre</cp:lastModifiedBy>
  <cp:revision/>
  <dcterms:created xsi:type="dcterms:W3CDTF">2026-06-22T15:32:48Z</dcterms:created>
  <dcterms:modified xsi:type="dcterms:W3CDTF">2026-09-11T17:32:56Z</dcterms:modified>
  <cp:category/>
  <cp:contentStatus/>
</cp:coreProperties>
</file>
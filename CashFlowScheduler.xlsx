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6575" documentId="8_{5BC9BF22-D5E1-40C8-8EF5-84AC04A4E172}" xr6:coauthVersionLast="47" xr6:coauthVersionMax="47" xr10:uidLastSave="{28061A2C-8A36-42B1-AB46-0F75343303B3}"/>
  <bookViews>
    <workbookView xWindow="1125" yWindow="1125" windowWidth="50250" windowHeight="14190" xr2:uid="{67299944-7FF9-49B4-A72F-BD4B4EE2DA64}"/>
  </bookViews>
  <sheets>
    <sheet name="SOFRUSD" sheetId="1" r:id="rId1"/>
  </sheets>
  <definedNames>
    <definedName name="LaggedEOM">SOFRUSD!#REF!</definedName>
    <definedName name="LaggedEOMuk">#REF!</definedName>
    <definedName name="spotDate">SOFRUSD!#REF!</definedName>
    <definedName name="strippingDate">SOFRUSD!#REF!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" i="1" a="1"/>
  <c r="B1" i="1"/>
  <c r="D8" i="1" l="1" a="1"/>
  <c r="D8" i="1" s="1"/>
  <c r="D9" i="1" s="1"/>
  <c r="D10" i="1" s="1"/>
  <c r="D11" i="1" s="1"/>
  <c r="D12" i="1" s="1"/>
  <c r="S8" i="1" a="1"/>
  <c r="S8" i="1" s="1"/>
  <c r="P8" i="1" a="1"/>
  <c r="E8" i="1" a="1"/>
  <c r="E8" i="1" s="1"/>
  <c r="D13" i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H8" i="1"/>
  <c r="P8" i="1" l="1"/>
  <c r="G8" i="1" a="1"/>
  <c r="G8" i="1" s="1"/>
  <c r="I8" i="1" s="1"/>
  <c r="F8" i="1" a="1"/>
  <c r="F8" i="1" s="1"/>
  <c r="J8" i="1" s="1"/>
  <c r="K8" i="1" s="1"/>
  <c r="E9" i="1" a="1"/>
  <c r="E9" i="1" s="1"/>
  <c r="L8" i="1"/>
  <c r="M8" i="1" l="1" a="1"/>
  <c r="M8" i="1" s="1"/>
  <c r="G9" i="1" a="1"/>
  <c r="G9" i="1" s="1"/>
  <c r="I9" i="1" s="1"/>
  <c r="F9" i="1" a="1"/>
  <c r="F9" i="1" s="1"/>
  <c r="J9" i="1"/>
  <c r="K9" i="1" s="1"/>
  <c r="H9" i="1"/>
  <c r="M9" i="1" l="1" a="1"/>
  <c r="M9" i="1" s="1"/>
  <c r="E10" i="1" a="1"/>
  <c r="E10" i="1" s="1"/>
  <c r="L9" i="1"/>
  <c r="G10" i="1" l="1" a="1"/>
  <c r="G10" i="1" s="1"/>
  <c r="I10" i="1" s="1"/>
  <c r="F10" i="1" a="1"/>
  <c r="F10" i="1" s="1"/>
  <c r="H10" i="1"/>
  <c r="J10" i="1"/>
  <c r="K10" i="1" s="1"/>
  <c r="M10" i="1" l="1" a="1"/>
  <c r="M10" i="1" s="1"/>
  <c r="E11" i="1" a="1"/>
  <c r="E11" i="1" s="1"/>
  <c r="L10" i="1"/>
  <c r="G11" i="1" l="1" a="1"/>
  <c r="G11" i="1" s="1"/>
  <c r="I11" i="1" s="1"/>
  <c r="F11" i="1" a="1"/>
  <c r="F11" i="1" s="1"/>
  <c r="H11" i="1"/>
  <c r="J11" i="1"/>
  <c r="K11" i="1" s="1"/>
  <c r="M11" i="1" l="1" a="1"/>
  <c r="M11" i="1" s="1"/>
  <c r="E12" i="1" a="1"/>
  <c r="E12" i="1" s="1"/>
  <c r="L11" i="1"/>
  <c r="G12" i="1" l="1" a="1"/>
  <c r="G12" i="1" s="1"/>
  <c r="I12" i="1" s="1"/>
  <c r="F12" i="1" a="1"/>
  <c r="F12" i="1" s="1"/>
  <c r="H12" i="1"/>
  <c r="J12" i="1"/>
  <c r="K12" i="1" s="1"/>
  <c r="M12" i="1" l="1" a="1"/>
  <c r="M12" i="1" s="1"/>
  <c r="E13" i="1" a="1"/>
  <c r="E13" i="1" s="1"/>
  <c r="L12" i="1"/>
  <c r="H13" i="1"/>
  <c r="G13" i="1" l="1" a="1"/>
  <c r="G13" i="1" s="1"/>
  <c r="I13" i="1" s="1"/>
  <c r="F13" i="1" a="1"/>
  <c r="F13" i="1" s="1"/>
  <c r="J13" i="1" s="1"/>
  <c r="K13" i="1" s="1"/>
  <c r="M13" i="1" l="1" a="1"/>
  <c r="M13" i="1" s="1"/>
  <c r="E14" i="1" a="1"/>
  <c r="E14" i="1" s="1"/>
  <c r="L13" i="1"/>
  <c r="G14" i="1" l="1" a="1"/>
  <c r="G14" i="1" s="1"/>
  <c r="I14" i="1" s="1"/>
  <c r="F14" i="1" a="1"/>
  <c r="F14" i="1" s="1"/>
  <c r="E15" i="1" a="1"/>
  <c r="E15" i="1" s="1"/>
  <c r="H14" i="1"/>
  <c r="J14" i="1"/>
  <c r="K14" i="1" s="1"/>
  <c r="L14" i="1"/>
  <c r="M14" i="1" l="1" a="1"/>
  <c r="M14" i="1" s="1"/>
  <c r="G15" i="1" a="1"/>
  <c r="G15" i="1" s="1"/>
  <c r="I15" i="1" s="1"/>
  <c r="F15" i="1" a="1"/>
  <c r="F15" i="1" s="1"/>
  <c r="E16" i="1" a="1"/>
  <c r="E16" i="1" s="1"/>
  <c r="H15" i="1"/>
  <c r="J15" i="1"/>
  <c r="K15" i="1" s="1"/>
  <c r="L15" i="1"/>
  <c r="M15" i="1" l="1" a="1"/>
  <c r="M15" i="1" s="1"/>
  <c r="G16" i="1" a="1"/>
  <c r="G16" i="1" s="1"/>
  <c r="I16" i="1" s="1"/>
  <c r="F16" i="1" a="1"/>
  <c r="F16" i="1" s="1"/>
  <c r="E17" i="1" a="1"/>
  <c r="E17" i="1" s="1"/>
  <c r="H16" i="1"/>
  <c r="J16" i="1"/>
  <c r="K16" i="1" s="1"/>
  <c r="L16" i="1"/>
  <c r="M16" i="1" l="1" a="1"/>
  <c r="M16" i="1" s="1"/>
  <c r="G17" i="1" a="1"/>
  <c r="G17" i="1" s="1"/>
  <c r="I17" i="1" s="1"/>
  <c r="F17" i="1" a="1"/>
  <c r="F17" i="1" s="1"/>
  <c r="E18" i="1" a="1"/>
  <c r="E18" i="1" s="1"/>
  <c r="H17" i="1"/>
  <c r="J17" i="1"/>
  <c r="K17" i="1" s="1"/>
  <c r="L17" i="1"/>
  <c r="M17" i="1" l="1" a="1"/>
  <c r="M17" i="1" s="1"/>
  <c r="G18" i="1" a="1"/>
  <c r="G18" i="1" s="1"/>
  <c r="I18" i="1" s="1"/>
  <c r="F18" i="1" a="1"/>
  <c r="F18" i="1" s="1"/>
  <c r="E19" i="1" a="1"/>
  <c r="E19" i="1" s="1"/>
  <c r="H18" i="1"/>
  <c r="J18" i="1"/>
  <c r="K18" i="1" s="1"/>
  <c r="L18" i="1"/>
  <c r="M18" i="1" l="1" a="1"/>
  <c r="M18" i="1" s="1"/>
  <c r="G19" i="1" a="1"/>
  <c r="G19" i="1" s="1"/>
  <c r="I19" i="1" s="1"/>
  <c r="F19" i="1" a="1"/>
  <c r="F19" i="1" s="1"/>
  <c r="E20" i="1" a="1"/>
  <c r="E20" i="1" s="1"/>
  <c r="H19" i="1"/>
  <c r="J19" i="1"/>
  <c r="K19" i="1" s="1"/>
  <c r="L19" i="1"/>
  <c r="M19" i="1" l="1" a="1"/>
  <c r="M19" i="1" s="1"/>
  <c r="G20" i="1" a="1"/>
  <c r="G20" i="1" s="1"/>
  <c r="I20" i="1" s="1"/>
  <c r="F20" i="1" a="1"/>
  <c r="F20" i="1" s="1"/>
  <c r="E21" i="1" a="1"/>
  <c r="E21" i="1" s="1"/>
  <c r="H20" i="1"/>
  <c r="J20" i="1"/>
  <c r="K20" i="1" s="1"/>
  <c r="L20" i="1"/>
  <c r="M20" i="1" l="1" a="1"/>
  <c r="M20" i="1" s="1"/>
  <c r="G21" i="1" a="1"/>
  <c r="G21" i="1" s="1"/>
  <c r="I21" i="1" s="1"/>
  <c r="F21" i="1" a="1"/>
  <c r="F21" i="1" s="1"/>
  <c r="E22" i="1" a="1"/>
  <c r="E22" i="1" s="1"/>
  <c r="H21" i="1"/>
  <c r="J21" i="1"/>
  <c r="K21" i="1" s="1"/>
  <c r="L21" i="1"/>
  <c r="M21" i="1" l="1" a="1"/>
  <c r="M21" i="1" s="1"/>
  <c r="G22" i="1" a="1"/>
  <c r="G22" i="1" s="1"/>
  <c r="I22" i="1" s="1"/>
  <c r="F22" i="1" a="1"/>
  <c r="F22" i="1" s="1"/>
  <c r="E23" i="1" a="1"/>
  <c r="E23" i="1" s="1"/>
  <c r="H22" i="1"/>
  <c r="J22" i="1"/>
  <c r="K22" i="1" s="1"/>
  <c r="L22" i="1"/>
  <c r="M22" i="1" l="1" a="1"/>
  <c r="M22" i="1" s="1"/>
  <c r="G23" i="1" a="1"/>
  <c r="G23" i="1" s="1"/>
  <c r="I23" i="1" s="1"/>
  <c r="F23" i="1" a="1"/>
  <c r="F23" i="1" s="1"/>
  <c r="E24" i="1" a="1"/>
  <c r="E24" i="1" s="1"/>
  <c r="H23" i="1"/>
  <c r="J23" i="1"/>
  <c r="K23" i="1" s="1"/>
  <c r="L23" i="1"/>
  <c r="M23" i="1" l="1" a="1"/>
  <c r="M23" i="1" s="1"/>
  <c r="G24" i="1" a="1"/>
  <c r="G24" i="1" s="1"/>
  <c r="I24" i="1" s="1"/>
  <c r="F24" i="1" a="1"/>
  <c r="F24" i="1" s="1"/>
  <c r="E25" i="1" a="1"/>
  <c r="E25" i="1" s="1"/>
  <c r="H24" i="1"/>
  <c r="J24" i="1"/>
  <c r="K24" i="1" s="1"/>
  <c r="L24" i="1"/>
  <c r="M24" i="1" l="1" a="1"/>
  <c r="M24" i="1" s="1"/>
  <c r="G25" i="1" a="1"/>
  <c r="G25" i="1" s="1"/>
  <c r="I25" i="1" s="1"/>
  <c r="F25" i="1" a="1"/>
  <c r="F25" i="1" s="1"/>
  <c r="E26" i="1" a="1"/>
  <c r="E26" i="1" s="1"/>
  <c r="H25" i="1"/>
  <c r="J25" i="1"/>
  <c r="K25" i="1" s="1"/>
  <c r="L25" i="1"/>
  <c r="M25" i="1" l="1" a="1"/>
  <c r="M25" i="1" s="1"/>
  <c r="G26" i="1" a="1"/>
  <c r="G26" i="1" s="1"/>
  <c r="I26" i="1" s="1"/>
  <c r="F26" i="1" a="1"/>
  <c r="F26" i="1" s="1"/>
  <c r="E27" i="1" a="1"/>
  <c r="E27" i="1" s="1"/>
  <c r="H26" i="1"/>
  <c r="J26" i="1"/>
  <c r="K26" i="1" s="1"/>
  <c r="L26" i="1"/>
  <c r="M26" i="1" l="1" a="1"/>
  <c r="M26" i="1" s="1"/>
  <c r="G27" i="1" a="1"/>
  <c r="G27" i="1" s="1"/>
  <c r="I27" i="1" s="1"/>
  <c r="H27" i="1"/>
  <c r="F27" i="1" a="1"/>
  <c r="F27" i="1" s="1"/>
  <c r="J27" i="1" s="1"/>
  <c r="E28" i="1" a="1"/>
  <c r="E28" i="1" s="1"/>
  <c r="K27" i="1"/>
  <c r="L27" i="1"/>
  <c r="M27" i="1" l="1" a="1"/>
  <c r="M27" i="1" s="1"/>
  <c r="G28" i="1" a="1"/>
  <c r="G28" i="1" s="1"/>
  <c r="I28" i="1" s="1"/>
  <c r="F28" i="1" a="1"/>
  <c r="F28" i="1" s="1"/>
  <c r="E29" i="1" a="1"/>
  <c r="E29" i="1" s="1"/>
  <c r="H28" i="1"/>
  <c r="J28" i="1"/>
  <c r="K28" i="1" s="1"/>
  <c r="L28" i="1"/>
  <c r="M28" i="1" l="1" a="1"/>
  <c r="M28" i="1" s="1"/>
  <c r="G29" i="1" a="1"/>
  <c r="G29" i="1" s="1"/>
  <c r="I29" i="1" s="1"/>
  <c r="F29" i="1" a="1"/>
  <c r="F29" i="1" s="1"/>
  <c r="E30" i="1" a="1"/>
  <c r="E30" i="1" s="1"/>
  <c r="H29" i="1"/>
  <c r="J29" i="1"/>
  <c r="K29" i="1" s="1"/>
  <c r="L29" i="1"/>
  <c r="M29" i="1" l="1" a="1"/>
  <c r="M29" i="1" s="1"/>
  <c r="G30" i="1" a="1"/>
  <c r="G30" i="1" s="1"/>
  <c r="I30" i="1" s="1"/>
  <c r="F30" i="1" a="1"/>
  <c r="F30" i="1" s="1"/>
  <c r="E31" i="1" a="1"/>
  <c r="E31" i="1" s="1"/>
  <c r="H30" i="1"/>
  <c r="J30" i="1"/>
  <c r="K30" i="1" s="1"/>
  <c r="L30" i="1"/>
  <c r="M30" i="1" l="1" a="1"/>
  <c r="M30" i="1" s="1"/>
  <c r="G31" i="1" a="1"/>
  <c r="G31" i="1" s="1"/>
  <c r="I31" i="1" s="1"/>
  <c r="F31" i="1" a="1"/>
  <c r="F31" i="1" s="1"/>
  <c r="E32" i="1" a="1"/>
  <c r="E32" i="1" s="1"/>
  <c r="H31" i="1"/>
  <c r="J31" i="1"/>
  <c r="K31" i="1" s="1"/>
  <c r="L31" i="1"/>
  <c r="M31" i="1" l="1" a="1"/>
  <c r="M31" i="1" s="1"/>
  <c r="G32" i="1" a="1"/>
  <c r="G32" i="1" s="1"/>
  <c r="I32" i="1" s="1"/>
  <c r="F32" i="1" a="1"/>
  <c r="F32" i="1" s="1"/>
  <c r="E33" i="1" a="1"/>
  <c r="E33" i="1" s="1"/>
  <c r="H32" i="1"/>
  <c r="J32" i="1"/>
  <c r="K32" i="1" s="1"/>
  <c r="L32" i="1"/>
  <c r="M32" i="1" l="1" a="1"/>
  <c r="M32" i="1" s="1"/>
  <c r="G33" i="1" a="1"/>
  <c r="G33" i="1" s="1"/>
  <c r="I33" i="1" s="1"/>
  <c r="F33" i="1" a="1"/>
  <c r="F33" i="1" s="1"/>
  <c r="E34" i="1" a="1"/>
  <c r="E34" i="1" s="1"/>
  <c r="H33" i="1"/>
  <c r="J33" i="1"/>
  <c r="K33" i="1" s="1"/>
  <c r="L33" i="1"/>
  <c r="M33" i="1" l="1" a="1"/>
  <c r="M33" i="1" s="1"/>
  <c r="G34" i="1" a="1"/>
  <c r="G34" i="1" s="1"/>
  <c r="I34" i="1" s="1"/>
  <c r="F34" i="1" a="1"/>
  <c r="F34" i="1" s="1"/>
  <c r="E35" i="1" a="1"/>
  <c r="E35" i="1" s="1"/>
  <c r="H34" i="1"/>
  <c r="J34" i="1"/>
  <c r="K34" i="1" s="1"/>
  <c r="L34" i="1"/>
  <c r="M34" i="1" l="1" a="1"/>
  <c r="M34" i="1" s="1"/>
  <c r="G35" i="1" a="1"/>
  <c r="G35" i="1" s="1"/>
  <c r="I35" i="1" s="1"/>
  <c r="F35" i="1" a="1"/>
  <c r="F35" i="1" s="1"/>
  <c r="E36" i="1" a="1"/>
  <c r="E36" i="1" s="1"/>
  <c r="H35" i="1"/>
  <c r="J35" i="1"/>
  <c r="K35" i="1" s="1"/>
  <c r="L35" i="1"/>
  <c r="M35" i="1" l="1" a="1"/>
  <c r="M35" i="1" s="1"/>
  <c r="G36" i="1" a="1"/>
  <c r="G36" i="1" s="1"/>
  <c r="I36" i="1" s="1"/>
  <c r="F36" i="1" a="1"/>
  <c r="F36" i="1" s="1"/>
  <c r="E37" i="1" a="1"/>
  <c r="E37" i="1" s="1"/>
  <c r="H36" i="1"/>
  <c r="J36" i="1"/>
  <c r="K36" i="1" s="1"/>
  <c r="L36" i="1"/>
  <c r="M36" i="1" l="1" a="1"/>
  <c r="M36" i="1" s="1"/>
  <c r="G37" i="1" a="1"/>
  <c r="G37" i="1" s="1"/>
  <c r="I37" i="1" s="1"/>
  <c r="F37" i="1" a="1"/>
  <c r="F37" i="1" s="1"/>
  <c r="E38" i="1" a="1"/>
  <c r="E38" i="1" s="1"/>
  <c r="K38" i="1" s="1"/>
  <c r="H37" i="1"/>
  <c r="J37" i="1"/>
  <c r="K37" i="1" s="1"/>
  <c r="L37" i="1"/>
  <c r="M37" i="1" l="1" a="1"/>
  <c r="M37" i="1" s="1"/>
  <c r="I38" i="1"/>
  <c r="G38" i="1" a="1"/>
  <c r="G38" i="1" s="1"/>
  <c r="F38" i="1" a="1"/>
  <c r="F38" i="1" s="1"/>
  <c r="E39" i="1" a="1"/>
  <c r="E39" i="1" s="1"/>
  <c r="K39" i="1" s="1"/>
  <c r="H38" i="1"/>
  <c r="J38" i="1"/>
  <c r="L38" i="1"/>
  <c r="I39" i="1" l="1"/>
  <c r="G39" i="1" a="1"/>
  <c r="G39" i="1" s="1"/>
  <c r="F39" i="1" a="1"/>
  <c r="F39" i="1" s="1"/>
  <c r="E40" i="1" a="1"/>
  <c r="E40" i="1" s="1"/>
  <c r="K40" i="1" s="1"/>
  <c r="H39" i="1"/>
  <c r="J39" i="1"/>
  <c r="L39" i="1"/>
  <c r="I40" i="1" l="1"/>
  <c r="G40" i="1" a="1"/>
  <c r="G40" i="1" s="1"/>
  <c r="F40" i="1" a="1"/>
  <c r="F40" i="1" s="1"/>
  <c r="E41" i="1" a="1"/>
  <c r="E41" i="1" s="1"/>
  <c r="K41" i="1" s="1"/>
  <c r="H40" i="1"/>
  <c r="J40" i="1"/>
  <c r="L40" i="1"/>
  <c r="I41" i="1" l="1"/>
  <c r="G41" i="1" a="1"/>
  <c r="G41" i="1" s="1"/>
  <c r="F41" i="1" a="1"/>
  <c r="F41" i="1" s="1"/>
  <c r="E42" i="1" a="1"/>
  <c r="E42" i="1" s="1"/>
  <c r="K42" i="1" s="1"/>
  <c r="H41" i="1"/>
  <c r="J41" i="1"/>
  <c r="L41" i="1"/>
  <c r="I42" i="1" l="1"/>
  <c r="G42" i="1" a="1"/>
  <c r="G42" i="1" s="1"/>
  <c r="F42" i="1" a="1"/>
  <c r="F42" i="1" s="1"/>
  <c r="E43" i="1" a="1"/>
  <c r="E43" i="1" s="1"/>
  <c r="K43" i="1" s="1"/>
  <c r="H42" i="1"/>
  <c r="J42" i="1"/>
  <c r="L42" i="1"/>
  <c r="I43" i="1" l="1"/>
  <c r="G43" i="1" a="1"/>
  <c r="G43" i="1" s="1"/>
  <c r="F43" i="1" a="1"/>
  <c r="F43" i="1" s="1"/>
  <c r="E44" i="1" a="1"/>
  <c r="E44" i="1" s="1"/>
  <c r="K44" i="1" s="1"/>
  <c r="H43" i="1"/>
  <c r="J43" i="1"/>
  <c r="L43" i="1"/>
  <c r="I44" i="1" l="1"/>
  <c r="G44" i="1" a="1"/>
  <c r="G44" i="1" s="1"/>
  <c r="F44" i="1" a="1"/>
  <c r="F44" i="1" s="1"/>
  <c r="E45" i="1" a="1"/>
  <c r="E45" i="1" s="1"/>
  <c r="K45" i="1" s="1"/>
  <c r="H44" i="1"/>
  <c r="J44" i="1"/>
  <c r="L44" i="1"/>
  <c r="I45" i="1" l="1"/>
  <c r="G45" i="1" a="1"/>
  <c r="G45" i="1" s="1"/>
  <c r="F45" i="1" a="1"/>
  <c r="F45" i="1" s="1"/>
  <c r="E46" i="1" a="1"/>
  <c r="E46" i="1" s="1"/>
  <c r="K46" i="1" s="1"/>
  <c r="H45" i="1"/>
  <c r="J45" i="1"/>
  <c r="L45" i="1"/>
  <c r="I46" i="1" l="1"/>
  <c r="G46" i="1" a="1"/>
  <c r="G46" i="1" s="1"/>
  <c r="F46" i="1" a="1"/>
  <c r="F46" i="1" s="1"/>
  <c r="E47" i="1" a="1"/>
  <c r="E47" i="1" s="1"/>
  <c r="K47" i="1" s="1"/>
  <c r="H46" i="1"/>
  <c r="J46" i="1"/>
  <c r="L46" i="1"/>
  <c r="I47" i="1" l="1"/>
  <c r="G47" i="1" a="1"/>
  <c r="G47" i="1" s="1"/>
  <c r="F47" i="1" a="1"/>
  <c r="F47" i="1" s="1"/>
  <c r="E48" i="1" a="1"/>
  <c r="E48" i="1" s="1"/>
  <c r="K48" i="1" s="1"/>
  <c r="H47" i="1"/>
  <c r="J47" i="1"/>
  <c r="L47" i="1"/>
  <c r="I48" i="1" l="1"/>
  <c r="G48" i="1" a="1"/>
  <c r="G48" i="1" s="1"/>
  <c r="F48" i="1" a="1"/>
  <c r="F48" i="1" s="1"/>
  <c r="E49" i="1" a="1"/>
  <c r="E49" i="1" s="1"/>
  <c r="K49" i="1" s="1"/>
  <c r="H48" i="1"/>
  <c r="J48" i="1"/>
  <c r="L48" i="1"/>
  <c r="I49" i="1" l="1"/>
  <c r="G49" i="1" a="1"/>
  <c r="G49" i="1" s="1"/>
  <c r="F49" i="1" a="1"/>
  <c r="F49" i="1" s="1"/>
  <c r="E50" i="1" a="1"/>
  <c r="E50" i="1" s="1"/>
  <c r="K50" i="1" s="1"/>
  <c r="H49" i="1"/>
  <c r="J49" i="1"/>
  <c r="L49" i="1"/>
  <c r="I50" i="1" l="1"/>
  <c r="G50" i="1" a="1"/>
  <c r="G50" i="1" s="1"/>
  <c r="F50" i="1" a="1"/>
  <c r="F50" i="1" s="1"/>
  <c r="E51" i="1" a="1"/>
  <c r="E51" i="1" s="1"/>
  <c r="K51" i="1" s="1"/>
  <c r="H50" i="1"/>
  <c r="J50" i="1"/>
  <c r="L50" i="1"/>
  <c r="I51" i="1" l="1"/>
  <c r="G51" i="1" a="1"/>
  <c r="G51" i="1" s="1"/>
  <c r="F51" i="1" a="1"/>
  <c r="F51" i="1" s="1"/>
  <c r="E52" i="1" a="1"/>
  <c r="E52" i="1" s="1"/>
  <c r="K52" i="1" s="1"/>
  <c r="H51" i="1"/>
  <c r="J51" i="1"/>
  <c r="L51" i="1"/>
  <c r="I52" i="1" l="1"/>
  <c r="G52" i="1" a="1"/>
  <c r="G52" i="1" s="1"/>
  <c r="F52" i="1" a="1"/>
  <c r="F52" i="1" s="1"/>
  <c r="E53" i="1" a="1"/>
  <c r="E53" i="1" s="1"/>
  <c r="K53" i="1" s="1"/>
  <c r="H52" i="1"/>
  <c r="J52" i="1"/>
  <c r="L52" i="1"/>
  <c r="I53" i="1" l="1"/>
  <c r="G53" i="1" a="1"/>
  <c r="G53" i="1" s="1"/>
  <c r="F53" i="1" a="1"/>
  <c r="F53" i="1" s="1"/>
  <c r="E54" i="1" a="1"/>
  <c r="E54" i="1" s="1"/>
  <c r="K54" i="1" s="1"/>
  <c r="H53" i="1"/>
  <c r="J53" i="1"/>
  <c r="L53" i="1"/>
  <c r="I54" i="1" l="1"/>
  <c r="G54" i="1" a="1"/>
  <c r="G54" i="1" s="1"/>
  <c r="F54" i="1" a="1"/>
  <c r="F54" i="1" s="1"/>
  <c r="E55" i="1" a="1"/>
  <c r="E55" i="1" s="1"/>
  <c r="K55" i="1" s="1"/>
  <c r="H54" i="1"/>
  <c r="J54" i="1"/>
  <c r="L54" i="1"/>
  <c r="I55" i="1" l="1"/>
  <c r="G55" i="1" a="1"/>
  <c r="G55" i="1" s="1"/>
  <c r="F55" i="1" a="1"/>
  <c r="F55" i="1" s="1"/>
  <c r="E56" i="1" a="1"/>
  <c r="E56" i="1" s="1"/>
  <c r="K56" i="1" s="1"/>
  <c r="H55" i="1"/>
  <c r="J55" i="1"/>
  <c r="L55" i="1"/>
  <c r="I56" i="1" l="1"/>
  <c r="G56" i="1" a="1"/>
  <c r="G56" i="1" s="1"/>
  <c r="F56" i="1" a="1"/>
  <c r="F56" i="1" s="1"/>
  <c r="E57" i="1" a="1"/>
  <c r="E57" i="1" s="1"/>
  <c r="K57" i="1" s="1"/>
  <c r="H56" i="1"/>
  <c r="J56" i="1"/>
  <c r="L56" i="1"/>
  <c r="I57" i="1" l="1"/>
  <c r="G57" i="1" a="1"/>
  <c r="G57" i="1" s="1"/>
  <c r="F57" i="1" a="1"/>
  <c r="F57" i="1" s="1"/>
  <c r="E58" i="1" a="1"/>
  <c r="E58" i="1" s="1"/>
  <c r="K58" i="1" s="1"/>
  <c r="H57" i="1"/>
  <c r="J57" i="1"/>
  <c r="L57" i="1"/>
  <c r="I58" i="1" l="1"/>
  <c r="G58" i="1" a="1"/>
  <c r="G58" i="1" s="1"/>
  <c r="F58" i="1" a="1"/>
  <c r="F58" i="1" s="1"/>
  <c r="E59" i="1" a="1"/>
  <c r="E59" i="1" s="1"/>
  <c r="K59" i="1" s="1"/>
  <c r="H58" i="1"/>
  <c r="J58" i="1"/>
  <c r="L58" i="1"/>
  <c r="I59" i="1" l="1"/>
  <c r="G59" i="1" a="1"/>
  <c r="G59" i="1" s="1"/>
  <c r="F59" i="1" a="1"/>
  <c r="F59" i="1" s="1"/>
  <c r="E60" i="1" a="1"/>
  <c r="E60" i="1" s="1"/>
  <c r="K60" i="1" s="1"/>
  <c r="H59" i="1"/>
  <c r="J59" i="1"/>
  <c r="L59" i="1"/>
  <c r="I60" i="1" l="1"/>
  <c r="G60" i="1" a="1"/>
  <c r="G60" i="1" s="1"/>
  <c r="F60" i="1" a="1"/>
  <c r="F60" i="1" s="1"/>
  <c r="E61" i="1" a="1"/>
  <c r="E61" i="1" s="1"/>
  <c r="K61" i="1" s="1"/>
  <c r="H60" i="1"/>
  <c r="J60" i="1"/>
  <c r="L60" i="1"/>
  <c r="I61" i="1" l="1"/>
  <c r="G61" i="1" a="1"/>
  <c r="G61" i="1" s="1"/>
  <c r="F61" i="1" a="1"/>
  <c r="F61" i="1" s="1"/>
  <c r="E62" i="1" a="1"/>
  <c r="E62" i="1" s="1"/>
  <c r="K62" i="1" s="1"/>
  <c r="H61" i="1"/>
  <c r="J61" i="1"/>
  <c r="L61" i="1"/>
  <c r="I62" i="1" l="1"/>
  <c r="G62" i="1" a="1"/>
  <c r="G62" i="1" s="1"/>
  <c r="F62" i="1" a="1"/>
  <c r="F62" i="1" s="1"/>
  <c r="E63" i="1" a="1"/>
  <c r="E63" i="1" s="1"/>
  <c r="K63" i="1" s="1"/>
  <c r="H62" i="1"/>
  <c r="J62" i="1"/>
  <c r="L62" i="1"/>
  <c r="I63" i="1" l="1"/>
  <c r="G63" i="1" a="1"/>
  <c r="G63" i="1" s="1"/>
  <c r="F63" i="1" a="1"/>
  <c r="F63" i="1" s="1"/>
  <c r="E64" i="1" a="1"/>
  <c r="E64" i="1" s="1"/>
  <c r="K64" i="1" s="1"/>
  <c r="H63" i="1"/>
  <c r="J63" i="1"/>
  <c r="L63" i="1"/>
  <c r="I64" i="1" l="1"/>
  <c r="G64" i="1" a="1"/>
  <c r="G64" i="1" s="1"/>
  <c r="F64" i="1" a="1"/>
  <c r="F64" i="1" s="1"/>
  <c r="E65" i="1" a="1"/>
  <c r="E65" i="1" s="1"/>
  <c r="K65" i="1" s="1"/>
  <c r="H64" i="1"/>
  <c r="J64" i="1"/>
  <c r="L64" i="1"/>
  <c r="I65" i="1" l="1"/>
  <c r="G65" i="1" a="1"/>
  <c r="G65" i="1" s="1"/>
  <c r="F65" i="1" a="1"/>
  <c r="F65" i="1" s="1"/>
  <c r="E66" i="1" a="1"/>
  <c r="E66" i="1" s="1"/>
  <c r="K66" i="1" s="1"/>
  <c r="H65" i="1"/>
  <c r="J65" i="1"/>
  <c r="L65" i="1"/>
  <c r="I66" i="1" l="1"/>
  <c r="G66" i="1" a="1"/>
  <c r="G66" i="1" s="1"/>
  <c r="F66" i="1" a="1"/>
  <c r="F66" i="1" s="1"/>
  <c r="E67" i="1" a="1"/>
  <c r="E67" i="1" s="1"/>
  <c r="K67" i="1" s="1"/>
  <c r="H66" i="1"/>
  <c r="J66" i="1"/>
  <c r="L66" i="1"/>
  <c r="I67" i="1" l="1"/>
  <c r="G67" i="1" a="1"/>
  <c r="G67" i="1" s="1"/>
  <c r="F67" i="1" a="1"/>
  <c r="F67" i="1" s="1"/>
  <c r="E68" i="1" a="1"/>
  <c r="E68" i="1" s="1"/>
  <c r="K68" i="1" s="1"/>
  <c r="H67" i="1"/>
  <c r="J67" i="1"/>
  <c r="L67" i="1"/>
  <c r="I68" i="1" l="1"/>
  <c r="G68" i="1" a="1"/>
  <c r="G68" i="1" s="1"/>
  <c r="F68" i="1" a="1"/>
  <c r="F68" i="1" s="1"/>
  <c r="E69" i="1" a="1"/>
  <c r="E69" i="1" s="1"/>
  <c r="K69" i="1" s="1"/>
  <c r="H68" i="1"/>
  <c r="J68" i="1"/>
  <c r="L68" i="1"/>
  <c r="I69" i="1" l="1"/>
  <c r="G69" i="1" a="1"/>
  <c r="G69" i="1" s="1"/>
  <c r="F69" i="1" a="1"/>
  <c r="F69" i="1" s="1"/>
  <c r="E70" i="1" a="1"/>
  <c r="E70" i="1" s="1"/>
  <c r="K70" i="1" s="1"/>
  <c r="H69" i="1"/>
  <c r="J69" i="1"/>
  <c r="L69" i="1"/>
  <c r="I70" i="1" l="1"/>
  <c r="G70" i="1" a="1"/>
  <c r="G70" i="1" s="1"/>
  <c r="F70" i="1" a="1"/>
  <c r="F70" i="1" s="1"/>
  <c r="E71" i="1" a="1"/>
  <c r="E71" i="1" s="1"/>
  <c r="K71" i="1" s="1"/>
  <c r="H70" i="1"/>
  <c r="J70" i="1"/>
  <c r="L70" i="1"/>
  <c r="I71" i="1" l="1"/>
  <c r="G71" i="1" a="1"/>
  <c r="G71" i="1" s="1"/>
  <c r="F71" i="1" a="1"/>
  <c r="F71" i="1" s="1"/>
  <c r="E72" i="1" a="1"/>
  <c r="E72" i="1" s="1"/>
  <c r="K72" i="1" s="1"/>
  <c r="H71" i="1"/>
  <c r="J71" i="1"/>
  <c r="L71" i="1"/>
  <c r="I72" i="1" l="1"/>
  <c r="G72" i="1" a="1"/>
  <c r="G72" i="1" s="1"/>
  <c r="F72" i="1" a="1"/>
  <c r="F72" i="1" s="1"/>
  <c r="E73" i="1" a="1"/>
  <c r="E73" i="1" s="1"/>
  <c r="K73" i="1" s="1"/>
  <c r="H72" i="1"/>
  <c r="J72" i="1"/>
  <c r="L72" i="1"/>
  <c r="I73" i="1" l="1"/>
  <c r="G73" i="1" a="1"/>
  <c r="G73" i="1" s="1"/>
  <c r="F73" i="1" a="1"/>
  <c r="F73" i="1" s="1"/>
  <c r="E74" i="1" a="1"/>
  <c r="E74" i="1" s="1"/>
  <c r="K74" i="1" s="1"/>
  <c r="H73" i="1"/>
  <c r="J73" i="1"/>
  <c r="L73" i="1"/>
  <c r="I74" i="1" l="1"/>
  <c r="G74" i="1" a="1"/>
  <c r="G74" i="1" s="1"/>
  <c r="F74" i="1" a="1"/>
  <c r="F74" i="1" s="1"/>
  <c r="E75" i="1" a="1"/>
  <c r="E75" i="1" s="1"/>
  <c r="K75" i="1" s="1"/>
  <c r="H74" i="1"/>
  <c r="J74" i="1"/>
  <c r="L74" i="1"/>
  <c r="I75" i="1" l="1"/>
  <c r="G75" i="1" a="1"/>
  <c r="G75" i="1" s="1"/>
  <c r="F75" i="1" a="1"/>
  <c r="F75" i="1" s="1"/>
  <c r="E76" i="1" a="1"/>
  <c r="E76" i="1" s="1"/>
  <c r="K76" i="1" s="1"/>
  <c r="H75" i="1"/>
  <c r="J75" i="1"/>
  <c r="L75" i="1"/>
  <c r="I76" i="1" l="1"/>
  <c r="G76" i="1" a="1"/>
  <c r="G76" i="1" s="1"/>
  <c r="F76" i="1" a="1"/>
  <c r="F76" i="1" s="1"/>
  <c r="E77" i="1" a="1"/>
  <c r="E77" i="1" s="1"/>
  <c r="K77" i="1" s="1"/>
  <c r="H76" i="1"/>
  <c r="J76" i="1"/>
  <c r="L76" i="1"/>
  <c r="I77" i="1" l="1"/>
  <c r="G77" i="1" a="1"/>
  <c r="G77" i="1" s="1"/>
  <c r="F77" i="1" a="1"/>
  <c r="F77" i="1" s="1"/>
  <c r="E78" i="1" a="1"/>
  <c r="E78" i="1" s="1"/>
  <c r="K78" i="1" s="1"/>
  <c r="H77" i="1"/>
  <c r="J77" i="1"/>
  <c r="L77" i="1"/>
  <c r="I78" i="1" l="1"/>
  <c r="G78" i="1" a="1"/>
  <c r="G78" i="1" s="1"/>
  <c r="F78" i="1" a="1"/>
  <c r="F78" i="1" s="1"/>
  <c r="E79" i="1" a="1"/>
  <c r="E79" i="1" s="1"/>
  <c r="K79" i="1" s="1"/>
  <c r="H78" i="1"/>
  <c r="J78" i="1"/>
  <c r="L78" i="1"/>
  <c r="I79" i="1" l="1"/>
  <c r="G79" i="1" a="1"/>
  <c r="G79" i="1" s="1"/>
  <c r="F79" i="1" a="1"/>
  <c r="F79" i="1" s="1"/>
  <c r="E80" i="1" a="1"/>
  <c r="E80" i="1" s="1"/>
  <c r="K80" i="1" s="1"/>
  <c r="H79" i="1"/>
  <c r="J79" i="1"/>
  <c r="L79" i="1"/>
  <c r="I80" i="1" l="1"/>
  <c r="G80" i="1" a="1"/>
  <c r="G80" i="1" s="1"/>
  <c r="F80" i="1" a="1"/>
  <c r="F80" i="1" s="1"/>
  <c r="E81" i="1" a="1"/>
  <c r="E81" i="1" s="1"/>
  <c r="K81" i="1" s="1"/>
  <c r="H80" i="1"/>
  <c r="J80" i="1"/>
  <c r="L80" i="1"/>
  <c r="I81" i="1" l="1"/>
  <c r="G81" i="1" a="1"/>
  <c r="G81" i="1" s="1"/>
  <c r="F81" i="1" a="1"/>
  <c r="F81" i="1" s="1"/>
  <c r="E82" i="1" a="1"/>
  <c r="E82" i="1" s="1"/>
  <c r="K82" i="1" s="1"/>
  <c r="H81" i="1"/>
  <c r="J81" i="1"/>
  <c r="L81" i="1"/>
  <c r="I82" i="1" l="1"/>
  <c r="G82" i="1" a="1"/>
  <c r="G82" i="1" s="1"/>
  <c r="F82" i="1" a="1"/>
  <c r="F82" i="1" s="1"/>
  <c r="E83" i="1" a="1"/>
  <c r="E83" i="1" s="1"/>
  <c r="K83" i="1" s="1"/>
  <c r="H82" i="1"/>
  <c r="J82" i="1"/>
  <c r="L82" i="1"/>
  <c r="I83" i="1" l="1"/>
  <c r="G83" i="1" a="1"/>
  <c r="G83" i="1" s="1"/>
  <c r="F83" i="1" a="1"/>
  <c r="F83" i="1" s="1"/>
  <c r="E84" i="1" a="1"/>
  <c r="E84" i="1" s="1"/>
  <c r="K84" i="1" s="1"/>
  <c r="H83" i="1"/>
  <c r="J83" i="1"/>
  <c r="L83" i="1"/>
  <c r="I84" i="1" l="1"/>
  <c r="G84" i="1" a="1"/>
  <c r="G84" i="1" s="1"/>
  <c r="F84" i="1" a="1"/>
  <c r="F84" i="1" s="1"/>
  <c r="E85" i="1" a="1"/>
  <c r="E85" i="1" s="1"/>
  <c r="K85" i="1" s="1"/>
  <c r="H84" i="1"/>
  <c r="J84" i="1"/>
  <c r="L84" i="1"/>
  <c r="I85" i="1" l="1"/>
  <c r="G85" i="1" a="1"/>
  <c r="G85" i="1" s="1"/>
  <c r="F85" i="1" a="1"/>
  <c r="F85" i="1" s="1"/>
  <c r="E86" i="1" a="1"/>
  <c r="E86" i="1" s="1"/>
  <c r="K86" i="1" s="1"/>
  <c r="H85" i="1"/>
  <c r="J85" i="1"/>
  <c r="L85" i="1"/>
  <c r="I86" i="1" l="1"/>
  <c r="G86" i="1" a="1"/>
  <c r="G86" i="1" s="1"/>
  <c r="F86" i="1" a="1"/>
  <c r="F86" i="1" s="1"/>
  <c r="E87" i="1" a="1"/>
  <c r="E87" i="1" s="1"/>
  <c r="K87" i="1" s="1"/>
  <c r="H86" i="1"/>
  <c r="J86" i="1"/>
  <c r="L86" i="1"/>
  <c r="I87" i="1" l="1"/>
  <c r="G87" i="1" a="1"/>
  <c r="G87" i="1" s="1"/>
  <c r="F87" i="1" a="1"/>
  <c r="F87" i="1" s="1"/>
  <c r="E88" i="1" a="1"/>
  <c r="E88" i="1" s="1"/>
  <c r="K88" i="1" s="1"/>
  <c r="H87" i="1"/>
  <c r="J87" i="1"/>
  <c r="L87" i="1"/>
  <c r="I88" i="1" l="1"/>
  <c r="G88" i="1" a="1"/>
  <c r="G88" i="1" s="1"/>
  <c r="F88" i="1" a="1"/>
  <c r="F88" i="1" s="1"/>
  <c r="E89" i="1" a="1"/>
  <c r="E89" i="1" s="1"/>
  <c r="K89" i="1" s="1"/>
  <c r="H88" i="1"/>
  <c r="J88" i="1"/>
  <c r="L88" i="1"/>
  <c r="I89" i="1" l="1"/>
  <c r="G89" i="1" a="1"/>
  <c r="G89" i="1" s="1"/>
  <c r="F89" i="1" a="1"/>
  <c r="F89" i="1" s="1"/>
  <c r="E90" i="1" a="1"/>
  <c r="E90" i="1" s="1"/>
  <c r="K90" i="1" s="1"/>
  <c r="H89" i="1"/>
  <c r="J89" i="1"/>
  <c r="L89" i="1"/>
  <c r="I90" i="1" l="1"/>
  <c r="G90" i="1" a="1"/>
  <c r="G90" i="1" s="1"/>
  <c r="F90" i="1" a="1"/>
  <c r="F90" i="1" s="1"/>
  <c r="E91" i="1" a="1"/>
  <c r="E91" i="1" s="1"/>
  <c r="K91" i="1" s="1"/>
  <c r="H90" i="1"/>
  <c r="J90" i="1"/>
  <c r="L90" i="1"/>
  <c r="I91" i="1" l="1"/>
  <c r="G91" i="1" a="1"/>
  <c r="G91" i="1" s="1"/>
  <c r="F91" i="1" a="1"/>
  <c r="F91" i="1" s="1"/>
  <c r="E92" i="1" a="1"/>
  <c r="E92" i="1" s="1"/>
  <c r="K92" i="1" s="1"/>
  <c r="H91" i="1"/>
  <c r="J91" i="1"/>
  <c r="L91" i="1"/>
  <c r="I92" i="1" l="1"/>
  <c r="G92" i="1" a="1"/>
  <c r="G92" i="1" s="1"/>
  <c r="F92" i="1" a="1"/>
  <c r="F92" i="1" s="1"/>
  <c r="E93" i="1" a="1"/>
  <c r="E93" i="1" s="1"/>
  <c r="K93" i="1" s="1"/>
  <c r="H92" i="1"/>
  <c r="J92" i="1"/>
  <c r="L92" i="1"/>
  <c r="I93" i="1" l="1"/>
  <c r="G93" i="1" a="1"/>
  <c r="G93" i="1" s="1"/>
  <c r="F93" i="1" a="1"/>
  <c r="F93" i="1" s="1"/>
  <c r="E94" i="1" a="1"/>
  <c r="E94" i="1" s="1"/>
  <c r="K94" i="1" s="1"/>
  <c r="H93" i="1"/>
  <c r="J93" i="1"/>
  <c r="L93" i="1"/>
  <c r="I94" i="1" l="1"/>
  <c r="G94" i="1" a="1"/>
  <c r="G94" i="1" s="1"/>
  <c r="F94" i="1" a="1"/>
  <c r="F94" i="1" s="1"/>
  <c r="E95" i="1" a="1"/>
  <c r="E95" i="1" s="1"/>
  <c r="K95" i="1" s="1"/>
  <c r="H94" i="1"/>
  <c r="J94" i="1"/>
  <c r="L94" i="1"/>
  <c r="I95" i="1" l="1"/>
  <c r="G95" i="1" a="1"/>
  <c r="G95" i="1" s="1"/>
  <c r="F95" i="1" a="1"/>
  <c r="F95" i="1" s="1"/>
  <c r="E96" i="1" a="1"/>
  <c r="E96" i="1" s="1"/>
  <c r="K96" i="1" s="1"/>
  <c r="H95" i="1"/>
  <c r="J95" i="1"/>
  <c r="L95" i="1"/>
  <c r="I96" i="1" l="1"/>
  <c r="G96" i="1" a="1"/>
  <c r="G96" i="1" s="1"/>
  <c r="F96" i="1" a="1"/>
  <c r="F96" i="1" s="1"/>
  <c r="E97" i="1" a="1"/>
  <c r="E97" i="1" s="1"/>
  <c r="K97" i="1" s="1"/>
  <c r="H96" i="1"/>
  <c r="J96" i="1"/>
  <c r="L96" i="1"/>
  <c r="I97" i="1" l="1"/>
  <c r="G97" i="1" a="1"/>
  <c r="G97" i="1" s="1"/>
  <c r="F97" i="1" a="1"/>
  <c r="F97" i="1" s="1"/>
  <c r="E98" i="1" a="1"/>
  <c r="E98" i="1" s="1"/>
  <c r="K98" i="1" s="1"/>
  <c r="H97" i="1"/>
  <c r="J97" i="1"/>
  <c r="L97" i="1"/>
  <c r="I98" i="1" l="1"/>
  <c r="G98" i="1" a="1"/>
  <c r="G98" i="1" s="1"/>
  <c r="F98" i="1" a="1"/>
  <c r="F98" i="1" s="1"/>
  <c r="E99" i="1" a="1"/>
  <c r="E99" i="1" s="1"/>
  <c r="K99" i="1" s="1"/>
  <c r="H98" i="1"/>
  <c r="J98" i="1"/>
  <c r="L98" i="1"/>
  <c r="I99" i="1" l="1"/>
  <c r="G99" i="1" a="1"/>
  <c r="G99" i="1" s="1"/>
  <c r="F99" i="1" a="1"/>
  <c r="F99" i="1" s="1"/>
  <c r="E100" i="1" a="1"/>
  <c r="E100" i="1" s="1"/>
  <c r="K100" i="1" s="1"/>
  <c r="H99" i="1"/>
  <c r="J99" i="1"/>
  <c r="L99" i="1"/>
  <c r="I100" i="1" l="1"/>
  <c r="G100" i="1" a="1"/>
  <c r="G100" i="1" s="1"/>
  <c r="F100" i="1" a="1"/>
  <c r="F100" i="1" s="1"/>
  <c r="E101" i="1" a="1"/>
  <c r="E101" i="1" s="1"/>
  <c r="K101" i="1" s="1"/>
  <c r="H100" i="1"/>
  <c r="J100" i="1"/>
  <c r="L100" i="1"/>
  <c r="I101" i="1" l="1"/>
  <c r="G101" i="1" a="1"/>
  <c r="G101" i="1" s="1"/>
  <c r="F101" i="1" a="1"/>
  <c r="F101" i="1" s="1"/>
  <c r="E102" i="1" a="1"/>
  <c r="E102" i="1" s="1"/>
  <c r="K102" i="1" s="1"/>
  <c r="H101" i="1"/>
  <c r="J101" i="1"/>
  <c r="L101" i="1"/>
  <c r="I102" i="1" l="1"/>
  <c r="G102" i="1" a="1"/>
  <c r="G102" i="1" s="1"/>
  <c r="F102" i="1" a="1"/>
  <c r="F102" i="1" s="1"/>
  <c r="E103" i="1" a="1"/>
  <c r="E103" i="1" s="1"/>
  <c r="K103" i="1" s="1"/>
  <c r="H102" i="1"/>
  <c r="J102" i="1"/>
  <c r="L102" i="1"/>
  <c r="I103" i="1" l="1"/>
  <c r="G103" i="1" a="1"/>
  <c r="G103" i="1" s="1"/>
  <c r="F103" i="1" a="1"/>
  <c r="F103" i="1" s="1"/>
  <c r="E104" i="1" a="1"/>
  <c r="E104" i="1" s="1"/>
  <c r="K104" i="1" s="1"/>
  <c r="H103" i="1"/>
  <c r="J103" i="1"/>
  <c r="L103" i="1"/>
  <c r="I104" i="1" l="1"/>
  <c r="G104" i="1" a="1"/>
  <c r="G104" i="1" s="1"/>
  <c r="F104" i="1" a="1"/>
  <c r="F104" i="1" s="1"/>
  <c r="E105" i="1" a="1"/>
  <c r="E105" i="1" s="1"/>
  <c r="K105" i="1" s="1"/>
  <c r="H104" i="1"/>
  <c r="J104" i="1"/>
  <c r="L104" i="1"/>
  <c r="I105" i="1" l="1"/>
  <c r="G105" i="1" a="1"/>
  <c r="G105" i="1" s="1"/>
  <c r="F105" i="1" a="1"/>
  <c r="F105" i="1" s="1"/>
  <c r="E106" i="1" a="1"/>
  <c r="E106" i="1" s="1"/>
  <c r="K106" i="1" s="1"/>
  <c r="H105" i="1"/>
  <c r="J105" i="1"/>
  <c r="L105" i="1"/>
  <c r="I106" i="1" l="1"/>
  <c r="G106" i="1" a="1"/>
  <c r="G106" i="1" s="1"/>
  <c r="F106" i="1" a="1"/>
  <c r="F106" i="1" s="1"/>
  <c r="E107" i="1" a="1"/>
  <c r="E107" i="1" s="1"/>
  <c r="K107" i="1" s="1"/>
  <c r="H106" i="1"/>
  <c r="J106" i="1"/>
  <c r="L106" i="1"/>
  <c r="I107" i="1" l="1"/>
  <c r="G107" i="1" a="1"/>
  <c r="G107" i="1" s="1"/>
  <c r="F107" i="1" a="1"/>
  <c r="F107" i="1" s="1"/>
  <c r="E108" i="1" a="1"/>
  <c r="E108" i="1" s="1"/>
  <c r="K108" i="1" s="1"/>
  <c r="H107" i="1"/>
  <c r="J107" i="1"/>
  <c r="L107" i="1"/>
  <c r="I108" i="1" l="1"/>
  <c r="G108" i="1" a="1"/>
  <c r="G108" i="1" s="1"/>
  <c r="F108" i="1" a="1"/>
  <c r="F108" i="1" s="1"/>
  <c r="E109" i="1" a="1"/>
  <c r="E109" i="1" s="1"/>
  <c r="K109" i="1" s="1"/>
  <c r="H108" i="1"/>
  <c r="J108" i="1"/>
  <c r="L108" i="1"/>
  <c r="I109" i="1" l="1"/>
  <c r="G109" i="1" a="1"/>
  <c r="G109" i="1" s="1"/>
  <c r="F109" i="1" a="1"/>
  <c r="F109" i="1" s="1"/>
  <c r="E110" i="1" a="1"/>
  <c r="E110" i="1" s="1"/>
  <c r="K110" i="1" s="1"/>
  <c r="H109" i="1"/>
  <c r="J109" i="1"/>
  <c r="L109" i="1"/>
  <c r="I110" i="1" l="1"/>
  <c r="G110" i="1" a="1"/>
  <c r="G110" i="1" s="1"/>
  <c r="F110" i="1" a="1"/>
  <c r="F110" i="1" s="1"/>
  <c r="E111" i="1" a="1"/>
  <c r="E111" i="1" s="1"/>
  <c r="K111" i="1" s="1"/>
  <c r="H110" i="1"/>
  <c r="J110" i="1"/>
  <c r="L110" i="1"/>
  <c r="I111" i="1" l="1"/>
  <c r="G111" i="1" a="1"/>
  <c r="G111" i="1" s="1"/>
  <c r="F111" i="1" a="1"/>
  <c r="F111" i="1" s="1"/>
  <c r="E112" i="1" a="1"/>
  <c r="E112" i="1" s="1"/>
  <c r="K112" i="1" s="1"/>
  <c r="H111" i="1"/>
  <c r="J111" i="1"/>
  <c r="L111" i="1"/>
  <c r="I112" i="1" l="1"/>
  <c r="G112" i="1" a="1"/>
  <c r="G112" i="1" s="1"/>
  <c r="F112" i="1" a="1"/>
  <c r="F112" i="1" s="1"/>
  <c r="E113" i="1" a="1"/>
  <c r="E113" i="1" s="1"/>
  <c r="K113" i="1" s="1"/>
  <c r="H112" i="1"/>
  <c r="J112" i="1"/>
  <c r="L112" i="1"/>
  <c r="I113" i="1" l="1"/>
  <c r="G113" i="1" a="1"/>
  <c r="G113" i="1" s="1"/>
  <c r="F113" i="1" a="1"/>
  <c r="F113" i="1" s="1"/>
  <c r="E114" i="1" a="1"/>
  <c r="E114" i="1" s="1"/>
  <c r="K114" i="1" s="1"/>
  <c r="H113" i="1"/>
  <c r="J113" i="1"/>
  <c r="L113" i="1"/>
  <c r="I114" i="1" l="1"/>
  <c r="G114" i="1" a="1"/>
  <c r="G114" i="1" s="1"/>
  <c r="F114" i="1" a="1"/>
  <c r="F114" i="1" s="1"/>
  <c r="H114" i="1"/>
  <c r="J114" i="1"/>
  <c r="L1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<sst xmlns="http://schemas.openxmlformats.org/spreadsheetml/2006/main" count="12" uniqueCount="12">
  <si>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cfDate</t>
  </si>
  <si>
    <t>refFrom</t>
  </si>
  <si>
    <t>refTo</t>
  </si>
  <si>
    <t>iter</t>
  </si>
  <si>
    <t>accrueFrom</t>
  </si>
  <si>
    <t>accrueTo</t>
  </si>
  <si>
    <t>Year</t>
  </si>
  <si>
    <t>US</t>
  </si>
  <si>
    <t>Fixed</t>
  </si>
  <si>
    <t>Float</t>
  </si>
  <si>
    <t>qwSwapCashFlowsFixedLeg</t>
  </si>
  <si>
    <t>qwSwapCashFlowsFloatLeg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</si>
</sst>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00_);_(* \(#,##0.00000\);_(* &quot;-&quot;??_);_(@_)"/>
    <numFmt numFmtId="165" formatCode="[$-F800]dddd\,\ mmmm\ dd\,\ yyyy"/>
    <numFmt numFmtId="166" formatCode="_(* #,##0.00000000000_);_(* \(#,##0.00000000000\);_(* &quot;-&quot;??_);_(@_)"/>
    <numFmt numFmtId="167" formatCode="_(* #,##0.0000000_);_(* \(#,##0.0000000\);_(* &quot;-&quot;??_);_(@_)"/>
    <numFmt numFmtId="168" formatCode="0.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rgb="FFFF000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4" fillId="2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5" fillId="0" borderId="0" applyNumberFormat="0" applyFill="0" applyBorder="0" applyAlignment="0" applyProtection="0"/>
    <xf numFmtId="0" fontId="1" fillId="9" borderId="8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1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2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blp_column_header" xfId="2" xr:uid="{7E45C141-DC45-44C9-A945-11B318FEE6FC}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3DA2B-B009-413B-B470-30E482D4C08C}">
  <dimension ref="A1:AJ198"/>
  <sheetViews>
    <sheetView tabSelected="1" zoomScaleNormal="100" workbookViewId="0">
      <selection activeCell="B2" sqref="B2"/>
    </sheetView>
  </sheetViews>
  <sheetFormatPr defaultRowHeight="15" x14ac:dyDescent="0.25"/>
  <cols>
    <col min="2" max="2" width="12.85546875" bestFit="1" customWidth="1"/>
    <col min="3" max="3" width="9.5703125" customWidth="1"/>
    <col min="4" max="4" width="14.7109375" bestFit="1" customWidth="1"/>
    <col min="5" max="5" width="9.42578125" bestFit="1" customWidth="1"/>
    <col min="6" max="6" width="17.28515625" bestFit="1" customWidth="1"/>
    <col min="7" max="8" width="16.42578125" customWidth="1"/>
    <col min="9" max="9" width="17.5703125" bestFit="1" customWidth="1"/>
    <col min="10" max="11" width="16.42578125" customWidth="1"/>
    <col min="12" max="12" width="13.140625" bestFit="1" customWidth="1"/>
    <col min="13" max="14" width="13.140625" customWidth="1"/>
    <col min="15" max="15" width="16.42578125" customWidth="1"/>
    <col min="16" max="16" width="25.85546875" bestFit="1" customWidth="1"/>
    <col min="17" max="17" width="17.28515625" bestFit="1" customWidth="1"/>
    <col min="18" max="18" width="11.5703125" style="2" bestFit="1" customWidth="1"/>
    <col min="19" max="19" width="25.7109375" style="1" bestFit="1" customWidth="1"/>
    <col min="20" max="20" width="12" bestFit="1" customWidth="1"/>
    <col min="21" max="21" width="18.5703125" bestFit="1" customWidth="1"/>
    <col min="22" max="22" width="16.140625" bestFit="1" customWidth="1"/>
    <col min="23" max="23" width="21.5703125" bestFit="1" customWidth="1"/>
    <col min="24" max="24" width="11.7109375" bestFit="1" customWidth="1"/>
    <col min="25" max="25" width="24.140625" bestFit="1" customWidth="1"/>
    <col min="26" max="26" width="24.140625" customWidth="1"/>
    <col min="27" max="27" width="16.140625" bestFit="1" customWidth="1"/>
    <col min="28" max="28" width="12.85546875" bestFit="1" customWidth="1"/>
    <col min="29" max="29" width="9.85546875" bestFit="1" customWidth="1"/>
    <col min="30" max="30" width="9.5703125" bestFit="1" customWidth="1"/>
    <col min="31" max="31" width="11.140625" bestFit="1" customWidth="1"/>
    <col min="32" max="32" width="11.85546875" customWidth="1"/>
    <col min="33" max="33" width="18.85546875" bestFit="1" customWidth="1"/>
    <col min="34" max="34" width="23.28515625" customWidth="1"/>
    <col min="35" max="35" width="19.28515625" bestFit="1" customWidth="1"/>
    <col min="36" max="37" width="12.28515625" bestFit="1" customWidth="1"/>
    <col min="38" max="38" width="8.42578125" bestFit="1" customWidth="1"/>
  </cols>
  <sheetData>
    <row r="1" spans="1:36" x14ac:dyDescent="0.25">
      <c r="B1" t="str" cm="1">
        <f t="array" ref="B1">_xll.qwCtxTrade()</f>
        <v>ctx.46274.Live</v>
      </c>
      <c r="K1" s="3"/>
      <c r="L1" s="3"/>
      <c r="M1" s="3"/>
      <c r="N1" s="3"/>
    </row>
    <row r="2" spans="1:36" x14ac:dyDescent="0.25">
      <c r="B2">
        <v>251537871</v>
      </c>
      <c r="I2" s="5"/>
      <c r="K2" s="6"/>
    </row>
    <row r="3" spans="1:36" x14ac:dyDescent="0.25">
      <c r="F3" s="1"/>
      <c r="I3" s="5"/>
      <c r="K3" s="6"/>
      <c r="O3" s="1"/>
    </row>
    <row r="4" spans="1:36" x14ac:dyDescent="0.25">
      <c r="F4" s="1"/>
      <c r="I4" s="5"/>
      <c r="K4" s="6"/>
      <c r="L4" s="6"/>
      <c r="M4" s="6"/>
      <c r="N4" s="6"/>
      <c r="O4" s="1"/>
    </row>
    <row r="5" spans="1:36" x14ac:dyDescent="0.25">
      <c r="O5" s="4"/>
      <c r="R5"/>
    </row>
    <row r="6" spans="1:36" x14ac:dyDescent="0.25">
      <c r="O6" s="4"/>
      <c r="P6" s="3"/>
      <c r="Q6" s="3"/>
    </row>
    <row r="7" spans="1:36" x14ac:dyDescent="0.25">
      <c r="B7" s="1"/>
      <c r="C7" s="1"/>
      <c r="E7" s="1" t="s">
        <v>3</v>
      </c>
      <c r="F7" t="s">
        <v>0</v>
      </c>
      <c r="G7" t="s">
        <v>1</v>
      </c>
      <c r="H7" t="s">
        <v>2</v>
      </c>
      <c r="I7" t="s">
        <v>4</v>
      </c>
      <c r="J7" s="5" t="s">
        <v>5</v>
      </c>
      <c r="K7" t="s">
        <v>6</v>
      </c>
      <c r="L7" s="6" t="s">
        <v>8</v>
      </c>
      <c r="M7" s="6" t="s">
        <v>9</v>
      </c>
      <c r="O7" s="4"/>
      <c r="P7" t="s">
        <v>10</v>
      </c>
      <c r="S7" s="1" t="s">
        <v>11</v>
      </c>
    </row>
    <row r="8" spans="1:36" x14ac:dyDescent="0.25">
      <c r="A8" t="s">
        <v>7</v>
      </c>
      <c r="B8">
        <v>100</v>
      </c>
      <c r="C8">
        <v>360</v>
      </c>
      <c r="D8" cm="1">
        <f t="array" ref="D8">_xll.qwSwapFixedRate(B1,B2)</f>
        <v>4.4967559999999997E-2</v>
      </c>
      <c r="E8" s="4" cm="1">
        <f t="array" ref="E8">_xll.qwTermination(B1,B2)</f>
        <v>57207</v>
      </c>
      <c r="F8" s="4" cm="1">
        <f t="array" ref="F8">IF(E8&lt;&gt;0,_xll.qwCalAdjust(A8,E8),0)</f>
        <v>57207</v>
      </c>
      <c r="G8" s="4" cm="1">
        <f t="array" ref="G8">IF(E8&lt;&gt;0,IF(E8=EOMONTH(E8,0), EOMONTH(_xll.qwCalAddMonths(A8,E8,-12,4),0), _xll.qwCalAddMonths(A8,E8,-12,4)),0)</f>
        <v>56841</v>
      </c>
      <c r="H8" s="1">
        <f>IF(E8&lt;&gt;0,E8,0)</f>
        <v>57207</v>
      </c>
      <c r="I8" s="1">
        <f>IF(E8&lt;&gt;0,MAX(_xll.qwEffective($B$1,$B$2),_xll.qwCalAdjust($A$27,G8)),0)</f>
        <v>56842</v>
      </c>
      <c r="J8" s="4">
        <f>IF(E8&lt;&gt;0,F8,0)</f>
        <v>57207</v>
      </c>
      <c r="K8">
        <f>IF(E8&lt;&gt;0,(J8-I8)/C8,0)</f>
        <v>1.0138888888888888</v>
      </c>
      <c r="L8" s="9">
        <f>100+B8*(1+D8*K8)-B8</f>
        <v>104.55921094444443</v>
      </c>
      <c r="M8" s="9" cm="1">
        <f t="array" ref="M8">100+_xll.qwCurveRate($B$1,"SOFRSWAP",I8,J8)*K8*100</f>
        <v>104.20797996138462</v>
      </c>
      <c r="O8" s="9"/>
      <c r="P8" s="4" cm="1">
        <f t="array" ref="P8:Q37">_xll.qwSwapCashFlowsFixedLeg(B1,B2)</f>
        <v>46615</v>
      </c>
      <c r="Q8" s="8">
        <v>4.3718461111</v>
      </c>
      <c r="S8" s="1" cm="1">
        <f t="array" ref="S8:T37">_xll.qwSwapCashFlowsFloatLeg(B1,B2)</f>
        <v>46615</v>
      </c>
      <c r="T8" s="10">
        <v>4.0299514950442585</v>
      </c>
      <c r="U8" s="2"/>
    </row>
    <row r="9" spans="1:36" x14ac:dyDescent="0.25">
      <c r="A9" t="str">
        <f>A8</f>
        <v>US</v>
      </c>
      <c r="B9">
        <f>B8</f>
        <v>100</v>
      </c>
      <c r="C9">
        <f>C8</f>
        <v>360</v>
      </c>
      <c r="D9">
        <f>D8</f>
        <v>4.4967559999999997E-2</v>
      </c>
      <c r="E9" s="4" cm="1">
        <f t="array" ref="E9">IF(_xll.qwSettle($B$1,$B$2)&lt;G8,G8,0)</f>
        <v>56841</v>
      </c>
      <c r="F9" s="4" cm="1">
        <f t="array" ref="F9">IF(E9&lt;&gt;0,_xll.qwCalAdjust(A9,E9),0)</f>
        <v>56842</v>
      </c>
      <c r="G9" s="4" cm="1">
        <f t="array" ref="G9">IF(E9&lt;&gt;0,IF(E9=EOMONTH(E9,0), EOMONTH(_xll.qwCalAddMonths(A9,E9,-12,4),0), _xll.qwCalAddMonths(A9,E9,-12,4)),0)</f>
        <v>56476</v>
      </c>
      <c r="H9" s="1">
        <f t="shared" ref="H9:H11" si="0">IF(E9&lt;&gt;0,E9,0)</f>
        <v>56841</v>
      </c>
      <c r="I9" s="1">
        <f>IF(E9&lt;&gt;0,MAX(_xll.qwEffective($B$1,$B$2),_xll.qwCalAdjust($A$27,G9)),0)</f>
        <v>56478</v>
      </c>
      <c r="J9" s="4">
        <f t="shared" ref="J9:J11" si="1">IF(E9&lt;&gt;0,F9,0)</f>
        <v>56842</v>
      </c>
      <c r="K9">
        <f t="shared" ref="K9:K72" si="2">IF(E9&lt;&gt;0,(J9-I9)/C9,0)</f>
        <v>1.0111111111111111</v>
      </c>
      <c r="L9" s="9">
        <f>B9*(1+D9*K9)-B9</f>
        <v>4.5467199555555595</v>
      </c>
      <c r="M9" s="9" cm="1">
        <f t="array" ref="M9">_xll.qwCurveRate($B$1,"SOFRSWAP",I9,J9)*K9*100</f>
        <v>4.1962126831553093</v>
      </c>
      <c r="O9" s="4"/>
      <c r="P9" s="4">
        <v>46980</v>
      </c>
      <c r="Q9" s="8">
        <v>4.5592109444000002</v>
      </c>
      <c r="S9" s="1">
        <v>46980</v>
      </c>
      <c r="T9">
        <v>4.466604263218187</v>
      </c>
      <c r="U9" s="2"/>
    </row>
    <row r="10" spans="1:36" x14ac:dyDescent="0.25">
      <c r="A10" t="str">
        <f t="shared" ref="A10:A73" si="3">A9</f>
        <v>US</v>
      </c>
      <c r="B10">
        <f>B9</f>
        <v>100</v>
      </c>
      <c r="C10">
        <f t="shared" ref="C10:C73" si="4">C9</f>
        <v>360</v>
      </c>
      <c r="D10">
        <f>D9</f>
        <v>4.4967559999999997E-2</v>
      </c>
      <c r="E10" s="4" cm="1">
        <f t="array" ref="E10">IF(_xll.qwSettle($B$1,$B$2)&lt;G9,G9,0)</f>
        <v>56476</v>
      </c>
      <c r="F10" s="4" cm="1">
        <f t="array" ref="F10">IF(E10&lt;&gt;0,_xll.qwCalAdjust(A10,E10),0)</f>
        <v>56478</v>
      </c>
      <c r="G10" s="4" cm="1">
        <f t="array" ref="G10">IF(E10&lt;&gt;0,IF(E10=EOMONTH(E10,0), EOMONTH(_xll.qwCalAddMonths(A10,E10,-12,4),0), _xll.qwCalAddMonths(A10,E10,-12,4)),0)</f>
        <v>56111</v>
      </c>
      <c r="H10" s="1">
        <f t="shared" si="0"/>
        <v>56476</v>
      </c>
      <c r="I10" s="1">
        <f>IF(E10&lt;&gt;0,MAX(_xll.qwEffective($B$1,$B$2),_xll.qwCalAdjust($A$27,G10)),0)</f>
        <v>56111</v>
      </c>
      <c r="J10" s="4">
        <f t="shared" si="1"/>
        <v>56478</v>
      </c>
      <c r="K10">
        <f t="shared" si="2"/>
        <v>1.0194444444444444</v>
      </c>
      <c r="L10" s="9">
        <f>B10*(1+D10*K10)-B10</f>
        <v>4.5841929222222291</v>
      </c>
      <c r="M10" s="9" cm="1">
        <f t="array" ref="M10">_xll.qwCurveRate($B$1,"SOFRSWAP",I10,J10)*K10*100</f>
        <v>4.2315185047649306</v>
      </c>
      <c r="O10" s="4"/>
      <c r="P10" s="1">
        <v>47345</v>
      </c>
      <c r="Q10" s="8">
        <v>4.5592109444000002</v>
      </c>
      <c r="S10" s="1">
        <v>47345</v>
      </c>
      <c r="T10">
        <v>4.428798766445226</v>
      </c>
      <c r="U10" s="2"/>
      <c r="AJ10" s="1"/>
    </row>
    <row r="11" spans="1:36" x14ac:dyDescent="0.25">
      <c r="A11" t="str">
        <f t="shared" si="3"/>
        <v>US</v>
      </c>
      <c r="B11">
        <f t="shared" ref="B11:B14" si="5">B10</f>
        <v>100</v>
      </c>
      <c r="C11">
        <f t="shared" si="4"/>
        <v>360</v>
      </c>
      <c r="D11">
        <f t="shared" ref="D11:D14" si="6">D10</f>
        <v>4.4967559999999997E-2</v>
      </c>
      <c r="E11" s="4" cm="1">
        <f t="array" ref="E11">IF(_xll.qwSettle($B$1,$B$2)&lt;G10,G10,0)</f>
        <v>56111</v>
      </c>
      <c r="F11" s="4" cm="1">
        <f t="array" ref="F11">IF(E11&lt;&gt;0,_xll.qwCalAdjust(A11,E11),0)</f>
        <v>56111</v>
      </c>
      <c r="G11" s="4" cm="1">
        <f t="array" ref="G11">IF(E11&lt;&gt;0,IF(E11=EOMONTH(E11,0), EOMONTH(_xll.qwCalAddMonths(A11,E11,-12,4),0), _xll.qwCalAddMonths(A11,E11,-12,4)),0)</f>
        <v>55746</v>
      </c>
      <c r="H11" s="1">
        <f t="shared" si="0"/>
        <v>56111</v>
      </c>
      <c r="I11" s="1">
        <f>IF(E11&lt;&gt;0,MAX(_xll.qwEffective($B$1,$B$2),_xll.qwCalAdjust($A$27,G11)),0)</f>
        <v>55746</v>
      </c>
      <c r="J11" s="4">
        <f t="shared" si="1"/>
        <v>56111</v>
      </c>
      <c r="K11">
        <f t="shared" si="2"/>
        <v>1.0138888888888888</v>
      </c>
      <c r="L11" s="9">
        <f>B11*(1+D11*K11)-B11</f>
        <v>4.5592109444444446</v>
      </c>
      <c r="M11" s="9" cm="1">
        <f t="array" ref="M11">_xll.qwCurveRate($B$1,"SOFRSWAP",I11,J11)*K11*100</f>
        <v>4.2079799613846003</v>
      </c>
      <c r="O11" s="4"/>
      <c r="P11" s="4">
        <v>47710</v>
      </c>
      <c r="Q11" s="8">
        <v>4.5592109444000002</v>
      </c>
      <c r="S11" s="1">
        <v>47710</v>
      </c>
      <c r="T11">
        <v>4.4115376562247803</v>
      </c>
      <c r="U11" s="2"/>
    </row>
    <row r="12" spans="1:36" x14ac:dyDescent="0.25">
      <c r="A12" t="str">
        <f t="shared" si="3"/>
        <v>US</v>
      </c>
      <c r="B12">
        <f t="shared" si="5"/>
        <v>100</v>
      </c>
      <c r="C12">
        <f t="shared" si="4"/>
        <v>360</v>
      </c>
      <c r="D12">
        <f t="shared" si="6"/>
        <v>4.4967559999999997E-2</v>
      </c>
      <c r="E12" s="4" cm="1">
        <f t="array" ref="E12">IF(_xll.qwSettle($B$1,$B$2)&lt;G11,G11,0)</f>
        <v>55746</v>
      </c>
      <c r="F12" s="4" cm="1">
        <f t="array" ref="F12">IF(E12&lt;&gt;0,_xll.qwCalAdjust(A12,E12),0)</f>
        <v>55746</v>
      </c>
      <c r="G12" s="4" cm="1">
        <f t="array" ref="G12">IF(E12&lt;&gt;0,IF(E12=EOMONTH(E12,0), EOMONTH(_xll.qwCalAddMonths(A12,E12,-12,4),0), _xll.qwCalAddMonths(A12,E12,-12,4)),0)</f>
        <v>55380</v>
      </c>
      <c r="H12" s="1">
        <f t="shared" ref="H12:H14" si="7">IF(E12&lt;&gt;0,E12,0)</f>
        <v>55746</v>
      </c>
      <c r="I12" s="1">
        <f>IF(E12&lt;&gt;0,MAX(_xll.qwEffective($B$1,$B$2),_xll.qwCalAdjust($A$27,G12)),0)</f>
        <v>55380</v>
      </c>
      <c r="J12" s="4">
        <f t="shared" ref="J12:J14" si="8">IF(E12&lt;&gt;0,F12,0)</f>
        <v>55746</v>
      </c>
      <c r="K12">
        <f t="shared" si="2"/>
        <v>1.0166666666666666</v>
      </c>
      <c r="L12" s="9">
        <f>B12*(1+D12*K12)-B12</f>
        <v>4.571701933333344</v>
      </c>
      <c r="M12" s="9" cm="1">
        <f t="array" ref="M12">_xll.qwCurveRate($B$1,"SOFRSWAP",I12,J12)*K12*100</f>
        <v>4.2519869732418281</v>
      </c>
      <c r="O12" s="4"/>
      <c r="P12" s="4">
        <v>48075</v>
      </c>
      <c r="Q12" s="8">
        <v>4.5592109444000002</v>
      </c>
      <c r="S12" s="1">
        <v>48075</v>
      </c>
      <c r="T12">
        <v>4.4487157460045808</v>
      </c>
      <c r="U12" s="2"/>
      <c r="AJ12" s="1"/>
    </row>
    <row r="13" spans="1:36" x14ac:dyDescent="0.25">
      <c r="A13" t="str">
        <f t="shared" si="3"/>
        <v>US</v>
      </c>
      <c r="B13">
        <f t="shared" si="5"/>
        <v>100</v>
      </c>
      <c r="C13">
        <f t="shared" si="4"/>
        <v>360</v>
      </c>
      <c r="D13">
        <f t="shared" si="6"/>
        <v>4.4967559999999997E-2</v>
      </c>
      <c r="E13" s="4" cm="1">
        <f t="array" ref="E13">IF(_xll.qwSettle($B$1,$B$2)&lt;G12,G12,0)</f>
        <v>55380</v>
      </c>
      <c r="F13" s="4" cm="1">
        <f t="array" ref="F13">IF(E13&lt;&gt;0,_xll.qwCalAdjust(A13,E13),0)</f>
        <v>55380</v>
      </c>
      <c r="G13" s="4" cm="1">
        <f t="array" ref="G13">IF(E13&lt;&gt;0,IF(E13=EOMONTH(E13,0), EOMONTH(_xll.qwCalAddMonths(A13,E13,-12,4),0), _xll.qwCalAddMonths(A13,E13,-12,4)),0)</f>
        <v>55015</v>
      </c>
      <c r="H13" s="1">
        <f t="shared" si="7"/>
        <v>55380</v>
      </c>
      <c r="I13" s="1">
        <f>IF(E13&lt;&gt;0,MAX(_xll.qwEffective($B$1,$B$2),_xll.qwCalAdjust($A$27,G13)),0)</f>
        <v>55015</v>
      </c>
      <c r="J13" s="4">
        <f t="shared" si="8"/>
        <v>55380</v>
      </c>
      <c r="K13">
        <f t="shared" si="2"/>
        <v>1.0138888888888888</v>
      </c>
      <c r="L13" s="9">
        <f t="shared" ref="L13:L14" si="9">B13*(1+D13*K13)-B13</f>
        <v>4.5592109444444446</v>
      </c>
      <c r="M13" s="9" cm="1">
        <f t="array" ref="M13">_xll.qwCurveRate($B$1,"SOFRSWAP",I13,J13)*K13*100</f>
        <v>4.6445909458521006</v>
      </c>
      <c r="O13" s="4"/>
      <c r="P13" s="4">
        <v>48442</v>
      </c>
      <c r="Q13" s="8">
        <v>4.5841929221999997</v>
      </c>
      <c r="S13" s="1">
        <v>48442</v>
      </c>
      <c r="T13">
        <v>4.5329586681948086</v>
      </c>
      <c r="U13" s="2"/>
    </row>
    <row r="14" spans="1:36" x14ac:dyDescent="0.25">
      <c r="A14" t="str">
        <f t="shared" si="3"/>
        <v>US</v>
      </c>
      <c r="B14">
        <f t="shared" si="5"/>
        <v>100</v>
      </c>
      <c r="C14">
        <f t="shared" si="4"/>
        <v>360</v>
      </c>
      <c r="D14">
        <f t="shared" si="6"/>
        <v>4.4967559999999997E-2</v>
      </c>
      <c r="E14" s="4" cm="1">
        <f t="array" ref="E14">IF(_xll.qwSettle($B$1,$B$2)&lt;G13,G13,0)</f>
        <v>55015</v>
      </c>
      <c r="F14" s="4" cm="1">
        <f t="array" ref="F14">IF(E14&lt;&gt;0,_xll.qwCalAdjust(A14,E14),0)</f>
        <v>55015</v>
      </c>
      <c r="G14" s="4" cm="1">
        <f t="array" ref="G14">IF(E14&lt;&gt;0,IF(E14=EOMONTH(E14,0), EOMONTH(_xll.qwCalAddMonths(A14,E14,-12,4),0), _xll.qwCalAddMonths(A14,E14,-12,4)),0)</f>
        <v>54650</v>
      </c>
      <c r="H14" s="1">
        <f t="shared" si="7"/>
        <v>55015</v>
      </c>
      <c r="I14" s="1">
        <f>IF(E14&lt;&gt;0,MAX(_xll.qwEffective($B$1,$B$2),_xll.qwCalAdjust($A$27,G14)),0)</f>
        <v>54651</v>
      </c>
      <c r="J14" s="4">
        <f t="shared" si="8"/>
        <v>55015</v>
      </c>
      <c r="K14">
        <f t="shared" si="2"/>
        <v>1.0111111111111111</v>
      </c>
      <c r="L14" s="9">
        <f t="shared" si="9"/>
        <v>4.5467199555555595</v>
      </c>
      <c r="M14" s="9" cm="1">
        <f t="array" ref="M14">_xll.qwCurveRate($B$1,"SOFRSWAP",I14,J14)*K14*100</f>
        <v>4.6315758103637084</v>
      </c>
      <c r="O14" s="4"/>
      <c r="P14" s="4">
        <v>48806</v>
      </c>
      <c r="Q14" s="8">
        <v>4.5467199556000004</v>
      </c>
      <c r="S14" s="1">
        <v>48806</v>
      </c>
      <c r="T14">
        <v>4.5601888446983878</v>
      </c>
      <c r="U14" s="2"/>
      <c r="AJ14" s="1"/>
    </row>
    <row r="15" spans="1:36" x14ac:dyDescent="0.25">
      <c r="A15" t="str">
        <f t="shared" si="3"/>
        <v>US</v>
      </c>
      <c r="B15">
        <f t="shared" ref="B15:C78" si="10">B14</f>
        <v>100</v>
      </c>
      <c r="C15">
        <f t="shared" si="4"/>
        <v>360</v>
      </c>
      <c r="D15">
        <f t="shared" ref="D15:D78" si="11">D14</f>
        <v>4.4967559999999997E-2</v>
      </c>
      <c r="E15" s="4" cm="1">
        <f t="array" ref="E15">IF(_xll.qwSettle($B$1,$B$2)&lt;G14,G14,0)</f>
        <v>54650</v>
      </c>
      <c r="F15" s="4" cm="1">
        <f t="array" ref="F15">IF(E15&lt;&gt;0,_xll.qwCalAdjust(A15,E15),0)</f>
        <v>54651</v>
      </c>
      <c r="G15" s="4" cm="1">
        <f t="array" ref="G15">IF(E15&lt;&gt;0,IF(E15=EOMONTH(E15,0), EOMONTH(_xll.qwCalAddMonths(A15,E15,-12,4),0), _xll.qwCalAddMonths(A15,E15,-12,4)),0)</f>
        <v>54285</v>
      </c>
      <c r="H15" s="1">
        <f t="shared" ref="H15:H78" si="12">IF(E15&lt;&gt;0,E15,0)</f>
        <v>54650</v>
      </c>
      <c r="I15" s="1">
        <f>IF(E15&lt;&gt;0,MAX(_xll.qwEffective($B$1,$B$2),_xll.qwCalAdjust($A$27,G15)),0)</f>
        <v>54287</v>
      </c>
      <c r="J15" s="4">
        <f t="shared" ref="J15:J78" si="13">IF(E15&lt;&gt;0,F15,0)</f>
        <v>54651</v>
      </c>
      <c r="K15">
        <f t="shared" si="2"/>
        <v>1.0111111111111111</v>
      </c>
      <c r="L15" s="9">
        <f t="shared" ref="L15:L78" si="14">B15*(1+D15*K15)-B15</f>
        <v>4.5467199555555595</v>
      </c>
      <c r="M15" s="9" cm="1">
        <f t="array" ref="M15">_xll.qwCurveRate($B$1,"SOFRSWAP",I15,J15)*K15*100</f>
        <v>4.6315758103637306</v>
      </c>
      <c r="O15" s="4"/>
      <c r="P15" s="4">
        <v>49171</v>
      </c>
      <c r="Q15" s="8">
        <v>4.5592109444000002</v>
      </c>
      <c r="S15" s="1">
        <v>49171</v>
      </c>
      <c r="T15">
        <v>4.6438720980164732</v>
      </c>
      <c r="U15" s="2"/>
    </row>
    <row r="16" spans="1:36" x14ac:dyDescent="0.25">
      <c r="A16" t="str">
        <f t="shared" si="3"/>
        <v>US</v>
      </c>
      <c r="B16">
        <f t="shared" si="10"/>
        <v>100</v>
      </c>
      <c r="C16">
        <f t="shared" si="4"/>
        <v>360</v>
      </c>
      <c r="D16">
        <f t="shared" si="11"/>
        <v>4.4967559999999997E-2</v>
      </c>
      <c r="E16" s="4" cm="1">
        <f t="array" ref="E16">IF(_xll.qwSettle($B$1,$B$2)&lt;G15,G15,0)</f>
        <v>54285</v>
      </c>
      <c r="F16" s="4" cm="1">
        <f t="array" ref="F16">IF(E16&lt;&gt;0,_xll.qwCalAdjust(A16,E16),0)</f>
        <v>54287</v>
      </c>
      <c r="G16" s="4" cm="1">
        <f t="array" ref="G16">IF(E16&lt;&gt;0,IF(E16=EOMONTH(E16,0), EOMONTH(_xll.qwCalAddMonths(A16,E16,-12,4),0), _xll.qwCalAddMonths(A16,E16,-12,4)),0)</f>
        <v>53919</v>
      </c>
      <c r="H16" s="1">
        <f t="shared" si="12"/>
        <v>54285</v>
      </c>
      <c r="I16" s="1">
        <f>IF(E16&lt;&gt;0,MAX(_xll.qwEffective($B$1,$B$2),_xll.qwCalAdjust($A$27,G16)),0)</f>
        <v>53919</v>
      </c>
      <c r="J16" s="4">
        <f t="shared" si="13"/>
        <v>54287</v>
      </c>
      <c r="K16">
        <f t="shared" si="2"/>
        <v>1.0222222222222221</v>
      </c>
      <c r="L16" s="9">
        <f t="shared" si="14"/>
        <v>4.5966839111111142</v>
      </c>
      <c r="M16" s="9" cm="1">
        <f t="array" ref="M16">_xll.qwCurveRate($B$1,"SOFRSWAP",I16,J16)*K16*100</f>
        <v>4.6836460668493451</v>
      </c>
      <c r="O16" s="4"/>
      <c r="P16" s="4">
        <v>49536</v>
      </c>
      <c r="Q16" s="8">
        <v>4.5592109444000002</v>
      </c>
      <c r="S16" s="1">
        <v>49536</v>
      </c>
      <c r="T16">
        <v>4.727062432360924</v>
      </c>
      <c r="U16" s="2"/>
      <c r="AJ16" s="1"/>
    </row>
    <row r="17" spans="1:36" x14ac:dyDescent="0.25">
      <c r="A17" t="str">
        <f t="shared" si="3"/>
        <v>US</v>
      </c>
      <c r="B17">
        <f t="shared" si="10"/>
        <v>100</v>
      </c>
      <c r="C17">
        <f t="shared" si="4"/>
        <v>360</v>
      </c>
      <c r="D17">
        <f t="shared" si="11"/>
        <v>4.4967559999999997E-2</v>
      </c>
      <c r="E17" s="4" cm="1">
        <f t="array" ref="E17">IF(_xll.qwSettle($B$1,$B$2)&lt;G16,G16,0)</f>
        <v>53919</v>
      </c>
      <c r="F17" s="4" cm="1">
        <f t="array" ref="F17">IF(E17&lt;&gt;0,_xll.qwCalAdjust(A17,E17),0)</f>
        <v>53919</v>
      </c>
      <c r="G17" s="4" cm="1">
        <f t="array" ref="G17">IF(E17&lt;&gt;0,IF(E17=EOMONTH(E17,0), EOMONTH(_xll.qwCalAddMonths(A17,E17,-12,4),0), _xll.qwCalAddMonths(A17,E17,-12,4)),0)</f>
        <v>53554</v>
      </c>
      <c r="H17" s="1">
        <f t="shared" si="12"/>
        <v>53919</v>
      </c>
      <c r="I17" s="1">
        <f>IF(E17&lt;&gt;0,MAX(_xll.qwEffective($B$1,$B$2),_xll.qwCalAdjust($A$27,G17)),0)</f>
        <v>53554</v>
      </c>
      <c r="J17" s="4">
        <f t="shared" si="13"/>
        <v>53919</v>
      </c>
      <c r="K17">
        <f>IF(E17&lt;&gt;0,(J17-I17)/C17,0)</f>
        <v>1.0138888888888888</v>
      </c>
      <c r="L17" s="9">
        <f t="shared" si="14"/>
        <v>4.5592109444444446</v>
      </c>
      <c r="M17" s="9" cm="1">
        <f t="array" ref="M17">_xll.qwCurveRate($B$1,"SOFRSWAP",I17,J17)*K17*100</f>
        <v>4.6733233944875607</v>
      </c>
      <c r="O17" s="2"/>
      <c r="P17" s="4">
        <v>49902</v>
      </c>
      <c r="Q17" s="8">
        <v>4.5717019333</v>
      </c>
      <c r="S17" s="1">
        <v>49902</v>
      </c>
      <c r="T17">
        <v>4.8311615666577268</v>
      </c>
      <c r="U17" s="2"/>
    </row>
    <row r="18" spans="1:36" x14ac:dyDescent="0.25">
      <c r="A18" t="str">
        <f t="shared" si="3"/>
        <v>US</v>
      </c>
      <c r="B18">
        <f t="shared" si="10"/>
        <v>100</v>
      </c>
      <c r="C18">
        <f t="shared" si="4"/>
        <v>360</v>
      </c>
      <c r="D18">
        <f t="shared" si="11"/>
        <v>4.4967559999999997E-2</v>
      </c>
      <c r="E18" s="4" cm="1">
        <f t="array" ref="E18">IF(_xll.qwSettle($B$1,$B$2)&lt;G17,G17,0)</f>
        <v>53554</v>
      </c>
      <c r="F18" s="4" cm="1">
        <f t="array" ref="F18">IF(E18&lt;&gt;0,_xll.qwCalAdjust(A18,E18),0)</f>
        <v>53554</v>
      </c>
      <c r="G18" s="4" cm="1">
        <f t="array" ref="G18">IF(E18&lt;&gt;0,IF(E18=EOMONTH(E18,0), EOMONTH(_xll.qwCalAddMonths(A18,E18,-12,4),0), _xll.qwCalAddMonths(A18,E18,-12,4)),0)</f>
        <v>53189</v>
      </c>
      <c r="H18" s="1">
        <f t="shared" si="12"/>
        <v>53554</v>
      </c>
      <c r="I18" s="1">
        <f>IF(E18&lt;&gt;0,MAX(_xll.qwEffective($B$1,$B$2),_xll.qwCalAdjust($A$27,G18)),0)</f>
        <v>53189</v>
      </c>
      <c r="J18" s="4">
        <f t="shared" si="13"/>
        <v>53554</v>
      </c>
      <c r="K18">
        <f t="shared" si="2"/>
        <v>1.0138888888888888</v>
      </c>
      <c r="L18" s="9">
        <f t="shared" si="14"/>
        <v>4.5592109444444446</v>
      </c>
      <c r="M18" s="9" cm="1">
        <f t="array" ref="M18">_xll.qwCurveRate($B$1,"SOFRSWAP",I18,J18)*K18*100</f>
        <v>5.0336793340400199</v>
      </c>
      <c r="O18" s="2"/>
      <c r="P18" s="4">
        <v>50269</v>
      </c>
      <c r="Q18" s="8">
        <v>4.5841929221999997</v>
      </c>
      <c r="S18" s="1">
        <v>50269</v>
      </c>
      <c r="T18">
        <v>4.9759557509924548</v>
      </c>
      <c r="U18" s="2"/>
      <c r="AJ18" s="1"/>
    </row>
    <row r="19" spans="1:36" x14ac:dyDescent="0.25">
      <c r="A19" t="str">
        <f t="shared" si="3"/>
        <v>US</v>
      </c>
      <c r="B19">
        <f t="shared" si="10"/>
        <v>100</v>
      </c>
      <c r="C19">
        <f t="shared" si="4"/>
        <v>360</v>
      </c>
      <c r="D19">
        <f t="shared" si="11"/>
        <v>4.4967559999999997E-2</v>
      </c>
      <c r="E19" s="4" cm="1">
        <f t="array" ref="E19">IF(_xll.qwSettle($B$1,$B$2)&lt;G18,G18,0)</f>
        <v>53189</v>
      </c>
      <c r="F19" s="4" cm="1">
        <f t="array" ref="F19">IF(E19&lt;&gt;0,_xll.qwCalAdjust(A19,E19),0)</f>
        <v>53189</v>
      </c>
      <c r="G19" s="4" cm="1">
        <f t="array" ref="G19">IF(E19&lt;&gt;0,IF(E19=EOMONTH(E19,0), EOMONTH(_xll.qwCalAddMonths(A19,E19,-12,4),0), _xll.qwCalAddMonths(A19,E19,-12,4)),0)</f>
        <v>52824</v>
      </c>
      <c r="H19" s="1">
        <f t="shared" si="12"/>
        <v>53189</v>
      </c>
      <c r="I19" s="1">
        <f>IF(E19&lt;&gt;0,MAX(_xll.qwEffective($B$1,$B$2),_xll.qwCalAdjust($A$27,G19)),0)</f>
        <v>52824</v>
      </c>
      <c r="J19" s="4">
        <f t="shared" si="13"/>
        <v>53189</v>
      </c>
      <c r="K19">
        <f t="shared" si="2"/>
        <v>1.0138888888888888</v>
      </c>
      <c r="L19" s="9">
        <f t="shared" si="14"/>
        <v>4.5592109444444446</v>
      </c>
      <c r="M19" s="9" cm="1">
        <f t="array" ref="M19">_xll.qwCurveRate($B$1,"SOFRSWAP",I19,J19)*K19*100</f>
        <v>5.0336793340400199</v>
      </c>
      <c r="O19" s="2"/>
      <c r="P19" s="4">
        <v>50633</v>
      </c>
      <c r="Q19" s="8">
        <v>4.5467199556000004</v>
      </c>
      <c r="S19" s="1">
        <v>50633</v>
      </c>
      <c r="T19">
        <v>4.9441027611969304</v>
      </c>
      <c r="U19" s="2"/>
    </row>
    <row r="20" spans="1:36" x14ac:dyDescent="0.25">
      <c r="A20" t="str">
        <f t="shared" si="3"/>
        <v>US</v>
      </c>
      <c r="B20">
        <f t="shared" si="10"/>
        <v>100</v>
      </c>
      <c r="C20">
        <f t="shared" si="4"/>
        <v>360</v>
      </c>
      <c r="D20">
        <f t="shared" si="11"/>
        <v>4.4967559999999997E-2</v>
      </c>
      <c r="E20" s="4" cm="1">
        <f t="array" ref="E20">IF(_xll.qwSettle($B$1,$B$2)&lt;G19,G19,0)</f>
        <v>52824</v>
      </c>
      <c r="F20" s="4" cm="1">
        <f t="array" ref="F20">IF(E20&lt;&gt;0,_xll.qwCalAdjust(A20,E20),0)</f>
        <v>52824</v>
      </c>
      <c r="G20" s="4" cm="1">
        <f t="array" ref="G20">IF(E20&lt;&gt;0,IF(E20=EOMONTH(E20,0), EOMONTH(_xll.qwCalAddMonths(A20,E20,-12,4),0), _xll.qwCalAddMonths(A20,E20,-12,4)),0)</f>
        <v>52458</v>
      </c>
      <c r="H20" s="1">
        <f t="shared" si="12"/>
        <v>52824</v>
      </c>
      <c r="I20" s="1">
        <f>IF(E20&lt;&gt;0,MAX(_xll.qwEffective($B$1,$B$2),_xll.qwCalAdjust($A$27,G20)),0)</f>
        <v>52460</v>
      </c>
      <c r="J20" s="4">
        <f t="shared" si="13"/>
        <v>52824</v>
      </c>
      <c r="K20">
        <f t="shared" si="2"/>
        <v>1.0111111111111111</v>
      </c>
      <c r="L20" s="9">
        <f t="shared" si="14"/>
        <v>4.5467199555555595</v>
      </c>
      <c r="M20" s="9" cm="1">
        <f t="array" ref="M20">_xll.qwCurveRate($B$1,"SOFRSWAP",I20,J20)*K20*100</f>
        <v>5.0195479691541811</v>
      </c>
      <c r="O20" s="2"/>
      <c r="P20" s="4">
        <v>50997</v>
      </c>
      <c r="Q20" s="8">
        <v>4.5467199556000004</v>
      </c>
      <c r="S20" s="1">
        <v>50997</v>
      </c>
      <c r="T20">
        <v>5.0715118051863328</v>
      </c>
      <c r="U20" s="2"/>
      <c r="AJ20" s="1"/>
    </row>
    <row r="21" spans="1:36" x14ac:dyDescent="0.25">
      <c r="A21" t="str">
        <f t="shared" si="3"/>
        <v>US</v>
      </c>
      <c r="B21">
        <f t="shared" si="10"/>
        <v>100</v>
      </c>
      <c r="C21">
        <f t="shared" si="4"/>
        <v>360</v>
      </c>
      <c r="D21">
        <f t="shared" si="11"/>
        <v>4.4967559999999997E-2</v>
      </c>
      <c r="E21" s="4" cm="1">
        <f t="array" ref="E21">IF(_xll.qwSettle($B$1,$B$2)&lt;G20,G20,0)</f>
        <v>52458</v>
      </c>
      <c r="F21" s="4" cm="1">
        <f t="array" ref="F21">IF(E21&lt;&gt;0,_xll.qwCalAdjust(A21,E21),0)</f>
        <v>52460</v>
      </c>
      <c r="G21" s="4" cm="1">
        <f t="array" ref="G21">IF(E21&lt;&gt;0,IF(E21=EOMONTH(E21,0), EOMONTH(_xll.qwCalAddMonths(A21,E21,-12,4),0), _xll.qwCalAddMonths(A21,E21,-12,4)),0)</f>
        <v>52093</v>
      </c>
      <c r="H21" s="1">
        <f t="shared" si="12"/>
        <v>52458</v>
      </c>
      <c r="I21" s="1">
        <f>IF(E21&lt;&gt;0,MAX(_xll.qwEffective($B$1,$B$2),_xll.qwCalAdjust($A$27,G21)),0)</f>
        <v>52093</v>
      </c>
      <c r="J21" s="4">
        <f t="shared" si="13"/>
        <v>52460</v>
      </c>
      <c r="K21">
        <f t="shared" si="2"/>
        <v>1.0194444444444444</v>
      </c>
      <c r="L21" s="9">
        <f t="shared" si="14"/>
        <v>4.5841929222222291</v>
      </c>
      <c r="M21" s="9" cm="1">
        <f t="array" ref="M21">_xll.qwCurveRate($B$1,"SOFRSWAP",I21,J21)*K21*100</f>
        <v>5.0619477685904579</v>
      </c>
      <c r="O21" s="4"/>
      <c r="P21" s="4">
        <v>51363</v>
      </c>
      <c r="Q21" s="8">
        <v>4.5717019333</v>
      </c>
      <c r="S21" s="1">
        <v>51363</v>
      </c>
      <c r="T21">
        <v>5.1107617682324928</v>
      </c>
      <c r="U21" s="2"/>
    </row>
    <row r="22" spans="1:36" x14ac:dyDescent="0.25">
      <c r="A22" t="str">
        <f t="shared" si="3"/>
        <v>US</v>
      </c>
      <c r="B22">
        <f t="shared" si="10"/>
        <v>100</v>
      </c>
      <c r="C22">
        <f t="shared" si="4"/>
        <v>360</v>
      </c>
      <c r="D22">
        <f t="shared" si="11"/>
        <v>4.4967559999999997E-2</v>
      </c>
      <c r="E22" s="4" cm="1">
        <f t="array" ref="E22">IF(_xll.qwSettle($B$1,$B$2)&lt;G21,G21,0)</f>
        <v>52093</v>
      </c>
      <c r="F22" s="4" cm="1">
        <f t="array" ref="F22">IF(E22&lt;&gt;0,_xll.qwCalAdjust(A22,E22),0)</f>
        <v>52093</v>
      </c>
      <c r="G22" s="4" cm="1">
        <f t="array" ref="G22">IF(E22&lt;&gt;0,IF(E22=EOMONTH(E22,0), EOMONTH(_xll.qwCalAddMonths(A22,E22,-12,4),0), _xll.qwCalAddMonths(A22,E22,-12,4)),0)</f>
        <v>51728</v>
      </c>
      <c r="H22" s="1">
        <f t="shared" si="12"/>
        <v>52093</v>
      </c>
      <c r="I22" s="1">
        <f>IF(E22&lt;&gt;0,MAX(_xll.qwEffective($B$1,$B$2),_xll.qwCalAdjust($A$27,G22)),0)</f>
        <v>51728</v>
      </c>
      <c r="J22" s="4">
        <f t="shared" si="13"/>
        <v>52093</v>
      </c>
      <c r="K22">
        <f t="shared" si="2"/>
        <v>1.0138888888888888</v>
      </c>
      <c r="L22" s="9">
        <f t="shared" si="14"/>
        <v>4.5592109444444446</v>
      </c>
      <c r="M22" s="9" cm="1">
        <f t="array" ref="M22">_xll.qwCurveRate($B$1,"SOFRSWAP",I22,J22)*K22*100</f>
        <v>5.0383212122576237</v>
      </c>
      <c r="O22" s="4"/>
      <c r="P22" s="4">
        <v>51728</v>
      </c>
      <c r="Q22" s="8">
        <v>4.5592109444000002</v>
      </c>
      <c r="S22" s="1">
        <v>51728</v>
      </c>
      <c r="T22">
        <v>5.0964480120816376</v>
      </c>
      <c r="U22" s="2"/>
      <c r="AJ22" s="1"/>
    </row>
    <row r="23" spans="1:36" x14ac:dyDescent="0.25">
      <c r="A23" t="str">
        <f t="shared" si="3"/>
        <v>US</v>
      </c>
      <c r="B23">
        <f t="shared" si="10"/>
        <v>100</v>
      </c>
      <c r="C23">
        <f t="shared" si="4"/>
        <v>360</v>
      </c>
      <c r="D23">
        <f t="shared" si="11"/>
        <v>4.4967559999999997E-2</v>
      </c>
      <c r="E23" s="4" cm="1">
        <f t="array" ref="E23">IF(_xll.qwSettle($B$1,$B$2)&lt;G22,G22,0)</f>
        <v>51728</v>
      </c>
      <c r="F23" s="4" cm="1">
        <f t="array" ref="F23">IF(E23&lt;&gt;0,_xll.qwCalAdjust(A23,E23),0)</f>
        <v>51728</v>
      </c>
      <c r="G23" s="4" cm="1">
        <f t="array" ref="G23">IF(E23&lt;&gt;0,IF(E23=EOMONTH(E23,0), EOMONTH(_xll.qwCalAddMonths(A23,E23,-12,4),0), _xll.qwCalAddMonths(A23,E23,-12,4)),0)</f>
        <v>51363</v>
      </c>
      <c r="H23" s="1">
        <f t="shared" si="12"/>
        <v>51728</v>
      </c>
      <c r="I23" s="1">
        <f>IF(E23&lt;&gt;0,MAX(_xll.qwEffective($B$1,$B$2),_xll.qwCalAdjust($A$27,G23)),0)</f>
        <v>51363</v>
      </c>
      <c r="J23" s="4">
        <f t="shared" si="13"/>
        <v>51728</v>
      </c>
      <c r="K23">
        <f t="shared" si="2"/>
        <v>1.0138888888888888</v>
      </c>
      <c r="L23" s="9">
        <f t="shared" si="14"/>
        <v>4.5592109444444446</v>
      </c>
      <c r="M23" s="9" cm="1">
        <f t="array" ref="M23">_xll.qwCurveRate($B$1,"SOFRSWAP",I23,J23)*K23*100</f>
        <v>5.0964480120816447</v>
      </c>
      <c r="O23" s="4"/>
      <c r="P23" s="4">
        <v>52093</v>
      </c>
      <c r="Q23" s="8">
        <v>4.5592109444000002</v>
      </c>
      <c r="S23" s="1">
        <v>52093</v>
      </c>
      <c r="T23">
        <v>5.0383212122576282</v>
      </c>
      <c r="U23" s="2"/>
    </row>
    <row r="24" spans="1:36" x14ac:dyDescent="0.25">
      <c r="A24" t="str">
        <f t="shared" si="3"/>
        <v>US</v>
      </c>
      <c r="B24">
        <f t="shared" si="10"/>
        <v>100</v>
      </c>
      <c r="C24">
        <f t="shared" si="4"/>
        <v>360</v>
      </c>
      <c r="D24">
        <f t="shared" si="11"/>
        <v>4.4967559999999997E-2</v>
      </c>
      <c r="E24" s="4" cm="1">
        <f t="array" ref="E24">IF(_xll.qwSettle($B$1,$B$2)&lt;G23,G23,0)</f>
        <v>51363</v>
      </c>
      <c r="F24" s="4" cm="1">
        <f t="array" ref="F24">IF(E24&lt;&gt;0,_xll.qwCalAdjust(A24,E24),0)</f>
        <v>51363</v>
      </c>
      <c r="G24" s="4" cm="1">
        <f t="array" ref="G24">IF(E24&lt;&gt;0,IF(E24=EOMONTH(E24,0), EOMONTH(_xll.qwCalAddMonths(A24,E24,-12,4),0), _xll.qwCalAddMonths(A24,E24,-12,4)),0)</f>
        <v>50997</v>
      </c>
      <c r="H24" s="1">
        <f t="shared" si="12"/>
        <v>51363</v>
      </c>
      <c r="I24" s="1">
        <f>IF(E24&lt;&gt;0,MAX(_xll.qwEffective($B$1,$B$2),_xll.qwCalAdjust($A$27,G24)),0)</f>
        <v>50997</v>
      </c>
      <c r="J24" s="4">
        <f t="shared" si="13"/>
        <v>51363</v>
      </c>
      <c r="K24">
        <f t="shared" si="2"/>
        <v>1.0166666666666666</v>
      </c>
      <c r="L24" s="9">
        <f t="shared" si="14"/>
        <v>4.571701933333344</v>
      </c>
      <c r="M24" s="9" cm="1">
        <f t="array" ref="M24">_xll.qwCurveRate($B$1,"SOFRSWAP",I24,J24)*K24*100</f>
        <v>5.1107617682324857</v>
      </c>
      <c r="O24" s="4"/>
      <c r="P24" s="4">
        <v>52460</v>
      </c>
      <c r="Q24" s="8">
        <v>4.5841929221999997</v>
      </c>
      <c r="S24" s="1">
        <v>52460</v>
      </c>
      <c r="T24">
        <v>5.0619477685904712</v>
      </c>
      <c r="U24" s="2"/>
    </row>
    <row r="25" spans="1:36" x14ac:dyDescent="0.25">
      <c r="A25" t="str">
        <f t="shared" si="3"/>
        <v>US</v>
      </c>
      <c r="B25">
        <f t="shared" si="10"/>
        <v>100</v>
      </c>
      <c r="C25">
        <f t="shared" si="4"/>
        <v>360</v>
      </c>
      <c r="D25">
        <f t="shared" si="11"/>
        <v>4.4967559999999997E-2</v>
      </c>
      <c r="E25" s="4" cm="1">
        <f t="array" ref="E25">IF(_xll.qwSettle($B$1,$B$2)&lt;G24,G24,0)</f>
        <v>50997</v>
      </c>
      <c r="F25" s="4" cm="1">
        <f t="array" ref="F25">IF(E25&lt;&gt;0,_xll.qwCalAdjust(A25,E25),0)</f>
        <v>50997</v>
      </c>
      <c r="G25" s="4" cm="1">
        <f t="array" ref="G25">IF(E25&lt;&gt;0,IF(E25=EOMONTH(E25,0), EOMONTH(_xll.qwCalAddMonths(A25,E25,-12,4),0), _xll.qwCalAddMonths(A25,E25,-12,4)),0)</f>
        <v>50632</v>
      </c>
      <c r="H25" s="1">
        <f t="shared" si="12"/>
        <v>50997</v>
      </c>
      <c r="I25" s="1">
        <f>IF(E25&lt;&gt;0,MAX(_xll.qwEffective($B$1,$B$2),_xll.qwCalAdjust($A$27,G25)),0)</f>
        <v>50633</v>
      </c>
      <c r="J25" s="4">
        <f t="shared" si="13"/>
        <v>50997</v>
      </c>
      <c r="K25">
        <f t="shared" si="2"/>
        <v>1.0111111111111111</v>
      </c>
      <c r="L25" s="9">
        <f t="shared" si="14"/>
        <v>4.5467199555555595</v>
      </c>
      <c r="M25" s="9" cm="1">
        <f t="array" ref="M25">_xll.qwCurveRate($B$1,"SOFRSWAP",I25,J25)*K25*100</f>
        <v>5.0715118051863461</v>
      </c>
      <c r="O25" s="4"/>
      <c r="P25" s="4">
        <v>52824</v>
      </c>
      <c r="Q25" s="8">
        <v>4.5467199556000004</v>
      </c>
      <c r="S25" s="1">
        <v>52824</v>
      </c>
      <c r="T25">
        <v>5.0195479691541891</v>
      </c>
      <c r="U25" s="2"/>
    </row>
    <row r="26" spans="1:36" x14ac:dyDescent="0.25">
      <c r="A26" t="str">
        <f t="shared" si="3"/>
        <v>US</v>
      </c>
      <c r="B26">
        <f t="shared" si="10"/>
        <v>100</v>
      </c>
      <c r="C26">
        <f t="shared" si="4"/>
        <v>360</v>
      </c>
      <c r="D26">
        <f t="shared" si="11"/>
        <v>4.4967559999999997E-2</v>
      </c>
      <c r="E26" s="4" cm="1">
        <f t="array" ref="E26">IF(_xll.qwSettle($B$1,$B$2)&lt;G25,G25,0)</f>
        <v>50632</v>
      </c>
      <c r="F26" s="4" cm="1">
        <f t="array" ref="F26">IF(E26&lt;&gt;0,_xll.qwCalAdjust(A26,E26),0)</f>
        <v>50633</v>
      </c>
      <c r="G26" s="4" cm="1">
        <f t="array" ref="G26">IF(E26&lt;&gt;0,IF(E26=EOMONTH(E26,0), EOMONTH(_xll.qwCalAddMonths(A26,E26,-12,4),0), _xll.qwCalAddMonths(A26,E26,-12,4)),0)</f>
        <v>50267</v>
      </c>
      <c r="H26" s="1">
        <f t="shared" si="12"/>
        <v>50632</v>
      </c>
      <c r="I26" s="1">
        <f>IF(E26&lt;&gt;0,MAX(_xll.qwEffective($B$1,$B$2),_xll.qwCalAdjust($A$27,G26)),0)</f>
        <v>50269</v>
      </c>
      <c r="J26" s="4">
        <f t="shared" si="13"/>
        <v>50633</v>
      </c>
      <c r="K26">
        <f t="shared" si="2"/>
        <v>1.0111111111111111</v>
      </c>
      <c r="L26" s="9">
        <f t="shared" si="14"/>
        <v>4.5467199555555595</v>
      </c>
      <c r="M26" s="9" cm="1">
        <f t="array" ref="M26">_xll.qwCurveRate($B$1,"SOFRSWAP",I26,J26)*K26*100</f>
        <v>4.9441027611969446</v>
      </c>
      <c r="O26" s="4"/>
      <c r="P26" s="4">
        <v>53189</v>
      </c>
      <c r="Q26" s="8">
        <v>4.5592109444000002</v>
      </c>
      <c r="S26" s="1">
        <v>53189</v>
      </c>
      <c r="T26">
        <v>5.0336793340400021</v>
      </c>
      <c r="U26" s="2"/>
    </row>
    <row r="27" spans="1:36" x14ac:dyDescent="0.25">
      <c r="A27" t="str">
        <f t="shared" si="3"/>
        <v>US</v>
      </c>
      <c r="B27">
        <f t="shared" si="10"/>
        <v>100</v>
      </c>
      <c r="C27">
        <f t="shared" si="4"/>
        <v>360</v>
      </c>
      <c r="D27">
        <f t="shared" si="11"/>
        <v>4.4967559999999997E-2</v>
      </c>
      <c r="E27" s="4" cm="1">
        <f t="array" ref="E27">IF(_xll.qwSettle($B$1,$B$2)&lt;G26,G26,0)</f>
        <v>50267</v>
      </c>
      <c r="F27" s="4" cm="1">
        <f t="array" ref="F27">IF(E27&lt;&gt;0,_xll.qwCalAdjust(A27,E27),0)</f>
        <v>50269</v>
      </c>
      <c r="G27" s="4" cm="1">
        <f t="array" ref="G27">IF(E27&lt;&gt;0,IF(E27=EOMONTH(E27,0), EOMONTH(_xll.qwCalAddMonths(A27,E27,-12,4),0), _xll.qwCalAddMonths(A27,E27,-12,4)),0)</f>
        <v>49902</v>
      </c>
      <c r="H27" s="1">
        <f>IF(E27&lt;&gt;0,E27,0)</f>
        <v>50267</v>
      </c>
      <c r="I27" s="1">
        <f>IF(E27&lt;&gt;0,MAX(_xll.qwEffective($B$1,$B$2),_xll.qwCalAdjust($A$27,G27)),0)</f>
        <v>49902</v>
      </c>
      <c r="J27" s="4">
        <f>IF(E27&lt;&gt;0,F27,0)</f>
        <v>50269</v>
      </c>
      <c r="K27">
        <f t="shared" si="2"/>
        <v>1.0194444444444444</v>
      </c>
      <c r="L27" s="9">
        <f t="shared" si="14"/>
        <v>4.5841929222222291</v>
      </c>
      <c r="M27" s="9" cm="1">
        <f t="array" ref="M27">_xll.qwCurveRate($B$1,"SOFRSWAP",I27,J27)*K27*100</f>
        <v>4.9759557509924557</v>
      </c>
      <c r="O27" s="4"/>
      <c r="P27" s="4">
        <v>53554</v>
      </c>
      <c r="Q27" s="8">
        <v>4.5592109444000002</v>
      </c>
      <c r="S27" s="1">
        <v>53554</v>
      </c>
      <c r="T27">
        <v>5.0336793340400021</v>
      </c>
      <c r="U27" s="2"/>
    </row>
    <row r="28" spans="1:36" x14ac:dyDescent="0.25">
      <c r="A28" t="str">
        <f t="shared" si="3"/>
        <v>US</v>
      </c>
      <c r="B28">
        <f t="shared" si="10"/>
        <v>100</v>
      </c>
      <c r="C28">
        <f t="shared" si="4"/>
        <v>360</v>
      </c>
      <c r="D28">
        <f t="shared" si="11"/>
        <v>4.4967559999999997E-2</v>
      </c>
      <c r="E28" s="4" cm="1">
        <f t="array" ref="E28">IF(_xll.qwSettle($B$1,$B$2)&lt;G27,G27,0)</f>
        <v>49902</v>
      </c>
      <c r="F28" s="4" cm="1">
        <f t="array" ref="F28">IF(E28&lt;&gt;0,_xll.qwCalAdjust(A28,E28),0)</f>
        <v>49902</v>
      </c>
      <c r="G28" s="4" cm="1">
        <f t="array" ref="G28">IF(E28&lt;&gt;0,IF(E28=EOMONTH(E28,0), EOMONTH(_xll.qwCalAddMonths(A28,E28,-12,4),0), _xll.qwCalAddMonths(A28,E28,-12,4)),0)</f>
        <v>49536</v>
      </c>
      <c r="H28" s="1">
        <f t="shared" si="12"/>
        <v>49902</v>
      </c>
      <c r="I28" s="1">
        <f>IF(E28&lt;&gt;0,MAX(_xll.qwEffective($B$1,$B$2),_xll.qwCalAdjust($A$27,G28)),0)</f>
        <v>49536</v>
      </c>
      <c r="J28" s="4">
        <f t="shared" si="13"/>
        <v>49902</v>
      </c>
      <c r="K28">
        <f t="shared" si="2"/>
        <v>1.0166666666666666</v>
      </c>
      <c r="L28" s="9">
        <f t="shared" si="14"/>
        <v>4.571701933333344</v>
      </c>
      <c r="M28" s="9" cm="1">
        <f t="array" ref="M28">_xll.qwCurveRate($B$1,"SOFRSWAP",I28,J28)*K28*100</f>
        <v>4.8311615666577268</v>
      </c>
      <c r="O28" s="4"/>
      <c r="P28" s="4">
        <v>53919</v>
      </c>
      <c r="Q28" s="8">
        <v>4.5592109444000002</v>
      </c>
      <c r="S28" s="1">
        <v>53919</v>
      </c>
      <c r="T28">
        <v>4.6733233944875536</v>
      </c>
      <c r="U28" s="2"/>
    </row>
    <row r="29" spans="1:36" x14ac:dyDescent="0.25">
      <c r="A29" t="str">
        <f t="shared" si="3"/>
        <v>US</v>
      </c>
      <c r="B29">
        <f t="shared" si="10"/>
        <v>100</v>
      </c>
      <c r="C29">
        <f t="shared" si="4"/>
        <v>360</v>
      </c>
      <c r="D29">
        <f t="shared" si="11"/>
        <v>4.4967559999999997E-2</v>
      </c>
      <c r="E29" s="4" cm="1">
        <f t="array" ref="E29">IF(_xll.qwSettle($B$1,$B$2)&lt;G28,G28,0)</f>
        <v>49536</v>
      </c>
      <c r="F29" s="4" cm="1">
        <f t="array" ref="F29">IF(E29&lt;&gt;0,_xll.qwCalAdjust(A29,E29),0)</f>
        <v>49536</v>
      </c>
      <c r="G29" s="4" cm="1">
        <f t="array" ref="G29">IF(E29&lt;&gt;0,IF(E29=EOMONTH(E29,0), EOMONTH(_xll.qwCalAddMonths(A29,E29,-12,4),0), _xll.qwCalAddMonths(A29,E29,-12,4)),0)</f>
        <v>49171</v>
      </c>
      <c r="H29" s="1">
        <f t="shared" si="12"/>
        <v>49536</v>
      </c>
      <c r="I29" s="1">
        <f>IF(E29&lt;&gt;0,MAX(_xll.qwEffective($B$1,$B$2),_xll.qwCalAdjust($A$27,G29)),0)</f>
        <v>49171</v>
      </c>
      <c r="J29" s="4">
        <f t="shared" si="13"/>
        <v>49536</v>
      </c>
      <c r="K29">
        <f t="shared" si="2"/>
        <v>1.0138888888888888</v>
      </c>
      <c r="L29" s="9">
        <f t="shared" si="14"/>
        <v>4.5592109444444446</v>
      </c>
      <c r="M29" s="9" cm="1">
        <f t="array" ref="M29">_xll.qwCurveRate($B$1,"SOFRSWAP",I29,J29)*K29*100</f>
        <v>4.7270624323609178</v>
      </c>
      <c r="O29" s="4"/>
      <c r="P29" s="4">
        <v>54287</v>
      </c>
      <c r="Q29" s="8">
        <v>4.5966839111000004</v>
      </c>
      <c r="S29" s="1">
        <v>54287</v>
      </c>
      <c r="T29">
        <v>4.6836460668493345</v>
      </c>
      <c r="U29" s="2"/>
    </row>
    <row r="30" spans="1:36" x14ac:dyDescent="0.25">
      <c r="A30" t="str">
        <f t="shared" si="3"/>
        <v>US</v>
      </c>
      <c r="B30">
        <f t="shared" si="10"/>
        <v>100</v>
      </c>
      <c r="C30">
        <f t="shared" si="4"/>
        <v>360</v>
      </c>
      <c r="D30">
        <f t="shared" si="11"/>
        <v>4.4967559999999997E-2</v>
      </c>
      <c r="E30" s="4" cm="1">
        <f t="array" ref="E30">IF(_xll.qwSettle($B$1,$B$2)&lt;G29,G29,0)</f>
        <v>49171</v>
      </c>
      <c r="F30" s="4" cm="1">
        <f t="array" ref="F30">IF(E30&lt;&gt;0,_xll.qwCalAdjust(A30,E30),0)</f>
        <v>49171</v>
      </c>
      <c r="G30" s="4" cm="1">
        <f t="array" ref="G30">IF(E30&lt;&gt;0,IF(E30=EOMONTH(E30,0), EOMONTH(_xll.qwCalAddMonths(A30,E30,-12,4),0), _xll.qwCalAddMonths(A30,E30,-12,4)),0)</f>
        <v>48806</v>
      </c>
      <c r="H30" s="1">
        <f t="shared" si="12"/>
        <v>49171</v>
      </c>
      <c r="I30" s="1">
        <f>IF(E30&lt;&gt;0,MAX(_xll.qwEffective($B$1,$B$2),_xll.qwCalAdjust($A$27,G30)),0)</f>
        <v>48806</v>
      </c>
      <c r="J30" s="4">
        <f t="shared" si="13"/>
        <v>49171</v>
      </c>
      <c r="K30">
        <f t="shared" si="2"/>
        <v>1.0138888888888888</v>
      </c>
      <c r="L30" s="9">
        <f t="shared" si="14"/>
        <v>4.5592109444444446</v>
      </c>
      <c r="M30" s="9" cm="1">
        <f t="array" ref="M30">_xll.qwCurveRate($B$1,"SOFRSWAP",I30,J30)*K30*100</f>
        <v>4.6438720980164661</v>
      </c>
      <c r="O30" s="4"/>
      <c r="P30" s="4">
        <v>54651</v>
      </c>
      <c r="Q30" s="8">
        <v>4.5467199556000004</v>
      </c>
      <c r="S30" s="1">
        <v>54651</v>
      </c>
      <c r="T30">
        <v>4.6315758103637279</v>
      </c>
      <c r="U30" s="2"/>
    </row>
    <row r="31" spans="1:36" x14ac:dyDescent="0.25">
      <c r="A31" t="str">
        <f t="shared" si="3"/>
        <v>US</v>
      </c>
      <c r="B31">
        <f t="shared" si="10"/>
        <v>100</v>
      </c>
      <c r="C31">
        <f t="shared" si="4"/>
        <v>360</v>
      </c>
      <c r="D31">
        <f t="shared" si="11"/>
        <v>4.4967559999999997E-2</v>
      </c>
      <c r="E31" s="4" cm="1">
        <f t="array" ref="E31">IF(_xll.qwSettle($B$1,$B$2)&lt;G30,G30,0)</f>
        <v>48806</v>
      </c>
      <c r="F31" s="4" cm="1">
        <f t="array" ref="F31">IF(E31&lt;&gt;0,_xll.qwCalAdjust(A31,E31),0)</f>
        <v>48806</v>
      </c>
      <c r="G31" s="4" cm="1">
        <f t="array" ref="G31">IF(E31&lt;&gt;0,IF(E31=EOMONTH(E31,0), EOMONTH(_xll.qwCalAddMonths(A31,E31,-12,4),0), _xll.qwCalAddMonths(A31,E31,-12,4)),0)</f>
        <v>48441</v>
      </c>
      <c r="H31" s="1">
        <f t="shared" si="12"/>
        <v>48806</v>
      </c>
      <c r="I31" s="1">
        <f>IF(E31&lt;&gt;0,MAX(_xll.qwEffective($B$1,$B$2),_xll.qwCalAdjust($A$27,G31)),0)</f>
        <v>48442</v>
      </c>
      <c r="J31" s="4">
        <f t="shared" si="13"/>
        <v>48806</v>
      </c>
      <c r="K31">
        <f t="shared" si="2"/>
        <v>1.0111111111111111</v>
      </c>
      <c r="L31" s="9">
        <f t="shared" si="14"/>
        <v>4.5467199555555595</v>
      </c>
      <c r="M31" s="9" cm="1">
        <f t="array" ref="M31">_xll.qwCurveRate($B$1,"SOFRSWAP",I31,J31)*K31*100</f>
        <v>4.5601888446983763</v>
      </c>
      <c r="O31" s="4"/>
      <c r="P31" s="4">
        <v>55015</v>
      </c>
      <c r="Q31" s="8">
        <v>4.5467199556000004</v>
      </c>
      <c r="S31" s="1">
        <v>55015</v>
      </c>
      <c r="T31">
        <v>4.6315758103636995</v>
      </c>
      <c r="U31" s="2"/>
    </row>
    <row r="32" spans="1:36" x14ac:dyDescent="0.25">
      <c r="A32" t="str">
        <f t="shared" si="3"/>
        <v>US</v>
      </c>
      <c r="B32">
        <f t="shared" si="10"/>
        <v>100</v>
      </c>
      <c r="C32">
        <f t="shared" si="4"/>
        <v>360</v>
      </c>
      <c r="D32">
        <f t="shared" si="11"/>
        <v>4.4967559999999997E-2</v>
      </c>
      <c r="E32" s="4" cm="1">
        <f t="array" ref="E32">IF(_xll.qwSettle($B$1,$B$2)&lt;G31,G31,0)</f>
        <v>48441</v>
      </c>
      <c r="F32" s="4" cm="1">
        <f t="array" ref="F32">IF(E32&lt;&gt;0,_xll.qwCalAdjust(A32,E32),0)</f>
        <v>48442</v>
      </c>
      <c r="G32" s="4" cm="1">
        <f t="array" ref="G32">IF(E32&lt;&gt;0,IF(E32=EOMONTH(E32,0), EOMONTH(_xll.qwCalAddMonths(A32,E32,-12,4),0), _xll.qwCalAddMonths(A32,E32,-12,4)),0)</f>
        <v>48075</v>
      </c>
      <c r="H32" s="1">
        <f t="shared" si="12"/>
        <v>48441</v>
      </c>
      <c r="I32" s="1">
        <f>IF(E32&lt;&gt;0,MAX(_xll.qwEffective($B$1,$B$2),_xll.qwCalAdjust($A$27,G32)),0)</f>
        <v>48075</v>
      </c>
      <c r="J32" s="4">
        <f t="shared" si="13"/>
        <v>48442</v>
      </c>
      <c r="K32">
        <f t="shared" si="2"/>
        <v>1.0194444444444444</v>
      </c>
      <c r="L32" s="9">
        <f t="shared" si="14"/>
        <v>4.5841929222222291</v>
      </c>
      <c r="M32" s="9" cm="1">
        <f t="array" ref="M32">_xll.qwCurveRate($B$1,"SOFRSWAP",I32,J32)*K32*100</f>
        <v>4.5329586681948086</v>
      </c>
      <c r="O32" s="4"/>
      <c r="P32" s="4">
        <v>55380</v>
      </c>
      <c r="Q32" s="8">
        <v>4.5592109444000002</v>
      </c>
      <c r="S32" s="1">
        <v>55380</v>
      </c>
      <c r="T32">
        <v>4.6445909458521157</v>
      </c>
      <c r="U32" s="2"/>
    </row>
    <row r="33" spans="1:21" x14ac:dyDescent="0.25">
      <c r="A33" t="str">
        <f t="shared" si="3"/>
        <v>US</v>
      </c>
      <c r="B33">
        <f t="shared" si="10"/>
        <v>100</v>
      </c>
      <c r="C33">
        <f t="shared" si="4"/>
        <v>360</v>
      </c>
      <c r="D33">
        <f t="shared" si="11"/>
        <v>4.4967559999999997E-2</v>
      </c>
      <c r="E33" s="4" cm="1">
        <f t="array" ref="E33">IF(_xll.qwSettle($B$1,$B$2)&lt;G32,G32,0)</f>
        <v>48075</v>
      </c>
      <c r="F33" s="4" cm="1">
        <f t="array" ref="F33">IF(E33&lt;&gt;0,_xll.qwCalAdjust(A33,E33),0)</f>
        <v>48075</v>
      </c>
      <c r="G33" s="4" cm="1">
        <f t="array" ref="G33">IF(E33&lt;&gt;0,IF(E33=EOMONTH(E33,0), EOMONTH(_xll.qwCalAddMonths(A33,E33,-12,4),0), _xll.qwCalAddMonths(A33,E33,-12,4)),0)</f>
        <v>47710</v>
      </c>
      <c r="H33" s="1">
        <f t="shared" si="12"/>
        <v>48075</v>
      </c>
      <c r="I33" s="1">
        <f>IF(E33&lt;&gt;0,MAX(_xll.qwEffective($B$1,$B$2),_xll.qwCalAdjust($A$27,G33)),0)</f>
        <v>47710</v>
      </c>
      <c r="J33" s="4">
        <f t="shared" si="13"/>
        <v>48075</v>
      </c>
      <c r="K33">
        <f t="shared" si="2"/>
        <v>1.0138888888888888</v>
      </c>
      <c r="L33" s="9">
        <f t="shared" si="14"/>
        <v>4.5592109444444446</v>
      </c>
      <c r="M33" s="9" cm="1">
        <f t="array" ref="M33">_xll.qwCurveRate($B$1,"SOFRSWAP",I33,J33)*K33*100</f>
        <v>4.4487157460045834</v>
      </c>
      <c r="O33" s="4"/>
      <c r="P33" s="4">
        <v>55746</v>
      </c>
      <c r="Q33" s="8">
        <v>4.5717019333</v>
      </c>
      <c r="S33" s="1">
        <v>55746</v>
      </c>
      <c r="T33">
        <v>4.2519869732418272</v>
      </c>
      <c r="U33" s="2"/>
    </row>
    <row r="34" spans="1:21" x14ac:dyDescent="0.25">
      <c r="A34" t="str">
        <f t="shared" si="3"/>
        <v>US</v>
      </c>
      <c r="B34">
        <f t="shared" si="10"/>
        <v>100</v>
      </c>
      <c r="C34">
        <f t="shared" si="4"/>
        <v>360</v>
      </c>
      <c r="D34">
        <f t="shared" si="11"/>
        <v>4.4967559999999997E-2</v>
      </c>
      <c r="E34" s="4" cm="1">
        <f t="array" ref="E34">IF(_xll.qwSettle($B$1,$B$2)&lt;G33,G33,0)</f>
        <v>47710</v>
      </c>
      <c r="F34" s="4" cm="1">
        <f t="array" ref="F34">IF(E34&lt;&gt;0,_xll.qwCalAdjust(A34,E34),0)</f>
        <v>47710</v>
      </c>
      <c r="G34" s="4" cm="1">
        <f t="array" ref="G34">IF(E34&lt;&gt;0,IF(E34=EOMONTH(E34,0), EOMONTH(_xll.qwCalAddMonths(A34,E34,-12,4),0), _xll.qwCalAddMonths(A34,E34,-12,4)),0)</f>
        <v>47345</v>
      </c>
      <c r="H34" s="1">
        <f t="shared" si="12"/>
        <v>47710</v>
      </c>
      <c r="I34" s="1">
        <f>IF(E34&lt;&gt;0,MAX(_xll.qwEffective($B$1,$B$2),_xll.qwCalAdjust($A$27,G34)),0)</f>
        <v>47345</v>
      </c>
      <c r="J34" s="4">
        <f t="shared" si="13"/>
        <v>47710</v>
      </c>
      <c r="K34">
        <f t="shared" si="2"/>
        <v>1.0138888888888888</v>
      </c>
      <c r="L34" s="9">
        <f t="shared" si="14"/>
        <v>4.5592109444444446</v>
      </c>
      <c r="M34" s="9" cm="1">
        <f t="array" ref="M34">_xll.qwCurveRate($B$1,"SOFRSWAP",I34,J34)*K34*100</f>
        <v>4.4115376562247732</v>
      </c>
      <c r="O34" s="4"/>
      <c r="P34" s="4">
        <v>56111</v>
      </c>
      <c r="Q34" s="8">
        <v>4.5592109444000002</v>
      </c>
      <c r="S34" s="1">
        <v>56111</v>
      </c>
      <c r="T34">
        <v>4.2079799613846092</v>
      </c>
      <c r="U34" s="2"/>
    </row>
    <row r="35" spans="1:21" x14ac:dyDescent="0.25">
      <c r="A35" t="str">
        <f t="shared" si="3"/>
        <v>US</v>
      </c>
      <c r="B35">
        <f t="shared" si="10"/>
        <v>100</v>
      </c>
      <c r="C35">
        <f t="shared" si="4"/>
        <v>360</v>
      </c>
      <c r="D35">
        <f t="shared" si="11"/>
        <v>4.4967559999999997E-2</v>
      </c>
      <c r="E35" s="4" cm="1">
        <f t="array" ref="E35">IF(_xll.qwSettle($B$1,$B$2)&lt;G34,G34,0)</f>
        <v>47345</v>
      </c>
      <c r="F35" s="4" cm="1">
        <f t="array" ref="F35">IF(E35&lt;&gt;0,_xll.qwCalAdjust(A35,E35),0)</f>
        <v>47345</v>
      </c>
      <c r="G35" s="4" cm="1">
        <f t="array" ref="G35">IF(E35&lt;&gt;0,IF(E35=EOMONTH(E35,0), EOMONTH(_xll.qwCalAddMonths(A35,E35,-12,4),0), _xll.qwCalAddMonths(A35,E35,-12,4)),0)</f>
        <v>46980</v>
      </c>
      <c r="H35" s="1">
        <f t="shared" si="12"/>
        <v>47345</v>
      </c>
      <c r="I35" s="1">
        <f>IF(E35&lt;&gt;0,MAX(_xll.qwEffective($B$1,$B$2),_xll.qwCalAdjust($A$27,G35)),0)</f>
        <v>46980</v>
      </c>
      <c r="J35" s="4">
        <f t="shared" si="13"/>
        <v>47345</v>
      </c>
      <c r="K35">
        <f t="shared" si="2"/>
        <v>1.0138888888888888</v>
      </c>
      <c r="L35" s="9">
        <f t="shared" si="14"/>
        <v>4.5592109444444446</v>
      </c>
      <c r="M35" s="9" cm="1">
        <f t="array" ref="M35">_xll.qwCurveRate($B$1,"SOFRSWAP",I35,J35)*K35*100</f>
        <v>4.4287987664452411</v>
      </c>
      <c r="O35" s="4"/>
      <c r="P35" s="4">
        <v>56478</v>
      </c>
      <c r="Q35" s="8">
        <v>4.5841929221999997</v>
      </c>
      <c r="S35" s="1">
        <v>56478</v>
      </c>
      <c r="T35">
        <v>4.2315185047649209</v>
      </c>
      <c r="U35" s="2"/>
    </row>
    <row r="36" spans="1:21" x14ac:dyDescent="0.25">
      <c r="A36" t="str">
        <f t="shared" si="3"/>
        <v>US</v>
      </c>
      <c r="B36">
        <f t="shared" si="10"/>
        <v>100</v>
      </c>
      <c r="C36">
        <f t="shared" si="4"/>
        <v>360</v>
      </c>
      <c r="D36">
        <f t="shared" si="11"/>
        <v>4.4967559999999997E-2</v>
      </c>
      <c r="E36" s="4" cm="1">
        <f t="array" ref="E36">IF(_xll.qwSettle($B$1,$B$2)&lt;G35,G35,0)</f>
        <v>46980</v>
      </c>
      <c r="F36" s="4" cm="1">
        <f t="array" ref="F36">IF(E36&lt;&gt;0,_xll.qwCalAdjust(A36,E36),0)</f>
        <v>46980</v>
      </c>
      <c r="G36" s="4" cm="1">
        <f t="array" ref="G36">IF(E36&lt;&gt;0,IF(E36=EOMONTH(E36,0), EOMONTH(_xll.qwCalAddMonths(A36,E36,-12,4),0), _xll.qwCalAddMonths(A36,E36,-12,4)),0)</f>
        <v>46614</v>
      </c>
      <c r="H36" s="1">
        <f t="shared" si="12"/>
        <v>46980</v>
      </c>
      <c r="I36" s="1">
        <f>IF(E36&lt;&gt;0,MAX(_xll.qwEffective($B$1,$B$2),_xll.qwCalAdjust($A$27,G36)),0)</f>
        <v>46615</v>
      </c>
      <c r="J36" s="4">
        <f t="shared" si="13"/>
        <v>46980</v>
      </c>
      <c r="K36">
        <f t="shared" si="2"/>
        <v>1.0138888888888888</v>
      </c>
      <c r="L36" s="9">
        <f t="shared" si="14"/>
        <v>4.5592109444444446</v>
      </c>
      <c r="M36" s="9" cm="1">
        <f t="array" ref="M36">_xll.qwCurveRate($B$1,"SOFRSWAP",I36,J36)*K36*100</f>
        <v>4.4666042632181879</v>
      </c>
      <c r="O36" s="4"/>
      <c r="P36" s="4">
        <v>56842</v>
      </c>
      <c r="Q36" s="8">
        <v>4.5467199556000004</v>
      </c>
      <c r="S36" s="1">
        <v>56842</v>
      </c>
      <c r="T36">
        <v>4.1962126831553093</v>
      </c>
      <c r="U36" s="2"/>
    </row>
    <row r="37" spans="1:21" x14ac:dyDescent="0.25">
      <c r="A37" t="str">
        <f t="shared" si="3"/>
        <v>US</v>
      </c>
      <c r="B37">
        <f t="shared" si="10"/>
        <v>100</v>
      </c>
      <c r="C37">
        <f t="shared" si="4"/>
        <v>360</v>
      </c>
      <c r="D37">
        <f t="shared" si="11"/>
        <v>4.4967559999999997E-2</v>
      </c>
      <c r="E37" s="4" cm="1">
        <f t="array" ref="E37">IF(_xll.qwSettle($B$1,$B$2)&lt;G36,G36,0)</f>
        <v>46614</v>
      </c>
      <c r="F37" s="4" cm="1">
        <f t="array" ref="F37">IF(E37&lt;&gt;0,_xll.qwCalAdjust(A37,E37),0)</f>
        <v>46615</v>
      </c>
      <c r="G37" s="4" cm="1">
        <f t="array" ref="G37">IF(E37&lt;&gt;0,IF(E37=EOMONTH(E37,0), EOMONTH(_xll.qwCalAddMonths(A37,E37,-12,4),0), _xll.qwCalAddMonths(A37,E37,-12,4)),0)</f>
        <v>46249</v>
      </c>
      <c r="H37" s="1">
        <f t="shared" si="12"/>
        <v>46614</v>
      </c>
      <c r="I37" s="1">
        <f>IF(E37&lt;&gt;0,MAX(_xll.qwEffective($B$1,$B$2),_xll.qwCalAdjust($A$27,G37)),0)</f>
        <v>46265</v>
      </c>
      <c r="J37" s="4">
        <f t="shared" si="13"/>
        <v>46615</v>
      </c>
      <c r="K37">
        <f t="shared" si="2"/>
        <v>0.97222222222222221</v>
      </c>
      <c r="L37" s="9">
        <f t="shared" si="14"/>
        <v>4.3718461111111253</v>
      </c>
      <c r="M37" s="9" cm="1">
        <f t="array" ref="M37">_xll.qwCurveRate($B$1,"SOFRSWAP",I37,J37)*K37*100</f>
        <v>3.9136533259609418</v>
      </c>
      <c r="O37" s="4"/>
      <c r="P37" s="4">
        <v>57207</v>
      </c>
      <c r="Q37" s="8">
        <v>104.55921094440001</v>
      </c>
      <c r="S37" s="1">
        <v>57207</v>
      </c>
      <c r="T37">
        <v>104.20797996138461</v>
      </c>
      <c r="U37" s="2"/>
    </row>
    <row r="38" spans="1:21" x14ac:dyDescent="0.25">
      <c r="A38" t="str">
        <f t="shared" si="3"/>
        <v>US</v>
      </c>
      <c r="B38">
        <f t="shared" si="10"/>
        <v>100</v>
      </c>
      <c r="C38">
        <f t="shared" si="4"/>
        <v>360</v>
      </c>
      <c r="D38">
        <f t="shared" si="11"/>
        <v>4.4967559999999997E-2</v>
      </c>
      <c r="E38" s="2" cm="1">
        <f t="array" ref="E38">IF(_xll.qwSettle($B$1,$B$2)&lt;G37,G37,0)</f>
        <v>0</v>
      </c>
      <c r="F38" cm="1">
        <f t="array" ref="F38">IF(E38&lt;&gt;0,_xll.qwCalAdjust(A38,E38),0)</f>
        <v>0</v>
      </c>
      <c r="G38" s="6" cm="1">
        <f t="array" ref="G38">IF(E38&lt;&gt;0,IF(E38=EOMONTH(E38,0), EOMONTH(_xll.qwCalAddMonths(A38,E38,-12,4),0), _xll.qwCalAddMonths(A38,E38,-12,4)),0)</f>
        <v>0</v>
      </c>
      <c r="H38" s="2">
        <f t="shared" si="12"/>
        <v>0</v>
      </c>
      <c r="I38">
        <f>IF(E38&lt;&gt;0,MAX(_xll.qwEffective($B$1,$B$2),_xll.qwCalAdjust($A$27,G38)),0)</f>
        <v>0</v>
      </c>
      <c r="J38" s="2">
        <f t="shared" si="13"/>
        <v>0</v>
      </c>
      <c r="K38">
        <f t="shared" si="2"/>
        <v>0</v>
      </c>
      <c r="L38" s="6">
        <f t="shared" si="14"/>
        <v>0</v>
      </c>
      <c r="M38" s="6"/>
      <c r="N38" s="6"/>
      <c r="O38" s="4"/>
      <c r="P38" s="3"/>
      <c r="Q38" s="3"/>
      <c r="U38" s="2"/>
    </row>
    <row r="39" spans="1:21" x14ac:dyDescent="0.25">
      <c r="A39" t="str">
        <f t="shared" si="3"/>
        <v>US</v>
      </c>
      <c r="B39">
        <f t="shared" si="10"/>
        <v>100</v>
      </c>
      <c r="C39">
        <f t="shared" si="4"/>
        <v>360</v>
      </c>
      <c r="D39">
        <f t="shared" si="11"/>
        <v>4.4967559999999997E-2</v>
      </c>
      <c r="E39" s="2" cm="1">
        <f t="array" ref="E39">IF(_xll.qwSettle($B$1,$B$2)&lt;G38,G38,0)</f>
        <v>0</v>
      </c>
      <c r="F39" cm="1">
        <f t="array" ref="F39">IF(E39&lt;&gt;0,_xll.qwCalAdjust(A39,E39),0)</f>
        <v>0</v>
      </c>
      <c r="G39" s="6" cm="1">
        <f t="array" ref="G39">IF(E39&lt;&gt;0,IF(E39=EOMONTH(E39,0), EOMONTH(_xll.qwCalAddMonths(A39,E39,-12,4),0), _xll.qwCalAddMonths(A39,E39,-12,4)),0)</f>
        <v>0</v>
      </c>
      <c r="H39" s="2">
        <f t="shared" si="12"/>
        <v>0</v>
      </c>
      <c r="I39">
        <f>IF(E39&lt;&gt;0,MAX(_xll.qwEffective($B$1,$B$2),_xll.qwCalAdjust($A$27,G39)),0)</f>
        <v>0</v>
      </c>
      <c r="J39" s="2">
        <f t="shared" si="13"/>
        <v>0</v>
      </c>
      <c r="K39">
        <f t="shared" si="2"/>
        <v>0</v>
      </c>
      <c r="L39" s="6">
        <f t="shared" si="14"/>
        <v>0</v>
      </c>
      <c r="M39" s="6"/>
      <c r="N39" s="6"/>
      <c r="O39" s="4"/>
      <c r="P39" s="3"/>
      <c r="Q39" s="3"/>
      <c r="U39" s="2"/>
    </row>
    <row r="40" spans="1:21" x14ac:dyDescent="0.25">
      <c r="A40" t="str">
        <f t="shared" si="3"/>
        <v>US</v>
      </c>
      <c r="B40">
        <f t="shared" si="10"/>
        <v>100</v>
      </c>
      <c r="C40">
        <f t="shared" si="4"/>
        <v>360</v>
      </c>
      <c r="D40">
        <f t="shared" si="11"/>
        <v>4.4967559999999997E-2</v>
      </c>
      <c r="E40" s="2" cm="1">
        <f t="array" ref="E40">IF(_xll.qwSettle($B$1,$B$2)&lt;G39,G39,0)</f>
        <v>0</v>
      </c>
      <c r="F40" cm="1">
        <f t="array" ref="F40">IF(E40&lt;&gt;0,_xll.qwCalAdjust(A40,E40),0)</f>
        <v>0</v>
      </c>
      <c r="G40" s="6" cm="1">
        <f t="array" ref="G40">IF(E40&lt;&gt;0,IF(E40=EOMONTH(E40,0), EOMONTH(_xll.qwCalAddMonths(A40,E40,-12,4),0), _xll.qwCalAddMonths(A40,E40,-12,4)),0)</f>
        <v>0</v>
      </c>
      <c r="H40" s="2">
        <f t="shared" si="12"/>
        <v>0</v>
      </c>
      <c r="I40">
        <f>IF(E40&lt;&gt;0,MAX(_xll.qwEffective($B$1,$B$2),_xll.qwCalAdjust($A$27,G40)),0)</f>
        <v>0</v>
      </c>
      <c r="J40" s="2">
        <f t="shared" si="13"/>
        <v>0</v>
      </c>
      <c r="K40">
        <f t="shared" si="2"/>
        <v>0</v>
      </c>
      <c r="L40" s="6">
        <f t="shared" si="14"/>
        <v>0</v>
      </c>
      <c r="M40" s="6"/>
      <c r="N40" s="6"/>
      <c r="O40" s="4"/>
      <c r="P40" s="3"/>
      <c r="Q40" s="3"/>
      <c r="U40" s="2"/>
    </row>
    <row r="41" spans="1:21" x14ac:dyDescent="0.25">
      <c r="A41" t="str">
        <f t="shared" si="3"/>
        <v>US</v>
      </c>
      <c r="B41">
        <f t="shared" si="10"/>
        <v>100</v>
      </c>
      <c r="C41">
        <f t="shared" si="4"/>
        <v>360</v>
      </c>
      <c r="D41">
        <f t="shared" si="11"/>
        <v>4.4967559999999997E-2</v>
      </c>
      <c r="E41" s="2" cm="1">
        <f t="array" ref="E41">IF(_xll.qwSettle($B$1,$B$2)&lt;G40,G40,0)</f>
        <v>0</v>
      </c>
      <c r="F41" cm="1">
        <f t="array" ref="F41">IF(E41&lt;&gt;0,_xll.qwCalAdjust(A41,E41),0)</f>
        <v>0</v>
      </c>
      <c r="G41" s="6" cm="1">
        <f t="array" ref="G41">IF(E41&lt;&gt;0,IF(E41=EOMONTH(E41,0), EOMONTH(_xll.qwCalAddMonths(A41,E41,-12,4),0), _xll.qwCalAddMonths(A41,E41,-12,4)),0)</f>
        <v>0</v>
      </c>
      <c r="H41" s="2">
        <f t="shared" si="12"/>
        <v>0</v>
      </c>
      <c r="I41">
        <f>IF(E41&lt;&gt;0,MAX(_xll.qwEffective($B$1,$B$2),_xll.qwCalAdjust($A$27,G41)),0)</f>
        <v>0</v>
      </c>
      <c r="J41" s="2">
        <f t="shared" si="13"/>
        <v>0</v>
      </c>
      <c r="K41">
        <f t="shared" si="2"/>
        <v>0</v>
      </c>
      <c r="L41" s="6">
        <f t="shared" si="14"/>
        <v>0</v>
      </c>
      <c r="M41" s="6"/>
      <c r="N41" s="6"/>
      <c r="O41" s="4"/>
      <c r="P41" s="3"/>
      <c r="Q41" s="3"/>
      <c r="U41" s="2"/>
    </row>
    <row r="42" spans="1:21" x14ac:dyDescent="0.25">
      <c r="A42" t="str">
        <f t="shared" si="3"/>
        <v>US</v>
      </c>
      <c r="B42">
        <f t="shared" si="10"/>
        <v>100</v>
      </c>
      <c r="C42">
        <f t="shared" si="4"/>
        <v>360</v>
      </c>
      <c r="D42">
        <f t="shared" si="11"/>
        <v>4.4967559999999997E-2</v>
      </c>
      <c r="E42" s="2" cm="1">
        <f t="array" ref="E42">IF(_xll.qwSettle($B$1,$B$2)&lt;G41,G41,0)</f>
        <v>0</v>
      </c>
      <c r="F42" cm="1">
        <f t="array" ref="F42">IF(E42&lt;&gt;0,_xll.qwCalAdjust(A42,E42),0)</f>
        <v>0</v>
      </c>
      <c r="G42" s="6" cm="1">
        <f t="array" ref="G42">IF(E42&lt;&gt;0,IF(E42=EOMONTH(E42,0), EOMONTH(_xll.qwCalAddMonths(A42,E42,-12,4),0), _xll.qwCalAddMonths(A42,E42,-12,4)),0)</f>
        <v>0</v>
      </c>
      <c r="H42" s="2">
        <f t="shared" si="12"/>
        <v>0</v>
      </c>
      <c r="I42">
        <f>IF(E42&lt;&gt;0,MAX(_xll.qwEffective($B$1,$B$2),_xll.qwCalAdjust($A$27,G42)),0)</f>
        <v>0</v>
      </c>
      <c r="J42" s="2">
        <f t="shared" si="13"/>
        <v>0</v>
      </c>
      <c r="K42">
        <f t="shared" si="2"/>
        <v>0</v>
      </c>
      <c r="L42" s="6">
        <f t="shared" si="14"/>
        <v>0</v>
      </c>
      <c r="M42" s="6"/>
      <c r="N42" s="6"/>
      <c r="O42" s="4"/>
      <c r="P42" s="3"/>
      <c r="Q42" s="3"/>
      <c r="U42" s="2"/>
    </row>
    <row r="43" spans="1:21" x14ac:dyDescent="0.25">
      <c r="A43" t="str">
        <f t="shared" si="3"/>
        <v>US</v>
      </c>
      <c r="B43">
        <f t="shared" si="10"/>
        <v>100</v>
      </c>
      <c r="C43">
        <f t="shared" si="4"/>
        <v>360</v>
      </c>
      <c r="D43">
        <f t="shared" si="11"/>
        <v>4.4967559999999997E-2</v>
      </c>
      <c r="E43" s="2" cm="1">
        <f t="array" ref="E43">IF(_xll.qwSettle($B$1,$B$2)&lt;G42,G42,0)</f>
        <v>0</v>
      </c>
      <c r="F43" cm="1">
        <f t="array" ref="F43">IF(E43&lt;&gt;0,_xll.qwCalAdjust(A43,E43),0)</f>
        <v>0</v>
      </c>
      <c r="G43" s="6" cm="1">
        <f t="array" ref="G43">IF(E43&lt;&gt;0,IF(E43=EOMONTH(E43,0), EOMONTH(_xll.qwCalAddMonths(A43,E43,-12,4),0), _xll.qwCalAddMonths(A43,E43,-12,4)),0)</f>
        <v>0</v>
      </c>
      <c r="H43" s="2">
        <f t="shared" si="12"/>
        <v>0</v>
      </c>
      <c r="I43">
        <f>IF(E43&lt;&gt;0,MAX(_xll.qwEffective($B$1,$B$2),_xll.qwCalAdjust($A$27,G43)),0)</f>
        <v>0</v>
      </c>
      <c r="J43" s="2">
        <f t="shared" si="13"/>
        <v>0</v>
      </c>
      <c r="K43">
        <f t="shared" si="2"/>
        <v>0</v>
      </c>
      <c r="L43" s="6">
        <f t="shared" si="14"/>
        <v>0</v>
      </c>
      <c r="M43" s="6"/>
      <c r="N43" s="6"/>
      <c r="O43" s="4"/>
      <c r="P43" s="3"/>
      <c r="Q43" s="3"/>
      <c r="U43" s="2"/>
    </row>
    <row r="44" spans="1:21" x14ac:dyDescent="0.25">
      <c r="A44" t="str">
        <f t="shared" si="3"/>
        <v>US</v>
      </c>
      <c r="B44">
        <f t="shared" si="10"/>
        <v>100</v>
      </c>
      <c r="C44">
        <f t="shared" si="4"/>
        <v>360</v>
      </c>
      <c r="D44">
        <f t="shared" si="11"/>
        <v>4.4967559999999997E-2</v>
      </c>
      <c r="E44" s="2" cm="1">
        <f t="array" ref="E44">IF(_xll.qwSettle($B$1,$B$2)&lt;G43,G43,0)</f>
        <v>0</v>
      </c>
      <c r="F44" cm="1">
        <f t="array" ref="F44">IF(E44&lt;&gt;0,_xll.qwCalAdjust(A44,E44),0)</f>
        <v>0</v>
      </c>
      <c r="G44" s="6" cm="1">
        <f t="array" ref="G44">IF(E44&lt;&gt;0,IF(E44=EOMONTH(E44,0), EOMONTH(_xll.qwCalAddMonths(A44,E44,-12,4),0), _xll.qwCalAddMonths(A44,E44,-12,4)),0)</f>
        <v>0</v>
      </c>
      <c r="H44" s="2">
        <f t="shared" si="12"/>
        <v>0</v>
      </c>
      <c r="I44">
        <f>IF(E44&lt;&gt;0,MAX(_xll.qwEffective($B$1,$B$2),_xll.qwCalAdjust($A$27,G44)),0)</f>
        <v>0</v>
      </c>
      <c r="J44" s="2">
        <f t="shared" si="13"/>
        <v>0</v>
      </c>
      <c r="K44">
        <f t="shared" si="2"/>
        <v>0</v>
      </c>
      <c r="L44" s="6">
        <f t="shared" si="14"/>
        <v>0</v>
      </c>
      <c r="M44" s="6"/>
      <c r="N44" s="6"/>
      <c r="O44" s="4"/>
      <c r="P44" s="3"/>
      <c r="Q44" s="3"/>
      <c r="U44" s="2"/>
    </row>
    <row r="45" spans="1:21" x14ac:dyDescent="0.25">
      <c r="A45" t="str">
        <f t="shared" si="3"/>
        <v>US</v>
      </c>
      <c r="B45">
        <f t="shared" si="10"/>
        <v>100</v>
      </c>
      <c r="C45">
        <f t="shared" si="4"/>
        <v>360</v>
      </c>
      <c r="D45">
        <f t="shared" si="11"/>
        <v>4.4967559999999997E-2</v>
      </c>
      <c r="E45" s="2" cm="1">
        <f t="array" ref="E45">IF(_xll.qwSettle($B$1,$B$2)&lt;G44,G44,0)</f>
        <v>0</v>
      </c>
      <c r="F45" cm="1">
        <f t="array" ref="F45">IF(E45&lt;&gt;0,_xll.qwCalAdjust(A45,E45),0)</f>
        <v>0</v>
      </c>
      <c r="G45" s="6" cm="1">
        <f t="array" ref="G45">IF(E45&lt;&gt;0,IF(E45=EOMONTH(E45,0), EOMONTH(_xll.qwCalAddMonths(A45,E45,-12,4),0), _xll.qwCalAddMonths(A45,E45,-12,4)),0)</f>
        <v>0</v>
      </c>
      <c r="H45" s="2">
        <f t="shared" si="12"/>
        <v>0</v>
      </c>
      <c r="I45">
        <f>IF(E45&lt;&gt;0,MAX(_xll.qwEffective($B$1,$B$2),_xll.qwCalAdjust($A$27,G45)),0)</f>
        <v>0</v>
      </c>
      <c r="J45" s="2">
        <f t="shared" si="13"/>
        <v>0</v>
      </c>
      <c r="K45">
        <f t="shared" si="2"/>
        <v>0</v>
      </c>
      <c r="L45" s="6">
        <f t="shared" si="14"/>
        <v>0</v>
      </c>
      <c r="M45" s="6"/>
      <c r="N45" s="6"/>
      <c r="O45" s="4"/>
      <c r="P45" s="3"/>
      <c r="Q45" s="3"/>
      <c r="U45" s="2"/>
    </row>
    <row r="46" spans="1:21" x14ac:dyDescent="0.25">
      <c r="A46" t="str">
        <f t="shared" si="3"/>
        <v>US</v>
      </c>
      <c r="B46">
        <f t="shared" si="10"/>
        <v>100</v>
      </c>
      <c r="C46">
        <f t="shared" si="4"/>
        <v>360</v>
      </c>
      <c r="D46">
        <f t="shared" si="11"/>
        <v>4.4967559999999997E-2</v>
      </c>
      <c r="E46" s="2" cm="1">
        <f t="array" ref="E46">IF(_xll.qwSettle($B$1,$B$2)&lt;G45,G45,0)</f>
        <v>0</v>
      </c>
      <c r="F46" cm="1">
        <f t="array" ref="F46">IF(E46&lt;&gt;0,_xll.qwCalAdjust(A46,E46),0)</f>
        <v>0</v>
      </c>
      <c r="G46" s="6" cm="1">
        <f t="array" ref="G46">IF(E46&lt;&gt;0,IF(E46=EOMONTH(E46,0), EOMONTH(_xll.qwCalAddMonths(A46,E46,-12,4),0), _xll.qwCalAddMonths(A46,E46,-12,4)),0)</f>
        <v>0</v>
      </c>
      <c r="H46" s="2">
        <f t="shared" si="12"/>
        <v>0</v>
      </c>
      <c r="I46">
        <f>IF(E46&lt;&gt;0,MAX(_xll.qwEffective($B$1,$B$2),_xll.qwCalAdjust($A$27,G46)),0)</f>
        <v>0</v>
      </c>
      <c r="J46" s="2">
        <f t="shared" si="13"/>
        <v>0</v>
      </c>
      <c r="K46">
        <f t="shared" si="2"/>
        <v>0</v>
      </c>
      <c r="L46" s="6">
        <f t="shared" si="14"/>
        <v>0</v>
      </c>
      <c r="M46" s="6"/>
      <c r="N46" s="6"/>
      <c r="O46" s="4"/>
      <c r="P46" s="3"/>
      <c r="Q46" s="3"/>
      <c r="U46" s="2"/>
    </row>
    <row r="47" spans="1:21" x14ac:dyDescent="0.25">
      <c r="A47" t="str">
        <f t="shared" si="3"/>
        <v>US</v>
      </c>
      <c r="B47">
        <f t="shared" si="10"/>
        <v>100</v>
      </c>
      <c r="C47">
        <f t="shared" si="4"/>
        <v>360</v>
      </c>
      <c r="D47">
        <f t="shared" si="11"/>
        <v>4.4967559999999997E-2</v>
      </c>
      <c r="E47" s="2" cm="1">
        <f t="array" ref="E47">IF(_xll.qwSettle($B$1,$B$2)&lt;G46,G46,0)</f>
        <v>0</v>
      </c>
      <c r="F47" cm="1">
        <f t="array" ref="F47">IF(E47&lt;&gt;0,_xll.qwCalAdjust(A47,E47),0)</f>
        <v>0</v>
      </c>
      <c r="G47" s="6" cm="1">
        <f t="array" ref="G47">IF(E47&lt;&gt;0,IF(E47=EOMONTH(E47,0), EOMONTH(_xll.qwCalAddMonths(A47,E47,-12,4),0), _xll.qwCalAddMonths(A47,E47,-12,4)),0)</f>
        <v>0</v>
      </c>
      <c r="H47" s="2">
        <f t="shared" si="12"/>
        <v>0</v>
      </c>
      <c r="I47">
        <f>IF(E47&lt;&gt;0,MAX(_xll.qwEffective($B$1,$B$2),_xll.qwCalAdjust($A$27,G47)),0)</f>
        <v>0</v>
      </c>
      <c r="J47" s="2">
        <f t="shared" si="13"/>
        <v>0</v>
      </c>
      <c r="K47">
        <f t="shared" si="2"/>
        <v>0</v>
      </c>
      <c r="L47" s="6">
        <f t="shared" si="14"/>
        <v>0</v>
      </c>
      <c r="M47" s="6"/>
      <c r="N47" s="6"/>
      <c r="Q47" s="3"/>
      <c r="U47" s="2"/>
    </row>
    <row r="48" spans="1:21" x14ac:dyDescent="0.25">
      <c r="A48" t="str">
        <f t="shared" si="3"/>
        <v>US</v>
      </c>
      <c r="B48">
        <f t="shared" si="10"/>
        <v>100</v>
      </c>
      <c r="C48">
        <f t="shared" si="4"/>
        <v>360</v>
      </c>
      <c r="D48">
        <f t="shared" si="11"/>
        <v>4.4967559999999997E-2</v>
      </c>
      <c r="E48" s="2" cm="1">
        <f t="array" ref="E48">IF(_xll.qwSettle($B$1,$B$2)&lt;G47,G47,0)</f>
        <v>0</v>
      </c>
      <c r="F48" cm="1">
        <f t="array" ref="F48">IF(E48&lt;&gt;0,_xll.qwCalAdjust(A48,E48),0)</f>
        <v>0</v>
      </c>
      <c r="G48" s="6" cm="1">
        <f t="array" ref="G48">IF(E48&lt;&gt;0,IF(E48=EOMONTH(E48,0), EOMONTH(_xll.qwCalAddMonths(A48,E48,-12,4),0), _xll.qwCalAddMonths(A48,E48,-12,4)),0)</f>
        <v>0</v>
      </c>
      <c r="H48" s="2">
        <f t="shared" si="12"/>
        <v>0</v>
      </c>
      <c r="I48">
        <f>IF(E48&lt;&gt;0,MAX(_xll.qwEffective($B$1,$B$2),_xll.qwCalAdjust($A$27,G48)),0)</f>
        <v>0</v>
      </c>
      <c r="J48" s="2">
        <f t="shared" si="13"/>
        <v>0</v>
      </c>
      <c r="K48">
        <f t="shared" si="2"/>
        <v>0</v>
      </c>
      <c r="L48" s="6">
        <f t="shared" si="14"/>
        <v>0</v>
      </c>
      <c r="M48" s="6"/>
      <c r="N48" s="6"/>
      <c r="O48" s="4"/>
      <c r="P48" s="3"/>
      <c r="Q48" s="3"/>
      <c r="U48" s="2"/>
    </row>
    <row r="49" spans="1:21" x14ac:dyDescent="0.25">
      <c r="A49" t="str">
        <f t="shared" si="3"/>
        <v>US</v>
      </c>
      <c r="B49">
        <f t="shared" si="10"/>
        <v>100</v>
      </c>
      <c r="C49">
        <f t="shared" si="4"/>
        <v>360</v>
      </c>
      <c r="D49">
        <f t="shared" si="11"/>
        <v>4.4967559999999997E-2</v>
      </c>
      <c r="E49" s="2" cm="1">
        <f t="array" ref="E49">IF(_xll.qwSettle($B$1,$B$2)&lt;G48,G48,0)</f>
        <v>0</v>
      </c>
      <c r="F49" cm="1">
        <f t="array" ref="F49">IF(E49&lt;&gt;0,_xll.qwCalAdjust(A49,E49),0)</f>
        <v>0</v>
      </c>
      <c r="G49" s="6" cm="1">
        <f t="array" ref="G49">IF(E49&lt;&gt;0,IF(E49=EOMONTH(E49,0), EOMONTH(_xll.qwCalAddMonths(A49,E49,-12,4),0), _xll.qwCalAddMonths(A49,E49,-12,4)),0)</f>
        <v>0</v>
      </c>
      <c r="H49" s="2">
        <f t="shared" si="12"/>
        <v>0</v>
      </c>
      <c r="I49">
        <f>IF(E49&lt;&gt;0,MAX(_xll.qwEffective($B$1,$B$2),_xll.qwCalAdjust($A$27,G49)),0)</f>
        <v>0</v>
      </c>
      <c r="J49" s="2">
        <f t="shared" si="13"/>
        <v>0</v>
      </c>
      <c r="K49">
        <f t="shared" si="2"/>
        <v>0</v>
      </c>
      <c r="L49" s="6">
        <f t="shared" si="14"/>
        <v>0</v>
      </c>
      <c r="M49" s="6"/>
      <c r="N49" s="6"/>
      <c r="O49" s="4"/>
      <c r="P49" s="3"/>
      <c r="Q49" s="3"/>
      <c r="U49" s="2"/>
    </row>
    <row r="50" spans="1:21" x14ac:dyDescent="0.25">
      <c r="A50" t="str">
        <f t="shared" si="3"/>
        <v>US</v>
      </c>
      <c r="B50">
        <f t="shared" si="10"/>
        <v>100</v>
      </c>
      <c r="C50">
        <f t="shared" si="4"/>
        <v>360</v>
      </c>
      <c r="D50">
        <f t="shared" si="11"/>
        <v>4.4967559999999997E-2</v>
      </c>
      <c r="E50" s="2" cm="1">
        <f t="array" ref="E50">IF(_xll.qwSettle($B$1,$B$2)&lt;G49,G49,0)</f>
        <v>0</v>
      </c>
      <c r="F50" cm="1">
        <f t="array" ref="F50">IF(E50&lt;&gt;0,_xll.qwCalAdjust(A50,E50),0)</f>
        <v>0</v>
      </c>
      <c r="G50" s="6" cm="1">
        <f t="array" ref="G50">IF(E50&lt;&gt;0,IF(E50=EOMONTH(E50,0), EOMONTH(_xll.qwCalAddMonths(A50,E50,-12,4),0), _xll.qwCalAddMonths(A50,E50,-12,4)),0)</f>
        <v>0</v>
      </c>
      <c r="H50" s="2">
        <f t="shared" si="12"/>
        <v>0</v>
      </c>
      <c r="I50">
        <f>IF(E50&lt;&gt;0,MAX(_xll.qwEffective($B$1,$B$2),_xll.qwCalAdjust($A$27,G50)),0)</f>
        <v>0</v>
      </c>
      <c r="J50" s="2">
        <f t="shared" si="13"/>
        <v>0</v>
      </c>
      <c r="K50">
        <f t="shared" si="2"/>
        <v>0</v>
      </c>
      <c r="L50" s="6">
        <f t="shared" si="14"/>
        <v>0</v>
      </c>
      <c r="M50" s="6"/>
      <c r="N50" s="6"/>
      <c r="O50" s="4"/>
      <c r="P50" s="3"/>
      <c r="Q50" s="3"/>
      <c r="U50" s="2"/>
    </row>
    <row r="51" spans="1:21" x14ac:dyDescent="0.25">
      <c r="A51" t="str">
        <f t="shared" si="3"/>
        <v>US</v>
      </c>
      <c r="B51">
        <f t="shared" si="10"/>
        <v>100</v>
      </c>
      <c r="C51">
        <f t="shared" si="4"/>
        <v>360</v>
      </c>
      <c r="D51">
        <f t="shared" si="11"/>
        <v>4.4967559999999997E-2</v>
      </c>
      <c r="E51" s="2" cm="1">
        <f t="array" ref="E51">IF(_xll.qwSettle($B$1,$B$2)&lt;G50,G50,0)</f>
        <v>0</v>
      </c>
      <c r="F51" cm="1">
        <f t="array" ref="F51">IF(E51&lt;&gt;0,_xll.qwCalAdjust(A51,E51),0)</f>
        <v>0</v>
      </c>
      <c r="G51" s="6" cm="1">
        <f t="array" ref="G51">IF(E51&lt;&gt;0,IF(E51=EOMONTH(E51,0), EOMONTH(_xll.qwCalAddMonths(A51,E51,-12,4),0), _xll.qwCalAddMonths(A51,E51,-12,4)),0)</f>
        <v>0</v>
      </c>
      <c r="H51" s="2">
        <f t="shared" si="12"/>
        <v>0</v>
      </c>
      <c r="I51">
        <f>IF(E51&lt;&gt;0,MAX(_xll.qwEffective($B$1,$B$2),_xll.qwCalAdjust($A$27,G51)),0)</f>
        <v>0</v>
      </c>
      <c r="J51" s="2">
        <f t="shared" si="13"/>
        <v>0</v>
      </c>
      <c r="K51">
        <f t="shared" si="2"/>
        <v>0</v>
      </c>
      <c r="L51" s="6">
        <f t="shared" si="14"/>
        <v>0</v>
      </c>
      <c r="M51" s="6"/>
      <c r="N51" s="6"/>
      <c r="O51" s="4"/>
      <c r="P51" s="3"/>
      <c r="Q51" s="3"/>
      <c r="U51" s="2"/>
    </row>
    <row r="52" spans="1:21" x14ac:dyDescent="0.25">
      <c r="A52" t="str">
        <f t="shared" si="3"/>
        <v>US</v>
      </c>
      <c r="B52">
        <f t="shared" si="10"/>
        <v>100</v>
      </c>
      <c r="C52">
        <f t="shared" si="4"/>
        <v>360</v>
      </c>
      <c r="D52">
        <f t="shared" si="11"/>
        <v>4.4967559999999997E-2</v>
      </c>
      <c r="E52" s="2" cm="1">
        <f t="array" ref="E52">IF(_xll.qwSettle($B$1,$B$2)&lt;G51,G51,0)</f>
        <v>0</v>
      </c>
      <c r="F52" cm="1">
        <f t="array" ref="F52">IF(E52&lt;&gt;0,_xll.qwCalAdjust(A52,E52),0)</f>
        <v>0</v>
      </c>
      <c r="G52" s="6" cm="1">
        <f t="array" ref="G52">IF(E52&lt;&gt;0,IF(E52=EOMONTH(E52,0), EOMONTH(_xll.qwCalAddMonths(A52,E52,-12,4),0), _xll.qwCalAddMonths(A52,E52,-12,4)),0)</f>
        <v>0</v>
      </c>
      <c r="H52" s="2">
        <f t="shared" si="12"/>
        <v>0</v>
      </c>
      <c r="I52">
        <f>IF(E52&lt;&gt;0,MAX(_xll.qwEffective($B$1,$B$2),_xll.qwCalAdjust($A$27,G52)),0)</f>
        <v>0</v>
      </c>
      <c r="J52" s="2">
        <f t="shared" si="13"/>
        <v>0</v>
      </c>
      <c r="K52">
        <f t="shared" si="2"/>
        <v>0</v>
      </c>
      <c r="L52" s="6">
        <f t="shared" si="14"/>
        <v>0</v>
      </c>
      <c r="M52" s="6"/>
      <c r="N52" s="6"/>
      <c r="O52" s="4"/>
      <c r="P52" s="3"/>
      <c r="Q52" s="3"/>
      <c r="U52" s="2"/>
    </row>
    <row r="53" spans="1:21" x14ac:dyDescent="0.25">
      <c r="A53" t="str">
        <f t="shared" si="3"/>
        <v>US</v>
      </c>
      <c r="B53">
        <f t="shared" si="10"/>
        <v>100</v>
      </c>
      <c r="C53">
        <f t="shared" si="4"/>
        <v>360</v>
      </c>
      <c r="D53">
        <f t="shared" si="11"/>
        <v>4.4967559999999997E-2</v>
      </c>
      <c r="E53" s="2" cm="1">
        <f t="array" ref="E53">IF(_xll.qwSettle($B$1,$B$2)&lt;G52,G52,0)</f>
        <v>0</v>
      </c>
      <c r="F53" cm="1">
        <f t="array" ref="F53">IF(E53&lt;&gt;0,_xll.qwCalAdjust(A53,E53),0)</f>
        <v>0</v>
      </c>
      <c r="G53" s="6" cm="1">
        <f t="array" ref="G53">IF(E53&lt;&gt;0,IF(E53=EOMONTH(E53,0), EOMONTH(_xll.qwCalAddMonths(A53,E53,-12,4),0), _xll.qwCalAddMonths(A53,E53,-12,4)),0)</f>
        <v>0</v>
      </c>
      <c r="H53" s="2">
        <f t="shared" si="12"/>
        <v>0</v>
      </c>
      <c r="I53">
        <f>IF(E53&lt;&gt;0,MAX(_xll.qwEffective($B$1,$B$2),_xll.qwCalAdjust($A$27,G53)),0)</f>
        <v>0</v>
      </c>
      <c r="J53" s="2">
        <f t="shared" si="13"/>
        <v>0</v>
      </c>
      <c r="K53">
        <f t="shared" si="2"/>
        <v>0</v>
      </c>
      <c r="L53" s="6">
        <f t="shared" si="14"/>
        <v>0</v>
      </c>
      <c r="M53" s="6"/>
      <c r="N53" s="6"/>
      <c r="O53" s="2"/>
      <c r="P53" s="3"/>
      <c r="Q53" s="3"/>
      <c r="U53" s="2"/>
    </row>
    <row r="54" spans="1:21" x14ac:dyDescent="0.25">
      <c r="A54" t="str">
        <f t="shared" si="3"/>
        <v>US</v>
      </c>
      <c r="B54">
        <f t="shared" si="10"/>
        <v>100</v>
      </c>
      <c r="C54">
        <f t="shared" si="4"/>
        <v>360</v>
      </c>
      <c r="D54">
        <f t="shared" si="11"/>
        <v>4.4967559999999997E-2</v>
      </c>
      <c r="E54" s="2" cm="1">
        <f t="array" ref="E54">IF(_xll.qwSettle($B$1,$B$2)&lt;G53,G53,0)</f>
        <v>0</v>
      </c>
      <c r="F54" cm="1">
        <f t="array" ref="F54">IF(E54&lt;&gt;0,_xll.qwCalAdjust(A54,E54),0)</f>
        <v>0</v>
      </c>
      <c r="G54" s="6" cm="1">
        <f t="array" ref="G54">IF(E54&lt;&gt;0,IF(E54=EOMONTH(E54,0), EOMONTH(_xll.qwCalAddMonths(A54,E54,-12,4),0), _xll.qwCalAddMonths(A54,E54,-12,4)),0)</f>
        <v>0</v>
      </c>
      <c r="H54" s="2">
        <f t="shared" si="12"/>
        <v>0</v>
      </c>
      <c r="I54">
        <f>IF(E54&lt;&gt;0,MAX(_xll.qwEffective($B$1,$B$2),_xll.qwCalAdjust($A$27,G54)),0)</f>
        <v>0</v>
      </c>
      <c r="J54" s="2">
        <f t="shared" si="13"/>
        <v>0</v>
      </c>
      <c r="K54">
        <f t="shared" si="2"/>
        <v>0</v>
      </c>
      <c r="L54" s="6">
        <f t="shared" si="14"/>
        <v>0</v>
      </c>
      <c r="M54" s="6"/>
      <c r="N54" s="6"/>
      <c r="O54" s="2"/>
      <c r="P54" s="3"/>
      <c r="Q54" s="3"/>
      <c r="U54" s="2"/>
    </row>
    <row r="55" spans="1:21" x14ac:dyDescent="0.25">
      <c r="A55" t="str">
        <f t="shared" si="3"/>
        <v>US</v>
      </c>
      <c r="B55">
        <f t="shared" si="10"/>
        <v>100</v>
      </c>
      <c r="C55">
        <f t="shared" si="4"/>
        <v>360</v>
      </c>
      <c r="D55">
        <f t="shared" si="11"/>
        <v>4.4967559999999997E-2</v>
      </c>
      <c r="E55" s="2" cm="1">
        <f t="array" ref="E55">IF(_xll.qwSettle($B$1,$B$2)&lt;G54,G54,0)</f>
        <v>0</v>
      </c>
      <c r="F55" cm="1">
        <f t="array" ref="F55">IF(E55&lt;&gt;0,_xll.qwCalAdjust(A55,E55),0)</f>
        <v>0</v>
      </c>
      <c r="G55" s="6" cm="1">
        <f t="array" ref="G55">IF(E55&lt;&gt;0,IF(E55=EOMONTH(E55,0), EOMONTH(_xll.qwCalAddMonths(A55,E55,-12,4),0), _xll.qwCalAddMonths(A55,E55,-12,4)),0)</f>
        <v>0</v>
      </c>
      <c r="H55" s="2">
        <f t="shared" si="12"/>
        <v>0</v>
      </c>
      <c r="I55">
        <f>IF(E55&lt;&gt;0,MAX(_xll.qwEffective($B$1,$B$2),_xll.qwCalAdjust($A$27,G55)),0)</f>
        <v>0</v>
      </c>
      <c r="J55" s="2">
        <f t="shared" si="13"/>
        <v>0</v>
      </c>
      <c r="K55">
        <f t="shared" si="2"/>
        <v>0</v>
      </c>
      <c r="L55" s="6">
        <f t="shared" si="14"/>
        <v>0</v>
      </c>
      <c r="M55" s="6"/>
      <c r="N55" s="6"/>
      <c r="O55" s="2"/>
      <c r="P55" s="3"/>
      <c r="Q55" s="3"/>
      <c r="U55" s="2"/>
    </row>
    <row r="56" spans="1:21" x14ac:dyDescent="0.25">
      <c r="A56" t="str">
        <f t="shared" si="3"/>
        <v>US</v>
      </c>
      <c r="B56">
        <f t="shared" si="10"/>
        <v>100</v>
      </c>
      <c r="C56">
        <f t="shared" si="4"/>
        <v>360</v>
      </c>
      <c r="D56">
        <f t="shared" si="11"/>
        <v>4.4967559999999997E-2</v>
      </c>
      <c r="E56" s="2" cm="1">
        <f t="array" ref="E56">IF(_xll.qwSettle($B$1,$B$2)&lt;G55,G55,0)</f>
        <v>0</v>
      </c>
      <c r="F56" cm="1">
        <f t="array" ref="F56">IF(E56&lt;&gt;0,_xll.qwCalAdjust(A56,E56),0)</f>
        <v>0</v>
      </c>
      <c r="G56" s="6" cm="1">
        <f t="array" ref="G56">IF(E56&lt;&gt;0,IF(E56=EOMONTH(E56,0), EOMONTH(_xll.qwCalAddMonths(A56,E56,-12,4),0), _xll.qwCalAddMonths(A56,E56,-12,4)),0)</f>
        <v>0</v>
      </c>
      <c r="H56" s="2">
        <f t="shared" si="12"/>
        <v>0</v>
      </c>
      <c r="I56">
        <f>IF(E56&lt;&gt;0,MAX(_xll.qwEffective($B$1,$B$2),_xll.qwCalAdjust($A$27,G56)),0)</f>
        <v>0</v>
      </c>
      <c r="J56" s="2">
        <f t="shared" si="13"/>
        <v>0</v>
      </c>
      <c r="K56">
        <f t="shared" si="2"/>
        <v>0</v>
      </c>
      <c r="L56" s="6">
        <f t="shared" si="14"/>
        <v>0</v>
      </c>
      <c r="M56" s="6"/>
      <c r="N56" s="6"/>
      <c r="O56" s="2"/>
      <c r="P56" s="3"/>
      <c r="Q56" s="3"/>
      <c r="U56" s="2"/>
    </row>
    <row r="57" spans="1:21" x14ac:dyDescent="0.25">
      <c r="A57" t="str">
        <f t="shared" si="3"/>
        <v>US</v>
      </c>
      <c r="B57">
        <f t="shared" si="10"/>
        <v>100</v>
      </c>
      <c r="C57">
        <f t="shared" si="4"/>
        <v>360</v>
      </c>
      <c r="D57">
        <f t="shared" si="11"/>
        <v>4.4967559999999997E-2</v>
      </c>
      <c r="E57" s="2" cm="1">
        <f t="array" ref="E57">IF(_xll.qwSettle($B$1,$B$2)&lt;G56,G56,0)</f>
        <v>0</v>
      </c>
      <c r="F57" cm="1">
        <f t="array" ref="F57">IF(E57&lt;&gt;0,_xll.qwCalAdjust(A57,E57),0)</f>
        <v>0</v>
      </c>
      <c r="G57" s="6" cm="1">
        <f t="array" ref="G57">IF(E57&lt;&gt;0,IF(E57=EOMONTH(E57,0), EOMONTH(_xll.qwCalAddMonths(A57,E57,-12,4),0), _xll.qwCalAddMonths(A57,E57,-12,4)),0)</f>
        <v>0</v>
      </c>
      <c r="H57" s="2">
        <f t="shared" si="12"/>
        <v>0</v>
      </c>
      <c r="I57">
        <f>IF(E57&lt;&gt;0,MAX(_xll.qwEffective($B$1,$B$2),_xll.qwCalAdjust($A$27,G57)),0)</f>
        <v>0</v>
      </c>
      <c r="J57" s="2">
        <f t="shared" si="13"/>
        <v>0</v>
      </c>
      <c r="K57">
        <f t="shared" si="2"/>
        <v>0</v>
      </c>
      <c r="L57" s="6">
        <f t="shared" si="14"/>
        <v>0</v>
      </c>
      <c r="M57" s="6"/>
      <c r="N57" s="6"/>
      <c r="O57" s="2"/>
      <c r="P57" s="3"/>
      <c r="Q57" s="3"/>
      <c r="U57" s="2"/>
    </row>
    <row r="58" spans="1:21" x14ac:dyDescent="0.25">
      <c r="A58" t="str">
        <f t="shared" si="3"/>
        <v>US</v>
      </c>
      <c r="B58">
        <f t="shared" si="10"/>
        <v>100</v>
      </c>
      <c r="C58">
        <f t="shared" si="4"/>
        <v>360</v>
      </c>
      <c r="D58">
        <f t="shared" si="11"/>
        <v>4.4967559999999997E-2</v>
      </c>
      <c r="E58" s="2" cm="1">
        <f t="array" ref="E58">IF(_xll.qwSettle($B$1,$B$2)&lt;G57,G57,0)</f>
        <v>0</v>
      </c>
      <c r="F58" cm="1">
        <f t="array" ref="F58">IF(E58&lt;&gt;0,_xll.qwCalAdjust(A58,E58),0)</f>
        <v>0</v>
      </c>
      <c r="G58" s="6" cm="1">
        <f t="array" ref="G58">IF(E58&lt;&gt;0,IF(E58=EOMONTH(E58,0), EOMONTH(_xll.qwCalAddMonths(A58,E58,-12,4),0), _xll.qwCalAddMonths(A58,E58,-12,4)),0)</f>
        <v>0</v>
      </c>
      <c r="H58" s="2">
        <f t="shared" si="12"/>
        <v>0</v>
      </c>
      <c r="I58">
        <f>IF(E58&lt;&gt;0,MAX(_xll.qwEffective($B$1,$B$2),_xll.qwCalAdjust($A$27,G58)),0)</f>
        <v>0</v>
      </c>
      <c r="J58" s="2">
        <f t="shared" si="13"/>
        <v>0</v>
      </c>
      <c r="K58">
        <f t="shared" si="2"/>
        <v>0</v>
      </c>
      <c r="L58" s="6">
        <f t="shared" si="14"/>
        <v>0</v>
      </c>
      <c r="M58" s="6"/>
      <c r="N58" s="6"/>
      <c r="O58" s="2"/>
      <c r="P58" s="3"/>
      <c r="Q58" s="3"/>
      <c r="U58" s="2"/>
    </row>
    <row r="59" spans="1:21" x14ac:dyDescent="0.25">
      <c r="A59" t="str">
        <f t="shared" si="3"/>
        <v>US</v>
      </c>
      <c r="B59">
        <f t="shared" si="10"/>
        <v>100</v>
      </c>
      <c r="C59">
        <f t="shared" si="4"/>
        <v>360</v>
      </c>
      <c r="D59">
        <f t="shared" si="11"/>
        <v>4.4967559999999997E-2</v>
      </c>
      <c r="E59" s="2" cm="1">
        <f t="array" ref="E59">IF(_xll.qwSettle($B$1,$B$2)&lt;G58,G58,0)</f>
        <v>0</v>
      </c>
      <c r="F59" cm="1">
        <f t="array" ref="F59">IF(E59&lt;&gt;0,_xll.qwCalAdjust(A59,E59),0)</f>
        <v>0</v>
      </c>
      <c r="G59" s="6" cm="1">
        <f t="array" ref="G59">IF(E59&lt;&gt;0,IF(E59=EOMONTH(E59,0), EOMONTH(_xll.qwCalAddMonths(A59,E59,-12,4),0), _xll.qwCalAddMonths(A59,E59,-12,4)),0)</f>
        <v>0</v>
      </c>
      <c r="H59" s="2">
        <f t="shared" si="12"/>
        <v>0</v>
      </c>
      <c r="I59">
        <f>IF(E59&lt;&gt;0,MAX(_xll.qwEffective($B$1,$B$2),_xll.qwCalAdjust($A$27,G59)),0)</f>
        <v>0</v>
      </c>
      <c r="J59" s="2">
        <f t="shared" si="13"/>
        <v>0</v>
      </c>
      <c r="K59">
        <f t="shared" si="2"/>
        <v>0</v>
      </c>
      <c r="L59" s="6">
        <f t="shared" si="14"/>
        <v>0</v>
      </c>
      <c r="M59" s="6"/>
      <c r="N59" s="6"/>
      <c r="O59" s="2"/>
      <c r="P59" s="3"/>
      <c r="Q59" s="3"/>
      <c r="U59" s="2"/>
    </row>
    <row r="60" spans="1:21" x14ac:dyDescent="0.25">
      <c r="A60" t="str">
        <f t="shared" si="3"/>
        <v>US</v>
      </c>
      <c r="B60">
        <f t="shared" si="10"/>
        <v>100</v>
      </c>
      <c r="C60">
        <f t="shared" si="4"/>
        <v>360</v>
      </c>
      <c r="D60">
        <f t="shared" si="11"/>
        <v>4.4967559999999997E-2</v>
      </c>
      <c r="E60" s="2" cm="1">
        <f t="array" ref="E60">IF(_xll.qwSettle($B$1,$B$2)&lt;G59,G59,0)</f>
        <v>0</v>
      </c>
      <c r="F60" cm="1">
        <f t="array" ref="F60">IF(E60&lt;&gt;0,_xll.qwCalAdjust(A60,E60),0)</f>
        <v>0</v>
      </c>
      <c r="G60" s="6" cm="1">
        <f t="array" ref="G60">IF(E60&lt;&gt;0,IF(E60=EOMONTH(E60,0), EOMONTH(_xll.qwCalAddMonths(A60,E60,-12,4),0), _xll.qwCalAddMonths(A60,E60,-12,4)),0)</f>
        <v>0</v>
      </c>
      <c r="H60" s="2">
        <f t="shared" si="12"/>
        <v>0</v>
      </c>
      <c r="I60">
        <f>IF(E60&lt;&gt;0,MAX(_xll.qwEffective($B$1,$B$2),_xll.qwCalAdjust($A$27,G60)),0)</f>
        <v>0</v>
      </c>
      <c r="J60" s="2">
        <f t="shared" si="13"/>
        <v>0</v>
      </c>
      <c r="K60">
        <f t="shared" si="2"/>
        <v>0</v>
      </c>
      <c r="L60" s="6">
        <f t="shared" si="14"/>
        <v>0</v>
      </c>
      <c r="M60" s="6"/>
      <c r="N60" s="6"/>
      <c r="O60" s="2"/>
      <c r="P60" s="3"/>
      <c r="Q60" s="3"/>
      <c r="U60" s="2"/>
    </row>
    <row r="61" spans="1:21" x14ac:dyDescent="0.25">
      <c r="A61" t="str">
        <f t="shared" si="3"/>
        <v>US</v>
      </c>
      <c r="B61">
        <f t="shared" si="10"/>
        <v>100</v>
      </c>
      <c r="C61">
        <f t="shared" si="4"/>
        <v>360</v>
      </c>
      <c r="D61">
        <f t="shared" si="11"/>
        <v>4.4967559999999997E-2</v>
      </c>
      <c r="E61" s="2" cm="1">
        <f t="array" ref="E61">IF(_xll.qwSettle($B$1,$B$2)&lt;G60,G60,0)</f>
        <v>0</v>
      </c>
      <c r="F61" cm="1">
        <f t="array" ref="F61">IF(E61&lt;&gt;0,_xll.qwCalAdjust(A61,E61),0)</f>
        <v>0</v>
      </c>
      <c r="G61" s="6" cm="1">
        <f t="array" ref="G61">IF(E61&lt;&gt;0,IF(E61=EOMONTH(E61,0), EOMONTH(_xll.qwCalAddMonths(A61,E61,-12,4),0), _xll.qwCalAddMonths(A61,E61,-12,4)),0)</f>
        <v>0</v>
      </c>
      <c r="H61" s="2">
        <f t="shared" si="12"/>
        <v>0</v>
      </c>
      <c r="I61" s="1">
        <f>IF(E61&lt;&gt;0,MAX(_xll.qwEffective($B$1,$B$2),_xll.qwCalAdjust($A$27,G61)),0)</f>
        <v>0</v>
      </c>
      <c r="J61" s="2">
        <f t="shared" si="13"/>
        <v>0</v>
      </c>
      <c r="K61">
        <f t="shared" si="2"/>
        <v>0</v>
      </c>
      <c r="L61" s="6">
        <f t="shared" si="14"/>
        <v>0</v>
      </c>
      <c r="M61" s="6"/>
      <c r="N61" s="6"/>
      <c r="O61" s="2"/>
      <c r="P61" s="3"/>
      <c r="Q61" s="3"/>
      <c r="U61" s="2"/>
    </row>
    <row r="62" spans="1:21" x14ac:dyDescent="0.25">
      <c r="A62" t="str">
        <f t="shared" si="3"/>
        <v>US</v>
      </c>
      <c r="B62">
        <f t="shared" si="10"/>
        <v>100</v>
      </c>
      <c r="C62">
        <f t="shared" si="4"/>
        <v>360</v>
      </c>
      <c r="D62">
        <f t="shared" si="11"/>
        <v>4.4967559999999997E-2</v>
      </c>
      <c r="E62" s="2" cm="1">
        <f t="array" ref="E62">IF(_xll.qwSettle($B$1,$B$2)&lt;G61,G61,0)</f>
        <v>0</v>
      </c>
      <c r="F62" cm="1">
        <f t="array" ref="F62">IF(E62&lt;&gt;0,_xll.qwCalAdjust(A62,E62),0)</f>
        <v>0</v>
      </c>
      <c r="G62" s="6" cm="1">
        <f t="array" ref="G62">IF(E62&lt;&gt;0,IF(E62=EOMONTH(E62,0), EOMONTH(_xll.qwCalAddMonths(A62,E62,-12,4),0), _xll.qwCalAddMonths(A62,E62,-12,4)),0)</f>
        <v>0</v>
      </c>
      <c r="H62" s="2">
        <f t="shared" si="12"/>
        <v>0</v>
      </c>
      <c r="I62" s="1">
        <f>IF(E62&lt;&gt;0,MAX(_xll.qwEffective($B$1,$B$2),_xll.qwCalAdjust($A$27,G62)),0)</f>
        <v>0</v>
      </c>
      <c r="J62" s="2">
        <f t="shared" si="13"/>
        <v>0</v>
      </c>
      <c r="K62">
        <f t="shared" si="2"/>
        <v>0</v>
      </c>
      <c r="L62" s="6">
        <f t="shared" si="14"/>
        <v>0</v>
      </c>
      <c r="M62" s="6"/>
      <c r="N62" s="6"/>
      <c r="O62" s="2"/>
      <c r="P62" s="3"/>
      <c r="Q62" s="3"/>
      <c r="U62" s="2"/>
    </row>
    <row r="63" spans="1:21" x14ac:dyDescent="0.25">
      <c r="A63" t="str">
        <f t="shared" si="3"/>
        <v>US</v>
      </c>
      <c r="B63">
        <f t="shared" si="10"/>
        <v>100</v>
      </c>
      <c r="C63">
        <f t="shared" si="4"/>
        <v>360</v>
      </c>
      <c r="D63">
        <f t="shared" si="11"/>
        <v>4.4967559999999997E-2</v>
      </c>
      <c r="E63" s="2" cm="1">
        <f t="array" ref="E63">IF(_xll.qwSettle($B$1,$B$2)&lt;G62,G62,0)</f>
        <v>0</v>
      </c>
      <c r="F63" cm="1">
        <f t="array" ref="F63">IF(E63&lt;&gt;0,_xll.qwCalAdjust(A63,E63),0)</f>
        <v>0</v>
      </c>
      <c r="G63" s="6" cm="1">
        <f t="array" ref="G63">IF(E63&lt;&gt;0,IF(E63=EOMONTH(E63,0), EOMONTH(_xll.qwCalAddMonths(A63,E63,-12,4),0), _xll.qwCalAddMonths(A63,E63,-12,4)),0)</f>
        <v>0</v>
      </c>
      <c r="H63" s="2">
        <f t="shared" si="12"/>
        <v>0</v>
      </c>
      <c r="I63" s="1">
        <f>IF(E63&lt;&gt;0,MAX(_xll.qwEffective($B$1,$B$2),_xll.qwCalAdjust($A$27,G63)),0)</f>
        <v>0</v>
      </c>
      <c r="J63" s="2">
        <f t="shared" si="13"/>
        <v>0</v>
      </c>
      <c r="K63">
        <f t="shared" si="2"/>
        <v>0</v>
      </c>
      <c r="L63" s="6">
        <f t="shared" si="14"/>
        <v>0</v>
      </c>
      <c r="M63" s="6"/>
      <c r="N63" s="6"/>
      <c r="O63" s="2"/>
      <c r="P63" s="3"/>
      <c r="Q63" s="3"/>
      <c r="U63" s="2"/>
    </row>
    <row r="64" spans="1:21" x14ac:dyDescent="0.25">
      <c r="A64" t="str">
        <f t="shared" si="3"/>
        <v>US</v>
      </c>
      <c r="B64">
        <f t="shared" si="10"/>
        <v>100</v>
      </c>
      <c r="C64">
        <f t="shared" si="4"/>
        <v>360</v>
      </c>
      <c r="D64">
        <f t="shared" si="11"/>
        <v>4.4967559999999997E-2</v>
      </c>
      <c r="E64" s="2" cm="1">
        <f t="array" ref="E64">IF(_xll.qwSettle($B$1,$B$2)&lt;G63,G63,0)</f>
        <v>0</v>
      </c>
      <c r="F64" cm="1">
        <f t="array" ref="F64">IF(E64&lt;&gt;0,_xll.qwCalAdjust(A64,E64),0)</f>
        <v>0</v>
      </c>
      <c r="G64" s="6" cm="1">
        <f t="array" ref="G64">IF(E64&lt;&gt;0,IF(E64=EOMONTH(E64,0), EOMONTH(_xll.qwCalAddMonths(A64,E64,-12,4),0), _xll.qwCalAddMonths(A64,E64,-12,4)),0)</f>
        <v>0</v>
      </c>
      <c r="H64" s="2">
        <f t="shared" si="12"/>
        <v>0</v>
      </c>
      <c r="I64" s="1">
        <f>IF(E64&lt;&gt;0,MAX(_xll.qwEffective($B$1,$B$2),_xll.qwCalAdjust($A$27,G64)),0)</f>
        <v>0</v>
      </c>
      <c r="J64" s="2">
        <f t="shared" si="13"/>
        <v>0</v>
      </c>
      <c r="K64">
        <f t="shared" si="2"/>
        <v>0</v>
      </c>
      <c r="L64" s="6">
        <f t="shared" si="14"/>
        <v>0</v>
      </c>
      <c r="M64" s="6"/>
      <c r="N64" s="6"/>
      <c r="O64" s="2"/>
      <c r="P64" s="3"/>
      <c r="Q64" s="3"/>
      <c r="U64" s="2"/>
    </row>
    <row r="65" spans="1:21" x14ac:dyDescent="0.25">
      <c r="A65" t="str">
        <f t="shared" si="3"/>
        <v>US</v>
      </c>
      <c r="B65">
        <f t="shared" si="10"/>
        <v>100</v>
      </c>
      <c r="C65">
        <f t="shared" si="4"/>
        <v>360</v>
      </c>
      <c r="D65">
        <f t="shared" si="11"/>
        <v>4.4967559999999997E-2</v>
      </c>
      <c r="E65" s="2" cm="1">
        <f t="array" ref="E65">IF(_xll.qwSettle($B$1,$B$2)&lt;G64,G64,0)</f>
        <v>0</v>
      </c>
      <c r="F65" cm="1">
        <f t="array" ref="F65">IF(E65&lt;&gt;0,_xll.qwCalAdjust(A65,E65),0)</f>
        <v>0</v>
      </c>
      <c r="G65" s="6" cm="1">
        <f t="array" ref="G65">IF(E65&lt;&gt;0,IF(E65=EOMONTH(E65,0), EOMONTH(_xll.qwCalAddMonths(A65,E65,-12,4),0), _xll.qwCalAddMonths(A65,E65,-12,4)),0)</f>
        <v>0</v>
      </c>
      <c r="H65" s="2">
        <f t="shared" si="12"/>
        <v>0</v>
      </c>
      <c r="I65" s="1">
        <f>IF(E65&lt;&gt;0,MAX(_xll.qwEffective($B$1,$B$2),_xll.qwCalAdjust($A$27,G65)),0)</f>
        <v>0</v>
      </c>
      <c r="J65" s="2">
        <f t="shared" si="13"/>
        <v>0</v>
      </c>
      <c r="K65">
        <f t="shared" si="2"/>
        <v>0</v>
      </c>
      <c r="L65" s="6">
        <f t="shared" si="14"/>
        <v>0</v>
      </c>
      <c r="M65" s="6"/>
      <c r="N65" s="6"/>
      <c r="O65" s="2"/>
      <c r="P65" s="3"/>
      <c r="Q65" s="3"/>
      <c r="U65" s="2"/>
    </row>
    <row r="66" spans="1:21" x14ac:dyDescent="0.25">
      <c r="A66" t="str">
        <f t="shared" si="3"/>
        <v>US</v>
      </c>
      <c r="B66">
        <f t="shared" si="10"/>
        <v>100</v>
      </c>
      <c r="C66">
        <f t="shared" si="4"/>
        <v>360</v>
      </c>
      <c r="D66">
        <f t="shared" si="11"/>
        <v>4.4967559999999997E-2</v>
      </c>
      <c r="E66" s="2" cm="1">
        <f t="array" ref="E66">IF(_xll.qwSettle($B$1,$B$2)&lt;G65,G65,0)</f>
        <v>0</v>
      </c>
      <c r="F66" cm="1">
        <f t="array" ref="F66">IF(E66&lt;&gt;0,_xll.qwCalAdjust(A66,E66),0)</f>
        <v>0</v>
      </c>
      <c r="G66" s="6" cm="1">
        <f t="array" ref="G66">IF(E66&lt;&gt;0,IF(E66=EOMONTH(E66,0), EOMONTH(_xll.qwCalAddMonths(A66,E66,-12,4),0), _xll.qwCalAddMonths(A66,E66,-12,4)),0)</f>
        <v>0</v>
      </c>
      <c r="H66" s="2">
        <f t="shared" si="12"/>
        <v>0</v>
      </c>
      <c r="I66" s="1">
        <f>IF(E66&lt;&gt;0,MAX(_xll.qwEffective($B$1,$B$2),_xll.qwCalAdjust($A$27,G66)),0)</f>
        <v>0</v>
      </c>
      <c r="J66" s="2">
        <f t="shared" si="13"/>
        <v>0</v>
      </c>
      <c r="K66">
        <f t="shared" si="2"/>
        <v>0</v>
      </c>
      <c r="L66" s="6">
        <f t="shared" si="14"/>
        <v>0</v>
      </c>
      <c r="M66" s="6"/>
      <c r="N66" s="6"/>
      <c r="O66" s="2"/>
      <c r="P66" s="3"/>
      <c r="Q66" s="3"/>
      <c r="U66" s="2"/>
    </row>
    <row r="67" spans="1:21" x14ac:dyDescent="0.25">
      <c r="A67" t="str">
        <f t="shared" si="3"/>
        <v>US</v>
      </c>
      <c r="B67">
        <f t="shared" si="10"/>
        <v>100</v>
      </c>
      <c r="C67">
        <f t="shared" si="4"/>
        <v>360</v>
      </c>
      <c r="D67">
        <f t="shared" si="11"/>
        <v>4.4967559999999997E-2</v>
      </c>
      <c r="E67" s="2" cm="1">
        <f t="array" ref="E67">IF(_xll.qwSettle($B$1,$B$2)&lt;G66,G66,0)</f>
        <v>0</v>
      </c>
      <c r="F67" cm="1">
        <f t="array" ref="F67">IF(E67&lt;&gt;0,_xll.qwCalAdjust(A67,E67),0)</f>
        <v>0</v>
      </c>
      <c r="G67" s="6" cm="1">
        <f t="array" ref="G67">IF(E67&lt;&gt;0,IF(E67=EOMONTH(E67,0), EOMONTH(_xll.qwCalAddMonths(A67,E67,-12,4),0), _xll.qwCalAddMonths(A67,E67,-12,4)),0)</f>
        <v>0</v>
      </c>
      <c r="H67" s="2">
        <f t="shared" si="12"/>
        <v>0</v>
      </c>
      <c r="I67" s="1">
        <f>IF(E67&lt;&gt;0,MAX(_xll.qwEffective($B$1,$B$2),_xll.qwCalAdjust($A$27,G67)),0)</f>
        <v>0</v>
      </c>
      <c r="J67" s="2">
        <f t="shared" si="13"/>
        <v>0</v>
      </c>
      <c r="K67">
        <f t="shared" si="2"/>
        <v>0</v>
      </c>
      <c r="L67" s="6">
        <f t="shared" si="14"/>
        <v>0</v>
      </c>
      <c r="M67" s="6"/>
      <c r="N67" s="6"/>
      <c r="O67" s="2"/>
      <c r="P67" s="3"/>
      <c r="Q67" s="3"/>
      <c r="U67" s="2"/>
    </row>
    <row r="68" spans="1:21" x14ac:dyDescent="0.25">
      <c r="A68" t="str">
        <f t="shared" si="3"/>
        <v>US</v>
      </c>
      <c r="B68">
        <f t="shared" si="10"/>
        <v>100</v>
      </c>
      <c r="C68">
        <f t="shared" si="4"/>
        <v>360</v>
      </c>
      <c r="D68">
        <f t="shared" si="11"/>
        <v>4.4967559999999997E-2</v>
      </c>
      <c r="E68" s="2" cm="1">
        <f t="array" ref="E68">IF(_xll.qwSettle($B$1,$B$2)&lt;G67,G67,0)</f>
        <v>0</v>
      </c>
      <c r="F68" cm="1">
        <f t="array" ref="F68">IF(E68&lt;&gt;0,_xll.qwCalAdjust(A68,E68),0)</f>
        <v>0</v>
      </c>
      <c r="G68" s="6" cm="1">
        <f t="array" ref="G68">IF(E68&lt;&gt;0,IF(E68=EOMONTH(E68,0), EOMONTH(_xll.qwCalAddMonths(A68,E68,-12,4),0), _xll.qwCalAddMonths(A68,E68,-12,4)),0)</f>
        <v>0</v>
      </c>
      <c r="H68" s="2">
        <f t="shared" si="12"/>
        <v>0</v>
      </c>
      <c r="I68" s="1">
        <f>IF(E68&lt;&gt;0,MAX(_xll.qwEffective($B$1,$B$2),_xll.qwCalAdjust($A$27,G68)),0)</f>
        <v>0</v>
      </c>
      <c r="J68" s="2">
        <f t="shared" si="13"/>
        <v>0</v>
      </c>
      <c r="K68">
        <f t="shared" si="2"/>
        <v>0</v>
      </c>
      <c r="L68" s="6">
        <f t="shared" si="14"/>
        <v>0</v>
      </c>
      <c r="M68" s="6"/>
      <c r="N68" s="6"/>
      <c r="O68" s="2"/>
      <c r="P68" s="3"/>
      <c r="Q68" s="3"/>
      <c r="U68" s="2"/>
    </row>
    <row r="69" spans="1:21" x14ac:dyDescent="0.25">
      <c r="A69" t="str">
        <f t="shared" si="3"/>
        <v>US</v>
      </c>
      <c r="B69">
        <f t="shared" si="10"/>
        <v>100</v>
      </c>
      <c r="C69">
        <f t="shared" si="4"/>
        <v>360</v>
      </c>
      <c r="D69">
        <f t="shared" si="11"/>
        <v>4.4967559999999997E-2</v>
      </c>
      <c r="E69" s="2" cm="1">
        <f t="array" ref="E69">IF(_xll.qwSettle($B$1,$B$2)&lt;G68,G68,0)</f>
        <v>0</v>
      </c>
      <c r="F69" cm="1">
        <f t="array" ref="F69">IF(E69&lt;&gt;0,_xll.qwCalAdjust(A69,E69),0)</f>
        <v>0</v>
      </c>
      <c r="G69" s="6" cm="1">
        <f t="array" ref="G69">IF(E69&lt;&gt;0,IF(E69=EOMONTH(E69,0), EOMONTH(_xll.qwCalAddMonths(A69,E69,-12,4),0), _xll.qwCalAddMonths(A69,E69,-12,4)),0)</f>
        <v>0</v>
      </c>
      <c r="H69" s="2">
        <f t="shared" si="12"/>
        <v>0</v>
      </c>
      <c r="I69" s="1">
        <f>IF(E69&lt;&gt;0,MAX(_xll.qwEffective($B$1,$B$2),_xll.qwCalAdjust($A$27,G69)),0)</f>
        <v>0</v>
      </c>
      <c r="J69" s="2">
        <f t="shared" si="13"/>
        <v>0</v>
      </c>
      <c r="K69">
        <f t="shared" si="2"/>
        <v>0</v>
      </c>
      <c r="L69" s="6">
        <f t="shared" si="14"/>
        <v>0</v>
      </c>
      <c r="M69" s="6"/>
      <c r="N69" s="6"/>
      <c r="O69" s="2"/>
      <c r="P69" s="3"/>
      <c r="Q69" s="3"/>
      <c r="U69" s="2"/>
    </row>
    <row r="70" spans="1:21" x14ac:dyDescent="0.25">
      <c r="A70" t="str">
        <f t="shared" si="3"/>
        <v>US</v>
      </c>
      <c r="B70">
        <f t="shared" si="10"/>
        <v>100</v>
      </c>
      <c r="C70">
        <f t="shared" si="4"/>
        <v>360</v>
      </c>
      <c r="D70">
        <f t="shared" si="11"/>
        <v>4.4967559999999997E-2</v>
      </c>
      <c r="E70" s="2" cm="1">
        <f t="array" ref="E70">IF(_xll.qwSettle($B$1,$B$2)&lt;G69,G69,0)</f>
        <v>0</v>
      </c>
      <c r="F70" cm="1">
        <f t="array" ref="F70">IF(E70&lt;&gt;0,_xll.qwCalAdjust(A70,E70),0)</f>
        <v>0</v>
      </c>
      <c r="G70" s="6" cm="1">
        <f t="array" ref="G70">IF(E70&lt;&gt;0,IF(E70=EOMONTH(E70,0), EOMONTH(_xll.qwCalAddMonths(A70,E70,-12,4),0), _xll.qwCalAddMonths(A70,E70,-12,4)),0)</f>
        <v>0</v>
      </c>
      <c r="H70" s="2">
        <f t="shared" si="12"/>
        <v>0</v>
      </c>
      <c r="I70" s="1">
        <f>IF(E70&lt;&gt;0,MAX(_xll.qwEffective($B$1,$B$2),_xll.qwCalAdjust($A$27,G70)),0)</f>
        <v>0</v>
      </c>
      <c r="J70" s="2">
        <f t="shared" si="13"/>
        <v>0</v>
      </c>
      <c r="K70">
        <f t="shared" si="2"/>
        <v>0</v>
      </c>
      <c r="L70" s="6">
        <f t="shared" si="14"/>
        <v>0</v>
      </c>
      <c r="M70" s="6"/>
      <c r="N70" s="6"/>
      <c r="O70" s="2"/>
      <c r="P70" s="3"/>
      <c r="Q70" s="3"/>
      <c r="U70" s="2"/>
    </row>
    <row r="71" spans="1:21" x14ac:dyDescent="0.25">
      <c r="A71" t="str">
        <f t="shared" si="3"/>
        <v>US</v>
      </c>
      <c r="B71">
        <f t="shared" si="10"/>
        <v>100</v>
      </c>
      <c r="C71">
        <f t="shared" si="4"/>
        <v>360</v>
      </c>
      <c r="D71">
        <f t="shared" si="11"/>
        <v>4.4967559999999997E-2</v>
      </c>
      <c r="E71" s="2" cm="1">
        <f t="array" ref="E71">IF(_xll.qwSettle($B$1,$B$2)&lt;G70,G70,0)</f>
        <v>0</v>
      </c>
      <c r="F71" cm="1">
        <f t="array" ref="F71">IF(E71&lt;&gt;0,_xll.qwCalAdjust(A71,E71),0)</f>
        <v>0</v>
      </c>
      <c r="G71" s="6" cm="1">
        <f t="array" ref="G71">IF(E71&lt;&gt;0,IF(E71=EOMONTH(E71,0), EOMONTH(_xll.qwCalAddMonths(A71,E71,-12,4),0), _xll.qwCalAddMonths(A71,E71,-12,4)),0)</f>
        <v>0</v>
      </c>
      <c r="H71" s="2">
        <f t="shared" si="12"/>
        <v>0</v>
      </c>
      <c r="I71" s="1">
        <f>IF(E71&lt;&gt;0,MAX(_xll.qwEffective($B$1,$B$2),_xll.qwCalAdjust($A$27,G71)),0)</f>
        <v>0</v>
      </c>
      <c r="J71" s="2">
        <f t="shared" si="13"/>
        <v>0</v>
      </c>
      <c r="K71">
        <f t="shared" si="2"/>
        <v>0</v>
      </c>
      <c r="L71" s="6">
        <f t="shared" si="14"/>
        <v>0</v>
      </c>
      <c r="M71" s="6"/>
      <c r="N71" s="6"/>
      <c r="O71" s="2"/>
      <c r="P71" s="3"/>
      <c r="Q71" s="3"/>
      <c r="U71" s="2"/>
    </row>
    <row r="72" spans="1:21" x14ac:dyDescent="0.25">
      <c r="A72" t="str">
        <f t="shared" si="3"/>
        <v>US</v>
      </c>
      <c r="B72">
        <f t="shared" si="10"/>
        <v>100</v>
      </c>
      <c r="C72">
        <f t="shared" si="4"/>
        <v>360</v>
      </c>
      <c r="D72">
        <f t="shared" si="11"/>
        <v>4.4967559999999997E-2</v>
      </c>
      <c r="E72" s="2" cm="1">
        <f t="array" ref="E72">IF(_xll.qwSettle($B$1,$B$2)&lt;G71,G71,0)</f>
        <v>0</v>
      </c>
      <c r="F72" cm="1">
        <f t="array" ref="F72">IF(E72&lt;&gt;0,_xll.qwCalAdjust(A72,E72),0)</f>
        <v>0</v>
      </c>
      <c r="G72" s="6" cm="1">
        <f t="array" ref="G72">IF(E72&lt;&gt;0,IF(E72=EOMONTH(E72,0), EOMONTH(_xll.qwCalAddMonths(A72,E72,-12,4),0), _xll.qwCalAddMonths(A72,E72,-12,4)),0)</f>
        <v>0</v>
      </c>
      <c r="H72" s="2">
        <f t="shared" si="12"/>
        <v>0</v>
      </c>
      <c r="I72" s="1">
        <f>IF(E72&lt;&gt;0,MAX(_xll.qwEffective($B$1,$B$2),_xll.qwCalAdjust($A$27,G72)),0)</f>
        <v>0</v>
      </c>
      <c r="J72" s="2">
        <f t="shared" si="13"/>
        <v>0</v>
      </c>
      <c r="K72">
        <f t="shared" si="2"/>
        <v>0</v>
      </c>
      <c r="L72" s="6">
        <f t="shared" si="14"/>
        <v>0</v>
      </c>
      <c r="M72" s="6"/>
      <c r="N72" s="6"/>
      <c r="O72" s="2"/>
      <c r="P72" s="3"/>
      <c r="Q72" s="3"/>
      <c r="U72" s="2"/>
    </row>
    <row r="73" spans="1:21" x14ac:dyDescent="0.25">
      <c r="A73" t="str">
        <f t="shared" si="3"/>
        <v>US</v>
      </c>
      <c r="B73">
        <f t="shared" si="10"/>
        <v>100</v>
      </c>
      <c r="C73">
        <f t="shared" si="4"/>
        <v>360</v>
      </c>
      <c r="D73">
        <f t="shared" si="11"/>
        <v>4.4967559999999997E-2</v>
      </c>
      <c r="E73" s="2" cm="1">
        <f t="array" ref="E73">IF(_xll.qwSettle($B$1,$B$2)&lt;G72,G72,0)</f>
        <v>0</v>
      </c>
      <c r="F73" cm="1">
        <f t="array" ref="F73">IF(E73&lt;&gt;0,_xll.qwCalAdjust(A73,E73),0)</f>
        <v>0</v>
      </c>
      <c r="G73" s="6" cm="1">
        <f t="array" ref="G73">IF(E73&lt;&gt;0,IF(E73=EOMONTH(E73,0), EOMONTH(_xll.qwCalAddMonths(A73,E73,-12,4),0), _xll.qwCalAddMonths(A73,E73,-12,4)),0)</f>
        <v>0</v>
      </c>
      <c r="H73" s="2">
        <f t="shared" si="12"/>
        <v>0</v>
      </c>
      <c r="I73" s="1">
        <f>IF(E73&lt;&gt;0,MAX(_xll.qwEffective($B$1,$B$2),_xll.qwCalAdjust($A$27,G73)),0)</f>
        <v>0</v>
      </c>
      <c r="J73" s="2">
        <f t="shared" si="13"/>
        <v>0</v>
      </c>
      <c r="K73">
        <f t="shared" ref="K73:K114" si="15">IF(E73&lt;&gt;0,(J73-I73)/C73,0)</f>
        <v>0</v>
      </c>
      <c r="L73" s="6">
        <f t="shared" si="14"/>
        <v>0</v>
      </c>
      <c r="M73" s="6"/>
      <c r="N73" s="6"/>
      <c r="O73" s="2"/>
      <c r="P73" s="3"/>
      <c r="Q73" s="3"/>
      <c r="U73" s="2"/>
    </row>
    <row r="74" spans="1:21" x14ac:dyDescent="0.25">
      <c r="A74" t="str">
        <f t="shared" ref="A74:A114" si="16">A73</f>
        <v>US</v>
      </c>
      <c r="B74">
        <f t="shared" si="10"/>
        <v>100</v>
      </c>
      <c r="C74">
        <f t="shared" si="10"/>
        <v>360</v>
      </c>
      <c r="D74">
        <f t="shared" si="11"/>
        <v>4.4967559999999997E-2</v>
      </c>
      <c r="E74" s="2" cm="1">
        <f t="array" ref="E74">IF(_xll.qwSettle($B$1,$B$2)&lt;G73,G73,0)</f>
        <v>0</v>
      </c>
      <c r="F74" cm="1">
        <f t="array" ref="F74">IF(E74&lt;&gt;0,_xll.qwCalAdjust(A74,E74),0)</f>
        <v>0</v>
      </c>
      <c r="G74" s="6" cm="1">
        <f t="array" ref="G74">IF(E74&lt;&gt;0,IF(E74=EOMONTH(E74,0), EOMONTH(_xll.qwCalAddMonths(A74,E74,-12,4),0), _xll.qwCalAddMonths(A74,E74,-12,4)),0)</f>
        <v>0</v>
      </c>
      <c r="H74" s="2">
        <f t="shared" si="12"/>
        <v>0</v>
      </c>
      <c r="I74" s="1">
        <f>IF(E74&lt;&gt;0,MAX(_xll.qwEffective($B$1,$B$2),_xll.qwCalAdjust($A$27,G74)),0)</f>
        <v>0</v>
      </c>
      <c r="J74" s="2">
        <f t="shared" si="13"/>
        <v>0</v>
      </c>
      <c r="K74">
        <f t="shared" si="15"/>
        <v>0</v>
      </c>
      <c r="L74" s="6">
        <f t="shared" si="14"/>
        <v>0</v>
      </c>
      <c r="M74" s="6"/>
      <c r="N74" s="6"/>
      <c r="O74" s="2"/>
      <c r="P74" s="3"/>
      <c r="Q74" s="3"/>
      <c r="U74" s="2"/>
    </row>
    <row r="75" spans="1:21" x14ac:dyDescent="0.25">
      <c r="A75" t="str">
        <f t="shared" si="16"/>
        <v>US</v>
      </c>
      <c r="B75">
        <f t="shared" si="10"/>
        <v>100</v>
      </c>
      <c r="C75">
        <f t="shared" si="10"/>
        <v>360</v>
      </c>
      <c r="D75">
        <f t="shared" si="11"/>
        <v>4.4967559999999997E-2</v>
      </c>
      <c r="E75" s="2" cm="1">
        <f t="array" ref="E75">IF(_xll.qwSettle($B$1,$B$2)&lt;G74,G74,0)</f>
        <v>0</v>
      </c>
      <c r="F75" cm="1">
        <f t="array" ref="F75">IF(E75&lt;&gt;0,_xll.qwCalAdjust(A75,E75),0)</f>
        <v>0</v>
      </c>
      <c r="G75" s="6" cm="1">
        <f t="array" ref="G75">IF(E75&lt;&gt;0,IF(E75=EOMONTH(E75,0), EOMONTH(_xll.qwCalAddMonths(A75,E75,-12,4),0), _xll.qwCalAddMonths(A75,E75,-12,4)),0)</f>
        <v>0</v>
      </c>
      <c r="H75" s="2">
        <f t="shared" si="12"/>
        <v>0</v>
      </c>
      <c r="I75" s="1">
        <f>IF(E75&lt;&gt;0,MAX(_xll.qwEffective($B$1,$B$2),_xll.qwCalAdjust($A$27,G75)),0)</f>
        <v>0</v>
      </c>
      <c r="J75" s="2">
        <f t="shared" si="13"/>
        <v>0</v>
      </c>
      <c r="K75">
        <f t="shared" si="15"/>
        <v>0</v>
      </c>
      <c r="L75" s="6">
        <f t="shared" si="14"/>
        <v>0</v>
      </c>
      <c r="M75" s="6"/>
      <c r="N75" s="6"/>
      <c r="O75" s="2"/>
      <c r="P75" s="3"/>
      <c r="Q75" s="3"/>
      <c r="U75" s="2"/>
    </row>
    <row r="76" spans="1:21" x14ac:dyDescent="0.25">
      <c r="A76" t="str">
        <f t="shared" si="16"/>
        <v>US</v>
      </c>
      <c r="B76">
        <f t="shared" si="10"/>
        <v>100</v>
      </c>
      <c r="C76">
        <f t="shared" si="10"/>
        <v>360</v>
      </c>
      <c r="D76">
        <f t="shared" si="11"/>
        <v>4.4967559999999997E-2</v>
      </c>
      <c r="E76" s="2" cm="1">
        <f t="array" ref="E76">IF(_xll.qwSettle($B$1,$B$2)&lt;G75,G75,0)</f>
        <v>0</v>
      </c>
      <c r="F76" cm="1">
        <f t="array" ref="F76">IF(E76&lt;&gt;0,_xll.qwCalAdjust(A76,E76),0)</f>
        <v>0</v>
      </c>
      <c r="G76" s="6" cm="1">
        <f t="array" ref="G76">IF(E76&lt;&gt;0,IF(E76=EOMONTH(E76,0), EOMONTH(_xll.qwCalAddMonths(A76,E76,-12,4),0), _xll.qwCalAddMonths(A76,E76,-12,4)),0)</f>
        <v>0</v>
      </c>
      <c r="H76" s="2">
        <f t="shared" si="12"/>
        <v>0</v>
      </c>
      <c r="I76" s="1">
        <f>IF(E76&lt;&gt;0,MAX(_xll.qwEffective($B$1,$B$2),_xll.qwCalAdjust($A$27,G76)),0)</f>
        <v>0</v>
      </c>
      <c r="J76" s="2">
        <f t="shared" si="13"/>
        <v>0</v>
      </c>
      <c r="K76">
        <f t="shared" si="15"/>
        <v>0</v>
      </c>
      <c r="L76" s="6">
        <f t="shared" si="14"/>
        <v>0</v>
      </c>
      <c r="M76" s="6"/>
      <c r="N76" s="6"/>
      <c r="O76" s="2"/>
      <c r="P76" s="3"/>
      <c r="Q76" s="3"/>
      <c r="U76" s="2"/>
    </row>
    <row r="77" spans="1:21" x14ac:dyDescent="0.25">
      <c r="A77" t="str">
        <f t="shared" si="16"/>
        <v>US</v>
      </c>
      <c r="B77">
        <f t="shared" si="10"/>
        <v>100</v>
      </c>
      <c r="C77">
        <f t="shared" si="10"/>
        <v>360</v>
      </c>
      <c r="D77">
        <f t="shared" si="11"/>
        <v>4.4967559999999997E-2</v>
      </c>
      <c r="E77" s="2" cm="1">
        <f t="array" ref="E77">IF(_xll.qwSettle($B$1,$B$2)&lt;G76,G76,0)</f>
        <v>0</v>
      </c>
      <c r="F77" cm="1">
        <f t="array" ref="F77">IF(E77&lt;&gt;0,_xll.qwCalAdjust(A77,E77),0)</f>
        <v>0</v>
      </c>
      <c r="G77" s="6" cm="1">
        <f t="array" ref="G77">IF(E77&lt;&gt;0,IF(E77=EOMONTH(E77,0), EOMONTH(_xll.qwCalAddMonths(A77,E77,-12,4),0), _xll.qwCalAddMonths(A77,E77,-12,4)),0)</f>
        <v>0</v>
      </c>
      <c r="H77" s="2">
        <f t="shared" si="12"/>
        <v>0</v>
      </c>
      <c r="I77" s="1">
        <f>IF(E77&lt;&gt;0,MAX(_xll.qwEffective($B$1,$B$2),_xll.qwCalAdjust($A$27,G77)),0)</f>
        <v>0</v>
      </c>
      <c r="J77" s="2">
        <f t="shared" si="13"/>
        <v>0</v>
      </c>
      <c r="K77">
        <f t="shared" si="15"/>
        <v>0</v>
      </c>
      <c r="L77" s="6">
        <f t="shared" si="14"/>
        <v>0</v>
      </c>
      <c r="M77" s="6"/>
      <c r="N77" s="6"/>
      <c r="O77" s="2"/>
      <c r="P77" s="3"/>
      <c r="Q77" s="3"/>
      <c r="U77" s="2"/>
    </row>
    <row r="78" spans="1:21" x14ac:dyDescent="0.25">
      <c r="A78" t="str">
        <f t="shared" si="16"/>
        <v>US</v>
      </c>
      <c r="B78">
        <f t="shared" si="10"/>
        <v>100</v>
      </c>
      <c r="C78">
        <f t="shared" si="10"/>
        <v>360</v>
      </c>
      <c r="D78">
        <f t="shared" si="11"/>
        <v>4.4967559999999997E-2</v>
      </c>
      <c r="E78" s="2" cm="1">
        <f t="array" ref="E78">IF(_xll.qwSettle($B$1,$B$2)&lt;G77,G77,0)</f>
        <v>0</v>
      </c>
      <c r="F78" cm="1">
        <f t="array" ref="F78">IF(E78&lt;&gt;0,_xll.qwCalAdjust(A78,E78),0)</f>
        <v>0</v>
      </c>
      <c r="G78" s="6" cm="1">
        <f t="array" ref="G78">IF(E78&lt;&gt;0,IF(E78=EOMONTH(E78,0), EOMONTH(_xll.qwCalAddMonths(A78,E78,-12,4),0), _xll.qwCalAddMonths(A78,E78,-12,4)),0)</f>
        <v>0</v>
      </c>
      <c r="H78" s="2">
        <f t="shared" si="12"/>
        <v>0</v>
      </c>
      <c r="I78" s="1">
        <f>IF(E78&lt;&gt;0,MAX(_xll.qwEffective($B$1,$B$2),_xll.qwCalAdjust($A$27,G78)),0)</f>
        <v>0</v>
      </c>
      <c r="J78" s="2">
        <f t="shared" si="13"/>
        <v>0</v>
      </c>
      <c r="K78">
        <f t="shared" si="15"/>
        <v>0</v>
      </c>
      <c r="L78" s="6">
        <f t="shared" si="14"/>
        <v>0</v>
      </c>
      <c r="M78" s="6"/>
      <c r="N78" s="6"/>
      <c r="O78" s="2"/>
      <c r="P78" s="3"/>
      <c r="Q78" s="3"/>
      <c r="U78" s="2"/>
    </row>
    <row r="79" spans="1:21" x14ac:dyDescent="0.25">
      <c r="A79" t="str">
        <f t="shared" si="16"/>
        <v>US</v>
      </c>
      <c r="B79">
        <f t="shared" ref="B79:C114" si="17">B78</f>
        <v>100</v>
      </c>
      <c r="C79">
        <f t="shared" si="17"/>
        <v>360</v>
      </c>
      <c r="D79">
        <f t="shared" ref="D79:D114" si="18">D78</f>
        <v>4.4967559999999997E-2</v>
      </c>
      <c r="E79" s="2" cm="1">
        <f t="array" ref="E79">IF(_xll.qwSettle($B$1,$B$2)&lt;G78,G78,0)</f>
        <v>0</v>
      </c>
      <c r="F79" cm="1">
        <f t="array" ref="F79">IF(E79&lt;&gt;0,_xll.qwCalAdjust(A79,E79),0)</f>
        <v>0</v>
      </c>
      <c r="G79" s="6" cm="1">
        <f t="array" ref="G79">IF(E79&lt;&gt;0,IF(E79=EOMONTH(E79,0), EOMONTH(_xll.qwCalAddMonths(A79,E79,-12,4),0), _xll.qwCalAddMonths(A79,E79,-12,4)),0)</f>
        <v>0</v>
      </c>
      <c r="H79" s="2">
        <f t="shared" ref="H79:H114" si="19">IF(E79&lt;&gt;0,E79,0)</f>
        <v>0</v>
      </c>
      <c r="I79" s="1">
        <f>IF(E79&lt;&gt;0,MAX(_xll.qwEffective($B$1,$B$2),_xll.qwCalAdjust($A$27,G79)),0)</f>
        <v>0</v>
      </c>
      <c r="J79" s="2">
        <f t="shared" ref="J79:J114" si="20">IF(E79&lt;&gt;0,F79,0)</f>
        <v>0</v>
      </c>
      <c r="K79">
        <f t="shared" si="15"/>
        <v>0</v>
      </c>
      <c r="L79" s="6">
        <f t="shared" ref="L79:L114" si="21">B79*(1+D79*K79)-B79</f>
        <v>0</v>
      </c>
      <c r="M79" s="6"/>
      <c r="N79" s="6"/>
      <c r="O79" s="2"/>
      <c r="P79" s="3"/>
      <c r="Q79" s="3"/>
      <c r="U79" s="2"/>
    </row>
    <row r="80" spans="1:21" x14ac:dyDescent="0.25">
      <c r="A80" t="str">
        <f t="shared" si="16"/>
        <v>US</v>
      </c>
      <c r="B80">
        <f t="shared" si="17"/>
        <v>100</v>
      </c>
      <c r="C80">
        <f t="shared" si="17"/>
        <v>360</v>
      </c>
      <c r="D80">
        <f t="shared" si="18"/>
        <v>4.4967559999999997E-2</v>
      </c>
      <c r="E80" s="2" cm="1">
        <f t="array" ref="E80">IF(_xll.qwSettle($B$1,$B$2)&lt;G79,G79,0)</f>
        <v>0</v>
      </c>
      <c r="F80" cm="1">
        <f t="array" ref="F80">IF(E80&lt;&gt;0,_xll.qwCalAdjust(A80,E80),0)</f>
        <v>0</v>
      </c>
      <c r="G80" s="6" cm="1">
        <f t="array" ref="G80">IF(E80&lt;&gt;0,IF(E80=EOMONTH(E80,0), EOMONTH(_xll.qwCalAddMonths(A80,E80,-12,4),0), _xll.qwCalAddMonths(A80,E80,-12,4)),0)</f>
        <v>0</v>
      </c>
      <c r="H80" s="2">
        <f t="shared" si="19"/>
        <v>0</v>
      </c>
      <c r="I80" s="1">
        <f>IF(E80&lt;&gt;0,MAX(_xll.qwEffective($B$1,$B$2),_xll.qwCalAdjust($A$27,G80)),0)</f>
        <v>0</v>
      </c>
      <c r="J80" s="2">
        <f t="shared" si="20"/>
        <v>0</v>
      </c>
      <c r="K80">
        <f t="shared" si="15"/>
        <v>0</v>
      </c>
      <c r="L80" s="6">
        <f t="shared" si="21"/>
        <v>0</v>
      </c>
      <c r="M80" s="6"/>
      <c r="N80" s="6"/>
      <c r="O80" s="2"/>
      <c r="P80" s="3"/>
      <c r="Q80" s="3"/>
      <c r="U80" s="2"/>
    </row>
    <row r="81" spans="1:21" x14ac:dyDescent="0.25">
      <c r="A81" t="str">
        <f t="shared" si="16"/>
        <v>US</v>
      </c>
      <c r="B81">
        <f t="shared" si="17"/>
        <v>100</v>
      </c>
      <c r="C81">
        <f t="shared" si="17"/>
        <v>360</v>
      </c>
      <c r="D81">
        <f t="shared" si="18"/>
        <v>4.4967559999999997E-2</v>
      </c>
      <c r="E81" s="2" cm="1">
        <f t="array" ref="E81">IF(_xll.qwSettle($B$1,$B$2)&lt;G80,G80,0)</f>
        <v>0</v>
      </c>
      <c r="F81" cm="1">
        <f t="array" ref="F81">IF(E81&lt;&gt;0,_xll.qwCalAdjust(A81,E81),0)</f>
        <v>0</v>
      </c>
      <c r="G81" s="6" cm="1">
        <f t="array" ref="G81">IF(E81&lt;&gt;0,IF(E81=EOMONTH(E81,0), EOMONTH(_xll.qwCalAddMonths(A81,E81,-12,4),0), _xll.qwCalAddMonths(A81,E81,-12,4)),0)</f>
        <v>0</v>
      </c>
      <c r="H81" s="2">
        <f t="shared" si="19"/>
        <v>0</v>
      </c>
      <c r="I81" s="1">
        <f>IF(E81&lt;&gt;0,MAX(_xll.qwEffective($B$1,$B$2),_xll.qwCalAdjust($A$27,G81)),0)</f>
        <v>0</v>
      </c>
      <c r="J81" s="2">
        <f t="shared" si="20"/>
        <v>0</v>
      </c>
      <c r="K81">
        <f t="shared" si="15"/>
        <v>0</v>
      </c>
      <c r="L81" s="6">
        <f t="shared" si="21"/>
        <v>0</v>
      </c>
      <c r="M81" s="6"/>
      <c r="N81" s="6"/>
      <c r="O81" s="2"/>
      <c r="P81" s="3"/>
      <c r="Q81" s="3"/>
      <c r="U81" s="2"/>
    </row>
    <row r="82" spans="1:21" x14ac:dyDescent="0.25">
      <c r="A82" t="str">
        <f t="shared" si="16"/>
        <v>US</v>
      </c>
      <c r="B82">
        <f t="shared" si="17"/>
        <v>100</v>
      </c>
      <c r="C82">
        <f t="shared" si="17"/>
        <v>360</v>
      </c>
      <c r="D82">
        <f t="shared" si="18"/>
        <v>4.4967559999999997E-2</v>
      </c>
      <c r="E82" s="2" cm="1">
        <f t="array" ref="E82">IF(_xll.qwSettle($B$1,$B$2)&lt;G81,G81,0)</f>
        <v>0</v>
      </c>
      <c r="F82" cm="1">
        <f t="array" ref="F82">IF(E82&lt;&gt;0,_xll.qwCalAdjust(A82,E82),0)</f>
        <v>0</v>
      </c>
      <c r="G82" s="6" cm="1">
        <f t="array" ref="G82">IF(E82&lt;&gt;0,IF(E82=EOMONTH(E82,0), EOMONTH(_xll.qwCalAddMonths(A82,E82,-12,4),0), _xll.qwCalAddMonths(A82,E82,-12,4)),0)</f>
        <v>0</v>
      </c>
      <c r="H82" s="2">
        <f t="shared" si="19"/>
        <v>0</v>
      </c>
      <c r="I82" s="1">
        <f>IF(E82&lt;&gt;0,MAX(_xll.qwEffective($B$1,$B$2),_xll.qwCalAdjust($A$27,G82)),0)</f>
        <v>0</v>
      </c>
      <c r="J82" s="2">
        <f t="shared" si="20"/>
        <v>0</v>
      </c>
      <c r="K82">
        <f t="shared" si="15"/>
        <v>0</v>
      </c>
      <c r="L82" s="6">
        <f t="shared" si="21"/>
        <v>0</v>
      </c>
      <c r="M82" s="6"/>
      <c r="N82" s="6"/>
      <c r="O82" s="6"/>
    </row>
    <row r="83" spans="1:21" x14ac:dyDescent="0.25">
      <c r="A83" t="str">
        <f t="shared" si="16"/>
        <v>US</v>
      </c>
      <c r="B83">
        <f t="shared" si="17"/>
        <v>100</v>
      </c>
      <c r="C83">
        <f t="shared" si="17"/>
        <v>360</v>
      </c>
      <c r="D83">
        <f t="shared" si="18"/>
        <v>4.4967559999999997E-2</v>
      </c>
      <c r="E83" s="2" cm="1">
        <f t="array" ref="E83">IF(_xll.qwSettle($B$1,$B$2)&lt;G82,G82,0)</f>
        <v>0</v>
      </c>
      <c r="F83" cm="1">
        <f t="array" ref="F83">IF(E83&lt;&gt;0,_xll.qwCalAdjust(A83,E83),0)</f>
        <v>0</v>
      </c>
      <c r="G83" s="6" cm="1">
        <f t="array" ref="G83">IF(E83&lt;&gt;0,IF(E83=EOMONTH(E83,0), EOMONTH(_xll.qwCalAddMonths(A83,E83,-12,4),0), _xll.qwCalAddMonths(A83,E83,-12,4)),0)</f>
        <v>0</v>
      </c>
      <c r="H83" s="2">
        <f t="shared" si="19"/>
        <v>0</v>
      </c>
      <c r="I83" s="1">
        <f>IF(E83&lt;&gt;0,MAX(_xll.qwEffective($B$1,$B$2),_xll.qwCalAdjust($A$27,G83)),0)</f>
        <v>0</v>
      </c>
      <c r="J83" s="2">
        <f t="shared" si="20"/>
        <v>0</v>
      </c>
      <c r="K83">
        <f t="shared" si="15"/>
        <v>0</v>
      </c>
      <c r="L83" s="6">
        <f t="shared" si="21"/>
        <v>0</v>
      </c>
      <c r="M83" s="6"/>
      <c r="N83" s="6"/>
      <c r="O83" s="6"/>
    </row>
    <row r="84" spans="1:21" x14ac:dyDescent="0.25">
      <c r="A84" t="str">
        <f t="shared" si="16"/>
        <v>US</v>
      </c>
      <c r="B84">
        <f t="shared" si="17"/>
        <v>100</v>
      </c>
      <c r="C84">
        <f t="shared" si="17"/>
        <v>360</v>
      </c>
      <c r="D84">
        <f t="shared" si="18"/>
        <v>4.4967559999999997E-2</v>
      </c>
      <c r="E84" s="2" cm="1">
        <f t="array" ref="E84">IF(_xll.qwSettle($B$1,$B$2)&lt;G83,G83,0)</f>
        <v>0</v>
      </c>
      <c r="F84" cm="1">
        <f t="array" ref="F84">IF(E84&lt;&gt;0,_xll.qwCalAdjust(A84,E84),0)</f>
        <v>0</v>
      </c>
      <c r="G84" s="6" cm="1">
        <f t="array" ref="G84">IF(E84&lt;&gt;0,IF(E84=EOMONTH(E84,0), EOMONTH(_xll.qwCalAddMonths(A84,E84,-12,4),0), _xll.qwCalAddMonths(A84,E84,-12,4)),0)</f>
        <v>0</v>
      </c>
      <c r="H84" s="2">
        <f t="shared" si="19"/>
        <v>0</v>
      </c>
      <c r="I84" s="1">
        <f>IF(E84&lt;&gt;0,MAX(_xll.qwEffective($B$1,$B$2),_xll.qwCalAdjust($A$27,G84)),0)</f>
        <v>0</v>
      </c>
      <c r="J84" s="2">
        <f t="shared" si="20"/>
        <v>0</v>
      </c>
      <c r="K84">
        <f t="shared" si="15"/>
        <v>0</v>
      </c>
      <c r="L84" s="6">
        <f t="shared" si="21"/>
        <v>0</v>
      </c>
      <c r="M84" s="6"/>
      <c r="N84" s="6"/>
      <c r="O84" s="6"/>
    </row>
    <row r="85" spans="1:21" x14ac:dyDescent="0.25">
      <c r="A85" t="str">
        <f t="shared" si="16"/>
        <v>US</v>
      </c>
      <c r="B85">
        <f t="shared" si="17"/>
        <v>100</v>
      </c>
      <c r="C85">
        <f t="shared" si="17"/>
        <v>360</v>
      </c>
      <c r="D85">
        <f t="shared" si="18"/>
        <v>4.4967559999999997E-2</v>
      </c>
      <c r="E85" s="2" cm="1">
        <f t="array" ref="E85">IF(_xll.qwSettle($B$1,$B$2)&lt;G84,G84,0)</f>
        <v>0</v>
      </c>
      <c r="F85" cm="1">
        <f t="array" ref="F85">IF(E85&lt;&gt;0,_xll.qwCalAdjust(A85,E85),0)</f>
        <v>0</v>
      </c>
      <c r="G85" s="6" cm="1">
        <f t="array" ref="G85">IF(E85&lt;&gt;0,IF(E85=EOMONTH(E85,0), EOMONTH(_xll.qwCalAddMonths(A85,E85,-12,4),0), _xll.qwCalAddMonths(A85,E85,-12,4)),0)</f>
        <v>0</v>
      </c>
      <c r="H85" s="2">
        <f t="shared" si="19"/>
        <v>0</v>
      </c>
      <c r="I85" s="1">
        <f>IF(E85&lt;&gt;0,MAX(_xll.qwEffective($B$1,$B$2),_xll.qwCalAdjust($A$27,G85)),0)</f>
        <v>0</v>
      </c>
      <c r="J85" s="2">
        <f t="shared" si="20"/>
        <v>0</v>
      </c>
      <c r="K85">
        <f t="shared" si="15"/>
        <v>0</v>
      </c>
      <c r="L85" s="6">
        <f t="shared" si="21"/>
        <v>0</v>
      </c>
      <c r="M85" s="6"/>
      <c r="N85" s="6"/>
      <c r="O85" s="6"/>
    </row>
    <row r="86" spans="1:21" x14ac:dyDescent="0.25">
      <c r="A86" t="str">
        <f t="shared" si="16"/>
        <v>US</v>
      </c>
      <c r="B86">
        <f t="shared" si="17"/>
        <v>100</v>
      </c>
      <c r="C86">
        <f t="shared" si="17"/>
        <v>360</v>
      </c>
      <c r="D86">
        <f t="shared" si="18"/>
        <v>4.4967559999999997E-2</v>
      </c>
      <c r="E86" s="2" cm="1">
        <f t="array" ref="E86">IF(_xll.qwSettle($B$1,$B$2)&lt;G85,G85,0)</f>
        <v>0</v>
      </c>
      <c r="F86" cm="1">
        <f t="array" ref="F86">IF(E86&lt;&gt;0,_xll.qwCalAdjust(A86,E86),0)</f>
        <v>0</v>
      </c>
      <c r="G86" s="6" cm="1">
        <f t="array" ref="G86">IF(E86&lt;&gt;0,IF(E86=EOMONTH(E86,0), EOMONTH(_xll.qwCalAddMonths(A86,E86,-12,4),0), _xll.qwCalAddMonths(A86,E86,-12,4)),0)</f>
        <v>0</v>
      </c>
      <c r="H86" s="2">
        <f t="shared" si="19"/>
        <v>0</v>
      </c>
      <c r="I86" s="1">
        <f>IF(E86&lt;&gt;0,MAX(_xll.qwEffective($B$1,$B$2),_xll.qwCalAdjust($A$27,G86)),0)</f>
        <v>0</v>
      </c>
      <c r="J86" s="2">
        <f t="shared" si="20"/>
        <v>0</v>
      </c>
      <c r="K86">
        <f t="shared" si="15"/>
        <v>0</v>
      </c>
      <c r="L86" s="6">
        <f t="shared" si="21"/>
        <v>0</v>
      </c>
      <c r="M86" s="6"/>
      <c r="N86" s="6"/>
      <c r="O86" s="6"/>
    </row>
    <row r="87" spans="1:21" x14ac:dyDescent="0.25">
      <c r="A87" t="str">
        <f t="shared" si="16"/>
        <v>US</v>
      </c>
      <c r="B87">
        <f t="shared" si="17"/>
        <v>100</v>
      </c>
      <c r="C87">
        <f t="shared" si="17"/>
        <v>360</v>
      </c>
      <c r="D87">
        <f t="shared" si="18"/>
        <v>4.4967559999999997E-2</v>
      </c>
      <c r="E87" s="2" cm="1">
        <f t="array" ref="E87">IF(_xll.qwSettle($B$1,$B$2)&lt;G86,G86,0)</f>
        <v>0</v>
      </c>
      <c r="F87" cm="1">
        <f t="array" ref="F87">IF(E87&lt;&gt;0,_xll.qwCalAdjust(A87,E87),0)</f>
        <v>0</v>
      </c>
      <c r="G87" s="6" cm="1">
        <f t="array" ref="G87">IF(E87&lt;&gt;0,IF(E87=EOMONTH(E87,0), EOMONTH(_xll.qwCalAddMonths(A87,E87,-12,4),0), _xll.qwCalAddMonths(A87,E87,-12,4)),0)</f>
        <v>0</v>
      </c>
      <c r="H87" s="2">
        <f t="shared" si="19"/>
        <v>0</v>
      </c>
      <c r="I87" s="1">
        <f>IF(E87&lt;&gt;0,MAX(_xll.qwEffective($B$1,$B$2),_xll.qwCalAdjust($A$27,G87)),0)</f>
        <v>0</v>
      </c>
      <c r="J87" s="2">
        <f t="shared" si="20"/>
        <v>0</v>
      </c>
      <c r="K87">
        <f t="shared" si="15"/>
        <v>0</v>
      </c>
      <c r="L87" s="6">
        <f t="shared" si="21"/>
        <v>0</v>
      </c>
      <c r="M87" s="6"/>
      <c r="N87" s="6"/>
      <c r="O87" s="6"/>
    </row>
    <row r="88" spans="1:21" x14ac:dyDescent="0.25">
      <c r="A88" t="str">
        <f t="shared" si="16"/>
        <v>US</v>
      </c>
      <c r="B88">
        <f t="shared" si="17"/>
        <v>100</v>
      </c>
      <c r="C88">
        <f t="shared" si="17"/>
        <v>360</v>
      </c>
      <c r="D88">
        <f t="shared" si="18"/>
        <v>4.4967559999999997E-2</v>
      </c>
      <c r="E88" s="2" cm="1">
        <f t="array" ref="E88">IF(_xll.qwSettle($B$1,$B$2)&lt;G87,G87,0)</f>
        <v>0</v>
      </c>
      <c r="F88" cm="1">
        <f t="array" ref="F88">IF(E88&lt;&gt;0,_xll.qwCalAdjust(A88,E88),0)</f>
        <v>0</v>
      </c>
      <c r="G88" s="6" cm="1">
        <f t="array" ref="G88">IF(E88&lt;&gt;0,IF(E88=EOMONTH(E88,0), EOMONTH(_xll.qwCalAddMonths(A88,E88,-12,4),0), _xll.qwCalAddMonths(A88,E88,-12,4)),0)</f>
        <v>0</v>
      </c>
      <c r="H88" s="2">
        <f t="shared" si="19"/>
        <v>0</v>
      </c>
      <c r="I88" s="1">
        <f>IF(E88&lt;&gt;0,MAX(_xll.qwEffective($B$1,$B$2),_xll.qwCalAdjust($A$27,G88)),0)</f>
        <v>0</v>
      </c>
      <c r="J88" s="2">
        <f t="shared" si="20"/>
        <v>0</v>
      </c>
      <c r="K88">
        <f t="shared" si="15"/>
        <v>0</v>
      </c>
      <c r="L88" s="6">
        <f t="shared" si="21"/>
        <v>0</v>
      </c>
      <c r="M88" s="6"/>
      <c r="N88" s="6"/>
      <c r="O88" s="6"/>
    </row>
    <row r="89" spans="1:21" x14ac:dyDescent="0.25">
      <c r="A89" t="str">
        <f t="shared" si="16"/>
        <v>US</v>
      </c>
      <c r="B89">
        <f t="shared" si="17"/>
        <v>100</v>
      </c>
      <c r="C89">
        <f t="shared" si="17"/>
        <v>360</v>
      </c>
      <c r="D89">
        <f t="shared" si="18"/>
        <v>4.4967559999999997E-2</v>
      </c>
      <c r="E89" s="2" cm="1">
        <f t="array" ref="E89">IF(_xll.qwSettle($B$1,$B$2)&lt;G88,G88,0)</f>
        <v>0</v>
      </c>
      <c r="F89" cm="1">
        <f t="array" ref="F89">IF(E89&lt;&gt;0,_xll.qwCalAdjust(A89,E89),0)</f>
        <v>0</v>
      </c>
      <c r="G89" s="6" cm="1">
        <f t="array" ref="G89">IF(E89&lt;&gt;0,IF(E89=EOMONTH(E89,0), EOMONTH(_xll.qwCalAddMonths(A89,E89,-12,4),0), _xll.qwCalAddMonths(A89,E89,-12,4)),0)</f>
        <v>0</v>
      </c>
      <c r="H89" s="2">
        <f t="shared" si="19"/>
        <v>0</v>
      </c>
      <c r="I89" s="1">
        <f>IF(E89&lt;&gt;0,MAX(_xll.qwEffective($B$1,$B$2),_xll.qwCalAdjust($A$27,G89)),0)</f>
        <v>0</v>
      </c>
      <c r="J89" s="2">
        <f t="shared" si="20"/>
        <v>0</v>
      </c>
      <c r="K89">
        <f t="shared" si="15"/>
        <v>0</v>
      </c>
      <c r="L89" s="6">
        <f t="shared" si="21"/>
        <v>0</v>
      </c>
      <c r="M89" s="6"/>
      <c r="N89" s="6"/>
      <c r="O89" s="6"/>
    </row>
    <row r="90" spans="1:21" x14ac:dyDescent="0.25">
      <c r="A90" t="str">
        <f t="shared" si="16"/>
        <v>US</v>
      </c>
      <c r="B90">
        <f t="shared" si="17"/>
        <v>100</v>
      </c>
      <c r="C90">
        <f t="shared" si="17"/>
        <v>360</v>
      </c>
      <c r="D90">
        <f t="shared" si="18"/>
        <v>4.4967559999999997E-2</v>
      </c>
      <c r="E90" s="2" cm="1">
        <f t="array" ref="E90">IF(_xll.qwSettle($B$1,$B$2)&lt;G89,G89,0)</f>
        <v>0</v>
      </c>
      <c r="F90" cm="1">
        <f t="array" ref="F90">IF(E90&lt;&gt;0,_xll.qwCalAdjust(A90,E90),0)</f>
        <v>0</v>
      </c>
      <c r="G90" s="6" cm="1">
        <f t="array" ref="G90">IF(E90&lt;&gt;0,IF(E90=EOMONTH(E90,0), EOMONTH(_xll.qwCalAddMonths(A90,E90,-12,4),0), _xll.qwCalAddMonths(A90,E90,-12,4)),0)</f>
        <v>0</v>
      </c>
      <c r="H90" s="2">
        <f t="shared" si="19"/>
        <v>0</v>
      </c>
      <c r="I90" s="1">
        <f>IF(E90&lt;&gt;0,MAX(_xll.qwEffective($B$1,$B$2),_xll.qwCalAdjust($A$27,G90)),0)</f>
        <v>0</v>
      </c>
      <c r="J90" s="2">
        <f t="shared" si="20"/>
        <v>0</v>
      </c>
      <c r="K90">
        <f t="shared" si="15"/>
        <v>0</v>
      </c>
      <c r="L90" s="6">
        <f t="shared" si="21"/>
        <v>0</v>
      </c>
      <c r="M90" s="6"/>
      <c r="N90" s="6"/>
      <c r="O90" s="6"/>
    </row>
    <row r="91" spans="1:21" x14ac:dyDescent="0.25">
      <c r="A91" t="str">
        <f t="shared" si="16"/>
        <v>US</v>
      </c>
      <c r="B91">
        <f t="shared" si="17"/>
        <v>100</v>
      </c>
      <c r="C91">
        <f t="shared" si="17"/>
        <v>360</v>
      </c>
      <c r="D91">
        <f t="shared" si="18"/>
        <v>4.4967559999999997E-2</v>
      </c>
      <c r="E91" s="2" cm="1">
        <f t="array" ref="E91">IF(_xll.qwSettle($B$1,$B$2)&lt;G90,G90,0)</f>
        <v>0</v>
      </c>
      <c r="F91" cm="1">
        <f t="array" ref="F91">IF(E91&lt;&gt;0,_xll.qwCalAdjust(A91,E91),0)</f>
        <v>0</v>
      </c>
      <c r="G91" s="6" cm="1">
        <f t="array" ref="G91">IF(E91&lt;&gt;0,IF(E91=EOMONTH(E91,0), EOMONTH(_xll.qwCalAddMonths(A91,E91,-12,4),0), _xll.qwCalAddMonths(A91,E91,-12,4)),0)</f>
        <v>0</v>
      </c>
      <c r="H91" s="2">
        <f t="shared" si="19"/>
        <v>0</v>
      </c>
      <c r="I91" s="1">
        <f>IF(E91&lt;&gt;0,MAX(_xll.qwEffective($B$1,$B$2),_xll.qwCalAdjust($A$27,G91)),0)</f>
        <v>0</v>
      </c>
      <c r="J91" s="2">
        <f t="shared" si="20"/>
        <v>0</v>
      </c>
      <c r="K91">
        <f t="shared" si="15"/>
        <v>0</v>
      </c>
      <c r="L91" s="6">
        <f t="shared" si="21"/>
        <v>0</v>
      </c>
      <c r="M91" s="6"/>
      <c r="N91" s="6"/>
      <c r="O91" s="6"/>
    </row>
    <row r="92" spans="1:21" x14ac:dyDescent="0.25">
      <c r="A92" t="str">
        <f t="shared" si="16"/>
        <v>US</v>
      </c>
      <c r="B92">
        <f t="shared" si="17"/>
        <v>100</v>
      </c>
      <c r="C92">
        <f t="shared" si="17"/>
        <v>360</v>
      </c>
      <c r="D92">
        <f t="shared" si="18"/>
        <v>4.4967559999999997E-2</v>
      </c>
      <c r="E92" s="2" cm="1">
        <f t="array" ref="E92">IF(_xll.qwSettle($B$1,$B$2)&lt;G91,G91,0)</f>
        <v>0</v>
      </c>
      <c r="F92" cm="1">
        <f t="array" ref="F92">IF(E92&lt;&gt;0,_xll.qwCalAdjust(A92,E92),0)</f>
        <v>0</v>
      </c>
      <c r="G92" s="6" cm="1">
        <f t="array" ref="G92">IF(E92&lt;&gt;0,IF(E92=EOMONTH(E92,0), EOMONTH(_xll.qwCalAddMonths(A92,E92,-12,4),0), _xll.qwCalAddMonths(A92,E92,-12,4)),0)</f>
        <v>0</v>
      </c>
      <c r="H92" s="2">
        <f t="shared" si="19"/>
        <v>0</v>
      </c>
      <c r="I92" s="1">
        <f>IF(E92&lt;&gt;0,MAX(_xll.qwEffective($B$1,$B$2),_xll.qwCalAdjust($A$27,G92)),0)</f>
        <v>0</v>
      </c>
      <c r="J92" s="2">
        <f t="shared" si="20"/>
        <v>0</v>
      </c>
      <c r="K92">
        <f t="shared" si="15"/>
        <v>0</v>
      </c>
      <c r="L92" s="6">
        <f t="shared" si="21"/>
        <v>0</v>
      </c>
      <c r="M92" s="6"/>
      <c r="N92" s="6"/>
      <c r="O92" s="6"/>
    </row>
    <row r="93" spans="1:21" x14ac:dyDescent="0.25">
      <c r="A93" t="str">
        <f t="shared" si="16"/>
        <v>US</v>
      </c>
      <c r="B93">
        <f t="shared" si="17"/>
        <v>100</v>
      </c>
      <c r="C93">
        <f t="shared" si="17"/>
        <v>360</v>
      </c>
      <c r="D93">
        <f t="shared" si="18"/>
        <v>4.4967559999999997E-2</v>
      </c>
      <c r="E93" s="2" cm="1">
        <f t="array" ref="E93">IF(_xll.qwSettle($B$1,$B$2)&lt;G92,G92,0)</f>
        <v>0</v>
      </c>
      <c r="F93" cm="1">
        <f t="array" ref="F93">IF(E93&lt;&gt;0,_xll.qwCalAdjust(A93,E93),0)</f>
        <v>0</v>
      </c>
      <c r="G93" s="6" cm="1">
        <f t="array" ref="G93">IF(E93&lt;&gt;0,IF(E93=EOMONTH(E93,0), EOMONTH(_xll.qwCalAddMonths(A93,E93,-12,4),0), _xll.qwCalAddMonths(A93,E93,-12,4)),0)</f>
        <v>0</v>
      </c>
      <c r="H93" s="2">
        <f t="shared" si="19"/>
        <v>0</v>
      </c>
      <c r="I93" s="1">
        <f>IF(E93&lt;&gt;0,MAX(_xll.qwEffective($B$1,$B$2),_xll.qwCalAdjust($A$27,G93)),0)</f>
        <v>0</v>
      </c>
      <c r="J93" s="2">
        <f t="shared" si="20"/>
        <v>0</v>
      </c>
      <c r="K93">
        <f t="shared" si="15"/>
        <v>0</v>
      </c>
      <c r="L93" s="6">
        <f t="shared" si="21"/>
        <v>0</v>
      </c>
      <c r="M93" s="6"/>
      <c r="N93" s="6"/>
      <c r="O93" s="6"/>
    </row>
    <row r="94" spans="1:21" x14ac:dyDescent="0.25">
      <c r="A94" t="str">
        <f t="shared" si="16"/>
        <v>US</v>
      </c>
      <c r="B94">
        <f t="shared" si="17"/>
        <v>100</v>
      </c>
      <c r="C94">
        <f t="shared" si="17"/>
        <v>360</v>
      </c>
      <c r="D94">
        <f t="shared" si="18"/>
        <v>4.4967559999999997E-2</v>
      </c>
      <c r="E94" s="2" cm="1">
        <f t="array" ref="E94">IF(_xll.qwSettle($B$1,$B$2)&lt;G93,G93,0)</f>
        <v>0</v>
      </c>
      <c r="F94" cm="1">
        <f t="array" ref="F94">IF(E94&lt;&gt;0,_xll.qwCalAdjust(A94,E94),0)</f>
        <v>0</v>
      </c>
      <c r="G94" s="6" cm="1">
        <f t="array" ref="G94">IF(E94&lt;&gt;0,IF(E94=EOMONTH(E94,0), EOMONTH(_xll.qwCalAddMonths(A94,E94,-12,4),0), _xll.qwCalAddMonths(A94,E94,-12,4)),0)</f>
        <v>0</v>
      </c>
      <c r="H94" s="2">
        <f t="shared" si="19"/>
        <v>0</v>
      </c>
      <c r="I94" s="1">
        <f>IF(E94&lt;&gt;0,MAX(_xll.qwEffective($B$1,$B$2),_xll.qwCalAdjust($A$27,G94)),0)</f>
        <v>0</v>
      </c>
      <c r="J94" s="2">
        <f t="shared" si="20"/>
        <v>0</v>
      </c>
      <c r="K94">
        <f t="shared" si="15"/>
        <v>0</v>
      </c>
      <c r="L94" s="6">
        <f t="shared" si="21"/>
        <v>0</v>
      </c>
      <c r="M94" s="6"/>
      <c r="N94" s="6"/>
      <c r="O94" s="6"/>
    </row>
    <row r="95" spans="1:21" x14ac:dyDescent="0.25">
      <c r="A95" t="str">
        <f t="shared" si="16"/>
        <v>US</v>
      </c>
      <c r="B95">
        <f t="shared" si="17"/>
        <v>100</v>
      </c>
      <c r="C95">
        <f t="shared" si="17"/>
        <v>360</v>
      </c>
      <c r="D95">
        <f t="shared" si="18"/>
        <v>4.4967559999999997E-2</v>
      </c>
      <c r="E95" s="2" cm="1">
        <f t="array" ref="E95">IF(_xll.qwSettle($B$1,$B$2)&lt;G94,G94,0)</f>
        <v>0</v>
      </c>
      <c r="F95" cm="1">
        <f t="array" ref="F95">IF(E95&lt;&gt;0,_xll.qwCalAdjust(A95,E95),0)</f>
        <v>0</v>
      </c>
      <c r="G95" s="6" cm="1">
        <f t="array" ref="G95">IF(E95&lt;&gt;0,IF(E95=EOMONTH(E95,0), EOMONTH(_xll.qwCalAddMonths(A95,E95,-12,4),0), _xll.qwCalAddMonths(A95,E95,-12,4)),0)</f>
        <v>0</v>
      </c>
      <c r="H95" s="2">
        <f t="shared" si="19"/>
        <v>0</v>
      </c>
      <c r="I95" s="1">
        <f>IF(E95&lt;&gt;0,MAX(_xll.qwEffective($B$1,$B$2),_xll.qwCalAdjust($A$27,G95)),0)</f>
        <v>0</v>
      </c>
      <c r="J95" s="2">
        <f t="shared" si="20"/>
        <v>0</v>
      </c>
      <c r="K95">
        <f t="shared" si="15"/>
        <v>0</v>
      </c>
      <c r="L95" s="6">
        <f t="shared" si="21"/>
        <v>0</v>
      </c>
      <c r="M95" s="6"/>
      <c r="N95" s="6"/>
      <c r="O95" s="6"/>
    </row>
    <row r="96" spans="1:21" x14ac:dyDescent="0.25">
      <c r="A96" t="str">
        <f t="shared" si="16"/>
        <v>US</v>
      </c>
      <c r="B96">
        <f t="shared" si="17"/>
        <v>100</v>
      </c>
      <c r="C96">
        <f t="shared" si="17"/>
        <v>360</v>
      </c>
      <c r="D96">
        <f t="shared" si="18"/>
        <v>4.4967559999999997E-2</v>
      </c>
      <c r="E96" s="2" cm="1">
        <f t="array" ref="E96">IF(_xll.qwSettle($B$1,$B$2)&lt;G95,G95,0)</f>
        <v>0</v>
      </c>
      <c r="F96" cm="1">
        <f t="array" ref="F96">IF(E96&lt;&gt;0,_xll.qwCalAdjust(A96,E96),0)</f>
        <v>0</v>
      </c>
      <c r="G96" s="6" cm="1">
        <f t="array" ref="G96">IF(E96&lt;&gt;0,IF(E96=EOMONTH(E96,0), EOMONTH(_xll.qwCalAddMonths(A96,E96,-12,4),0), _xll.qwCalAddMonths(A96,E96,-12,4)),0)</f>
        <v>0</v>
      </c>
      <c r="H96" s="2">
        <f t="shared" si="19"/>
        <v>0</v>
      </c>
      <c r="I96" s="1">
        <f>IF(E96&lt;&gt;0,MAX(_xll.qwEffective($B$1,$B$2),_xll.qwCalAdjust($A$27,G96)),0)</f>
        <v>0</v>
      </c>
      <c r="J96" s="2">
        <f t="shared" si="20"/>
        <v>0</v>
      </c>
      <c r="K96">
        <f t="shared" si="15"/>
        <v>0</v>
      </c>
      <c r="L96" s="6">
        <f t="shared" si="21"/>
        <v>0</v>
      </c>
      <c r="M96" s="6"/>
      <c r="N96" s="6"/>
      <c r="O96" s="6"/>
    </row>
    <row r="97" spans="1:15" x14ac:dyDescent="0.25">
      <c r="A97" t="str">
        <f t="shared" si="16"/>
        <v>US</v>
      </c>
      <c r="B97">
        <f t="shared" si="17"/>
        <v>100</v>
      </c>
      <c r="C97">
        <f t="shared" si="17"/>
        <v>360</v>
      </c>
      <c r="D97">
        <f t="shared" si="18"/>
        <v>4.4967559999999997E-2</v>
      </c>
      <c r="E97" s="2" cm="1">
        <f t="array" ref="E97">IF(_xll.qwSettle($B$1,$B$2)&lt;G96,G96,0)</f>
        <v>0</v>
      </c>
      <c r="F97" cm="1">
        <f t="array" ref="F97">IF(E97&lt;&gt;0,_xll.qwCalAdjust(A97,E97),0)</f>
        <v>0</v>
      </c>
      <c r="G97" s="6" cm="1">
        <f t="array" ref="G97">IF(E97&lt;&gt;0,IF(E97=EOMONTH(E97,0), EOMONTH(_xll.qwCalAddMonths(A97,E97,-12,4),0), _xll.qwCalAddMonths(A97,E97,-12,4)),0)</f>
        <v>0</v>
      </c>
      <c r="H97" s="2">
        <f t="shared" si="19"/>
        <v>0</v>
      </c>
      <c r="I97" s="1">
        <f>IF(E97&lt;&gt;0,MAX(_xll.qwEffective($B$1,$B$2),_xll.qwCalAdjust($A$27,G97)),0)</f>
        <v>0</v>
      </c>
      <c r="J97" s="2">
        <f t="shared" si="20"/>
        <v>0</v>
      </c>
      <c r="K97">
        <f t="shared" si="15"/>
        <v>0</v>
      </c>
      <c r="L97" s="6">
        <f t="shared" si="21"/>
        <v>0</v>
      </c>
      <c r="M97" s="6"/>
      <c r="N97" s="6"/>
      <c r="O97" s="6"/>
    </row>
    <row r="98" spans="1:15" x14ac:dyDescent="0.25">
      <c r="A98" t="str">
        <f t="shared" si="16"/>
        <v>US</v>
      </c>
      <c r="B98">
        <f t="shared" si="17"/>
        <v>100</v>
      </c>
      <c r="C98">
        <f t="shared" si="17"/>
        <v>360</v>
      </c>
      <c r="D98">
        <f t="shared" si="18"/>
        <v>4.4967559999999997E-2</v>
      </c>
      <c r="E98" s="2" cm="1">
        <f t="array" ref="E98">IF(_xll.qwSettle($B$1,$B$2)&lt;G97,G97,0)</f>
        <v>0</v>
      </c>
      <c r="F98" cm="1">
        <f t="array" ref="F98">IF(E98&lt;&gt;0,_xll.qwCalAdjust(A98,E98),0)</f>
        <v>0</v>
      </c>
      <c r="G98" s="6" cm="1">
        <f t="array" ref="G98">IF(E98&lt;&gt;0,IF(E98=EOMONTH(E98,0), EOMONTH(_xll.qwCalAddMonths(A98,E98,-12,4),0), _xll.qwCalAddMonths(A98,E98,-12,4)),0)</f>
        <v>0</v>
      </c>
      <c r="H98" s="2">
        <f t="shared" si="19"/>
        <v>0</v>
      </c>
      <c r="I98" s="1">
        <f>IF(E98&lt;&gt;0,MAX(_xll.qwEffective($B$1,$B$2),_xll.qwCalAdjust($A$27,G98)),0)</f>
        <v>0</v>
      </c>
      <c r="J98" s="2">
        <f t="shared" si="20"/>
        <v>0</v>
      </c>
      <c r="K98">
        <f t="shared" si="15"/>
        <v>0</v>
      </c>
      <c r="L98" s="6">
        <f t="shared" si="21"/>
        <v>0</v>
      </c>
      <c r="M98" s="6"/>
      <c r="N98" s="6"/>
      <c r="O98" s="6"/>
    </row>
    <row r="99" spans="1:15" x14ac:dyDescent="0.25">
      <c r="A99" t="str">
        <f t="shared" si="16"/>
        <v>US</v>
      </c>
      <c r="B99">
        <f t="shared" si="17"/>
        <v>100</v>
      </c>
      <c r="C99">
        <f t="shared" si="17"/>
        <v>360</v>
      </c>
      <c r="D99">
        <f t="shared" si="18"/>
        <v>4.4967559999999997E-2</v>
      </c>
      <c r="E99" s="2" cm="1">
        <f t="array" ref="E99">IF(_xll.qwSettle($B$1,$B$2)&lt;G98,G98,0)</f>
        <v>0</v>
      </c>
      <c r="F99" cm="1">
        <f t="array" ref="F99">IF(E99&lt;&gt;0,_xll.qwCalAdjust(A99,E99),0)</f>
        <v>0</v>
      </c>
      <c r="G99" s="6" cm="1">
        <f t="array" ref="G99">IF(E99&lt;&gt;0,IF(E99=EOMONTH(E99,0), EOMONTH(_xll.qwCalAddMonths(A99,E99,-12,4),0), _xll.qwCalAddMonths(A99,E99,-12,4)),0)</f>
        <v>0</v>
      </c>
      <c r="H99" s="2">
        <f t="shared" si="19"/>
        <v>0</v>
      </c>
      <c r="I99" s="1">
        <f>IF(E99&lt;&gt;0,MAX(_xll.qwEffective($B$1,$B$2),_xll.qwCalAdjust($A$27,G99)),0)</f>
        <v>0</v>
      </c>
      <c r="J99" s="2">
        <f t="shared" si="20"/>
        <v>0</v>
      </c>
      <c r="K99">
        <f t="shared" si="15"/>
        <v>0</v>
      </c>
      <c r="L99" s="6">
        <f t="shared" si="21"/>
        <v>0</v>
      </c>
      <c r="M99" s="6"/>
      <c r="N99" s="6"/>
      <c r="O99" s="6"/>
    </row>
    <row r="100" spans="1:15" x14ac:dyDescent="0.25">
      <c r="A100" t="str">
        <f t="shared" si="16"/>
        <v>US</v>
      </c>
      <c r="B100">
        <f t="shared" si="17"/>
        <v>100</v>
      </c>
      <c r="C100">
        <f t="shared" si="17"/>
        <v>360</v>
      </c>
      <c r="D100">
        <f t="shared" si="18"/>
        <v>4.4967559999999997E-2</v>
      </c>
      <c r="E100" s="2" cm="1">
        <f t="array" ref="E100">IF(_xll.qwSettle($B$1,$B$2)&lt;G99,G99,0)</f>
        <v>0</v>
      </c>
      <c r="F100" cm="1">
        <f t="array" ref="F100">IF(E100&lt;&gt;0,_xll.qwCalAdjust(A100,E100),0)</f>
        <v>0</v>
      </c>
      <c r="G100" s="6" cm="1">
        <f t="array" ref="G100">IF(E100&lt;&gt;0,IF(E100=EOMONTH(E100,0), EOMONTH(_xll.qwCalAddMonths(A100,E100,-12,4),0), _xll.qwCalAddMonths(A100,E100,-12,4)),0)</f>
        <v>0</v>
      </c>
      <c r="H100" s="2">
        <f t="shared" si="19"/>
        <v>0</v>
      </c>
      <c r="I100" s="1">
        <f>IF(E100&lt;&gt;0,MAX(_xll.qwEffective($B$1,$B$2),_xll.qwCalAdjust($A$27,G100)),0)</f>
        <v>0</v>
      </c>
      <c r="J100" s="2">
        <f t="shared" si="20"/>
        <v>0</v>
      </c>
      <c r="K100">
        <f t="shared" si="15"/>
        <v>0</v>
      </c>
      <c r="L100" s="6">
        <f t="shared" si="21"/>
        <v>0</v>
      </c>
      <c r="M100" s="6"/>
      <c r="N100" s="6"/>
      <c r="O100" s="6"/>
    </row>
    <row r="101" spans="1:15" x14ac:dyDescent="0.25">
      <c r="A101" t="str">
        <f t="shared" si="16"/>
        <v>US</v>
      </c>
      <c r="B101">
        <f t="shared" si="17"/>
        <v>100</v>
      </c>
      <c r="C101">
        <f t="shared" si="17"/>
        <v>360</v>
      </c>
      <c r="D101">
        <f t="shared" si="18"/>
        <v>4.4967559999999997E-2</v>
      </c>
      <c r="E101" s="2" cm="1">
        <f t="array" ref="E101">IF(_xll.qwSettle($B$1,$B$2)&lt;G100,G100,0)</f>
        <v>0</v>
      </c>
      <c r="F101" cm="1">
        <f t="array" ref="F101">IF(E101&lt;&gt;0,_xll.qwCalAdjust(A101,E101),0)</f>
        <v>0</v>
      </c>
      <c r="G101" s="6" cm="1">
        <f t="array" ref="G101">IF(E101&lt;&gt;0,IF(E101=EOMONTH(E101,0), EOMONTH(_xll.qwCalAddMonths(A101,E101,-12,4),0), _xll.qwCalAddMonths(A101,E101,-12,4)),0)</f>
        <v>0</v>
      </c>
      <c r="H101" s="2">
        <f t="shared" si="19"/>
        <v>0</v>
      </c>
      <c r="I101" s="1">
        <f>IF(E101&lt;&gt;0,MAX(_xll.qwEffective($B$1,$B$2),_xll.qwCalAdjust($A$27,G101)),0)</f>
        <v>0</v>
      </c>
      <c r="J101" s="2">
        <f t="shared" si="20"/>
        <v>0</v>
      </c>
      <c r="K101">
        <f t="shared" si="15"/>
        <v>0</v>
      </c>
      <c r="L101" s="6">
        <f t="shared" si="21"/>
        <v>0</v>
      </c>
      <c r="M101" s="6"/>
      <c r="N101" s="6"/>
      <c r="O101" s="6"/>
    </row>
    <row r="102" spans="1:15" x14ac:dyDescent="0.25">
      <c r="A102" t="str">
        <f t="shared" si="16"/>
        <v>US</v>
      </c>
      <c r="B102">
        <f t="shared" si="17"/>
        <v>100</v>
      </c>
      <c r="C102">
        <f t="shared" si="17"/>
        <v>360</v>
      </c>
      <c r="D102">
        <f t="shared" si="18"/>
        <v>4.4967559999999997E-2</v>
      </c>
      <c r="E102" s="2" cm="1">
        <f t="array" ref="E102">IF(_xll.qwSettle($B$1,$B$2)&lt;G101,G101,0)</f>
        <v>0</v>
      </c>
      <c r="F102" cm="1">
        <f t="array" ref="F102">IF(E102&lt;&gt;0,_xll.qwCalAdjust(A102,E102),0)</f>
        <v>0</v>
      </c>
      <c r="G102" s="6" cm="1">
        <f t="array" ref="G102">IF(E102&lt;&gt;0,IF(E102=EOMONTH(E102,0), EOMONTH(_xll.qwCalAddMonths(A102,E102,-12,4),0), _xll.qwCalAddMonths(A102,E102,-12,4)),0)</f>
        <v>0</v>
      </c>
      <c r="H102" s="2">
        <f t="shared" si="19"/>
        <v>0</v>
      </c>
      <c r="I102" s="1">
        <f>IF(E102&lt;&gt;0,MAX(_xll.qwEffective($B$1,$B$2),_xll.qwCalAdjust($A$27,G102)),0)</f>
        <v>0</v>
      </c>
      <c r="J102" s="2">
        <f t="shared" si="20"/>
        <v>0</v>
      </c>
      <c r="K102">
        <f t="shared" si="15"/>
        <v>0</v>
      </c>
      <c r="L102" s="6">
        <f t="shared" si="21"/>
        <v>0</v>
      </c>
      <c r="M102" s="6"/>
      <c r="N102" s="6"/>
      <c r="O102" s="6"/>
    </row>
    <row r="103" spans="1:15" x14ac:dyDescent="0.25">
      <c r="A103" t="str">
        <f t="shared" si="16"/>
        <v>US</v>
      </c>
      <c r="B103">
        <f t="shared" si="17"/>
        <v>100</v>
      </c>
      <c r="C103">
        <f t="shared" si="17"/>
        <v>360</v>
      </c>
      <c r="D103">
        <f t="shared" si="18"/>
        <v>4.4967559999999997E-2</v>
      </c>
      <c r="E103" s="2" cm="1">
        <f t="array" ref="E103">IF(_xll.qwSettle($B$1,$B$2)&lt;G102,G102,0)</f>
        <v>0</v>
      </c>
      <c r="F103" cm="1">
        <f t="array" ref="F103">IF(E103&lt;&gt;0,_xll.qwCalAdjust(A103,E103),0)</f>
        <v>0</v>
      </c>
      <c r="G103" s="6" cm="1">
        <f t="array" ref="G103">IF(E103&lt;&gt;0,IF(E103=EOMONTH(E103,0), EOMONTH(_xll.qwCalAddMonths(A103,E103,-12,4),0), _xll.qwCalAddMonths(A103,E103,-12,4)),0)</f>
        <v>0</v>
      </c>
      <c r="H103" s="2">
        <f t="shared" si="19"/>
        <v>0</v>
      </c>
      <c r="I103" s="1">
        <f>IF(E103&lt;&gt;0,MAX(_xll.qwEffective($B$1,$B$2),_xll.qwCalAdjust($A$27,G103)),0)</f>
        <v>0</v>
      </c>
      <c r="J103" s="2">
        <f t="shared" si="20"/>
        <v>0</v>
      </c>
      <c r="K103">
        <f t="shared" si="15"/>
        <v>0</v>
      </c>
      <c r="L103" s="6">
        <f t="shared" si="21"/>
        <v>0</v>
      </c>
      <c r="M103" s="6"/>
      <c r="N103" s="6"/>
      <c r="O103" s="6"/>
    </row>
    <row r="104" spans="1:15" x14ac:dyDescent="0.25">
      <c r="A104" t="str">
        <f t="shared" si="16"/>
        <v>US</v>
      </c>
      <c r="B104">
        <f t="shared" si="17"/>
        <v>100</v>
      </c>
      <c r="C104">
        <f t="shared" si="17"/>
        <v>360</v>
      </c>
      <c r="D104">
        <f t="shared" si="18"/>
        <v>4.4967559999999997E-2</v>
      </c>
      <c r="E104" s="2" cm="1">
        <f t="array" ref="E104">IF(_xll.qwSettle($B$1,$B$2)&lt;G103,G103,0)</f>
        <v>0</v>
      </c>
      <c r="F104" cm="1">
        <f t="array" ref="F104">IF(E104&lt;&gt;0,_xll.qwCalAdjust(A104,E104),0)</f>
        <v>0</v>
      </c>
      <c r="G104" s="6" cm="1">
        <f t="array" ref="G104">IF(E104&lt;&gt;0,IF(E104=EOMONTH(E104,0), EOMONTH(_xll.qwCalAddMonths(A104,E104,-12,4),0), _xll.qwCalAddMonths(A104,E104,-12,4)),0)</f>
        <v>0</v>
      </c>
      <c r="H104" s="2">
        <f t="shared" si="19"/>
        <v>0</v>
      </c>
      <c r="I104" s="1">
        <f>IF(E104&lt;&gt;0,MAX(_xll.qwEffective($B$1,$B$2),_xll.qwCalAdjust($A$27,G104)),0)</f>
        <v>0</v>
      </c>
      <c r="J104" s="2">
        <f t="shared" si="20"/>
        <v>0</v>
      </c>
      <c r="K104">
        <f t="shared" si="15"/>
        <v>0</v>
      </c>
      <c r="L104" s="6">
        <f t="shared" si="21"/>
        <v>0</v>
      </c>
      <c r="M104" s="6"/>
      <c r="N104" s="6"/>
      <c r="O104" s="6"/>
    </row>
    <row r="105" spans="1:15" x14ac:dyDescent="0.25">
      <c r="A105" t="str">
        <f t="shared" si="16"/>
        <v>US</v>
      </c>
      <c r="B105">
        <f t="shared" si="17"/>
        <v>100</v>
      </c>
      <c r="C105">
        <f t="shared" si="17"/>
        <v>360</v>
      </c>
      <c r="D105">
        <f t="shared" si="18"/>
        <v>4.4967559999999997E-2</v>
      </c>
      <c r="E105" s="2" cm="1">
        <f t="array" ref="E105">IF(_xll.qwSettle($B$1,$B$2)&lt;G104,G104,0)</f>
        <v>0</v>
      </c>
      <c r="F105" cm="1">
        <f t="array" ref="F105">IF(E105&lt;&gt;0,_xll.qwCalAdjust(A105,E105),0)</f>
        <v>0</v>
      </c>
      <c r="G105" s="6" cm="1">
        <f t="array" ref="G105">IF(E105&lt;&gt;0,IF(E105=EOMONTH(E105,0), EOMONTH(_xll.qwCalAddMonths(A105,E105,-12,4),0), _xll.qwCalAddMonths(A105,E105,-12,4)),0)</f>
        <v>0</v>
      </c>
      <c r="H105" s="2">
        <f t="shared" si="19"/>
        <v>0</v>
      </c>
      <c r="I105" s="1">
        <f>IF(E105&lt;&gt;0,MAX(_xll.qwEffective($B$1,$B$2),_xll.qwCalAdjust($A$27,G105)),0)</f>
        <v>0</v>
      </c>
      <c r="J105" s="2">
        <f t="shared" si="20"/>
        <v>0</v>
      </c>
      <c r="K105">
        <f t="shared" si="15"/>
        <v>0</v>
      </c>
      <c r="L105" s="6">
        <f t="shared" si="21"/>
        <v>0</v>
      </c>
      <c r="M105" s="6"/>
      <c r="N105" s="6"/>
      <c r="O105" s="6"/>
    </row>
    <row r="106" spans="1:15" x14ac:dyDescent="0.25">
      <c r="A106" t="str">
        <f t="shared" si="16"/>
        <v>US</v>
      </c>
      <c r="B106">
        <f t="shared" si="17"/>
        <v>100</v>
      </c>
      <c r="C106">
        <f t="shared" si="17"/>
        <v>360</v>
      </c>
      <c r="D106">
        <f t="shared" si="18"/>
        <v>4.4967559999999997E-2</v>
      </c>
      <c r="E106" s="2" cm="1">
        <f t="array" ref="E106">IF(_xll.qwSettle($B$1,$B$2)&lt;G105,G105,0)</f>
        <v>0</v>
      </c>
      <c r="F106" cm="1">
        <f t="array" ref="F106">IF(E106&lt;&gt;0,_xll.qwCalAdjust(A106,E106),0)</f>
        <v>0</v>
      </c>
      <c r="G106" s="6" cm="1">
        <f t="array" ref="G106">IF(E106&lt;&gt;0,IF(E106=EOMONTH(E106,0), EOMONTH(_xll.qwCalAddMonths(A106,E106,-12,4),0), _xll.qwCalAddMonths(A106,E106,-12,4)),0)</f>
        <v>0</v>
      </c>
      <c r="H106" s="2">
        <f t="shared" si="19"/>
        <v>0</v>
      </c>
      <c r="I106" s="1">
        <f>IF(E106&lt;&gt;0,MAX(_xll.qwEffective($B$1,$B$2),_xll.qwCalAdjust($A$27,G106)),0)</f>
        <v>0</v>
      </c>
      <c r="J106" s="2">
        <f t="shared" si="20"/>
        <v>0</v>
      </c>
      <c r="K106">
        <f t="shared" si="15"/>
        <v>0</v>
      </c>
      <c r="L106" s="6">
        <f t="shared" si="21"/>
        <v>0</v>
      </c>
      <c r="M106" s="6"/>
      <c r="N106" s="6"/>
      <c r="O106" s="6"/>
    </row>
    <row r="107" spans="1:15" x14ac:dyDescent="0.25">
      <c r="A107" t="str">
        <f t="shared" si="16"/>
        <v>US</v>
      </c>
      <c r="B107">
        <f t="shared" si="17"/>
        <v>100</v>
      </c>
      <c r="C107">
        <f t="shared" si="17"/>
        <v>360</v>
      </c>
      <c r="D107">
        <f t="shared" si="18"/>
        <v>4.4967559999999997E-2</v>
      </c>
      <c r="E107" s="2" cm="1">
        <f t="array" ref="E107">IF(_xll.qwSettle($B$1,$B$2)&lt;G106,G106,0)</f>
        <v>0</v>
      </c>
      <c r="F107" cm="1">
        <f t="array" ref="F107">IF(E107&lt;&gt;0,_xll.qwCalAdjust(A107,E107),0)</f>
        <v>0</v>
      </c>
      <c r="G107" s="6" cm="1">
        <f t="array" ref="G107">IF(E107&lt;&gt;0,IF(E107=EOMONTH(E107,0), EOMONTH(_xll.qwCalAddMonths(A107,E107,-12,4),0), _xll.qwCalAddMonths(A107,E107,-12,4)),0)</f>
        <v>0</v>
      </c>
      <c r="H107" s="2">
        <f t="shared" si="19"/>
        <v>0</v>
      </c>
      <c r="I107" s="1">
        <f>IF(E107&lt;&gt;0,MAX(_xll.qwEffective($B$1,$B$2),_xll.qwCalAdjust($A$27,G107)),0)</f>
        <v>0</v>
      </c>
      <c r="J107" s="2">
        <f t="shared" si="20"/>
        <v>0</v>
      </c>
      <c r="K107">
        <f t="shared" si="15"/>
        <v>0</v>
      </c>
      <c r="L107" s="6">
        <f t="shared" si="21"/>
        <v>0</v>
      </c>
      <c r="M107" s="6"/>
      <c r="N107" s="6"/>
      <c r="O107" s="6"/>
    </row>
    <row r="108" spans="1:15" x14ac:dyDescent="0.25">
      <c r="A108" t="str">
        <f t="shared" si="16"/>
        <v>US</v>
      </c>
      <c r="B108">
        <f t="shared" si="17"/>
        <v>100</v>
      </c>
      <c r="C108">
        <f t="shared" si="17"/>
        <v>360</v>
      </c>
      <c r="D108">
        <f t="shared" si="18"/>
        <v>4.4967559999999997E-2</v>
      </c>
      <c r="E108" s="2" cm="1">
        <f t="array" ref="E108">IF(_xll.qwSettle($B$1,$B$2)&lt;G107,G107,0)</f>
        <v>0</v>
      </c>
      <c r="F108" cm="1">
        <f t="array" ref="F108">IF(E108&lt;&gt;0,_xll.qwCalAdjust(A108,E108),0)</f>
        <v>0</v>
      </c>
      <c r="G108" s="6" cm="1">
        <f t="array" ref="G108">IF(E108&lt;&gt;0,IF(E108=EOMONTH(E108,0), EOMONTH(_xll.qwCalAddMonths(A108,E108,-12,4),0), _xll.qwCalAddMonths(A108,E108,-12,4)),0)</f>
        <v>0</v>
      </c>
      <c r="H108" s="2">
        <f t="shared" si="19"/>
        <v>0</v>
      </c>
      <c r="I108" s="1">
        <f>IF(E108&lt;&gt;0,MAX(_xll.qwEffective($B$1,$B$2),_xll.qwCalAdjust($A$27,G108)),0)</f>
        <v>0</v>
      </c>
      <c r="J108" s="2">
        <f t="shared" si="20"/>
        <v>0</v>
      </c>
      <c r="K108">
        <f t="shared" si="15"/>
        <v>0</v>
      </c>
      <c r="L108" s="6">
        <f t="shared" si="21"/>
        <v>0</v>
      </c>
      <c r="M108" s="6"/>
      <c r="N108" s="6"/>
      <c r="O108" s="6"/>
    </row>
    <row r="109" spans="1:15" x14ac:dyDescent="0.25">
      <c r="A109" t="str">
        <f t="shared" si="16"/>
        <v>US</v>
      </c>
      <c r="B109">
        <f t="shared" si="17"/>
        <v>100</v>
      </c>
      <c r="C109">
        <f t="shared" si="17"/>
        <v>360</v>
      </c>
      <c r="D109">
        <f t="shared" si="18"/>
        <v>4.4967559999999997E-2</v>
      </c>
      <c r="E109" s="2" cm="1">
        <f t="array" ref="E109">IF(_xll.qwSettle($B$1,$B$2)&lt;G108,G108,0)</f>
        <v>0</v>
      </c>
      <c r="F109" cm="1">
        <f t="array" ref="F109">IF(E109&lt;&gt;0,_xll.qwCalAdjust(A109,E109),0)</f>
        <v>0</v>
      </c>
      <c r="G109" s="6" cm="1">
        <f t="array" ref="G109">IF(E109&lt;&gt;0,IF(E109=EOMONTH(E109,0), EOMONTH(_xll.qwCalAddMonths(A109,E109,-12,4),0), _xll.qwCalAddMonths(A109,E109,-12,4)),0)</f>
        <v>0</v>
      </c>
      <c r="H109" s="2">
        <f t="shared" si="19"/>
        <v>0</v>
      </c>
      <c r="I109" s="1">
        <f>IF(E109&lt;&gt;0,MAX(_xll.qwEffective($B$1,$B$2),_xll.qwCalAdjust($A$27,G109)),0)</f>
        <v>0</v>
      </c>
      <c r="J109" s="2">
        <f t="shared" si="20"/>
        <v>0</v>
      </c>
      <c r="K109">
        <f t="shared" si="15"/>
        <v>0</v>
      </c>
      <c r="L109" s="6">
        <f t="shared" si="21"/>
        <v>0</v>
      </c>
      <c r="M109" s="6"/>
      <c r="N109" s="6"/>
      <c r="O109" s="6"/>
    </row>
    <row r="110" spans="1:15" x14ac:dyDescent="0.25">
      <c r="A110" t="str">
        <f t="shared" si="16"/>
        <v>US</v>
      </c>
      <c r="B110">
        <f t="shared" si="17"/>
        <v>100</v>
      </c>
      <c r="C110">
        <f t="shared" si="17"/>
        <v>360</v>
      </c>
      <c r="D110">
        <f t="shared" si="18"/>
        <v>4.4967559999999997E-2</v>
      </c>
      <c r="E110" s="2" cm="1">
        <f t="array" ref="E110">IF(_xll.qwSettle($B$1,$B$2)&lt;G109,G109,0)</f>
        <v>0</v>
      </c>
      <c r="F110" cm="1">
        <f t="array" ref="F110">IF(E110&lt;&gt;0,_xll.qwCalAdjust(A110,E110),0)</f>
        <v>0</v>
      </c>
      <c r="G110" s="6" cm="1">
        <f t="array" ref="G110">IF(E110&lt;&gt;0,IF(E110=EOMONTH(E110,0), EOMONTH(_xll.qwCalAddMonths(A110,E110,-12,4),0), _xll.qwCalAddMonths(A110,E110,-12,4)),0)</f>
        <v>0</v>
      </c>
      <c r="H110" s="2">
        <f t="shared" si="19"/>
        <v>0</v>
      </c>
      <c r="I110" s="1">
        <f>IF(E110&lt;&gt;0,MAX(_xll.qwEffective($B$1,$B$2),_xll.qwCalAdjust($A$27,G110)),0)</f>
        <v>0</v>
      </c>
      <c r="J110" s="2">
        <f t="shared" si="20"/>
        <v>0</v>
      </c>
      <c r="K110">
        <f t="shared" si="15"/>
        <v>0</v>
      </c>
      <c r="L110" s="6">
        <f t="shared" si="21"/>
        <v>0</v>
      </c>
      <c r="M110" s="6"/>
      <c r="N110" s="6"/>
      <c r="O110" s="6"/>
    </row>
    <row r="111" spans="1:15" x14ac:dyDescent="0.25">
      <c r="A111" t="str">
        <f t="shared" si="16"/>
        <v>US</v>
      </c>
      <c r="B111">
        <f t="shared" si="17"/>
        <v>100</v>
      </c>
      <c r="C111">
        <f t="shared" si="17"/>
        <v>360</v>
      </c>
      <c r="D111">
        <f t="shared" si="18"/>
        <v>4.4967559999999997E-2</v>
      </c>
      <c r="E111" s="2" cm="1">
        <f t="array" ref="E111">IF(_xll.qwSettle($B$1,$B$2)&lt;G110,G110,0)</f>
        <v>0</v>
      </c>
      <c r="F111" cm="1">
        <f t="array" ref="F111">IF(E111&lt;&gt;0,_xll.qwCalAdjust(A111,E111),0)</f>
        <v>0</v>
      </c>
      <c r="G111" s="6" cm="1">
        <f t="array" ref="G111">IF(E111&lt;&gt;0,IF(E111=EOMONTH(E111,0), EOMONTH(_xll.qwCalAddMonths(A111,E111,-12,4),0), _xll.qwCalAddMonths(A111,E111,-12,4)),0)</f>
        <v>0</v>
      </c>
      <c r="H111" s="2">
        <f t="shared" si="19"/>
        <v>0</v>
      </c>
      <c r="I111" s="1">
        <f>IF(E111&lt;&gt;0,MAX(_xll.qwEffective($B$1,$B$2),_xll.qwCalAdjust($A$27,G111)),0)</f>
        <v>0</v>
      </c>
      <c r="J111" s="2">
        <f t="shared" si="20"/>
        <v>0</v>
      </c>
      <c r="K111">
        <f t="shared" si="15"/>
        <v>0</v>
      </c>
      <c r="L111" s="6">
        <f t="shared" si="21"/>
        <v>0</v>
      </c>
      <c r="M111" s="6"/>
      <c r="N111" s="6"/>
      <c r="O111" s="6"/>
    </row>
    <row r="112" spans="1:15" x14ac:dyDescent="0.25">
      <c r="A112" t="str">
        <f t="shared" si="16"/>
        <v>US</v>
      </c>
      <c r="B112">
        <f t="shared" si="17"/>
        <v>100</v>
      </c>
      <c r="C112">
        <f t="shared" si="17"/>
        <v>360</v>
      </c>
      <c r="D112">
        <f t="shared" si="18"/>
        <v>4.4967559999999997E-2</v>
      </c>
      <c r="E112" s="2" cm="1">
        <f t="array" ref="E112">IF(_xll.qwSettle($B$1,$B$2)&lt;G111,G111,0)</f>
        <v>0</v>
      </c>
      <c r="F112" cm="1">
        <f t="array" ref="F112">IF(E112&lt;&gt;0,_xll.qwCalAdjust(A112,E112),0)</f>
        <v>0</v>
      </c>
      <c r="G112" s="6" cm="1">
        <f t="array" ref="G112">IF(E112&lt;&gt;0,IF(E112=EOMONTH(E112,0), EOMONTH(_xll.qwCalAddMonths(A112,E112,-12,4),0), _xll.qwCalAddMonths(A112,E112,-12,4)),0)</f>
        <v>0</v>
      </c>
      <c r="H112" s="2">
        <f t="shared" si="19"/>
        <v>0</v>
      </c>
      <c r="I112" s="1">
        <f>IF(E112&lt;&gt;0,MAX(_xll.qwEffective($B$1,$B$2),_xll.qwCalAdjust($A$27,G112)),0)</f>
        <v>0</v>
      </c>
      <c r="J112" s="2">
        <f t="shared" si="20"/>
        <v>0</v>
      </c>
      <c r="K112">
        <f t="shared" si="15"/>
        <v>0</v>
      </c>
      <c r="L112" s="6">
        <f t="shared" si="21"/>
        <v>0</v>
      </c>
      <c r="M112" s="6"/>
      <c r="N112" s="6"/>
      <c r="O112" s="6"/>
    </row>
    <row r="113" spans="1:15" x14ac:dyDescent="0.25">
      <c r="A113" t="str">
        <f t="shared" si="16"/>
        <v>US</v>
      </c>
      <c r="B113">
        <f t="shared" si="17"/>
        <v>100</v>
      </c>
      <c r="C113">
        <f t="shared" si="17"/>
        <v>360</v>
      </c>
      <c r="D113">
        <f t="shared" si="18"/>
        <v>4.4967559999999997E-2</v>
      </c>
      <c r="E113" s="2" cm="1">
        <f t="array" ref="E113">IF(_xll.qwSettle($B$1,$B$2)&lt;G112,G112,0)</f>
        <v>0</v>
      </c>
      <c r="F113" cm="1">
        <f t="array" ref="F113">IF(E113&lt;&gt;0,_xll.qwCalAdjust(A113,E113),0)</f>
        <v>0</v>
      </c>
      <c r="G113" s="6" cm="1">
        <f t="array" ref="G113">IF(E113&lt;&gt;0,IF(E113=EOMONTH(E113,0), EOMONTH(_xll.qwCalAddMonths(A113,E113,-12,4),0), _xll.qwCalAddMonths(A113,E113,-12,4)),0)</f>
        <v>0</v>
      </c>
      <c r="H113" s="2">
        <f t="shared" si="19"/>
        <v>0</v>
      </c>
      <c r="I113" s="1">
        <f>IF(E113&lt;&gt;0,MAX(_xll.qwEffective($B$1,$B$2),_xll.qwCalAdjust($A$27,G113)),0)</f>
        <v>0</v>
      </c>
      <c r="J113" s="2">
        <f t="shared" si="20"/>
        <v>0</v>
      </c>
      <c r="K113">
        <f t="shared" si="15"/>
        <v>0</v>
      </c>
      <c r="L113" s="6">
        <f t="shared" si="21"/>
        <v>0</v>
      </c>
      <c r="M113" s="6"/>
      <c r="N113" s="6"/>
      <c r="O113" s="6"/>
    </row>
    <row r="114" spans="1:15" x14ac:dyDescent="0.25">
      <c r="A114" t="str">
        <f t="shared" si="16"/>
        <v>US</v>
      </c>
      <c r="B114">
        <f t="shared" si="17"/>
        <v>100</v>
      </c>
      <c r="C114">
        <f t="shared" si="17"/>
        <v>360</v>
      </c>
      <c r="D114">
        <f t="shared" si="18"/>
        <v>4.4967559999999997E-2</v>
      </c>
      <c r="E114" s="2" cm="1">
        <f t="array" ref="E114">IF(_xll.qwSettle($B$1,$B$2)&lt;G113,G113,0)</f>
        <v>0</v>
      </c>
      <c r="F114" cm="1">
        <f t="array" ref="F114">IF(E114&lt;&gt;0,_xll.qwCalAdjust(A114,E114),0)</f>
        <v>0</v>
      </c>
      <c r="G114" s="6" cm="1">
        <f t="array" ref="G114">IF(E114&lt;&gt;0,IF(E114=EOMONTH(E114,0), EOMONTH(_xll.qwCalAddMonths(A114,E114,-12,4),0), _xll.qwCalAddMonths(A114,E114,-12,4)),0)</f>
        <v>0</v>
      </c>
      <c r="H114" s="2">
        <f t="shared" si="19"/>
        <v>0</v>
      </c>
      <c r="I114" s="1">
        <f>IF(E114&lt;&gt;0,MAX(_xll.qwEffective($B$1,$B$2),_xll.qwCalAdjust($A$27,G114)),0)</f>
        <v>0</v>
      </c>
      <c r="J114" s="2">
        <f t="shared" si="20"/>
        <v>0</v>
      </c>
      <c r="K114">
        <f t="shared" si="15"/>
        <v>0</v>
      </c>
      <c r="L114" s="6">
        <f t="shared" si="21"/>
        <v>0</v>
      </c>
      <c r="M114" s="6"/>
      <c r="N114" s="6"/>
      <c r="O114" s="6"/>
    </row>
    <row r="115" spans="1:15" x14ac:dyDescent="0.25">
      <c r="E115" s="1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E116" s="1"/>
      <c r="G116" s="6"/>
      <c r="H116" s="6"/>
      <c r="I116" s="6"/>
      <c r="J116" s="6"/>
      <c r="K116" s="6"/>
      <c r="L116" s="6"/>
      <c r="M116" s="6"/>
      <c r="N116" s="6"/>
      <c r="O116" s="6"/>
    </row>
    <row r="117" spans="1:15" x14ac:dyDescent="0.25">
      <c r="E117" s="1"/>
      <c r="G117" s="6"/>
      <c r="H117" s="6"/>
      <c r="I117" s="6"/>
      <c r="J117" s="6"/>
      <c r="K117" s="6"/>
      <c r="L117" s="6"/>
      <c r="M117" s="6"/>
      <c r="N117" s="6"/>
      <c r="O117" s="6"/>
    </row>
    <row r="118" spans="1:15" x14ac:dyDescent="0.25">
      <c r="E118" s="1"/>
      <c r="G118" s="6"/>
      <c r="H118" s="6"/>
      <c r="I118" s="6"/>
      <c r="J118" s="6"/>
      <c r="K118" s="6"/>
      <c r="L118" s="6"/>
      <c r="M118" s="6"/>
      <c r="N118" s="6"/>
      <c r="O118" s="6"/>
    </row>
    <row r="119" spans="1:15" x14ac:dyDescent="0.25">
      <c r="E119" s="1"/>
      <c r="G119" s="6"/>
      <c r="H119" s="6"/>
      <c r="I119" s="6"/>
      <c r="J119" s="6"/>
      <c r="K119" s="6"/>
      <c r="L119" s="6"/>
      <c r="M119" s="6"/>
      <c r="N119" s="6"/>
      <c r="O119" s="6"/>
    </row>
    <row r="120" spans="1:15" x14ac:dyDescent="0.25">
      <c r="E120" s="1"/>
      <c r="G120" s="6"/>
      <c r="H120" s="6"/>
      <c r="I120" s="6"/>
      <c r="J120" s="6"/>
      <c r="K120" s="6"/>
      <c r="L120" s="6"/>
      <c r="M120" s="6"/>
      <c r="N120" s="6"/>
      <c r="O120" s="6"/>
    </row>
    <row r="121" spans="1:15" x14ac:dyDescent="0.25">
      <c r="E121" s="1"/>
      <c r="G121" s="6"/>
      <c r="H121" s="6"/>
      <c r="I121" s="6"/>
      <c r="J121" s="6"/>
      <c r="K121" s="6"/>
      <c r="L121" s="6"/>
      <c r="M121" s="6"/>
      <c r="N121" s="6"/>
      <c r="O121" s="6"/>
    </row>
    <row r="122" spans="1:15" x14ac:dyDescent="0.25">
      <c r="E122" s="1"/>
      <c r="G122" s="6"/>
      <c r="H122" s="6"/>
      <c r="I122" s="6"/>
      <c r="J122" s="6"/>
      <c r="K122" s="6"/>
      <c r="L122" s="6"/>
      <c r="M122" s="6"/>
      <c r="N122" s="6"/>
      <c r="O122" s="6"/>
    </row>
    <row r="123" spans="1:15" x14ac:dyDescent="0.25">
      <c r="E123" s="1"/>
      <c r="G123" s="6"/>
      <c r="H123" s="6"/>
      <c r="I123" s="6"/>
      <c r="J123" s="6"/>
      <c r="K123" s="6"/>
      <c r="L123" s="6"/>
      <c r="M123" s="6"/>
      <c r="N123" s="6"/>
      <c r="O123" s="6"/>
    </row>
    <row r="124" spans="1:15" x14ac:dyDescent="0.25">
      <c r="E124" s="1"/>
      <c r="G124" s="6"/>
      <c r="H124" s="6"/>
      <c r="I124" s="6"/>
      <c r="J124" s="6"/>
      <c r="K124" s="6"/>
      <c r="L124" s="6"/>
      <c r="M124" s="6"/>
      <c r="N124" s="6"/>
      <c r="O124" s="6"/>
    </row>
    <row r="125" spans="1:15" x14ac:dyDescent="0.25">
      <c r="E125" s="1"/>
      <c r="G125" s="6"/>
      <c r="H125" s="6"/>
      <c r="I125" s="6"/>
      <c r="J125" s="6"/>
      <c r="K125" s="6"/>
      <c r="L125" s="6"/>
      <c r="M125" s="6"/>
      <c r="N125" s="6"/>
      <c r="O125" s="6"/>
    </row>
    <row r="126" spans="1:15" x14ac:dyDescent="0.25">
      <c r="E126" s="1"/>
      <c r="G126" s="6"/>
      <c r="H126" s="6"/>
      <c r="I126" s="6"/>
      <c r="J126" s="6"/>
      <c r="K126" s="6"/>
      <c r="L126" s="6"/>
      <c r="M126" s="6"/>
      <c r="N126" s="6"/>
      <c r="O126" s="6"/>
    </row>
    <row r="127" spans="1:15" x14ac:dyDescent="0.25">
      <c r="E127" s="1"/>
      <c r="G127" s="6"/>
      <c r="H127" s="6"/>
      <c r="I127" s="6"/>
      <c r="J127" s="6"/>
      <c r="K127" s="6"/>
      <c r="L127" s="6"/>
      <c r="M127" s="6"/>
      <c r="N127" s="6"/>
      <c r="O127" s="6"/>
    </row>
    <row r="128" spans="1:15" x14ac:dyDescent="0.25">
      <c r="E128" s="1"/>
      <c r="G128" s="6"/>
      <c r="H128" s="6"/>
      <c r="I128" s="6"/>
      <c r="J128" s="6"/>
      <c r="K128" s="6"/>
      <c r="L128" s="6"/>
      <c r="M128" s="6"/>
      <c r="N128" s="6"/>
      <c r="O128" s="6"/>
    </row>
    <row r="129" spans="5:15" x14ac:dyDescent="0.25">
      <c r="E129" s="1"/>
      <c r="G129" s="6"/>
      <c r="H129" s="6"/>
      <c r="I129" s="6"/>
      <c r="J129" s="6"/>
      <c r="K129" s="6"/>
      <c r="L129" s="6"/>
      <c r="M129" s="6"/>
      <c r="N129" s="6"/>
      <c r="O129" s="6"/>
    </row>
    <row r="130" spans="5:15" x14ac:dyDescent="0.25">
      <c r="E130" s="1"/>
      <c r="G130" s="6"/>
      <c r="H130" s="6"/>
      <c r="I130" s="6"/>
      <c r="J130" s="6"/>
      <c r="K130" s="6"/>
      <c r="L130" s="6"/>
      <c r="M130" s="6"/>
      <c r="N130" s="6"/>
      <c r="O130" s="6"/>
    </row>
    <row r="131" spans="5:15" x14ac:dyDescent="0.25">
      <c r="E131" s="1"/>
      <c r="G131" s="6"/>
      <c r="H131" s="6"/>
      <c r="I131" s="6"/>
      <c r="J131" s="6"/>
      <c r="K131" s="6"/>
      <c r="L131" s="6"/>
      <c r="M131" s="6"/>
      <c r="N131" s="6"/>
      <c r="O131" s="6"/>
    </row>
    <row r="132" spans="5:15" x14ac:dyDescent="0.25">
      <c r="E132" s="1"/>
      <c r="G132" s="6"/>
      <c r="H132" s="6"/>
      <c r="I132" s="6"/>
      <c r="J132" s="6"/>
      <c r="K132" s="6"/>
      <c r="L132" s="6"/>
      <c r="M132" s="6"/>
      <c r="N132" s="6"/>
      <c r="O132" s="6"/>
    </row>
    <row r="133" spans="5:15" x14ac:dyDescent="0.25">
      <c r="E133" s="1"/>
      <c r="G133" s="6"/>
      <c r="H133" s="6"/>
      <c r="I133" s="6"/>
      <c r="J133" s="6"/>
      <c r="K133" s="6"/>
      <c r="L133" s="6"/>
      <c r="M133" s="6"/>
      <c r="N133" s="6"/>
      <c r="O133" s="6"/>
    </row>
    <row r="134" spans="5:15" x14ac:dyDescent="0.25">
      <c r="E134" s="1"/>
      <c r="G134" s="6"/>
      <c r="H134" s="6"/>
      <c r="I134" s="6"/>
      <c r="J134" s="6"/>
      <c r="K134" s="6"/>
      <c r="L134" s="6"/>
      <c r="M134" s="6"/>
      <c r="N134" s="6"/>
      <c r="O134" s="6"/>
    </row>
    <row r="135" spans="5:15" x14ac:dyDescent="0.25">
      <c r="E135" s="1"/>
      <c r="G135" s="6"/>
      <c r="H135" s="6"/>
      <c r="I135" s="6"/>
      <c r="J135" s="6"/>
      <c r="K135" s="6"/>
      <c r="L135" s="6"/>
      <c r="M135" s="6"/>
      <c r="N135" s="6"/>
      <c r="O135" s="6"/>
    </row>
    <row r="136" spans="5:15" x14ac:dyDescent="0.25">
      <c r="E136" s="1"/>
      <c r="G136" s="6"/>
      <c r="H136" s="6"/>
      <c r="I136" s="6"/>
      <c r="J136" s="6"/>
      <c r="K136" s="6"/>
      <c r="L136" s="6"/>
      <c r="M136" s="6"/>
      <c r="N136" s="6"/>
      <c r="O136" s="6"/>
    </row>
    <row r="137" spans="5:15" x14ac:dyDescent="0.25">
      <c r="E137" s="1"/>
      <c r="G137" s="6"/>
      <c r="H137" s="6"/>
      <c r="I137" s="6"/>
      <c r="J137" s="6"/>
      <c r="K137" s="6"/>
      <c r="L137" s="6"/>
      <c r="M137" s="6"/>
      <c r="N137" s="6"/>
      <c r="O137" s="6"/>
    </row>
    <row r="138" spans="5:15" x14ac:dyDescent="0.25">
      <c r="E138" s="1"/>
      <c r="G138" s="6"/>
      <c r="H138" s="6"/>
      <c r="I138" s="6"/>
      <c r="J138" s="6"/>
      <c r="K138" s="6"/>
      <c r="L138" s="6"/>
      <c r="M138" s="6"/>
      <c r="N138" s="6"/>
      <c r="O138" s="6"/>
    </row>
    <row r="139" spans="5:15" x14ac:dyDescent="0.25">
      <c r="E139" s="1"/>
      <c r="G139" s="6"/>
      <c r="H139" s="6"/>
      <c r="I139" s="6"/>
      <c r="J139" s="6"/>
      <c r="K139" s="6"/>
      <c r="L139" s="6"/>
      <c r="M139" s="6"/>
      <c r="N139" s="6"/>
      <c r="O139" s="6"/>
    </row>
    <row r="140" spans="5:15" x14ac:dyDescent="0.25">
      <c r="E140" s="1"/>
      <c r="G140" s="6"/>
      <c r="H140" s="6"/>
      <c r="I140" s="6"/>
      <c r="J140" s="6"/>
      <c r="K140" s="6"/>
      <c r="L140" s="6"/>
      <c r="M140" s="6"/>
      <c r="N140" s="6"/>
      <c r="O140" s="6"/>
    </row>
    <row r="141" spans="5:15" x14ac:dyDescent="0.25">
      <c r="E141" s="1"/>
      <c r="G141" s="6"/>
      <c r="H141" s="6"/>
      <c r="I141" s="6"/>
      <c r="J141" s="6"/>
      <c r="K141" s="6"/>
      <c r="L141" s="6"/>
      <c r="M141" s="6"/>
      <c r="N141" s="6"/>
      <c r="O141" s="6"/>
    </row>
    <row r="142" spans="5:15" x14ac:dyDescent="0.25">
      <c r="E142" s="1"/>
      <c r="G142" s="6"/>
      <c r="H142" s="6"/>
      <c r="I142" s="6"/>
      <c r="J142" s="6"/>
      <c r="K142" s="6"/>
      <c r="L142" s="6"/>
      <c r="M142" s="6"/>
      <c r="N142" s="6"/>
      <c r="O142" s="6"/>
    </row>
    <row r="143" spans="5:15" x14ac:dyDescent="0.25">
      <c r="E143" s="1"/>
      <c r="G143" s="6"/>
      <c r="H143" s="6"/>
      <c r="I143" s="6"/>
      <c r="J143" s="6"/>
      <c r="K143" s="6"/>
      <c r="L143" s="6"/>
      <c r="M143" s="6"/>
      <c r="N143" s="6"/>
      <c r="O143" s="6"/>
    </row>
    <row r="144" spans="5:15" x14ac:dyDescent="0.25">
      <c r="E144" s="1"/>
      <c r="G144" s="6"/>
      <c r="H144" s="6"/>
      <c r="I144" s="6"/>
      <c r="J144" s="6"/>
      <c r="K144" s="6"/>
      <c r="L144" s="6"/>
      <c r="M144" s="6"/>
      <c r="N144" s="6"/>
      <c r="O144" s="6"/>
    </row>
    <row r="145" spans="5:15" x14ac:dyDescent="0.25">
      <c r="E145" s="1"/>
      <c r="G145" s="6"/>
      <c r="H145" s="6"/>
      <c r="I145" s="6"/>
      <c r="J145" s="6"/>
      <c r="K145" s="6"/>
      <c r="L145" s="6"/>
      <c r="M145" s="6"/>
      <c r="N145" s="6"/>
      <c r="O145" s="6"/>
    </row>
    <row r="146" spans="5:15" x14ac:dyDescent="0.25">
      <c r="E146" s="7"/>
      <c r="G146" s="6"/>
      <c r="H146" s="6"/>
      <c r="I146" s="6"/>
      <c r="J146" s="6"/>
      <c r="K146" s="6"/>
      <c r="L146" s="6"/>
      <c r="M146" s="6"/>
      <c r="N146" s="6"/>
      <c r="O146" s="6"/>
    </row>
    <row r="147" spans="5:15" x14ac:dyDescent="0.25">
      <c r="G147" s="6"/>
      <c r="H147" s="6"/>
      <c r="I147" s="6"/>
      <c r="J147" s="6"/>
      <c r="K147" s="6"/>
      <c r="L147" s="6"/>
      <c r="M147" s="6"/>
      <c r="N147" s="6"/>
      <c r="O147" s="6"/>
    </row>
    <row r="148" spans="5:15" x14ac:dyDescent="0.25">
      <c r="G148" s="6"/>
      <c r="H148" s="6"/>
      <c r="I148" s="6"/>
      <c r="J148" s="6"/>
      <c r="K148" s="6"/>
      <c r="L148" s="6"/>
      <c r="M148" s="6"/>
      <c r="N148" s="6"/>
      <c r="O148" s="6"/>
    </row>
    <row r="149" spans="5:15" x14ac:dyDescent="0.25">
      <c r="G149" s="6"/>
      <c r="H149" s="6"/>
      <c r="I149" s="6"/>
      <c r="J149" s="6"/>
      <c r="K149" s="6"/>
      <c r="L149" s="6"/>
      <c r="M149" s="6"/>
      <c r="N149" s="6"/>
      <c r="O149" s="6"/>
    </row>
    <row r="150" spans="5:15" x14ac:dyDescent="0.25">
      <c r="G150" s="6"/>
      <c r="H150" s="6"/>
      <c r="I150" s="6"/>
      <c r="J150" s="6"/>
      <c r="K150" s="6"/>
      <c r="L150" s="6"/>
      <c r="M150" s="6"/>
      <c r="N150" s="6"/>
      <c r="O150" s="6"/>
    </row>
    <row r="151" spans="5:15" x14ac:dyDescent="0.25">
      <c r="G151" s="6"/>
      <c r="H151" s="6"/>
      <c r="I151" s="6"/>
      <c r="J151" s="6"/>
      <c r="K151" s="6"/>
      <c r="L151" s="6"/>
      <c r="M151" s="6"/>
      <c r="N151" s="6"/>
      <c r="O151" s="6"/>
    </row>
    <row r="152" spans="5:15" x14ac:dyDescent="0.25">
      <c r="G152" s="6"/>
      <c r="H152" s="6"/>
      <c r="I152" s="6"/>
      <c r="J152" s="6"/>
      <c r="K152" s="6"/>
      <c r="L152" s="6"/>
      <c r="M152" s="6"/>
      <c r="N152" s="6"/>
      <c r="O152" s="6"/>
    </row>
    <row r="153" spans="5:15" x14ac:dyDescent="0.25">
      <c r="G153" s="6"/>
      <c r="H153" s="6"/>
      <c r="I153" s="6"/>
      <c r="J153" s="6"/>
      <c r="K153" s="6"/>
      <c r="L153" s="6"/>
      <c r="M153" s="6"/>
      <c r="N153" s="6"/>
      <c r="O153" s="6"/>
    </row>
    <row r="154" spans="5:15" x14ac:dyDescent="0.25">
      <c r="G154" s="6"/>
      <c r="H154" s="6"/>
      <c r="I154" s="6"/>
      <c r="J154" s="6"/>
      <c r="K154" s="6"/>
      <c r="L154" s="6"/>
      <c r="M154" s="6"/>
      <c r="N154" s="6"/>
      <c r="O154" s="6"/>
    </row>
    <row r="155" spans="5:15" x14ac:dyDescent="0.25">
      <c r="G155" s="6"/>
      <c r="H155" s="6"/>
      <c r="I155" s="6"/>
      <c r="J155" s="6"/>
      <c r="K155" s="6"/>
      <c r="L155" s="6"/>
      <c r="M155" s="6"/>
      <c r="N155" s="6"/>
      <c r="O155" s="6"/>
    </row>
    <row r="156" spans="5:15" x14ac:dyDescent="0.25">
      <c r="G156" s="6"/>
      <c r="H156" s="6"/>
      <c r="I156" s="6"/>
      <c r="J156" s="6"/>
      <c r="K156" s="6"/>
      <c r="L156" s="6"/>
      <c r="M156" s="6"/>
      <c r="N156" s="6"/>
      <c r="O156" s="6"/>
    </row>
    <row r="157" spans="5:15" x14ac:dyDescent="0.25">
      <c r="G157" s="6"/>
      <c r="H157" s="6"/>
      <c r="I157" s="6"/>
      <c r="J157" s="6"/>
      <c r="K157" s="6"/>
      <c r="L157" s="6"/>
      <c r="M157" s="6"/>
      <c r="N157" s="6"/>
      <c r="O157" s="6"/>
    </row>
    <row r="158" spans="5:15" x14ac:dyDescent="0.25">
      <c r="G158" s="6"/>
      <c r="H158" s="6"/>
      <c r="I158" s="6"/>
      <c r="J158" s="6"/>
      <c r="K158" s="6"/>
      <c r="L158" s="6"/>
      <c r="M158" s="6"/>
      <c r="N158" s="6"/>
      <c r="O158" s="6"/>
    </row>
    <row r="159" spans="5:15" x14ac:dyDescent="0.25">
      <c r="G159" s="6"/>
      <c r="H159" s="6"/>
      <c r="I159" s="6"/>
      <c r="J159" s="6"/>
      <c r="K159" s="6"/>
      <c r="L159" s="6"/>
      <c r="M159" s="6"/>
      <c r="N159" s="6"/>
      <c r="O159" s="6"/>
    </row>
    <row r="160" spans="5:15" x14ac:dyDescent="0.25">
      <c r="G160" s="6"/>
      <c r="H160" s="6"/>
      <c r="I160" s="6"/>
      <c r="J160" s="6"/>
      <c r="K160" s="6"/>
      <c r="L160" s="6"/>
      <c r="M160" s="6"/>
      <c r="N160" s="6"/>
      <c r="O160" s="6"/>
    </row>
    <row r="161" spans="7:15" x14ac:dyDescent="0.25">
      <c r="G161" s="6"/>
      <c r="H161" s="6"/>
      <c r="I161" s="6"/>
      <c r="J161" s="6"/>
      <c r="K161" s="6"/>
      <c r="L161" s="6"/>
      <c r="M161" s="6"/>
      <c r="N161" s="6"/>
      <c r="O161" s="6"/>
    </row>
    <row r="162" spans="7:15" x14ac:dyDescent="0.25">
      <c r="G162" s="6"/>
      <c r="H162" s="6"/>
      <c r="I162" s="6"/>
      <c r="J162" s="6"/>
      <c r="K162" s="6"/>
      <c r="L162" s="6"/>
      <c r="M162" s="6"/>
      <c r="N162" s="6"/>
      <c r="O162" s="6"/>
    </row>
    <row r="163" spans="7:15" x14ac:dyDescent="0.25">
      <c r="G163" s="6"/>
      <c r="H163" s="6"/>
      <c r="I163" s="6"/>
      <c r="J163" s="6"/>
      <c r="K163" s="6"/>
      <c r="L163" s="6"/>
      <c r="M163" s="6"/>
      <c r="N163" s="6"/>
      <c r="O163" s="6"/>
    </row>
    <row r="164" spans="7:15" x14ac:dyDescent="0.25">
      <c r="G164" s="6"/>
      <c r="H164" s="6"/>
      <c r="I164" s="6"/>
      <c r="J164" s="6"/>
      <c r="K164" s="6"/>
      <c r="L164" s="6"/>
      <c r="M164" s="6"/>
      <c r="N164" s="6"/>
      <c r="O164" s="6"/>
    </row>
    <row r="165" spans="7:15" x14ac:dyDescent="0.25">
      <c r="G165" s="6"/>
      <c r="H165" s="6"/>
      <c r="I165" s="6"/>
      <c r="J165" s="6"/>
      <c r="K165" s="6"/>
      <c r="L165" s="6"/>
      <c r="M165" s="6"/>
      <c r="N165" s="6"/>
      <c r="O165" s="6"/>
    </row>
    <row r="166" spans="7:15" x14ac:dyDescent="0.25">
      <c r="G166" s="6"/>
      <c r="H166" s="6"/>
      <c r="I166" s="6"/>
      <c r="J166" s="6"/>
      <c r="K166" s="6"/>
      <c r="L166" s="6"/>
      <c r="M166" s="6"/>
      <c r="N166" s="6"/>
      <c r="O166" s="6"/>
    </row>
    <row r="167" spans="7:15" x14ac:dyDescent="0.25">
      <c r="G167" s="6"/>
      <c r="H167" s="6"/>
      <c r="I167" s="6"/>
      <c r="J167" s="6"/>
      <c r="K167" s="6"/>
      <c r="L167" s="6"/>
      <c r="M167" s="6"/>
      <c r="N167" s="6"/>
      <c r="O167" s="6"/>
    </row>
    <row r="168" spans="7:15" x14ac:dyDescent="0.25">
      <c r="G168" s="6"/>
      <c r="H168" s="6"/>
      <c r="I168" s="6"/>
      <c r="J168" s="6"/>
      <c r="K168" s="6"/>
      <c r="L168" s="6"/>
      <c r="M168" s="6"/>
      <c r="N168" s="6"/>
      <c r="O168" s="6"/>
    </row>
    <row r="169" spans="7:15" x14ac:dyDescent="0.25">
      <c r="G169" s="6"/>
      <c r="H169" s="6"/>
      <c r="I169" s="6"/>
      <c r="J169" s="6"/>
      <c r="K169" s="6"/>
      <c r="L169" s="6"/>
      <c r="M169" s="6"/>
      <c r="N169" s="6"/>
      <c r="O169" s="6"/>
    </row>
    <row r="170" spans="7:15" x14ac:dyDescent="0.25">
      <c r="G170" s="6"/>
      <c r="H170" s="6"/>
      <c r="I170" s="6"/>
      <c r="J170" s="6"/>
      <c r="K170" s="6"/>
      <c r="L170" s="6"/>
      <c r="M170" s="6"/>
      <c r="N170" s="6"/>
      <c r="O170" s="6"/>
    </row>
    <row r="171" spans="7:15" x14ac:dyDescent="0.25">
      <c r="G171" s="6"/>
      <c r="H171" s="6"/>
      <c r="I171" s="6"/>
      <c r="J171" s="6"/>
      <c r="K171" s="6"/>
      <c r="L171" s="6"/>
      <c r="M171" s="6"/>
      <c r="N171" s="6"/>
      <c r="O171" s="6"/>
    </row>
    <row r="172" spans="7:15" x14ac:dyDescent="0.25">
      <c r="G172" s="6"/>
      <c r="H172" s="6"/>
      <c r="I172" s="6"/>
      <c r="J172" s="6"/>
      <c r="K172" s="6"/>
      <c r="L172" s="6"/>
      <c r="M172" s="6"/>
      <c r="N172" s="6"/>
      <c r="O172" s="6"/>
    </row>
    <row r="173" spans="7:15" x14ac:dyDescent="0.25">
      <c r="G173" s="6"/>
      <c r="H173" s="6"/>
      <c r="I173" s="6"/>
      <c r="J173" s="6"/>
      <c r="K173" s="6"/>
      <c r="L173" s="6"/>
      <c r="M173" s="6"/>
      <c r="N173" s="6"/>
      <c r="O173" s="6"/>
    </row>
    <row r="174" spans="7:15" x14ac:dyDescent="0.25">
      <c r="G174" s="6"/>
      <c r="H174" s="6"/>
      <c r="I174" s="6"/>
      <c r="J174" s="6"/>
      <c r="K174" s="6"/>
      <c r="L174" s="6"/>
      <c r="M174" s="6"/>
      <c r="N174" s="6"/>
      <c r="O174" s="6"/>
    </row>
    <row r="175" spans="7:15" x14ac:dyDescent="0.25">
      <c r="G175" s="6"/>
      <c r="H175" s="6"/>
      <c r="I175" s="6"/>
      <c r="J175" s="6"/>
      <c r="K175" s="6"/>
      <c r="L175" s="6"/>
      <c r="M175" s="6"/>
      <c r="N175" s="6"/>
      <c r="O175" s="6"/>
    </row>
    <row r="176" spans="7:15" x14ac:dyDescent="0.25">
      <c r="G176" s="6"/>
      <c r="H176" s="6"/>
      <c r="I176" s="6"/>
      <c r="J176" s="6"/>
      <c r="K176" s="6"/>
      <c r="L176" s="6"/>
      <c r="M176" s="6"/>
      <c r="N176" s="6"/>
      <c r="O176" s="6"/>
    </row>
    <row r="177" spans="7:15" x14ac:dyDescent="0.25">
      <c r="G177" s="6"/>
      <c r="H177" s="6"/>
      <c r="I177" s="6"/>
      <c r="J177" s="6"/>
      <c r="K177" s="6"/>
      <c r="L177" s="6"/>
      <c r="M177" s="6"/>
      <c r="N177" s="6"/>
      <c r="O177" s="6"/>
    </row>
    <row r="178" spans="7:15" x14ac:dyDescent="0.25">
      <c r="G178" s="6"/>
      <c r="H178" s="6"/>
      <c r="I178" s="6"/>
      <c r="J178" s="6"/>
      <c r="K178" s="6"/>
      <c r="L178" s="6"/>
      <c r="M178" s="6"/>
      <c r="N178" s="6"/>
      <c r="O178" s="6"/>
    </row>
    <row r="179" spans="7:15" x14ac:dyDescent="0.25">
      <c r="G179" s="6"/>
      <c r="H179" s="6"/>
      <c r="I179" s="6"/>
      <c r="J179" s="6"/>
      <c r="K179" s="6"/>
      <c r="L179" s="6"/>
      <c r="M179" s="6"/>
      <c r="N179" s="6"/>
      <c r="O179" s="6"/>
    </row>
    <row r="180" spans="7:15" x14ac:dyDescent="0.25">
      <c r="G180" s="6"/>
      <c r="H180" s="6"/>
      <c r="I180" s="6"/>
      <c r="J180" s="6"/>
      <c r="K180" s="6"/>
      <c r="L180" s="6"/>
      <c r="M180" s="6"/>
      <c r="N180" s="6"/>
      <c r="O180" s="6"/>
    </row>
    <row r="181" spans="7:15" x14ac:dyDescent="0.25">
      <c r="G181" s="6"/>
      <c r="H181" s="6"/>
      <c r="I181" s="6"/>
      <c r="J181" s="6"/>
      <c r="K181" s="6"/>
      <c r="L181" s="6"/>
      <c r="M181" s="6"/>
      <c r="N181" s="6"/>
      <c r="O181" s="6"/>
    </row>
    <row r="182" spans="7:15" x14ac:dyDescent="0.25">
      <c r="G182" s="6"/>
      <c r="H182" s="6"/>
      <c r="I182" s="6"/>
      <c r="J182" s="6"/>
      <c r="K182" s="6"/>
      <c r="L182" s="6"/>
      <c r="M182" s="6"/>
      <c r="N182" s="6"/>
      <c r="O182" s="6"/>
    </row>
    <row r="183" spans="7:15" x14ac:dyDescent="0.25">
      <c r="G183" s="6"/>
      <c r="H183" s="6"/>
      <c r="I183" s="6"/>
      <c r="J183" s="6"/>
      <c r="K183" s="6"/>
      <c r="L183" s="6"/>
      <c r="M183" s="6"/>
      <c r="N183" s="6"/>
      <c r="O183" s="6"/>
    </row>
    <row r="184" spans="7:15" x14ac:dyDescent="0.25">
      <c r="G184" s="6"/>
      <c r="H184" s="6"/>
      <c r="I184" s="6"/>
      <c r="J184" s="6"/>
      <c r="K184" s="6"/>
      <c r="L184" s="6"/>
      <c r="M184" s="6"/>
      <c r="N184" s="6"/>
      <c r="O184" s="6"/>
    </row>
    <row r="185" spans="7:15" x14ac:dyDescent="0.25">
      <c r="G185" s="6"/>
      <c r="H185" s="6"/>
      <c r="I185" s="6"/>
      <c r="J185" s="6"/>
      <c r="K185" s="6"/>
      <c r="L185" s="6"/>
      <c r="M185" s="6"/>
      <c r="N185" s="6"/>
      <c r="O185" s="6"/>
    </row>
    <row r="186" spans="7:15" x14ac:dyDescent="0.25">
      <c r="G186" s="6"/>
      <c r="H186" s="6"/>
      <c r="I186" s="6"/>
      <c r="J186" s="6"/>
      <c r="K186" s="6"/>
      <c r="L186" s="6"/>
      <c r="M186" s="6"/>
      <c r="N186" s="6"/>
      <c r="O186" s="6"/>
    </row>
    <row r="187" spans="7:15" x14ac:dyDescent="0.25">
      <c r="G187" s="6"/>
      <c r="H187" s="6"/>
      <c r="I187" s="6"/>
      <c r="J187" s="6"/>
      <c r="K187" s="6"/>
      <c r="L187" s="6"/>
      <c r="M187" s="6"/>
      <c r="N187" s="6"/>
      <c r="O187" s="6"/>
    </row>
    <row r="188" spans="7:15" x14ac:dyDescent="0.25">
      <c r="G188" s="6"/>
      <c r="H188" s="6"/>
      <c r="I188" s="6"/>
      <c r="J188" s="6"/>
      <c r="K188" s="6"/>
      <c r="L188" s="6"/>
      <c r="M188" s="6"/>
      <c r="N188" s="6"/>
      <c r="O188" s="6"/>
    </row>
    <row r="189" spans="7:15" x14ac:dyDescent="0.25">
      <c r="G189" s="6"/>
      <c r="H189" s="6"/>
      <c r="I189" s="6"/>
      <c r="J189" s="6"/>
      <c r="K189" s="6"/>
      <c r="L189" s="6"/>
      <c r="M189" s="6"/>
      <c r="N189" s="6"/>
      <c r="O189" s="6"/>
    </row>
    <row r="190" spans="7:15" x14ac:dyDescent="0.25">
      <c r="G190" s="6"/>
      <c r="H190" s="6"/>
      <c r="I190" s="6"/>
      <c r="J190" s="6"/>
      <c r="K190" s="6"/>
      <c r="L190" s="6"/>
      <c r="M190" s="6"/>
      <c r="N190" s="6"/>
      <c r="O190" s="6"/>
    </row>
    <row r="191" spans="7:15" x14ac:dyDescent="0.25">
      <c r="G191" s="6"/>
      <c r="H191" s="6"/>
      <c r="I191" s="6"/>
      <c r="J191" s="6"/>
      <c r="K191" s="6"/>
      <c r="L191" s="6"/>
      <c r="M191" s="6"/>
      <c r="N191" s="6"/>
      <c r="O191" s="6"/>
    </row>
    <row r="192" spans="7:15" x14ac:dyDescent="0.25">
      <c r="G192" s="6"/>
      <c r="H192" s="6"/>
      <c r="I192" s="6"/>
      <c r="J192" s="6"/>
      <c r="K192" s="6"/>
      <c r="L192" s="6"/>
      <c r="M192" s="6"/>
      <c r="N192" s="6"/>
      <c r="O192" s="6"/>
    </row>
    <row r="193" spans="7:15" x14ac:dyDescent="0.25">
      <c r="G193" s="6"/>
      <c r="H193" s="6"/>
      <c r="I193" s="6"/>
      <c r="J193" s="6"/>
      <c r="K193" s="6"/>
      <c r="L193" s="6"/>
      <c r="M193" s="6"/>
      <c r="N193" s="6"/>
      <c r="O193" s="6"/>
    </row>
    <row r="194" spans="7:15" x14ac:dyDescent="0.25">
      <c r="G194" s="6"/>
      <c r="H194" s="6"/>
      <c r="I194" s="6"/>
      <c r="J194" s="6"/>
      <c r="K194" s="6"/>
      <c r="L194" s="6"/>
      <c r="M194" s="6"/>
      <c r="N194" s="6"/>
      <c r="O194" s="6"/>
    </row>
    <row r="195" spans="7:15" x14ac:dyDescent="0.25">
      <c r="G195" s="6"/>
      <c r="H195" s="6"/>
      <c r="I195" s="6"/>
      <c r="J195" s="6"/>
      <c r="K195" s="6"/>
      <c r="L195" s="6"/>
      <c r="M195" s="6"/>
      <c r="N195" s="6"/>
      <c r="O195" s="6"/>
    </row>
    <row r="196" spans="7:15" x14ac:dyDescent="0.25">
      <c r="G196" s="6"/>
      <c r="H196" s="6"/>
      <c r="I196" s="6"/>
      <c r="J196" s="6"/>
      <c r="K196" s="6"/>
      <c r="L196" s="6"/>
      <c r="M196" s="6"/>
      <c r="N196" s="6"/>
      <c r="O196" s="6"/>
    </row>
    <row r="197" spans="7:15" x14ac:dyDescent="0.25">
      <c r="G197" s="6"/>
      <c r="H197" s="6"/>
      <c r="I197" s="6"/>
      <c r="J197" s="6"/>
      <c r="K197" s="6"/>
      <c r="L197" s="6"/>
      <c r="M197" s="6"/>
      <c r="N197" s="6"/>
      <c r="O197" s="6"/>
    </row>
    <row r="198" spans="7:15" x14ac:dyDescent="0.25">
      <c r="G198" s="6"/>
      <c r="H198" s="6"/>
      <c r="I198" s="6"/>
      <c r="J198" s="6"/>
      <c r="K198" s="6"/>
      <c r="L198" s="6"/>
      <c r="M198" s="6"/>
      <c r="N198" s="6"/>
      <c r="O198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SOFRUSD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Gazzano, Pierre</dc:creator>
  <cp:keywords/>
  <dc:description/>
  <cp:lastModifiedBy>Gazzano, Pierre</cp:lastModifiedBy>
  <cp:revision/>
  <dcterms:created xsi:type="dcterms:W3CDTF">2026-06-22T15:32:48Z</dcterms:created>
  <dcterms:modified xsi:type="dcterms:W3CDTF">2026-09-09T18:46:52Z</dcterms:modified>
  <cp:category/>
  <cp:contentStatus/>
</cp:coreProperties>
</file>